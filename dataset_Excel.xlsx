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hartEx3.xml" ContentType="application/vnd.ms-office.chartex+xml"/>
  <Override PartName="/xl/charts/chartEx4.xml" ContentType="application/vnd.ms-office.chartex+xml"/>
  <Override PartName="/xl/charts/chartEx5.xml" ContentType="application/vnd.ms-office.chartex+xml"/>
  <Override PartName="/xl/charts/colors10.xml" ContentType="application/vnd.ms-office.chartcolorstyle+xml"/>
  <Override PartName="/xl/charts/style10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30.xml" ContentType="application/vnd.ms-office.chartcolorstyle+xml"/>
  <Override PartName="/xl/charts/style30.xml" ContentType="application/vnd.ms-office.chartstyle+xml"/>
  <Override PartName="/xl/charts/colors40.xml" ContentType="application/vnd.ms-office.chartcolorstyle+xml"/>
  <Override PartName="/xl/charts/style40.xml" ContentType="application/vnd.ms-office.chartstyle+xml"/>
  <Override PartName="/xl/charts/colors50.xml" ContentType="application/vnd.ms-office.chartcolorstyle+xml"/>
  <Override PartName="/xl/charts/style5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МИФИ магистратура\04 Мат статистика\Итоговый проект\"/>
    </mc:Choice>
  </mc:AlternateContent>
  <bookViews>
    <workbookView xWindow="0" yWindow="0" windowWidth="23040" windowHeight="9384" firstSheet="3" activeTab="9"/>
  </bookViews>
  <sheets>
    <sheet name="Лист2" sheetId="5" r:id="rId1"/>
    <sheet name="Лист5" sheetId="8" r:id="rId2"/>
    <sheet name="datasetExcel" sheetId="1" r:id="rId3"/>
    <sheet name="Сводная таблица для А" sheetId="3" r:id="rId4"/>
    <sheet name="Таблицы и визуализация для А" sheetId="2" r:id="rId5"/>
    <sheet name="Бизнес анализ" sheetId="4" r:id="rId6"/>
    <sheet name="CAMP" sheetId="6" r:id="rId7"/>
    <sheet name="Трафик" sheetId="7" r:id="rId8"/>
    <sheet name="Гендер" sheetId="9" r:id="rId9"/>
    <sheet name="Лист7" sheetId="10" r:id="rId10"/>
  </sheets>
  <definedNames>
    <definedName name="_xlchart.v1.0" hidden="1">datasetExcel!$H$1</definedName>
    <definedName name="_xlchart.v1.1" hidden="1">datasetExcel!$H$2:$H$5001</definedName>
    <definedName name="_xlchart.v1.10" hidden="1">datasetExcel!$I$1</definedName>
    <definedName name="_xlchart.v1.11" hidden="1">datasetExcel!$I$2:$I$5001</definedName>
    <definedName name="_xlchart.v1.2" hidden="1">datasetExcel!$I$1</definedName>
    <definedName name="_xlchart.v1.3" hidden="1">datasetExcel!$I$2:$I$5001</definedName>
    <definedName name="_xlchart.v1.4" hidden="1">datasetExcel!$N$1</definedName>
    <definedName name="_xlchart.v1.5" hidden="1">datasetExcel!$N$2:$N$5001</definedName>
    <definedName name="_xlchart.v1.6" hidden="1">datasetExcel!$M$1</definedName>
    <definedName name="_xlchart.v1.7" hidden="1">datasetExcel!$M$2:$M$5001</definedName>
    <definedName name="_xlchart.v1.8" hidden="1">datasetExcel!$K$1</definedName>
    <definedName name="_xlchart.v1.9" hidden="1">datasetExcel!$K$2:$K$5001</definedName>
  </definedNames>
  <calcPr calcId="152511"/>
  <pivotCaches>
    <pivotCache cacheId="0" r:id="rId11"/>
    <pivotCache cacheId="6" r:id="rId12"/>
  </pivotCaches>
</workbook>
</file>

<file path=xl/calcChain.xml><?xml version="1.0" encoding="utf-8"?>
<calcChain xmlns="http://schemas.openxmlformats.org/spreadsheetml/2006/main">
  <c r="K3" i="10" l="1"/>
  <c r="K4" i="10"/>
  <c r="K5" i="10"/>
  <c r="K6" i="10"/>
  <c r="K7" i="10"/>
  <c r="K8" i="10"/>
  <c r="K9" i="10"/>
  <c r="K2" i="10"/>
  <c r="J3" i="10"/>
  <c r="J4" i="10"/>
  <c r="J5" i="10"/>
  <c r="J6" i="10"/>
  <c r="J7" i="10"/>
  <c r="J8" i="10"/>
  <c r="J9" i="10"/>
  <c r="J2" i="10"/>
  <c r="I3" i="10"/>
  <c r="I4" i="10"/>
  <c r="I5" i="10"/>
  <c r="I6" i="10"/>
  <c r="I7" i="10"/>
  <c r="I8" i="10"/>
  <c r="I9" i="10"/>
  <c r="I2" i="10"/>
  <c r="F2" i="10" s="1"/>
  <c r="D3" i="10"/>
  <c r="E26" i="9"/>
  <c r="F26" i="9"/>
  <c r="G26" i="9"/>
  <c r="H26" i="9"/>
  <c r="I26" i="9"/>
  <c r="J26" i="9"/>
  <c r="D26" i="9"/>
  <c r="F7" i="7"/>
  <c r="F3" i="7"/>
  <c r="F4" i="7"/>
  <c r="F5" i="7"/>
  <c r="F2" i="7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481" i="6"/>
  <c r="N2482" i="6"/>
  <c r="N2483" i="6"/>
  <c r="N2484" i="6"/>
  <c r="N2485" i="6"/>
  <c r="N2486" i="6"/>
  <c r="N2487" i="6"/>
  <c r="N2488" i="6"/>
  <c r="N2489" i="6"/>
  <c r="N2490" i="6"/>
  <c r="N2491" i="6"/>
  <c r="N2492" i="6"/>
  <c r="N2493" i="6"/>
  <c r="N2494" i="6"/>
  <c r="N2495" i="6"/>
  <c r="N2496" i="6"/>
  <c r="N2497" i="6"/>
  <c r="N2498" i="6"/>
  <c r="N2499" i="6"/>
  <c r="N2500" i="6"/>
  <c r="N2501" i="6"/>
  <c r="N2502" i="6"/>
  <c r="N2503" i="6"/>
  <c r="N2504" i="6"/>
  <c r="N2505" i="6"/>
  <c r="N2506" i="6"/>
  <c r="N2507" i="6"/>
  <c r="N2508" i="6"/>
  <c r="N2509" i="6"/>
  <c r="N2510" i="6"/>
  <c r="N2511" i="6"/>
  <c r="N2512" i="6"/>
  <c r="N2513" i="6"/>
  <c r="N2514" i="6"/>
  <c r="N2515" i="6"/>
  <c r="N2516" i="6"/>
  <c r="N2517" i="6"/>
  <c r="N2518" i="6"/>
  <c r="N2519" i="6"/>
  <c r="N2520" i="6"/>
  <c r="N2521" i="6"/>
  <c r="N2522" i="6"/>
  <c r="N2523" i="6"/>
  <c r="N2524" i="6"/>
  <c r="N2525" i="6"/>
  <c r="N2526" i="6"/>
  <c r="N2527" i="6"/>
  <c r="N2528" i="6"/>
  <c r="N2529" i="6"/>
  <c r="N2530" i="6"/>
  <c r="N2531" i="6"/>
  <c r="N2532" i="6"/>
  <c r="N2533" i="6"/>
  <c r="N2534" i="6"/>
  <c r="N2535" i="6"/>
  <c r="N2536" i="6"/>
  <c r="N2537" i="6"/>
  <c r="N2538" i="6"/>
  <c r="N2539" i="6"/>
  <c r="N2540" i="6"/>
  <c r="N2541" i="6"/>
  <c r="N2542" i="6"/>
  <c r="N2543" i="6"/>
  <c r="N2544" i="6"/>
  <c r="N2545" i="6"/>
  <c r="N2546" i="6"/>
  <c r="N2547" i="6"/>
  <c r="N2548" i="6"/>
  <c r="N2549" i="6"/>
  <c r="N2550" i="6"/>
  <c r="N2551" i="6"/>
  <c r="N2552" i="6"/>
  <c r="N2553" i="6"/>
  <c r="N2554" i="6"/>
  <c r="N2555" i="6"/>
  <c r="N2556" i="6"/>
  <c r="N2557" i="6"/>
  <c r="N2558" i="6"/>
  <c r="N2559" i="6"/>
  <c r="N2560" i="6"/>
  <c r="N2561" i="6"/>
  <c r="N2562" i="6"/>
  <c r="N2563" i="6"/>
  <c r="N2564" i="6"/>
  <c r="N2565" i="6"/>
  <c r="N2566" i="6"/>
  <c r="N2567" i="6"/>
  <c r="N2568" i="6"/>
  <c r="N2569" i="6"/>
  <c r="N2570" i="6"/>
  <c r="N2571" i="6"/>
  <c r="N2572" i="6"/>
  <c r="N2573" i="6"/>
  <c r="N2574" i="6"/>
  <c r="N2575" i="6"/>
  <c r="N2576" i="6"/>
  <c r="N2577" i="6"/>
  <c r="N2578" i="6"/>
  <c r="N2579" i="6"/>
  <c r="N2580" i="6"/>
  <c r="N2581" i="6"/>
  <c r="N2582" i="6"/>
  <c r="N2583" i="6"/>
  <c r="N2584" i="6"/>
  <c r="N2585" i="6"/>
  <c r="N2586" i="6"/>
  <c r="N2587" i="6"/>
  <c r="N2588" i="6"/>
  <c r="N2589" i="6"/>
  <c r="N2590" i="6"/>
  <c r="N2591" i="6"/>
  <c r="N2592" i="6"/>
  <c r="N2593" i="6"/>
  <c r="N2594" i="6"/>
  <c r="N2595" i="6"/>
  <c r="N2596" i="6"/>
  <c r="N2597" i="6"/>
  <c r="N2598" i="6"/>
  <c r="N2599" i="6"/>
  <c r="N2600" i="6"/>
  <c r="N2601" i="6"/>
  <c r="N2602" i="6"/>
  <c r="N2603" i="6"/>
  <c r="N2604" i="6"/>
  <c r="N2605" i="6"/>
  <c r="N2606" i="6"/>
  <c r="N2607" i="6"/>
  <c r="N2608" i="6"/>
  <c r="N2609" i="6"/>
  <c r="N2610" i="6"/>
  <c r="N2611" i="6"/>
  <c r="N2612" i="6"/>
  <c r="N2613" i="6"/>
  <c r="N2614" i="6"/>
  <c r="N2615" i="6"/>
  <c r="N2616" i="6"/>
  <c r="N2617" i="6"/>
  <c r="N2618" i="6"/>
  <c r="N2619" i="6"/>
  <c r="N2620" i="6"/>
  <c r="N2621" i="6"/>
  <c r="N2622" i="6"/>
  <c r="N2623" i="6"/>
  <c r="N2624" i="6"/>
  <c r="N2625" i="6"/>
  <c r="N2626" i="6"/>
  <c r="N2627" i="6"/>
  <c r="N2628" i="6"/>
  <c r="N2629" i="6"/>
  <c r="N2630" i="6"/>
  <c r="N2631" i="6"/>
  <c r="N2632" i="6"/>
  <c r="N2633" i="6"/>
  <c r="N2634" i="6"/>
  <c r="N2635" i="6"/>
  <c r="N2636" i="6"/>
  <c r="N2637" i="6"/>
  <c r="N2638" i="6"/>
  <c r="N2639" i="6"/>
  <c r="N2640" i="6"/>
  <c r="N2641" i="6"/>
  <c r="N2642" i="6"/>
  <c r="N2643" i="6"/>
  <c r="N2644" i="6"/>
  <c r="N2645" i="6"/>
  <c r="N2646" i="6"/>
  <c r="N2647" i="6"/>
  <c r="N2648" i="6"/>
  <c r="N2649" i="6"/>
  <c r="N2650" i="6"/>
  <c r="N2651" i="6"/>
  <c r="N2652" i="6"/>
  <c r="N2653" i="6"/>
  <c r="N2654" i="6"/>
  <c r="N2655" i="6"/>
  <c r="N2656" i="6"/>
  <c r="N2657" i="6"/>
  <c r="N2658" i="6"/>
  <c r="N2659" i="6"/>
  <c r="N2660" i="6"/>
  <c r="N2661" i="6"/>
  <c r="N2662" i="6"/>
  <c r="N2663" i="6"/>
  <c r="N2664" i="6"/>
  <c r="N2665" i="6"/>
  <c r="N2666" i="6"/>
  <c r="N2667" i="6"/>
  <c r="N2668" i="6"/>
  <c r="N2669" i="6"/>
  <c r="N2670" i="6"/>
  <c r="N2671" i="6"/>
  <c r="N2672" i="6"/>
  <c r="N2673" i="6"/>
  <c r="N2674" i="6"/>
  <c r="N2675" i="6"/>
  <c r="N2676" i="6"/>
  <c r="N2677" i="6"/>
  <c r="N2678" i="6"/>
  <c r="N2679" i="6"/>
  <c r="N2680" i="6"/>
  <c r="N2681" i="6"/>
  <c r="N2682" i="6"/>
  <c r="N2683" i="6"/>
  <c r="N2684" i="6"/>
  <c r="N2685" i="6"/>
  <c r="N2686" i="6"/>
  <c r="N2687" i="6"/>
  <c r="N2688" i="6"/>
  <c r="N2689" i="6"/>
  <c r="N2690" i="6"/>
  <c r="N2691" i="6"/>
  <c r="N2692" i="6"/>
  <c r="N2693" i="6"/>
  <c r="N2694" i="6"/>
  <c r="N2695" i="6"/>
  <c r="N2696" i="6"/>
  <c r="N2697" i="6"/>
  <c r="N2698" i="6"/>
  <c r="N2699" i="6"/>
  <c r="N2700" i="6"/>
  <c r="N2701" i="6"/>
  <c r="N2702" i="6"/>
  <c r="N2703" i="6"/>
  <c r="N2704" i="6"/>
  <c r="N2705" i="6"/>
  <c r="N2706" i="6"/>
  <c r="N2707" i="6"/>
  <c r="N2708" i="6"/>
  <c r="N2709" i="6"/>
  <c r="N2710" i="6"/>
  <c r="N2711" i="6"/>
  <c r="N2712" i="6"/>
  <c r="N2713" i="6"/>
  <c r="N2714" i="6"/>
  <c r="N2715" i="6"/>
  <c r="N2716" i="6"/>
  <c r="N2717" i="6"/>
  <c r="N2718" i="6"/>
  <c r="N2719" i="6"/>
  <c r="N2720" i="6"/>
  <c r="N2721" i="6"/>
  <c r="N2722" i="6"/>
  <c r="N2723" i="6"/>
  <c r="N2724" i="6"/>
  <c r="N2725" i="6"/>
  <c r="N2726" i="6"/>
  <c r="N2727" i="6"/>
  <c r="N2728" i="6"/>
  <c r="N2729" i="6"/>
  <c r="N2730" i="6"/>
  <c r="N2731" i="6"/>
  <c r="N2732" i="6"/>
  <c r="N2733" i="6"/>
  <c r="N2734" i="6"/>
  <c r="N2735" i="6"/>
  <c r="N2736" i="6"/>
  <c r="N2737" i="6"/>
  <c r="N2738" i="6"/>
  <c r="N2739" i="6"/>
  <c r="N2740" i="6"/>
  <c r="N2741" i="6"/>
  <c r="N2742" i="6"/>
  <c r="N2743" i="6"/>
  <c r="N2744" i="6"/>
  <c r="N2745" i="6"/>
  <c r="N2746" i="6"/>
  <c r="N2747" i="6"/>
  <c r="N2748" i="6"/>
  <c r="N2749" i="6"/>
  <c r="N2750" i="6"/>
  <c r="N2751" i="6"/>
  <c r="N2752" i="6"/>
  <c r="N2753" i="6"/>
  <c r="N2754" i="6"/>
  <c r="N2755" i="6"/>
  <c r="N2756" i="6"/>
  <c r="N2757" i="6"/>
  <c r="N2758" i="6"/>
  <c r="N2759" i="6"/>
  <c r="N2760" i="6"/>
  <c r="N2761" i="6"/>
  <c r="N2762" i="6"/>
  <c r="N2763" i="6"/>
  <c r="N2764" i="6"/>
  <c r="N2765" i="6"/>
  <c r="N2766" i="6"/>
  <c r="N2767" i="6"/>
  <c r="N2768" i="6"/>
  <c r="N2769" i="6"/>
  <c r="N2770" i="6"/>
  <c r="N2771" i="6"/>
  <c r="N2772" i="6"/>
  <c r="N2773" i="6"/>
  <c r="N2774" i="6"/>
  <c r="N2775" i="6"/>
  <c r="N2776" i="6"/>
  <c r="N2777" i="6"/>
  <c r="N2778" i="6"/>
  <c r="N2779" i="6"/>
  <c r="N2780" i="6"/>
  <c r="N2781" i="6"/>
  <c r="N2782" i="6"/>
  <c r="N2783" i="6"/>
  <c r="N2784" i="6"/>
  <c r="N2785" i="6"/>
  <c r="N2786" i="6"/>
  <c r="N2787" i="6"/>
  <c r="N2788" i="6"/>
  <c r="N2789" i="6"/>
  <c r="N2790" i="6"/>
  <c r="N2791" i="6"/>
  <c r="N2792" i="6"/>
  <c r="N2793" i="6"/>
  <c r="N2794" i="6"/>
  <c r="N2795" i="6"/>
  <c r="N2796" i="6"/>
  <c r="N2797" i="6"/>
  <c r="N2798" i="6"/>
  <c r="N2799" i="6"/>
  <c r="N2800" i="6"/>
  <c r="N2801" i="6"/>
  <c r="N2802" i="6"/>
  <c r="N2803" i="6"/>
  <c r="N2804" i="6"/>
  <c r="N2805" i="6"/>
  <c r="N2806" i="6"/>
  <c r="N2807" i="6"/>
  <c r="N2808" i="6"/>
  <c r="N2809" i="6"/>
  <c r="N2810" i="6"/>
  <c r="N2811" i="6"/>
  <c r="N2812" i="6"/>
  <c r="N2813" i="6"/>
  <c r="N2814" i="6"/>
  <c r="N2815" i="6"/>
  <c r="N2816" i="6"/>
  <c r="N2817" i="6"/>
  <c r="N2818" i="6"/>
  <c r="N2819" i="6"/>
  <c r="N2820" i="6"/>
  <c r="N2821" i="6"/>
  <c r="N2822" i="6"/>
  <c r="N2823" i="6"/>
  <c r="N2824" i="6"/>
  <c r="N2825" i="6"/>
  <c r="N2826" i="6"/>
  <c r="N2827" i="6"/>
  <c r="N2828" i="6"/>
  <c r="N2829" i="6"/>
  <c r="N2830" i="6"/>
  <c r="N2831" i="6"/>
  <c r="N2832" i="6"/>
  <c r="N2833" i="6"/>
  <c r="N2834" i="6"/>
  <c r="N2835" i="6"/>
  <c r="N2836" i="6"/>
  <c r="N2837" i="6"/>
  <c r="N2838" i="6"/>
  <c r="N2839" i="6"/>
  <c r="N2840" i="6"/>
  <c r="N2841" i="6"/>
  <c r="N2842" i="6"/>
  <c r="N2843" i="6"/>
  <c r="N2844" i="6"/>
  <c r="N2845" i="6"/>
  <c r="N2846" i="6"/>
  <c r="N2847" i="6"/>
  <c r="N2848" i="6"/>
  <c r="N2849" i="6"/>
  <c r="N2850" i="6"/>
  <c r="N2851" i="6"/>
  <c r="N2852" i="6"/>
  <c r="N2853" i="6"/>
  <c r="N2854" i="6"/>
  <c r="N2855" i="6"/>
  <c r="N2856" i="6"/>
  <c r="N2857" i="6"/>
  <c r="N2858" i="6"/>
  <c r="N2859" i="6"/>
  <c r="N2860" i="6"/>
  <c r="N2861" i="6"/>
  <c r="N2862" i="6"/>
  <c r="N2863" i="6"/>
  <c r="N2864" i="6"/>
  <c r="N2865" i="6"/>
  <c r="N2866" i="6"/>
  <c r="N2867" i="6"/>
  <c r="N2868" i="6"/>
  <c r="N2869" i="6"/>
  <c r="N2870" i="6"/>
  <c r="N2871" i="6"/>
  <c r="N2872" i="6"/>
  <c r="N2873" i="6"/>
  <c r="N2874" i="6"/>
  <c r="N2875" i="6"/>
  <c r="N2876" i="6"/>
  <c r="N2877" i="6"/>
  <c r="N2878" i="6"/>
  <c r="N2879" i="6"/>
  <c r="N2880" i="6"/>
  <c r="N2881" i="6"/>
  <c r="N2882" i="6"/>
  <c r="N2883" i="6"/>
  <c r="N2884" i="6"/>
  <c r="N2885" i="6"/>
  <c r="N2886" i="6"/>
  <c r="N2887" i="6"/>
  <c r="N2888" i="6"/>
  <c r="N2889" i="6"/>
  <c r="N2890" i="6"/>
  <c r="N2891" i="6"/>
  <c r="N2892" i="6"/>
  <c r="N2893" i="6"/>
  <c r="N2894" i="6"/>
  <c r="N2895" i="6"/>
  <c r="N2896" i="6"/>
  <c r="N2897" i="6"/>
  <c r="N2898" i="6"/>
  <c r="N2899" i="6"/>
  <c r="N2900" i="6"/>
  <c r="N2901" i="6"/>
  <c r="N2902" i="6"/>
  <c r="N2903" i="6"/>
  <c r="N2904" i="6"/>
  <c r="N2905" i="6"/>
  <c r="N2906" i="6"/>
  <c r="N2907" i="6"/>
  <c r="N2908" i="6"/>
  <c r="N2909" i="6"/>
  <c r="N2910" i="6"/>
  <c r="N2911" i="6"/>
  <c r="N2912" i="6"/>
  <c r="N2913" i="6"/>
  <c r="N2914" i="6"/>
  <c r="N2915" i="6"/>
  <c r="N2916" i="6"/>
  <c r="N2917" i="6"/>
  <c r="N2918" i="6"/>
  <c r="N2919" i="6"/>
  <c r="N2920" i="6"/>
  <c r="N2921" i="6"/>
  <c r="N2922" i="6"/>
  <c r="N2923" i="6"/>
  <c r="N2924" i="6"/>
  <c r="N2925" i="6"/>
  <c r="N2926" i="6"/>
  <c r="N2927" i="6"/>
  <c r="N2928" i="6"/>
  <c r="N2929" i="6"/>
  <c r="N2930" i="6"/>
  <c r="N2931" i="6"/>
  <c r="N2932" i="6"/>
  <c r="N2933" i="6"/>
  <c r="N2934" i="6"/>
  <c r="N2935" i="6"/>
  <c r="N2936" i="6"/>
  <c r="N2937" i="6"/>
  <c r="N2938" i="6"/>
  <c r="N2939" i="6"/>
  <c r="N2940" i="6"/>
  <c r="N2941" i="6"/>
  <c r="N2942" i="6"/>
  <c r="N2943" i="6"/>
  <c r="N2944" i="6"/>
  <c r="N2945" i="6"/>
  <c r="N2946" i="6"/>
  <c r="N2947" i="6"/>
  <c r="N2948" i="6"/>
  <c r="N2949" i="6"/>
  <c r="N2950" i="6"/>
  <c r="N2951" i="6"/>
  <c r="N2952" i="6"/>
  <c r="N2953" i="6"/>
  <c r="N2954" i="6"/>
  <c r="N2955" i="6"/>
  <c r="N2956" i="6"/>
  <c r="N2957" i="6"/>
  <c r="N2958" i="6"/>
  <c r="N2959" i="6"/>
  <c r="N2960" i="6"/>
  <c r="N2961" i="6"/>
  <c r="N2962" i="6"/>
  <c r="N2963" i="6"/>
  <c r="N2964" i="6"/>
  <c r="N2965" i="6"/>
  <c r="N2966" i="6"/>
  <c r="N2967" i="6"/>
  <c r="N2968" i="6"/>
  <c r="N2969" i="6"/>
  <c r="N2970" i="6"/>
  <c r="N2971" i="6"/>
  <c r="N2972" i="6"/>
  <c r="N2973" i="6"/>
  <c r="N2974" i="6"/>
  <c r="N2975" i="6"/>
  <c r="N2976" i="6"/>
  <c r="N2977" i="6"/>
  <c r="N2978" i="6"/>
  <c r="N2979" i="6"/>
  <c r="N2980" i="6"/>
  <c r="N2981" i="6"/>
  <c r="N2982" i="6"/>
  <c r="N2983" i="6"/>
  <c r="N2984" i="6"/>
  <c r="N2985" i="6"/>
  <c r="N2986" i="6"/>
  <c r="N2987" i="6"/>
  <c r="N2988" i="6"/>
  <c r="N2989" i="6"/>
  <c r="N2990" i="6"/>
  <c r="N2991" i="6"/>
  <c r="N2992" i="6"/>
  <c r="N2993" i="6"/>
  <c r="N2994" i="6"/>
  <c r="N2995" i="6"/>
  <c r="N2996" i="6"/>
  <c r="N2997" i="6"/>
  <c r="N2998" i="6"/>
  <c r="N2999" i="6"/>
  <c r="N3000" i="6"/>
  <c r="N3001" i="6"/>
  <c r="N3002" i="6"/>
  <c r="N3003" i="6"/>
  <c r="N3004" i="6"/>
  <c r="N3005" i="6"/>
  <c r="N3006" i="6"/>
  <c r="N3007" i="6"/>
  <c r="N3008" i="6"/>
  <c r="N3009" i="6"/>
  <c r="N3010" i="6"/>
  <c r="N3011" i="6"/>
  <c r="N3012" i="6"/>
  <c r="N3013" i="6"/>
  <c r="N3014" i="6"/>
  <c r="N3015" i="6"/>
  <c r="N3016" i="6"/>
  <c r="N3017" i="6"/>
  <c r="N3018" i="6"/>
  <c r="N3019" i="6"/>
  <c r="N3020" i="6"/>
  <c r="N3021" i="6"/>
  <c r="N3022" i="6"/>
  <c r="N3023" i="6"/>
  <c r="N3024" i="6"/>
  <c r="N3025" i="6"/>
  <c r="N3026" i="6"/>
  <c r="N3027" i="6"/>
  <c r="N3028" i="6"/>
  <c r="N3029" i="6"/>
  <c r="N3030" i="6"/>
  <c r="N3031" i="6"/>
  <c r="N3032" i="6"/>
  <c r="N3033" i="6"/>
  <c r="N3034" i="6"/>
  <c r="N3035" i="6"/>
  <c r="N3036" i="6"/>
  <c r="N3037" i="6"/>
  <c r="N3038" i="6"/>
  <c r="N3039" i="6"/>
  <c r="N3040" i="6"/>
  <c r="N3041" i="6"/>
  <c r="N3042" i="6"/>
  <c r="N3043" i="6"/>
  <c r="N3044" i="6"/>
  <c r="N3045" i="6"/>
  <c r="N3046" i="6"/>
  <c r="N3047" i="6"/>
  <c r="N3048" i="6"/>
  <c r="N3049" i="6"/>
  <c r="N3050" i="6"/>
  <c r="N3051" i="6"/>
  <c r="N3052" i="6"/>
  <c r="N3053" i="6"/>
  <c r="N3054" i="6"/>
  <c r="N3055" i="6"/>
  <c r="N3056" i="6"/>
  <c r="N3057" i="6"/>
  <c r="N3058" i="6"/>
  <c r="N3059" i="6"/>
  <c r="N3060" i="6"/>
  <c r="N3061" i="6"/>
  <c r="N3062" i="6"/>
  <c r="N3063" i="6"/>
  <c r="N3064" i="6"/>
  <c r="N3065" i="6"/>
  <c r="N3066" i="6"/>
  <c r="N3067" i="6"/>
  <c r="N3068" i="6"/>
  <c r="N3069" i="6"/>
  <c r="N3070" i="6"/>
  <c r="N3071" i="6"/>
  <c r="N3072" i="6"/>
  <c r="N3073" i="6"/>
  <c r="N3074" i="6"/>
  <c r="N3075" i="6"/>
  <c r="N3076" i="6"/>
  <c r="N3077" i="6"/>
  <c r="N3078" i="6"/>
  <c r="N3079" i="6"/>
  <c r="N3080" i="6"/>
  <c r="N3081" i="6"/>
  <c r="N3082" i="6"/>
  <c r="N3083" i="6"/>
  <c r="N3084" i="6"/>
  <c r="N3085" i="6"/>
  <c r="N3086" i="6"/>
  <c r="N3087" i="6"/>
  <c r="N3088" i="6"/>
  <c r="N3089" i="6"/>
  <c r="N3090" i="6"/>
  <c r="N3091" i="6"/>
  <c r="N3092" i="6"/>
  <c r="N3093" i="6"/>
  <c r="N3094" i="6"/>
  <c r="N3095" i="6"/>
  <c r="N3096" i="6"/>
  <c r="N3097" i="6"/>
  <c r="N3098" i="6"/>
  <c r="N3099" i="6"/>
  <c r="N3100" i="6"/>
  <c r="N3101" i="6"/>
  <c r="N3102" i="6"/>
  <c r="N3103" i="6"/>
  <c r="N3104" i="6"/>
  <c r="N3105" i="6"/>
  <c r="N3106" i="6"/>
  <c r="N3107" i="6"/>
  <c r="N3108" i="6"/>
  <c r="N3109" i="6"/>
  <c r="N3110" i="6"/>
  <c r="N3111" i="6"/>
  <c r="N3112" i="6"/>
  <c r="N3113" i="6"/>
  <c r="N3114" i="6"/>
  <c r="N3115" i="6"/>
  <c r="N3116" i="6"/>
  <c r="N3117" i="6"/>
  <c r="N3118" i="6"/>
  <c r="N3119" i="6"/>
  <c r="N3120" i="6"/>
  <c r="N3121" i="6"/>
  <c r="N3122" i="6"/>
  <c r="N3123" i="6"/>
  <c r="N3124" i="6"/>
  <c r="N3125" i="6"/>
  <c r="N3126" i="6"/>
  <c r="N3127" i="6"/>
  <c r="N3128" i="6"/>
  <c r="N3129" i="6"/>
  <c r="N3130" i="6"/>
  <c r="N3131" i="6"/>
  <c r="N3132" i="6"/>
  <c r="N3133" i="6"/>
  <c r="N3134" i="6"/>
  <c r="N3135" i="6"/>
  <c r="N3136" i="6"/>
  <c r="N3137" i="6"/>
  <c r="N3138" i="6"/>
  <c r="N3139" i="6"/>
  <c r="N3140" i="6"/>
  <c r="N3141" i="6"/>
  <c r="N3142" i="6"/>
  <c r="N3143" i="6"/>
  <c r="N3144" i="6"/>
  <c r="N3145" i="6"/>
  <c r="N3146" i="6"/>
  <c r="N3147" i="6"/>
  <c r="N3148" i="6"/>
  <c r="N3149" i="6"/>
  <c r="N3150" i="6"/>
  <c r="N3151" i="6"/>
  <c r="N3152" i="6"/>
  <c r="N3153" i="6"/>
  <c r="N3154" i="6"/>
  <c r="N3155" i="6"/>
  <c r="N3156" i="6"/>
  <c r="N3157" i="6"/>
  <c r="N3158" i="6"/>
  <c r="N3159" i="6"/>
  <c r="N3160" i="6"/>
  <c r="N3161" i="6"/>
  <c r="N3162" i="6"/>
  <c r="N3163" i="6"/>
  <c r="N3164" i="6"/>
  <c r="N3165" i="6"/>
  <c r="N3166" i="6"/>
  <c r="N3167" i="6"/>
  <c r="N3168" i="6"/>
  <c r="N3169" i="6"/>
  <c r="N3170" i="6"/>
  <c r="N3171" i="6"/>
  <c r="N3172" i="6"/>
  <c r="N3173" i="6"/>
  <c r="N3174" i="6"/>
  <c r="N3175" i="6"/>
  <c r="N3176" i="6"/>
  <c r="N3177" i="6"/>
  <c r="N3178" i="6"/>
  <c r="N3179" i="6"/>
  <c r="N3180" i="6"/>
  <c r="N3181" i="6"/>
  <c r="N3182" i="6"/>
  <c r="N3183" i="6"/>
  <c r="N3184" i="6"/>
  <c r="N3185" i="6"/>
  <c r="N3186" i="6"/>
  <c r="N3187" i="6"/>
  <c r="N3188" i="6"/>
  <c r="N3189" i="6"/>
  <c r="N3190" i="6"/>
  <c r="N3191" i="6"/>
  <c r="N3192" i="6"/>
  <c r="N3193" i="6"/>
  <c r="N3194" i="6"/>
  <c r="N3195" i="6"/>
  <c r="N3196" i="6"/>
  <c r="N3197" i="6"/>
  <c r="N3198" i="6"/>
  <c r="N3199" i="6"/>
  <c r="N3200" i="6"/>
  <c r="N3201" i="6"/>
  <c r="N3202" i="6"/>
  <c r="N3203" i="6"/>
  <c r="N3204" i="6"/>
  <c r="N3205" i="6"/>
  <c r="N3206" i="6"/>
  <c r="N3207" i="6"/>
  <c r="N3208" i="6"/>
  <c r="N3209" i="6"/>
  <c r="N3210" i="6"/>
  <c r="N3211" i="6"/>
  <c r="N3212" i="6"/>
  <c r="N3213" i="6"/>
  <c r="N3214" i="6"/>
  <c r="N3215" i="6"/>
  <c r="N3216" i="6"/>
  <c r="N3217" i="6"/>
  <c r="N3218" i="6"/>
  <c r="N3219" i="6"/>
  <c r="N3220" i="6"/>
  <c r="N3221" i="6"/>
  <c r="N3222" i="6"/>
  <c r="N3223" i="6"/>
  <c r="N3224" i="6"/>
  <c r="N3225" i="6"/>
  <c r="N3226" i="6"/>
  <c r="N3227" i="6"/>
  <c r="N3228" i="6"/>
  <c r="N3229" i="6"/>
  <c r="N3230" i="6"/>
  <c r="N3231" i="6"/>
  <c r="N3232" i="6"/>
  <c r="N3233" i="6"/>
  <c r="N3234" i="6"/>
  <c r="N3235" i="6"/>
  <c r="N3236" i="6"/>
  <c r="N3237" i="6"/>
  <c r="N3238" i="6"/>
  <c r="N3239" i="6"/>
  <c r="N3240" i="6"/>
  <c r="N3241" i="6"/>
  <c r="N3242" i="6"/>
  <c r="N3243" i="6"/>
  <c r="N3244" i="6"/>
  <c r="N3245" i="6"/>
  <c r="N3246" i="6"/>
  <c r="N3247" i="6"/>
  <c r="N3248" i="6"/>
  <c r="N3249" i="6"/>
  <c r="N3250" i="6"/>
  <c r="N3251" i="6"/>
  <c r="N3252" i="6"/>
  <c r="N3253" i="6"/>
  <c r="N3254" i="6"/>
  <c r="N3255" i="6"/>
  <c r="N3256" i="6"/>
  <c r="N3257" i="6"/>
  <c r="N3258" i="6"/>
  <c r="N3259" i="6"/>
  <c r="N3260" i="6"/>
  <c r="N3261" i="6"/>
  <c r="N3262" i="6"/>
  <c r="N3263" i="6"/>
  <c r="N3264" i="6"/>
  <c r="N3265" i="6"/>
  <c r="N3266" i="6"/>
  <c r="N3267" i="6"/>
  <c r="N3268" i="6"/>
  <c r="N3269" i="6"/>
  <c r="N3270" i="6"/>
  <c r="N3271" i="6"/>
  <c r="N3272" i="6"/>
  <c r="N3273" i="6"/>
  <c r="N3274" i="6"/>
  <c r="N3275" i="6"/>
  <c r="N3276" i="6"/>
  <c r="N3277" i="6"/>
  <c r="N3278" i="6"/>
  <c r="N3279" i="6"/>
  <c r="N3280" i="6"/>
  <c r="N3281" i="6"/>
  <c r="N3282" i="6"/>
  <c r="N3283" i="6"/>
  <c r="N3284" i="6"/>
  <c r="N3285" i="6"/>
  <c r="N3286" i="6"/>
  <c r="N3287" i="6"/>
  <c r="N3288" i="6"/>
  <c r="N3289" i="6"/>
  <c r="N3290" i="6"/>
  <c r="N3291" i="6"/>
  <c r="N3292" i="6"/>
  <c r="N3293" i="6"/>
  <c r="N3294" i="6"/>
  <c r="N3295" i="6"/>
  <c r="N3296" i="6"/>
  <c r="N3297" i="6"/>
  <c r="N3298" i="6"/>
  <c r="N3299" i="6"/>
  <c r="N3300" i="6"/>
  <c r="N3301" i="6"/>
  <c r="N3302" i="6"/>
  <c r="N3303" i="6"/>
  <c r="N3304" i="6"/>
  <c r="N3305" i="6"/>
  <c r="N3306" i="6"/>
  <c r="N3307" i="6"/>
  <c r="N3308" i="6"/>
  <c r="N3309" i="6"/>
  <c r="N3310" i="6"/>
  <c r="N3311" i="6"/>
  <c r="N3312" i="6"/>
  <c r="N3313" i="6"/>
  <c r="N3314" i="6"/>
  <c r="N3315" i="6"/>
  <c r="N3316" i="6"/>
  <c r="N3317" i="6"/>
  <c r="N3318" i="6"/>
  <c r="N3319" i="6"/>
  <c r="N3320" i="6"/>
  <c r="N3321" i="6"/>
  <c r="N3322" i="6"/>
  <c r="N3323" i="6"/>
  <c r="N3324" i="6"/>
  <c r="N3325" i="6"/>
  <c r="N3326" i="6"/>
  <c r="N3327" i="6"/>
  <c r="N3328" i="6"/>
  <c r="N3329" i="6"/>
  <c r="N3330" i="6"/>
  <c r="N3331" i="6"/>
  <c r="N3332" i="6"/>
  <c r="N3333" i="6"/>
  <c r="N3334" i="6"/>
  <c r="N3335" i="6"/>
  <c r="N3336" i="6"/>
  <c r="N3337" i="6"/>
  <c r="N3338" i="6"/>
  <c r="N3339" i="6"/>
  <c r="N3340" i="6"/>
  <c r="N3341" i="6"/>
  <c r="N3342" i="6"/>
  <c r="N3343" i="6"/>
  <c r="N3344" i="6"/>
  <c r="N3345" i="6"/>
  <c r="N3346" i="6"/>
  <c r="N3347" i="6"/>
  <c r="N3348" i="6"/>
  <c r="N3349" i="6"/>
  <c r="N3350" i="6"/>
  <c r="N3351" i="6"/>
  <c r="N3352" i="6"/>
  <c r="N3353" i="6"/>
  <c r="N3354" i="6"/>
  <c r="N3355" i="6"/>
  <c r="N3356" i="6"/>
  <c r="N3357" i="6"/>
  <c r="N3358" i="6"/>
  <c r="N3359" i="6"/>
  <c r="N3360" i="6"/>
  <c r="N3361" i="6"/>
  <c r="N3362" i="6"/>
  <c r="N3363" i="6"/>
  <c r="N3364" i="6"/>
  <c r="N3365" i="6"/>
  <c r="N3366" i="6"/>
  <c r="N3367" i="6"/>
  <c r="N3368" i="6"/>
  <c r="N3369" i="6"/>
  <c r="N3370" i="6"/>
  <c r="N3371" i="6"/>
  <c r="N3372" i="6"/>
  <c r="N3373" i="6"/>
  <c r="N3374" i="6"/>
  <c r="N3375" i="6"/>
  <c r="N3376" i="6"/>
  <c r="N3377" i="6"/>
  <c r="N3378" i="6"/>
  <c r="N3379" i="6"/>
  <c r="N3380" i="6"/>
  <c r="N3381" i="6"/>
  <c r="N3382" i="6"/>
  <c r="N3383" i="6"/>
  <c r="N3384" i="6"/>
  <c r="N3385" i="6"/>
  <c r="N3386" i="6"/>
  <c r="N3387" i="6"/>
  <c r="N3388" i="6"/>
  <c r="N3389" i="6"/>
  <c r="N3390" i="6"/>
  <c r="N3391" i="6"/>
  <c r="N3392" i="6"/>
  <c r="N3393" i="6"/>
  <c r="N3394" i="6"/>
  <c r="N3395" i="6"/>
  <c r="N3396" i="6"/>
  <c r="N3397" i="6"/>
  <c r="N3398" i="6"/>
  <c r="N3399" i="6"/>
  <c r="N3400" i="6"/>
  <c r="N3401" i="6"/>
  <c r="N3402" i="6"/>
  <c r="N3403" i="6"/>
  <c r="N3404" i="6"/>
  <c r="N3405" i="6"/>
  <c r="N3406" i="6"/>
  <c r="N3407" i="6"/>
  <c r="N3408" i="6"/>
  <c r="N3409" i="6"/>
  <c r="N3410" i="6"/>
  <c r="N3411" i="6"/>
  <c r="N3412" i="6"/>
  <c r="N3413" i="6"/>
  <c r="N3414" i="6"/>
  <c r="N3415" i="6"/>
  <c r="N3416" i="6"/>
  <c r="N3417" i="6"/>
  <c r="N3418" i="6"/>
  <c r="N3419" i="6"/>
  <c r="N3420" i="6"/>
  <c r="N3421" i="6"/>
  <c r="N3422" i="6"/>
  <c r="N3423" i="6"/>
  <c r="N3424" i="6"/>
  <c r="N3425" i="6"/>
  <c r="N3426" i="6"/>
  <c r="N3427" i="6"/>
  <c r="N3428" i="6"/>
  <c r="N3429" i="6"/>
  <c r="N3430" i="6"/>
  <c r="N3431" i="6"/>
  <c r="N3432" i="6"/>
  <c r="N3433" i="6"/>
  <c r="N3434" i="6"/>
  <c r="N3435" i="6"/>
  <c r="N3436" i="6"/>
  <c r="N3437" i="6"/>
  <c r="N3438" i="6"/>
  <c r="N3439" i="6"/>
  <c r="N3440" i="6"/>
  <c r="N3441" i="6"/>
  <c r="N3442" i="6"/>
  <c r="N3443" i="6"/>
  <c r="N3444" i="6"/>
  <c r="N3445" i="6"/>
  <c r="N3446" i="6"/>
  <c r="N3447" i="6"/>
  <c r="N3448" i="6"/>
  <c r="N3449" i="6"/>
  <c r="N3450" i="6"/>
  <c r="N3451" i="6"/>
  <c r="N3452" i="6"/>
  <c r="N3453" i="6"/>
  <c r="N3454" i="6"/>
  <c r="N3455" i="6"/>
  <c r="N3456" i="6"/>
  <c r="N3457" i="6"/>
  <c r="N3458" i="6"/>
  <c r="N3459" i="6"/>
  <c r="N3460" i="6"/>
  <c r="N3461" i="6"/>
  <c r="N3462" i="6"/>
  <c r="N3463" i="6"/>
  <c r="N3464" i="6"/>
  <c r="N3465" i="6"/>
  <c r="N3466" i="6"/>
  <c r="N3467" i="6"/>
  <c r="N3468" i="6"/>
  <c r="N3469" i="6"/>
  <c r="N3470" i="6"/>
  <c r="N3471" i="6"/>
  <c r="N3472" i="6"/>
  <c r="N3473" i="6"/>
  <c r="N3474" i="6"/>
  <c r="N3475" i="6"/>
  <c r="N3476" i="6"/>
  <c r="N3477" i="6"/>
  <c r="N3478" i="6"/>
  <c r="N3479" i="6"/>
  <c r="N3480" i="6"/>
  <c r="N3481" i="6"/>
  <c r="N3482" i="6"/>
  <c r="N3483" i="6"/>
  <c r="N3484" i="6"/>
  <c r="N3485" i="6"/>
  <c r="N3486" i="6"/>
  <c r="N3487" i="6"/>
  <c r="N3488" i="6"/>
  <c r="N3489" i="6"/>
  <c r="N3490" i="6"/>
  <c r="N3491" i="6"/>
  <c r="N3492" i="6"/>
  <c r="N3493" i="6"/>
  <c r="N3494" i="6"/>
  <c r="N3495" i="6"/>
  <c r="N3496" i="6"/>
  <c r="N3497" i="6"/>
  <c r="N3498" i="6"/>
  <c r="N3499" i="6"/>
  <c r="N3500" i="6"/>
  <c r="N3501" i="6"/>
  <c r="N3502" i="6"/>
  <c r="N3503" i="6"/>
  <c r="N3504" i="6"/>
  <c r="N3505" i="6"/>
  <c r="N3506" i="6"/>
  <c r="N3507" i="6"/>
  <c r="N3508" i="6"/>
  <c r="N3509" i="6"/>
  <c r="N3510" i="6"/>
  <c r="N3511" i="6"/>
  <c r="N3512" i="6"/>
  <c r="N3513" i="6"/>
  <c r="N3514" i="6"/>
  <c r="N3515" i="6"/>
  <c r="N3516" i="6"/>
  <c r="N3517" i="6"/>
  <c r="N3518" i="6"/>
  <c r="N3519" i="6"/>
  <c r="N3520" i="6"/>
  <c r="N3521" i="6"/>
  <c r="N3522" i="6"/>
  <c r="N3523" i="6"/>
  <c r="N3524" i="6"/>
  <c r="N3525" i="6"/>
  <c r="N3526" i="6"/>
  <c r="N3527" i="6"/>
  <c r="N3528" i="6"/>
  <c r="N3529" i="6"/>
  <c r="N3530" i="6"/>
  <c r="N3531" i="6"/>
  <c r="N3532" i="6"/>
  <c r="N3533" i="6"/>
  <c r="N3534" i="6"/>
  <c r="N3535" i="6"/>
  <c r="N3536" i="6"/>
  <c r="N3537" i="6"/>
  <c r="N3538" i="6"/>
  <c r="N3539" i="6"/>
  <c r="N3540" i="6"/>
  <c r="N3541" i="6"/>
  <c r="N3542" i="6"/>
  <c r="N3543" i="6"/>
  <c r="N3544" i="6"/>
  <c r="N3545" i="6"/>
  <c r="N3546" i="6"/>
  <c r="N3547" i="6"/>
  <c r="N3548" i="6"/>
  <c r="N3549" i="6"/>
  <c r="N3550" i="6"/>
  <c r="N3551" i="6"/>
  <c r="N3552" i="6"/>
  <c r="N3553" i="6"/>
  <c r="N3554" i="6"/>
  <c r="N3555" i="6"/>
  <c r="N3556" i="6"/>
  <c r="N3557" i="6"/>
  <c r="N3558" i="6"/>
  <c r="N3559" i="6"/>
  <c r="N3560" i="6"/>
  <c r="N3561" i="6"/>
  <c r="N3562" i="6"/>
  <c r="N3563" i="6"/>
  <c r="N3564" i="6"/>
  <c r="N3565" i="6"/>
  <c r="N3566" i="6"/>
  <c r="N3567" i="6"/>
  <c r="N3568" i="6"/>
  <c r="N3569" i="6"/>
  <c r="N3570" i="6"/>
  <c r="N3571" i="6"/>
  <c r="N3572" i="6"/>
  <c r="N3573" i="6"/>
  <c r="N3574" i="6"/>
  <c r="N3575" i="6"/>
  <c r="N3576" i="6"/>
  <c r="N3577" i="6"/>
  <c r="N3578" i="6"/>
  <c r="N3579" i="6"/>
  <c r="N3580" i="6"/>
  <c r="N3581" i="6"/>
  <c r="N3582" i="6"/>
  <c r="N3583" i="6"/>
  <c r="N3584" i="6"/>
  <c r="N3585" i="6"/>
  <c r="N3586" i="6"/>
  <c r="N3587" i="6"/>
  <c r="N3588" i="6"/>
  <c r="N3589" i="6"/>
  <c r="N3590" i="6"/>
  <c r="N3591" i="6"/>
  <c r="N3592" i="6"/>
  <c r="N3593" i="6"/>
  <c r="N3594" i="6"/>
  <c r="N3595" i="6"/>
  <c r="N3596" i="6"/>
  <c r="N3597" i="6"/>
  <c r="N3598" i="6"/>
  <c r="N3599" i="6"/>
  <c r="N3600" i="6"/>
  <c r="N3601" i="6"/>
  <c r="N3602" i="6"/>
  <c r="N3603" i="6"/>
  <c r="N3604" i="6"/>
  <c r="N3605" i="6"/>
  <c r="N3606" i="6"/>
  <c r="N3607" i="6"/>
  <c r="N3608" i="6"/>
  <c r="N3609" i="6"/>
  <c r="N3610" i="6"/>
  <c r="N3611" i="6"/>
  <c r="N3612" i="6"/>
  <c r="N3613" i="6"/>
  <c r="N3614" i="6"/>
  <c r="N3615" i="6"/>
  <c r="N3616" i="6"/>
  <c r="N3617" i="6"/>
  <c r="N3618" i="6"/>
  <c r="N3619" i="6"/>
  <c r="N3620" i="6"/>
  <c r="N3621" i="6"/>
  <c r="N3622" i="6"/>
  <c r="N3623" i="6"/>
  <c r="N3624" i="6"/>
  <c r="N3625" i="6"/>
  <c r="N3626" i="6"/>
  <c r="N3627" i="6"/>
  <c r="N3628" i="6"/>
  <c r="N3629" i="6"/>
  <c r="N3630" i="6"/>
  <c r="N3631" i="6"/>
  <c r="N3632" i="6"/>
  <c r="N3633" i="6"/>
  <c r="N3634" i="6"/>
  <c r="N3635" i="6"/>
  <c r="N3636" i="6"/>
  <c r="N3637" i="6"/>
  <c r="N3638" i="6"/>
  <c r="N3639" i="6"/>
  <c r="N3640" i="6"/>
  <c r="N3641" i="6"/>
  <c r="N3642" i="6"/>
  <c r="N3643" i="6"/>
  <c r="N3644" i="6"/>
  <c r="N3645" i="6"/>
  <c r="N3646" i="6"/>
  <c r="N3647" i="6"/>
  <c r="N3648" i="6"/>
  <c r="N3649" i="6"/>
  <c r="N3650" i="6"/>
  <c r="N3651" i="6"/>
  <c r="N3652" i="6"/>
  <c r="N3653" i="6"/>
  <c r="N3654" i="6"/>
  <c r="N3655" i="6"/>
  <c r="N3656" i="6"/>
  <c r="N3657" i="6"/>
  <c r="N3658" i="6"/>
  <c r="N3659" i="6"/>
  <c r="N3660" i="6"/>
  <c r="N3661" i="6"/>
  <c r="N3662" i="6"/>
  <c r="N3663" i="6"/>
  <c r="N3664" i="6"/>
  <c r="N3665" i="6"/>
  <c r="N3666" i="6"/>
  <c r="N3667" i="6"/>
  <c r="N3668" i="6"/>
  <c r="N3669" i="6"/>
  <c r="N3670" i="6"/>
  <c r="N3671" i="6"/>
  <c r="N3672" i="6"/>
  <c r="N3673" i="6"/>
  <c r="N3674" i="6"/>
  <c r="N3675" i="6"/>
  <c r="N3676" i="6"/>
  <c r="N3677" i="6"/>
  <c r="N3678" i="6"/>
  <c r="N3679" i="6"/>
  <c r="N3680" i="6"/>
  <c r="N3681" i="6"/>
  <c r="N3682" i="6"/>
  <c r="N3683" i="6"/>
  <c r="N3684" i="6"/>
  <c r="N3685" i="6"/>
  <c r="N3686" i="6"/>
  <c r="N3687" i="6"/>
  <c r="N3688" i="6"/>
  <c r="N3689" i="6"/>
  <c r="N3690" i="6"/>
  <c r="N3691" i="6"/>
  <c r="N3692" i="6"/>
  <c r="N3693" i="6"/>
  <c r="N3694" i="6"/>
  <c r="N3695" i="6"/>
  <c r="N3696" i="6"/>
  <c r="N3697" i="6"/>
  <c r="N3698" i="6"/>
  <c r="N3699" i="6"/>
  <c r="N3700" i="6"/>
  <c r="N3701" i="6"/>
  <c r="N3702" i="6"/>
  <c r="N3703" i="6"/>
  <c r="N3704" i="6"/>
  <c r="N3705" i="6"/>
  <c r="N3706" i="6"/>
  <c r="N3707" i="6"/>
  <c r="N3708" i="6"/>
  <c r="N3709" i="6"/>
  <c r="N3710" i="6"/>
  <c r="N3711" i="6"/>
  <c r="N3712" i="6"/>
  <c r="N3713" i="6"/>
  <c r="N3714" i="6"/>
  <c r="N3715" i="6"/>
  <c r="N3716" i="6"/>
  <c r="N3717" i="6"/>
  <c r="N3718" i="6"/>
  <c r="N3719" i="6"/>
  <c r="N3720" i="6"/>
  <c r="N3721" i="6"/>
  <c r="N3722" i="6"/>
  <c r="N3723" i="6"/>
  <c r="N3724" i="6"/>
  <c r="N3725" i="6"/>
  <c r="N3726" i="6"/>
  <c r="N3727" i="6"/>
  <c r="N3728" i="6"/>
  <c r="N3729" i="6"/>
  <c r="N3730" i="6"/>
  <c r="N3731" i="6"/>
  <c r="N3732" i="6"/>
  <c r="N3733" i="6"/>
  <c r="N3734" i="6"/>
  <c r="N3735" i="6"/>
  <c r="N3736" i="6"/>
  <c r="N3737" i="6"/>
  <c r="N3738" i="6"/>
  <c r="N3739" i="6"/>
  <c r="N3740" i="6"/>
  <c r="N3741" i="6"/>
  <c r="N3742" i="6"/>
  <c r="N3743" i="6"/>
  <c r="N3744" i="6"/>
  <c r="N3745" i="6"/>
  <c r="N3746" i="6"/>
  <c r="N3747" i="6"/>
  <c r="N3748" i="6"/>
  <c r="N3749" i="6"/>
  <c r="N3750" i="6"/>
  <c r="N3751" i="6"/>
  <c r="N3752" i="6"/>
  <c r="N3753" i="6"/>
  <c r="N3754" i="6"/>
  <c r="N3755" i="6"/>
  <c r="N3756" i="6"/>
  <c r="N3757" i="6"/>
  <c r="N3758" i="6"/>
  <c r="N3759" i="6"/>
  <c r="N3760" i="6"/>
  <c r="N3761" i="6"/>
  <c r="N3762" i="6"/>
  <c r="N3763" i="6"/>
  <c r="N3764" i="6"/>
  <c r="N3765" i="6"/>
  <c r="N3766" i="6"/>
  <c r="N3767" i="6"/>
  <c r="N3768" i="6"/>
  <c r="N3769" i="6"/>
  <c r="N3770" i="6"/>
  <c r="N3771" i="6"/>
  <c r="N3772" i="6"/>
  <c r="N3773" i="6"/>
  <c r="N3774" i="6"/>
  <c r="N3775" i="6"/>
  <c r="N3776" i="6"/>
  <c r="N3777" i="6"/>
  <c r="N3778" i="6"/>
  <c r="N3779" i="6"/>
  <c r="N3780" i="6"/>
  <c r="N3781" i="6"/>
  <c r="N3782" i="6"/>
  <c r="N3783" i="6"/>
  <c r="N3784" i="6"/>
  <c r="N3785" i="6"/>
  <c r="N3786" i="6"/>
  <c r="N3787" i="6"/>
  <c r="N3788" i="6"/>
  <c r="N3789" i="6"/>
  <c r="N3790" i="6"/>
  <c r="N3791" i="6"/>
  <c r="N3792" i="6"/>
  <c r="N3793" i="6"/>
  <c r="N3794" i="6"/>
  <c r="N3795" i="6"/>
  <c r="N3796" i="6"/>
  <c r="N3797" i="6"/>
  <c r="N3798" i="6"/>
  <c r="N3799" i="6"/>
  <c r="N3800" i="6"/>
  <c r="N3801" i="6"/>
  <c r="N3802" i="6"/>
  <c r="N3803" i="6"/>
  <c r="N3804" i="6"/>
  <c r="N3805" i="6"/>
  <c r="N3806" i="6"/>
  <c r="N3807" i="6"/>
  <c r="N3808" i="6"/>
  <c r="N3809" i="6"/>
  <c r="N3810" i="6"/>
  <c r="N3811" i="6"/>
  <c r="N3812" i="6"/>
  <c r="N3813" i="6"/>
  <c r="N3814" i="6"/>
  <c r="N3815" i="6"/>
  <c r="N3816" i="6"/>
  <c r="N3817" i="6"/>
  <c r="N3818" i="6"/>
  <c r="N3819" i="6"/>
  <c r="N3820" i="6"/>
  <c r="N3821" i="6"/>
  <c r="N3822" i="6"/>
  <c r="N3823" i="6"/>
  <c r="N3824" i="6"/>
  <c r="N3825" i="6"/>
  <c r="N3826" i="6"/>
  <c r="N3827" i="6"/>
  <c r="N3828" i="6"/>
  <c r="N3829" i="6"/>
  <c r="N3830" i="6"/>
  <c r="N3831" i="6"/>
  <c r="N3832" i="6"/>
  <c r="N3833" i="6"/>
  <c r="N3834" i="6"/>
  <c r="N3835" i="6"/>
  <c r="N3836" i="6"/>
  <c r="N3837" i="6"/>
  <c r="N3838" i="6"/>
  <c r="N3839" i="6"/>
  <c r="N3840" i="6"/>
  <c r="N3841" i="6"/>
  <c r="N3842" i="6"/>
  <c r="N3843" i="6"/>
  <c r="N3844" i="6"/>
  <c r="N3845" i="6"/>
  <c r="N3846" i="6"/>
  <c r="N3847" i="6"/>
  <c r="N3848" i="6"/>
  <c r="N3849" i="6"/>
  <c r="N3850" i="6"/>
  <c r="N3851" i="6"/>
  <c r="N3852" i="6"/>
  <c r="N3853" i="6"/>
  <c r="N3854" i="6"/>
  <c r="N3855" i="6"/>
  <c r="N3856" i="6"/>
  <c r="N3857" i="6"/>
  <c r="N3858" i="6"/>
  <c r="N3859" i="6"/>
  <c r="N3860" i="6"/>
  <c r="N3861" i="6"/>
  <c r="N3862" i="6"/>
  <c r="N3863" i="6"/>
  <c r="N3864" i="6"/>
  <c r="N3865" i="6"/>
  <c r="N3866" i="6"/>
  <c r="N3867" i="6"/>
  <c r="N3868" i="6"/>
  <c r="N3869" i="6"/>
  <c r="N3870" i="6"/>
  <c r="N3871" i="6"/>
  <c r="N3872" i="6"/>
  <c r="N3873" i="6"/>
  <c r="N3874" i="6"/>
  <c r="N3875" i="6"/>
  <c r="N3876" i="6"/>
  <c r="N3877" i="6"/>
  <c r="N3878" i="6"/>
  <c r="N3879" i="6"/>
  <c r="N3880" i="6"/>
  <c r="N3881" i="6"/>
  <c r="N3882" i="6"/>
  <c r="N3883" i="6"/>
  <c r="N3884" i="6"/>
  <c r="N3885" i="6"/>
  <c r="N3886" i="6"/>
  <c r="N3887" i="6"/>
  <c r="N3888" i="6"/>
  <c r="N3889" i="6"/>
  <c r="N3890" i="6"/>
  <c r="N3891" i="6"/>
  <c r="N3892" i="6"/>
  <c r="N3893" i="6"/>
  <c r="N3894" i="6"/>
  <c r="N3895" i="6"/>
  <c r="N3896" i="6"/>
  <c r="N3897" i="6"/>
  <c r="N3898" i="6"/>
  <c r="N3899" i="6"/>
  <c r="N3900" i="6"/>
  <c r="N3901" i="6"/>
  <c r="N3902" i="6"/>
  <c r="N3903" i="6"/>
  <c r="N3904" i="6"/>
  <c r="N3905" i="6"/>
  <c r="N3906" i="6"/>
  <c r="N3907" i="6"/>
  <c r="N3908" i="6"/>
  <c r="N3909" i="6"/>
  <c r="N3910" i="6"/>
  <c r="N3911" i="6"/>
  <c r="N3912" i="6"/>
  <c r="N3913" i="6"/>
  <c r="N3914" i="6"/>
  <c r="N3915" i="6"/>
  <c r="N3916" i="6"/>
  <c r="N3917" i="6"/>
  <c r="N3918" i="6"/>
  <c r="N3919" i="6"/>
  <c r="N3920" i="6"/>
  <c r="N3921" i="6"/>
  <c r="N3922" i="6"/>
  <c r="N3923" i="6"/>
  <c r="N3924" i="6"/>
  <c r="N3925" i="6"/>
  <c r="N3926" i="6"/>
  <c r="N3927" i="6"/>
  <c r="N3928" i="6"/>
  <c r="N3929" i="6"/>
  <c r="N3930" i="6"/>
  <c r="N3931" i="6"/>
  <c r="N3932" i="6"/>
  <c r="N3933" i="6"/>
  <c r="N3934" i="6"/>
  <c r="N3935" i="6"/>
  <c r="N3936" i="6"/>
  <c r="N3937" i="6"/>
  <c r="N3938" i="6"/>
  <c r="N3939" i="6"/>
  <c r="N3940" i="6"/>
  <c r="N3941" i="6"/>
  <c r="N3942" i="6"/>
  <c r="N3943" i="6"/>
  <c r="N3944" i="6"/>
  <c r="N3945" i="6"/>
  <c r="N3946" i="6"/>
  <c r="N3947" i="6"/>
  <c r="N3948" i="6"/>
  <c r="N3949" i="6"/>
  <c r="N3950" i="6"/>
  <c r="N3951" i="6"/>
  <c r="N3952" i="6"/>
  <c r="N3953" i="6"/>
  <c r="N3954" i="6"/>
  <c r="N3955" i="6"/>
  <c r="N3956" i="6"/>
  <c r="N3957" i="6"/>
  <c r="N3958" i="6"/>
  <c r="N3959" i="6"/>
  <c r="N3960" i="6"/>
  <c r="N3961" i="6"/>
  <c r="N3962" i="6"/>
  <c r="N3963" i="6"/>
  <c r="N3964" i="6"/>
  <c r="N3965" i="6"/>
  <c r="N3966" i="6"/>
  <c r="N3967" i="6"/>
  <c r="N3968" i="6"/>
  <c r="N3969" i="6"/>
  <c r="N3970" i="6"/>
  <c r="N3971" i="6"/>
  <c r="N3972" i="6"/>
  <c r="N3973" i="6"/>
  <c r="N3974" i="6"/>
  <c r="N3975" i="6"/>
  <c r="N3976" i="6"/>
  <c r="N3977" i="6"/>
  <c r="N3978" i="6"/>
  <c r="N3979" i="6"/>
  <c r="N3980" i="6"/>
  <c r="N3981" i="6"/>
  <c r="N3982" i="6"/>
  <c r="N3983" i="6"/>
  <c r="N3984" i="6"/>
  <c r="N3985" i="6"/>
  <c r="N3986" i="6"/>
  <c r="N3987" i="6"/>
  <c r="N3988" i="6"/>
  <c r="N3989" i="6"/>
  <c r="N3990" i="6"/>
  <c r="N3991" i="6"/>
  <c r="N3992" i="6"/>
  <c r="N3993" i="6"/>
  <c r="N3994" i="6"/>
  <c r="N3995" i="6"/>
  <c r="N3996" i="6"/>
  <c r="N3997" i="6"/>
  <c r="N3998" i="6"/>
  <c r="N3999" i="6"/>
  <c r="N4000" i="6"/>
  <c r="N4001" i="6"/>
  <c r="N4002" i="6"/>
  <c r="N4003" i="6"/>
  <c r="N4004" i="6"/>
  <c r="N4005" i="6"/>
  <c r="N4006" i="6"/>
  <c r="N4007" i="6"/>
  <c r="N4008" i="6"/>
  <c r="N4009" i="6"/>
  <c r="N4010" i="6"/>
  <c r="N4011" i="6"/>
  <c r="N4012" i="6"/>
  <c r="N4013" i="6"/>
  <c r="N4014" i="6"/>
  <c r="N4015" i="6"/>
  <c r="N4016" i="6"/>
  <c r="N4017" i="6"/>
  <c r="N4018" i="6"/>
  <c r="N4019" i="6"/>
  <c r="N4020" i="6"/>
  <c r="N4021" i="6"/>
  <c r="N4022" i="6"/>
  <c r="N4023" i="6"/>
  <c r="N4024" i="6"/>
  <c r="N4025" i="6"/>
  <c r="N4026" i="6"/>
  <c r="N4027" i="6"/>
  <c r="N4028" i="6"/>
  <c r="N4029" i="6"/>
  <c r="N4030" i="6"/>
  <c r="N4031" i="6"/>
  <c r="N4032" i="6"/>
  <c r="N4033" i="6"/>
  <c r="N4034" i="6"/>
  <c r="N4035" i="6"/>
  <c r="N4036" i="6"/>
  <c r="N4037" i="6"/>
  <c r="N4038" i="6"/>
  <c r="N4039" i="6"/>
  <c r="N4040" i="6"/>
  <c r="N4041" i="6"/>
  <c r="N4042" i="6"/>
  <c r="N4043" i="6"/>
  <c r="N4044" i="6"/>
  <c r="N4045" i="6"/>
  <c r="N4046" i="6"/>
  <c r="N4047" i="6"/>
  <c r="N4048" i="6"/>
  <c r="N4049" i="6"/>
  <c r="N4050" i="6"/>
  <c r="N4051" i="6"/>
  <c r="N4052" i="6"/>
  <c r="N4053" i="6"/>
  <c r="N4054" i="6"/>
  <c r="N4055" i="6"/>
  <c r="N4056" i="6"/>
  <c r="N4057" i="6"/>
  <c r="N4058" i="6"/>
  <c r="N4059" i="6"/>
  <c r="N4060" i="6"/>
  <c r="N4061" i="6"/>
  <c r="N4062" i="6"/>
  <c r="N4063" i="6"/>
  <c r="N4064" i="6"/>
  <c r="N4065" i="6"/>
  <c r="N4066" i="6"/>
  <c r="N4067" i="6"/>
  <c r="N4068" i="6"/>
  <c r="N4069" i="6"/>
  <c r="N4070" i="6"/>
  <c r="N4071" i="6"/>
  <c r="N4072" i="6"/>
  <c r="N4073" i="6"/>
  <c r="N4074" i="6"/>
  <c r="N4075" i="6"/>
  <c r="N4076" i="6"/>
  <c r="N4077" i="6"/>
  <c r="N4078" i="6"/>
  <c r="N4079" i="6"/>
  <c r="N4080" i="6"/>
  <c r="N4081" i="6"/>
  <c r="N4082" i="6"/>
  <c r="N4083" i="6"/>
  <c r="N4084" i="6"/>
  <c r="N4085" i="6"/>
  <c r="N4086" i="6"/>
  <c r="N4087" i="6"/>
  <c r="N4088" i="6"/>
  <c r="N4089" i="6"/>
  <c r="N4090" i="6"/>
  <c r="N4091" i="6"/>
  <c r="N4092" i="6"/>
  <c r="N4093" i="6"/>
  <c r="N4094" i="6"/>
  <c r="N4095" i="6"/>
  <c r="N4096" i="6"/>
  <c r="N4097" i="6"/>
  <c r="N4098" i="6"/>
  <c r="N4099" i="6"/>
  <c r="N4100" i="6"/>
  <c r="N4101" i="6"/>
  <c r="N4102" i="6"/>
  <c r="N4103" i="6"/>
  <c r="N4104" i="6"/>
  <c r="N4105" i="6"/>
  <c r="N4106" i="6"/>
  <c r="N4107" i="6"/>
  <c r="N4108" i="6"/>
  <c r="N4109" i="6"/>
  <c r="N4110" i="6"/>
  <c r="N4111" i="6"/>
  <c r="N4112" i="6"/>
  <c r="N4113" i="6"/>
  <c r="N4114" i="6"/>
  <c r="N4115" i="6"/>
  <c r="N4116" i="6"/>
  <c r="N4117" i="6"/>
  <c r="N4118" i="6"/>
  <c r="N4119" i="6"/>
  <c r="N4120" i="6"/>
  <c r="N4121" i="6"/>
  <c r="N4122" i="6"/>
  <c r="N4123" i="6"/>
  <c r="N4124" i="6"/>
  <c r="N4125" i="6"/>
  <c r="N4126" i="6"/>
  <c r="N4127" i="6"/>
  <c r="N4128" i="6"/>
  <c r="N4129" i="6"/>
  <c r="N4130" i="6"/>
  <c r="N4131" i="6"/>
  <c r="N4132" i="6"/>
  <c r="N4133" i="6"/>
  <c r="N4134" i="6"/>
  <c r="N4135" i="6"/>
  <c r="N4136" i="6"/>
  <c r="N4137" i="6"/>
  <c r="N4138" i="6"/>
  <c r="N4139" i="6"/>
  <c r="N4140" i="6"/>
  <c r="N4141" i="6"/>
  <c r="N4142" i="6"/>
  <c r="N4143" i="6"/>
  <c r="N4144" i="6"/>
  <c r="N4145" i="6"/>
  <c r="N4146" i="6"/>
  <c r="N4147" i="6"/>
  <c r="N4148" i="6"/>
  <c r="N4149" i="6"/>
  <c r="N4150" i="6"/>
  <c r="N4151" i="6"/>
  <c r="N4152" i="6"/>
  <c r="N4153" i="6"/>
  <c r="N4154" i="6"/>
  <c r="N4155" i="6"/>
  <c r="N4156" i="6"/>
  <c r="N4157" i="6"/>
  <c r="N4158" i="6"/>
  <c r="N4159" i="6"/>
  <c r="N4160" i="6"/>
  <c r="N4161" i="6"/>
  <c r="N4162" i="6"/>
  <c r="N4163" i="6"/>
  <c r="N4164" i="6"/>
  <c r="N4165" i="6"/>
  <c r="N4166" i="6"/>
  <c r="N4167" i="6"/>
  <c r="N4168" i="6"/>
  <c r="N4169" i="6"/>
  <c r="N4170" i="6"/>
  <c r="N4171" i="6"/>
  <c r="N4172" i="6"/>
  <c r="N4173" i="6"/>
  <c r="N4174" i="6"/>
  <c r="N4175" i="6"/>
  <c r="N4176" i="6"/>
  <c r="N4177" i="6"/>
  <c r="N4178" i="6"/>
  <c r="N4179" i="6"/>
  <c r="N4180" i="6"/>
  <c r="N4181" i="6"/>
  <c r="N4182" i="6"/>
  <c r="N4183" i="6"/>
  <c r="N4184" i="6"/>
  <c r="N4185" i="6"/>
  <c r="N4186" i="6"/>
  <c r="N4187" i="6"/>
  <c r="N4188" i="6"/>
  <c r="N4189" i="6"/>
  <c r="N4190" i="6"/>
  <c r="N4191" i="6"/>
  <c r="N4192" i="6"/>
  <c r="N4193" i="6"/>
  <c r="N4194" i="6"/>
  <c r="N4195" i="6"/>
  <c r="N4196" i="6"/>
  <c r="N4197" i="6"/>
  <c r="N4198" i="6"/>
  <c r="N4199" i="6"/>
  <c r="N4200" i="6"/>
  <c r="N4201" i="6"/>
  <c r="N4202" i="6"/>
  <c r="N4203" i="6"/>
  <c r="N4204" i="6"/>
  <c r="N4205" i="6"/>
  <c r="N4206" i="6"/>
  <c r="N4207" i="6"/>
  <c r="N4208" i="6"/>
  <c r="N4209" i="6"/>
  <c r="N4210" i="6"/>
  <c r="N4211" i="6"/>
  <c r="N4212" i="6"/>
  <c r="N4213" i="6"/>
  <c r="N4214" i="6"/>
  <c r="N4215" i="6"/>
  <c r="N4216" i="6"/>
  <c r="N4217" i="6"/>
  <c r="N4218" i="6"/>
  <c r="N4219" i="6"/>
  <c r="N4220" i="6"/>
  <c r="N4221" i="6"/>
  <c r="N4222" i="6"/>
  <c r="N4223" i="6"/>
  <c r="N4224" i="6"/>
  <c r="N4225" i="6"/>
  <c r="N4226" i="6"/>
  <c r="N4227" i="6"/>
  <c r="N4228" i="6"/>
  <c r="N4229" i="6"/>
  <c r="N4230" i="6"/>
  <c r="N4231" i="6"/>
  <c r="N4232" i="6"/>
  <c r="N4233" i="6"/>
  <c r="N4234" i="6"/>
  <c r="N4235" i="6"/>
  <c r="N4236" i="6"/>
  <c r="N4237" i="6"/>
  <c r="N4238" i="6"/>
  <c r="N4239" i="6"/>
  <c r="N4240" i="6"/>
  <c r="N4241" i="6"/>
  <c r="N4242" i="6"/>
  <c r="N4243" i="6"/>
  <c r="N4244" i="6"/>
  <c r="N4245" i="6"/>
  <c r="N4246" i="6"/>
  <c r="N4247" i="6"/>
  <c r="N4248" i="6"/>
  <c r="N4249" i="6"/>
  <c r="N4250" i="6"/>
  <c r="N4251" i="6"/>
  <c r="N4252" i="6"/>
  <c r="N4253" i="6"/>
  <c r="N4254" i="6"/>
  <c r="N4255" i="6"/>
  <c r="N4256" i="6"/>
  <c r="N4257" i="6"/>
  <c r="N4258" i="6"/>
  <c r="N4259" i="6"/>
  <c r="N4260" i="6"/>
  <c r="N4261" i="6"/>
  <c r="N4262" i="6"/>
  <c r="N4263" i="6"/>
  <c r="N4264" i="6"/>
  <c r="N4265" i="6"/>
  <c r="N4266" i="6"/>
  <c r="N4267" i="6"/>
  <c r="N4268" i="6"/>
  <c r="N4269" i="6"/>
  <c r="N4270" i="6"/>
  <c r="N4271" i="6"/>
  <c r="N4272" i="6"/>
  <c r="N4273" i="6"/>
  <c r="N4274" i="6"/>
  <c r="N4275" i="6"/>
  <c r="N4276" i="6"/>
  <c r="N4277" i="6"/>
  <c r="N4278" i="6"/>
  <c r="N4279" i="6"/>
  <c r="N4280" i="6"/>
  <c r="N4281" i="6"/>
  <c r="N4282" i="6"/>
  <c r="N4283" i="6"/>
  <c r="N4284" i="6"/>
  <c r="N4285" i="6"/>
  <c r="N4286" i="6"/>
  <c r="N4287" i="6"/>
  <c r="N4288" i="6"/>
  <c r="N4289" i="6"/>
  <c r="N4290" i="6"/>
  <c r="N4291" i="6"/>
  <c r="N4292" i="6"/>
  <c r="N4293" i="6"/>
  <c r="N4294" i="6"/>
  <c r="N4295" i="6"/>
  <c r="N4296" i="6"/>
  <c r="N4297" i="6"/>
  <c r="N4298" i="6"/>
  <c r="N4299" i="6"/>
  <c r="N4300" i="6"/>
  <c r="N4301" i="6"/>
  <c r="N4302" i="6"/>
  <c r="N4303" i="6"/>
  <c r="N4304" i="6"/>
  <c r="N4305" i="6"/>
  <c r="N4306" i="6"/>
  <c r="N4307" i="6"/>
  <c r="N4308" i="6"/>
  <c r="N4309" i="6"/>
  <c r="N4310" i="6"/>
  <c r="N4311" i="6"/>
  <c r="N4312" i="6"/>
  <c r="N4313" i="6"/>
  <c r="N4314" i="6"/>
  <c r="N4315" i="6"/>
  <c r="N4316" i="6"/>
  <c r="N4317" i="6"/>
  <c r="N4318" i="6"/>
  <c r="N4319" i="6"/>
  <c r="N4320" i="6"/>
  <c r="N4321" i="6"/>
  <c r="N4322" i="6"/>
  <c r="N4323" i="6"/>
  <c r="N4324" i="6"/>
  <c r="N4325" i="6"/>
  <c r="N4326" i="6"/>
  <c r="N4327" i="6"/>
  <c r="N4328" i="6"/>
  <c r="N4329" i="6"/>
  <c r="N4330" i="6"/>
  <c r="N4331" i="6"/>
  <c r="N4332" i="6"/>
  <c r="N4333" i="6"/>
  <c r="N4334" i="6"/>
  <c r="N4335" i="6"/>
  <c r="N4336" i="6"/>
  <c r="N4337" i="6"/>
  <c r="N4338" i="6"/>
  <c r="N4339" i="6"/>
  <c r="N4340" i="6"/>
  <c r="N4341" i="6"/>
  <c r="N4342" i="6"/>
  <c r="N4343" i="6"/>
  <c r="N4344" i="6"/>
  <c r="N4345" i="6"/>
  <c r="N4346" i="6"/>
  <c r="N4347" i="6"/>
  <c r="N4348" i="6"/>
  <c r="N4349" i="6"/>
  <c r="N4350" i="6"/>
  <c r="N4351" i="6"/>
  <c r="N4352" i="6"/>
  <c r="N4353" i="6"/>
  <c r="N4354" i="6"/>
  <c r="N4355" i="6"/>
  <c r="N4356" i="6"/>
  <c r="N4357" i="6"/>
  <c r="N4358" i="6"/>
  <c r="N4359" i="6"/>
  <c r="N4360" i="6"/>
  <c r="N4361" i="6"/>
  <c r="N4362" i="6"/>
  <c r="N4363" i="6"/>
  <c r="N4364" i="6"/>
  <c r="N4365" i="6"/>
  <c r="N4366" i="6"/>
  <c r="N4367" i="6"/>
  <c r="N4368" i="6"/>
  <c r="N4369" i="6"/>
  <c r="N4370" i="6"/>
  <c r="N4371" i="6"/>
  <c r="N4372" i="6"/>
  <c r="N4373" i="6"/>
  <c r="N4374" i="6"/>
  <c r="N4375" i="6"/>
  <c r="N4376" i="6"/>
  <c r="N4377" i="6"/>
  <c r="N4378" i="6"/>
  <c r="N4379" i="6"/>
  <c r="N4380" i="6"/>
  <c r="N4381" i="6"/>
  <c r="N4382" i="6"/>
  <c r="N4383" i="6"/>
  <c r="N4384" i="6"/>
  <c r="N4385" i="6"/>
  <c r="N4386" i="6"/>
  <c r="N4387" i="6"/>
  <c r="N4388" i="6"/>
  <c r="N4389" i="6"/>
  <c r="N4390" i="6"/>
  <c r="N4391" i="6"/>
  <c r="N4392" i="6"/>
  <c r="N4393" i="6"/>
  <c r="N4394" i="6"/>
  <c r="N4395" i="6"/>
  <c r="N4396" i="6"/>
  <c r="N4397" i="6"/>
  <c r="N4398" i="6"/>
  <c r="N4399" i="6"/>
  <c r="N4400" i="6"/>
  <c r="N4401" i="6"/>
  <c r="N4402" i="6"/>
  <c r="N4403" i="6"/>
  <c r="N4404" i="6"/>
  <c r="N4405" i="6"/>
  <c r="N4406" i="6"/>
  <c r="N4407" i="6"/>
  <c r="N4408" i="6"/>
  <c r="N4409" i="6"/>
  <c r="N4410" i="6"/>
  <c r="N4411" i="6"/>
  <c r="N4412" i="6"/>
  <c r="N4413" i="6"/>
  <c r="N4414" i="6"/>
  <c r="N4415" i="6"/>
  <c r="N4416" i="6"/>
  <c r="N4417" i="6"/>
  <c r="N4418" i="6"/>
  <c r="N4419" i="6"/>
  <c r="N4420" i="6"/>
  <c r="N4421" i="6"/>
  <c r="N4422" i="6"/>
  <c r="N4423" i="6"/>
  <c r="N4424" i="6"/>
  <c r="N4425" i="6"/>
  <c r="N4426" i="6"/>
  <c r="N4427" i="6"/>
  <c r="N4428" i="6"/>
  <c r="N4429" i="6"/>
  <c r="N4430" i="6"/>
  <c r="N4431" i="6"/>
  <c r="N4432" i="6"/>
  <c r="N4433" i="6"/>
  <c r="N4434" i="6"/>
  <c r="N4435" i="6"/>
  <c r="N4436" i="6"/>
  <c r="N4437" i="6"/>
  <c r="N4438" i="6"/>
  <c r="N4439" i="6"/>
  <c r="N4440" i="6"/>
  <c r="N4441" i="6"/>
  <c r="N4442" i="6"/>
  <c r="N4443" i="6"/>
  <c r="N4444" i="6"/>
  <c r="N4445" i="6"/>
  <c r="N4446" i="6"/>
  <c r="N4447" i="6"/>
  <c r="N4448" i="6"/>
  <c r="N4449" i="6"/>
  <c r="N4450" i="6"/>
  <c r="N4451" i="6"/>
  <c r="N4452" i="6"/>
  <c r="N4453" i="6"/>
  <c r="N4454" i="6"/>
  <c r="N4455" i="6"/>
  <c r="N4456" i="6"/>
  <c r="N4457" i="6"/>
  <c r="N4458" i="6"/>
  <c r="N4459" i="6"/>
  <c r="N4460" i="6"/>
  <c r="N4461" i="6"/>
  <c r="N4462" i="6"/>
  <c r="N4463" i="6"/>
  <c r="N4464" i="6"/>
  <c r="N4465" i="6"/>
  <c r="N4466" i="6"/>
  <c r="N4467" i="6"/>
  <c r="N4468" i="6"/>
  <c r="N4469" i="6"/>
  <c r="N4470" i="6"/>
  <c r="N4471" i="6"/>
  <c r="N4472" i="6"/>
  <c r="N4473" i="6"/>
  <c r="N4474" i="6"/>
  <c r="N4475" i="6"/>
  <c r="N4476" i="6"/>
  <c r="N4477" i="6"/>
  <c r="N4478" i="6"/>
  <c r="N4479" i="6"/>
  <c r="N4480" i="6"/>
  <c r="N4481" i="6"/>
  <c r="N4482" i="6"/>
  <c r="N4483" i="6"/>
  <c r="N4484" i="6"/>
  <c r="N4485" i="6"/>
  <c r="N4486" i="6"/>
  <c r="N4487" i="6"/>
  <c r="N4488" i="6"/>
  <c r="N4489" i="6"/>
  <c r="N4490" i="6"/>
  <c r="N4491" i="6"/>
  <c r="N4492" i="6"/>
  <c r="N4493" i="6"/>
  <c r="N4494" i="6"/>
  <c r="N4495" i="6"/>
  <c r="N4496" i="6"/>
  <c r="N4497" i="6"/>
  <c r="N4498" i="6"/>
  <c r="N4499" i="6"/>
  <c r="N4500" i="6"/>
  <c r="N4501" i="6"/>
  <c r="N4502" i="6"/>
  <c r="N4503" i="6"/>
  <c r="N4504" i="6"/>
  <c r="N4505" i="6"/>
  <c r="N4506" i="6"/>
  <c r="N4507" i="6"/>
  <c r="N4508" i="6"/>
  <c r="N4509" i="6"/>
  <c r="N4510" i="6"/>
  <c r="N4511" i="6"/>
  <c r="N4512" i="6"/>
  <c r="N4513" i="6"/>
  <c r="N4514" i="6"/>
  <c r="N4515" i="6"/>
  <c r="N4516" i="6"/>
  <c r="N4517" i="6"/>
  <c r="N4518" i="6"/>
  <c r="N4519" i="6"/>
  <c r="N4520" i="6"/>
  <c r="N4521" i="6"/>
  <c r="N4522" i="6"/>
  <c r="N4523" i="6"/>
  <c r="N4524" i="6"/>
  <c r="N4525" i="6"/>
  <c r="N4526" i="6"/>
  <c r="N4527" i="6"/>
  <c r="N4528" i="6"/>
  <c r="N4529" i="6"/>
  <c r="N4530" i="6"/>
  <c r="N4531" i="6"/>
  <c r="N4532" i="6"/>
  <c r="N4533" i="6"/>
  <c r="N4534" i="6"/>
  <c r="N4535" i="6"/>
  <c r="N4536" i="6"/>
  <c r="N4537" i="6"/>
  <c r="N4538" i="6"/>
  <c r="N4539" i="6"/>
  <c r="N4540" i="6"/>
  <c r="N4541" i="6"/>
  <c r="N4542" i="6"/>
  <c r="N4543" i="6"/>
  <c r="N4544" i="6"/>
  <c r="N4545" i="6"/>
  <c r="N4546" i="6"/>
  <c r="N4547" i="6"/>
  <c r="N4548" i="6"/>
  <c r="N4549" i="6"/>
  <c r="N4550" i="6"/>
  <c r="N4551" i="6"/>
  <c r="N4552" i="6"/>
  <c r="N4553" i="6"/>
  <c r="N4554" i="6"/>
  <c r="N4555" i="6"/>
  <c r="N4556" i="6"/>
  <c r="N4557" i="6"/>
  <c r="N4558" i="6"/>
  <c r="N4559" i="6"/>
  <c r="N4560" i="6"/>
  <c r="N4561" i="6"/>
  <c r="N4562" i="6"/>
  <c r="N4563" i="6"/>
  <c r="N4564" i="6"/>
  <c r="N4565" i="6"/>
  <c r="N4566" i="6"/>
  <c r="N4567" i="6"/>
  <c r="N4568" i="6"/>
  <c r="N4569" i="6"/>
  <c r="N4570" i="6"/>
  <c r="N4571" i="6"/>
  <c r="N4572" i="6"/>
  <c r="N4573" i="6"/>
  <c r="N4574" i="6"/>
  <c r="N4575" i="6"/>
  <c r="N4576" i="6"/>
  <c r="N4577" i="6"/>
  <c r="N4578" i="6"/>
  <c r="N4579" i="6"/>
  <c r="N4580" i="6"/>
  <c r="N4581" i="6"/>
  <c r="N4582" i="6"/>
  <c r="N4583" i="6"/>
  <c r="N4584" i="6"/>
  <c r="N4585" i="6"/>
  <c r="N4586" i="6"/>
  <c r="N4587" i="6"/>
  <c r="N4588" i="6"/>
  <c r="N4589" i="6"/>
  <c r="N4590" i="6"/>
  <c r="N4591" i="6"/>
  <c r="N4592" i="6"/>
  <c r="N4593" i="6"/>
  <c r="N4594" i="6"/>
  <c r="N4595" i="6"/>
  <c r="N4596" i="6"/>
  <c r="N4597" i="6"/>
  <c r="N4598" i="6"/>
  <c r="N4599" i="6"/>
  <c r="N4600" i="6"/>
  <c r="N4601" i="6"/>
  <c r="N4602" i="6"/>
  <c r="N4603" i="6"/>
  <c r="N4604" i="6"/>
  <c r="N4605" i="6"/>
  <c r="N4606" i="6"/>
  <c r="N4607" i="6"/>
  <c r="N4608" i="6"/>
  <c r="N4609" i="6"/>
  <c r="N4610" i="6"/>
  <c r="N4611" i="6"/>
  <c r="N4612" i="6"/>
  <c r="N4613" i="6"/>
  <c r="N4614" i="6"/>
  <c r="N4615" i="6"/>
  <c r="N4616" i="6"/>
  <c r="N4617" i="6"/>
  <c r="N4618" i="6"/>
  <c r="N4619" i="6"/>
  <c r="N4620" i="6"/>
  <c r="N4621" i="6"/>
  <c r="N4622" i="6"/>
  <c r="N4623" i="6"/>
  <c r="N4624" i="6"/>
  <c r="N4625" i="6"/>
  <c r="N4626" i="6"/>
  <c r="N4627" i="6"/>
  <c r="N4628" i="6"/>
  <c r="N4629" i="6"/>
  <c r="N4630" i="6"/>
  <c r="N4631" i="6"/>
  <c r="N4632" i="6"/>
  <c r="N4633" i="6"/>
  <c r="N4634" i="6"/>
  <c r="N4635" i="6"/>
  <c r="N4636" i="6"/>
  <c r="N4637" i="6"/>
  <c r="N4638" i="6"/>
  <c r="N4639" i="6"/>
  <c r="N4640" i="6"/>
  <c r="N4641" i="6"/>
  <c r="N4642" i="6"/>
  <c r="N4643" i="6"/>
  <c r="N4644" i="6"/>
  <c r="N4645" i="6"/>
  <c r="N4646" i="6"/>
  <c r="N4647" i="6"/>
  <c r="N4648" i="6"/>
  <c r="N4649" i="6"/>
  <c r="N4650" i="6"/>
  <c r="N4651" i="6"/>
  <c r="N4652" i="6"/>
  <c r="N4653" i="6"/>
  <c r="N4654" i="6"/>
  <c r="N4655" i="6"/>
  <c r="N4656" i="6"/>
  <c r="N4657" i="6"/>
  <c r="N4658" i="6"/>
  <c r="N4659" i="6"/>
  <c r="N4660" i="6"/>
  <c r="N4661" i="6"/>
  <c r="N4662" i="6"/>
  <c r="N4663" i="6"/>
  <c r="N4664" i="6"/>
  <c r="N4665" i="6"/>
  <c r="N4666" i="6"/>
  <c r="N4667" i="6"/>
  <c r="N4668" i="6"/>
  <c r="N4669" i="6"/>
  <c r="N4670" i="6"/>
  <c r="N4671" i="6"/>
  <c r="N4672" i="6"/>
  <c r="N4673" i="6"/>
  <c r="N4674" i="6"/>
  <c r="N4675" i="6"/>
  <c r="N4676" i="6"/>
  <c r="N4677" i="6"/>
  <c r="N4678" i="6"/>
  <c r="N4679" i="6"/>
  <c r="N4680" i="6"/>
  <c r="N4681" i="6"/>
  <c r="N4682" i="6"/>
  <c r="N4683" i="6"/>
  <c r="N4684" i="6"/>
  <c r="N4685" i="6"/>
  <c r="N4686" i="6"/>
  <c r="N4687" i="6"/>
  <c r="N4688" i="6"/>
  <c r="N4689" i="6"/>
  <c r="N4690" i="6"/>
  <c r="N4691" i="6"/>
  <c r="N4692" i="6"/>
  <c r="N4693" i="6"/>
  <c r="N4694" i="6"/>
  <c r="N4695" i="6"/>
  <c r="N4696" i="6"/>
  <c r="N4697" i="6"/>
  <c r="N4698" i="6"/>
  <c r="N4699" i="6"/>
  <c r="N4700" i="6"/>
  <c r="N4701" i="6"/>
  <c r="N4702" i="6"/>
  <c r="N4703" i="6"/>
  <c r="N4704" i="6"/>
  <c r="N4705" i="6"/>
  <c r="N4706" i="6"/>
  <c r="N4707" i="6"/>
  <c r="N4708" i="6"/>
  <c r="N4709" i="6"/>
  <c r="N4710" i="6"/>
  <c r="N4711" i="6"/>
  <c r="N4712" i="6"/>
  <c r="N4713" i="6"/>
  <c r="N4714" i="6"/>
  <c r="N4715" i="6"/>
  <c r="N4716" i="6"/>
  <c r="N4717" i="6"/>
  <c r="N4718" i="6"/>
  <c r="N4719" i="6"/>
  <c r="N4720" i="6"/>
  <c r="N4721" i="6"/>
  <c r="N4722" i="6"/>
  <c r="N4723" i="6"/>
  <c r="N4724" i="6"/>
  <c r="N4725" i="6"/>
  <c r="N4726" i="6"/>
  <c r="N4727" i="6"/>
  <c r="N4728" i="6"/>
  <c r="N4729" i="6"/>
  <c r="N4730" i="6"/>
  <c r="N4731" i="6"/>
  <c r="N4732" i="6"/>
  <c r="N4733" i="6"/>
  <c r="N4734" i="6"/>
  <c r="N4735" i="6"/>
  <c r="N4736" i="6"/>
  <c r="N4737" i="6"/>
  <c r="N4738" i="6"/>
  <c r="N4739" i="6"/>
  <c r="N4740" i="6"/>
  <c r="N4741" i="6"/>
  <c r="N4742" i="6"/>
  <c r="N4743" i="6"/>
  <c r="N4744" i="6"/>
  <c r="N4745" i="6"/>
  <c r="N4746" i="6"/>
  <c r="N4747" i="6"/>
  <c r="N4748" i="6"/>
  <c r="N4749" i="6"/>
  <c r="N4750" i="6"/>
  <c r="N4751" i="6"/>
  <c r="N4752" i="6"/>
  <c r="N4753" i="6"/>
  <c r="N4754" i="6"/>
  <c r="N4755" i="6"/>
  <c r="N4756" i="6"/>
  <c r="N4757" i="6"/>
  <c r="N4758" i="6"/>
  <c r="N4759" i="6"/>
  <c r="N4760" i="6"/>
  <c r="N4761" i="6"/>
  <c r="N4762" i="6"/>
  <c r="N4763" i="6"/>
  <c r="N4764" i="6"/>
  <c r="N4765" i="6"/>
  <c r="N4766" i="6"/>
  <c r="N4767" i="6"/>
  <c r="N4768" i="6"/>
  <c r="N4769" i="6"/>
  <c r="N4770" i="6"/>
  <c r="N4771" i="6"/>
  <c r="N4772" i="6"/>
  <c r="N4773" i="6"/>
  <c r="N4774" i="6"/>
  <c r="N4775" i="6"/>
  <c r="N4776" i="6"/>
  <c r="N4777" i="6"/>
  <c r="N4778" i="6"/>
  <c r="N4779" i="6"/>
  <c r="N4780" i="6"/>
  <c r="N4781" i="6"/>
  <c r="N4782" i="6"/>
  <c r="N4783" i="6"/>
  <c r="N4784" i="6"/>
  <c r="N4785" i="6"/>
  <c r="N4786" i="6"/>
  <c r="N4787" i="6"/>
  <c r="N4788" i="6"/>
  <c r="N4789" i="6"/>
  <c r="N4790" i="6"/>
  <c r="N4791" i="6"/>
  <c r="N4792" i="6"/>
  <c r="N4793" i="6"/>
  <c r="N4794" i="6"/>
  <c r="N4795" i="6"/>
  <c r="N4796" i="6"/>
  <c r="N4797" i="6"/>
  <c r="N4798" i="6"/>
  <c r="N4799" i="6"/>
  <c r="N4800" i="6"/>
  <c r="N4801" i="6"/>
  <c r="N4802" i="6"/>
  <c r="N4803" i="6"/>
  <c r="N4804" i="6"/>
  <c r="N4805" i="6"/>
  <c r="N4806" i="6"/>
  <c r="N4807" i="6"/>
  <c r="N4808" i="6"/>
  <c r="N4809" i="6"/>
  <c r="N4810" i="6"/>
  <c r="N4811" i="6"/>
  <c r="N4812" i="6"/>
  <c r="N4813" i="6"/>
  <c r="N4814" i="6"/>
  <c r="N4815" i="6"/>
  <c r="N4816" i="6"/>
  <c r="N4817" i="6"/>
  <c r="N4818" i="6"/>
  <c r="N4819" i="6"/>
  <c r="N4820" i="6"/>
  <c r="N4821" i="6"/>
  <c r="N4822" i="6"/>
  <c r="N4823" i="6"/>
  <c r="N4824" i="6"/>
  <c r="N4825" i="6"/>
  <c r="N4826" i="6"/>
  <c r="N4827" i="6"/>
  <c r="N4828" i="6"/>
  <c r="N4829" i="6"/>
  <c r="N4830" i="6"/>
  <c r="N4831" i="6"/>
  <c r="N4832" i="6"/>
  <c r="N4833" i="6"/>
  <c r="N4834" i="6"/>
  <c r="N4835" i="6"/>
  <c r="N4836" i="6"/>
  <c r="N4837" i="6"/>
  <c r="N4838" i="6"/>
  <c r="N4839" i="6"/>
  <c r="N4840" i="6"/>
  <c r="N4841" i="6"/>
  <c r="N4842" i="6"/>
  <c r="N4843" i="6"/>
  <c r="N4844" i="6"/>
  <c r="N4845" i="6"/>
  <c r="N4846" i="6"/>
  <c r="N4847" i="6"/>
  <c r="N4848" i="6"/>
  <c r="N4849" i="6"/>
  <c r="N4850" i="6"/>
  <c r="N4851" i="6"/>
  <c r="N4852" i="6"/>
  <c r="N4853" i="6"/>
  <c r="N4854" i="6"/>
  <c r="N4855" i="6"/>
  <c r="N4856" i="6"/>
  <c r="N4857" i="6"/>
  <c r="N4858" i="6"/>
  <c r="N4859" i="6"/>
  <c r="N4860" i="6"/>
  <c r="N4861" i="6"/>
  <c r="N4862" i="6"/>
  <c r="N4863" i="6"/>
  <c r="N4864" i="6"/>
  <c r="N4865" i="6"/>
  <c r="N4866" i="6"/>
  <c r="N4867" i="6"/>
  <c r="N4868" i="6"/>
  <c r="N4869" i="6"/>
  <c r="N4870" i="6"/>
  <c r="N4871" i="6"/>
  <c r="N4872" i="6"/>
  <c r="N4873" i="6"/>
  <c r="N4874" i="6"/>
  <c r="N4875" i="6"/>
  <c r="N4876" i="6"/>
  <c r="N4877" i="6"/>
  <c r="N4878" i="6"/>
  <c r="N4879" i="6"/>
  <c r="N4880" i="6"/>
  <c r="N4881" i="6"/>
  <c r="N4882" i="6"/>
  <c r="N4883" i="6"/>
  <c r="N4884" i="6"/>
  <c r="N4885" i="6"/>
  <c r="N4886" i="6"/>
  <c r="N4887" i="6"/>
  <c r="N4888" i="6"/>
  <c r="N4889" i="6"/>
  <c r="N4890" i="6"/>
  <c r="N4891" i="6"/>
  <c r="N4892" i="6"/>
  <c r="N4893" i="6"/>
  <c r="N4894" i="6"/>
  <c r="N4895" i="6"/>
  <c r="N4896" i="6"/>
  <c r="N4897" i="6"/>
  <c r="N4898" i="6"/>
  <c r="N4899" i="6"/>
  <c r="N4900" i="6"/>
  <c r="N4901" i="6"/>
  <c r="N4902" i="6"/>
  <c r="N4903" i="6"/>
  <c r="N4904" i="6"/>
  <c r="N4905" i="6"/>
  <c r="N4906" i="6"/>
  <c r="N4907" i="6"/>
  <c r="N4908" i="6"/>
  <c r="N4909" i="6"/>
  <c r="N4910" i="6"/>
  <c r="N4911" i="6"/>
  <c r="N4912" i="6"/>
  <c r="N4913" i="6"/>
  <c r="N4914" i="6"/>
  <c r="N4915" i="6"/>
  <c r="N4916" i="6"/>
  <c r="N4917" i="6"/>
  <c r="N4918" i="6"/>
  <c r="N4919" i="6"/>
  <c r="N4920" i="6"/>
  <c r="N4921" i="6"/>
  <c r="N4922" i="6"/>
  <c r="N4923" i="6"/>
  <c r="N4924" i="6"/>
  <c r="N4925" i="6"/>
  <c r="N4926" i="6"/>
  <c r="N4927" i="6"/>
  <c r="N4928" i="6"/>
  <c r="N4929" i="6"/>
  <c r="N4930" i="6"/>
  <c r="N4931" i="6"/>
  <c r="N4932" i="6"/>
  <c r="N4933" i="6"/>
  <c r="N4934" i="6"/>
  <c r="N4935" i="6"/>
  <c r="N4936" i="6"/>
  <c r="N4937" i="6"/>
  <c r="N4938" i="6"/>
  <c r="N4939" i="6"/>
  <c r="N4940" i="6"/>
  <c r="N4941" i="6"/>
  <c r="N4942" i="6"/>
  <c r="N4943" i="6"/>
  <c r="N4944" i="6"/>
  <c r="N4945" i="6"/>
  <c r="N4946" i="6"/>
  <c r="N4947" i="6"/>
  <c r="N4948" i="6"/>
  <c r="N4949" i="6"/>
  <c r="N4950" i="6"/>
  <c r="N4951" i="6"/>
  <c r="N4952" i="6"/>
  <c r="N4953" i="6"/>
  <c r="N4954" i="6"/>
  <c r="N4955" i="6"/>
  <c r="N4956" i="6"/>
  <c r="N4957" i="6"/>
  <c r="N4958" i="6"/>
  <c r="N4959" i="6"/>
  <c r="N4960" i="6"/>
  <c r="N4961" i="6"/>
  <c r="N4962" i="6"/>
  <c r="N4963" i="6"/>
  <c r="N4964" i="6"/>
  <c r="N4965" i="6"/>
  <c r="N4966" i="6"/>
  <c r="N4967" i="6"/>
  <c r="N4968" i="6"/>
  <c r="N4969" i="6"/>
  <c r="N4970" i="6"/>
  <c r="N4971" i="6"/>
  <c r="N4972" i="6"/>
  <c r="N4973" i="6"/>
  <c r="N4974" i="6"/>
  <c r="N4975" i="6"/>
  <c r="N4976" i="6"/>
  <c r="N4977" i="6"/>
  <c r="N4978" i="6"/>
  <c r="N4979" i="6"/>
  <c r="N4980" i="6"/>
  <c r="N4981" i="6"/>
  <c r="N4982" i="6"/>
  <c r="N4983" i="6"/>
  <c r="N4984" i="6"/>
  <c r="N4985" i="6"/>
  <c r="N4986" i="6"/>
  <c r="N4987" i="6"/>
  <c r="N4988" i="6"/>
  <c r="N4989" i="6"/>
  <c r="N4990" i="6"/>
  <c r="N4991" i="6"/>
  <c r="N4992" i="6"/>
  <c r="N4993" i="6"/>
  <c r="N4994" i="6"/>
  <c r="N4995" i="6"/>
  <c r="N4996" i="6"/>
  <c r="N4997" i="6"/>
  <c r="N4998" i="6"/>
  <c r="N4999" i="6"/>
  <c r="N5000" i="6"/>
  <c r="N5001" i="6"/>
  <c r="N2" i="6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2" i="1"/>
  <c r="AH2" i="3" l="1"/>
  <c r="AK69" i="3" s="1"/>
  <c r="K46" i="3"/>
  <c r="K25" i="3"/>
  <c r="T2" i="3"/>
  <c r="W5" i="3" s="1"/>
  <c r="K3" i="3"/>
  <c r="T2" i="1"/>
  <c r="U2" i="1"/>
  <c r="S2" i="1"/>
  <c r="V2" i="1"/>
  <c r="W2" i="1"/>
  <c r="T3" i="1"/>
  <c r="U3" i="1"/>
  <c r="S3" i="1"/>
  <c r="V3" i="1"/>
  <c r="W3" i="1"/>
  <c r="T4" i="1"/>
  <c r="U4" i="1"/>
  <c r="S4" i="1"/>
  <c r="V4" i="1"/>
  <c r="W4" i="1"/>
  <c r="T5" i="1"/>
  <c r="U5" i="1"/>
  <c r="S5" i="1"/>
  <c r="V5" i="1"/>
  <c r="W5" i="1"/>
  <c r="T6" i="1"/>
  <c r="U6" i="1"/>
  <c r="S6" i="1"/>
  <c r="V6" i="1"/>
  <c r="W6" i="1"/>
  <c r="T7" i="1"/>
  <c r="U7" i="1"/>
  <c r="S7" i="1"/>
  <c r="V7" i="1"/>
  <c r="W7" i="1"/>
  <c r="T1" i="1"/>
  <c r="U1" i="1"/>
  <c r="S1" i="1"/>
  <c r="V1" i="1"/>
  <c r="W1" i="1"/>
  <c r="W26" i="3" l="1"/>
  <c r="W25" i="3"/>
  <c r="W42" i="3"/>
  <c r="W19" i="3"/>
  <c r="W41" i="3"/>
  <c r="W18" i="3"/>
  <c r="W35" i="3"/>
  <c r="W10" i="3"/>
  <c r="W33" i="3"/>
  <c r="W4" i="3"/>
  <c r="W27" i="3"/>
  <c r="W3" i="3"/>
  <c r="W43" i="3"/>
  <c r="W34" i="3"/>
  <c r="W9" i="3"/>
  <c r="AK47" i="3"/>
  <c r="AK15" i="3"/>
  <c r="AK46" i="3"/>
  <c r="AK3" i="3"/>
  <c r="AK53" i="3"/>
  <c r="AK45" i="3"/>
  <c r="AK37" i="3"/>
  <c r="AK29" i="3"/>
  <c r="AK21" i="3"/>
  <c r="AK13" i="3"/>
  <c r="AK5" i="3"/>
  <c r="AK31" i="3"/>
  <c r="AK70" i="3"/>
  <c r="AK38" i="3"/>
  <c r="AK61" i="3"/>
  <c r="AK68" i="3"/>
  <c r="AK60" i="3"/>
  <c r="AK52" i="3"/>
  <c r="AK44" i="3"/>
  <c r="AK36" i="3"/>
  <c r="AK28" i="3"/>
  <c r="AK20" i="3"/>
  <c r="AK12" i="3"/>
  <c r="AK4" i="3"/>
  <c r="AK55" i="3"/>
  <c r="AK7" i="3"/>
  <c r="AK54" i="3"/>
  <c r="AK67" i="3"/>
  <c r="AK59" i="3"/>
  <c r="AK51" i="3"/>
  <c r="AK43" i="3"/>
  <c r="AK35" i="3"/>
  <c r="AK27" i="3"/>
  <c r="AK19" i="3"/>
  <c r="AK11" i="3"/>
  <c r="AK74" i="3"/>
  <c r="AK63" i="3"/>
  <c r="AK23" i="3"/>
  <c r="AK62" i="3"/>
  <c r="AK66" i="3"/>
  <c r="AK58" i="3"/>
  <c r="AK50" i="3"/>
  <c r="AK42" i="3"/>
  <c r="AK34" i="3"/>
  <c r="AK26" i="3"/>
  <c r="AK18" i="3"/>
  <c r="AK10" i="3"/>
  <c r="AK73" i="3"/>
  <c r="AK39" i="3"/>
  <c r="AK65" i="3"/>
  <c r="AK57" i="3"/>
  <c r="AK49" i="3"/>
  <c r="AK41" i="3"/>
  <c r="AK33" i="3"/>
  <c r="AK25" i="3"/>
  <c r="AK17" i="3"/>
  <c r="AK9" i="3"/>
  <c r="AK72" i="3"/>
  <c r="AK64" i="3"/>
  <c r="AK56" i="3"/>
  <c r="AK48" i="3"/>
  <c r="AK40" i="3"/>
  <c r="AK32" i="3"/>
  <c r="AK24" i="3"/>
  <c r="AK16" i="3"/>
  <c r="AK8" i="3"/>
  <c r="AK71" i="3"/>
  <c r="AK30" i="3"/>
  <c r="AK22" i="3"/>
  <c r="AK14" i="3"/>
  <c r="AK6" i="3"/>
  <c r="W37" i="3"/>
  <c r="W29" i="3"/>
  <c r="W21" i="3"/>
  <c r="W13" i="3"/>
  <c r="W36" i="3"/>
  <c r="W28" i="3"/>
  <c r="W20" i="3"/>
  <c r="W11" i="3"/>
  <c r="W24" i="3"/>
  <c r="W31" i="3"/>
  <c r="W23" i="3"/>
  <c r="W15" i="3"/>
  <c r="W17" i="3"/>
  <c r="W40" i="3"/>
  <c r="W32" i="3"/>
  <c r="W16" i="3"/>
  <c r="W39" i="3"/>
  <c r="W38" i="3"/>
  <c r="W30" i="3"/>
  <c r="W22" i="3"/>
  <c r="W14" i="3"/>
  <c r="W12" i="3"/>
  <c r="W8" i="3"/>
  <c r="W7" i="3"/>
  <c r="W6" i="3"/>
  <c r="J2" i="2"/>
  <c r="K1" i="2"/>
  <c r="J1" i="2"/>
</calcChain>
</file>

<file path=xl/sharedStrings.xml><?xml version="1.0" encoding="utf-8"?>
<sst xmlns="http://schemas.openxmlformats.org/spreadsheetml/2006/main" count="19901" uniqueCount="119">
  <si>
    <t>customer_id</t>
  </si>
  <si>
    <t>date</t>
  </si>
  <si>
    <t>age</t>
  </si>
  <si>
    <t>gender</t>
  </si>
  <si>
    <t>region</t>
  </si>
  <si>
    <t>traffic_source</t>
  </si>
  <si>
    <t>campaign</t>
  </si>
  <si>
    <t>time_on_site_s</t>
  </si>
  <si>
    <t>pages_visited</t>
  </si>
  <si>
    <t>converted</t>
  </si>
  <si>
    <t>purchase_amount</t>
  </si>
  <si>
    <t>num_items</t>
  </si>
  <si>
    <t>delivery_time_days</t>
  </si>
  <si>
    <t>satisfaction</t>
  </si>
  <si>
    <t>Male</t>
  </si>
  <si>
    <t>South</t>
  </si>
  <si>
    <t>Organic</t>
  </si>
  <si>
    <t>Female</t>
  </si>
  <si>
    <t>PaidAds</t>
  </si>
  <si>
    <t>CAMP3</t>
  </si>
  <si>
    <t>North</t>
  </si>
  <si>
    <t>Referral</t>
  </si>
  <si>
    <t>East</t>
  </si>
  <si>
    <t>Email</t>
  </si>
  <si>
    <t>West</t>
  </si>
  <si>
    <t>CAMP5</t>
  </si>
  <si>
    <t>CAMP2</t>
  </si>
  <si>
    <t>Other</t>
  </si>
  <si>
    <t>CAMP4</t>
  </si>
  <si>
    <t>CAMP6</t>
  </si>
  <si>
    <t>CAMP7</t>
  </si>
  <si>
    <t>CAMP1</t>
  </si>
  <si>
    <t>ID пользователя.</t>
  </si>
  <si>
    <t>целое число</t>
  </si>
  <si>
    <t>Date</t>
  </si>
  <si>
    <t>дата посещения сайта пользователем.</t>
  </si>
  <si>
    <t>дата (целое число)</t>
  </si>
  <si>
    <t>возраст пользователя.</t>
  </si>
  <si>
    <t>пол</t>
  </si>
  <si>
    <t xml:space="preserve">строка </t>
  </si>
  <si>
    <t>регион проживания пользователя</t>
  </si>
  <si>
    <t>источник трафика</t>
  </si>
  <si>
    <t>рекламная кампания</t>
  </si>
  <si>
    <t>сколько секунд клиент провёл на сайте.</t>
  </si>
  <si>
    <t>число (с точкой)</t>
  </si>
  <si>
    <t>число просмотренных страниц за визит.</t>
  </si>
  <si>
    <t>совершил клиент покупку или нет.</t>
  </si>
  <si>
    <t>бинарное</t>
  </si>
  <si>
    <t>сумма покупки</t>
  </si>
  <si>
    <t>сколько товаров куплено в заказе</t>
  </si>
  <si>
    <t>время доставки заказа (дни).</t>
  </si>
  <si>
    <t>оценка удовлетворённости клиента.</t>
  </si>
  <si>
    <t>Названия строк</t>
  </si>
  <si>
    <t xml:space="preserve">Переменная </t>
  </si>
  <si>
    <t>Описание</t>
  </si>
  <si>
    <t xml:space="preserve">Тип </t>
  </si>
  <si>
    <t>Дата</t>
  </si>
  <si>
    <t>Период</t>
  </si>
  <si>
    <t>Среднее количество заходов на сайт за день</t>
  </si>
  <si>
    <t>Заходы</t>
  </si>
  <si>
    <t>Дата-&gt;</t>
  </si>
  <si>
    <t>Медиана</t>
  </si>
  <si>
    <t>Дисперсия</t>
  </si>
  <si>
    <t>Коэффицент вариации</t>
  </si>
  <si>
    <t>Диапазон от:</t>
  </si>
  <si>
    <t>Диапазон до:</t>
  </si>
  <si>
    <t>Характериситка</t>
  </si>
  <si>
    <t>(пусто)</t>
  </si>
  <si>
    <t>Количество по полю satisfaction</t>
  </si>
  <si>
    <t>возраст пользователя</t>
  </si>
  <si>
    <t>Среднее</t>
  </si>
  <si>
    <t>Агрегация по 50 с</t>
  </si>
  <si>
    <t>Агрегация по 60 с</t>
  </si>
  <si>
    <t>Месяц</t>
  </si>
  <si>
    <t>Общий итог</t>
  </si>
  <si>
    <t>Сумма по полю purchase_amount</t>
  </si>
  <si>
    <t>Количество по полю purchase_amount</t>
  </si>
  <si>
    <t>январь</t>
  </si>
  <si>
    <t>февраль</t>
  </si>
  <si>
    <t>март</t>
  </si>
  <si>
    <t>апрель</t>
  </si>
  <si>
    <t>май</t>
  </si>
  <si>
    <t>июнь</t>
  </si>
  <si>
    <t>(несколько элементов)</t>
  </si>
  <si>
    <t>с покупкой</t>
  </si>
  <si>
    <t>без покупки</t>
  </si>
  <si>
    <t>сумма продажи</t>
  </si>
  <si>
    <t>Ранг</t>
  </si>
  <si>
    <t>Кампания</t>
  </si>
  <si>
    <t>Всего пользователей</t>
  </si>
  <si>
    <t xml:space="preserve">Покупатели </t>
  </si>
  <si>
    <t>Конверсия, %</t>
  </si>
  <si>
    <t>Ср. чек покупателей</t>
  </si>
  <si>
    <t>Cр.чек посетителей</t>
  </si>
  <si>
    <t>Общая выручка</t>
  </si>
  <si>
    <t>Индекс эффективности</t>
  </si>
  <si>
    <t>вав</t>
  </si>
  <si>
    <t>campaign_n</t>
  </si>
  <si>
    <t>Итого</t>
  </si>
  <si>
    <t>Трафик</t>
  </si>
  <si>
    <t xml:space="preserve">Все рекламные кампании нацелены на трафик </t>
  </si>
  <si>
    <t>Мужчины</t>
  </si>
  <si>
    <t>Женщины</t>
  </si>
  <si>
    <t>количество</t>
  </si>
  <si>
    <t>конверсия</t>
  </si>
  <si>
    <t>средний чек (покупатели)</t>
  </si>
  <si>
    <t>время на сайте</t>
  </si>
  <si>
    <t>средний чек (посетители)</t>
  </si>
  <si>
    <t>срреднее количество купленных позиций</t>
  </si>
  <si>
    <t>Таблица сопряженности оценка удовлетворённости клиента. * Месяц</t>
  </si>
  <si>
    <t>Частота</t>
  </si>
  <si>
    <t/>
  </si>
  <si>
    <t>2</t>
  </si>
  <si>
    <t>3</t>
  </si>
  <si>
    <t>4</t>
  </si>
  <si>
    <t>5</t>
  </si>
  <si>
    <t>NPS</t>
  </si>
  <si>
    <t>купили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</si>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</sst>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.000000"/>
    <numFmt numFmtId="166" formatCode="0.0000"/>
    <numFmt numFmtId="179" formatCode="###0"/>
    <numFmt numFmtId="180" formatCode="0.0%"/>
  </numFmts>
  <fonts count="2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color indexed="8"/>
      <name val="Arial Bold"/>
    </font>
    <font>
      <sz val="12"/>
      <color indexed="8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</cellStyleXfs>
  <cellXfs count="63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33" borderId="10" xfId="0" applyFill="1" applyBorder="1"/>
    <xf numFmtId="0" fontId="0" fillId="0" borderId="10" xfId="0" applyBorder="1"/>
    <xf numFmtId="0" fontId="0" fillId="34" borderId="0" xfId="0" applyFill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35" borderId="0" xfId="0" applyFill="1"/>
    <xf numFmtId="166" fontId="0" fillId="0" borderId="0" xfId="0" applyNumberFormat="1" applyAlignment="1">
      <alignment horizontal="left"/>
    </xf>
    <xf numFmtId="1" fontId="0" fillId="0" borderId="0" xfId="0" applyNumberFormat="1"/>
    <xf numFmtId="0" fontId="0" fillId="35" borderId="10" xfId="0" applyFill="1" applyBorder="1"/>
    <xf numFmtId="0" fontId="0" fillId="0" borderId="10" xfId="0" applyBorder="1" applyAlignment="1">
      <alignment horizontal="left"/>
    </xf>
    <xf numFmtId="166" fontId="0" fillId="0" borderId="10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center" vertical="top"/>
    </xf>
    <xf numFmtId="0" fontId="18" fillId="0" borderId="0" xfId="43"/>
    <xf numFmtId="2" fontId="0" fillId="0" borderId="0" xfId="0" applyNumberFormat="1"/>
    <xf numFmtId="9" fontId="0" fillId="0" borderId="0" xfId="42" applyFont="1"/>
    <xf numFmtId="9" fontId="16" fillId="0" borderId="0" xfId="42" applyFont="1"/>
    <xf numFmtId="0" fontId="0" fillId="36" borderId="0" xfId="0" applyFill="1"/>
    <xf numFmtId="0" fontId="0" fillId="36" borderId="13" xfId="0" applyFill="1" applyBorder="1" applyAlignment="1">
      <alignment horizontal="center" vertical="top"/>
    </xf>
    <xf numFmtId="0" fontId="0" fillId="36" borderId="10" xfId="0" applyFill="1" applyBorder="1" applyAlignment="1">
      <alignment horizontal="center" vertical="top"/>
    </xf>
    <xf numFmtId="0" fontId="0" fillId="36" borderId="14" xfId="0" applyFill="1" applyBorder="1" applyAlignment="1">
      <alignment horizontal="center" vertical="top"/>
    </xf>
    <xf numFmtId="0" fontId="0" fillId="36" borderId="10" xfId="0" applyFill="1" applyBorder="1" applyAlignment="1">
      <alignment vertical="top"/>
    </xf>
    <xf numFmtId="0" fontId="0" fillId="36" borderId="10" xfId="0" applyFill="1" applyBorder="1" applyAlignment="1">
      <alignment vertical="top" wrapText="1"/>
    </xf>
    <xf numFmtId="2" fontId="0" fillId="36" borderId="10" xfId="0" applyNumberFormat="1" applyFill="1" applyBorder="1" applyAlignment="1">
      <alignment horizontal="center" vertical="top"/>
    </xf>
    <xf numFmtId="0" fontId="19" fillId="36" borderId="0" xfId="44" applyFont="1" applyFill="1" applyBorder="1" applyAlignment="1">
      <alignment horizontal="center" vertical="center" wrapText="1"/>
    </xf>
    <xf numFmtId="0" fontId="20" fillId="36" borderId="0" xfId="44" applyFont="1" applyFill="1"/>
    <xf numFmtId="0" fontId="18" fillId="36" borderId="0" xfId="44" applyFill="1"/>
    <xf numFmtId="0" fontId="20" fillId="36" borderId="15" xfId="44" applyFont="1" applyFill="1" applyBorder="1" applyAlignment="1">
      <alignment horizontal="left" wrapText="1"/>
    </xf>
    <xf numFmtId="0" fontId="20" fillId="36" borderId="16" xfId="44" applyFont="1" applyFill="1" applyBorder="1" applyAlignment="1">
      <alignment horizontal="left" wrapText="1"/>
    </xf>
    <xf numFmtId="0" fontId="20" fillId="36" borderId="17" xfId="44" applyFont="1" applyFill="1" applyBorder="1" applyAlignment="1">
      <alignment horizontal="center" wrapText="1"/>
    </xf>
    <xf numFmtId="0" fontId="20" fillId="36" borderId="18" xfId="44" applyFont="1" applyFill="1" applyBorder="1" applyAlignment="1">
      <alignment horizontal="center" wrapText="1"/>
    </xf>
    <xf numFmtId="0" fontId="20" fillId="36" borderId="19" xfId="44" applyFont="1" applyFill="1" applyBorder="1" applyAlignment="1">
      <alignment horizontal="center" wrapText="1"/>
    </xf>
    <xf numFmtId="0" fontId="20" fillId="36" borderId="20" xfId="44" applyFont="1" applyFill="1" applyBorder="1" applyAlignment="1">
      <alignment horizontal="left" wrapText="1"/>
    </xf>
    <xf numFmtId="0" fontId="20" fillId="36" borderId="21" xfId="44" applyFont="1" applyFill="1" applyBorder="1" applyAlignment="1">
      <alignment horizontal="left" wrapText="1"/>
    </xf>
    <xf numFmtId="0" fontId="20" fillId="36" borderId="22" xfId="44" applyFont="1" applyFill="1" applyBorder="1" applyAlignment="1">
      <alignment horizontal="center" wrapText="1"/>
    </xf>
    <xf numFmtId="0" fontId="20" fillId="36" borderId="23" xfId="44" applyFont="1" applyFill="1" applyBorder="1" applyAlignment="1">
      <alignment horizontal="center" wrapText="1"/>
    </xf>
    <xf numFmtId="0" fontId="20" fillId="36" borderId="24" xfId="44" applyFont="1" applyFill="1" applyBorder="1" applyAlignment="1">
      <alignment horizontal="center" wrapText="1"/>
    </xf>
    <xf numFmtId="0" fontId="20" fillId="36" borderId="15" xfId="44" applyFont="1" applyFill="1" applyBorder="1" applyAlignment="1">
      <alignment horizontal="left" vertical="top" wrapText="1"/>
    </xf>
    <xf numFmtId="0" fontId="20" fillId="36" borderId="16" xfId="44" applyFont="1" applyFill="1" applyBorder="1" applyAlignment="1">
      <alignment horizontal="left" vertical="top"/>
    </xf>
    <xf numFmtId="179" fontId="20" fillId="36" borderId="11" xfId="44" applyNumberFormat="1" applyFont="1" applyFill="1" applyBorder="1" applyAlignment="1">
      <alignment horizontal="right" vertical="top"/>
    </xf>
    <xf numFmtId="179" fontId="20" fillId="36" borderId="25" xfId="44" applyNumberFormat="1" applyFont="1" applyFill="1" applyBorder="1" applyAlignment="1">
      <alignment horizontal="right" vertical="top"/>
    </xf>
    <xf numFmtId="179" fontId="20" fillId="36" borderId="26" xfId="44" applyNumberFormat="1" applyFont="1" applyFill="1" applyBorder="1" applyAlignment="1">
      <alignment horizontal="right" vertical="top"/>
    </xf>
    <xf numFmtId="0" fontId="20" fillId="36" borderId="27" xfId="44" applyFont="1" applyFill="1" applyBorder="1" applyAlignment="1">
      <alignment horizontal="left" vertical="top" wrapText="1"/>
    </xf>
    <xf numFmtId="0" fontId="20" fillId="36" borderId="28" xfId="44" applyFont="1" applyFill="1" applyBorder="1" applyAlignment="1">
      <alignment horizontal="left" vertical="top"/>
    </xf>
    <xf numFmtId="179" fontId="20" fillId="36" borderId="12" xfId="44" applyNumberFormat="1" applyFont="1" applyFill="1" applyBorder="1" applyAlignment="1">
      <alignment horizontal="right" vertical="top"/>
    </xf>
    <xf numFmtId="179" fontId="20" fillId="36" borderId="29" xfId="44" applyNumberFormat="1" applyFont="1" applyFill="1" applyBorder="1" applyAlignment="1">
      <alignment horizontal="right" vertical="top"/>
    </xf>
    <xf numFmtId="179" fontId="20" fillId="36" borderId="30" xfId="44" applyNumberFormat="1" applyFont="1" applyFill="1" applyBorder="1" applyAlignment="1">
      <alignment horizontal="right" vertical="top"/>
    </xf>
    <xf numFmtId="0" fontId="20" fillId="36" borderId="20" xfId="44" applyFont="1" applyFill="1" applyBorder="1" applyAlignment="1">
      <alignment horizontal="left" vertical="top" wrapText="1"/>
    </xf>
    <xf numFmtId="0" fontId="20" fillId="36" borderId="21" xfId="44" applyFont="1" applyFill="1" applyBorder="1" applyAlignment="1">
      <alignment horizontal="left" vertical="top" wrapText="1"/>
    </xf>
    <xf numFmtId="179" fontId="20" fillId="36" borderId="31" xfId="44" applyNumberFormat="1" applyFont="1" applyFill="1" applyBorder="1" applyAlignment="1">
      <alignment horizontal="right" vertical="top"/>
    </xf>
    <xf numFmtId="179" fontId="20" fillId="36" borderId="32" xfId="44" applyNumberFormat="1" applyFont="1" applyFill="1" applyBorder="1" applyAlignment="1">
      <alignment horizontal="right" vertical="top"/>
    </xf>
    <xf numFmtId="179" fontId="20" fillId="36" borderId="33" xfId="44" applyNumberFormat="1" applyFont="1" applyFill="1" applyBorder="1" applyAlignment="1">
      <alignment horizontal="right" vertical="top"/>
    </xf>
    <xf numFmtId="0" fontId="20" fillId="36" borderId="0" xfId="44" applyFont="1" applyFill="1" applyBorder="1" applyAlignment="1">
      <alignment horizontal="left" vertical="top"/>
    </xf>
    <xf numFmtId="180" fontId="20" fillId="36" borderId="0" xfId="42" applyNumberFormat="1" applyFont="1" applyFill="1" applyBorder="1" applyAlignment="1">
      <alignment horizontal="right" vertical="top"/>
    </xf>
    <xf numFmtId="10" fontId="0" fillId="0" borderId="0" xfId="42" applyNumberFormat="1" applyFont="1"/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_Гендер" xfId="44"/>
    <cellStyle name="Обычный_Трафик" xfId="43"/>
    <cellStyle name="Плохой" xfId="7" builtinId="27" customBuiltin="1"/>
    <cellStyle name="Пояснение" xfId="16" builtinId="53" customBuiltin="1"/>
    <cellStyle name="Примечание" xfId="15" builtinId="10" customBuiltin="1"/>
    <cellStyle name="Процентный" xfId="42" builtinId="5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месяцам</a:t>
            </a:r>
          </a:p>
        </c:rich>
      </c:tx>
      <c:layout>
        <c:manualLayout>
          <c:xMode val="edge"/>
          <c:yMode val="edge"/>
          <c:x val="4.1028543307086607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8645833333333332E-2"/>
          <c:y val="0.17171296296296296"/>
          <c:w val="0.94270833333333337"/>
          <c:h val="0.744035797608632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Лист2!$G$3</c:f>
              <c:strCache>
                <c:ptCount val="1"/>
                <c:pt idx="0">
                  <c:v>с покупкой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Лист2!$F$4:$F$9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Лист2!$G$4:$G$9</c:f>
              <c:numCache>
                <c:formatCode>General</c:formatCode>
                <c:ptCount val="6"/>
                <c:pt idx="0">
                  <c:v>325</c:v>
                </c:pt>
                <c:pt idx="1">
                  <c:v>281</c:v>
                </c:pt>
                <c:pt idx="2">
                  <c:v>316</c:v>
                </c:pt>
                <c:pt idx="3">
                  <c:v>304</c:v>
                </c:pt>
                <c:pt idx="4">
                  <c:v>316</c:v>
                </c:pt>
                <c:pt idx="5">
                  <c:v>278</c:v>
                </c:pt>
              </c:numCache>
            </c:numRef>
          </c:val>
        </c:ser>
        <c:ser>
          <c:idx val="1"/>
          <c:order val="1"/>
          <c:tx>
            <c:strRef>
              <c:f>Лист2!$H$3</c:f>
              <c:strCache>
                <c:ptCount val="1"/>
                <c:pt idx="0">
                  <c:v>без покупки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Лист2!$F$4:$F$9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Лист2!$H$4:$H$9</c:f>
              <c:numCache>
                <c:formatCode>General</c:formatCode>
                <c:ptCount val="6"/>
                <c:pt idx="0">
                  <c:v>569</c:v>
                </c:pt>
                <c:pt idx="1">
                  <c:v>483</c:v>
                </c:pt>
                <c:pt idx="2">
                  <c:v>526</c:v>
                </c:pt>
                <c:pt idx="3">
                  <c:v>546</c:v>
                </c:pt>
                <c:pt idx="4">
                  <c:v>550</c:v>
                </c:pt>
                <c:pt idx="5">
                  <c:v>506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20745904"/>
        <c:axId val="-1520743184"/>
      </c:barChart>
      <c:catAx>
        <c:axId val="-152074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20743184"/>
        <c:crosses val="autoZero"/>
        <c:auto val="1"/>
        <c:lblAlgn val="ctr"/>
        <c:lblOffset val="100"/>
        <c:noMultiLvlLbl val="0"/>
      </c:catAx>
      <c:valAx>
        <c:axId val="-15207431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52074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153686843832016"/>
          <c:y val="2.8355934674832269E-2"/>
          <c:w val="0.3383845964566929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месяцам</a:t>
            </a:r>
          </a:p>
        </c:rich>
      </c:tx>
      <c:layout>
        <c:manualLayout>
          <c:xMode val="edge"/>
          <c:yMode val="edge"/>
          <c:x val="4.1028543307086607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8645833333333332E-2"/>
          <c:y val="0.17171296296296296"/>
          <c:w val="0.94270833333333337"/>
          <c:h val="0.744035797608632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Лист2!$G$3</c:f>
              <c:strCache>
                <c:ptCount val="1"/>
                <c:pt idx="0">
                  <c:v>с покупкой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Лист2!$F$12:$F$17</c:f>
              <c:strCache>
                <c:ptCount val="6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</c:strCache>
            </c:strRef>
          </c:cat>
          <c:val>
            <c:numRef>
              <c:f>Лист2!$G$12:$G$17</c:f>
              <c:numCache>
                <c:formatCode>0</c:formatCode>
                <c:ptCount val="6"/>
                <c:pt idx="0">
                  <c:v>33009.179999999993</c:v>
                </c:pt>
                <c:pt idx="1">
                  <c:v>26399.060000000005</c:v>
                </c:pt>
                <c:pt idx="2">
                  <c:v>28658.520000000008</c:v>
                </c:pt>
                <c:pt idx="3">
                  <c:v>28792.179999999986</c:v>
                </c:pt>
                <c:pt idx="4">
                  <c:v>30222.999999999989</c:v>
                </c:pt>
                <c:pt idx="5">
                  <c:v>27556.910000000011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333353312"/>
        <c:axId val="-1333352224"/>
      </c:barChart>
      <c:catAx>
        <c:axId val="-133335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333352224"/>
        <c:crosses val="autoZero"/>
        <c:auto val="1"/>
        <c:lblAlgn val="ctr"/>
        <c:lblOffset val="100"/>
        <c:noMultiLvlLbl val="0"/>
      </c:catAx>
      <c:valAx>
        <c:axId val="-133335222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-133335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153686843832016"/>
          <c:y val="2.8355934674832269E-2"/>
          <c:w val="0.33838459645669294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'Сводная таблица для А'!$K$3</c:f>
          <c:strCache>
            <c:ptCount val="1"/>
            <c:pt idx="0">
              <c:v>число просмотренных страниц за визит.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404226815398075"/>
          <c:y val="0.35673771756163941"/>
          <c:w val="0.82151328740157481"/>
          <c:h val="0.5933514440246999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'Сводная таблица для А'!$K$4:$K$20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</c:numCache>
            </c:numRef>
          </c:xVal>
          <c:yVal>
            <c:numRef>
              <c:f>'Сводная таблица для А'!$L$4:$L$20</c:f>
              <c:numCache>
                <c:formatCode>General</c:formatCode>
                <c:ptCount val="17"/>
                <c:pt idx="0">
                  <c:v>45</c:v>
                </c:pt>
                <c:pt idx="1">
                  <c:v>332</c:v>
                </c:pt>
                <c:pt idx="2">
                  <c:v>1338</c:v>
                </c:pt>
                <c:pt idx="3">
                  <c:v>2668</c:v>
                </c:pt>
                <c:pt idx="4">
                  <c:v>4290</c:v>
                </c:pt>
                <c:pt idx="5">
                  <c:v>5406</c:v>
                </c:pt>
                <c:pt idx="6">
                  <c:v>5152</c:v>
                </c:pt>
                <c:pt idx="7">
                  <c:v>4304</c:v>
                </c:pt>
                <c:pt idx="8">
                  <c:v>2709</c:v>
                </c:pt>
                <c:pt idx="9">
                  <c:v>1910</c:v>
                </c:pt>
                <c:pt idx="10">
                  <c:v>781</c:v>
                </c:pt>
                <c:pt idx="11">
                  <c:v>636</c:v>
                </c:pt>
                <c:pt idx="12">
                  <c:v>221</c:v>
                </c:pt>
                <c:pt idx="13">
                  <c:v>56</c:v>
                </c:pt>
                <c:pt idx="14">
                  <c:v>60</c:v>
                </c:pt>
                <c:pt idx="15">
                  <c:v>16</c:v>
                </c:pt>
                <c:pt idx="16">
                  <c:v>18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214-45B5-8636-BE3461B68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51409872"/>
        <c:axId val="-1751410416"/>
      </c:scatterChart>
      <c:valAx>
        <c:axId val="-175140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751410416"/>
        <c:crosses val="autoZero"/>
        <c:crossBetween val="midCat"/>
      </c:valAx>
      <c:valAx>
        <c:axId val="-175141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75140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'Сводная таблица для А'!$T$2</c:f>
          <c:strCache>
            <c:ptCount val="1"/>
            <c:pt idx="0">
              <c:v>сколько секунд клиент провёл на сайте.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'Сводная таблица для А'!$V$3:$V$48</c:f>
              <c:numCache>
                <c:formatCode>General</c:formatCode>
                <c:ptCount val="46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</c:numCache>
            </c:numRef>
          </c:xVal>
          <c:yVal>
            <c:numRef>
              <c:f>'Сводная таблица для А'!$W$3:$W$48</c:f>
              <c:numCache>
                <c:formatCode>General</c:formatCode>
                <c:ptCount val="46"/>
                <c:pt idx="0">
                  <c:v>174</c:v>
                </c:pt>
                <c:pt idx="1">
                  <c:v>539</c:v>
                </c:pt>
                <c:pt idx="2">
                  <c:v>620</c:v>
                </c:pt>
                <c:pt idx="3">
                  <c:v>579</c:v>
                </c:pt>
                <c:pt idx="4">
                  <c:v>533</c:v>
                </c:pt>
                <c:pt idx="5">
                  <c:v>537</c:v>
                </c:pt>
                <c:pt idx="6">
                  <c:v>375</c:v>
                </c:pt>
                <c:pt idx="7">
                  <c:v>358</c:v>
                </c:pt>
                <c:pt idx="8">
                  <c:v>298</c:v>
                </c:pt>
                <c:pt idx="9">
                  <c:v>217</c:v>
                </c:pt>
                <c:pt idx="10">
                  <c:v>183</c:v>
                </c:pt>
                <c:pt idx="11">
                  <c:v>123</c:v>
                </c:pt>
                <c:pt idx="12">
                  <c:v>101</c:v>
                </c:pt>
                <c:pt idx="13">
                  <c:v>78</c:v>
                </c:pt>
                <c:pt idx="14">
                  <c:v>74</c:v>
                </c:pt>
                <c:pt idx="15">
                  <c:v>58</c:v>
                </c:pt>
                <c:pt idx="16">
                  <c:v>43</c:v>
                </c:pt>
                <c:pt idx="17">
                  <c:v>20</c:v>
                </c:pt>
                <c:pt idx="18">
                  <c:v>19</c:v>
                </c:pt>
                <c:pt idx="19">
                  <c:v>17</c:v>
                </c:pt>
                <c:pt idx="20">
                  <c:v>10</c:v>
                </c:pt>
                <c:pt idx="21">
                  <c:v>13</c:v>
                </c:pt>
                <c:pt idx="22">
                  <c:v>12</c:v>
                </c:pt>
                <c:pt idx="23">
                  <c:v>4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7AA-4067-8474-564269DD1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17793664"/>
        <c:axId val="-1517792032"/>
      </c:scatterChart>
      <c:valAx>
        <c:axId val="-1517793664"/>
        <c:scaling>
          <c:orientation val="minMax"/>
          <c:max val="25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92032"/>
        <c:crosses val="autoZero"/>
        <c:crossBetween val="midCat"/>
      </c:valAx>
      <c:valAx>
        <c:axId val="-151779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9366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'Сводная таблица для А'!$K$25</c:f>
          <c:strCache>
            <c:ptCount val="1"/>
            <c:pt idx="0">
              <c:v>время доставки заказа (дни).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404226815398075"/>
          <c:y val="0.35673771756163941"/>
          <c:w val="0.82151328740157481"/>
          <c:h val="0.593351444024699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'Сводная таблица для А'!$K$26:$K$41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'Сводная таблица для А'!$L$26:$L$41</c:f>
              <c:numCache>
                <c:formatCode>General</c:formatCode>
                <c:ptCount val="16"/>
                <c:pt idx="0">
                  <c:v>3180</c:v>
                </c:pt>
                <c:pt idx="1">
                  <c:v>105</c:v>
                </c:pt>
                <c:pt idx="2">
                  <c:v>133</c:v>
                </c:pt>
                <c:pt idx="3">
                  <c:v>123</c:v>
                </c:pt>
                <c:pt idx="4">
                  <c:v>127</c:v>
                </c:pt>
                <c:pt idx="5">
                  <c:v>124</c:v>
                </c:pt>
                <c:pt idx="6">
                  <c:v>137</c:v>
                </c:pt>
                <c:pt idx="7">
                  <c:v>122</c:v>
                </c:pt>
                <c:pt idx="8">
                  <c:v>113</c:v>
                </c:pt>
                <c:pt idx="9">
                  <c:v>138</c:v>
                </c:pt>
                <c:pt idx="10">
                  <c:v>121</c:v>
                </c:pt>
                <c:pt idx="11">
                  <c:v>125</c:v>
                </c:pt>
                <c:pt idx="12">
                  <c:v>116</c:v>
                </c:pt>
                <c:pt idx="13">
                  <c:v>112</c:v>
                </c:pt>
                <c:pt idx="14">
                  <c:v>124</c:v>
                </c:pt>
                <c:pt idx="15">
                  <c:v>100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919-4C84-8494-59C8D54A7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17791488"/>
        <c:axId val="-1517795296"/>
      </c:scatterChart>
      <c:valAx>
        <c:axId val="-1517791488"/>
        <c:scaling>
          <c:orientation val="minMax"/>
          <c:max val="15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95296"/>
        <c:crosses val="autoZero"/>
        <c:crossBetween val="midCat"/>
      </c:valAx>
      <c:valAx>
        <c:axId val="-1517795296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9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'Сводная таблица для А'!$K$46</c:f>
          <c:strCache>
            <c:ptCount val="1"/>
            <c:pt idx="0">
              <c:v>оценка удовлетворённости клиента.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404226815398075"/>
          <c:y val="0.35673771756163941"/>
          <c:w val="0.82151328740157481"/>
          <c:h val="0.5933514440246999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'Сводная таблица для А'!$K$47:$K$50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'Сводная таблица для А'!$L$47:$L$50</c:f>
              <c:numCache>
                <c:formatCode>General</c:formatCode>
                <c:ptCount val="4"/>
                <c:pt idx="0">
                  <c:v>5</c:v>
                </c:pt>
                <c:pt idx="1">
                  <c:v>284</c:v>
                </c:pt>
                <c:pt idx="2">
                  <c:v>1064</c:v>
                </c:pt>
                <c:pt idx="3">
                  <c:v>467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B03-4411-A3A2-B3557B9E0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17789312"/>
        <c:axId val="-1517790944"/>
      </c:scatterChart>
      <c:valAx>
        <c:axId val="-1517789312"/>
        <c:scaling>
          <c:orientation val="minMax"/>
          <c:max val="6"/>
          <c:min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90944"/>
        <c:crosses val="autoZero"/>
        <c:crossBetween val="midCat"/>
      </c:valAx>
      <c:valAx>
        <c:axId val="-151779094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8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'Сводная таблица для А'!$AH$2</c:f>
          <c:strCache>
            <c:ptCount val="1"/>
            <c:pt idx="0">
              <c:v>сумма покупки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'Сводная таблица для А'!$AJ$3:$AJ$48</c:f>
              <c:numCache>
                <c:formatCode>General</c:formatCode>
                <c:ptCount val="4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</c:numCache>
            </c:numRef>
          </c:xVal>
          <c:yVal>
            <c:numRef>
              <c:f>'Сводная таблица для А'!$AK$3:$AK$48</c:f>
              <c:numCache>
                <c:formatCode>General</c:formatCode>
                <c:ptCount val="46"/>
                <c:pt idx="0">
                  <c:v>3363</c:v>
                </c:pt>
                <c:pt idx="1">
                  <c:v>465</c:v>
                </c:pt>
                <c:pt idx="2">
                  <c:v>375</c:v>
                </c:pt>
                <c:pt idx="3">
                  <c:v>218</c:v>
                </c:pt>
                <c:pt idx="4">
                  <c:v>112</c:v>
                </c:pt>
                <c:pt idx="5">
                  <c:v>96</c:v>
                </c:pt>
                <c:pt idx="6">
                  <c:v>49</c:v>
                </c:pt>
                <c:pt idx="7">
                  <c:v>53</c:v>
                </c:pt>
                <c:pt idx="8">
                  <c:v>38</c:v>
                </c:pt>
                <c:pt idx="9">
                  <c:v>27</c:v>
                </c:pt>
                <c:pt idx="10">
                  <c:v>19</c:v>
                </c:pt>
                <c:pt idx="11">
                  <c:v>15</c:v>
                </c:pt>
                <c:pt idx="12">
                  <c:v>11</c:v>
                </c:pt>
                <c:pt idx="13">
                  <c:v>13</c:v>
                </c:pt>
                <c:pt idx="14">
                  <c:v>9</c:v>
                </c:pt>
                <c:pt idx="15">
                  <c:v>14</c:v>
                </c:pt>
                <c:pt idx="16">
                  <c:v>11</c:v>
                </c:pt>
                <c:pt idx="17">
                  <c:v>12</c:v>
                </c:pt>
                <c:pt idx="18">
                  <c:v>9</c:v>
                </c:pt>
                <c:pt idx="19">
                  <c:v>9</c:v>
                </c:pt>
                <c:pt idx="20">
                  <c:v>8</c:v>
                </c:pt>
                <c:pt idx="21">
                  <c:v>18</c:v>
                </c:pt>
                <c:pt idx="22">
                  <c:v>10</c:v>
                </c:pt>
                <c:pt idx="23">
                  <c:v>3</c:v>
                </c:pt>
                <c:pt idx="24">
                  <c:v>9</c:v>
                </c:pt>
                <c:pt idx="25">
                  <c:v>9</c:v>
                </c:pt>
                <c:pt idx="26">
                  <c:v>6</c:v>
                </c:pt>
                <c:pt idx="27">
                  <c:v>9</c:v>
                </c:pt>
                <c:pt idx="28">
                  <c:v>2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46AB-4689-A47D-3D5EF4932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17782240"/>
        <c:axId val="-1517790400"/>
      </c:scatterChart>
      <c:valAx>
        <c:axId val="-1517782240"/>
        <c:scaling>
          <c:orientation val="minMax"/>
          <c:max val="140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90400"/>
        <c:crosses val="autoZero"/>
        <c:crossBetween val="midCat"/>
      </c:valAx>
      <c:valAx>
        <c:axId val="-1517790400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82240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'Таблицы и визуализация для А'!$G$1</c:f>
              <c:strCache>
                <c:ptCount val="1"/>
                <c:pt idx="0">
                  <c:v>Заходы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'Таблицы и визуализация для А'!$F$2:$F$181</c:f>
              <c:numCache>
                <c:formatCode>m/d/yyyy</c:formatCode>
                <c:ptCount val="180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</c:numCache>
            </c:numRef>
          </c:xVal>
          <c:yVal>
            <c:numRef>
              <c:f>'Таблицы и визуализация для А'!$G$2:$G$181</c:f>
              <c:numCache>
                <c:formatCode>General</c:formatCode>
                <c:ptCount val="180"/>
                <c:pt idx="0">
                  <c:v>23</c:v>
                </c:pt>
                <c:pt idx="1">
                  <c:v>29</c:v>
                </c:pt>
                <c:pt idx="2">
                  <c:v>31</c:v>
                </c:pt>
                <c:pt idx="3">
                  <c:v>26</c:v>
                </c:pt>
                <c:pt idx="4">
                  <c:v>33</c:v>
                </c:pt>
                <c:pt idx="5">
                  <c:v>24</c:v>
                </c:pt>
                <c:pt idx="6">
                  <c:v>22</c:v>
                </c:pt>
                <c:pt idx="7">
                  <c:v>38</c:v>
                </c:pt>
                <c:pt idx="8">
                  <c:v>23</c:v>
                </c:pt>
                <c:pt idx="9">
                  <c:v>30</c:v>
                </c:pt>
                <c:pt idx="10">
                  <c:v>32</c:v>
                </c:pt>
                <c:pt idx="11">
                  <c:v>34</c:v>
                </c:pt>
                <c:pt idx="12">
                  <c:v>41</c:v>
                </c:pt>
                <c:pt idx="13">
                  <c:v>31</c:v>
                </c:pt>
                <c:pt idx="14">
                  <c:v>32</c:v>
                </c:pt>
                <c:pt idx="15">
                  <c:v>32</c:v>
                </c:pt>
                <c:pt idx="16">
                  <c:v>24</c:v>
                </c:pt>
                <c:pt idx="17">
                  <c:v>20</c:v>
                </c:pt>
                <c:pt idx="18">
                  <c:v>32</c:v>
                </c:pt>
                <c:pt idx="19">
                  <c:v>25</c:v>
                </c:pt>
                <c:pt idx="20">
                  <c:v>25</c:v>
                </c:pt>
                <c:pt idx="21">
                  <c:v>36</c:v>
                </c:pt>
                <c:pt idx="22">
                  <c:v>25</c:v>
                </c:pt>
                <c:pt idx="23">
                  <c:v>30</c:v>
                </c:pt>
                <c:pt idx="24">
                  <c:v>23</c:v>
                </c:pt>
                <c:pt idx="25">
                  <c:v>34</c:v>
                </c:pt>
                <c:pt idx="26">
                  <c:v>20</c:v>
                </c:pt>
                <c:pt idx="27">
                  <c:v>30</c:v>
                </c:pt>
                <c:pt idx="28">
                  <c:v>27</c:v>
                </c:pt>
                <c:pt idx="29">
                  <c:v>33</c:v>
                </c:pt>
                <c:pt idx="30">
                  <c:v>29</c:v>
                </c:pt>
                <c:pt idx="31">
                  <c:v>30</c:v>
                </c:pt>
                <c:pt idx="32">
                  <c:v>28</c:v>
                </c:pt>
                <c:pt idx="33">
                  <c:v>33</c:v>
                </c:pt>
                <c:pt idx="34">
                  <c:v>14</c:v>
                </c:pt>
                <c:pt idx="35">
                  <c:v>30</c:v>
                </c:pt>
                <c:pt idx="36">
                  <c:v>29</c:v>
                </c:pt>
                <c:pt idx="37">
                  <c:v>27</c:v>
                </c:pt>
                <c:pt idx="38">
                  <c:v>24</c:v>
                </c:pt>
                <c:pt idx="39">
                  <c:v>28</c:v>
                </c:pt>
                <c:pt idx="40">
                  <c:v>25</c:v>
                </c:pt>
                <c:pt idx="41">
                  <c:v>31</c:v>
                </c:pt>
                <c:pt idx="42">
                  <c:v>26</c:v>
                </c:pt>
                <c:pt idx="43">
                  <c:v>32</c:v>
                </c:pt>
                <c:pt idx="44">
                  <c:v>32</c:v>
                </c:pt>
                <c:pt idx="45">
                  <c:v>23</c:v>
                </c:pt>
                <c:pt idx="46">
                  <c:v>33</c:v>
                </c:pt>
                <c:pt idx="47">
                  <c:v>16</c:v>
                </c:pt>
                <c:pt idx="48">
                  <c:v>34</c:v>
                </c:pt>
                <c:pt idx="49">
                  <c:v>30</c:v>
                </c:pt>
                <c:pt idx="50">
                  <c:v>27</c:v>
                </c:pt>
                <c:pt idx="51">
                  <c:v>28</c:v>
                </c:pt>
                <c:pt idx="52">
                  <c:v>23</c:v>
                </c:pt>
                <c:pt idx="53">
                  <c:v>34</c:v>
                </c:pt>
                <c:pt idx="54">
                  <c:v>23</c:v>
                </c:pt>
                <c:pt idx="55">
                  <c:v>23</c:v>
                </c:pt>
                <c:pt idx="56">
                  <c:v>31</c:v>
                </c:pt>
                <c:pt idx="57">
                  <c:v>20</c:v>
                </c:pt>
                <c:pt idx="58">
                  <c:v>30</c:v>
                </c:pt>
                <c:pt idx="59">
                  <c:v>20</c:v>
                </c:pt>
                <c:pt idx="60">
                  <c:v>29</c:v>
                </c:pt>
                <c:pt idx="61">
                  <c:v>32</c:v>
                </c:pt>
                <c:pt idx="62">
                  <c:v>32</c:v>
                </c:pt>
                <c:pt idx="63">
                  <c:v>33</c:v>
                </c:pt>
                <c:pt idx="64">
                  <c:v>32</c:v>
                </c:pt>
                <c:pt idx="65">
                  <c:v>17</c:v>
                </c:pt>
                <c:pt idx="66">
                  <c:v>33</c:v>
                </c:pt>
                <c:pt idx="67">
                  <c:v>29</c:v>
                </c:pt>
                <c:pt idx="68">
                  <c:v>23</c:v>
                </c:pt>
                <c:pt idx="69">
                  <c:v>27</c:v>
                </c:pt>
                <c:pt idx="70">
                  <c:v>29</c:v>
                </c:pt>
                <c:pt idx="71">
                  <c:v>39</c:v>
                </c:pt>
                <c:pt idx="72">
                  <c:v>29</c:v>
                </c:pt>
                <c:pt idx="73">
                  <c:v>28</c:v>
                </c:pt>
                <c:pt idx="74">
                  <c:v>26</c:v>
                </c:pt>
                <c:pt idx="75">
                  <c:v>33</c:v>
                </c:pt>
                <c:pt idx="76">
                  <c:v>26</c:v>
                </c:pt>
                <c:pt idx="77">
                  <c:v>31</c:v>
                </c:pt>
                <c:pt idx="78">
                  <c:v>22</c:v>
                </c:pt>
                <c:pt idx="79">
                  <c:v>29</c:v>
                </c:pt>
                <c:pt idx="80">
                  <c:v>20</c:v>
                </c:pt>
                <c:pt idx="81">
                  <c:v>28</c:v>
                </c:pt>
                <c:pt idx="82">
                  <c:v>28</c:v>
                </c:pt>
                <c:pt idx="83">
                  <c:v>24</c:v>
                </c:pt>
                <c:pt idx="84">
                  <c:v>18</c:v>
                </c:pt>
                <c:pt idx="85">
                  <c:v>25</c:v>
                </c:pt>
                <c:pt idx="86">
                  <c:v>21</c:v>
                </c:pt>
                <c:pt idx="87">
                  <c:v>30</c:v>
                </c:pt>
                <c:pt idx="88">
                  <c:v>26</c:v>
                </c:pt>
                <c:pt idx="89">
                  <c:v>23</c:v>
                </c:pt>
                <c:pt idx="90">
                  <c:v>30</c:v>
                </c:pt>
                <c:pt idx="91">
                  <c:v>26</c:v>
                </c:pt>
                <c:pt idx="92">
                  <c:v>31</c:v>
                </c:pt>
                <c:pt idx="93">
                  <c:v>33</c:v>
                </c:pt>
                <c:pt idx="94">
                  <c:v>22</c:v>
                </c:pt>
                <c:pt idx="95">
                  <c:v>20</c:v>
                </c:pt>
                <c:pt idx="96">
                  <c:v>19</c:v>
                </c:pt>
                <c:pt idx="97">
                  <c:v>35</c:v>
                </c:pt>
                <c:pt idx="98">
                  <c:v>32</c:v>
                </c:pt>
                <c:pt idx="99">
                  <c:v>29</c:v>
                </c:pt>
                <c:pt idx="100">
                  <c:v>23</c:v>
                </c:pt>
                <c:pt idx="101">
                  <c:v>26</c:v>
                </c:pt>
                <c:pt idx="102">
                  <c:v>26</c:v>
                </c:pt>
                <c:pt idx="103">
                  <c:v>26</c:v>
                </c:pt>
                <c:pt idx="104">
                  <c:v>33</c:v>
                </c:pt>
                <c:pt idx="105">
                  <c:v>26</c:v>
                </c:pt>
                <c:pt idx="106">
                  <c:v>27</c:v>
                </c:pt>
                <c:pt idx="107">
                  <c:v>35</c:v>
                </c:pt>
                <c:pt idx="108">
                  <c:v>27</c:v>
                </c:pt>
                <c:pt idx="109">
                  <c:v>32</c:v>
                </c:pt>
                <c:pt idx="110">
                  <c:v>26</c:v>
                </c:pt>
                <c:pt idx="111">
                  <c:v>27</c:v>
                </c:pt>
                <c:pt idx="112">
                  <c:v>36</c:v>
                </c:pt>
                <c:pt idx="113">
                  <c:v>27</c:v>
                </c:pt>
                <c:pt idx="114">
                  <c:v>33</c:v>
                </c:pt>
                <c:pt idx="115">
                  <c:v>24</c:v>
                </c:pt>
                <c:pt idx="116">
                  <c:v>30</c:v>
                </c:pt>
                <c:pt idx="117">
                  <c:v>22</c:v>
                </c:pt>
                <c:pt idx="118">
                  <c:v>34</c:v>
                </c:pt>
                <c:pt idx="119">
                  <c:v>33</c:v>
                </c:pt>
                <c:pt idx="120">
                  <c:v>31</c:v>
                </c:pt>
                <c:pt idx="121">
                  <c:v>40</c:v>
                </c:pt>
                <c:pt idx="122">
                  <c:v>26</c:v>
                </c:pt>
                <c:pt idx="123">
                  <c:v>20</c:v>
                </c:pt>
                <c:pt idx="124">
                  <c:v>31</c:v>
                </c:pt>
                <c:pt idx="125">
                  <c:v>32</c:v>
                </c:pt>
                <c:pt idx="126">
                  <c:v>25</c:v>
                </c:pt>
                <c:pt idx="127">
                  <c:v>28</c:v>
                </c:pt>
                <c:pt idx="128">
                  <c:v>26</c:v>
                </c:pt>
                <c:pt idx="129">
                  <c:v>16</c:v>
                </c:pt>
                <c:pt idx="130">
                  <c:v>25</c:v>
                </c:pt>
                <c:pt idx="131">
                  <c:v>38</c:v>
                </c:pt>
                <c:pt idx="132">
                  <c:v>30</c:v>
                </c:pt>
                <c:pt idx="133">
                  <c:v>22</c:v>
                </c:pt>
                <c:pt idx="134">
                  <c:v>23</c:v>
                </c:pt>
                <c:pt idx="135">
                  <c:v>30</c:v>
                </c:pt>
                <c:pt idx="136">
                  <c:v>30</c:v>
                </c:pt>
                <c:pt idx="137">
                  <c:v>28</c:v>
                </c:pt>
                <c:pt idx="138">
                  <c:v>22</c:v>
                </c:pt>
                <c:pt idx="139">
                  <c:v>24</c:v>
                </c:pt>
                <c:pt idx="140">
                  <c:v>25</c:v>
                </c:pt>
                <c:pt idx="141">
                  <c:v>23</c:v>
                </c:pt>
                <c:pt idx="142">
                  <c:v>23</c:v>
                </c:pt>
                <c:pt idx="143">
                  <c:v>33</c:v>
                </c:pt>
                <c:pt idx="144">
                  <c:v>38</c:v>
                </c:pt>
                <c:pt idx="145">
                  <c:v>32</c:v>
                </c:pt>
                <c:pt idx="146">
                  <c:v>25</c:v>
                </c:pt>
                <c:pt idx="147">
                  <c:v>35</c:v>
                </c:pt>
                <c:pt idx="148">
                  <c:v>36</c:v>
                </c:pt>
                <c:pt idx="149">
                  <c:v>26</c:v>
                </c:pt>
                <c:pt idx="150">
                  <c:v>23</c:v>
                </c:pt>
                <c:pt idx="151">
                  <c:v>27</c:v>
                </c:pt>
                <c:pt idx="152">
                  <c:v>27</c:v>
                </c:pt>
                <c:pt idx="153">
                  <c:v>19</c:v>
                </c:pt>
                <c:pt idx="154">
                  <c:v>23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27</c:v>
                </c:pt>
                <c:pt idx="159">
                  <c:v>25</c:v>
                </c:pt>
                <c:pt idx="160">
                  <c:v>29</c:v>
                </c:pt>
                <c:pt idx="161">
                  <c:v>32</c:v>
                </c:pt>
                <c:pt idx="162">
                  <c:v>22</c:v>
                </c:pt>
                <c:pt idx="163">
                  <c:v>33</c:v>
                </c:pt>
                <c:pt idx="164">
                  <c:v>18</c:v>
                </c:pt>
                <c:pt idx="165">
                  <c:v>22</c:v>
                </c:pt>
                <c:pt idx="166">
                  <c:v>18</c:v>
                </c:pt>
                <c:pt idx="167">
                  <c:v>28</c:v>
                </c:pt>
                <c:pt idx="168">
                  <c:v>28</c:v>
                </c:pt>
                <c:pt idx="169">
                  <c:v>27</c:v>
                </c:pt>
                <c:pt idx="170">
                  <c:v>27</c:v>
                </c:pt>
                <c:pt idx="171">
                  <c:v>32</c:v>
                </c:pt>
                <c:pt idx="172">
                  <c:v>26</c:v>
                </c:pt>
                <c:pt idx="173">
                  <c:v>35</c:v>
                </c:pt>
                <c:pt idx="174">
                  <c:v>34</c:v>
                </c:pt>
                <c:pt idx="175">
                  <c:v>25</c:v>
                </c:pt>
                <c:pt idx="176">
                  <c:v>22</c:v>
                </c:pt>
                <c:pt idx="177">
                  <c:v>30</c:v>
                </c:pt>
                <c:pt idx="178">
                  <c:v>25</c:v>
                </c:pt>
                <c:pt idx="179">
                  <c:v>27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7E-459A-806E-7C28415D1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17787136"/>
        <c:axId val="-1517786592"/>
      </c:scatterChart>
      <c:valAx>
        <c:axId val="-1517787136"/>
        <c:scaling>
          <c:orientation val="minMax"/>
          <c:max val="45837"/>
          <c:min val="456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86592"/>
        <c:crosses val="autoZero"/>
        <c:crossBetween val="midCat"/>
        <c:majorUnit val="30"/>
      </c:valAx>
      <c:valAx>
        <c:axId val="-151778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1778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Время на сайте, с</a:t>
            </a:r>
          </a:p>
        </cx:rich>
      </cx:tx>
    </cx:title>
    <cx:plotArea>
      <cx:plotAreaRegion>
        <cx:series layoutId="clusteredColumn" uniqueId="{96985672-CB74-4BAE-9D9A-6EABE45C3509}">
          <cx:tx>
            <cx:txData>
              <cx:f>_xlchart.v1.0</cx:f>
              <cx:v>time_on_site_s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Сумма покупки</a:t>
            </a:r>
          </a:p>
        </cx:rich>
      </cx:tx>
    </cx:title>
    <cx:plotArea>
      <cx:plotAreaRegion>
        <cx:series layoutId="clusteredColumn" uniqueId="{99CCEB5A-6507-4B90-A58D-9FBA77FCC6B9}">
          <cx:tx>
            <cx:txData>
              <cx:f>_xlchart.v1.8</cx:f>
              <cx:v>purchase_amount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Время доставки заказа</a:t>
            </a:r>
          </a:p>
        </cx:rich>
      </cx:tx>
    </cx:title>
    <cx:plotArea>
      <cx:plotAreaRegion>
        <cx:series layoutId="clusteredColumn" uniqueId="{DF363242-8E06-44E1-84A0-1B20A8631622}">
          <cx:tx>
            <cx:txData>
              <cx:f>_xlchart.v1.6</cx:f>
              <cx:v>delivery_time_days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Просмотренные страницы</a:t>
            </a:r>
          </a:p>
        </cx:rich>
      </cx:tx>
    </cx:title>
    <cx:plotArea>
      <cx:plotAreaRegion>
        <cx:series layoutId="clusteredColumn" uniqueId="{6F7C2A3A-7769-4E2A-9C9F-0B2DF261028D}">
          <cx:tx>
            <cx:txData>
              <cx:f>_xlchart.v1.10</cx:f>
              <cx:v>pages_visited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ru-RU"/>
              <a:t>Удовлетворенность</a:t>
            </a:r>
          </a:p>
          <a:p>
            <a:pPr algn="ctr">
              <a:defRPr/>
            </a:pPr>
            <a:endParaRPr lang="ru-RU"/>
          </a:p>
        </cx:rich>
      </cx:tx>
    </cx:title>
    <cx:plotArea>
      <cx:plotAreaRegion>
        <cx:series layoutId="clusteredColumn" uniqueId="{945CE9CF-E97E-45C9-A39F-414BA1ED9830}">
          <cx:tx>
            <cx:txData>
              <cx:f>_xlchart.v1.4</cx:f>
              <cx:v>satisfaction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25</xdr:row>
      <xdr:rowOff>0</xdr:rowOff>
    </xdr:from>
    <xdr:to>
      <xdr:col>21</xdr:col>
      <xdr:colOff>0</xdr:colOff>
      <xdr:row>40</xdr:row>
      <xdr:rowOff>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Диаграмма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2" name="Прямоугольник 1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17</xdr:col>
      <xdr:colOff>7684</xdr:colOff>
      <xdr:row>9</xdr:row>
      <xdr:rowOff>0</xdr:rowOff>
    </xdr:from>
    <xdr:to>
      <xdr:col>21</xdr:col>
      <xdr:colOff>0</xdr:colOff>
      <xdr:row>24</xdr:row>
      <xdr:rowOff>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5" name="Диаграмма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Прямоугольник 2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25</xdr:row>
      <xdr:rowOff>0</xdr:rowOff>
    </xdr:from>
    <xdr:to>
      <xdr:col>26</xdr:col>
      <xdr:colOff>566057</xdr:colOff>
      <xdr:row>40</xdr:row>
      <xdr:rowOff>0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6" name="Диаграмма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4" name="Прямоугольник 3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9</xdr:row>
      <xdr:rowOff>0</xdr:rowOff>
    </xdr:from>
    <xdr:to>
      <xdr:col>27</xdr:col>
      <xdr:colOff>46452</xdr:colOff>
      <xdr:row>24</xdr:row>
      <xdr:rowOff>53788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8" name="Диаграмма 7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Прямоугольник 4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28</xdr:col>
      <xdr:colOff>0</xdr:colOff>
      <xdr:row>9</xdr:row>
      <xdr:rowOff>0</xdr:rowOff>
    </xdr:from>
    <xdr:to>
      <xdr:col>35</xdr:col>
      <xdr:colOff>297464</xdr:colOff>
      <xdr:row>24</xdr:row>
      <xdr:rowOff>53788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11" name="Диаграмма 10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6" name="Прямоугольник 5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484910</xdr:colOff>
      <xdr:row>2</xdr:row>
      <xdr:rowOff>55418</xdr:rowOff>
    </xdr:from>
    <xdr:to>
      <xdr:col>18</xdr:col>
      <xdr:colOff>484910</xdr:colOff>
      <xdr:row>13</xdr:row>
      <xdr:rowOff>55419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518853</xdr:colOff>
      <xdr:row>2</xdr:row>
      <xdr:rowOff>31520</xdr:rowOff>
    </xdr:from>
    <xdr:to>
      <xdr:col>31</xdr:col>
      <xdr:colOff>220980</xdr:colOff>
      <xdr:row>17</xdr:row>
      <xdr:rowOff>31519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19</xdr:col>
      <xdr:colOff>0</xdr:colOff>
      <xdr:row>36</xdr:row>
      <xdr:rowOff>1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566057</xdr:colOff>
      <xdr:row>43</xdr:row>
      <xdr:rowOff>119743</xdr:rowOff>
    </xdr:from>
    <xdr:to>
      <xdr:col>18</xdr:col>
      <xdr:colOff>566057</xdr:colOff>
      <xdr:row>54</xdr:row>
      <xdr:rowOff>119745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598714</xdr:colOff>
      <xdr:row>22</xdr:row>
      <xdr:rowOff>21772</xdr:rowOff>
    </xdr:from>
    <xdr:to>
      <xdr:col>31</xdr:col>
      <xdr:colOff>300841</xdr:colOff>
      <xdr:row>37</xdr:row>
      <xdr:rowOff>21771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13</xdr:col>
      <xdr:colOff>487680</xdr:colOff>
      <xdr:row>18</xdr:row>
      <xdr:rowOff>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39.914790393515" createdVersion="5" refreshedVersion="5" minRefreshableVersion="3" recordCount="5000">
  <cacheSource type="worksheet">
    <worksheetSource ref="A1:N5001" sheet="datasetExcel"/>
  </cacheSource>
  <cacheFields count="14">
    <cacheField name="customer_id" numFmtId="0">
      <sharedItems containsSemiMixedTypes="0" containsString="0" containsNumber="1" containsInteger="1" minValue="1" maxValue="5000"/>
    </cacheField>
    <cacheField name="date" numFmtId="14">
      <sharedItems containsSemiMixedTypes="0" containsNonDate="0" containsDate="1" containsString="0" minDate="2025-01-01T00:00:00" maxDate="2025-06-30T00:00:00" count="180">
        <d v="2025-01-01T00:00:00"/>
        <d v="2025-02-01T00:00:00"/>
        <d v="2025-03-01T00:00:00"/>
        <d v="2025-04-01T00:00:00"/>
        <d v="2025-05-01T00:00:00"/>
        <d v="2025-06-01T00:00:00"/>
        <d v="2025-01-02T00:00:00"/>
        <d v="2025-02-02T00:00:00"/>
        <d v="2025-03-02T00:00:00"/>
        <d v="2025-04-02T00:00:00"/>
        <d v="2025-05-02T00:00:00"/>
        <d v="2025-06-02T00:00:00"/>
        <d v="2025-01-03T00:00:00"/>
        <d v="2025-02-03T00:00:00"/>
        <d v="2025-03-03T00:00:00"/>
        <d v="2025-04-03T00:00:00"/>
        <d v="2025-05-03T00:00:00"/>
        <d v="2025-06-03T00:00:00"/>
        <d v="2025-01-04T00:00:00"/>
        <d v="2025-02-04T00:00:00"/>
        <d v="2025-03-04T00:00:00"/>
        <d v="2025-04-04T00:00:00"/>
        <d v="2025-05-04T00:00:00"/>
        <d v="2025-06-04T00:00:00"/>
        <d v="2025-01-05T00:00:00"/>
        <d v="2025-02-05T00:00:00"/>
        <d v="2025-03-05T00:00:00"/>
        <d v="2025-04-05T00:00:00"/>
        <d v="2025-05-05T00:00:00"/>
        <d v="2025-06-05T00:00:00"/>
        <d v="2025-01-06T00:00:00"/>
        <d v="2025-02-06T00:00:00"/>
        <d v="2025-03-06T00:00:00"/>
        <d v="2025-04-06T00:00:00"/>
        <d v="2025-05-06T00:00:00"/>
        <d v="2025-06-06T00:00:00"/>
        <d v="2025-01-07T00:00:00"/>
        <d v="2025-02-07T00:00:00"/>
        <d v="2025-03-07T00:00:00"/>
        <d v="2025-04-07T00:00:00"/>
        <d v="2025-05-07T00:00:00"/>
        <d v="2025-06-07T00:00:00"/>
        <d v="2025-01-08T00:00:00"/>
        <d v="2025-02-08T00:00:00"/>
        <d v="2025-03-08T00:00:00"/>
        <d v="2025-04-08T00:00:00"/>
        <d v="2025-05-08T00:00:00"/>
        <d v="2025-06-08T00:00:00"/>
        <d v="2025-01-09T00:00:00"/>
        <d v="2025-02-09T00:00:00"/>
        <d v="2025-03-09T00:00:00"/>
        <d v="2025-04-09T00:00:00"/>
        <d v="2025-05-09T00:00:00"/>
        <d v="2025-06-09T00:00:00"/>
        <d v="2025-01-10T00:00:00"/>
        <d v="2025-02-10T00:00:00"/>
        <d v="2025-03-10T00:00:00"/>
        <d v="2025-04-10T00:00:00"/>
        <d v="2025-05-10T00:00:00"/>
        <d v="2025-06-10T00:00:00"/>
        <d v="2025-01-11T00:00:00"/>
        <d v="2025-02-11T00:00:00"/>
        <d v="2025-03-11T00:00:00"/>
        <d v="2025-04-11T00:00:00"/>
        <d v="2025-05-11T00:00:00"/>
        <d v="2025-06-11T00:00:00"/>
        <d v="2025-01-12T00:00:00"/>
        <d v="2025-02-12T00:00:00"/>
        <d v="2025-03-12T00:00:00"/>
        <d v="2025-04-12T00:00:00"/>
        <d v="2025-05-12T00:00:00"/>
        <d v="2025-06-12T00:00:00"/>
        <d v="2025-01-13T00:00:00"/>
        <d v="2025-02-13T00:00:00"/>
        <d v="2025-03-13T00:00:00"/>
        <d v="2025-04-13T00:00:00"/>
        <d v="2025-05-13T00:00:00"/>
        <d v="2025-06-13T00:00:00"/>
        <d v="2025-01-14T00:00:00"/>
        <d v="2025-02-14T00:00:00"/>
        <d v="2025-03-14T00:00:00"/>
        <d v="2025-04-14T00:00:00"/>
        <d v="2025-05-14T00:00:00"/>
        <d v="2025-06-14T00:00:00"/>
        <d v="2025-01-15T00:00:00"/>
        <d v="2025-02-15T00:00:00"/>
        <d v="2025-03-15T00:00:00"/>
        <d v="2025-04-15T00:00:00"/>
        <d v="2025-05-15T00:00:00"/>
        <d v="2025-06-15T00:00:00"/>
        <d v="2025-01-16T00:00:00"/>
        <d v="2025-02-16T00:00:00"/>
        <d v="2025-03-16T00:00:00"/>
        <d v="2025-04-16T00:00:00"/>
        <d v="2025-05-16T00:00:00"/>
        <d v="2025-06-16T00:00:00"/>
        <d v="2025-01-17T00:00:00"/>
        <d v="2025-02-17T00:00:00"/>
        <d v="2025-03-17T00:00:00"/>
        <d v="2025-04-17T00:00:00"/>
        <d v="2025-05-17T00:00:00"/>
        <d v="2025-06-17T00:00:00"/>
        <d v="2025-01-18T00:00:00"/>
        <d v="2025-02-18T00:00:00"/>
        <d v="2025-03-18T00:00:00"/>
        <d v="2025-04-18T00:00:00"/>
        <d v="2025-05-18T00:00:00"/>
        <d v="2025-06-18T00:00:00"/>
        <d v="2025-01-19T00:00:00"/>
        <d v="2025-02-19T00:00:00"/>
        <d v="2025-03-19T00:00:00"/>
        <d v="2025-04-19T00:00:00"/>
        <d v="2025-05-19T00:00:00"/>
        <d v="2025-06-19T00:00:00"/>
        <d v="2025-01-20T00:00:00"/>
        <d v="2025-02-20T00:00:00"/>
        <d v="2025-03-20T00:00:00"/>
        <d v="2025-04-20T00:00:00"/>
        <d v="2025-05-20T00:00:00"/>
        <d v="2025-06-20T00:00:00"/>
        <d v="2025-01-21T00:00:00"/>
        <d v="2025-02-21T00:00:00"/>
        <d v="2025-03-21T00:00:00"/>
        <d v="2025-04-21T00:00:00"/>
        <d v="2025-05-21T00:00:00"/>
        <d v="2025-06-21T00:00:00"/>
        <d v="2025-01-22T00:00:00"/>
        <d v="2025-02-22T00:00:00"/>
        <d v="2025-03-22T00:00:00"/>
        <d v="2025-04-22T00:00:00"/>
        <d v="2025-05-22T00:00:00"/>
        <d v="2025-06-22T00:00:00"/>
        <d v="2025-01-23T00:00:00"/>
        <d v="2025-02-23T00:00:00"/>
        <d v="2025-03-23T00:00:00"/>
        <d v="2025-04-23T00:00:00"/>
        <d v="2025-05-23T00:00:00"/>
        <d v="2025-06-23T00:00:00"/>
        <d v="2025-01-24T00:00:00"/>
        <d v="2025-02-24T00:00:00"/>
        <d v="2025-03-24T00:00:00"/>
        <d v="2025-04-24T00:00:00"/>
        <d v="2025-05-24T00:00:00"/>
        <d v="2025-06-24T00:00:00"/>
        <d v="2025-01-25T00:00:00"/>
        <d v="2025-02-25T00:00:00"/>
        <d v="2025-03-25T00:00:00"/>
        <d v="2025-04-25T00:00:00"/>
        <d v="2025-05-25T00:00:00"/>
        <d v="2025-06-25T00:00:00"/>
        <d v="2025-01-26T00:00:00"/>
        <d v="2025-02-26T00:00:00"/>
        <d v="2025-03-26T00:00:00"/>
        <d v="2025-04-26T00:00:00"/>
        <d v="2025-05-26T00:00:00"/>
        <d v="2025-06-26T00:00:00"/>
        <d v="2025-01-27T00:00:00"/>
        <d v="2025-02-27T00:00:00"/>
        <d v="2025-03-27T00:00:00"/>
        <d v="2025-04-27T00:00:00"/>
        <d v="2025-05-27T00:00:00"/>
        <d v="2025-06-27T00:00:00"/>
        <d v="2025-01-28T00:00:00"/>
        <d v="2025-02-28T00:00:00"/>
        <d v="2025-03-28T00:00:00"/>
        <d v="2025-04-28T00:00:00"/>
        <d v="2025-05-28T00:00:00"/>
        <d v="2025-06-28T00:00:00"/>
        <d v="2025-01-29T00:00:00"/>
        <d v="2025-03-29T00:00:00"/>
        <d v="2025-04-29T00:00:00"/>
        <d v="2025-05-29T00:00:00"/>
        <d v="2025-06-29T00:00:00"/>
        <d v="2025-01-30T00:00:00"/>
        <d v="2025-03-30T00:00:00"/>
        <d v="2025-04-30T00:00:00"/>
        <d v="2025-05-30T00:00:00"/>
        <d v="2025-01-31T00:00:00"/>
        <d v="2025-03-31T00:00:00"/>
        <d v="2025-05-31T00:00:00"/>
      </sharedItems>
    </cacheField>
    <cacheField name="age" numFmtId="0">
      <sharedItems containsSemiMixedTypes="0" containsString="0" containsNumber="1" containsInteger="1" minValue="18" maxValue="84" count="65">
        <n v="30"/>
        <n v="55"/>
        <n v="21"/>
        <n v="44"/>
        <n v="22"/>
        <n v="32"/>
        <n v="27"/>
        <n v="25"/>
        <n v="18"/>
        <n v="67"/>
        <n v="23"/>
        <n v="36"/>
        <n v="58"/>
        <n v="39"/>
        <n v="45"/>
        <n v="57"/>
        <n v="29"/>
        <n v="43"/>
        <n v="20"/>
        <n v="28"/>
        <n v="31"/>
        <n v="53"/>
        <n v="24"/>
        <n v="33"/>
        <n v="26"/>
        <n v="52"/>
        <n v="35"/>
        <n v="41"/>
        <n v="50"/>
        <n v="48"/>
        <n v="49"/>
        <n v="34"/>
        <n v="54"/>
        <n v="38"/>
        <n v="37"/>
        <n v="66"/>
        <n v="63"/>
        <n v="72"/>
        <n v="71"/>
        <n v="19"/>
        <n v="59"/>
        <n v="40"/>
        <n v="56"/>
        <n v="42"/>
        <n v="47"/>
        <n v="46"/>
        <n v="65"/>
        <n v="51"/>
        <n v="60"/>
        <n v="70"/>
        <n v="61"/>
        <n v="62"/>
        <n v="77"/>
        <n v="76"/>
        <n v="64"/>
        <n v="73"/>
        <n v="69"/>
        <n v="68"/>
        <n v="75"/>
        <n v="82"/>
        <n v="79"/>
        <n v="74"/>
        <n v="78"/>
        <n v="80"/>
        <n v="84"/>
      </sharedItems>
    </cacheField>
    <cacheField name="gender" numFmtId="0">
      <sharedItems count="3">
        <s v="Male"/>
        <s v="Female"/>
        <s v="Other"/>
      </sharedItems>
    </cacheField>
    <cacheField name="region" numFmtId="0">
      <sharedItems count="4">
        <s v="South"/>
        <s v="North"/>
        <s v="East"/>
        <s v="West"/>
      </sharedItems>
    </cacheField>
    <cacheField name="traffic_source" numFmtId="0">
      <sharedItems count="4">
        <s v="Organic"/>
        <s v="PaidAds"/>
        <s v="Referral"/>
        <s v="Email"/>
      </sharedItems>
    </cacheField>
    <cacheField name="campaign" numFmtId="0">
      <sharedItems containsBlank="1" count="8">
        <m/>
        <s v="CAMP3"/>
        <s v="CAMP5"/>
        <s v="CAMP2"/>
        <s v="CAMP4"/>
        <s v="CAMP6"/>
        <s v="CAMP7"/>
        <s v="CAMP1"/>
      </sharedItems>
    </cacheField>
    <cacheField name="time_on_site_s" numFmtId="0">
      <sharedItems containsSemiMixedTypes="0" containsString="0" containsNumber="1" minValue="1" maxValue="2235.3000000000002" count="3615">
        <n v="373.7"/>
        <n v="1407.9"/>
        <n v="493"/>
        <n v="784.2"/>
        <n v="1090.9000000000001"/>
        <n v="1417.7"/>
        <n v="253"/>
        <n v="276.10000000000002"/>
        <n v="436"/>
        <n v="198.9"/>
        <n v="80.3"/>
        <n v="483.7"/>
        <n v="466.4"/>
        <n v="454"/>
        <n v="180.4"/>
        <n v="168.2"/>
        <n v="131"/>
        <n v="128.19999999999999"/>
        <n v="114.4"/>
        <n v="88.4"/>
        <n v="88.2"/>
        <n v="61.7"/>
        <n v="36.4"/>
        <n v="154.1"/>
        <n v="315.3"/>
        <n v="550.20000000000005"/>
        <n v="944.8"/>
        <n v="145.80000000000001"/>
        <n v="518.4"/>
        <n v="476.9"/>
        <n v="939.6"/>
        <n v="806.4"/>
        <n v="770.5"/>
        <n v="682.3"/>
        <n v="509.9"/>
        <n v="487.1"/>
        <n v="457.6"/>
        <n v="411"/>
        <n v="338.2"/>
        <n v="305"/>
        <n v="296.60000000000002"/>
        <n v="296.3"/>
        <n v="286.10000000000002"/>
        <n v="269.89999999999998"/>
        <n v="256.60000000000002"/>
        <n v="217"/>
        <n v="193.1"/>
        <n v="187.2"/>
        <n v="146.69999999999999"/>
        <n v="128.1"/>
        <n v="116.3"/>
        <n v="105.6"/>
        <n v="90.6"/>
        <n v="344.7"/>
        <n v="317.7"/>
        <n v="583.6"/>
        <n v="447.5"/>
        <n v="594.29999999999995"/>
        <n v="738.8"/>
        <n v="318.3"/>
        <n v="593.6"/>
        <n v="515.70000000000005"/>
        <n v="837.2"/>
        <n v="165"/>
        <n v="693.4"/>
        <n v="572.1"/>
        <n v="497.8"/>
        <n v="335.2"/>
        <n v="332.2"/>
        <n v="248.3"/>
        <n v="199.9"/>
        <n v="161"/>
        <n v="56.4"/>
        <n v="365.7"/>
        <n v="479.6"/>
        <n v="89.1"/>
        <n v="110.7"/>
        <n v="267.60000000000002"/>
        <n v="324.5"/>
        <n v="306"/>
        <n v="387.4"/>
        <n v="126.5"/>
        <n v="393.6"/>
        <n v="643"/>
        <n v="410.2"/>
        <n v="688.8"/>
        <n v="687.4"/>
        <n v="600.79999999999995"/>
        <n v="593.70000000000005"/>
        <n v="527.4"/>
        <n v="526.5"/>
        <n v="504.4"/>
        <n v="421.3"/>
        <n v="321.7"/>
        <n v="311.89999999999998"/>
        <n v="210.6"/>
        <n v="189.4"/>
        <n v="175"/>
        <n v="147.4"/>
        <n v="139.69999999999999"/>
        <n v="74"/>
        <n v="248"/>
        <n v="520.29999999999995"/>
        <n v="150.9"/>
        <n v="408.5"/>
        <n v="699.8"/>
        <n v="339.9"/>
        <n v="533.5"/>
        <n v="334.2"/>
        <n v="991.8"/>
        <n v="448.6"/>
        <n v="1392.3"/>
        <n v="172.4"/>
        <n v="592.4"/>
        <n v="262"/>
        <n v="548.4"/>
        <n v="510.8"/>
        <n v="474.3"/>
        <n v="402.4"/>
        <n v="397"/>
        <n v="334.6"/>
        <n v="320.39999999999998"/>
        <n v="311.3"/>
        <n v="269.8"/>
        <n v="249.1"/>
        <n v="224.7"/>
        <n v="196.1"/>
        <n v="161.1"/>
        <n v="159"/>
        <n v="157.5"/>
        <n v="87.1"/>
        <n v="14"/>
        <n v="477.9"/>
        <n v="351.1"/>
        <n v="510.5"/>
        <n v="259.39999999999998"/>
        <n v="226.2"/>
        <n v="875.8"/>
        <n v="385.4"/>
        <n v="566.9"/>
        <n v="497.5"/>
        <n v="598.20000000000005"/>
        <n v="556.29999999999995"/>
        <n v="527.79999999999995"/>
        <n v="520.4"/>
        <n v="391.6"/>
        <n v="367.5"/>
        <n v="323.10000000000002"/>
        <n v="204.7"/>
        <n v="202.9"/>
        <n v="144.19999999999999"/>
        <n v="131.9"/>
        <n v="131.80000000000001"/>
        <n v="110.8"/>
        <n v="102.4"/>
        <n v="64.5"/>
        <n v="40.9"/>
        <n v="10"/>
        <n v="343"/>
        <n v="201.4"/>
        <n v="382.8"/>
        <n v="484.6"/>
        <n v="414"/>
        <n v="209.6"/>
        <n v="924.6"/>
        <n v="1195"/>
        <n v="333.5"/>
        <n v="896.6"/>
        <n v="23.7"/>
        <n v="454.4"/>
        <n v="385.1"/>
        <n v="376.3"/>
        <n v="355.4"/>
        <n v="335.6"/>
        <n v="318.60000000000002"/>
        <n v="304.8"/>
        <n v="270.60000000000002"/>
        <n v="221"/>
        <n v="202.4"/>
        <n v="172.5"/>
        <n v="153.69999999999999"/>
        <n v="134.5"/>
        <n v="117.4"/>
        <n v="85.2"/>
        <n v="80"/>
        <n v="40.700000000000003"/>
        <n v="468.2"/>
        <n v="275.5"/>
        <n v="458.8"/>
        <n v="431.5"/>
        <n v="513.20000000000005"/>
        <n v="501.6"/>
        <n v="544"/>
        <n v="419.8"/>
        <n v="221.5"/>
        <n v="198"/>
        <n v="514.5"/>
        <n v="986.2"/>
        <n v="90.8"/>
        <n v="160.69999999999999"/>
        <n v="825.8"/>
        <n v="876.1"/>
        <n v="732.4"/>
        <n v="667.1"/>
        <n v="587.4"/>
        <n v="461.5"/>
        <n v="298.5"/>
        <n v="288.60000000000002"/>
        <n v="232.3"/>
        <n v="154.30000000000001"/>
        <n v="128.5"/>
        <n v="76.2"/>
        <n v="67.099999999999994"/>
        <n v="59.2"/>
        <n v="311.5"/>
        <n v="458.3"/>
        <n v="726"/>
        <n v="232.5"/>
        <n v="564.79999999999995"/>
        <n v="110.6"/>
        <n v="161.19999999999999"/>
        <n v="689.4"/>
        <n v="572"/>
        <n v="668.4"/>
        <n v="543.9"/>
        <n v="538.20000000000005"/>
        <n v="494.5"/>
        <n v="446.1"/>
        <n v="384"/>
        <n v="335.5"/>
        <n v="303.2"/>
        <n v="243.3"/>
        <n v="240.3"/>
        <n v="232.9"/>
        <n v="208.8"/>
        <n v="185.2"/>
        <n v="145.6"/>
        <n v="133.1"/>
        <n v="127.1"/>
        <n v="98.2"/>
        <n v="88.1"/>
        <n v="70.599999999999994"/>
        <n v="63.5"/>
        <n v="390.6"/>
        <n v="548.29999999999995"/>
        <n v="1154.3"/>
        <n v="575.4"/>
        <n v="553.20000000000005"/>
        <n v="774.7"/>
        <n v="160.6"/>
        <n v="615.29999999999995"/>
        <n v="279.10000000000002"/>
        <n v="630.70000000000005"/>
        <n v="552.79999999999995"/>
        <n v="450.7"/>
        <n v="439.9"/>
        <n v="391.1"/>
        <n v="376.9"/>
        <n v="229.8"/>
        <n v="219.1"/>
        <n v="207"/>
        <n v="184.2"/>
        <n v="150"/>
        <n v="108.2"/>
        <n v="107.8"/>
        <n v="92.3"/>
        <n v="84.1"/>
        <n v="42.1"/>
        <n v="306.60000000000002"/>
        <n v="987.4"/>
        <n v="398.4"/>
        <n v="546.4"/>
        <n v="552"/>
        <n v="371.2"/>
        <n v="587.1"/>
        <n v="1076.4000000000001"/>
        <n v="637.29999999999995"/>
        <n v="148.30000000000001"/>
        <n v="356.3"/>
        <n v="838"/>
        <n v="640.1"/>
        <n v="580.4"/>
        <n v="517.5"/>
        <n v="510.9"/>
        <n v="422.9"/>
        <n v="417.7"/>
        <n v="397.5"/>
        <n v="349.3"/>
        <n v="334"/>
        <n v="320.60000000000002"/>
        <n v="315"/>
        <n v="310.3"/>
        <n v="297.5"/>
        <n v="290.8"/>
        <n v="216.5"/>
        <n v="215.2"/>
        <n v="193"/>
        <n v="177.8"/>
        <n v="137.80000000000001"/>
        <n v="126.4"/>
        <n v="113.9"/>
        <n v="113.8"/>
        <n v="111.8"/>
        <n v="90.7"/>
        <n v="77.599999999999994"/>
        <n v="68.5"/>
        <n v="42.7"/>
        <n v="348.6"/>
        <n v="1124.5999999999999"/>
        <n v="278.10000000000002"/>
        <n v="156.30000000000001"/>
        <n v="576.5"/>
        <n v="32.9"/>
        <n v="306.39999999999998"/>
        <n v="555.1"/>
        <n v="313.10000000000002"/>
        <n v="792.3"/>
        <n v="631.9"/>
        <n v="551.20000000000005"/>
        <n v="542.70000000000005"/>
        <n v="539.6"/>
        <n v="516"/>
        <n v="362.8"/>
        <n v="352.7"/>
        <n v="275.7"/>
        <n v="270.8"/>
        <n v="236.8"/>
        <n v="187.3"/>
        <n v="179.5"/>
        <n v="175.6"/>
        <n v="118.4"/>
        <n v="109.2"/>
        <n v="44.6"/>
        <n v="441.1"/>
        <n v="322.7"/>
        <n v="224.6"/>
        <n v="347.2"/>
        <n v="854.9"/>
        <n v="1168.3"/>
        <n v="295.2"/>
        <n v="320.2"/>
        <n v="223.6"/>
        <n v="458.7"/>
        <n v="931.9"/>
        <n v="28"/>
        <n v="93"/>
        <n v="629.29999999999995"/>
        <n v="489.4"/>
        <n v="356.9"/>
        <n v="326.3"/>
        <n v="262.10000000000002"/>
        <n v="238.1"/>
        <n v="196"/>
        <n v="174.2"/>
        <n v="154.4"/>
        <n v="148.69999999999999"/>
        <n v="124.8"/>
        <n v="115.5"/>
        <n v="112.2"/>
        <n v="91.2"/>
        <n v="64.7"/>
        <n v="39.200000000000003"/>
        <n v="43"/>
        <n v="1291.3"/>
        <n v="200.1"/>
        <n v="338.8"/>
        <n v="650.70000000000005"/>
        <n v="99.7"/>
        <n v="230.2"/>
        <n v="437.4"/>
        <n v="194.1"/>
        <n v="230.9"/>
        <n v="782.3"/>
        <n v="620.5"/>
        <n v="578.70000000000005"/>
        <n v="406.9"/>
        <n v="396.9"/>
        <n v="344"/>
        <n v="319.39999999999998"/>
        <n v="296.2"/>
        <n v="275.60000000000002"/>
        <n v="271.3"/>
        <n v="205.7"/>
        <n v="147.30000000000001"/>
        <n v="100.3"/>
        <n v="94.6"/>
        <n v="93.1"/>
        <n v="88.6"/>
        <n v="87.8"/>
        <n v="43.1"/>
        <n v="34"/>
        <n v="595.5"/>
        <n v="610.4"/>
        <n v="522.5"/>
        <n v="355.9"/>
        <n v="329.1"/>
        <n v="558.70000000000005"/>
        <n v="546.6"/>
        <n v="407.5"/>
        <n v="491.5"/>
        <n v="391.2"/>
        <n v="390"/>
        <n v="268.89999999999998"/>
        <n v="441.5"/>
        <n v="645.70000000000005"/>
        <n v="643.70000000000005"/>
        <n v="500.4"/>
        <n v="483"/>
        <n v="476.1"/>
        <n v="402.2"/>
        <n v="379.8"/>
        <n v="328.1"/>
        <n v="327.3"/>
        <n v="304.89999999999998"/>
        <n v="294.39999999999998"/>
        <n v="292.10000000000002"/>
        <n v="245"/>
        <n v="182.4"/>
        <n v="168.3"/>
        <n v="148.6"/>
        <n v="131.4"/>
        <n v="112.7"/>
        <n v="102"/>
        <n v="663.4"/>
        <n v="1288.5"/>
        <n v="436.8"/>
        <n v="147.1"/>
        <n v="455"/>
        <n v="413.3"/>
        <n v="416.9"/>
        <n v="750.8"/>
        <n v="466.9"/>
        <n v="360.8"/>
        <n v="695.2"/>
        <n v="501.4"/>
        <n v="470.3"/>
        <n v="433.4"/>
        <n v="376.2"/>
        <n v="373"/>
        <n v="363.3"/>
        <n v="347.4"/>
        <n v="303.8"/>
        <n v="237.1"/>
        <n v="195.9"/>
        <n v="170.1"/>
        <n v="137"/>
        <n v="112.5"/>
        <n v="88.5"/>
        <n v="157.6"/>
        <n v="336.4"/>
        <n v="567.6"/>
        <n v="420"/>
        <n v="272.3"/>
        <n v="851.4"/>
        <n v="740"/>
        <n v="524.1"/>
        <n v="427.3"/>
        <n v="399.8"/>
        <n v="377.5"/>
        <n v="337.4"/>
        <n v="333"/>
        <n v="320"/>
        <n v="318.39999999999998"/>
        <n v="256.5"/>
        <n v="225.5"/>
        <n v="224.1"/>
        <n v="220.1"/>
        <n v="174.4"/>
        <n v="155.80000000000001"/>
        <n v="140.5"/>
        <n v="130.69999999999999"/>
        <n v="68.099999999999994"/>
        <n v="41.9"/>
        <n v="383.4"/>
        <n v="113.6"/>
        <n v="289.5"/>
        <n v="695.9"/>
        <n v="525.1"/>
        <n v="1008.4"/>
        <n v="536.9"/>
        <n v="346.6"/>
        <n v="345.3"/>
        <n v="340.1"/>
        <n v="334.3"/>
        <n v="251.5"/>
        <n v="137.69999999999999"/>
        <n v="134.9"/>
        <n v="119.6"/>
        <n v="93.6"/>
        <n v="70.2"/>
        <n v="336.7"/>
        <n v="358.1"/>
        <n v="173.2"/>
        <n v="731.7"/>
        <n v="1775.3"/>
        <n v="1358.5"/>
        <n v="733.3"/>
        <n v="686.4"/>
        <n v="590.20000000000005"/>
        <n v="572.29999999999995"/>
        <n v="424.2"/>
        <n v="333.6"/>
        <n v="324"/>
        <n v="290.10000000000002"/>
        <n v="281.39999999999998"/>
        <n v="240.1"/>
        <n v="209.3"/>
        <n v="190.6"/>
        <n v="185.1"/>
        <n v="180"/>
        <n v="169"/>
        <n v="130.5"/>
        <n v="60.4"/>
        <n v="298"/>
        <n v="154.6"/>
        <n v="525.5"/>
        <n v="295.60000000000002"/>
        <n v="777.4"/>
        <n v="486.4"/>
        <n v="260.10000000000002"/>
        <n v="233.7"/>
        <n v="136.9"/>
        <n v="133.9"/>
        <n v="131.1"/>
        <n v="88"/>
        <n v="62.1"/>
        <n v="50"/>
        <n v="870.2"/>
        <n v="680.6"/>
        <n v="301.8"/>
        <n v="292.39999999999998"/>
        <n v="630.5"/>
        <n v="91.8"/>
        <n v="614.1"/>
        <n v="179.4"/>
        <n v="100.7"/>
        <n v="333.8"/>
        <n v="126.3"/>
        <n v="675.9"/>
        <n v="685.2"/>
        <n v="449.6"/>
        <n v="621.4"/>
        <n v="549.4"/>
        <n v="495"/>
        <n v="464.2"/>
        <n v="437.8"/>
        <n v="433.8"/>
        <n v="370.9"/>
        <n v="349.4"/>
        <n v="332.6"/>
        <n v="273.3"/>
        <n v="267.5"/>
        <n v="256.2"/>
        <n v="253.9"/>
        <n v="225"/>
        <n v="207.6"/>
        <n v="79"/>
        <n v="78"/>
        <n v="463.4"/>
        <n v="307.2"/>
        <n v="481.4"/>
        <n v="256.89999999999998"/>
        <n v="712.1"/>
        <n v="323.3"/>
        <n v="578.20000000000005"/>
        <n v="689"/>
        <n v="286"/>
        <n v="214.4"/>
        <n v="119.2"/>
        <n v="654.4"/>
        <n v="543.6"/>
        <n v="514.4"/>
        <n v="496.1"/>
        <n v="485.6"/>
        <n v="446.8"/>
        <n v="431.7"/>
        <n v="393.1"/>
        <n v="233.1"/>
        <n v="201.5"/>
        <n v="157.30000000000001"/>
        <n v="125.4"/>
        <n v="114.2"/>
        <n v="106.2"/>
        <n v="83.4"/>
        <n v="68.3"/>
        <n v="54"/>
        <n v="43.3"/>
        <n v="538.79999999999995"/>
        <n v="502.7"/>
        <n v="726.1"/>
        <n v="86.2"/>
        <n v="258.8"/>
        <n v="301.3"/>
        <n v="585.9"/>
        <n v="401"/>
        <n v="351.5"/>
        <n v="327.2"/>
        <n v="288.10000000000002"/>
        <n v="248.9"/>
        <n v="168.1"/>
        <n v="161.9"/>
        <n v="140"/>
        <n v="139.5"/>
        <n v="111.7"/>
        <n v="100.4"/>
        <n v="88.3"/>
        <n v="65.3"/>
        <n v="626.5"/>
        <n v="580.70000000000005"/>
        <n v="146.80000000000001"/>
        <n v="370.4"/>
        <n v="495.2"/>
        <n v="266.7"/>
        <n v="98.3"/>
        <n v="461.6"/>
        <n v="460.9"/>
        <n v="425.1"/>
        <n v="403.3"/>
        <n v="356.4"/>
        <n v="319.89999999999998"/>
        <n v="276.89999999999998"/>
        <n v="239.5"/>
        <n v="133.4"/>
        <n v="123.8"/>
        <n v="123.6"/>
        <n v="99.2"/>
        <n v="73.900000000000006"/>
        <n v="253.2"/>
        <n v="135.4"/>
        <n v="644.4"/>
        <n v="279.2"/>
        <n v="366.8"/>
        <n v="279.5"/>
        <n v="335.3"/>
        <n v="304.7"/>
        <n v="590.6"/>
        <n v="910.2"/>
        <n v="306.89999999999998"/>
        <n v="507.1"/>
        <n v="588.79999999999995"/>
        <n v="803.7"/>
        <n v="726.3"/>
        <n v="721.6"/>
        <n v="428"/>
        <n v="342.4"/>
        <n v="340.9"/>
        <n v="322.3"/>
        <n v="285.10000000000002"/>
        <n v="250.1"/>
        <n v="243.4"/>
        <n v="186.5"/>
        <n v="177.1"/>
        <n v="146.6"/>
        <n v="94.9"/>
        <n v="92.7"/>
        <n v="65"/>
        <n v="47.7"/>
        <n v="181.4"/>
        <n v="447.9"/>
        <n v="185.9"/>
        <n v="816.2"/>
        <n v="455.5"/>
        <n v="1320.2"/>
        <n v="170.6"/>
        <n v="971"/>
        <n v="642.1"/>
        <n v="629.79999999999995"/>
        <n v="611"/>
        <n v="558"/>
        <n v="382"/>
        <n v="367.3"/>
        <n v="355"/>
        <n v="270.3"/>
        <n v="245.5"/>
        <n v="237.5"/>
        <n v="216.4"/>
        <n v="141.30000000000001"/>
        <n v="138.80000000000001"/>
        <n v="130.30000000000001"/>
        <n v="128.69999999999999"/>
        <n v="127"/>
        <n v="124.7"/>
        <n v="108.7"/>
        <n v="33.200000000000003"/>
        <n v="9"/>
        <n v="877.4"/>
        <n v="148.5"/>
        <n v="114"/>
        <n v="557.29999999999995"/>
        <n v="218.1"/>
        <n v="428.2"/>
        <n v="210"/>
        <n v="607.20000000000005"/>
        <n v="99.6"/>
        <n v="540.70000000000005"/>
        <n v="349.8"/>
        <n v="512.79999999999995"/>
        <n v="602.29999999999995"/>
        <n v="647.29999999999995"/>
        <n v="610.6"/>
        <n v="598.5"/>
        <n v="458.1"/>
        <n v="437.1"/>
        <n v="405.9"/>
        <n v="347.6"/>
        <n v="305.60000000000002"/>
        <n v="302.89999999999998"/>
        <n v="214.6"/>
        <n v="206.6"/>
        <n v="154.69999999999999"/>
        <n v="142.69999999999999"/>
        <n v="142.1"/>
        <n v="138.1"/>
        <n v="103.8"/>
        <n v="91.4"/>
        <n v="65.900000000000006"/>
        <n v="50.8"/>
        <n v="37.6"/>
        <n v="172.8"/>
        <n v="504.6"/>
        <n v="601.70000000000005"/>
        <n v="545.5"/>
        <n v="315.39999999999998"/>
        <n v="709.2"/>
        <n v="66.900000000000006"/>
        <n v="760.2"/>
        <n v="240.6"/>
        <n v="568"/>
        <n v="360.9"/>
        <n v="324.7"/>
        <n v="299.5"/>
        <n v="261.39999999999998"/>
        <n v="249.5"/>
        <n v="224.2"/>
        <n v="219.9"/>
        <n v="189.6"/>
        <n v="157.4"/>
        <n v="146.1"/>
        <n v="142.19999999999999"/>
        <n v="593.5"/>
        <n v="141.80000000000001"/>
        <n v="544.1"/>
        <n v="650.29999999999995"/>
        <n v="591.4"/>
        <n v="478.5"/>
        <n v="537.1"/>
        <n v="726.6"/>
        <n v="722.4"/>
        <n v="1003.9"/>
        <n v="861.5"/>
        <n v="545.70000000000005"/>
        <n v="504.2"/>
        <n v="433.1"/>
        <n v="358.7"/>
        <n v="355.5"/>
        <n v="323.60000000000002"/>
        <n v="320.89999999999998"/>
        <n v="287.5"/>
        <n v="275.39999999999998"/>
        <n v="270.5"/>
        <n v="244.1"/>
        <n v="184.7"/>
        <n v="179.1"/>
        <n v="129.5"/>
        <n v="116.8"/>
        <n v="44.2"/>
        <n v="543.29999999999995"/>
        <n v="464.1"/>
        <n v="440.4"/>
        <n v="174"/>
        <n v="541"/>
        <n v="321"/>
        <n v="385.2"/>
        <n v="79.3"/>
        <n v="946.9"/>
        <n v="303.10000000000002"/>
        <n v="657"/>
        <n v="261"/>
        <n v="206.3"/>
        <n v="92.1"/>
        <n v="950.3"/>
        <n v="695.5"/>
        <n v="464.6"/>
        <n v="387.6"/>
        <n v="375.2"/>
        <n v="293.39999999999998"/>
        <n v="235.2"/>
        <n v="208.5"/>
        <n v="194.9"/>
        <n v="112.9"/>
        <n v="105.7"/>
        <n v="20"/>
        <n v="505.1"/>
        <n v="608"/>
        <n v="327.9"/>
        <n v="158.69999999999999"/>
        <n v="600.5"/>
        <n v="314"/>
        <n v="462"/>
        <n v="438.4"/>
        <n v="303.89999999999998"/>
        <n v="302.60000000000002"/>
        <n v="251.8"/>
        <n v="234.8"/>
        <n v="227.2"/>
        <n v="215.1"/>
        <n v="185.8"/>
        <n v="112.8"/>
        <n v="100"/>
        <n v="95.8"/>
        <n v="67.3"/>
        <n v="45"/>
        <n v="583.20000000000005"/>
        <n v="549.29999999999995"/>
        <n v="365.6"/>
        <n v="604.1"/>
        <n v="437.5"/>
        <n v="1153.8"/>
        <n v="969.9"/>
        <n v="284.8"/>
        <n v="250.7"/>
        <n v="388.2"/>
        <n v="364.6"/>
        <n v="545.6"/>
        <n v="441.4"/>
        <n v="334.7"/>
        <n v="326.60000000000002"/>
        <n v="273.2"/>
        <n v="268.3"/>
        <n v="255.5"/>
        <n v="254"/>
        <n v="242.7"/>
        <n v="188.4"/>
        <n v="172"/>
        <n v="107.3"/>
        <n v="101.6"/>
        <n v="69.3"/>
        <n v="64"/>
        <n v="63.8"/>
        <n v="61.5"/>
        <n v="216.3"/>
        <n v="425.5"/>
        <n v="988.6"/>
        <n v="679.5"/>
        <n v="190.2"/>
        <n v="396.7"/>
        <n v="521.1"/>
        <n v="626.70000000000005"/>
        <n v="367.2"/>
        <n v="242.8"/>
        <n v="790.6"/>
        <n v="746.1"/>
        <n v="636.4"/>
        <n v="459.4"/>
        <n v="410.1"/>
        <n v="378.3"/>
        <n v="361.6"/>
        <n v="278.39999999999998"/>
        <n v="277.60000000000002"/>
        <n v="259.89999999999998"/>
        <n v="207.4"/>
        <n v="178.6"/>
        <n v="158.30000000000001"/>
        <n v="129.1"/>
        <n v="118.2"/>
        <n v="107.9"/>
        <n v="104.3"/>
        <n v="63.3"/>
        <n v="406"/>
        <n v="161.5"/>
        <n v="549.20000000000005"/>
        <n v="243.1"/>
        <n v="844.7"/>
        <n v="373.8"/>
        <n v="854.2"/>
        <n v="540.9"/>
        <n v="440"/>
        <n v="359.1"/>
        <n v="338.1"/>
        <n v="303"/>
        <n v="264.89999999999998"/>
        <n v="260"/>
        <n v="221.8"/>
        <n v="153.4"/>
        <n v="130.19999999999999"/>
        <n v="48.5"/>
        <n v="35"/>
        <n v="624.70000000000005"/>
        <n v="401.5"/>
        <n v="471.6"/>
        <n v="931"/>
        <n v="127.9"/>
        <n v="778.6"/>
        <n v="787"/>
        <n v="467.2"/>
        <n v="447"/>
        <n v="188.5"/>
        <n v="467.9"/>
        <n v="621.29999999999995"/>
        <n v="82"/>
        <n v="619.1"/>
        <n v="573.20000000000005"/>
        <n v="429.1"/>
        <n v="424.1"/>
        <n v="407.1"/>
        <n v="406.8"/>
        <n v="310.39999999999998"/>
        <n v="230.5"/>
        <n v="228.6"/>
        <n v="189.1"/>
        <n v="167.7"/>
        <n v="166.5"/>
        <n v="131.19999999999999"/>
        <n v="80.7"/>
        <n v="75.8"/>
        <n v="529.5"/>
        <n v="948.9"/>
        <n v="335.9"/>
        <n v="224"/>
        <n v="304.10000000000002"/>
        <n v="554"/>
        <n v="498.1"/>
        <n v="447.3"/>
        <n v="620.6"/>
        <n v="352.9"/>
        <n v="443.2"/>
        <n v="445.1"/>
        <n v="433"/>
        <n v="393.4"/>
        <n v="383.6"/>
        <n v="352.3"/>
        <n v="319.3"/>
        <n v="309.5"/>
        <n v="214.1"/>
        <n v="200.3"/>
        <n v="191.4"/>
        <n v="178.4"/>
        <n v="141.9"/>
        <n v="124.1"/>
        <n v="86.7"/>
        <n v="85.7"/>
        <n v="75.7"/>
        <n v="58.5"/>
        <n v="482.2"/>
        <n v="564.1"/>
        <n v="434.4"/>
        <n v="585.1"/>
        <n v="1456.7"/>
        <n v="445.5"/>
        <n v="624"/>
        <n v="618.5"/>
        <n v="479.4"/>
        <n v="450"/>
        <n v="414.3"/>
        <n v="300.5"/>
        <n v="251.9"/>
        <n v="211.9"/>
        <n v="169.8"/>
        <n v="154"/>
        <n v="110.5"/>
        <n v="98.5"/>
        <n v="95.4"/>
        <n v="93.3"/>
        <n v="63.4"/>
        <n v="332.3"/>
        <n v="242.4"/>
        <n v="440.6"/>
        <n v="319"/>
        <n v="921.5"/>
        <n v="567.20000000000005"/>
        <n v="864.8"/>
        <n v="782.9"/>
        <n v="651.20000000000005"/>
        <n v="447.6"/>
        <n v="412.6"/>
        <n v="360.2"/>
        <n v="342.8"/>
        <n v="317.2"/>
        <n v="309.2"/>
        <n v="264.7"/>
        <n v="192.6"/>
        <n v="183.6"/>
        <n v="162.80000000000001"/>
        <n v="144.4"/>
        <n v="142.6"/>
        <n v="139"/>
        <n v="132.1"/>
        <n v="81"/>
        <n v="478"/>
        <n v="959.9"/>
        <n v="304.60000000000002"/>
        <n v="457.9"/>
        <n v="208.7"/>
        <n v="902.1"/>
        <n v="579.6"/>
        <n v="568.1"/>
        <n v="370.8"/>
        <n v="310.10000000000002"/>
        <n v="270.10000000000002"/>
        <n v="130.1"/>
        <n v="84.3"/>
        <n v="56.1"/>
        <n v="222.2"/>
        <n v="220.4"/>
        <n v="735.5"/>
        <n v="920.1"/>
        <n v="358.3"/>
        <n v="414.6"/>
        <n v="622.70000000000005"/>
        <n v="530.9"/>
        <n v="488.7"/>
        <n v="415.8"/>
        <n v="344.2"/>
        <n v="336.9"/>
        <n v="274.8"/>
        <n v="262.89999999999998"/>
        <n v="203.6"/>
        <n v="184.9"/>
        <n v="176.4"/>
        <n v="412.7"/>
        <n v="708.6"/>
        <n v="899"/>
        <n v="442"/>
        <n v="915.6"/>
        <n v="284.2"/>
        <n v="319.5"/>
        <n v="398.8"/>
        <n v="338.6"/>
        <n v="454.8"/>
        <n v="1539.7"/>
        <n v="559.79999999999995"/>
        <n v="442.5"/>
        <n v="194.3"/>
        <n v="186.2"/>
        <n v="122.2"/>
        <n v="106"/>
        <n v="90.2"/>
        <n v="72.900000000000006"/>
        <n v="59"/>
        <n v="759.2"/>
        <n v="1214.7"/>
        <n v="1022.5"/>
        <n v="459.2"/>
        <n v="173"/>
        <n v="234.2"/>
        <n v="213.9"/>
        <n v="492.4"/>
        <n v="1005.1"/>
        <n v="930.8"/>
        <n v="566"/>
        <n v="526.79999999999995"/>
        <n v="468.7"/>
        <n v="433.3"/>
        <n v="317.10000000000002"/>
        <n v="283.5"/>
        <n v="282.3"/>
        <n v="232.1"/>
        <n v="185.6"/>
        <n v="182.9"/>
        <n v="153.1"/>
        <n v="89"/>
        <n v="40"/>
        <n v="34.5"/>
        <n v="31"/>
        <n v="170"/>
        <n v="659.9"/>
        <n v="948.1"/>
        <n v="795"/>
        <n v="365.9"/>
        <n v="1216.9000000000001"/>
        <n v="518"/>
        <n v="409.6"/>
        <n v="65.5"/>
        <n v="892.9"/>
        <n v="316.89999999999998"/>
        <n v="421.9"/>
        <n v="852.3"/>
        <n v="160.4"/>
        <n v="425.9"/>
        <n v="554.29999999999995"/>
        <n v="437.7"/>
        <n v="433.6"/>
        <n v="395.7"/>
        <n v="352.5"/>
        <n v="337.7"/>
        <n v="330.6"/>
        <n v="310.60000000000002"/>
        <n v="286.60000000000002"/>
        <n v="283.8"/>
        <n v="244.6"/>
        <n v="189.5"/>
        <n v="154.9"/>
        <n v="131.69999999999999"/>
        <n v="121.5"/>
        <n v="114.3"/>
        <n v="108.3"/>
        <n v="86.4"/>
        <n v="78.8"/>
        <n v="293.60000000000002"/>
        <n v="264.10000000000002"/>
        <n v="391.4"/>
        <n v="350.8"/>
        <n v="1050.3"/>
        <n v="41.4"/>
        <n v="307.8"/>
        <n v="383.1"/>
        <n v="290"/>
        <n v="609.29999999999995"/>
        <n v="347.7"/>
        <n v="337.1"/>
        <n v="261.7"/>
        <n v="257.2"/>
        <n v="247.8"/>
        <n v="131.5"/>
        <n v="109.9"/>
        <n v="69.900000000000006"/>
        <n v="68.400000000000006"/>
        <n v="743.7"/>
        <n v="207.2"/>
        <n v="1001.3"/>
        <n v="409.7"/>
        <n v="660.1"/>
        <n v="1157.9000000000001"/>
        <n v="934.8"/>
        <n v="716.9"/>
        <n v="81.599999999999994"/>
        <n v="515.5"/>
        <n v="384.1"/>
        <n v="1203.5"/>
        <n v="633.79999999999995"/>
        <n v="573"/>
        <n v="493.3"/>
        <n v="479.9"/>
        <n v="433.9"/>
        <n v="352"/>
        <n v="338.5"/>
        <n v="336.2"/>
        <n v="305.5"/>
        <n v="220.9"/>
        <n v="183.3"/>
        <n v="103.9"/>
        <n v="103.1"/>
        <n v="97"/>
        <n v="90.9"/>
        <n v="59.7"/>
        <n v="94.8"/>
        <n v="676.6"/>
        <n v="720.3"/>
        <n v="192.3"/>
        <n v="1704.7"/>
        <n v="241.1"/>
        <n v="381.3"/>
        <n v="53"/>
        <n v="1290.9000000000001"/>
        <n v="700.2"/>
        <n v="632.79999999999995"/>
        <n v="427.8"/>
        <n v="396.4"/>
        <n v="395"/>
        <n v="380.2"/>
        <n v="330.3"/>
        <n v="301.5"/>
        <n v="294.10000000000002"/>
        <n v="263.89999999999998"/>
        <n v="258.5"/>
        <n v="190.4"/>
        <n v="181.1"/>
        <n v="131.30000000000001"/>
        <n v="127.8"/>
        <n v="105.8"/>
        <n v="96.1"/>
        <n v="91.6"/>
        <n v="73.099999999999994"/>
        <n v="50.2"/>
        <n v="828.3"/>
        <n v="48.6"/>
        <n v="1155.5999999999999"/>
        <n v="880.2"/>
        <n v="993.1"/>
        <n v="626.4"/>
        <n v="811.8"/>
        <n v="214.5"/>
        <n v="280.10000000000002"/>
        <n v="219.6"/>
        <n v="894.2"/>
        <n v="721"/>
        <n v="520.20000000000005"/>
        <n v="389.7"/>
        <n v="374.3"/>
        <n v="350.2"/>
        <n v="329.8"/>
        <n v="209.1"/>
        <n v="208.9"/>
        <n v="206.5"/>
        <n v="182"/>
        <n v="127.2"/>
        <n v="121.7"/>
        <n v="54.5"/>
        <n v="35.1"/>
        <n v="18"/>
        <n v="471.2"/>
        <n v="574.1"/>
        <n v="508.5"/>
        <n v="597.6"/>
        <n v="435.3"/>
        <n v="423.8"/>
        <n v="1132.0999999999999"/>
        <n v="589.5"/>
        <n v="495.7"/>
        <n v="422.2"/>
        <n v="411.7"/>
        <n v="405.3"/>
        <n v="397.7"/>
        <n v="342.9"/>
        <n v="327.60000000000002"/>
        <n v="285.8"/>
        <n v="190.8"/>
        <n v="151.6"/>
        <n v="128.4"/>
        <n v="101.3"/>
        <n v="59.9"/>
        <n v="37.9"/>
        <n v="37.200000000000003"/>
        <n v="16"/>
        <n v="320.7"/>
        <n v="509.4"/>
        <n v="238"/>
        <n v="777.7"/>
        <n v="667"/>
        <n v="517.29999999999995"/>
        <n v="446.9"/>
        <n v="345.9"/>
        <n v="323.89999999999998"/>
        <n v="287.8"/>
        <n v="225.2"/>
        <n v="198.1"/>
        <n v="197.2"/>
        <n v="193.2"/>
        <n v="185.4"/>
        <n v="143.30000000000001"/>
        <n v="116.4"/>
        <n v="99.3"/>
        <n v="76.7"/>
        <n v="32.700000000000003"/>
        <n v="159.9"/>
        <n v="200.7"/>
        <n v="511.8"/>
        <n v="901.9"/>
        <n v="425.2"/>
        <n v="738.6"/>
        <n v="300.89999999999998"/>
        <n v="279.8"/>
        <n v="557.70000000000005"/>
        <n v="430.1"/>
        <n v="271.7"/>
        <n v="246.4"/>
        <n v="239.8"/>
        <n v="236.7"/>
        <n v="228.7"/>
        <n v="217.8"/>
        <n v="213.8"/>
        <n v="204.5"/>
        <n v="132.4"/>
        <n v="127.3"/>
        <n v="125.5"/>
        <n v="51.8"/>
        <n v="714.1"/>
        <n v="705.5"/>
        <n v="1132.8"/>
        <n v="1028.7"/>
        <n v="434.1"/>
        <n v="906.6"/>
        <n v="641.29999999999995"/>
        <n v="277.39999999999998"/>
        <n v="672.8"/>
        <n v="649.20000000000005"/>
        <n v="512.29999999999995"/>
        <n v="474.7"/>
        <n v="411.6"/>
        <n v="326.89999999999998"/>
        <n v="301"/>
        <n v="262.39999999999998"/>
        <n v="228.2"/>
        <n v="202.6"/>
        <n v="195.8"/>
        <n v="174.9"/>
        <n v="167.9"/>
        <n v="166"/>
        <n v="165.1"/>
        <n v="119"/>
        <n v="103"/>
        <n v="97.7"/>
        <n v="377.8"/>
        <n v="367.6"/>
        <n v="923.7"/>
        <n v="291.60000000000002"/>
        <n v="178.9"/>
        <n v="622"/>
        <n v="394.7"/>
        <n v="316.10000000000002"/>
        <n v="290.3"/>
        <n v="285.2"/>
        <n v="266.5"/>
        <n v="248.8"/>
        <n v="246.3"/>
        <n v="245.1"/>
        <n v="223.9"/>
        <n v="195"/>
        <n v="168.6"/>
        <n v="149.4"/>
        <n v="138.19999999999999"/>
        <n v="129.80000000000001"/>
        <n v="117.2"/>
        <n v="113.2"/>
        <n v="102.8"/>
        <n v="100.6"/>
        <n v="93.5"/>
        <n v="82.5"/>
        <n v="420.2"/>
        <n v="599.70000000000005"/>
        <n v="699.5"/>
        <n v="485.3"/>
        <n v="409.8"/>
        <n v="547"/>
        <n v="537.9"/>
        <n v="469.5"/>
        <n v="430.3"/>
        <n v="398.6"/>
        <n v="374.7"/>
        <n v="313.7"/>
        <n v="268.2"/>
        <n v="259.2"/>
        <n v="221.1"/>
        <n v="176"/>
        <n v="153.9"/>
        <n v="69.5"/>
        <n v="56.7"/>
        <n v="45.3"/>
        <n v="376.7"/>
        <n v="721.7"/>
        <n v="807.1"/>
        <n v="1570.2"/>
        <n v="1187.7"/>
        <n v="341.4"/>
        <n v="343.6"/>
        <n v="187.1"/>
        <n v="603.20000000000005"/>
        <n v="571.29999999999995"/>
        <n v="479.3"/>
        <n v="429.4"/>
        <n v="373.6"/>
        <n v="365.1"/>
        <n v="357.4"/>
        <n v="323.5"/>
        <n v="314.3"/>
        <n v="285.39999999999998"/>
        <n v="181"/>
        <n v="162.1"/>
        <n v="92.5"/>
        <n v="179.3"/>
        <n v="486.7"/>
        <n v="316.5"/>
        <n v="468.4"/>
        <n v="105"/>
        <n v="122"/>
        <n v="660.8"/>
        <n v="603.4"/>
        <n v="515.79999999999995"/>
        <n v="515.29999999999995"/>
        <n v="513.70000000000005"/>
        <n v="503.4"/>
        <n v="502.3"/>
        <n v="427.5"/>
        <n v="393.3"/>
        <n v="292.2"/>
        <n v="231"/>
        <n v="163.9"/>
        <n v="157.9"/>
        <n v="146.19999999999999"/>
        <n v="96.3"/>
        <n v="52.7"/>
        <n v="707.7"/>
        <n v="321.89999999999998"/>
        <n v="279.39999999999998"/>
        <n v="865.2"/>
        <n v="929"/>
        <n v="96.2"/>
        <n v="480.9"/>
        <n v="650"/>
        <n v="247.4"/>
        <n v="838.2"/>
        <n v="787.4"/>
        <n v="641.5"/>
        <n v="616.4"/>
        <n v="413.9"/>
        <n v="322.5"/>
        <n v="267.3"/>
        <n v="260.39999999999998"/>
        <n v="181.5"/>
        <n v="179.8"/>
        <n v="146.5"/>
        <n v="128.6"/>
        <n v="101.5"/>
        <n v="485.8"/>
        <n v="118"/>
        <n v="591"/>
        <n v="1686.7"/>
        <n v="731.3"/>
        <n v="932.6"/>
        <n v="1839.2"/>
        <n v="212.2"/>
        <n v="291.39999999999998"/>
        <n v="486.2"/>
        <n v="670.2"/>
        <n v="454.7"/>
        <n v="342"/>
        <n v="226.1"/>
        <n v="158.5"/>
        <n v="66.2"/>
        <n v="59.6"/>
        <n v="51.4"/>
        <n v="167.4"/>
        <n v="1002.8"/>
        <n v="36.6"/>
        <n v="550.79999999999995"/>
        <n v="1236.2"/>
        <n v="588.20000000000005"/>
        <n v="433.7"/>
        <n v="417.2"/>
        <n v="401.2"/>
        <n v="341.7"/>
        <n v="244.8"/>
        <n v="241.6"/>
        <n v="230.4"/>
        <n v="216.2"/>
        <n v="173.5"/>
        <n v="144.5"/>
        <n v="138.30000000000001"/>
        <n v="136.69999999999999"/>
        <n v="103.7"/>
        <n v="85.1"/>
        <n v="78.400000000000006"/>
        <n v="72.3"/>
        <n v="241.9"/>
        <n v="683.2"/>
        <n v="278.89999999999998"/>
        <n v="502.4"/>
        <n v="693.3"/>
        <n v="440.1"/>
        <n v="267.2"/>
        <n v="600.6"/>
        <n v="344.6"/>
        <n v="183.8"/>
        <n v="254.1"/>
        <n v="791.8"/>
        <n v="274.5"/>
        <n v="375.1"/>
        <n v="688.3"/>
        <n v="847.4"/>
        <n v="572.20000000000005"/>
        <n v="361.5"/>
        <n v="276.7"/>
        <n v="404.2"/>
        <n v="138"/>
        <n v="808.6"/>
        <n v="778.5"/>
        <n v="771.7"/>
        <n v="725.8"/>
        <n v="562.70000000000005"/>
        <n v="515.20000000000005"/>
        <n v="512"/>
        <n v="475.3"/>
        <n v="474.9"/>
        <n v="380.5"/>
        <n v="185"/>
        <n v="120"/>
        <n v="112.3"/>
        <n v="87.7"/>
        <n v="75.599999999999994"/>
        <n v="53.8"/>
        <n v="573.6"/>
        <n v="375.4"/>
        <n v="709.9"/>
        <n v="166.1"/>
        <n v="759.7"/>
        <n v="734"/>
        <n v="840.5"/>
        <n v="608.79999999999995"/>
        <n v="472.5"/>
        <n v="347"/>
        <n v="337.6"/>
        <n v="324.39999999999998"/>
        <n v="263.7"/>
        <n v="210.9"/>
        <n v="176.5"/>
        <n v="170.4"/>
        <n v="166.8"/>
        <n v="164.6"/>
        <n v="116.7"/>
        <n v="46"/>
        <n v="402"/>
        <n v="1345.2"/>
        <n v="234.7"/>
        <n v="245.8"/>
        <n v="110.3"/>
        <n v="204.6"/>
        <n v="558.9"/>
        <n v="1675.6"/>
        <n v="302.2"/>
        <n v="180.8"/>
        <n v="518.29999999999995"/>
        <n v="879.8"/>
        <n v="702.5"/>
        <n v="564.4"/>
        <n v="563.20000000000005"/>
        <n v="550.29999999999995"/>
        <n v="506.6"/>
        <n v="414.9"/>
        <n v="394.1"/>
        <n v="301.60000000000002"/>
        <n v="299.60000000000002"/>
        <n v="295.10000000000002"/>
        <n v="288.8"/>
        <n v="219.3"/>
        <n v="204.4"/>
        <n v="197.5"/>
        <n v="89.9"/>
        <n v="81.8"/>
        <n v="389.9"/>
        <n v="512.1"/>
        <n v="484.7"/>
        <n v="755.3"/>
        <n v="604"/>
        <n v="171.5"/>
        <n v="906.5"/>
        <n v="1510"/>
        <n v="881.2"/>
        <n v="577.6"/>
        <n v="819.7"/>
        <n v="404.5"/>
        <n v="395.8"/>
        <n v="380.8"/>
        <n v="321.39999999999998"/>
        <n v="216.6"/>
        <n v="200"/>
        <n v="182.6"/>
        <n v="166.6"/>
        <n v="108.5"/>
        <n v="60.5"/>
        <n v="971.2"/>
        <n v="585.4"/>
        <n v="611.5"/>
        <n v="598.6"/>
        <n v="84.5"/>
        <n v="683.8"/>
        <n v="592.20000000000005"/>
        <n v="459.8"/>
        <n v="386.1"/>
        <n v="335.8"/>
        <n v="313"/>
        <n v="275.3"/>
        <n v="256.10000000000002"/>
        <n v="228.4"/>
        <n v="159.30000000000001"/>
        <n v="158.4"/>
        <n v="124"/>
        <n v="104.6"/>
        <n v="95.3"/>
        <n v="199.3"/>
        <n v="283"/>
        <n v="1103.7"/>
        <n v="84.8"/>
        <n v="1305.7"/>
        <n v="647.6"/>
        <n v="669.6"/>
        <n v="529.20000000000005"/>
        <n v="513"/>
        <n v="463.3"/>
        <n v="379.9"/>
        <n v="343.1"/>
        <n v="331"/>
        <n v="292.7"/>
        <n v="189.2"/>
        <n v="118.9"/>
        <n v="118.3"/>
        <n v="117.6"/>
        <n v="13"/>
        <n v="281.3"/>
        <n v="480.6"/>
        <n v="199.8"/>
        <n v="749.6"/>
        <n v="945.5"/>
        <n v="656.1"/>
        <n v="687.3"/>
        <n v="379.3"/>
        <n v="1228.4000000000001"/>
        <n v="189.8"/>
        <n v="120.5"/>
        <n v="739.6"/>
        <n v="500.1"/>
        <n v="478.8"/>
        <n v="476.7"/>
        <n v="395.4"/>
        <n v="374.5"/>
        <n v="327"/>
        <n v="299.7"/>
        <n v="293.10000000000002"/>
        <n v="292.5"/>
        <n v="292.3"/>
        <n v="265.3"/>
        <n v="225.7"/>
        <n v="137.4"/>
        <n v="62"/>
        <n v="180.3"/>
        <n v="1161.2"/>
        <n v="102.1"/>
        <n v="992.6"/>
        <n v="269.2"/>
        <n v="203.3"/>
        <n v="832.6"/>
        <n v="134.80000000000001"/>
        <n v="428.5"/>
        <n v="615.20000000000005"/>
        <n v="438.8"/>
        <n v="416.3"/>
        <n v="368.2"/>
        <n v="312.8"/>
        <n v="281.7"/>
        <n v="226.8"/>
        <n v="139.19999999999999"/>
        <n v="135.19999999999999"/>
        <n v="135"/>
        <n v="80.400000000000006"/>
        <n v="77.5"/>
        <n v="595.4"/>
        <n v="815.6"/>
        <n v="884.6"/>
        <n v="200.6"/>
        <n v="764.3"/>
        <n v="519.9"/>
        <n v="662.7"/>
        <n v="638.1"/>
        <n v="430.8"/>
        <n v="414.4"/>
        <n v="390.9"/>
        <n v="340.4"/>
        <n v="294.7"/>
        <n v="249.8"/>
        <n v="223.4"/>
        <n v="208.1"/>
        <n v="167"/>
        <n v="89.5"/>
        <n v="1"/>
        <n v="614.4"/>
        <n v="225.1"/>
        <n v="511"/>
        <n v="277.3"/>
        <n v="598.29999999999995"/>
        <n v="797.7"/>
        <n v="816.5"/>
        <n v="637.1"/>
        <n v="505.4"/>
        <n v="446.6"/>
        <n v="435.9"/>
        <n v="431.8"/>
        <n v="421.2"/>
        <n v="270.7"/>
        <n v="269.10000000000002"/>
        <n v="239"/>
        <n v="191"/>
        <n v="150.1"/>
        <n v="122.6"/>
        <n v="105.5"/>
        <n v="102.6"/>
        <n v="94.3"/>
        <n v="74.400000000000006"/>
        <n v="869.4"/>
        <n v="535.20000000000005"/>
        <n v="699.7"/>
        <n v="339.7"/>
        <n v="160.1"/>
        <n v="485.1"/>
        <n v="338.4"/>
        <n v="531.6"/>
        <n v="865"/>
        <n v="345.2"/>
        <n v="336.6"/>
        <n v="334.1"/>
        <n v="219.4"/>
        <n v="213.7"/>
        <n v="162.5"/>
        <n v="137.1"/>
        <n v="126.6"/>
        <n v="72.7"/>
        <n v="54.9"/>
        <n v="39.299999999999997"/>
        <n v="228.8"/>
        <n v="606.29999999999995"/>
        <n v="870.6"/>
        <n v="852.6"/>
        <n v="521.4"/>
        <n v="348.9"/>
        <n v="418.2"/>
        <n v="664.4"/>
        <n v="628.6"/>
        <n v="620"/>
        <n v="473.1"/>
        <n v="455.3"/>
        <n v="445.8"/>
        <n v="426.3"/>
        <n v="378"/>
        <n v="289"/>
        <n v="288.39999999999998"/>
        <n v="283.3"/>
        <n v="259.60000000000002"/>
        <n v="245.2"/>
        <n v="236.1"/>
        <n v="220.7"/>
        <n v="179.9"/>
        <n v="165.3"/>
        <n v="163.5"/>
        <n v="148"/>
        <n v="142"/>
        <n v="114.6"/>
        <n v="108.9"/>
        <n v="81.099999999999994"/>
        <n v="63.1"/>
        <n v="55.4"/>
        <n v="43.7"/>
        <n v="305.89999999999998"/>
        <n v="438.1"/>
        <n v="369.8"/>
        <n v="924.7"/>
        <n v="357.8"/>
        <n v="651.5"/>
        <n v="48"/>
        <n v="460.7"/>
        <n v="638.20000000000005"/>
        <n v="573.4"/>
        <n v="525.29999999999995"/>
        <n v="494.4"/>
        <n v="247.9"/>
        <n v="219.2"/>
        <n v="160.9"/>
        <n v="143.6"/>
        <n v="116"/>
        <n v="503.9"/>
        <n v="719.8"/>
        <n v="1051.9000000000001"/>
        <n v="182.7"/>
        <n v="336.1"/>
        <n v="1006"/>
        <n v="588.6"/>
        <n v="719.9"/>
        <n v="159.19999999999999"/>
        <n v="1056"/>
        <n v="720"/>
        <n v="273.39999999999998"/>
        <n v="313.39999999999998"/>
        <n v="317.39999999999998"/>
        <n v="193.7"/>
        <n v="338.9"/>
        <n v="626.20000000000005"/>
        <n v="513.5"/>
        <n v="512.9"/>
        <n v="512.5"/>
        <n v="507.3"/>
        <n v="465.7"/>
        <n v="367.1"/>
        <n v="345.5"/>
        <n v="314.89999999999998"/>
        <n v="275.89999999999998"/>
        <n v="271.5"/>
        <n v="234.5"/>
        <n v="175.2"/>
        <n v="170.5"/>
        <n v="138.6"/>
        <n v="132.9"/>
        <n v="119.7"/>
        <n v="72.5"/>
        <n v="51.2"/>
        <n v="47.9"/>
        <n v="1006.6"/>
        <n v="1265.4000000000001"/>
        <n v="840.8"/>
        <n v="248.4"/>
        <n v="410.3"/>
        <n v="725.4"/>
        <n v="1016.5"/>
        <n v="1131.9000000000001"/>
        <n v="872.4"/>
        <n v="806"/>
        <n v="486.6"/>
        <n v="465.9"/>
        <n v="351.8"/>
        <n v="343.3"/>
        <n v="287.2"/>
        <n v="280.8"/>
        <n v="262.7"/>
        <n v="253.4"/>
        <n v="209.5"/>
        <n v="151.9"/>
        <n v="103.6"/>
        <n v="69"/>
        <n v="597.20000000000005"/>
        <n v="847.5"/>
        <n v="410.8"/>
        <n v="202.7"/>
        <n v="396"/>
        <n v="1035.5"/>
        <n v="239.9"/>
        <n v="689.6"/>
        <n v="1080.9000000000001"/>
        <n v="820.8"/>
        <n v="233.4"/>
        <n v="411.3"/>
        <n v="862.6"/>
        <n v="598.79999999999995"/>
        <n v="541.79999999999995"/>
        <n v="420.1"/>
        <n v="409.4"/>
        <n v="329.2"/>
        <n v="311.8"/>
        <n v="287.60000000000002"/>
        <n v="239.2"/>
        <n v="164.7"/>
        <n v="151.69999999999999"/>
        <n v="96.6"/>
        <n v="95.2"/>
        <n v="81.7"/>
        <n v="60.3"/>
        <n v="48.9"/>
        <n v="365.3"/>
        <n v="266.3"/>
        <n v="367.8"/>
        <n v="513.6"/>
        <n v="196.9"/>
        <n v="135.5"/>
        <n v="100.8"/>
        <n v="986.9"/>
        <n v="761.4"/>
        <n v="548.70000000000005"/>
        <n v="427.2"/>
        <n v="398.1"/>
        <n v="372.5"/>
        <n v="272"/>
        <n v="209.8"/>
        <n v="187.9"/>
        <n v="167.5"/>
        <n v="133.69999999999999"/>
        <n v="117"/>
        <n v="115"/>
        <n v="31.2"/>
        <n v="533.70000000000005"/>
        <n v="744"/>
        <n v="675.7"/>
        <n v="301.7"/>
        <n v="303.3"/>
        <n v="667.2"/>
        <n v="636"/>
        <n v="728.5"/>
        <n v="419.1"/>
        <n v="233.8"/>
        <n v="306.10000000000002"/>
        <n v="231.5"/>
        <n v="104.4"/>
        <n v="902.9"/>
        <n v="62.6"/>
        <n v="581"/>
        <n v="574.6"/>
        <n v="446.5"/>
        <n v="253.8"/>
        <n v="155.69999999999999"/>
        <n v="155.4"/>
        <n v="101.2"/>
        <n v="76.3"/>
        <n v="73.7"/>
        <n v="72.2"/>
        <n v="302.39999999999998"/>
        <n v="681"/>
        <n v="794.8"/>
        <n v="881.9"/>
        <n v="545.1"/>
        <n v="353.1"/>
        <n v="679.6"/>
        <n v="335.7"/>
        <n v="232.4"/>
        <n v="514.70000000000005"/>
        <n v="277.89999999999998"/>
        <n v="610.20000000000005"/>
        <n v="487.5"/>
        <n v="483.5"/>
        <n v="331.5"/>
        <n v="325.7"/>
        <n v="305.39999999999998"/>
        <n v="290.60000000000002"/>
        <n v="248.7"/>
        <n v="233.3"/>
        <n v="188"/>
        <n v="180.1"/>
        <n v="121.6"/>
        <n v="107.7"/>
        <n v="81.2"/>
        <n v="77.8"/>
        <n v="56.6"/>
        <n v="475.8"/>
        <n v="422.6"/>
        <n v="506.9"/>
        <n v="421"/>
        <n v="901.8"/>
        <n v="522.29999999999995"/>
        <n v="445.4"/>
        <n v="1306.5"/>
        <n v="518.9"/>
        <n v="492.1"/>
        <n v="425"/>
        <n v="411.5"/>
        <n v="409.2"/>
        <n v="352.8"/>
        <n v="352.1"/>
        <n v="350"/>
        <n v="263.5"/>
        <n v="221.2"/>
        <n v="181.8"/>
        <n v="156.9"/>
        <n v="105.4"/>
        <n v="52.5"/>
        <n v="354.9"/>
        <n v="297"/>
        <n v="110.2"/>
        <n v="684.1"/>
        <n v="579.4"/>
        <n v="366.6"/>
        <n v="233.9"/>
        <n v="568.20000000000005"/>
        <n v="211.4"/>
        <n v="571.4"/>
        <n v="267.89999999999998"/>
        <n v="492.6"/>
        <n v="421.1"/>
        <n v="740.7"/>
        <n v="1489.3"/>
        <n v="331.3"/>
        <n v="461.1"/>
        <n v="361.8"/>
        <n v="334.9"/>
        <n v="171.7"/>
        <n v="149.1"/>
        <n v="145.1"/>
        <n v="33.9"/>
        <n v="516.6"/>
        <n v="263"/>
        <n v="1094.7"/>
        <n v="485.9"/>
        <n v="710.8"/>
        <n v="443.5"/>
        <n v="440.2"/>
        <n v="439.2"/>
        <n v="431.9"/>
        <n v="317.89999999999998"/>
        <n v="312.10000000000002"/>
        <n v="305.8"/>
        <n v="298.39999999999998"/>
        <n v="290.5"/>
        <n v="232"/>
        <n v="206.9"/>
        <n v="141.1"/>
        <n v="135.1"/>
        <n v="52.6"/>
        <n v="325.5"/>
        <n v="487.3"/>
        <n v="328.5"/>
        <n v="754"/>
        <n v="366.7"/>
        <n v="136.30000000000001"/>
        <n v="141.69999999999999"/>
        <n v="427.1"/>
        <n v="466.8"/>
        <n v="413.5"/>
        <n v="406.5"/>
        <n v="382.9"/>
        <n v="354.4"/>
        <n v="268.5"/>
        <n v="259.7"/>
        <n v="255.8"/>
        <n v="151.5"/>
        <n v="150.80000000000001"/>
        <n v="116.6"/>
        <n v="48.8"/>
        <n v="424.9"/>
        <n v="328"/>
        <n v="743.2"/>
        <n v="314.60000000000002"/>
        <n v="115.2"/>
        <n v="327.10000000000002"/>
        <n v="755"/>
        <n v="548.79999999999995"/>
        <n v="519.29999999999995"/>
        <n v="403.9"/>
        <n v="318"/>
        <n v="302.8"/>
        <n v="300.39999999999998"/>
        <n v="229.7"/>
        <n v="163"/>
        <n v="57.5"/>
        <n v="513.1"/>
        <n v="573.9"/>
        <n v="630.29999999999995"/>
        <n v="396.1"/>
        <n v="345.6"/>
        <n v="913.8"/>
        <n v="368"/>
        <n v="359.4"/>
        <n v="351"/>
        <n v="314.8"/>
        <n v="223.8"/>
        <n v="115.7"/>
        <n v="41.2"/>
        <n v="35.799999999999997"/>
        <n v="525"/>
        <n v="667.6"/>
        <n v="428.7"/>
        <n v="569.5"/>
        <n v="1348.6"/>
        <n v="1009.9"/>
        <n v="401.8"/>
        <n v="621.9"/>
        <n v="246.5"/>
        <n v="506.1"/>
        <n v="490.8"/>
        <n v="489.7"/>
        <n v="352.6"/>
        <n v="285.3"/>
        <n v="258.39999999999998"/>
        <n v="220.6"/>
        <n v="193.5"/>
        <n v="151.1"/>
        <n v="135.6"/>
        <n v="32"/>
        <n v="519.4"/>
        <n v="382.7"/>
        <n v="645.4"/>
        <n v="121.4"/>
        <n v="819.2"/>
        <n v="436.9"/>
        <n v="403.2"/>
        <n v="285"/>
        <n v="240.5"/>
        <n v="144.9"/>
        <n v="114.8"/>
        <n v="93.4"/>
        <n v="42.3"/>
        <n v="579.70000000000005"/>
        <n v="992.4"/>
        <n v="902.2"/>
        <n v="757.5"/>
        <n v="541.70000000000005"/>
        <n v="439.6"/>
        <n v="541.29999999999995"/>
        <n v="210.2"/>
        <n v="494.1"/>
        <n v="247"/>
        <n v="202"/>
        <n v="166.4"/>
        <n v="111.5"/>
        <n v="81.3"/>
        <n v="466.6"/>
        <n v="648"/>
        <n v="187.7"/>
        <n v="387"/>
        <n v="601"/>
        <n v="584.6"/>
        <n v="529.29999999999995"/>
        <n v="905.4"/>
        <n v="412.8"/>
        <n v="830.2"/>
        <n v="490.9"/>
        <n v="325.8"/>
        <n v="302"/>
        <n v="283.39999999999998"/>
        <n v="280"/>
        <n v="252.3"/>
        <n v="212.7"/>
        <n v="212.5"/>
        <n v="179.2"/>
        <n v="101.7"/>
        <n v="45.9"/>
        <n v="43.6"/>
        <n v="570"/>
        <n v="427.9"/>
        <n v="935.1"/>
        <n v="609.1"/>
        <n v="1509"/>
        <n v="605.4"/>
        <n v="399"/>
        <n v="291"/>
        <n v="267.39999999999998"/>
        <n v="240.4"/>
        <n v="221.4"/>
        <n v="209.7"/>
        <n v="112.6"/>
        <n v="282.10000000000002"/>
        <n v="903.5"/>
        <n v="531.1"/>
        <n v="437.2"/>
        <n v="931.8"/>
        <n v="736.6"/>
        <n v="953.8"/>
        <n v="433.5"/>
        <n v="480.8"/>
        <n v="379"/>
        <n v="317.60000000000002"/>
        <n v="157"/>
        <n v="138.9"/>
        <n v="109.7"/>
        <n v="439"/>
        <n v="671.8"/>
        <n v="823.6"/>
        <n v="377.3"/>
        <n v="1343.4"/>
        <n v="350.3"/>
        <n v="488"/>
        <n v="430.2"/>
        <n v="424.5"/>
        <n v="636.79999999999995"/>
        <n v="539.9"/>
        <n v="509.1"/>
        <n v="307.7"/>
        <n v="272.60000000000002"/>
        <n v="259.10000000000002"/>
        <n v="245.9"/>
        <n v="168.8"/>
        <n v="145.9"/>
        <n v="130.80000000000001"/>
        <n v="83.8"/>
        <n v="75.2"/>
        <n v="373.3"/>
        <n v="91.9"/>
        <n v="234.4"/>
        <n v="805.5"/>
        <n v="355.2"/>
        <n v="605.5"/>
        <n v="332.1"/>
        <n v="229.1"/>
        <n v="581.5"/>
        <n v="439.7"/>
        <n v="782.6"/>
        <n v="817.3"/>
        <n v="224.9"/>
        <n v="521.6"/>
        <n v="405.7"/>
        <n v="303.7"/>
        <n v="270.89999999999998"/>
        <n v="49.7"/>
        <n v="37.799999999999997"/>
        <n v="444"/>
        <n v="396.3"/>
        <n v="530.5"/>
        <n v="717.4"/>
        <n v="324.10000000000002"/>
        <n v="900"/>
        <n v="651.70000000000005"/>
        <n v="547.20000000000005"/>
        <n v="379.2"/>
        <n v="255.3"/>
        <n v="216"/>
        <n v="214.9"/>
        <n v="147.6"/>
        <n v="113.1"/>
        <n v="108"/>
        <n v="80.2"/>
        <n v="596.6"/>
        <n v="266.39999999999998"/>
        <n v="38.700000000000003"/>
        <n v="115.9"/>
        <n v="71.099999999999994"/>
        <n v="555.29999999999995"/>
        <n v="236.3"/>
        <n v="257.7"/>
        <n v="264.3"/>
        <n v="205.9"/>
        <n v="200.9"/>
        <n v="190"/>
        <n v="147.19999999999999"/>
        <n v="139.1"/>
        <n v="133.19999999999999"/>
        <n v="69.8"/>
        <n v="22"/>
        <n v="647.5"/>
        <n v="640.20000000000005"/>
        <n v="614.20000000000005"/>
        <n v="447.2"/>
        <n v="289.2"/>
        <n v="542.20000000000005"/>
        <n v="308.2"/>
        <n v="183.4"/>
        <n v="252.2"/>
        <n v="450.9"/>
        <n v="999.7"/>
        <n v="559.20000000000005"/>
        <n v="497.2"/>
        <n v="492.5"/>
        <n v="475.2"/>
        <n v="474"/>
        <n v="426.2"/>
        <n v="407.7"/>
        <n v="299"/>
        <n v="277.10000000000002"/>
        <n v="259.5"/>
        <n v="220.3"/>
        <n v="219"/>
        <n v="156.5"/>
        <n v="294.8"/>
        <n v="136.6"/>
        <n v="562.79999999999995"/>
        <n v="1118.8"/>
        <n v="553.5"/>
        <n v="519.5"/>
        <n v="407.3"/>
        <n v="343.4"/>
        <n v="332.8"/>
        <n v="280.89999999999998"/>
        <n v="214.2"/>
        <n v="84"/>
        <n v="485.4"/>
        <n v="845.5"/>
        <n v="663.8"/>
        <n v="517.70000000000005"/>
        <n v="439.8"/>
        <n v="193.3"/>
        <n v="523.20000000000005"/>
        <n v="924.5"/>
        <n v="462.5"/>
        <n v="384.7"/>
        <n v="347.1"/>
        <n v="274.39999999999998"/>
        <n v="254.4"/>
        <n v="220.2"/>
        <n v="157.1"/>
        <n v="68.8"/>
        <n v="476.4"/>
        <n v="234.1"/>
        <n v="372.4"/>
        <n v="878.1"/>
        <n v="715.5"/>
        <n v="395.5"/>
        <n v="857.2"/>
        <n v="700.6"/>
        <n v="663.3"/>
        <n v="516.79999999999995"/>
        <n v="199.6"/>
        <n v="189.9"/>
        <n v="165.2"/>
        <n v="136.19999999999999"/>
        <n v="413.1"/>
        <n v="723"/>
        <n v="196.4"/>
        <n v="102.9"/>
        <n v="470.2"/>
        <n v="829"/>
        <n v="75.099999999999994"/>
        <n v="258.7"/>
        <n v="1010.8"/>
        <n v="410.7"/>
        <n v="648.4"/>
        <n v="659"/>
        <n v="564.70000000000005"/>
        <n v="534.20000000000005"/>
        <n v="499.8"/>
        <n v="496"/>
        <n v="403.5"/>
        <n v="297.60000000000002"/>
        <n v="235.8"/>
        <n v="194.2"/>
        <n v="147.9"/>
        <n v="132.6"/>
        <n v="93.2"/>
        <n v="92.2"/>
        <n v="88.7"/>
        <n v="45.1"/>
        <n v="42.4"/>
        <n v="42"/>
        <n v="575.20000000000005"/>
        <n v="863.5"/>
        <n v="937.8"/>
        <n v="840.9"/>
        <n v="937.5"/>
        <n v="229.5"/>
        <n v="836.1"/>
        <n v="605.29999999999995"/>
        <n v="193.4"/>
        <n v="475.4"/>
        <n v="184.5"/>
        <n v="443.4"/>
        <n v="312.60000000000002"/>
        <n v="265.10000000000002"/>
        <n v="203.8"/>
        <n v="153.19999999999999"/>
        <n v="85.6"/>
        <n v="82.7"/>
        <n v="67.400000000000006"/>
        <n v="66"/>
        <n v="91.7"/>
        <n v="528.9"/>
        <n v="344.4"/>
        <n v="766.2"/>
        <n v="394"/>
        <n v="67.7"/>
        <n v="325.3"/>
        <n v="273.7"/>
        <n v="262.60000000000002"/>
        <n v="517.1"/>
        <n v="506.8"/>
        <n v="435.6"/>
        <n v="402.1"/>
        <n v="354"/>
        <n v="324.8"/>
        <n v="207.8"/>
        <n v="206.8"/>
        <n v="145"/>
        <n v="447.4"/>
        <n v="660.9"/>
        <n v="370.2"/>
        <n v="1194.9000000000001"/>
        <n v="686.6"/>
        <n v="274"/>
        <n v="800.1"/>
        <n v="742.9"/>
        <n v="659.1"/>
        <n v="645.79999999999995"/>
        <n v="480.4"/>
        <n v="461.9"/>
        <n v="321.8"/>
        <n v="311"/>
        <n v="268"/>
        <n v="261.60000000000002"/>
        <n v="218"/>
        <n v="151.19999999999999"/>
        <n v="142.5"/>
        <n v="86.1"/>
        <n v="216.7"/>
        <n v="339.3"/>
        <n v="322.39999999999998"/>
        <n v="479.1"/>
        <n v="381.5"/>
        <n v="1151.4000000000001"/>
        <n v="658.4"/>
        <n v="657.1"/>
        <n v="523.70000000000005"/>
        <n v="299.8"/>
        <n v="192.8"/>
        <n v="176.9"/>
        <n v="162.9"/>
        <n v="101.1"/>
        <n v="91.5"/>
        <n v="36.200000000000003"/>
        <n v="54.8"/>
        <n v="237.9"/>
        <n v="639.6"/>
        <n v="572.70000000000005"/>
        <n v="522.70000000000005"/>
        <n v="878.7"/>
        <n v="87.5"/>
        <n v="788.3"/>
        <n v="404.8"/>
        <n v="618.29999999999995"/>
        <n v="573.5"/>
        <n v="550"/>
        <n v="337.9"/>
        <n v="227.8"/>
        <n v="195.7"/>
        <n v="186.6"/>
        <n v="163.30000000000001"/>
        <n v="139.30000000000001"/>
        <n v="136"/>
        <n v="113.3"/>
        <n v="111.3"/>
        <n v="670.6"/>
        <n v="1392.7"/>
        <n v="419.9"/>
        <n v="84.9"/>
        <n v="380"/>
        <n v="149"/>
        <n v="695.7"/>
        <n v="431.4"/>
        <n v="925.4"/>
        <n v="803.8"/>
        <n v="562.5"/>
        <n v="359.7"/>
        <n v="352.2"/>
        <n v="304.39999999999998"/>
        <n v="254.7"/>
        <n v="147.80000000000001"/>
        <n v="138.5"/>
        <n v="104.7"/>
        <n v="575.6"/>
        <n v="595.29999999999995"/>
        <n v="203.2"/>
        <n v="601.20000000000005"/>
        <n v="582"/>
        <n v="109.6"/>
        <n v="1255.5"/>
        <n v="780.9"/>
        <n v="236"/>
        <n v="890.9"/>
        <n v="854.1"/>
        <n v="575.1"/>
        <n v="52.9"/>
        <n v="498.6"/>
        <n v="434.6"/>
        <n v="358.6"/>
        <n v="341.1"/>
        <n v="331.7"/>
        <n v="212.9"/>
        <n v="197.1"/>
        <n v="150.6"/>
        <n v="86.6"/>
        <n v="62.4"/>
        <n v="56.8"/>
        <n v="50.1"/>
        <n v="997.3"/>
        <n v="848.1"/>
        <n v="1321"/>
        <n v="329.3"/>
        <n v="758.3"/>
        <n v="775.7"/>
        <n v="819"/>
        <n v="779.7"/>
        <n v="677.5"/>
        <n v="577.4"/>
        <n v="426.4"/>
        <n v="349.6"/>
        <n v="327.7"/>
        <n v="286.2"/>
        <n v="268.7"/>
        <n v="260.89999999999998"/>
        <n v="251"/>
        <n v="168.4"/>
        <n v="155.5"/>
        <n v="152.19999999999999"/>
        <n v="98.7"/>
        <n v="96.4"/>
        <n v="495.1"/>
        <n v="544.79999999999995"/>
        <n v="855.6"/>
        <n v="220.8"/>
        <n v="1061.9000000000001"/>
        <n v="462.4"/>
        <n v="578.5"/>
        <n v="574.70000000000005"/>
        <n v="470.1"/>
        <n v="321.10000000000002"/>
        <n v="257.39999999999998"/>
        <n v="249.3"/>
        <n v="217.3"/>
        <n v="213.2"/>
        <n v="129.19999999999999"/>
        <n v="62.9"/>
        <n v="1577.6"/>
        <n v="354.3"/>
        <n v="378.6"/>
        <n v="412.1"/>
        <n v="1128.9000000000001"/>
        <n v="1229.5999999999999"/>
        <n v="474.8"/>
        <n v="227.6"/>
        <n v="47.4"/>
        <n v="989.2"/>
        <n v="535.9"/>
        <n v="484"/>
        <n v="483.8"/>
        <n v="429.9"/>
        <n v="429"/>
        <n v="314.5"/>
        <n v="249.4"/>
        <n v="218.3"/>
        <n v="207.1"/>
        <n v="152.1"/>
        <n v="89.3"/>
        <n v="366.4"/>
        <n v="801.3"/>
        <n v="369.3"/>
        <n v="269.39999999999998"/>
        <n v="262.3"/>
        <n v="463.9"/>
        <n v="970.2"/>
        <n v="1156"/>
        <n v="754.3"/>
        <n v="669.5"/>
        <n v="525.4"/>
        <n v="478.9"/>
        <n v="477.4"/>
        <n v="344.9"/>
        <n v="342.3"/>
        <n v="223.2"/>
        <n v="189"/>
        <n v="183.2"/>
        <n v="153.5"/>
        <n v="144"/>
        <n v="138.4"/>
        <n v="116.5"/>
        <n v="766.7"/>
        <n v="855.9"/>
        <n v="742.5"/>
        <n v="709"/>
        <n v="199"/>
        <n v="526.1"/>
        <n v="601.9"/>
        <n v="1325.8"/>
        <n v="714.7"/>
        <n v="699"/>
        <n v="419.7"/>
        <n v="295.89999999999998"/>
        <n v="230.7"/>
        <n v="210.1"/>
        <n v="205.6"/>
        <n v="162.4"/>
        <n v="136.80000000000001"/>
        <n v="48.3"/>
        <n v="619.5"/>
        <n v="646.5"/>
        <n v="323.8"/>
        <n v="1279.3"/>
        <n v="744.4"/>
        <n v="484.4"/>
        <n v="397.2"/>
        <n v="391.9"/>
        <n v="367"/>
        <n v="366.1"/>
        <n v="299.89999999999998"/>
        <n v="289.10000000000002"/>
        <n v="277.8"/>
        <n v="250.4"/>
        <n v="215.8"/>
        <n v="166.3"/>
        <n v="70.3"/>
        <n v="53.1"/>
        <n v="503.8"/>
        <n v="637"/>
        <n v="655.6"/>
        <n v="498.9"/>
        <n v="745.3"/>
        <n v="780.8"/>
        <n v="474.2"/>
        <n v="315.89999999999998"/>
        <n v="293.89999999999998"/>
        <n v="167.6"/>
        <n v="123.1"/>
        <n v="64.3"/>
        <n v="440.9"/>
        <n v="330.4"/>
        <n v="838.1"/>
        <n v="835.6"/>
        <n v="684.2"/>
        <n v="660.7"/>
        <n v="408.8"/>
        <n v="356"/>
        <n v="355.6"/>
        <n v="330.8"/>
        <n v="322.10000000000002"/>
        <n v="274.3"/>
        <n v="263.2"/>
        <n v="240.8"/>
        <n v="223"/>
        <n v="190.1"/>
        <n v="188.3"/>
        <n v="136.4"/>
        <n v="67.8"/>
        <n v="56.3"/>
        <n v="33.299999999999997"/>
        <n v="265"/>
        <n v="248.5"/>
        <n v="161.30000000000001"/>
        <n v="174.5"/>
        <n v="1106.5"/>
        <n v="252.5"/>
        <n v="518.70000000000005"/>
        <n v="488.4"/>
        <n v="214"/>
        <n v="164.8"/>
        <n v="159.4"/>
        <n v="155.1"/>
        <n v="266"/>
        <n v="620.20000000000005"/>
        <n v="1085.7"/>
        <n v="830.8"/>
        <n v="628"/>
        <n v="300"/>
        <n v="569.20000000000005"/>
        <n v="635.5"/>
        <n v="151"/>
        <n v="324.89999999999998"/>
        <n v="1060.0999999999999"/>
        <n v="875.9"/>
        <n v="373.4"/>
        <n v="368.7"/>
        <n v="319.10000000000002"/>
        <n v="239.1"/>
        <n v="157.69999999999999"/>
        <n v="153.30000000000001"/>
        <n v="41.6"/>
        <n v="29.2"/>
        <n v="207.5"/>
        <n v="532.20000000000005"/>
        <n v="442.3"/>
        <n v="214.7"/>
        <n v="481.1"/>
        <n v="416.1"/>
        <n v="363.1"/>
        <n v="238.5"/>
        <n v="198.6"/>
        <n v="169.5"/>
        <n v="49.8"/>
        <n v="861.1"/>
        <n v="1123.7"/>
        <n v="653.1"/>
        <n v="652.5"/>
        <n v="243.2"/>
        <n v="543.4"/>
        <n v="281.89999999999998"/>
        <n v="765.1"/>
        <n v="677.2"/>
        <n v="569.79999999999995"/>
        <n v="543.70000000000005"/>
        <n v="504.9"/>
        <n v="454.5"/>
        <n v="401.1"/>
        <n v="374.4"/>
        <n v="303.60000000000002"/>
        <n v="187.4"/>
        <n v="88.9"/>
        <n v="49.6"/>
        <n v="814.2"/>
        <n v="807"/>
        <n v="964.6"/>
        <n v="842.5"/>
        <n v="682.4"/>
        <n v="424.3"/>
        <n v="57.2"/>
        <n v="959.8"/>
        <n v="679.3"/>
        <n v="600.20000000000005"/>
        <n v="469.1"/>
        <n v="244.2"/>
        <n v="117.1"/>
        <n v="105.1"/>
        <n v="104"/>
        <n v="72.599999999999994"/>
        <n v="50.7"/>
        <n v="855.4"/>
        <n v="385"/>
        <n v="691.6"/>
        <n v="390.8"/>
        <n v="368.6"/>
        <n v="213.6"/>
        <n v="199.4"/>
        <n v="191.2"/>
        <n v="178.7"/>
        <n v="171.3"/>
        <n v="164.5"/>
        <n v="148.1"/>
        <n v="142.4"/>
        <n v="120.8"/>
        <n v="94.7"/>
        <n v="74.900000000000006"/>
        <n v="748.1"/>
        <n v="149.80000000000001"/>
        <n v="427"/>
        <n v="1027"/>
        <n v="177.9"/>
        <n v="148.4"/>
        <n v="113.7"/>
        <n v="1378.1"/>
        <n v="501.9"/>
        <n v="455.7"/>
        <n v="357.7"/>
        <n v="310.8"/>
        <n v="270.39999999999998"/>
        <n v="257.5"/>
        <n v="229.3"/>
        <n v="161.6"/>
        <n v="133.30000000000001"/>
        <n v="127.7"/>
        <n v="364.9"/>
        <n v="574.79999999999995"/>
        <n v="848.3"/>
        <n v="630.4"/>
        <n v="223.1"/>
        <n v="1150.0999999999999"/>
        <n v="923.1"/>
        <n v="618"/>
        <n v="501.3"/>
        <n v="419.4"/>
        <n v="341.2"/>
        <n v="263.3"/>
        <n v="261.89999999999998"/>
        <n v="192.9"/>
        <n v="149.69999999999999"/>
        <n v="122.1"/>
        <n v="117.7"/>
        <n v="800.7"/>
        <n v="634.5"/>
        <n v="355.3"/>
        <n v="579"/>
        <n v="77.3"/>
        <n v="605.1"/>
        <n v="451.1"/>
        <n v="535.29999999999995"/>
        <n v="523.1"/>
        <n v="507.4"/>
        <n v="478.3"/>
        <n v="297.89999999999998"/>
        <n v="239.3"/>
        <n v="234.6"/>
        <n v="82.2"/>
        <n v="996.6"/>
        <n v="228.9"/>
        <n v="281.60000000000002"/>
        <n v="205.5"/>
        <n v="785.8"/>
        <n v="179"/>
        <n v="314.10000000000002"/>
        <n v="434.3"/>
        <n v="765.9"/>
        <n v="379.6"/>
        <n v="328.3"/>
        <n v="288.5"/>
        <n v="271.2"/>
        <n v="211.7"/>
        <n v="136.1"/>
        <n v="109.3"/>
        <n v="106.6"/>
        <n v="95.1"/>
        <n v="93.7"/>
        <n v="233.2"/>
        <n v="41"/>
        <n v="534.1"/>
        <n v="656.8"/>
        <n v="586.79999999999995"/>
        <n v="432.7"/>
        <n v="300.7"/>
        <n v="299.3"/>
        <n v="201.7"/>
        <n v="195.3"/>
        <n v="731.5"/>
        <n v="1645.1"/>
        <n v="400.7"/>
        <n v="737.6"/>
        <n v="831.3"/>
        <n v="221.7"/>
        <n v="966.8"/>
        <n v="894.5"/>
        <n v="640.6"/>
        <n v="602.6"/>
        <n v="386"/>
        <n v="362.9"/>
        <n v="196.3"/>
        <n v="186.7"/>
        <n v="123.7"/>
        <n v="64.599999999999994"/>
        <n v="53.9"/>
        <n v="156.80000000000001"/>
        <n v="732.5"/>
        <n v="586.70000000000005"/>
        <n v="735.3"/>
        <n v="482.1"/>
        <n v="114.1"/>
        <n v="126.9"/>
        <n v="394.5"/>
        <n v="814.5"/>
        <n v="635"/>
        <n v="522.6"/>
        <n v="468.6"/>
        <n v="413"/>
        <n v="407.8"/>
        <n v="391"/>
        <n v="364"/>
        <n v="266.60000000000002"/>
        <n v="225.9"/>
        <n v="190.7"/>
        <n v="117.8"/>
        <n v="92"/>
        <n v="724"/>
        <n v="1327.2"/>
        <n v="236.4"/>
        <n v="452.1"/>
        <n v="228.5"/>
        <n v="545.9"/>
        <n v="146"/>
        <n v="121.9"/>
        <n v="111.1"/>
        <n v="76.900000000000006"/>
        <n v="74.099999999999994"/>
        <n v="829.2"/>
        <n v="166.9"/>
        <n v="416.6"/>
        <n v="173.1"/>
        <n v="425.7"/>
        <n v="705.6"/>
        <n v="456.5"/>
        <n v="298.3"/>
        <n v="244.3"/>
        <n v="230.1"/>
        <n v="1084.8"/>
        <n v="446.2"/>
        <n v="480.3"/>
        <n v="173.4"/>
        <n v="488.8"/>
        <n v="1302.3"/>
        <n v="897.5"/>
        <n v="687.9"/>
        <n v="577"/>
        <n v="376.1"/>
        <n v="309.8"/>
        <n v="298.10000000000002"/>
        <n v="288.3"/>
        <n v="283.60000000000002"/>
        <n v="246.7"/>
        <n v="239.4"/>
        <n v="200.4"/>
        <n v="194.4"/>
        <n v="165.4"/>
        <n v="77.900000000000006"/>
        <n v="779.2"/>
        <n v="497.3"/>
        <n v="600.1"/>
        <n v="362"/>
        <n v="1142.9000000000001"/>
        <n v="403.4"/>
        <n v="472.8"/>
        <n v="344.1"/>
        <n v="333.1"/>
        <n v="281.8"/>
        <n v="225.8"/>
        <n v="171"/>
        <n v="82.1"/>
        <n v="531.5"/>
        <n v="890.3"/>
        <n v="691.3"/>
        <n v="631.1"/>
        <n v="358.9"/>
        <n v="348.3"/>
        <n v="312.2"/>
        <n v="278.8"/>
        <n v="258.3"/>
        <n v="171.8"/>
        <n v="169.9"/>
        <n v="167.1"/>
        <n v="107.4"/>
        <n v="79.5"/>
        <n v="79.2"/>
        <n v="729.6"/>
        <n v="848.4"/>
        <n v="449.2"/>
        <n v="284.60000000000002"/>
        <n v="637.6"/>
        <n v="427.7"/>
        <n v="265.7"/>
        <n v="234.3"/>
        <n v="196.8"/>
        <n v="81.5"/>
        <n v="79.7"/>
        <n v="43.5"/>
        <n v="13.2"/>
        <n v="606.6"/>
        <n v="732.6"/>
        <n v="982.2"/>
        <n v="698.7"/>
        <n v="1082.3"/>
        <n v="1042.8"/>
        <n v="831.4"/>
        <n v="709.4"/>
        <n v="595.6"/>
        <n v="359.8"/>
        <n v="281"/>
        <n v="250"/>
        <n v="237.6"/>
        <n v="226.5"/>
        <n v="196.5"/>
        <n v="58.8"/>
        <n v="50.4"/>
        <n v="627.6"/>
        <n v="451.3"/>
        <n v="390.5"/>
        <n v="528.29999999999995"/>
        <n v="363.8"/>
        <n v="496.4"/>
        <n v="307.10000000000002"/>
        <n v="788.9"/>
        <n v="386.5"/>
        <n v="306.8"/>
        <n v="241.3"/>
        <n v="212.6"/>
        <n v="149.5"/>
        <n v="100.2"/>
        <n v="48.2"/>
        <n v="791.7"/>
        <n v="423.9"/>
        <n v="208"/>
        <n v="1069.2"/>
        <n v="594.1"/>
        <n v="714.5"/>
        <n v="663"/>
        <n v="697.5"/>
        <n v="544.9"/>
        <n v="430.5"/>
        <n v="389.2"/>
        <n v="362.6"/>
        <n v="260.8"/>
        <n v="222.4"/>
        <n v="95.9"/>
        <n v="94.1"/>
        <n v="654.70000000000005"/>
        <n v="491.2"/>
        <n v="383.7"/>
        <n v="777.5"/>
        <n v="1378.8"/>
        <n v="1007"/>
        <n v="1074.3"/>
        <n v="481.6"/>
        <n v="570.6"/>
        <n v="357.9"/>
        <n v="296.39999999999998"/>
        <n v="162"/>
        <n v="148.80000000000001"/>
        <n v="120.3"/>
        <n v="102.7"/>
        <n v="566.70000000000005"/>
        <n v="929.1"/>
        <n v="594"/>
        <n v="915.1"/>
        <n v="329.7"/>
        <n v="1200"/>
        <n v="467.6"/>
        <n v="437.6"/>
        <n v="380.4"/>
        <n v="259.3"/>
        <n v="230.8"/>
        <n v="212.3"/>
        <n v="204"/>
        <n v="164"/>
        <n v="140.9"/>
        <n v="94"/>
        <n v="64.900000000000006"/>
        <n v="41.7"/>
        <n v="1129.8"/>
        <n v="908.9"/>
        <n v="226.3"/>
        <n v="372"/>
        <n v="1007.7"/>
        <n v="1084.2"/>
        <n v="928.4"/>
        <n v="607.1"/>
        <n v="545.79999999999995"/>
        <n v="472.1"/>
        <n v="418"/>
        <n v="410.5"/>
        <n v="385.7"/>
        <n v="272.5"/>
        <n v="217.1"/>
        <n v="124.5"/>
        <n v="122.4"/>
        <n v="62.8"/>
        <n v="51.3"/>
        <n v="853.4"/>
        <n v="894.8"/>
        <n v="810.9"/>
        <n v="263.39999999999998"/>
        <n v="271.10000000000002"/>
        <n v="235"/>
        <n v="552.6"/>
        <n v="394.6"/>
        <n v="363.4"/>
        <n v="360.3"/>
        <n v="335.4"/>
        <n v="329.5"/>
        <n v="302.5"/>
        <n v="285.60000000000002"/>
        <n v="188.7"/>
        <n v="126.8"/>
        <n v="63.6"/>
        <n v="61"/>
        <n v="998.9"/>
        <n v="537.4"/>
        <n v="485.2"/>
        <n v="130.6"/>
        <n v="744.5"/>
        <n v="862.2"/>
        <n v="661.2"/>
        <n v="719.1"/>
        <n v="555.9"/>
        <n v="394.2"/>
        <n v="277.2"/>
        <n v="218.6"/>
        <n v="192.1"/>
        <n v="154.19999999999999"/>
        <n v="115.3"/>
        <n v="105.2"/>
        <n v="98.4"/>
        <n v="297.10000000000002"/>
        <n v="293"/>
        <n v="360.1"/>
        <n v="369.7"/>
        <n v="645"/>
        <n v="569.70000000000005"/>
        <n v="891.7"/>
        <n v="490.6"/>
        <n v="763.5"/>
        <n v="625.70000000000005"/>
        <n v="465.4"/>
        <n v="434.7"/>
        <n v="346.8"/>
        <n v="303.5"/>
        <n v="260.5"/>
        <n v="257"/>
        <n v="181.2"/>
        <n v="152.6"/>
        <n v="586.5"/>
        <n v="632"/>
        <n v="448.4"/>
        <n v="869.2"/>
        <n v="434"/>
        <n v="752"/>
        <n v="627"/>
        <n v="563.70000000000005"/>
        <n v="560.9"/>
        <n v="327.39999999999998"/>
        <n v="323.2"/>
        <n v="274.7"/>
        <n v="211.5"/>
        <n v="172.3"/>
        <n v="134.30000000000001"/>
        <n v="125.2"/>
        <n v="99.5"/>
        <n v="96.9"/>
        <n v="58.6"/>
        <n v="36"/>
        <n v="132.19999999999999"/>
        <n v="798.1"/>
        <n v="882.3"/>
        <n v="580.79999999999995"/>
        <n v="149.19999999999999"/>
        <n v="538"/>
        <n v="970"/>
        <n v="610.5"/>
        <n v="429.7"/>
        <n v="849"/>
        <n v="530.4"/>
        <n v="588.70000000000005"/>
        <n v="537.29999999999995"/>
        <n v="462.8"/>
        <n v="452.7"/>
        <n v="235.7"/>
        <n v="161.80000000000001"/>
        <n v="156"/>
        <n v="134.1"/>
        <n v="56"/>
        <n v="596.29999999999995"/>
        <n v="1058.3"/>
        <n v="464.4"/>
        <n v="458"/>
        <n v="385.5"/>
        <n v="349.1"/>
        <n v="880.8"/>
        <n v="726.4"/>
        <n v="644.6"/>
        <n v="428.8"/>
        <n v="251.4"/>
        <n v="141"/>
        <n v="260.2"/>
        <n v="1070.5"/>
        <n v="468.3"/>
        <n v="372.2"/>
        <n v="478.1"/>
        <n v="445.2"/>
        <n v="421.7"/>
        <n v="411.4"/>
        <n v="390.4"/>
        <n v="253.5"/>
        <n v="246.9"/>
        <n v="210.5"/>
        <n v="728.1"/>
        <n v="456.9"/>
        <n v="652"/>
        <n v="71.900000000000006"/>
        <n v="330.9"/>
        <n v="864.9"/>
        <n v="855"/>
        <n v="758.1"/>
        <n v="441.8"/>
        <n v="293.3"/>
        <n v="176.6"/>
        <n v="149.9"/>
        <n v="98.8"/>
        <n v="36.1"/>
        <n v="339.4"/>
        <n v="448.2"/>
        <n v="426.1"/>
        <n v="843.4"/>
        <n v="389.3"/>
        <n v="425.3"/>
        <n v="611.4"/>
        <n v="981.8"/>
        <n v="689.3"/>
        <n v="602.4"/>
        <n v="599.9"/>
        <n v="580.20000000000005"/>
        <n v="428.3"/>
        <n v="309.39999999999998"/>
        <n v="278"/>
        <n v="273.8"/>
        <n v="247.5"/>
        <n v="222.3"/>
        <n v="172.1"/>
        <n v="159.69999999999999"/>
        <n v="114.9"/>
        <n v="83"/>
        <n v="62.7"/>
        <n v="1264"/>
        <n v="1156.2"/>
        <n v="776.7"/>
        <n v="188.1"/>
        <n v="734.6"/>
        <n v="370.5"/>
        <n v="1162.9000000000001"/>
        <n v="650.20000000000005"/>
        <n v="506.5"/>
        <n v="460.1"/>
        <n v="413.6"/>
        <n v="411.2"/>
        <n v="299.39999999999998"/>
        <n v="266.89999999999998"/>
        <n v="243"/>
        <n v="238.6"/>
        <n v="177.4"/>
        <n v="170.2"/>
        <n v="152.30000000000001"/>
        <n v="142.30000000000001"/>
        <n v="71.599999999999994"/>
        <n v="61.6"/>
        <n v="47.5"/>
        <n v="42.8"/>
        <n v="421.4"/>
        <n v="451.9"/>
        <n v="560.20000000000005"/>
        <n v="235.1"/>
        <n v="675.5"/>
        <n v="1348.8"/>
        <n v="121.8"/>
        <n v="681.3"/>
        <n v="633.4"/>
        <n v="512.4"/>
        <n v="367.4"/>
        <n v="328.4"/>
        <n v="315.60000000000002"/>
        <n v="228.1"/>
        <n v="73.599999999999994"/>
        <n v="214.8"/>
        <n v="704.1"/>
        <n v="158.6"/>
        <n v="857"/>
        <n v="809.1"/>
        <n v="1058"/>
        <n v="226.9"/>
        <n v="525.70000000000005"/>
        <n v="729.7"/>
        <n v="442.9"/>
        <n v="789.9"/>
        <n v="441.9"/>
        <n v="1298.2"/>
        <n v="282.5"/>
        <n v="398.5"/>
        <n v="317"/>
        <n v="243.5"/>
        <n v="219.8"/>
        <n v="186.8"/>
        <n v="123.4"/>
        <n v="90.4"/>
        <n v="29"/>
        <n v="618.20000000000005"/>
        <n v="415.4"/>
        <n v="150.19999999999999"/>
        <n v="150.4"/>
        <n v="789.6"/>
        <n v="770.4"/>
        <n v="724.7"/>
        <n v="436.1"/>
        <n v="388.7"/>
        <n v="316.60000000000002"/>
        <n v="272.89999999999998"/>
        <n v="262.5"/>
        <n v="197.4"/>
        <n v="147.69999999999999"/>
        <n v="141.6"/>
        <n v="106.1"/>
        <n v="60.6"/>
        <n v="524.5"/>
        <n v="252.9"/>
        <n v="195.4"/>
        <n v="107.2"/>
        <n v="15"/>
        <n v="255.4"/>
        <n v="1778.6"/>
        <n v="415.9"/>
        <n v="268.8"/>
        <n v="924.9"/>
        <n v="194.6"/>
        <n v="443.7"/>
        <n v="999.9"/>
        <n v="730.1"/>
        <n v="636.20000000000005"/>
        <n v="617.1"/>
        <n v="554.4"/>
        <n v="375"/>
        <n v="327.5"/>
        <n v="141.19999999999999"/>
        <n v="1005"/>
        <n v="416"/>
        <n v="531"/>
        <n v="1241.0999999999999"/>
        <n v="184.1"/>
        <n v="242.2"/>
        <n v="949.2"/>
        <n v="592.29999999999995"/>
        <n v="383.3"/>
        <n v="360.5"/>
        <n v="325.2"/>
        <n v="284.7"/>
        <n v="276.3"/>
        <n v="266.10000000000002"/>
        <n v="215"/>
        <n v="201.6"/>
        <n v="195.6"/>
        <n v="117.3"/>
        <n v="103.4"/>
        <n v="695.6"/>
        <n v="361.2"/>
        <n v="354.2"/>
        <n v="511.3"/>
        <n v="468"/>
        <n v="148.9"/>
        <n v="111.9"/>
        <n v="78.099999999999994"/>
        <n v="70.8"/>
        <n v="186.4"/>
        <n v="469"/>
        <n v="492.7"/>
        <n v="539.29999999999995"/>
        <n v="182.3"/>
        <n v="1071.8"/>
        <n v="523.79999999999995"/>
        <n v="523.29999999999995"/>
        <n v="513.79999999999995"/>
        <n v="282.60000000000002"/>
        <n v="282"/>
        <n v="178.3"/>
        <n v="178"/>
        <n v="33.4"/>
        <n v="934.5"/>
        <n v="775.2"/>
        <n v="1298.8"/>
        <n v="783.6"/>
        <n v="670.7"/>
        <n v="464"/>
        <n v="343.2"/>
        <n v="313.3"/>
        <n v="226.7"/>
        <n v="192.7"/>
        <n v="134.6"/>
        <n v="382.5"/>
        <n v="241.5"/>
        <n v="191.6"/>
        <n v="618.4"/>
        <n v="1331.1"/>
        <n v="846.1"/>
        <n v="938.2"/>
        <n v="2235.3000000000002"/>
        <n v="866.9"/>
        <n v="661.9"/>
        <n v="476.2"/>
        <n v="463.2"/>
        <n v="307"/>
        <n v="202.1"/>
        <n v="200.8"/>
        <n v="186.1"/>
        <n v="116.1"/>
        <n v="109.4"/>
        <n v="591.6"/>
        <n v="213.5"/>
        <n v="711.1"/>
        <n v="831.9"/>
        <n v="415.1"/>
        <n v="448.3"/>
        <n v="825.3"/>
        <n v="679"/>
        <n v="452.6"/>
        <n v="438.5"/>
        <n v="350.5"/>
        <n v="333.7"/>
        <n v="255"/>
        <n v="247.2"/>
        <n v="198.7"/>
        <n v="188.2"/>
        <n v="117.5"/>
        <n v="98.9"/>
        <n v="59.8"/>
        <n v="4"/>
        <n v="641.6"/>
        <n v="320.10000000000002"/>
        <n v="486.1"/>
        <n v="434.8"/>
        <n v="821.2"/>
        <n v="861.6"/>
        <n v="987.1"/>
        <n v="681.5"/>
        <n v="647.20000000000005"/>
        <n v="471.1"/>
        <n v="348"/>
        <n v="238.9"/>
        <n v="231.9"/>
        <n v="159.1"/>
        <n v="110.4"/>
        <n v="101.9"/>
        <n v="67.900000000000006"/>
        <n v="399.1"/>
        <n v="613.4"/>
        <n v="923"/>
        <n v="832.9"/>
        <n v="373.1"/>
        <n v="353.4"/>
        <n v="86"/>
        <n v="640.4"/>
        <n v="499.5"/>
        <n v="496.5"/>
        <n v="450.5"/>
        <n v="387.1"/>
        <n v="362.4"/>
        <n v="346.3"/>
        <n v="341.3"/>
        <n v="233.5"/>
        <n v="36.700000000000003"/>
        <n v="447.7"/>
        <n v="215.9"/>
        <n v="584.1"/>
        <n v="380.1"/>
        <n v="762.3"/>
        <n v="787.5"/>
        <n v="634.70000000000005"/>
        <n v="456"/>
        <n v="435.4"/>
        <n v="413.2"/>
        <n v="304"/>
        <n v="258.89999999999998"/>
        <n v="143.80000000000001"/>
        <n v="127.5"/>
        <n v="333.4"/>
        <n v="507.7"/>
        <n v="162.19999999999999"/>
        <n v="540"/>
        <n v="638.70000000000005"/>
        <n v="171.2"/>
        <n v="762.9"/>
        <n v="625.5"/>
        <n v="491.4"/>
        <n v="346.1"/>
        <n v="280.5"/>
        <n v="220.5"/>
        <n v="202.3"/>
        <n v="159.5"/>
        <n v="70"/>
        <n v="60.9"/>
        <n v="60.1"/>
        <n v="560.70000000000005"/>
        <n v="336.3"/>
        <n v="573.70000000000005"/>
        <n v="222.8"/>
        <n v="633.5"/>
        <n v="490.4"/>
        <n v="950"/>
        <n v="24.3"/>
        <n v="612.20000000000005"/>
        <n v="397.3"/>
        <n v="281.5"/>
        <n v="234"/>
        <n v="131.6"/>
        <n v="60.2"/>
        <n v="32.799999999999997"/>
        <n v="600.29999999999995"/>
        <n v="191.7"/>
        <n v="1091.5999999999999"/>
        <n v="953.3"/>
        <n v="356.1"/>
        <n v="594.20000000000005"/>
        <n v="509.2"/>
        <n v="460.5"/>
        <n v="595.70000000000005"/>
        <n v="553.1"/>
        <n v="191.9"/>
        <n v="161.4"/>
        <n v="729.5"/>
        <n v="468.1"/>
        <n v="271.60000000000002"/>
        <n v="781.3"/>
        <n v="561.29999999999995"/>
        <n v="1173.3"/>
        <n v="562"/>
        <n v="654.5"/>
        <n v="449.1"/>
        <n v="1115.0999999999999"/>
        <n v="495.9"/>
        <n v="879.5"/>
        <n v="702.1"/>
        <n v="489.9"/>
        <n v="485.5"/>
        <n v="483.4"/>
        <n v="261.10000000000002"/>
        <n v="210.4"/>
        <n v="178.2"/>
        <n v="147"/>
        <n v="89.6"/>
        <n v="85.5"/>
        <n v="76.8"/>
        <n v="69.599999999999994"/>
        <n v="793.9"/>
        <n v="225.4"/>
        <n v="1201.8"/>
        <n v="470"/>
        <n v="824.1"/>
        <n v="712.8"/>
        <n v="399.7"/>
        <n v="134.69999999999999"/>
        <n v="125.8"/>
        <n v="301.2"/>
        <n v="616.20000000000005"/>
        <n v="642.9"/>
        <n v="350.9"/>
        <n v="752.6"/>
        <n v="1014.5"/>
        <n v="451.4"/>
        <n v="451.7"/>
        <n v="758.4"/>
        <n v="471.4"/>
        <n v="301.10000000000002"/>
        <n v="287"/>
        <n v="269.7"/>
        <n v="233.6"/>
        <n v="201.3"/>
        <n v="190.5"/>
        <n v="168.7"/>
        <n v="158.1"/>
        <n v="83.2"/>
        <n v="61.4"/>
        <n v="12"/>
        <n v="808.5"/>
        <n v="741.6"/>
        <n v="213.3"/>
        <n v="981.7"/>
        <n v="716.2"/>
        <n v="715.8"/>
        <n v="491.1"/>
        <n v="327.8"/>
        <n v="268.10000000000002"/>
        <n v="266.8"/>
        <n v="251.6"/>
        <n v="217.2"/>
        <n v="215.5"/>
        <n v="115.4"/>
        <n v="312"/>
        <n v="616.70000000000005"/>
        <n v="935.8"/>
        <n v="671.5"/>
        <n v="264.60000000000002"/>
        <n v="612.70000000000005"/>
        <n v="1146.5"/>
        <n v="380.9"/>
        <n v="989.3"/>
        <n v="680.3"/>
        <n v="1040.8"/>
        <n v="620.9"/>
        <n v="615.4"/>
        <n v="524.70000000000005"/>
        <n v="465.1"/>
        <n v="457.3"/>
        <n v="435.8"/>
        <n v="375.7"/>
        <n v="193.8"/>
        <n v="164.1"/>
        <n v="145.19999999999999"/>
        <n v="79.400000000000006"/>
        <n v="75.900000000000006"/>
        <n v="210.7"/>
        <n v="511.9"/>
        <n v="543"/>
        <n v="1277.5"/>
        <n v="516.1"/>
        <n v="281.10000000000002"/>
        <n v="461.4"/>
        <n v="517"/>
        <n v="342.6"/>
        <n v="724.9"/>
        <n v="618.6"/>
        <n v="517.79999999999995"/>
        <n v="322"/>
        <n v="297.39999999999998"/>
        <n v="288.89999999999998"/>
        <n v="172.6"/>
        <n v="111.6"/>
        <n v="92.6"/>
        <n v="39.799999999999997"/>
        <n v="522.1"/>
        <n v="841"/>
        <n v="390.2"/>
        <n v="696.9"/>
        <n v="385.8"/>
        <n v="508.9"/>
        <n v="1301.2"/>
        <n v="619.20000000000005"/>
        <n v="950.1"/>
        <n v="755.7"/>
        <n v="454.6"/>
        <n v="192"/>
        <n v="156.19999999999999"/>
        <n v="103.3"/>
        <n v="56.5"/>
        <n v="46.5"/>
        <n v="508.7"/>
        <n v="422.5"/>
        <n v="155.19999999999999"/>
        <n v="532.79999999999995"/>
        <n v="639.5"/>
        <n v="1025.3"/>
        <n v="353.6"/>
        <n v="835.7"/>
        <n v="536.5"/>
        <n v="379.7"/>
        <n v="332"/>
        <n v="326.10000000000002"/>
        <n v="163.1"/>
        <n v="132"/>
        <n v="109"/>
        <n v="89.8"/>
        <n v="868.3"/>
        <n v="731"/>
        <n v="381.2"/>
        <n v="752.7"/>
        <n v="837.7"/>
        <n v="677.9"/>
        <n v="47.6"/>
        <n v="752.8"/>
        <n v="255.7"/>
        <n v="102.2"/>
        <n v="910.3"/>
        <n v="886.1"/>
        <n v="798.4"/>
        <n v="258.10000000000002"/>
        <n v="748.4"/>
        <n v="254.5"/>
        <n v="584.70000000000005"/>
        <n v="581.1"/>
        <n v="549"/>
        <n v="493.1"/>
        <n v="445.3"/>
        <n v="215.3"/>
        <n v="183"/>
        <n v="169.4"/>
        <n v="40.1"/>
        <n v="668.5"/>
        <n v="725.9"/>
        <n v="631"/>
        <n v="463.5"/>
        <n v="247.7"/>
        <n v="562.29999999999995"/>
        <n v="747.6"/>
        <n v="1008"/>
        <n v="488.9"/>
        <n v="441.2"/>
        <n v="406.2"/>
        <n v="381.6"/>
        <n v="342.7"/>
        <n v="293.5"/>
        <n v="282.2"/>
        <n v="758.7"/>
        <n v="174.8"/>
        <n v="617.6"/>
        <n v="400.4"/>
        <n v="623.79999999999995"/>
        <n v="443.1"/>
        <n v="309.7"/>
        <n v="296.89999999999998"/>
        <n v="125"/>
        <n v="109.1"/>
        <n v="90.3"/>
        <n v="27"/>
        <n v="607"/>
        <n v="833.1"/>
        <n v="152.4"/>
        <n v="265.5"/>
        <n v="692.6"/>
        <n v="609"/>
        <n v="581.70000000000005"/>
        <n v="570.1"/>
        <n v="229.6"/>
        <n v="193.6"/>
        <n v="955.9"/>
        <n v="714.3"/>
        <n v="610.9"/>
        <n v="524.29999999999995"/>
        <n v="489.8"/>
        <n v="478.6"/>
        <n v="365.8"/>
        <n v="334.8"/>
        <n v="143"/>
        <n v="87.9"/>
        <n v="67.2"/>
        <n v="35.700000000000003"/>
      </sharedItems>
    </cacheField>
    <cacheField name="pages_visited" numFmtId="0">
      <sharedItems containsSemiMixedTypes="0" containsString="0" containsNumber="1" containsInteger="1" minValue="1" maxValue="18" count="17">
        <n v="8"/>
        <n v="3"/>
        <n v="5"/>
        <n v="13"/>
        <n v="9"/>
        <n v="6"/>
        <n v="4"/>
        <n v="1"/>
        <n v="7"/>
        <n v="11"/>
        <n v="2"/>
        <n v="10"/>
        <n v="12"/>
        <n v="14"/>
        <n v="16"/>
        <n v="18"/>
        <n v="15"/>
      </sharedItems>
    </cacheField>
    <cacheField name="converted" numFmtId="0">
      <sharedItems containsSemiMixedTypes="0" containsString="0" containsNumber="1" containsInteger="1" minValue="0" maxValue="1"/>
    </cacheField>
    <cacheField name="purchase_amount" numFmtId="0">
      <sharedItems containsSemiMixedTypes="0" containsString="0" containsNumber="1" minValue="0" maxValue="1419.3" count="1648">
        <n v="43"/>
        <n v="294"/>
        <n v="81.55"/>
        <n v="60.45"/>
        <n v="45.87"/>
        <n v="41.92"/>
        <n v="32.4"/>
        <n v="23.42"/>
        <n v="23.34"/>
        <n v="20.94"/>
        <n v="20.309999999999999"/>
        <n v="0"/>
        <n v="289"/>
        <n v="156.97999999999999"/>
        <n v="38.58"/>
        <n v="37.200000000000003"/>
        <n v="29.49"/>
        <n v="24.62"/>
        <n v="16.760000000000002"/>
        <n v="157.19"/>
        <n v="96.31"/>
        <n v="91.56"/>
        <n v="67.61"/>
        <n v="45.03"/>
        <n v="40.79"/>
        <n v="39.94"/>
        <n v="37.020000000000003"/>
        <n v="35.090000000000003"/>
        <n v="16.940000000000001"/>
        <n v="16.350000000000001"/>
        <n v="204.32"/>
        <n v="109.36"/>
        <n v="80.47"/>
        <n v="75.97"/>
        <n v="69.040000000000006"/>
        <n v="62.57"/>
        <n v="58.74"/>
        <n v="46.19"/>
        <n v="43.82"/>
        <n v="43.34"/>
        <n v="32.090000000000003"/>
        <n v="18.82"/>
        <n v="138.36000000000001"/>
        <n v="68.83"/>
        <n v="59.59"/>
        <n v="57.14"/>
        <n v="35.93"/>
        <n v="34.770000000000003"/>
        <n v="33.21"/>
        <n v="29.75"/>
        <n v="21.44"/>
        <n v="19.510000000000002"/>
        <n v="17.63"/>
        <n v="16.32"/>
        <n v="16.28"/>
        <n v="148"/>
        <n v="326.22000000000003"/>
        <n v="94.06"/>
        <n v="62.43"/>
        <n v="47.17"/>
        <n v="44.88"/>
        <n v="33.61"/>
        <n v="32.130000000000003"/>
        <n v="17.329999999999998"/>
        <n v="72"/>
        <n v="477"/>
        <n v="286.88"/>
        <n v="115.34"/>
        <n v="111.1"/>
        <n v="95.51"/>
        <n v="62.75"/>
        <n v="49.51"/>
        <n v="37.33"/>
        <n v="20.77"/>
        <n v="222.98"/>
        <n v="127.16"/>
        <n v="126.85"/>
        <n v="113.31"/>
        <n v="107.58"/>
        <n v="92.68"/>
        <n v="87.42"/>
        <n v="80.92"/>
        <n v="78.930000000000007"/>
        <n v="66.52"/>
        <n v="57.23"/>
        <n v="49.71"/>
        <n v="48.27"/>
        <n v="42.55"/>
        <n v="34.94"/>
        <n v="154.9"/>
        <n v="147.94999999999999"/>
        <n v="61.05"/>
        <n v="59.9"/>
        <n v="53.14"/>
        <n v="50.98"/>
        <n v="46.81"/>
        <n v="45.96"/>
        <n v="15.15"/>
        <n v="283"/>
        <n v="308.13"/>
        <n v="177.55"/>
        <n v="148.97999999999999"/>
        <n v="122.92"/>
        <n v="112.6"/>
        <n v="110.75"/>
        <n v="92.76"/>
        <n v="33.36"/>
        <n v="31.83"/>
        <n v="30.52"/>
        <n v="479"/>
        <n v="129.18"/>
        <n v="110.96"/>
        <n v="49.72"/>
        <n v="42.63"/>
        <n v="41.7"/>
        <n v="38.36"/>
        <n v="36.53"/>
        <n v="36.020000000000003"/>
        <n v="25.13"/>
        <n v="15.84"/>
        <n v="15.83"/>
        <n v="14.53"/>
        <n v="202"/>
        <n v="52.58"/>
        <n v="47.33"/>
        <n v="44.79"/>
        <n v="30.14"/>
        <n v="29.33"/>
        <n v="23.73"/>
        <n v="18.13"/>
        <n v="13"/>
        <n v="95"/>
        <n v="147"/>
        <n v="100.55"/>
        <n v="77.849999999999994"/>
        <n v="60.53"/>
        <n v="58.1"/>
        <n v="53.8"/>
        <n v="44.94"/>
        <n v="33.4"/>
        <n v="32.93"/>
        <n v="25.49"/>
        <n v="310"/>
        <n v="95.07"/>
        <n v="57.57"/>
        <n v="55.56"/>
        <n v="44.36"/>
        <n v="38.03"/>
        <n v="36.090000000000003"/>
        <n v="32.82"/>
        <n v="24.54"/>
        <n v="21.49"/>
        <n v="480"/>
        <n v="140.53"/>
        <n v="111.57"/>
        <n v="66.64"/>
        <n v="66.62"/>
        <n v="59.05"/>
        <n v="50.86"/>
        <n v="50.64"/>
        <n v="39.79"/>
        <n v="37.51"/>
        <n v="34.93"/>
        <n v="27.59"/>
        <n v="17.32"/>
        <n v="120"/>
        <n v="371"/>
        <n v="114.77"/>
        <n v="85.95"/>
        <n v="80.010000000000005"/>
        <n v="43.36"/>
        <n v="41.88"/>
        <n v="39.83"/>
        <n v="31.91"/>
        <n v="28.39"/>
        <n v="26.46"/>
        <n v="23.65"/>
        <n v="144"/>
        <n v="56.87"/>
        <n v="55.38"/>
        <n v="48.77"/>
        <n v="13.52"/>
        <n v="76.739999999999995"/>
        <n v="56.04"/>
        <n v="52.32"/>
        <n v="46.08"/>
        <n v="31.65"/>
        <n v="15.96"/>
        <n v="108.74"/>
        <n v="82.05"/>
        <n v="56.56"/>
        <n v="53.74"/>
        <n v="45.54"/>
        <n v="43.93"/>
        <n v="24.88"/>
        <n v="12"/>
        <n v="94.89"/>
        <n v="39.93"/>
        <n v="18.88"/>
        <n v="140"/>
        <n v="203.42"/>
        <n v="122.62"/>
        <n v="116.63"/>
        <n v="107.23"/>
        <n v="68.400000000000006"/>
        <n v="50.34"/>
        <n v="48.64"/>
        <n v="48.12"/>
        <n v="37.57"/>
        <n v="31.86"/>
        <n v="27.29"/>
        <n v="27.19"/>
        <n v="22.84"/>
        <n v="117.07"/>
        <n v="113.3"/>
        <n v="95.02"/>
        <n v="88.38"/>
        <n v="68.39"/>
        <n v="66.599999999999994"/>
        <n v="54.49"/>
        <n v="53.27"/>
        <n v="50.99"/>
        <n v="30.47"/>
        <n v="29"/>
        <n v="28.22"/>
        <n v="61.16"/>
        <n v="55.66"/>
        <n v="51.24"/>
        <n v="33.46"/>
        <n v="33.08"/>
        <n v="29.76"/>
        <n v="26.71"/>
        <n v="96"/>
        <n v="103.95"/>
        <n v="55.81"/>
        <n v="49.41"/>
        <n v="32.65"/>
        <n v="26.79"/>
        <n v="20.53"/>
        <n v="197"/>
        <n v="174.36"/>
        <n v="157.91999999999999"/>
        <n v="132.55000000000001"/>
        <n v="71.66"/>
        <n v="68.099999999999994"/>
        <n v="44.1"/>
        <n v="41.93"/>
        <n v="41.74"/>
        <n v="31.42"/>
        <n v="22.85"/>
        <n v="14.97"/>
        <n v="13.56"/>
        <n v="425"/>
        <n v="95.19"/>
        <n v="77.430000000000007"/>
        <n v="55.82"/>
        <n v="50.06"/>
        <n v="36.619999999999997"/>
        <n v="36.159999999999997"/>
        <n v="546"/>
        <n v="139.59"/>
        <n v="106.6"/>
        <n v="80.040000000000006"/>
        <n v="75.540000000000006"/>
        <n v="65.02"/>
        <n v="57.2"/>
        <n v="52.62"/>
        <n v="30.78"/>
        <n v="19.309999999999999"/>
        <n v="18.77"/>
        <n v="16.89"/>
        <n v="13.81"/>
        <n v="97"/>
        <n v="203.72"/>
        <n v="75.5"/>
        <n v="64.87"/>
        <n v="58.79"/>
        <n v="53.07"/>
        <n v="49.97"/>
        <n v="41.87"/>
        <n v="30.32"/>
        <n v="311.02999999999997"/>
        <n v="268.44"/>
        <n v="209.14"/>
        <n v="194.02"/>
        <n v="167.18"/>
        <n v="148.65"/>
        <n v="108.98"/>
        <n v="32.42"/>
        <n v="27.89"/>
        <n v="18.940000000000001"/>
        <n v="180"/>
        <n v="364"/>
        <n v="114"/>
        <n v="263"/>
        <n v="137.88999999999999"/>
        <n v="112.93"/>
        <n v="93.36"/>
        <n v="88.93"/>
        <n v="62.8"/>
        <n v="51.69"/>
        <n v="48.1"/>
        <n v="45.31"/>
        <n v="40.61"/>
        <n v="38.43"/>
        <n v="36.43"/>
        <n v="34.39"/>
        <n v="30.34"/>
        <n v="424"/>
        <n v="374"/>
        <n v="111"/>
        <n v="93"/>
        <n v="91.37"/>
        <n v="59.43"/>
        <n v="57.37"/>
        <n v="20.61"/>
        <n v="188"/>
        <n v="125.15"/>
        <n v="118.73"/>
        <n v="94.46"/>
        <n v="73.52"/>
        <n v="70.94"/>
        <n v="34.869999999999997"/>
        <n v="29.68"/>
        <n v="23.54"/>
        <n v="21.82"/>
        <n v="20.85"/>
        <n v="157"/>
        <n v="183.27"/>
        <n v="122.1"/>
        <n v="75.92"/>
        <n v="62.82"/>
        <n v="62.29"/>
        <n v="52.3"/>
        <n v="46.33"/>
        <n v="42.08"/>
        <n v="41.01"/>
        <n v="35.729999999999997"/>
        <n v="32.590000000000003"/>
        <n v="103.04"/>
        <n v="81.349999999999994"/>
        <n v="58.14"/>
        <n v="34.700000000000003"/>
        <n v="29.47"/>
        <n v="13.83"/>
        <n v="265"/>
        <n v="184"/>
        <n v="111.55"/>
        <n v="99.52"/>
        <n v="77.78"/>
        <n v="60.66"/>
        <n v="37.520000000000003"/>
        <n v="28.59"/>
        <n v="28.57"/>
        <n v="23.59"/>
        <n v="22.98"/>
        <n v="21.29"/>
        <n v="14.36"/>
        <n v="253"/>
        <n v="169"/>
        <n v="158.81"/>
        <n v="140.78"/>
        <n v="82.74"/>
        <n v="76.45"/>
        <n v="68.45"/>
        <n v="59.89"/>
        <n v="52"/>
        <n v="27.25"/>
        <n v="24.78"/>
        <n v="14.99"/>
        <n v="119"/>
        <n v="266.27999999999997"/>
        <n v="103.77"/>
        <n v="61.29"/>
        <n v="33.67"/>
        <n v="23.17"/>
        <n v="15.76"/>
        <n v="125.55"/>
        <n v="122.95"/>
        <n v="82.14"/>
        <n v="80.61"/>
        <n v="73.75"/>
        <n v="64.540000000000006"/>
        <n v="22.44"/>
        <n v="18.309999999999999"/>
        <n v="119.47"/>
        <n v="103.47"/>
        <n v="86.14"/>
        <n v="62.65"/>
        <n v="44.27"/>
        <n v="43.05"/>
        <n v="40.32"/>
        <n v="119.32"/>
        <n v="48.75"/>
        <n v="30.43"/>
        <n v="29.14"/>
        <n v="20.81"/>
        <n v="68"/>
        <n v="314.73"/>
        <n v="115.47"/>
        <n v="73.69"/>
        <n v="57.32"/>
        <n v="53.78"/>
        <n v="44.44"/>
        <n v="43.96"/>
        <n v="41.64"/>
        <n v="41.29"/>
        <n v="41.08"/>
        <n v="35.57"/>
        <n v="20.3"/>
        <n v="17.66"/>
        <n v="272"/>
        <n v="344.28"/>
        <n v="170.21"/>
        <n v="104.85"/>
        <n v="98.4"/>
        <n v="89.86"/>
        <n v="57.04"/>
        <n v="28.44"/>
        <n v="28.32"/>
        <n v="24.96"/>
        <n v="482"/>
        <n v="185.69"/>
        <n v="106.24"/>
        <n v="87.22"/>
        <n v="86.81"/>
        <n v="65.44"/>
        <n v="62.28"/>
        <n v="60.98"/>
        <n v="57.26"/>
        <n v="50.66"/>
        <n v="44.96"/>
        <n v="41.13"/>
        <n v="31.53"/>
        <n v="24.18"/>
        <n v="24.11"/>
        <n v="411"/>
        <n v="108.2"/>
        <n v="74.459999999999994"/>
        <n v="73.11"/>
        <n v="67.45"/>
        <n v="35.97"/>
        <n v="28.93"/>
        <n v="23.13"/>
        <n v="23.08"/>
        <n v="16.260000000000002"/>
        <n v="286.51"/>
        <n v="96.45"/>
        <n v="78.13"/>
        <n v="67.900000000000006"/>
        <n v="61.83"/>
        <n v="61.63"/>
        <n v="54.05"/>
        <n v="42.51"/>
        <n v="29.24"/>
        <n v="22.58"/>
        <n v="22.26"/>
        <n v="15.98"/>
        <n v="78"/>
        <n v="106.06"/>
        <n v="74.790000000000006"/>
        <n v="59.21"/>
        <n v="57.95"/>
        <n v="57.7"/>
        <n v="52.2"/>
        <n v="30.58"/>
        <n v="21.17"/>
        <n v="190"/>
        <n v="105.65"/>
        <n v="97.61"/>
        <n v="78.84"/>
        <n v="78.59"/>
        <n v="56.9"/>
        <n v="56.37"/>
        <n v="41.27"/>
        <n v="36.51"/>
        <n v="18"/>
        <n v="16.45"/>
        <n v="164"/>
        <n v="161.91"/>
        <n v="132.33000000000001"/>
        <n v="71.7"/>
        <n v="71.05"/>
        <n v="61.37"/>
        <n v="49.02"/>
        <n v="15.88"/>
        <n v="172.5"/>
        <n v="59.26"/>
        <n v="53.17"/>
        <n v="45.88"/>
        <n v="32.08"/>
        <n v="22.88"/>
        <n v="17.61"/>
        <n v="193"/>
        <n v="445.39"/>
        <n v="148.19"/>
        <n v="62.51"/>
        <n v="51.94"/>
        <n v="49.53"/>
        <n v="39.68"/>
        <n v="21.23"/>
        <n v="19.89"/>
        <n v="92"/>
        <n v="141"/>
        <n v="63.67"/>
        <n v="46.58"/>
        <n v="42.69"/>
        <n v="42.19"/>
        <n v="36.83"/>
        <n v="34.479999999999997"/>
        <n v="27.31"/>
        <n v="23.9"/>
        <n v="64.67"/>
        <n v="52.55"/>
        <n v="44.7"/>
        <n v="21.16"/>
        <n v="16"/>
        <n v="15.62"/>
        <n v="409"/>
        <n v="177.66"/>
        <n v="43.23"/>
        <n v="37.979999999999997"/>
        <n v="28.13"/>
        <n v="25.72"/>
        <n v="136.75"/>
        <n v="103.28"/>
        <n v="95.84"/>
        <n v="76.41"/>
        <n v="72.02"/>
        <n v="70.959999999999994"/>
        <n v="61.42"/>
        <n v="51.34"/>
        <n v="29.45"/>
        <n v="29.34"/>
        <n v="85.46"/>
        <n v="55.13"/>
        <n v="43.3"/>
        <n v="39.909999999999997"/>
        <n v="25.24"/>
        <n v="22.33"/>
        <n v="18.420000000000002"/>
        <n v="115.62"/>
        <n v="85.8"/>
        <n v="73.34"/>
        <n v="71.989999999999995"/>
        <n v="57.71"/>
        <n v="24.64"/>
        <n v="23.88"/>
        <n v="20.76"/>
        <n v="515"/>
        <n v="179"/>
        <n v="163.51"/>
        <n v="140.96"/>
        <n v="119.1"/>
        <n v="52.23"/>
        <n v="34.049999999999997"/>
        <n v="29.25"/>
        <n v="23.47"/>
        <n v="16.29"/>
        <n v="15.43"/>
        <n v="13.68"/>
        <n v="13.38"/>
        <n v="160"/>
        <n v="136"/>
        <n v="100.83"/>
        <n v="51.96"/>
        <n v="43.42"/>
        <n v="24.81"/>
        <n v="14.66"/>
        <n v="74"/>
        <n v="63.06"/>
        <n v="60.49"/>
        <n v="51.57"/>
        <n v="45.09"/>
        <n v="40.049999999999997"/>
        <n v="18.170000000000002"/>
        <n v="142"/>
        <n v="77"/>
        <n v="1419.3"/>
        <n v="170.79"/>
        <n v="82.07"/>
        <n v="74.58"/>
        <n v="62.02"/>
        <n v="43.08"/>
        <n v="34.270000000000003"/>
        <n v="20.43"/>
        <n v="19.84"/>
        <n v="15.81"/>
        <n v="529"/>
        <n v="1412"/>
        <n v="498.01"/>
        <n v="107.48"/>
        <n v="97.13"/>
        <n v="60.2"/>
        <n v="40.450000000000003"/>
        <n v="34.31"/>
        <n v="32.159999999999997"/>
        <n v="30.67"/>
        <n v="22.63"/>
        <n v="13.35"/>
        <n v="173.57"/>
        <n v="93.76"/>
        <n v="87.6"/>
        <n v="79.599999999999994"/>
        <n v="35.82"/>
        <n v="33.25"/>
        <n v="30.13"/>
        <n v="29.18"/>
        <n v="20.49"/>
        <n v="346"/>
        <n v="44"/>
        <n v="107"/>
        <n v="67.52"/>
        <n v="59.3"/>
        <n v="51.31"/>
        <n v="23.53"/>
        <n v="19.96"/>
        <n v="18.36"/>
        <n v="18.32"/>
        <n v="16.649999999999999"/>
        <n v="242"/>
        <n v="255"/>
        <n v="90.31"/>
        <n v="52.75"/>
        <n v="50.96"/>
        <n v="37.630000000000003"/>
        <n v="28.65"/>
        <n v="198"/>
        <n v="1312"/>
        <n v="134.05000000000001"/>
        <n v="71.510000000000005"/>
        <n v="45.25"/>
        <n v="44.49"/>
        <n v="32.67"/>
        <n v="301.10000000000002"/>
        <n v="258"/>
        <n v="243"/>
        <n v="128.80000000000001"/>
        <n v="113.72"/>
        <n v="90.5"/>
        <n v="62.09"/>
        <n v="53.31"/>
        <n v="49.06"/>
        <n v="47.7"/>
        <n v="37.75"/>
        <n v="366"/>
        <n v="519"/>
        <n v="65.81"/>
        <n v="64.930000000000007"/>
        <n v="58.23"/>
        <n v="52.39"/>
        <n v="38.08"/>
        <n v="32.83"/>
        <n v="28.99"/>
        <n v="26.91"/>
        <n v="25.18"/>
        <n v="15.39"/>
        <n v="509"/>
        <n v="221"/>
        <n v="40.880000000000003"/>
        <n v="35.32"/>
        <n v="26.95"/>
        <n v="25.98"/>
        <n v="113.08"/>
        <n v="40.83"/>
        <n v="29.93"/>
        <n v="28.67"/>
        <n v="27.51"/>
        <n v="15.25"/>
        <n v="158.46"/>
        <n v="114.44"/>
        <n v="108.43"/>
        <n v="104.61"/>
        <n v="30.74"/>
        <n v="22.69"/>
        <n v="21.37"/>
        <n v="17.93"/>
        <n v="13.18"/>
        <n v="228"/>
        <n v="129.94999999999999"/>
        <n v="76.03"/>
        <n v="49.48"/>
        <n v="33.76"/>
        <n v="32.03"/>
        <n v="20.57"/>
        <n v="552"/>
        <n v="87.88"/>
        <n v="87.17"/>
        <n v="73"/>
        <n v="47.65"/>
        <n v="40.86"/>
        <n v="32.14"/>
        <n v="32.119999999999997"/>
        <n v="16.48"/>
        <n v="13.85"/>
        <n v="13.77"/>
        <n v="354"/>
        <n v="430"/>
        <n v="367"/>
        <n v="448"/>
        <n v="209.32"/>
        <n v="135.63999999999999"/>
        <n v="87.82"/>
        <n v="71.739999999999995"/>
        <n v="71.36"/>
        <n v="60.32"/>
        <n v="43.97"/>
        <n v="38.14"/>
        <n v="31.97"/>
        <n v="21.35"/>
        <n v="86"/>
        <n v="348"/>
        <n v="435"/>
        <n v="112.28"/>
        <n v="102.32"/>
        <n v="94.07"/>
        <n v="49.57"/>
        <n v="40.51"/>
        <n v="23.79"/>
        <n v="23.16"/>
        <n v="419"/>
        <n v="117.82"/>
        <n v="76.63"/>
        <n v="61.32"/>
        <n v="55.88"/>
        <n v="54.16"/>
        <n v="44.56"/>
        <n v="41.3"/>
        <n v="35.130000000000003"/>
        <n v="32.21"/>
        <n v="22.39"/>
        <n v="107.94"/>
        <n v="72.78"/>
        <n v="64.569999999999993"/>
        <n v="42.68"/>
        <n v="38.54"/>
        <n v="25.95"/>
        <n v="24.44"/>
        <n v="238.61"/>
        <n v="107.21"/>
        <n v="89.56"/>
        <n v="88.3"/>
        <n v="64.069999999999993"/>
        <n v="60.56"/>
        <n v="54.44"/>
        <n v="52.48"/>
        <n v="42.29"/>
        <n v="34.61"/>
        <n v="33.35"/>
        <n v="29.71"/>
        <n v="28.48"/>
        <n v="23"/>
        <n v="21.78"/>
        <n v="21.47"/>
        <n v="267"/>
        <n v="63"/>
        <n v="90.7"/>
        <n v="82.49"/>
        <n v="74.209999999999994"/>
        <n v="48.94"/>
        <n v="37.090000000000003"/>
        <n v="21.43"/>
        <n v="21.14"/>
        <n v="17.170000000000002"/>
        <n v="84.43"/>
        <n v="73.91"/>
        <n v="52.66"/>
        <n v="49.92"/>
        <n v="41.23"/>
        <n v="27.75"/>
        <n v="20.350000000000001"/>
        <n v="15.57"/>
        <n v="554"/>
        <n v="51"/>
        <n v="91"/>
        <n v="166.98"/>
        <n v="125.45"/>
        <n v="87.55"/>
        <n v="73.19"/>
        <n v="71.25"/>
        <n v="52.25"/>
        <n v="49.01"/>
        <n v="37.54"/>
        <n v="34.14"/>
        <n v="31.13"/>
        <n v="28.25"/>
        <n v="15.94"/>
        <n v="437"/>
        <n v="123.9"/>
        <n v="40.81"/>
        <n v="40.1"/>
        <n v="38.47"/>
        <n v="16.77"/>
        <n v="415"/>
        <n v="151.07"/>
        <n v="115.6"/>
        <n v="57.98"/>
        <n v="33.03"/>
        <n v="32.909999999999997"/>
        <n v="26.89"/>
        <n v="25.17"/>
        <n v="106"/>
        <n v="86.8"/>
        <n v="56.5"/>
        <n v="38.32"/>
        <n v="33.53"/>
        <n v="32.200000000000003"/>
        <n v="29.72"/>
        <n v="13.27"/>
        <n v="150.36000000000001"/>
        <n v="91.12"/>
        <n v="53.19"/>
        <n v="44.45"/>
        <n v="33.94"/>
        <n v="25.97"/>
        <n v="270"/>
        <n v="426"/>
        <n v="436"/>
        <n v="428"/>
        <n v="182.51"/>
        <n v="77.900000000000006"/>
        <n v="67.349999999999994"/>
        <n v="47.32"/>
        <n v="43.2"/>
        <n v="41.72"/>
        <n v="31"/>
        <n v="26.88"/>
        <n v="351"/>
        <n v="395"/>
        <n v="89.51"/>
        <n v="75.14"/>
        <n v="62.19"/>
        <n v="48.05"/>
        <n v="20.239999999999998"/>
        <n v="401"/>
        <n v="399"/>
        <n v="225"/>
        <n v="175.24"/>
        <n v="163.69999999999999"/>
        <n v="80.739999999999995"/>
        <n v="69.7"/>
        <n v="37.130000000000003"/>
        <n v="31.94"/>
        <n v="26.22"/>
        <n v="24.45"/>
        <n v="16.54"/>
        <n v="396"/>
        <n v="355.23"/>
        <n v="154.31"/>
        <n v="78.44"/>
        <n v="74.39"/>
        <n v="73.02"/>
        <n v="53.48"/>
        <n v="47.73"/>
        <n v="27.52"/>
        <n v="25.82"/>
        <n v="24.26"/>
        <n v="20.89"/>
        <n v="20.23"/>
        <n v="16.440000000000001"/>
        <n v="158.12"/>
        <n v="138.44"/>
        <n v="70.42"/>
        <n v="68.14"/>
        <n v="54.13"/>
        <n v="37.78"/>
        <n v="394"/>
        <n v="113.97"/>
        <n v="75.510000000000005"/>
        <n v="50.82"/>
        <n v="47.58"/>
        <n v="36.979999999999997"/>
        <n v="28.62"/>
        <n v="13.19"/>
        <n v="83.73"/>
        <n v="59.95"/>
        <n v="48.55"/>
        <n v="42.23"/>
        <n v="40.08"/>
        <n v="26.72"/>
        <n v="24.28"/>
        <n v="21.46"/>
        <n v="19.93"/>
        <n v="166.92"/>
        <n v="118.81"/>
        <n v="103.34"/>
        <n v="90.03"/>
        <n v="80.69"/>
        <n v="72.069999999999993"/>
        <n v="70.55"/>
        <n v="69.5"/>
        <n v="68.16"/>
        <n v="61.59"/>
        <n v="59.24"/>
        <n v="55.08"/>
        <n v="48.73"/>
        <n v="36.119999999999997"/>
        <n v="22"/>
        <n v="20.75"/>
        <n v="18.489999999999998"/>
        <n v="15.92"/>
        <n v="15.77"/>
        <n v="543.29999999999995"/>
        <n v="506.55"/>
        <n v="72.930000000000007"/>
        <n v="60.15"/>
        <n v="46.17"/>
        <n v="32.01"/>
        <n v="14.48"/>
        <n v="13.34"/>
        <n v="432"/>
        <n v="283.20999999999998"/>
        <n v="108"/>
        <n v="93.05"/>
        <n v="82.09"/>
        <n v="59.23"/>
        <n v="56.16"/>
        <n v="47.72"/>
        <n v="27.24"/>
        <n v="330"/>
        <n v="216.56"/>
        <n v="212.46"/>
        <n v="158.04"/>
        <n v="102.07"/>
        <n v="87.33"/>
        <n v="34.15"/>
        <n v="30.59"/>
        <n v="29.99"/>
        <n v="29.54"/>
        <n v="24"/>
        <n v="272.43"/>
        <n v="100.81"/>
        <n v="555"/>
        <n v="227.7"/>
        <n v="161.83000000000001"/>
        <n v="88.78"/>
        <n v="61.24"/>
        <n v="51.25"/>
        <n v="25.74"/>
        <n v="14.83"/>
        <n v="61"/>
        <n v="291"/>
        <n v="349"/>
        <n v="350"/>
        <n v="211.72"/>
        <n v="30.22"/>
        <n v="14.52"/>
        <n v="331.14"/>
        <n v="203.68"/>
        <n v="122.12"/>
        <n v="120.34"/>
        <n v="78.83"/>
        <n v="49.65"/>
        <n v="43.66"/>
        <n v="34.97"/>
        <n v="20.88"/>
        <n v="17.940000000000001"/>
        <n v="15.42"/>
        <n v="194"/>
        <n v="188.13"/>
        <n v="73.55"/>
        <n v="54.54"/>
        <n v="40.299999999999997"/>
        <n v="31.35"/>
        <n v="16.739999999999998"/>
        <n v="15.78"/>
        <n v="459"/>
        <n v="200.27"/>
        <n v="147.51"/>
        <n v="91.63"/>
        <n v="88.71"/>
        <n v="65.459999999999994"/>
        <n v="58.71"/>
        <n v="45.75"/>
        <n v="40.909999999999997"/>
        <n v="15.64"/>
        <n v="491"/>
        <n v="300"/>
        <n v="143.09"/>
        <n v="85.48"/>
        <n v="30.71"/>
        <n v="28.85"/>
        <n v="327.44"/>
        <n v="154.99"/>
        <n v="139.44"/>
        <n v="96.85"/>
        <n v="90.37"/>
        <n v="45.85"/>
        <n v="28.78"/>
        <n v="19.329999999999998"/>
        <n v="275.45999999999998"/>
        <n v="172.19"/>
        <n v="143.28"/>
        <n v="121.24"/>
        <n v="74.510000000000005"/>
        <n v="53.94"/>
        <n v="41.86"/>
        <n v="40.409999999999997"/>
        <n v="34.25"/>
        <n v="32.229999999999997"/>
        <n v="28.63"/>
        <n v="25.45"/>
        <n v="17.38"/>
        <n v="13.49"/>
        <n v="390"/>
        <n v="92.15"/>
        <n v="81.67"/>
        <n v="48.96"/>
        <n v="40.770000000000003"/>
        <n v="36.47"/>
        <n v="29.55"/>
        <n v="19.829999999999998"/>
        <n v="166.04"/>
        <n v="132.86000000000001"/>
        <n v="130.4"/>
        <n v="105.24"/>
        <n v="104.38"/>
        <n v="99.64"/>
        <n v="73.33"/>
        <n v="57.3"/>
        <n v="55.7"/>
        <n v="53.18"/>
        <n v="42.34"/>
        <n v="37.21"/>
        <n v="33.43"/>
        <n v="29.31"/>
        <n v="19.36"/>
        <n v="16.78"/>
        <n v="226"/>
        <n v="105.16"/>
        <n v="103.42"/>
        <n v="39.17"/>
        <n v="36.78"/>
        <n v="139"/>
        <n v="166.15"/>
        <n v="141.18"/>
        <n v="77.16"/>
        <n v="66.13"/>
        <n v="54.6"/>
        <n v="47.18"/>
        <n v="40.46"/>
        <n v="30.56"/>
        <n v="16.47"/>
        <n v="14.18"/>
        <n v="151.33000000000001"/>
        <n v="126.2"/>
        <n v="61.89"/>
        <n v="44.5"/>
        <n v="40.99"/>
        <n v="36.35"/>
        <n v="34.89"/>
        <n v="22.01"/>
        <n v="15.27"/>
        <n v="158.58000000000001"/>
        <n v="75.31"/>
        <n v="73.459999999999994"/>
        <n v="46.09"/>
        <n v="24.87"/>
        <n v="72.64"/>
        <n v="52.34"/>
        <n v="51.33"/>
        <n v="48.45"/>
        <n v="33.19"/>
        <n v="28.89"/>
        <n v="27.87"/>
        <n v="13.26"/>
        <n v="169.59"/>
        <n v="118"/>
        <n v="44.93"/>
        <n v="26.83"/>
        <n v="16.41"/>
        <n v="556"/>
        <n v="180.06"/>
        <n v="118.29"/>
        <n v="63.47"/>
        <n v="41.12"/>
        <n v="35.1"/>
        <n v="30.75"/>
        <n v="28.96"/>
        <n v="76.87"/>
        <n v="70.88"/>
        <n v="44.89"/>
        <n v="40.92"/>
        <n v="26.23"/>
        <n v="17.47"/>
        <n v="249"/>
        <n v="80.95"/>
        <n v="47.89"/>
        <n v="46.05"/>
        <n v="40.58"/>
        <n v="23.43"/>
        <n v="16.579999999999998"/>
        <n v="535"/>
        <n v="551"/>
        <n v="113.46"/>
        <n v="82.36"/>
        <n v="65.33"/>
        <n v="58.18"/>
        <n v="54.14"/>
        <n v="48.62"/>
        <n v="42.85"/>
        <n v="38.479999999999997"/>
        <n v="38.1"/>
        <n v="20.32"/>
        <n v="188.62"/>
        <n v="78.67"/>
        <n v="58.33"/>
        <n v="56.35"/>
        <n v="49.03"/>
        <n v="47.99"/>
        <n v="47.28"/>
        <n v="41.02"/>
        <n v="30.81"/>
        <n v="16.87"/>
        <n v="130"/>
        <n v="434"/>
        <n v="528"/>
        <n v="457"/>
        <n v="534"/>
        <n v="163"/>
        <n v="108.23"/>
        <n v="35.78"/>
        <n v="14.46"/>
        <n v="102"/>
        <n v="285"/>
        <n v="706.35"/>
        <n v="81.900000000000006"/>
        <n v="73.7"/>
        <n v="68.47"/>
        <n v="332"/>
        <n v="580.38"/>
        <n v="327.41000000000003"/>
        <n v="94.82"/>
        <n v="67.03"/>
        <n v="48.09"/>
        <n v="40.369999999999997"/>
        <n v="196.48"/>
        <n v="40.64"/>
        <n v="38.97"/>
        <n v="35.51"/>
        <n v="35.299999999999997"/>
        <n v="30.41"/>
        <n v="20.51"/>
        <n v="13.88"/>
        <n v="227.97"/>
        <n v="72.7"/>
        <n v="50.3"/>
        <n v="46.45"/>
        <n v="34.200000000000003"/>
        <n v="33.93"/>
        <n v="25.83"/>
        <n v="23.51"/>
        <n v="19.690000000000001"/>
        <n v="16.98"/>
        <n v="231"/>
        <n v="195.43"/>
        <n v="91.59"/>
        <n v="57.4"/>
        <n v="50.51"/>
        <n v="47.81"/>
        <n v="33.68"/>
        <n v="32.99"/>
        <n v="27.86"/>
        <n v="16.809999999999999"/>
        <n v="117"/>
        <n v="502"/>
        <n v="197.35"/>
        <n v="104.57"/>
        <n v="92.23"/>
        <n v="77.680000000000007"/>
        <n v="60.38"/>
        <n v="57.1"/>
        <n v="42.76"/>
        <n v="30.37"/>
        <n v="19.39"/>
        <n v="18.55"/>
        <n v="405"/>
        <n v="126.78"/>
        <n v="118.46"/>
        <n v="25.86"/>
        <n v="20.21"/>
        <n v="19"/>
        <n v="527"/>
        <n v="72.790000000000006"/>
        <n v="64.72"/>
        <n v="39.67"/>
        <n v="24.99"/>
        <n v="16.63"/>
        <n v="14.96"/>
        <n v="483"/>
        <n v="334"/>
        <n v="177"/>
        <n v="53"/>
        <n v="158.38999999999999"/>
        <n v="93.88"/>
        <n v="51.46"/>
        <n v="46.27"/>
        <n v="41.81"/>
        <n v="40.380000000000003"/>
        <n v="33.119999999999997"/>
        <n v="27.64"/>
        <n v="20.95"/>
        <n v="7.02"/>
        <n v="241"/>
        <n v="548"/>
        <n v="695.34"/>
        <n v="86.7"/>
        <n v="60.8"/>
        <n v="57.13"/>
        <n v="32.549999999999997"/>
        <n v="30.76"/>
        <n v="25.94"/>
        <n v="19.38"/>
        <n v="444"/>
        <n v="58.26"/>
        <n v="53.57"/>
        <n v="44.01"/>
        <n v="43.67"/>
        <n v="21.24"/>
        <n v="17.45"/>
        <n v="132"/>
        <n v="185"/>
        <n v="117.6"/>
        <n v="32.47"/>
        <n v="18.63"/>
        <n v="18.149999999999999"/>
        <n v="326"/>
        <n v="215.19"/>
        <n v="180.23"/>
        <n v="91.81"/>
        <n v="69.099999999999994"/>
        <n v="68.03"/>
        <n v="44.21"/>
        <n v="13.5"/>
        <n v="127.3"/>
        <n v="55.22"/>
        <n v="347"/>
        <n v="88"/>
        <n v="60.14"/>
        <n v="53.06"/>
        <n v="49.1"/>
        <n v="44.63"/>
        <n v="33.65"/>
        <n v="24.34"/>
        <n v="22.35"/>
        <n v="336"/>
        <n v="156.96"/>
        <n v="108.78"/>
        <n v="78.459999999999994"/>
        <n v="73.08"/>
        <n v="52.43"/>
        <n v="45.6"/>
        <n v="32.33"/>
        <n v="408"/>
        <n v="68.209999999999994"/>
        <n v="64.33"/>
        <n v="51.5"/>
        <n v="48.74"/>
        <n v="46.02"/>
        <n v="18.57"/>
        <n v="18.440000000000001"/>
        <n v="16.16"/>
        <n v="167"/>
        <n v="317.7"/>
        <n v="231.2"/>
        <n v="68.78"/>
        <n v="65.62"/>
        <n v="46.7"/>
        <n v="38.770000000000003"/>
        <n v="33.99"/>
        <n v="26.06"/>
        <n v="20"/>
        <n v="15.26"/>
        <n v="149.09"/>
        <n v="139.22"/>
        <n v="118.13"/>
        <n v="112.9"/>
        <n v="49.16"/>
        <n v="45.95"/>
        <n v="39.700000000000003"/>
        <n v="23.96"/>
        <n v="194.3"/>
        <n v="148.25"/>
        <n v="133.52000000000001"/>
        <n v="74.34"/>
        <n v="55.18"/>
        <n v="50.5"/>
        <n v="44.92"/>
        <n v="43.16"/>
        <n v="19.87"/>
        <n v="215.7"/>
        <n v="69.86"/>
        <n v="54.82"/>
        <n v="52.03"/>
        <n v="37.340000000000003"/>
        <n v="36.630000000000003"/>
        <n v="36.08"/>
        <n v="28.79"/>
        <n v="27.94"/>
        <n v="27.26"/>
        <n v="18.59"/>
        <n v="440"/>
        <n v="88.83"/>
        <n v="72.989999999999995"/>
        <n v="54.98"/>
        <n v="40.630000000000003"/>
        <n v="33.04"/>
        <n v="15.79"/>
        <n v="218.28"/>
        <n v="162.08000000000001"/>
        <n v="73.209999999999994"/>
        <n v="71.709999999999994"/>
        <n v="38.369999999999997"/>
        <n v="26.59"/>
        <n v="23.33"/>
        <n v="23.31"/>
        <n v="147.06"/>
        <n v="114.2"/>
        <n v="112.66"/>
        <n v="105"/>
        <n v="71.489999999999995"/>
        <n v="42.16"/>
        <n v="41.75"/>
        <n v="40.65"/>
        <n v="38.82"/>
        <n v="33.56"/>
        <n v="212"/>
        <n v="205.56"/>
        <n v="195.03"/>
        <n v="87.59"/>
        <n v="80.709999999999994"/>
        <n v="65.900000000000006"/>
        <n v="44.53"/>
        <n v="37.15"/>
        <n v="37.01"/>
        <n v="26.51"/>
        <n v="443"/>
        <n v="271.83"/>
        <n v="179.8"/>
        <n v="156.63999999999999"/>
        <n v="95.28"/>
        <n v="77.72"/>
        <n v="72.180000000000007"/>
        <n v="64.319999999999993"/>
        <n v="39.5"/>
        <n v="35.979999999999997"/>
        <n v="22.13"/>
        <n v="441"/>
        <n v="80.2"/>
        <n v="55.21"/>
        <n v="53.84"/>
        <n v="24.75"/>
        <n v="17.43"/>
        <n v="13.17"/>
        <n v="49.93"/>
        <n v="47.66"/>
        <n v="42.65"/>
        <n v="34.29"/>
        <n v="33.770000000000003"/>
        <n v="22.53"/>
        <n v="7"/>
        <n v="74.239999999999995"/>
        <n v="69.83"/>
        <n v="27.78"/>
        <n v="18.670000000000002"/>
        <n v="451"/>
        <n v="493.9"/>
        <n v="86.43"/>
        <n v="64.09"/>
        <n v="36.729999999999997"/>
        <n v="25.55"/>
        <n v="23.77"/>
        <n v="15.55"/>
        <n v="14.57"/>
        <n v="496.62"/>
        <n v="130.68"/>
        <n v="76.319999999999993"/>
        <n v="72.61"/>
        <n v="54.29"/>
        <n v="40.85"/>
        <n v="35.35"/>
        <n v="23.81"/>
        <n v="22.64"/>
        <n v="18.62"/>
        <n v="15.45"/>
        <n v="21"/>
        <n v="238.97"/>
        <n v="62.74"/>
        <n v="44.71"/>
        <n v="39.1"/>
        <n v="36.69"/>
        <n v="21.36"/>
        <n v="115"/>
        <n v="575.04"/>
        <n v="178.27"/>
        <n v="156.16999999999999"/>
        <n v="151.63"/>
        <n v="78.5"/>
        <n v="72.400000000000006"/>
        <n v="62.77"/>
        <n v="39.979999999999997"/>
        <n v="36.92"/>
        <n v="34.06"/>
        <n v="32.53"/>
        <n v="31.62"/>
        <n v="16.850000000000001"/>
        <n v="398.2"/>
        <n v="113.01"/>
        <n v="72.22"/>
        <n v="55.48"/>
        <n v="39.409999999999997"/>
        <n v="14.27"/>
        <n v="1.1100000000000001"/>
        <n v="318"/>
        <n v="75.489999999999995"/>
        <n v="56.55"/>
        <n v="22.43"/>
        <n v="340.62"/>
        <n v="250.31"/>
        <n v="137.05000000000001"/>
        <n v="60.44"/>
        <n v="55.6"/>
        <n v="26.52"/>
        <n v="23.84"/>
        <n v="19.149999999999999"/>
        <n v="14.44"/>
        <n v="474"/>
        <n v="171.8"/>
        <n v="63.23"/>
        <n v="50.27"/>
        <n v="48.46"/>
        <n v="42.81"/>
        <n v="25.35"/>
        <n v="22.71"/>
        <n v="21.42"/>
        <n v="15"/>
        <n v="53.35"/>
        <n v="36.01"/>
        <n v="34.46"/>
        <n v="23.99"/>
        <n v="224"/>
        <n v="122.55"/>
        <n v="42.49"/>
        <n v="34.590000000000003"/>
        <n v="28.49"/>
        <n v="15.91"/>
        <n v="13.41"/>
        <n v="61.78"/>
        <n v="58.54"/>
        <n v="39.08"/>
        <n v="21.53"/>
        <n v="370"/>
        <n v="181"/>
        <n v="65.94"/>
        <n v="63.26"/>
        <n v="51.77"/>
        <n v="153.36000000000001"/>
        <n v="63.71"/>
        <n v="39.71"/>
        <n v="35.15"/>
        <n v="31.02"/>
        <n v="27.67"/>
        <n v="357"/>
        <n v="216"/>
        <n v="240.6"/>
        <n v="167.88"/>
        <n v="83.75"/>
        <n v="77.8"/>
        <n v="39.51"/>
        <n v="36.21"/>
        <n v="19.46"/>
        <n v="324"/>
        <n v="140.75"/>
        <n v="125.86"/>
        <n v="104.78"/>
        <n v="95.65"/>
        <n v="85.99"/>
        <n v="60.74"/>
        <n v="48.58"/>
        <n v="45.73"/>
        <n v="35.29"/>
        <n v="34.67"/>
        <n v="16.239999999999998"/>
        <n v="214"/>
        <n v="171.71"/>
        <n v="144.57"/>
        <n v="70.260000000000005"/>
        <n v="65.89"/>
        <n v="60.94"/>
        <n v="43.8"/>
        <n v="21.25"/>
        <n v="14.34"/>
        <n v="104"/>
        <n v="73.3"/>
        <n v="64.680000000000007"/>
        <n v="64.12"/>
        <n v="59.73"/>
        <n v="50.13"/>
        <n v="39.76"/>
        <n v="32.89"/>
        <n v="28.18"/>
        <n v="15.18"/>
        <n v="486"/>
        <n v="246"/>
        <n v="328"/>
        <n v="140.69999999999999"/>
        <n v="64.13"/>
        <n v="38.700000000000003"/>
        <n v="18.649999999999999"/>
        <n v="1.07"/>
        <n v="121"/>
        <n v="523"/>
        <n v="192.4"/>
        <n v="170.32"/>
        <n v="119.76"/>
        <n v="51.8"/>
        <n v="45.37"/>
        <n v="39.26"/>
        <n v="31.44"/>
        <n v="585.57000000000005"/>
        <n v="281"/>
        <n v="156.52000000000001"/>
        <n v="98.36"/>
        <n v="96.64"/>
        <n v="63.79"/>
        <n v="59.29"/>
        <n v="33.130000000000003"/>
        <n v="33.07"/>
        <n v="32.630000000000003"/>
        <n v="16.21"/>
        <n v="14.38"/>
        <n v="309"/>
        <n v="144.66999999999999"/>
        <n v="118.84"/>
        <n v="91.69"/>
        <n v="82.72"/>
        <n v="47.25"/>
        <n v="20.68"/>
        <n v="215"/>
        <n v="501"/>
        <n v="241.52"/>
        <n v="111.48"/>
        <n v="90.4"/>
        <n v="61.28"/>
        <n v="24.17"/>
        <n v="13.47"/>
        <n v="195.89"/>
        <n v="150.05000000000001"/>
        <n v="144.62"/>
        <n v="74.44"/>
        <n v="38.9"/>
        <n v="17.68"/>
        <n v="16.920000000000002"/>
        <n v="16.13"/>
        <n v="15.24"/>
        <n v="177.73"/>
        <n v="112.5"/>
        <n v="89.48"/>
        <n v="53.42"/>
        <n v="53.37"/>
        <n v="51.11"/>
        <n v="48.26"/>
        <n v="48.11"/>
        <n v="42.03"/>
        <n v="39.270000000000003"/>
        <n v="19.440000000000001"/>
        <n v="129"/>
        <n v="94.45"/>
        <n v="74.22"/>
        <n v="70.510000000000005"/>
        <n v="56.8"/>
        <n v="43.01"/>
        <n v="27.38"/>
        <n v="24.43"/>
        <n v="22.49"/>
        <n v="511"/>
        <n v="393.28"/>
        <n v="101.19"/>
        <n v="76.150000000000006"/>
        <n v="73.510000000000005"/>
        <n v="63.99"/>
        <n v="45.97"/>
        <n v="40.74"/>
        <n v="28.02"/>
        <n v="22.51"/>
        <n v="186"/>
        <n v="176"/>
        <n v="340"/>
        <n v="187.61"/>
        <n v="106.98"/>
        <n v="98.2"/>
        <n v="83.53"/>
        <n v="44.42"/>
        <n v="33.909999999999997"/>
        <n v="20.67"/>
        <n v="19.21"/>
        <n v="13.51"/>
        <n v="813.21"/>
        <n v="308.47000000000003"/>
        <n v="173.02"/>
        <n v="105.14"/>
        <n v="74.760000000000005"/>
        <n v="53.66"/>
        <n v="47.45"/>
        <n v="40.97"/>
        <n v="18.54"/>
        <n v="13.86"/>
        <n v="149"/>
        <n v="59"/>
        <n v="133"/>
        <n v="120.62"/>
        <n v="78.55"/>
        <n v="35.369999999999997"/>
        <n v="35.06"/>
        <n v="24.65"/>
        <n v="17.79"/>
        <n v="16.82"/>
        <n v="14.43"/>
        <n v="577.95000000000005"/>
        <n v="158.52000000000001"/>
        <n v="152.41999999999999"/>
        <n v="112"/>
        <n v="79.63"/>
        <n v="38.799999999999997"/>
        <n v="26.58"/>
        <n v="21.74"/>
        <n v="499"/>
        <n v="117.79"/>
        <n v="79.78"/>
        <n v="58.77"/>
        <n v="49.55"/>
        <n v="29.82"/>
        <n v="28.88"/>
        <n v="22.68"/>
        <n v="17.75"/>
        <n v="38"/>
        <n v="123"/>
        <n v="145.69999999999999"/>
        <n v="54.23"/>
        <n v="46.74"/>
        <n v="40.549999999999997"/>
        <n v="30.15"/>
        <n v="306"/>
        <n v="261.17"/>
        <n v="79.06"/>
        <n v="58.44"/>
        <n v="51.86"/>
        <n v="39.950000000000003"/>
      </sharedItems>
    </cacheField>
    <cacheField name="num_items" numFmtId="0">
      <sharedItems containsSemiMixedTypes="0" containsString="0" containsNumber="1" containsInteger="1" minValue="0" maxValue="9"/>
    </cacheField>
    <cacheField name="delivery_time_days" numFmtId="0">
      <sharedItems containsSemiMixedTypes="0" containsString="0" containsNumber="1" containsInteger="1" minValue="0" maxValue="15" count="16">
        <n v="9"/>
        <n v="12"/>
        <n v="14"/>
        <n v="5"/>
        <n v="1"/>
        <n v="13"/>
        <n v="4"/>
        <n v="8"/>
        <n v="0"/>
        <n v="7"/>
        <n v="10"/>
        <n v="2"/>
        <n v="11"/>
        <n v="15"/>
        <n v="6"/>
        <n v="3"/>
      </sharedItems>
    </cacheField>
    <cacheField name="satisfaction" numFmtId="0">
      <sharedItems containsString="0" containsBlank="1" containsNumber="1" containsInteger="1" minValue="2" maxValue="5" count="5">
        <n v="4"/>
        <n v="5"/>
        <n v="3"/>
        <m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047.694238888886" createdVersion="5" refreshedVersion="5" minRefreshableVersion="3" recordCount="5000">
  <cacheSource type="worksheet">
    <worksheetSource ref="A1:O5001" sheet="datasetExcel"/>
  </cacheSource>
  <cacheFields count="15">
    <cacheField name="customer_id" numFmtId="0">
      <sharedItems containsSemiMixedTypes="0" containsString="0" containsNumber="1" containsInteger="1" minValue="1" maxValue="5000"/>
    </cacheField>
    <cacheField name="date" numFmtId="14">
      <sharedItems containsSemiMixedTypes="0" containsNonDate="0" containsDate="1" containsString="0" minDate="2025-01-01T00:00:00" maxDate="2025-06-30T00:00:00"/>
    </cacheField>
    <cacheField name="age" numFmtId="0">
      <sharedItems containsSemiMixedTypes="0" containsString="0" containsNumber="1" containsInteger="1" minValue="18" maxValue="84"/>
    </cacheField>
    <cacheField name="gender" numFmtId="0">
      <sharedItems/>
    </cacheField>
    <cacheField name="region" numFmtId="0">
      <sharedItems/>
    </cacheField>
    <cacheField name="traffic_source" numFmtId="0">
      <sharedItems count="4">
        <s v="Organic"/>
        <s v="PaidAds"/>
        <s v="Referral"/>
        <s v="Email"/>
      </sharedItems>
    </cacheField>
    <cacheField name="campaign" numFmtId="0">
      <sharedItems containsBlank="1"/>
    </cacheField>
    <cacheField name="time_on_site_s" numFmtId="0">
      <sharedItems containsSemiMixedTypes="0" containsString="0" containsNumber="1" minValue="1" maxValue="2235.3000000000002"/>
    </cacheField>
    <cacheField name="pages_visited" numFmtId="1">
      <sharedItems containsSemiMixedTypes="0" containsString="0" containsNumber="1" containsInteger="1" minValue="1" maxValue="18"/>
    </cacheField>
    <cacheField name="converted" numFmtId="0">
      <sharedItems containsSemiMixedTypes="0" containsString="0" containsNumber="1" containsInteger="1" minValue="0" maxValue="1"/>
    </cacheField>
    <cacheField name="purchase_amount" numFmtId="0">
      <sharedItems containsSemiMixedTypes="0" containsString="0" containsNumber="1" minValue="0" maxValue="1419.3" count="1648">
        <n v="43"/>
        <n v="294"/>
        <n v="81.55"/>
        <n v="60.45"/>
        <n v="45.87"/>
        <n v="41.92"/>
        <n v="32.4"/>
        <n v="23.42"/>
        <n v="23.34"/>
        <n v="20.94"/>
        <n v="20.309999999999999"/>
        <n v="0"/>
        <n v="289"/>
        <n v="156.97999999999999"/>
        <n v="38.58"/>
        <n v="37.200000000000003"/>
        <n v="29.49"/>
        <n v="24.62"/>
        <n v="16.760000000000002"/>
        <n v="157.19"/>
        <n v="96.31"/>
        <n v="91.56"/>
        <n v="67.61"/>
        <n v="45.03"/>
        <n v="40.79"/>
        <n v="39.94"/>
        <n v="37.020000000000003"/>
        <n v="35.090000000000003"/>
        <n v="16.940000000000001"/>
        <n v="16.350000000000001"/>
        <n v="204.32"/>
        <n v="109.36"/>
        <n v="80.47"/>
        <n v="75.97"/>
        <n v="69.040000000000006"/>
        <n v="62.57"/>
        <n v="58.74"/>
        <n v="46.19"/>
        <n v="43.82"/>
        <n v="43.34"/>
        <n v="32.090000000000003"/>
        <n v="18.82"/>
        <n v="138.36000000000001"/>
        <n v="68.83"/>
        <n v="59.59"/>
        <n v="57.14"/>
        <n v="35.93"/>
        <n v="34.770000000000003"/>
        <n v="33.21"/>
        <n v="29.75"/>
        <n v="21.44"/>
        <n v="19.510000000000002"/>
        <n v="17.63"/>
        <n v="16.32"/>
        <n v="16.28"/>
        <n v="148"/>
        <n v="326.22000000000003"/>
        <n v="94.06"/>
        <n v="62.43"/>
        <n v="47.17"/>
        <n v="44.88"/>
        <n v="33.61"/>
        <n v="32.130000000000003"/>
        <n v="17.329999999999998"/>
        <n v="72"/>
        <n v="477"/>
        <n v="286.88"/>
        <n v="115.34"/>
        <n v="111.1"/>
        <n v="95.51"/>
        <n v="62.75"/>
        <n v="49.51"/>
        <n v="37.33"/>
        <n v="20.77"/>
        <n v="222.98"/>
        <n v="127.16"/>
        <n v="126.85"/>
        <n v="113.31"/>
        <n v="107.58"/>
        <n v="92.68"/>
        <n v="87.42"/>
        <n v="80.92"/>
        <n v="78.930000000000007"/>
        <n v="66.52"/>
        <n v="57.23"/>
        <n v="49.71"/>
        <n v="48.27"/>
        <n v="42.55"/>
        <n v="34.94"/>
        <n v="154.9"/>
        <n v="147.94999999999999"/>
        <n v="61.05"/>
        <n v="59.9"/>
        <n v="53.14"/>
        <n v="50.98"/>
        <n v="46.81"/>
        <n v="45.96"/>
        <n v="15.15"/>
        <n v="283"/>
        <n v="308.13"/>
        <n v="177.55"/>
        <n v="148.97999999999999"/>
        <n v="122.92"/>
        <n v="112.6"/>
        <n v="110.75"/>
        <n v="92.76"/>
        <n v="33.36"/>
        <n v="31.83"/>
        <n v="30.52"/>
        <n v="479"/>
        <n v="129.18"/>
        <n v="110.96"/>
        <n v="49.72"/>
        <n v="42.63"/>
        <n v="41.7"/>
        <n v="38.36"/>
        <n v="36.53"/>
        <n v="36.020000000000003"/>
        <n v="25.13"/>
        <n v="15.84"/>
        <n v="15.83"/>
        <n v="14.53"/>
        <n v="202"/>
        <n v="52.58"/>
        <n v="47.33"/>
        <n v="44.79"/>
        <n v="30.14"/>
        <n v="29.33"/>
        <n v="23.73"/>
        <n v="18.13"/>
        <n v="13"/>
        <n v="95"/>
        <n v="147"/>
        <n v="100.55"/>
        <n v="77.849999999999994"/>
        <n v="60.53"/>
        <n v="58.1"/>
        <n v="53.8"/>
        <n v="44.94"/>
        <n v="33.4"/>
        <n v="32.93"/>
        <n v="25.49"/>
        <n v="310"/>
        <n v="95.07"/>
        <n v="57.57"/>
        <n v="55.56"/>
        <n v="44.36"/>
        <n v="38.03"/>
        <n v="36.090000000000003"/>
        <n v="32.82"/>
        <n v="24.54"/>
        <n v="21.49"/>
        <n v="480"/>
        <n v="140.53"/>
        <n v="111.57"/>
        <n v="66.64"/>
        <n v="66.62"/>
        <n v="59.05"/>
        <n v="50.86"/>
        <n v="50.64"/>
        <n v="39.79"/>
        <n v="37.51"/>
        <n v="34.93"/>
        <n v="27.59"/>
        <n v="17.32"/>
        <n v="120"/>
        <n v="371"/>
        <n v="114.77"/>
        <n v="85.95"/>
        <n v="80.010000000000005"/>
        <n v="43.36"/>
        <n v="41.88"/>
        <n v="39.83"/>
        <n v="31.91"/>
        <n v="28.39"/>
        <n v="26.46"/>
        <n v="23.65"/>
        <n v="144"/>
        <n v="56.87"/>
        <n v="55.38"/>
        <n v="48.77"/>
        <n v="13.52"/>
        <n v="76.739999999999995"/>
        <n v="56.04"/>
        <n v="52.32"/>
        <n v="46.08"/>
        <n v="31.65"/>
        <n v="15.96"/>
        <n v="108.74"/>
        <n v="82.05"/>
        <n v="56.56"/>
        <n v="53.74"/>
        <n v="45.54"/>
        <n v="43.93"/>
        <n v="24.88"/>
        <n v="12"/>
        <n v="94.89"/>
        <n v="39.93"/>
        <n v="18.88"/>
        <n v="140"/>
        <n v="203.42"/>
        <n v="122.62"/>
        <n v="116.63"/>
        <n v="107.23"/>
        <n v="68.400000000000006"/>
        <n v="50.34"/>
        <n v="48.64"/>
        <n v="48.12"/>
        <n v="37.57"/>
        <n v="31.86"/>
        <n v="27.29"/>
        <n v="27.19"/>
        <n v="22.84"/>
        <n v="117.07"/>
        <n v="113.3"/>
        <n v="95.02"/>
        <n v="88.38"/>
        <n v="68.39"/>
        <n v="66.599999999999994"/>
        <n v="54.49"/>
        <n v="53.27"/>
        <n v="50.99"/>
        <n v="30.47"/>
        <n v="29"/>
        <n v="28.22"/>
        <n v="61.16"/>
        <n v="55.66"/>
        <n v="51.24"/>
        <n v="33.46"/>
        <n v="33.08"/>
        <n v="29.76"/>
        <n v="26.71"/>
        <n v="96"/>
        <n v="103.95"/>
        <n v="55.81"/>
        <n v="49.41"/>
        <n v="32.65"/>
        <n v="26.79"/>
        <n v="20.53"/>
        <n v="197"/>
        <n v="174.36"/>
        <n v="157.91999999999999"/>
        <n v="132.55000000000001"/>
        <n v="71.66"/>
        <n v="68.099999999999994"/>
        <n v="44.1"/>
        <n v="41.93"/>
        <n v="41.74"/>
        <n v="31.42"/>
        <n v="22.85"/>
        <n v="14.97"/>
        <n v="13.56"/>
        <n v="425"/>
        <n v="95.19"/>
        <n v="77.430000000000007"/>
        <n v="55.82"/>
        <n v="50.06"/>
        <n v="36.619999999999997"/>
        <n v="36.159999999999997"/>
        <n v="546"/>
        <n v="139.59"/>
        <n v="106.6"/>
        <n v="80.040000000000006"/>
        <n v="75.540000000000006"/>
        <n v="65.02"/>
        <n v="57.2"/>
        <n v="52.62"/>
        <n v="30.78"/>
        <n v="19.309999999999999"/>
        <n v="18.77"/>
        <n v="16.89"/>
        <n v="13.81"/>
        <n v="97"/>
        <n v="203.72"/>
        <n v="75.5"/>
        <n v="64.87"/>
        <n v="58.79"/>
        <n v="53.07"/>
        <n v="49.97"/>
        <n v="41.87"/>
        <n v="30.32"/>
        <n v="311.02999999999997"/>
        <n v="268.44"/>
        <n v="209.14"/>
        <n v="194.02"/>
        <n v="167.18"/>
        <n v="148.65"/>
        <n v="108.98"/>
        <n v="32.42"/>
        <n v="27.89"/>
        <n v="18.940000000000001"/>
        <n v="180"/>
        <n v="364"/>
        <n v="114"/>
        <n v="263"/>
        <n v="137.88999999999999"/>
        <n v="112.93"/>
        <n v="93.36"/>
        <n v="88.93"/>
        <n v="62.8"/>
        <n v="51.69"/>
        <n v="48.1"/>
        <n v="45.31"/>
        <n v="40.61"/>
        <n v="38.43"/>
        <n v="36.43"/>
        <n v="34.39"/>
        <n v="30.34"/>
        <n v="424"/>
        <n v="374"/>
        <n v="111"/>
        <n v="93"/>
        <n v="91.37"/>
        <n v="59.43"/>
        <n v="57.37"/>
        <n v="20.61"/>
        <n v="188"/>
        <n v="125.15"/>
        <n v="118.73"/>
        <n v="94.46"/>
        <n v="73.52"/>
        <n v="70.94"/>
        <n v="34.869999999999997"/>
        <n v="29.68"/>
        <n v="23.54"/>
        <n v="21.82"/>
        <n v="20.85"/>
        <n v="157"/>
        <n v="183.27"/>
        <n v="122.1"/>
        <n v="75.92"/>
        <n v="62.82"/>
        <n v="62.29"/>
        <n v="52.3"/>
        <n v="46.33"/>
        <n v="42.08"/>
        <n v="41.01"/>
        <n v="35.729999999999997"/>
        <n v="32.590000000000003"/>
        <n v="103.04"/>
        <n v="81.349999999999994"/>
        <n v="58.14"/>
        <n v="34.700000000000003"/>
        <n v="29.47"/>
        <n v="13.83"/>
        <n v="265"/>
        <n v="184"/>
        <n v="111.55"/>
        <n v="99.52"/>
        <n v="77.78"/>
        <n v="60.66"/>
        <n v="37.520000000000003"/>
        <n v="28.59"/>
        <n v="28.57"/>
        <n v="23.59"/>
        <n v="22.98"/>
        <n v="21.29"/>
        <n v="14.36"/>
        <n v="253"/>
        <n v="169"/>
        <n v="158.81"/>
        <n v="140.78"/>
        <n v="82.74"/>
        <n v="76.45"/>
        <n v="68.45"/>
        <n v="59.89"/>
        <n v="52"/>
        <n v="27.25"/>
        <n v="24.78"/>
        <n v="14.99"/>
        <n v="119"/>
        <n v="266.27999999999997"/>
        <n v="103.77"/>
        <n v="61.29"/>
        <n v="33.67"/>
        <n v="23.17"/>
        <n v="15.76"/>
        <n v="125.55"/>
        <n v="122.95"/>
        <n v="82.14"/>
        <n v="80.61"/>
        <n v="73.75"/>
        <n v="64.540000000000006"/>
        <n v="22.44"/>
        <n v="18.309999999999999"/>
        <n v="119.47"/>
        <n v="103.47"/>
        <n v="86.14"/>
        <n v="62.65"/>
        <n v="44.27"/>
        <n v="43.05"/>
        <n v="40.32"/>
        <n v="119.32"/>
        <n v="48.75"/>
        <n v="30.43"/>
        <n v="29.14"/>
        <n v="20.81"/>
        <n v="68"/>
        <n v="314.73"/>
        <n v="115.47"/>
        <n v="73.69"/>
        <n v="57.32"/>
        <n v="53.78"/>
        <n v="44.44"/>
        <n v="43.96"/>
        <n v="41.64"/>
        <n v="41.29"/>
        <n v="41.08"/>
        <n v="35.57"/>
        <n v="20.3"/>
        <n v="17.66"/>
        <n v="272"/>
        <n v="344.28"/>
        <n v="170.21"/>
        <n v="104.85"/>
        <n v="98.4"/>
        <n v="89.86"/>
        <n v="57.04"/>
        <n v="28.44"/>
        <n v="28.32"/>
        <n v="24.96"/>
        <n v="482"/>
        <n v="185.69"/>
        <n v="106.24"/>
        <n v="87.22"/>
        <n v="86.81"/>
        <n v="65.44"/>
        <n v="62.28"/>
        <n v="60.98"/>
        <n v="57.26"/>
        <n v="50.66"/>
        <n v="44.96"/>
        <n v="41.13"/>
        <n v="31.53"/>
        <n v="24.18"/>
        <n v="24.11"/>
        <n v="411"/>
        <n v="108.2"/>
        <n v="74.459999999999994"/>
        <n v="73.11"/>
        <n v="67.45"/>
        <n v="35.97"/>
        <n v="28.93"/>
        <n v="23.13"/>
        <n v="23.08"/>
        <n v="16.260000000000002"/>
        <n v="286.51"/>
        <n v="96.45"/>
        <n v="78.13"/>
        <n v="67.900000000000006"/>
        <n v="61.83"/>
        <n v="61.63"/>
        <n v="54.05"/>
        <n v="42.51"/>
        <n v="29.24"/>
        <n v="22.58"/>
        <n v="22.26"/>
        <n v="15.98"/>
        <n v="78"/>
        <n v="106.06"/>
        <n v="74.790000000000006"/>
        <n v="59.21"/>
        <n v="57.95"/>
        <n v="57.7"/>
        <n v="52.2"/>
        <n v="30.58"/>
        <n v="21.17"/>
        <n v="190"/>
        <n v="105.65"/>
        <n v="97.61"/>
        <n v="78.84"/>
        <n v="78.59"/>
        <n v="56.9"/>
        <n v="56.37"/>
        <n v="41.27"/>
        <n v="36.51"/>
        <n v="18"/>
        <n v="16.45"/>
        <n v="164"/>
        <n v="161.91"/>
        <n v="132.33000000000001"/>
        <n v="71.7"/>
        <n v="71.05"/>
        <n v="61.37"/>
        <n v="49.02"/>
        <n v="15.88"/>
        <n v="172.5"/>
        <n v="59.26"/>
        <n v="53.17"/>
        <n v="45.88"/>
        <n v="32.08"/>
        <n v="22.88"/>
        <n v="17.61"/>
        <n v="193"/>
        <n v="445.39"/>
        <n v="148.19"/>
        <n v="62.51"/>
        <n v="51.94"/>
        <n v="49.53"/>
        <n v="39.68"/>
        <n v="21.23"/>
        <n v="19.89"/>
        <n v="92"/>
        <n v="141"/>
        <n v="63.67"/>
        <n v="46.58"/>
        <n v="42.69"/>
        <n v="42.19"/>
        <n v="36.83"/>
        <n v="34.479999999999997"/>
        <n v="27.31"/>
        <n v="23.9"/>
        <n v="64.67"/>
        <n v="52.55"/>
        <n v="44.7"/>
        <n v="21.16"/>
        <n v="16"/>
        <n v="15.62"/>
        <n v="409"/>
        <n v="177.66"/>
        <n v="43.23"/>
        <n v="37.979999999999997"/>
        <n v="28.13"/>
        <n v="25.72"/>
        <n v="136.75"/>
        <n v="103.28"/>
        <n v="95.84"/>
        <n v="76.41"/>
        <n v="72.02"/>
        <n v="70.959999999999994"/>
        <n v="61.42"/>
        <n v="51.34"/>
        <n v="29.45"/>
        <n v="29.34"/>
        <n v="85.46"/>
        <n v="55.13"/>
        <n v="43.3"/>
        <n v="39.909999999999997"/>
        <n v="25.24"/>
        <n v="22.33"/>
        <n v="18.420000000000002"/>
        <n v="115.62"/>
        <n v="85.8"/>
        <n v="73.34"/>
        <n v="71.989999999999995"/>
        <n v="57.71"/>
        <n v="24.64"/>
        <n v="23.88"/>
        <n v="20.76"/>
        <n v="515"/>
        <n v="179"/>
        <n v="163.51"/>
        <n v="140.96"/>
        <n v="119.1"/>
        <n v="52.23"/>
        <n v="34.049999999999997"/>
        <n v="29.25"/>
        <n v="23.47"/>
        <n v="16.29"/>
        <n v="15.43"/>
        <n v="13.68"/>
        <n v="13.38"/>
        <n v="160"/>
        <n v="136"/>
        <n v="100.83"/>
        <n v="51.96"/>
        <n v="43.42"/>
        <n v="24.81"/>
        <n v="14.66"/>
        <n v="74"/>
        <n v="63.06"/>
        <n v="60.49"/>
        <n v="51.57"/>
        <n v="45.09"/>
        <n v="40.049999999999997"/>
        <n v="18.170000000000002"/>
        <n v="142"/>
        <n v="77"/>
        <n v="1419.3"/>
        <n v="170.79"/>
        <n v="82.07"/>
        <n v="74.58"/>
        <n v="62.02"/>
        <n v="43.08"/>
        <n v="34.270000000000003"/>
        <n v="20.43"/>
        <n v="19.84"/>
        <n v="15.81"/>
        <n v="529"/>
        <n v="1412"/>
        <n v="498.01"/>
        <n v="107.48"/>
        <n v="97.13"/>
        <n v="60.2"/>
        <n v="40.450000000000003"/>
        <n v="34.31"/>
        <n v="32.159999999999997"/>
        <n v="30.67"/>
        <n v="22.63"/>
        <n v="13.35"/>
        <n v="173.57"/>
        <n v="93.76"/>
        <n v="87.6"/>
        <n v="79.599999999999994"/>
        <n v="35.82"/>
        <n v="33.25"/>
        <n v="30.13"/>
        <n v="29.18"/>
        <n v="20.49"/>
        <n v="346"/>
        <n v="44"/>
        <n v="107"/>
        <n v="67.52"/>
        <n v="59.3"/>
        <n v="51.31"/>
        <n v="23.53"/>
        <n v="19.96"/>
        <n v="18.36"/>
        <n v="18.32"/>
        <n v="16.649999999999999"/>
        <n v="242"/>
        <n v="255"/>
        <n v="90.31"/>
        <n v="52.75"/>
        <n v="50.96"/>
        <n v="37.630000000000003"/>
        <n v="28.65"/>
        <n v="198"/>
        <n v="1312"/>
        <n v="134.05000000000001"/>
        <n v="71.510000000000005"/>
        <n v="45.25"/>
        <n v="44.49"/>
        <n v="32.67"/>
        <n v="301.10000000000002"/>
        <n v="258"/>
        <n v="243"/>
        <n v="128.80000000000001"/>
        <n v="113.72"/>
        <n v="90.5"/>
        <n v="62.09"/>
        <n v="53.31"/>
        <n v="49.06"/>
        <n v="47.7"/>
        <n v="37.75"/>
        <n v="366"/>
        <n v="519"/>
        <n v="65.81"/>
        <n v="64.930000000000007"/>
        <n v="58.23"/>
        <n v="52.39"/>
        <n v="38.08"/>
        <n v="32.83"/>
        <n v="28.99"/>
        <n v="26.91"/>
        <n v="25.18"/>
        <n v="15.39"/>
        <n v="509"/>
        <n v="221"/>
        <n v="40.880000000000003"/>
        <n v="35.32"/>
        <n v="26.95"/>
        <n v="25.98"/>
        <n v="113.08"/>
        <n v="40.83"/>
        <n v="29.93"/>
        <n v="28.67"/>
        <n v="27.51"/>
        <n v="15.25"/>
        <n v="158.46"/>
        <n v="114.44"/>
        <n v="108.43"/>
        <n v="104.61"/>
        <n v="30.74"/>
        <n v="22.69"/>
        <n v="21.37"/>
        <n v="17.93"/>
        <n v="13.18"/>
        <n v="228"/>
        <n v="129.94999999999999"/>
        <n v="76.03"/>
        <n v="49.48"/>
        <n v="33.76"/>
        <n v="32.03"/>
        <n v="20.57"/>
        <n v="552"/>
        <n v="87.88"/>
        <n v="87.17"/>
        <n v="73"/>
        <n v="47.65"/>
        <n v="40.86"/>
        <n v="32.14"/>
        <n v="32.119999999999997"/>
        <n v="16.48"/>
        <n v="13.85"/>
        <n v="13.77"/>
        <n v="354"/>
        <n v="430"/>
        <n v="367"/>
        <n v="448"/>
        <n v="209.32"/>
        <n v="135.63999999999999"/>
        <n v="87.82"/>
        <n v="71.739999999999995"/>
        <n v="71.36"/>
        <n v="60.32"/>
        <n v="43.97"/>
        <n v="38.14"/>
        <n v="31.97"/>
        <n v="21.35"/>
        <n v="86"/>
        <n v="348"/>
        <n v="435"/>
        <n v="112.28"/>
        <n v="102.32"/>
        <n v="94.07"/>
        <n v="49.57"/>
        <n v="40.51"/>
        <n v="23.79"/>
        <n v="23.16"/>
        <n v="419"/>
        <n v="117.82"/>
        <n v="76.63"/>
        <n v="61.32"/>
        <n v="55.88"/>
        <n v="54.16"/>
        <n v="44.56"/>
        <n v="41.3"/>
        <n v="35.130000000000003"/>
        <n v="32.21"/>
        <n v="22.39"/>
        <n v="107.94"/>
        <n v="72.78"/>
        <n v="64.569999999999993"/>
        <n v="42.68"/>
        <n v="38.54"/>
        <n v="25.95"/>
        <n v="24.44"/>
        <n v="238.61"/>
        <n v="107.21"/>
        <n v="89.56"/>
        <n v="88.3"/>
        <n v="64.069999999999993"/>
        <n v="60.56"/>
        <n v="54.44"/>
        <n v="52.48"/>
        <n v="42.29"/>
        <n v="34.61"/>
        <n v="33.35"/>
        <n v="29.71"/>
        <n v="28.48"/>
        <n v="23"/>
        <n v="21.78"/>
        <n v="21.47"/>
        <n v="267"/>
        <n v="63"/>
        <n v="90.7"/>
        <n v="82.49"/>
        <n v="74.209999999999994"/>
        <n v="48.94"/>
        <n v="37.090000000000003"/>
        <n v="21.43"/>
        <n v="21.14"/>
        <n v="17.170000000000002"/>
        <n v="84.43"/>
        <n v="73.91"/>
        <n v="52.66"/>
        <n v="49.92"/>
        <n v="41.23"/>
        <n v="27.75"/>
        <n v="20.350000000000001"/>
        <n v="15.57"/>
        <n v="554"/>
        <n v="51"/>
        <n v="91"/>
        <n v="166.98"/>
        <n v="125.45"/>
        <n v="87.55"/>
        <n v="73.19"/>
        <n v="71.25"/>
        <n v="52.25"/>
        <n v="49.01"/>
        <n v="37.54"/>
        <n v="34.14"/>
        <n v="31.13"/>
        <n v="28.25"/>
        <n v="15.94"/>
        <n v="437"/>
        <n v="123.9"/>
        <n v="40.81"/>
        <n v="40.1"/>
        <n v="38.47"/>
        <n v="16.77"/>
        <n v="415"/>
        <n v="151.07"/>
        <n v="115.6"/>
        <n v="57.98"/>
        <n v="33.03"/>
        <n v="32.909999999999997"/>
        <n v="26.89"/>
        <n v="25.17"/>
        <n v="106"/>
        <n v="86.8"/>
        <n v="56.5"/>
        <n v="38.32"/>
        <n v="33.53"/>
        <n v="32.200000000000003"/>
        <n v="29.72"/>
        <n v="13.27"/>
        <n v="150.36000000000001"/>
        <n v="91.12"/>
        <n v="53.19"/>
        <n v="44.45"/>
        <n v="33.94"/>
        <n v="25.97"/>
        <n v="270"/>
        <n v="426"/>
        <n v="436"/>
        <n v="428"/>
        <n v="182.51"/>
        <n v="77.900000000000006"/>
        <n v="67.349999999999994"/>
        <n v="47.32"/>
        <n v="43.2"/>
        <n v="41.72"/>
        <n v="31"/>
        <n v="26.88"/>
        <n v="351"/>
        <n v="395"/>
        <n v="89.51"/>
        <n v="75.14"/>
        <n v="62.19"/>
        <n v="48.05"/>
        <n v="20.239999999999998"/>
        <n v="401"/>
        <n v="399"/>
        <n v="225"/>
        <n v="175.24"/>
        <n v="163.69999999999999"/>
        <n v="80.739999999999995"/>
        <n v="69.7"/>
        <n v="37.130000000000003"/>
        <n v="31.94"/>
        <n v="26.22"/>
        <n v="24.45"/>
        <n v="16.54"/>
        <n v="396"/>
        <n v="355.23"/>
        <n v="154.31"/>
        <n v="78.44"/>
        <n v="74.39"/>
        <n v="73.02"/>
        <n v="53.48"/>
        <n v="47.73"/>
        <n v="27.52"/>
        <n v="25.82"/>
        <n v="24.26"/>
        <n v="20.89"/>
        <n v="20.23"/>
        <n v="16.440000000000001"/>
        <n v="158.12"/>
        <n v="138.44"/>
        <n v="70.42"/>
        <n v="68.14"/>
        <n v="54.13"/>
        <n v="37.78"/>
        <n v="394"/>
        <n v="113.97"/>
        <n v="75.510000000000005"/>
        <n v="50.82"/>
        <n v="47.58"/>
        <n v="36.979999999999997"/>
        <n v="28.62"/>
        <n v="13.19"/>
        <n v="83.73"/>
        <n v="59.95"/>
        <n v="48.55"/>
        <n v="42.23"/>
        <n v="40.08"/>
        <n v="26.72"/>
        <n v="24.28"/>
        <n v="21.46"/>
        <n v="19.93"/>
        <n v="166.92"/>
        <n v="118.81"/>
        <n v="103.34"/>
        <n v="90.03"/>
        <n v="80.69"/>
        <n v="72.069999999999993"/>
        <n v="70.55"/>
        <n v="69.5"/>
        <n v="68.16"/>
        <n v="61.59"/>
        <n v="59.24"/>
        <n v="55.08"/>
        <n v="48.73"/>
        <n v="36.119999999999997"/>
        <n v="22"/>
        <n v="20.75"/>
        <n v="18.489999999999998"/>
        <n v="15.92"/>
        <n v="15.77"/>
        <n v="543.29999999999995"/>
        <n v="506.55"/>
        <n v="72.930000000000007"/>
        <n v="60.15"/>
        <n v="46.17"/>
        <n v="32.01"/>
        <n v="14.48"/>
        <n v="13.34"/>
        <n v="432"/>
        <n v="283.20999999999998"/>
        <n v="108"/>
        <n v="93.05"/>
        <n v="82.09"/>
        <n v="59.23"/>
        <n v="56.16"/>
        <n v="47.72"/>
        <n v="27.24"/>
        <n v="330"/>
        <n v="216.56"/>
        <n v="212.46"/>
        <n v="158.04"/>
        <n v="102.07"/>
        <n v="87.33"/>
        <n v="34.15"/>
        <n v="30.59"/>
        <n v="29.99"/>
        <n v="29.54"/>
        <n v="24"/>
        <n v="272.43"/>
        <n v="100.81"/>
        <n v="555"/>
        <n v="227.7"/>
        <n v="161.83000000000001"/>
        <n v="88.78"/>
        <n v="61.24"/>
        <n v="51.25"/>
        <n v="25.74"/>
        <n v="14.83"/>
        <n v="61"/>
        <n v="291"/>
        <n v="349"/>
        <n v="350"/>
        <n v="211.72"/>
        <n v="30.22"/>
        <n v="14.52"/>
        <n v="331.14"/>
        <n v="203.68"/>
        <n v="122.12"/>
        <n v="120.34"/>
        <n v="78.83"/>
        <n v="49.65"/>
        <n v="43.66"/>
        <n v="34.97"/>
        <n v="20.88"/>
        <n v="17.940000000000001"/>
        <n v="15.42"/>
        <n v="194"/>
        <n v="188.13"/>
        <n v="73.55"/>
        <n v="54.54"/>
        <n v="40.299999999999997"/>
        <n v="31.35"/>
        <n v="16.739999999999998"/>
        <n v="15.78"/>
        <n v="459"/>
        <n v="200.27"/>
        <n v="147.51"/>
        <n v="91.63"/>
        <n v="88.71"/>
        <n v="65.459999999999994"/>
        <n v="58.71"/>
        <n v="45.75"/>
        <n v="40.909999999999997"/>
        <n v="15.64"/>
        <n v="491"/>
        <n v="300"/>
        <n v="143.09"/>
        <n v="85.48"/>
        <n v="30.71"/>
        <n v="28.85"/>
        <n v="327.44"/>
        <n v="154.99"/>
        <n v="139.44"/>
        <n v="96.85"/>
        <n v="90.37"/>
        <n v="45.85"/>
        <n v="28.78"/>
        <n v="19.329999999999998"/>
        <n v="275.45999999999998"/>
        <n v="172.19"/>
        <n v="143.28"/>
        <n v="121.24"/>
        <n v="74.510000000000005"/>
        <n v="53.94"/>
        <n v="41.86"/>
        <n v="40.409999999999997"/>
        <n v="34.25"/>
        <n v="32.229999999999997"/>
        <n v="28.63"/>
        <n v="25.45"/>
        <n v="17.38"/>
        <n v="13.49"/>
        <n v="390"/>
        <n v="92.15"/>
        <n v="81.67"/>
        <n v="48.96"/>
        <n v="40.770000000000003"/>
        <n v="36.47"/>
        <n v="29.55"/>
        <n v="19.829999999999998"/>
        <n v="166.04"/>
        <n v="132.86000000000001"/>
        <n v="130.4"/>
        <n v="105.24"/>
        <n v="104.38"/>
        <n v="99.64"/>
        <n v="73.33"/>
        <n v="57.3"/>
        <n v="55.7"/>
        <n v="53.18"/>
        <n v="42.34"/>
        <n v="37.21"/>
        <n v="33.43"/>
        <n v="29.31"/>
        <n v="19.36"/>
        <n v="16.78"/>
        <n v="226"/>
        <n v="105.16"/>
        <n v="103.42"/>
        <n v="39.17"/>
        <n v="36.78"/>
        <n v="139"/>
        <n v="166.15"/>
        <n v="141.18"/>
        <n v="77.16"/>
        <n v="66.13"/>
        <n v="54.6"/>
        <n v="47.18"/>
        <n v="40.46"/>
        <n v="30.56"/>
        <n v="16.47"/>
        <n v="14.18"/>
        <n v="151.33000000000001"/>
        <n v="126.2"/>
        <n v="61.89"/>
        <n v="44.5"/>
        <n v="40.99"/>
        <n v="36.35"/>
        <n v="34.89"/>
        <n v="22.01"/>
        <n v="15.27"/>
        <n v="158.58000000000001"/>
        <n v="75.31"/>
        <n v="73.459999999999994"/>
        <n v="46.09"/>
        <n v="24.87"/>
        <n v="72.64"/>
        <n v="52.34"/>
        <n v="51.33"/>
        <n v="48.45"/>
        <n v="33.19"/>
        <n v="28.89"/>
        <n v="27.87"/>
        <n v="13.26"/>
        <n v="169.59"/>
        <n v="118"/>
        <n v="44.93"/>
        <n v="26.83"/>
        <n v="16.41"/>
        <n v="556"/>
        <n v="180.06"/>
        <n v="118.29"/>
        <n v="63.47"/>
        <n v="41.12"/>
        <n v="35.1"/>
        <n v="30.75"/>
        <n v="28.96"/>
        <n v="76.87"/>
        <n v="70.88"/>
        <n v="44.89"/>
        <n v="40.92"/>
        <n v="26.23"/>
        <n v="17.47"/>
        <n v="249"/>
        <n v="80.95"/>
        <n v="47.89"/>
        <n v="46.05"/>
        <n v="40.58"/>
        <n v="23.43"/>
        <n v="16.579999999999998"/>
        <n v="535"/>
        <n v="551"/>
        <n v="113.46"/>
        <n v="82.36"/>
        <n v="65.33"/>
        <n v="58.18"/>
        <n v="54.14"/>
        <n v="48.62"/>
        <n v="42.85"/>
        <n v="38.479999999999997"/>
        <n v="38.1"/>
        <n v="20.32"/>
        <n v="188.62"/>
        <n v="78.67"/>
        <n v="58.33"/>
        <n v="56.35"/>
        <n v="49.03"/>
        <n v="47.99"/>
        <n v="47.28"/>
        <n v="41.02"/>
        <n v="30.81"/>
        <n v="16.87"/>
        <n v="130"/>
        <n v="434"/>
        <n v="528"/>
        <n v="457"/>
        <n v="534"/>
        <n v="163"/>
        <n v="108.23"/>
        <n v="35.78"/>
        <n v="14.46"/>
        <n v="102"/>
        <n v="285"/>
        <n v="706.35"/>
        <n v="81.900000000000006"/>
        <n v="73.7"/>
        <n v="68.47"/>
        <n v="332"/>
        <n v="580.38"/>
        <n v="327.41000000000003"/>
        <n v="94.82"/>
        <n v="67.03"/>
        <n v="48.09"/>
        <n v="40.369999999999997"/>
        <n v="196.48"/>
        <n v="40.64"/>
        <n v="38.97"/>
        <n v="35.51"/>
        <n v="35.299999999999997"/>
        <n v="30.41"/>
        <n v="20.51"/>
        <n v="13.88"/>
        <n v="227.97"/>
        <n v="72.7"/>
        <n v="50.3"/>
        <n v="46.45"/>
        <n v="34.200000000000003"/>
        <n v="33.93"/>
        <n v="25.83"/>
        <n v="23.51"/>
        <n v="19.690000000000001"/>
        <n v="16.98"/>
        <n v="231"/>
        <n v="195.43"/>
        <n v="91.59"/>
        <n v="57.4"/>
        <n v="50.51"/>
        <n v="47.81"/>
        <n v="33.68"/>
        <n v="32.99"/>
        <n v="27.86"/>
        <n v="16.809999999999999"/>
        <n v="117"/>
        <n v="502"/>
        <n v="197.35"/>
        <n v="104.57"/>
        <n v="92.23"/>
        <n v="77.680000000000007"/>
        <n v="60.38"/>
        <n v="57.1"/>
        <n v="42.76"/>
        <n v="30.37"/>
        <n v="19.39"/>
        <n v="18.55"/>
        <n v="405"/>
        <n v="126.78"/>
        <n v="118.46"/>
        <n v="25.86"/>
        <n v="20.21"/>
        <n v="19"/>
        <n v="527"/>
        <n v="72.790000000000006"/>
        <n v="64.72"/>
        <n v="39.67"/>
        <n v="24.99"/>
        <n v="16.63"/>
        <n v="14.96"/>
        <n v="483"/>
        <n v="334"/>
        <n v="177"/>
        <n v="53"/>
        <n v="158.38999999999999"/>
        <n v="93.88"/>
        <n v="51.46"/>
        <n v="46.27"/>
        <n v="41.81"/>
        <n v="40.380000000000003"/>
        <n v="33.119999999999997"/>
        <n v="27.64"/>
        <n v="20.95"/>
        <n v="7.02"/>
        <n v="241"/>
        <n v="548"/>
        <n v="695.34"/>
        <n v="86.7"/>
        <n v="60.8"/>
        <n v="57.13"/>
        <n v="32.549999999999997"/>
        <n v="30.76"/>
        <n v="25.94"/>
        <n v="19.38"/>
        <n v="444"/>
        <n v="58.26"/>
        <n v="53.57"/>
        <n v="44.01"/>
        <n v="43.67"/>
        <n v="21.24"/>
        <n v="17.45"/>
        <n v="132"/>
        <n v="185"/>
        <n v="117.6"/>
        <n v="32.47"/>
        <n v="18.63"/>
        <n v="18.149999999999999"/>
        <n v="326"/>
        <n v="215.19"/>
        <n v="180.23"/>
        <n v="91.81"/>
        <n v="69.099999999999994"/>
        <n v="68.03"/>
        <n v="44.21"/>
        <n v="13.5"/>
        <n v="127.3"/>
        <n v="55.22"/>
        <n v="347"/>
        <n v="88"/>
        <n v="60.14"/>
        <n v="53.06"/>
        <n v="49.1"/>
        <n v="44.63"/>
        <n v="33.65"/>
        <n v="24.34"/>
        <n v="22.35"/>
        <n v="336"/>
        <n v="156.96"/>
        <n v="108.78"/>
        <n v="78.459999999999994"/>
        <n v="73.08"/>
        <n v="52.43"/>
        <n v="45.6"/>
        <n v="32.33"/>
        <n v="408"/>
        <n v="68.209999999999994"/>
        <n v="64.33"/>
        <n v="51.5"/>
        <n v="48.74"/>
        <n v="46.02"/>
        <n v="18.57"/>
        <n v="18.440000000000001"/>
        <n v="16.16"/>
        <n v="167"/>
        <n v="317.7"/>
        <n v="231.2"/>
        <n v="68.78"/>
        <n v="65.62"/>
        <n v="46.7"/>
        <n v="38.770000000000003"/>
        <n v="33.99"/>
        <n v="26.06"/>
        <n v="20"/>
        <n v="15.26"/>
        <n v="149.09"/>
        <n v="139.22"/>
        <n v="118.13"/>
        <n v="112.9"/>
        <n v="49.16"/>
        <n v="45.95"/>
        <n v="39.700000000000003"/>
        <n v="23.96"/>
        <n v="194.3"/>
        <n v="148.25"/>
        <n v="133.52000000000001"/>
        <n v="74.34"/>
        <n v="55.18"/>
        <n v="50.5"/>
        <n v="44.92"/>
        <n v="43.16"/>
        <n v="19.87"/>
        <n v="215.7"/>
        <n v="69.86"/>
        <n v="54.82"/>
        <n v="52.03"/>
        <n v="37.340000000000003"/>
        <n v="36.630000000000003"/>
        <n v="36.08"/>
        <n v="28.79"/>
        <n v="27.94"/>
        <n v="27.26"/>
        <n v="18.59"/>
        <n v="440"/>
        <n v="88.83"/>
        <n v="72.989999999999995"/>
        <n v="54.98"/>
        <n v="40.630000000000003"/>
        <n v="33.04"/>
        <n v="15.79"/>
        <n v="218.28"/>
        <n v="162.08000000000001"/>
        <n v="73.209999999999994"/>
        <n v="71.709999999999994"/>
        <n v="38.369999999999997"/>
        <n v="26.59"/>
        <n v="23.33"/>
        <n v="23.31"/>
        <n v="147.06"/>
        <n v="114.2"/>
        <n v="112.66"/>
        <n v="105"/>
        <n v="71.489999999999995"/>
        <n v="42.16"/>
        <n v="41.75"/>
        <n v="40.65"/>
        <n v="38.82"/>
        <n v="33.56"/>
        <n v="212"/>
        <n v="205.56"/>
        <n v="195.03"/>
        <n v="87.59"/>
        <n v="80.709999999999994"/>
        <n v="65.900000000000006"/>
        <n v="44.53"/>
        <n v="37.15"/>
        <n v="37.01"/>
        <n v="26.51"/>
        <n v="443"/>
        <n v="271.83"/>
        <n v="179.8"/>
        <n v="156.63999999999999"/>
        <n v="95.28"/>
        <n v="77.72"/>
        <n v="72.180000000000007"/>
        <n v="64.319999999999993"/>
        <n v="39.5"/>
        <n v="35.979999999999997"/>
        <n v="22.13"/>
        <n v="441"/>
        <n v="80.2"/>
        <n v="55.21"/>
        <n v="53.84"/>
        <n v="24.75"/>
        <n v="17.43"/>
        <n v="13.17"/>
        <n v="49.93"/>
        <n v="47.66"/>
        <n v="42.65"/>
        <n v="34.29"/>
        <n v="33.770000000000003"/>
        <n v="22.53"/>
        <n v="7"/>
        <n v="74.239999999999995"/>
        <n v="69.83"/>
        <n v="27.78"/>
        <n v="18.670000000000002"/>
        <n v="451"/>
        <n v="493.9"/>
        <n v="86.43"/>
        <n v="64.09"/>
        <n v="36.729999999999997"/>
        <n v="25.55"/>
        <n v="23.77"/>
        <n v="15.55"/>
        <n v="14.57"/>
        <n v="496.62"/>
        <n v="130.68"/>
        <n v="76.319999999999993"/>
        <n v="72.61"/>
        <n v="54.29"/>
        <n v="40.85"/>
        <n v="35.35"/>
        <n v="23.81"/>
        <n v="22.64"/>
        <n v="18.62"/>
        <n v="15.45"/>
        <n v="21"/>
        <n v="238.97"/>
        <n v="62.74"/>
        <n v="44.71"/>
        <n v="39.1"/>
        <n v="36.69"/>
        <n v="21.36"/>
        <n v="115"/>
        <n v="575.04"/>
        <n v="178.27"/>
        <n v="156.16999999999999"/>
        <n v="151.63"/>
        <n v="78.5"/>
        <n v="72.400000000000006"/>
        <n v="62.77"/>
        <n v="39.979999999999997"/>
        <n v="36.92"/>
        <n v="34.06"/>
        <n v="32.53"/>
        <n v="31.62"/>
        <n v="16.850000000000001"/>
        <n v="398.2"/>
        <n v="113.01"/>
        <n v="72.22"/>
        <n v="55.48"/>
        <n v="39.409999999999997"/>
        <n v="14.27"/>
        <n v="1.1100000000000001"/>
        <n v="318"/>
        <n v="75.489999999999995"/>
        <n v="56.55"/>
        <n v="22.43"/>
        <n v="340.62"/>
        <n v="250.31"/>
        <n v="137.05000000000001"/>
        <n v="60.44"/>
        <n v="55.6"/>
        <n v="26.52"/>
        <n v="23.84"/>
        <n v="19.149999999999999"/>
        <n v="14.44"/>
        <n v="474"/>
        <n v="171.8"/>
        <n v="63.23"/>
        <n v="50.27"/>
        <n v="48.46"/>
        <n v="42.81"/>
        <n v="25.35"/>
        <n v="22.71"/>
        <n v="21.42"/>
        <n v="15"/>
        <n v="53.35"/>
        <n v="36.01"/>
        <n v="34.46"/>
        <n v="23.99"/>
        <n v="224"/>
        <n v="122.55"/>
        <n v="42.49"/>
        <n v="34.590000000000003"/>
        <n v="28.49"/>
        <n v="15.91"/>
        <n v="13.41"/>
        <n v="61.78"/>
        <n v="58.54"/>
        <n v="39.08"/>
        <n v="21.53"/>
        <n v="370"/>
        <n v="181"/>
        <n v="65.94"/>
        <n v="63.26"/>
        <n v="51.77"/>
        <n v="153.36000000000001"/>
        <n v="63.71"/>
        <n v="39.71"/>
        <n v="35.15"/>
        <n v="31.02"/>
        <n v="27.67"/>
        <n v="357"/>
        <n v="216"/>
        <n v="240.6"/>
        <n v="167.88"/>
        <n v="83.75"/>
        <n v="77.8"/>
        <n v="39.51"/>
        <n v="36.21"/>
        <n v="19.46"/>
        <n v="324"/>
        <n v="140.75"/>
        <n v="125.86"/>
        <n v="104.78"/>
        <n v="95.65"/>
        <n v="85.99"/>
        <n v="60.74"/>
        <n v="48.58"/>
        <n v="45.73"/>
        <n v="35.29"/>
        <n v="34.67"/>
        <n v="16.239999999999998"/>
        <n v="214"/>
        <n v="171.71"/>
        <n v="144.57"/>
        <n v="70.260000000000005"/>
        <n v="65.89"/>
        <n v="60.94"/>
        <n v="43.8"/>
        <n v="21.25"/>
        <n v="14.34"/>
        <n v="104"/>
        <n v="73.3"/>
        <n v="64.680000000000007"/>
        <n v="64.12"/>
        <n v="59.73"/>
        <n v="50.13"/>
        <n v="39.76"/>
        <n v="32.89"/>
        <n v="28.18"/>
        <n v="15.18"/>
        <n v="486"/>
        <n v="246"/>
        <n v="328"/>
        <n v="140.69999999999999"/>
        <n v="64.13"/>
        <n v="38.700000000000003"/>
        <n v="18.649999999999999"/>
        <n v="1.07"/>
        <n v="121"/>
        <n v="523"/>
        <n v="192.4"/>
        <n v="170.32"/>
        <n v="119.76"/>
        <n v="51.8"/>
        <n v="45.37"/>
        <n v="39.26"/>
        <n v="31.44"/>
        <n v="585.57000000000005"/>
        <n v="281"/>
        <n v="156.52000000000001"/>
        <n v="98.36"/>
        <n v="96.64"/>
        <n v="63.79"/>
        <n v="59.29"/>
        <n v="33.130000000000003"/>
        <n v="33.07"/>
        <n v="32.630000000000003"/>
        <n v="16.21"/>
        <n v="14.38"/>
        <n v="309"/>
        <n v="144.66999999999999"/>
        <n v="118.84"/>
        <n v="91.69"/>
        <n v="82.72"/>
        <n v="47.25"/>
        <n v="20.68"/>
        <n v="215"/>
        <n v="501"/>
        <n v="241.52"/>
        <n v="111.48"/>
        <n v="90.4"/>
        <n v="61.28"/>
        <n v="24.17"/>
        <n v="13.47"/>
        <n v="195.89"/>
        <n v="150.05000000000001"/>
        <n v="144.62"/>
        <n v="74.44"/>
        <n v="38.9"/>
        <n v="17.68"/>
        <n v="16.920000000000002"/>
        <n v="16.13"/>
        <n v="15.24"/>
        <n v="177.73"/>
        <n v="112.5"/>
        <n v="89.48"/>
        <n v="53.42"/>
        <n v="53.37"/>
        <n v="51.11"/>
        <n v="48.26"/>
        <n v="48.11"/>
        <n v="42.03"/>
        <n v="39.270000000000003"/>
        <n v="19.440000000000001"/>
        <n v="129"/>
        <n v="94.45"/>
        <n v="74.22"/>
        <n v="70.510000000000005"/>
        <n v="56.8"/>
        <n v="43.01"/>
        <n v="27.38"/>
        <n v="24.43"/>
        <n v="22.49"/>
        <n v="511"/>
        <n v="393.28"/>
        <n v="101.19"/>
        <n v="76.150000000000006"/>
        <n v="73.510000000000005"/>
        <n v="63.99"/>
        <n v="45.97"/>
        <n v="40.74"/>
        <n v="28.02"/>
        <n v="22.51"/>
        <n v="186"/>
        <n v="176"/>
        <n v="340"/>
        <n v="187.61"/>
        <n v="106.98"/>
        <n v="98.2"/>
        <n v="83.53"/>
        <n v="44.42"/>
        <n v="33.909999999999997"/>
        <n v="20.67"/>
        <n v="19.21"/>
        <n v="13.51"/>
        <n v="813.21"/>
        <n v="308.47000000000003"/>
        <n v="173.02"/>
        <n v="105.14"/>
        <n v="74.760000000000005"/>
        <n v="53.66"/>
        <n v="47.45"/>
        <n v="40.97"/>
        <n v="18.54"/>
        <n v="13.86"/>
        <n v="149"/>
        <n v="59"/>
        <n v="133"/>
        <n v="120.62"/>
        <n v="78.55"/>
        <n v="35.369999999999997"/>
        <n v="35.06"/>
        <n v="24.65"/>
        <n v="17.79"/>
        <n v="16.82"/>
        <n v="14.43"/>
        <n v="577.95000000000005"/>
        <n v="158.52000000000001"/>
        <n v="152.41999999999999"/>
        <n v="112"/>
        <n v="79.63"/>
        <n v="38.799999999999997"/>
        <n v="26.58"/>
        <n v="21.74"/>
        <n v="499"/>
        <n v="117.79"/>
        <n v="79.78"/>
        <n v="58.77"/>
        <n v="49.55"/>
        <n v="29.82"/>
        <n v="28.88"/>
        <n v="22.68"/>
        <n v="17.75"/>
        <n v="38"/>
        <n v="123"/>
        <n v="145.69999999999999"/>
        <n v="54.23"/>
        <n v="46.74"/>
        <n v="40.549999999999997"/>
        <n v="30.15"/>
        <n v="306"/>
        <n v="261.17"/>
        <n v="79.06"/>
        <n v="58.44"/>
        <n v="51.86"/>
        <n v="39.950000000000003"/>
      </sharedItems>
    </cacheField>
    <cacheField name="num_items" numFmtId="0">
      <sharedItems containsSemiMixedTypes="0" containsString="0" containsNumber="1" containsInteger="1" minValue="0" maxValue="9"/>
    </cacheField>
    <cacheField name="delivery_time_days" numFmtId="0">
      <sharedItems containsSemiMixedTypes="0" containsString="0" containsNumber="1" containsInteger="1" minValue="0" maxValue="15"/>
    </cacheField>
    <cacheField name="satisfaction" numFmtId="0">
      <sharedItems containsString="0" containsBlank="1" containsNumber="1" containsInteger="1" minValue="2" maxValue="5"/>
    </cacheField>
    <cacheField name="Месяц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2295"/>
    <x v="0"/>
    <x v="0"/>
    <x v="0"/>
    <x v="0"/>
    <x v="0"/>
    <x v="0"/>
    <x v="0"/>
    <x v="0"/>
    <n v="1"/>
    <x v="0"/>
    <n v="5"/>
    <x v="0"/>
    <x v="0"/>
  </r>
  <r>
    <n v="2903"/>
    <x v="0"/>
    <x v="1"/>
    <x v="1"/>
    <x v="0"/>
    <x v="1"/>
    <x v="1"/>
    <x v="1"/>
    <x v="1"/>
    <n v="1"/>
    <x v="1"/>
    <n v="3"/>
    <x v="1"/>
    <x v="1"/>
  </r>
  <r>
    <n v="1922"/>
    <x v="0"/>
    <x v="2"/>
    <x v="1"/>
    <x v="1"/>
    <x v="2"/>
    <x v="0"/>
    <x v="2"/>
    <x v="2"/>
    <n v="1"/>
    <x v="2"/>
    <n v="4"/>
    <x v="2"/>
    <x v="0"/>
  </r>
  <r>
    <n v="3627"/>
    <x v="0"/>
    <x v="3"/>
    <x v="0"/>
    <x v="0"/>
    <x v="0"/>
    <x v="0"/>
    <x v="3"/>
    <x v="3"/>
    <n v="1"/>
    <x v="3"/>
    <n v="2"/>
    <x v="3"/>
    <x v="2"/>
  </r>
  <r>
    <n v="2605"/>
    <x v="0"/>
    <x v="4"/>
    <x v="0"/>
    <x v="2"/>
    <x v="0"/>
    <x v="0"/>
    <x v="4"/>
    <x v="4"/>
    <n v="1"/>
    <x v="4"/>
    <n v="4"/>
    <x v="4"/>
    <x v="0"/>
  </r>
  <r>
    <n v="3218"/>
    <x v="0"/>
    <x v="5"/>
    <x v="0"/>
    <x v="1"/>
    <x v="3"/>
    <x v="0"/>
    <x v="5"/>
    <x v="5"/>
    <n v="1"/>
    <x v="5"/>
    <n v="3"/>
    <x v="5"/>
    <x v="1"/>
  </r>
  <r>
    <n v="822"/>
    <x v="0"/>
    <x v="6"/>
    <x v="0"/>
    <x v="2"/>
    <x v="3"/>
    <x v="0"/>
    <x v="6"/>
    <x v="6"/>
    <n v="1"/>
    <x v="6"/>
    <n v="3"/>
    <x v="0"/>
    <x v="1"/>
  </r>
  <r>
    <n v="73"/>
    <x v="0"/>
    <x v="7"/>
    <x v="1"/>
    <x v="0"/>
    <x v="3"/>
    <x v="0"/>
    <x v="7"/>
    <x v="4"/>
    <n v="1"/>
    <x v="7"/>
    <n v="2"/>
    <x v="6"/>
    <x v="0"/>
  </r>
  <r>
    <n v="1902"/>
    <x v="0"/>
    <x v="8"/>
    <x v="1"/>
    <x v="3"/>
    <x v="0"/>
    <x v="0"/>
    <x v="8"/>
    <x v="7"/>
    <n v="1"/>
    <x v="8"/>
    <n v="5"/>
    <x v="7"/>
    <x v="1"/>
  </r>
  <r>
    <n v="4979"/>
    <x v="0"/>
    <x v="9"/>
    <x v="0"/>
    <x v="2"/>
    <x v="0"/>
    <x v="0"/>
    <x v="9"/>
    <x v="6"/>
    <n v="1"/>
    <x v="9"/>
    <n v="7"/>
    <x v="0"/>
    <x v="1"/>
  </r>
  <r>
    <n v="1427"/>
    <x v="0"/>
    <x v="10"/>
    <x v="0"/>
    <x v="1"/>
    <x v="0"/>
    <x v="0"/>
    <x v="10"/>
    <x v="5"/>
    <n v="1"/>
    <x v="10"/>
    <n v="4"/>
    <x v="7"/>
    <x v="1"/>
  </r>
  <r>
    <n v="2633"/>
    <x v="0"/>
    <x v="11"/>
    <x v="1"/>
    <x v="0"/>
    <x v="1"/>
    <x v="2"/>
    <x v="11"/>
    <x v="1"/>
    <n v="0"/>
    <x v="11"/>
    <n v="0"/>
    <x v="8"/>
    <x v="3"/>
  </r>
  <r>
    <n v="4777"/>
    <x v="0"/>
    <x v="1"/>
    <x v="0"/>
    <x v="0"/>
    <x v="0"/>
    <x v="0"/>
    <x v="12"/>
    <x v="8"/>
    <n v="0"/>
    <x v="11"/>
    <n v="0"/>
    <x v="8"/>
    <x v="3"/>
  </r>
  <r>
    <n v="4412"/>
    <x v="0"/>
    <x v="12"/>
    <x v="0"/>
    <x v="0"/>
    <x v="1"/>
    <x v="1"/>
    <x v="13"/>
    <x v="1"/>
    <n v="0"/>
    <x v="11"/>
    <n v="0"/>
    <x v="8"/>
    <x v="3"/>
  </r>
  <r>
    <n v="2328"/>
    <x v="0"/>
    <x v="13"/>
    <x v="1"/>
    <x v="2"/>
    <x v="0"/>
    <x v="0"/>
    <x v="14"/>
    <x v="9"/>
    <n v="0"/>
    <x v="11"/>
    <n v="0"/>
    <x v="8"/>
    <x v="3"/>
  </r>
  <r>
    <n v="4152"/>
    <x v="0"/>
    <x v="14"/>
    <x v="0"/>
    <x v="1"/>
    <x v="0"/>
    <x v="0"/>
    <x v="15"/>
    <x v="2"/>
    <n v="0"/>
    <x v="11"/>
    <n v="0"/>
    <x v="8"/>
    <x v="3"/>
  </r>
  <r>
    <n v="4130"/>
    <x v="0"/>
    <x v="15"/>
    <x v="0"/>
    <x v="3"/>
    <x v="1"/>
    <x v="3"/>
    <x v="16"/>
    <x v="8"/>
    <n v="0"/>
    <x v="11"/>
    <n v="0"/>
    <x v="8"/>
    <x v="3"/>
  </r>
  <r>
    <n v="2612"/>
    <x v="0"/>
    <x v="16"/>
    <x v="2"/>
    <x v="2"/>
    <x v="3"/>
    <x v="0"/>
    <x v="17"/>
    <x v="6"/>
    <n v="0"/>
    <x v="11"/>
    <n v="0"/>
    <x v="8"/>
    <x v="3"/>
  </r>
  <r>
    <n v="2912"/>
    <x v="0"/>
    <x v="2"/>
    <x v="1"/>
    <x v="2"/>
    <x v="0"/>
    <x v="0"/>
    <x v="18"/>
    <x v="10"/>
    <n v="0"/>
    <x v="11"/>
    <n v="0"/>
    <x v="8"/>
    <x v="3"/>
  </r>
  <r>
    <n v="2715"/>
    <x v="0"/>
    <x v="7"/>
    <x v="0"/>
    <x v="2"/>
    <x v="0"/>
    <x v="0"/>
    <x v="19"/>
    <x v="0"/>
    <n v="0"/>
    <x v="11"/>
    <n v="0"/>
    <x v="8"/>
    <x v="3"/>
  </r>
  <r>
    <n v="209"/>
    <x v="0"/>
    <x v="7"/>
    <x v="1"/>
    <x v="2"/>
    <x v="0"/>
    <x v="0"/>
    <x v="20"/>
    <x v="0"/>
    <n v="0"/>
    <x v="11"/>
    <n v="0"/>
    <x v="8"/>
    <x v="3"/>
  </r>
  <r>
    <n v="4726"/>
    <x v="0"/>
    <x v="17"/>
    <x v="0"/>
    <x v="2"/>
    <x v="1"/>
    <x v="4"/>
    <x v="21"/>
    <x v="8"/>
    <n v="0"/>
    <x v="11"/>
    <n v="0"/>
    <x v="8"/>
    <x v="3"/>
  </r>
  <r>
    <n v="3318"/>
    <x v="0"/>
    <x v="1"/>
    <x v="1"/>
    <x v="1"/>
    <x v="3"/>
    <x v="0"/>
    <x v="22"/>
    <x v="0"/>
    <n v="0"/>
    <x v="11"/>
    <n v="0"/>
    <x v="8"/>
    <x v="3"/>
  </r>
  <r>
    <n v="953"/>
    <x v="1"/>
    <x v="18"/>
    <x v="0"/>
    <x v="1"/>
    <x v="2"/>
    <x v="0"/>
    <x v="23"/>
    <x v="6"/>
    <n v="1"/>
    <x v="12"/>
    <n v="2"/>
    <x v="9"/>
    <x v="0"/>
  </r>
  <r>
    <n v="1625"/>
    <x v="1"/>
    <x v="0"/>
    <x v="1"/>
    <x v="0"/>
    <x v="1"/>
    <x v="2"/>
    <x v="24"/>
    <x v="10"/>
    <n v="1"/>
    <x v="13"/>
    <n v="4"/>
    <x v="10"/>
    <x v="2"/>
  </r>
  <r>
    <n v="1863"/>
    <x v="1"/>
    <x v="3"/>
    <x v="1"/>
    <x v="0"/>
    <x v="0"/>
    <x v="0"/>
    <x v="25"/>
    <x v="1"/>
    <n v="1"/>
    <x v="14"/>
    <n v="1"/>
    <x v="1"/>
    <x v="2"/>
  </r>
  <r>
    <n v="318"/>
    <x v="1"/>
    <x v="2"/>
    <x v="0"/>
    <x v="3"/>
    <x v="0"/>
    <x v="0"/>
    <x v="26"/>
    <x v="0"/>
    <n v="1"/>
    <x v="15"/>
    <n v="2"/>
    <x v="11"/>
    <x v="1"/>
  </r>
  <r>
    <n v="2860"/>
    <x v="1"/>
    <x v="19"/>
    <x v="0"/>
    <x v="0"/>
    <x v="1"/>
    <x v="1"/>
    <x v="27"/>
    <x v="6"/>
    <n v="1"/>
    <x v="16"/>
    <n v="4"/>
    <x v="6"/>
    <x v="0"/>
  </r>
  <r>
    <n v="3592"/>
    <x v="1"/>
    <x v="20"/>
    <x v="1"/>
    <x v="0"/>
    <x v="0"/>
    <x v="0"/>
    <x v="28"/>
    <x v="8"/>
    <n v="1"/>
    <x v="17"/>
    <n v="5"/>
    <x v="12"/>
    <x v="0"/>
  </r>
  <r>
    <n v="4420"/>
    <x v="1"/>
    <x v="21"/>
    <x v="1"/>
    <x v="2"/>
    <x v="3"/>
    <x v="0"/>
    <x v="29"/>
    <x v="5"/>
    <n v="1"/>
    <x v="18"/>
    <n v="3"/>
    <x v="5"/>
    <x v="1"/>
  </r>
  <r>
    <n v="4104"/>
    <x v="1"/>
    <x v="12"/>
    <x v="1"/>
    <x v="2"/>
    <x v="0"/>
    <x v="0"/>
    <x v="30"/>
    <x v="5"/>
    <n v="0"/>
    <x v="11"/>
    <n v="0"/>
    <x v="8"/>
    <x v="3"/>
  </r>
  <r>
    <n v="176"/>
    <x v="1"/>
    <x v="8"/>
    <x v="0"/>
    <x v="1"/>
    <x v="2"/>
    <x v="0"/>
    <x v="31"/>
    <x v="2"/>
    <n v="0"/>
    <x v="11"/>
    <n v="0"/>
    <x v="8"/>
    <x v="3"/>
  </r>
  <r>
    <n v="240"/>
    <x v="1"/>
    <x v="4"/>
    <x v="0"/>
    <x v="2"/>
    <x v="0"/>
    <x v="0"/>
    <x v="32"/>
    <x v="4"/>
    <n v="0"/>
    <x v="11"/>
    <n v="0"/>
    <x v="8"/>
    <x v="3"/>
  </r>
  <r>
    <n v="3677"/>
    <x v="1"/>
    <x v="22"/>
    <x v="1"/>
    <x v="0"/>
    <x v="1"/>
    <x v="4"/>
    <x v="33"/>
    <x v="8"/>
    <n v="0"/>
    <x v="11"/>
    <n v="0"/>
    <x v="8"/>
    <x v="3"/>
  </r>
  <r>
    <n v="2173"/>
    <x v="1"/>
    <x v="23"/>
    <x v="1"/>
    <x v="2"/>
    <x v="2"/>
    <x v="0"/>
    <x v="34"/>
    <x v="6"/>
    <n v="0"/>
    <x v="11"/>
    <n v="0"/>
    <x v="8"/>
    <x v="3"/>
  </r>
  <r>
    <n v="343"/>
    <x v="1"/>
    <x v="2"/>
    <x v="1"/>
    <x v="1"/>
    <x v="0"/>
    <x v="0"/>
    <x v="35"/>
    <x v="5"/>
    <n v="0"/>
    <x v="11"/>
    <n v="0"/>
    <x v="8"/>
    <x v="3"/>
  </r>
  <r>
    <n v="1106"/>
    <x v="1"/>
    <x v="7"/>
    <x v="1"/>
    <x v="1"/>
    <x v="1"/>
    <x v="3"/>
    <x v="36"/>
    <x v="2"/>
    <n v="0"/>
    <x v="11"/>
    <n v="0"/>
    <x v="8"/>
    <x v="3"/>
  </r>
  <r>
    <n v="1691"/>
    <x v="1"/>
    <x v="24"/>
    <x v="1"/>
    <x v="3"/>
    <x v="0"/>
    <x v="0"/>
    <x v="37"/>
    <x v="6"/>
    <n v="0"/>
    <x v="11"/>
    <n v="0"/>
    <x v="8"/>
    <x v="3"/>
  </r>
  <r>
    <n v="4316"/>
    <x v="1"/>
    <x v="25"/>
    <x v="0"/>
    <x v="0"/>
    <x v="2"/>
    <x v="0"/>
    <x v="38"/>
    <x v="6"/>
    <n v="0"/>
    <x v="11"/>
    <n v="0"/>
    <x v="8"/>
    <x v="3"/>
  </r>
  <r>
    <n v="2152"/>
    <x v="1"/>
    <x v="19"/>
    <x v="0"/>
    <x v="0"/>
    <x v="1"/>
    <x v="4"/>
    <x v="39"/>
    <x v="11"/>
    <n v="0"/>
    <x v="11"/>
    <n v="0"/>
    <x v="8"/>
    <x v="3"/>
  </r>
  <r>
    <n v="1446"/>
    <x v="1"/>
    <x v="8"/>
    <x v="1"/>
    <x v="2"/>
    <x v="0"/>
    <x v="0"/>
    <x v="40"/>
    <x v="0"/>
    <n v="0"/>
    <x v="11"/>
    <n v="0"/>
    <x v="8"/>
    <x v="3"/>
  </r>
  <r>
    <n v="3620"/>
    <x v="1"/>
    <x v="24"/>
    <x v="0"/>
    <x v="2"/>
    <x v="0"/>
    <x v="0"/>
    <x v="41"/>
    <x v="1"/>
    <n v="0"/>
    <x v="11"/>
    <n v="0"/>
    <x v="8"/>
    <x v="3"/>
  </r>
  <r>
    <n v="3799"/>
    <x v="1"/>
    <x v="15"/>
    <x v="1"/>
    <x v="2"/>
    <x v="0"/>
    <x v="0"/>
    <x v="42"/>
    <x v="11"/>
    <n v="0"/>
    <x v="11"/>
    <n v="0"/>
    <x v="8"/>
    <x v="3"/>
  </r>
  <r>
    <n v="1809"/>
    <x v="1"/>
    <x v="26"/>
    <x v="1"/>
    <x v="0"/>
    <x v="3"/>
    <x v="0"/>
    <x v="43"/>
    <x v="1"/>
    <n v="0"/>
    <x v="11"/>
    <n v="0"/>
    <x v="8"/>
    <x v="3"/>
  </r>
  <r>
    <n v="1096"/>
    <x v="1"/>
    <x v="4"/>
    <x v="1"/>
    <x v="0"/>
    <x v="1"/>
    <x v="1"/>
    <x v="44"/>
    <x v="0"/>
    <n v="0"/>
    <x v="11"/>
    <n v="0"/>
    <x v="8"/>
    <x v="3"/>
  </r>
  <r>
    <n v="598"/>
    <x v="1"/>
    <x v="16"/>
    <x v="1"/>
    <x v="3"/>
    <x v="0"/>
    <x v="0"/>
    <x v="45"/>
    <x v="8"/>
    <n v="0"/>
    <x v="11"/>
    <n v="0"/>
    <x v="8"/>
    <x v="3"/>
  </r>
  <r>
    <n v="388"/>
    <x v="1"/>
    <x v="10"/>
    <x v="1"/>
    <x v="0"/>
    <x v="3"/>
    <x v="0"/>
    <x v="46"/>
    <x v="8"/>
    <n v="0"/>
    <x v="11"/>
    <n v="0"/>
    <x v="8"/>
    <x v="3"/>
  </r>
  <r>
    <n v="4511"/>
    <x v="1"/>
    <x v="27"/>
    <x v="0"/>
    <x v="3"/>
    <x v="2"/>
    <x v="0"/>
    <x v="47"/>
    <x v="8"/>
    <n v="0"/>
    <x v="11"/>
    <n v="0"/>
    <x v="8"/>
    <x v="3"/>
  </r>
  <r>
    <n v="603"/>
    <x v="1"/>
    <x v="6"/>
    <x v="0"/>
    <x v="0"/>
    <x v="1"/>
    <x v="5"/>
    <x v="48"/>
    <x v="2"/>
    <n v="0"/>
    <x v="11"/>
    <n v="0"/>
    <x v="8"/>
    <x v="3"/>
  </r>
  <r>
    <n v="4171"/>
    <x v="1"/>
    <x v="5"/>
    <x v="1"/>
    <x v="1"/>
    <x v="3"/>
    <x v="0"/>
    <x v="49"/>
    <x v="2"/>
    <n v="0"/>
    <x v="11"/>
    <n v="0"/>
    <x v="8"/>
    <x v="3"/>
  </r>
  <r>
    <n v="671"/>
    <x v="1"/>
    <x v="5"/>
    <x v="1"/>
    <x v="2"/>
    <x v="0"/>
    <x v="0"/>
    <x v="50"/>
    <x v="8"/>
    <n v="0"/>
    <x v="11"/>
    <n v="0"/>
    <x v="8"/>
    <x v="3"/>
  </r>
  <r>
    <n v="834"/>
    <x v="1"/>
    <x v="16"/>
    <x v="0"/>
    <x v="0"/>
    <x v="0"/>
    <x v="0"/>
    <x v="51"/>
    <x v="0"/>
    <n v="0"/>
    <x v="11"/>
    <n v="0"/>
    <x v="8"/>
    <x v="3"/>
  </r>
  <r>
    <n v="1679"/>
    <x v="1"/>
    <x v="10"/>
    <x v="1"/>
    <x v="2"/>
    <x v="1"/>
    <x v="6"/>
    <x v="52"/>
    <x v="5"/>
    <n v="0"/>
    <x v="11"/>
    <n v="0"/>
    <x v="8"/>
    <x v="3"/>
  </r>
  <r>
    <n v="3586"/>
    <x v="2"/>
    <x v="5"/>
    <x v="1"/>
    <x v="2"/>
    <x v="0"/>
    <x v="0"/>
    <x v="53"/>
    <x v="8"/>
    <n v="1"/>
    <x v="19"/>
    <n v="3"/>
    <x v="12"/>
    <x v="0"/>
  </r>
  <r>
    <n v="83"/>
    <x v="2"/>
    <x v="4"/>
    <x v="1"/>
    <x v="3"/>
    <x v="0"/>
    <x v="0"/>
    <x v="54"/>
    <x v="12"/>
    <n v="1"/>
    <x v="20"/>
    <n v="3"/>
    <x v="3"/>
    <x v="0"/>
  </r>
  <r>
    <n v="418"/>
    <x v="2"/>
    <x v="19"/>
    <x v="0"/>
    <x v="2"/>
    <x v="0"/>
    <x v="0"/>
    <x v="55"/>
    <x v="4"/>
    <n v="1"/>
    <x v="21"/>
    <n v="1"/>
    <x v="6"/>
    <x v="2"/>
  </r>
  <r>
    <n v="1949"/>
    <x v="2"/>
    <x v="23"/>
    <x v="0"/>
    <x v="1"/>
    <x v="1"/>
    <x v="5"/>
    <x v="56"/>
    <x v="5"/>
    <n v="1"/>
    <x v="22"/>
    <n v="7"/>
    <x v="10"/>
    <x v="0"/>
  </r>
  <r>
    <n v="3824"/>
    <x v="2"/>
    <x v="28"/>
    <x v="2"/>
    <x v="2"/>
    <x v="0"/>
    <x v="0"/>
    <x v="57"/>
    <x v="0"/>
    <n v="1"/>
    <x v="23"/>
    <n v="4"/>
    <x v="0"/>
    <x v="0"/>
  </r>
  <r>
    <n v="2288"/>
    <x v="2"/>
    <x v="0"/>
    <x v="0"/>
    <x v="2"/>
    <x v="0"/>
    <x v="0"/>
    <x v="58"/>
    <x v="9"/>
    <n v="1"/>
    <x v="24"/>
    <n v="1"/>
    <x v="0"/>
    <x v="2"/>
  </r>
  <r>
    <n v="2881"/>
    <x v="2"/>
    <x v="19"/>
    <x v="1"/>
    <x v="3"/>
    <x v="2"/>
    <x v="0"/>
    <x v="59"/>
    <x v="5"/>
    <n v="1"/>
    <x v="25"/>
    <n v="3"/>
    <x v="11"/>
    <x v="0"/>
  </r>
  <r>
    <n v="3024"/>
    <x v="2"/>
    <x v="13"/>
    <x v="0"/>
    <x v="2"/>
    <x v="1"/>
    <x v="7"/>
    <x v="60"/>
    <x v="5"/>
    <n v="1"/>
    <x v="26"/>
    <n v="1"/>
    <x v="13"/>
    <x v="0"/>
  </r>
  <r>
    <n v="4047"/>
    <x v="2"/>
    <x v="21"/>
    <x v="0"/>
    <x v="1"/>
    <x v="1"/>
    <x v="1"/>
    <x v="61"/>
    <x v="0"/>
    <n v="1"/>
    <x v="27"/>
    <n v="5"/>
    <x v="7"/>
    <x v="0"/>
  </r>
  <r>
    <n v="4998"/>
    <x v="2"/>
    <x v="29"/>
    <x v="1"/>
    <x v="0"/>
    <x v="3"/>
    <x v="0"/>
    <x v="62"/>
    <x v="2"/>
    <n v="1"/>
    <x v="28"/>
    <n v="4"/>
    <x v="1"/>
    <x v="0"/>
  </r>
  <r>
    <n v="1615"/>
    <x v="2"/>
    <x v="7"/>
    <x v="1"/>
    <x v="2"/>
    <x v="0"/>
    <x v="0"/>
    <x v="63"/>
    <x v="6"/>
    <n v="1"/>
    <x v="29"/>
    <n v="3"/>
    <x v="7"/>
    <x v="0"/>
  </r>
  <r>
    <n v="4637"/>
    <x v="2"/>
    <x v="6"/>
    <x v="1"/>
    <x v="0"/>
    <x v="3"/>
    <x v="0"/>
    <x v="64"/>
    <x v="8"/>
    <n v="0"/>
    <x v="11"/>
    <n v="0"/>
    <x v="8"/>
    <x v="3"/>
  </r>
  <r>
    <n v="4790"/>
    <x v="2"/>
    <x v="30"/>
    <x v="0"/>
    <x v="1"/>
    <x v="2"/>
    <x v="0"/>
    <x v="65"/>
    <x v="5"/>
    <n v="0"/>
    <x v="11"/>
    <n v="0"/>
    <x v="8"/>
    <x v="3"/>
  </r>
  <r>
    <n v="4917"/>
    <x v="2"/>
    <x v="31"/>
    <x v="0"/>
    <x v="0"/>
    <x v="0"/>
    <x v="0"/>
    <x v="66"/>
    <x v="8"/>
    <n v="0"/>
    <x v="11"/>
    <n v="0"/>
    <x v="8"/>
    <x v="3"/>
  </r>
  <r>
    <n v="2070"/>
    <x v="2"/>
    <x v="13"/>
    <x v="0"/>
    <x v="3"/>
    <x v="0"/>
    <x v="0"/>
    <x v="67"/>
    <x v="2"/>
    <n v="0"/>
    <x v="11"/>
    <n v="0"/>
    <x v="8"/>
    <x v="3"/>
  </r>
  <r>
    <n v="4627"/>
    <x v="2"/>
    <x v="32"/>
    <x v="1"/>
    <x v="1"/>
    <x v="0"/>
    <x v="0"/>
    <x v="68"/>
    <x v="5"/>
    <n v="0"/>
    <x v="11"/>
    <n v="0"/>
    <x v="8"/>
    <x v="3"/>
  </r>
  <r>
    <n v="2891"/>
    <x v="2"/>
    <x v="24"/>
    <x v="0"/>
    <x v="2"/>
    <x v="1"/>
    <x v="3"/>
    <x v="69"/>
    <x v="8"/>
    <n v="0"/>
    <x v="11"/>
    <n v="0"/>
    <x v="8"/>
    <x v="3"/>
  </r>
  <r>
    <n v="584"/>
    <x v="2"/>
    <x v="20"/>
    <x v="1"/>
    <x v="3"/>
    <x v="1"/>
    <x v="2"/>
    <x v="70"/>
    <x v="11"/>
    <n v="0"/>
    <x v="11"/>
    <n v="0"/>
    <x v="8"/>
    <x v="3"/>
  </r>
  <r>
    <n v="4095"/>
    <x v="2"/>
    <x v="31"/>
    <x v="0"/>
    <x v="2"/>
    <x v="0"/>
    <x v="0"/>
    <x v="71"/>
    <x v="1"/>
    <n v="0"/>
    <x v="11"/>
    <n v="0"/>
    <x v="8"/>
    <x v="3"/>
  </r>
  <r>
    <n v="4240"/>
    <x v="2"/>
    <x v="21"/>
    <x v="0"/>
    <x v="1"/>
    <x v="0"/>
    <x v="0"/>
    <x v="72"/>
    <x v="4"/>
    <n v="0"/>
    <x v="11"/>
    <n v="0"/>
    <x v="8"/>
    <x v="3"/>
  </r>
  <r>
    <n v="849"/>
    <x v="3"/>
    <x v="22"/>
    <x v="0"/>
    <x v="0"/>
    <x v="0"/>
    <x v="0"/>
    <x v="73"/>
    <x v="2"/>
    <n v="1"/>
    <x v="30"/>
    <n v="4"/>
    <x v="6"/>
    <x v="1"/>
  </r>
  <r>
    <n v="3554"/>
    <x v="3"/>
    <x v="20"/>
    <x v="1"/>
    <x v="1"/>
    <x v="0"/>
    <x v="0"/>
    <x v="74"/>
    <x v="8"/>
    <n v="1"/>
    <x v="31"/>
    <n v="2"/>
    <x v="14"/>
    <x v="2"/>
  </r>
  <r>
    <n v="3457"/>
    <x v="3"/>
    <x v="33"/>
    <x v="0"/>
    <x v="0"/>
    <x v="1"/>
    <x v="5"/>
    <x v="75"/>
    <x v="8"/>
    <n v="1"/>
    <x v="32"/>
    <n v="3"/>
    <x v="9"/>
    <x v="1"/>
  </r>
  <r>
    <n v="276"/>
    <x v="3"/>
    <x v="10"/>
    <x v="0"/>
    <x v="2"/>
    <x v="2"/>
    <x v="0"/>
    <x v="76"/>
    <x v="5"/>
    <n v="1"/>
    <x v="33"/>
    <n v="2"/>
    <x v="2"/>
    <x v="2"/>
  </r>
  <r>
    <n v="2648"/>
    <x v="3"/>
    <x v="34"/>
    <x v="1"/>
    <x v="0"/>
    <x v="0"/>
    <x v="0"/>
    <x v="77"/>
    <x v="10"/>
    <n v="1"/>
    <x v="34"/>
    <n v="2"/>
    <x v="11"/>
    <x v="2"/>
  </r>
  <r>
    <n v="3164"/>
    <x v="3"/>
    <x v="5"/>
    <x v="0"/>
    <x v="0"/>
    <x v="2"/>
    <x v="0"/>
    <x v="78"/>
    <x v="5"/>
    <n v="1"/>
    <x v="35"/>
    <n v="4"/>
    <x v="1"/>
    <x v="2"/>
  </r>
  <r>
    <n v="2415"/>
    <x v="3"/>
    <x v="25"/>
    <x v="1"/>
    <x v="0"/>
    <x v="2"/>
    <x v="0"/>
    <x v="79"/>
    <x v="0"/>
    <n v="1"/>
    <x v="36"/>
    <n v="3"/>
    <x v="0"/>
    <x v="2"/>
  </r>
  <r>
    <n v="2988"/>
    <x v="3"/>
    <x v="24"/>
    <x v="0"/>
    <x v="2"/>
    <x v="0"/>
    <x v="0"/>
    <x v="80"/>
    <x v="8"/>
    <n v="1"/>
    <x v="37"/>
    <n v="2"/>
    <x v="6"/>
    <x v="1"/>
  </r>
  <r>
    <n v="2583"/>
    <x v="3"/>
    <x v="3"/>
    <x v="1"/>
    <x v="1"/>
    <x v="0"/>
    <x v="0"/>
    <x v="81"/>
    <x v="6"/>
    <n v="1"/>
    <x v="38"/>
    <n v="1"/>
    <x v="13"/>
    <x v="0"/>
  </r>
  <r>
    <n v="2122"/>
    <x v="3"/>
    <x v="32"/>
    <x v="1"/>
    <x v="1"/>
    <x v="3"/>
    <x v="0"/>
    <x v="82"/>
    <x v="2"/>
    <n v="1"/>
    <x v="39"/>
    <n v="3"/>
    <x v="13"/>
    <x v="0"/>
  </r>
  <r>
    <n v="3202"/>
    <x v="3"/>
    <x v="4"/>
    <x v="0"/>
    <x v="0"/>
    <x v="2"/>
    <x v="0"/>
    <x v="83"/>
    <x v="2"/>
    <n v="1"/>
    <x v="40"/>
    <n v="3"/>
    <x v="4"/>
    <x v="0"/>
  </r>
  <r>
    <n v="4697"/>
    <x v="3"/>
    <x v="1"/>
    <x v="2"/>
    <x v="1"/>
    <x v="1"/>
    <x v="4"/>
    <x v="84"/>
    <x v="8"/>
    <n v="1"/>
    <x v="41"/>
    <n v="1"/>
    <x v="1"/>
    <x v="0"/>
  </r>
  <r>
    <n v="232"/>
    <x v="3"/>
    <x v="18"/>
    <x v="1"/>
    <x v="3"/>
    <x v="0"/>
    <x v="0"/>
    <x v="85"/>
    <x v="2"/>
    <n v="0"/>
    <x v="11"/>
    <n v="0"/>
    <x v="8"/>
    <x v="3"/>
  </r>
  <r>
    <n v="3881"/>
    <x v="3"/>
    <x v="14"/>
    <x v="0"/>
    <x v="0"/>
    <x v="1"/>
    <x v="3"/>
    <x v="86"/>
    <x v="11"/>
    <n v="0"/>
    <x v="11"/>
    <n v="0"/>
    <x v="8"/>
    <x v="3"/>
  </r>
  <r>
    <n v="403"/>
    <x v="3"/>
    <x v="4"/>
    <x v="1"/>
    <x v="2"/>
    <x v="0"/>
    <x v="0"/>
    <x v="87"/>
    <x v="4"/>
    <n v="0"/>
    <x v="11"/>
    <n v="0"/>
    <x v="8"/>
    <x v="3"/>
  </r>
  <r>
    <n v="4112"/>
    <x v="3"/>
    <x v="14"/>
    <x v="1"/>
    <x v="3"/>
    <x v="0"/>
    <x v="0"/>
    <x v="88"/>
    <x v="2"/>
    <n v="0"/>
    <x v="11"/>
    <n v="0"/>
    <x v="8"/>
    <x v="3"/>
  </r>
  <r>
    <n v="3734"/>
    <x v="3"/>
    <x v="16"/>
    <x v="1"/>
    <x v="3"/>
    <x v="0"/>
    <x v="0"/>
    <x v="89"/>
    <x v="0"/>
    <n v="0"/>
    <x v="11"/>
    <n v="0"/>
    <x v="8"/>
    <x v="3"/>
  </r>
  <r>
    <n v="148"/>
    <x v="3"/>
    <x v="10"/>
    <x v="1"/>
    <x v="1"/>
    <x v="0"/>
    <x v="0"/>
    <x v="90"/>
    <x v="5"/>
    <n v="0"/>
    <x v="11"/>
    <n v="0"/>
    <x v="8"/>
    <x v="3"/>
  </r>
  <r>
    <n v="351"/>
    <x v="3"/>
    <x v="8"/>
    <x v="0"/>
    <x v="3"/>
    <x v="1"/>
    <x v="4"/>
    <x v="91"/>
    <x v="6"/>
    <n v="0"/>
    <x v="11"/>
    <n v="0"/>
    <x v="8"/>
    <x v="3"/>
  </r>
  <r>
    <n v="4830"/>
    <x v="3"/>
    <x v="35"/>
    <x v="1"/>
    <x v="3"/>
    <x v="0"/>
    <x v="0"/>
    <x v="92"/>
    <x v="8"/>
    <n v="0"/>
    <x v="11"/>
    <n v="0"/>
    <x v="8"/>
    <x v="3"/>
  </r>
  <r>
    <n v="3662"/>
    <x v="3"/>
    <x v="19"/>
    <x v="0"/>
    <x v="0"/>
    <x v="1"/>
    <x v="4"/>
    <x v="93"/>
    <x v="10"/>
    <n v="0"/>
    <x v="11"/>
    <n v="0"/>
    <x v="8"/>
    <x v="3"/>
  </r>
  <r>
    <n v="4593"/>
    <x v="3"/>
    <x v="36"/>
    <x v="1"/>
    <x v="0"/>
    <x v="2"/>
    <x v="0"/>
    <x v="93"/>
    <x v="5"/>
    <n v="0"/>
    <x v="11"/>
    <n v="0"/>
    <x v="8"/>
    <x v="3"/>
  </r>
  <r>
    <n v="609"/>
    <x v="3"/>
    <x v="5"/>
    <x v="1"/>
    <x v="2"/>
    <x v="1"/>
    <x v="3"/>
    <x v="94"/>
    <x v="1"/>
    <n v="0"/>
    <x v="11"/>
    <n v="0"/>
    <x v="8"/>
    <x v="3"/>
  </r>
  <r>
    <n v="3247"/>
    <x v="3"/>
    <x v="23"/>
    <x v="1"/>
    <x v="1"/>
    <x v="2"/>
    <x v="0"/>
    <x v="95"/>
    <x v="5"/>
    <n v="0"/>
    <x v="11"/>
    <n v="0"/>
    <x v="8"/>
    <x v="3"/>
  </r>
  <r>
    <n v="1692"/>
    <x v="3"/>
    <x v="24"/>
    <x v="0"/>
    <x v="2"/>
    <x v="3"/>
    <x v="0"/>
    <x v="96"/>
    <x v="2"/>
    <n v="0"/>
    <x v="11"/>
    <n v="0"/>
    <x v="8"/>
    <x v="3"/>
  </r>
  <r>
    <n v="4571"/>
    <x v="3"/>
    <x v="25"/>
    <x v="1"/>
    <x v="1"/>
    <x v="1"/>
    <x v="1"/>
    <x v="97"/>
    <x v="6"/>
    <n v="0"/>
    <x v="11"/>
    <n v="0"/>
    <x v="8"/>
    <x v="3"/>
  </r>
  <r>
    <n v="4628"/>
    <x v="3"/>
    <x v="23"/>
    <x v="1"/>
    <x v="0"/>
    <x v="1"/>
    <x v="3"/>
    <x v="98"/>
    <x v="9"/>
    <n v="0"/>
    <x v="11"/>
    <n v="0"/>
    <x v="8"/>
    <x v="3"/>
  </r>
  <r>
    <n v="744"/>
    <x v="3"/>
    <x v="19"/>
    <x v="0"/>
    <x v="2"/>
    <x v="0"/>
    <x v="0"/>
    <x v="99"/>
    <x v="5"/>
    <n v="0"/>
    <x v="11"/>
    <n v="0"/>
    <x v="8"/>
    <x v="3"/>
  </r>
  <r>
    <n v="2769"/>
    <x v="3"/>
    <x v="3"/>
    <x v="1"/>
    <x v="1"/>
    <x v="0"/>
    <x v="0"/>
    <x v="51"/>
    <x v="5"/>
    <n v="0"/>
    <x v="11"/>
    <n v="0"/>
    <x v="8"/>
    <x v="3"/>
  </r>
  <r>
    <n v="2560"/>
    <x v="3"/>
    <x v="7"/>
    <x v="0"/>
    <x v="0"/>
    <x v="1"/>
    <x v="4"/>
    <x v="100"/>
    <x v="6"/>
    <n v="0"/>
    <x v="11"/>
    <n v="0"/>
    <x v="8"/>
    <x v="3"/>
  </r>
  <r>
    <n v="3468"/>
    <x v="4"/>
    <x v="3"/>
    <x v="1"/>
    <x v="2"/>
    <x v="0"/>
    <x v="0"/>
    <x v="101"/>
    <x v="6"/>
    <n v="1"/>
    <x v="42"/>
    <n v="2"/>
    <x v="13"/>
    <x v="0"/>
  </r>
  <r>
    <n v="548"/>
    <x v="4"/>
    <x v="7"/>
    <x v="1"/>
    <x v="2"/>
    <x v="0"/>
    <x v="0"/>
    <x v="102"/>
    <x v="2"/>
    <n v="1"/>
    <x v="43"/>
    <n v="2"/>
    <x v="5"/>
    <x v="1"/>
  </r>
  <r>
    <n v="4669"/>
    <x v="4"/>
    <x v="14"/>
    <x v="1"/>
    <x v="2"/>
    <x v="3"/>
    <x v="0"/>
    <x v="103"/>
    <x v="5"/>
    <n v="1"/>
    <x v="44"/>
    <n v="4"/>
    <x v="1"/>
    <x v="1"/>
  </r>
  <r>
    <n v="1476"/>
    <x v="4"/>
    <x v="8"/>
    <x v="1"/>
    <x v="2"/>
    <x v="0"/>
    <x v="0"/>
    <x v="104"/>
    <x v="6"/>
    <n v="1"/>
    <x v="45"/>
    <n v="2"/>
    <x v="15"/>
    <x v="2"/>
  </r>
  <r>
    <n v="1567"/>
    <x v="4"/>
    <x v="22"/>
    <x v="1"/>
    <x v="2"/>
    <x v="1"/>
    <x v="6"/>
    <x v="105"/>
    <x v="6"/>
    <n v="1"/>
    <x v="46"/>
    <n v="4"/>
    <x v="9"/>
    <x v="0"/>
  </r>
  <r>
    <n v="882"/>
    <x v="4"/>
    <x v="7"/>
    <x v="1"/>
    <x v="0"/>
    <x v="3"/>
    <x v="0"/>
    <x v="106"/>
    <x v="0"/>
    <n v="1"/>
    <x v="47"/>
    <n v="2"/>
    <x v="5"/>
    <x v="0"/>
  </r>
  <r>
    <n v="1496"/>
    <x v="4"/>
    <x v="20"/>
    <x v="1"/>
    <x v="2"/>
    <x v="0"/>
    <x v="0"/>
    <x v="107"/>
    <x v="0"/>
    <n v="1"/>
    <x v="48"/>
    <n v="2"/>
    <x v="1"/>
    <x v="0"/>
  </r>
  <r>
    <n v="4589"/>
    <x v="4"/>
    <x v="27"/>
    <x v="1"/>
    <x v="2"/>
    <x v="1"/>
    <x v="7"/>
    <x v="108"/>
    <x v="2"/>
    <n v="1"/>
    <x v="49"/>
    <n v="3"/>
    <x v="0"/>
    <x v="0"/>
  </r>
  <r>
    <n v="684"/>
    <x v="4"/>
    <x v="20"/>
    <x v="1"/>
    <x v="3"/>
    <x v="1"/>
    <x v="4"/>
    <x v="109"/>
    <x v="0"/>
    <n v="1"/>
    <x v="50"/>
    <n v="2"/>
    <x v="13"/>
    <x v="2"/>
  </r>
  <r>
    <n v="895"/>
    <x v="4"/>
    <x v="10"/>
    <x v="1"/>
    <x v="1"/>
    <x v="0"/>
    <x v="0"/>
    <x v="110"/>
    <x v="0"/>
    <n v="1"/>
    <x v="51"/>
    <n v="3"/>
    <x v="15"/>
    <x v="2"/>
  </r>
  <r>
    <n v="2056"/>
    <x v="4"/>
    <x v="7"/>
    <x v="1"/>
    <x v="2"/>
    <x v="3"/>
    <x v="0"/>
    <x v="111"/>
    <x v="5"/>
    <n v="1"/>
    <x v="52"/>
    <n v="3"/>
    <x v="4"/>
    <x v="1"/>
  </r>
  <r>
    <n v="157"/>
    <x v="4"/>
    <x v="22"/>
    <x v="0"/>
    <x v="0"/>
    <x v="0"/>
    <x v="0"/>
    <x v="112"/>
    <x v="0"/>
    <n v="1"/>
    <x v="53"/>
    <n v="2"/>
    <x v="4"/>
    <x v="0"/>
  </r>
  <r>
    <n v="544"/>
    <x v="4"/>
    <x v="8"/>
    <x v="0"/>
    <x v="2"/>
    <x v="2"/>
    <x v="0"/>
    <x v="113"/>
    <x v="1"/>
    <n v="1"/>
    <x v="54"/>
    <n v="5"/>
    <x v="9"/>
    <x v="0"/>
  </r>
  <r>
    <n v="3698"/>
    <x v="4"/>
    <x v="18"/>
    <x v="1"/>
    <x v="1"/>
    <x v="3"/>
    <x v="0"/>
    <x v="114"/>
    <x v="5"/>
    <n v="0"/>
    <x v="11"/>
    <n v="0"/>
    <x v="8"/>
    <x v="3"/>
  </r>
  <r>
    <n v="4475"/>
    <x v="4"/>
    <x v="30"/>
    <x v="0"/>
    <x v="3"/>
    <x v="1"/>
    <x v="3"/>
    <x v="115"/>
    <x v="5"/>
    <n v="0"/>
    <x v="11"/>
    <n v="0"/>
    <x v="8"/>
    <x v="3"/>
  </r>
  <r>
    <n v="2193"/>
    <x v="4"/>
    <x v="16"/>
    <x v="0"/>
    <x v="3"/>
    <x v="0"/>
    <x v="0"/>
    <x v="116"/>
    <x v="6"/>
    <n v="0"/>
    <x v="11"/>
    <n v="0"/>
    <x v="8"/>
    <x v="3"/>
  </r>
  <r>
    <n v="2346"/>
    <x v="4"/>
    <x v="27"/>
    <x v="0"/>
    <x v="3"/>
    <x v="0"/>
    <x v="0"/>
    <x v="117"/>
    <x v="6"/>
    <n v="0"/>
    <x v="11"/>
    <n v="0"/>
    <x v="8"/>
    <x v="3"/>
  </r>
  <r>
    <n v="3390"/>
    <x v="4"/>
    <x v="27"/>
    <x v="0"/>
    <x v="1"/>
    <x v="0"/>
    <x v="0"/>
    <x v="118"/>
    <x v="5"/>
    <n v="0"/>
    <x v="11"/>
    <n v="0"/>
    <x v="8"/>
    <x v="3"/>
  </r>
  <r>
    <n v="4413"/>
    <x v="4"/>
    <x v="37"/>
    <x v="1"/>
    <x v="0"/>
    <x v="0"/>
    <x v="0"/>
    <x v="119"/>
    <x v="6"/>
    <n v="0"/>
    <x v="11"/>
    <n v="0"/>
    <x v="8"/>
    <x v="3"/>
  </r>
  <r>
    <n v="3919"/>
    <x v="4"/>
    <x v="38"/>
    <x v="2"/>
    <x v="0"/>
    <x v="1"/>
    <x v="4"/>
    <x v="120"/>
    <x v="2"/>
    <n v="0"/>
    <x v="11"/>
    <n v="0"/>
    <x v="8"/>
    <x v="3"/>
  </r>
  <r>
    <n v="2126"/>
    <x v="4"/>
    <x v="3"/>
    <x v="1"/>
    <x v="0"/>
    <x v="0"/>
    <x v="0"/>
    <x v="121"/>
    <x v="1"/>
    <n v="0"/>
    <x v="11"/>
    <n v="0"/>
    <x v="8"/>
    <x v="3"/>
  </r>
  <r>
    <n v="597"/>
    <x v="4"/>
    <x v="22"/>
    <x v="0"/>
    <x v="3"/>
    <x v="3"/>
    <x v="0"/>
    <x v="122"/>
    <x v="0"/>
    <n v="0"/>
    <x v="11"/>
    <n v="0"/>
    <x v="8"/>
    <x v="3"/>
  </r>
  <r>
    <n v="3029"/>
    <x v="4"/>
    <x v="24"/>
    <x v="0"/>
    <x v="1"/>
    <x v="0"/>
    <x v="0"/>
    <x v="123"/>
    <x v="6"/>
    <n v="0"/>
    <x v="11"/>
    <n v="0"/>
    <x v="8"/>
    <x v="3"/>
  </r>
  <r>
    <n v="2253"/>
    <x v="4"/>
    <x v="8"/>
    <x v="1"/>
    <x v="1"/>
    <x v="2"/>
    <x v="0"/>
    <x v="124"/>
    <x v="8"/>
    <n v="0"/>
    <x v="11"/>
    <n v="0"/>
    <x v="8"/>
    <x v="3"/>
  </r>
  <r>
    <n v="3568"/>
    <x v="4"/>
    <x v="20"/>
    <x v="1"/>
    <x v="3"/>
    <x v="1"/>
    <x v="1"/>
    <x v="125"/>
    <x v="2"/>
    <n v="0"/>
    <x v="11"/>
    <n v="0"/>
    <x v="8"/>
    <x v="3"/>
  </r>
  <r>
    <n v="4549"/>
    <x v="4"/>
    <x v="36"/>
    <x v="0"/>
    <x v="2"/>
    <x v="0"/>
    <x v="0"/>
    <x v="126"/>
    <x v="8"/>
    <n v="0"/>
    <x v="11"/>
    <n v="0"/>
    <x v="8"/>
    <x v="3"/>
  </r>
  <r>
    <n v="4031"/>
    <x v="4"/>
    <x v="17"/>
    <x v="1"/>
    <x v="0"/>
    <x v="1"/>
    <x v="3"/>
    <x v="127"/>
    <x v="8"/>
    <n v="0"/>
    <x v="11"/>
    <n v="0"/>
    <x v="8"/>
    <x v="3"/>
  </r>
  <r>
    <n v="1616"/>
    <x v="4"/>
    <x v="0"/>
    <x v="0"/>
    <x v="0"/>
    <x v="3"/>
    <x v="0"/>
    <x v="128"/>
    <x v="6"/>
    <n v="0"/>
    <x v="11"/>
    <n v="0"/>
    <x v="8"/>
    <x v="3"/>
  </r>
  <r>
    <n v="1434"/>
    <x v="4"/>
    <x v="16"/>
    <x v="1"/>
    <x v="0"/>
    <x v="1"/>
    <x v="3"/>
    <x v="129"/>
    <x v="6"/>
    <n v="0"/>
    <x v="11"/>
    <n v="0"/>
    <x v="8"/>
    <x v="3"/>
  </r>
  <r>
    <n v="2235"/>
    <x v="4"/>
    <x v="31"/>
    <x v="0"/>
    <x v="1"/>
    <x v="1"/>
    <x v="1"/>
    <x v="130"/>
    <x v="4"/>
    <n v="0"/>
    <x v="11"/>
    <n v="0"/>
    <x v="8"/>
    <x v="3"/>
  </r>
  <r>
    <n v="3330"/>
    <x v="4"/>
    <x v="34"/>
    <x v="1"/>
    <x v="0"/>
    <x v="0"/>
    <x v="0"/>
    <x v="131"/>
    <x v="5"/>
    <n v="0"/>
    <x v="11"/>
    <n v="0"/>
    <x v="8"/>
    <x v="3"/>
  </r>
  <r>
    <n v="1963"/>
    <x v="5"/>
    <x v="19"/>
    <x v="1"/>
    <x v="3"/>
    <x v="2"/>
    <x v="0"/>
    <x v="132"/>
    <x v="0"/>
    <n v="1"/>
    <x v="55"/>
    <n v="4"/>
    <x v="14"/>
    <x v="0"/>
  </r>
  <r>
    <n v="1559"/>
    <x v="5"/>
    <x v="16"/>
    <x v="1"/>
    <x v="0"/>
    <x v="1"/>
    <x v="1"/>
    <x v="133"/>
    <x v="6"/>
    <n v="1"/>
    <x v="56"/>
    <n v="3"/>
    <x v="14"/>
    <x v="1"/>
  </r>
  <r>
    <n v="524"/>
    <x v="5"/>
    <x v="39"/>
    <x v="0"/>
    <x v="2"/>
    <x v="3"/>
    <x v="0"/>
    <x v="134"/>
    <x v="6"/>
    <n v="1"/>
    <x v="57"/>
    <n v="5"/>
    <x v="3"/>
    <x v="0"/>
  </r>
  <r>
    <n v="1407"/>
    <x v="5"/>
    <x v="8"/>
    <x v="1"/>
    <x v="2"/>
    <x v="0"/>
    <x v="0"/>
    <x v="135"/>
    <x v="2"/>
    <n v="1"/>
    <x v="58"/>
    <n v="3"/>
    <x v="7"/>
    <x v="0"/>
  </r>
  <r>
    <n v="4728"/>
    <x v="5"/>
    <x v="12"/>
    <x v="1"/>
    <x v="1"/>
    <x v="1"/>
    <x v="5"/>
    <x v="136"/>
    <x v="0"/>
    <n v="1"/>
    <x v="59"/>
    <n v="2"/>
    <x v="14"/>
    <x v="0"/>
  </r>
  <r>
    <n v="3829"/>
    <x v="5"/>
    <x v="40"/>
    <x v="1"/>
    <x v="1"/>
    <x v="1"/>
    <x v="1"/>
    <x v="137"/>
    <x v="5"/>
    <n v="1"/>
    <x v="60"/>
    <n v="5"/>
    <x v="4"/>
    <x v="1"/>
  </r>
  <r>
    <n v="4378"/>
    <x v="5"/>
    <x v="14"/>
    <x v="1"/>
    <x v="2"/>
    <x v="3"/>
    <x v="0"/>
    <x v="138"/>
    <x v="8"/>
    <n v="1"/>
    <x v="61"/>
    <n v="4"/>
    <x v="11"/>
    <x v="0"/>
  </r>
  <r>
    <n v="3277"/>
    <x v="5"/>
    <x v="24"/>
    <x v="0"/>
    <x v="2"/>
    <x v="1"/>
    <x v="1"/>
    <x v="139"/>
    <x v="2"/>
    <n v="1"/>
    <x v="62"/>
    <n v="5"/>
    <x v="2"/>
    <x v="2"/>
  </r>
  <r>
    <n v="3667"/>
    <x v="5"/>
    <x v="5"/>
    <x v="1"/>
    <x v="1"/>
    <x v="3"/>
    <x v="0"/>
    <x v="140"/>
    <x v="6"/>
    <n v="1"/>
    <x v="63"/>
    <n v="5"/>
    <x v="4"/>
    <x v="0"/>
  </r>
  <r>
    <n v="2977"/>
    <x v="5"/>
    <x v="30"/>
    <x v="1"/>
    <x v="0"/>
    <x v="1"/>
    <x v="1"/>
    <x v="87"/>
    <x v="6"/>
    <n v="0"/>
    <x v="11"/>
    <n v="0"/>
    <x v="8"/>
    <x v="3"/>
  </r>
  <r>
    <n v="4396"/>
    <x v="5"/>
    <x v="11"/>
    <x v="1"/>
    <x v="0"/>
    <x v="0"/>
    <x v="0"/>
    <x v="141"/>
    <x v="1"/>
    <n v="0"/>
    <x v="11"/>
    <n v="0"/>
    <x v="8"/>
    <x v="3"/>
  </r>
  <r>
    <n v="726"/>
    <x v="5"/>
    <x v="23"/>
    <x v="2"/>
    <x v="3"/>
    <x v="0"/>
    <x v="0"/>
    <x v="142"/>
    <x v="7"/>
    <n v="0"/>
    <x v="11"/>
    <n v="0"/>
    <x v="8"/>
    <x v="3"/>
  </r>
  <r>
    <n v="3905"/>
    <x v="5"/>
    <x v="27"/>
    <x v="0"/>
    <x v="1"/>
    <x v="1"/>
    <x v="2"/>
    <x v="143"/>
    <x v="8"/>
    <n v="0"/>
    <x v="11"/>
    <n v="0"/>
    <x v="8"/>
    <x v="3"/>
  </r>
  <r>
    <n v="1859"/>
    <x v="5"/>
    <x v="34"/>
    <x v="0"/>
    <x v="3"/>
    <x v="1"/>
    <x v="3"/>
    <x v="144"/>
    <x v="2"/>
    <n v="0"/>
    <x v="11"/>
    <n v="0"/>
    <x v="8"/>
    <x v="3"/>
  </r>
  <r>
    <n v="1642"/>
    <x v="5"/>
    <x v="6"/>
    <x v="0"/>
    <x v="0"/>
    <x v="3"/>
    <x v="0"/>
    <x v="145"/>
    <x v="0"/>
    <n v="0"/>
    <x v="11"/>
    <n v="0"/>
    <x v="8"/>
    <x v="3"/>
  </r>
  <r>
    <n v="1874"/>
    <x v="5"/>
    <x v="41"/>
    <x v="1"/>
    <x v="2"/>
    <x v="0"/>
    <x v="0"/>
    <x v="146"/>
    <x v="2"/>
    <n v="0"/>
    <x v="11"/>
    <n v="0"/>
    <x v="8"/>
    <x v="3"/>
  </r>
  <r>
    <n v="2619"/>
    <x v="5"/>
    <x v="23"/>
    <x v="0"/>
    <x v="2"/>
    <x v="3"/>
    <x v="0"/>
    <x v="147"/>
    <x v="4"/>
    <n v="0"/>
    <x v="11"/>
    <n v="0"/>
    <x v="8"/>
    <x v="3"/>
  </r>
  <r>
    <n v="4984"/>
    <x v="5"/>
    <x v="42"/>
    <x v="1"/>
    <x v="2"/>
    <x v="0"/>
    <x v="0"/>
    <x v="148"/>
    <x v="0"/>
    <n v="0"/>
    <x v="11"/>
    <n v="0"/>
    <x v="8"/>
    <x v="3"/>
  </r>
  <r>
    <n v="2782"/>
    <x v="5"/>
    <x v="8"/>
    <x v="0"/>
    <x v="0"/>
    <x v="1"/>
    <x v="4"/>
    <x v="149"/>
    <x v="12"/>
    <n v="0"/>
    <x v="11"/>
    <n v="0"/>
    <x v="8"/>
    <x v="3"/>
  </r>
  <r>
    <n v="1762"/>
    <x v="5"/>
    <x v="0"/>
    <x v="1"/>
    <x v="3"/>
    <x v="0"/>
    <x v="0"/>
    <x v="150"/>
    <x v="5"/>
    <n v="0"/>
    <x v="11"/>
    <n v="0"/>
    <x v="8"/>
    <x v="3"/>
  </r>
  <r>
    <n v="3573"/>
    <x v="5"/>
    <x v="24"/>
    <x v="0"/>
    <x v="1"/>
    <x v="0"/>
    <x v="0"/>
    <x v="151"/>
    <x v="8"/>
    <n v="0"/>
    <x v="11"/>
    <n v="0"/>
    <x v="8"/>
    <x v="3"/>
  </r>
  <r>
    <n v="1780"/>
    <x v="5"/>
    <x v="30"/>
    <x v="0"/>
    <x v="2"/>
    <x v="0"/>
    <x v="0"/>
    <x v="152"/>
    <x v="11"/>
    <n v="0"/>
    <x v="11"/>
    <n v="0"/>
    <x v="8"/>
    <x v="3"/>
  </r>
  <r>
    <n v="2611"/>
    <x v="5"/>
    <x v="33"/>
    <x v="0"/>
    <x v="0"/>
    <x v="0"/>
    <x v="0"/>
    <x v="153"/>
    <x v="7"/>
    <n v="0"/>
    <x v="11"/>
    <n v="0"/>
    <x v="8"/>
    <x v="3"/>
  </r>
  <r>
    <n v="1980"/>
    <x v="5"/>
    <x v="11"/>
    <x v="0"/>
    <x v="1"/>
    <x v="0"/>
    <x v="0"/>
    <x v="154"/>
    <x v="6"/>
    <n v="0"/>
    <x v="11"/>
    <n v="0"/>
    <x v="8"/>
    <x v="3"/>
  </r>
  <r>
    <n v="2164"/>
    <x v="5"/>
    <x v="3"/>
    <x v="2"/>
    <x v="0"/>
    <x v="0"/>
    <x v="0"/>
    <x v="155"/>
    <x v="5"/>
    <n v="0"/>
    <x v="11"/>
    <n v="0"/>
    <x v="8"/>
    <x v="3"/>
  </r>
  <r>
    <n v="812"/>
    <x v="5"/>
    <x v="10"/>
    <x v="0"/>
    <x v="1"/>
    <x v="0"/>
    <x v="0"/>
    <x v="156"/>
    <x v="6"/>
    <n v="0"/>
    <x v="11"/>
    <n v="0"/>
    <x v="8"/>
    <x v="3"/>
  </r>
  <r>
    <n v="3094"/>
    <x v="5"/>
    <x v="14"/>
    <x v="1"/>
    <x v="0"/>
    <x v="0"/>
    <x v="0"/>
    <x v="157"/>
    <x v="2"/>
    <n v="0"/>
    <x v="11"/>
    <n v="0"/>
    <x v="8"/>
    <x v="3"/>
  </r>
  <r>
    <n v="2693"/>
    <x v="6"/>
    <x v="16"/>
    <x v="0"/>
    <x v="1"/>
    <x v="3"/>
    <x v="0"/>
    <x v="158"/>
    <x v="2"/>
    <n v="1"/>
    <x v="64"/>
    <n v="3"/>
    <x v="15"/>
    <x v="0"/>
  </r>
  <r>
    <n v="1744"/>
    <x v="6"/>
    <x v="8"/>
    <x v="1"/>
    <x v="2"/>
    <x v="0"/>
    <x v="0"/>
    <x v="159"/>
    <x v="0"/>
    <n v="1"/>
    <x v="65"/>
    <n v="1"/>
    <x v="0"/>
    <x v="0"/>
  </r>
  <r>
    <n v="4771"/>
    <x v="6"/>
    <x v="33"/>
    <x v="1"/>
    <x v="1"/>
    <x v="1"/>
    <x v="7"/>
    <x v="160"/>
    <x v="8"/>
    <n v="1"/>
    <x v="66"/>
    <n v="3"/>
    <x v="5"/>
    <x v="1"/>
  </r>
  <r>
    <n v="408"/>
    <x v="6"/>
    <x v="4"/>
    <x v="0"/>
    <x v="2"/>
    <x v="0"/>
    <x v="0"/>
    <x v="161"/>
    <x v="1"/>
    <n v="1"/>
    <x v="67"/>
    <n v="4"/>
    <x v="6"/>
    <x v="1"/>
  </r>
  <r>
    <n v="3108"/>
    <x v="6"/>
    <x v="24"/>
    <x v="0"/>
    <x v="2"/>
    <x v="0"/>
    <x v="0"/>
    <x v="162"/>
    <x v="0"/>
    <n v="1"/>
    <x v="68"/>
    <n v="3"/>
    <x v="10"/>
    <x v="0"/>
  </r>
  <r>
    <n v="3913"/>
    <x v="6"/>
    <x v="41"/>
    <x v="0"/>
    <x v="0"/>
    <x v="2"/>
    <x v="0"/>
    <x v="163"/>
    <x v="8"/>
    <n v="1"/>
    <x v="69"/>
    <n v="3"/>
    <x v="11"/>
    <x v="2"/>
  </r>
  <r>
    <n v="2296"/>
    <x v="6"/>
    <x v="26"/>
    <x v="0"/>
    <x v="3"/>
    <x v="1"/>
    <x v="6"/>
    <x v="164"/>
    <x v="6"/>
    <n v="1"/>
    <x v="70"/>
    <n v="2"/>
    <x v="10"/>
    <x v="0"/>
  </r>
  <r>
    <n v="3745"/>
    <x v="6"/>
    <x v="20"/>
    <x v="0"/>
    <x v="0"/>
    <x v="0"/>
    <x v="0"/>
    <x v="165"/>
    <x v="5"/>
    <n v="1"/>
    <x v="71"/>
    <n v="5"/>
    <x v="1"/>
    <x v="0"/>
  </r>
  <r>
    <n v="2819"/>
    <x v="6"/>
    <x v="43"/>
    <x v="0"/>
    <x v="3"/>
    <x v="1"/>
    <x v="2"/>
    <x v="166"/>
    <x v="0"/>
    <n v="1"/>
    <x v="72"/>
    <n v="2"/>
    <x v="12"/>
    <x v="0"/>
  </r>
  <r>
    <n v="2762"/>
    <x v="6"/>
    <x v="22"/>
    <x v="0"/>
    <x v="3"/>
    <x v="0"/>
    <x v="0"/>
    <x v="167"/>
    <x v="9"/>
    <n v="1"/>
    <x v="73"/>
    <n v="3"/>
    <x v="1"/>
    <x v="2"/>
  </r>
  <r>
    <n v="3783"/>
    <x v="6"/>
    <x v="35"/>
    <x v="1"/>
    <x v="2"/>
    <x v="1"/>
    <x v="5"/>
    <x v="168"/>
    <x v="8"/>
    <n v="0"/>
    <x v="11"/>
    <n v="0"/>
    <x v="8"/>
    <x v="3"/>
  </r>
  <r>
    <n v="206"/>
    <x v="6"/>
    <x v="7"/>
    <x v="1"/>
    <x v="2"/>
    <x v="3"/>
    <x v="0"/>
    <x v="169"/>
    <x v="6"/>
    <n v="0"/>
    <x v="11"/>
    <n v="0"/>
    <x v="8"/>
    <x v="3"/>
  </r>
  <r>
    <n v="1284"/>
    <x v="6"/>
    <x v="18"/>
    <x v="0"/>
    <x v="0"/>
    <x v="2"/>
    <x v="0"/>
    <x v="170"/>
    <x v="1"/>
    <n v="0"/>
    <x v="11"/>
    <n v="0"/>
    <x v="8"/>
    <x v="3"/>
  </r>
  <r>
    <n v="2350"/>
    <x v="6"/>
    <x v="44"/>
    <x v="0"/>
    <x v="3"/>
    <x v="3"/>
    <x v="0"/>
    <x v="171"/>
    <x v="8"/>
    <n v="0"/>
    <x v="11"/>
    <n v="0"/>
    <x v="8"/>
    <x v="3"/>
  </r>
  <r>
    <n v="3272"/>
    <x v="6"/>
    <x v="5"/>
    <x v="1"/>
    <x v="1"/>
    <x v="3"/>
    <x v="0"/>
    <x v="172"/>
    <x v="10"/>
    <n v="0"/>
    <x v="11"/>
    <n v="0"/>
    <x v="8"/>
    <x v="3"/>
  </r>
  <r>
    <n v="1887"/>
    <x v="6"/>
    <x v="11"/>
    <x v="0"/>
    <x v="2"/>
    <x v="1"/>
    <x v="3"/>
    <x v="173"/>
    <x v="6"/>
    <n v="0"/>
    <x v="11"/>
    <n v="0"/>
    <x v="8"/>
    <x v="3"/>
  </r>
  <r>
    <n v="3099"/>
    <x v="6"/>
    <x v="27"/>
    <x v="1"/>
    <x v="3"/>
    <x v="2"/>
    <x v="0"/>
    <x v="174"/>
    <x v="9"/>
    <n v="0"/>
    <x v="11"/>
    <n v="0"/>
    <x v="8"/>
    <x v="3"/>
  </r>
  <r>
    <n v="4901"/>
    <x v="6"/>
    <x v="30"/>
    <x v="0"/>
    <x v="3"/>
    <x v="1"/>
    <x v="4"/>
    <x v="175"/>
    <x v="4"/>
    <n v="0"/>
    <x v="11"/>
    <n v="0"/>
    <x v="8"/>
    <x v="3"/>
  </r>
  <r>
    <n v="2529"/>
    <x v="6"/>
    <x v="26"/>
    <x v="0"/>
    <x v="3"/>
    <x v="1"/>
    <x v="3"/>
    <x v="176"/>
    <x v="10"/>
    <n v="0"/>
    <x v="11"/>
    <n v="0"/>
    <x v="8"/>
    <x v="3"/>
  </r>
  <r>
    <n v="1484"/>
    <x v="6"/>
    <x v="19"/>
    <x v="1"/>
    <x v="0"/>
    <x v="1"/>
    <x v="6"/>
    <x v="177"/>
    <x v="2"/>
    <n v="0"/>
    <x v="11"/>
    <n v="0"/>
    <x v="8"/>
    <x v="3"/>
  </r>
  <r>
    <n v="129"/>
    <x v="6"/>
    <x v="19"/>
    <x v="0"/>
    <x v="3"/>
    <x v="3"/>
    <x v="0"/>
    <x v="178"/>
    <x v="10"/>
    <n v="0"/>
    <x v="11"/>
    <n v="0"/>
    <x v="8"/>
    <x v="3"/>
  </r>
  <r>
    <n v="946"/>
    <x v="6"/>
    <x v="23"/>
    <x v="0"/>
    <x v="2"/>
    <x v="3"/>
    <x v="0"/>
    <x v="179"/>
    <x v="2"/>
    <n v="0"/>
    <x v="11"/>
    <n v="0"/>
    <x v="8"/>
    <x v="3"/>
  </r>
  <r>
    <n v="1169"/>
    <x v="6"/>
    <x v="10"/>
    <x v="1"/>
    <x v="3"/>
    <x v="1"/>
    <x v="3"/>
    <x v="180"/>
    <x v="1"/>
    <n v="0"/>
    <x v="11"/>
    <n v="0"/>
    <x v="8"/>
    <x v="3"/>
  </r>
  <r>
    <n v="3711"/>
    <x v="6"/>
    <x v="31"/>
    <x v="0"/>
    <x v="2"/>
    <x v="1"/>
    <x v="3"/>
    <x v="181"/>
    <x v="5"/>
    <n v="0"/>
    <x v="11"/>
    <n v="0"/>
    <x v="8"/>
    <x v="3"/>
  </r>
  <r>
    <n v="4504"/>
    <x v="6"/>
    <x v="27"/>
    <x v="0"/>
    <x v="0"/>
    <x v="1"/>
    <x v="2"/>
    <x v="182"/>
    <x v="4"/>
    <n v="0"/>
    <x v="11"/>
    <n v="0"/>
    <x v="8"/>
    <x v="3"/>
  </r>
  <r>
    <n v="4757"/>
    <x v="6"/>
    <x v="30"/>
    <x v="1"/>
    <x v="1"/>
    <x v="1"/>
    <x v="7"/>
    <x v="183"/>
    <x v="8"/>
    <n v="0"/>
    <x v="11"/>
    <n v="0"/>
    <x v="8"/>
    <x v="3"/>
  </r>
  <r>
    <n v="3314"/>
    <x v="6"/>
    <x v="28"/>
    <x v="0"/>
    <x v="2"/>
    <x v="1"/>
    <x v="2"/>
    <x v="10"/>
    <x v="6"/>
    <n v="0"/>
    <x v="11"/>
    <n v="0"/>
    <x v="8"/>
    <x v="3"/>
  </r>
  <r>
    <n v="1516"/>
    <x v="6"/>
    <x v="22"/>
    <x v="0"/>
    <x v="0"/>
    <x v="0"/>
    <x v="0"/>
    <x v="184"/>
    <x v="2"/>
    <n v="0"/>
    <x v="11"/>
    <n v="0"/>
    <x v="8"/>
    <x v="3"/>
  </r>
  <r>
    <n v="4688"/>
    <x v="6"/>
    <x v="17"/>
    <x v="0"/>
    <x v="1"/>
    <x v="0"/>
    <x v="0"/>
    <x v="185"/>
    <x v="9"/>
    <n v="0"/>
    <x v="11"/>
    <n v="0"/>
    <x v="8"/>
    <x v="3"/>
  </r>
  <r>
    <n v="3606"/>
    <x v="7"/>
    <x v="6"/>
    <x v="0"/>
    <x v="0"/>
    <x v="1"/>
    <x v="5"/>
    <x v="186"/>
    <x v="2"/>
    <n v="1"/>
    <x v="74"/>
    <n v="5"/>
    <x v="7"/>
    <x v="0"/>
  </r>
  <r>
    <n v="1539"/>
    <x v="7"/>
    <x v="26"/>
    <x v="0"/>
    <x v="3"/>
    <x v="1"/>
    <x v="5"/>
    <x v="187"/>
    <x v="1"/>
    <n v="1"/>
    <x v="75"/>
    <n v="1"/>
    <x v="11"/>
    <x v="1"/>
  </r>
  <r>
    <n v="1017"/>
    <x v="7"/>
    <x v="7"/>
    <x v="1"/>
    <x v="1"/>
    <x v="2"/>
    <x v="0"/>
    <x v="188"/>
    <x v="5"/>
    <n v="1"/>
    <x v="76"/>
    <n v="3"/>
    <x v="6"/>
    <x v="0"/>
  </r>
  <r>
    <n v="4884"/>
    <x v="7"/>
    <x v="11"/>
    <x v="0"/>
    <x v="1"/>
    <x v="1"/>
    <x v="1"/>
    <x v="189"/>
    <x v="0"/>
    <n v="1"/>
    <x v="77"/>
    <n v="5"/>
    <x v="13"/>
    <x v="1"/>
  </r>
  <r>
    <n v="4429"/>
    <x v="7"/>
    <x v="45"/>
    <x v="0"/>
    <x v="3"/>
    <x v="3"/>
    <x v="0"/>
    <x v="190"/>
    <x v="8"/>
    <n v="1"/>
    <x v="78"/>
    <n v="2"/>
    <x v="10"/>
    <x v="2"/>
  </r>
  <r>
    <n v="3041"/>
    <x v="7"/>
    <x v="23"/>
    <x v="1"/>
    <x v="2"/>
    <x v="3"/>
    <x v="0"/>
    <x v="191"/>
    <x v="5"/>
    <n v="1"/>
    <x v="79"/>
    <n v="5"/>
    <x v="13"/>
    <x v="2"/>
  </r>
  <r>
    <n v="4447"/>
    <x v="7"/>
    <x v="3"/>
    <x v="1"/>
    <x v="2"/>
    <x v="0"/>
    <x v="0"/>
    <x v="192"/>
    <x v="6"/>
    <n v="1"/>
    <x v="80"/>
    <n v="2"/>
    <x v="0"/>
    <x v="0"/>
  </r>
  <r>
    <n v="1327"/>
    <x v="7"/>
    <x v="8"/>
    <x v="1"/>
    <x v="0"/>
    <x v="1"/>
    <x v="4"/>
    <x v="193"/>
    <x v="2"/>
    <n v="1"/>
    <x v="81"/>
    <n v="3"/>
    <x v="4"/>
    <x v="2"/>
  </r>
  <r>
    <n v="3465"/>
    <x v="7"/>
    <x v="5"/>
    <x v="1"/>
    <x v="0"/>
    <x v="0"/>
    <x v="0"/>
    <x v="194"/>
    <x v="8"/>
    <n v="1"/>
    <x v="82"/>
    <n v="3"/>
    <x v="6"/>
    <x v="0"/>
  </r>
  <r>
    <n v="3932"/>
    <x v="7"/>
    <x v="27"/>
    <x v="1"/>
    <x v="0"/>
    <x v="1"/>
    <x v="6"/>
    <x v="195"/>
    <x v="5"/>
    <n v="1"/>
    <x v="83"/>
    <n v="4"/>
    <x v="7"/>
    <x v="0"/>
  </r>
  <r>
    <n v="2924"/>
    <x v="7"/>
    <x v="17"/>
    <x v="0"/>
    <x v="3"/>
    <x v="1"/>
    <x v="4"/>
    <x v="196"/>
    <x v="0"/>
    <n v="1"/>
    <x v="84"/>
    <n v="3"/>
    <x v="14"/>
    <x v="0"/>
  </r>
  <r>
    <n v="903"/>
    <x v="7"/>
    <x v="20"/>
    <x v="1"/>
    <x v="3"/>
    <x v="0"/>
    <x v="0"/>
    <x v="197"/>
    <x v="5"/>
    <n v="1"/>
    <x v="85"/>
    <n v="2"/>
    <x v="0"/>
    <x v="0"/>
  </r>
  <r>
    <n v="722"/>
    <x v="7"/>
    <x v="10"/>
    <x v="0"/>
    <x v="2"/>
    <x v="0"/>
    <x v="0"/>
    <x v="198"/>
    <x v="6"/>
    <n v="1"/>
    <x v="86"/>
    <n v="2"/>
    <x v="7"/>
    <x v="0"/>
  </r>
  <r>
    <n v="843"/>
    <x v="7"/>
    <x v="13"/>
    <x v="0"/>
    <x v="3"/>
    <x v="0"/>
    <x v="0"/>
    <x v="199"/>
    <x v="1"/>
    <n v="1"/>
    <x v="87"/>
    <n v="2"/>
    <x v="2"/>
    <x v="2"/>
  </r>
  <r>
    <n v="868"/>
    <x v="7"/>
    <x v="10"/>
    <x v="0"/>
    <x v="1"/>
    <x v="1"/>
    <x v="6"/>
    <x v="200"/>
    <x v="0"/>
    <n v="1"/>
    <x v="88"/>
    <n v="5"/>
    <x v="10"/>
    <x v="0"/>
  </r>
  <r>
    <n v="886"/>
    <x v="7"/>
    <x v="16"/>
    <x v="1"/>
    <x v="0"/>
    <x v="0"/>
    <x v="0"/>
    <x v="201"/>
    <x v="8"/>
    <n v="0"/>
    <x v="11"/>
    <n v="0"/>
    <x v="8"/>
    <x v="3"/>
  </r>
  <r>
    <n v="1369"/>
    <x v="7"/>
    <x v="22"/>
    <x v="1"/>
    <x v="0"/>
    <x v="3"/>
    <x v="0"/>
    <x v="202"/>
    <x v="10"/>
    <n v="0"/>
    <x v="11"/>
    <n v="0"/>
    <x v="8"/>
    <x v="3"/>
  </r>
  <r>
    <n v="3213"/>
    <x v="7"/>
    <x v="5"/>
    <x v="1"/>
    <x v="1"/>
    <x v="0"/>
    <x v="0"/>
    <x v="203"/>
    <x v="6"/>
    <n v="0"/>
    <x v="11"/>
    <n v="0"/>
    <x v="8"/>
    <x v="3"/>
  </r>
  <r>
    <n v="4845"/>
    <x v="7"/>
    <x v="42"/>
    <x v="0"/>
    <x v="0"/>
    <x v="2"/>
    <x v="0"/>
    <x v="204"/>
    <x v="5"/>
    <n v="0"/>
    <x v="11"/>
    <n v="0"/>
    <x v="8"/>
    <x v="3"/>
  </r>
  <r>
    <n v="2991"/>
    <x v="7"/>
    <x v="34"/>
    <x v="1"/>
    <x v="1"/>
    <x v="0"/>
    <x v="0"/>
    <x v="205"/>
    <x v="8"/>
    <n v="0"/>
    <x v="11"/>
    <n v="0"/>
    <x v="8"/>
    <x v="3"/>
  </r>
  <r>
    <n v="785"/>
    <x v="7"/>
    <x v="24"/>
    <x v="1"/>
    <x v="2"/>
    <x v="0"/>
    <x v="0"/>
    <x v="206"/>
    <x v="5"/>
    <n v="0"/>
    <x v="11"/>
    <n v="0"/>
    <x v="8"/>
    <x v="3"/>
  </r>
  <r>
    <n v="593"/>
    <x v="7"/>
    <x v="16"/>
    <x v="1"/>
    <x v="1"/>
    <x v="1"/>
    <x v="6"/>
    <x v="207"/>
    <x v="6"/>
    <n v="0"/>
    <x v="11"/>
    <n v="0"/>
    <x v="8"/>
    <x v="3"/>
  </r>
  <r>
    <n v="3872"/>
    <x v="7"/>
    <x v="45"/>
    <x v="0"/>
    <x v="2"/>
    <x v="0"/>
    <x v="0"/>
    <x v="208"/>
    <x v="6"/>
    <n v="0"/>
    <x v="11"/>
    <n v="0"/>
    <x v="8"/>
    <x v="3"/>
  </r>
  <r>
    <n v="4530"/>
    <x v="7"/>
    <x v="46"/>
    <x v="1"/>
    <x v="2"/>
    <x v="1"/>
    <x v="1"/>
    <x v="209"/>
    <x v="1"/>
    <n v="0"/>
    <x v="11"/>
    <n v="0"/>
    <x v="8"/>
    <x v="3"/>
  </r>
  <r>
    <n v="1372"/>
    <x v="7"/>
    <x v="24"/>
    <x v="1"/>
    <x v="0"/>
    <x v="3"/>
    <x v="0"/>
    <x v="210"/>
    <x v="1"/>
    <n v="0"/>
    <x v="11"/>
    <n v="0"/>
    <x v="8"/>
    <x v="3"/>
  </r>
  <r>
    <n v="15"/>
    <x v="7"/>
    <x v="7"/>
    <x v="0"/>
    <x v="0"/>
    <x v="1"/>
    <x v="1"/>
    <x v="211"/>
    <x v="2"/>
    <n v="0"/>
    <x v="11"/>
    <n v="0"/>
    <x v="8"/>
    <x v="3"/>
  </r>
  <r>
    <n v="4608"/>
    <x v="7"/>
    <x v="44"/>
    <x v="0"/>
    <x v="0"/>
    <x v="2"/>
    <x v="0"/>
    <x v="212"/>
    <x v="0"/>
    <n v="0"/>
    <x v="11"/>
    <n v="0"/>
    <x v="8"/>
    <x v="3"/>
  </r>
  <r>
    <n v="1537"/>
    <x v="7"/>
    <x v="10"/>
    <x v="0"/>
    <x v="0"/>
    <x v="0"/>
    <x v="0"/>
    <x v="213"/>
    <x v="8"/>
    <n v="0"/>
    <x v="11"/>
    <n v="0"/>
    <x v="8"/>
    <x v="3"/>
  </r>
  <r>
    <n v="754"/>
    <x v="8"/>
    <x v="22"/>
    <x v="1"/>
    <x v="1"/>
    <x v="0"/>
    <x v="0"/>
    <x v="214"/>
    <x v="2"/>
    <n v="1"/>
    <x v="89"/>
    <n v="3"/>
    <x v="10"/>
    <x v="0"/>
  </r>
  <r>
    <n v="1838"/>
    <x v="8"/>
    <x v="27"/>
    <x v="0"/>
    <x v="2"/>
    <x v="0"/>
    <x v="0"/>
    <x v="215"/>
    <x v="8"/>
    <n v="1"/>
    <x v="90"/>
    <n v="2"/>
    <x v="11"/>
    <x v="1"/>
  </r>
  <r>
    <n v="4419"/>
    <x v="8"/>
    <x v="15"/>
    <x v="0"/>
    <x v="3"/>
    <x v="0"/>
    <x v="0"/>
    <x v="216"/>
    <x v="5"/>
    <n v="1"/>
    <x v="91"/>
    <n v="5"/>
    <x v="6"/>
    <x v="1"/>
  </r>
  <r>
    <n v="4864"/>
    <x v="8"/>
    <x v="0"/>
    <x v="1"/>
    <x v="1"/>
    <x v="0"/>
    <x v="0"/>
    <x v="217"/>
    <x v="1"/>
    <n v="1"/>
    <x v="92"/>
    <n v="7"/>
    <x v="7"/>
    <x v="1"/>
  </r>
  <r>
    <n v="3255"/>
    <x v="8"/>
    <x v="13"/>
    <x v="2"/>
    <x v="2"/>
    <x v="0"/>
    <x v="0"/>
    <x v="218"/>
    <x v="2"/>
    <n v="1"/>
    <x v="93"/>
    <n v="4"/>
    <x v="10"/>
    <x v="1"/>
  </r>
  <r>
    <n v="823"/>
    <x v="8"/>
    <x v="18"/>
    <x v="0"/>
    <x v="3"/>
    <x v="2"/>
    <x v="0"/>
    <x v="219"/>
    <x v="11"/>
    <n v="1"/>
    <x v="94"/>
    <n v="2"/>
    <x v="9"/>
    <x v="0"/>
  </r>
  <r>
    <n v="703"/>
    <x v="8"/>
    <x v="19"/>
    <x v="0"/>
    <x v="2"/>
    <x v="0"/>
    <x v="0"/>
    <x v="220"/>
    <x v="6"/>
    <n v="1"/>
    <x v="95"/>
    <n v="3"/>
    <x v="1"/>
    <x v="0"/>
  </r>
  <r>
    <n v="1163"/>
    <x v="8"/>
    <x v="6"/>
    <x v="1"/>
    <x v="3"/>
    <x v="1"/>
    <x v="5"/>
    <x v="221"/>
    <x v="8"/>
    <n v="1"/>
    <x v="96"/>
    <n v="1"/>
    <x v="6"/>
    <x v="0"/>
  </r>
  <r>
    <n v="1969"/>
    <x v="8"/>
    <x v="13"/>
    <x v="1"/>
    <x v="3"/>
    <x v="3"/>
    <x v="0"/>
    <x v="222"/>
    <x v="2"/>
    <n v="1"/>
    <x v="97"/>
    <n v="3"/>
    <x v="3"/>
    <x v="0"/>
  </r>
  <r>
    <n v="2151"/>
    <x v="8"/>
    <x v="31"/>
    <x v="0"/>
    <x v="0"/>
    <x v="3"/>
    <x v="0"/>
    <x v="223"/>
    <x v="0"/>
    <n v="0"/>
    <x v="11"/>
    <n v="0"/>
    <x v="8"/>
    <x v="3"/>
  </r>
  <r>
    <n v="4449"/>
    <x v="8"/>
    <x v="32"/>
    <x v="0"/>
    <x v="1"/>
    <x v="0"/>
    <x v="0"/>
    <x v="224"/>
    <x v="1"/>
    <n v="0"/>
    <x v="11"/>
    <n v="0"/>
    <x v="8"/>
    <x v="3"/>
  </r>
  <r>
    <n v="282"/>
    <x v="8"/>
    <x v="20"/>
    <x v="1"/>
    <x v="3"/>
    <x v="0"/>
    <x v="0"/>
    <x v="225"/>
    <x v="12"/>
    <n v="0"/>
    <x v="11"/>
    <n v="0"/>
    <x v="8"/>
    <x v="3"/>
  </r>
  <r>
    <n v="4278"/>
    <x v="8"/>
    <x v="34"/>
    <x v="0"/>
    <x v="3"/>
    <x v="0"/>
    <x v="0"/>
    <x v="226"/>
    <x v="6"/>
    <n v="0"/>
    <x v="11"/>
    <n v="0"/>
    <x v="8"/>
    <x v="3"/>
  </r>
  <r>
    <n v="3989"/>
    <x v="8"/>
    <x v="42"/>
    <x v="2"/>
    <x v="0"/>
    <x v="3"/>
    <x v="0"/>
    <x v="227"/>
    <x v="5"/>
    <n v="0"/>
    <x v="11"/>
    <n v="0"/>
    <x v="8"/>
    <x v="3"/>
  </r>
  <r>
    <n v="2685"/>
    <x v="8"/>
    <x v="33"/>
    <x v="0"/>
    <x v="2"/>
    <x v="1"/>
    <x v="1"/>
    <x v="228"/>
    <x v="5"/>
    <n v="0"/>
    <x v="11"/>
    <n v="0"/>
    <x v="8"/>
    <x v="3"/>
  </r>
  <r>
    <n v="2963"/>
    <x v="8"/>
    <x v="5"/>
    <x v="0"/>
    <x v="2"/>
    <x v="0"/>
    <x v="0"/>
    <x v="229"/>
    <x v="2"/>
    <n v="0"/>
    <x v="11"/>
    <n v="0"/>
    <x v="8"/>
    <x v="3"/>
  </r>
  <r>
    <n v="820"/>
    <x v="8"/>
    <x v="19"/>
    <x v="1"/>
    <x v="3"/>
    <x v="0"/>
    <x v="0"/>
    <x v="230"/>
    <x v="5"/>
    <n v="0"/>
    <x v="11"/>
    <n v="0"/>
    <x v="8"/>
    <x v="3"/>
  </r>
  <r>
    <n v="4775"/>
    <x v="8"/>
    <x v="42"/>
    <x v="1"/>
    <x v="2"/>
    <x v="1"/>
    <x v="7"/>
    <x v="231"/>
    <x v="5"/>
    <n v="0"/>
    <x v="11"/>
    <n v="0"/>
    <x v="8"/>
    <x v="3"/>
  </r>
  <r>
    <n v="1326"/>
    <x v="8"/>
    <x v="4"/>
    <x v="0"/>
    <x v="2"/>
    <x v="0"/>
    <x v="0"/>
    <x v="232"/>
    <x v="8"/>
    <n v="0"/>
    <x v="11"/>
    <n v="0"/>
    <x v="8"/>
    <x v="3"/>
  </r>
  <r>
    <n v="3511"/>
    <x v="8"/>
    <x v="24"/>
    <x v="1"/>
    <x v="2"/>
    <x v="3"/>
    <x v="0"/>
    <x v="233"/>
    <x v="8"/>
    <n v="0"/>
    <x v="11"/>
    <n v="0"/>
    <x v="8"/>
    <x v="3"/>
  </r>
  <r>
    <n v="134"/>
    <x v="8"/>
    <x v="24"/>
    <x v="0"/>
    <x v="3"/>
    <x v="0"/>
    <x v="0"/>
    <x v="234"/>
    <x v="5"/>
    <n v="0"/>
    <x v="11"/>
    <n v="0"/>
    <x v="8"/>
    <x v="3"/>
  </r>
  <r>
    <n v="3016"/>
    <x v="8"/>
    <x v="30"/>
    <x v="2"/>
    <x v="2"/>
    <x v="0"/>
    <x v="0"/>
    <x v="235"/>
    <x v="2"/>
    <n v="0"/>
    <x v="11"/>
    <n v="0"/>
    <x v="8"/>
    <x v="3"/>
  </r>
  <r>
    <n v="3997"/>
    <x v="8"/>
    <x v="46"/>
    <x v="1"/>
    <x v="1"/>
    <x v="0"/>
    <x v="0"/>
    <x v="236"/>
    <x v="2"/>
    <n v="0"/>
    <x v="11"/>
    <n v="0"/>
    <x v="8"/>
    <x v="3"/>
  </r>
  <r>
    <n v="3279"/>
    <x v="8"/>
    <x v="3"/>
    <x v="0"/>
    <x v="1"/>
    <x v="1"/>
    <x v="4"/>
    <x v="237"/>
    <x v="0"/>
    <n v="0"/>
    <x v="11"/>
    <n v="0"/>
    <x v="8"/>
    <x v="3"/>
  </r>
  <r>
    <n v="1942"/>
    <x v="8"/>
    <x v="10"/>
    <x v="1"/>
    <x v="3"/>
    <x v="0"/>
    <x v="0"/>
    <x v="238"/>
    <x v="2"/>
    <n v="0"/>
    <x v="11"/>
    <n v="0"/>
    <x v="8"/>
    <x v="3"/>
  </r>
  <r>
    <n v="1395"/>
    <x v="8"/>
    <x v="4"/>
    <x v="0"/>
    <x v="0"/>
    <x v="0"/>
    <x v="0"/>
    <x v="239"/>
    <x v="6"/>
    <n v="0"/>
    <x v="11"/>
    <n v="0"/>
    <x v="8"/>
    <x v="3"/>
  </r>
  <r>
    <n v="4920"/>
    <x v="8"/>
    <x v="47"/>
    <x v="1"/>
    <x v="0"/>
    <x v="1"/>
    <x v="3"/>
    <x v="240"/>
    <x v="5"/>
    <n v="0"/>
    <x v="11"/>
    <n v="0"/>
    <x v="8"/>
    <x v="3"/>
  </r>
  <r>
    <n v="2300"/>
    <x v="8"/>
    <x v="6"/>
    <x v="0"/>
    <x v="2"/>
    <x v="3"/>
    <x v="0"/>
    <x v="241"/>
    <x v="0"/>
    <n v="0"/>
    <x v="11"/>
    <n v="0"/>
    <x v="8"/>
    <x v="3"/>
  </r>
  <r>
    <n v="981"/>
    <x v="8"/>
    <x v="19"/>
    <x v="0"/>
    <x v="1"/>
    <x v="1"/>
    <x v="2"/>
    <x v="242"/>
    <x v="6"/>
    <n v="0"/>
    <x v="11"/>
    <n v="0"/>
    <x v="8"/>
    <x v="3"/>
  </r>
  <r>
    <n v="2948"/>
    <x v="9"/>
    <x v="31"/>
    <x v="0"/>
    <x v="2"/>
    <x v="0"/>
    <x v="0"/>
    <x v="243"/>
    <x v="10"/>
    <n v="1"/>
    <x v="98"/>
    <n v="4"/>
    <x v="11"/>
    <x v="0"/>
  </r>
  <r>
    <n v="4380"/>
    <x v="9"/>
    <x v="34"/>
    <x v="0"/>
    <x v="0"/>
    <x v="0"/>
    <x v="0"/>
    <x v="244"/>
    <x v="8"/>
    <n v="1"/>
    <x v="99"/>
    <n v="4"/>
    <x v="3"/>
    <x v="2"/>
  </r>
  <r>
    <n v="2887"/>
    <x v="9"/>
    <x v="31"/>
    <x v="1"/>
    <x v="0"/>
    <x v="0"/>
    <x v="0"/>
    <x v="31"/>
    <x v="5"/>
    <n v="1"/>
    <x v="100"/>
    <n v="2"/>
    <x v="4"/>
    <x v="0"/>
  </r>
  <r>
    <n v="2514"/>
    <x v="9"/>
    <x v="6"/>
    <x v="1"/>
    <x v="3"/>
    <x v="1"/>
    <x v="7"/>
    <x v="245"/>
    <x v="11"/>
    <n v="1"/>
    <x v="101"/>
    <n v="7"/>
    <x v="10"/>
    <x v="0"/>
  </r>
  <r>
    <n v="693"/>
    <x v="9"/>
    <x v="4"/>
    <x v="0"/>
    <x v="0"/>
    <x v="0"/>
    <x v="0"/>
    <x v="246"/>
    <x v="4"/>
    <n v="1"/>
    <x v="102"/>
    <n v="4"/>
    <x v="4"/>
    <x v="0"/>
  </r>
  <r>
    <n v="3658"/>
    <x v="9"/>
    <x v="34"/>
    <x v="1"/>
    <x v="0"/>
    <x v="1"/>
    <x v="7"/>
    <x v="247"/>
    <x v="1"/>
    <n v="1"/>
    <x v="103"/>
    <n v="5"/>
    <x v="15"/>
    <x v="0"/>
  </r>
  <r>
    <n v="4698"/>
    <x v="9"/>
    <x v="3"/>
    <x v="1"/>
    <x v="3"/>
    <x v="0"/>
    <x v="0"/>
    <x v="248"/>
    <x v="8"/>
    <n v="1"/>
    <x v="104"/>
    <n v="6"/>
    <x v="14"/>
    <x v="1"/>
  </r>
  <r>
    <n v="3262"/>
    <x v="9"/>
    <x v="19"/>
    <x v="0"/>
    <x v="2"/>
    <x v="3"/>
    <x v="0"/>
    <x v="249"/>
    <x v="8"/>
    <n v="1"/>
    <x v="105"/>
    <n v="4"/>
    <x v="14"/>
    <x v="2"/>
  </r>
  <r>
    <n v="1878"/>
    <x v="9"/>
    <x v="23"/>
    <x v="0"/>
    <x v="0"/>
    <x v="0"/>
    <x v="0"/>
    <x v="250"/>
    <x v="1"/>
    <n v="1"/>
    <x v="106"/>
    <n v="5"/>
    <x v="10"/>
    <x v="0"/>
  </r>
  <r>
    <n v="1168"/>
    <x v="9"/>
    <x v="7"/>
    <x v="1"/>
    <x v="3"/>
    <x v="2"/>
    <x v="0"/>
    <x v="251"/>
    <x v="0"/>
    <n v="1"/>
    <x v="107"/>
    <n v="6"/>
    <x v="12"/>
    <x v="0"/>
  </r>
  <r>
    <n v="3196"/>
    <x v="9"/>
    <x v="0"/>
    <x v="0"/>
    <x v="1"/>
    <x v="2"/>
    <x v="0"/>
    <x v="252"/>
    <x v="5"/>
    <n v="1"/>
    <x v="108"/>
    <n v="4"/>
    <x v="14"/>
    <x v="1"/>
  </r>
  <r>
    <n v="4254"/>
    <x v="9"/>
    <x v="48"/>
    <x v="1"/>
    <x v="2"/>
    <x v="0"/>
    <x v="0"/>
    <x v="253"/>
    <x v="6"/>
    <n v="0"/>
    <x v="11"/>
    <n v="0"/>
    <x v="8"/>
    <x v="3"/>
  </r>
  <r>
    <n v="130"/>
    <x v="9"/>
    <x v="2"/>
    <x v="1"/>
    <x v="1"/>
    <x v="1"/>
    <x v="3"/>
    <x v="254"/>
    <x v="1"/>
    <n v="0"/>
    <x v="11"/>
    <n v="0"/>
    <x v="8"/>
    <x v="3"/>
  </r>
  <r>
    <n v="4630"/>
    <x v="9"/>
    <x v="32"/>
    <x v="0"/>
    <x v="3"/>
    <x v="1"/>
    <x v="4"/>
    <x v="255"/>
    <x v="8"/>
    <n v="0"/>
    <x v="11"/>
    <n v="0"/>
    <x v="8"/>
    <x v="3"/>
  </r>
  <r>
    <n v="1704"/>
    <x v="9"/>
    <x v="8"/>
    <x v="0"/>
    <x v="3"/>
    <x v="3"/>
    <x v="0"/>
    <x v="256"/>
    <x v="2"/>
    <n v="0"/>
    <x v="11"/>
    <n v="0"/>
    <x v="8"/>
    <x v="3"/>
  </r>
  <r>
    <n v="2311"/>
    <x v="9"/>
    <x v="42"/>
    <x v="0"/>
    <x v="2"/>
    <x v="1"/>
    <x v="4"/>
    <x v="257"/>
    <x v="5"/>
    <n v="0"/>
    <x v="11"/>
    <n v="0"/>
    <x v="8"/>
    <x v="3"/>
  </r>
  <r>
    <n v="104"/>
    <x v="9"/>
    <x v="10"/>
    <x v="0"/>
    <x v="2"/>
    <x v="3"/>
    <x v="0"/>
    <x v="258"/>
    <x v="0"/>
    <n v="0"/>
    <x v="11"/>
    <n v="0"/>
    <x v="8"/>
    <x v="3"/>
  </r>
  <r>
    <n v="2856"/>
    <x v="9"/>
    <x v="29"/>
    <x v="1"/>
    <x v="1"/>
    <x v="3"/>
    <x v="0"/>
    <x v="259"/>
    <x v="10"/>
    <n v="0"/>
    <x v="11"/>
    <n v="0"/>
    <x v="8"/>
    <x v="3"/>
  </r>
  <r>
    <n v="2278"/>
    <x v="9"/>
    <x v="45"/>
    <x v="1"/>
    <x v="0"/>
    <x v="0"/>
    <x v="0"/>
    <x v="260"/>
    <x v="2"/>
    <n v="0"/>
    <x v="11"/>
    <n v="0"/>
    <x v="8"/>
    <x v="3"/>
  </r>
  <r>
    <n v="1422"/>
    <x v="9"/>
    <x v="18"/>
    <x v="0"/>
    <x v="3"/>
    <x v="1"/>
    <x v="7"/>
    <x v="261"/>
    <x v="2"/>
    <n v="0"/>
    <x v="11"/>
    <n v="0"/>
    <x v="8"/>
    <x v="3"/>
  </r>
  <r>
    <n v="3354"/>
    <x v="9"/>
    <x v="5"/>
    <x v="0"/>
    <x v="0"/>
    <x v="0"/>
    <x v="0"/>
    <x v="262"/>
    <x v="5"/>
    <n v="0"/>
    <x v="11"/>
    <n v="0"/>
    <x v="8"/>
    <x v="3"/>
  </r>
  <r>
    <n v="4754"/>
    <x v="9"/>
    <x v="40"/>
    <x v="0"/>
    <x v="1"/>
    <x v="0"/>
    <x v="0"/>
    <x v="263"/>
    <x v="11"/>
    <n v="0"/>
    <x v="11"/>
    <n v="0"/>
    <x v="8"/>
    <x v="3"/>
  </r>
  <r>
    <n v="1873"/>
    <x v="9"/>
    <x v="8"/>
    <x v="1"/>
    <x v="2"/>
    <x v="0"/>
    <x v="0"/>
    <x v="264"/>
    <x v="0"/>
    <n v="0"/>
    <x v="11"/>
    <n v="0"/>
    <x v="8"/>
    <x v="3"/>
  </r>
  <r>
    <n v="3661"/>
    <x v="9"/>
    <x v="13"/>
    <x v="2"/>
    <x v="3"/>
    <x v="1"/>
    <x v="2"/>
    <x v="265"/>
    <x v="11"/>
    <n v="0"/>
    <x v="11"/>
    <n v="0"/>
    <x v="8"/>
    <x v="3"/>
  </r>
  <r>
    <n v="1727"/>
    <x v="9"/>
    <x v="8"/>
    <x v="2"/>
    <x v="1"/>
    <x v="0"/>
    <x v="0"/>
    <x v="266"/>
    <x v="2"/>
    <n v="0"/>
    <x v="11"/>
    <n v="0"/>
    <x v="8"/>
    <x v="3"/>
  </r>
  <r>
    <n v="793"/>
    <x v="9"/>
    <x v="24"/>
    <x v="2"/>
    <x v="2"/>
    <x v="2"/>
    <x v="0"/>
    <x v="267"/>
    <x v="4"/>
    <n v="0"/>
    <x v="11"/>
    <n v="0"/>
    <x v="8"/>
    <x v="3"/>
  </r>
  <r>
    <n v="1440"/>
    <x v="10"/>
    <x v="4"/>
    <x v="1"/>
    <x v="3"/>
    <x v="2"/>
    <x v="0"/>
    <x v="268"/>
    <x v="7"/>
    <n v="1"/>
    <x v="109"/>
    <n v="2"/>
    <x v="2"/>
    <x v="2"/>
  </r>
  <r>
    <n v="3127"/>
    <x v="10"/>
    <x v="29"/>
    <x v="1"/>
    <x v="1"/>
    <x v="0"/>
    <x v="0"/>
    <x v="269"/>
    <x v="12"/>
    <n v="1"/>
    <x v="110"/>
    <n v="4"/>
    <x v="4"/>
    <x v="1"/>
  </r>
  <r>
    <n v="4431"/>
    <x v="10"/>
    <x v="25"/>
    <x v="0"/>
    <x v="0"/>
    <x v="2"/>
    <x v="0"/>
    <x v="128"/>
    <x v="6"/>
    <n v="1"/>
    <x v="111"/>
    <n v="3"/>
    <x v="1"/>
    <x v="0"/>
  </r>
  <r>
    <n v="3539"/>
    <x v="10"/>
    <x v="23"/>
    <x v="0"/>
    <x v="2"/>
    <x v="0"/>
    <x v="0"/>
    <x v="270"/>
    <x v="2"/>
    <n v="1"/>
    <x v="112"/>
    <n v="4"/>
    <x v="2"/>
    <x v="0"/>
  </r>
  <r>
    <n v="2697"/>
    <x v="10"/>
    <x v="5"/>
    <x v="1"/>
    <x v="0"/>
    <x v="0"/>
    <x v="0"/>
    <x v="271"/>
    <x v="8"/>
    <n v="1"/>
    <x v="113"/>
    <n v="4"/>
    <x v="12"/>
    <x v="0"/>
  </r>
  <r>
    <n v="1935"/>
    <x v="10"/>
    <x v="4"/>
    <x v="0"/>
    <x v="1"/>
    <x v="0"/>
    <x v="0"/>
    <x v="272"/>
    <x v="1"/>
    <n v="1"/>
    <x v="114"/>
    <n v="1"/>
    <x v="0"/>
    <x v="1"/>
  </r>
  <r>
    <n v="2752"/>
    <x v="10"/>
    <x v="13"/>
    <x v="1"/>
    <x v="0"/>
    <x v="0"/>
    <x v="0"/>
    <x v="273"/>
    <x v="1"/>
    <n v="1"/>
    <x v="115"/>
    <n v="3"/>
    <x v="0"/>
    <x v="0"/>
  </r>
  <r>
    <n v="4126"/>
    <x v="10"/>
    <x v="40"/>
    <x v="0"/>
    <x v="1"/>
    <x v="1"/>
    <x v="6"/>
    <x v="274"/>
    <x v="5"/>
    <n v="1"/>
    <x v="116"/>
    <n v="2"/>
    <x v="10"/>
    <x v="0"/>
  </r>
  <r>
    <n v="4323"/>
    <x v="10"/>
    <x v="19"/>
    <x v="0"/>
    <x v="1"/>
    <x v="1"/>
    <x v="7"/>
    <x v="275"/>
    <x v="8"/>
    <n v="1"/>
    <x v="117"/>
    <n v="2"/>
    <x v="3"/>
    <x v="1"/>
  </r>
  <r>
    <n v="1443"/>
    <x v="10"/>
    <x v="16"/>
    <x v="1"/>
    <x v="1"/>
    <x v="2"/>
    <x v="0"/>
    <x v="276"/>
    <x v="8"/>
    <n v="1"/>
    <x v="118"/>
    <n v="3"/>
    <x v="2"/>
    <x v="1"/>
  </r>
  <r>
    <n v="4647"/>
    <x v="10"/>
    <x v="17"/>
    <x v="0"/>
    <x v="2"/>
    <x v="0"/>
    <x v="0"/>
    <x v="277"/>
    <x v="8"/>
    <n v="1"/>
    <x v="119"/>
    <n v="2"/>
    <x v="14"/>
    <x v="2"/>
  </r>
  <r>
    <n v="3205"/>
    <x v="10"/>
    <x v="41"/>
    <x v="0"/>
    <x v="2"/>
    <x v="0"/>
    <x v="0"/>
    <x v="278"/>
    <x v="5"/>
    <n v="1"/>
    <x v="120"/>
    <n v="2"/>
    <x v="14"/>
    <x v="0"/>
  </r>
  <r>
    <n v="3868"/>
    <x v="10"/>
    <x v="20"/>
    <x v="1"/>
    <x v="1"/>
    <x v="1"/>
    <x v="3"/>
    <x v="279"/>
    <x v="8"/>
    <n v="1"/>
    <x v="121"/>
    <n v="3"/>
    <x v="1"/>
    <x v="1"/>
  </r>
  <r>
    <n v="4069"/>
    <x v="10"/>
    <x v="44"/>
    <x v="0"/>
    <x v="0"/>
    <x v="0"/>
    <x v="0"/>
    <x v="280"/>
    <x v="2"/>
    <n v="0"/>
    <x v="11"/>
    <n v="0"/>
    <x v="8"/>
    <x v="3"/>
  </r>
  <r>
    <n v="4182"/>
    <x v="10"/>
    <x v="28"/>
    <x v="1"/>
    <x v="0"/>
    <x v="0"/>
    <x v="0"/>
    <x v="281"/>
    <x v="1"/>
    <n v="0"/>
    <x v="11"/>
    <n v="0"/>
    <x v="8"/>
    <x v="3"/>
  </r>
  <r>
    <n v="2405"/>
    <x v="10"/>
    <x v="5"/>
    <x v="2"/>
    <x v="1"/>
    <x v="0"/>
    <x v="0"/>
    <x v="282"/>
    <x v="6"/>
    <n v="0"/>
    <x v="11"/>
    <n v="0"/>
    <x v="8"/>
    <x v="3"/>
  </r>
  <r>
    <n v="3096"/>
    <x v="10"/>
    <x v="19"/>
    <x v="1"/>
    <x v="3"/>
    <x v="1"/>
    <x v="7"/>
    <x v="283"/>
    <x v="5"/>
    <n v="0"/>
    <x v="11"/>
    <n v="0"/>
    <x v="8"/>
    <x v="3"/>
  </r>
  <r>
    <n v="3453"/>
    <x v="10"/>
    <x v="26"/>
    <x v="1"/>
    <x v="2"/>
    <x v="0"/>
    <x v="0"/>
    <x v="284"/>
    <x v="1"/>
    <n v="0"/>
    <x v="11"/>
    <n v="0"/>
    <x v="8"/>
    <x v="3"/>
  </r>
  <r>
    <n v="4753"/>
    <x v="10"/>
    <x v="28"/>
    <x v="1"/>
    <x v="1"/>
    <x v="2"/>
    <x v="0"/>
    <x v="285"/>
    <x v="1"/>
    <n v="0"/>
    <x v="11"/>
    <n v="0"/>
    <x v="8"/>
    <x v="3"/>
  </r>
  <r>
    <n v="4465"/>
    <x v="10"/>
    <x v="38"/>
    <x v="0"/>
    <x v="2"/>
    <x v="0"/>
    <x v="0"/>
    <x v="286"/>
    <x v="1"/>
    <n v="0"/>
    <x v="11"/>
    <n v="0"/>
    <x v="8"/>
    <x v="3"/>
  </r>
  <r>
    <n v="3070"/>
    <x v="10"/>
    <x v="26"/>
    <x v="1"/>
    <x v="2"/>
    <x v="1"/>
    <x v="5"/>
    <x v="287"/>
    <x v="0"/>
    <n v="0"/>
    <x v="11"/>
    <n v="0"/>
    <x v="8"/>
    <x v="3"/>
  </r>
  <r>
    <n v="2375"/>
    <x v="10"/>
    <x v="32"/>
    <x v="1"/>
    <x v="3"/>
    <x v="3"/>
    <x v="0"/>
    <x v="288"/>
    <x v="8"/>
    <n v="0"/>
    <x v="11"/>
    <n v="0"/>
    <x v="8"/>
    <x v="3"/>
  </r>
  <r>
    <n v="3001"/>
    <x v="10"/>
    <x v="14"/>
    <x v="1"/>
    <x v="0"/>
    <x v="0"/>
    <x v="0"/>
    <x v="289"/>
    <x v="0"/>
    <n v="0"/>
    <x v="11"/>
    <n v="0"/>
    <x v="8"/>
    <x v="3"/>
  </r>
  <r>
    <n v="3009"/>
    <x v="10"/>
    <x v="22"/>
    <x v="0"/>
    <x v="1"/>
    <x v="0"/>
    <x v="0"/>
    <x v="290"/>
    <x v="1"/>
    <n v="0"/>
    <x v="11"/>
    <n v="0"/>
    <x v="8"/>
    <x v="3"/>
  </r>
  <r>
    <n v="4023"/>
    <x v="10"/>
    <x v="3"/>
    <x v="1"/>
    <x v="3"/>
    <x v="0"/>
    <x v="0"/>
    <x v="291"/>
    <x v="1"/>
    <n v="0"/>
    <x v="11"/>
    <n v="0"/>
    <x v="8"/>
    <x v="3"/>
  </r>
  <r>
    <n v="4241"/>
    <x v="10"/>
    <x v="28"/>
    <x v="1"/>
    <x v="2"/>
    <x v="0"/>
    <x v="0"/>
    <x v="292"/>
    <x v="2"/>
    <n v="0"/>
    <x v="11"/>
    <n v="0"/>
    <x v="8"/>
    <x v="3"/>
  </r>
  <r>
    <n v="4025"/>
    <x v="10"/>
    <x v="48"/>
    <x v="0"/>
    <x v="0"/>
    <x v="1"/>
    <x v="5"/>
    <x v="293"/>
    <x v="2"/>
    <n v="0"/>
    <x v="11"/>
    <n v="0"/>
    <x v="8"/>
    <x v="3"/>
  </r>
  <r>
    <n v="171"/>
    <x v="10"/>
    <x v="23"/>
    <x v="0"/>
    <x v="0"/>
    <x v="1"/>
    <x v="4"/>
    <x v="294"/>
    <x v="1"/>
    <n v="0"/>
    <x v="11"/>
    <n v="0"/>
    <x v="8"/>
    <x v="3"/>
  </r>
  <r>
    <n v="2531"/>
    <x v="10"/>
    <x v="11"/>
    <x v="2"/>
    <x v="1"/>
    <x v="1"/>
    <x v="2"/>
    <x v="295"/>
    <x v="1"/>
    <n v="0"/>
    <x v="11"/>
    <n v="0"/>
    <x v="8"/>
    <x v="3"/>
  </r>
  <r>
    <n v="1458"/>
    <x v="10"/>
    <x v="6"/>
    <x v="1"/>
    <x v="2"/>
    <x v="1"/>
    <x v="7"/>
    <x v="296"/>
    <x v="5"/>
    <n v="0"/>
    <x v="11"/>
    <n v="0"/>
    <x v="8"/>
    <x v="3"/>
  </r>
  <r>
    <n v="4572"/>
    <x v="10"/>
    <x v="1"/>
    <x v="1"/>
    <x v="3"/>
    <x v="1"/>
    <x v="3"/>
    <x v="297"/>
    <x v="8"/>
    <n v="0"/>
    <x v="11"/>
    <n v="0"/>
    <x v="8"/>
    <x v="3"/>
  </r>
  <r>
    <n v="4954"/>
    <x v="10"/>
    <x v="49"/>
    <x v="0"/>
    <x v="1"/>
    <x v="0"/>
    <x v="0"/>
    <x v="298"/>
    <x v="10"/>
    <n v="0"/>
    <x v="11"/>
    <n v="0"/>
    <x v="8"/>
    <x v="3"/>
  </r>
  <r>
    <n v="3685"/>
    <x v="10"/>
    <x v="3"/>
    <x v="0"/>
    <x v="3"/>
    <x v="0"/>
    <x v="0"/>
    <x v="299"/>
    <x v="5"/>
    <n v="0"/>
    <x v="11"/>
    <n v="0"/>
    <x v="8"/>
    <x v="3"/>
  </r>
  <r>
    <n v="419"/>
    <x v="10"/>
    <x v="6"/>
    <x v="0"/>
    <x v="2"/>
    <x v="0"/>
    <x v="0"/>
    <x v="300"/>
    <x v="4"/>
    <n v="0"/>
    <x v="11"/>
    <n v="0"/>
    <x v="8"/>
    <x v="3"/>
  </r>
  <r>
    <n v="3452"/>
    <x v="10"/>
    <x v="5"/>
    <x v="1"/>
    <x v="3"/>
    <x v="0"/>
    <x v="0"/>
    <x v="301"/>
    <x v="7"/>
    <n v="0"/>
    <x v="11"/>
    <n v="0"/>
    <x v="8"/>
    <x v="3"/>
  </r>
  <r>
    <n v="4072"/>
    <x v="10"/>
    <x v="30"/>
    <x v="1"/>
    <x v="3"/>
    <x v="2"/>
    <x v="0"/>
    <x v="302"/>
    <x v="4"/>
    <n v="0"/>
    <x v="11"/>
    <n v="0"/>
    <x v="8"/>
    <x v="3"/>
  </r>
  <r>
    <n v="3621"/>
    <x v="10"/>
    <x v="17"/>
    <x v="0"/>
    <x v="3"/>
    <x v="1"/>
    <x v="4"/>
    <x v="303"/>
    <x v="2"/>
    <n v="0"/>
    <x v="11"/>
    <n v="0"/>
    <x v="8"/>
    <x v="3"/>
  </r>
  <r>
    <n v="3212"/>
    <x v="10"/>
    <x v="41"/>
    <x v="1"/>
    <x v="3"/>
    <x v="1"/>
    <x v="7"/>
    <x v="304"/>
    <x v="1"/>
    <n v="0"/>
    <x v="11"/>
    <n v="0"/>
    <x v="8"/>
    <x v="3"/>
  </r>
  <r>
    <n v="3893"/>
    <x v="10"/>
    <x v="25"/>
    <x v="1"/>
    <x v="3"/>
    <x v="0"/>
    <x v="0"/>
    <x v="305"/>
    <x v="13"/>
    <n v="0"/>
    <x v="11"/>
    <n v="0"/>
    <x v="8"/>
    <x v="3"/>
  </r>
  <r>
    <n v="2169"/>
    <x v="10"/>
    <x v="17"/>
    <x v="1"/>
    <x v="3"/>
    <x v="3"/>
    <x v="0"/>
    <x v="306"/>
    <x v="10"/>
    <n v="0"/>
    <x v="11"/>
    <n v="0"/>
    <x v="8"/>
    <x v="3"/>
  </r>
  <r>
    <n v="4201"/>
    <x v="11"/>
    <x v="11"/>
    <x v="0"/>
    <x v="1"/>
    <x v="0"/>
    <x v="0"/>
    <x v="307"/>
    <x v="4"/>
    <n v="1"/>
    <x v="122"/>
    <n v="1"/>
    <x v="11"/>
    <x v="0"/>
  </r>
  <r>
    <n v="2918"/>
    <x v="11"/>
    <x v="43"/>
    <x v="0"/>
    <x v="3"/>
    <x v="1"/>
    <x v="5"/>
    <x v="308"/>
    <x v="8"/>
    <n v="1"/>
    <x v="123"/>
    <n v="6"/>
    <x v="4"/>
    <x v="0"/>
  </r>
  <r>
    <n v="4950"/>
    <x v="11"/>
    <x v="1"/>
    <x v="1"/>
    <x v="1"/>
    <x v="0"/>
    <x v="0"/>
    <x v="309"/>
    <x v="6"/>
    <n v="1"/>
    <x v="124"/>
    <n v="1"/>
    <x v="9"/>
    <x v="1"/>
  </r>
  <r>
    <n v="2055"/>
    <x v="11"/>
    <x v="3"/>
    <x v="1"/>
    <x v="3"/>
    <x v="0"/>
    <x v="0"/>
    <x v="310"/>
    <x v="0"/>
    <n v="1"/>
    <x v="125"/>
    <n v="2"/>
    <x v="7"/>
    <x v="0"/>
  </r>
  <r>
    <n v="4607"/>
    <x v="11"/>
    <x v="45"/>
    <x v="0"/>
    <x v="1"/>
    <x v="1"/>
    <x v="6"/>
    <x v="311"/>
    <x v="4"/>
    <n v="1"/>
    <x v="126"/>
    <n v="4"/>
    <x v="4"/>
    <x v="0"/>
  </r>
  <r>
    <n v="772"/>
    <x v="11"/>
    <x v="6"/>
    <x v="1"/>
    <x v="0"/>
    <x v="0"/>
    <x v="0"/>
    <x v="312"/>
    <x v="1"/>
    <n v="1"/>
    <x v="127"/>
    <n v="4"/>
    <x v="6"/>
    <x v="2"/>
  </r>
  <r>
    <n v="537"/>
    <x v="11"/>
    <x v="8"/>
    <x v="1"/>
    <x v="3"/>
    <x v="1"/>
    <x v="6"/>
    <x v="313"/>
    <x v="11"/>
    <n v="1"/>
    <x v="128"/>
    <n v="3"/>
    <x v="0"/>
    <x v="0"/>
  </r>
  <r>
    <n v="4089"/>
    <x v="11"/>
    <x v="45"/>
    <x v="1"/>
    <x v="1"/>
    <x v="0"/>
    <x v="0"/>
    <x v="314"/>
    <x v="2"/>
    <n v="1"/>
    <x v="129"/>
    <n v="2"/>
    <x v="12"/>
    <x v="0"/>
  </r>
  <r>
    <n v="3509"/>
    <x v="11"/>
    <x v="20"/>
    <x v="0"/>
    <x v="3"/>
    <x v="0"/>
    <x v="0"/>
    <x v="315"/>
    <x v="2"/>
    <n v="1"/>
    <x v="130"/>
    <n v="5"/>
    <x v="6"/>
    <x v="1"/>
  </r>
  <r>
    <n v="2509"/>
    <x v="11"/>
    <x v="23"/>
    <x v="0"/>
    <x v="3"/>
    <x v="0"/>
    <x v="0"/>
    <x v="316"/>
    <x v="2"/>
    <n v="0"/>
    <x v="11"/>
    <n v="0"/>
    <x v="8"/>
    <x v="3"/>
  </r>
  <r>
    <n v="2826"/>
    <x v="11"/>
    <x v="34"/>
    <x v="0"/>
    <x v="3"/>
    <x v="0"/>
    <x v="0"/>
    <x v="317"/>
    <x v="6"/>
    <n v="0"/>
    <x v="11"/>
    <n v="0"/>
    <x v="8"/>
    <x v="3"/>
  </r>
  <r>
    <n v="1854"/>
    <x v="11"/>
    <x v="31"/>
    <x v="1"/>
    <x v="3"/>
    <x v="0"/>
    <x v="0"/>
    <x v="318"/>
    <x v="5"/>
    <n v="0"/>
    <x v="11"/>
    <n v="0"/>
    <x v="8"/>
    <x v="3"/>
  </r>
  <r>
    <n v="1028"/>
    <x v="11"/>
    <x v="5"/>
    <x v="0"/>
    <x v="1"/>
    <x v="3"/>
    <x v="0"/>
    <x v="319"/>
    <x v="5"/>
    <n v="0"/>
    <x v="11"/>
    <n v="0"/>
    <x v="8"/>
    <x v="3"/>
  </r>
  <r>
    <n v="3900"/>
    <x v="11"/>
    <x v="45"/>
    <x v="1"/>
    <x v="3"/>
    <x v="2"/>
    <x v="0"/>
    <x v="320"/>
    <x v="0"/>
    <n v="0"/>
    <x v="11"/>
    <n v="0"/>
    <x v="8"/>
    <x v="3"/>
  </r>
  <r>
    <n v="4070"/>
    <x v="11"/>
    <x v="32"/>
    <x v="1"/>
    <x v="1"/>
    <x v="0"/>
    <x v="0"/>
    <x v="321"/>
    <x v="8"/>
    <n v="0"/>
    <x v="11"/>
    <n v="0"/>
    <x v="8"/>
    <x v="3"/>
  </r>
  <r>
    <n v="2543"/>
    <x v="11"/>
    <x v="27"/>
    <x v="1"/>
    <x v="2"/>
    <x v="3"/>
    <x v="0"/>
    <x v="134"/>
    <x v="8"/>
    <n v="0"/>
    <x v="11"/>
    <n v="0"/>
    <x v="8"/>
    <x v="3"/>
  </r>
  <r>
    <n v="4654"/>
    <x v="11"/>
    <x v="29"/>
    <x v="1"/>
    <x v="0"/>
    <x v="2"/>
    <x v="0"/>
    <x v="322"/>
    <x v="5"/>
    <n v="0"/>
    <x v="11"/>
    <n v="0"/>
    <x v="8"/>
    <x v="3"/>
  </r>
  <r>
    <n v="4943"/>
    <x v="11"/>
    <x v="9"/>
    <x v="0"/>
    <x v="0"/>
    <x v="1"/>
    <x v="1"/>
    <x v="323"/>
    <x v="1"/>
    <n v="0"/>
    <x v="11"/>
    <n v="0"/>
    <x v="8"/>
    <x v="3"/>
  </r>
  <r>
    <n v="1008"/>
    <x v="11"/>
    <x v="6"/>
    <x v="0"/>
    <x v="0"/>
    <x v="2"/>
    <x v="0"/>
    <x v="324"/>
    <x v="5"/>
    <n v="0"/>
    <x v="11"/>
    <n v="0"/>
    <x v="8"/>
    <x v="3"/>
  </r>
  <r>
    <n v="3398"/>
    <x v="11"/>
    <x v="14"/>
    <x v="0"/>
    <x v="1"/>
    <x v="0"/>
    <x v="0"/>
    <x v="325"/>
    <x v="1"/>
    <n v="0"/>
    <x v="11"/>
    <n v="0"/>
    <x v="8"/>
    <x v="3"/>
  </r>
  <r>
    <n v="3618"/>
    <x v="11"/>
    <x v="23"/>
    <x v="1"/>
    <x v="1"/>
    <x v="0"/>
    <x v="0"/>
    <x v="326"/>
    <x v="6"/>
    <n v="0"/>
    <x v="11"/>
    <n v="0"/>
    <x v="8"/>
    <x v="3"/>
  </r>
  <r>
    <n v="377"/>
    <x v="11"/>
    <x v="24"/>
    <x v="1"/>
    <x v="2"/>
    <x v="0"/>
    <x v="0"/>
    <x v="327"/>
    <x v="14"/>
    <n v="0"/>
    <x v="11"/>
    <n v="0"/>
    <x v="8"/>
    <x v="3"/>
  </r>
  <r>
    <n v="2719"/>
    <x v="11"/>
    <x v="43"/>
    <x v="0"/>
    <x v="2"/>
    <x v="0"/>
    <x v="0"/>
    <x v="328"/>
    <x v="5"/>
    <n v="0"/>
    <x v="11"/>
    <n v="0"/>
    <x v="8"/>
    <x v="3"/>
  </r>
  <r>
    <n v="220"/>
    <x v="11"/>
    <x v="6"/>
    <x v="0"/>
    <x v="0"/>
    <x v="1"/>
    <x v="7"/>
    <x v="329"/>
    <x v="6"/>
    <n v="0"/>
    <x v="11"/>
    <n v="0"/>
    <x v="8"/>
    <x v="3"/>
  </r>
  <r>
    <n v="2372"/>
    <x v="11"/>
    <x v="41"/>
    <x v="0"/>
    <x v="2"/>
    <x v="2"/>
    <x v="0"/>
    <x v="330"/>
    <x v="7"/>
    <n v="0"/>
    <x v="11"/>
    <n v="0"/>
    <x v="8"/>
    <x v="3"/>
  </r>
  <r>
    <n v="1244"/>
    <x v="11"/>
    <x v="8"/>
    <x v="1"/>
    <x v="2"/>
    <x v="3"/>
    <x v="0"/>
    <x v="331"/>
    <x v="0"/>
    <n v="0"/>
    <x v="11"/>
    <n v="0"/>
    <x v="8"/>
    <x v="3"/>
  </r>
  <r>
    <n v="3704"/>
    <x v="11"/>
    <x v="20"/>
    <x v="1"/>
    <x v="0"/>
    <x v="0"/>
    <x v="0"/>
    <x v="332"/>
    <x v="5"/>
    <n v="0"/>
    <x v="11"/>
    <n v="0"/>
    <x v="8"/>
    <x v="3"/>
  </r>
  <r>
    <n v="2683"/>
    <x v="12"/>
    <x v="0"/>
    <x v="1"/>
    <x v="2"/>
    <x v="2"/>
    <x v="0"/>
    <x v="333"/>
    <x v="5"/>
    <n v="1"/>
    <x v="131"/>
    <n v="3"/>
    <x v="14"/>
    <x v="0"/>
  </r>
  <r>
    <n v="1753"/>
    <x v="12"/>
    <x v="30"/>
    <x v="1"/>
    <x v="1"/>
    <x v="1"/>
    <x v="2"/>
    <x v="334"/>
    <x v="10"/>
    <n v="1"/>
    <x v="132"/>
    <n v="3"/>
    <x v="15"/>
    <x v="0"/>
  </r>
  <r>
    <n v="4136"/>
    <x v="12"/>
    <x v="50"/>
    <x v="0"/>
    <x v="2"/>
    <x v="3"/>
    <x v="0"/>
    <x v="335"/>
    <x v="2"/>
    <n v="1"/>
    <x v="133"/>
    <n v="3"/>
    <x v="5"/>
    <x v="0"/>
  </r>
  <r>
    <n v="2978"/>
    <x v="12"/>
    <x v="26"/>
    <x v="1"/>
    <x v="3"/>
    <x v="3"/>
    <x v="0"/>
    <x v="336"/>
    <x v="2"/>
    <n v="1"/>
    <x v="134"/>
    <n v="2"/>
    <x v="2"/>
    <x v="2"/>
  </r>
  <r>
    <n v="2361"/>
    <x v="12"/>
    <x v="17"/>
    <x v="1"/>
    <x v="2"/>
    <x v="1"/>
    <x v="6"/>
    <x v="337"/>
    <x v="2"/>
    <n v="1"/>
    <x v="135"/>
    <n v="2"/>
    <x v="9"/>
    <x v="0"/>
  </r>
  <r>
    <n v="3965"/>
    <x v="12"/>
    <x v="47"/>
    <x v="1"/>
    <x v="3"/>
    <x v="1"/>
    <x v="5"/>
    <x v="338"/>
    <x v="11"/>
    <n v="1"/>
    <x v="136"/>
    <n v="1"/>
    <x v="7"/>
    <x v="0"/>
  </r>
  <r>
    <n v="2225"/>
    <x v="12"/>
    <x v="3"/>
    <x v="1"/>
    <x v="0"/>
    <x v="1"/>
    <x v="6"/>
    <x v="339"/>
    <x v="5"/>
    <n v="1"/>
    <x v="137"/>
    <n v="3"/>
    <x v="6"/>
    <x v="2"/>
  </r>
  <r>
    <n v="1800"/>
    <x v="12"/>
    <x v="6"/>
    <x v="0"/>
    <x v="3"/>
    <x v="0"/>
    <x v="0"/>
    <x v="340"/>
    <x v="5"/>
    <n v="1"/>
    <x v="138"/>
    <n v="2"/>
    <x v="0"/>
    <x v="2"/>
  </r>
  <r>
    <n v="899"/>
    <x v="12"/>
    <x v="2"/>
    <x v="0"/>
    <x v="1"/>
    <x v="0"/>
    <x v="0"/>
    <x v="341"/>
    <x v="2"/>
    <n v="1"/>
    <x v="139"/>
    <n v="2"/>
    <x v="6"/>
    <x v="0"/>
  </r>
  <r>
    <n v="333"/>
    <x v="12"/>
    <x v="8"/>
    <x v="1"/>
    <x v="3"/>
    <x v="3"/>
    <x v="0"/>
    <x v="342"/>
    <x v="2"/>
    <n v="1"/>
    <x v="140"/>
    <n v="3"/>
    <x v="3"/>
    <x v="0"/>
  </r>
  <r>
    <n v="3008"/>
    <x v="12"/>
    <x v="27"/>
    <x v="0"/>
    <x v="0"/>
    <x v="0"/>
    <x v="0"/>
    <x v="343"/>
    <x v="8"/>
    <n v="1"/>
    <x v="141"/>
    <n v="3"/>
    <x v="1"/>
    <x v="0"/>
  </r>
  <r>
    <n v="4056"/>
    <x v="12"/>
    <x v="43"/>
    <x v="1"/>
    <x v="3"/>
    <x v="3"/>
    <x v="0"/>
    <x v="344"/>
    <x v="10"/>
    <n v="0"/>
    <x v="11"/>
    <n v="0"/>
    <x v="8"/>
    <x v="3"/>
  </r>
  <r>
    <n v="4547"/>
    <x v="12"/>
    <x v="42"/>
    <x v="1"/>
    <x v="3"/>
    <x v="1"/>
    <x v="4"/>
    <x v="345"/>
    <x v="2"/>
    <n v="0"/>
    <x v="11"/>
    <n v="0"/>
    <x v="8"/>
    <x v="3"/>
  </r>
  <r>
    <n v="3088"/>
    <x v="12"/>
    <x v="33"/>
    <x v="0"/>
    <x v="0"/>
    <x v="0"/>
    <x v="0"/>
    <x v="346"/>
    <x v="2"/>
    <n v="0"/>
    <x v="11"/>
    <n v="0"/>
    <x v="8"/>
    <x v="3"/>
  </r>
  <r>
    <n v="4156"/>
    <x v="12"/>
    <x v="51"/>
    <x v="1"/>
    <x v="2"/>
    <x v="3"/>
    <x v="0"/>
    <x v="347"/>
    <x v="2"/>
    <n v="0"/>
    <x v="11"/>
    <n v="0"/>
    <x v="8"/>
    <x v="3"/>
  </r>
  <r>
    <n v="4813"/>
    <x v="12"/>
    <x v="17"/>
    <x v="0"/>
    <x v="2"/>
    <x v="0"/>
    <x v="0"/>
    <x v="189"/>
    <x v="5"/>
    <n v="0"/>
    <x v="11"/>
    <n v="0"/>
    <x v="8"/>
    <x v="3"/>
  </r>
  <r>
    <n v="2534"/>
    <x v="12"/>
    <x v="41"/>
    <x v="1"/>
    <x v="2"/>
    <x v="2"/>
    <x v="0"/>
    <x v="348"/>
    <x v="2"/>
    <n v="0"/>
    <x v="11"/>
    <n v="0"/>
    <x v="8"/>
    <x v="3"/>
  </r>
  <r>
    <n v="471"/>
    <x v="12"/>
    <x v="18"/>
    <x v="2"/>
    <x v="3"/>
    <x v="0"/>
    <x v="0"/>
    <x v="349"/>
    <x v="5"/>
    <n v="0"/>
    <x v="11"/>
    <n v="0"/>
    <x v="8"/>
    <x v="3"/>
  </r>
  <r>
    <n v="3118"/>
    <x v="12"/>
    <x v="41"/>
    <x v="0"/>
    <x v="3"/>
    <x v="0"/>
    <x v="0"/>
    <x v="350"/>
    <x v="8"/>
    <n v="0"/>
    <x v="11"/>
    <n v="0"/>
    <x v="8"/>
    <x v="3"/>
  </r>
  <r>
    <n v="3946"/>
    <x v="12"/>
    <x v="23"/>
    <x v="1"/>
    <x v="0"/>
    <x v="0"/>
    <x v="0"/>
    <x v="351"/>
    <x v="5"/>
    <n v="0"/>
    <x v="11"/>
    <n v="0"/>
    <x v="8"/>
    <x v="3"/>
  </r>
  <r>
    <n v="2132"/>
    <x v="12"/>
    <x v="13"/>
    <x v="0"/>
    <x v="1"/>
    <x v="2"/>
    <x v="0"/>
    <x v="258"/>
    <x v="12"/>
    <n v="0"/>
    <x v="11"/>
    <n v="0"/>
    <x v="8"/>
    <x v="3"/>
  </r>
  <r>
    <n v="841"/>
    <x v="12"/>
    <x v="8"/>
    <x v="1"/>
    <x v="2"/>
    <x v="1"/>
    <x v="6"/>
    <x v="352"/>
    <x v="10"/>
    <n v="0"/>
    <x v="11"/>
    <n v="0"/>
    <x v="8"/>
    <x v="3"/>
  </r>
  <r>
    <n v="3067"/>
    <x v="12"/>
    <x v="45"/>
    <x v="0"/>
    <x v="0"/>
    <x v="2"/>
    <x v="0"/>
    <x v="353"/>
    <x v="0"/>
    <n v="0"/>
    <x v="11"/>
    <n v="0"/>
    <x v="8"/>
    <x v="3"/>
  </r>
  <r>
    <n v="4097"/>
    <x v="12"/>
    <x v="30"/>
    <x v="1"/>
    <x v="3"/>
    <x v="1"/>
    <x v="2"/>
    <x v="354"/>
    <x v="10"/>
    <n v="0"/>
    <x v="11"/>
    <n v="0"/>
    <x v="8"/>
    <x v="3"/>
  </r>
  <r>
    <n v="564"/>
    <x v="12"/>
    <x v="6"/>
    <x v="0"/>
    <x v="0"/>
    <x v="0"/>
    <x v="0"/>
    <x v="355"/>
    <x v="5"/>
    <n v="0"/>
    <x v="11"/>
    <n v="0"/>
    <x v="8"/>
    <x v="3"/>
  </r>
  <r>
    <n v="172"/>
    <x v="12"/>
    <x v="8"/>
    <x v="1"/>
    <x v="0"/>
    <x v="2"/>
    <x v="0"/>
    <x v="356"/>
    <x v="8"/>
    <n v="0"/>
    <x v="11"/>
    <n v="0"/>
    <x v="8"/>
    <x v="3"/>
  </r>
  <r>
    <n v="1265"/>
    <x v="12"/>
    <x v="20"/>
    <x v="0"/>
    <x v="2"/>
    <x v="0"/>
    <x v="0"/>
    <x v="357"/>
    <x v="6"/>
    <n v="0"/>
    <x v="11"/>
    <n v="0"/>
    <x v="8"/>
    <x v="3"/>
  </r>
  <r>
    <n v="245"/>
    <x v="12"/>
    <x v="34"/>
    <x v="0"/>
    <x v="2"/>
    <x v="1"/>
    <x v="5"/>
    <x v="358"/>
    <x v="2"/>
    <n v="0"/>
    <x v="11"/>
    <n v="0"/>
    <x v="8"/>
    <x v="3"/>
  </r>
  <r>
    <n v="3420"/>
    <x v="12"/>
    <x v="41"/>
    <x v="1"/>
    <x v="0"/>
    <x v="0"/>
    <x v="0"/>
    <x v="359"/>
    <x v="1"/>
    <n v="0"/>
    <x v="11"/>
    <n v="0"/>
    <x v="8"/>
    <x v="3"/>
  </r>
  <r>
    <n v="457"/>
    <x v="12"/>
    <x v="0"/>
    <x v="1"/>
    <x v="0"/>
    <x v="0"/>
    <x v="0"/>
    <x v="360"/>
    <x v="0"/>
    <n v="0"/>
    <x v="11"/>
    <n v="0"/>
    <x v="8"/>
    <x v="3"/>
  </r>
  <r>
    <n v="2818"/>
    <x v="12"/>
    <x v="11"/>
    <x v="1"/>
    <x v="3"/>
    <x v="1"/>
    <x v="3"/>
    <x v="361"/>
    <x v="8"/>
    <n v="0"/>
    <x v="11"/>
    <n v="0"/>
    <x v="8"/>
    <x v="3"/>
  </r>
  <r>
    <n v="1098"/>
    <x v="13"/>
    <x v="6"/>
    <x v="0"/>
    <x v="2"/>
    <x v="1"/>
    <x v="5"/>
    <x v="362"/>
    <x v="2"/>
    <n v="1"/>
    <x v="142"/>
    <n v="3"/>
    <x v="9"/>
    <x v="0"/>
  </r>
  <r>
    <n v="4196"/>
    <x v="13"/>
    <x v="42"/>
    <x v="0"/>
    <x v="3"/>
    <x v="1"/>
    <x v="1"/>
    <x v="363"/>
    <x v="2"/>
    <n v="1"/>
    <x v="143"/>
    <n v="3"/>
    <x v="3"/>
    <x v="1"/>
  </r>
  <r>
    <n v="4370"/>
    <x v="13"/>
    <x v="52"/>
    <x v="1"/>
    <x v="3"/>
    <x v="1"/>
    <x v="1"/>
    <x v="364"/>
    <x v="12"/>
    <n v="1"/>
    <x v="144"/>
    <n v="3"/>
    <x v="0"/>
    <x v="0"/>
  </r>
  <r>
    <n v="3355"/>
    <x v="13"/>
    <x v="19"/>
    <x v="0"/>
    <x v="2"/>
    <x v="1"/>
    <x v="4"/>
    <x v="365"/>
    <x v="8"/>
    <n v="1"/>
    <x v="145"/>
    <n v="1"/>
    <x v="12"/>
    <x v="1"/>
  </r>
  <r>
    <n v="1981"/>
    <x v="13"/>
    <x v="41"/>
    <x v="1"/>
    <x v="1"/>
    <x v="0"/>
    <x v="0"/>
    <x v="366"/>
    <x v="5"/>
    <n v="1"/>
    <x v="146"/>
    <n v="1"/>
    <x v="3"/>
    <x v="0"/>
  </r>
  <r>
    <n v="16"/>
    <x v="13"/>
    <x v="22"/>
    <x v="0"/>
    <x v="0"/>
    <x v="0"/>
    <x v="0"/>
    <x v="367"/>
    <x v="6"/>
    <n v="1"/>
    <x v="147"/>
    <n v="4"/>
    <x v="15"/>
    <x v="1"/>
  </r>
  <r>
    <n v="1001"/>
    <x v="13"/>
    <x v="7"/>
    <x v="0"/>
    <x v="2"/>
    <x v="0"/>
    <x v="0"/>
    <x v="368"/>
    <x v="5"/>
    <n v="1"/>
    <x v="148"/>
    <n v="3"/>
    <x v="9"/>
    <x v="0"/>
  </r>
  <r>
    <n v="2880"/>
    <x v="13"/>
    <x v="28"/>
    <x v="1"/>
    <x v="0"/>
    <x v="0"/>
    <x v="0"/>
    <x v="369"/>
    <x v="2"/>
    <n v="1"/>
    <x v="149"/>
    <n v="3"/>
    <x v="0"/>
    <x v="2"/>
  </r>
  <r>
    <n v="168"/>
    <x v="13"/>
    <x v="24"/>
    <x v="1"/>
    <x v="0"/>
    <x v="0"/>
    <x v="0"/>
    <x v="370"/>
    <x v="1"/>
    <n v="1"/>
    <x v="150"/>
    <n v="2"/>
    <x v="11"/>
    <x v="1"/>
  </r>
  <r>
    <n v="1898"/>
    <x v="13"/>
    <x v="0"/>
    <x v="0"/>
    <x v="2"/>
    <x v="1"/>
    <x v="6"/>
    <x v="371"/>
    <x v="6"/>
    <n v="1"/>
    <x v="151"/>
    <n v="2"/>
    <x v="13"/>
    <x v="1"/>
  </r>
  <r>
    <n v="1808"/>
    <x v="13"/>
    <x v="6"/>
    <x v="0"/>
    <x v="2"/>
    <x v="3"/>
    <x v="0"/>
    <x v="372"/>
    <x v="2"/>
    <n v="0"/>
    <x v="11"/>
    <n v="0"/>
    <x v="8"/>
    <x v="3"/>
  </r>
  <r>
    <n v="3757"/>
    <x v="13"/>
    <x v="32"/>
    <x v="0"/>
    <x v="2"/>
    <x v="0"/>
    <x v="0"/>
    <x v="373"/>
    <x v="5"/>
    <n v="0"/>
    <x v="11"/>
    <n v="0"/>
    <x v="8"/>
    <x v="3"/>
  </r>
  <r>
    <n v="50"/>
    <x v="13"/>
    <x v="10"/>
    <x v="0"/>
    <x v="2"/>
    <x v="3"/>
    <x v="0"/>
    <x v="374"/>
    <x v="5"/>
    <n v="0"/>
    <x v="11"/>
    <n v="0"/>
    <x v="8"/>
    <x v="3"/>
  </r>
  <r>
    <n v="2113"/>
    <x v="13"/>
    <x v="33"/>
    <x v="0"/>
    <x v="2"/>
    <x v="0"/>
    <x v="0"/>
    <x v="375"/>
    <x v="0"/>
    <n v="0"/>
    <x v="11"/>
    <n v="0"/>
    <x v="8"/>
    <x v="3"/>
  </r>
  <r>
    <n v="1967"/>
    <x v="13"/>
    <x v="29"/>
    <x v="0"/>
    <x v="3"/>
    <x v="2"/>
    <x v="0"/>
    <x v="376"/>
    <x v="10"/>
    <n v="0"/>
    <x v="11"/>
    <n v="0"/>
    <x v="8"/>
    <x v="3"/>
  </r>
  <r>
    <n v="4782"/>
    <x v="13"/>
    <x v="21"/>
    <x v="0"/>
    <x v="2"/>
    <x v="0"/>
    <x v="0"/>
    <x v="377"/>
    <x v="6"/>
    <n v="0"/>
    <x v="11"/>
    <n v="0"/>
    <x v="8"/>
    <x v="3"/>
  </r>
  <r>
    <n v="4959"/>
    <x v="13"/>
    <x v="30"/>
    <x v="0"/>
    <x v="0"/>
    <x v="2"/>
    <x v="0"/>
    <x v="38"/>
    <x v="2"/>
    <n v="0"/>
    <x v="11"/>
    <n v="0"/>
    <x v="8"/>
    <x v="3"/>
  </r>
  <r>
    <n v="621"/>
    <x v="13"/>
    <x v="2"/>
    <x v="0"/>
    <x v="0"/>
    <x v="3"/>
    <x v="0"/>
    <x v="378"/>
    <x v="8"/>
    <n v="0"/>
    <x v="11"/>
    <n v="0"/>
    <x v="8"/>
    <x v="3"/>
  </r>
  <r>
    <n v="3095"/>
    <x v="13"/>
    <x v="4"/>
    <x v="1"/>
    <x v="0"/>
    <x v="1"/>
    <x v="3"/>
    <x v="94"/>
    <x v="3"/>
    <n v="0"/>
    <x v="11"/>
    <n v="0"/>
    <x v="8"/>
    <x v="3"/>
  </r>
  <r>
    <n v="3176"/>
    <x v="13"/>
    <x v="5"/>
    <x v="0"/>
    <x v="3"/>
    <x v="2"/>
    <x v="0"/>
    <x v="379"/>
    <x v="0"/>
    <n v="0"/>
    <x v="11"/>
    <n v="0"/>
    <x v="8"/>
    <x v="3"/>
  </r>
  <r>
    <n v="118"/>
    <x v="13"/>
    <x v="22"/>
    <x v="1"/>
    <x v="0"/>
    <x v="0"/>
    <x v="0"/>
    <x v="380"/>
    <x v="2"/>
    <n v="0"/>
    <x v="11"/>
    <n v="0"/>
    <x v="8"/>
    <x v="3"/>
  </r>
  <r>
    <n v="2139"/>
    <x v="13"/>
    <x v="44"/>
    <x v="1"/>
    <x v="1"/>
    <x v="3"/>
    <x v="0"/>
    <x v="381"/>
    <x v="0"/>
    <n v="0"/>
    <x v="11"/>
    <n v="0"/>
    <x v="8"/>
    <x v="3"/>
  </r>
  <r>
    <n v="3378"/>
    <x v="13"/>
    <x v="2"/>
    <x v="1"/>
    <x v="2"/>
    <x v="0"/>
    <x v="0"/>
    <x v="233"/>
    <x v="5"/>
    <n v="0"/>
    <x v="11"/>
    <n v="0"/>
    <x v="8"/>
    <x v="3"/>
  </r>
  <r>
    <n v="4391"/>
    <x v="13"/>
    <x v="25"/>
    <x v="0"/>
    <x v="0"/>
    <x v="0"/>
    <x v="0"/>
    <x v="382"/>
    <x v="2"/>
    <n v="0"/>
    <x v="11"/>
    <n v="0"/>
    <x v="8"/>
    <x v="3"/>
  </r>
  <r>
    <n v="1240"/>
    <x v="13"/>
    <x v="10"/>
    <x v="0"/>
    <x v="2"/>
    <x v="1"/>
    <x v="3"/>
    <x v="148"/>
    <x v="12"/>
    <n v="0"/>
    <x v="11"/>
    <n v="0"/>
    <x v="8"/>
    <x v="3"/>
  </r>
  <r>
    <n v="3603"/>
    <x v="13"/>
    <x v="17"/>
    <x v="1"/>
    <x v="1"/>
    <x v="0"/>
    <x v="0"/>
    <x v="383"/>
    <x v="5"/>
    <n v="0"/>
    <x v="11"/>
    <n v="0"/>
    <x v="8"/>
    <x v="3"/>
  </r>
  <r>
    <n v="4360"/>
    <x v="13"/>
    <x v="14"/>
    <x v="0"/>
    <x v="0"/>
    <x v="0"/>
    <x v="0"/>
    <x v="384"/>
    <x v="5"/>
    <n v="0"/>
    <x v="11"/>
    <n v="0"/>
    <x v="8"/>
    <x v="3"/>
  </r>
  <r>
    <n v="669"/>
    <x v="13"/>
    <x v="7"/>
    <x v="0"/>
    <x v="1"/>
    <x v="1"/>
    <x v="6"/>
    <x v="385"/>
    <x v="0"/>
    <n v="0"/>
    <x v="11"/>
    <n v="0"/>
    <x v="8"/>
    <x v="3"/>
  </r>
  <r>
    <n v="690"/>
    <x v="13"/>
    <x v="4"/>
    <x v="0"/>
    <x v="2"/>
    <x v="1"/>
    <x v="5"/>
    <x v="386"/>
    <x v="2"/>
    <n v="0"/>
    <x v="11"/>
    <n v="0"/>
    <x v="8"/>
    <x v="3"/>
  </r>
  <r>
    <n v="494"/>
    <x v="13"/>
    <x v="19"/>
    <x v="1"/>
    <x v="1"/>
    <x v="1"/>
    <x v="1"/>
    <x v="387"/>
    <x v="5"/>
    <n v="0"/>
    <x v="11"/>
    <n v="0"/>
    <x v="8"/>
    <x v="3"/>
  </r>
  <r>
    <n v="3724"/>
    <x v="13"/>
    <x v="41"/>
    <x v="1"/>
    <x v="3"/>
    <x v="0"/>
    <x v="0"/>
    <x v="388"/>
    <x v="2"/>
    <n v="0"/>
    <x v="11"/>
    <n v="0"/>
    <x v="8"/>
    <x v="3"/>
  </r>
  <r>
    <n v="3282"/>
    <x v="13"/>
    <x v="48"/>
    <x v="0"/>
    <x v="2"/>
    <x v="3"/>
    <x v="0"/>
    <x v="389"/>
    <x v="1"/>
    <n v="0"/>
    <x v="11"/>
    <n v="0"/>
    <x v="8"/>
    <x v="3"/>
  </r>
  <r>
    <n v="2238"/>
    <x v="13"/>
    <x v="43"/>
    <x v="1"/>
    <x v="3"/>
    <x v="0"/>
    <x v="0"/>
    <x v="390"/>
    <x v="4"/>
    <n v="0"/>
    <x v="11"/>
    <n v="0"/>
    <x v="8"/>
    <x v="3"/>
  </r>
  <r>
    <n v="3758"/>
    <x v="14"/>
    <x v="40"/>
    <x v="0"/>
    <x v="0"/>
    <x v="1"/>
    <x v="5"/>
    <x v="391"/>
    <x v="4"/>
    <n v="1"/>
    <x v="152"/>
    <n v="2"/>
    <x v="0"/>
    <x v="2"/>
  </r>
  <r>
    <n v="1309"/>
    <x v="14"/>
    <x v="18"/>
    <x v="1"/>
    <x v="2"/>
    <x v="3"/>
    <x v="0"/>
    <x v="392"/>
    <x v="0"/>
    <n v="1"/>
    <x v="153"/>
    <n v="2"/>
    <x v="15"/>
    <x v="0"/>
  </r>
  <r>
    <n v="4141"/>
    <x v="14"/>
    <x v="14"/>
    <x v="0"/>
    <x v="0"/>
    <x v="0"/>
    <x v="0"/>
    <x v="393"/>
    <x v="8"/>
    <n v="1"/>
    <x v="154"/>
    <n v="2"/>
    <x v="2"/>
    <x v="0"/>
  </r>
  <r>
    <n v="2401"/>
    <x v="14"/>
    <x v="31"/>
    <x v="0"/>
    <x v="3"/>
    <x v="0"/>
    <x v="0"/>
    <x v="394"/>
    <x v="6"/>
    <n v="1"/>
    <x v="155"/>
    <n v="6"/>
    <x v="15"/>
    <x v="1"/>
  </r>
  <r>
    <n v="195"/>
    <x v="14"/>
    <x v="7"/>
    <x v="0"/>
    <x v="0"/>
    <x v="0"/>
    <x v="0"/>
    <x v="395"/>
    <x v="6"/>
    <n v="1"/>
    <x v="156"/>
    <n v="5"/>
    <x v="14"/>
    <x v="0"/>
  </r>
  <r>
    <n v="3657"/>
    <x v="14"/>
    <x v="17"/>
    <x v="1"/>
    <x v="1"/>
    <x v="1"/>
    <x v="3"/>
    <x v="396"/>
    <x v="1"/>
    <n v="1"/>
    <x v="44"/>
    <n v="2"/>
    <x v="7"/>
    <x v="1"/>
  </r>
  <r>
    <n v="3773"/>
    <x v="14"/>
    <x v="36"/>
    <x v="1"/>
    <x v="2"/>
    <x v="1"/>
    <x v="1"/>
    <x v="397"/>
    <x v="8"/>
    <n v="1"/>
    <x v="157"/>
    <n v="3"/>
    <x v="12"/>
    <x v="0"/>
  </r>
  <r>
    <n v="4887"/>
    <x v="14"/>
    <x v="1"/>
    <x v="1"/>
    <x v="1"/>
    <x v="0"/>
    <x v="0"/>
    <x v="398"/>
    <x v="0"/>
    <n v="1"/>
    <x v="158"/>
    <n v="3"/>
    <x v="15"/>
    <x v="0"/>
  </r>
  <r>
    <n v="2369"/>
    <x v="14"/>
    <x v="31"/>
    <x v="1"/>
    <x v="2"/>
    <x v="0"/>
    <x v="0"/>
    <x v="119"/>
    <x v="1"/>
    <n v="1"/>
    <x v="159"/>
    <n v="2"/>
    <x v="14"/>
    <x v="1"/>
  </r>
  <r>
    <n v="4693"/>
    <x v="14"/>
    <x v="13"/>
    <x v="0"/>
    <x v="1"/>
    <x v="1"/>
    <x v="6"/>
    <x v="399"/>
    <x v="5"/>
    <n v="1"/>
    <x v="160"/>
    <n v="3"/>
    <x v="10"/>
    <x v="2"/>
  </r>
  <r>
    <n v="4092"/>
    <x v="14"/>
    <x v="12"/>
    <x v="0"/>
    <x v="2"/>
    <x v="0"/>
    <x v="0"/>
    <x v="400"/>
    <x v="5"/>
    <n v="1"/>
    <x v="161"/>
    <n v="2"/>
    <x v="3"/>
    <x v="1"/>
  </r>
  <r>
    <n v="3544"/>
    <x v="14"/>
    <x v="0"/>
    <x v="0"/>
    <x v="2"/>
    <x v="0"/>
    <x v="0"/>
    <x v="401"/>
    <x v="2"/>
    <n v="1"/>
    <x v="162"/>
    <n v="3"/>
    <x v="6"/>
    <x v="0"/>
  </r>
  <r>
    <n v="1504"/>
    <x v="14"/>
    <x v="22"/>
    <x v="0"/>
    <x v="2"/>
    <x v="2"/>
    <x v="0"/>
    <x v="402"/>
    <x v="8"/>
    <n v="1"/>
    <x v="163"/>
    <n v="4"/>
    <x v="15"/>
    <x v="0"/>
  </r>
  <r>
    <n v="4932"/>
    <x v="14"/>
    <x v="44"/>
    <x v="0"/>
    <x v="2"/>
    <x v="1"/>
    <x v="1"/>
    <x v="403"/>
    <x v="5"/>
    <n v="1"/>
    <x v="164"/>
    <n v="3"/>
    <x v="1"/>
    <x v="0"/>
  </r>
  <r>
    <n v="769"/>
    <x v="14"/>
    <x v="4"/>
    <x v="0"/>
    <x v="1"/>
    <x v="0"/>
    <x v="0"/>
    <x v="404"/>
    <x v="5"/>
    <n v="0"/>
    <x v="11"/>
    <n v="0"/>
    <x v="8"/>
    <x v="3"/>
  </r>
  <r>
    <n v="4854"/>
    <x v="14"/>
    <x v="5"/>
    <x v="0"/>
    <x v="2"/>
    <x v="3"/>
    <x v="0"/>
    <x v="405"/>
    <x v="11"/>
    <n v="0"/>
    <x v="11"/>
    <n v="0"/>
    <x v="8"/>
    <x v="3"/>
  </r>
  <r>
    <n v="1037"/>
    <x v="14"/>
    <x v="6"/>
    <x v="0"/>
    <x v="3"/>
    <x v="2"/>
    <x v="0"/>
    <x v="406"/>
    <x v="8"/>
    <n v="0"/>
    <x v="11"/>
    <n v="0"/>
    <x v="8"/>
    <x v="3"/>
  </r>
  <r>
    <n v="4993"/>
    <x v="14"/>
    <x v="42"/>
    <x v="0"/>
    <x v="2"/>
    <x v="3"/>
    <x v="0"/>
    <x v="407"/>
    <x v="5"/>
    <n v="0"/>
    <x v="11"/>
    <n v="0"/>
    <x v="8"/>
    <x v="3"/>
  </r>
  <r>
    <n v="1182"/>
    <x v="14"/>
    <x v="7"/>
    <x v="1"/>
    <x v="1"/>
    <x v="3"/>
    <x v="0"/>
    <x v="408"/>
    <x v="6"/>
    <n v="0"/>
    <x v="11"/>
    <n v="0"/>
    <x v="8"/>
    <x v="3"/>
  </r>
  <r>
    <n v="3717"/>
    <x v="14"/>
    <x v="27"/>
    <x v="1"/>
    <x v="3"/>
    <x v="1"/>
    <x v="7"/>
    <x v="409"/>
    <x v="11"/>
    <n v="0"/>
    <x v="11"/>
    <n v="0"/>
    <x v="8"/>
    <x v="3"/>
  </r>
  <r>
    <n v="4751"/>
    <x v="14"/>
    <x v="1"/>
    <x v="1"/>
    <x v="1"/>
    <x v="0"/>
    <x v="0"/>
    <x v="410"/>
    <x v="8"/>
    <n v="0"/>
    <x v="11"/>
    <n v="0"/>
    <x v="8"/>
    <x v="3"/>
  </r>
  <r>
    <n v="2450"/>
    <x v="14"/>
    <x v="26"/>
    <x v="1"/>
    <x v="2"/>
    <x v="0"/>
    <x v="0"/>
    <x v="411"/>
    <x v="2"/>
    <n v="0"/>
    <x v="11"/>
    <n v="0"/>
    <x v="8"/>
    <x v="3"/>
  </r>
  <r>
    <n v="4116"/>
    <x v="14"/>
    <x v="44"/>
    <x v="0"/>
    <x v="3"/>
    <x v="0"/>
    <x v="0"/>
    <x v="412"/>
    <x v="6"/>
    <n v="0"/>
    <x v="11"/>
    <n v="0"/>
    <x v="8"/>
    <x v="3"/>
  </r>
  <r>
    <n v="4941"/>
    <x v="14"/>
    <x v="48"/>
    <x v="1"/>
    <x v="3"/>
    <x v="0"/>
    <x v="0"/>
    <x v="413"/>
    <x v="10"/>
    <n v="0"/>
    <x v="11"/>
    <n v="0"/>
    <x v="8"/>
    <x v="3"/>
  </r>
  <r>
    <n v="395"/>
    <x v="14"/>
    <x v="8"/>
    <x v="0"/>
    <x v="0"/>
    <x v="0"/>
    <x v="0"/>
    <x v="414"/>
    <x v="8"/>
    <n v="0"/>
    <x v="11"/>
    <n v="0"/>
    <x v="8"/>
    <x v="3"/>
  </r>
  <r>
    <n v="181"/>
    <x v="14"/>
    <x v="0"/>
    <x v="1"/>
    <x v="2"/>
    <x v="3"/>
    <x v="0"/>
    <x v="415"/>
    <x v="5"/>
    <n v="0"/>
    <x v="11"/>
    <n v="0"/>
    <x v="8"/>
    <x v="3"/>
  </r>
  <r>
    <n v="4611"/>
    <x v="14"/>
    <x v="1"/>
    <x v="1"/>
    <x v="2"/>
    <x v="0"/>
    <x v="0"/>
    <x v="416"/>
    <x v="2"/>
    <n v="0"/>
    <x v="11"/>
    <n v="0"/>
    <x v="8"/>
    <x v="3"/>
  </r>
  <r>
    <n v="908"/>
    <x v="14"/>
    <x v="6"/>
    <x v="0"/>
    <x v="1"/>
    <x v="0"/>
    <x v="0"/>
    <x v="417"/>
    <x v="4"/>
    <n v="0"/>
    <x v="11"/>
    <n v="0"/>
    <x v="8"/>
    <x v="3"/>
  </r>
  <r>
    <n v="4253"/>
    <x v="14"/>
    <x v="47"/>
    <x v="0"/>
    <x v="3"/>
    <x v="0"/>
    <x v="0"/>
    <x v="418"/>
    <x v="2"/>
    <n v="0"/>
    <x v="11"/>
    <n v="0"/>
    <x v="8"/>
    <x v="3"/>
  </r>
  <r>
    <n v="2438"/>
    <x v="14"/>
    <x v="11"/>
    <x v="0"/>
    <x v="2"/>
    <x v="0"/>
    <x v="0"/>
    <x v="419"/>
    <x v="11"/>
    <n v="0"/>
    <x v="11"/>
    <n v="0"/>
    <x v="8"/>
    <x v="3"/>
  </r>
  <r>
    <n v="3721"/>
    <x v="14"/>
    <x v="0"/>
    <x v="0"/>
    <x v="2"/>
    <x v="1"/>
    <x v="1"/>
    <x v="420"/>
    <x v="6"/>
    <n v="0"/>
    <x v="11"/>
    <n v="0"/>
    <x v="8"/>
    <x v="3"/>
  </r>
  <r>
    <n v="3441"/>
    <x v="14"/>
    <x v="5"/>
    <x v="0"/>
    <x v="3"/>
    <x v="0"/>
    <x v="0"/>
    <x v="421"/>
    <x v="8"/>
    <n v="0"/>
    <x v="11"/>
    <n v="0"/>
    <x v="8"/>
    <x v="3"/>
  </r>
  <r>
    <n v="2180"/>
    <x v="15"/>
    <x v="11"/>
    <x v="1"/>
    <x v="0"/>
    <x v="2"/>
    <x v="0"/>
    <x v="422"/>
    <x v="1"/>
    <n v="1"/>
    <x v="165"/>
    <n v="6"/>
    <x v="1"/>
    <x v="2"/>
  </r>
  <r>
    <n v="4715"/>
    <x v="15"/>
    <x v="45"/>
    <x v="0"/>
    <x v="2"/>
    <x v="0"/>
    <x v="0"/>
    <x v="423"/>
    <x v="5"/>
    <n v="1"/>
    <x v="166"/>
    <n v="1"/>
    <x v="2"/>
    <x v="0"/>
  </r>
  <r>
    <n v="173"/>
    <x v="15"/>
    <x v="23"/>
    <x v="1"/>
    <x v="1"/>
    <x v="1"/>
    <x v="6"/>
    <x v="424"/>
    <x v="8"/>
    <n v="1"/>
    <x v="167"/>
    <n v="3"/>
    <x v="0"/>
    <x v="2"/>
  </r>
  <r>
    <n v="4661"/>
    <x v="15"/>
    <x v="53"/>
    <x v="1"/>
    <x v="1"/>
    <x v="0"/>
    <x v="0"/>
    <x v="425"/>
    <x v="5"/>
    <n v="1"/>
    <x v="168"/>
    <n v="6"/>
    <x v="6"/>
    <x v="0"/>
  </r>
  <r>
    <n v="1662"/>
    <x v="15"/>
    <x v="0"/>
    <x v="1"/>
    <x v="1"/>
    <x v="0"/>
    <x v="0"/>
    <x v="426"/>
    <x v="6"/>
    <n v="1"/>
    <x v="169"/>
    <n v="3"/>
    <x v="10"/>
    <x v="0"/>
  </r>
  <r>
    <n v="4502"/>
    <x v="15"/>
    <x v="34"/>
    <x v="1"/>
    <x v="2"/>
    <x v="0"/>
    <x v="0"/>
    <x v="427"/>
    <x v="6"/>
    <n v="1"/>
    <x v="170"/>
    <n v="1"/>
    <x v="2"/>
    <x v="2"/>
  </r>
  <r>
    <n v="2062"/>
    <x v="15"/>
    <x v="20"/>
    <x v="0"/>
    <x v="2"/>
    <x v="2"/>
    <x v="0"/>
    <x v="428"/>
    <x v="5"/>
    <n v="1"/>
    <x v="171"/>
    <n v="3"/>
    <x v="1"/>
    <x v="1"/>
  </r>
  <r>
    <n v="275"/>
    <x v="15"/>
    <x v="31"/>
    <x v="1"/>
    <x v="1"/>
    <x v="3"/>
    <x v="0"/>
    <x v="429"/>
    <x v="1"/>
    <n v="1"/>
    <x v="172"/>
    <n v="5"/>
    <x v="13"/>
    <x v="1"/>
  </r>
  <r>
    <n v="4161"/>
    <x v="15"/>
    <x v="14"/>
    <x v="1"/>
    <x v="3"/>
    <x v="0"/>
    <x v="0"/>
    <x v="402"/>
    <x v="1"/>
    <n v="1"/>
    <x v="173"/>
    <n v="2"/>
    <x v="7"/>
    <x v="0"/>
  </r>
  <r>
    <n v="2303"/>
    <x v="15"/>
    <x v="0"/>
    <x v="0"/>
    <x v="3"/>
    <x v="0"/>
    <x v="0"/>
    <x v="430"/>
    <x v="2"/>
    <n v="1"/>
    <x v="174"/>
    <n v="2"/>
    <x v="1"/>
    <x v="2"/>
  </r>
  <r>
    <n v="1432"/>
    <x v="15"/>
    <x v="7"/>
    <x v="0"/>
    <x v="0"/>
    <x v="3"/>
    <x v="0"/>
    <x v="431"/>
    <x v="8"/>
    <n v="1"/>
    <x v="175"/>
    <n v="3"/>
    <x v="13"/>
    <x v="0"/>
  </r>
  <r>
    <n v="2606"/>
    <x v="15"/>
    <x v="19"/>
    <x v="0"/>
    <x v="0"/>
    <x v="0"/>
    <x v="0"/>
    <x v="432"/>
    <x v="6"/>
    <n v="1"/>
    <x v="176"/>
    <n v="2"/>
    <x v="4"/>
    <x v="0"/>
  </r>
  <r>
    <n v="2680"/>
    <x v="15"/>
    <x v="34"/>
    <x v="0"/>
    <x v="1"/>
    <x v="1"/>
    <x v="6"/>
    <x v="433"/>
    <x v="4"/>
    <n v="0"/>
    <x v="11"/>
    <n v="0"/>
    <x v="8"/>
    <x v="3"/>
  </r>
  <r>
    <n v="1378"/>
    <x v="15"/>
    <x v="19"/>
    <x v="0"/>
    <x v="3"/>
    <x v="2"/>
    <x v="0"/>
    <x v="434"/>
    <x v="1"/>
    <n v="0"/>
    <x v="11"/>
    <n v="0"/>
    <x v="8"/>
    <x v="3"/>
  </r>
  <r>
    <n v="1793"/>
    <x v="15"/>
    <x v="0"/>
    <x v="1"/>
    <x v="1"/>
    <x v="2"/>
    <x v="0"/>
    <x v="435"/>
    <x v="1"/>
    <n v="0"/>
    <x v="11"/>
    <n v="0"/>
    <x v="8"/>
    <x v="3"/>
  </r>
  <r>
    <n v="1094"/>
    <x v="15"/>
    <x v="34"/>
    <x v="0"/>
    <x v="3"/>
    <x v="0"/>
    <x v="0"/>
    <x v="436"/>
    <x v="8"/>
    <n v="0"/>
    <x v="11"/>
    <n v="0"/>
    <x v="8"/>
    <x v="3"/>
  </r>
  <r>
    <n v="2270"/>
    <x v="15"/>
    <x v="11"/>
    <x v="0"/>
    <x v="1"/>
    <x v="1"/>
    <x v="2"/>
    <x v="437"/>
    <x v="5"/>
    <n v="0"/>
    <x v="11"/>
    <n v="0"/>
    <x v="8"/>
    <x v="3"/>
  </r>
  <r>
    <n v="4737"/>
    <x v="15"/>
    <x v="32"/>
    <x v="0"/>
    <x v="3"/>
    <x v="2"/>
    <x v="0"/>
    <x v="438"/>
    <x v="2"/>
    <n v="0"/>
    <x v="11"/>
    <n v="0"/>
    <x v="8"/>
    <x v="3"/>
  </r>
  <r>
    <n v="2294"/>
    <x v="15"/>
    <x v="17"/>
    <x v="1"/>
    <x v="2"/>
    <x v="2"/>
    <x v="0"/>
    <x v="439"/>
    <x v="6"/>
    <n v="0"/>
    <x v="11"/>
    <n v="0"/>
    <x v="8"/>
    <x v="3"/>
  </r>
  <r>
    <n v="3907"/>
    <x v="15"/>
    <x v="17"/>
    <x v="1"/>
    <x v="2"/>
    <x v="3"/>
    <x v="0"/>
    <x v="440"/>
    <x v="6"/>
    <n v="0"/>
    <x v="11"/>
    <n v="0"/>
    <x v="8"/>
    <x v="3"/>
  </r>
  <r>
    <n v="3185"/>
    <x v="15"/>
    <x v="26"/>
    <x v="1"/>
    <x v="3"/>
    <x v="0"/>
    <x v="0"/>
    <x v="441"/>
    <x v="8"/>
    <n v="0"/>
    <x v="11"/>
    <n v="0"/>
    <x v="8"/>
    <x v="3"/>
  </r>
  <r>
    <n v="4375"/>
    <x v="15"/>
    <x v="29"/>
    <x v="1"/>
    <x v="0"/>
    <x v="1"/>
    <x v="2"/>
    <x v="114"/>
    <x v="11"/>
    <n v="0"/>
    <x v="11"/>
    <n v="0"/>
    <x v="8"/>
    <x v="3"/>
  </r>
  <r>
    <n v="307"/>
    <x v="15"/>
    <x v="6"/>
    <x v="0"/>
    <x v="2"/>
    <x v="1"/>
    <x v="4"/>
    <x v="442"/>
    <x v="5"/>
    <n v="0"/>
    <x v="11"/>
    <n v="0"/>
    <x v="8"/>
    <x v="3"/>
  </r>
  <r>
    <n v="571"/>
    <x v="15"/>
    <x v="4"/>
    <x v="0"/>
    <x v="1"/>
    <x v="2"/>
    <x v="0"/>
    <x v="195"/>
    <x v="9"/>
    <n v="0"/>
    <x v="11"/>
    <n v="0"/>
    <x v="8"/>
    <x v="3"/>
  </r>
  <r>
    <n v="4814"/>
    <x v="15"/>
    <x v="36"/>
    <x v="0"/>
    <x v="1"/>
    <x v="1"/>
    <x v="4"/>
    <x v="443"/>
    <x v="2"/>
    <n v="0"/>
    <x v="11"/>
    <n v="0"/>
    <x v="8"/>
    <x v="3"/>
  </r>
  <r>
    <n v="633"/>
    <x v="15"/>
    <x v="2"/>
    <x v="1"/>
    <x v="3"/>
    <x v="1"/>
    <x v="2"/>
    <x v="444"/>
    <x v="5"/>
    <n v="0"/>
    <x v="11"/>
    <n v="0"/>
    <x v="8"/>
    <x v="3"/>
  </r>
  <r>
    <n v="28"/>
    <x v="15"/>
    <x v="20"/>
    <x v="1"/>
    <x v="1"/>
    <x v="1"/>
    <x v="6"/>
    <x v="445"/>
    <x v="1"/>
    <n v="0"/>
    <x v="11"/>
    <n v="0"/>
    <x v="8"/>
    <x v="3"/>
  </r>
  <r>
    <n v="4320"/>
    <x v="15"/>
    <x v="9"/>
    <x v="0"/>
    <x v="0"/>
    <x v="0"/>
    <x v="0"/>
    <x v="446"/>
    <x v="6"/>
    <n v="0"/>
    <x v="11"/>
    <n v="0"/>
    <x v="8"/>
    <x v="3"/>
  </r>
  <r>
    <n v="3221"/>
    <x v="15"/>
    <x v="13"/>
    <x v="0"/>
    <x v="1"/>
    <x v="0"/>
    <x v="0"/>
    <x v="302"/>
    <x v="0"/>
    <n v="0"/>
    <x v="11"/>
    <n v="0"/>
    <x v="8"/>
    <x v="3"/>
  </r>
  <r>
    <n v="2947"/>
    <x v="15"/>
    <x v="0"/>
    <x v="1"/>
    <x v="2"/>
    <x v="0"/>
    <x v="0"/>
    <x v="447"/>
    <x v="6"/>
    <n v="0"/>
    <x v="11"/>
    <n v="0"/>
    <x v="8"/>
    <x v="3"/>
  </r>
  <r>
    <n v="2495"/>
    <x v="15"/>
    <x v="22"/>
    <x v="0"/>
    <x v="0"/>
    <x v="0"/>
    <x v="0"/>
    <x v="304"/>
    <x v="4"/>
    <n v="0"/>
    <x v="11"/>
    <n v="0"/>
    <x v="8"/>
    <x v="3"/>
  </r>
  <r>
    <n v="1338"/>
    <x v="16"/>
    <x v="7"/>
    <x v="1"/>
    <x v="3"/>
    <x v="1"/>
    <x v="1"/>
    <x v="448"/>
    <x v="8"/>
    <n v="1"/>
    <x v="177"/>
    <n v="2"/>
    <x v="13"/>
    <x v="0"/>
  </r>
  <r>
    <n v="1154"/>
    <x v="16"/>
    <x v="10"/>
    <x v="0"/>
    <x v="1"/>
    <x v="0"/>
    <x v="0"/>
    <x v="449"/>
    <x v="2"/>
    <n v="1"/>
    <x v="178"/>
    <n v="2"/>
    <x v="6"/>
    <x v="0"/>
  </r>
  <r>
    <n v="4558"/>
    <x v="16"/>
    <x v="50"/>
    <x v="0"/>
    <x v="0"/>
    <x v="1"/>
    <x v="5"/>
    <x v="450"/>
    <x v="6"/>
    <n v="1"/>
    <x v="179"/>
    <n v="2"/>
    <x v="14"/>
    <x v="0"/>
  </r>
  <r>
    <n v="1135"/>
    <x v="16"/>
    <x v="7"/>
    <x v="0"/>
    <x v="3"/>
    <x v="0"/>
    <x v="0"/>
    <x v="451"/>
    <x v="6"/>
    <n v="1"/>
    <x v="180"/>
    <n v="3"/>
    <x v="14"/>
    <x v="0"/>
  </r>
  <r>
    <n v="1207"/>
    <x v="16"/>
    <x v="16"/>
    <x v="1"/>
    <x v="3"/>
    <x v="1"/>
    <x v="2"/>
    <x v="452"/>
    <x v="2"/>
    <n v="1"/>
    <x v="181"/>
    <n v="4"/>
    <x v="15"/>
    <x v="0"/>
  </r>
  <r>
    <n v="1143"/>
    <x v="16"/>
    <x v="0"/>
    <x v="0"/>
    <x v="0"/>
    <x v="2"/>
    <x v="0"/>
    <x v="453"/>
    <x v="4"/>
    <n v="0"/>
    <x v="11"/>
    <n v="0"/>
    <x v="8"/>
    <x v="3"/>
  </r>
  <r>
    <n v="4075"/>
    <x v="16"/>
    <x v="17"/>
    <x v="0"/>
    <x v="1"/>
    <x v="1"/>
    <x v="3"/>
    <x v="454"/>
    <x v="5"/>
    <n v="0"/>
    <x v="11"/>
    <n v="0"/>
    <x v="8"/>
    <x v="3"/>
  </r>
  <r>
    <n v="2770"/>
    <x v="16"/>
    <x v="45"/>
    <x v="0"/>
    <x v="2"/>
    <x v="1"/>
    <x v="6"/>
    <x v="455"/>
    <x v="6"/>
    <n v="0"/>
    <x v="11"/>
    <n v="0"/>
    <x v="8"/>
    <x v="3"/>
  </r>
  <r>
    <n v="1450"/>
    <x v="16"/>
    <x v="24"/>
    <x v="1"/>
    <x v="3"/>
    <x v="0"/>
    <x v="0"/>
    <x v="456"/>
    <x v="0"/>
    <n v="0"/>
    <x v="11"/>
    <n v="0"/>
    <x v="8"/>
    <x v="3"/>
  </r>
  <r>
    <n v="648"/>
    <x v="16"/>
    <x v="18"/>
    <x v="1"/>
    <x v="0"/>
    <x v="1"/>
    <x v="5"/>
    <x v="457"/>
    <x v="0"/>
    <n v="0"/>
    <x v="11"/>
    <n v="0"/>
    <x v="8"/>
    <x v="3"/>
  </r>
  <r>
    <n v="4127"/>
    <x v="16"/>
    <x v="28"/>
    <x v="0"/>
    <x v="2"/>
    <x v="0"/>
    <x v="0"/>
    <x v="458"/>
    <x v="6"/>
    <n v="0"/>
    <x v="11"/>
    <n v="0"/>
    <x v="8"/>
    <x v="3"/>
  </r>
  <r>
    <n v="1078"/>
    <x v="16"/>
    <x v="6"/>
    <x v="0"/>
    <x v="3"/>
    <x v="1"/>
    <x v="4"/>
    <x v="459"/>
    <x v="8"/>
    <n v="0"/>
    <x v="11"/>
    <n v="0"/>
    <x v="8"/>
    <x v="3"/>
  </r>
  <r>
    <n v="710"/>
    <x v="16"/>
    <x v="19"/>
    <x v="0"/>
    <x v="0"/>
    <x v="1"/>
    <x v="4"/>
    <x v="460"/>
    <x v="5"/>
    <n v="0"/>
    <x v="11"/>
    <n v="0"/>
    <x v="8"/>
    <x v="3"/>
  </r>
  <r>
    <n v="4626"/>
    <x v="16"/>
    <x v="1"/>
    <x v="1"/>
    <x v="1"/>
    <x v="2"/>
    <x v="0"/>
    <x v="461"/>
    <x v="5"/>
    <n v="0"/>
    <x v="11"/>
    <n v="0"/>
    <x v="8"/>
    <x v="3"/>
  </r>
  <r>
    <n v="2664"/>
    <x v="16"/>
    <x v="2"/>
    <x v="0"/>
    <x v="2"/>
    <x v="0"/>
    <x v="0"/>
    <x v="462"/>
    <x v="10"/>
    <n v="0"/>
    <x v="11"/>
    <n v="0"/>
    <x v="8"/>
    <x v="3"/>
  </r>
  <r>
    <n v="1538"/>
    <x v="16"/>
    <x v="0"/>
    <x v="0"/>
    <x v="2"/>
    <x v="1"/>
    <x v="3"/>
    <x v="463"/>
    <x v="7"/>
    <n v="0"/>
    <x v="11"/>
    <n v="0"/>
    <x v="8"/>
    <x v="3"/>
  </r>
  <r>
    <n v="2347"/>
    <x v="16"/>
    <x v="44"/>
    <x v="1"/>
    <x v="3"/>
    <x v="0"/>
    <x v="0"/>
    <x v="464"/>
    <x v="5"/>
    <n v="0"/>
    <x v="11"/>
    <n v="0"/>
    <x v="8"/>
    <x v="3"/>
  </r>
  <r>
    <n v="4009"/>
    <x v="16"/>
    <x v="11"/>
    <x v="0"/>
    <x v="1"/>
    <x v="0"/>
    <x v="0"/>
    <x v="465"/>
    <x v="4"/>
    <n v="0"/>
    <x v="11"/>
    <n v="0"/>
    <x v="8"/>
    <x v="3"/>
  </r>
  <r>
    <n v="3702"/>
    <x v="16"/>
    <x v="26"/>
    <x v="1"/>
    <x v="2"/>
    <x v="0"/>
    <x v="0"/>
    <x v="466"/>
    <x v="1"/>
    <n v="0"/>
    <x v="11"/>
    <n v="0"/>
    <x v="8"/>
    <x v="3"/>
  </r>
  <r>
    <n v="4679"/>
    <x v="16"/>
    <x v="43"/>
    <x v="0"/>
    <x v="2"/>
    <x v="0"/>
    <x v="0"/>
    <x v="9"/>
    <x v="1"/>
    <n v="0"/>
    <x v="11"/>
    <n v="0"/>
    <x v="8"/>
    <x v="3"/>
  </r>
  <r>
    <n v="2588"/>
    <x v="16"/>
    <x v="16"/>
    <x v="0"/>
    <x v="1"/>
    <x v="1"/>
    <x v="5"/>
    <x v="467"/>
    <x v="6"/>
    <n v="0"/>
    <x v="11"/>
    <n v="0"/>
    <x v="8"/>
    <x v="3"/>
  </r>
  <r>
    <n v="4183"/>
    <x v="16"/>
    <x v="44"/>
    <x v="1"/>
    <x v="0"/>
    <x v="1"/>
    <x v="4"/>
    <x v="468"/>
    <x v="4"/>
    <n v="0"/>
    <x v="11"/>
    <n v="0"/>
    <x v="8"/>
    <x v="3"/>
  </r>
  <r>
    <n v="1218"/>
    <x v="16"/>
    <x v="39"/>
    <x v="0"/>
    <x v="0"/>
    <x v="0"/>
    <x v="0"/>
    <x v="469"/>
    <x v="11"/>
    <n v="0"/>
    <x v="11"/>
    <n v="0"/>
    <x v="8"/>
    <x v="3"/>
  </r>
  <r>
    <n v="1794"/>
    <x v="16"/>
    <x v="23"/>
    <x v="1"/>
    <x v="1"/>
    <x v="0"/>
    <x v="0"/>
    <x v="470"/>
    <x v="8"/>
    <n v="0"/>
    <x v="11"/>
    <n v="0"/>
    <x v="8"/>
    <x v="3"/>
  </r>
  <r>
    <n v="3086"/>
    <x v="16"/>
    <x v="24"/>
    <x v="1"/>
    <x v="0"/>
    <x v="2"/>
    <x v="0"/>
    <x v="471"/>
    <x v="4"/>
    <n v="0"/>
    <x v="11"/>
    <n v="0"/>
    <x v="8"/>
    <x v="3"/>
  </r>
  <r>
    <n v="374"/>
    <x v="16"/>
    <x v="0"/>
    <x v="0"/>
    <x v="2"/>
    <x v="2"/>
    <x v="0"/>
    <x v="472"/>
    <x v="6"/>
    <n v="0"/>
    <x v="11"/>
    <n v="0"/>
    <x v="8"/>
    <x v="3"/>
  </r>
  <r>
    <n v="3283"/>
    <x v="17"/>
    <x v="26"/>
    <x v="1"/>
    <x v="3"/>
    <x v="3"/>
    <x v="0"/>
    <x v="145"/>
    <x v="11"/>
    <n v="1"/>
    <x v="182"/>
    <n v="4"/>
    <x v="3"/>
    <x v="1"/>
  </r>
  <r>
    <n v="2658"/>
    <x v="17"/>
    <x v="30"/>
    <x v="0"/>
    <x v="1"/>
    <x v="3"/>
    <x v="0"/>
    <x v="473"/>
    <x v="0"/>
    <n v="1"/>
    <x v="183"/>
    <n v="2"/>
    <x v="12"/>
    <x v="0"/>
  </r>
  <r>
    <n v="250"/>
    <x v="17"/>
    <x v="24"/>
    <x v="0"/>
    <x v="1"/>
    <x v="0"/>
    <x v="0"/>
    <x v="474"/>
    <x v="4"/>
    <n v="1"/>
    <x v="184"/>
    <n v="2"/>
    <x v="0"/>
    <x v="0"/>
  </r>
  <r>
    <n v="4049"/>
    <x v="17"/>
    <x v="51"/>
    <x v="0"/>
    <x v="1"/>
    <x v="1"/>
    <x v="4"/>
    <x v="475"/>
    <x v="1"/>
    <n v="1"/>
    <x v="185"/>
    <n v="5"/>
    <x v="7"/>
    <x v="0"/>
  </r>
  <r>
    <n v="337"/>
    <x v="17"/>
    <x v="7"/>
    <x v="0"/>
    <x v="1"/>
    <x v="2"/>
    <x v="0"/>
    <x v="476"/>
    <x v="8"/>
    <n v="1"/>
    <x v="186"/>
    <n v="2"/>
    <x v="6"/>
    <x v="2"/>
  </r>
  <r>
    <n v="552"/>
    <x v="17"/>
    <x v="10"/>
    <x v="1"/>
    <x v="3"/>
    <x v="0"/>
    <x v="0"/>
    <x v="477"/>
    <x v="8"/>
    <n v="1"/>
    <x v="187"/>
    <n v="5"/>
    <x v="6"/>
    <x v="1"/>
  </r>
  <r>
    <n v="1373"/>
    <x v="17"/>
    <x v="4"/>
    <x v="1"/>
    <x v="1"/>
    <x v="1"/>
    <x v="4"/>
    <x v="478"/>
    <x v="2"/>
    <n v="0"/>
    <x v="11"/>
    <n v="0"/>
    <x v="8"/>
    <x v="3"/>
  </r>
  <r>
    <n v="2882"/>
    <x v="17"/>
    <x v="13"/>
    <x v="1"/>
    <x v="1"/>
    <x v="1"/>
    <x v="4"/>
    <x v="479"/>
    <x v="5"/>
    <n v="0"/>
    <x v="11"/>
    <n v="0"/>
    <x v="8"/>
    <x v="3"/>
  </r>
  <r>
    <n v="1149"/>
    <x v="17"/>
    <x v="8"/>
    <x v="1"/>
    <x v="2"/>
    <x v="1"/>
    <x v="2"/>
    <x v="477"/>
    <x v="5"/>
    <n v="0"/>
    <x v="11"/>
    <n v="0"/>
    <x v="8"/>
    <x v="3"/>
  </r>
  <r>
    <n v="4812"/>
    <x v="17"/>
    <x v="45"/>
    <x v="0"/>
    <x v="2"/>
    <x v="0"/>
    <x v="0"/>
    <x v="480"/>
    <x v="0"/>
    <n v="0"/>
    <x v="11"/>
    <n v="0"/>
    <x v="8"/>
    <x v="3"/>
  </r>
  <r>
    <n v="253"/>
    <x v="17"/>
    <x v="8"/>
    <x v="1"/>
    <x v="1"/>
    <x v="2"/>
    <x v="0"/>
    <x v="481"/>
    <x v="11"/>
    <n v="0"/>
    <x v="11"/>
    <n v="0"/>
    <x v="8"/>
    <x v="3"/>
  </r>
  <r>
    <n v="4158"/>
    <x v="17"/>
    <x v="25"/>
    <x v="0"/>
    <x v="0"/>
    <x v="0"/>
    <x v="0"/>
    <x v="482"/>
    <x v="6"/>
    <n v="0"/>
    <x v="11"/>
    <n v="0"/>
    <x v="8"/>
    <x v="3"/>
  </r>
  <r>
    <n v="2234"/>
    <x v="17"/>
    <x v="23"/>
    <x v="0"/>
    <x v="3"/>
    <x v="1"/>
    <x v="5"/>
    <x v="483"/>
    <x v="6"/>
    <n v="0"/>
    <x v="11"/>
    <n v="0"/>
    <x v="8"/>
    <x v="3"/>
  </r>
  <r>
    <n v="3515"/>
    <x v="17"/>
    <x v="19"/>
    <x v="0"/>
    <x v="2"/>
    <x v="1"/>
    <x v="6"/>
    <x v="484"/>
    <x v="6"/>
    <n v="0"/>
    <x v="11"/>
    <n v="0"/>
    <x v="8"/>
    <x v="3"/>
  </r>
  <r>
    <n v="2785"/>
    <x v="17"/>
    <x v="16"/>
    <x v="1"/>
    <x v="0"/>
    <x v="3"/>
    <x v="0"/>
    <x v="485"/>
    <x v="0"/>
    <n v="0"/>
    <x v="11"/>
    <n v="0"/>
    <x v="8"/>
    <x v="3"/>
  </r>
  <r>
    <n v="2507"/>
    <x v="17"/>
    <x v="8"/>
    <x v="0"/>
    <x v="3"/>
    <x v="3"/>
    <x v="0"/>
    <x v="486"/>
    <x v="2"/>
    <n v="0"/>
    <x v="11"/>
    <n v="0"/>
    <x v="8"/>
    <x v="3"/>
  </r>
  <r>
    <n v="1666"/>
    <x v="17"/>
    <x v="10"/>
    <x v="0"/>
    <x v="3"/>
    <x v="0"/>
    <x v="0"/>
    <x v="487"/>
    <x v="5"/>
    <n v="0"/>
    <x v="11"/>
    <n v="0"/>
    <x v="8"/>
    <x v="3"/>
  </r>
  <r>
    <n v="1137"/>
    <x v="17"/>
    <x v="6"/>
    <x v="0"/>
    <x v="1"/>
    <x v="1"/>
    <x v="1"/>
    <x v="488"/>
    <x v="4"/>
    <n v="0"/>
    <x v="11"/>
    <n v="0"/>
    <x v="8"/>
    <x v="3"/>
  </r>
  <r>
    <n v="2041"/>
    <x v="17"/>
    <x v="47"/>
    <x v="0"/>
    <x v="0"/>
    <x v="0"/>
    <x v="0"/>
    <x v="489"/>
    <x v="5"/>
    <n v="0"/>
    <x v="11"/>
    <n v="0"/>
    <x v="8"/>
    <x v="3"/>
  </r>
  <r>
    <n v="2019"/>
    <x v="18"/>
    <x v="19"/>
    <x v="1"/>
    <x v="2"/>
    <x v="0"/>
    <x v="0"/>
    <x v="490"/>
    <x v="2"/>
    <n v="1"/>
    <x v="188"/>
    <n v="3"/>
    <x v="0"/>
    <x v="1"/>
  </r>
  <r>
    <n v="2686"/>
    <x v="18"/>
    <x v="44"/>
    <x v="1"/>
    <x v="2"/>
    <x v="1"/>
    <x v="6"/>
    <x v="491"/>
    <x v="5"/>
    <n v="1"/>
    <x v="189"/>
    <n v="2"/>
    <x v="12"/>
    <x v="0"/>
  </r>
  <r>
    <n v="2709"/>
    <x v="18"/>
    <x v="34"/>
    <x v="0"/>
    <x v="3"/>
    <x v="2"/>
    <x v="0"/>
    <x v="492"/>
    <x v="2"/>
    <n v="1"/>
    <x v="190"/>
    <n v="3"/>
    <x v="13"/>
    <x v="0"/>
  </r>
  <r>
    <n v="3471"/>
    <x v="18"/>
    <x v="23"/>
    <x v="1"/>
    <x v="0"/>
    <x v="1"/>
    <x v="3"/>
    <x v="399"/>
    <x v="2"/>
    <n v="1"/>
    <x v="191"/>
    <n v="5"/>
    <x v="0"/>
    <x v="2"/>
  </r>
  <r>
    <n v="3264"/>
    <x v="18"/>
    <x v="11"/>
    <x v="0"/>
    <x v="2"/>
    <x v="1"/>
    <x v="1"/>
    <x v="493"/>
    <x v="2"/>
    <n v="1"/>
    <x v="192"/>
    <n v="1"/>
    <x v="2"/>
    <x v="2"/>
  </r>
  <r>
    <n v="3690"/>
    <x v="18"/>
    <x v="19"/>
    <x v="0"/>
    <x v="1"/>
    <x v="1"/>
    <x v="4"/>
    <x v="494"/>
    <x v="8"/>
    <n v="1"/>
    <x v="193"/>
    <n v="3"/>
    <x v="9"/>
    <x v="2"/>
  </r>
  <r>
    <n v="2704"/>
    <x v="18"/>
    <x v="30"/>
    <x v="0"/>
    <x v="2"/>
    <x v="1"/>
    <x v="7"/>
    <x v="495"/>
    <x v="5"/>
    <n v="1"/>
    <x v="194"/>
    <n v="1"/>
    <x v="14"/>
    <x v="0"/>
  </r>
  <r>
    <n v="641"/>
    <x v="18"/>
    <x v="7"/>
    <x v="0"/>
    <x v="2"/>
    <x v="0"/>
    <x v="0"/>
    <x v="496"/>
    <x v="8"/>
    <n v="0"/>
    <x v="11"/>
    <n v="0"/>
    <x v="8"/>
    <x v="3"/>
  </r>
  <r>
    <n v="2213"/>
    <x v="18"/>
    <x v="27"/>
    <x v="0"/>
    <x v="2"/>
    <x v="0"/>
    <x v="0"/>
    <x v="497"/>
    <x v="2"/>
    <n v="0"/>
    <x v="11"/>
    <n v="0"/>
    <x v="8"/>
    <x v="3"/>
  </r>
  <r>
    <n v="1814"/>
    <x v="18"/>
    <x v="6"/>
    <x v="2"/>
    <x v="2"/>
    <x v="1"/>
    <x v="4"/>
    <x v="498"/>
    <x v="8"/>
    <n v="0"/>
    <x v="11"/>
    <n v="0"/>
    <x v="8"/>
    <x v="3"/>
  </r>
  <r>
    <n v="372"/>
    <x v="18"/>
    <x v="6"/>
    <x v="1"/>
    <x v="1"/>
    <x v="0"/>
    <x v="0"/>
    <x v="499"/>
    <x v="11"/>
    <n v="0"/>
    <x v="11"/>
    <n v="0"/>
    <x v="8"/>
    <x v="3"/>
  </r>
  <r>
    <n v="1514"/>
    <x v="18"/>
    <x v="5"/>
    <x v="1"/>
    <x v="1"/>
    <x v="1"/>
    <x v="4"/>
    <x v="272"/>
    <x v="1"/>
    <n v="0"/>
    <x v="11"/>
    <n v="0"/>
    <x v="8"/>
    <x v="3"/>
  </r>
  <r>
    <n v="883"/>
    <x v="18"/>
    <x v="7"/>
    <x v="0"/>
    <x v="1"/>
    <x v="1"/>
    <x v="6"/>
    <x v="500"/>
    <x v="8"/>
    <n v="0"/>
    <x v="11"/>
    <n v="0"/>
    <x v="8"/>
    <x v="3"/>
  </r>
  <r>
    <n v="3162"/>
    <x v="18"/>
    <x v="23"/>
    <x v="0"/>
    <x v="3"/>
    <x v="0"/>
    <x v="0"/>
    <x v="501"/>
    <x v="2"/>
    <n v="0"/>
    <x v="11"/>
    <n v="0"/>
    <x v="8"/>
    <x v="3"/>
  </r>
  <r>
    <n v="1050"/>
    <x v="18"/>
    <x v="19"/>
    <x v="0"/>
    <x v="0"/>
    <x v="2"/>
    <x v="0"/>
    <x v="502"/>
    <x v="0"/>
    <n v="0"/>
    <x v="11"/>
    <n v="0"/>
    <x v="8"/>
    <x v="3"/>
  </r>
  <r>
    <n v="795"/>
    <x v="18"/>
    <x v="2"/>
    <x v="0"/>
    <x v="1"/>
    <x v="3"/>
    <x v="0"/>
    <x v="503"/>
    <x v="0"/>
    <n v="0"/>
    <x v="11"/>
    <n v="0"/>
    <x v="8"/>
    <x v="3"/>
  </r>
  <r>
    <n v="11"/>
    <x v="18"/>
    <x v="11"/>
    <x v="1"/>
    <x v="2"/>
    <x v="0"/>
    <x v="0"/>
    <x v="504"/>
    <x v="6"/>
    <n v="0"/>
    <x v="11"/>
    <n v="0"/>
    <x v="8"/>
    <x v="3"/>
  </r>
  <r>
    <n v="3224"/>
    <x v="18"/>
    <x v="31"/>
    <x v="0"/>
    <x v="1"/>
    <x v="3"/>
    <x v="0"/>
    <x v="505"/>
    <x v="1"/>
    <n v="0"/>
    <x v="11"/>
    <n v="0"/>
    <x v="8"/>
    <x v="3"/>
  </r>
  <r>
    <n v="1203"/>
    <x v="18"/>
    <x v="0"/>
    <x v="0"/>
    <x v="1"/>
    <x v="1"/>
    <x v="3"/>
    <x v="506"/>
    <x v="8"/>
    <n v="0"/>
    <x v="11"/>
    <n v="0"/>
    <x v="8"/>
    <x v="3"/>
  </r>
  <r>
    <n v="2517"/>
    <x v="18"/>
    <x v="16"/>
    <x v="0"/>
    <x v="3"/>
    <x v="3"/>
    <x v="0"/>
    <x v="507"/>
    <x v="8"/>
    <n v="0"/>
    <x v="11"/>
    <n v="0"/>
    <x v="8"/>
    <x v="3"/>
  </r>
  <r>
    <n v="4327"/>
    <x v="18"/>
    <x v="43"/>
    <x v="0"/>
    <x v="1"/>
    <x v="3"/>
    <x v="0"/>
    <x v="508"/>
    <x v="2"/>
    <n v="0"/>
    <x v="11"/>
    <n v="0"/>
    <x v="8"/>
    <x v="3"/>
  </r>
  <r>
    <n v="1074"/>
    <x v="18"/>
    <x v="4"/>
    <x v="0"/>
    <x v="3"/>
    <x v="0"/>
    <x v="0"/>
    <x v="509"/>
    <x v="10"/>
    <n v="0"/>
    <x v="11"/>
    <n v="0"/>
    <x v="8"/>
    <x v="3"/>
  </r>
  <r>
    <n v="937"/>
    <x v="18"/>
    <x v="4"/>
    <x v="1"/>
    <x v="3"/>
    <x v="0"/>
    <x v="0"/>
    <x v="510"/>
    <x v="8"/>
    <n v="0"/>
    <x v="11"/>
    <n v="0"/>
    <x v="8"/>
    <x v="3"/>
  </r>
  <r>
    <n v="4552"/>
    <x v="18"/>
    <x v="3"/>
    <x v="1"/>
    <x v="2"/>
    <x v="3"/>
    <x v="0"/>
    <x v="354"/>
    <x v="2"/>
    <n v="0"/>
    <x v="11"/>
    <n v="0"/>
    <x v="8"/>
    <x v="3"/>
  </r>
  <r>
    <n v="4235"/>
    <x v="18"/>
    <x v="35"/>
    <x v="1"/>
    <x v="0"/>
    <x v="0"/>
    <x v="0"/>
    <x v="511"/>
    <x v="8"/>
    <n v="0"/>
    <x v="11"/>
    <n v="0"/>
    <x v="8"/>
    <x v="3"/>
  </r>
  <r>
    <n v="1747"/>
    <x v="18"/>
    <x v="39"/>
    <x v="1"/>
    <x v="2"/>
    <x v="3"/>
    <x v="0"/>
    <x v="512"/>
    <x v="2"/>
    <n v="0"/>
    <x v="11"/>
    <n v="0"/>
    <x v="8"/>
    <x v="3"/>
  </r>
  <r>
    <n v="4659"/>
    <x v="19"/>
    <x v="45"/>
    <x v="1"/>
    <x v="3"/>
    <x v="0"/>
    <x v="0"/>
    <x v="513"/>
    <x v="0"/>
    <n v="1"/>
    <x v="195"/>
    <n v="2"/>
    <x v="12"/>
    <x v="1"/>
  </r>
  <r>
    <n v="4804"/>
    <x v="19"/>
    <x v="17"/>
    <x v="1"/>
    <x v="3"/>
    <x v="0"/>
    <x v="0"/>
    <x v="514"/>
    <x v="8"/>
    <n v="1"/>
    <x v="196"/>
    <n v="5"/>
    <x v="5"/>
    <x v="0"/>
  </r>
  <r>
    <n v="4230"/>
    <x v="19"/>
    <x v="36"/>
    <x v="0"/>
    <x v="0"/>
    <x v="0"/>
    <x v="0"/>
    <x v="515"/>
    <x v="5"/>
    <n v="1"/>
    <x v="197"/>
    <n v="1"/>
    <x v="12"/>
    <x v="0"/>
  </r>
  <r>
    <n v="3203"/>
    <x v="19"/>
    <x v="34"/>
    <x v="1"/>
    <x v="2"/>
    <x v="2"/>
    <x v="0"/>
    <x v="516"/>
    <x v="0"/>
    <n v="1"/>
    <x v="198"/>
    <n v="2"/>
    <x v="10"/>
    <x v="0"/>
  </r>
  <r>
    <n v="2800"/>
    <x v="19"/>
    <x v="5"/>
    <x v="0"/>
    <x v="1"/>
    <x v="1"/>
    <x v="7"/>
    <x v="517"/>
    <x v="2"/>
    <n v="0"/>
    <x v="11"/>
    <n v="0"/>
    <x v="8"/>
    <x v="3"/>
  </r>
  <r>
    <n v="856"/>
    <x v="19"/>
    <x v="8"/>
    <x v="1"/>
    <x v="0"/>
    <x v="0"/>
    <x v="0"/>
    <x v="518"/>
    <x v="2"/>
    <n v="0"/>
    <x v="11"/>
    <n v="0"/>
    <x v="8"/>
    <x v="3"/>
  </r>
  <r>
    <n v="1601"/>
    <x v="19"/>
    <x v="20"/>
    <x v="0"/>
    <x v="2"/>
    <x v="0"/>
    <x v="0"/>
    <x v="519"/>
    <x v="2"/>
    <n v="0"/>
    <x v="11"/>
    <n v="0"/>
    <x v="8"/>
    <x v="3"/>
  </r>
  <r>
    <n v="2853"/>
    <x v="19"/>
    <x v="23"/>
    <x v="1"/>
    <x v="1"/>
    <x v="1"/>
    <x v="3"/>
    <x v="520"/>
    <x v="2"/>
    <n v="0"/>
    <x v="11"/>
    <n v="0"/>
    <x v="8"/>
    <x v="3"/>
  </r>
  <r>
    <n v="3369"/>
    <x v="19"/>
    <x v="20"/>
    <x v="1"/>
    <x v="1"/>
    <x v="0"/>
    <x v="0"/>
    <x v="521"/>
    <x v="5"/>
    <n v="0"/>
    <x v="11"/>
    <n v="0"/>
    <x v="8"/>
    <x v="3"/>
  </r>
  <r>
    <n v="3756"/>
    <x v="19"/>
    <x v="11"/>
    <x v="0"/>
    <x v="0"/>
    <x v="0"/>
    <x v="0"/>
    <x v="522"/>
    <x v="2"/>
    <n v="0"/>
    <x v="11"/>
    <n v="0"/>
    <x v="8"/>
    <x v="3"/>
  </r>
  <r>
    <n v="599"/>
    <x v="19"/>
    <x v="18"/>
    <x v="1"/>
    <x v="2"/>
    <x v="0"/>
    <x v="0"/>
    <x v="523"/>
    <x v="10"/>
    <n v="0"/>
    <x v="11"/>
    <n v="0"/>
    <x v="8"/>
    <x v="3"/>
  </r>
  <r>
    <n v="4747"/>
    <x v="19"/>
    <x v="49"/>
    <x v="0"/>
    <x v="0"/>
    <x v="1"/>
    <x v="6"/>
    <x v="524"/>
    <x v="6"/>
    <n v="0"/>
    <x v="11"/>
    <n v="0"/>
    <x v="8"/>
    <x v="3"/>
  </r>
  <r>
    <n v="4014"/>
    <x v="19"/>
    <x v="38"/>
    <x v="1"/>
    <x v="0"/>
    <x v="0"/>
    <x v="0"/>
    <x v="525"/>
    <x v="5"/>
    <n v="0"/>
    <x v="11"/>
    <n v="0"/>
    <x v="8"/>
    <x v="3"/>
  </r>
  <r>
    <n v="4856"/>
    <x v="19"/>
    <x v="40"/>
    <x v="0"/>
    <x v="2"/>
    <x v="0"/>
    <x v="0"/>
    <x v="526"/>
    <x v="4"/>
    <n v="0"/>
    <x v="11"/>
    <n v="0"/>
    <x v="8"/>
    <x v="3"/>
  </r>
  <r>
    <n v="1681"/>
    <x v="20"/>
    <x v="18"/>
    <x v="1"/>
    <x v="0"/>
    <x v="0"/>
    <x v="0"/>
    <x v="527"/>
    <x v="6"/>
    <n v="1"/>
    <x v="199"/>
    <n v="3"/>
    <x v="14"/>
    <x v="2"/>
  </r>
  <r>
    <n v="2158"/>
    <x v="20"/>
    <x v="16"/>
    <x v="1"/>
    <x v="2"/>
    <x v="3"/>
    <x v="0"/>
    <x v="528"/>
    <x v="6"/>
    <n v="1"/>
    <x v="200"/>
    <n v="1"/>
    <x v="15"/>
    <x v="0"/>
  </r>
  <r>
    <n v="3918"/>
    <x v="20"/>
    <x v="1"/>
    <x v="0"/>
    <x v="0"/>
    <x v="0"/>
    <x v="0"/>
    <x v="529"/>
    <x v="5"/>
    <n v="1"/>
    <x v="201"/>
    <n v="4"/>
    <x v="10"/>
    <x v="0"/>
  </r>
  <r>
    <n v="2396"/>
    <x v="20"/>
    <x v="20"/>
    <x v="1"/>
    <x v="1"/>
    <x v="0"/>
    <x v="0"/>
    <x v="530"/>
    <x v="6"/>
    <n v="1"/>
    <x v="202"/>
    <n v="2"/>
    <x v="10"/>
    <x v="1"/>
  </r>
  <r>
    <n v="2754"/>
    <x v="20"/>
    <x v="24"/>
    <x v="1"/>
    <x v="2"/>
    <x v="0"/>
    <x v="0"/>
    <x v="531"/>
    <x v="0"/>
    <n v="1"/>
    <x v="203"/>
    <n v="3"/>
    <x v="12"/>
    <x v="1"/>
  </r>
  <r>
    <n v="2962"/>
    <x v="20"/>
    <x v="20"/>
    <x v="1"/>
    <x v="2"/>
    <x v="0"/>
    <x v="0"/>
    <x v="532"/>
    <x v="5"/>
    <n v="1"/>
    <x v="204"/>
    <n v="5"/>
    <x v="0"/>
    <x v="2"/>
  </r>
  <r>
    <n v="2551"/>
    <x v="20"/>
    <x v="17"/>
    <x v="1"/>
    <x v="2"/>
    <x v="3"/>
    <x v="0"/>
    <x v="533"/>
    <x v="10"/>
    <n v="1"/>
    <x v="205"/>
    <n v="4"/>
    <x v="1"/>
    <x v="0"/>
  </r>
  <r>
    <n v="3048"/>
    <x v="20"/>
    <x v="26"/>
    <x v="1"/>
    <x v="0"/>
    <x v="1"/>
    <x v="7"/>
    <x v="534"/>
    <x v="8"/>
    <n v="1"/>
    <x v="206"/>
    <n v="5"/>
    <x v="7"/>
    <x v="0"/>
  </r>
  <r>
    <n v="570"/>
    <x v="20"/>
    <x v="0"/>
    <x v="0"/>
    <x v="2"/>
    <x v="0"/>
    <x v="0"/>
    <x v="535"/>
    <x v="5"/>
    <n v="1"/>
    <x v="207"/>
    <n v="5"/>
    <x v="10"/>
    <x v="1"/>
  </r>
  <r>
    <n v="784"/>
    <x v="20"/>
    <x v="8"/>
    <x v="1"/>
    <x v="2"/>
    <x v="0"/>
    <x v="0"/>
    <x v="536"/>
    <x v="1"/>
    <n v="1"/>
    <x v="208"/>
    <n v="2"/>
    <x v="13"/>
    <x v="2"/>
  </r>
  <r>
    <n v="3695"/>
    <x v="20"/>
    <x v="24"/>
    <x v="1"/>
    <x v="2"/>
    <x v="3"/>
    <x v="0"/>
    <x v="537"/>
    <x v="8"/>
    <n v="1"/>
    <x v="209"/>
    <n v="1"/>
    <x v="12"/>
    <x v="0"/>
  </r>
  <r>
    <n v="827"/>
    <x v="20"/>
    <x v="0"/>
    <x v="0"/>
    <x v="0"/>
    <x v="3"/>
    <x v="0"/>
    <x v="538"/>
    <x v="2"/>
    <n v="1"/>
    <x v="210"/>
    <n v="2"/>
    <x v="0"/>
    <x v="1"/>
  </r>
  <r>
    <n v="4437"/>
    <x v="20"/>
    <x v="12"/>
    <x v="0"/>
    <x v="3"/>
    <x v="0"/>
    <x v="0"/>
    <x v="539"/>
    <x v="5"/>
    <n v="1"/>
    <x v="211"/>
    <n v="1"/>
    <x v="7"/>
    <x v="0"/>
  </r>
  <r>
    <n v="1142"/>
    <x v="20"/>
    <x v="18"/>
    <x v="1"/>
    <x v="1"/>
    <x v="0"/>
    <x v="0"/>
    <x v="540"/>
    <x v="11"/>
    <n v="1"/>
    <x v="212"/>
    <n v="5"/>
    <x v="12"/>
    <x v="1"/>
  </r>
  <r>
    <n v="1632"/>
    <x v="20"/>
    <x v="10"/>
    <x v="0"/>
    <x v="0"/>
    <x v="0"/>
    <x v="0"/>
    <x v="541"/>
    <x v="2"/>
    <n v="0"/>
    <x v="11"/>
    <n v="0"/>
    <x v="8"/>
    <x v="3"/>
  </r>
  <r>
    <n v="1347"/>
    <x v="20"/>
    <x v="4"/>
    <x v="0"/>
    <x v="2"/>
    <x v="0"/>
    <x v="0"/>
    <x v="542"/>
    <x v="4"/>
    <n v="0"/>
    <x v="11"/>
    <n v="0"/>
    <x v="8"/>
    <x v="3"/>
  </r>
  <r>
    <n v="4721"/>
    <x v="20"/>
    <x v="12"/>
    <x v="0"/>
    <x v="3"/>
    <x v="0"/>
    <x v="0"/>
    <x v="543"/>
    <x v="5"/>
    <n v="0"/>
    <x v="11"/>
    <n v="0"/>
    <x v="8"/>
    <x v="3"/>
  </r>
  <r>
    <n v="196"/>
    <x v="20"/>
    <x v="6"/>
    <x v="0"/>
    <x v="3"/>
    <x v="0"/>
    <x v="0"/>
    <x v="544"/>
    <x v="5"/>
    <n v="0"/>
    <x v="11"/>
    <n v="0"/>
    <x v="8"/>
    <x v="3"/>
  </r>
  <r>
    <n v="4770"/>
    <x v="20"/>
    <x v="14"/>
    <x v="1"/>
    <x v="1"/>
    <x v="3"/>
    <x v="0"/>
    <x v="545"/>
    <x v="8"/>
    <n v="0"/>
    <x v="11"/>
    <n v="0"/>
    <x v="8"/>
    <x v="3"/>
  </r>
  <r>
    <n v="2017"/>
    <x v="20"/>
    <x v="20"/>
    <x v="0"/>
    <x v="0"/>
    <x v="1"/>
    <x v="7"/>
    <x v="546"/>
    <x v="2"/>
    <n v="0"/>
    <x v="11"/>
    <n v="0"/>
    <x v="8"/>
    <x v="3"/>
  </r>
  <r>
    <n v="2713"/>
    <x v="20"/>
    <x v="20"/>
    <x v="1"/>
    <x v="0"/>
    <x v="0"/>
    <x v="0"/>
    <x v="284"/>
    <x v="2"/>
    <n v="0"/>
    <x v="11"/>
    <n v="0"/>
    <x v="8"/>
    <x v="3"/>
  </r>
  <r>
    <n v="2454"/>
    <x v="20"/>
    <x v="27"/>
    <x v="1"/>
    <x v="2"/>
    <x v="0"/>
    <x v="0"/>
    <x v="547"/>
    <x v="0"/>
    <n v="0"/>
    <x v="11"/>
    <n v="0"/>
    <x v="8"/>
    <x v="3"/>
  </r>
  <r>
    <n v="828"/>
    <x v="20"/>
    <x v="16"/>
    <x v="0"/>
    <x v="1"/>
    <x v="1"/>
    <x v="5"/>
    <x v="548"/>
    <x v="4"/>
    <n v="0"/>
    <x v="11"/>
    <n v="0"/>
    <x v="8"/>
    <x v="3"/>
  </r>
  <r>
    <n v="4738"/>
    <x v="20"/>
    <x v="31"/>
    <x v="0"/>
    <x v="0"/>
    <x v="0"/>
    <x v="0"/>
    <x v="549"/>
    <x v="0"/>
    <n v="0"/>
    <x v="11"/>
    <n v="0"/>
    <x v="8"/>
    <x v="3"/>
  </r>
  <r>
    <n v="594"/>
    <x v="20"/>
    <x v="4"/>
    <x v="2"/>
    <x v="0"/>
    <x v="0"/>
    <x v="0"/>
    <x v="550"/>
    <x v="10"/>
    <n v="0"/>
    <x v="11"/>
    <n v="0"/>
    <x v="8"/>
    <x v="3"/>
  </r>
  <r>
    <n v="1193"/>
    <x v="20"/>
    <x v="8"/>
    <x v="1"/>
    <x v="2"/>
    <x v="1"/>
    <x v="2"/>
    <x v="551"/>
    <x v="0"/>
    <n v="0"/>
    <x v="11"/>
    <n v="0"/>
    <x v="8"/>
    <x v="3"/>
  </r>
  <r>
    <n v="1805"/>
    <x v="20"/>
    <x v="5"/>
    <x v="0"/>
    <x v="2"/>
    <x v="0"/>
    <x v="0"/>
    <x v="552"/>
    <x v="5"/>
    <n v="0"/>
    <x v="11"/>
    <n v="0"/>
    <x v="8"/>
    <x v="3"/>
  </r>
  <r>
    <n v="3808"/>
    <x v="20"/>
    <x v="54"/>
    <x v="0"/>
    <x v="2"/>
    <x v="0"/>
    <x v="0"/>
    <x v="553"/>
    <x v="1"/>
    <n v="0"/>
    <x v="11"/>
    <n v="0"/>
    <x v="8"/>
    <x v="3"/>
  </r>
  <r>
    <n v="2310"/>
    <x v="20"/>
    <x v="5"/>
    <x v="0"/>
    <x v="0"/>
    <x v="0"/>
    <x v="0"/>
    <x v="554"/>
    <x v="8"/>
    <n v="0"/>
    <x v="11"/>
    <n v="0"/>
    <x v="8"/>
    <x v="3"/>
  </r>
  <r>
    <n v="2036"/>
    <x v="20"/>
    <x v="41"/>
    <x v="2"/>
    <x v="2"/>
    <x v="0"/>
    <x v="0"/>
    <x v="555"/>
    <x v="5"/>
    <n v="0"/>
    <x v="11"/>
    <n v="0"/>
    <x v="8"/>
    <x v="3"/>
  </r>
  <r>
    <n v="4289"/>
    <x v="20"/>
    <x v="28"/>
    <x v="1"/>
    <x v="0"/>
    <x v="0"/>
    <x v="0"/>
    <x v="556"/>
    <x v="4"/>
    <n v="0"/>
    <x v="11"/>
    <n v="0"/>
    <x v="8"/>
    <x v="3"/>
  </r>
  <r>
    <n v="715"/>
    <x v="20"/>
    <x v="10"/>
    <x v="0"/>
    <x v="1"/>
    <x v="1"/>
    <x v="2"/>
    <x v="557"/>
    <x v="13"/>
    <n v="0"/>
    <x v="11"/>
    <n v="0"/>
    <x v="8"/>
    <x v="3"/>
  </r>
  <r>
    <n v="1946"/>
    <x v="21"/>
    <x v="19"/>
    <x v="1"/>
    <x v="2"/>
    <x v="0"/>
    <x v="0"/>
    <x v="558"/>
    <x v="6"/>
    <n v="1"/>
    <x v="213"/>
    <n v="1"/>
    <x v="5"/>
    <x v="1"/>
  </r>
  <r>
    <n v="4694"/>
    <x v="21"/>
    <x v="33"/>
    <x v="1"/>
    <x v="0"/>
    <x v="0"/>
    <x v="0"/>
    <x v="559"/>
    <x v="11"/>
    <n v="1"/>
    <x v="214"/>
    <n v="6"/>
    <x v="2"/>
    <x v="0"/>
  </r>
  <r>
    <n v="957"/>
    <x v="21"/>
    <x v="19"/>
    <x v="1"/>
    <x v="1"/>
    <x v="1"/>
    <x v="3"/>
    <x v="560"/>
    <x v="8"/>
    <n v="1"/>
    <x v="215"/>
    <n v="2"/>
    <x v="0"/>
    <x v="2"/>
  </r>
  <r>
    <n v="48"/>
    <x v="21"/>
    <x v="2"/>
    <x v="1"/>
    <x v="1"/>
    <x v="0"/>
    <x v="0"/>
    <x v="561"/>
    <x v="2"/>
    <n v="1"/>
    <x v="216"/>
    <n v="2"/>
    <x v="11"/>
    <x v="0"/>
  </r>
  <r>
    <n v="1790"/>
    <x v="21"/>
    <x v="26"/>
    <x v="1"/>
    <x v="1"/>
    <x v="0"/>
    <x v="0"/>
    <x v="518"/>
    <x v="2"/>
    <n v="1"/>
    <x v="217"/>
    <n v="2"/>
    <x v="14"/>
    <x v="0"/>
  </r>
  <r>
    <n v="2696"/>
    <x v="21"/>
    <x v="7"/>
    <x v="0"/>
    <x v="1"/>
    <x v="3"/>
    <x v="0"/>
    <x v="42"/>
    <x v="5"/>
    <n v="1"/>
    <x v="218"/>
    <n v="4"/>
    <x v="14"/>
    <x v="0"/>
  </r>
  <r>
    <n v="3231"/>
    <x v="21"/>
    <x v="31"/>
    <x v="1"/>
    <x v="3"/>
    <x v="1"/>
    <x v="2"/>
    <x v="562"/>
    <x v="0"/>
    <n v="1"/>
    <x v="219"/>
    <n v="3"/>
    <x v="7"/>
    <x v="1"/>
  </r>
  <r>
    <n v="2712"/>
    <x v="21"/>
    <x v="33"/>
    <x v="0"/>
    <x v="0"/>
    <x v="0"/>
    <x v="0"/>
    <x v="563"/>
    <x v="1"/>
    <n v="1"/>
    <x v="220"/>
    <n v="1"/>
    <x v="1"/>
    <x v="1"/>
  </r>
  <r>
    <n v="4542"/>
    <x v="21"/>
    <x v="34"/>
    <x v="0"/>
    <x v="3"/>
    <x v="0"/>
    <x v="0"/>
    <x v="564"/>
    <x v="8"/>
    <n v="1"/>
    <x v="221"/>
    <n v="2"/>
    <x v="4"/>
    <x v="0"/>
  </r>
  <r>
    <n v="1286"/>
    <x v="21"/>
    <x v="6"/>
    <x v="1"/>
    <x v="0"/>
    <x v="2"/>
    <x v="0"/>
    <x v="565"/>
    <x v="2"/>
    <n v="1"/>
    <x v="222"/>
    <n v="1"/>
    <x v="1"/>
    <x v="2"/>
  </r>
  <r>
    <n v="3040"/>
    <x v="21"/>
    <x v="14"/>
    <x v="1"/>
    <x v="3"/>
    <x v="1"/>
    <x v="5"/>
    <x v="566"/>
    <x v="1"/>
    <n v="1"/>
    <x v="223"/>
    <n v="1"/>
    <x v="14"/>
    <x v="0"/>
  </r>
  <r>
    <n v="4402"/>
    <x v="21"/>
    <x v="34"/>
    <x v="0"/>
    <x v="1"/>
    <x v="2"/>
    <x v="0"/>
    <x v="567"/>
    <x v="2"/>
    <n v="1"/>
    <x v="224"/>
    <n v="4"/>
    <x v="14"/>
    <x v="0"/>
  </r>
  <r>
    <n v="549"/>
    <x v="21"/>
    <x v="6"/>
    <x v="2"/>
    <x v="2"/>
    <x v="1"/>
    <x v="1"/>
    <x v="568"/>
    <x v="5"/>
    <n v="1"/>
    <x v="50"/>
    <n v="5"/>
    <x v="14"/>
    <x v="0"/>
  </r>
  <r>
    <n v="3328"/>
    <x v="21"/>
    <x v="19"/>
    <x v="1"/>
    <x v="1"/>
    <x v="0"/>
    <x v="0"/>
    <x v="569"/>
    <x v="2"/>
    <n v="0"/>
    <x v="11"/>
    <n v="0"/>
    <x v="8"/>
    <x v="3"/>
  </r>
  <r>
    <n v="1643"/>
    <x v="21"/>
    <x v="20"/>
    <x v="0"/>
    <x v="2"/>
    <x v="0"/>
    <x v="0"/>
    <x v="570"/>
    <x v="2"/>
    <n v="0"/>
    <x v="11"/>
    <n v="0"/>
    <x v="8"/>
    <x v="3"/>
  </r>
  <r>
    <n v="264"/>
    <x v="21"/>
    <x v="4"/>
    <x v="1"/>
    <x v="3"/>
    <x v="0"/>
    <x v="0"/>
    <x v="393"/>
    <x v="1"/>
    <n v="0"/>
    <x v="11"/>
    <n v="0"/>
    <x v="8"/>
    <x v="3"/>
  </r>
  <r>
    <n v="816"/>
    <x v="21"/>
    <x v="20"/>
    <x v="1"/>
    <x v="2"/>
    <x v="0"/>
    <x v="0"/>
    <x v="571"/>
    <x v="5"/>
    <n v="0"/>
    <x v="11"/>
    <n v="0"/>
    <x v="8"/>
    <x v="3"/>
  </r>
  <r>
    <n v="2701"/>
    <x v="21"/>
    <x v="19"/>
    <x v="0"/>
    <x v="2"/>
    <x v="3"/>
    <x v="0"/>
    <x v="572"/>
    <x v="0"/>
    <n v="0"/>
    <x v="11"/>
    <n v="0"/>
    <x v="8"/>
    <x v="3"/>
  </r>
  <r>
    <n v="2805"/>
    <x v="21"/>
    <x v="6"/>
    <x v="1"/>
    <x v="3"/>
    <x v="0"/>
    <x v="0"/>
    <x v="573"/>
    <x v="5"/>
    <n v="0"/>
    <x v="11"/>
    <n v="0"/>
    <x v="8"/>
    <x v="3"/>
  </r>
  <r>
    <n v="2072"/>
    <x v="21"/>
    <x v="3"/>
    <x v="1"/>
    <x v="0"/>
    <x v="3"/>
    <x v="0"/>
    <x v="574"/>
    <x v="0"/>
    <n v="0"/>
    <x v="11"/>
    <n v="0"/>
    <x v="8"/>
    <x v="3"/>
  </r>
  <r>
    <n v="551"/>
    <x v="21"/>
    <x v="4"/>
    <x v="0"/>
    <x v="1"/>
    <x v="1"/>
    <x v="7"/>
    <x v="575"/>
    <x v="2"/>
    <n v="0"/>
    <x v="11"/>
    <n v="0"/>
    <x v="8"/>
    <x v="3"/>
  </r>
  <r>
    <n v="1394"/>
    <x v="21"/>
    <x v="10"/>
    <x v="0"/>
    <x v="0"/>
    <x v="0"/>
    <x v="0"/>
    <x v="576"/>
    <x v="5"/>
    <n v="0"/>
    <x v="11"/>
    <n v="0"/>
    <x v="8"/>
    <x v="3"/>
  </r>
  <r>
    <n v="3139"/>
    <x v="21"/>
    <x v="33"/>
    <x v="1"/>
    <x v="0"/>
    <x v="1"/>
    <x v="3"/>
    <x v="458"/>
    <x v="2"/>
    <n v="0"/>
    <x v="11"/>
    <n v="0"/>
    <x v="8"/>
    <x v="3"/>
  </r>
  <r>
    <n v="137"/>
    <x v="21"/>
    <x v="10"/>
    <x v="1"/>
    <x v="1"/>
    <x v="1"/>
    <x v="5"/>
    <x v="577"/>
    <x v="5"/>
    <n v="0"/>
    <x v="11"/>
    <n v="0"/>
    <x v="8"/>
    <x v="3"/>
  </r>
  <r>
    <n v="2594"/>
    <x v="21"/>
    <x v="43"/>
    <x v="1"/>
    <x v="0"/>
    <x v="0"/>
    <x v="0"/>
    <x v="578"/>
    <x v="4"/>
    <n v="0"/>
    <x v="11"/>
    <n v="0"/>
    <x v="8"/>
    <x v="3"/>
  </r>
  <r>
    <n v="1501"/>
    <x v="21"/>
    <x v="2"/>
    <x v="0"/>
    <x v="2"/>
    <x v="1"/>
    <x v="5"/>
    <x v="579"/>
    <x v="1"/>
    <n v="0"/>
    <x v="11"/>
    <n v="0"/>
    <x v="8"/>
    <x v="3"/>
  </r>
  <r>
    <n v="1974"/>
    <x v="21"/>
    <x v="19"/>
    <x v="0"/>
    <x v="2"/>
    <x v="1"/>
    <x v="3"/>
    <x v="580"/>
    <x v="2"/>
    <n v="0"/>
    <x v="11"/>
    <n v="0"/>
    <x v="8"/>
    <x v="3"/>
  </r>
  <r>
    <n v="2246"/>
    <x v="21"/>
    <x v="3"/>
    <x v="0"/>
    <x v="2"/>
    <x v="0"/>
    <x v="0"/>
    <x v="581"/>
    <x v="2"/>
    <n v="0"/>
    <x v="11"/>
    <n v="0"/>
    <x v="8"/>
    <x v="3"/>
  </r>
  <r>
    <n v="1606"/>
    <x v="21"/>
    <x v="6"/>
    <x v="1"/>
    <x v="1"/>
    <x v="1"/>
    <x v="1"/>
    <x v="582"/>
    <x v="8"/>
    <n v="0"/>
    <x v="11"/>
    <n v="0"/>
    <x v="8"/>
    <x v="3"/>
  </r>
  <r>
    <n v="4517"/>
    <x v="21"/>
    <x v="27"/>
    <x v="1"/>
    <x v="2"/>
    <x v="1"/>
    <x v="6"/>
    <x v="583"/>
    <x v="6"/>
    <n v="0"/>
    <x v="11"/>
    <n v="0"/>
    <x v="8"/>
    <x v="3"/>
  </r>
  <r>
    <n v="2257"/>
    <x v="21"/>
    <x v="23"/>
    <x v="1"/>
    <x v="1"/>
    <x v="1"/>
    <x v="6"/>
    <x v="584"/>
    <x v="6"/>
    <n v="0"/>
    <x v="11"/>
    <n v="0"/>
    <x v="8"/>
    <x v="3"/>
  </r>
  <r>
    <n v="2867"/>
    <x v="21"/>
    <x v="5"/>
    <x v="0"/>
    <x v="1"/>
    <x v="3"/>
    <x v="0"/>
    <x v="585"/>
    <x v="11"/>
    <n v="0"/>
    <x v="11"/>
    <n v="0"/>
    <x v="8"/>
    <x v="3"/>
  </r>
  <r>
    <n v="4462"/>
    <x v="21"/>
    <x v="29"/>
    <x v="0"/>
    <x v="2"/>
    <x v="2"/>
    <x v="0"/>
    <x v="586"/>
    <x v="4"/>
    <n v="0"/>
    <x v="11"/>
    <n v="0"/>
    <x v="8"/>
    <x v="3"/>
  </r>
  <r>
    <n v="3180"/>
    <x v="22"/>
    <x v="19"/>
    <x v="1"/>
    <x v="0"/>
    <x v="3"/>
    <x v="0"/>
    <x v="587"/>
    <x v="2"/>
    <n v="1"/>
    <x v="225"/>
    <n v="4"/>
    <x v="14"/>
    <x v="0"/>
  </r>
  <r>
    <n v="505"/>
    <x v="22"/>
    <x v="2"/>
    <x v="0"/>
    <x v="2"/>
    <x v="1"/>
    <x v="2"/>
    <x v="588"/>
    <x v="2"/>
    <n v="1"/>
    <x v="226"/>
    <n v="2"/>
    <x v="14"/>
    <x v="0"/>
  </r>
  <r>
    <n v="2411"/>
    <x v="22"/>
    <x v="22"/>
    <x v="1"/>
    <x v="2"/>
    <x v="0"/>
    <x v="0"/>
    <x v="589"/>
    <x v="5"/>
    <n v="1"/>
    <x v="227"/>
    <n v="1"/>
    <x v="4"/>
    <x v="0"/>
  </r>
  <r>
    <n v="3840"/>
    <x v="22"/>
    <x v="48"/>
    <x v="1"/>
    <x v="3"/>
    <x v="1"/>
    <x v="4"/>
    <x v="590"/>
    <x v="5"/>
    <n v="1"/>
    <x v="228"/>
    <n v="5"/>
    <x v="15"/>
    <x v="0"/>
  </r>
  <r>
    <n v="2171"/>
    <x v="22"/>
    <x v="13"/>
    <x v="0"/>
    <x v="2"/>
    <x v="2"/>
    <x v="0"/>
    <x v="591"/>
    <x v="4"/>
    <n v="1"/>
    <x v="229"/>
    <n v="7"/>
    <x v="11"/>
    <x v="0"/>
  </r>
  <r>
    <n v="3270"/>
    <x v="22"/>
    <x v="5"/>
    <x v="2"/>
    <x v="1"/>
    <x v="1"/>
    <x v="4"/>
    <x v="592"/>
    <x v="8"/>
    <n v="1"/>
    <x v="230"/>
    <n v="3"/>
    <x v="13"/>
    <x v="0"/>
  </r>
  <r>
    <n v="987"/>
    <x v="22"/>
    <x v="39"/>
    <x v="0"/>
    <x v="1"/>
    <x v="2"/>
    <x v="0"/>
    <x v="593"/>
    <x v="7"/>
    <n v="1"/>
    <x v="231"/>
    <n v="3"/>
    <x v="4"/>
    <x v="1"/>
  </r>
  <r>
    <n v="4406"/>
    <x v="22"/>
    <x v="21"/>
    <x v="1"/>
    <x v="1"/>
    <x v="0"/>
    <x v="0"/>
    <x v="594"/>
    <x v="8"/>
    <n v="0"/>
    <x v="11"/>
    <n v="0"/>
    <x v="8"/>
    <x v="3"/>
  </r>
  <r>
    <n v="1777"/>
    <x v="22"/>
    <x v="13"/>
    <x v="0"/>
    <x v="0"/>
    <x v="1"/>
    <x v="7"/>
    <x v="595"/>
    <x v="8"/>
    <n v="0"/>
    <x v="11"/>
    <n v="0"/>
    <x v="8"/>
    <x v="3"/>
  </r>
  <r>
    <n v="1187"/>
    <x v="22"/>
    <x v="24"/>
    <x v="0"/>
    <x v="1"/>
    <x v="0"/>
    <x v="0"/>
    <x v="596"/>
    <x v="8"/>
    <n v="0"/>
    <x v="11"/>
    <n v="0"/>
    <x v="8"/>
    <x v="3"/>
  </r>
  <r>
    <n v="2334"/>
    <x v="22"/>
    <x v="11"/>
    <x v="1"/>
    <x v="2"/>
    <x v="3"/>
    <x v="0"/>
    <x v="597"/>
    <x v="10"/>
    <n v="0"/>
    <x v="11"/>
    <n v="0"/>
    <x v="8"/>
    <x v="3"/>
  </r>
  <r>
    <n v="1881"/>
    <x v="22"/>
    <x v="24"/>
    <x v="1"/>
    <x v="3"/>
    <x v="2"/>
    <x v="0"/>
    <x v="598"/>
    <x v="8"/>
    <n v="0"/>
    <x v="11"/>
    <n v="0"/>
    <x v="8"/>
    <x v="3"/>
  </r>
  <r>
    <n v="2628"/>
    <x v="22"/>
    <x v="14"/>
    <x v="1"/>
    <x v="2"/>
    <x v="2"/>
    <x v="0"/>
    <x v="599"/>
    <x v="6"/>
    <n v="0"/>
    <x v="11"/>
    <n v="0"/>
    <x v="8"/>
    <x v="3"/>
  </r>
  <r>
    <n v="4888"/>
    <x v="22"/>
    <x v="33"/>
    <x v="0"/>
    <x v="1"/>
    <x v="1"/>
    <x v="7"/>
    <x v="600"/>
    <x v="8"/>
    <n v="0"/>
    <x v="11"/>
    <n v="0"/>
    <x v="8"/>
    <x v="3"/>
  </r>
  <r>
    <n v="39"/>
    <x v="22"/>
    <x v="5"/>
    <x v="1"/>
    <x v="0"/>
    <x v="1"/>
    <x v="1"/>
    <x v="601"/>
    <x v="4"/>
    <n v="0"/>
    <x v="11"/>
    <n v="0"/>
    <x v="8"/>
    <x v="3"/>
  </r>
  <r>
    <n v="2390"/>
    <x v="22"/>
    <x v="22"/>
    <x v="0"/>
    <x v="2"/>
    <x v="2"/>
    <x v="0"/>
    <x v="602"/>
    <x v="9"/>
    <n v="0"/>
    <x v="11"/>
    <n v="0"/>
    <x v="8"/>
    <x v="3"/>
  </r>
  <r>
    <n v="1255"/>
    <x v="22"/>
    <x v="0"/>
    <x v="0"/>
    <x v="1"/>
    <x v="0"/>
    <x v="0"/>
    <x v="603"/>
    <x v="2"/>
    <n v="0"/>
    <x v="11"/>
    <n v="0"/>
    <x v="8"/>
    <x v="3"/>
  </r>
  <r>
    <n v="3929"/>
    <x v="22"/>
    <x v="46"/>
    <x v="0"/>
    <x v="3"/>
    <x v="3"/>
    <x v="0"/>
    <x v="604"/>
    <x v="2"/>
    <n v="0"/>
    <x v="11"/>
    <n v="0"/>
    <x v="8"/>
    <x v="3"/>
  </r>
  <r>
    <n v="2519"/>
    <x v="22"/>
    <x v="5"/>
    <x v="0"/>
    <x v="3"/>
    <x v="2"/>
    <x v="0"/>
    <x v="605"/>
    <x v="5"/>
    <n v="0"/>
    <x v="11"/>
    <n v="0"/>
    <x v="8"/>
    <x v="3"/>
  </r>
  <r>
    <n v="3023"/>
    <x v="22"/>
    <x v="34"/>
    <x v="2"/>
    <x v="1"/>
    <x v="1"/>
    <x v="3"/>
    <x v="606"/>
    <x v="2"/>
    <n v="0"/>
    <x v="11"/>
    <n v="0"/>
    <x v="8"/>
    <x v="3"/>
  </r>
  <r>
    <n v="352"/>
    <x v="23"/>
    <x v="22"/>
    <x v="1"/>
    <x v="2"/>
    <x v="1"/>
    <x v="2"/>
    <x v="607"/>
    <x v="6"/>
    <n v="1"/>
    <x v="232"/>
    <n v="4"/>
    <x v="4"/>
    <x v="0"/>
  </r>
  <r>
    <n v="2208"/>
    <x v="23"/>
    <x v="34"/>
    <x v="0"/>
    <x v="2"/>
    <x v="1"/>
    <x v="3"/>
    <x v="608"/>
    <x v="8"/>
    <n v="1"/>
    <x v="233"/>
    <n v="3"/>
    <x v="6"/>
    <x v="1"/>
  </r>
  <r>
    <n v="3584"/>
    <x v="23"/>
    <x v="16"/>
    <x v="1"/>
    <x v="0"/>
    <x v="3"/>
    <x v="0"/>
    <x v="609"/>
    <x v="8"/>
    <n v="1"/>
    <x v="22"/>
    <n v="3"/>
    <x v="13"/>
    <x v="2"/>
  </r>
  <r>
    <n v="2140"/>
    <x v="23"/>
    <x v="33"/>
    <x v="0"/>
    <x v="3"/>
    <x v="0"/>
    <x v="0"/>
    <x v="278"/>
    <x v="8"/>
    <n v="1"/>
    <x v="234"/>
    <n v="4"/>
    <x v="11"/>
    <x v="2"/>
  </r>
  <r>
    <n v="4621"/>
    <x v="23"/>
    <x v="40"/>
    <x v="1"/>
    <x v="3"/>
    <x v="2"/>
    <x v="0"/>
    <x v="610"/>
    <x v="2"/>
    <n v="1"/>
    <x v="235"/>
    <n v="2"/>
    <x v="12"/>
    <x v="0"/>
  </r>
  <r>
    <n v="4767"/>
    <x v="23"/>
    <x v="54"/>
    <x v="1"/>
    <x v="0"/>
    <x v="3"/>
    <x v="0"/>
    <x v="611"/>
    <x v="11"/>
    <n v="1"/>
    <x v="236"/>
    <n v="2"/>
    <x v="0"/>
    <x v="0"/>
  </r>
  <r>
    <n v="2174"/>
    <x v="23"/>
    <x v="6"/>
    <x v="0"/>
    <x v="3"/>
    <x v="0"/>
    <x v="0"/>
    <x v="612"/>
    <x v="15"/>
    <n v="1"/>
    <x v="237"/>
    <n v="3"/>
    <x v="6"/>
    <x v="2"/>
  </r>
  <r>
    <n v="4643"/>
    <x v="23"/>
    <x v="44"/>
    <x v="1"/>
    <x v="3"/>
    <x v="0"/>
    <x v="0"/>
    <x v="613"/>
    <x v="1"/>
    <n v="1"/>
    <x v="238"/>
    <n v="2"/>
    <x v="5"/>
    <x v="2"/>
  </r>
  <r>
    <n v="2382"/>
    <x v="23"/>
    <x v="14"/>
    <x v="1"/>
    <x v="2"/>
    <x v="0"/>
    <x v="0"/>
    <x v="614"/>
    <x v="1"/>
    <n v="0"/>
    <x v="11"/>
    <n v="0"/>
    <x v="8"/>
    <x v="3"/>
  </r>
  <r>
    <n v="2107"/>
    <x v="23"/>
    <x v="22"/>
    <x v="0"/>
    <x v="0"/>
    <x v="0"/>
    <x v="0"/>
    <x v="615"/>
    <x v="1"/>
    <n v="0"/>
    <x v="11"/>
    <n v="0"/>
    <x v="8"/>
    <x v="3"/>
  </r>
  <r>
    <n v="3207"/>
    <x v="23"/>
    <x v="45"/>
    <x v="1"/>
    <x v="3"/>
    <x v="0"/>
    <x v="0"/>
    <x v="616"/>
    <x v="5"/>
    <n v="0"/>
    <x v="11"/>
    <n v="0"/>
    <x v="8"/>
    <x v="3"/>
  </r>
  <r>
    <n v="4620"/>
    <x v="23"/>
    <x v="15"/>
    <x v="0"/>
    <x v="2"/>
    <x v="0"/>
    <x v="0"/>
    <x v="617"/>
    <x v="8"/>
    <n v="0"/>
    <x v="11"/>
    <n v="0"/>
    <x v="8"/>
    <x v="3"/>
  </r>
  <r>
    <n v="2045"/>
    <x v="23"/>
    <x v="16"/>
    <x v="0"/>
    <x v="3"/>
    <x v="0"/>
    <x v="0"/>
    <x v="618"/>
    <x v="0"/>
    <n v="0"/>
    <x v="11"/>
    <n v="0"/>
    <x v="8"/>
    <x v="3"/>
  </r>
  <r>
    <n v="2245"/>
    <x v="23"/>
    <x v="33"/>
    <x v="0"/>
    <x v="2"/>
    <x v="2"/>
    <x v="0"/>
    <x v="483"/>
    <x v="0"/>
    <n v="0"/>
    <x v="11"/>
    <n v="0"/>
    <x v="8"/>
    <x v="3"/>
  </r>
  <r>
    <n v="128"/>
    <x v="23"/>
    <x v="0"/>
    <x v="1"/>
    <x v="0"/>
    <x v="0"/>
    <x v="0"/>
    <x v="619"/>
    <x v="2"/>
    <n v="0"/>
    <x v="11"/>
    <n v="0"/>
    <x v="8"/>
    <x v="3"/>
  </r>
  <r>
    <n v="3407"/>
    <x v="23"/>
    <x v="19"/>
    <x v="1"/>
    <x v="2"/>
    <x v="2"/>
    <x v="0"/>
    <x v="620"/>
    <x v="0"/>
    <n v="0"/>
    <x v="11"/>
    <n v="0"/>
    <x v="8"/>
    <x v="3"/>
  </r>
  <r>
    <n v="4810"/>
    <x v="23"/>
    <x v="1"/>
    <x v="1"/>
    <x v="1"/>
    <x v="0"/>
    <x v="0"/>
    <x v="621"/>
    <x v="1"/>
    <n v="0"/>
    <x v="11"/>
    <n v="0"/>
    <x v="8"/>
    <x v="3"/>
  </r>
  <r>
    <n v="2965"/>
    <x v="23"/>
    <x v="24"/>
    <x v="0"/>
    <x v="2"/>
    <x v="0"/>
    <x v="0"/>
    <x v="622"/>
    <x v="6"/>
    <n v="0"/>
    <x v="11"/>
    <n v="0"/>
    <x v="8"/>
    <x v="3"/>
  </r>
  <r>
    <n v="397"/>
    <x v="23"/>
    <x v="8"/>
    <x v="0"/>
    <x v="0"/>
    <x v="0"/>
    <x v="0"/>
    <x v="623"/>
    <x v="8"/>
    <n v="0"/>
    <x v="11"/>
    <n v="0"/>
    <x v="8"/>
    <x v="3"/>
  </r>
  <r>
    <n v="3204"/>
    <x v="23"/>
    <x v="13"/>
    <x v="0"/>
    <x v="2"/>
    <x v="1"/>
    <x v="5"/>
    <x v="624"/>
    <x v="8"/>
    <n v="0"/>
    <x v="11"/>
    <n v="0"/>
    <x v="8"/>
    <x v="3"/>
  </r>
  <r>
    <n v="892"/>
    <x v="23"/>
    <x v="19"/>
    <x v="2"/>
    <x v="1"/>
    <x v="1"/>
    <x v="2"/>
    <x v="182"/>
    <x v="8"/>
    <n v="0"/>
    <x v="11"/>
    <n v="0"/>
    <x v="8"/>
    <x v="3"/>
  </r>
  <r>
    <n v="1272"/>
    <x v="23"/>
    <x v="6"/>
    <x v="0"/>
    <x v="1"/>
    <x v="0"/>
    <x v="0"/>
    <x v="625"/>
    <x v="1"/>
    <n v="0"/>
    <x v="11"/>
    <n v="0"/>
    <x v="8"/>
    <x v="3"/>
  </r>
  <r>
    <n v="4570"/>
    <x v="23"/>
    <x v="42"/>
    <x v="1"/>
    <x v="2"/>
    <x v="0"/>
    <x v="0"/>
    <x v="626"/>
    <x v="6"/>
    <n v="0"/>
    <x v="11"/>
    <n v="0"/>
    <x v="8"/>
    <x v="3"/>
  </r>
  <r>
    <n v="3669"/>
    <x v="24"/>
    <x v="34"/>
    <x v="1"/>
    <x v="2"/>
    <x v="1"/>
    <x v="2"/>
    <x v="627"/>
    <x v="5"/>
    <n v="1"/>
    <x v="239"/>
    <n v="7"/>
    <x v="12"/>
    <x v="1"/>
  </r>
  <r>
    <n v="2976"/>
    <x v="24"/>
    <x v="1"/>
    <x v="0"/>
    <x v="2"/>
    <x v="1"/>
    <x v="2"/>
    <x v="628"/>
    <x v="1"/>
    <n v="1"/>
    <x v="240"/>
    <n v="2"/>
    <x v="12"/>
    <x v="0"/>
  </r>
  <r>
    <n v="2398"/>
    <x v="24"/>
    <x v="26"/>
    <x v="0"/>
    <x v="3"/>
    <x v="0"/>
    <x v="0"/>
    <x v="629"/>
    <x v="1"/>
    <n v="1"/>
    <x v="241"/>
    <n v="2"/>
    <x v="2"/>
    <x v="0"/>
  </r>
  <r>
    <n v="4197"/>
    <x v="24"/>
    <x v="31"/>
    <x v="0"/>
    <x v="3"/>
    <x v="0"/>
    <x v="0"/>
    <x v="630"/>
    <x v="1"/>
    <n v="1"/>
    <x v="242"/>
    <n v="2"/>
    <x v="2"/>
    <x v="0"/>
  </r>
  <r>
    <n v="2414"/>
    <x v="24"/>
    <x v="23"/>
    <x v="0"/>
    <x v="3"/>
    <x v="3"/>
    <x v="0"/>
    <x v="631"/>
    <x v="0"/>
    <n v="1"/>
    <x v="243"/>
    <n v="5"/>
    <x v="0"/>
    <x v="0"/>
  </r>
  <r>
    <n v="2422"/>
    <x v="24"/>
    <x v="41"/>
    <x v="1"/>
    <x v="3"/>
    <x v="0"/>
    <x v="0"/>
    <x v="632"/>
    <x v="1"/>
    <n v="1"/>
    <x v="244"/>
    <n v="1"/>
    <x v="13"/>
    <x v="0"/>
  </r>
  <r>
    <n v="357"/>
    <x v="24"/>
    <x v="18"/>
    <x v="1"/>
    <x v="1"/>
    <x v="3"/>
    <x v="0"/>
    <x v="633"/>
    <x v="5"/>
    <n v="1"/>
    <x v="245"/>
    <n v="1"/>
    <x v="15"/>
    <x v="1"/>
  </r>
  <r>
    <n v="902"/>
    <x v="24"/>
    <x v="22"/>
    <x v="1"/>
    <x v="2"/>
    <x v="1"/>
    <x v="7"/>
    <x v="634"/>
    <x v="1"/>
    <n v="1"/>
    <x v="246"/>
    <n v="3"/>
    <x v="2"/>
    <x v="0"/>
  </r>
  <r>
    <n v="1048"/>
    <x v="24"/>
    <x v="34"/>
    <x v="1"/>
    <x v="1"/>
    <x v="1"/>
    <x v="4"/>
    <x v="635"/>
    <x v="2"/>
    <n v="1"/>
    <x v="247"/>
    <n v="3"/>
    <x v="6"/>
    <x v="1"/>
  </r>
  <r>
    <n v="516"/>
    <x v="24"/>
    <x v="8"/>
    <x v="1"/>
    <x v="2"/>
    <x v="0"/>
    <x v="0"/>
    <x v="636"/>
    <x v="10"/>
    <n v="1"/>
    <x v="248"/>
    <n v="4"/>
    <x v="13"/>
    <x v="0"/>
  </r>
  <r>
    <n v="378"/>
    <x v="24"/>
    <x v="10"/>
    <x v="0"/>
    <x v="1"/>
    <x v="3"/>
    <x v="0"/>
    <x v="637"/>
    <x v="4"/>
    <n v="1"/>
    <x v="249"/>
    <n v="3"/>
    <x v="5"/>
    <x v="0"/>
  </r>
  <r>
    <n v="3951"/>
    <x v="24"/>
    <x v="33"/>
    <x v="0"/>
    <x v="2"/>
    <x v="0"/>
    <x v="0"/>
    <x v="638"/>
    <x v="5"/>
    <n v="1"/>
    <x v="250"/>
    <n v="5"/>
    <x v="12"/>
    <x v="0"/>
  </r>
  <r>
    <n v="3926"/>
    <x v="24"/>
    <x v="12"/>
    <x v="0"/>
    <x v="1"/>
    <x v="1"/>
    <x v="3"/>
    <x v="639"/>
    <x v="2"/>
    <n v="1"/>
    <x v="251"/>
    <n v="1"/>
    <x v="5"/>
    <x v="2"/>
  </r>
  <r>
    <n v="3413"/>
    <x v="24"/>
    <x v="14"/>
    <x v="1"/>
    <x v="0"/>
    <x v="3"/>
    <x v="0"/>
    <x v="640"/>
    <x v="0"/>
    <n v="0"/>
    <x v="11"/>
    <n v="0"/>
    <x v="8"/>
    <x v="3"/>
  </r>
  <r>
    <n v="99"/>
    <x v="24"/>
    <x v="24"/>
    <x v="1"/>
    <x v="2"/>
    <x v="3"/>
    <x v="0"/>
    <x v="641"/>
    <x v="1"/>
    <n v="0"/>
    <x v="11"/>
    <n v="0"/>
    <x v="8"/>
    <x v="3"/>
  </r>
  <r>
    <n v="2720"/>
    <x v="24"/>
    <x v="0"/>
    <x v="0"/>
    <x v="0"/>
    <x v="0"/>
    <x v="0"/>
    <x v="642"/>
    <x v="8"/>
    <n v="0"/>
    <x v="11"/>
    <n v="0"/>
    <x v="8"/>
    <x v="3"/>
  </r>
  <r>
    <n v="4418"/>
    <x v="24"/>
    <x v="3"/>
    <x v="0"/>
    <x v="1"/>
    <x v="3"/>
    <x v="0"/>
    <x v="643"/>
    <x v="5"/>
    <n v="0"/>
    <x v="11"/>
    <n v="0"/>
    <x v="8"/>
    <x v="3"/>
  </r>
  <r>
    <n v="4487"/>
    <x v="24"/>
    <x v="5"/>
    <x v="1"/>
    <x v="0"/>
    <x v="1"/>
    <x v="6"/>
    <x v="644"/>
    <x v="1"/>
    <n v="0"/>
    <x v="11"/>
    <n v="0"/>
    <x v="8"/>
    <x v="3"/>
  </r>
  <r>
    <n v="313"/>
    <x v="24"/>
    <x v="24"/>
    <x v="0"/>
    <x v="0"/>
    <x v="0"/>
    <x v="0"/>
    <x v="645"/>
    <x v="1"/>
    <n v="0"/>
    <x v="11"/>
    <n v="0"/>
    <x v="8"/>
    <x v="3"/>
  </r>
  <r>
    <n v="1503"/>
    <x v="24"/>
    <x v="16"/>
    <x v="1"/>
    <x v="1"/>
    <x v="0"/>
    <x v="0"/>
    <x v="646"/>
    <x v="2"/>
    <n v="0"/>
    <x v="11"/>
    <n v="0"/>
    <x v="8"/>
    <x v="3"/>
  </r>
  <r>
    <n v="875"/>
    <x v="24"/>
    <x v="5"/>
    <x v="1"/>
    <x v="1"/>
    <x v="0"/>
    <x v="0"/>
    <x v="592"/>
    <x v="2"/>
    <n v="0"/>
    <x v="11"/>
    <n v="0"/>
    <x v="8"/>
    <x v="3"/>
  </r>
  <r>
    <n v="926"/>
    <x v="24"/>
    <x v="7"/>
    <x v="0"/>
    <x v="2"/>
    <x v="3"/>
    <x v="0"/>
    <x v="647"/>
    <x v="2"/>
    <n v="0"/>
    <x v="11"/>
    <n v="0"/>
    <x v="8"/>
    <x v="3"/>
  </r>
  <r>
    <n v="1202"/>
    <x v="24"/>
    <x v="10"/>
    <x v="0"/>
    <x v="3"/>
    <x v="0"/>
    <x v="0"/>
    <x v="648"/>
    <x v="2"/>
    <n v="0"/>
    <x v="11"/>
    <n v="0"/>
    <x v="8"/>
    <x v="3"/>
  </r>
  <r>
    <n v="879"/>
    <x v="24"/>
    <x v="22"/>
    <x v="0"/>
    <x v="2"/>
    <x v="0"/>
    <x v="0"/>
    <x v="649"/>
    <x v="5"/>
    <n v="0"/>
    <x v="11"/>
    <n v="0"/>
    <x v="8"/>
    <x v="3"/>
  </r>
  <r>
    <n v="238"/>
    <x v="24"/>
    <x v="10"/>
    <x v="1"/>
    <x v="2"/>
    <x v="0"/>
    <x v="0"/>
    <x v="465"/>
    <x v="6"/>
    <n v="0"/>
    <x v="11"/>
    <n v="0"/>
    <x v="8"/>
    <x v="3"/>
  </r>
  <r>
    <n v="2081"/>
    <x v="24"/>
    <x v="1"/>
    <x v="0"/>
    <x v="3"/>
    <x v="1"/>
    <x v="7"/>
    <x v="650"/>
    <x v="1"/>
    <n v="0"/>
    <x v="11"/>
    <n v="0"/>
    <x v="8"/>
    <x v="3"/>
  </r>
  <r>
    <n v="1970"/>
    <x v="24"/>
    <x v="31"/>
    <x v="0"/>
    <x v="0"/>
    <x v="0"/>
    <x v="0"/>
    <x v="651"/>
    <x v="7"/>
    <n v="0"/>
    <x v="11"/>
    <n v="0"/>
    <x v="8"/>
    <x v="3"/>
  </r>
  <r>
    <n v="1697"/>
    <x v="24"/>
    <x v="10"/>
    <x v="0"/>
    <x v="0"/>
    <x v="0"/>
    <x v="0"/>
    <x v="652"/>
    <x v="3"/>
    <n v="0"/>
    <x v="11"/>
    <n v="0"/>
    <x v="8"/>
    <x v="3"/>
  </r>
  <r>
    <n v="1577"/>
    <x v="24"/>
    <x v="39"/>
    <x v="1"/>
    <x v="2"/>
    <x v="0"/>
    <x v="0"/>
    <x v="653"/>
    <x v="7"/>
    <n v="0"/>
    <x v="11"/>
    <n v="0"/>
    <x v="8"/>
    <x v="3"/>
  </r>
  <r>
    <n v="4520"/>
    <x v="24"/>
    <x v="19"/>
    <x v="1"/>
    <x v="3"/>
    <x v="1"/>
    <x v="1"/>
    <x v="654"/>
    <x v="4"/>
    <n v="0"/>
    <x v="11"/>
    <n v="0"/>
    <x v="8"/>
    <x v="3"/>
  </r>
  <r>
    <n v="4508"/>
    <x v="24"/>
    <x v="21"/>
    <x v="0"/>
    <x v="3"/>
    <x v="0"/>
    <x v="0"/>
    <x v="655"/>
    <x v="8"/>
    <n v="0"/>
    <x v="11"/>
    <n v="0"/>
    <x v="8"/>
    <x v="3"/>
  </r>
  <r>
    <n v="1971"/>
    <x v="24"/>
    <x v="14"/>
    <x v="1"/>
    <x v="0"/>
    <x v="1"/>
    <x v="1"/>
    <x v="242"/>
    <x v="2"/>
    <n v="0"/>
    <x v="11"/>
    <n v="0"/>
    <x v="8"/>
    <x v="3"/>
  </r>
  <r>
    <n v="4889"/>
    <x v="24"/>
    <x v="45"/>
    <x v="1"/>
    <x v="0"/>
    <x v="3"/>
    <x v="0"/>
    <x v="656"/>
    <x v="4"/>
    <n v="0"/>
    <x v="11"/>
    <n v="0"/>
    <x v="8"/>
    <x v="3"/>
  </r>
  <r>
    <n v="1337"/>
    <x v="25"/>
    <x v="2"/>
    <x v="1"/>
    <x v="1"/>
    <x v="0"/>
    <x v="0"/>
    <x v="657"/>
    <x v="5"/>
    <n v="1"/>
    <x v="252"/>
    <n v="5"/>
    <x v="13"/>
    <x v="0"/>
  </r>
  <r>
    <n v="4202"/>
    <x v="25"/>
    <x v="14"/>
    <x v="1"/>
    <x v="2"/>
    <x v="0"/>
    <x v="0"/>
    <x v="658"/>
    <x v="2"/>
    <n v="1"/>
    <x v="253"/>
    <n v="2"/>
    <x v="5"/>
    <x v="0"/>
  </r>
  <r>
    <n v="3577"/>
    <x v="25"/>
    <x v="8"/>
    <x v="0"/>
    <x v="3"/>
    <x v="0"/>
    <x v="0"/>
    <x v="659"/>
    <x v="5"/>
    <n v="1"/>
    <x v="254"/>
    <n v="3"/>
    <x v="10"/>
    <x v="0"/>
  </r>
  <r>
    <n v="4601"/>
    <x v="25"/>
    <x v="17"/>
    <x v="0"/>
    <x v="1"/>
    <x v="0"/>
    <x v="0"/>
    <x v="660"/>
    <x v="10"/>
    <n v="1"/>
    <x v="255"/>
    <n v="2"/>
    <x v="9"/>
    <x v="0"/>
  </r>
  <r>
    <n v="3590"/>
    <x v="25"/>
    <x v="41"/>
    <x v="1"/>
    <x v="1"/>
    <x v="0"/>
    <x v="0"/>
    <x v="661"/>
    <x v="6"/>
    <n v="1"/>
    <x v="256"/>
    <n v="3"/>
    <x v="2"/>
    <x v="0"/>
  </r>
  <r>
    <n v="2961"/>
    <x v="25"/>
    <x v="33"/>
    <x v="1"/>
    <x v="2"/>
    <x v="1"/>
    <x v="5"/>
    <x v="662"/>
    <x v="1"/>
    <n v="1"/>
    <x v="257"/>
    <n v="1"/>
    <x v="10"/>
    <x v="0"/>
  </r>
  <r>
    <n v="27"/>
    <x v="25"/>
    <x v="26"/>
    <x v="0"/>
    <x v="2"/>
    <x v="3"/>
    <x v="0"/>
    <x v="663"/>
    <x v="0"/>
    <n v="1"/>
    <x v="258"/>
    <n v="8"/>
    <x v="2"/>
    <x v="0"/>
  </r>
  <r>
    <n v="4519"/>
    <x v="25"/>
    <x v="43"/>
    <x v="1"/>
    <x v="1"/>
    <x v="3"/>
    <x v="0"/>
    <x v="664"/>
    <x v="6"/>
    <n v="0"/>
    <x v="11"/>
    <n v="0"/>
    <x v="8"/>
    <x v="3"/>
  </r>
  <r>
    <n v="369"/>
    <x v="25"/>
    <x v="7"/>
    <x v="0"/>
    <x v="2"/>
    <x v="2"/>
    <x v="0"/>
    <x v="665"/>
    <x v="1"/>
    <n v="0"/>
    <x v="11"/>
    <n v="0"/>
    <x v="8"/>
    <x v="3"/>
  </r>
  <r>
    <n v="4708"/>
    <x v="25"/>
    <x v="13"/>
    <x v="1"/>
    <x v="2"/>
    <x v="3"/>
    <x v="0"/>
    <x v="666"/>
    <x v="10"/>
    <n v="0"/>
    <x v="11"/>
    <n v="0"/>
    <x v="8"/>
    <x v="3"/>
  </r>
  <r>
    <n v="2290"/>
    <x v="25"/>
    <x v="5"/>
    <x v="1"/>
    <x v="1"/>
    <x v="1"/>
    <x v="5"/>
    <x v="667"/>
    <x v="0"/>
    <n v="0"/>
    <x v="11"/>
    <n v="0"/>
    <x v="8"/>
    <x v="3"/>
  </r>
  <r>
    <n v="2448"/>
    <x v="25"/>
    <x v="27"/>
    <x v="0"/>
    <x v="3"/>
    <x v="0"/>
    <x v="0"/>
    <x v="668"/>
    <x v="5"/>
    <n v="0"/>
    <x v="11"/>
    <n v="0"/>
    <x v="8"/>
    <x v="3"/>
  </r>
  <r>
    <n v="235"/>
    <x v="25"/>
    <x v="7"/>
    <x v="1"/>
    <x v="2"/>
    <x v="0"/>
    <x v="0"/>
    <x v="669"/>
    <x v="8"/>
    <n v="0"/>
    <x v="11"/>
    <n v="0"/>
    <x v="8"/>
    <x v="3"/>
  </r>
  <r>
    <n v="2743"/>
    <x v="25"/>
    <x v="26"/>
    <x v="1"/>
    <x v="1"/>
    <x v="0"/>
    <x v="0"/>
    <x v="670"/>
    <x v="1"/>
    <n v="0"/>
    <x v="11"/>
    <n v="0"/>
    <x v="8"/>
    <x v="3"/>
  </r>
  <r>
    <n v="4820"/>
    <x v="25"/>
    <x v="34"/>
    <x v="0"/>
    <x v="1"/>
    <x v="0"/>
    <x v="0"/>
    <x v="671"/>
    <x v="0"/>
    <n v="0"/>
    <x v="11"/>
    <n v="0"/>
    <x v="8"/>
    <x v="3"/>
  </r>
  <r>
    <n v="3031"/>
    <x v="25"/>
    <x v="28"/>
    <x v="0"/>
    <x v="1"/>
    <x v="3"/>
    <x v="0"/>
    <x v="672"/>
    <x v="5"/>
    <n v="0"/>
    <x v="11"/>
    <n v="0"/>
    <x v="8"/>
    <x v="3"/>
  </r>
  <r>
    <n v="1848"/>
    <x v="25"/>
    <x v="11"/>
    <x v="1"/>
    <x v="0"/>
    <x v="1"/>
    <x v="1"/>
    <x v="673"/>
    <x v="8"/>
    <n v="0"/>
    <x v="11"/>
    <n v="0"/>
    <x v="8"/>
    <x v="3"/>
  </r>
  <r>
    <n v="58"/>
    <x v="25"/>
    <x v="6"/>
    <x v="0"/>
    <x v="3"/>
    <x v="2"/>
    <x v="0"/>
    <x v="674"/>
    <x v="6"/>
    <n v="0"/>
    <x v="11"/>
    <n v="0"/>
    <x v="8"/>
    <x v="3"/>
  </r>
  <r>
    <n v="72"/>
    <x v="25"/>
    <x v="24"/>
    <x v="1"/>
    <x v="1"/>
    <x v="3"/>
    <x v="0"/>
    <x v="675"/>
    <x v="11"/>
    <n v="0"/>
    <x v="11"/>
    <n v="0"/>
    <x v="8"/>
    <x v="3"/>
  </r>
  <r>
    <n v="1515"/>
    <x v="25"/>
    <x v="4"/>
    <x v="1"/>
    <x v="1"/>
    <x v="0"/>
    <x v="0"/>
    <x v="506"/>
    <x v="0"/>
    <n v="0"/>
    <x v="11"/>
    <n v="0"/>
    <x v="8"/>
    <x v="3"/>
  </r>
  <r>
    <n v="1738"/>
    <x v="25"/>
    <x v="10"/>
    <x v="0"/>
    <x v="0"/>
    <x v="0"/>
    <x v="0"/>
    <x v="676"/>
    <x v="10"/>
    <n v="0"/>
    <x v="11"/>
    <n v="0"/>
    <x v="8"/>
    <x v="3"/>
  </r>
  <r>
    <n v="4914"/>
    <x v="25"/>
    <x v="17"/>
    <x v="1"/>
    <x v="1"/>
    <x v="3"/>
    <x v="0"/>
    <x v="677"/>
    <x v="2"/>
    <n v="0"/>
    <x v="11"/>
    <n v="0"/>
    <x v="8"/>
    <x v="3"/>
  </r>
  <r>
    <n v="2674"/>
    <x v="25"/>
    <x v="26"/>
    <x v="0"/>
    <x v="1"/>
    <x v="2"/>
    <x v="0"/>
    <x v="678"/>
    <x v="8"/>
    <n v="0"/>
    <x v="11"/>
    <n v="0"/>
    <x v="8"/>
    <x v="3"/>
  </r>
  <r>
    <n v="3499"/>
    <x v="25"/>
    <x v="30"/>
    <x v="0"/>
    <x v="0"/>
    <x v="0"/>
    <x v="0"/>
    <x v="679"/>
    <x v="12"/>
    <n v="0"/>
    <x v="11"/>
    <n v="0"/>
    <x v="8"/>
    <x v="3"/>
  </r>
  <r>
    <n v="4873"/>
    <x v="25"/>
    <x v="21"/>
    <x v="2"/>
    <x v="3"/>
    <x v="0"/>
    <x v="0"/>
    <x v="680"/>
    <x v="8"/>
    <n v="0"/>
    <x v="11"/>
    <n v="0"/>
    <x v="8"/>
    <x v="3"/>
  </r>
  <r>
    <n v="2031"/>
    <x v="25"/>
    <x v="41"/>
    <x v="1"/>
    <x v="2"/>
    <x v="0"/>
    <x v="0"/>
    <x v="681"/>
    <x v="2"/>
    <n v="0"/>
    <x v="11"/>
    <n v="0"/>
    <x v="8"/>
    <x v="3"/>
  </r>
  <r>
    <n v="3115"/>
    <x v="25"/>
    <x v="23"/>
    <x v="1"/>
    <x v="0"/>
    <x v="1"/>
    <x v="1"/>
    <x v="682"/>
    <x v="6"/>
    <n v="0"/>
    <x v="11"/>
    <n v="0"/>
    <x v="8"/>
    <x v="3"/>
  </r>
  <r>
    <n v="3334"/>
    <x v="25"/>
    <x v="16"/>
    <x v="1"/>
    <x v="2"/>
    <x v="0"/>
    <x v="0"/>
    <x v="304"/>
    <x v="5"/>
    <n v="0"/>
    <x v="11"/>
    <n v="0"/>
    <x v="8"/>
    <x v="3"/>
  </r>
  <r>
    <n v="4532"/>
    <x v="25"/>
    <x v="3"/>
    <x v="1"/>
    <x v="3"/>
    <x v="3"/>
    <x v="0"/>
    <x v="683"/>
    <x v="0"/>
    <n v="0"/>
    <x v="11"/>
    <n v="0"/>
    <x v="8"/>
    <x v="3"/>
  </r>
  <r>
    <n v="2788"/>
    <x v="25"/>
    <x v="30"/>
    <x v="0"/>
    <x v="2"/>
    <x v="1"/>
    <x v="6"/>
    <x v="684"/>
    <x v="11"/>
    <n v="0"/>
    <x v="11"/>
    <n v="0"/>
    <x v="8"/>
    <x v="3"/>
  </r>
  <r>
    <n v="1604"/>
    <x v="26"/>
    <x v="8"/>
    <x v="0"/>
    <x v="2"/>
    <x v="0"/>
    <x v="0"/>
    <x v="685"/>
    <x v="2"/>
    <n v="1"/>
    <x v="259"/>
    <n v="4"/>
    <x v="0"/>
    <x v="0"/>
  </r>
  <r>
    <n v="1523"/>
    <x v="26"/>
    <x v="8"/>
    <x v="0"/>
    <x v="3"/>
    <x v="3"/>
    <x v="0"/>
    <x v="686"/>
    <x v="4"/>
    <n v="1"/>
    <x v="260"/>
    <n v="4"/>
    <x v="3"/>
    <x v="1"/>
  </r>
  <r>
    <n v="1056"/>
    <x v="26"/>
    <x v="27"/>
    <x v="1"/>
    <x v="0"/>
    <x v="0"/>
    <x v="0"/>
    <x v="687"/>
    <x v="0"/>
    <n v="1"/>
    <x v="261"/>
    <n v="3"/>
    <x v="11"/>
    <x v="0"/>
  </r>
  <r>
    <n v="2344"/>
    <x v="26"/>
    <x v="0"/>
    <x v="1"/>
    <x v="2"/>
    <x v="3"/>
    <x v="0"/>
    <x v="688"/>
    <x v="2"/>
    <n v="1"/>
    <x v="262"/>
    <n v="4"/>
    <x v="9"/>
    <x v="0"/>
  </r>
  <r>
    <n v="2163"/>
    <x v="26"/>
    <x v="19"/>
    <x v="1"/>
    <x v="2"/>
    <x v="0"/>
    <x v="0"/>
    <x v="689"/>
    <x v="2"/>
    <n v="1"/>
    <x v="263"/>
    <n v="3"/>
    <x v="3"/>
    <x v="0"/>
  </r>
  <r>
    <n v="3228"/>
    <x v="26"/>
    <x v="26"/>
    <x v="1"/>
    <x v="2"/>
    <x v="0"/>
    <x v="0"/>
    <x v="690"/>
    <x v="8"/>
    <n v="1"/>
    <x v="264"/>
    <n v="2"/>
    <x v="3"/>
    <x v="0"/>
  </r>
  <r>
    <n v="4843"/>
    <x v="26"/>
    <x v="33"/>
    <x v="0"/>
    <x v="2"/>
    <x v="0"/>
    <x v="0"/>
    <x v="691"/>
    <x v="9"/>
    <n v="1"/>
    <x v="265"/>
    <n v="5"/>
    <x v="7"/>
    <x v="1"/>
  </r>
  <r>
    <n v="1100"/>
    <x v="26"/>
    <x v="8"/>
    <x v="0"/>
    <x v="1"/>
    <x v="2"/>
    <x v="0"/>
    <x v="692"/>
    <x v="5"/>
    <n v="1"/>
    <x v="266"/>
    <n v="2"/>
    <x v="11"/>
    <x v="0"/>
  </r>
  <r>
    <n v="1803"/>
    <x v="26"/>
    <x v="2"/>
    <x v="0"/>
    <x v="0"/>
    <x v="0"/>
    <x v="0"/>
    <x v="693"/>
    <x v="6"/>
    <n v="1"/>
    <x v="267"/>
    <n v="3"/>
    <x v="13"/>
    <x v="1"/>
  </r>
  <r>
    <n v="1561"/>
    <x v="26"/>
    <x v="24"/>
    <x v="1"/>
    <x v="0"/>
    <x v="1"/>
    <x v="5"/>
    <x v="694"/>
    <x v="5"/>
    <n v="1"/>
    <x v="268"/>
    <n v="2"/>
    <x v="3"/>
    <x v="2"/>
  </r>
  <r>
    <n v="3634"/>
    <x v="26"/>
    <x v="22"/>
    <x v="1"/>
    <x v="3"/>
    <x v="0"/>
    <x v="0"/>
    <x v="695"/>
    <x v="6"/>
    <n v="1"/>
    <x v="269"/>
    <n v="4"/>
    <x v="7"/>
    <x v="0"/>
  </r>
  <r>
    <n v="1069"/>
    <x v="26"/>
    <x v="23"/>
    <x v="1"/>
    <x v="2"/>
    <x v="0"/>
    <x v="0"/>
    <x v="696"/>
    <x v="8"/>
    <n v="1"/>
    <x v="270"/>
    <n v="6"/>
    <x v="13"/>
    <x v="0"/>
  </r>
  <r>
    <n v="565"/>
    <x v="26"/>
    <x v="19"/>
    <x v="0"/>
    <x v="3"/>
    <x v="1"/>
    <x v="3"/>
    <x v="697"/>
    <x v="0"/>
    <n v="1"/>
    <x v="271"/>
    <n v="5"/>
    <x v="4"/>
    <x v="0"/>
  </r>
  <r>
    <n v="496"/>
    <x v="26"/>
    <x v="22"/>
    <x v="0"/>
    <x v="1"/>
    <x v="1"/>
    <x v="5"/>
    <x v="698"/>
    <x v="8"/>
    <n v="0"/>
    <x v="11"/>
    <n v="0"/>
    <x v="8"/>
    <x v="3"/>
  </r>
  <r>
    <n v="2870"/>
    <x v="26"/>
    <x v="22"/>
    <x v="0"/>
    <x v="3"/>
    <x v="1"/>
    <x v="4"/>
    <x v="699"/>
    <x v="8"/>
    <n v="0"/>
    <x v="11"/>
    <n v="0"/>
    <x v="8"/>
    <x v="3"/>
  </r>
  <r>
    <n v="3538"/>
    <x v="26"/>
    <x v="5"/>
    <x v="1"/>
    <x v="2"/>
    <x v="1"/>
    <x v="3"/>
    <x v="700"/>
    <x v="5"/>
    <n v="0"/>
    <x v="11"/>
    <n v="0"/>
    <x v="8"/>
    <x v="3"/>
  </r>
  <r>
    <n v="3866"/>
    <x v="26"/>
    <x v="9"/>
    <x v="1"/>
    <x v="1"/>
    <x v="1"/>
    <x v="3"/>
    <x v="701"/>
    <x v="5"/>
    <n v="0"/>
    <x v="11"/>
    <n v="0"/>
    <x v="8"/>
    <x v="3"/>
  </r>
  <r>
    <n v="3188"/>
    <x v="26"/>
    <x v="14"/>
    <x v="1"/>
    <x v="2"/>
    <x v="1"/>
    <x v="7"/>
    <x v="702"/>
    <x v="2"/>
    <n v="0"/>
    <x v="11"/>
    <n v="0"/>
    <x v="8"/>
    <x v="3"/>
  </r>
  <r>
    <n v="1288"/>
    <x v="26"/>
    <x v="0"/>
    <x v="1"/>
    <x v="0"/>
    <x v="0"/>
    <x v="0"/>
    <x v="703"/>
    <x v="6"/>
    <n v="0"/>
    <x v="11"/>
    <n v="0"/>
    <x v="8"/>
    <x v="3"/>
  </r>
  <r>
    <n v="3821"/>
    <x v="26"/>
    <x v="41"/>
    <x v="1"/>
    <x v="0"/>
    <x v="1"/>
    <x v="1"/>
    <x v="704"/>
    <x v="5"/>
    <n v="0"/>
    <x v="11"/>
    <n v="0"/>
    <x v="8"/>
    <x v="3"/>
  </r>
  <r>
    <n v="3857"/>
    <x v="26"/>
    <x v="47"/>
    <x v="1"/>
    <x v="0"/>
    <x v="1"/>
    <x v="6"/>
    <x v="705"/>
    <x v="4"/>
    <n v="0"/>
    <x v="11"/>
    <n v="0"/>
    <x v="8"/>
    <x v="3"/>
  </r>
  <r>
    <n v="1899"/>
    <x v="26"/>
    <x v="33"/>
    <x v="0"/>
    <x v="0"/>
    <x v="0"/>
    <x v="0"/>
    <x v="706"/>
    <x v="6"/>
    <n v="0"/>
    <x v="11"/>
    <n v="0"/>
    <x v="8"/>
    <x v="3"/>
  </r>
  <r>
    <n v="1924"/>
    <x v="26"/>
    <x v="0"/>
    <x v="1"/>
    <x v="2"/>
    <x v="2"/>
    <x v="0"/>
    <x v="707"/>
    <x v="5"/>
    <n v="0"/>
    <x v="11"/>
    <n v="0"/>
    <x v="8"/>
    <x v="3"/>
  </r>
  <r>
    <n v="4259"/>
    <x v="26"/>
    <x v="8"/>
    <x v="1"/>
    <x v="3"/>
    <x v="0"/>
    <x v="0"/>
    <x v="708"/>
    <x v="1"/>
    <n v="0"/>
    <x v="11"/>
    <n v="0"/>
    <x v="8"/>
    <x v="3"/>
  </r>
  <r>
    <n v="429"/>
    <x v="26"/>
    <x v="8"/>
    <x v="1"/>
    <x v="3"/>
    <x v="0"/>
    <x v="0"/>
    <x v="709"/>
    <x v="8"/>
    <n v="0"/>
    <x v="11"/>
    <n v="0"/>
    <x v="8"/>
    <x v="3"/>
  </r>
  <r>
    <n v="3306"/>
    <x v="26"/>
    <x v="26"/>
    <x v="0"/>
    <x v="2"/>
    <x v="0"/>
    <x v="0"/>
    <x v="710"/>
    <x v="2"/>
    <n v="0"/>
    <x v="11"/>
    <n v="0"/>
    <x v="8"/>
    <x v="3"/>
  </r>
  <r>
    <n v="4346"/>
    <x v="26"/>
    <x v="41"/>
    <x v="0"/>
    <x v="0"/>
    <x v="1"/>
    <x v="1"/>
    <x v="711"/>
    <x v="4"/>
    <n v="0"/>
    <x v="11"/>
    <n v="0"/>
    <x v="8"/>
    <x v="3"/>
  </r>
  <r>
    <n v="3014"/>
    <x v="26"/>
    <x v="2"/>
    <x v="1"/>
    <x v="3"/>
    <x v="1"/>
    <x v="1"/>
    <x v="712"/>
    <x v="4"/>
    <n v="0"/>
    <x v="11"/>
    <n v="0"/>
    <x v="8"/>
    <x v="3"/>
  </r>
  <r>
    <n v="4474"/>
    <x v="26"/>
    <x v="21"/>
    <x v="0"/>
    <x v="2"/>
    <x v="0"/>
    <x v="0"/>
    <x v="713"/>
    <x v="0"/>
    <n v="0"/>
    <x v="11"/>
    <n v="0"/>
    <x v="8"/>
    <x v="3"/>
  </r>
  <r>
    <n v="3195"/>
    <x v="26"/>
    <x v="0"/>
    <x v="1"/>
    <x v="3"/>
    <x v="1"/>
    <x v="3"/>
    <x v="714"/>
    <x v="1"/>
    <n v="0"/>
    <x v="11"/>
    <n v="0"/>
    <x v="8"/>
    <x v="3"/>
  </r>
  <r>
    <n v="4488"/>
    <x v="26"/>
    <x v="14"/>
    <x v="0"/>
    <x v="3"/>
    <x v="3"/>
    <x v="0"/>
    <x v="715"/>
    <x v="2"/>
    <n v="0"/>
    <x v="11"/>
    <n v="0"/>
    <x v="8"/>
    <x v="3"/>
  </r>
  <r>
    <n v="4936"/>
    <x v="26"/>
    <x v="33"/>
    <x v="0"/>
    <x v="0"/>
    <x v="0"/>
    <x v="0"/>
    <x v="716"/>
    <x v="6"/>
    <n v="0"/>
    <x v="11"/>
    <n v="0"/>
    <x v="8"/>
    <x v="3"/>
  </r>
  <r>
    <n v="3487"/>
    <x v="26"/>
    <x v="34"/>
    <x v="1"/>
    <x v="2"/>
    <x v="0"/>
    <x v="0"/>
    <x v="717"/>
    <x v="8"/>
    <n v="0"/>
    <x v="11"/>
    <n v="0"/>
    <x v="8"/>
    <x v="3"/>
  </r>
  <r>
    <n v="1317"/>
    <x v="27"/>
    <x v="8"/>
    <x v="0"/>
    <x v="0"/>
    <x v="0"/>
    <x v="0"/>
    <x v="718"/>
    <x v="6"/>
    <n v="1"/>
    <x v="272"/>
    <n v="2"/>
    <x v="2"/>
    <x v="0"/>
  </r>
  <r>
    <n v="2905"/>
    <x v="27"/>
    <x v="11"/>
    <x v="1"/>
    <x v="2"/>
    <x v="1"/>
    <x v="7"/>
    <x v="719"/>
    <x v="4"/>
    <n v="1"/>
    <x v="273"/>
    <n v="2"/>
    <x v="0"/>
    <x v="0"/>
  </r>
  <r>
    <n v="2094"/>
    <x v="27"/>
    <x v="11"/>
    <x v="0"/>
    <x v="3"/>
    <x v="1"/>
    <x v="4"/>
    <x v="720"/>
    <x v="4"/>
    <n v="1"/>
    <x v="274"/>
    <n v="4"/>
    <x v="11"/>
    <x v="0"/>
  </r>
  <r>
    <n v="97"/>
    <x v="27"/>
    <x v="7"/>
    <x v="1"/>
    <x v="2"/>
    <x v="0"/>
    <x v="0"/>
    <x v="721"/>
    <x v="2"/>
    <n v="1"/>
    <x v="275"/>
    <n v="4"/>
    <x v="3"/>
    <x v="2"/>
  </r>
  <r>
    <n v="934"/>
    <x v="27"/>
    <x v="18"/>
    <x v="1"/>
    <x v="2"/>
    <x v="0"/>
    <x v="0"/>
    <x v="722"/>
    <x v="6"/>
    <n v="1"/>
    <x v="276"/>
    <n v="5"/>
    <x v="6"/>
    <x v="0"/>
  </r>
  <r>
    <n v="4973"/>
    <x v="27"/>
    <x v="29"/>
    <x v="0"/>
    <x v="3"/>
    <x v="1"/>
    <x v="1"/>
    <x v="723"/>
    <x v="2"/>
    <n v="1"/>
    <x v="277"/>
    <n v="2"/>
    <x v="13"/>
    <x v="1"/>
  </r>
  <r>
    <n v="480"/>
    <x v="27"/>
    <x v="18"/>
    <x v="0"/>
    <x v="2"/>
    <x v="0"/>
    <x v="0"/>
    <x v="724"/>
    <x v="2"/>
    <n v="1"/>
    <x v="278"/>
    <n v="2"/>
    <x v="2"/>
    <x v="1"/>
  </r>
  <r>
    <n v="18"/>
    <x v="27"/>
    <x v="24"/>
    <x v="0"/>
    <x v="0"/>
    <x v="1"/>
    <x v="2"/>
    <x v="725"/>
    <x v="6"/>
    <n v="1"/>
    <x v="279"/>
    <n v="2"/>
    <x v="2"/>
    <x v="0"/>
  </r>
  <r>
    <n v="3442"/>
    <x v="27"/>
    <x v="16"/>
    <x v="0"/>
    <x v="0"/>
    <x v="0"/>
    <x v="0"/>
    <x v="726"/>
    <x v="10"/>
    <n v="1"/>
    <x v="280"/>
    <n v="4"/>
    <x v="15"/>
    <x v="2"/>
  </r>
  <r>
    <n v="734"/>
    <x v="27"/>
    <x v="18"/>
    <x v="1"/>
    <x v="1"/>
    <x v="0"/>
    <x v="0"/>
    <x v="727"/>
    <x v="11"/>
    <n v="0"/>
    <x v="11"/>
    <n v="0"/>
    <x v="8"/>
    <x v="3"/>
  </r>
  <r>
    <n v="296"/>
    <x v="27"/>
    <x v="10"/>
    <x v="0"/>
    <x v="0"/>
    <x v="0"/>
    <x v="0"/>
    <x v="728"/>
    <x v="8"/>
    <n v="0"/>
    <x v="11"/>
    <n v="0"/>
    <x v="8"/>
    <x v="3"/>
  </r>
  <r>
    <n v="4122"/>
    <x v="27"/>
    <x v="48"/>
    <x v="1"/>
    <x v="2"/>
    <x v="0"/>
    <x v="0"/>
    <x v="729"/>
    <x v="2"/>
    <n v="0"/>
    <x v="11"/>
    <n v="0"/>
    <x v="8"/>
    <x v="3"/>
  </r>
  <r>
    <n v="3692"/>
    <x v="27"/>
    <x v="27"/>
    <x v="0"/>
    <x v="0"/>
    <x v="0"/>
    <x v="0"/>
    <x v="730"/>
    <x v="5"/>
    <n v="0"/>
    <x v="11"/>
    <n v="0"/>
    <x v="8"/>
    <x v="3"/>
  </r>
  <r>
    <n v="674"/>
    <x v="27"/>
    <x v="10"/>
    <x v="0"/>
    <x v="0"/>
    <x v="1"/>
    <x v="4"/>
    <x v="731"/>
    <x v="12"/>
    <n v="0"/>
    <x v="11"/>
    <n v="0"/>
    <x v="8"/>
    <x v="3"/>
  </r>
  <r>
    <n v="4364"/>
    <x v="27"/>
    <x v="12"/>
    <x v="1"/>
    <x v="2"/>
    <x v="0"/>
    <x v="0"/>
    <x v="732"/>
    <x v="6"/>
    <n v="0"/>
    <x v="11"/>
    <n v="0"/>
    <x v="8"/>
    <x v="3"/>
  </r>
  <r>
    <n v="2043"/>
    <x v="27"/>
    <x v="29"/>
    <x v="0"/>
    <x v="0"/>
    <x v="3"/>
    <x v="0"/>
    <x v="733"/>
    <x v="5"/>
    <n v="0"/>
    <x v="11"/>
    <n v="0"/>
    <x v="8"/>
    <x v="3"/>
  </r>
  <r>
    <n v="863"/>
    <x v="27"/>
    <x v="22"/>
    <x v="0"/>
    <x v="1"/>
    <x v="3"/>
    <x v="0"/>
    <x v="734"/>
    <x v="4"/>
    <n v="0"/>
    <x v="11"/>
    <n v="0"/>
    <x v="8"/>
    <x v="3"/>
  </r>
  <r>
    <n v="1733"/>
    <x v="27"/>
    <x v="8"/>
    <x v="0"/>
    <x v="1"/>
    <x v="0"/>
    <x v="0"/>
    <x v="735"/>
    <x v="6"/>
    <n v="0"/>
    <x v="11"/>
    <n v="0"/>
    <x v="8"/>
    <x v="3"/>
  </r>
  <r>
    <n v="2557"/>
    <x v="27"/>
    <x v="31"/>
    <x v="1"/>
    <x v="0"/>
    <x v="1"/>
    <x v="6"/>
    <x v="736"/>
    <x v="5"/>
    <n v="0"/>
    <x v="11"/>
    <n v="0"/>
    <x v="8"/>
    <x v="3"/>
  </r>
  <r>
    <n v="2134"/>
    <x v="27"/>
    <x v="16"/>
    <x v="1"/>
    <x v="1"/>
    <x v="0"/>
    <x v="0"/>
    <x v="737"/>
    <x v="1"/>
    <n v="0"/>
    <x v="11"/>
    <n v="0"/>
    <x v="8"/>
    <x v="3"/>
  </r>
  <r>
    <n v="475"/>
    <x v="27"/>
    <x v="24"/>
    <x v="0"/>
    <x v="1"/>
    <x v="0"/>
    <x v="0"/>
    <x v="27"/>
    <x v="8"/>
    <n v="0"/>
    <x v="11"/>
    <n v="0"/>
    <x v="8"/>
    <x v="3"/>
  </r>
  <r>
    <n v="1540"/>
    <x v="27"/>
    <x v="6"/>
    <x v="1"/>
    <x v="1"/>
    <x v="0"/>
    <x v="0"/>
    <x v="738"/>
    <x v="5"/>
    <n v="0"/>
    <x v="11"/>
    <n v="0"/>
    <x v="8"/>
    <x v="3"/>
  </r>
  <r>
    <n v="781"/>
    <x v="28"/>
    <x v="7"/>
    <x v="1"/>
    <x v="2"/>
    <x v="0"/>
    <x v="0"/>
    <x v="739"/>
    <x v="5"/>
    <n v="1"/>
    <x v="281"/>
    <n v="2"/>
    <x v="12"/>
    <x v="0"/>
  </r>
  <r>
    <n v="3257"/>
    <x v="28"/>
    <x v="30"/>
    <x v="0"/>
    <x v="0"/>
    <x v="0"/>
    <x v="0"/>
    <x v="740"/>
    <x v="6"/>
    <n v="1"/>
    <x v="282"/>
    <n v="2"/>
    <x v="9"/>
    <x v="0"/>
  </r>
  <r>
    <n v="1725"/>
    <x v="28"/>
    <x v="19"/>
    <x v="0"/>
    <x v="3"/>
    <x v="1"/>
    <x v="2"/>
    <x v="741"/>
    <x v="5"/>
    <n v="1"/>
    <x v="283"/>
    <n v="1"/>
    <x v="3"/>
    <x v="0"/>
  </r>
  <r>
    <n v="3214"/>
    <x v="28"/>
    <x v="8"/>
    <x v="0"/>
    <x v="2"/>
    <x v="0"/>
    <x v="0"/>
    <x v="742"/>
    <x v="11"/>
    <n v="1"/>
    <x v="284"/>
    <n v="2"/>
    <x v="10"/>
    <x v="0"/>
  </r>
  <r>
    <n v="4890"/>
    <x v="28"/>
    <x v="3"/>
    <x v="0"/>
    <x v="2"/>
    <x v="0"/>
    <x v="0"/>
    <x v="743"/>
    <x v="2"/>
    <n v="1"/>
    <x v="285"/>
    <n v="3"/>
    <x v="6"/>
    <x v="1"/>
  </r>
  <r>
    <n v="3754"/>
    <x v="28"/>
    <x v="46"/>
    <x v="1"/>
    <x v="0"/>
    <x v="0"/>
    <x v="0"/>
    <x v="744"/>
    <x v="5"/>
    <n v="1"/>
    <x v="286"/>
    <n v="2"/>
    <x v="7"/>
    <x v="1"/>
  </r>
  <r>
    <n v="1215"/>
    <x v="28"/>
    <x v="24"/>
    <x v="1"/>
    <x v="1"/>
    <x v="0"/>
    <x v="0"/>
    <x v="176"/>
    <x v="8"/>
    <n v="1"/>
    <x v="287"/>
    <n v="2"/>
    <x v="6"/>
    <x v="0"/>
  </r>
  <r>
    <n v="4624"/>
    <x v="28"/>
    <x v="28"/>
    <x v="1"/>
    <x v="0"/>
    <x v="3"/>
    <x v="0"/>
    <x v="745"/>
    <x v="8"/>
    <n v="1"/>
    <x v="288"/>
    <n v="3"/>
    <x v="4"/>
    <x v="0"/>
  </r>
  <r>
    <n v="1626"/>
    <x v="28"/>
    <x v="19"/>
    <x v="0"/>
    <x v="2"/>
    <x v="0"/>
    <x v="0"/>
    <x v="746"/>
    <x v="8"/>
    <n v="1"/>
    <x v="289"/>
    <n v="4"/>
    <x v="7"/>
    <x v="0"/>
  </r>
  <r>
    <n v="2892"/>
    <x v="28"/>
    <x v="11"/>
    <x v="1"/>
    <x v="1"/>
    <x v="0"/>
    <x v="0"/>
    <x v="747"/>
    <x v="5"/>
    <n v="1"/>
    <x v="290"/>
    <n v="3"/>
    <x v="2"/>
    <x v="1"/>
  </r>
  <r>
    <n v="4081"/>
    <x v="28"/>
    <x v="5"/>
    <x v="1"/>
    <x v="3"/>
    <x v="0"/>
    <x v="0"/>
    <x v="748"/>
    <x v="4"/>
    <n v="1"/>
    <x v="164"/>
    <n v="1"/>
    <x v="15"/>
    <x v="0"/>
  </r>
  <r>
    <n v="3458"/>
    <x v="28"/>
    <x v="45"/>
    <x v="1"/>
    <x v="2"/>
    <x v="1"/>
    <x v="5"/>
    <x v="749"/>
    <x v="1"/>
    <n v="0"/>
    <x v="11"/>
    <n v="0"/>
    <x v="8"/>
    <x v="3"/>
  </r>
  <r>
    <n v="4827"/>
    <x v="28"/>
    <x v="47"/>
    <x v="0"/>
    <x v="3"/>
    <x v="0"/>
    <x v="0"/>
    <x v="750"/>
    <x v="6"/>
    <n v="0"/>
    <x v="11"/>
    <n v="0"/>
    <x v="8"/>
    <x v="3"/>
  </r>
  <r>
    <n v="1457"/>
    <x v="28"/>
    <x v="8"/>
    <x v="1"/>
    <x v="0"/>
    <x v="3"/>
    <x v="0"/>
    <x v="751"/>
    <x v="1"/>
    <n v="0"/>
    <x v="11"/>
    <n v="0"/>
    <x v="8"/>
    <x v="3"/>
  </r>
  <r>
    <n v="2373"/>
    <x v="28"/>
    <x v="3"/>
    <x v="1"/>
    <x v="0"/>
    <x v="1"/>
    <x v="4"/>
    <x v="752"/>
    <x v="5"/>
    <n v="0"/>
    <x v="11"/>
    <n v="0"/>
    <x v="8"/>
    <x v="3"/>
  </r>
  <r>
    <n v="610"/>
    <x v="28"/>
    <x v="16"/>
    <x v="1"/>
    <x v="0"/>
    <x v="3"/>
    <x v="0"/>
    <x v="753"/>
    <x v="5"/>
    <n v="0"/>
    <x v="11"/>
    <n v="0"/>
    <x v="8"/>
    <x v="3"/>
  </r>
  <r>
    <n v="2179"/>
    <x v="28"/>
    <x v="31"/>
    <x v="0"/>
    <x v="2"/>
    <x v="3"/>
    <x v="0"/>
    <x v="754"/>
    <x v="8"/>
    <n v="0"/>
    <x v="11"/>
    <n v="0"/>
    <x v="8"/>
    <x v="3"/>
  </r>
  <r>
    <n v="4189"/>
    <x v="28"/>
    <x v="44"/>
    <x v="0"/>
    <x v="1"/>
    <x v="0"/>
    <x v="0"/>
    <x v="459"/>
    <x v="2"/>
    <n v="0"/>
    <x v="11"/>
    <n v="0"/>
    <x v="8"/>
    <x v="3"/>
  </r>
  <r>
    <n v="1007"/>
    <x v="28"/>
    <x v="10"/>
    <x v="1"/>
    <x v="2"/>
    <x v="0"/>
    <x v="0"/>
    <x v="755"/>
    <x v="8"/>
    <n v="0"/>
    <x v="11"/>
    <n v="0"/>
    <x v="8"/>
    <x v="3"/>
  </r>
  <r>
    <n v="4457"/>
    <x v="28"/>
    <x v="15"/>
    <x v="0"/>
    <x v="2"/>
    <x v="1"/>
    <x v="2"/>
    <x v="756"/>
    <x v="0"/>
    <n v="0"/>
    <x v="11"/>
    <n v="0"/>
    <x v="8"/>
    <x v="3"/>
  </r>
  <r>
    <n v="3363"/>
    <x v="28"/>
    <x v="13"/>
    <x v="1"/>
    <x v="1"/>
    <x v="0"/>
    <x v="0"/>
    <x v="757"/>
    <x v="5"/>
    <n v="0"/>
    <x v="11"/>
    <n v="0"/>
    <x v="8"/>
    <x v="3"/>
  </r>
  <r>
    <n v="3811"/>
    <x v="28"/>
    <x v="12"/>
    <x v="1"/>
    <x v="3"/>
    <x v="1"/>
    <x v="7"/>
    <x v="758"/>
    <x v="6"/>
    <n v="0"/>
    <x v="11"/>
    <n v="0"/>
    <x v="8"/>
    <x v="3"/>
  </r>
  <r>
    <n v="4052"/>
    <x v="28"/>
    <x v="40"/>
    <x v="1"/>
    <x v="0"/>
    <x v="1"/>
    <x v="6"/>
    <x v="759"/>
    <x v="8"/>
    <n v="0"/>
    <x v="11"/>
    <n v="0"/>
    <x v="8"/>
    <x v="3"/>
  </r>
  <r>
    <n v="1591"/>
    <x v="28"/>
    <x v="5"/>
    <x v="2"/>
    <x v="2"/>
    <x v="3"/>
    <x v="0"/>
    <x v="760"/>
    <x v="6"/>
    <n v="0"/>
    <x v="11"/>
    <n v="0"/>
    <x v="8"/>
    <x v="3"/>
  </r>
  <r>
    <n v="1447"/>
    <x v="28"/>
    <x v="8"/>
    <x v="0"/>
    <x v="0"/>
    <x v="1"/>
    <x v="1"/>
    <x v="761"/>
    <x v="8"/>
    <n v="0"/>
    <x v="11"/>
    <n v="0"/>
    <x v="8"/>
    <x v="3"/>
  </r>
  <r>
    <n v="212"/>
    <x v="28"/>
    <x v="2"/>
    <x v="0"/>
    <x v="1"/>
    <x v="2"/>
    <x v="0"/>
    <x v="762"/>
    <x v="4"/>
    <n v="0"/>
    <x v="11"/>
    <n v="0"/>
    <x v="8"/>
    <x v="3"/>
  </r>
  <r>
    <n v="1294"/>
    <x v="28"/>
    <x v="26"/>
    <x v="1"/>
    <x v="0"/>
    <x v="0"/>
    <x v="0"/>
    <x v="420"/>
    <x v="0"/>
    <n v="0"/>
    <x v="11"/>
    <n v="0"/>
    <x v="8"/>
    <x v="3"/>
  </r>
  <r>
    <n v="177"/>
    <x v="28"/>
    <x v="10"/>
    <x v="0"/>
    <x v="0"/>
    <x v="0"/>
    <x v="0"/>
    <x v="763"/>
    <x v="2"/>
    <n v="0"/>
    <x v="11"/>
    <n v="0"/>
    <x v="8"/>
    <x v="3"/>
  </r>
  <r>
    <n v="2521"/>
    <x v="28"/>
    <x v="31"/>
    <x v="0"/>
    <x v="3"/>
    <x v="3"/>
    <x v="0"/>
    <x v="764"/>
    <x v="6"/>
    <n v="0"/>
    <x v="11"/>
    <n v="0"/>
    <x v="8"/>
    <x v="3"/>
  </r>
  <r>
    <n v="4219"/>
    <x v="28"/>
    <x v="30"/>
    <x v="0"/>
    <x v="2"/>
    <x v="1"/>
    <x v="6"/>
    <x v="300"/>
    <x v="4"/>
    <n v="0"/>
    <x v="11"/>
    <n v="0"/>
    <x v="8"/>
    <x v="3"/>
  </r>
  <r>
    <n v="4585"/>
    <x v="28"/>
    <x v="44"/>
    <x v="1"/>
    <x v="2"/>
    <x v="3"/>
    <x v="0"/>
    <x v="765"/>
    <x v="2"/>
    <n v="0"/>
    <x v="11"/>
    <n v="0"/>
    <x v="8"/>
    <x v="3"/>
  </r>
  <r>
    <n v="4065"/>
    <x v="29"/>
    <x v="47"/>
    <x v="0"/>
    <x v="3"/>
    <x v="1"/>
    <x v="2"/>
    <x v="766"/>
    <x v="2"/>
    <n v="1"/>
    <x v="291"/>
    <n v="3"/>
    <x v="12"/>
    <x v="2"/>
  </r>
  <r>
    <n v="869"/>
    <x v="29"/>
    <x v="16"/>
    <x v="1"/>
    <x v="1"/>
    <x v="0"/>
    <x v="0"/>
    <x v="767"/>
    <x v="2"/>
    <n v="1"/>
    <x v="292"/>
    <n v="2"/>
    <x v="11"/>
    <x v="1"/>
  </r>
  <r>
    <n v="1574"/>
    <x v="29"/>
    <x v="8"/>
    <x v="0"/>
    <x v="2"/>
    <x v="0"/>
    <x v="0"/>
    <x v="768"/>
    <x v="0"/>
    <n v="1"/>
    <x v="293"/>
    <n v="4"/>
    <x v="9"/>
    <x v="2"/>
  </r>
  <r>
    <n v="81"/>
    <x v="29"/>
    <x v="8"/>
    <x v="1"/>
    <x v="0"/>
    <x v="0"/>
    <x v="0"/>
    <x v="241"/>
    <x v="6"/>
    <n v="1"/>
    <x v="294"/>
    <n v="2"/>
    <x v="7"/>
    <x v="0"/>
  </r>
  <r>
    <n v="2990"/>
    <x v="29"/>
    <x v="43"/>
    <x v="0"/>
    <x v="2"/>
    <x v="1"/>
    <x v="2"/>
    <x v="769"/>
    <x v="2"/>
    <n v="1"/>
    <x v="295"/>
    <n v="2"/>
    <x v="14"/>
    <x v="1"/>
  </r>
  <r>
    <n v="3429"/>
    <x v="29"/>
    <x v="34"/>
    <x v="0"/>
    <x v="3"/>
    <x v="1"/>
    <x v="3"/>
    <x v="770"/>
    <x v="8"/>
    <n v="1"/>
    <x v="296"/>
    <n v="3"/>
    <x v="6"/>
    <x v="0"/>
  </r>
  <r>
    <n v="8"/>
    <x v="29"/>
    <x v="39"/>
    <x v="0"/>
    <x v="3"/>
    <x v="2"/>
    <x v="0"/>
    <x v="771"/>
    <x v="5"/>
    <n v="1"/>
    <x v="297"/>
    <n v="6"/>
    <x v="10"/>
    <x v="0"/>
  </r>
  <r>
    <n v="2996"/>
    <x v="29"/>
    <x v="20"/>
    <x v="0"/>
    <x v="3"/>
    <x v="0"/>
    <x v="0"/>
    <x v="772"/>
    <x v="4"/>
    <n v="1"/>
    <x v="298"/>
    <n v="3"/>
    <x v="3"/>
    <x v="0"/>
  </r>
  <r>
    <n v="2498"/>
    <x v="29"/>
    <x v="13"/>
    <x v="0"/>
    <x v="1"/>
    <x v="3"/>
    <x v="0"/>
    <x v="773"/>
    <x v="8"/>
    <n v="1"/>
    <x v="299"/>
    <n v="2"/>
    <x v="12"/>
    <x v="1"/>
  </r>
  <r>
    <n v="1853"/>
    <x v="29"/>
    <x v="23"/>
    <x v="0"/>
    <x v="3"/>
    <x v="3"/>
    <x v="0"/>
    <x v="215"/>
    <x v="2"/>
    <n v="1"/>
    <x v="300"/>
    <n v="2"/>
    <x v="0"/>
    <x v="0"/>
  </r>
  <r>
    <n v="1686"/>
    <x v="29"/>
    <x v="0"/>
    <x v="1"/>
    <x v="3"/>
    <x v="2"/>
    <x v="0"/>
    <x v="774"/>
    <x v="4"/>
    <n v="1"/>
    <x v="301"/>
    <n v="4"/>
    <x v="10"/>
    <x v="0"/>
  </r>
  <r>
    <n v="2198"/>
    <x v="29"/>
    <x v="17"/>
    <x v="0"/>
    <x v="0"/>
    <x v="2"/>
    <x v="0"/>
    <x v="775"/>
    <x v="4"/>
    <n v="1"/>
    <x v="302"/>
    <n v="2"/>
    <x v="0"/>
    <x v="1"/>
  </r>
  <r>
    <n v="1500"/>
    <x v="29"/>
    <x v="4"/>
    <x v="1"/>
    <x v="1"/>
    <x v="1"/>
    <x v="5"/>
    <x v="776"/>
    <x v="5"/>
    <n v="1"/>
    <x v="303"/>
    <n v="2"/>
    <x v="15"/>
    <x v="0"/>
  </r>
  <r>
    <n v="1123"/>
    <x v="29"/>
    <x v="16"/>
    <x v="0"/>
    <x v="1"/>
    <x v="2"/>
    <x v="0"/>
    <x v="777"/>
    <x v="5"/>
    <n v="1"/>
    <x v="304"/>
    <n v="2"/>
    <x v="6"/>
    <x v="0"/>
  </r>
  <r>
    <n v="2958"/>
    <x v="29"/>
    <x v="10"/>
    <x v="1"/>
    <x v="0"/>
    <x v="0"/>
    <x v="0"/>
    <x v="778"/>
    <x v="8"/>
    <n v="1"/>
    <x v="305"/>
    <n v="2"/>
    <x v="12"/>
    <x v="2"/>
  </r>
  <r>
    <n v="575"/>
    <x v="29"/>
    <x v="10"/>
    <x v="0"/>
    <x v="1"/>
    <x v="0"/>
    <x v="0"/>
    <x v="779"/>
    <x v="9"/>
    <n v="1"/>
    <x v="306"/>
    <n v="2"/>
    <x v="9"/>
    <x v="0"/>
  </r>
  <r>
    <n v="530"/>
    <x v="29"/>
    <x v="20"/>
    <x v="1"/>
    <x v="1"/>
    <x v="0"/>
    <x v="0"/>
    <x v="780"/>
    <x v="4"/>
    <n v="1"/>
    <x v="307"/>
    <n v="3"/>
    <x v="15"/>
    <x v="0"/>
  </r>
  <r>
    <n v="4041"/>
    <x v="29"/>
    <x v="30"/>
    <x v="0"/>
    <x v="0"/>
    <x v="0"/>
    <x v="0"/>
    <x v="781"/>
    <x v="8"/>
    <n v="0"/>
    <x v="11"/>
    <n v="0"/>
    <x v="8"/>
    <x v="3"/>
  </r>
  <r>
    <n v="514"/>
    <x v="29"/>
    <x v="24"/>
    <x v="0"/>
    <x v="1"/>
    <x v="2"/>
    <x v="0"/>
    <x v="782"/>
    <x v="8"/>
    <n v="0"/>
    <x v="11"/>
    <n v="0"/>
    <x v="8"/>
    <x v="3"/>
  </r>
  <r>
    <n v="3545"/>
    <x v="29"/>
    <x v="14"/>
    <x v="1"/>
    <x v="0"/>
    <x v="1"/>
    <x v="3"/>
    <x v="783"/>
    <x v="0"/>
    <n v="0"/>
    <x v="11"/>
    <n v="0"/>
    <x v="8"/>
    <x v="3"/>
  </r>
  <r>
    <n v="4455"/>
    <x v="29"/>
    <x v="40"/>
    <x v="1"/>
    <x v="0"/>
    <x v="3"/>
    <x v="0"/>
    <x v="80"/>
    <x v="5"/>
    <n v="0"/>
    <x v="11"/>
    <n v="0"/>
    <x v="8"/>
    <x v="3"/>
  </r>
  <r>
    <n v="4756"/>
    <x v="29"/>
    <x v="11"/>
    <x v="0"/>
    <x v="2"/>
    <x v="0"/>
    <x v="0"/>
    <x v="784"/>
    <x v="0"/>
    <n v="0"/>
    <x v="11"/>
    <n v="0"/>
    <x v="8"/>
    <x v="3"/>
  </r>
  <r>
    <n v="1237"/>
    <x v="29"/>
    <x v="22"/>
    <x v="1"/>
    <x v="2"/>
    <x v="0"/>
    <x v="0"/>
    <x v="785"/>
    <x v="8"/>
    <n v="0"/>
    <x v="11"/>
    <n v="0"/>
    <x v="8"/>
    <x v="3"/>
  </r>
  <r>
    <n v="2488"/>
    <x v="29"/>
    <x v="20"/>
    <x v="0"/>
    <x v="3"/>
    <x v="0"/>
    <x v="0"/>
    <x v="786"/>
    <x v="5"/>
    <n v="0"/>
    <x v="11"/>
    <n v="0"/>
    <x v="8"/>
    <x v="3"/>
  </r>
  <r>
    <n v="680"/>
    <x v="29"/>
    <x v="31"/>
    <x v="0"/>
    <x v="2"/>
    <x v="0"/>
    <x v="0"/>
    <x v="341"/>
    <x v="2"/>
    <n v="0"/>
    <x v="11"/>
    <n v="0"/>
    <x v="8"/>
    <x v="3"/>
  </r>
  <r>
    <n v="4634"/>
    <x v="29"/>
    <x v="32"/>
    <x v="1"/>
    <x v="3"/>
    <x v="0"/>
    <x v="0"/>
    <x v="787"/>
    <x v="4"/>
    <n v="0"/>
    <x v="11"/>
    <n v="0"/>
    <x v="8"/>
    <x v="3"/>
  </r>
  <r>
    <n v="3076"/>
    <x v="29"/>
    <x v="19"/>
    <x v="0"/>
    <x v="2"/>
    <x v="0"/>
    <x v="0"/>
    <x v="788"/>
    <x v="2"/>
    <n v="0"/>
    <x v="11"/>
    <n v="0"/>
    <x v="8"/>
    <x v="3"/>
  </r>
  <r>
    <n v="4755"/>
    <x v="29"/>
    <x v="55"/>
    <x v="0"/>
    <x v="1"/>
    <x v="1"/>
    <x v="1"/>
    <x v="220"/>
    <x v="8"/>
    <n v="0"/>
    <x v="11"/>
    <n v="0"/>
    <x v="8"/>
    <x v="3"/>
  </r>
  <r>
    <n v="4521"/>
    <x v="29"/>
    <x v="1"/>
    <x v="0"/>
    <x v="0"/>
    <x v="2"/>
    <x v="0"/>
    <x v="789"/>
    <x v="2"/>
    <n v="0"/>
    <x v="11"/>
    <n v="0"/>
    <x v="8"/>
    <x v="3"/>
  </r>
  <r>
    <n v="3570"/>
    <x v="29"/>
    <x v="32"/>
    <x v="0"/>
    <x v="1"/>
    <x v="1"/>
    <x v="6"/>
    <x v="790"/>
    <x v="5"/>
    <n v="0"/>
    <x v="11"/>
    <n v="0"/>
    <x v="8"/>
    <x v="3"/>
  </r>
  <r>
    <n v="1027"/>
    <x v="29"/>
    <x v="22"/>
    <x v="0"/>
    <x v="2"/>
    <x v="0"/>
    <x v="0"/>
    <x v="791"/>
    <x v="2"/>
    <n v="0"/>
    <x v="11"/>
    <n v="0"/>
    <x v="8"/>
    <x v="3"/>
  </r>
  <r>
    <n v="3497"/>
    <x v="29"/>
    <x v="10"/>
    <x v="0"/>
    <x v="0"/>
    <x v="1"/>
    <x v="1"/>
    <x v="684"/>
    <x v="1"/>
    <n v="0"/>
    <x v="11"/>
    <n v="0"/>
    <x v="8"/>
    <x v="3"/>
  </r>
  <r>
    <n v="1234"/>
    <x v="30"/>
    <x v="31"/>
    <x v="1"/>
    <x v="0"/>
    <x v="1"/>
    <x v="7"/>
    <x v="792"/>
    <x v="8"/>
    <n v="1"/>
    <x v="308"/>
    <n v="5"/>
    <x v="11"/>
    <x v="0"/>
  </r>
  <r>
    <n v="4100"/>
    <x v="30"/>
    <x v="29"/>
    <x v="1"/>
    <x v="3"/>
    <x v="2"/>
    <x v="0"/>
    <x v="793"/>
    <x v="2"/>
    <n v="1"/>
    <x v="309"/>
    <n v="3"/>
    <x v="12"/>
    <x v="2"/>
  </r>
  <r>
    <n v="1301"/>
    <x v="30"/>
    <x v="16"/>
    <x v="1"/>
    <x v="3"/>
    <x v="0"/>
    <x v="0"/>
    <x v="794"/>
    <x v="0"/>
    <n v="1"/>
    <x v="310"/>
    <n v="3"/>
    <x v="11"/>
    <x v="0"/>
  </r>
  <r>
    <n v="1160"/>
    <x v="30"/>
    <x v="19"/>
    <x v="1"/>
    <x v="3"/>
    <x v="0"/>
    <x v="0"/>
    <x v="643"/>
    <x v="6"/>
    <n v="1"/>
    <x v="311"/>
    <n v="1"/>
    <x v="14"/>
    <x v="1"/>
  </r>
  <r>
    <n v="3504"/>
    <x v="30"/>
    <x v="44"/>
    <x v="0"/>
    <x v="2"/>
    <x v="0"/>
    <x v="0"/>
    <x v="795"/>
    <x v="2"/>
    <n v="1"/>
    <x v="312"/>
    <n v="4"/>
    <x v="9"/>
    <x v="1"/>
  </r>
  <r>
    <n v="3795"/>
    <x v="30"/>
    <x v="52"/>
    <x v="1"/>
    <x v="0"/>
    <x v="0"/>
    <x v="0"/>
    <x v="259"/>
    <x v="6"/>
    <n v="1"/>
    <x v="313"/>
    <n v="3"/>
    <x v="11"/>
    <x v="0"/>
  </r>
  <r>
    <n v="3489"/>
    <x v="30"/>
    <x v="26"/>
    <x v="0"/>
    <x v="1"/>
    <x v="0"/>
    <x v="0"/>
    <x v="796"/>
    <x v="8"/>
    <n v="1"/>
    <x v="314"/>
    <n v="4"/>
    <x v="11"/>
    <x v="0"/>
  </r>
  <r>
    <n v="3696"/>
    <x v="30"/>
    <x v="5"/>
    <x v="1"/>
    <x v="3"/>
    <x v="1"/>
    <x v="4"/>
    <x v="797"/>
    <x v="6"/>
    <n v="1"/>
    <x v="315"/>
    <n v="4"/>
    <x v="6"/>
    <x v="0"/>
  </r>
  <r>
    <n v="3842"/>
    <x v="30"/>
    <x v="53"/>
    <x v="1"/>
    <x v="2"/>
    <x v="0"/>
    <x v="0"/>
    <x v="798"/>
    <x v="5"/>
    <n v="0"/>
    <x v="11"/>
    <n v="0"/>
    <x v="8"/>
    <x v="3"/>
  </r>
  <r>
    <n v="3963"/>
    <x v="30"/>
    <x v="50"/>
    <x v="1"/>
    <x v="1"/>
    <x v="0"/>
    <x v="0"/>
    <x v="799"/>
    <x v="1"/>
    <n v="0"/>
    <x v="11"/>
    <n v="0"/>
    <x v="8"/>
    <x v="3"/>
  </r>
  <r>
    <n v="101"/>
    <x v="30"/>
    <x v="8"/>
    <x v="1"/>
    <x v="1"/>
    <x v="1"/>
    <x v="5"/>
    <x v="108"/>
    <x v="0"/>
    <n v="0"/>
    <x v="11"/>
    <n v="0"/>
    <x v="8"/>
    <x v="3"/>
  </r>
  <r>
    <n v="1340"/>
    <x v="30"/>
    <x v="19"/>
    <x v="1"/>
    <x v="0"/>
    <x v="1"/>
    <x v="4"/>
    <x v="800"/>
    <x v="2"/>
    <n v="0"/>
    <x v="11"/>
    <n v="0"/>
    <x v="8"/>
    <x v="3"/>
  </r>
  <r>
    <n v="3383"/>
    <x v="30"/>
    <x v="13"/>
    <x v="1"/>
    <x v="3"/>
    <x v="1"/>
    <x v="3"/>
    <x v="801"/>
    <x v="5"/>
    <n v="0"/>
    <x v="11"/>
    <n v="0"/>
    <x v="8"/>
    <x v="3"/>
  </r>
  <r>
    <n v="1455"/>
    <x v="30"/>
    <x v="24"/>
    <x v="0"/>
    <x v="3"/>
    <x v="1"/>
    <x v="5"/>
    <x v="802"/>
    <x v="8"/>
    <n v="0"/>
    <x v="11"/>
    <n v="0"/>
    <x v="8"/>
    <x v="3"/>
  </r>
  <r>
    <n v="975"/>
    <x v="30"/>
    <x v="0"/>
    <x v="1"/>
    <x v="3"/>
    <x v="3"/>
    <x v="0"/>
    <x v="803"/>
    <x v="5"/>
    <n v="0"/>
    <x v="11"/>
    <n v="0"/>
    <x v="8"/>
    <x v="3"/>
  </r>
  <r>
    <n v="2419"/>
    <x v="30"/>
    <x v="43"/>
    <x v="0"/>
    <x v="2"/>
    <x v="1"/>
    <x v="7"/>
    <x v="804"/>
    <x v="0"/>
    <n v="0"/>
    <x v="11"/>
    <n v="0"/>
    <x v="8"/>
    <x v="3"/>
  </r>
  <r>
    <n v="1436"/>
    <x v="30"/>
    <x v="8"/>
    <x v="1"/>
    <x v="2"/>
    <x v="2"/>
    <x v="0"/>
    <x v="464"/>
    <x v="8"/>
    <n v="0"/>
    <x v="11"/>
    <n v="0"/>
    <x v="8"/>
    <x v="3"/>
  </r>
  <r>
    <n v="3655"/>
    <x v="30"/>
    <x v="4"/>
    <x v="1"/>
    <x v="1"/>
    <x v="0"/>
    <x v="0"/>
    <x v="805"/>
    <x v="0"/>
    <n v="0"/>
    <x v="11"/>
    <n v="0"/>
    <x v="8"/>
    <x v="3"/>
  </r>
  <r>
    <n v="2830"/>
    <x v="30"/>
    <x v="26"/>
    <x v="1"/>
    <x v="2"/>
    <x v="0"/>
    <x v="0"/>
    <x v="806"/>
    <x v="0"/>
    <n v="0"/>
    <x v="11"/>
    <n v="0"/>
    <x v="8"/>
    <x v="3"/>
  </r>
  <r>
    <n v="291"/>
    <x v="30"/>
    <x v="4"/>
    <x v="0"/>
    <x v="1"/>
    <x v="0"/>
    <x v="0"/>
    <x v="807"/>
    <x v="4"/>
    <n v="0"/>
    <x v="11"/>
    <n v="0"/>
    <x v="8"/>
    <x v="3"/>
  </r>
  <r>
    <n v="1289"/>
    <x v="30"/>
    <x v="31"/>
    <x v="0"/>
    <x v="1"/>
    <x v="1"/>
    <x v="1"/>
    <x v="808"/>
    <x v="2"/>
    <n v="0"/>
    <x v="11"/>
    <n v="0"/>
    <x v="8"/>
    <x v="3"/>
  </r>
  <r>
    <n v="1248"/>
    <x v="30"/>
    <x v="31"/>
    <x v="0"/>
    <x v="2"/>
    <x v="0"/>
    <x v="0"/>
    <x v="809"/>
    <x v="0"/>
    <n v="0"/>
    <x v="11"/>
    <n v="0"/>
    <x v="8"/>
    <x v="3"/>
  </r>
  <r>
    <n v="2183"/>
    <x v="30"/>
    <x v="44"/>
    <x v="0"/>
    <x v="2"/>
    <x v="0"/>
    <x v="0"/>
    <x v="810"/>
    <x v="9"/>
    <n v="0"/>
    <x v="11"/>
    <n v="0"/>
    <x v="8"/>
    <x v="3"/>
  </r>
  <r>
    <n v="558"/>
    <x v="30"/>
    <x v="39"/>
    <x v="1"/>
    <x v="0"/>
    <x v="0"/>
    <x v="0"/>
    <x v="811"/>
    <x v="6"/>
    <n v="0"/>
    <x v="11"/>
    <n v="0"/>
    <x v="8"/>
    <x v="3"/>
  </r>
  <r>
    <n v="4371"/>
    <x v="31"/>
    <x v="25"/>
    <x v="1"/>
    <x v="3"/>
    <x v="2"/>
    <x v="0"/>
    <x v="812"/>
    <x v="6"/>
    <n v="1"/>
    <x v="316"/>
    <n v="3"/>
    <x v="2"/>
    <x v="2"/>
  </r>
  <r>
    <n v="2505"/>
    <x v="31"/>
    <x v="16"/>
    <x v="1"/>
    <x v="2"/>
    <x v="3"/>
    <x v="0"/>
    <x v="813"/>
    <x v="2"/>
    <n v="1"/>
    <x v="317"/>
    <n v="1"/>
    <x v="12"/>
    <x v="0"/>
  </r>
  <r>
    <n v="2492"/>
    <x v="31"/>
    <x v="22"/>
    <x v="0"/>
    <x v="1"/>
    <x v="3"/>
    <x v="0"/>
    <x v="814"/>
    <x v="12"/>
    <n v="1"/>
    <x v="318"/>
    <n v="2"/>
    <x v="2"/>
    <x v="0"/>
  </r>
  <r>
    <n v="2466"/>
    <x v="31"/>
    <x v="34"/>
    <x v="0"/>
    <x v="3"/>
    <x v="1"/>
    <x v="2"/>
    <x v="815"/>
    <x v="6"/>
    <n v="1"/>
    <x v="319"/>
    <n v="2"/>
    <x v="14"/>
    <x v="1"/>
  </r>
  <r>
    <n v="1439"/>
    <x v="31"/>
    <x v="4"/>
    <x v="0"/>
    <x v="2"/>
    <x v="1"/>
    <x v="5"/>
    <x v="816"/>
    <x v="1"/>
    <n v="1"/>
    <x v="320"/>
    <n v="1"/>
    <x v="3"/>
    <x v="1"/>
  </r>
  <r>
    <n v="3051"/>
    <x v="31"/>
    <x v="17"/>
    <x v="1"/>
    <x v="0"/>
    <x v="0"/>
    <x v="0"/>
    <x v="817"/>
    <x v="5"/>
    <n v="1"/>
    <x v="321"/>
    <n v="1"/>
    <x v="7"/>
    <x v="2"/>
  </r>
  <r>
    <n v="4881"/>
    <x v="31"/>
    <x v="21"/>
    <x v="0"/>
    <x v="3"/>
    <x v="3"/>
    <x v="0"/>
    <x v="818"/>
    <x v="8"/>
    <n v="1"/>
    <x v="322"/>
    <n v="1"/>
    <x v="11"/>
    <x v="0"/>
  </r>
  <r>
    <n v="896"/>
    <x v="31"/>
    <x v="2"/>
    <x v="1"/>
    <x v="3"/>
    <x v="1"/>
    <x v="5"/>
    <x v="819"/>
    <x v="0"/>
    <n v="1"/>
    <x v="323"/>
    <n v="2"/>
    <x v="7"/>
    <x v="0"/>
  </r>
  <r>
    <n v="3135"/>
    <x v="31"/>
    <x v="27"/>
    <x v="0"/>
    <x v="1"/>
    <x v="1"/>
    <x v="5"/>
    <x v="820"/>
    <x v="6"/>
    <n v="1"/>
    <x v="324"/>
    <n v="4"/>
    <x v="2"/>
    <x v="0"/>
  </r>
  <r>
    <n v="1627"/>
    <x v="31"/>
    <x v="24"/>
    <x v="1"/>
    <x v="0"/>
    <x v="0"/>
    <x v="0"/>
    <x v="821"/>
    <x v="11"/>
    <n v="1"/>
    <x v="325"/>
    <n v="1"/>
    <x v="15"/>
    <x v="0"/>
  </r>
  <r>
    <n v="1894"/>
    <x v="31"/>
    <x v="5"/>
    <x v="0"/>
    <x v="0"/>
    <x v="0"/>
    <x v="0"/>
    <x v="822"/>
    <x v="2"/>
    <n v="1"/>
    <x v="326"/>
    <n v="5"/>
    <x v="4"/>
    <x v="0"/>
  </r>
  <r>
    <n v="4962"/>
    <x v="31"/>
    <x v="25"/>
    <x v="0"/>
    <x v="3"/>
    <x v="0"/>
    <x v="0"/>
    <x v="823"/>
    <x v="5"/>
    <n v="0"/>
    <x v="11"/>
    <n v="0"/>
    <x v="8"/>
    <x v="3"/>
  </r>
  <r>
    <n v="3083"/>
    <x v="31"/>
    <x v="3"/>
    <x v="1"/>
    <x v="2"/>
    <x v="3"/>
    <x v="0"/>
    <x v="824"/>
    <x v="6"/>
    <n v="0"/>
    <x v="11"/>
    <n v="0"/>
    <x v="8"/>
    <x v="3"/>
  </r>
  <r>
    <n v="4723"/>
    <x v="31"/>
    <x v="44"/>
    <x v="0"/>
    <x v="3"/>
    <x v="0"/>
    <x v="0"/>
    <x v="825"/>
    <x v="5"/>
    <n v="0"/>
    <x v="11"/>
    <n v="0"/>
    <x v="8"/>
    <x v="3"/>
  </r>
  <r>
    <n v="3261"/>
    <x v="31"/>
    <x v="43"/>
    <x v="0"/>
    <x v="2"/>
    <x v="0"/>
    <x v="0"/>
    <x v="826"/>
    <x v="1"/>
    <n v="0"/>
    <x v="11"/>
    <n v="0"/>
    <x v="8"/>
    <x v="3"/>
  </r>
  <r>
    <n v="1296"/>
    <x v="31"/>
    <x v="20"/>
    <x v="0"/>
    <x v="2"/>
    <x v="0"/>
    <x v="0"/>
    <x v="827"/>
    <x v="11"/>
    <n v="0"/>
    <x v="11"/>
    <n v="0"/>
    <x v="8"/>
    <x v="3"/>
  </r>
  <r>
    <n v="2878"/>
    <x v="31"/>
    <x v="20"/>
    <x v="1"/>
    <x v="1"/>
    <x v="2"/>
    <x v="0"/>
    <x v="828"/>
    <x v="6"/>
    <n v="0"/>
    <x v="11"/>
    <n v="0"/>
    <x v="8"/>
    <x v="3"/>
  </r>
  <r>
    <n v="3656"/>
    <x v="31"/>
    <x v="6"/>
    <x v="0"/>
    <x v="1"/>
    <x v="1"/>
    <x v="5"/>
    <x v="829"/>
    <x v="8"/>
    <n v="0"/>
    <x v="11"/>
    <n v="0"/>
    <x v="8"/>
    <x v="3"/>
  </r>
  <r>
    <n v="4050"/>
    <x v="31"/>
    <x v="28"/>
    <x v="1"/>
    <x v="0"/>
    <x v="3"/>
    <x v="0"/>
    <x v="830"/>
    <x v="8"/>
    <n v="0"/>
    <x v="11"/>
    <n v="0"/>
    <x v="8"/>
    <x v="3"/>
  </r>
  <r>
    <n v="2093"/>
    <x v="31"/>
    <x v="22"/>
    <x v="1"/>
    <x v="3"/>
    <x v="1"/>
    <x v="3"/>
    <x v="831"/>
    <x v="5"/>
    <n v="0"/>
    <x v="11"/>
    <n v="0"/>
    <x v="8"/>
    <x v="3"/>
  </r>
  <r>
    <n v="729"/>
    <x v="31"/>
    <x v="19"/>
    <x v="0"/>
    <x v="2"/>
    <x v="3"/>
    <x v="0"/>
    <x v="832"/>
    <x v="5"/>
    <n v="0"/>
    <x v="11"/>
    <n v="0"/>
    <x v="8"/>
    <x v="3"/>
  </r>
  <r>
    <n v="2073"/>
    <x v="31"/>
    <x v="13"/>
    <x v="0"/>
    <x v="1"/>
    <x v="3"/>
    <x v="0"/>
    <x v="833"/>
    <x v="1"/>
    <n v="0"/>
    <x v="11"/>
    <n v="0"/>
    <x v="8"/>
    <x v="3"/>
  </r>
  <r>
    <n v="3348"/>
    <x v="31"/>
    <x v="26"/>
    <x v="0"/>
    <x v="3"/>
    <x v="3"/>
    <x v="0"/>
    <x v="740"/>
    <x v="4"/>
    <n v="0"/>
    <x v="11"/>
    <n v="0"/>
    <x v="8"/>
    <x v="3"/>
  </r>
  <r>
    <n v="1257"/>
    <x v="31"/>
    <x v="2"/>
    <x v="0"/>
    <x v="1"/>
    <x v="1"/>
    <x v="2"/>
    <x v="834"/>
    <x v="8"/>
    <n v="0"/>
    <x v="11"/>
    <n v="0"/>
    <x v="8"/>
    <x v="3"/>
  </r>
  <r>
    <n v="2067"/>
    <x v="31"/>
    <x v="3"/>
    <x v="1"/>
    <x v="2"/>
    <x v="1"/>
    <x v="1"/>
    <x v="835"/>
    <x v="2"/>
    <n v="0"/>
    <x v="11"/>
    <n v="0"/>
    <x v="8"/>
    <x v="3"/>
  </r>
  <r>
    <n v="2112"/>
    <x v="31"/>
    <x v="43"/>
    <x v="1"/>
    <x v="2"/>
    <x v="0"/>
    <x v="0"/>
    <x v="836"/>
    <x v="8"/>
    <n v="0"/>
    <x v="11"/>
    <n v="0"/>
    <x v="8"/>
    <x v="3"/>
  </r>
  <r>
    <n v="855"/>
    <x v="31"/>
    <x v="6"/>
    <x v="0"/>
    <x v="0"/>
    <x v="0"/>
    <x v="0"/>
    <x v="837"/>
    <x v="2"/>
    <n v="0"/>
    <x v="11"/>
    <n v="0"/>
    <x v="8"/>
    <x v="3"/>
  </r>
  <r>
    <n v="3290"/>
    <x v="31"/>
    <x v="30"/>
    <x v="1"/>
    <x v="1"/>
    <x v="0"/>
    <x v="0"/>
    <x v="838"/>
    <x v="6"/>
    <n v="0"/>
    <x v="11"/>
    <n v="0"/>
    <x v="8"/>
    <x v="3"/>
  </r>
  <r>
    <n v="1906"/>
    <x v="31"/>
    <x v="6"/>
    <x v="1"/>
    <x v="2"/>
    <x v="0"/>
    <x v="0"/>
    <x v="839"/>
    <x v="8"/>
    <n v="0"/>
    <x v="11"/>
    <n v="0"/>
    <x v="8"/>
    <x v="3"/>
  </r>
  <r>
    <n v="661"/>
    <x v="32"/>
    <x v="23"/>
    <x v="1"/>
    <x v="3"/>
    <x v="1"/>
    <x v="1"/>
    <x v="840"/>
    <x v="7"/>
    <n v="1"/>
    <x v="327"/>
    <n v="5"/>
    <x v="12"/>
    <x v="2"/>
  </r>
  <r>
    <n v="4007"/>
    <x v="32"/>
    <x v="48"/>
    <x v="1"/>
    <x v="2"/>
    <x v="0"/>
    <x v="0"/>
    <x v="841"/>
    <x v="8"/>
    <n v="1"/>
    <x v="328"/>
    <n v="3"/>
    <x v="3"/>
    <x v="0"/>
  </r>
  <r>
    <n v="3414"/>
    <x v="32"/>
    <x v="43"/>
    <x v="0"/>
    <x v="0"/>
    <x v="0"/>
    <x v="0"/>
    <x v="842"/>
    <x v="2"/>
    <n v="1"/>
    <x v="329"/>
    <n v="1"/>
    <x v="11"/>
    <x v="0"/>
  </r>
  <r>
    <n v="4404"/>
    <x v="32"/>
    <x v="21"/>
    <x v="0"/>
    <x v="3"/>
    <x v="0"/>
    <x v="0"/>
    <x v="843"/>
    <x v="0"/>
    <n v="1"/>
    <x v="330"/>
    <n v="1"/>
    <x v="2"/>
    <x v="2"/>
  </r>
  <r>
    <n v="4957"/>
    <x v="32"/>
    <x v="13"/>
    <x v="0"/>
    <x v="1"/>
    <x v="3"/>
    <x v="0"/>
    <x v="844"/>
    <x v="2"/>
    <n v="1"/>
    <x v="331"/>
    <n v="3"/>
    <x v="9"/>
    <x v="0"/>
  </r>
  <r>
    <n v="2820"/>
    <x v="32"/>
    <x v="23"/>
    <x v="1"/>
    <x v="2"/>
    <x v="2"/>
    <x v="0"/>
    <x v="845"/>
    <x v="5"/>
    <n v="1"/>
    <x v="332"/>
    <n v="2"/>
    <x v="10"/>
    <x v="2"/>
  </r>
  <r>
    <n v="3817"/>
    <x v="32"/>
    <x v="11"/>
    <x v="0"/>
    <x v="2"/>
    <x v="0"/>
    <x v="0"/>
    <x v="846"/>
    <x v="2"/>
    <n v="1"/>
    <x v="333"/>
    <n v="1"/>
    <x v="1"/>
    <x v="1"/>
  </r>
  <r>
    <n v="64"/>
    <x v="32"/>
    <x v="19"/>
    <x v="1"/>
    <x v="1"/>
    <x v="0"/>
    <x v="0"/>
    <x v="771"/>
    <x v="1"/>
    <n v="1"/>
    <x v="334"/>
    <n v="3"/>
    <x v="5"/>
    <x v="0"/>
  </r>
  <r>
    <n v="735"/>
    <x v="32"/>
    <x v="19"/>
    <x v="1"/>
    <x v="0"/>
    <x v="0"/>
    <x v="0"/>
    <x v="381"/>
    <x v="0"/>
    <n v="1"/>
    <x v="335"/>
    <n v="3"/>
    <x v="9"/>
    <x v="2"/>
  </r>
  <r>
    <n v="966"/>
    <x v="32"/>
    <x v="39"/>
    <x v="0"/>
    <x v="1"/>
    <x v="1"/>
    <x v="7"/>
    <x v="847"/>
    <x v="6"/>
    <n v="1"/>
    <x v="336"/>
    <n v="3"/>
    <x v="0"/>
    <x v="1"/>
  </r>
  <r>
    <n v="1654"/>
    <x v="32"/>
    <x v="8"/>
    <x v="1"/>
    <x v="1"/>
    <x v="2"/>
    <x v="0"/>
    <x v="848"/>
    <x v="6"/>
    <n v="1"/>
    <x v="337"/>
    <n v="2"/>
    <x v="9"/>
    <x v="1"/>
  </r>
  <r>
    <n v="294"/>
    <x v="32"/>
    <x v="39"/>
    <x v="1"/>
    <x v="0"/>
    <x v="0"/>
    <x v="0"/>
    <x v="849"/>
    <x v="0"/>
    <n v="1"/>
    <x v="338"/>
    <n v="2"/>
    <x v="0"/>
    <x v="1"/>
  </r>
  <r>
    <n v="79"/>
    <x v="32"/>
    <x v="11"/>
    <x v="0"/>
    <x v="2"/>
    <x v="1"/>
    <x v="6"/>
    <x v="850"/>
    <x v="5"/>
    <n v="0"/>
    <x v="11"/>
    <n v="0"/>
    <x v="8"/>
    <x v="3"/>
  </r>
  <r>
    <n v="995"/>
    <x v="32"/>
    <x v="7"/>
    <x v="0"/>
    <x v="0"/>
    <x v="1"/>
    <x v="7"/>
    <x v="851"/>
    <x v="11"/>
    <n v="0"/>
    <x v="11"/>
    <n v="0"/>
    <x v="8"/>
    <x v="3"/>
  </r>
  <r>
    <n v="2617"/>
    <x v="32"/>
    <x v="41"/>
    <x v="0"/>
    <x v="1"/>
    <x v="0"/>
    <x v="0"/>
    <x v="852"/>
    <x v="5"/>
    <n v="0"/>
    <x v="11"/>
    <n v="0"/>
    <x v="8"/>
    <x v="3"/>
  </r>
  <r>
    <n v="4030"/>
    <x v="32"/>
    <x v="42"/>
    <x v="1"/>
    <x v="0"/>
    <x v="3"/>
    <x v="0"/>
    <x v="853"/>
    <x v="0"/>
    <n v="0"/>
    <x v="11"/>
    <n v="0"/>
    <x v="8"/>
    <x v="3"/>
  </r>
  <r>
    <n v="2646"/>
    <x v="32"/>
    <x v="23"/>
    <x v="1"/>
    <x v="1"/>
    <x v="0"/>
    <x v="0"/>
    <x v="427"/>
    <x v="1"/>
    <n v="0"/>
    <x v="11"/>
    <n v="0"/>
    <x v="8"/>
    <x v="3"/>
  </r>
  <r>
    <n v="4154"/>
    <x v="32"/>
    <x v="53"/>
    <x v="0"/>
    <x v="3"/>
    <x v="3"/>
    <x v="0"/>
    <x v="854"/>
    <x v="4"/>
    <n v="0"/>
    <x v="11"/>
    <n v="0"/>
    <x v="8"/>
    <x v="3"/>
  </r>
  <r>
    <n v="331"/>
    <x v="32"/>
    <x v="8"/>
    <x v="0"/>
    <x v="0"/>
    <x v="1"/>
    <x v="6"/>
    <x v="855"/>
    <x v="1"/>
    <n v="0"/>
    <x v="11"/>
    <n v="0"/>
    <x v="8"/>
    <x v="3"/>
  </r>
  <r>
    <n v="4233"/>
    <x v="32"/>
    <x v="14"/>
    <x v="0"/>
    <x v="0"/>
    <x v="0"/>
    <x v="0"/>
    <x v="856"/>
    <x v="2"/>
    <n v="0"/>
    <x v="11"/>
    <n v="0"/>
    <x v="8"/>
    <x v="3"/>
  </r>
  <r>
    <n v="4867"/>
    <x v="32"/>
    <x v="1"/>
    <x v="1"/>
    <x v="0"/>
    <x v="3"/>
    <x v="0"/>
    <x v="857"/>
    <x v="4"/>
    <n v="0"/>
    <x v="11"/>
    <n v="0"/>
    <x v="8"/>
    <x v="3"/>
  </r>
  <r>
    <n v="546"/>
    <x v="32"/>
    <x v="4"/>
    <x v="0"/>
    <x v="0"/>
    <x v="0"/>
    <x v="0"/>
    <x v="858"/>
    <x v="11"/>
    <n v="0"/>
    <x v="11"/>
    <n v="0"/>
    <x v="8"/>
    <x v="3"/>
  </r>
  <r>
    <n v="2579"/>
    <x v="32"/>
    <x v="5"/>
    <x v="0"/>
    <x v="0"/>
    <x v="1"/>
    <x v="1"/>
    <x v="859"/>
    <x v="11"/>
    <n v="0"/>
    <x v="11"/>
    <n v="0"/>
    <x v="8"/>
    <x v="3"/>
  </r>
  <r>
    <n v="1379"/>
    <x v="32"/>
    <x v="24"/>
    <x v="1"/>
    <x v="2"/>
    <x v="0"/>
    <x v="0"/>
    <x v="335"/>
    <x v="5"/>
    <n v="0"/>
    <x v="11"/>
    <n v="0"/>
    <x v="8"/>
    <x v="3"/>
  </r>
  <r>
    <n v="269"/>
    <x v="32"/>
    <x v="22"/>
    <x v="0"/>
    <x v="0"/>
    <x v="1"/>
    <x v="3"/>
    <x v="860"/>
    <x v="12"/>
    <n v="0"/>
    <x v="11"/>
    <n v="0"/>
    <x v="8"/>
    <x v="3"/>
  </r>
  <r>
    <n v="2148"/>
    <x v="32"/>
    <x v="26"/>
    <x v="0"/>
    <x v="1"/>
    <x v="0"/>
    <x v="0"/>
    <x v="861"/>
    <x v="5"/>
    <n v="0"/>
    <x v="11"/>
    <n v="0"/>
    <x v="8"/>
    <x v="3"/>
  </r>
  <r>
    <n v="2846"/>
    <x v="32"/>
    <x v="24"/>
    <x v="1"/>
    <x v="0"/>
    <x v="3"/>
    <x v="0"/>
    <x v="862"/>
    <x v="8"/>
    <n v="0"/>
    <x v="11"/>
    <n v="0"/>
    <x v="8"/>
    <x v="3"/>
  </r>
  <r>
    <n v="4478"/>
    <x v="32"/>
    <x v="14"/>
    <x v="0"/>
    <x v="2"/>
    <x v="3"/>
    <x v="0"/>
    <x v="863"/>
    <x v="11"/>
    <n v="0"/>
    <x v="11"/>
    <n v="0"/>
    <x v="8"/>
    <x v="3"/>
  </r>
  <r>
    <n v="4692"/>
    <x v="32"/>
    <x v="50"/>
    <x v="2"/>
    <x v="1"/>
    <x v="1"/>
    <x v="3"/>
    <x v="864"/>
    <x v="4"/>
    <n v="0"/>
    <x v="11"/>
    <n v="0"/>
    <x v="8"/>
    <x v="3"/>
  </r>
  <r>
    <n v="2850"/>
    <x v="32"/>
    <x v="20"/>
    <x v="0"/>
    <x v="3"/>
    <x v="1"/>
    <x v="6"/>
    <x v="865"/>
    <x v="8"/>
    <n v="0"/>
    <x v="11"/>
    <n v="0"/>
    <x v="8"/>
    <x v="3"/>
  </r>
  <r>
    <n v="3187"/>
    <x v="32"/>
    <x v="34"/>
    <x v="1"/>
    <x v="3"/>
    <x v="3"/>
    <x v="0"/>
    <x v="866"/>
    <x v="16"/>
    <n v="0"/>
    <x v="11"/>
    <n v="0"/>
    <x v="8"/>
    <x v="3"/>
  </r>
  <r>
    <n v="2524"/>
    <x v="32"/>
    <x v="27"/>
    <x v="0"/>
    <x v="3"/>
    <x v="0"/>
    <x v="0"/>
    <x v="867"/>
    <x v="5"/>
    <n v="0"/>
    <x v="11"/>
    <n v="0"/>
    <x v="8"/>
    <x v="3"/>
  </r>
  <r>
    <n v="2767"/>
    <x v="33"/>
    <x v="44"/>
    <x v="0"/>
    <x v="2"/>
    <x v="0"/>
    <x v="0"/>
    <x v="868"/>
    <x v="10"/>
    <n v="1"/>
    <x v="339"/>
    <n v="4"/>
    <x v="1"/>
    <x v="1"/>
  </r>
  <r>
    <n v="1613"/>
    <x v="33"/>
    <x v="7"/>
    <x v="1"/>
    <x v="3"/>
    <x v="1"/>
    <x v="2"/>
    <x v="869"/>
    <x v="5"/>
    <n v="1"/>
    <x v="340"/>
    <n v="2"/>
    <x v="15"/>
    <x v="0"/>
  </r>
  <r>
    <n v="3841"/>
    <x v="33"/>
    <x v="47"/>
    <x v="0"/>
    <x v="2"/>
    <x v="0"/>
    <x v="0"/>
    <x v="870"/>
    <x v="2"/>
    <n v="1"/>
    <x v="341"/>
    <n v="5"/>
    <x v="12"/>
    <x v="0"/>
  </r>
  <r>
    <n v="189"/>
    <x v="33"/>
    <x v="22"/>
    <x v="0"/>
    <x v="3"/>
    <x v="0"/>
    <x v="0"/>
    <x v="871"/>
    <x v="10"/>
    <n v="1"/>
    <x v="342"/>
    <n v="5"/>
    <x v="0"/>
    <x v="0"/>
  </r>
  <r>
    <n v="302"/>
    <x v="33"/>
    <x v="19"/>
    <x v="0"/>
    <x v="3"/>
    <x v="1"/>
    <x v="3"/>
    <x v="872"/>
    <x v="8"/>
    <n v="1"/>
    <x v="343"/>
    <n v="1"/>
    <x v="7"/>
    <x v="1"/>
  </r>
  <r>
    <n v="701"/>
    <x v="33"/>
    <x v="22"/>
    <x v="1"/>
    <x v="0"/>
    <x v="1"/>
    <x v="4"/>
    <x v="873"/>
    <x v="2"/>
    <n v="1"/>
    <x v="344"/>
    <n v="5"/>
    <x v="15"/>
    <x v="0"/>
  </r>
  <r>
    <n v="1052"/>
    <x v="33"/>
    <x v="19"/>
    <x v="0"/>
    <x v="2"/>
    <x v="3"/>
    <x v="0"/>
    <x v="874"/>
    <x v="8"/>
    <n v="0"/>
    <x v="11"/>
    <n v="0"/>
    <x v="8"/>
    <x v="3"/>
  </r>
  <r>
    <n v="3797"/>
    <x v="33"/>
    <x v="25"/>
    <x v="0"/>
    <x v="1"/>
    <x v="1"/>
    <x v="4"/>
    <x v="875"/>
    <x v="4"/>
    <n v="0"/>
    <x v="11"/>
    <n v="0"/>
    <x v="8"/>
    <x v="3"/>
  </r>
  <r>
    <n v="1415"/>
    <x v="33"/>
    <x v="8"/>
    <x v="0"/>
    <x v="2"/>
    <x v="1"/>
    <x v="5"/>
    <x v="876"/>
    <x v="2"/>
    <n v="0"/>
    <x v="11"/>
    <n v="0"/>
    <x v="8"/>
    <x v="3"/>
  </r>
  <r>
    <n v="1826"/>
    <x v="33"/>
    <x v="31"/>
    <x v="1"/>
    <x v="0"/>
    <x v="0"/>
    <x v="0"/>
    <x v="877"/>
    <x v="0"/>
    <n v="0"/>
    <x v="11"/>
    <n v="0"/>
    <x v="8"/>
    <x v="3"/>
  </r>
  <r>
    <n v="4174"/>
    <x v="33"/>
    <x v="29"/>
    <x v="1"/>
    <x v="3"/>
    <x v="1"/>
    <x v="4"/>
    <x v="878"/>
    <x v="6"/>
    <n v="0"/>
    <x v="11"/>
    <n v="0"/>
    <x v="8"/>
    <x v="3"/>
  </r>
  <r>
    <n v="3251"/>
    <x v="33"/>
    <x v="31"/>
    <x v="1"/>
    <x v="3"/>
    <x v="0"/>
    <x v="0"/>
    <x v="879"/>
    <x v="10"/>
    <n v="0"/>
    <x v="11"/>
    <n v="0"/>
    <x v="8"/>
    <x v="3"/>
  </r>
  <r>
    <n v="637"/>
    <x v="33"/>
    <x v="4"/>
    <x v="1"/>
    <x v="3"/>
    <x v="1"/>
    <x v="7"/>
    <x v="880"/>
    <x v="8"/>
    <n v="0"/>
    <x v="11"/>
    <n v="0"/>
    <x v="8"/>
    <x v="3"/>
  </r>
  <r>
    <n v="2015"/>
    <x v="33"/>
    <x v="31"/>
    <x v="1"/>
    <x v="2"/>
    <x v="0"/>
    <x v="0"/>
    <x v="881"/>
    <x v="7"/>
    <n v="0"/>
    <x v="11"/>
    <n v="0"/>
    <x v="8"/>
    <x v="3"/>
  </r>
  <r>
    <n v="2691"/>
    <x v="33"/>
    <x v="5"/>
    <x v="0"/>
    <x v="0"/>
    <x v="0"/>
    <x v="0"/>
    <x v="882"/>
    <x v="1"/>
    <n v="0"/>
    <x v="11"/>
    <n v="0"/>
    <x v="8"/>
    <x v="3"/>
  </r>
  <r>
    <n v="3999"/>
    <x v="33"/>
    <x v="0"/>
    <x v="1"/>
    <x v="2"/>
    <x v="0"/>
    <x v="0"/>
    <x v="883"/>
    <x v="8"/>
    <n v="0"/>
    <x v="11"/>
    <n v="0"/>
    <x v="8"/>
    <x v="3"/>
  </r>
  <r>
    <n v="634"/>
    <x v="33"/>
    <x v="22"/>
    <x v="1"/>
    <x v="0"/>
    <x v="0"/>
    <x v="0"/>
    <x v="884"/>
    <x v="2"/>
    <n v="0"/>
    <x v="11"/>
    <n v="0"/>
    <x v="8"/>
    <x v="3"/>
  </r>
  <r>
    <n v="3892"/>
    <x v="33"/>
    <x v="44"/>
    <x v="0"/>
    <x v="0"/>
    <x v="1"/>
    <x v="5"/>
    <x v="834"/>
    <x v="2"/>
    <n v="0"/>
    <x v="11"/>
    <n v="0"/>
    <x v="8"/>
    <x v="3"/>
  </r>
  <r>
    <n v="2102"/>
    <x v="33"/>
    <x v="5"/>
    <x v="1"/>
    <x v="2"/>
    <x v="3"/>
    <x v="0"/>
    <x v="885"/>
    <x v="6"/>
    <n v="0"/>
    <x v="11"/>
    <n v="0"/>
    <x v="8"/>
    <x v="3"/>
  </r>
  <r>
    <n v="3763"/>
    <x v="33"/>
    <x v="43"/>
    <x v="0"/>
    <x v="1"/>
    <x v="1"/>
    <x v="6"/>
    <x v="886"/>
    <x v="1"/>
    <n v="0"/>
    <x v="11"/>
    <n v="0"/>
    <x v="8"/>
    <x v="3"/>
  </r>
  <r>
    <n v="4123"/>
    <x v="34"/>
    <x v="27"/>
    <x v="0"/>
    <x v="1"/>
    <x v="2"/>
    <x v="0"/>
    <x v="887"/>
    <x v="2"/>
    <n v="1"/>
    <x v="345"/>
    <n v="1"/>
    <x v="4"/>
    <x v="0"/>
  </r>
  <r>
    <n v="992"/>
    <x v="34"/>
    <x v="20"/>
    <x v="0"/>
    <x v="2"/>
    <x v="1"/>
    <x v="1"/>
    <x v="888"/>
    <x v="10"/>
    <n v="1"/>
    <x v="346"/>
    <n v="2"/>
    <x v="6"/>
    <x v="1"/>
  </r>
  <r>
    <n v="2952"/>
    <x v="34"/>
    <x v="13"/>
    <x v="0"/>
    <x v="1"/>
    <x v="0"/>
    <x v="0"/>
    <x v="889"/>
    <x v="0"/>
    <n v="1"/>
    <x v="347"/>
    <n v="2"/>
    <x v="7"/>
    <x v="0"/>
  </r>
  <r>
    <n v="4878"/>
    <x v="34"/>
    <x v="21"/>
    <x v="1"/>
    <x v="1"/>
    <x v="0"/>
    <x v="0"/>
    <x v="890"/>
    <x v="0"/>
    <n v="1"/>
    <x v="348"/>
    <n v="4"/>
    <x v="14"/>
    <x v="1"/>
  </r>
  <r>
    <n v="799"/>
    <x v="34"/>
    <x v="19"/>
    <x v="0"/>
    <x v="1"/>
    <x v="3"/>
    <x v="0"/>
    <x v="891"/>
    <x v="8"/>
    <n v="1"/>
    <x v="349"/>
    <n v="3"/>
    <x v="4"/>
    <x v="0"/>
  </r>
  <r>
    <n v="382"/>
    <x v="34"/>
    <x v="18"/>
    <x v="0"/>
    <x v="2"/>
    <x v="0"/>
    <x v="0"/>
    <x v="892"/>
    <x v="6"/>
    <n v="1"/>
    <x v="350"/>
    <n v="4"/>
    <x v="0"/>
    <x v="0"/>
  </r>
  <r>
    <n v="4492"/>
    <x v="34"/>
    <x v="15"/>
    <x v="1"/>
    <x v="0"/>
    <x v="0"/>
    <x v="0"/>
    <x v="893"/>
    <x v="10"/>
    <n v="1"/>
    <x v="219"/>
    <n v="3"/>
    <x v="13"/>
    <x v="2"/>
  </r>
  <r>
    <n v="3474"/>
    <x v="34"/>
    <x v="2"/>
    <x v="1"/>
    <x v="3"/>
    <x v="0"/>
    <x v="0"/>
    <x v="894"/>
    <x v="0"/>
    <n v="1"/>
    <x v="351"/>
    <n v="2"/>
    <x v="11"/>
    <x v="1"/>
  </r>
  <r>
    <n v="3357"/>
    <x v="34"/>
    <x v="16"/>
    <x v="0"/>
    <x v="1"/>
    <x v="3"/>
    <x v="0"/>
    <x v="674"/>
    <x v="8"/>
    <n v="1"/>
    <x v="352"/>
    <n v="2"/>
    <x v="2"/>
    <x v="1"/>
  </r>
  <r>
    <n v="1488"/>
    <x v="34"/>
    <x v="8"/>
    <x v="1"/>
    <x v="0"/>
    <x v="3"/>
    <x v="0"/>
    <x v="895"/>
    <x v="1"/>
    <n v="1"/>
    <x v="353"/>
    <n v="4"/>
    <x v="14"/>
    <x v="0"/>
  </r>
  <r>
    <n v="1921"/>
    <x v="34"/>
    <x v="5"/>
    <x v="0"/>
    <x v="1"/>
    <x v="1"/>
    <x v="6"/>
    <x v="896"/>
    <x v="0"/>
    <n v="1"/>
    <x v="354"/>
    <n v="2"/>
    <x v="6"/>
    <x v="1"/>
  </r>
  <r>
    <n v="3380"/>
    <x v="34"/>
    <x v="31"/>
    <x v="0"/>
    <x v="0"/>
    <x v="2"/>
    <x v="0"/>
    <x v="897"/>
    <x v="8"/>
    <n v="1"/>
    <x v="355"/>
    <n v="3"/>
    <x v="6"/>
    <x v="1"/>
  </r>
  <r>
    <n v="4670"/>
    <x v="34"/>
    <x v="42"/>
    <x v="0"/>
    <x v="1"/>
    <x v="0"/>
    <x v="0"/>
    <x v="898"/>
    <x v="6"/>
    <n v="1"/>
    <x v="356"/>
    <n v="4"/>
    <x v="10"/>
    <x v="0"/>
  </r>
  <r>
    <n v="1680"/>
    <x v="34"/>
    <x v="8"/>
    <x v="0"/>
    <x v="0"/>
    <x v="0"/>
    <x v="0"/>
    <x v="899"/>
    <x v="6"/>
    <n v="1"/>
    <x v="357"/>
    <n v="5"/>
    <x v="13"/>
    <x v="0"/>
  </r>
  <r>
    <n v="3244"/>
    <x v="34"/>
    <x v="41"/>
    <x v="0"/>
    <x v="3"/>
    <x v="0"/>
    <x v="0"/>
    <x v="900"/>
    <x v="8"/>
    <n v="0"/>
    <x v="11"/>
    <n v="0"/>
    <x v="8"/>
    <x v="3"/>
  </r>
  <r>
    <n v="2104"/>
    <x v="34"/>
    <x v="5"/>
    <x v="1"/>
    <x v="0"/>
    <x v="3"/>
    <x v="0"/>
    <x v="699"/>
    <x v="2"/>
    <n v="0"/>
    <x v="11"/>
    <n v="0"/>
    <x v="8"/>
    <x v="3"/>
  </r>
  <r>
    <n v="1109"/>
    <x v="34"/>
    <x v="16"/>
    <x v="2"/>
    <x v="3"/>
    <x v="1"/>
    <x v="1"/>
    <x v="901"/>
    <x v="5"/>
    <n v="0"/>
    <x v="11"/>
    <n v="0"/>
    <x v="8"/>
    <x v="3"/>
  </r>
  <r>
    <n v="2956"/>
    <x v="34"/>
    <x v="24"/>
    <x v="1"/>
    <x v="2"/>
    <x v="0"/>
    <x v="0"/>
    <x v="902"/>
    <x v="2"/>
    <n v="0"/>
    <x v="11"/>
    <n v="0"/>
    <x v="8"/>
    <x v="3"/>
  </r>
  <r>
    <n v="1153"/>
    <x v="34"/>
    <x v="22"/>
    <x v="1"/>
    <x v="0"/>
    <x v="3"/>
    <x v="0"/>
    <x v="903"/>
    <x v="4"/>
    <n v="0"/>
    <x v="11"/>
    <n v="0"/>
    <x v="8"/>
    <x v="3"/>
  </r>
  <r>
    <n v="1021"/>
    <x v="34"/>
    <x v="22"/>
    <x v="0"/>
    <x v="2"/>
    <x v="1"/>
    <x v="7"/>
    <x v="904"/>
    <x v="2"/>
    <n v="0"/>
    <x v="11"/>
    <n v="0"/>
    <x v="8"/>
    <x v="3"/>
  </r>
  <r>
    <n v="1271"/>
    <x v="34"/>
    <x v="22"/>
    <x v="0"/>
    <x v="1"/>
    <x v="1"/>
    <x v="2"/>
    <x v="905"/>
    <x v="1"/>
    <n v="0"/>
    <x v="11"/>
    <n v="0"/>
    <x v="8"/>
    <x v="3"/>
  </r>
  <r>
    <n v="501"/>
    <x v="34"/>
    <x v="19"/>
    <x v="0"/>
    <x v="1"/>
    <x v="0"/>
    <x v="0"/>
    <x v="906"/>
    <x v="2"/>
    <n v="0"/>
    <x v="11"/>
    <n v="0"/>
    <x v="8"/>
    <x v="3"/>
  </r>
  <r>
    <n v="1587"/>
    <x v="34"/>
    <x v="22"/>
    <x v="1"/>
    <x v="2"/>
    <x v="3"/>
    <x v="0"/>
    <x v="829"/>
    <x v="2"/>
    <n v="0"/>
    <x v="11"/>
    <n v="0"/>
    <x v="8"/>
    <x v="3"/>
  </r>
  <r>
    <n v="482"/>
    <x v="34"/>
    <x v="0"/>
    <x v="2"/>
    <x v="2"/>
    <x v="3"/>
    <x v="0"/>
    <x v="907"/>
    <x v="6"/>
    <n v="0"/>
    <x v="11"/>
    <n v="0"/>
    <x v="8"/>
    <x v="3"/>
  </r>
  <r>
    <n v="316"/>
    <x v="34"/>
    <x v="5"/>
    <x v="1"/>
    <x v="1"/>
    <x v="0"/>
    <x v="0"/>
    <x v="908"/>
    <x v="2"/>
    <n v="0"/>
    <x v="11"/>
    <n v="0"/>
    <x v="8"/>
    <x v="3"/>
  </r>
  <r>
    <n v="3370"/>
    <x v="34"/>
    <x v="16"/>
    <x v="0"/>
    <x v="1"/>
    <x v="1"/>
    <x v="3"/>
    <x v="506"/>
    <x v="0"/>
    <n v="0"/>
    <x v="11"/>
    <n v="0"/>
    <x v="8"/>
    <x v="3"/>
  </r>
  <r>
    <n v="4013"/>
    <x v="34"/>
    <x v="54"/>
    <x v="1"/>
    <x v="3"/>
    <x v="1"/>
    <x v="3"/>
    <x v="909"/>
    <x v="1"/>
    <n v="0"/>
    <x v="11"/>
    <n v="0"/>
    <x v="8"/>
    <x v="3"/>
  </r>
  <r>
    <n v="267"/>
    <x v="34"/>
    <x v="2"/>
    <x v="1"/>
    <x v="1"/>
    <x v="1"/>
    <x v="3"/>
    <x v="910"/>
    <x v="1"/>
    <n v="0"/>
    <x v="11"/>
    <n v="0"/>
    <x v="8"/>
    <x v="3"/>
  </r>
  <r>
    <n v="3459"/>
    <x v="34"/>
    <x v="0"/>
    <x v="1"/>
    <x v="1"/>
    <x v="1"/>
    <x v="6"/>
    <x v="911"/>
    <x v="6"/>
    <n v="0"/>
    <x v="11"/>
    <n v="0"/>
    <x v="8"/>
    <x v="3"/>
  </r>
  <r>
    <n v="258"/>
    <x v="34"/>
    <x v="19"/>
    <x v="1"/>
    <x v="2"/>
    <x v="0"/>
    <x v="0"/>
    <x v="912"/>
    <x v="5"/>
    <n v="0"/>
    <x v="11"/>
    <n v="0"/>
    <x v="8"/>
    <x v="3"/>
  </r>
  <r>
    <n v="1718"/>
    <x v="34"/>
    <x v="4"/>
    <x v="1"/>
    <x v="2"/>
    <x v="3"/>
    <x v="0"/>
    <x v="913"/>
    <x v="2"/>
    <n v="0"/>
    <x v="11"/>
    <n v="0"/>
    <x v="8"/>
    <x v="3"/>
  </r>
  <r>
    <n v="1036"/>
    <x v="34"/>
    <x v="24"/>
    <x v="1"/>
    <x v="1"/>
    <x v="0"/>
    <x v="0"/>
    <x v="914"/>
    <x v="0"/>
    <n v="0"/>
    <x v="11"/>
    <n v="0"/>
    <x v="8"/>
    <x v="3"/>
  </r>
  <r>
    <n v="3628"/>
    <x v="35"/>
    <x v="0"/>
    <x v="0"/>
    <x v="0"/>
    <x v="2"/>
    <x v="0"/>
    <x v="644"/>
    <x v="8"/>
    <n v="1"/>
    <x v="358"/>
    <n v="3"/>
    <x v="9"/>
    <x v="2"/>
  </r>
  <r>
    <n v="1323"/>
    <x v="35"/>
    <x v="20"/>
    <x v="0"/>
    <x v="3"/>
    <x v="1"/>
    <x v="6"/>
    <x v="915"/>
    <x v="2"/>
    <n v="1"/>
    <x v="359"/>
    <n v="5"/>
    <x v="3"/>
    <x v="1"/>
  </r>
  <r>
    <n v="921"/>
    <x v="35"/>
    <x v="4"/>
    <x v="1"/>
    <x v="0"/>
    <x v="2"/>
    <x v="0"/>
    <x v="916"/>
    <x v="0"/>
    <n v="1"/>
    <x v="360"/>
    <n v="3"/>
    <x v="0"/>
    <x v="0"/>
  </r>
  <r>
    <n v="468"/>
    <x v="35"/>
    <x v="16"/>
    <x v="1"/>
    <x v="3"/>
    <x v="0"/>
    <x v="0"/>
    <x v="917"/>
    <x v="0"/>
    <n v="1"/>
    <x v="361"/>
    <n v="1"/>
    <x v="7"/>
    <x v="0"/>
  </r>
  <r>
    <n v="1343"/>
    <x v="35"/>
    <x v="23"/>
    <x v="0"/>
    <x v="2"/>
    <x v="3"/>
    <x v="0"/>
    <x v="918"/>
    <x v="6"/>
    <n v="1"/>
    <x v="362"/>
    <n v="3"/>
    <x v="5"/>
    <x v="0"/>
  </r>
  <r>
    <n v="273"/>
    <x v="35"/>
    <x v="7"/>
    <x v="1"/>
    <x v="2"/>
    <x v="1"/>
    <x v="4"/>
    <x v="919"/>
    <x v="5"/>
    <n v="1"/>
    <x v="363"/>
    <n v="4"/>
    <x v="9"/>
    <x v="2"/>
  </r>
  <r>
    <n v="3000"/>
    <x v="35"/>
    <x v="17"/>
    <x v="0"/>
    <x v="3"/>
    <x v="0"/>
    <x v="0"/>
    <x v="920"/>
    <x v="8"/>
    <n v="1"/>
    <x v="364"/>
    <n v="4"/>
    <x v="13"/>
    <x v="2"/>
  </r>
  <r>
    <n v="3956"/>
    <x v="35"/>
    <x v="30"/>
    <x v="1"/>
    <x v="0"/>
    <x v="1"/>
    <x v="5"/>
    <x v="921"/>
    <x v="8"/>
    <n v="1"/>
    <x v="365"/>
    <n v="5"/>
    <x v="13"/>
    <x v="0"/>
  </r>
  <r>
    <n v="1159"/>
    <x v="35"/>
    <x v="0"/>
    <x v="1"/>
    <x v="2"/>
    <x v="1"/>
    <x v="2"/>
    <x v="922"/>
    <x v="8"/>
    <n v="1"/>
    <x v="366"/>
    <n v="6"/>
    <x v="1"/>
    <x v="0"/>
  </r>
  <r>
    <n v="1351"/>
    <x v="35"/>
    <x v="8"/>
    <x v="1"/>
    <x v="2"/>
    <x v="0"/>
    <x v="0"/>
    <x v="923"/>
    <x v="10"/>
    <n v="1"/>
    <x v="223"/>
    <n v="2"/>
    <x v="0"/>
    <x v="1"/>
  </r>
  <r>
    <n v="1196"/>
    <x v="35"/>
    <x v="16"/>
    <x v="2"/>
    <x v="2"/>
    <x v="3"/>
    <x v="0"/>
    <x v="924"/>
    <x v="8"/>
    <n v="1"/>
    <x v="367"/>
    <n v="2"/>
    <x v="0"/>
    <x v="0"/>
  </r>
  <r>
    <n v="2476"/>
    <x v="35"/>
    <x v="44"/>
    <x v="1"/>
    <x v="3"/>
    <x v="0"/>
    <x v="0"/>
    <x v="925"/>
    <x v="5"/>
    <n v="1"/>
    <x v="368"/>
    <n v="3"/>
    <x v="14"/>
    <x v="1"/>
  </r>
  <r>
    <n v="1445"/>
    <x v="35"/>
    <x v="5"/>
    <x v="1"/>
    <x v="1"/>
    <x v="0"/>
    <x v="0"/>
    <x v="573"/>
    <x v="8"/>
    <n v="1"/>
    <x v="369"/>
    <n v="1"/>
    <x v="7"/>
    <x v="2"/>
  </r>
  <r>
    <n v="4287"/>
    <x v="35"/>
    <x v="29"/>
    <x v="1"/>
    <x v="3"/>
    <x v="3"/>
    <x v="0"/>
    <x v="926"/>
    <x v="12"/>
    <n v="0"/>
    <x v="11"/>
    <n v="0"/>
    <x v="8"/>
    <x v="3"/>
  </r>
  <r>
    <n v="1049"/>
    <x v="35"/>
    <x v="8"/>
    <x v="0"/>
    <x v="1"/>
    <x v="0"/>
    <x v="0"/>
    <x v="927"/>
    <x v="4"/>
    <n v="0"/>
    <x v="11"/>
    <n v="0"/>
    <x v="8"/>
    <x v="3"/>
  </r>
  <r>
    <n v="1376"/>
    <x v="35"/>
    <x v="22"/>
    <x v="1"/>
    <x v="2"/>
    <x v="2"/>
    <x v="0"/>
    <x v="928"/>
    <x v="2"/>
    <n v="0"/>
    <x v="11"/>
    <n v="0"/>
    <x v="8"/>
    <x v="3"/>
  </r>
  <r>
    <n v="2861"/>
    <x v="35"/>
    <x v="8"/>
    <x v="1"/>
    <x v="3"/>
    <x v="0"/>
    <x v="0"/>
    <x v="929"/>
    <x v="5"/>
    <n v="0"/>
    <x v="11"/>
    <n v="0"/>
    <x v="8"/>
    <x v="3"/>
  </r>
  <r>
    <n v="815"/>
    <x v="35"/>
    <x v="8"/>
    <x v="1"/>
    <x v="2"/>
    <x v="0"/>
    <x v="0"/>
    <x v="432"/>
    <x v="0"/>
    <n v="0"/>
    <x v="11"/>
    <n v="0"/>
    <x v="8"/>
    <x v="3"/>
  </r>
  <r>
    <n v="1150"/>
    <x v="35"/>
    <x v="2"/>
    <x v="1"/>
    <x v="0"/>
    <x v="3"/>
    <x v="0"/>
    <x v="930"/>
    <x v="16"/>
    <n v="0"/>
    <x v="11"/>
    <n v="0"/>
    <x v="8"/>
    <x v="3"/>
  </r>
  <r>
    <n v="1673"/>
    <x v="35"/>
    <x v="4"/>
    <x v="0"/>
    <x v="2"/>
    <x v="0"/>
    <x v="0"/>
    <x v="931"/>
    <x v="5"/>
    <n v="0"/>
    <x v="11"/>
    <n v="0"/>
    <x v="8"/>
    <x v="3"/>
  </r>
  <r>
    <n v="3249"/>
    <x v="35"/>
    <x v="11"/>
    <x v="0"/>
    <x v="0"/>
    <x v="0"/>
    <x v="0"/>
    <x v="932"/>
    <x v="6"/>
    <n v="0"/>
    <x v="11"/>
    <n v="0"/>
    <x v="8"/>
    <x v="3"/>
  </r>
  <r>
    <n v="3990"/>
    <x v="35"/>
    <x v="36"/>
    <x v="1"/>
    <x v="0"/>
    <x v="0"/>
    <x v="0"/>
    <x v="591"/>
    <x v="3"/>
    <n v="0"/>
    <x v="11"/>
    <n v="0"/>
    <x v="8"/>
    <x v="3"/>
  </r>
  <r>
    <n v="116"/>
    <x v="35"/>
    <x v="6"/>
    <x v="1"/>
    <x v="2"/>
    <x v="3"/>
    <x v="0"/>
    <x v="933"/>
    <x v="2"/>
    <n v="0"/>
    <x v="11"/>
    <n v="0"/>
    <x v="8"/>
    <x v="3"/>
  </r>
  <r>
    <n v="1469"/>
    <x v="35"/>
    <x v="4"/>
    <x v="0"/>
    <x v="3"/>
    <x v="3"/>
    <x v="0"/>
    <x v="934"/>
    <x v="0"/>
    <n v="0"/>
    <x v="11"/>
    <n v="0"/>
    <x v="8"/>
    <x v="3"/>
  </r>
  <r>
    <n v="796"/>
    <x v="35"/>
    <x v="7"/>
    <x v="1"/>
    <x v="0"/>
    <x v="0"/>
    <x v="0"/>
    <x v="935"/>
    <x v="4"/>
    <n v="0"/>
    <x v="11"/>
    <n v="0"/>
    <x v="8"/>
    <x v="3"/>
  </r>
  <r>
    <n v="2076"/>
    <x v="35"/>
    <x v="34"/>
    <x v="1"/>
    <x v="0"/>
    <x v="0"/>
    <x v="0"/>
    <x v="936"/>
    <x v="6"/>
    <n v="0"/>
    <x v="11"/>
    <n v="0"/>
    <x v="8"/>
    <x v="3"/>
  </r>
  <r>
    <n v="2187"/>
    <x v="35"/>
    <x v="19"/>
    <x v="0"/>
    <x v="1"/>
    <x v="1"/>
    <x v="2"/>
    <x v="937"/>
    <x v="10"/>
    <n v="0"/>
    <x v="11"/>
    <n v="0"/>
    <x v="8"/>
    <x v="3"/>
  </r>
  <r>
    <n v="1453"/>
    <x v="35"/>
    <x v="8"/>
    <x v="0"/>
    <x v="3"/>
    <x v="3"/>
    <x v="0"/>
    <x v="938"/>
    <x v="5"/>
    <n v="0"/>
    <x v="11"/>
    <n v="0"/>
    <x v="8"/>
    <x v="3"/>
  </r>
  <r>
    <n v="1430"/>
    <x v="35"/>
    <x v="39"/>
    <x v="0"/>
    <x v="0"/>
    <x v="2"/>
    <x v="0"/>
    <x v="939"/>
    <x v="4"/>
    <n v="0"/>
    <x v="11"/>
    <n v="0"/>
    <x v="8"/>
    <x v="3"/>
  </r>
  <r>
    <n v="1241"/>
    <x v="35"/>
    <x v="22"/>
    <x v="1"/>
    <x v="2"/>
    <x v="3"/>
    <x v="0"/>
    <x v="940"/>
    <x v="4"/>
    <n v="0"/>
    <x v="11"/>
    <n v="0"/>
    <x v="8"/>
    <x v="3"/>
  </r>
  <r>
    <n v="1410"/>
    <x v="35"/>
    <x v="6"/>
    <x v="0"/>
    <x v="2"/>
    <x v="0"/>
    <x v="0"/>
    <x v="941"/>
    <x v="6"/>
    <n v="0"/>
    <x v="11"/>
    <n v="0"/>
    <x v="8"/>
    <x v="3"/>
  </r>
  <r>
    <n v="1306"/>
    <x v="35"/>
    <x v="8"/>
    <x v="1"/>
    <x v="2"/>
    <x v="0"/>
    <x v="0"/>
    <x v="942"/>
    <x v="12"/>
    <n v="0"/>
    <x v="11"/>
    <n v="0"/>
    <x v="8"/>
    <x v="3"/>
  </r>
  <r>
    <n v="2859"/>
    <x v="36"/>
    <x v="6"/>
    <x v="0"/>
    <x v="3"/>
    <x v="0"/>
    <x v="0"/>
    <x v="943"/>
    <x v="0"/>
    <n v="1"/>
    <x v="370"/>
    <n v="3"/>
    <x v="14"/>
    <x v="0"/>
  </r>
  <r>
    <n v="765"/>
    <x v="36"/>
    <x v="5"/>
    <x v="1"/>
    <x v="2"/>
    <x v="0"/>
    <x v="0"/>
    <x v="944"/>
    <x v="0"/>
    <n v="1"/>
    <x v="371"/>
    <n v="2"/>
    <x v="15"/>
    <x v="2"/>
  </r>
  <r>
    <n v="2011"/>
    <x v="36"/>
    <x v="16"/>
    <x v="1"/>
    <x v="0"/>
    <x v="1"/>
    <x v="7"/>
    <x v="945"/>
    <x v="11"/>
    <n v="1"/>
    <x v="372"/>
    <n v="4"/>
    <x v="5"/>
    <x v="0"/>
  </r>
  <r>
    <n v="3664"/>
    <x v="36"/>
    <x v="16"/>
    <x v="0"/>
    <x v="3"/>
    <x v="3"/>
    <x v="0"/>
    <x v="946"/>
    <x v="4"/>
    <n v="1"/>
    <x v="373"/>
    <n v="3"/>
    <x v="11"/>
    <x v="0"/>
  </r>
  <r>
    <n v="2900"/>
    <x v="36"/>
    <x v="0"/>
    <x v="2"/>
    <x v="3"/>
    <x v="2"/>
    <x v="0"/>
    <x v="947"/>
    <x v="5"/>
    <n v="1"/>
    <x v="374"/>
    <n v="2"/>
    <x v="3"/>
    <x v="1"/>
  </r>
  <r>
    <n v="629"/>
    <x v="36"/>
    <x v="4"/>
    <x v="2"/>
    <x v="3"/>
    <x v="1"/>
    <x v="4"/>
    <x v="948"/>
    <x v="9"/>
    <n v="1"/>
    <x v="375"/>
    <n v="2"/>
    <x v="3"/>
    <x v="1"/>
  </r>
  <r>
    <n v="146"/>
    <x v="36"/>
    <x v="7"/>
    <x v="1"/>
    <x v="1"/>
    <x v="0"/>
    <x v="0"/>
    <x v="949"/>
    <x v="8"/>
    <n v="1"/>
    <x v="376"/>
    <n v="4"/>
    <x v="10"/>
    <x v="0"/>
  </r>
  <r>
    <n v="2298"/>
    <x v="36"/>
    <x v="33"/>
    <x v="0"/>
    <x v="1"/>
    <x v="3"/>
    <x v="0"/>
    <x v="950"/>
    <x v="8"/>
    <n v="0"/>
    <x v="11"/>
    <n v="0"/>
    <x v="8"/>
    <x v="3"/>
  </r>
  <r>
    <n v="43"/>
    <x v="36"/>
    <x v="24"/>
    <x v="0"/>
    <x v="1"/>
    <x v="1"/>
    <x v="4"/>
    <x v="951"/>
    <x v="8"/>
    <n v="0"/>
    <x v="11"/>
    <n v="0"/>
    <x v="8"/>
    <x v="3"/>
  </r>
  <r>
    <n v="1904"/>
    <x v="36"/>
    <x v="20"/>
    <x v="0"/>
    <x v="0"/>
    <x v="2"/>
    <x v="0"/>
    <x v="952"/>
    <x v="2"/>
    <n v="0"/>
    <x v="11"/>
    <n v="0"/>
    <x v="8"/>
    <x v="3"/>
  </r>
  <r>
    <n v="1020"/>
    <x v="36"/>
    <x v="18"/>
    <x v="0"/>
    <x v="2"/>
    <x v="0"/>
    <x v="0"/>
    <x v="953"/>
    <x v="8"/>
    <n v="0"/>
    <x v="11"/>
    <n v="0"/>
    <x v="8"/>
    <x v="3"/>
  </r>
  <r>
    <n v="1403"/>
    <x v="36"/>
    <x v="10"/>
    <x v="1"/>
    <x v="2"/>
    <x v="1"/>
    <x v="5"/>
    <x v="618"/>
    <x v="6"/>
    <n v="0"/>
    <x v="11"/>
    <n v="0"/>
    <x v="8"/>
    <x v="3"/>
  </r>
  <r>
    <n v="3385"/>
    <x v="36"/>
    <x v="3"/>
    <x v="1"/>
    <x v="0"/>
    <x v="1"/>
    <x v="4"/>
    <x v="954"/>
    <x v="0"/>
    <n v="0"/>
    <x v="11"/>
    <n v="0"/>
    <x v="8"/>
    <x v="3"/>
  </r>
  <r>
    <n v="286"/>
    <x v="36"/>
    <x v="6"/>
    <x v="0"/>
    <x v="3"/>
    <x v="3"/>
    <x v="0"/>
    <x v="955"/>
    <x v="10"/>
    <n v="0"/>
    <x v="11"/>
    <n v="0"/>
    <x v="8"/>
    <x v="3"/>
  </r>
  <r>
    <n v="292"/>
    <x v="36"/>
    <x v="19"/>
    <x v="1"/>
    <x v="1"/>
    <x v="3"/>
    <x v="0"/>
    <x v="956"/>
    <x v="2"/>
    <n v="0"/>
    <x v="11"/>
    <n v="0"/>
    <x v="8"/>
    <x v="3"/>
  </r>
  <r>
    <n v="1781"/>
    <x v="36"/>
    <x v="16"/>
    <x v="0"/>
    <x v="1"/>
    <x v="3"/>
    <x v="0"/>
    <x v="957"/>
    <x v="1"/>
    <n v="0"/>
    <x v="11"/>
    <n v="0"/>
    <x v="8"/>
    <x v="3"/>
  </r>
  <r>
    <n v="4743"/>
    <x v="36"/>
    <x v="40"/>
    <x v="0"/>
    <x v="2"/>
    <x v="3"/>
    <x v="0"/>
    <x v="958"/>
    <x v="11"/>
    <n v="0"/>
    <x v="11"/>
    <n v="0"/>
    <x v="8"/>
    <x v="3"/>
  </r>
  <r>
    <n v="2242"/>
    <x v="36"/>
    <x v="47"/>
    <x v="1"/>
    <x v="0"/>
    <x v="2"/>
    <x v="0"/>
    <x v="959"/>
    <x v="6"/>
    <n v="0"/>
    <x v="11"/>
    <n v="0"/>
    <x v="8"/>
    <x v="3"/>
  </r>
  <r>
    <n v="4011"/>
    <x v="36"/>
    <x v="44"/>
    <x v="1"/>
    <x v="2"/>
    <x v="0"/>
    <x v="0"/>
    <x v="960"/>
    <x v="7"/>
    <n v="0"/>
    <x v="11"/>
    <n v="0"/>
    <x v="8"/>
    <x v="3"/>
  </r>
  <r>
    <n v="1031"/>
    <x v="36"/>
    <x v="18"/>
    <x v="0"/>
    <x v="2"/>
    <x v="3"/>
    <x v="0"/>
    <x v="961"/>
    <x v="2"/>
    <n v="0"/>
    <x v="11"/>
    <n v="0"/>
    <x v="8"/>
    <x v="3"/>
  </r>
  <r>
    <n v="1651"/>
    <x v="36"/>
    <x v="2"/>
    <x v="1"/>
    <x v="1"/>
    <x v="0"/>
    <x v="0"/>
    <x v="962"/>
    <x v="6"/>
    <n v="0"/>
    <x v="11"/>
    <n v="0"/>
    <x v="8"/>
    <x v="3"/>
  </r>
  <r>
    <n v="857"/>
    <x v="36"/>
    <x v="8"/>
    <x v="1"/>
    <x v="2"/>
    <x v="3"/>
    <x v="0"/>
    <x v="963"/>
    <x v="6"/>
    <n v="0"/>
    <x v="11"/>
    <n v="0"/>
    <x v="8"/>
    <x v="3"/>
  </r>
  <r>
    <n v="4283"/>
    <x v="37"/>
    <x v="40"/>
    <x v="0"/>
    <x v="0"/>
    <x v="1"/>
    <x v="6"/>
    <x v="964"/>
    <x v="2"/>
    <n v="1"/>
    <x v="377"/>
    <n v="1"/>
    <x v="15"/>
    <x v="0"/>
  </r>
  <r>
    <n v="2527"/>
    <x v="37"/>
    <x v="13"/>
    <x v="1"/>
    <x v="3"/>
    <x v="3"/>
    <x v="0"/>
    <x v="965"/>
    <x v="2"/>
    <n v="1"/>
    <x v="378"/>
    <n v="3"/>
    <x v="10"/>
    <x v="0"/>
  </r>
  <r>
    <n v="4908"/>
    <x v="37"/>
    <x v="15"/>
    <x v="1"/>
    <x v="2"/>
    <x v="0"/>
    <x v="0"/>
    <x v="966"/>
    <x v="6"/>
    <n v="1"/>
    <x v="379"/>
    <n v="2"/>
    <x v="10"/>
    <x v="0"/>
  </r>
  <r>
    <n v="3541"/>
    <x v="37"/>
    <x v="20"/>
    <x v="0"/>
    <x v="1"/>
    <x v="1"/>
    <x v="6"/>
    <x v="967"/>
    <x v="2"/>
    <n v="1"/>
    <x v="380"/>
    <n v="3"/>
    <x v="4"/>
    <x v="0"/>
  </r>
  <r>
    <n v="3258"/>
    <x v="37"/>
    <x v="10"/>
    <x v="0"/>
    <x v="1"/>
    <x v="0"/>
    <x v="0"/>
    <x v="968"/>
    <x v="8"/>
    <n v="1"/>
    <x v="381"/>
    <n v="2"/>
    <x v="12"/>
    <x v="0"/>
  </r>
  <r>
    <n v="3825"/>
    <x v="37"/>
    <x v="53"/>
    <x v="1"/>
    <x v="3"/>
    <x v="0"/>
    <x v="0"/>
    <x v="638"/>
    <x v="5"/>
    <n v="1"/>
    <x v="382"/>
    <n v="2"/>
    <x v="2"/>
    <x v="0"/>
  </r>
  <r>
    <n v="4062"/>
    <x v="37"/>
    <x v="15"/>
    <x v="1"/>
    <x v="0"/>
    <x v="0"/>
    <x v="0"/>
    <x v="969"/>
    <x v="5"/>
    <n v="1"/>
    <x v="383"/>
    <n v="6"/>
    <x v="6"/>
    <x v="2"/>
  </r>
  <r>
    <n v="1362"/>
    <x v="37"/>
    <x v="19"/>
    <x v="0"/>
    <x v="1"/>
    <x v="0"/>
    <x v="0"/>
    <x v="970"/>
    <x v="4"/>
    <n v="1"/>
    <x v="384"/>
    <n v="3"/>
    <x v="3"/>
    <x v="0"/>
  </r>
  <r>
    <n v="945"/>
    <x v="37"/>
    <x v="2"/>
    <x v="0"/>
    <x v="0"/>
    <x v="1"/>
    <x v="2"/>
    <x v="971"/>
    <x v="2"/>
    <n v="0"/>
    <x v="11"/>
    <n v="0"/>
    <x v="8"/>
    <x v="3"/>
  </r>
  <r>
    <n v="4473"/>
    <x v="37"/>
    <x v="3"/>
    <x v="0"/>
    <x v="2"/>
    <x v="0"/>
    <x v="0"/>
    <x v="972"/>
    <x v="6"/>
    <n v="0"/>
    <x v="11"/>
    <n v="0"/>
    <x v="8"/>
    <x v="3"/>
  </r>
  <r>
    <n v="2883"/>
    <x v="37"/>
    <x v="27"/>
    <x v="1"/>
    <x v="0"/>
    <x v="1"/>
    <x v="7"/>
    <x v="973"/>
    <x v="9"/>
    <n v="0"/>
    <x v="11"/>
    <n v="0"/>
    <x v="8"/>
    <x v="3"/>
  </r>
  <r>
    <n v="2293"/>
    <x v="37"/>
    <x v="23"/>
    <x v="1"/>
    <x v="2"/>
    <x v="1"/>
    <x v="1"/>
    <x v="974"/>
    <x v="8"/>
    <n v="0"/>
    <x v="11"/>
    <n v="0"/>
    <x v="8"/>
    <x v="3"/>
  </r>
  <r>
    <n v="4978"/>
    <x v="37"/>
    <x v="12"/>
    <x v="1"/>
    <x v="0"/>
    <x v="1"/>
    <x v="6"/>
    <x v="975"/>
    <x v="11"/>
    <n v="0"/>
    <x v="11"/>
    <n v="0"/>
    <x v="8"/>
    <x v="3"/>
  </r>
  <r>
    <n v="901"/>
    <x v="37"/>
    <x v="19"/>
    <x v="0"/>
    <x v="3"/>
    <x v="0"/>
    <x v="0"/>
    <x v="976"/>
    <x v="2"/>
    <n v="0"/>
    <x v="11"/>
    <n v="0"/>
    <x v="8"/>
    <x v="3"/>
  </r>
  <r>
    <n v="4578"/>
    <x v="37"/>
    <x v="50"/>
    <x v="0"/>
    <x v="2"/>
    <x v="0"/>
    <x v="0"/>
    <x v="378"/>
    <x v="4"/>
    <n v="0"/>
    <x v="11"/>
    <n v="0"/>
    <x v="8"/>
    <x v="3"/>
  </r>
  <r>
    <n v="4592"/>
    <x v="37"/>
    <x v="54"/>
    <x v="0"/>
    <x v="1"/>
    <x v="1"/>
    <x v="1"/>
    <x v="977"/>
    <x v="2"/>
    <n v="0"/>
    <x v="11"/>
    <n v="0"/>
    <x v="8"/>
    <x v="3"/>
  </r>
  <r>
    <n v="2651"/>
    <x v="37"/>
    <x v="44"/>
    <x v="1"/>
    <x v="2"/>
    <x v="0"/>
    <x v="0"/>
    <x v="978"/>
    <x v="1"/>
    <n v="0"/>
    <x v="11"/>
    <n v="0"/>
    <x v="8"/>
    <x v="3"/>
  </r>
  <r>
    <n v="607"/>
    <x v="37"/>
    <x v="6"/>
    <x v="0"/>
    <x v="1"/>
    <x v="1"/>
    <x v="6"/>
    <x v="979"/>
    <x v="2"/>
    <n v="0"/>
    <x v="11"/>
    <n v="0"/>
    <x v="8"/>
    <x v="3"/>
  </r>
  <r>
    <n v="4485"/>
    <x v="37"/>
    <x v="12"/>
    <x v="0"/>
    <x v="3"/>
    <x v="2"/>
    <x v="0"/>
    <x v="159"/>
    <x v="6"/>
    <n v="0"/>
    <x v="11"/>
    <n v="0"/>
    <x v="8"/>
    <x v="3"/>
  </r>
  <r>
    <n v="1821"/>
    <x v="37"/>
    <x v="6"/>
    <x v="0"/>
    <x v="2"/>
    <x v="1"/>
    <x v="6"/>
    <x v="980"/>
    <x v="8"/>
    <n v="0"/>
    <x v="11"/>
    <n v="0"/>
    <x v="8"/>
    <x v="3"/>
  </r>
  <r>
    <n v="2780"/>
    <x v="37"/>
    <x v="3"/>
    <x v="1"/>
    <x v="1"/>
    <x v="1"/>
    <x v="3"/>
    <x v="981"/>
    <x v="4"/>
    <n v="0"/>
    <x v="11"/>
    <n v="0"/>
    <x v="8"/>
    <x v="3"/>
  </r>
  <r>
    <n v="853"/>
    <x v="37"/>
    <x v="22"/>
    <x v="1"/>
    <x v="1"/>
    <x v="3"/>
    <x v="0"/>
    <x v="982"/>
    <x v="8"/>
    <n v="0"/>
    <x v="11"/>
    <n v="0"/>
    <x v="8"/>
    <x v="3"/>
  </r>
  <r>
    <n v="3640"/>
    <x v="37"/>
    <x v="41"/>
    <x v="1"/>
    <x v="1"/>
    <x v="1"/>
    <x v="6"/>
    <x v="983"/>
    <x v="0"/>
    <n v="0"/>
    <x v="11"/>
    <n v="0"/>
    <x v="8"/>
    <x v="3"/>
  </r>
  <r>
    <n v="622"/>
    <x v="37"/>
    <x v="24"/>
    <x v="1"/>
    <x v="0"/>
    <x v="0"/>
    <x v="0"/>
    <x v="984"/>
    <x v="8"/>
    <n v="0"/>
    <x v="11"/>
    <n v="0"/>
    <x v="8"/>
    <x v="3"/>
  </r>
  <r>
    <n v="1667"/>
    <x v="37"/>
    <x v="16"/>
    <x v="0"/>
    <x v="2"/>
    <x v="0"/>
    <x v="0"/>
    <x v="985"/>
    <x v="4"/>
    <n v="0"/>
    <x v="11"/>
    <n v="0"/>
    <x v="8"/>
    <x v="3"/>
  </r>
  <r>
    <n v="3520"/>
    <x v="37"/>
    <x v="26"/>
    <x v="0"/>
    <x v="2"/>
    <x v="0"/>
    <x v="0"/>
    <x v="986"/>
    <x v="1"/>
    <n v="0"/>
    <x v="11"/>
    <n v="0"/>
    <x v="8"/>
    <x v="3"/>
  </r>
  <r>
    <n v="1411"/>
    <x v="37"/>
    <x v="24"/>
    <x v="1"/>
    <x v="1"/>
    <x v="1"/>
    <x v="1"/>
    <x v="987"/>
    <x v="2"/>
    <n v="0"/>
    <x v="11"/>
    <n v="0"/>
    <x v="8"/>
    <x v="3"/>
  </r>
  <r>
    <n v="658"/>
    <x v="38"/>
    <x v="5"/>
    <x v="0"/>
    <x v="2"/>
    <x v="0"/>
    <x v="0"/>
    <x v="988"/>
    <x v="1"/>
    <n v="1"/>
    <x v="385"/>
    <n v="5"/>
    <x v="12"/>
    <x v="1"/>
  </r>
  <r>
    <n v="24"/>
    <x v="38"/>
    <x v="6"/>
    <x v="1"/>
    <x v="2"/>
    <x v="1"/>
    <x v="1"/>
    <x v="779"/>
    <x v="1"/>
    <n v="1"/>
    <x v="386"/>
    <n v="3"/>
    <x v="4"/>
    <x v="0"/>
  </r>
  <r>
    <n v="2348"/>
    <x v="38"/>
    <x v="5"/>
    <x v="1"/>
    <x v="3"/>
    <x v="1"/>
    <x v="1"/>
    <x v="989"/>
    <x v="5"/>
    <n v="1"/>
    <x v="387"/>
    <n v="2"/>
    <x v="7"/>
    <x v="0"/>
  </r>
  <r>
    <n v="2282"/>
    <x v="38"/>
    <x v="28"/>
    <x v="1"/>
    <x v="2"/>
    <x v="3"/>
    <x v="0"/>
    <x v="990"/>
    <x v="9"/>
    <n v="1"/>
    <x v="388"/>
    <n v="2"/>
    <x v="10"/>
    <x v="0"/>
  </r>
  <r>
    <n v="4671"/>
    <x v="38"/>
    <x v="25"/>
    <x v="1"/>
    <x v="2"/>
    <x v="0"/>
    <x v="0"/>
    <x v="991"/>
    <x v="6"/>
    <n v="1"/>
    <x v="389"/>
    <n v="3"/>
    <x v="3"/>
    <x v="0"/>
  </r>
  <r>
    <n v="1968"/>
    <x v="38"/>
    <x v="19"/>
    <x v="0"/>
    <x v="1"/>
    <x v="0"/>
    <x v="0"/>
    <x v="992"/>
    <x v="5"/>
    <n v="1"/>
    <x v="390"/>
    <n v="4"/>
    <x v="12"/>
    <x v="1"/>
  </r>
  <r>
    <n v="4944"/>
    <x v="38"/>
    <x v="32"/>
    <x v="1"/>
    <x v="2"/>
    <x v="0"/>
    <x v="0"/>
    <x v="993"/>
    <x v="10"/>
    <n v="1"/>
    <x v="391"/>
    <n v="3"/>
    <x v="14"/>
    <x v="0"/>
  </r>
  <r>
    <n v="139"/>
    <x v="38"/>
    <x v="19"/>
    <x v="0"/>
    <x v="1"/>
    <x v="1"/>
    <x v="5"/>
    <x v="994"/>
    <x v="2"/>
    <n v="0"/>
    <x v="11"/>
    <n v="0"/>
    <x v="8"/>
    <x v="3"/>
  </r>
  <r>
    <n v="4227"/>
    <x v="38"/>
    <x v="43"/>
    <x v="0"/>
    <x v="3"/>
    <x v="3"/>
    <x v="0"/>
    <x v="995"/>
    <x v="5"/>
    <n v="0"/>
    <x v="11"/>
    <n v="0"/>
    <x v="8"/>
    <x v="3"/>
  </r>
  <r>
    <n v="2741"/>
    <x v="38"/>
    <x v="27"/>
    <x v="1"/>
    <x v="3"/>
    <x v="1"/>
    <x v="3"/>
    <x v="996"/>
    <x v="0"/>
    <n v="0"/>
    <x v="11"/>
    <n v="0"/>
    <x v="8"/>
    <x v="3"/>
  </r>
  <r>
    <n v="3583"/>
    <x v="38"/>
    <x v="31"/>
    <x v="1"/>
    <x v="1"/>
    <x v="3"/>
    <x v="0"/>
    <x v="877"/>
    <x v="5"/>
    <n v="0"/>
    <x v="11"/>
    <n v="0"/>
    <x v="8"/>
    <x v="3"/>
  </r>
  <r>
    <n v="608"/>
    <x v="38"/>
    <x v="22"/>
    <x v="0"/>
    <x v="2"/>
    <x v="0"/>
    <x v="0"/>
    <x v="997"/>
    <x v="0"/>
    <n v="0"/>
    <x v="11"/>
    <n v="0"/>
    <x v="8"/>
    <x v="3"/>
  </r>
  <r>
    <n v="838"/>
    <x v="38"/>
    <x v="8"/>
    <x v="0"/>
    <x v="0"/>
    <x v="1"/>
    <x v="5"/>
    <x v="998"/>
    <x v="5"/>
    <n v="0"/>
    <x v="11"/>
    <n v="0"/>
    <x v="8"/>
    <x v="3"/>
  </r>
  <r>
    <n v="2407"/>
    <x v="38"/>
    <x v="24"/>
    <x v="0"/>
    <x v="1"/>
    <x v="0"/>
    <x v="0"/>
    <x v="470"/>
    <x v="5"/>
    <n v="0"/>
    <x v="11"/>
    <n v="0"/>
    <x v="8"/>
    <x v="3"/>
  </r>
  <r>
    <n v="1486"/>
    <x v="38"/>
    <x v="7"/>
    <x v="0"/>
    <x v="2"/>
    <x v="0"/>
    <x v="0"/>
    <x v="999"/>
    <x v="4"/>
    <n v="0"/>
    <x v="11"/>
    <n v="0"/>
    <x v="8"/>
    <x v="3"/>
  </r>
  <r>
    <n v="4879"/>
    <x v="38"/>
    <x v="32"/>
    <x v="1"/>
    <x v="1"/>
    <x v="0"/>
    <x v="0"/>
    <x v="1000"/>
    <x v="2"/>
    <n v="0"/>
    <x v="11"/>
    <n v="0"/>
    <x v="8"/>
    <x v="3"/>
  </r>
  <r>
    <n v="3822"/>
    <x v="38"/>
    <x v="42"/>
    <x v="0"/>
    <x v="2"/>
    <x v="3"/>
    <x v="0"/>
    <x v="1001"/>
    <x v="1"/>
    <n v="0"/>
    <x v="11"/>
    <n v="0"/>
    <x v="8"/>
    <x v="3"/>
  </r>
  <r>
    <n v="1628"/>
    <x v="39"/>
    <x v="18"/>
    <x v="0"/>
    <x v="0"/>
    <x v="3"/>
    <x v="0"/>
    <x v="1002"/>
    <x v="0"/>
    <n v="1"/>
    <x v="392"/>
    <n v="1"/>
    <x v="10"/>
    <x v="0"/>
  </r>
  <r>
    <n v="3186"/>
    <x v="39"/>
    <x v="41"/>
    <x v="0"/>
    <x v="3"/>
    <x v="3"/>
    <x v="0"/>
    <x v="1003"/>
    <x v="2"/>
    <n v="1"/>
    <x v="2"/>
    <n v="8"/>
    <x v="7"/>
    <x v="0"/>
  </r>
  <r>
    <n v="652"/>
    <x v="39"/>
    <x v="8"/>
    <x v="1"/>
    <x v="3"/>
    <x v="2"/>
    <x v="0"/>
    <x v="1004"/>
    <x v="6"/>
    <n v="1"/>
    <x v="393"/>
    <n v="3"/>
    <x v="13"/>
    <x v="0"/>
  </r>
  <r>
    <n v="2475"/>
    <x v="39"/>
    <x v="7"/>
    <x v="1"/>
    <x v="2"/>
    <x v="0"/>
    <x v="0"/>
    <x v="1005"/>
    <x v="7"/>
    <n v="1"/>
    <x v="394"/>
    <n v="1"/>
    <x v="6"/>
    <x v="1"/>
  </r>
  <r>
    <n v="2085"/>
    <x v="39"/>
    <x v="3"/>
    <x v="1"/>
    <x v="3"/>
    <x v="1"/>
    <x v="5"/>
    <x v="1006"/>
    <x v="7"/>
    <n v="1"/>
    <x v="395"/>
    <n v="2"/>
    <x v="4"/>
    <x v="1"/>
  </r>
  <r>
    <n v="1114"/>
    <x v="39"/>
    <x v="39"/>
    <x v="1"/>
    <x v="0"/>
    <x v="2"/>
    <x v="0"/>
    <x v="1007"/>
    <x v="6"/>
    <n v="1"/>
    <x v="396"/>
    <n v="2"/>
    <x v="4"/>
    <x v="0"/>
  </r>
  <r>
    <n v="3572"/>
    <x v="39"/>
    <x v="20"/>
    <x v="1"/>
    <x v="1"/>
    <x v="1"/>
    <x v="7"/>
    <x v="1008"/>
    <x v="6"/>
    <n v="0"/>
    <x v="11"/>
    <n v="0"/>
    <x v="8"/>
    <x v="3"/>
  </r>
  <r>
    <n v="4913"/>
    <x v="39"/>
    <x v="29"/>
    <x v="1"/>
    <x v="2"/>
    <x v="2"/>
    <x v="0"/>
    <x v="1009"/>
    <x v="1"/>
    <n v="0"/>
    <x v="11"/>
    <n v="0"/>
    <x v="8"/>
    <x v="3"/>
  </r>
  <r>
    <n v="164"/>
    <x v="39"/>
    <x v="24"/>
    <x v="0"/>
    <x v="2"/>
    <x v="2"/>
    <x v="0"/>
    <x v="1010"/>
    <x v="2"/>
    <n v="0"/>
    <x v="11"/>
    <n v="0"/>
    <x v="8"/>
    <x v="3"/>
  </r>
  <r>
    <n v="3274"/>
    <x v="39"/>
    <x v="41"/>
    <x v="1"/>
    <x v="0"/>
    <x v="1"/>
    <x v="2"/>
    <x v="1011"/>
    <x v="8"/>
    <n v="0"/>
    <x v="11"/>
    <n v="0"/>
    <x v="8"/>
    <x v="3"/>
  </r>
  <r>
    <n v="502"/>
    <x v="39"/>
    <x v="19"/>
    <x v="1"/>
    <x v="1"/>
    <x v="0"/>
    <x v="0"/>
    <x v="1012"/>
    <x v="5"/>
    <n v="0"/>
    <x v="11"/>
    <n v="0"/>
    <x v="8"/>
    <x v="3"/>
  </r>
  <r>
    <n v="758"/>
    <x v="39"/>
    <x v="10"/>
    <x v="1"/>
    <x v="3"/>
    <x v="0"/>
    <x v="0"/>
    <x v="1013"/>
    <x v="0"/>
    <n v="0"/>
    <x v="11"/>
    <n v="0"/>
    <x v="8"/>
    <x v="3"/>
  </r>
  <r>
    <n v="1751"/>
    <x v="39"/>
    <x v="33"/>
    <x v="0"/>
    <x v="3"/>
    <x v="0"/>
    <x v="0"/>
    <x v="1014"/>
    <x v="5"/>
    <n v="0"/>
    <x v="11"/>
    <n v="0"/>
    <x v="8"/>
    <x v="3"/>
  </r>
  <r>
    <n v="1508"/>
    <x v="39"/>
    <x v="8"/>
    <x v="0"/>
    <x v="2"/>
    <x v="1"/>
    <x v="5"/>
    <x v="1015"/>
    <x v="8"/>
    <n v="0"/>
    <x v="11"/>
    <n v="0"/>
    <x v="8"/>
    <x v="3"/>
  </r>
  <r>
    <n v="3478"/>
    <x v="39"/>
    <x v="23"/>
    <x v="1"/>
    <x v="0"/>
    <x v="3"/>
    <x v="0"/>
    <x v="1016"/>
    <x v="2"/>
    <n v="0"/>
    <x v="11"/>
    <n v="0"/>
    <x v="8"/>
    <x v="3"/>
  </r>
  <r>
    <n v="4765"/>
    <x v="39"/>
    <x v="25"/>
    <x v="1"/>
    <x v="3"/>
    <x v="0"/>
    <x v="0"/>
    <x v="1017"/>
    <x v="1"/>
    <n v="0"/>
    <x v="11"/>
    <n v="0"/>
    <x v="8"/>
    <x v="3"/>
  </r>
  <r>
    <n v="3144"/>
    <x v="39"/>
    <x v="8"/>
    <x v="0"/>
    <x v="0"/>
    <x v="1"/>
    <x v="6"/>
    <x v="1018"/>
    <x v="2"/>
    <n v="0"/>
    <x v="11"/>
    <n v="0"/>
    <x v="8"/>
    <x v="3"/>
  </r>
  <r>
    <n v="825"/>
    <x v="39"/>
    <x v="39"/>
    <x v="0"/>
    <x v="2"/>
    <x v="0"/>
    <x v="0"/>
    <x v="652"/>
    <x v="8"/>
    <n v="0"/>
    <x v="11"/>
    <n v="0"/>
    <x v="8"/>
    <x v="3"/>
  </r>
  <r>
    <n v="2359"/>
    <x v="39"/>
    <x v="23"/>
    <x v="1"/>
    <x v="1"/>
    <x v="2"/>
    <x v="0"/>
    <x v="302"/>
    <x v="2"/>
    <n v="0"/>
    <x v="11"/>
    <n v="0"/>
    <x v="8"/>
    <x v="3"/>
  </r>
  <r>
    <n v="561"/>
    <x v="40"/>
    <x v="8"/>
    <x v="0"/>
    <x v="2"/>
    <x v="2"/>
    <x v="0"/>
    <x v="1019"/>
    <x v="2"/>
    <n v="1"/>
    <x v="397"/>
    <n v="4"/>
    <x v="2"/>
    <x v="1"/>
  </r>
  <r>
    <n v="4645"/>
    <x v="40"/>
    <x v="56"/>
    <x v="1"/>
    <x v="2"/>
    <x v="0"/>
    <x v="0"/>
    <x v="1020"/>
    <x v="5"/>
    <n v="1"/>
    <x v="398"/>
    <n v="3"/>
    <x v="3"/>
    <x v="0"/>
  </r>
  <r>
    <n v="2314"/>
    <x v="40"/>
    <x v="8"/>
    <x v="1"/>
    <x v="2"/>
    <x v="0"/>
    <x v="0"/>
    <x v="1021"/>
    <x v="0"/>
    <n v="1"/>
    <x v="399"/>
    <n v="1"/>
    <x v="15"/>
    <x v="1"/>
  </r>
  <r>
    <n v="3085"/>
    <x v="40"/>
    <x v="34"/>
    <x v="0"/>
    <x v="1"/>
    <x v="2"/>
    <x v="0"/>
    <x v="1022"/>
    <x v="2"/>
    <n v="1"/>
    <x v="400"/>
    <n v="4"/>
    <x v="3"/>
    <x v="1"/>
  </r>
  <r>
    <n v="3245"/>
    <x v="40"/>
    <x v="8"/>
    <x v="2"/>
    <x v="0"/>
    <x v="0"/>
    <x v="0"/>
    <x v="1023"/>
    <x v="0"/>
    <n v="1"/>
    <x v="401"/>
    <n v="2"/>
    <x v="0"/>
    <x v="0"/>
  </r>
  <r>
    <n v="2632"/>
    <x v="40"/>
    <x v="20"/>
    <x v="1"/>
    <x v="2"/>
    <x v="0"/>
    <x v="0"/>
    <x v="1024"/>
    <x v="11"/>
    <n v="1"/>
    <x v="402"/>
    <n v="3"/>
    <x v="9"/>
    <x v="0"/>
  </r>
  <r>
    <n v="4231"/>
    <x v="40"/>
    <x v="21"/>
    <x v="0"/>
    <x v="1"/>
    <x v="3"/>
    <x v="0"/>
    <x v="1025"/>
    <x v="6"/>
    <n v="1"/>
    <x v="403"/>
    <n v="2"/>
    <x v="15"/>
    <x v="2"/>
  </r>
  <r>
    <n v="338"/>
    <x v="40"/>
    <x v="6"/>
    <x v="0"/>
    <x v="1"/>
    <x v="3"/>
    <x v="0"/>
    <x v="1026"/>
    <x v="8"/>
    <n v="1"/>
    <x v="404"/>
    <n v="1"/>
    <x v="1"/>
    <x v="0"/>
  </r>
  <r>
    <n v="2640"/>
    <x v="40"/>
    <x v="34"/>
    <x v="1"/>
    <x v="1"/>
    <x v="0"/>
    <x v="0"/>
    <x v="214"/>
    <x v="2"/>
    <n v="1"/>
    <x v="405"/>
    <n v="2"/>
    <x v="11"/>
    <x v="0"/>
  </r>
  <r>
    <n v="1438"/>
    <x v="40"/>
    <x v="4"/>
    <x v="0"/>
    <x v="1"/>
    <x v="1"/>
    <x v="1"/>
    <x v="190"/>
    <x v="5"/>
    <n v="1"/>
    <x v="406"/>
    <n v="4"/>
    <x v="14"/>
    <x v="0"/>
  </r>
  <r>
    <n v="2966"/>
    <x v="40"/>
    <x v="5"/>
    <x v="1"/>
    <x v="1"/>
    <x v="1"/>
    <x v="1"/>
    <x v="1027"/>
    <x v="4"/>
    <n v="1"/>
    <x v="407"/>
    <n v="4"/>
    <x v="6"/>
    <x v="2"/>
  </r>
  <r>
    <n v="2983"/>
    <x v="40"/>
    <x v="39"/>
    <x v="0"/>
    <x v="2"/>
    <x v="1"/>
    <x v="4"/>
    <x v="1028"/>
    <x v="7"/>
    <n v="1"/>
    <x v="408"/>
    <n v="2"/>
    <x v="10"/>
    <x v="1"/>
  </r>
  <r>
    <n v="3153"/>
    <x v="40"/>
    <x v="41"/>
    <x v="0"/>
    <x v="0"/>
    <x v="2"/>
    <x v="0"/>
    <x v="1029"/>
    <x v="5"/>
    <n v="1"/>
    <x v="409"/>
    <n v="1"/>
    <x v="9"/>
    <x v="0"/>
  </r>
  <r>
    <n v="2979"/>
    <x v="40"/>
    <x v="34"/>
    <x v="0"/>
    <x v="2"/>
    <x v="2"/>
    <x v="0"/>
    <x v="187"/>
    <x v="5"/>
    <n v="1"/>
    <x v="410"/>
    <n v="3"/>
    <x v="1"/>
    <x v="1"/>
  </r>
  <r>
    <n v="2221"/>
    <x v="40"/>
    <x v="7"/>
    <x v="0"/>
    <x v="0"/>
    <x v="0"/>
    <x v="0"/>
    <x v="727"/>
    <x v="6"/>
    <n v="0"/>
    <x v="11"/>
    <n v="0"/>
    <x v="8"/>
    <x v="3"/>
  </r>
  <r>
    <n v="3046"/>
    <x v="40"/>
    <x v="25"/>
    <x v="1"/>
    <x v="1"/>
    <x v="1"/>
    <x v="1"/>
    <x v="1030"/>
    <x v="0"/>
    <n v="0"/>
    <x v="11"/>
    <n v="0"/>
    <x v="8"/>
    <x v="3"/>
  </r>
  <r>
    <n v="2268"/>
    <x v="40"/>
    <x v="0"/>
    <x v="0"/>
    <x v="1"/>
    <x v="0"/>
    <x v="0"/>
    <x v="1031"/>
    <x v="10"/>
    <n v="0"/>
    <x v="11"/>
    <n v="0"/>
    <x v="8"/>
    <x v="3"/>
  </r>
  <r>
    <n v="138"/>
    <x v="40"/>
    <x v="10"/>
    <x v="1"/>
    <x v="2"/>
    <x v="1"/>
    <x v="2"/>
    <x v="1032"/>
    <x v="8"/>
    <n v="0"/>
    <x v="11"/>
    <n v="0"/>
    <x v="8"/>
    <x v="3"/>
  </r>
  <r>
    <n v="268"/>
    <x v="40"/>
    <x v="39"/>
    <x v="1"/>
    <x v="0"/>
    <x v="0"/>
    <x v="0"/>
    <x v="1033"/>
    <x v="1"/>
    <n v="0"/>
    <x v="11"/>
    <n v="0"/>
    <x v="8"/>
    <x v="3"/>
  </r>
  <r>
    <n v="4190"/>
    <x v="40"/>
    <x v="42"/>
    <x v="1"/>
    <x v="2"/>
    <x v="0"/>
    <x v="0"/>
    <x v="1034"/>
    <x v="6"/>
    <n v="0"/>
    <x v="11"/>
    <n v="0"/>
    <x v="8"/>
    <x v="3"/>
  </r>
  <r>
    <n v="436"/>
    <x v="40"/>
    <x v="26"/>
    <x v="1"/>
    <x v="3"/>
    <x v="3"/>
    <x v="0"/>
    <x v="50"/>
    <x v="2"/>
    <n v="0"/>
    <x v="11"/>
    <n v="0"/>
    <x v="8"/>
    <x v="3"/>
  </r>
  <r>
    <n v="279"/>
    <x v="40"/>
    <x v="8"/>
    <x v="0"/>
    <x v="0"/>
    <x v="2"/>
    <x v="0"/>
    <x v="1035"/>
    <x v="6"/>
    <n v="0"/>
    <x v="11"/>
    <n v="0"/>
    <x v="8"/>
    <x v="3"/>
  </r>
  <r>
    <n v="4239"/>
    <x v="40"/>
    <x v="8"/>
    <x v="1"/>
    <x v="1"/>
    <x v="3"/>
    <x v="0"/>
    <x v="1036"/>
    <x v="2"/>
    <n v="0"/>
    <x v="11"/>
    <n v="0"/>
    <x v="8"/>
    <x v="3"/>
  </r>
  <r>
    <n v="3466"/>
    <x v="40"/>
    <x v="27"/>
    <x v="1"/>
    <x v="1"/>
    <x v="3"/>
    <x v="0"/>
    <x v="1037"/>
    <x v="1"/>
    <n v="0"/>
    <x v="11"/>
    <n v="0"/>
    <x v="8"/>
    <x v="3"/>
  </r>
  <r>
    <n v="1282"/>
    <x v="40"/>
    <x v="18"/>
    <x v="0"/>
    <x v="2"/>
    <x v="3"/>
    <x v="0"/>
    <x v="1038"/>
    <x v="2"/>
    <n v="0"/>
    <x v="11"/>
    <n v="0"/>
    <x v="8"/>
    <x v="3"/>
  </r>
  <r>
    <n v="1003"/>
    <x v="41"/>
    <x v="31"/>
    <x v="0"/>
    <x v="2"/>
    <x v="1"/>
    <x v="1"/>
    <x v="1039"/>
    <x v="6"/>
    <n v="1"/>
    <x v="411"/>
    <n v="3"/>
    <x v="6"/>
    <x v="2"/>
  </r>
  <r>
    <n v="1979"/>
    <x v="41"/>
    <x v="14"/>
    <x v="1"/>
    <x v="2"/>
    <x v="0"/>
    <x v="0"/>
    <x v="1040"/>
    <x v="4"/>
    <n v="1"/>
    <x v="412"/>
    <n v="3"/>
    <x v="1"/>
    <x v="0"/>
  </r>
  <r>
    <n v="4618"/>
    <x v="41"/>
    <x v="51"/>
    <x v="1"/>
    <x v="2"/>
    <x v="0"/>
    <x v="0"/>
    <x v="1041"/>
    <x v="13"/>
    <n v="1"/>
    <x v="413"/>
    <n v="4"/>
    <x v="1"/>
    <x v="1"/>
  </r>
  <r>
    <n v="265"/>
    <x v="41"/>
    <x v="6"/>
    <x v="0"/>
    <x v="1"/>
    <x v="1"/>
    <x v="3"/>
    <x v="1042"/>
    <x v="1"/>
    <n v="1"/>
    <x v="414"/>
    <n v="1"/>
    <x v="14"/>
    <x v="0"/>
  </r>
  <r>
    <n v="2482"/>
    <x v="41"/>
    <x v="11"/>
    <x v="0"/>
    <x v="0"/>
    <x v="1"/>
    <x v="2"/>
    <x v="1043"/>
    <x v="6"/>
    <n v="1"/>
    <x v="415"/>
    <n v="3"/>
    <x v="10"/>
    <x v="0"/>
  </r>
  <r>
    <n v="4192"/>
    <x v="41"/>
    <x v="57"/>
    <x v="1"/>
    <x v="2"/>
    <x v="1"/>
    <x v="2"/>
    <x v="733"/>
    <x v="0"/>
    <n v="1"/>
    <x v="416"/>
    <n v="2"/>
    <x v="2"/>
    <x v="0"/>
  </r>
  <r>
    <n v="2312"/>
    <x v="41"/>
    <x v="34"/>
    <x v="1"/>
    <x v="2"/>
    <x v="1"/>
    <x v="5"/>
    <x v="1044"/>
    <x v="5"/>
    <n v="1"/>
    <x v="417"/>
    <n v="2"/>
    <x v="0"/>
    <x v="2"/>
  </r>
  <r>
    <n v="949"/>
    <x v="41"/>
    <x v="2"/>
    <x v="1"/>
    <x v="0"/>
    <x v="2"/>
    <x v="0"/>
    <x v="1045"/>
    <x v="4"/>
    <n v="1"/>
    <x v="418"/>
    <n v="3"/>
    <x v="7"/>
    <x v="1"/>
  </r>
  <r>
    <n v="2896"/>
    <x v="41"/>
    <x v="2"/>
    <x v="0"/>
    <x v="0"/>
    <x v="0"/>
    <x v="0"/>
    <x v="1046"/>
    <x v="5"/>
    <n v="1"/>
    <x v="419"/>
    <n v="2"/>
    <x v="12"/>
    <x v="0"/>
  </r>
  <r>
    <n v="1118"/>
    <x v="41"/>
    <x v="10"/>
    <x v="0"/>
    <x v="3"/>
    <x v="3"/>
    <x v="0"/>
    <x v="1047"/>
    <x v="1"/>
    <n v="1"/>
    <x v="420"/>
    <n v="1"/>
    <x v="14"/>
    <x v="0"/>
  </r>
  <r>
    <n v="615"/>
    <x v="41"/>
    <x v="18"/>
    <x v="1"/>
    <x v="1"/>
    <x v="1"/>
    <x v="1"/>
    <x v="1048"/>
    <x v="1"/>
    <n v="0"/>
    <x v="11"/>
    <n v="0"/>
    <x v="8"/>
    <x v="3"/>
  </r>
  <r>
    <n v="3292"/>
    <x v="41"/>
    <x v="27"/>
    <x v="1"/>
    <x v="0"/>
    <x v="1"/>
    <x v="6"/>
    <x v="1049"/>
    <x v="8"/>
    <n v="0"/>
    <x v="11"/>
    <n v="0"/>
    <x v="8"/>
    <x v="3"/>
  </r>
  <r>
    <n v="2354"/>
    <x v="41"/>
    <x v="41"/>
    <x v="1"/>
    <x v="2"/>
    <x v="0"/>
    <x v="0"/>
    <x v="1050"/>
    <x v="10"/>
    <n v="0"/>
    <x v="11"/>
    <n v="0"/>
    <x v="8"/>
    <x v="3"/>
  </r>
  <r>
    <n v="1912"/>
    <x v="41"/>
    <x v="6"/>
    <x v="0"/>
    <x v="0"/>
    <x v="0"/>
    <x v="0"/>
    <x v="1051"/>
    <x v="0"/>
    <n v="0"/>
    <x v="11"/>
    <n v="0"/>
    <x v="8"/>
    <x v="3"/>
  </r>
  <r>
    <n v="4314"/>
    <x v="41"/>
    <x v="54"/>
    <x v="0"/>
    <x v="0"/>
    <x v="2"/>
    <x v="0"/>
    <x v="1052"/>
    <x v="6"/>
    <n v="0"/>
    <x v="11"/>
    <n v="0"/>
    <x v="8"/>
    <x v="3"/>
  </r>
  <r>
    <n v="3624"/>
    <x v="41"/>
    <x v="2"/>
    <x v="2"/>
    <x v="2"/>
    <x v="2"/>
    <x v="0"/>
    <x v="616"/>
    <x v="1"/>
    <n v="0"/>
    <x v="11"/>
    <n v="0"/>
    <x v="8"/>
    <x v="3"/>
  </r>
  <r>
    <n v="2219"/>
    <x v="41"/>
    <x v="11"/>
    <x v="0"/>
    <x v="2"/>
    <x v="3"/>
    <x v="0"/>
    <x v="1053"/>
    <x v="6"/>
    <n v="0"/>
    <x v="11"/>
    <n v="0"/>
    <x v="8"/>
    <x v="3"/>
  </r>
  <r>
    <n v="4441"/>
    <x v="41"/>
    <x v="47"/>
    <x v="1"/>
    <x v="0"/>
    <x v="0"/>
    <x v="0"/>
    <x v="592"/>
    <x v="0"/>
    <n v="0"/>
    <x v="11"/>
    <n v="0"/>
    <x v="8"/>
    <x v="3"/>
  </r>
  <r>
    <n v="4787"/>
    <x v="41"/>
    <x v="32"/>
    <x v="0"/>
    <x v="1"/>
    <x v="1"/>
    <x v="3"/>
    <x v="1054"/>
    <x v="2"/>
    <n v="0"/>
    <x v="11"/>
    <n v="0"/>
    <x v="8"/>
    <x v="3"/>
  </r>
  <r>
    <n v="4649"/>
    <x v="41"/>
    <x v="46"/>
    <x v="1"/>
    <x v="3"/>
    <x v="0"/>
    <x v="0"/>
    <x v="1055"/>
    <x v="5"/>
    <n v="0"/>
    <x v="11"/>
    <n v="0"/>
    <x v="8"/>
    <x v="3"/>
  </r>
  <r>
    <n v="3116"/>
    <x v="41"/>
    <x v="26"/>
    <x v="0"/>
    <x v="1"/>
    <x v="1"/>
    <x v="2"/>
    <x v="1056"/>
    <x v="6"/>
    <n v="0"/>
    <x v="11"/>
    <n v="0"/>
    <x v="8"/>
    <x v="3"/>
  </r>
  <r>
    <n v="1882"/>
    <x v="41"/>
    <x v="14"/>
    <x v="1"/>
    <x v="3"/>
    <x v="0"/>
    <x v="0"/>
    <x v="178"/>
    <x v="11"/>
    <n v="0"/>
    <x v="11"/>
    <n v="0"/>
    <x v="8"/>
    <x v="3"/>
  </r>
  <r>
    <n v="1061"/>
    <x v="41"/>
    <x v="8"/>
    <x v="1"/>
    <x v="1"/>
    <x v="0"/>
    <x v="0"/>
    <x v="1057"/>
    <x v="5"/>
    <n v="0"/>
    <x v="11"/>
    <n v="0"/>
    <x v="8"/>
    <x v="3"/>
  </r>
  <r>
    <n v="4175"/>
    <x v="41"/>
    <x v="41"/>
    <x v="0"/>
    <x v="0"/>
    <x v="1"/>
    <x v="2"/>
    <x v="1058"/>
    <x v="12"/>
    <n v="0"/>
    <x v="11"/>
    <n v="0"/>
    <x v="8"/>
    <x v="3"/>
  </r>
  <r>
    <n v="555"/>
    <x v="41"/>
    <x v="2"/>
    <x v="1"/>
    <x v="1"/>
    <x v="1"/>
    <x v="2"/>
    <x v="910"/>
    <x v="0"/>
    <n v="0"/>
    <x v="11"/>
    <n v="0"/>
    <x v="8"/>
    <x v="3"/>
  </r>
  <r>
    <n v="736"/>
    <x v="41"/>
    <x v="20"/>
    <x v="0"/>
    <x v="3"/>
    <x v="2"/>
    <x v="0"/>
    <x v="1059"/>
    <x v="5"/>
    <n v="0"/>
    <x v="11"/>
    <n v="0"/>
    <x v="8"/>
    <x v="3"/>
  </r>
  <r>
    <n v="184"/>
    <x v="41"/>
    <x v="18"/>
    <x v="1"/>
    <x v="0"/>
    <x v="0"/>
    <x v="0"/>
    <x v="421"/>
    <x v="4"/>
    <n v="0"/>
    <x v="11"/>
    <n v="0"/>
    <x v="8"/>
    <x v="3"/>
  </r>
  <r>
    <n v="384"/>
    <x v="41"/>
    <x v="0"/>
    <x v="1"/>
    <x v="1"/>
    <x v="3"/>
    <x v="0"/>
    <x v="1060"/>
    <x v="8"/>
    <n v="0"/>
    <x v="11"/>
    <n v="0"/>
    <x v="8"/>
    <x v="3"/>
  </r>
  <r>
    <n v="1051"/>
    <x v="41"/>
    <x v="22"/>
    <x v="0"/>
    <x v="1"/>
    <x v="1"/>
    <x v="1"/>
    <x v="583"/>
    <x v="2"/>
    <n v="0"/>
    <x v="11"/>
    <n v="0"/>
    <x v="8"/>
    <x v="3"/>
  </r>
  <r>
    <n v="768"/>
    <x v="41"/>
    <x v="7"/>
    <x v="1"/>
    <x v="3"/>
    <x v="1"/>
    <x v="1"/>
    <x v="1061"/>
    <x v="8"/>
    <n v="0"/>
    <x v="11"/>
    <n v="0"/>
    <x v="8"/>
    <x v="3"/>
  </r>
  <r>
    <n v="3198"/>
    <x v="41"/>
    <x v="45"/>
    <x v="0"/>
    <x v="2"/>
    <x v="2"/>
    <x v="0"/>
    <x v="1062"/>
    <x v="6"/>
    <n v="0"/>
    <x v="11"/>
    <n v="0"/>
    <x v="8"/>
    <x v="3"/>
  </r>
  <r>
    <n v="1356"/>
    <x v="41"/>
    <x v="16"/>
    <x v="1"/>
    <x v="1"/>
    <x v="0"/>
    <x v="0"/>
    <x v="1063"/>
    <x v="5"/>
    <n v="0"/>
    <x v="11"/>
    <n v="0"/>
    <x v="8"/>
    <x v="3"/>
  </r>
  <r>
    <n v="2940"/>
    <x v="42"/>
    <x v="26"/>
    <x v="1"/>
    <x v="3"/>
    <x v="0"/>
    <x v="0"/>
    <x v="1064"/>
    <x v="2"/>
    <n v="1"/>
    <x v="421"/>
    <n v="3"/>
    <x v="4"/>
    <x v="2"/>
  </r>
  <r>
    <n v="3424"/>
    <x v="42"/>
    <x v="27"/>
    <x v="0"/>
    <x v="2"/>
    <x v="1"/>
    <x v="7"/>
    <x v="1065"/>
    <x v="2"/>
    <n v="1"/>
    <x v="422"/>
    <n v="3"/>
    <x v="13"/>
    <x v="1"/>
  </r>
  <r>
    <n v="4748"/>
    <x v="42"/>
    <x v="47"/>
    <x v="0"/>
    <x v="2"/>
    <x v="3"/>
    <x v="0"/>
    <x v="1066"/>
    <x v="1"/>
    <n v="1"/>
    <x v="423"/>
    <n v="4"/>
    <x v="2"/>
    <x v="1"/>
  </r>
  <r>
    <n v="4058"/>
    <x v="42"/>
    <x v="38"/>
    <x v="0"/>
    <x v="3"/>
    <x v="0"/>
    <x v="0"/>
    <x v="1067"/>
    <x v="8"/>
    <n v="1"/>
    <x v="424"/>
    <n v="3"/>
    <x v="11"/>
    <x v="2"/>
  </r>
  <r>
    <n v="1350"/>
    <x v="42"/>
    <x v="6"/>
    <x v="0"/>
    <x v="2"/>
    <x v="3"/>
    <x v="0"/>
    <x v="1068"/>
    <x v="5"/>
    <n v="1"/>
    <x v="425"/>
    <n v="6"/>
    <x v="15"/>
    <x v="0"/>
  </r>
  <r>
    <n v="600"/>
    <x v="42"/>
    <x v="26"/>
    <x v="0"/>
    <x v="1"/>
    <x v="3"/>
    <x v="0"/>
    <x v="1069"/>
    <x v="2"/>
    <n v="1"/>
    <x v="426"/>
    <n v="3"/>
    <x v="2"/>
    <x v="1"/>
  </r>
  <r>
    <n v="2418"/>
    <x v="42"/>
    <x v="10"/>
    <x v="1"/>
    <x v="0"/>
    <x v="3"/>
    <x v="0"/>
    <x v="1070"/>
    <x v="0"/>
    <n v="1"/>
    <x v="427"/>
    <n v="2"/>
    <x v="6"/>
    <x v="2"/>
  </r>
  <r>
    <n v="1423"/>
    <x v="42"/>
    <x v="22"/>
    <x v="1"/>
    <x v="0"/>
    <x v="1"/>
    <x v="3"/>
    <x v="1071"/>
    <x v="2"/>
    <n v="1"/>
    <x v="428"/>
    <n v="2"/>
    <x v="5"/>
    <x v="2"/>
  </r>
  <r>
    <n v="1274"/>
    <x v="42"/>
    <x v="19"/>
    <x v="0"/>
    <x v="2"/>
    <x v="0"/>
    <x v="0"/>
    <x v="1072"/>
    <x v="1"/>
    <n v="1"/>
    <x v="429"/>
    <n v="2"/>
    <x v="4"/>
    <x v="0"/>
  </r>
  <r>
    <n v="1795"/>
    <x v="42"/>
    <x v="41"/>
    <x v="0"/>
    <x v="0"/>
    <x v="1"/>
    <x v="5"/>
    <x v="1073"/>
    <x v="5"/>
    <n v="1"/>
    <x v="430"/>
    <n v="4"/>
    <x v="11"/>
    <x v="1"/>
  </r>
  <r>
    <n v="336"/>
    <x v="42"/>
    <x v="18"/>
    <x v="2"/>
    <x v="1"/>
    <x v="0"/>
    <x v="0"/>
    <x v="123"/>
    <x v="1"/>
    <n v="1"/>
    <x v="431"/>
    <n v="3"/>
    <x v="11"/>
    <x v="0"/>
  </r>
  <r>
    <n v="1014"/>
    <x v="42"/>
    <x v="8"/>
    <x v="0"/>
    <x v="3"/>
    <x v="2"/>
    <x v="0"/>
    <x v="1074"/>
    <x v="5"/>
    <n v="1"/>
    <x v="432"/>
    <n v="4"/>
    <x v="15"/>
    <x v="0"/>
  </r>
  <r>
    <n v="3875"/>
    <x v="42"/>
    <x v="3"/>
    <x v="1"/>
    <x v="2"/>
    <x v="0"/>
    <x v="0"/>
    <x v="1075"/>
    <x v="4"/>
    <n v="1"/>
    <x v="303"/>
    <n v="2"/>
    <x v="12"/>
    <x v="1"/>
  </r>
  <r>
    <n v="2777"/>
    <x v="42"/>
    <x v="30"/>
    <x v="1"/>
    <x v="1"/>
    <x v="0"/>
    <x v="0"/>
    <x v="1076"/>
    <x v="5"/>
    <n v="1"/>
    <x v="433"/>
    <n v="1"/>
    <x v="3"/>
    <x v="2"/>
  </r>
  <r>
    <n v="169"/>
    <x v="42"/>
    <x v="20"/>
    <x v="1"/>
    <x v="1"/>
    <x v="1"/>
    <x v="5"/>
    <x v="1077"/>
    <x v="2"/>
    <n v="1"/>
    <x v="434"/>
    <n v="3"/>
    <x v="4"/>
    <x v="2"/>
  </r>
  <r>
    <n v="3389"/>
    <x v="42"/>
    <x v="40"/>
    <x v="0"/>
    <x v="0"/>
    <x v="0"/>
    <x v="0"/>
    <x v="1078"/>
    <x v="8"/>
    <n v="1"/>
    <x v="435"/>
    <n v="3"/>
    <x v="3"/>
    <x v="0"/>
  </r>
  <r>
    <n v="3960"/>
    <x v="42"/>
    <x v="13"/>
    <x v="1"/>
    <x v="3"/>
    <x v="0"/>
    <x v="0"/>
    <x v="1079"/>
    <x v="2"/>
    <n v="0"/>
    <x v="11"/>
    <n v="0"/>
    <x v="8"/>
    <x v="3"/>
  </r>
  <r>
    <n v="3968"/>
    <x v="42"/>
    <x v="12"/>
    <x v="2"/>
    <x v="3"/>
    <x v="0"/>
    <x v="0"/>
    <x v="1080"/>
    <x v="8"/>
    <n v="0"/>
    <x v="11"/>
    <n v="0"/>
    <x v="8"/>
    <x v="3"/>
  </r>
  <r>
    <n v="4844"/>
    <x v="42"/>
    <x v="25"/>
    <x v="1"/>
    <x v="0"/>
    <x v="0"/>
    <x v="0"/>
    <x v="1081"/>
    <x v="8"/>
    <n v="0"/>
    <x v="11"/>
    <n v="0"/>
    <x v="8"/>
    <x v="3"/>
  </r>
  <r>
    <n v="3410"/>
    <x v="42"/>
    <x v="11"/>
    <x v="0"/>
    <x v="0"/>
    <x v="0"/>
    <x v="0"/>
    <x v="1082"/>
    <x v="2"/>
    <n v="0"/>
    <x v="11"/>
    <n v="0"/>
    <x v="8"/>
    <x v="3"/>
  </r>
  <r>
    <n v="2468"/>
    <x v="42"/>
    <x v="11"/>
    <x v="1"/>
    <x v="0"/>
    <x v="1"/>
    <x v="1"/>
    <x v="929"/>
    <x v="10"/>
    <n v="0"/>
    <x v="11"/>
    <n v="0"/>
    <x v="8"/>
    <x v="3"/>
  </r>
  <r>
    <n v="1417"/>
    <x v="42"/>
    <x v="8"/>
    <x v="1"/>
    <x v="0"/>
    <x v="0"/>
    <x v="0"/>
    <x v="1083"/>
    <x v="8"/>
    <n v="0"/>
    <x v="11"/>
    <n v="0"/>
    <x v="8"/>
    <x v="3"/>
  </r>
  <r>
    <n v="473"/>
    <x v="42"/>
    <x v="24"/>
    <x v="0"/>
    <x v="0"/>
    <x v="2"/>
    <x v="0"/>
    <x v="1084"/>
    <x v="8"/>
    <n v="0"/>
    <x v="11"/>
    <n v="0"/>
    <x v="8"/>
    <x v="3"/>
  </r>
  <r>
    <n v="3911"/>
    <x v="42"/>
    <x v="32"/>
    <x v="1"/>
    <x v="3"/>
    <x v="0"/>
    <x v="0"/>
    <x v="1085"/>
    <x v="6"/>
    <n v="0"/>
    <x v="11"/>
    <n v="0"/>
    <x v="8"/>
    <x v="3"/>
  </r>
  <r>
    <n v="1549"/>
    <x v="42"/>
    <x v="10"/>
    <x v="1"/>
    <x v="1"/>
    <x v="0"/>
    <x v="0"/>
    <x v="1086"/>
    <x v="10"/>
    <n v="0"/>
    <x v="11"/>
    <n v="0"/>
    <x v="8"/>
    <x v="3"/>
  </r>
  <r>
    <n v="2204"/>
    <x v="42"/>
    <x v="23"/>
    <x v="1"/>
    <x v="3"/>
    <x v="1"/>
    <x v="3"/>
    <x v="879"/>
    <x v="0"/>
    <n v="0"/>
    <x v="11"/>
    <n v="0"/>
    <x v="8"/>
    <x v="3"/>
  </r>
  <r>
    <n v="1073"/>
    <x v="42"/>
    <x v="7"/>
    <x v="1"/>
    <x v="0"/>
    <x v="1"/>
    <x v="1"/>
    <x v="503"/>
    <x v="5"/>
    <n v="0"/>
    <x v="11"/>
    <n v="0"/>
    <x v="8"/>
    <x v="3"/>
  </r>
  <r>
    <n v="4390"/>
    <x v="42"/>
    <x v="50"/>
    <x v="1"/>
    <x v="0"/>
    <x v="0"/>
    <x v="0"/>
    <x v="1087"/>
    <x v="6"/>
    <n v="0"/>
    <x v="11"/>
    <n v="0"/>
    <x v="8"/>
    <x v="3"/>
  </r>
  <r>
    <n v="1827"/>
    <x v="42"/>
    <x v="34"/>
    <x v="1"/>
    <x v="2"/>
    <x v="2"/>
    <x v="0"/>
    <x v="1088"/>
    <x v="0"/>
    <n v="0"/>
    <x v="11"/>
    <n v="0"/>
    <x v="8"/>
    <x v="3"/>
  </r>
  <r>
    <n v="611"/>
    <x v="42"/>
    <x v="16"/>
    <x v="0"/>
    <x v="1"/>
    <x v="0"/>
    <x v="0"/>
    <x v="1089"/>
    <x v="8"/>
    <n v="0"/>
    <x v="11"/>
    <n v="0"/>
    <x v="8"/>
    <x v="3"/>
  </r>
  <r>
    <n v="2366"/>
    <x v="42"/>
    <x v="43"/>
    <x v="2"/>
    <x v="1"/>
    <x v="1"/>
    <x v="3"/>
    <x v="1090"/>
    <x v="11"/>
    <n v="0"/>
    <x v="11"/>
    <n v="0"/>
    <x v="8"/>
    <x v="3"/>
  </r>
  <r>
    <n v="3638"/>
    <x v="42"/>
    <x v="22"/>
    <x v="0"/>
    <x v="2"/>
    <x v="1"/>
    <x v="3"/>
    <x v="1091"/>
    <x v="0"/>
    <n v="0"/>
    <x v="11"/>
    <n v="0"/>
    <x v="8"/>
    <x v="3"/>
  </r>
  <r>
    <n v="4318"/>
    <x v="42"/>
    <x v="21"/>
    <x v="1"/>
    <x v="1"/>
    <x v="0"/>
    <x v="0"/>
    <x v="1092"/>
    <x v="10"/>
    <n v="0"/>
    <x v="11"/>
    <n v="0"/>
    <x v="8"/>
    <x v="3"/>
  </r>
  <r>
    <n v="1867"/>
    <x v="42"/>
    <x v="15"/>
    <x v="1"/>
    <x v="1"/>
    <x v="0"/>
    <x v="0"/>
    <x v="1093"/>
    <x v="2"/>
    <n v="0"/>
    <x v="11"/>
    <n v="0"/>
    <x v="8"/>
    <x v="3"/>
  </r>
  <r>
    <n v="2858"/>
    <x v="42"/>
    <x v="14"/>
    <x v="0"/>
    <x v="2"/>
    <x v="1"/>
    <x v="7"/>
    <x v="1094"/>
    <x v="8"/>
    <n v="0"/>
    <x v="11"/>
    <n v="0"/>
    <x v="8"/>
    <x v="3"/>
  </r>
  <r>
    <n v="4217"/>
    <x v="42"/>
    <x v="32"/>
    <x v="1"/>
    <x v="1"/>
    <x v="1"/>
    <x v="5"/>
    <x v="1095"/>
    <x v="5"/>
    <n v="0"/>
    <x v="11"/>
    <n v="0"/>
    <x v="8"/>
    <x v="3"/>
  </r>
  <r>
    <n v="4980"/>
    <x v="42"/>
    <x v="32"/>
    <x v="1"/>
    <x v="3"/>
    <x v="3"/>
    <x v="0"/>
    <x v="1096"/>
    <x v="1"/>
    <n v="0"/>
    <x v="11"/>
    <n v="0"/>
    <x v="8"/>
    <x v="3"/>
  </r>
  <r>
    <n v="4839"/>
    <x v="42"/>
    <x v="17"/>
    <x v="1"/>
    <x v="1"/>
    <x v="1"/>
    <x v="4"/>
    <x v="1097"/>
    <x v="0"/>
    <n v="0"/>
    <x v="11"/>
    <n v="0"/>
    <x v="8"/>
    <x v="3"/>
  </r>
  <r>
    <n v="1708"/>
    <x v="43"/>
    <x v="0"/>
    <x v="0"/>
    <x v="2"/>
    <x v="0"/>
    <x v="0"/>
    <x v="1098"/>
    <x v="6"/>
    <n v="1"/>
    <x v="436"/>
    <n v="2"/>
    <x v="4"/>
    <x v="1"/>
  </r>
  <r>
    <n v="3992"/>
    <x v="43"/>
    <x v="54"/>
    <x v="0"/>
    <x v="3"/>
    <x v="2"/>
    <x v="0"/>
    <x v="138"/>
    <x v="6"/>
    <n v="1"/>
    <x v="437"/>
    <n v="5"/>
    <x v="9"/>
    <x v="1"/>
  </r>
  <r>
    <n v="2182"/>
    <x v="43"/>
    <x v="34"/>
    <x v="0"/>
    <x v="0"/>
    <x v="3"/>
    <x v="0"/>
    <x v="1099"/>
    <x v="6"/>
    <n v="1"/>
    <x v="438"/>
    <n v="1"/>
    <x v="15"/>
    <x v="2"/>
  </r>
  <r>
    <n v="2663"/>
    <x v="43"/>
    <x v="26"/>
    <x v="1"/>
    <x v="2"/>
    <x v="0"/>
    <x v="0"/>
    <x v="1100"/>
    <x v="2"/>
    <n v="1"/>
    <x v="439"/>
    <n v="2"/>
    <x v="13"/>
    <x v="1"/>
  </r>
  <r>
    <n v="2659"/>
    <x v="43"/>
    <x v="7"/>
    <x v="0"/>
    <x v="3"/>
    <x v="0"/>
    <x v="0"/>
    <x v="9"/>
    <x v="1"/>
    <n v="1"/>
    <x v="440"/>
    <n v="2"/>
    <x v="14"/>
    <x v="0"/>
  </r>
  <r>
    <n v="1556"/>
    <x v="43"/>
    <x v="4"/>
    <x v="1"/>
    <x v="0"/>
    <x v="1"/>
    <x v="3"/>
    <x v="1101"/>
    <x v="6"/>
    <n v="1"/>
    <x v="441"/>
    <n v="6"/>
    <x v="0"/>
    <x v="2"/>
  </r>
  <r>
    <n v="14"/>
    <x v="43"/>
    <x v="4"/>
    <x v="1"/>
    <x v="3"/>
    <x v="1"/>
    <x v="5"/>
    <x v="1102"/>
    <x v="2"/>
    <n v="1"/>
    <x v="442"/>
    <n v="4"/>
    <x v="15"/>
    <x v="1"/>
  </r>
  <r>
    <n v="1752"/>
    <x v="43"/>
    <x v="6"/>
    <x v="1"/>
    <x v="3"/>
    <x v="3"/>
    <x v="0"/>
    <x v="1103"/>
    <x v="2"/>
    <n v="1"/>
    <x v="420"/>
    <n v="5"/>
    <x v="5"/>
    <x v="2"/>
  </r>
  <r>
    <n v="1459"/>
    <x v="43"/>
    <x v="39"/>
    <x v="1"/>
    <x v="1"/>
    <x v="0"/>
    <x v="0"/>
    <x v="1104"/>
    <x v="5"/>
    <n v="1"/>
    <x v="443"/>
    <n v="4"/>
    <x v="14"/>
    <x v="0"/>
  </r>
  <r>
    <n v="3351"/>
    <x v="43"/>
    <x v="0"/>
    <x v="0"/>
    <x v="2"/>
    <x v="1"/>
    <x v="5"/>
    <x v="1105"/>
    <x v="5"/>
    <n v="1"/>
    <x v="444"/>
    <n v="2"/>
    <x v="0"/>
    <x v="0"/>
  </r>
  <r>
    <n v="298"/>
    <x v="43"/>
    <x v="7"/>
    <x v="0"/>
    <x v="3"/>
    <x v="1"/>
    <x v="5"/>
    <x v="1057"/>
    <x v="1"/>
    <n v="1"/>
    <x v="445"/>
    <n v="3"/>
    <x v="12"/>
    <x v="0"/>
  </r>
  <r>
    <n v="4966"/>
    <x v="43"/>
    <x v="26"/>
    <x v="1"/>
    <x v="0"/>
    <x v="1"/>
    <x v="1"/>
    <x v="1106"/>
    <x v="2"/>
    <n v="0"/>
    <x v="11"/>
    <n v="0"/>
    <x v="8"/>
    <x v="3"/>
  </r>
  <r>
    <n v="3791"/>
    <x v="43"/>
    <x v="45"/>
    <x v="1"/>
    <x v="0"/>
    <x v="0"/>
    <x v="0"/>
    <x v="509"/>
    <x v="1"/>
    <n v="0"/>
    <x v="11"/>
    <n v="0"/>
    <x v="8"/>
    <x v="3"/>
  </r>
  <r>
    <n v="1872"/>
    <x v="43"/>
    <x v="19"/>
    <x v="1"/>
    <x v="1"/>
    <x v="0"/>
    <x v="0"/>
    <x v="1107"/>
    <x v="6"/>
    <n v="0"/>
    <x v="11"/>
    <n v="0"/>
    <x v="8"/>
    <x v="3"/>
  </r>
  <r>
    <n v="562"/>
    <x v="43"/>
    <x v="6"/>
    <x v="0"/>
    <x v="2"/>
    <x v="1"/>
    <x v="1"/>
    <x v="1108"/>
    <x v="2"/>
    <n v="0"/>
    <x v="11"/>
    <n v="0"/>
    <x v="8"/>
    <x v="3"/>
  </r>
  <r>
    <n v="3496"/>
    <x v="43"/>
    <x v="26"/>
    <x v="0"/>
    <x v="3"/>
    <x v="0"/>
    <x v="0"/>
    <x v="1109"/>
    <x v="5"/>
    <n v="0"/>
    <x v="11"/>
    <n v="0"/>
    <x v="8"/>
    <x v="3"/>
  </r>
  <r>
    <n v="643"/>
    <x v="43"/>
    <x v="22"/>
    <x v="1"/>
    <x v="3"/>
    <x v="3"/>
    <x v="0"/>
    <x v="1110"/>
    <x v="2"/>
    <n v="0"/>
    <x v="11"/>
    <n v="0"/>
    <x v="8"/>
    <x v="3"/>
  </r>
  <r>
    <n v="1233"/>
    <x v="43"/>
    <x v="19"/>
    <x v="1"/>
    <x v="3"/>
    <x v="3"/>
    <x v="0"/>
    <x v="1111"/>
    <x v="8"/>
    <n v="0"/>
    <x v="11"/>
    <n v="0"/>
    <x v="8"/>
    <x v="3"/>
  </r>
  <r>
    <n v="4543"/>
    <x v="43"/>
    <x v="49"/>
    <x v="1"/>
    <x v="1"/>
    <x v="0"/>
    <x v="0"/>
    <x v="1111"/>
    <x v="5"/>
    <n v="0"/>
    <x v="11"/>
    <n v="0"/>
    <x v="8"/>
    <x v="3"/>
  </r>
  <r>
    <n v="3443"/>
    <x v="43"/>
    <x v="23"/>
    <x v="1"/>
    <x v="0"/>
    <x v="1"/>
    <x v="5"/>
    <x v="1112"/>
    <x v="5"/>
    <n v="0"/>
    <x v="11"/>
    <n v="0"/>
    <x v="8"/>
    <x v="3"/>
  </r>
  <r>
    <n v="4340"/>
    <x v="43"/>
    <x v="54"/>
    <x v="0"/>
    <x v="2"/>
    <x v="0"/>
    <x v="0"/>
    <x v="1113"/>
    <x v="2"/>
    <n v="0"/>
    <x v="11"/>
    <n v="0"/>
    <x v="8"/>
    <x v="3"/>
  </r>
  <r>
    <n v="974"/>
    <x v="43"/>
    <x v="24"/>
    <x v="1"/>
    <x v="2"/>
    <x v="0"/>
    <x v="0"/>
    <x v="1114"/>
    <x v="6"/>
    <n v="0"/>
    <x v="11"/>
    <n v="0"/>
    <x v="8"/>
    <x v="3"/>
  </r>
  <r>
    <n v="3746"/>
    <x v="43"/>
    <x v="13"/>
    <x v="1"/>
    <x v="2"/>
    <x v="2"/>
    <x v="0"/>
    <x v="1115"/>
    <x v="0"/>
    <n v="0"/>
    <x v="11"/>
    <n v="0"/>
    <x v="8"/>
    <x v="3"/>
  </r>
  <r>
    <n v="3120"/>
    <x v="43"/>
    <x v="41"/>
    <x v="0"/>
    <x v="2"/>
    <x v="0"/>
    <x v="0"/>
    <x v="1116"/>
    <x v="1"/>
    <n v="0"/>
    <x v="11"/>
    <n v="0"/>
    <x v="8"/>
    <x v="3"/>
  </r>
  <r>
    <n v="2653"/>
    <x v="44"/>
    <x v="18"/>
    <x v="1"/>
    <x v="0"/>
    <x v="0"/>
    <x v="0"/>
    <x v="1117"/>
    <x v="5"/>
    <n v="1"/>
    <x v="446"/>
    <n v="2"/>
    <x v="15"/>
    <x v="1"/>
  </r>
  <r>
    <n v="2714"/>
    <x v="44"/>
    <x v="28"/>
    <x v="1"/>
    <x v="0"/>
    <x v="1"/>
    <x v="5"/>
    <x v="1118"/>
    <x v="4"/>
    <n v="1"/>
    <x v="447"/>
    <n v="4"/>
    <x v="4"/>
    <x v="0"/>
  </r>
  <r>
    <n v="244"/>
    <x v="44"/>
    <x v="6"/>
    <x v="0"/>
    <x v="3"/>
    <x v="1"/>
    <x v="7"/>
    <x v="1119"/>
    <x v="0"/>
    <n v="1"/>
    <x v="448"/>
    <n v="2"/>
    <x v="15"/>
    <x v="1"/>
  </r>
  <r>
    <n v="2652"/>
    <x v="44"/>
    <x v="0"/>
    <x v="1"/>
    <x v="2"/>
    <x v="1"/>
    <x v="1"/>
    <x v="1120"/>
    <x v="1"/>
    <n v="1"/>
    <x v="449"/>
    <n v="4"/>
    <x v="9"/>
    <x v="0"/>
  </r>
  <r>
    <n v="3381"/>
    <x v="44"/>
    <x v="20"/>
    <x v="1"/>
    <x v="0"/>
    <x v="3"/>
    <x v="0"/>
    <x v="1121"/>
    <x v="1"/>
    <n v="1"/>
    <x v="450"/>
    <n v="5"/>
    <x v="15"/>
    <x v="0"/>
  </r>
  <r>
    <n v="3146"/>
    <x v="44"/>
    <x v="18"/>
    <x v="1"/>
    <x v="0"/>
    <x v="0"/>
    <x v="0"/>
    <x v="1122"/>
    <x v="11"/>
    <n v="1"/>
    <x v="451"/>
    <n v="3"/>
    <x v="12"/>
    <x v="0"/>
  </r>
  <r>
    <n v="224"/>
    <x v="44"/>
    <x v="16"/>
    <x v="0"/>
    <x v="2"/>
    <x v="3"/>
    <x v="0"/>
    <x v="1123"/>
    <x v="4"/>
    <n v="1"/>
    <x v="452"/>
    <n v="1"/>
    <x v="12"/>
    <x v="0"/>
  </r>
  <r>
    <n v="3309"/>
    <x v="44"/>
    <x v="33"/>
    <x v="1"/>
    <x v="0"/>
    <x v="0"/>
    <x v="0"/>
    <x v="1124"/>
    <x v="5"/>
    <n v="1"/>
    <x v="453"/>
    <n v="1"/>
    <x v="5"/>
    <x v="2"/>
  </r>
  <r>
    <n v="2387"/>
    <x v="44"/>
    <x v="45"/>
    <x v="1"/>
    <x v="3"/>
    <x v="0"/>
    <x v="0"/>
    <x v="1125"/>
    <x v="2"/>
    <n v="1"/>
    <x v="306"/>
    <n v="3"/>
    <x v="14"/>
    <x v="0"/>
  </r>
  <r>
    <n v="626"/>
    <x v="44"/>
    <x v="39"/>
    <x v="0"/>
    <x v="3"/>
    <x v="1"/>
    <x v="7"/>
    <x v="339"/>
    <x v="1"/>
    <n v="1"/>
    <x v="454"/>
    <n v="1"/>
    <x v="15"/>
    <x v="0"/>
  </r>
  <r>
    <n v="3141"/>
    <x v="44"/>
    <x v="16"/>
    <x v="0"/>
    <x v="2"/>
    <x v="0"/>
    <x v="0"/>
    <x v="1126"/>
    <x v="6"/>
    <n v="1"/>
    <x v="455"/>
    <n v="4"/>
    <x v="1"/>
    <x v="0"/>
  </r>
  <r>
    <n v="4691"/>
    <x v="44"/>
    <x v="46"/>
    <x v="0"/>
    <x v="3"/>
    <x v="0"/>
    <x v="0"/>
    <x v="1127"/>
    <x v="2"/>
    <n v="1"/>
    <x v="456"/>
    <n v="4"/>
    <x v="4"/>
    <x v="0"/>
  </r>
  <r>
    <n v="3576"/>
    <x v="44"/>
    <x v="23"/>
    <x v="0"/>
    <x v="2"/>
    <x v="1"/>
    <x v="7"/>
    <x v="1128"/>
    <x v="5"/>
    <n v="1"/>
    <x v="457"/>
    <n v="4"/>
    <x v="1"/>
    <x v="1"/>
  </r>
  <r>
    <n v="3615"/>
    <x v="44"/>
    <x v="45"/>
    <x v="1"/>
    <x v="2"/>
    <x v="1"/>
    <x v="2"/>
    <x v="1129"/>
    <x v="6"/>
    <n v="0"/>
    <x v="11"/>
    <n v="0"/>
    <x v="8"/>
    <x v="3"/>
  </r>
  <r>
    <n v="1908"/>
    <x v="44"/>
    <x v="0"/>
    <x v="0"/>
    <x v="1"/>
    <x v="0"/>
    <x v="0"/>
    <x v="1130"/>
    <x v="5"/>
    <n v="0"/>
    <x v="11"/>
    <n v="0"/>
    <x v="8"/>
    <x v="3"/>
  </r>
  <r>
    <n v="444"/>
    <x v="44"/>
    <x v="10"/>
    <x v="1"/>
    <x v="1"/>
    <x v="2"/>
    <x v="0"/>
    <x v="1131"/>
    <x v="5"/>
    <n v="0"/>
    <x v="11"/>
    <n v="0"/>
    <x v="8"/>
    <x v="3"/>
  </r>
  <r>
    <n v="4604"/>
    <x v="44"/>
    <x v="56"/>
    <x v="1"/>
    <x v="3"/>
    <x v="0"/>
    <x v="0"/>
    <x v="1132"/>
    <x v="5"/>
    <n v="0"/>
    <x v="11"/>
    <n v="0"/>
    <x v="8"/>
    <x v="3"/>
  </r>
  <r>
    <n v="3599"/>
    <x v="44"/>
    <x v="41"/>
    <x v="1"/>
    <x v="0"/>
    <x v="2"/>
    <x v="0"/>
    <x v="1133"/>
    <x v="8"/>
    <n v="0"/>
    <x v="11"/>
    <n v="0"/>
    <x v="8"/>
    <x v="3"/>
  </r>
  <r>
    <n v="1841"/>
    <x v="44"/>
    <x v="13"/>
    <x v="1"/>
    <x v="3"/>
    <x v="3"/>
    <x v="0"/>
    <x v="1134"/>
    <x v="6"/>
    <n v="0"/>
    <x v="11"/>
    <n v="0"/>
    <x v="8"/>
    <x v="3"/>
  </r>
  <r>
    <n v="623"/>
    <x v="44"/>
    <x v="16"/>
    <x v="1"/>
    <x v="1"/>
    <x v="1"/>
    <x v="1"/>
    <x v="1135"/>
    <x v="5"/>
    <n v="0"/>
    <x v="11"/>
    <n v="0"/>
    <x v="8"/>
    <x v="3"/>
  </r>
  <r>
    <n v="2840"/>
    <x v="44"/>
    <x v="26"/>
    <x v="0"/>
    <x v="0"/>
    <x v="2"/>
    <x v="0"/>
    <x v="1136"/>
    <x v="1"/>
    <n v="0"/>
    <x v="11"/>
    <n v="0"/>
    <x v="8"/>
    <x v="3"/>
  </r>
  <r>
    <n v="1695"/>
    <x v="44"/>
    <x v="26"/>
    <x v="1"/>
    <x v="2"/>
    <x v="3"/>
    <x v="0"/>
    <x v="1137"/>
    <x v="2"/>
    <n v="0"/>
    <x v="11"/>
    <n v="0"/>
    <x v="8"/>
    <x v="3"/>
  </r>
  <r>
    <n v="1236"/>
    <x v="44"/>
    <x v="8"/>
    <x v="1"/>
    <x v="1"/>
    <x v="1"/>
    <x v="5"/>
    <x v="634"/>
    <x v="5"/>
    <n v="0"/>
    <x v="11"/>
    <n v="0"/>
    <x v="8"/>
    <x v="3"/>
  </r>
  <r>
    <n v="2338"/>
    <x v="44"/>
    <x v="26"/>
    <x v="0"/>
    <x v="3"/>
    <x v="1"/>
    <x v="6"/>
    <x v="503"/>
    <x v="11"/>
    <n v="0"/>
    <x v="11"/>
    <n v="0"/>
    <x v="8"/>
    <x v="3"/>
  </r>
  <r>
    <n v="2677"/>
    <x v="44"/>
    <x v="10"/>
    <x v="0"/>
    <x v="0"/>
    <x v="0"/>
    <x v="0"/>
    <x v="1138"/>
    <x v="5"/>
    <n v="0"/>
    <x v="11"/>
    <n v="0"/>
    <x v="8"/>
    <x v="3"/>
  </r>
  <r>
    <n v="1348"/>
    <x v="44"/>
    <x v="0"/>
    <x v="0"/>
    <x v="2"/>
    <x v="0"/>
    <x v="0"/>
    <x v="1139"/>
    <x v="6"/>
    <n v="0"/>
    <x v="11"/>
    <n v="0"/>
    <x v="8"/>
    <x v="3"/>
  </r>
  <r>
    <n v="2949"/>
    <x v="44"/>
    <x v="17"/>
    <x v="1"/>
    <x v="0"/>
    <x v="1"/>
    <x v="5"/>
    <x v="445"/>
    <x v="5"/>
    <n v="0"/>
    <x v="11"/>
    <n v="0"/>
    <x v="8"/>
    <x v="3"/>
  </r>
  <r>
    <n v="1739"/>
    <x v="44"/>
    <x v="18"/>
    <x v="1"/>
    <x v="1"/>
    <x v="1"/>
    <x v="7"/>
    <x v="446"/>
    <x v="5"/>
    <n v="0"/>
    <x v="11"/>
    <n v="0"/>
    <x v="8"/>
    <x v="3"/>
  </r>
  <r>
    <n v="4918"/>
    <x v="44"/>
    <x v="5"/>
    <x v="1"/>
    <x v="0"/>
    <x v="3"/>
    <x v="0"/>
    <x v="1140"/>
    <x v="8"/>
    <n v="0"/>
    <x v="11"/>
    <n v="0"/>
    <x v="8"/>
    <x v="3"/>
  </r>
  <r>
    <n v="161"/>
    <x v="44"/>
    <x v="5"/>
    <x v="1"/>
    <x v="1"/>
    <x v="0"/>
    <x v="0"/>
    <x v="1141"/>
    <x v="3"/>
    <n v="0"/>
    <x v="11"/>
    <n v="0"/>
    <x v="8"/>
    <x v="3"/>
  </r>
  <r>
    <n v="1914"/>
    <x v="44"/>
    <x v="2"/>
    <x v="1"/>
    <x v="2"/>
    <x v="0"/>
    <x v="0"/>
    <x v="1142"/>
    <x v="10"/>
    <n v="0"/>
    <x v="11"/>
    <n v="0"/>
    <x v="8"/>
    <x v="3"/>
  </r>
  <r>
    <n v="2925"/>
    <x v="44"/>
    <x v="3"/>
    <x v="0"/>
    <x v="3"/>
    <x v="1"/>
    <x v="7"/>
    <x v="1143"/>
    <x v="5"/>
    <n v="0"/>
    <x v="11"/>
    <n v="0"/>
    <x v="8"/>
    <x v="3"/>
  </r>
  <r>
    <n v="393"/>
    <x v="44"/>
    <x v="6"/>
    <x v="0"/>
    <x v="3"/>
    <x v="3"/>
    <x v="0"/>
    <x v="1144"/>
    <x v="2"/>
    <n v="0"/>
    <x v="11"/>
    <n v="0"/>
    <x v="8"/>
    <x v="3"/>
  </r>
  <r>
    <n v="2049"/>
    <x v="45"/>
    <x v="13"/>
    <x v="1"/>
    <x v="2"/>
    <x v="0"/>
    <x v="0"/>
    <x v="1145"/>
    <x v="8"/>
    <n v="1"/>
    <x v="458"/>
    <n v="1"/>
    <x v="12"/>
    <x v="0"/>
  </r>
  <r>
    <n v="3243"/>
    <x v="45"/>
    <x v="26"/>
    <x v="0"/>
    <x v="0"/>
    <x v="3"/>
    <x v="0"/>
    <x v="660"/>
    <x v="5"/>
    <n v="1"/>
    <x v="459"/>
    <n v="2"/>
    <x v="7"/>
    <x v="0"/>
  </r>
  <r>
    <n v="2470"/>
    <x v="45"/>
    <x v="31"/>
    <x v="0"/>
    <x v="2"/>
    <x v="0"/>
    <x v="0"/>
    <x v="1146"/>
    <x v="0"/>
    <n v="1"/>
    <x v="460"/>
    <n v="6"/>
    <x v="9"/>
    <x v="0"/>
  </r>
  <r>
    <n v="1002"/>
    <x v="45"/>
    <x v="2"/>
    <x v="1"/>
    <x v="1"/>
    <x v="1"/>
    <x v="7"/>
    <x v="1147"/>
    <x v="5"/>
    <n v="1"/>
    <x v="461"/>
    <n v="3"/>
    <x v="3"/>
    <x v="1"/>
  </r>
  <r>
    <n v="4157"/>
    <x v="45"/>
    <x v="32"/>
    <x v="1"/>
    <x v="1"/>
    <x v="0"/>
    <x v="0"/>
    <x v="572"/>
    <x v="6"/>
    <n v="1"/>
    <x v="462"/>
    <n v="4"/>
    <x v="7"/>
    <x v="0"/>
  </r>
  <r>
    <n v="3294"/>
    <x v="45"/>
    <x v="14"/>
    <x v="1"/>
    <x v="1"/>
    <x v="1"/>
    <x v="5"/>
    <x v="1148"/>
    <x v="0"/>
    <n v="1"/>
    <x v="463"/>
    <n v="1"/>
    <x v="5"/>
    <x v="0"/>
  </r>
  <r>
    <n v="1876"/>
    <x v="45"/>
    <x v="11"/>
    <x v="1"/>
    <x v="2"/>
    <x v="1"/>
    <x v="3"/>
    <x v="1149"/>
    <x v="5"/>
    <n v="1"/>
    <x v="464"/>
    <n v="3"/>
    <x v="3"/>
    <x v="2"/>
  </r>
  <r>
    <n v="120"/>
    <x v="45"/>
    <x v="24"/>
    <x v="1"/>
    <x v="0"/>
    <x v="0"/>
    <x v="0"/>
    <x v="1150"/>
    <x v="0"/>
    <n v="1"/>
    <x v="171"/>
    <n v="3"/>
    <x v="0"/>
    <x v="2"/>
  </r>
  <r>
    <n v="4291"/>
    <x v="45"/>
    <x v="0"/>
    <x v="0"/>
    <x v="3"/>
    <x v="1"/>
    <x v="1"/>
    <x v="1151"/>
    <x v="2"/>
    <n v="1"/>
    <x v="465"/>
    <n v="4"/>
    <x v="3"/>
    <x v="0"/>
  </r>
  <r>
    <n v="3972"/>
    <x v="45"/>
    <x v="1"/>
    <x v="1"/>
    <x v="3"/>
    <x v="1"/>
    <x v="4"/>
    <x v="1152"/>
    <x v="1"/>
    <n v="1"/>
    <x v="466"/>
    <n v="2"/>
    <x v="6"/>
    <x v="0"/>
  </r>
  <r>
    <n v="4689"/>
    <x v="45"/>
    <x v="34"/>
    <x v="0"/>
    <x v="2"/>
    <x v="0"/>
    <x v="0"/>
    <x v="1153"/>
    <x v="2"/>
    <n v="0"/>
    <x v="11"/>
    <n v="0"/>
    <x v="8"/>
    <x v="3"/>
  </r>
  <r>
    <n v="4208"/>
    <x v="45"/>
    <x v="3"/>
    <x v="1"/>
    <x v="0"/>
    <x v="1"/>
    <x v="4"/>
    <x v="1154"/>
    <x v="6"/>
    <n v="0"/>
    <x v="11"/>
    <n v="0"/>
    <x v="8"/>
    <x v="3"/>
  </r>
  <r>
    <n v="1641"/>
    <x v="45"/>
    <x v="23"/>
    <x v="1"/>
    <x v="0"/>
    <x v="1"/>
    <x v="1"/>
    <x v="1155"/>
    <x v="5"/>
    <n v="0"/>
    <x v="11"/>
    <n v="0"/>
    <x v="8"/>
    <x v="3"/>
  </r>
  <r>
    <n v="2142"/>
    <x v="45"/>
    <x v="11"/>
    <x v="1"/>
    <x v="1"/>
    <x v="0"/>
    <x v="0"/>
    <x v="1156"/>
    <x v="1"/>
    <n v="0"/>
    <x v="11"/>
    <n v="0"/>
    <x v="8"/>
    <x v="3"/>
  </r>
  <r>
    <n v="1530"/>
    <x v="45"/>
    <x v="6"/>
    <x v="0"/>
    <x v="3"/>
    <x v="0"/>
    <x v="0"/>
    <x v="1157"/>
    <x v="8"/>
    <n v="0"/>
    <x v="11"/>
    <n v="0"/>
    <x v="8"/>
    <x v="3"/>
  </r>
  <r>
    <n v="928"/>
    <x v="45"/>
    <x v="4"/>
    <x v="1"/>
    <x v="3"/>
    <x v="0"/>
    <x v="0"/>
    <x v="1158"/>
    <x v="0"/>
    <n v="0"/>
    <x v="11"/>
    <n v="0"/>
    <x v="8"/>
    <x v="3"/>
  </r>
  <r>
    <n v="3134"/>
    <x v="45"/>
    <x v="14"/>
    <x v="0"/>
    <x v="1"/>
    <x v="0"/>
    <x v="0"/>
    <x v="1159"/>
    <x v="6"/>
    <n v="0"/>
    <x v="11"/>
    <n v="0"/>
    <x v="8"/>
    <x v="3"/>
  </r>
  <r>
    <n v="2897"/>
    <x v="45"/>
    <x v="0"/>
    <x v="0"/>
    <x v="2"/>
    <x v="3"/>
    <x v="0"/>
    <x v="1160"/>
    <x v="4"/>
    <n v="0"/>
    <x v="11"/>
    <n v="0"/>
    <x v="8"/>
    <x v="3"/>
  </r>
  <r>
    <n v="782"/>
    <x v="45"/>
    <x v="10"/>
    <x v="1"/>
    <x v="0"/>
    <x v="1"/>
    <x v="4"/>
    <x v="268"/>
    <x v="6"/>
    <n v="0"/>
    <x v="11"/>
    <n v="0"/>
    <x v="8"/>
    <x v="3"/>
  </r>
  <r>
    <n v="1304"/>
    <x v="45"/>
    <x v="7"/>
    <x v="0"/>
    <x v="0"/>
    <x v="1"/>
    <x v="5"/>
    <x v="1161"/>
    <x v="8"/>
    <n v="0"/>
    <x v="11"/>
    <n v="0"/>
    <x v="8"/>
    <x v="3"/>
  </r>
  <r>
    <n v="2222"/>
    <x v="45"/>
    <x v="10"/>
    <x v="1"/>
    <x v="2"/>
    <x v="2"/>
    <x v="0"/>
    <x v="1162"/>
    <x v="6"/>
    <n v="0"/>
    <x v="11"/>
    <n v="0"/>
    <x v="8"/>
    <x v="3"/>
  </r>
  <r>
    <n v="288"/>
    <x v="45"/>
    <x v="7"/>
    <x v="0"/>
    <x v="2"/>
    <x v="0"/>
    <x v="0"/>
    <x v="1163"/>
    <x v="8"/>
    <n v="0"/>
    <x v="11"/>
    <n v="0"/>
    <x v="8"/>
    <x v="3"/>
  </r>
  <r>
    <n v="1041"/>
    <x v="45"/>
    <x v="24"/>
    <x v="1"/>
    <x v="3"/>
    <x v="2"/>
    <x v="0"/>
    <x v="1164"/>
    <x v="6"/>
    <n v="0"/>
    <x v="11"/>
    <n v="0"/>
    <x v="8"/>
    <x v="3"/>
  </r>
  <r>
    <n v="303"/>
    <x v="45"/>
    <x v="7"/>
    <x v="0"/>
    <x v="0"/>
    <x v="1"/>
    <x v="6"/>
    <x v="1165"/>
    <x v="6"/>
    <n v="0"/>
    <x v="11"/>
    <n v="0"/>
    <x v="8"/>
    <x v="3"/>
  </r>
  <r>
    <n v="2439"/>
    <x v="45"/>
    <x v="47"/>
    <x v="0"/>
    <x v="1"/>
    <x v="0"/>
    <x v="0"/>
    <x v="1166"/>
    <x v="11"/>
    <n v="0"/>
    <x v="11"/>
    <n v="0"/>
    <x v="8"/>
    <x v="3"/>
  </r>
  <r>
    <n v="1176"/>
    <x v="45"/>
    <x v="4"/>
    <x v="1"/>
    <x v="2"/>
    <x v="2"/>
    <x v="0"/>
    <x v="712"/>
    <x v="0"/>
    <n v="0"/>
    <x v="11"/>
    <n v="0"/>
    <x v="8"/>
    <x v="3"/>
  </r>
  <r>
    <n v="748"/>
    <x v="45"/>
    <x v="10"/>
    <x v="0"/>
    <x v="3"/>
    <x v="0"/>
    <x v="0"/>
    <x v="1167"/>
    <x v="8"/>
    <n v="0"/>
    <x v="11"/>
    <n v="0"/>
    <x v="8"/>
    <x v="3"/>
  </r>
  <r>
    <n v="4392"/>
    <x v="45"/>
    <x v="15"/>
    <x v="1"/>
    <x v="2"/>
    <x v="0"/>
    <x v="0"/>
    <x v="1168"/>
    <x v="0"/>
    <n v="0"/>
    <x v="11"/>
    <n v="0"/>
    <x v="8"/>
    <x v="3"/>
  </r>
  <r>
    <n v="4213"/>
    <x v="45"/>
    <x v="40"/>
    <x v="0"/>
    <x v="0"/>
    <x v="1"/>
    <x v="2"/>
    <x v="1169"/>
    <x v="8"/>
    <n v="0"/>
    <x v="11"/>
    <n v="0"/>
    <x v="8"/>
    <x v="3"/>
  </r>
  <r>
    <n v="4355"/>
    <x v="45"/>
    <x v="49"/>
    <x v="0"/>
    <x v="0"/>
    <x v="0"/>
    <x v="0"/>
    <x v="1170"/>
    <x v="2"/>
    <n v="0"/>
    <x v="11"/>
    <n v="0"/>
    <x v="8"/>
    <x v="3"/>
  </r>
  <r>
    <n v="1610"/>
    <x v="45"/>
    <x v="6"/>
    <x v="1"/>
    <x v="2"/>
    <x v="0"/>
    <x v="0"/>
    <x v="1171"/>
    <x v="8"/>
    <n v="0"/>
    <x v="11"/>
    <n v="0"/>
    <x v="8"/>
    <x v="3"/>
  </r>
  <r>
    <n v="1180"/>
    <x v="45"/>
    <x v="10"/>
    <x v="0"/>
    <x v="0"/>
    <x v="0"/>
    <x v="0"/>
    <x v="1097"/>
    <x v="5"/>
    <n v="0"/>
    <x v="11"/>
    <n v="0"/>
    <x v="8"/>
    <x v="3"/>
  </r>
  <r>
    <n v="2442"/>
    <x v="45"/>
    <x v="31"/>
    <x v="1"/>
    <x v="0"/>
    <x v="0"/>
    <x v="0"/>
    <x v="1172"/>
    <x v="6"/>
    <n v="0"/>
    <x v="11"/>
    <n v="0"/>
    <x v="8"/>
    <x v="3"/>
  </r>
  <r>
    <n v="66"/>
    <x v="45"/>
    <x v="4"/>
    <x v="1"/>
    <x v="2"/>
    <x v="0"/>
    <x v="0"/>
    <x v="1038"/>
    <x v="11"/>
    <n v="0"/>
    <x v="11"/>
    <n v="0"/>
    <x v="8"/>
    <x v="3"/>
  </r>
  <r>
    <n v="3899"/>
    <x v="45"/>
    <x v="30"/>
    <x v="1"/>
    <x v="1"/>
    <x v="2"/>
    <x v="0"/>
    <x v="1173"/>
    <x v="5"/>
    <n v="0"/>
    <x v="11"/>
    <n v="0"/>
    <x v="8"/>
    <x v="3"/>
  </r>
  <r>
    <n v="1015"/>
    <x v="46"/>
    <x v="22"/>
    <x v="0"/>
    <x v="1"/>
    <x v="3"/>
    <x v="0"/>
    <x v="1174"/>
    <x v="5"/>
    <n v="1"/>
    <x v="467"/>
    <n v="1"/>
    <x v="10"/>
    <x v="1"/>
  </r>
  <r>
    <n v="439"/>
    <x v="46"/>
    <x v="24"/>
    <x v="1"/>
    <x v="1"/>
    <x v="2"/>
    <x v="0"/>
    <x v="1175"/>
    <x v="10"/>
    <n v="1"/>
    <x v="468"/>
    <n v="1"/>
    <x v="10"/>
    <x v="0"/>
  </r>
  <r>
    <n v="1300"/>
    <x v="46"/>
    <x v="2"/>
    <x v="1"/>
    <x v="2"/>
    <x v="2"/>
    <x v="0"/>
    <x v="1176"/>
    <x v="4"/>
    <n v="1"/>
    <x v="469"/>
    <n v="2"/>
    <x v="12"/>
    <x v="0"/>
  </r>
  <r>
    <n v="2759"/>
    <x v="46"/>
    <x v="14"/>
    <x v="0"/>
    <x v="2"/>
    <x v="3"/>
    <x v="0"/>
    <x v="1177"/>
    <x v="8"/>
    <n v="1"/>
    <x v="470"/>
    <n v="3"/>
    <x v="12"/>
    <x v="0"/>
  </r>
  <r>
    <n v="1400"/>
    <x v="46"/>
    <x v="6"/>
    <x v="0"/>
    <x v="0"/>
    <x v="1"/>
    <x v="2"/>
    <x v="1178"/>
    <x v="8"/>
    <n v="1"/>
    <x v="471"/>
    <n v="3"/>
    <x v="10"/>
    <x v="0"/>
  </r>
  <r>
    <n v="3974"/>
    <x v="46"/>
    <x v="28"/>
    <x v="1"/>
    <x v="1"/>
    <x v="0"/>
    <x v="0"/>
    <x v="573"/>
    <x v="0"/>
    <n v="1"/>
    <x v="472"/>
    <n v="2"/>
    <x v="7"/>
    <x v="1"/>
  </r>
  <r>
    <n v="2935"/>
    <x v="46"/>
    <x v="13"/>
    <x v="0"/>
    <x v="3"/>
    <x v="1"/>
    <x v="3"/>
    <x v="1179"/>
    <x v="1"/>
    <n v="1"/>
    <x v="473"/>
    <n v="2"/>
    <x v="6"/>
    <x v="0"/>
  </r>
  <r>
    <n v="1541"/>
    <x v="46"/>
    <x v="7"/>
    <x v="1"/>
    <x v="0"/>
    <x v="0"/>
    <x v="0"/>
    <x v="1180"/>
    <x v="10"/>
    <n v="1"/>
    <x v="474"/>
    <n v="4"/>
    <x v="11"/>
    <x v="2"/>
  </r>
  <r>
    <n v="1305"/>
    <x v="46"/>
    <x v="4"/>
    <x v="0"/>
    <x v="2"/>
    <x v="1"/>
    <x v="1"/>
    <x v="1181"/>
    <x v="1"/>
    <n v="1"/>
    <x v="475"/>
    <n v="2"/>
    <x v="3"/>
    <x v="1"/>
  </r>
  <r>
    <n v="1151"/>
    <x v="46"/>
    <x v="8"/>
    <x v="0"/>
    <x v="0"/>
    <x v="3"/>
    <x v="0"/>
    <x v="1182"/>
    <x v="5"/>
    <n v="1"/>
    <x v="476"/>
    <n v="2"/>
    <x v="12"/>
    <x v="0"/>
  </r>
  <r>
    <n v="3071"/>
    <x v="46"/>
    <x v="43"/>
    <x v="0"/>
    <x v="1"/>
    <x v="1"/>
    <x v="7"/>
    <x v="1183"/>
    <x v="8"/>
    <n v="1"/>
    <x v="477"/>
    <n v="2"/>
    <x v="5"/>
    <x v="1"/>
  </r>
  <r>
    <n v="2048"/>
    <x v="46"/>
    <x v="5"/>
    <x v="0"/>
    <x v="3"/>
    <x v="1"/>
    <x v="3"/>
    <x v="1184"/>
    <x v="8"/>
    <n v="0"/>
    <x v="11"/>
    <n v="0"/>
    <x v="8"/>
    <x v="3"/>
  </r>
  <r>
    <n v="2389"/>
    <x v="46"/>
    <x v="45"/>
    <x v="0"/>
    <x v="3"/>
    <x v="0"/>
    <x v="0"/>
    <x v="1185"/>
    <x v="5"/>
    <n v="0"/>
    <x v="11"/>
    <n v="0"/>
    <x v="8"/>
    <x v="3"/>
  </r>
  <r>
    <n v="4769"/>
    <x v="46"/>
    <x v="30"/>
    <x v="0"/>
    <x v="2"/>
    <x v="0"/>
    <x v="0"/>
    <x v="1186"/>
    <x v="1"/>
    <n v="0"/>
    <x v="11"/>
    <n v="0"/>
    <x v="8"/>
    <x v="3"/>
  </r>
  <r>
    <n v="3713"/>
    <x v="46"/>
    <x v="3"/>
    <x v="1"/>
    <x v="1"/>
    <x v="3"/>
    <x v="0"/>
    <x v="1187"/>
    <x v="5"/>
    <n v="0"/>
    <x v="11"/>
    <n v="0"/>
    <x v="8"/>
    <x v="3"/>
  </r>
  <r>
    <n v="10"/>
    <x v="46"/>
    <x v="2"/>
    <x v="0"/>
    <x v="2"/>
    <x v="0"/>
    <x v="0"/>
    <x v="1188"/>
    <x v="6"/>
    <n v="0"/>
    <x v="11"/>
    <n v="0"/>
    <x v="8"/>
    <x v="3"/>
  </r>
  <r>
    <n v="3313"/>
    <x v="46"/>
    <x v="27"/>
    <x v="1"/>
    <x v="0"/>
    <x v="0"/>
    <x v="0"/>
    <x v="1189"/>
    <x v="2"/>
    <n v="0"/>
    <x v="11"/>
    <n v="0"/>
    <x v="8"/>
    <x v="3"/>
  </r>
  <r>
    <n v="801"/>
    <x v="46"/>
    <x v="7"/>
    <x v="1"/>
    <x v="1"/>
    <x v="2"/>
    <x v="0"/>
    <x v="1190"/>
    <x v="7"/>
    <n v="0"/>
    <x v="11"/>
    <n v="0"/>
    <x v="8"/>
    <x v="3"/>
  </r>
  <r>
    <n v="1650"/>
    <x v="46"/>
    <x v="22"/>
    <x v="1"/>
    <x v="2"/>
    <x v="3"/>
    <x v="0"/>
    <x v="1191"/>
    <x v="5"/>
    <n v="0"/>
    <x v="11"/>
    <n v="0"/>
    <x v="8"/>
    <x v="3"/>
  </r>
  <r>
    <n v="3435"/>
    <x v="46"/>
    <x v="13"/>
    <x v="1"/>
    <x v="1"/>
    <x v="0"/>
    <x v="0"/>
    <x v="1192"/>
    <x v="5"/>
    <n v="0"/>
    <x v="11"/>
    <n v="0"/>
    <x v="8"/>
    <x v="3"/>
  </r>
  <r>
    <n v="1190"/>
    <x v="46"/>
    <x v="16"/>
    <x v="2"/>
    <x v="0"/>
    <x v="0"/>
    <x v="0"/>
    <x v="1193"/>
    <x v="6"/>
    <n v="0"/>
    <x v="11"/>
    <n v="0"/>
    <x v="8"/>
    <x v="3"/>
  </r>
  <r>
    <n v="2562"/>
    <x v="46"/>
    <x v="22"/>
    <x v="0"/>
    <x v="0"/>
    <x v="3"/>
    <x v="0"/>
    <x v="1194"/>
    <x v="5"/>
    <n v="0"/>
    <x v="11"/>
    <n v="0"/>
    <x v="8"/>
    <x v="3"/>
  </r>
  <r>
    <n v="2609"/>
    <x v="46"/>
    <x v="26"/>
    <x v="0"/>
    <x v="0"/>
    <x v="0"/>
    <x v="0"/>
    <x v="277"/>
    <x v="5"/>
    <n v="0"/>
    <x v="11"/>
    <n v="0"/>
    <x v="8"/>
    <x v="3"/>
  </r>
  <r>
    <n v="4666"/>
    <x v="46"/>
    <x v="57"/>
    <x v="0"/>
    <x v="2"/>
    <x v="0"/>
    <x v="0"/>
    <x v="1195"/>
    <x v="6"/>
    <n v="0"/>
    <x v="11"/>
    <n v="0"/>
    <x v="8"/>
    <x v="3"/>
  </r>
  <r>
    <n v="2143"/>
    <x v="46"/>
    <x v="31"/>
    <x v="1"/>
    <x v="0"/>
    <x v="0"/>
    <x v="0"/>
    <x v="1196"/>
    <x v="0"/>
    <n v="0"/>
    <x v="11"/>
    <n v="0"/>
    <x v="8"/>
    <x v="3"/>
  </r>
  <r>
    <n v="4974"/>
    <x v="46"/>
    <x v="32"/>
    <x v="0"/>
    <x v="0"/>
    <x v="1"/>
    <x v="4"/>
    <x v="1197"/>
    <x v="5"/>
    <n v="0"/>
    <x v="11"/>
    <n v="0"/>
    <x v="8"/>
    <x v="3"/>
  </r>
  <r>
    <n v="1944"/>
    <x v="46"/>
    <x v="29"/>
    <x v="1"/>
    <x v="2"/>
    <x v="0"/>
    <x v="0"/>
    <x v="1198"/>
    <x v="1"/>
    <n v="0"/>
    <x v="11"/>
    <n v="0"/>
    <x v="8"/>
    <x v="3"/>
  </r>
  <r>
    <n v="75"/>
    <x v="46"/>
    <x v="10"/>
    <x v="1"/>
    <x v="0"/>
    <x v="1"/>
    <x v="6"/>
    <x v="1199"/>
    <x v="6"/>
    <n v="0"/>
    <x v="11"/>
    <n v="0"/>
    <x v="8"/>
    <x v="3"/>
  </r>
  <r>
    <n v="1158"/>
    <x v="47"/>
    <x v="7"/>
    <x v="0"/>
    <x v="1"/>
    <x v="0"/>
    <x v="0"/>
    <x v="1200"/>
    <x v="6"/>
    <n v="1"/>
    <x v="478"/>
    <n v="4"/>
    <x v="2"/>
    <x v="0"/>
  </r>
  <r>
    <n v="1473"/>
    <x v="47"/>
    <x v="2"/>
    <x v="0"/>
    <x v="3"/>
    <x v="3"/>
    <x v="0"/>
    <x v="1201"/>
    <x v="5"/>
    <n v="1"/>
    <x v="479"/>
    <n v="3"/>
    <x v="3"/>
    <x v="0"/>
  </r>
  <r>
    <n v="4672"/>
    <x v="47"/>
    <x v="29"/>
    <x v="1"/>
    <x v="1"/>
    <x v="3"/>
    <x v="0"/>
    <x v="1202"/>
    <x v="8"/>
    <n v="1"/>
    <x v="480"/>
    <n v="4"/>
    <x v="10"/>
    <x v="2"/>
  </r>
  <r>
    <n v="4696"/>
    <x v="47"/>
    <x v="13"/>
    <x v="1"/>
    <x v="2"/>
    <x v="2"/>
    <x v="0"/>
    <x v="1203"/>
    <x v="2"/>
    <n v="1"/>
    <x v="481"/>
    <n v="2"/>
    <x v="4"/>
    <x v="2"/>
  </r>
  <r>
    <n v="1672"/>
    <x v="47"/>
    <x v="7"/>
    <x v="0"/>
    <x v="2"/>
    <x v="0"/>
    <x v="0"/>
    <x v="1204"/>
    <x v="2"/>
    <n v="1"/>
    <x v="482"/>
    <n v="1"/>
    <x v="12"/>
    <x v="0"/>
  </r>
  <r>
    <n v="4924"/>
    <x v="47"/>
    <x v="36"/>
    <x v="0"/>
    <x v="3"/>
    <x v="0"/>
    <x v="0"/>
    <x v="1205"/>
    <x v="5"/>
    <n v="1"/>
    <x v="483"/>
    <n v="2"/>
    <x v="2"/>
    <x v="1"/>
  </r>
  <r>
    <n v="3878"/>
    <x v="47"/>
    <x v="25"/>
    <x v="1"/>
    <x v="3"/>
    <x v="3"/>
    <x v="0"/>
    <x v="1206"/>
    <x v="5"/>
    <n v="1"/>
    <x v="484"/>
    <n v="1"/>
    <x v="2"/>
    <x v="0"/>
  </r>
  <r>
    <n v="1611"/>
    <x v="47"/>
    <x v="22"/>
    <x v="1"/>
    <x v="2"/>
    <x v="3"/>
    <x v="0"/>
    <x v="1207"/>
    <x v="5"/>
    <n v="1"/>
    <x v="485"/>
    <n v="2"/>
    <x v="9"/>
    <x v="1"/>
  </r>
  <r>
    <n v="4470"/>
    <x v="47"/>
    <x v="48"/>
    <x v="0"/>
    <x v="2"/>
    <x v="1"/>
    <x v="3"/>
    <x v="1208"/>
    <x v="11"/>
    <n v="0"/>
    <x v="11"/>
    <n v="0"/>
    <x v="8"/>
    <x v="3"/>
  </r>
  <r>
    <n v="3386"/>
    <x v="47"/>
    <x v="33"/>
    <x v="0"/>
    <x v="0"/>
    <x v="1"/>
    <x v="7"/>
    <x v="1209"/>
    <x v="5"/>
    <n v="0"/>
    <x v="11"/>
    <n v="0"/>
    <x v="8"/>
    <x v="3"/>
  </r>
  <r>
    <n v="1084"/>
    <x v="47"/>
    <x v="39"/>
    <x v="0"/>
    <x v="2"/>
    <x v="0"/>
    <x v="0"/>
    <x v="1210"/>
    <x v="6"/>
    <n v="0"/>
    <x v="11"/>
    <n v="0"/>
    <x v="8"/>
    <x v="3"/>
  </r>
  <r>
    <n v="2662"/>
    <x v="47"/>
    <x v="33"/>
    <x v="0"/>
    <x v="0"/>
    <x v="1"/>
    <x v="4"/>
    <x v="1211"/>
    <x v="6"/>
    <n v="0"/>
    <x v="11"/>
    <n v="0"/>
    <x v="8"/>
    <x v="3"/>
  </r>
  <r>
    <n v="2120"/>
    <x v="47"/>
    <x v="27"/>
    <x v="1"/>
    <x v="1"/>
    <x v="3"/>
    <x v="0"/>
    <x v="1212"/>
    <x v="5"/>
    <n v="0"/>
    <x v="11"/>
    <n v="0"/>
    <x v="8"/>
    <x v="3"/>
  </r>
  <r>
    <n v="2129"/>
    <x v="47"/>
    <x v="41"/>
    <x v="1"/>
    <x v="1"/>
    <x v="0"/>
    <x v="0"/>
    <x v="783"/>
    <x v="2"/>
    <n v="0"/>
    <x v="11"/>
    <n v="0"/>
    <x v="8"/>
    <x v="3"/>
  </r>
  <r>
    <n v="3494"/>
    <x v="47"/>
    <x v="34"/>
    <x v="0"/>
    <x v="0"/>
    <x v="3"/>
    <x v="0"/>
    <x v="1213"/>
    <x v="0"/>
    <n v="0"/>
    <x v="11"/>
    <n v="0"/>
    <x v="8"/>
    <x v="3"/>
  </r>
  <r>
    <n v="1146"/>
    <x v="47"/>
    <x v="19"/>
    <x v="0"/>
    <x v="1"/>
    <x v="2"/>
    <x v="0"/>
    <x v="1214"/>
    <x v="5"/>
    <n v="0"/>
    <x v="11"/>
    <n v="0"/>
    <x v="8"/>
    <x v="3"/>
  </r>
  <r>
    <n v="2462"/>
    <x v="47"/>
    <x v="13"/>
    <x v="0"/>
    <x v="2"/>
    <x v="1"/>
    <x v="5"/>
    <x v="1215"/>
    <x v="6"/>
    <n v="0"/>
    <x v="11"/>
    <n v="0"/>
    <x v="8"/>
    <x v="3"/>
  </r>
  <r>
    <n v="2255"/>
    <x v="47"/>
    <x v="22"/>
    <x v="0"/>
    <x v="2"/>
    <x v="0"/>
    <x v="0"/>
    <x v="43"/>
    <x v="6"/>
    <n v="0"/>
    <x v="11"/>
    <n v="0"/>
    <x v="8"/>
    <x v="3"/>
  </r>
  <r>
    <n v="4563"/>
    <x v="47"/>
    <x v="11"/>
    <x v="1"/>
    <x v="3"/>
    <x v="1"/>
    <x v="6"/>
    <x v="1216"/>
    <x v="8"/>
    <n v="0"/>
    <x v="11"/>
    <n v="0"/>
    <x v="8"/>
    <x v="3"/>
  </r>
  <r>
    <n v="3082"/>
    <x v="47"/>
    <x v="26"/>
    <x v="1"/>
    <x v="2"/>
    <x v="3"/>
    <x v="0"/>
    <x v="1217"/>
    <x v="0"/>
    <n v="0"/>
    <x v="11"/>
    <n v="0"/>
    <x v="8"/>
    <x v="3"/>
  </r>
  <r>
    <n v="4262"/>
    <x v="47"/>
    <x v="43"/>
    <x v="1"/>
    <x v="1"/>
    <x v="1"/>
    <x v="6"/>
    <x v="1218"/>
    <x v="8"/>
    <n v="0"/>
    <x v="11"/>
    <n v="0"/>
    <x v="8"/>
    <x v="3"/>
  </r>
  <r>
    <n v="4385"/>
    <x v="47"/>
    <x v="29"/>
    <x v="0"/>
    <x v="2"/>
    <x v="1"/>
    <x v="4"/>
    <x v="1219"/>
    <x v="0"/>
    <n v="0"/>
    <x v="11"/>
    <n v="0"/>
    <x v="8"/>
    <x v="3"/>
  </r>
  <r>
    <n v="2075"/>
    <x v="47"/>
    <x v="25"/>
    <x v="1"/>
    <x v="0"/>
    <x v="0"/>
    <x v="0"/>
    <x v="1220"/>
    <x v="1"/>
    <n v="0"/>
    <x v="11"/>
    <n v="0"/>
    <x v="8"/>
    <x v="3"/>
  </r>
  <r>
    <n v="3178"/>
    <x v="47"/>
    <x v="41"/>
    <x v="0"/>
    <x v="2"/>
    <x v="1"/>
    <x v="6"/>
    <x v="585"/>
    <x v="5"/>
    <n v="0"/>
    <x v="11"/>
    <n v="0"/>
    <x v="8"/>
    <x v="3"/>
  </r>
  <r>
    <n v="3284"/>
    <x v="47"/>
    <x v="24"/>
    <x v="1"/>
    <x v="0"/>
    <x v="1"/>
    <x v="1"/>
    <x v="1221"/>
    <x v="5"/>
    <n v="0"/>
    <x v="11"/>
    <n v="0"/>
    <x v="8"/>
    <x v="3"/>
  </r>
  <r>
    <n v="2074"/>
    <x v="47"/>
    <x v="19"/>
    <x v="0"/>
    <x v="2"/>
    <x v="0"/>
    <x v="0"/>
    <x v="1222"/>
    <x v="10"/>
    <n v="0"/>
    <x v="11"/>
    <n v="0"/>
    <x v="8"/>
    <x v="3"/>
  </r>
  <r>
    <n v="3493"/>
    <x v="47"/>
    <x v="20"/>
    <x v="1"/>
    <x v="2"/>
    <x v="3"/>
    <x v="0"/>
    <x v="1223"/>
    <x v="2"/>
    <n v="0"/>
    <x v="11"/>
    <n v="0"/>
    <x v="8"/>
    <x v="3"/>
  </r>
  <r>
    <n v="1466"/>
    <x v="48"/>
    <x v="20"/>
    <x v="2"/>
    <x v="2"/>
    <x v="2"/>
    <x v="0"/>
    <x v="1224"/>
    <x v="4"/>
    <n v="1"/>
    <x v="486"/>
    <n v="4"/>
    <x v="4"/>
    <x v="2"/>
  </r>
  <r>
    <n v="4394"/>
    <x v="48"/>
    <x v="32"/>
    <x v="1"/>
    <x v="2"/>
    <x v="3"/>
    <x v="0"/>
    <x v="1225"/>
    <x v="6"/>
    <n v="1"/>
    <x v="487"/>
    <n v="3"/>
    <x v="0"/>
    <x v="0"/>
  </r>
  <r>
    <n v="3672"/>
    <x v="48"/>
    <x v="5"/>
    <x v="0"/>
    <x v="0"/>
    <x v="0"/>
    <x v="0"/>
    <x v="1226"/>
    <x v="2"/>
    <n v="1"/>
    <x v="488"/>
    <n v="3"/>
    <x v="2"/>
    <x v="0"/>
  </r>
  <r>
    <n v="2781"/>
    <x v="48"/>
    <x v="33"/>
    <x v="0"/>
    <x v="2"/>
    <x v="0"/>
    <x v="0"/>
    <x v="1227"/>
    <x v="2"/>
    <n v="1"/>
    <x v="489"/>
    <n v="2"/>
    <x v="11"/>
    <x v="0"/>
  </r>
  <r>
    <n v="2232"/>
    <x v="48"/>
    <x v="22"/>
    <x v="0"/>
    <x v="0"/>
    <x v="0"/>
    <x v="0"/>
    <x v="738"/>
    <x v="1"/>
    <n v="1"/>
    <x v="490"/>
    <n v="3"/>
    <x v="4"/>
    <x v="0"/>
  </r>
  <r>
    <n v="4090"/>
    <x v="48"/>
    <x v="46"/>
    <x v="1"/>
    <x v="2"/>
    <x v="0"/>
    <x v="0"/>
    <x v="711"/>
    <x v="5"/>
    <n v="1"/>
    <x v="491"/>
    <n v="4"/>
    <x v="11"/>
    <x v="0"/>
  </r>
  <r>
    <n v="2645"/>
    <x v="48"/>
    <x v="45"/>
    <x v="1"/>
    <x v="1"/>
    <x v="0"/>
    <x v="0"/>
    <x v="126"/>
    <x v="10"/>
    <n v="1"/>
    <x v="492"/>
    <n v="3"/>
    <x v="6"/>
    <x v="0"/>
  </r>
  <r>
    <n v="1195"/>
    <x v="48"/>
    <x v="6"/>
    <x v="0"/>
    <x v="2"/>
    <x v="0"/>
    <x v="0"/>
    <x v="1228"/>
    <x v="2"/>
    <n v="0"/>
    <x v="11"/>
    <n v="0"/>
    <x v="8"/>
    <x v="3"/>
  </r>
  <r>
    <n v="59"/>
    <x v="48"/>
    <x v="2"/>
    <x v="0"/>
    <x v="1"/>
    <x v="0"/>
    <x v="0"/>
    <x v="1229"/>
    <x v="5"/>
    <n v="0"/>
    <x v="11"/>
    <n v="0"/>
    <x v="8"/>
    <x v="3"/>
  </r>
  <r>
    <n v="2607"/>
    <x v="48"/>
    <x v="33"/>
    <x v="1"/>
    <x v="1"/>
    <x v="0"/>
    <x v="0"/>
    <x v="1230"/>
    <x v="2"/>
    <n v="0"/>
    <x v="11"/>
    <n v="0"/>
    <x v="8"/>
    <x v="3"/>
  </r>
  <r>
    <n v="348"/>
    <x v="48"/>
    <x v="19"/>
    <x v="0"/>
    <x v="0"/>
    <x v="0"/>
    <x v="0"/>
    <x v="1231"/>
    <x v="8"/>
    <n v="0"/>
    <x v="11"/>
    <n v="0"/>
    <x v="8"/>
    <x v="3"/>
  </r>
  <r>
    <n v="4564"/>
    <x v="48"/>
    <x v="44"/>
    <x v="0"/>
    <x v="1"/>
    <x v="1"/>
    <x v="1"/>
    <x v="1232"/>
    <x v="4"/>
    <n v="0"/>
    <x v="11"/>
    <n v="0"/>
    <x v="8"/>
    <x v="3"/>
  </r>
  <r>
    <n v="2284"/>
    <x v="48"/>
    <x v="5"/>
    <x v="0"/>
    <x v="2"/>
    <x v="1"/>
    <x v="3"/>
    <x v="1233"/>
    <x v="0"/>
    <n v="0"/>
    <x v="11"/>
    <n v="0"/>
    <x v="8"/>
    <x v="3"/>
  </r>
  <r>
    <n v="487"/>
    <x v="48"/>
    <x v="24"/>
    <x v="0"/>
    <x v="2"/>
    <x v="0"/>
    <x v="0"/>
    <x v="1234"/>
    <x v="5"/>
    <n v="0"/>
    <x v="11"/>
    <n v="0"/>
    <x v="8"/>
    <x v="3"/>
  </r>
  <r>
    <n v="4342"/>
    <x v="48"/>
    <x v="2"/>
    <x v="0"/>
    <x v="0"/>
    <x v="0"/>
    <x v="0"/>
    <x v="1235"/>
    <x v="0"/>
    <n v="0"/>
    <x v="11"/>
    <n v="0"/>
    <x v="8"/>
    <x v="3"/>
  </r>
  <r>
    <n v="30"/>
    <x v="48"/>
    <x v="39"/>
    <x v="0"/>
    <x v="2"/>
    <x v="1"/>
    <x v="3"/>
    <x v="1236"/>
    <x v="2"/>
    <n v="0"/>
    <x v="11"/>
    <n v="0"/>
    <x v="8"/>
    <x v="3"/>
  </r>
  <r>
    <n v="4925"/>
    <x v="48"/>
    <x v="21"/>
    <x v="0"/>
    <x v="3"/>
    <x v="3"/>
    <x v="0"/>
    <x v="1237"/>
    <x v="5"/>
    <n v="0"/>
    <x v="11"/>
    <n v="0"/>
    <x v="8"/>
    <x v="3"/>
  </r>
  <r>
    <n v="4677"/>
    <x v="48"/>
    <x v="15"/>
    <x v="1"/>
    <x v="0"/>
    <x v="3"/>
    <x v="0"/>
    <x v="1238"/>
    <x v="8"/>
    <n v="0"/>
    <x v="11"/>
    <n v="0"/>
    <x v="8"/>
    <x v="3"/>
  </r>
  <r>
    <n v="2838"/>
    <x v="48"/>
    <x v="31"/>
    <x v="0"/>
    <x v="1"/>
    <x v="0"/>
    <x v="0"/>
    <x v="1239"/>
    <x v="5"/>
    <n v="0"/>
    <x v="11"/>
    <n v="0"/>
    <x v="8"/>
    <x v="3"/>
  </r>
  <r>
    <n v="335"/>
    <x v="48"/>
    <x v="4"/>
    <x v="1"/>
    <x v="2"/>
    <x v="1"/>
    <x v="6"/>
    <x v="1240"/>
    <x v="5"/>
    <n v="0"/>
    <x v="11"/>
    <n v="0"/>
    <x v="8"/>
    <x v="3"/>
  </r>
  <r>
    <n v="515"/>
    <x v="48"/>
    <x v="39"/>
    <x v="1"/>
    <x v="2"/>
    <x v="1"/>
    <x v="4"/>
    <x v="1241"/>
    <x v="4"/>
    <n v="0"/>
    <x v="11"/>
    <n v="0"/>
    <x v="8"/>
    <x v="3"/>
  </r>
  <r>
    <n v="4388"/>
    <x v="48"/>
    <x v="30"/>
    <x v="1"/>
    <x v="3"/>
    <x v="0"/>
    <x v="0"/>
    <x v="1242"/>
    <x v="5"/>
    <n v="0"/>
    <x v="11"/>
    <n v="0"/>
    <x v="8"/>
    <x v="3"/>
  </r>
  <r>
    <n v="958"/>
    <x v="48"/>
    <x v="19"/>
    <x v="0"/>
    <x v="1"/>
    <x v="0"/>
    <x v="0"/>
    <x v="1243"/>
    <x v="8"/>
    <n v="0"/>
    <x v="11"/>
    <n v="0"/>
    <x v="8"/>
    <x v="3"/>
  </r>
  <r>
    <n v="2857"/>
    <x v="49"/>
    <x v="23"/>
    <x v="0"/>
    <x v="2"/>
    <x v="3"/>
    <x v="0"/>
    <x v="1244"/>
    <x v="5"/>
    <n v="1"/>
    <x v="493"/>
    <n v="4"/>
    <x v="2"/>
    <x v="0"/>
  </r>
  <r>
    <n v="4085"/>
    <x v="49"/>
    <x v="13"/>
    <x v="1"/>
    <x v="3"/>
    <x v="0"/>
    <x v="0"/>
    <x v="1245"/>
    <x v="8"/>
    <n v="1"/>
    <x v="494"/>
    <n v="3"/>
    <x v="0"/>
    <x v="0"/>
  </r>
  <r>
    <n v="1097"/>
    <x v="49"/>
    <x v="23"/>
    <x v="1"/>
    <x v="2"/>
    <x v="1"/>
    <x v="2"/>
    <x v="1246"/>
    <x v="2"/>
    <n v="1"/>
    <x v="495"/>
    <n v="2"/>
    <x v="2"/>
    <x v="0"/>
  </r>
  <r>
    <n v="3237"/>
    <x v="49"/>
    <x v="5"/>
    <x v="1"/>
    <x v="2"/>
    <x v="3"/>
    <x v="0"/>
    <x v="1247"/>
    <x v="8"/>
    <n v="1"/>
    <x v="496"/>
    <n v="1"/>
    <x v="3"/>
    <x v="0"/>
  </r>
  <r>
    <n v="2297"/>
    <x v="49"/>
    <x v="16"/>
    <x v="0"/>
    <x v="0"/>
    <x v="1"/>
    <x v="6"/>
    <x v="1248"/>
    <x v="0"/>
    <n v="1"/>
    <x v="497"/>
    <n v="1"/>
    <x v="12"/>
    <x v="2"/>
  </r>
  <r>
    <n v="3884"/>
    <x v="49"/>
    <x v="51"/>
    <x v="0"/>
    <x v="0"/>
    <x v="0"/>
    <x v="0"/>
    <x v="1249"/>
    <x v="6"/>
    <n v="1"/>
    <x v="498"/>
    <n v="3"/>
    <x v="3"/>
    <x v="0"/>
  </r>
  <r>
    <n v="1952"/>
    <x v="49"/>
    <x v="10"/>
    <x v="1"/>
    <x v="2"/>
    <x v="3"/>
    <x v="0"/>
    <x v="1250"/>
    <x v="2"/>
    <n v="1"/>
    <x v="499"/>
    <n v="2"/>
    <x v="9"/>
    <x v="0"/>
  </r>
  <r>
    <n v="1324"/>
    <x v="49"/>
    <x v="2"/>
    <x v="0"/>
    <x v="3"/>
    <x v="0"/>
    <x v="0"/>
    <x v="1251"/>
    <x v="8"/>
    <n v="1"/>
    <x v="500"/>
    <n v="4"/>
    <x v="7"/>
    <x v="0"/>
  </r>
  <r>
    <n v="3623"/>
    <x v="49"/>
    <x v="33"/>
    <x v="0"/>
    <x v="0"/>
    <x v="0"/>
    <x v="0"/>
    <x v="1252"/>
    <x v="8"/>
    <n v="1"/>
    <x v="501"/>
    <n v="5"/>
    <x v="14"/>
    <x v="0"/>
  </r>
  <r>
    <n v="3371"/>
    <x v="49"/>
    <x v="34"/>
    <x v="1"/>
    <x v="1"/>
    <x v="0"/>
    <x v="0"/>
    <x v="11"/>
    <x v="6"/>
    <n v="0"/>
    <x v="11"/>
    <n v="0"/>
    <x v="8"/>
    <x v="3"/>
  </r>
  <r>
    <n v="3305"/>
    <x v="49"/>
    <x v="31"/>
    <x v="0"/>
    <x v="1"/>
    <x v="1"/>
    <x v="1"/>
    <x v="1253"/>
    <x v="6"/>
    <n v="0"/>
    <x v="11"/>
    <n v="0"/>
    <x v="8"/>
    <x v="3"/>
  </r>
  <r>
    <n v="2408"/>
    <x v="49"/>
    <x v="16"/>
    <x v="0"/>
    <x v="2"/>
    <x v="0"/>
    <x v="0"/>
    <x v="290"/>
    <x v="6"/>
    <n v="0"/>
    <x v="11"/>
    <n v="0"/>
    <x v="8"/>
    <x v="3"/>
  </r>
  <r>
    <n v="1575"/>
    <x v="49"/>
    <x v="19"/>
    <x v="1"/>
    <x v="1"/>
    <x v="1"/>
    <x v="7"/>
    <x v="1254"/>
    <x v="0"/>
    <n v="0"/>
    <x v="11"/>
    <n v="0"/>
    <x v="8"/>
    <x v="3"/>
  </r>
  <r>
    <n v="4568"/>
    <x v="49"/>
    <x v="42"/>
    <x v="1"/>
    <x v="0"/>
    <x v="0"/>
    <x v="0"/>
    <x v="1255"/>
    <x v="11"/>
    <n v="0"/>
    <x v="11"/>
    <n v="0"/>
    <x v="8"/>
    <x v="3"/>
  </r>
  <r>
    <n v="4132"/>
    <x v="49"/>
    <x v="43"/>
    <x v="1"/>
    <x v="2"/>
    <x v="1"/>
    <x v="5"/>
    <x v="416"/>
    <x v="8"/>
    <n v="0"/>
    <x v="11"/>
    <n v="0"/>
    <x v="8"/>
    <x v="3"/>
  </r>
  <r>
    <n v="4357"/>
    <x v="49"/>
    <x v="29"/>
    <x v="1"/>
    <x v="0"/>
    <x v="1"/>
    <x v="5"/>
    <x v="1256"/>
    <x v="8"/>
    <n v="0"/>
    <x v="11"/>
    <n v="0"/>
    <x v="8"/>
    <x v="3"/>
  </r>
  <r>
    <n v="4725"/>
    <x v="49"/>
    <x v="41"/>
    <x v="1"/>
    <x v="0"/>
    <x v="1"/>
    <x v="7"/>
    <x v="1257"/>
    <x v="8"/>
    <n v="0"/>
    <x v="11"/>
    <n v="0"/>
    <x v="8"/>
    <x v="3"/>
  </r>
  <r>
    <n v="3622"/>
    <x v="49"/>
    <x v="43"/>
    <x v="0"/>
    <x v="3"/>
    <x v="2"/>
    <x v="0"/>
    <x v="1258"/>
    <x v="6"/>
    <n v="0"/>
    <x v="11"/>
    <n v="0"/>
    <x v="8"/>
    <x v="3"/>
  </r>
  <r>
    <n v="1216"/>
    <x v="49"/>
    <x v="41"/>
    <x v="1"/>
    <x v="3"/>
    <x v="1"/>
    <x v="4"/>
    <x v="1259"/>
    <x v="2"/>
    <n v="0"/>
    <x v="11"/>
    <n v="0"/>
    <x v="8"/>
    <x v="3"/>
  </r>
  <r>
    <n v="132"/>
    <x v="49"/>
    <x v="22"/>
    <x v="0"/>
    <x v="2"/>
    <x v="3"/>
    <x v="0"/>
    <x v="1260"/>
    <x v="11"/>
    <n v="0"/>
    <x v="11"/>
    <n v="0"/>
    <x v="8"/>
    <x v="3"/>
  </r>
  <r>
    <n v="1011"/>
    <x v="49"/>
    <x v="16"/>
    <x v="1"/>
    <x v="1"/>
    <x v="0"/>
    <x v="0"/>
    <x v="1261"/>
    <x v="10"/>
    <n v="0"/>
    <x v="11"/>
    <n v="0"/>
    <x v="8"/>
    <x v="3"/>
  </r>
  <r>
    <n v="1079"/>
    <x v="49"/>
    <x v="7"/>
    <x v="1"/>
    <x v="2"/>
    <x v="0"/>
    <x v="0"/>
    <x v="869"/>
    <x v="6"/>
    <n v="0"/>
    <x v="11"/>
    <n v="0"/>
    <x v="8"/>
    <x v="3"/>
  </r>
  <r>
    <n v="2824"/>
    <x v="49"/>
    <x v="33"/>
    <x v="1"/>
    <x v="1"/>
    <x v="0"/>
    <x v="0"/>
    <x v="1262"/>
    <x v="0"/>
    <n v="0"/>
    <x v="11"/>
    <n v="0"/>
    <x v="8"/>
    <x v="3"/>
  </r>
  <r>
    <n v="3315"/>
    <x v="49"/>
    <x v="31"/>
    <x v="0"/>
    <x v="1"/>
    <x v="0"/>
    <x v="0"/>
    <x v="1263"/>
    <x v="2"/>
    <n v="0"/>
    <x v="11"/>
    <n v="0"/>
    <x v="8"/>
    <x v="3"/>
  </r>
  <r>
    <n v="3605"/>
    <x v="49"/>
    <x v="26"/>
    <x v="1"/>
    <x v="3"/>
    <x v="0"/>
    <x v="0"/>
    <x v="1264"/>
    <x v="8"/>
    <n v="0"/>
    <x v="11"/>
    <n v="0"/>
    <x v="8"/>
    <x v="3"/>
  </r>
  <r>
    <n v="1134"/>
    <x v="49"/>
    <x v="24"/>
    <x v="0"/>
    <x v="2"/>
    <x v="1"/>
    <x v="5"/>
    <x v="582"/>
    <x v="2"/>
    <n v="0"/>
    <x v="11"/>
    <n v="0"/>
    <x v="8"/>
    <x v="3"/>
  </r>
  <r>
    <n v="880"/>
    <x v="49"/>
    <x v="22"/>
    <x v="1"/>
    <x v="2"/>
    <x v="0"/>
    <x v="0"/>
    <x v="1241"/>
    <x v="5"/>
    <n v="0"/>
    <x v="11"/>
    <n v="0"/>
    <x v="8"/>
    <x v="3"/>
  </r>
  <r>
    <n v="3830"/>
    <x v="49"/>
    <x v="29"/>
    <x v="1"/>
    <x v="1"/>
    <x v="1"/>
    <x v="7"/>
    <x v="1265"/>
    <x v="5"/>
    <n v="0"/>
    <x v="11"/>
    <n v="0"/>
    <x v="8"/>
    <x v="3"/>
  </r>
  <r>
    <n v="740"/>
    <x v="50"/>
    <x v="4"/>
    <x v="1"/>
    <x v="2"/>
    <x v="0"/>
    <x v="0"/>
    <x v="1266"/>
    <x v="2"/>
    <n v="1"/>
    <x v="502"/>
    <n v="2"/>
    <x v="14"/>
    <x v="1"/>
  </r>
  <r>
    <n v="517"/>
    <x v="50"/>
    <x v="8"/>
    <x v="0"/>
    <x v="1"/>
    <x v="0"/>
    <x v="0"/>
    <x v="1267"/>
    <x v="8"/>
    <n v="1"/>
    <x v="503"/>
    <n v="1"/>
    <x v="2"/>
    <x v="0"/>
  </r>
  <r>
    <n v="1129"/>
    <x v="50"/>
    <x v="39"/>
    <x v="1"/>
    <x v="3"/>
    <x v="0"/>
    <x v="0"/>
    <x v="1268"/>
    <x v="8"/>
    <n v="1"/>
    <x v="504"/>
    <n v="1"/>
    <x v="9"/>
    <x v="1"/>
  </r>
  <r>
    <n v="2625"/>
    <x v="50"/>
    <x v="44"/>
    <x v="0"/>
    <x v="1"/>
    <x v="1"/>
    <x v="6"/>
    <x v="1269"/>
    <x v="5"/>
    <n v="1"/>
    <x v="505"/>
    <n v="2"/>
    <x v="15"/>
    <x v="1"/>
  </r>
  <r>
    <n v="349"/>
    <x v="50"/>
    <x v="19"/>
    <x v="0"/>
    <x v="2"/>
    <x v="1"/>
    <x v="1"/>
    <x v="1270"/>
    <x v="2"/>
    <n v="1"/>
    <x v="506"/>
    <n v="2"/>
    <x v="9"/>
    <x v="0"/>
  </r>
  <r>
    <n v="2490"/>
    <x v="50"/>
    <x v="8"/>
    <x v="0"/>
    <x v="3"/>
    <x v="1"/>
    <x v="2"/>
    <x v="1271"/>
    <x v="6"/>
    <n v="1"/>
    <x v="507"/>
    <n v="2"/>
    <x v="4"/>
    <x v="0"/>
  </r>
  <r>
    <n v="4837"/>
    <x v="50"/>
    <x v="51"/>
    <x v="0"/>
    <x v="3"/>
    <x v="2"/>
    <x v="0"/>
    <x v="1272"/>
    <x v="5"/>
    <n v="1"/>
    <x v="508"/>
    <n v="4"/>
    <x v="4"/>
    <x v="0"/>
  </r>
  <r>
    <n v="3863"/>
    <x v="50"/>
    <x v="29"/>
    <x v="0"/>
    <x v="0"/>
    <x v="0"/>
    <x v="0"/>
    <x v="784"/>
    <x v="6"/>
    <n v="1"/>
    <x v="509"/>
    <n v="4"/>
    <x v="0"/>
    <x v="0"/>
  </r>
  <r>
    <n v="4610"/>
    <x v="50"/>
    <x v="17"/>
    <x v="0"/>
    <x v="2"/>
    <x v="0"/>
    <x v="0"/>
    <x v="1273"/>
    <x v="8"/>
    <n v="1"/>
    <x v="510"/>
    <n v="3"/>
    <x v="15"/>
    <x v="1"/>
  </r>
  <r>
    <n v="3454"/>
    <x v="50"/>
    <x v="18"/>
    <x v="1"/>
    <x v="2"/>
    <x v="1"/>
    <x v="5"/>
    <x v="1274"/>
    <x v="2"/>
    <n v="1"/>
    <x v="511"/>
    <n v="6"/>
    <x v="3"/>
    <x v="1"/>
  </r>
  <r>
    <n v="640"/>
    <x v="50"/>
    <x v="18"/>
    <x v="1"/>
    <x v="2"/>
    <x v="0"/>
    <x v="0"/>
    <x v="1275"/>
    <x v="11"/>
    <n v="0"/>
    <x v="11"/>
    <n v="0"/>
    <x v="8"/>
    <x v="3"/>
  </r>
  <r>
    <n v="1492"/>
    <x v="50"/>
    <x v="10"/>
    <x v="0"/>
    <x v="0"/>
    <x v="1"/>
    <x v="2"/>
    <x v="1276"/>
    <x v="12"/>
    <n v="0"/>
    <x v="11"/>
    <n v="0"/>
    <x v="8"/>
    <x v="3"/>
  </r>
  <r>
    <n v="3026"/>
    <x v="50"/>
    <x v="31"/>
    <x v="0"/>
    <x v="2"/>
    <x v="0"/>
    <x v="0"/>
    <x v="1277"/>
    <x v="10"/>
    <n v="0"/>
    <x v="11"/>
    <n v="0"/>
    <x v="8"/>
    <x v="3"/>
  </r>
  <r>
    <n v="4823"/>
    <x v="50"/>
    <x v="30"/>
    <x v="0"/>
    <x v="2"/>
    <x v="0"/>
    <x v="0"/>
    <x v="1278"/>
    <x v="6"/>
    <n v="0"/>
    <x v="11"/>
    <n v="0"/>
    <x v="8"/>
    <x v="3"/>
  </r>
  <r>
    <n v="466"/>
    <x v="50"/>
    <x v="10"/>
    <x v="1"/>
    <x v="2"/>
    <x v="1"/>
    <x v="6"/>
    <x v="1279"/>
    <x v="1"/>
    <n v="0"/>
    <x v="11"/>
    <n v="0"/>
    <x v="8"/>
    <x v="3"/>
  </r>
  <r>
    <n v="3299"/>
    <x v="50"/>
    <x v="27"/>
    <x v="1"/>
    <x v="2"/>
    <x v="0"/>
    <x v="0"/>
    <x v="290"/>
    <x v="5"/>
    <n v="0"/>
    <x v="11"/>
    <n v="0"/>
    <x v="8"/>
    <x v="3"/>
  </r>
  <r>
    <n v="3613"/>
    <x v="50"/>
    <x v="43"/>
    <x v="0"/>
    <x v="2"/>
    <x v="0"/>
    <x v="0"/>
    <x v="1280"/>
    <x v="8"/>
    <n v="0"/>
    <x v="11"/>
    <n v="0"/>
    <x v="8"/>
    <x v="3"/>
  </r>
  <r>
    <n v="871"/>
    <x v="50"/>
    <x v="19"/>
    <x v="1"/>
    <x v="0"/>
    <x v="0"/>
    <x v="0"/>
    <x v="1281"/>
    <x v="8"/>
    <n v="0"/>
    <x v="11"/>
    <n v="0"/>
    <x v="8"/>
    <x v="3"/>
  </r>
  <r>
    <n v="283"/>
    <x v="50"/>
    <x v="8"/>
    <x v="0"/>
    <x v="1"/>
    <x v="0"/>
    <x v="0"/>
    <x v="1282"/>
    <x v="2"/>
    <n v="0"/>
    <x v="11"/>
    <n v="0"/>
    <x v="8"/>
    <x v="3"/>
  </r>
  <r>
    <n v="3977"/>
    <x v="50"/>
    <x v="17"/>
    <x v="1"/>
    <x v="3"/>
    <x v="0"/>
    <x v="0"/>
    <x v="1283"/>
    <x v="5"/>
    <n v="0"/>
    <x v="11"/>
    <n v="0"/>
    <x v="8"/>
    <x v="3"/>
  </r>
  <r>
    <n v="3307"/>
    <x v="50"/>
    <x v="18"/>
    <x v="1"/>
    <x v="2"/>
    <x v="2"/>
    <x v="0"/>
    <x v="9"/>
    <x v="6"/>
    <n v="0"/>
    <x v="11"/>
    <n v="0"/>
    <x v="8"/>
    <x v="3"/>
  </r>
  <r>
    <n v="443"/>
    <x v="50"/>
    <x v="4"/>
    <x v="0"/>
    <x v="3"/>
    <x v="1"/>
    <x v="6"/>
    <x v="1284"/>
    <x v="3"/>
    <n v="0"/>
    <x v="11"/>
    <n v="0"/>
    <x v="8"/>
    <x v="3"/>
  </r>
  <r>
    <n v="1769"/>
    <x v="50"/>
    <x v="11"/>
    <x v="0"/>
    <x v="3"/>
    <x v="1"/>
    <x v="5"/>
    <x v="1285"/>
    <x v="5"/>
    <n v="0"/>
    <x v="11"/>
    <n v="0"/>
    <x v="8"/>
    <x v="3"/>
  </r>
  <r>
    <n v="2391"/>
    <x v="50"/>
    <x v="20"/>
    <x v="1"/>
    <x v="3"/>
    <x v="1"/>
    <x v="1"/>
    <x v="1286"/>
    <x v="8"/>
    <n v="0"/>
    <x v="11"/>
    <n v="0"/>
    <x v="8"/>
    <x v="3"/>
  </r>
  <r>
    <n v="449"/>
    <x v="50"/>
    <x v="19"/>
    <x v="0"/>
    <x v="3"/>
    <x v="0"/>
    <x v="0"/>
    <x v="1287"/>
    <x v="10"/>
    <n v="0"/>
    <x v="11"/>
    <n v="0"/>
    <x v="8"/>
    <x v="3"/>
  </r>
  <r>
    <n v="4739"/>
    <x v="50"/>
    <x v="13"/>
    <x v="0"/>
    <x v="0"/>
    <x v="1"/>
    <x v="2"/>
    <x v="1288"/>
    <x v="8"/>
    <n v="0"/>
    <x v="11"/>
    <n v="0"/>
    <x v="8"/>
    <x v="3"/>
  </r>
  <r>
    <n v="3725"/>
    <x v="50"/>
    <x v="6"/>
    <x v="0"/>
    <x v="0"/>
    <x v="0"/>
    <x v="0"/>
    <x v="1289"/>
    <x v="5"/>
    <n v="0"/>
    <x v="11"/>
    <n v="0"/>
    <x v="8"/>
    <x v="3"/>
  </r>
  <r>
    <n v="1"/>
    <x v="50"/>
    <x v="4"/>
    <x v="0"/>
    <x v="3"/>
    <x v="0"/>
    <x v="0"/>
    <x v="1290"/>
    <x v="5"/>
    <n v="0"/>
    <x v="11"/>
    <n v="0"/>
    <x v="8"/>
    <x v="3"/>
  </r>
  <r>
    <n v="4786"/>
    <x v="50"/>
    <x v="40"/>
    <x v="1"/>
    <x v="2"/>
    <x v="0"/>
    <x v="0"/>
    <x v="1291"/>
    <x v="2"/>
    <n v="0"/>
    <x v="11"/>
    <n v="0"/>
    <x v="8"/>
    <x v="3"/>
  </r>
  <r>
    <n v="4658"/>
    <x v="51"/>
    <x v="21"/>
    <x v="0"/>
    <x v="0"/>
    <x v="3"/>
    <x v="0"/>
    <x v="1292"/>
    <x v="1"/>
    <n v="1"/>
    <x v="512"/>
    <n v="4"/>
    <x v="12"/>
    <x v="0"/>
  </r>
  <r>
    <n v="4835"/>
    <x v="51"/>
    <x v="44"/>
    <x v="0"/>
    <x v="2"/>
    <x v="3"/>
    <x v="0"/>
    <x v="139"/>
    <x v="1"/>
    <n v="1"/>
    <x v="513"/>
    <n v="2"/>
    <x v="3"/>
    <x v="0"/>
  </r>
  <r>
    <n v="49"/>
    <x v="51"/>
    <x v="8"/>
    <x v="1"/>
    <x v="2"/>
    <x v="1"/>
    <x v="1"/>
    <x v="1293"/>
    <x v="5"/>
    <n v="1"/>
    <x v="514"/>
    <n v="4"/>
    <x v="6"/>
    <x v="0"/>
  </r>
  <r>
    <n v="1700"/>
    <x v="51"/>
    <x v="4"/>
    <x v="1"/>
    <x v="0"/>
    <x v="0"/>
    <x v="0"/>
    <x v="1294"/>
    <x v="1"/>
    <n v="1"/>
    <x v="515"/>
    <n v="1"/>
    <x v="12"/>
    <x v="1"/>
  </r>
  <r>
    <n v="1864"/>
    <x v="51"/>
    <x v="11"/>
    <x v="1"/>
    <x v="1"/>
    <x v="1"/>
    <x v="5"/>
    <x v="1295"/>
    <x v="5"/>
    <n v="1"/>
    <x v="516"/>
    <n v="2"/>
    <x v="2"/>
    <x v="1"/>
  </r>
  <r>
    <n v="4825"/>
    <x v="51"/>
    <x v="48"/>
    <x v="1"/>
    <x v="0"/>
    <x v="0"/>
    <x v="0"/>
    <x v="1296"/>
    <x v="4"/>
    <n v="1"/>
    <x v="517"/>
    <n v="5"/>
    <x v="12"/>
    <x v="0"/>
  </r>
  <r>
    <n v="2060"/>
    <x v="51"/>
    <x v="0"/>
    <x v="0"/>
    <x v="1"/>
    <x v="1"/>
    <x v="5"/>
    <x v="1297"/>
    <x v="0"/>
    <n v="0"/>
    <x v="11"/>
    <n v="0"/>
    <x v="8"/>
    <x v="3"/>
  </r>
  <r>
    <n v="211"/>
    <x v="51"/>
    <x v="7"/>
    <x v="1"/>
    <x v="0"/>
    <x v="0"/>
    <x v="0"/>
    <x v="1298"/>
    <x v="2"/>
    <n v="0"/>
    <x v="11"/>
    <n v="0"/>
    <x v="8"/>
    <x v="3"/>
  </r>
  <r>
    <n v="3771"/>
    <x v="51"/>
    <x v="29"/>
    <x v="0"/>
    <x v="2"/>
    <x v="0"/>
    <x v="0"/>
    <x v="1299"/>
    <x v="10"/>
    <n v="0"/>
    <x v="11"/>
    <n v="0"/>
    <x v="8"/>
    <x v="3"/>
  </r>
  <r>
    <n v="1580"/>
    <x v="51"/>
    <x v="4"/>
    <x v="0"/>
    <x v="0"/>
    <x v="1"/>
    <x v="6"/>
    <x v="1300"/>
    <x v="1"/>
    <n v="0"/>
    <x v="11"/>
    <n v="0"/>
    <x v="8"/>
    <x v="3"/>
  </r>
  <r>
    <n v="4460"/>
    <x v="51"/>
    <x v="51"/>
    <x v="1"/>
    <x v="1"/>
    <x v="0"/>
    <x v="0"/>
    <x v="597"/>
    <x v="5"/>
    <n v="0"/>
    <x v="11"/>
    <n v="0"/>
    <x v="8"/>
    <x v="3"/>
  </r>
  <r>
    <n v="3936"/>
    <x v="51"/>
    <x v="21"/>
    <x v="0"/>
    <x v="3"/>
    <x v="3"/>
    <x v="0"/>
    <x v="1301"/>
    <x v="8"/>
    <n v="0"/>
    <x v="11"/>
    <n v="0"/>
    <x v="8"/>
    <x v="3"/>
  </r>
  <r>
    <n v="4432"/>
    <x v="51"/>
    <x v="24"/>
    <x v="0"/>
    <x v="2"/>
    <x v="0"/>
    <x v="0"/>
    <x v="1302"/>
    <x v="12"/>
    <n v="0"/>
    <x v="11"/>
    <n v="0"/>
    <x v="8"/>
    <x v="3"/>
  </r>
  <r>
    <n v="3011"/>
    <x v="51"/>
    <x v="10"/>
    <x v="0"/>
    <x v="2"/>
    <x v="3"/>
    <x v="0"/>
    <x v="1303"/>
    <x v="4"/>
    <n v="0"/>
    <x v="11"/>
    <n v="0"/>
    <x v="8"/>
    <x v="3"/>
  </r>
  <r>
    <n v="2985"/>
    <x v="51"/>
    <x v="26"/>
    <x v="0"/>
    <x v="0"/>
    <x v="0"/>
    <x v="0"/>
    <x v="1304"/>
    <x v="2"/>
    <n v="0"/>
    <x v="11"/>
    <n v="0"/>
    <x v="8"/>
    <x v="3"/>
  </r>
  <r>
    <n v="4961"/>
    <x v="51"/>
    <x v="41"/>
    <x v="1"/>
    <x v="2"/>
    <x v="1"/>
    <x v="7"/>
    <x v="1305"/>
    <x v="6"/>
    <n v="0"/>
    <x v="11"/>
    <n v="0"/>
    <x v="8"/>
    <x v="3"/>
  </r>
  <r>
    <n v="2775"/>
    <x v="51"/>
    <x v="17"/>
    <x v="1"/>
    <x v="2"/>
    <x v="1"/>
    <x v="3"/>
    <x v="1306"/>
    <x v="0"/>
    <n v="0"/>
    <x v="11"/>
    <n v="0"/>
    <x v="8"/>
    <x v="3"/>
  </r>
  <r>
    <n v="4910"/>
    <x v="51"/>
    <x v="43"/>
    <x v="0"/>
    <x v="1"/>
    <x v="1"/>
    <x v="1"/>
    <x v="1307"/>
    <x v="10"/>
    <n v="0"/>
    <x v="11"/>
    <n v="0"/>
    <x v="8"/>
    <x v="3"/>
  </r>
  <r>
    <n v="4103"/>
    <x v="51"/>
    <x v="48"/>
    <x v="1"/>
    <x v="3"/>
    <x v="2"/>
    <x v="0"/>
    <x v="1308"/>
    <x v="8"/>
    <n v="0"/>
    <x v="11"/>
    <n v="0"/>
    <x v="8"/>
    <x v="3"/>
  </r>
  <r>
    <n v="2199"/>
    <x v="51"/>
    <x v="20"/>
    <x v="0"/>
    <x v="1"/>
    <x v="1"/>
    <x v="5"/>
    <x v="1309"/>
    <x v="11"/>
    <n v="0"/>
    <x v="11"/>
    <n v="0"/>
    <x v="8"/>
    <x v="3"/>
  </r>
  <r>
    <n v="1760"/>
    <x v="51"/>
    <x v="23"/>
    <x v="0"/>
    <x v="0"/>
    <x v="3"/>
    <x v="0"/>
    <x v="710"/>
    <x v="5"/>
    <n v="0"/>
    <x v="11"/>
    <n v="0"/>
    <x v="8"/>
    <x v="3"/>
  </r>
  <r>
    <n v="1483"/>
    <x v="51"/>
    <x v="22"/>
    <x v="1"/>
    <x v="3"/>
    <x v="2"/>
    <x v="0"/>
    <x v="1310"/>
    <x v="5"/>
    <n v="0"/>
    <x v="11"/>
    <n v="0"/>
    <x v="8"/>
    <x v="3"/>
  </r>
  <r>
    <n v="4163"/>
    <x v="51"/>
    <x v="33"/>
    <x v="1"/>
    <x v="3"/>
    <x v="0"/>
    <x v="0"/>
    <x v="523"/>
    <x v="6"/>
    <n v="0"/>
    <x v="11"/>
    <n v="0"/>
    <x v="8"/>
    <x v="3"/>
  </r>
  <r>
    <n v="2934"/>
    <x v="51"/>
    <x v="19"/>
    <x v="1"/>
    <x v="0"/>
    <x v="1"/>
    <x v="4"/>
    <x v="1311"/>
    <x v="0"/>
    <n v="0"/>
    <x v="11"/>
    <n v="0"/>
    <x v="8"/>
    <x v="3"/>
  </r>
  <r>
    <n v="3321"/>
    <x v="51"/>
    <x v="33"/>
    <x v="1"/>
    <x v="2"/>
    <x v="0"/>
    <x v="0"/>
    <x v="1093"/>
    <x v="11"/>
    <n v="0"/>
    <x v="11"/>
    <n v="0"/>
    <x v="8"/>
    <x v="3"/>
  </r>
  <r>
    <n v="364"/>
    <x v="51"/>
    <x v="8"/>
    <x v="0"/>
    <x v="1"/>
    <x v="0"/>
    <x v="0"/>
    <x v="1312"/>
    <x v="8"/>
    <n v="0"/>
    <x v="11"/>
    <n v="0"/>
    <x v="8"/>
    <x v="3"/>
  </r>
  <r>
    <n v="426"/>
    <x v="51"/>
    <x v="7"/>
    <x v="0"/>
    <x v="1"/>
    <x v="0"/>
    <x v="0"/>
    <x v="1313"/>
    <x v="1"/>
    <n v="0"/>
    <x v="11"/>
    <n v="0"/>
    <x v="8"/>
    <x v="3"/>
  </r>
  <r>
    <n v="1313"/>
    <x v="51"/>
    <x v="2"/>
    <x v="1"/>
    <x v="0"/>
    <x v="0"/>
    <x v="0"/>
    <x v="1314"/>
    <x v="1"/>
    <n v="0"/>
    <x v="11"/>
    <n v="0"/>
    <x v="8"/>
    <x v="3"/>
  </r>
  <r>
    <n v="2738"/>
    <x v="51"/>
    <x v="20"/>
    <x v="2"/>
    <x v="3"/>
    <x v="0"/>
    <x v="0"/>
    <x v="1315"/>
    <x v="2"/>
    <n v="0"/>
    <x v="11"/>
    <n v="0"/>
    <x v="8"/>
    <x v="3"/>
  </r>
  <r>
    <n v="4806"/>
    <x v="51"/>
    <x v="44"/>
    <x v="0"/>
    <x v="2"/>
    <x v="0"/>
    <x v="0"/>
    <x v="1316"/>
    <x v="8"/>
    <n v="0"/>
    <x v="11"/>
    <n v="0"/>
    <x v="8"/>
    <x v="3"/>
  </r>
  <r>
    <n v="3978"/>
    <x v="51"/>
    <x v="1"/>
    <x v="0"/>
    <x v="1"/>
    <x v="1"/>
    <x v="5"/>
    <x v="1171"/>
    <x v="8"/>
    <n v="0"/>
    <x v="11"/>
    <n v="0"/>
    <x v="8"/>
    <x v="3"/>
  </r>
  <r>
    <n v="321"/>
    <x v="51"/>
    <x v="16"/>
    <x v="0"/>
    <x v="3"/>
    <x v="0"/>
    <x v="0"/>
    <x v="1317"/>
    <x v="6"/>
    <n v="0"/>
    <x v="11"/>
    <n v="0"/>
    <x v="8"/>
    <x v="3"/>
  </r>
  <r>
    <n v="322"/>
    <x v="52"/>
    <x v="22"/>
    <x v="1"/>
    <x v="0"/>
    <x v="1"/>
    <x v="4"/>
    <x v="1318"/>
    <x v="5"/>
    <n v="1"/>
    <x v="518"/>
    <n v="5"/>
    <x v="12"/>
    <x v="0"/>
  </r>
  <r>
    <n v="92"/>
    <x v="52"/>
    <x v="8"/>
    <x v="0"/>
    <x v="2"/>
    <x v="1"/>
    <x v="3"/>
    <x v="357"/>
    <x v="5"/>
    <n v="1"/>
    <x v="519"/>
    <n v="4"/>
    <x v="13"/>
    <x v="0"/>
  </r>
  <r>
    <n v="2953"/>
    <x v="52"/>
    <x v="16"/>
    <x v="0"/>
    <x v="0"/>
    <x v="0"/>
    <x v="0"/>
    <x v="1319"/>
    <x v="6"/>
    <n v="1"/>
    <x v="520"/>
    <n v="3"/>
    <x v="5"/>
    <x v="2"/>
  </r>
  <r>
    <n v="1307"/>
    <x v="52"/>
    <x v="16"/>
    <x v="1"/>
    <x v="2"/>
    <x v="1"/>
    <x v="3"/>
    <x v="1320"/>
    <x v="2"/>
    <n v="1"/>
    <x v="521"/>
    <n v="5"/>
    <x v="0"/>
    <x v="0"/>
  </r>
  <r>
    <n v="3346"/>
    <x v="52"/>
    <x v="17"/>
    <x v="1"/>
    <x v="1"/>
    <x v="1"/>
    <x v="7"/>
    <x v="1321"/>
    <x v="0"/>
    <n v="1"/>
    <x v="522"/>
    <n v="2"/>
    <x v="9"/>
    <x v="1"/>
  </r>
  <r>
    <n v="2153"/>
    <x v="52"/>
    <x v="11"/>
    <x v="0"/>
    <x v="3"/>
    <x v="0"/>
    <x v="0"/>
    <x v="1322"/>
    <x v="1"/>
    <n v="1"/>
    <x v="523"/>
    <n v="6"/>
    <x v="14"/>
    <x v="0"/>
  </r>
  <r>
    <n v="631"/>
    <x v="52"/>
    <x v="16"/>
    <x v="0"/>
    <x v="2"/>
    <x v="1"/>
    <x v="7"/>
    <x v="1323"/>
    <x v="8"/>
    <n v="0"/>
    <x v="11"/>
    <n v="0"/>
    <x v="8"/>
    <x v="3"/>
  </r>
  <r>
    <n v="3712"/>
    <x v="52"/>
    <x v="13"/>
    <x v="1"/>
    <x v="0"/>
    <x v="2"/>
    <x v="0"/>
    <x v="1324"/>
    <x v="6"/>
    <n v="0"/>
    <x v="11"/>
    <n v="0"/>
    <x v="8"/>
    <x v="3"/>
  </r>
  <r>
    <n v="2322"/>
    <x v="52"/>
    <x v="34"/>
    <x v="1"/>
    <x v="0"/>
    <x v="0"/>
    <x v="0"/>
    <x v="1325"/>
    <x v="5"/>
    <n v="0"/>
    <x v="11"/>
    <n v="0"/>
    <x v="8"/>
    <x v="3"/>
  </r>
  <r>
    <n v="1797"/>
    <x v="52"/>
    <x v="0"/>
    <x v="1"/>
    <x v="2"/>
    <x v="1"/>
    <x v="2"/>
    <x v="1326"/>
    <x v="11"/>
    <n v="0"/>
    <x v="11"/>
    <n v="0"/>
    <x v="8"/>
    <x v="3"/>
  </r>
  <r>
    <n v="1367"/>
    <x v="52"/>
    <x v="2"/>
    <x v="1"/>
    <x v="2"/>
    <x v="0"/>
    <x v="0"/>
    <x v="1327"/>
    <x v="2"/>
    <n v="0"/>
    <x v="11"/>
    <n v="0"/>
    <x v="8"/>
    <x v="3"/>
  </r>
  <r>
    <n v="3448"/>
    <x v="52"/>
    <x v="43"/>
    <x v="0"/>
    <x v="0"/>
    <x v="2"/>
    <x v="0"/>
    <x v="1328"/>
    <x v="6"/>
    <n v="0"/>
    <x v="11"/>
    <n v="0"/>
    <x v="8"/>
    <x v="3"/>
  </r>
  <r>
    <n v="877"/>
    <x v="52"/>
    <x v="19"/>
    <x v="0"/>
    <x v="1"/>
    <x v="1"/>
    <x v="6"/>
    <x v="290"/>
    <x v="2"/>
    <n v="0"/>
    <x v="11"/>
    <n v="0"/>
    <x v="8"/>
    <x v="3"/>
  </r>
  <r>
    <n v="1533"/>
    <x v="52"/>
    <x v="22"/>
    <x v="0"/>
    <x v="1"/>
    <x v="0"/>
    <x v="0"/>
    <x v="1329"/>
    <x v="8"/>
    <n v="0"/>
    <x v="11"/>
    <n v="0"/>
    <x v="8"/>
    <x v="3"/>
  </r>
  <r>
    <n v="2673"/>
    <x v="52"/>
    <x v="27"/>
    <x v="1"/>
    <x v="3"/>
    <x v="0"/>
    <x v="0"/>
    <x v="1330"/>
    <x v="1"/>
    <n v="0"/>
    <x v="11"/>
    <n v="0"/>
    <x v="8"/>
    <x v="3"/>
  </r>
  <r>
    <n v="4120"/>
    <x v="52"/>
    <x v="25"/>
    <x v="0"/>
    <x v="0"/>
    <x v="0"/>
    <x v="0"/>
    <x v="1331"/>
    <x v="2"/>
    <n v="0"/>
    <x v="11"/>
    <n v="0"/>
    <x v="8"/>
    <x v="3"/>
  </r>
  <r>
    <n v="4968"/>
    <x v="52"/>
    <x v="15"/>
    <x v="0"/>
    <x v="0"/>
    <x v="3"/>
    <x v="0"/>
    <x v="871"/>
    <x v="4"/>
    <n v="0"/>
    <x v="11"/>
    <n v="0"/>
    <x v="8"/>
    <x v="3"/>
  </r>
  <r>
    <n v="2922"/>
    <x v="52"/>
    <x v="34"/>
    <x v="0"/>
    <x v="2"/>
    <x v="0"/>
    <x v="0"/>
    <x v="1332"/>
    <x v="1"/>
    <n v="0"/>
    <x v="11"/>
    <n v="0"/>
    <x v="8"/>
    <x v="3"/>
  </r>
  <r>
    <n v="3849"/>
    <x v="52"/>
    <x v="47"/>
    <x v="0"/>
    <x v="3"/>
    <x v="0"/>
    <x v="0"/>
    <x v="178"/>
    <x v="12"/>
    <n v="0"/>
    <x v="11"/>
    <n v="0"/>
    <x v="8"/>
    <x v="3"/>
  </r>
  <r>
    <n v="4153"/>
    <x v="52"/>
    <x v="28"/>
    <x v="1"/>
    <x v="0"/>
    <x v="0"/>
    <x v="0"/>
    <x v="1333"/>
    <x v="0"/>
    <n v="0"/>
    <x v="11"/>
    <n v="0"/>
    <x v="8"/>
    <x v="3"/>
  </r>
  <r>
    <n v="2635"/>
    <x v="52"/>
    <x v="0"/>
    <x v="0"/>
    <x v="0"/>
    <x v="1"/>
    <x v="5"/>
    <x v="1334"/>
    <x v="6"/>
    <n v="0"/>
    <x v="11"/>
    <n v="0"/>
    <x v="8"/>
    <x v="3"/>
  </r>
  <r>
    <n v="2590"/>
    <x v="52"/>
    <x v="13"/>
    <x v="0"/>
    <x v="2"/>
    <x v="3"/>
    <x v="0"/>
    <x v="487"/>
    <x v="2"/>
    <n v="0"/>
    <x v="11"/>
    <n v="0"/>
    <x v="8"/>
    <x v="3"/>
  </r>
  <r>
    <n v="2944"/>
    <x v="52"/>
    <x v="19"/>
    <x v="0"/>
    <x v="3"/>
    <x v="1"/>
    <x v="3"/>
    <x v="603"/>
    <x v="11"/>
    <n v="0"/>
    <x v="11"/>
    <n v="0"/>
    <x v="8"/>
    <x v="3"/>
  </r>
  <r>
    <n v="2791"/>
    <x v="52"/>
    <x v="11"/>
    <x v="0"/>
    <x v="2"/>
    <x v="1"/>
    <x v="4"/>
    <x v="1335"/>
    <x v="5"/>
    <n v="0"/>
    <x v="11"/>
    <n v="0"/>
    <x v="8"/>
    <x v="3"/>
  </r>
  <r>
    <n v="3113"/>
    <x v="52"/>
    <x v="11"/>
    <x v="1"/>
    <x v="0"/>
    <x v="0"/>
    <x v="0"/>
    <x v="1336"/>
    <x v="4"/>
    <n v="0"/>
    <x v="11"/>
    <n v="0"/>
    <x v="8"/>
    <x v="3"/>
  </r>
  <r>
    <n v="215"/>
    <x v="52"/>
    <x v="19"/>
    <x v="1"/>
    <x v="2"/>
    <x v="1"/>
    <x v="4"/>
    <x v="1337"/>
    <x v="6"/>
    <n v="0"/>
    <x v="11"/>
    <n v="0"/>
    <x v="8"/>
    <x v="3"/>
  </r>
  <r>
    <n v="4886"/>
    <x v="53"/>
    <x v="21"/>
    <x v="0"/>
    <x v="2"/>
    <x v="3"/>
    <x v="0"/>
    <x v="1338"/>
    <x v="6"/>
    <n v="1"/>
    <x v="524"/>
    <n v="2"/>
    <x v="5"/>
    <x v="2"/>
  </r>
  <r>
    <n v="3393"/>
    <x v="53"/>
    <x v="34"/>
    <x v="1"/>
    <x v="0"/>
    <x v="0"/>
    <x v="0"/>
    <x v="1339"/>
    <x v="2"/>
    <n v="1"/>
    <x v="525"/>
    <n v="3"/>
    <x v="15"/>
    <x v="1"/>
  </r>
  <r>
    <n v="1849"/>
    <x v="53"/>
    <x v="4"/>
    <x v="1"/>
    <x v="2"/>
    <x v="3"/>
    <x v="0"/>
    <x v="1340"/>
    <x v="2"/>
    <n v="1"/>
    <x v="526"/>
    <n v="2"/>
    <x v="11"/>
    <x v="0"/>
  </r>
  <r>
    <n v="3885"/>
    <x v="53"/>
    <x v="30"/>
    <x v="1"/>
    <x v="2"/>
    <x v="1"/>
    <x v="3"/>
    <x v="117"/>
    <x v="0"/>
    <n v="1"/>
    <x v="527"/>
    <n v="3"/>
    <x v="2"/>
    <x v="0"/>
  </r>
  <r>
    <n v="4819"/>
    <x v="53"/>
    <x v="48"/>
    <x v="0"/>
    <x v="2"/>
    <x v="0"/>
    <x v="0"/>
    <x v="1341"/>
    <x v="6"/>
    <n v="1"/>
    <x v="528"/>
    <n v="3"/>
    <x v="0"/>
    <x v="0"/>
  </r>
  <r>
    <n v="4017"/>
    <x v="53"/>
    <x v="47"/>
    <x v="0"/>
    <x v="2"/>
    <x v="1"/>
    <x v="4"/>
    <x v="1342"/>
    <x v="6"/>
    <n v="1"/>
    <x v="529"/>
    <n v="4"/>
    <x v="10"/>
    <x v="0"/>
  </r>
  <r>
    <n v="199"/>
    <x v="53"/>
    <x v="19"/>
    <x v="1"/>
    <x v="1"/>
    <x v="0"/>
    <x v="0"/>
    <x v="1343"/>
    <x v="8"/>
    <n v="1"/>
    <x v="530"/>
    <n v="3"/>
    <x v="3"/>
    <x v="1"/>
  </r>
  <r>
    <n v="1736"/>
    <x v="53"/>
    <x v="5"/>
    <x v="0"/>
    <x v="0"/>
    <x v="1"/>
    <x v="3"/>
    <x v="1344"/>
    <x v="1"/>
    <n v="1"/>
    <x v="531"/>
    <n v="4"/>
    <x v="0"/>
    <x v="1"/>
  </r>
  <r>
    <n v="2430"/>
    <x v="53"/>
    <x v="23"/>
    <x v="0"/>
    <x v="2"/>
    <x v="0"/>
    <x v="0"/>
    <x v="1345"/>
    <x v="5"/>
    <n v="1"/>
    <x v="532"/>
    <n v="3"/>
    <x v="1"/>
    <x v="2"/>
  </r>
  <r>
    <n v="4676"/>
    <x v="53"/>
    <x v="15"/>
    <x v="1"/>
    <x v="0"/>
    <x v="1"/>
    <x v="3"/>
    <x v="1346"/>
    <x v="0"/>
    <n v="1"/>
    <x v="533"/>
    <n v="1"/>
    <x v="3"/>
    <x v="0"/>
  </r>
  <r>
    <n v="4860"/>
    <x v="53"/>
    <x v="33"/>
    <x v="1"/>
    <x v="3"/>
    <x v="1"/>
    <x v="5"/>
    <x v="1347"/>
    <x v="8"/>
    <n v="0"/>
    <x v="11"/>
    <n v="0"/>
    <x v="8"/>
    <x v="3"/>
  </r>
  <r>
    <n v="3498"/>
    <x v="53"/>
    <x v="41"/>
    <x v="1"/>
    <x v="3"/>
    <x v="0"/>
    <x v="0"/>
    <x v="1348"/>
    <x v="2"/>
    <n v="0"/>
    <x v="11"/>
    <n v="0"/>
    <x v="8"/>
    <x v="3"/>
  </r>
  <r>
    <n v="2582"/>
    <x v="53"/>
    <x v="27"/>
    <x v="1"/>
    <x v="0"/>
    <x v="0"/>
    <x v="0"/>
    <x v="1349"/>
    <x v="4"/>
    <n v="0"/>
    <x v="11"/>
    <n v="0"/>
    <x v="8"/>
    <x v="3"/>
  </r>
  <r>
    <n v="4554"/>
    <x v="53"/>
    <x v="15"/>
    <x v="1"/>
    <x v="0"/>
    <x v="0"/>
    <x v="0"/>
    <x v="1350"/>
    <x v="2"/>
    <n v="0"/>
    <x v="11"/>
    <n v="0"/>
    <x v="8"/>
    <x v="3"/>
  </r>
  <r>
    <n v="3706"/>
    <x v="53"/>
    <x v="47"/>
    <x v="1"/>
    <x v="1"/>
    <x v="2"/>
    <x v="0"/>
    <x v="1351"/>
    <x v="0"/>
    <n v="0"/>
    <x v="11"/>
    <n v="0"/>
    <x v="8"/>
    <x v="3"/>
  </r>
  <r>
    <n v="2512"/>
    <x v="53"/>
    <x v="0"/>
    <x v="2"/>
    <x v="3"/>
    <x v="0"/>
    <x v="0"/>
    <x v="1352"/>
    <x v="10"/>
    <n v="0"/>
    <x v="11"/>
    <n v="0"/>
    <x v="8"/>
    <x v="3"/>
  </r>
  <r>
    <n v="1554"/>
    <x v="53"/>
    <x v="39"/>
    <x v="0"/>
    <x v="2"/>
    <x v="1"/>
    <x v="4"/>
    <x v="1353"/>
    <x v="8"/>
    <n v="0"/>
    <x v="11"/>
    <n v="0"/>
    <x v="8"/>
    <x v="3"/>
  </r>
  <r>
    <n v="428"/>
    <x v="53"/>
    <x v="24"/>
    <x v="0"/>
    <x v="1"/>
    <x v="0"/>
    <x v="0"/>
    <x v="1354"/>
    <x v="16"/>
    <n v="0"/>
    <x v="11"/>
    <n v="0"/>
    <x v="8"/>
    <x v="3"/>
  </r>
  <r>
    <n v="4911"/>
    <x v="53"/>
    <x v="23"/>
    <x v="1"/>
    <x v="2"/>
    <x v="3"/>
    <x v="0"/>
    <x v="1355"/>
    <x v="2"/>
    <n v="0"/>
    <x v="11"/>
    <n v="0"/>
    <x v="8"/>
    <x v="3"/>
  </r>
  <r>
    <n v="89"/>
    <x v="53"/>
    <x v="16"/>
    <x v="0"/>
    <x v="0"/>
    <x v="2"/>
    <x v="0"/>
    <x v="335"/>
    <x v="5"/>
    <n v="0"/>
    <x v="11"/>
    <n v="0"/>
    <x v="8"/>
    <x v="3"/>
  </r>
  <r>
    <n v="1917"/>
    <x v="53"/>
    <x v="23"/>
    <x v="1"/>
    <x v="1"/>
    <x v="0"/>
    <x v="0"/>
    <x v="1356"/>
    <x v="0"/>
    <n v="0"/>
    <x v="11"/>
    <n v="0"/>
    <x v="8"/>
    <x v="3"/>
  </r>
  <r>
    <n v="1045"/>
    <x v="53"/>
    <x v="22"/>
    <x v="1"/>
    <x v="2"/>
    <x v="1"/>
    <x v="3"/>
    <x v="1357"/>
    <x v="8"/>
    <n v="0"/>
    <x v="11"/>
    <n v="0"/>
    <x v="8"/>
    <x v="3"/>
  </r>
  <r>
    <n v="3750"/>
    <x v="53"/>
    <x v="0"/>
    <x v="0"/>
    <x v="1"/>
    <x v="0"/>
    <x v="0"/>
    <x v="709"/>
    <x v="6"/>
    <n v="0"/>
    <x v="11"/>
    <n v="0"/>
    <x v="8"/>
    <x v="3"/>
  </r>
  <r>
    <n v="1103"/>
    <x v="53"/>
    <x v="16"/>
    <x v="1"/>
    <x v="0"/>
    <x v="0"/>
    <x v="0"/>
    <x v="1358"/>
    <x v="6"/>
    <n v="0"/>
    <x v="11"/>
    <n v="0"/>
    <x v="8"/>
    <x v="3"/>
  </r>
  <r>
    <n v="1121"/>
    <x v="53"/>
    <x v="10"/>
    <x v="1"/>
    <x v="3"/>
    <x v="0"/>
    <x v="0"/>
    <x v="213"/>
    <x v="6"/>
    <n v="0"/>
    <x v="11"/>
    <n v="0"/>
    <x v="8"/>
    <x v="3"/>
  </r>
  <r>
    <n v="4722"/>
    <x v="54"/>
    <x v="9"/>
    <x v="1"/>
    <x v="3"/>
    <x v="1"/>
    <x v="4"/>
    <x v="1359"/>
    <x v="2"/>
    <n v="1"/>
    <x v="534"/>
    <n v="3"/>
    <x v="2"/>
    <x v="1"/>
  </r>
  <r>
    <n v="301"/>
    <x v="54"/>
    <x v="4"/>
    <x v="0"/>
    <x v="0"/>
    <x v="3"/>
    <x v="0"/>
    <x v="1360"/>
    <x v="8"/>
    <n v="1"/>
    <x v="535"/>
    <n v="3"/>
    <x v="12"/>
    <x v="0"/>
  </r>
  <r>
    <n v="3663"/>
    <x v="54"/>
    <x v="34"/>
    <x v="1"/>
    <x v="0"/>
    <x v="0"/>
    <x v="0"/>
    <x v="205"/>
    <x v="6"/>
    <n v="1"/>
    <x v="536"/>
    <n v="4"/>
    <x v="3"/>
    <x v="0"/>
  </r>
  <r>
    <n v="1303"/>
    <x v="54"/>
    <x v="0"/>
    <x v="0"/>
    <x v="0"/>
    <x v="0"/>
    <x v="0"/>
    <x v="1361"/>
    <x v="6"/>
    <n v="1"/>
    <x v="537"/>
    <n v="2"/>
    <x v="14"/>
    <x v="1"/>
  </r>
  <r>
    <n v="2602"/>
    <x v="54"/>
    <x v="31"/>
    <x v="0"/>
    <x v="1"/>
    <x v="3"/>
    <x v="0"/>
    <x v="1362"/>
    <x v="1"/>
    <n v="1"/>
    <x v="538"/>
    <n v="3"/>
    <x v="14"/>
    <x v="1"/>
  </r>
  <r>
    <n v="3810"/>
    <x v="54"/>
    <x v="21"/>
    <x v="2"/>
    <x v="1"/>
    <x v="2"/>
    <x v="0"/>
    <x v="1363"/>
    <x v="5"/>
    <n v="1"/>
    <x v="539"/>
    <n v="2"/>
    <x v="14"/>
    <x v="2"/>
  </r>
  <r>
    <n v="3979"/>
    <x v="54"/>
    <x v="36"/>
    <x v="2"/>
    <x v="3"/>
    <x v="1"/>
    <x v="2"/>
    <x v="1364"/>
    <x v="2"/>
    <n v="1"/>
    <x v="540"/>
    <n v="4"/>
    <x v="0"/>
    <x v="2"/>
  </r>
  <r>
    <n v="2024"/>
    <x v="54"/>
    <x v="11"/>
    <x v="0"/>
    <x v="3"/>
    <x v="0"/>
    <x v="0"/>
    <x v="1365"/>
    <x v="5"/>
    <n v="0"/>
    <x v="11"/>
    <n v="0"/>
    <x v="8"/>
    <x v="3"/>
  </r>
  <r>
    <n v="3488"/>
    <x v="54"/>
    <x v="10"/>
    <x v="1"/>
    <x v="0"/>
    <x v="3"/>
    <x v="0"/>
    <x v="1366"/>
    <x v="1"/>
    <n v="0"/>
    <x v="11"/>
    <n v="0"/>
    <x v="8"/>
    <x v="3"/>
  </r>
  <r>
    <n v="2906"/>
    <x v="54"/>
    <x v="13"/>
    <x v="0"/>
    <x v="0"/>
    <x v="1"/>
    <x v="1"/>
    <x v="1367"/>
    <x v="5"/>
    <n v="0"/>
    <x v="11"/>
    <n v="0"/>
    <x v="8"/>
    <x v="3"/>
  </r>
  <r>
    <n v="4108"/>
    <x v="54"/>
    <x v="47"/>
    <x v="0"/>
    <x v="1"/>
    <x v="1"/>
    <x v="2"/>
    <x v="1368"/>
    <x v="0"/>
    <n v="0"/>
    <x v="11"/>
    <n v="0"/>
    <x v="8"/>
    <x v="3"/>
  </r>
  <r>
    <n v="3994"/>
    <x v="54"/>
    <x v="12"/>
    <x v="1"/>
    <x v="1"/>
    <x v="0"/>
    <x v="0"/>
    <x v="1369"/>
    <x v="12"/>
    <n v="0"/>
    <x v="11"/>
    <n v="0"/>
    <x v="8"/>
    <x v="3"/>
  </r>
  <r>
    <n v="4651"/>
    <x v="54"/>
    <x v="56"/>
    <x v="1"/>
    <x v="0"/>
    <x v="0"/>
    <x v="0"/>
    <x v="1370"/>
    <x v="2"/>
    <n v="0"/>
    <x v="11"/>
    <n v="0"/>
    <x v="8"/>
    <x v="3"/>
  </r>
  <r>
    <n v="2330"/>
    <x v="54"/>
    <x v="27"/>
    <x v="0"/>
    <x v="0"/>
    <x v="0"/>
    <x v="0"/>
    <x v="1371"/>
    <x v="1"/>
    <n v="0"/>
    <x v="11"/>
    <n v="0"/>
    <x v="8"/>
    <x v="3"/>
  </r>
  <r>
    <n v="4373"/>
    <x v="54"/>
    <x v="40"/>
    <x v="0"/>
    <x v="2"/>
    <x v="0"/>
    <x v="0"/>
    <x v="1372"/>
    <x v="2"/>
    <n v="0"/>
    <x v="11"/>
    <n v="0"/>
    <x v="8"/>
    <x v="3"/>
  </r>
  <r>
    <n v="2654"/>
    <x v="54"/>
    <x v="45"/>
    <x v="0"/>
    <x v="3"/>
    <x v="3"/>
    <x v="0"/>
    <x v="1373"/>
    <x v="6"/>
    <n v="0"/>
    <x v="11"/>
    <n v="0"/>
    <x v="8"/>
    <x v="3"/>
  </r>
  <r>
    <n v="2987"/>
    <x v="54"/>
    <x v="31"/>
    <x v="0"/>
    <x v="3"/>
    <x v="1"/>
    <x v="1"/>
    <x v="158"/>
    <x v="6"/>
    <n v="0"/>
    <x v="11"/>
    <n v="0"/>
    <x v="8"/>
    <x v="3"/>
  </r>
  <r>
    <n v="4336"/>
    <x v="54"/>
    <x v="12"/>
    <x v="2"/>
    <x v="0"/>
    <x v="1"/>
    <x v="1"/>
    <x v="1374"/>
    <x v="6"/>
    <n v="0"/>
    <x v="11"/>
    <n v="0"/>
    <x v="8"/>
    <x v="3"/>
  </r>
  <r>
    <n v="2563"/>
    <x v="54"/>
    <x v="3"/>
    <x v="0"/>
    <x v="3"/>
    <x v="0"/>
    <x v="0"/>
    <x v="979"/>
    <x v="5"/>
    <n v="0"/>
    <x v="11"/>
    <n v="0"/>
    <x v="8"/>
    <x v="3"/>
  </r>
  <r>
    <n v="149"/>
    <x v="54"/>
    <x v="18"/>
    <x v="0"/>
    <x v="0"/>
    <x v="0"/>
    <x v="0"/>
    <x v="849"/>
    <x v="0"/>
    <n v="0"/>
    <x v="11"/>
    <n v="0"/>
    <x v="8"/>
    <x v="3"/>
  </r>
  <r>
    <n v="819"/>
    <x v="54"/>
    <x v="39"/>
    <x v="1"/>
    <x v="2"/>
    <x v="1"/>
    <x v="1"/>
    <x v="1375"/>
    <x v="1"/>
    <n v="0"/>
    <x v="11"/>
    <n v="0"/>
    <x v="8"/>
    <x v="3"/>
  </r>
  <r>
    <n v="978"/>
    <x v="54"/>
    <x v="20"/>
    <x v="0"/>
    <x v="2"/>
    <x v="3"/>
    <x v="0"/>
    <x v="1376"/>
    <x v="0"/>
    <n v="0"/>
    <x v="11"/>
    <n v="0"/>
    <x v="8"/>
    <x v="3"/>
  </r>
  <r>
    <n v="4952"/>
    <x v="54"/>
    <x v="13"/>
    <x v="1"/>
    <x v="2"/>
    <x v="0"/>
    <x v="0"/>
    <x v="1377"/>
    <x v="0"/>
    <n v="0"/>
    <x v="11"/>
    <n v="0"/>
    <x v="8"/>
    <x v="3"/>
  </r>
  <r>
    <n v="3809"/>
    <x v="54"/>
    <x v="28"/>
    <x v="0"/>
    <x v="0"/>
    <x v="1"/>
    <x v="4"/>
    <x v="1378"/>
    <x v="5"/>
    <n v="0"/>
    <x v="11"/>
    <n v="0"/>
    <x v="8"/>
    <x v="3"/>
  </r>
  <r>
    <n v="3450"/>
    <x v="54"/>
    <x v="11"/>
    <x v="1"/>
    <x v="3"/>
    <x v="0"/>
    <x v="0"/>
    <x v="601"/>
    <x v="2"/>
    <n v="0"/>
    <x v="11"/>
    <n v="0"/>
    <x v="8"/>
    <x v="3"/>
  </r>
  <r>
    <n v="3959"/>
    <x v="54"/>
    <x v="26"/>
    <x v="1"/>
    <x v="1"/>
    <x v="1"/>
    <x v="7"/>
    <x v="1379"/>
    <x v="5"/>
    <n v="0"/>
    <x v="11"/>
    <n v="0"/>
    <x v="8"/>
    <x v="3"/>
  </r>
  <r>
    <n v="3010"/>
    <x v="54"/>
    <x v="3"/>
    <x v="0"/>
    <x v="3"/>
    <x v="0"/>
    <x v="0"/>
    <x v="962"/>
    <x v="6"/>
    <n v="0"/>
    <x v="11"/>
    <n v="0"/>
    <x v="8"/>
    <x v="3"/>
  </r>
  <r>
    <n v="4746"/>
    <x v="54"/>
    <x v="54"/>
    <x v="0"/>
    <x v="0"/>
    <x v="0"/>
    <x v="0"/>
    <x v="20"/>
    <x v="2"/>
    <n v="0"/>
    <x v="11"/>
    <n v="0"/>
    <x v="8"/>
    <x v="3"/>
  </r>
  <r>
    <n v="2065"/>
    <x v="54"/>
    <x v="5"/>
    <x v="1"/>
    <x v="2"/>
    <x v="0"/>
    <x v="0"/>
    <x v="1380"/>
    <x v="2"/>
    <n v="0"/>
    <x v="11"/>
    <n v="0"/>
    <x v="8"/>
    <x v="3"/>
  </r>
  <r>
    <n v="702"/>
    <x v="54"/>
    <x v="5"/>
    <x v="1"/>
    <x v="1"/>
    <x v="3"/>
    <x v="0"/>
    <x v="344"/>
    <x v="2"/>
    <n v="0"/>
    <x v="11"/>
    <n v="0"/>
    <x v="8"/>
    <x v="3"/>
  </r>
  <r>
    <n v="4928"/>
    <x v="55"/>
    <x v="11"/>
    <x v="0"/>
    <x v="1"/>
    <x v="0"/>
    <x v="0"/>
    <x v="1381"/>
    <x v="4"/>
    <n v="1"/>
    <x v="541"/>
    <n v="3"/>
    <x v="1"/>
    <x v="1"/>
  </r>
  <r>
    <n v="214"/>
    <x v="55"/>
    <x v="22"/>
    <x v="1"/>
    <x v="2"/>
    <x v="3"/>
    <x v="0"/>
    <x v="1382"/>
    <x v="2"/>
    <n v="1"/>
    <x v="542"/>
    <n v="1"/>
    <x v="5"/>
    <x v="0"/>
  </r>
  <r>
    <n v="2915"/>
    <x v="55"/>
    <x v="11"/>
    <x v="1"/>
    <x v="2"/>
    <x v="3"/>
    <x v="0"/>
    <x v="1383"/>
    <x v="2"/>
    <n v="1"/>
    <x v="543"/>
    <n v="2"/>
    <x v="6"/>
    <x v="1"/>
  </r>
  <r>
    <n v="3983"/>
    <x v="55"/>
    <x v="44"/>
    <x v="1"/>
    <x v="2"/>
    <x v="1"/>
    <x v="5"/>
    <x v="1384"/>
    <x v="2"/>
    <n v="1"/>
    <x v="544"/>
    <n v="5"/>
    <x v="4"/>
    <x v="0"/>
  </r>
  <r>
    <n v="3813"/>
    <x v="55"/>
    <x v="47"/>
    <x v="1"/>
    <x v="1"/>
    <x v="0"/>
    <x v="0"/>
    <x v="1385"/>
    <x v="2"/>
    <n v="1"/>
    <x v="545"/>
    <n v="6"/>
    <x v="14"/>
    <x v="1"/>
  </r>
  <r>
    <n v="469"/>
    <x v="55"/>
    <x v="4"/>
    <x v="1"/>
    <x v="2"/>
    <x v="1"/>
    <x v="5"/>
    <x v="1386"/>
    <x v="1"/>
    <n v="1"/>
    <x v="183"/>
    <n v="6"/>
    <x v="4"/>
    <x v="2"/>
  </r>
  <r>
    <n v="2039"/>
    <x v="55"/>
    <x v="6"/>
    <x v="0"/>
    <x v="1"/>
    <x v="1"/>
    <x v="6"/>
    <x v="1387"/>
    <x v="6"/>
    <n v="1"/>
    <x v="546"/>
    <n v="2"/>
    <x v="3"/>
    <x v="0"/>
  </r>
  <r>
    <n v="1112"/>
    <x v="55"/>
    <x v="22"/>
    <x v="1"/>
    <x v="1"/>
    <x v="0"/>
    <x v="0"/>
    <x v="1388"/>
    <x v="5"/>
    <n v="1"/>
    <x v="547"/>
    <n v="3"/>
    <x v="2"/>
    <x v="1"/>
  </r>
  <r>
    <n v="1113"/>
    <x v="55"/>
    <x v="39"/>
    <x v="0"/>
    <x v="1"/>
    <x v="0"/>
    <x v="0"/>
    <x v="1389"/>
    <x v="4"/>
    <n v="1"/>
    <x v="548"/>
    <n v="2"/>
    <x v="9"/>
    <x v="0"/>
  </r>
  <r>
    <n v="174"/>
    <x v="55"/>
    <x v="10"/>
    <x v="1"/>
    <x v="0"/>
    <x v="1"/>
    <x v="6"/>
    <x v="1390"/>
    <x v="1"/>
    <n v="0"/>
    <x v="11"/>
    <n v="0"/>
    <x v="8"/>
    <x v="3"/>
  </r>
  <r>
    <n v="2908"/>
    <x v="55"/>
    <x v="6"/>
    <x v="0"/>
    <x v="2"/>
    <x v="0"/>
    <x v="0"/>
    <x v="1391"/>
    <x v="1"/>
    <n v="0"/>
    <x v="11"/>
    <n v="0"/>
    <x v="8"/>
    <x v="3"/>
  </r>
  <r>
    <n v="1840"/>
    <x v="55"/>
    <x v="0"/>
    <x v="1"/>
    <x v="2"/>
    <x v="0"/>
    <x v="0"/>
    <x v="1392"/>
    <x v="8"/>
    <n v="0"/>
    <x v="11"/>
    <n v="0"/>
    <x v="8"/>
    <x v="3"/>
  </r>
  <r>
    <n v="4080"/>
    <x v="55"/>
    <x v="3"/>
    <x v="0"/>
    <x v="0"/>
    <x v="1"/>
    <x v="4"/>
    <x v="1393"/>
    <x v="6"/>
    <n v="0"/>
    <x v="11"/>
    <n v="0"/>
    <x v="8"/>
    <x v="3"/>
  </r>
  <r>
    <n v="2471"/>
    <x v="55"/>
    <x v="2"/>
    <x v="1"/>
    <x v="2"/>
    <x v="0"/>
    <x v="0"/>
    <x v="841"/>
    <x v="8"/>
    <n v="0"/>
    <x v="11"/>
    <n v="0"/>
    <x v="8"/>
    <x v="3"/>
  </r>
  <r>
    <n v="3934"/>
    <x v="55"/>
    <x v="45"/>
    <x v="1"/>
    <x v="2"/>
    <x v="2"/>
    <x v="0"/>
    <x v="1394"/>
    <x v="1"/>
    <n v="0"/>
    <x v="11"/>
    <n v="0"/>
    <x v="8"/>
    <x v="3"/>
  </r>
  <r>
    <n v="831"/>
    <x v="55"/>
    <x v="19"/>
    <x v="0"/>
    <x v="3"/>
    <x v="2"/>
    <x v="0"/>
    <x v="1395"/>
    <x v="0"/>
    <n v="0"/>
    <x v="11"/>
    <n v="0"/>
    <x v="8"/>
    <x v="3"/>
  </r>
  <r>
    <n v="1493"/>
    <x v="55"/>
    <x v="19"/>
    <x v="0"/>
    <x v="2"/>
    <x v="1"/>
    <x v="7"/>
    <x v="1024"/>
    <x v="1"/>
    <n v="0"/>
    <x v="11"/>
    <n v="0"/>
    <x v="8"/>
    <x v="3"/>
  </r>
  <r>
    <n v="2175"/>
    <x v="55"/>
    <x v="43"/>
    <x v="1"/>
    <x v="3"/>
    <x v="1"/>
    <x v="7"/>
    <x v="1396"/>
    <x v="5"/>
    <n v="0"/>
    <x v="11"/>
    <n v="0"/>
    <x v="8"/>
    <x v="3"/>
  </r>
  <r>
    <n v="2742"/>
    <x v="55"/>
    <x v="26"/>
    <x v="0"/>
    <x v="0"/>
    <x v="1"/>
    <x v="2"/>
    <x v="1397"/>
    <x v="0"/>
    <n v="0"/>
    <x v="11"/>
    <n v="0"/>
    <x v="8"/>
    <x v="3"/>
  </r>
  <r>
    <n v="4443"/>
    <x v="55"/>
    <x v="47"/>
    <x v="0"/>
    <x v="0"/>
    <x v="3"/>
    <x v="0"/>
    <x v="1017"/>
    <x v="2"/>
    <n v="0"/>
    <x v="11"/>
    <n v="0"/>
    <x v="8"/>
    <x v="3"/>
  </r>
  <r>
    <n v="3984"/>
    <x v="55"/>
    <x v="42"/>
    <x v="0"/>
    <x v="2"/>
    <x v="0"/>
    <x v="0"/>
    <x v="1398"/>
    <x v="11"/>
    <n v="0"/>
    <x v="11"/>
    <n v="0"/>
    <x v="8"/>
    <x v="3"/>
  </r>
  <r>
    <n v="1603"/>
    <x v="55"/>
    <x v="10"/>
    <x v="0"/>
    <x v="0"/>
    <x v="0"/>
    <x v="0"/>
    <x v="1399"/>
    <x v="8"/>
    <n v="0"/>
    <x v="11"/>
    <n v="0"/>
    <x v="8"/>
    <x v="3"/>
  </r>
  <r>
    <n v="3230"/>
    <x v="55"/>
    <x v="23"/>
    <x v="0"/>
    <x v="1"/>
    <x v="3"/>
    <x v="0"/>
    <x v="1400"/>
    <x v="5"/>
    <n v="0"/>
    <x v="11"/>
    <n v="0"/>
    <x v="8"/>
    <x v="3"/>
  </r>
  <r>
    <n v="4365"/>
    <x v="55"/>
    <x v="11"/>
    <x v="1"/>
    <x v="2"/>
    <x v="1"/>
    <x v="1"/>
    <x v="1401"/>
    <x v="0"/>
    <n v="0"/>
    <x v="11"/>
    <n v="0"/>
    <x v="8"/>
    <x v="3"/>
  </r>
  <r>
    <n v="2575"/>
    <x v="55"/>
    <x v="30"/>
    <x v="1"/>
    <x v="2"/>
    <x v="1"/>
    <x v="7"/>
    <x v="1402"/>
    <x v="8"/>
    <n v="0"/>
    <x v="11"/>
    <n v="0"/>
    <x v="8"/>
    <x v="3"/>
  </r>
  <r>
    <n v="2200"/>
    <x v="56"/>
    <x v="26"/>
    <x v="0"/>
    <x v="0"/>
    <x v="3"/>
    <x v="0"/>
    <x v="1403"/>
    <x v="6"/>
    <n v="1"/>
    <x v="549"/>
    <n v="2"/>
    <x v="5"/>
    <x v="1"/>
  </r>
  <r>
    <n v="956"/>
    <x v="56"/>
    <x v="39"/>
    <x v="1"/>
    <x v="2"/>
    <x v="2"/>
    <x v="0"/>
    <x v="986"/>
    <x v="2"/>
    <n v="1"/>
    <x v="550"/>
    <n v="1"/>
    <x v="14"/>
    <x v="0"/>
  </r>
  <r>
    <n v="3358"/>
    <x v="56"/>
    <x v="3"/>
    <x v="1"/>
    <x v="3"/>
    <x v="1"/>
    <x v="4"/>
    <x v="1404"/>
    <x v="2"/>
    <n v="1"/>
    <x v="551"/>
    <n v="3"/>
    <x v="7"/>
    <x v="2"/>
  </r>
  <r>
    <n v="4871"/>
    <x v="56"/>
    <x v="47"/>
    <x v="1"/>
    <x v="0"/>
    <x v="3"/>
    <x v="0"/>
    <x v="619"/>
    <x v="2"/>
    <n v="1"/>
    <x v="552"/>
    <n v="4"/>
    <x v="0"/>
    <x v="0"/>
  </r>
  <r>
    <n v="522"/>
    <x v="56"/>
    <x v="20"/>
    <x v="1"/>
    <x v="2"/>
    <x v="0"/>
    <x v="0"/>
    <x v="1405"/>
    <x v="8"/>
    <n v="1"/>
    <x v="553"/>
    <n v="4"/>
    <x v="1"/>
    <x v="1"/>
  </r>
  <r>
    <n v="1820"/>
    <x v="56"/>
    <x v="13"/>
    <x v="0"/>
    <x v="0"/>
    <x v="0"/>
    <x v="0"/>
    <x v="682"/>
    <x v="7"/>
    <n v="1"/>
    <x v="554"/>
    <n v="1"/>
    <x v="1"/>
    <x v="1"/>
  </r>
  <r>
    <n v="4251"/>
    <x v="56"/>
    <x v="30"/>
    <x v="1"/>
    <x v="1"/>
    <x v="0"/>
    <x v="0"/>
    <x v="1406"/>
    <x v="8"/>
    <n v="1"/>
    <x v="555"/>
    <n v="3"/>
    <x v="12"/>
    <x v="0"/>
  </r>
  <r>
    <n v="2971"/>
    <x v="56"/>
    <x v="0"/>
    <x v="0"/>
    <x v="3"/>
    <x v="1"/>
    <x v="1"/>
    <x v="1407"/>
    <x v="5"/>
    <n v="1"/>
    <x v="556"/>
    <n v="4"/>
    <x v="13"/>
    <x v="0"/>
  </r>
  <r>
    <n v="3902"/>
    <x v="56"/>
    <x v="45"/>
    <x v="1"/>
    <x v="3"/>
    <x v="3"/>
    <x v="0"/>
    <x v="1408"/>
    <x v="0"/>
    <n v="1"/>
    <x v="557"/>
    <n v="1"/>
    <x v="0"/>
    <x v="0"/>
  </r>
  <r>
    <n v="2684"/>
    <x v="56"/>
    <x v="39"/>
    <x v="1"/>
    <x v="0"/>
    <x v="0"/>
    <x v="0"/>
    <x v="1409"/>
    <x v="5"/>
    <n v="1"/>
    <x v="8"/>
    <n v="4"/>
    <x v="7"/>
    <x v="1"/>
  </r>
  <r>
    <n v="3678"/>
    <x v="56"/>
    <x v="33"/>
    <x v="0"/>
    <x v="1"/>
    <x v="2"/>
    <x v="0"/>
    <x v="1410"/>
    <x v="1"/>
    <n v="1"/>
    <x v="558"/>
    <n v="3"/>
    <x v="9"/>
    <x v="0"/>
  </r>
  <r>
    <n v="4164"/>
    <x v="56"/>
    <x v="0"/>
    <x v="1"/>
    <x v="0"/>
    <x v="2"/>
    <x v="0"/>
    <x v="268"/>
    <x v="11"/>
    <n v="1"/>
    <x v="559"/>
    <n v="3"/>
    <x v="9"/>
    <x v="0"/>
  </r>
  <r>
    <n v="1499"/>
    <x v="56"/>
    <x v="4"/>
    <x v="0"/>
    <x v="3"/>
    <x v="0"/>
    <x v="0"/>
    <x v="1411"/>
    <x v="2"/>
    <n v="1"/>
    <x v="560"/>
    <n v="3"/>
    <x v="2"/>
    <x v="0"/>
  </r>
  <r>
    <n v="4335"/>
    <x v="56"/>
    <x v="58"/>
    <x v="0"/>
    <x v="1"/>
    <x v="2"/>
    <x v="0"/>
    <x v="1412"/>
    <x v="2"/>
    <n v="1"/>
    <x v="561"/>
    <n v="2"/>
    <x v="0"/>
    <x v="0"/>
  </r>
  <r>
    <n v="2090"/>
    <x v="56"/>
    <x v="5"/>
    <x v="0"/>
    <x v="3"/>
    <x v="0"/>
    <x v="0"/>
    <x v="1413"/>
    <x v="5"/>
    <n v="0"/>
    <x v="11"/>
    <n v="0"/>
    <x v="8"/>
    <x v="3"/>
  </r>
  <r>
    <n v="4339"/>
    <x v="56"/>
    <x v="44"/>
    <x v="0"/>
    <x v="2"/>
    <x v="0"/>
    <x v="0"/>
    <x v="1414"/>
    <x v="8"/>
    <n v="0"/>
    <x v="11"/>
    <n v="0"/>
    <x v="8"/>
    <x v="3"/>
  </r>
  <r>
    <n v="3831"/>
    <x v="56"/>
    <x v="44"/>
    <x v="1"/>
    <x v="1"/>
    <x v="3"/>
    <x v="0"/>
    <x v="1415"/>
    <x v="1"/>
    <n v="0"/>
    <x v="11"/>
    <n v="0"/>
    <x v="8"/>
    <x v="3"/>
  </r>
  <r>
    <n v="1505"/>
    <x v="56"/>
    <x v="8"/>
    <x v="1"/>
    <x v="1"/>
    <x v="1"/>
    <x v="2"/>
    <x v="1416"/>
    <x v="5"/>
    <n v="0"/>
    <x v="11"/>
    <n v="0"/>
    <x v="8"/>
    <x v="3"/>
  </r>
  <r>
    <n v="4852"/>
    <x v="56"/>
    <x v="44"/>
    <x v="1"/>
    <x v="1"/>
    <x v="1"/>
    <x v="3"/>
    <x v="1417"/>
    <x v="5"/>
    <n v="0"/>
    <x v="11"/>
    <n v="0"/>
    <x v="8"/>
    <x v="3"/>
  </r>
  <r>
    <n v="4409"/>
    <x v="56"/>
    <x v="26"/>
    <x v="1"/>
    <x v="3"/>
    <x v="1"/>
    <x v="2"/>
    <x v="686"/>
    <x v="2"/>
    <n v="0"/>
    <x v="11"/>
    <n v="0"/>
    <x v="8"/>
    <x v="3"/>
  </r>
  <r>
    <n v="1671"/>
    <x v="56"/>
    <x v="0"/>
    <x v="0"/>
    <x v="1"/>
    <x v="0"/>
    <x v="0"/>
    <x v="1418"/>
    <x v="5"/>
    <n v="0"/>
    <x v="11"/>
    <n v="0"/>
    <x v="8"/>
    <x v="3"/>
  </r>
  <r>
    <n v="4377"/>
    <x v="56"/>
    <x v="43"/>
    <x v="1"/>
    <x v="3"/>
    <x v="1"/>
    <x v="1"/>
    <x v="1419"/>
    <x v="1"/>
    <n v="0"/>
    <x v="11"/>
    <n v="0"/>
    <x v="8"/>
    <x v="3"/>
  </r>
  <r>
    <n v="910"/>
    <x v="56"/>
    <x v="33"/>
    <x v="1"/>
    <x v="2"/>
    <x v="0"/>
    <x v="0"/>
    <x v="1420"/>
    <x v="5"/>
    <n v="0"/>
    <x v="11"/>
    <n v="0"/>
    <x v="8"/>
    <x v="3"/>
  </r>
  <r>
    <n v="188"/>
    <x v="57"/>
    <x v="23"/>
    <x v="0"/>
    <x v="1"/>
    <x v="0"/>
    <x v="0"/>
    <x v="1421"/>
    <x v="8"/>
    <n v="1"/>
    <x v="562"/>
    <n v="4"/>
    <x v="2"/>
    <x v="0"/>
  </r>
  <r>
    <n v="4285"/>
    <x v="57"/>
    <x v="45"/>
    <x v="1"/>
    <x v="1"/>
    <x v="2"/>
    <x v="0"/>
    <x v="1422"/>
    <x v="8"/>
    <n v="1"/>
    <x v="563"/>
    <n v="1"/>
    <x v="3"/>
    <x v="0"/>
  </r>
  <r>
    <n v="4483"/>
    <x v="57"/>
    <x v="42"/>
    <x v="0"/>
    <x v="2"/>
    <x v="1"/>
    <x v="6"/>
    <x v="1026"/>
    <x v="4"/>
    <n v="1"/>
    <x v="564"/>
    <n v="7"/>
    <x v="0"/>
    <x v="1"/>
  </r>
  <r>
    <n v="4783"/>
    <x v="57"/>
    <x v="30"/>
    <x v="1"/>
    <x v="1"/>
    <x v="1"/>
    <x v="6"/>
    <x v="1423"/>
    <x v="0"/>
    <n v="1"/>
    <x v="554"/>
    <n v="2"/>
    <x v="14"/>
    <x v="0"/>
  </r>
  <r>
    <n v="915"/>
    <x v="57"/>
    <x v="16"/>
    <x v="1"/>
    <x v="1"/>
    <x v="3"/>
    <x v="0"/>
    <x v="1424"/>
    <x v="6"/>
    <n v="1"/>
    <x v="565"/>
    <n v="4"/>
    <x v="6"/>
    <x v="1"/>
  </r>
  <r>
    <n v="3858"/>
    <x v="57"/>
    <x v="5"/>
    <x v="0"/>
    <x v="1"/>
    <x v="1"/>
    <x v="6"/>
    <x v="1065"/>
    <x v="0"/>
    <n v="1"/>
    <x v="566"/>
    <n v="3"/>
    <x v="6"/>
    <x v="0"/>
  </r>
  <r>
    <n v="534"/>
    <x v="57"/>
    <x v="19"/>
    <x v="0"/>
    <x v="3"/>
    <x v="3"/>
    <x v="0"/>
    <x v="1425"/>
    <x v="2"/>
    <n v="1"/>
    <x v="567"/>
    <n v="2"/>
    <x v="15"/>
    <x v="0"/>
  </r>
  <r>
    <n v="1901"/>
    <x v="57"/>
    <x v="10"/>
    <x v="1"/>
    <x v="3"/>
    <x v="0"/>
    <x v="0"/>
    <x v="630"/>
    <x v="6"/>
    <n v="1"/>
    <x v="492"/>
    <n v="5"/>
    <x v="9"/>
    <x v="1"/>
  </r>
  <r>
    <n v="4535"/>
    <x v="57"/>
    <x v="25"/>
    <x v="1"/>
    <x v="2"/>
    <x v="1"/>
    <x v="4"/>
    <x v="1183"/>
    <x v="2"/>
    <n v="1"/>
    <x v="568"/>
    <n v="8"/>
    <x v="15"/>
    <x v="0"/>
  </r>
  <r>
    <n v="1331"/>
    <x v="57"/>
    <x v="39"/>
    <x v="0"/>
    <x v="2"/>
    <x v="1"/>
    <x v="1"/>
    <x v="1426"/>
    <x v="4"/>
    <n v="0"/>
    <x v="11"/>
    <n v="0"/>
    <x v="8"/>
    <x v="3"/>
  </r>
  <r>
    <n v="553"/>
    <x v="57"/>
    <x v="16"/>
    <x v="1"/>
    <x v="2"/>
    <x v="1"/>
    <x v="2"/>
    <x v="1427"/>
    <x v="8"/>
    <n v="0"/>
    <x v="11"/>
    <n v="0"/>
    <x v="8"/>
    <x v="3"/>
  </r>
  <r>
    <n v="1657"/>
    <x v="57"/>
    <x v="24"/>
    <x v="0"/>
    <x v="0"/>
    <x v="1"/>
    <x v="5"/>
    <x v="1428"/>
    <x v="8"/>
    <n v="0"/>
    <x v="11"/>
    <n v="0"/>
    <x v="8"/>
    <x v="3"/>
  </r>
  <r>
    <n v="1548"/>
    <x v="57"/>
    <x v="10"/>
    <x v="1"/>
    <x v="0"/>
    <x v="0"/>
    <x v="0"/>
    <x v="1429"/>
    <x v="8"/>
    <n v="0"/>
    <x v="11"/>
    <n v="0"/>
    <x v="8"/>
    <x v="3"/>
  </r>
  <r>
    <n v="3201"/>
    <x v="57"/>
    <x v="26"/>
    <x v="1"/>
    <x v="0"/>
    <x v="3"/>
    <x v="0"/>
    <x v="1108"/>
    <x v="1"/>
    <n v="0"/>
    <x v="11"/>
    <n v="0"/>
    <x v="8"/>
    <x v="3"/>
  </r>
  <r>
    <n v="478"/>
    <x v="57"/>
    <x v="8"/>
    <x v="0"/>
    <x v="3"/>
    <x v="0"/>
    <x v="0"/>
    <x v="1430"/>
    <x v="2"/>
    <n v="0"/>
    <x v="11"/>
    <n v="0"/>
    <x v="8"/>
    <x v="3"/>
  </r>
  <r>
    <n v="327"/>
    <x v="57"/>
    <x v="39"/>
    <x v="0"/>
    <x v="1"/>
    <x v="2"/>
    <x v="0"/>
    <x v="378"/>
    <x v="10"/>
    <n v="0"/>
    <x v="11"/>
    <n v="0"/>
    <x v="8"/>
    <x v="3"/>
  </r>
  <r>
    <n v="4912"/>
    <x v="57"/>
    <x v="0"/>
    <x v="0"/>
    <x v="2"/>
    <x v="2"/>
    <x v="0"/>
    <x v="1431"/>
    <x v="5"/>
    <n v="0"/>
    <x v="11"/>
    <n v="0"/>
    <x v="8"/>
    <x v="3"/>
  </r>
  <r>
    <n v="2441"/>
    <x v="57"/>
    <x v="20"/>
    <x v="0"/>
    <x v="0"/>
    <x v="2"/>
    <x v="0"/>
    <x v="1432"/>
    <x v="0"/>
    <n v="0"/>
    <x v="11"/>
    <n v="0"/>
    <x v="8"/>
    <x v="3"/>
  </r>
  <r>
    <n v="2593"/>
    <x v="57"/>
    <x v="0"/>
    <x v="0"/>
    <x v="2"/>
    <x v="0"/>
    <x v="0"/>
    <x v="1433"/>
    <x v="2"/>
    <n v="0"/>
    <x v="11"/>
    <n v="0"/>
    <x v="8"/>
    <x v="3"/>
  </r>
  <r>
    <n v="1126"/>
    <x v="57"/>
    <x v="23"/>
    <x v="2"/>
    <x v="2"/>
    <x v="1"/>
    <x v="2"/>
    <x v="1434"/>
    <x v="5"/>
    <n v="0"/>
    <x v="11"/>
    <n v="0"/>
    <x v="8"/>
    <x v="3"/>
  </r>
  <r>
    <n v="3665"/>
    <x v="57"/>
    <x v="19"/>
    <x v="1"/>
    <x v="0"/>
    <x v="1"/>
    <x v="6"/>
    <x v="788"/>
    <x v="7"/>
    <n v="0"/>
    <x v="11"/>
    <n v="0"/>
    <x v="8"/>
    <x v="3"/>
  </r>
  <r>
    <n v="4985"/>
    <x v="57"/>
    <x v="11"/>
    <x v="0"/>
    <x v="1"/>
    <x v="0"/>
    <x v="0"/>
    <x v="1435"/>
    <x v="6"/>
    <n v="0"/>
    <x v="11"/>
    <n v="0"/>
    <x v="8"/>
    <x v="3"/>
  </r>
  <r>
    <n v="1895"/>
    <x v="57"/>
    <x v="18"/>
    <x v="0"/>
    <x v="2"/>
    <x v="1"/>
    <x v="6"/>
    <x v="1436"/>
    <x v="5"/>
    <n v="0"/>
    <x v="11"/>
    <n v="0"/>
    <x v="8"/>
    <x v="3"/>
  </r>
  <r>
    <n v="4410"/>
    <x v="57"/>
    <x v="3"/>
    <x v="1"/>
    <x v="2"/>
    <x v="1"/>
    <x v="6"/>
    <x v="1437"/>
    <x v="0"/>
    <n v="0"/>
    <x v="11"/>
    <n v="0"/>
    <x v="8"/>
    <x v="3"/>
  </r>
  <r>
    <n v="2993"/>
    <x v="57"/>
    <x v="43"/>
    <x v="1"/>
    <x v="0"/>
    <x v="0"/>
    <x v="0"/>
    <x v="1438"/>
    <x v="5"/>
    <n v="0"/>
    <x v="11"/>
    <n v="0"/>
    <x v="8"/>
    <x v="3"/>
  </r>
  <r>
    <n v="4348"/>
    <x v="57"/>
    <x v="20"/>
    <x v="0"/>
    <x v="0"/>
    <x v="1"/>
    <x v="5"/>
    <x v="1439"/>
    <x v="6"/>
    <n v="0"/>
    <x v="11"/>
    <n v="0"/>
    <x v="8"/>
    <x v="3"/>
  </r>
  <r>
    <n v="942"/>
    <x v="57"/>
    <x v="6"/>
    <x v="0"/>
    <x v="0"/>
    <x v="0"/>
    <x v="0"/>
    <x v="1440"/>
    <x v="8"/>
    <n v="0"/>
    <x v="11"/>
    <n v="0"/>
    <x v="8"/>
    <x v="3"/>
  </r>
  <r>
    <n v="4515"/>
    <x v="57"/>
    <x v="48"/>
    <x v="1"/>
    <x v="0"/>
    <x v="3"/>
    <x v="0"/>
    <x v="1441"/>
    <x v="5"/>
    <n v="0"/>
    <x v="11"/>
    <n v="0"/>
    <x v="8"/>
    <x v="3"/>
  </r>
  <r>
    <n v="3598"/>
    <x v="57"/>
    <x v="23"/>
    <x v="1"/>
    <x v="3"/>
    <x v="1"/>
    <x v="4"/>
    <x v="1442"/>
    <x v="8"/>
    <n v="0"/>
    <x v="11"/>
    <n v="0"/>
    <x v="8"/>
    <x v="3"/>
  </r>
  <r>
    <n v="1332"/>
    <x v="58"/>
    <x v="19"/>
    <x v="0"/>
    <x v="3"/>
    <x v="3"/>
    <x v="0"/>
    <x v="1443"/>
    <x v="4"/>
    <n v="1"/>
    <x v="469"/>
    <n v="4"/>
    <x v="10"/>
    <x v="0"/>
  </r>
  <r>
    <n v="2989"/>
    <x v="58"/>
    <x v="16"/>
    <x v="0"/>
    <x v="3"/>
    <x v="1"/>
    <x v="3"/>
    <x v="1444"/>
    <x v="5"/>
    <n v="1"/>
    <x v="569"/>
    <n v="1"/>
    <x v="10"/>
    <x v="0"/>
  </r>
  <r>
    <n v="3219"/>
    <x v="58"/>
    <x v="34"/>
    <x v="0"/>
    <x v="3"/>
    <x v="0"/>
    <x v="0"/>
    <x v="1445"/>
    <x v="8"/>
    <n v="1"/>
    <x v="570"/>
    <n v="7"/>
    <x v="6"/>
    <x v="0"/>
  </r>
  <r>
    <n v="4317"/>
    <x v="58"/>
    <x v="44"/>
    <x v="1"/>
    <x v="3"/>
    <x v="0"/>
    <x v="0"/>
    <x v="1446"/>
    <x v="1"/>
    <n v="1"/>
    <x v="571"/>
    <n v="2"/>
    <x v="11"/>
    <x v="0"/>
  </r>
  <r>
    <n v="2135"/>
    <x v="58"/>
    <x v="7"/>
    <x v="0"/>
    <x v="1"/>
    <x v="1"/>
    <x v="2"/>
    <x v="854"/>
    <x v="5"/>
    <n v="1"/>
    <x v="572"/>
    <n v="4"/>
    <x v="4"/>
    <x v="0"/>
  </r>
  <r>
    <n v="1590"/>
    <x v="58"/>
    <x v="2"/>
    <x v="1"/>
    <x v="1"/>
    <x v="0"/>
    <x v="0"/>
    <x v="1065"/>
    <x v="2"/>
    <n v="1"/>
    <x v="573"/>
    <n v="2"/>
    <x v="14"/>
    <x v="2"/>
  </r>
  <r>
    <n v="4652"/>
    <x v="58"/>
    <x v="47"/>
    <x v="1"/>
    <x v="3"/>
    <x v="0"/>
    <x v="0"/>
    <x v="280"/>
    <x v="4"/>
    <n v="1"/>
    <x v="574"/>
    <n v="2"/>
    <x v="11"/>
    <x v="1"/>
  </r>
  <r>
    <n v="779"/>
    <x v="58"/>
    <x v="0"/>
    <x v="0"/>
    <x v="3"/>
    <x v="0"/>
    <x v="0"/>
    <x v="1447"/>
    <x v="0"/>
    <n v="1"/>
    <x v="289"/>
    <n v="6"/>
    <x v="0"/>
    <x v="0"/>
  </r>
  <r>
    <n v="1916"/>
    <x v="58"/>
    <x v="20"/>
    <x v="1"/>
    <x v="1"/>
    <x v="1"/>
    <x v="6"/>
    <x v="1448"/>
    <x v="9"/>
    <n v="1"/>
    <x v="326"/>
    <n v="5"/>
    <x v="5"/>
    <x v="0"/>
  </r>
  <r>
    <n v="4741"/>
    <x v="58"/>
    <x v="23"/>
    <x v="0"/>
    <x v="0"/>
    <x v="1"/>
    <x v="7"/>
    <x v="1449"/>
    <x v="8"/>
    <n v="1"/>
    <x v="575"/>
    <n v="4"/>
    <x v="6"/>
    <x v="0"/>
  </r>
  <r>
    <n v="4660"/>
    <x v="58"/>
    <x v="43"/>
    <x v="1"/>
    <x v="3"/>
    <x v="0"/>
    <x v="0"/>
    <x v="1450"/>
    <x v="2"/>
    <n v="0"/>
    <x v="11"/>
    <n v="0"/>
    <x v="8"/>
    <x v="3"/>
  </r>
  <r>
    <n v="967"/>
    <x v="58"/>
    <x v="24"/>
    <x v="0"/>
    <x v="2"/>
    <x v="3"/>
    <x v="0"/>
    <x v="287"/>
    <x v="2"/>
    <n v="0"/>
    <x v="11"/>
    <n v="0"/>
    <x v="8"/>
    <x v="3"/>
  </r>
  <r>
    <n v="2810"/>
    <x v="58"/>
    <x v="16"/>
    <x v="0"/>
    <x v="2"/>
    <x v="2"/>
    <x v="0"/>
    <x v="1451"/>
    <x v="10"/>
    <n v="0"/>
    <x v="11"/>
    <n v="0"/>
    <x v="8"/>
    <x v="3"/>
  </r>
  <r>
    <n v="1512"/>
    <x v="58"/>
    <x v="39"/>
    <x v="0"/>
    <x v="0"/>
    <x v="1"/>
    <x v="7"/>
    <x v="268"/>
    <x v="5"/>
    <n v="0"/>
    <x v="11"/>
    <n v="0"/>
    <x v="8"/>
    <x v="3"/>
  </r>
  <r>
    <n v="4561"/>
    <x v="58"/>
    <x v="56"/>
    <x v="0"/>
    <x v="2"/>
    <x v="1"/>
    <x v="4"/>
    <x v="1452"/>
    <x v="2"/>
    <n v="0"/>
    <x v="11"/>
    <n v="0"/>
    <x v="8"/>
    <x v="3"/>
  </r>
  <r>
    <n v="2474"/>
    <x v="58"/>
    <x v="0"/>
    <x v="1"/>
    <x v="2"/>
    <x v="3"/>
    <x v="0"/>
    <x v="861"/>
    <x v="5"/>
    <n v="0"/>
    <x v="11"/>
    <n v="0"/>
    <x v="8"/>
    <x v="3"/>
  </r>
  <r>
    <n v="646"/>
    <x v="59"/>
    <x v="0"/>
    <x v="0"/>
    <x v="1"/>
    <x v="3"/>
    <x v="0"/>
    <x v="1453"/>
    <x v="5"/>
    <n v="1"/>
    <x v="576"/>
    <n v="3"/>
    <x v="12"/>
    <x v="2"/>
  </r>
  <r>
    <n v="4059"/>
    <x v="59"/>
    <x v="28"/>
    <x v="1"/>
    <x v="2"/>
    <x v="0"/>
    <x v="0"/>
    <x v="1454"/>
    <x v="1"/>
    <n v="1"/>
    <x v="577"/>
    <n v="5"/>
    <x v="15"/>
    <x v="1"/>
  </r>
  <r>
    <n v="2136"/>
    <x v="59"/>
    <x v="19"/>
    <x v="0"/>
    <x v="2"/>
    <x v="3"/>
    <x v="0"/>
    <x v="1455"/>
    <x v="1"/>
    <n v="1"/>
    <x v="578"/>
    <n v="2"/>
    <x v="12"/>
    <x v="0"/>
  </r>
  <r>
    <n v="1773"/>
    <x v="59"/>
    <x v="33"/>
    <x v="1"/>
    <x v="2"/>
    <x v="0"/>
    <x v="0"/>
    <x v="1456"/>
    <x v="1"/>
    <n v="1"/>
    <x v="579"/>
    <n v="4"/>
    <x v="6"/>
    <x v="0"/>
  </r>
  <r>
    <n v="2871"/>
    <x v="59"/>
    <x v="19"/>
    <x v="1"/>
    <x v="2"/>
    <x v="0"/>
    <x v="0"/>
    <x v="1457"/>
    <x v="5"/>
    <n v="1"/>
    <x v="580"/>
    <n v="4"/>
    <x v="11"/>
    <x v="0"/>
  </r>
  <r>
    <n v="119"/>
    <x v="59"/>
    <x v="16"/>
    <x v="0"/>
    <x v="0"/>
    <x v="1"/>
    <x v="6"/>
    <x v="536"/>
    <x v="2"/>
    <n v="1"/>
    <x v="581"/>
    <n v="1"/>
    <x v="0"/>
    <x v="1"/>
  </r>
  <r>
    <n v="759"/>
    <x v="59"/>
    <x v="18"/>
    <x v="1"/>
    <x v="0"/>
    <x v="3"/>
    <x v="0"/>
    <x v="1458"/>
    <x v="7"/>
    <n v="1"/>
    <x v="582"/>
    <n v="3"/>
    <x v="1"/>
    <x v="0"/>
  </r>
  <r>
    <n v="2237"/>
    <x v="59"/>
    <x v="29"/>
    <x v="0"/>
    <x v="2"/>
    <x v="0"/>
    <x v="0"/>
    <x v="1459"/>
    <x v="2"/>
    <n v="1"/>
    <x v="583"/>
    <n v="2"/>
    <x v="14"/>
    <x v="0"/>
  </r>
  <r>
    <n v="2622"/>
    <x v="59"/>
    <x v="44"/>
    <x v="0"/>
    <x v="3"/>
    <x v="0"/>
    <x v="0"/>
    <x v="1460"/>
    <x v="10"/>
    <n v="1"/>
    <x v="584"/>
    <n v="1"/>
    <x v="9"/>
    <x v="1"/>
  </r>
  <r>
    <n v="2873"/>
    <x v="59"/>
    <x v="22"/>
    <x v="0"/>
    <x v="2"/>
    <x v="2"/>
    <x v="0"/>
    <x v="1461"/>
    <x v="8"/>
    <n v="1"/>
    <x v="585"/>
    <n v="3"/>
    <x v="7"/>
    <x v="1"/>
  </r>
  <r>
    <n v="474"/>
    <x v="59"/>
    <x v="19"/>
    <x v="1"/>
    <x v="1"/>
    <x v="1"/>
    <x v="7"/>
    <x v="1462"/>
    <x v="6"/>
    <n v="1"/>
    <x v="586"/>
    <n v="4"/>
    <x v="1"/>
    <x v="1"/>
  </r>
  <r>
    <n v="2675"/>
    <x v="59"/>
    <x v="3"/>
    <x v="1"/>
    <x v="1"/>
    <x v="0"/>
    <x v="0"/>
    <x v="1463"/>
    <x v="0"/>
    <n v="1"/>
    <x v="587"/>
    <n v="3"/>
    <x v="11"/>
    <x v="0"/>
  </r>
  <r>
    <n v="1600"/>
    <x v="59"/>
    <x v="23"/>
    <x v="0"/>
    <x v="3"/>
    <x v="3"/>
    <x v="0"/>
    <x v="1464"/>
    <x v="6"/>
    <n v="0"/>
    <x v="11"/>
    <n v="0"/>
    <x v="8"/>
    <x v="3"/>
  </r>
  <r>
    <n v="2395"/>
    <x v="59"/>
    <x v="27"/>
    <x v="1"/>
    <x v="2"/>
    <x v="3"/>
    <x v="0"/>
    <x v="1465"/>
    <x v="0"/>
    <n v="0"/>
    <x v="11"/>
    <n v="0"/>
    <x v="8"/>
    <x v="3"/>
  </r>
  <r>
    <n v="229"/>
    <x v="59"/>
    <x v="8"/>
    <x v="0"/>
    <x v="1"/>
    <x v="1"/>
    <x v="3"/>
    <x v="1466"/>
    <x v="0"/>
    <n v="0"/>
    <x v="11"/>
    <n v="0"/>
    <x v="8"/>
    <x v="3"/>
  </r>
  <r>
    <n v="4109"/>
    <x v="59"/>
    <x v="13"/>
    <x v="1"/>
    <x v="3"/>
    <x v="0"/>
    <x v="0"/>
    <x v="1467"/>
    <x v="1"/>
    <n v="0"/>
    <x v="11"/>
    <n v="0"/>
    <x v="8"/>
    <x v="3"/>
  </r>
  <r>
    <n v="3226"/>
    <x v="59"/>
    <x v="31"/>
    <x v="1"/>
    <x v="0"/>
    <x v="1"/>
    <x v="5"/>
    <x v="1468"/>
    <x v="0"/>
    <n v="0"/>
    <x v="11"/>
    <n v="0"/>
    <x v="8"/>
    <x v="3"/>
  </r>
  <r>
    <n v="3341"/>
    <x v="59"/>
    <x v="47"/>
    <x v="0"/>
    <x v="1"/>
    <x v="1"/>
    <x v="1"/>
    <x v="1469"/>
    <x v="8"/>
    <n v="0"/>
    <x v="11"/>
    <n v="0"/>
    <x v="8"/>
    <x v="3"/>
  </r>
  <r>
    <n v="281"/>
    <x v="59"/>
    <x v="7"/>
    <x v="1"/>
    <x v="2"/>
    <x v="1"/>
    <x v="3"/>
    <x v="1470"/>
    <x v="10"/>
    <n v="0"/>
    <x v="11"/>
    <n v="0"/>
    <x v="8"/>
    <x v="3"/>
  </r>
  <r>
    <n v="3335"/>
    <x v="59"/>
    <x v="6"/>
    <x v="1"/>
    <x v="0"/>
    <x v="2"/>
    <x v="0"/>
    <x v="1471"/>
    <x v="5"/>
    <n v="0"/>
    <x v="11"/>
    <n v="0"/>
    <x v="8"/>
    <x v="3"/>
  </r>
  <r>
    <n v="2510"/>
    <x v="59"/>
    <x v="17"/>
    <x v="0"/>
    <x v="2"/>
    <x v="0"/>
    <x v="0"/>
    <x v="1472"/>
    <x v="5"/>
    <n v="0"/>
    <x v="11"/>
    <n v="0"/>
    <x v="8"/>
    <x v="3"/>
  </r>
  <r>
    <n v="490"/>
    <x v="59"/>
    <x v="8"/>
    <x v="1"/>
    <x v="2"/>
    <x v="0"/>
    <x v="0"/>
    <x v="1473"/>
    <x v="2"/>
    <n v="0"/>
    <x v="11"/>
    <n v="0"/>
    <x v="8"/>
    <x v="3"/>
  </r>
  <r>
    <n v="4523"/>
    <x v="59"/>
    <x v="48"/>
    <x v="0"/>
    <x v="3"/>
    <x v="1"/>
    <x v="1"/>
    <x v="148"/>
    <x v="11"/>
    <n v="0"/>
    <x v="11"/>
    <n v="0"/>
    <x v="8"/>
    <x v="3"/>
  </r>
  <r>
    <n v="2758"/>
    <x v="59"/>
    <x v="19"/>
    <x v="1"/>
    <x v="3"/>
    <x v="0"/>
    <x v="0"/>
    <x v="1474"/>
    <x v="4"/>
    <n v="0"/>
    <x v="11"/>
    <n v="0"/>
    <x v="8"/>
    <x v="3"/>
  </r>
  <r>
    <n v="906"/>
    <x v="59"/>
    <x v="4"/>
    <x v="0"/>
    <x v="2"/>
    <x v="0"/>
    <x v="0"/>
    <x v="600"/>
    <x v="5"/>
    <n v="0"/>
    <x v="11"/>
    <n v="0"/>
    <x v="8"/>
    <x v="3"/>
  </r>
  <r>
    <n v="1231"/>
    <x v="59"/>
    <x v="10"/>
    <x v="0"/>
    <x v="0"/>
    <x v="1"/>
    <x v="4"/>
    <x v="1475"/>
    <x v="5"/>
    <n v="0"/>
    <x v="11"/>
    <n v="0"/>
    <x v="8"/>
    <x v="3"/>
  </r>
  <r>
    <n v="2263"/>
    <x v="59"/>
    <x v="24"/>
    <x v="0"/>
    <x v="2"/>
    <x v="1"/>
    <x v="2"/>
    <x v="1476"/>
    <x v="8"/>
    <n v="0"/>
    <x v="11"/>
    <n v="0"/>
    <x v="8"/>
    <x v="3"/>
  </r>
  <r>
    <n v="2114"/>
    <x v="59"/>
    <x v="44"/>
    <x v="1"/>
    <x v="1"/>
    <x v="1"/>
    <x v="5"/>
    <x v="1477"/>
    <x v="4"/>
    <n v="0"/>
    <x v="11"/>
    <n v="0"/>
    <x v="8"/>
    <x v="3"/>
  </r>
  <r>
    <n v="3575"/>
    <x v="59"/>
    <x v="30"/>
    <x v="1"/>
    <x v="0"/>
    <x v="1"/>
    <x v="5"/>
    <x v="1478"/>
    <x v="8"/>
    <n v="0"/>
    <x v="11"/>
    <n v="0"/>
    <x v="8"/>
    <x v="3"/>
  </r>
  <r>
    <n v="459"/>
    <x v="60"/>
    <x v="6"/>
    <x v="0"/>
    <x v="0"/>
    <x v="0"/>
    <x v="0"/>
    <x v="1479"/>
    <x v="6"/>
    <n v="1"/>
    <x v="588"/>
    <n v="3"/>
    <x v="15"/>
    <x v="1"/>
  </r>
  <r>
    <n v="4284"/>
    <x v="60"/>
    <x v="14"/>
    <x v="0"/>
    <x v="2"/>
    <x v="3"/>
    <x v="0"/>
    <x v="1480"/>
    <x v="2"/>
    <n v="1"/>
    <x v="589"/>
    <n v="4"/>
    <x v="5"/>
    <x v="0"/>
  </r>
  <r>
    <n v="1941"/>
    <x v="60"/>
    <x v="41"/>
    <x v="1"/>
    <x v="1"/>
    <x v="1"/>
    <x v="2"/>
    <x v="1427"/>
    <x v="0"/>
    <n v="1"/>
    <x v="590"/>
    <n v="3"/>
    <x v="3"/>
    <x v="1"/>
  </r>
  <r>
    <n v="2332"/>
    <x v="60"/>
    <x v="24"/>
    <x v="1"/>
    <x v="2"/>
    <x v="1"/>
    <x v="5"/>
    <x v="910"/>
    <x v="5"/>
    <n v="1"/>
    <x v="591"/>
    <n v="5"/>
    <x v="0"/>
    <x v="0"/>
  </r>
  <r>
    <n v="529"/>
    <x v="60"/>
    <x v="6"/>
    <x v="0"/>
    <x v="3"/>
    <x v="0"/>
    <x v="0"/>
    <x v="1481"/>
    <x v="2"/>
    <n v="1"/>
    <x v="592"/>
    <n v="1"/>
    <x v="5"/>
    <x v="0"/>
  </r>
  <r>
    <n v="1622"/>
    <x v="60"/>
    <x v="16"/>
    <x v="1"/>
    <x v="2"/>
    <x v="1"/>
    <x v="7"/>
    <x v="143"/>
    <x v="1"/>
    <n v="1"/>
    <x v="593"/>
    <n v="4"/>
    <x v="6"/>
    <x v="0"/>
  </r>
  <r>
    <n v="3025"/>
    <x v="60"/>
    <x v="0"/>
    <x v="0"/>
    <x v="1"/>
    <x v="2"/>
    <x v="0"/>
    <x v="1482"/>
    <x v="5"/>
    <n v="1"/>
    <x v="594"/>
    <n v="4"/>
    <x v="9"/>
    <x v="1"/>
  </r>
  <r>
    <n v="4010"/>
    <x v="60"/>
    <x v="48"/>
    <x v="1"/>
    <x v="2"/>
    <x v="1"/>
    <x v="2"/>
    <x v="1483"/>
    <x v="4"/>
    <n v="1"/>
    <x v="595"/>
    <n v="1"/>
    <x v="0"/>
    <x v="0"/>
  </r>
  <r>
    <n v="3563"/>
    <x v="60"/>
    <x v="0"/>
    <x v="0"/>
    <x v="2"/>
    <x v="3"/>
    <x v="0"/>
    <x v="1424"/>
    <x v="8"/>
    <n v="1"/>
    <x v="596"/>
    <n v="3"/>
    <x v="2"/>
    <x v="1"/>
  </r>
  <r>
    <n v="4361"/>
    <x v="60"/>
    <x v="17"/>
    <x v="0"/>
    <x v="0"/>
    <x v="0"/>
    <x v="0"/>
    <x v="1484"/>
    <x v="5"/>
    <n v="1"/>
    <x v="597"/>
    <n v="2"/>
    <x v="9"/>
    <x v="0"/>
  </r>
  <r>
    <n v="1101"/>
    <x v="60"/>
    <x v="22"/>
    <x v="0"/>
    <x v="0"/>
    <x v="1"/>
    <x v="1"/>
    <x v="1475"/>
    <x v="0"/>
    <n v="1"/>
    <x v="598"/>
    <n v="3"/>
    <x v="2"/>
    <x v="1"/>
  </r>
  <r>
    <n v="7"/>
    <x v="60"/>
    <x v="22"/>
    <x v="1"/>
    <x v="2"/>
    <x v="1"/>
    <x v="7"/>
    <x v="1485"/>
    <x v="1"/>
    <n v="1"/>
    <x v="599"/>
    <n v="3"/>
    <x v="0"/>
    <x v="0"/>
  </r>
  <r>
    <n v="4892"/>
    <x v="60"/>
    <x v="40"/>
    <x v="0"/>
    <x v="3"/>
    <x v="0"/>
    <x v="0"/>
    <x v="1486"/>
    <x v="0"/>
    <n v="0"/>
    <x v="11"/>
    <n v="0"/>
    <x v="8"/>
    <x v="3"/>
  </r>
  <r>
    <n v="617"/>
    <x v="60"/>
    <x v="4"/>
    <x v="0"/>
    <x v="3"/>
    <x v="1"/>
    <x v="4"/>
    <x v="1487"/>
    <x v="0"/>
    <n v="0"/>
    <x v="11"/>
    <n v="0"/>
    <x v="8"/>
    <x v="3"/>
  </r>
  <r>
    <n v="1320"/>
    <x v="60"/>
    <x v="2"/>
    <x v="1"/>
    <x v="2"/>
    <x v="1"/>
    <x v="4"/>
    <x v="1488"/>
    <x v="0"/>
    <n v="0"/>
    <x v="11"/>
    <n v="0"/>
    <x v="8"/>
    <x v="3"/>
  </r>
  <r>
    <n v="4237"/>
    <x v="60"/>
    <x v="12"/>
    <x v="1"/>
    <x v="1"/>
    <x v="1"/>
    <x v="3"/>
    <x v="1489"/>
    <x v="5"/>
    <n v="0"/>
    <x v="11"/>
    <n v="0"/>
    <x v="8"/>
    <x v="3"/>
  </r>
  <r>
    <n v="4456"/>
    <x v="60"/>
    <x v="25"/>
    <x v="1"/>
    <x v="0"/>
    <x v="0"/>
    <x v="0"/>
    <x v="1490"/>
    <x v="1"/>
    <n v="0"/>
    <x v="11"/>
    <n v="0"/>
    <x v="8"/>
    <x v="3"/>
  </r>
  <r>
    <n v="1414"/>
    <x v="60"/>
    <x v="16"/>
    <x v="0"/>
    <x v="0"/>
    <x v="0"/>
    <x v="0"/>
    <x v="1491"/>
    <x v="8"/>
    <n v="0"/>
    <x v="11"/>
    <n v="0"/>
    <x v="8"/>
    <x v="3"/>
  </r>
  <r>
    <n v="4210"/>
    <x v="60"/>
    <x v="14"/>
    <x v="1"/>
    <x v="2"/>
    <x v="1"/>
    <x v="5"/>
    <x v="502"/>
    <x v="2"/>
    <n v="0"/>
    <x v="11"/>
    <n v="0"/>
    <x v="8"/>
    <x v="3"/>
  </r>
  <r>
    <n v="425"/>
    <x v="60"/>
    <x v="4"/>
    <x v="0"/>
    <x v="3"/>
    <x v="0"/>
    <x v="0"/>
    <x v="1411"/>
    <x v="0"/>
    <n v="0"/>
    <x v="11"/>
    <n v="0"/>
    <x v="8"/>
    <x v="3"/>
  </r>
  <r>
    <n v="4086"/>
    <x v="60"/>
    <x v="47"/>
    <x v="0"/>
    <x v="2"/>
    <x v="2"/>
    <x v="0"/>
    <x v="251"/>
    <x v="8"/>
    <n v="0"/>
    <x v="11"/>
    <n v="0"/>
    <x v="8"/>
    <x v="3"/>
  </r>
  <r>
    <n v="2733"/>
    <x v="60"/>
    <x v="43"/>
    <x v="0"/>
    <x v="0"/>
    <x v="0"/>
    <x v="0"/>
    <x v="1492"/>
    <x v="0"/>
    <n v="0"/>
    <x v="11"/>
    <n v="0"/>
    <x v="8"/>
    <x v="3"/>
  </r>
  <r>
    <n v="4793"/>
    <x v="60"/>
    <x v="31"/>
    <x v="1"/>
    <x v="1"/>
    <x v="0"/>
    <x v="0"/>
    <x v="1493"/>
    <x v="8"/>
    <n v="0"/>
    <x v="11"/>
    <n v="0"/>
    <x v="8"/>
    <x v="3"/>
  </r>
  <r>
    <n v="3744"/>
    <x v="60"/>
    <x v="43"/>
    <x v="1"/>
    <x v="0"/>
    <x v="0"/>
    <x v="0"/>
    <x v="761"/>
    <x v="2"/>
    <n v="0"/>
    <x v="11"/>
    <n v="0"/>
    <x v="8"/>
    <x v="3"/>
  </r>
  <r>
    <n v="1717"/>
    <x v="60"/>
    <x v="5"/>
    <x v="1"/>
    <x v="2"/>
    <x v="0"/>
    <x v="0"/>
    <x v="1359"/>
    <x v="6"/>
    <n v="0"/>
    <x v="11"/>
    <n v="0"/>
    <x v="8"/>
    <x v="3"/>
  </r>
  <r>
    <n v="1521"/>
    <x v="60"/>
    <x v="0"/>
    <x v="0"/>
    <x v="3"/>
    <x v="1"/>
    <x v="7"/>
    <x v="1494"/>
    <x v="0"/>
    <n v="0"/>
    <x v="11"/>
    <n v="0"/>
    <x v="8"/>
    <x v="3"/>
  </r>
  <r>
    <n v="2678"/>
    <x v="60"/>
    <x v="23"/>
    <x v="1"/>
    <x v="3"/>
    <x v="1"/>
    <x v="3"/>
    <x v="1495"/>
    <x v="5"/>
    <n v="0"/>
    <x v="11"/>
    <n v="0"/>
    <x v="8"/>
    <x v="3"/>
  </r>
  <r>
    <n v="1999"/>
    <x v="60"/>
    <x v="22"/>
    <x v="1"/>
    <x v="1"/>
    <x v="1"/>
    <x v="4"/>
    <x v="1496"/>
    <x v="6"/>
    <n v="0"/>
    <x v="11"/>
    <n v="0"/>
    <x v="8"/>
    <x v="3"/>
  </r>
  <r>
    <n v="1715"/>
    <x v="60"/>
    <x v="0"/>
    <x v="1"/>
    <x v="0"/>
    <x v="3"/>
    <x v="0"/>
    <x v="1497"/>
    <x v="2"/>
    <n v="0"/>
    <x v="11"/>
    <n v="0"/>
    <x v="8"/>
    <x v="3"/>
  </r>
  <r>
    <n v="3165"/>
    <x v="60"/>
    <x v="18"/>
    <x v="0"/>
    <x v="3"/>
    <x v="0"/>
    <x v="0"/>
    <x v="81"/>
    <x v="2"/>
    <n v="0"/>
    <x v="11"/>
    <n v="0"/>
    <x v="8"/>
    <x v="3"/>
  </r>
  <r>
    <n v="2449"/>
    <x v="60"/>
    <x v="39"/>
    <x v="1"/>
    <x v="2"/>
    <x v="0"/>
    <x v="0"/>
    <x v="1498"/>
    <x v="5"/>
    <n v="0"/>
    <x v="11"/>
    <n v="0"/>
    <x v="8"/>
    <x v="3"/>
  </r>
  <r>
    <n v="3234"/>
    <x v="60"/>
    <x v="33"/>
    <x v="0"/>
    <x v="0"/>
    <x v="0"/>
    <x v="0"/>
    <x v="1499"/>
    <x v="5"/>
    <n v="0"/>
    <x v="11"/>
    <n v="0"/>
    <x v="8"/>
    <x v="3"/>
  </r>
  <r>
    <n v="1232"/>
    <x v="61"/>
    <x v="18"/>
    <x v="1"/>
    <x v="2"/>
    <x v="1"/>
    <x v="5"/>
    <x v="1500"/>
    <x v="8"/>
    <n v="1"/>
    <x v="600"/>
    <n v="3"/>
    <x v="13"/>
    <x v="1"/>
  </r>
  <r>
    <n v="125"/>
    <x v="61"/>
    <x v="24"/>
    <x v="1"/>
    <x v="3"/>
    <x v="2"/>
    <x v="0"/>
    <x v="1501"/>
    <x v="6"/>
    <n v="1"/>
    <x v="601"/>
    <n v="1"/>
    <x v="15"/>
    <x v="0"/>
  </r>
  <r>
    <n v="1033"/>
    <x v="61"/>
    <x v="8"/>
    <x v="1"/>
    <x v="0"/>
    <x v="1"/>
    <x v="5"/>
    <x v="1502"/>
    <x v="5"/>
    <n v="1"/>
    <x v="602"/>
    <n v="3"/>
    <x v="15"/>
    <x v="1"/>
  </r>
  <r>
    <n v="3955"/>
    <x v="61"/>
    <x v="36"/>
    <x v="0"/>
    <x v="0"/>
    <x v="0"/>
    <x v="0"/>
    <x v="1503"/>
    <x v="5"/>
    <n v="1"/>
    <x v="603"/>
    <n v="2"/>
    <x v="7"/>
    <x v="0"/>
  </r>
  <r>
    <n v="543"/>
    <x v="61"/>
    <x v="7"/>
    <x v="1"/>
    <x v="0"/>
    <x v="1"/>
    <x v="7"/>
    <x v="1504"/>
    <x v="6"/>
    <n v="1"/>
    <x v="472"/>
    <n v="2"/>
    <x v="4"/>
    <x v="1"/>
  </r>
  <r>
    <n v="1095"/>
    <x v="61"/>
    <x v="11"/>
    <x v="0"/>
    <x v="2"/>
    <x v="2"/>
    <x v="0"/>
    <x v="1505"/>
    <x v="0"/>
    <n v="1"/>
    <x v="604"/>
    <n v="2"/>
    <x v="14"/>
    <x v="2"/>
  </r>
  <r>
    <n v="1555"/>
    <x v="61"/>
    <x v="22"/>
    <x v="1"/>
    <x v="1"/>
    <x v="0"/>
    <x v="0"/>
    <x v="1506"/>
    <x v="6"/>
    <n v="1"/>
    <x v="605"/>
    <n v="1"/>
    <x v="5"/>
    <x v="0"/>
  </r>
  <r>
    <n v="1333"/>
    <x v="61"/>
    <x v="10"/>
    <x v="0"/>
    <x v="1"/>
    <x v="1"/>
    <x v="2"/>
    <x v="1507"/>
    <x v="6"/>
    <n v="1"/>
    <x v="597"/>
    <n v="6"/>
    <x v="5"/>
    <x v="0"/>
  </r>
  <r>
    <n v="109"/>
    <x v="61"/>
    <x v="2"/>
    <x v="0"/>
    <x v="0"/>
    <x v="2"/>
    <x v="0"/>
    <x v="1508"/>
    <x v="12"/>
    <n v="1"/>
    <x v="606"/>
    <n v="2"/>
    <x v="3"/>
    <x v="2"/>
  </r>
  <r>
    <n v="745"/>
    <x v="61"/>
    <x v="2"/>
    <x v="0"/>
    <x v="2"/>
    <x v="3"/>
    <x v="0"/>
    <x v="1509"/>
    <x v="11"/>
    <n v="1"/>
    <x v="607"/>
    <n v="3"/>
    <x v="12"/>
    <x v="2"/>
  </r>
  <r>
    <n v="3535"/>
    <x v="61"/>
    <x v="8"/>
    <x v="1"/>
    <x v="1"/>
    <x v="3"/>
    <x v="0"/>
    <x v="1510"/>
    <x v="5"/>
    <n v="1"/>
    <x v="608"/>
    <n v="5"/>
    <x v="7"/>
    <x v="0"/>
  </r>
  <r>
    <n v="881"/>
    <x v="61"/>
    <x v="2"/>
    <x v="0"/>
    <x v="0"/>
    <x v="0"/>
    <x v="0"/>
    <x v="1511"/>
    <x v="5"/>
    <n v="0"/>
    <x v="11"/>
    <n v="0"/>
    <x v="8"/>
    <x v="3"/>
  </r>
  <r>
    <n v="777"/>
    <x v="61"/>
    <x v="16"/>
    <x v="1"/>
    <x v="0"/>
    <x v="1"/>
    <x v="2"/>
    <x v="1512"/>
    <x v="6"/>
    <n v="0"/>
    <x v="11"/>
    <n v="0"/>
    <x v="8"/>
    <x v="3"/>
  </r>
  <r>
    <n v="4082"/>
    <x v="61"/>
    <x v="41"/>
    <x v="0"/>
    <x v="2"/>
    <x v="1"/>
    <x v="3"/>
    <x v="1513"/>
    <x v="1"/>
    <n v="0"/>
    <x v="11"/>
    <n v="0"/>
    <x v="8"/>
    <x v="3"/>
  </r>
  <r>
    <n v="3437"/>
    <x v="61"/>
    <x v="41"/>
    <x v="1"/>
    <x v="2"/>
    <x v="0"/>
    <x v="0"/>
    <x v="1514"/>
    <x v="8"/>
    <n v="0"/>
    <x v="11"/>
    <n v="0"/>
    <x v="8"/>
    <x v="3"/>
  </r>
  <r>
    <n v="2567"/>
    <x v="61"/>
    <x v="7"/>
    <x v="0"/>
    <x v="3"/>
    <x v="1"/>
    <x v="4"/>
    <x v="1515"/>
    <x v="12"/>
    <n v="0"/>
    <x v="11"/>
    <n v="0"/>
    <x v="8"/>
    <x v="3"/>
  </r>
  <r>
    <n v="1581"/>
    <x v="61"/>
    <x v="16"/>
    <x v="0"/>
    <x v="3"/>
    <x v="2"/>
    <x v="0"/>
    <x v="1516"/>
    <x v="0"/>
    <n v="0"/>
    <x v="11"/>
    <n v="0"/>
    <x v="8"/>
    <x v="3"/>
  </r>
  <r>
    <n v="4565"/>
    <x v="61"/>
    <x v="48"/>
    <x v="1"/>
    <x v="3"/>
    <x v="0"/>
    <x v="0"/>
    <x v="1517"/>
    <x v="6"/>
    <n v="0"/>
    <x v="11"/>
    <n v="0"/>
    <x v="8"/>
    <x v="3"/>
  </r>
  <r>
    <n v="3597"/>
    <x v="61"/>
    <x v="16"/>
    <x v="1"/>
    <x v="3"/>
    <x v="1"/>
    <x v="1"/>
    <x v="1518"/>
    <x v="5"/>
    <n v="0"/>
    <x v="11"/>
    <n v="0"/>
    <x v="8"/>
    <x v="3"/>
  </r>
  <r>
    <n v="2728"/>
    <x v="61"/>
    <x v="27"/>
    <x v="0"/>
    <x v="0"/>
    <x v="0"/>
    <x v="0"/>
    <x v="1519"/>
    <x v="1"/>
    <n v="0"/>
    <x v="11"/>
    <n v="0"/>
    <x v="8"/>
    <x v="3"/>
  </r>
  <r>
    <n v="4020"/>
    <x v="61"/>
    <x v="35"/>
    <x v="0"/>
    <x v="0"/>
    <x v="3"/>
    <x v="0"/>
    <x v="1520"/>
    <x v="4"/>
    <n v="0"/>
    <x v="11"/>
    <n v="0"/>
    <x v="8"/>
    <x v="3"/>
  </r>
  <r>
    <n v="3215"/>
    <x v="61"/>
    <x v="3"/>
    <x v="1"/>
    <x v="0"/>
    <x v="0"/>
    <x v="0"/>
    <x v="206"/>
    <x v="8"/>
    <n v="0"/>
    <x v="11"/>
    <n v="0"/>
    <x v="8"/>
    <x v="3"/>
  </r>
  <r>
    <n v="3521"/>
    <x v="61"/>
    <x v="24"/>
    <x v="0"/>
    <x v="2"/>
    <x v="3"/>
    <x v="0"/>
    <x v="1521"/>
    <x v="6"/>
    <n v="0"/>
    <x v="11"/>
    <n v="0"/>
    <x v="8"/>
    <x v="3"/>
  </r>
  <r>
    <n v="3880"/>
    <x v="61"/>
    <x v="40"/>
    <x v="1"/>
    <x v="0"/>
    <x v="1"/>
    <x v="1"/>
    <x v="1522"/>
    <x v="8"/>
    <n v="0"/>
    <x v="11"/>
    <n v="0"/>
    <x v="8"/>
    <x v="3"/>
  </r>
  <r>
    <n v="3419"/>
    <x v="61"/>
    <x v="16"/>
    <x v="1"/>
    <x v="0"/>
    <x v="0"/>
    <x v="0"/>
    <x v="819"/>
    <x v="9"/>
    <n v="0"/>
    <x v="11"/>
    <n v="0"/>
    <x v="8"/>
    <x v="3"/>
  </r>
  <r>
    <n v="1090"/>
    <x v="61"/>
    <x v="20"/>
    <x v="1"/>
    <x v="0"/>
    <x v="0"/>
    <x v="0"/>
    <x v="1523"/>
    <x v="2"/>
    <n v="0"/>
    <x v="11"/>
    <n v="0"/>
    <x v="8"/>
    <x v="3"/>
  </r>
  <r>
    <n v="1047"/>
    <x v="61"/>
    <x v="24"/>
    <x v="0"/>
    <x v="2"/>
    <x v="3"/>
    <x v="0"/>
    <x v="1524"/>
    <x v="11"/>
    <n v="0"/>
    <x v="11"/>
    <n v="0"/>
    <x v="8"/>
    <x v="3"/>
  </r>
  <r>
    <n v="2822"/>
    <x v="61"/>
    <x v="29"/>
    <x v="0"/>
    <x v="2"/>
    <x v="0"/>
    <x v="0"/>
    <x v="1525"/>
    <x v="5"/>
    <n v="0"/>
    <x v="11"/>
    <n v="0"/>
    <x v="8"/>
    <x v="3"/>
  </r>
  <r>
    <n v="2911"/>
    <x v="61"/>
    <x v="26"/>
    <x v="0"/>
    <x v="0"/>
    <x v="0"/>
    <x v="0"/>
    <x v="1435"/>
    <x v="11"/>
    <n v="0"/>
    <x v="11"/>
    <n v="0"/>
    <x v="8"/>
    <x v="3"/>
  </r>
  <r>
    <n v="4598"/>
    <x v="61"/>
    <x v="42"/>
    <x v="1"/>
    <x v="1"/>
    <x v="1"/>
    <x v="7"/>
    <x v="1526"/>
    <x v="5"/>
    <n v="0"/>
    <x v="11"/>
    <n v="0"/>
    <x v="8"/>
    <x v="3"/>
  </r>
  <r>
    <n v="4745"/>
    <x v="61"/>
    <x v="13"/>
    <x v="0"/>
    <x v="2"/>
    <x v="2"/>
    <x v="0"/>
    <x v="1527"/>
    <x v="0"/>
    <n v="0"/>
    <x v="11"/>
    <n v="0"/>
    <x v="8"/>
    <x v="3"/>
  </r>
  <r>
    <n v="4372"/>
    <x v="62"/>
    <x v="27"/>
    <x v="0"/>
    <x v="3"/>
    <x v="1"/>
    <x v="6"/>
    <x v="1528"/>
    <x v="1"/>
    <n v="1"/>
    <x v="609"/>
    <n v="1"/>
    <x v="1"/>
    <x v="1"/>
  </r>
  <r>
    <n v="2751"/>
    <x v="62"/>
    <x v="23"/>
    <x v="0"/>
    <x v="0"/>
    <x v="1"/>
    <x v="5"/>
    <x v="1529"/>
    <x v="4"/>
    <n v="1"/>
    <x v="610"/>
    <n v="1"/>
    <x v="2"/>
    <x v="0"/>
  </r>
  <r>
    <n v="4264"/>
    <x v="62"/>
    <x v="45"/>
    <x v="0"/>
    <x v="3"/>
    <x v="2"/>
    <x v="0"/>
    <x v="1530"/>
    <x v="1"/>
    <n v="1"/>
    <x v="611"/>
    <n v="4"/>
    <x v="10"/>
    <x v="0"/>
  </r>
  <r>
    <n v="3287"/>
    <x v="62"/>
    <x v="11"/>
    <x v="1"/>
    <x v="2"/>
    <x v="1"/>
    <x v="6"/>
    <x v="1531"/>
    <x v="2"/>
    <n v="1"/>
    <x v="612"/>
    <n v="2"/>
    <x v="1"/>
    <x v="0"/>
  </r>
  <r>
    <n v="361"/>
    <x v="62"/>
    <x v="18"/>
    <x v="1"/>
    <x v="1"/>
    <x v="1"/>
    <x v="3"/>
    <x v="1532"/>
    <x v="2"/>
    <n v="1"/>
    <x v="613"/>
    <n v="4"/>
    <x v="11"/>
    <x v="0"/>
  </r>
  <r>
    <n v="2630"/>
    <x v="62"/>
    <x v="22"/>
    <x v="1"/>
    <x v="1"/>
    <x v="3"/>
    <x v="0"/>
    <x v="1533"/>
    <x v="4"/>
    <n v="1"/>
    <x v="614"/>
    <n v="2"/>
    <x v="7"/>
    <x v="1"/>
  </r>
  <r>
    <n v="2494"/>
    <x v="62"/>
    <x v="5"/>
    <x v="0"/>
    <x v="1"/>
    <x v="2"/>
    <x v="0"/>
    <x v="1534"/>
    <x v="5"/>
    <n v="1"/>
    <x v="615"/>
    <n v="4"/>
    <x v="6"/>
    <x v="0"/>
  </r>
  <r>
    <n v="252"/>
    <x v="62"/>
    <x v="8"/>
    <x v="0"/>
    <x v="2"/>
    <x v="0"/>
    <x v="0"/>
    <x v="1101"/>
    <x v="5"/>
    <n v="1"/>
    <x v="616"/>
    <n v="3"/>
    <x v="1"/>
    <x v="0"/>
  </r>
  <r>
    <n v="3688"/>
    <x v="62"/>
    <x v="33"/>
    <x v="0"/>
    <x v="1"/>
    <x v="0"/>
    <x v="0"/>
    <x v="1535"/>
    <x v="0"/>
    <n v="1"/>
    <x v="617"/>
    <n v="3"/>
    <x v="13"/>
    <x v="1"/>
  </r>
  <r>
    <n v="178"/>
    <x v="62"/>
    <x v="18"/>
    <x v="2"/>
    <x v="3"/>
    <x v="2"/>
    <x v="0"/>
    <x v="1536"/>
    <x v="5"/>
    <n v="1"/>
    <x v="618"/>
    <n v="2"/>
    <x v="3"/>
    <x v="2"/>
  </r>
  <r>
    <n v="1077"/>
    <x v="62"/>
    <x v="24"/>
    <x v="1"/>
    <x v="1"/>
    <x v="2"/>
    <x v="0"/>
    <x v="1537"/>
    <x v="6"/>
    <n v="1"/>
    <x v="619"/>
    <n v="4"/>
    <x v="15"/>
    <x v="0"/>
  </r>
  <r>
    <n v="366"/>
    <x v="62"/>
    <x v="16"/>
    <x v="1"/>
    <x v="2"/>
    <x v="2"/>
    <x v="0"/>
    <x v="1538"/>
    <x v="1"/>
    <n v="0"/>
    <x v="11"/>
    <n v="0"/>
    <x v="8"/>
    <x v="3"/>
  </r>
  <r>
    <n v="4895"/>
    <x v="62"/>
    <x v="14"/>
    <x v="0"/>
    <x v="2"/>
    <x v="0"/>
    <x v="0"/>
    <x v="1539"/>
    <x v="6"/>
    <n v="0"/>
    <x v="11"/>
    <n v="0"/>
    <x v="8"/>
    <x v="3"/>
  </r>
  <r>
    <n v="3518"/>
    <x v="62"/>
    <x v="22"/>
    <x v="0"/>
    <x v="3"/>
    <x v="3"/>
    <x v="0"/>
    <x v="1540"/>
    <x v="1"/>
    <n v="0"/>
    <x v="11"/>
    <n v="0"/>
    <x v="8"/>
    <x v="3"/>
  </r>
  <r>
    <n v="61"/>
    <x v="62"/>
    <x v="7"/>
    <x v="1"/>
    <x v="2"/>
    <x v="0"/>
    <x v="0"/>
    <x v="1541"/>
    <x v="5"/>
    <n v="0"/>
    <x v="11"/>
    <n v="0"/>
    <x v="8"/>
    <x v="3"/>
  </r>
  <r>
    <n v="2417"/>
    <x v="62"/>
    <x v="39"/>
    <x v="0"/>
    <x v="3"/>
    <x v="0"/>
    <x v="0"/>
    <x v="0"/>
    <x v="2"/>
    <n v="0"/>
    <x v="11"/>
    <n v="0"/>
    <x v="8"/>
    <x v="3"/>
  </r>
  <r>
    <n v="2437"/>
    <x v="62"/>
    <x v="43"/>
    <x v="0"/>
    <x v="2"/>
    <x v="0"/>
    <x v="0"/>
    <x v="1542"/>
    <x v="5"/>
    <n v="0"/>
    <x v="11"/>
    <n v="0"/>
    <x v="8"/>
    <x v="3"/>
  </r>
  <r>
    <n v="2336"/>
    <x v="62"/>
    <x v="31"/>
    <x v="0"/>
    <x v="2"/>
    <x v="0"/>
    <x v="0"/>
    <x v="123"/>
    <x v="0"/>
    <n v="0"/>
    <x v="11"/>
    <n v="0"/>
    <x v="8"/>
    <x v="3"/>
  </r>
  <r>
    <n v="2272"/>
    <x v="62"/>
    <x v="7"/>
    <x v="1"/>
    <x v="2"/>
    <x v="0"/>
    <x v="0"/>
    <x v="1543"/>
    <x v="6"/>
    <n v="0"/>
    <x v="11"/>
    <n v="0"/>
    <x v="8"/>
    <x v="3"/>
  </r>
  <r>
    <n v="2420"/>
    <x v="62"/>
    <x v="3"/>
    <x v="0"/>
    <x v="0"/>
    <x v="0"/>
    <x v="0"/>
    <x v="1544"/>
    <x v="5"/>
    <n v="0"/>
    <x v="11"/>
    <n v="0"/>
    <x v="8"/>
    <x v="3"/>
  </r>
  <r>
    <n v="3834"/>
    <x v="62"/>
    <x v="42"/>
    <x v="1"/>
    <x v="1"/>
    <x v="2"/>
    <x v="0"/>
    <x v="1545"/>
    <x v="8"/>
    <n v="0"/>
    <x v="11"/>
    <n v="0"/>
    <x v="8"/>
    <x v="3"/>
  </r>
  <r>
    <n v="4655"/>
    <x v="62"/>
    <x v="45"/>
    <x v="0"/>
    <x v="1"/>
    <x v="1"/>
    <x v="3"/>
    <x v="1546"/>
    <x v="5"/>
    <n v="0"/>
    <x v="11"/>
    <n v="0"/>
    <x v="8"/>
    <x v="3"/>
  </r>
  <r>
    <n v="4166"/>
    <x v="62"/>
    <x v="12"/>
    <x v="0"/>
    <x v="2"/>
    <x v="1"/>
    <x v="1"/>
    <x v="383"/>
    <x v="2"/>
    <n v="0"/>
    <x v="11"/>
    <n v="0"/>
    <x v="8"/>
    <x v="3"/>
  </r>
  <r>
    <n v="2975"/>
    <x v="62"/>
    <x v="24"/>
    <x v="1"/>
    <x v="0"/>
    <x v="1"/>
    <x v="6"/>
    <x v="357"/>
    <x v="3"/>
    <n v="0"/>
    <x v="11"/>
    <n v="0"/>
    <x v="8"/>
    <x v="3"/>
  </r>
  <r>
    <n v="1964"/>
    <x v="62"/>
    <x v="5"/>
    <x v="1"/>
    <x v="2"/>
    <x v="1"/>
    <x v="3"/>
    <x v="1547"/>
    <x v="5"/>
    <n v="0"/>
    <x v="11"/>
    <n v="0"/>
    <x v="8"/>
    <x v="3"/>
  </r>
  <r>
    <n v="1489"/>
    <x v="62"/>
    <x v="4"/>
    <x v="0"/>
    <x v="3"/>
    <x v="0"/>
    <x v="0"/>
    <x v="1140"/>
    <x v="1"/>
    <n v="0"/>
    <x v="11"/>
    <n v="0"/>
    <x v="8"/>
    <x v="3"/>
  </r>
  <r>
    <n v="747"/>
    <x v="62"/>
    <x v="8"/>
    <x v="1"/>
    <x v="2"/>
    <x v="2"/>
    <x v="0"/>
    <x v="1548"/>
    <x v="8"/>
    <n v="0"/>
    <x v="11"/>
    <n v="0"/>
    <x v="8"/>
    <x v="3"/>
  </r>
  <r>
    <n v="4054"/>
    <x v="63"/>
    <x v="37"/>
    <x v="1"/>
    <x v="2"/>
    <x v="2"/>
    <x v="0"/>
    <x v="1359"/>
    <x v="5"/>
    <n v="1"/>
    <x v="620"/>
    <n v="2"/>
    <x v="11"/>
    <x v="0"/>
  </r>
  <r>
    <n v="686"/>
    <x v="63"/>
    <x v="2"/>
    <x v="1"/>
    <x v="0"/>
    <x v="2"/>
    <x v="0"/>
    <x v="1549"/>
    <x v="5"/>
    <n v="1"/>
    <x v="621"/>
    <n v="3"/>
    <x v="13"/>
    <x v="1"/>
  </r>
  <r>
    <n v="452"/>
    <x v="63"/>
    <x v="4"/>
    <x v="0"/>
    <x v="2"/>
    <x v="0"/>
    <x v="0"/>
    <x v="1550"/>
    <x v="5"/>
    <n v="1"/>
    <x v="622"/>
    <n v="3"/>
    <x v="14"/>
    <x v="0"/>
  </r>
  <r>
    <n v="3617"/>
    <x v="63"/>
    <x v="19"/>
    <x v="0"/>
    <x v="0"/>
    <x v="0"/>
    <x v="0"/>
    <x v="1551"/>
    <x v="4"/>
    <n v="1"/>
    <x v="623"/>
    <n v="4"/>
    <x v="6"/>
    <x v="4"/>
  </r>
  <r>
    <n v="2194"/>
    <x v="63"/>
    <x v="24"/>
    <x v="1"/>
    <x v="0"/>
    <x v="1"/>
    <x v="2"/>
    <x v="1552"/>
    <x v="6"/>
    <n v="1"/>
    <x v="624"/>
    <n v="4"/>
    <x v="15"/>
    <x v="1"/>
  </r>
  <r>
    <n v="2453"/>
    <x v="63"/>
    <x v="19"/>
    <x v="1"/>
    <x v="0"/>
    <x v="1"/>
    <x v="2"/>
    <x v="1077"/>
    <x v="8"/>
    <n v="1"/>
    <x v="625"/>
    <n v="7"/>
    <x v="0"/>
    <x v="1"/>
  </r>
  <r>
    <n v="4386"/>
    <x v="63"/>
    <x v="29"/>
    <x v="0"/>
    <x v="0"/>
    <x v="0"/>
    <x v="0"/>
    <x v="1553"/>
    <x v="11"/>
    <n v="1"/>
    <x v="626"/>
    <n v="2"/>
    <x v="7"/>
    <x v="0"/>
  </r>
  <r>
    <n v="3388"/>
    <x v="63"/>
    <x v="20"/>
    <x v="0"/>
    <x v="2"/>
    <x v="3"/>
    <x v="0"/>
    <x v="1554"/>
    <x v="9"/>
    <n v="0"/>
    <x v="11"/>
    <n v="0"/>
    <x v="8"/>
    <x v="3"/>
  </r>
  <r>
    <n v="3303"/>
    <x v="63"/>
    <x v="27"/>
    <x v="0"/>
    <x v="1"/>
    <x v="0"/>
    <x v="0"/>
    <x v="1555"/>
    <x v="2"/>
    <n v="0"/>
    <x v="11"/>
    <n v="0"/>
    <x v="8"/>
    <x v="3"/>
  </r>
  <r>
    <n v="256"/>
    <x v="63"/>
    <x v="8"/>
    <x v="1"/>
    <x v="3"/>
    <x v="0"/>
    <x v="0"/>
    <x v="1556"/>
    <x v="8"/>
    <n v="0"/>
    <x v="11"/>
    <n v="0"/>
    <x v="8"/>
    <x v="3"/>
  </r>
  <r>
    <n v="3268"/>
    <x v="63"/>
    <x v="3"/>
    <x v="0"/>
    <x v="2"/>
    <x v="3"/>
    <x v="0"/>
    <x v="1557"/>
    <x v="11"/>
    <n v="0"/>
    <x v="11"/>
    <n v="0"/>
    <x v="8"/>
    <x v="3"/>
  </r>
  <r>
    <n v="2368"/>
    <x v="63"/>
    <x v="26"/>
    <x v="1"/>
    <x v="0"/>
    <x v="1"/>
    <x v="2"/>
    <x v="1558"/>
    <x v="4"/>
    <n v="0"/>
    <x v="11"/>
    <n v="0"/>
    <x v="8"/>
    <x v="3"/>
  </r>
  <r>
    <n v="3879"/>
    <x v="63"/>
    <x v="42"/>
    <x v="1"/>
    <x v="1"/>
    <x v="1"/>
    <x v="2"/>
    <x v="1559"/>
    <x v="5"/>
    <n v="0"/>
    <x v="11"/>
    <n v="0"/>
    <x v="8"/>
    <x v="3"/>
  </r>
  <r>
    <n v="1619"/>
    <x v="63"/>
    <x v="18"/>
    <x v="0"/>
    <x v="2"/>
    <x v="0"/>
    <x v="0"/>
    <x v="1088"/>
    <x v="6"/>
    <n v="0"/>
    <x v="11"/>
    <n v="0"/>
    <x v="8"/>
    <x v="3"/>
  </r>
  <r>
    <n v="1933"/>
    <x v="63"/>
    <x v="14"/>
    <x v="0"/>
    <x v="3"/>
    <x v="0"/>
    <x v="0"/>
    <x v="1560"/>
    <x v="2"/>
    <n v="0"/>
    <x v="11"/>
    <n v="0"/>
    <x v="8"/>
    <x v="3"/>
  </r>
  <r>
    <n v="1283"/>
    <x v="63"/>
    <x v="41"/>
    <x v="1"/>
    <x v="1"/>
    <x v="1"/>
    <x v="6"/>
    <x v="1561"/>
    <x v="2"/>
    <n v="0"/>
    <x v="11"/>
    <n v="0"/>
    <x v="8"/>
    <x v="3"/>
  </r>
  <r>
    <n v="866"/>
    <x v="63"/>
    <x v="19"/>
    <x v="1"/>
    <x v="3"/>
    <x v="0"/>
    <x v="0"/>
    <x v="649"/>
    <x v="1"/>
    <n v="0"/>
    <x v="11"/>
    <n v="0"/>
    <x v="8"/>
    <x v="3"/>
  </r>
  <r>
    <n v="4232"/>
    <x v="63"/>
    <x v="43"/>
    <x v="0"/>
    <x v="2"/>
    <x v="3"/>
    <x v="0"/>
    <x v="1562"/>
    <x v="2"/>
    <n v="0"/>
    <x v="11"/>
    <n v="0"/>
    <x v="8"/>
    <x v="3"/>
  </r>
  <r>
    <n v="2022"/>
    <x v="63"/>
    <x v="22"/>
    <x v="1"/>
    <x v="2"/>
    <x v="3"/>
    <x v="0"/>
    <x v="1563"/>
    <x v="5"/>
    <n v="0"/>
    <x v="11"/>
    <n v="0"/>
    <x v="8"/>
    <x v="3"/>
  </r>
  <r>
    <n v="3240"/>
    <x v="63"/>
    <x v="5"/>
    <x v="0"/>
    <x v="1"/>
    <x v="3"/>
    <x v="0"/>
    <x v="1564"/>
    <x v="8"/>
    <n v="0"/>
    <x v="11"/>
    <n v="0"/>
    <x v="8"/>
    <x v="3"/>
  </r>
  <r>
    <n v="554"/>
    <x v="63"/>
    <x v="23"/>
    <x v="1"/>
    <x v="2"/>
    <x v="0"/>
    <x v="0"/>
    <x v="1565"/>
    <x v="0"/>
    <n v="0"/>
    <x v="11"/>
    <n v="0"/>
    <x v="8"/>
    <x v="3"/>
  </r>
  <r>
    <n v="2133"/>
    <x v="63"/>
    <x v="30"/>
    <x v="0"/>
    <x v="3"/>
    <x v="1"/>
    <x v="4"/>
    <x v="1566"/>
    <x v="6"/>
    <n v="0"/>
    <x v="11"/>
    <n v="0"/>
    <x v="8"/>
    <x v="3"/>
  </r>
  <r>
    <n v="4140"/>
    <x v="63"/>
    <x v="50"/>
    <x v="1"/>
    <x v="1"/>
    <x v="0"/>
    <x v="0"/>
    <x v="1567"/>
    <x v="12"/>
    <n v="0"/>
    <x v="11"/>
    <n v="0"/>
    <x v="8"/>
    <x v="3"/>
  </r>
  <r>
    <n v="1038"/>
    <x v="64"/>
    <x v="8"/>
    <x v="0"/>
    <x v="2"/>
    <x v="0"/>
    <x v="0"/>
    <x v="144"/>
    <x v="2"/>
    <n v="1"/>
    <x v="627"/>
    <n v="4"/>
    <x v="12"/>
    <x v="0"/>
  </r>
  <r>
    <n v="3107"/>
    <x v="64"/>
    <x v="7"/>
    <x v="1"/>
    <x v="0"/>
    <x v="1"/>
    <x v="7"/>
    <x v="1568"/>
    <x v="5"/>
    <n v="1"/>
    <x v="628"/>
    <n v="5"/>
    <x v="11"/>
    <x v="0"/>
  </r>
  <r>
    <n v="510"/>
    <x v="64"/>
    <x v="10"/>
    <x v="1"/>
    <x v="1"/>
    <x v="0"/>
    <x v="0"/>
    <x v="1569"/>
    <x v="8"/>
    <n v="1"/>
    <x v="629"/>
    <n v="4"/>
    <x v="15"/>
    <x v="0"/>
  </r>
  <r>
    <n v="3673"/>
    <x v="64"/>
    <x v="44"/>
    <x v="1"/>
    <x v="3"/>
    <x v="0"/>
    <x v="0"/>
    <x v="1570"/>
    <x v="1"/>
    <n v="1"/>
    <x v="630"/>
    <n v="4"/>
    <x v="3"/>
    <x v="0"/>
  </r>
  <r>
    <n v="1595"/>
    <x v="64"/>
    <x v="18"/>
    <x v="0"/>
    <x v="0"/>
    <x v="2"/>
    <x v="0"/>
    <x v="1571"/>
    <x v="6"/>
    <n v="1"/>
    <x v="631"/>
    <n v="2"/>
    <x v="10"/>
    <x v="0"/>
  </r>
  <r>
    <n v="197"/>
    <x v="64"/>
    <x v="16"/>
    <x v="1"/>
    <x v="2"/>
    <x v="0"/>
    <x v="0"/>
    <x v="1572"/>
    <x v="6"/>
    <n v="1"/>
    <x v="632"/>
    <n v="3"/>
    <x v="1"/>
    <x v="0"/>
  </r>
  <r>
    <n v="2967"/>
    <x v="64"/>
    <x v="19"/>
    <x v="1"/>
    <x v="3"/>
    <x v="0"/>
    <x v="0"/>
    <x v="1255"/>
    <x v="6"/>
    <n v="1"/>
    <x v="633"/>
    <n v="3"/>
    <x v="13"/>
    <x v="0"/>
  </r>
  <r>
    <n v="2046"/>
    <x v="64"/>
    <x v="26"/>
    <x v="1"/>
    <x v="0"/>
    <x v="0"/>
    <x v="0"/>
    <x v="348"/>
    <x v="2"/>
    <n v="1"/>
    <x v="324"/>
    <n v="3"/>
    <x v="7"/>
    <x v="2"/>
  </r>
  <r>
    <n v="778"/>
    <x v="64"/>
    <x v="24"/>
    <x v="1"/>
    <x v="1"/>
    <x v="0"/>
    <x v="0"/>
    <x v="1573"/>
    <x v="1"/>
    <n v="1"/>
    <x v="29"/>
    <n v="1"/>
    <x v="11"/>
    <x v="0"/>
  </r>
  <r>
    <n v="236"/>
    <x v="64"/>
    <x v="6"/>
    <x v="1"/>
    <x v="2"/>
    <x v="0"/>
    <x v="0"/>
    <x v="1574"/>
    <x v="8"/>
    <n v="0"/>
    <x v="11"/>
    <n v="0"/>
    <x v="8"/>
    <x v="3"/>
  </r>
  <r>
    <n v="1131"/>
    <x v="64"/>
    <x v="19"/>
    <x v="0"/>
    <x v="2"/>
    <x v="0"/>
    <x v="0"/>
    <x v="1575"/>
    <x v="5"/>
    <n v="0"/>
    <x v="11"/>
    <n v="0"/>
    <x v="8"/>
    <x v="3"/>
  </r>
  <r>
    <n v="3273"/>
    <x v="64"/>
    <x v="26"/>
    <x v="1"/>
    <x v="0"/>
    <x v="0"/>
    <x v="0"/>
    <x v="1576"/>
    <x v="8"/>
    <n v="0"/>
    <x v="11"/>
    <n v="0"/>
    <x v="8"/>
    <x v="3"/>
  </r>
  <r>
    <n v="2215"/>
    <x v="64"/>
    <x v="31"/>
    <x v="0"/>
    <x v="1"/>
    <x v="0"/>
    <x v="0"/>
    <x v="1577"/>
    <x v="10"/>
    <n v="0"/>
    <x v="11"/>
    <n v="0"/>
    <x v="8"/>
    <x v="3"/>
  </r>
  <r>
    <n v="1354"/>
    <x v="64"/>
    <x v="22"/>
    <x v="1"/>
    <x v="2"/>
    <x v="1"/>
    <x v="4"/>
    <x v="1578"/>
    <x v="6"/>
    <n v="0"/>
    <x v="11"/>
    <n v="0"/>
    <x v="8"/>
    <x v="3"/>
  </r>
  <r>
    <n v="3311"/>
    <x v="64"/>
    <x v="17"/>
    <x v="0"/>
    <x v="3"/>
    <x v="0"/>
    <x v="0"/>
    <x v="1579"/>
    <x v="0"/>
    <n v="0"/>
    <x v="11"/>
    <n v="0"/>
    <x v="8"/>
    <x v="3"/>
  </r>
  <r>
    <n v="4673"/>
    <x v="64"/>
    <x v="28"/>
    <x v="1"/>
    <x v="0"/>
    <x v="0"/>
    <x v="0"/>
    <x v="1580"/>
    <x v="6"/>
    <n v="0"/>
    <x v="11"/>
    <n v="0"/>
    <x v="8"/>
    <x v="3"/>
  </r>
  <r>
    <n v="2355"/>
    <x v="64"/>
    <x v="19"/>
    <x v="0"/>
    <x v="3"/>
    <x v="0"/>
    <x v="0"/>
    <x v="1581"/>
    <x v="5"/>
    <n v="0"/>
    <x v="11"/>
    <n v="0"/>
    <x v="8"/>
    <x v="3"/>
  </r>
  <r>
    <n v="1870"/>
    <x v="64"/>
    <x v="44"/>
    <x v="0"/>
    <x v="2"/>
    <x v="0"/>
    <x v="0"/>
    <x v="1582"/>
    <x v="5"/>
    <n v="0"/>
    <x v="11"/>
    <n v="0"/>
    <x v="8"/>
    <x v="3"/>
  </r>
  <r>
    <n v="891"/>
    <x v="64"/>
    <x v="19"/>
    <x v="2"/>
    <x v="2"/>
    <x v="0"/>
    <x v="0"/>
    <x v="863"/>
    <x v="4"/>
    <n v="0"/>
    <x v="11"/>
    <n v="0"/>
    <x v="8"/>
    <x v="3"/>
  </r>
  <r>
    <n v="2520"/>
    <x v="64"/>
    <x v="7"/>
    <x v="1"/>
    <x v="3"/>
    <x v="0"/>
    <x v="0"/>
    <x v="299"/>
    <x v="5"/>
    <n v="0"/>
    <x v="11"/>
    <n v="0"/>
    <x v="8"/>
    <x v="3"/>
  </r>
  <r>
    <n v="1889"/>
    <x v="64"/>
    <x v="23"/>
    <x v="1"/>
    <x v="0"/>
    <x v="0"/>
    <x v="0"/>
    <x v="1583"/>
    <x v="8"/>
    <n v="0"/>
    <x v="11"/>
    <n v="0"/>
    <x v="8"/>
    <x v="3"/>
  </r>
  <r>
    <n v="4733"/>
    <x v="64"/>
    <x v="44"/>
    <x v="1"/>
    <x v="2"/>
    <x v="0"/>
    <x v="0"/>
    <x v="1584"/>
    <x v="4"/>
    <n v="0"/>
    <x v="11"/>
    <n v="0"/>
    <x v="8"/>
    <x v="3"/>
  </r>
  <r>
    <n v="305"/>
    <x v="64"/>
    <x v="24"/>
    <x v="1"/>
    <x v="0"/>
    <x v="3"/>
    <x v="0"/>
    <x v="1585"/>
    <x v="6"/>
    <n v="0"/>
    <x v="11"/>
    <n v="0"/>
    <x v="8"/>
    <x v="3"/>
  </r>
  <r>
    <n v="1344"/>
    <x v="64"/>
    <x v="6"/>
    <x v="0"/>
    <x v="1"/>
    <x v="0"/>
    <x v="0"/>
    <x v="1420"/>
    <x v="5"/>
    <n v="0"/>
    <x v="11"/>
    <n v="0"/>
    <x v="8"/>
    <x v="3"/>
  </r>
  <r>
    <n v="3566"/>
    <x v="64"/>
    <x v="16"/>
    <x v="0"/>
    <x v="2"/>
    <x v="0"/>
    <x v="0"/>
    <x v="1586"/>
    <x v="5"/>
    <n v="0"/>
    <x v="11"/>
    <n v="0"/>
    <x v="8"/>
    <x v="3"/>
  </r>
  <r>
    <n v="3942"/>
    <x v="65"/>
    <x v="30"/>
    <x v="0"/>
    <x v="3"/>
    <x v="1"/>
    <x v="1"/>
    <x v="1587"/>
    <x v="0"/>
    <n v="1"/>
    <x v="634"/>
    <n v="3"/>
    <x v="7"/>
    <x v="1"/>
  </r>
  <r>
    <n v="4518"/>
    <x v="65"/>
    <x v="35"/>
    <x v="1"/>
    <x v="2"/>
    <x v="0"/>
    <x v="0"/>
    <x v="1588"/>
    <x v="0"/>
    <n v="1"/>
    <x v="635"/>
    <n v="1"/>
    <x v="2"/>
    <x v="1"/>
  </r>
  <r>
    <n v="1312"/>
    <x v="65"/>
    <x v="8"/>
    <x v="1"/>
    <x v="2"/>
    <x v="2"/>
    <x v="0"/>
    <x v="1589"/>
    <x v="2"/>
    <n v="1"/>
    <x v="636"/>
    <n v="4"/>
    <x v="0"/>
    <x v="1"/>
  </r>
  <r>
    <n v="406"/>
    <x v="65"/>
    <x v="8"/>
    <x v="1"/>
    <x v="1"/>
    <x v="2"/>
    <x v="0"/>
    <x v="1590"/>
    <x v="0"/>
    <n v="1"/>
    <x v="637"/>
    <n v="2"/>
    <x v="1"/>
    <x v="0"/>
  </r>
  <r>
    <n v="595"/>
    <x v="65"/>
    <x v="24"/>
    <x v="1"/>
    <x v="0"/>
    <x v="1"/>
    <x v="3"/>
    <x v="1591"/>
    <x v="2"/>
    <n v="1"/>
    <x v="638"/>
    <n v="2"/>
    <x v="6"/>
    <x v="0"/>
  </r>
  <r>
    <n v="923"/>
    <x v="65"/>
    <x v="7"/>
    <x v="0"/>
    <x v="2"/>
    <x v="3"/>
    <x v="0"/>
    <x v="1592"/>
    <x v="0"/>
    <n v="1"/>
    <x v="639"/>
    <n v="2"/>
    <x v="5"/>
    <x v="0"/>
  </r>
  <r>
    <n v="4018"/>
    <x v="65"/>
    <x v="45"/>
    <x v="0"/>
    <x v="3"/>
    <x v="2"/>
    <x v="0"/>
    <x v="1593"/>
    <x v="6"/>
    <n v="1"/>
    <x v="640"/>
    <n v="3"/>
    <x v="4"/>
    <x v="0"/>
  </r>
  <r>
    <n v="1786"/>
    <x v="65"/>
    <x v="23"/>
    <x v="1"/>
    <x v="0"/>
    <x v="3"/>
    <x v="0"/>
    <x v="1594"/>
    <x v="2"/>
    <n v="1"/>
    <x v="641"/>
    <n v="4"/>
    <x v="2"/>
    <x v="0"/>
  </r>
  <r>
    <n v="4996"/>
    <x v="65"/>
    <x v="37"/>
    <x v="1"/>
    <x v="1"/>
    <x v="0"/>
    <x v="0"/>
    <x v="1595"/>
    <x v="11"/>
    <n v="1"/>
    <x v="642"/>
    <n v="4"/>
    <x v="0"/>
    <x v="0"/>
  </r>
  <r>
    <n v="632"/>
    <x v="65"/>
    <x v="4"/>
    <x v="1"/>
    <x v="3"/>
    <x v="2"/>
    <x v="0"/>
    <x v="1596"/>
    <x v="6"/>
    <n v="1"/>
    <x v="643"/>
    <n v="4"/>
    <x v="12"/>
    <x v="1"/>
  </r>
  <r>
    <n v="198"/>
    <x v="65"/>
    <x v="7"/>
    <x v="1"/>
    <x v="1"/>
    <x v="3"/>
    <x v="0"/>
    <x v="1597"/>
    <x v="11"/>
    <n v="1"/>
    <x v="644"/>
    <n v="4"/>
    <x v="5"/>
    <x v="2"/>
  </r>
  <r>
    <n v="1518"/>
    <x v="65"/>
    <x v="22"/>
    <x v="0"/>
    <x v="2"/>
    <x v="0"/>
    <x v="0"/>
    <x v="1598"/>
    <x v="4"/>
    <n v="0"/>
    <x v="11"/>
    <n v="0"/>
    <x v="8"/>
    <x v="3"/>
  </r>
  <r>
    <n v="122"/>
    <x v="65"/>
    <x v="6"/>
    <x v="0"/>
    <x v="2"/>
    <x v="1"/>
    <x v="7"/>
    <x v="1599"/>
    <x v="1"/>
    <n v="0"/>
    <x v="11"/>
    <n v="0"/>
    <x v="8"/>
    <x v="3"/>
  </r>
  <r>
    <n v="3392"/>
    <x v="65"/>
    <x v="45"/>
    <x v="0"/>
    <x v="1"/>
    <x v="0"/>
    <x v="0"/>
    <x v="1600"/>
    <x v="6"/>
    <n v="0"/>
    <x v="11"/>
    <n v="0"/>
    <x v="8"/>
    <x v="3"/>
  </r>
  <r>
    <n v="898"/>
    <x v="65"/>
    <x v="4"/>
    <x v="0"/>
    <x v="0"/>
    <x v="2"/>
    <x v="0"/>
    <x v="1601"/>
    <x v="8"/>
    <n v="0"/>
    <x v="11"/>
    <n v="0"/>
    <x v="8"/>
    <x v="3"/>
  </r>
  <r>
    <n v="3751"/>
    <x v="65"/>
    <x v="46"/>
    <x v="1"/>
    <x v="0"/>
    <x v="2"/>
    <x v="0"/>
    <x v="1602"/>
    <x v="8"/>
    <n v="0"/>
    <x v="11"/>
    <n v="0"/>
    <x v="8"/>
    <x v="3"/>
  </r>
  <r>
    <n v="854"/>
    <x v="65"/>
    <x v="39"/>
    <x v="1"/>
    <x v="2"/>
    <x v="1"/>
    <x v="6"/>
    <x v="1603"/>
    <x v="0"/>
    <n v="0"/>
    <x v="11"/>
    <n v="0"/>
    <x v="8"/>
    <x v="3"/>
  </r>
  <r>
    <n v="192"/>
    <x v="65"/>
    <x v="20"/>
    <x v="0"/>
    <x v="0"/>
    <x v="0"/>
    <x v="0"/>
    <x v="377"/>
    <x v="1"/>
    <n v="0"/>
    <x v="11"/>
    <n v="0"/>
    <x v="8"/>
    <x v="3"/>
  </r>
  <r>
    <n v="3260"/>
    <x v="65"/>
    <x v="11"/>
    <x v="0"/>
    <x v="0"/>
    <x v="0"/>
    <x v="0"/>
    <x v="1604"/>
    <x v="0"/>
    <n v="0"/>
    <x v="11"/>
    <n v="0"/>
    <x v="8"/>
    <x v="3"/>
  </r>
  <r>
    <n v="672"/>
    <x v="65"/>
    <x v="4"/>
    <x v="0"/>
    <x v="1"/>
    <x v="0"/>
    <x v="0"/>
    <x v="1605"/>
    <x v="8"/>
    <n v="0"/>
    <x v="11"/>
    <n v="0"/>
    <x v="8"/>
    <x v="3"/>
  </r>
  <r>
    <n v="2721"/>
    <x v="65"/>
    <x v="43"/>
    <x v="1"/>
    <x v="1"/>
    <x v="2"/>
    <x v="0"/>
    <x v="1606"/>
    <x v="5"/>
    <n v="0"/>
    <x v="11"/>
    <n v="0"/>
    <x v="8"/>
    <x v="3"/>
  </r>
  <r>
    <n v="4606"/>
    <x v="65"/>
    <x v="51"/>
    <x v="1"/>
    <x v="1"/>
    <x v="0"/>
    <x v="0"/>
    <x v="1607"/>
    <x v="6"/>
    <n v="0"/>
    <x v="11"/>
    <n v="0"/>
    <x v="8"/>
    <x v="3"/>
  </r>
  <r>
    <n v="4972"/>
    <x v="65"/>
    <x v="21"/>
    <x v="1"/>
    <x v="1"/>
    <x v="1"/>
    <x v="5"/>
    <x v="1608"/>
    <x v="9"/>
    <n v="0"/>
    <x v="11"/>
    <n v="0"/>
    <x v="8"/>
    <x v="3"/>
  </r>
  <r>
    <n v="746"/>
    <x v="65"/>
    <x v="18"/>
    <x v="1"/>
    <x v="3"/>
    <x v="3"/>
    <x v="0"/>
    <x v="1609"/>
    <x v="0"/>
    <n v="0"/>
    <x v="11"/>
    <n v="0"/>
    <x v="8"/>
    <x v="3"/>
  </r>
  <r>
    <n v="4223"/>
    <x v="65"/>
    <x v="5"/>
    <x v="1"/>
    <x v="2"/>
    <x v="0"/>
    <x v="0"/>
    <x v="1256"/>
    <x v="6"/>
    <n v="0"/>
    <x v="11"/>
    <n v="0"/>
    <x v="8"/>
    <x v="3"/>
  </r>
  <r>
    <n v="3505"/>
    <x v="65"/>
    <x v="27"/>
    <x v="1"/>
    <x v="0"/>
    <x v="0"/>
    <x v="0"/>
    <x v="1610"/>
    <x v="0"/>
    <n v="0"/>
    <x v="11"/>
    <n v="0"/>
    <x v="8"/>
    <x v="3"/>
  </r>
  <r>
    <n v="2018"/>
    <x v="65"/>
    <x v="47"/>
    <x v="0"/>
    <x v="2"/>
    <x v="1"/>
    <x v="3"/>
    <x v="918"/>
    <x v="6"/>
    <n v="0"/>
    <x v="11"/>
    <n v="0"/>
    <x v="8"/>
    <x v="3"/>
  </r>
  <r>
    <n v="4566"/>
    <x v="65"/>
    <x v="43"/>
    <x v="0"/>
    <x v="1"/>
    <x v="0"/>
    <x v="0"/>
    <x v="1236"/>
    <x v="2"/>
    <n v="0"/>
    <x v="11"/>
    <n v="0"/>
    <x v="8"/>
    <x v="3"/>
  </r>
  <r>
    <n v="3147"/>
    <x v="65"/>
    <x v="26"/>
    <x v="1"/>
    <x v="0"/>
    <x v="1"/>
    <x v="1"/>
    <x v="1611"/>
    <x v="1"/>
    <n v="0"/>
    <x v="11"/>
    <n v="0"/>
    <x v="8"/>
    <x v="3"/>
  </r>
  <r>
    <n v="204"/>
    <x v="65"/>
    <x v="8"/>
    <x v="1"/>
    <x v="2"/>
    <x v="0"/>
    <x v="0"/>
    <x v="580"/>
    <x v="5"/>
    <n v="0"/>
    <x v="11"/>
    <n v="0"/>
    <x v="8"/>
    <x v="3"/>
  </r>
  <r>
    <n v="54"/>
    <x v="65"/>
    <x v="7"/>
    <x v="0"/>
    <x v="1"/>
    <x v="1"/>
    <x v="6"/>
    <x v="624"/>
    <x v="0"/>
    <n v="0"/>
    <x v="11"/>
    <n v="0"/>
    <x v="8"/>
    <x v="3"/>
  </r>
  <r>
    <n v="3780"/>
    <x v="65"/>
    <x v="54"/>
    <x v="0"/>
    <x v="1"/>
    <x v="2"/>
    <x v="0"/>
    <x v="1612"/>
    <x v="0"/>
    <n v="0"/>
    <x v="11"/>
    <n v="0"/>
    <x v="8"/>
    <x v="3"/>
  </r>
  <r>
    <n v="723"/>
    <x v="66"/>
    <x v="16"/>
    <x v="1"/>
    <x v="1"/>
    <x v="1"/>
    <x v="6"/>
    <x v="1613"/>
    <x v="2"/>
    <n v="1"/>
    <x v="645"/>
    <n v="1"/>
    <x v="1"/>
    <x v="0"/>
  </r>
  <r>
    <n v="4612"/>
    <x v="66"/>
    <x v="28"/>
    <x v="0"/>
    <x v="2"/>
    <x v="1"/>
    <x v="2"/>
    <x v="1614"/>
    <x v="8"/>
    <n v="1"/>
    <x v="646"/>
    <n v="4"/>
    <x v="14"/>
    <x v="1"/>
  </r>
  <r>
    <n v="4268"/>
    <x v="66"/>
    <x v="21"/>
    <x v="0"/>
    <x v="2"/>
    <x v="0"/>
    <x v="0"/>
    <x v="956"/>
    <x v="8"/>
    <n v="1"/>
    <x v="647"/>
    <n v="4"/>
    <x v="14"/>
    <x v="1"/>
  </r>
  <r>
    <n v="2082"/>
    <x v="66"/>
    <x v="23"/>
    <x v="0"/>
    <x v="2"/>
    <x v="3"/>
    <x v="0"/>
    <x v="792"/>
    <x v="5"/>
    <n v="1"/>
    <x v="648"/>
    <n v="1"/>
    <x v="14"/>
    <x v="1"/>
  </r>
  <r>
    <n v="2061"/>
    <x v="66"/>
    <x v="6"/>
    <x v="1"/>
    <x v="3"/>
    <x v="2"/>
    <x v="0"/>
    <x v="1615"/>
    <x v="6"/>
    <n v="1"/>
    <x v="649"/>
    <n v="5"/>
    <x v="5"/>
    <x v="4"/>
  </r>
  <r>
    <n v="3689"/>
    <x v="66"/>
    <x v="3"/>
    <x v="0"/>
    <x v="0"/>
    <x v="2"/>
    <x v="0"/>
    <x v="1616"/>
    <x v="2"/>
    <n v="1"/>
    <x v="650"/>
    <n v="3"/>
    <x v="3"/>
    <x v="1"/>
  </r>
  <r>
    <n v="2610"/>
    <x v="66"/>
    <x v="3"/>
    <x v="1"/>
    <x v="3"/>
    <x v="0"/>
    <x v="0"/>
    <x v="1617"/>
    <x v="1"/>
    <n v="1"/>
    <x v="651"/>
    <n v="4"/>
    <x v="9"/>
    <x v="0"/>
  </r>
  <r>
    <n v="1726"/>
    <x v="66"/>
    <x v="16"/>
    <x v="1"/>
    <x v="1"/>
    <x v="1"/>
    <x v="5"/>
    <x v="1618"/>
    <x v="6"/>
    <n v="1"/>
    <x v="652"/>
    <n v="2"/>
    <x v="11"/>
    <x v="0"/>
  </r>
  <r>
    <n v="2550"/>
    <x v="66"/>
    <x v="19"/>
    <x v="0"/>
    <x v="0"/>
    <x v="3"/>
    <x v="0"/>
    <x v="1619"/>
    <x v="0"/>
    <n v="1"/>
    <x v="653"/>
    <n v="4"/>
    <x v="11"/>
    <x v="1"/>
  </r>
  <r>
    <n v="84"/>
    <x v="66"/>
    <x v="10"/>
    <x v="1"/>
    <x v="3"/>
    <x v="2"/>
    <x v="0"/>
    <x v="1138"/>
    <x v="2"/>
    <n v="1"/>
    <x v="654"/>
    <n v="5"/>
    <x v="7"/>
    <x v="0"/>
  </r>
  <r>
    <n v="2727"/>
    <x v="66"/>
    <x v="33"/>
    <x v="1"/>
    <x v="0"/>
    <x v="0"/>
    <x v="0"/>
    <x v="1620"/>
    <x v="0"/>
    <n v="1"/>
    <x v="655"/>
    <n v="2"/>
    <x v="11"/>
    <x v="0"/>
  </r>
  <r>
    <n v="3296"/>
    <x v="66"/>
    <x v="34"/>
    <x v="0"/>
    <x v="0"/>
    <x v="0"/>
    <x v="0"/>
    <x v="1621"/>
    <x v="8"/>
    <n v="1"/>
    <x v="656"/>
    <n v="4"/>
    <x v="14"/>
    <x v="0"/>
  </r>
  <r>
    <n v="4381"/>
    <x v="66"/>
    <x v="57"/>
    <x v="0"/>
    <x v="0"/>
    <x v="3"/>
    <x v="0"/>
    <x v="1622"/>
    <x v="2"/>
    <n v="0"/>
    <x v="11"/>
    <n v="0"/>
    <x v="8"/>
    <x v="3"/>
  </r>
  <r>
    <n v="4252"/>
    <x v="66"/>
    <x v="47"/>
    <x v="0"/>
    <x v="2"/>
    <x v="0"/>
    <x v="0"/>
    <x v="1623"/>
    <x v="8"/>
    <n v="0"/>
    <x v="11"/>
    <n v="0"/>
    <x v="8"/>
    <x v="3"/>
  </r>
  <r>
    <n v="2511"/>
    <x v="66"/>
    <x v="24"/>
    <x v="1"/>
    <x v="0"/>
    <x v="1"/>
    <x v="5"/>
    <x v="1624"/>
    <x v="1"/>
    <n v="0"/>
    <x v="11"/>
    <n v="0"/>
    <x v="8"/>
    <x v="3"/>
  </r>
  <r>
    <n v="2247"/>
    <x v="66"/>
    <x v="26"/>
    <x v="1"/>
    <x v="2"/>
    <x v="1"/>
    <x v="2"/>
    <x v="1625"/>
    <x v="6"/>
    <n v="0"/>
    <x v="11"/>
    <n v="0"/>
    <x v="8"/>
    <x v="3"/>
  </r>
  <r>
    <n v="1789"/>
    <x v="66"/>
    <x v="31"/>
    <x v="0"/>
    <x v="2"/>
    <x v="0"/>
    <x v="0"/>
    <x v="1013"/>
    <x v="6"/>
    <n v="0"/>
    <x v="11"/>
    <n v="0"/>
    <x v="8"/>
    <x v="3"/>
  </r>
  <r>
    <n v="3158"/>
    <x v="66"/>
    <x v="22"/>
    <x v="0"/>
    <x v="3"/>
    <x v="0"/>
    <x v="0"/>
    <x v="1626"/>
    <x v="2"/>
    <n v="0"/>
    <x v="11"/>
    <n v="0"/>
    <x v="8"/>
    <x v="3"/>
  </r>
  <r>
    <n v="1712"/>
    <x v="66"/>
    <x v="20"/>
    <x v="0"/>
    <x v="0"/>
    <x v="0"/>
    <x v="0"/>
    <x v="207"/>
    <x v="8"/>
    <n v="0"/>
    <x v="11"/>
    <n v="0"/>
    <x v="8"/>
    <x v="3"/>
  </r>
  <r>
    <n v="1259"/>
    <x v="66"/>
    <x v="10"/>
    <x v="1"/>
    <x v="2"/>
    <x v="1"/>
    <x v="4"/>
    <x v="1627"/>
    <x v="5"/>
    <n v="0"/>
    <x v="11"/>
    <n v="0"/>
    <x v="8"/>
    <x v="3"/>
  </r>
  <r>
    <n v="3510"/>
    <x v="66"/>
    <x v="13"/>
    <x v="1"/>
    <x v="0"/>
    <x v="1"/>
    <x v="4"/>
    <x v="1628"/>
    <x v="2"/>
    <n v="0"/>
    <x v="11"/>
    <n v="0"/>
    <x v="8"/>
    <x v="3"/>
  </r>
  <r>
    <n v="1930"/>
    <x v="66"/>
    <x v="34"/>
    <x v="0"/>
    <x v="1"/>
    <x v="0"/>
    <x v="0"/>
    <x v="1284"/>
    <x v="2"/>
    <n v="0"/>
    <x v="11"/>
    <n v="0"/>
    <x v="8"/>
    <x v="3"/>
  </r>
  <r>
    <n v="3123"/>
    <x v="66"/>
    <x v="34"/>
    <x v="0"/>
    <x v="1"/>
    <x v="0"/>
    <x v="0"/>
    <x v="71"/>
    <x v="6"/>
    <n v="0"/>
    <x v="11"/>
    <n v="0"/>
    <x v="8"/>
    <x v="3"/>
  </r>
  <r>
    <n v="1039"/>
    <x v="66"/>
    <x v="39"/>
    <x v="1"/>
    <x v="2"/>
    <x v="1"/>
    <x v="2"/>
    <x v="1436"/>
    <x v="2"/>
    <n v="0"/>
    <x v="11"/>
    <n v="0"/>
    <x v="8"/>
    <x v="3"/>
  </r>
  <r>
    <n v="2009"/>
    <x v="66"/>
    <x v="11"/>
    <x v="0"/>
    <x v="2"/>
    <x v="0"/>
    <x v="0"/>
    <x v="1629"/>
    <x v="6"/>
    <n v="0"/>
    <x v="11"/>
    <n v="0"/>
    <x v="8"/>
    <x v="3"/>
  </r>
  <r>
    <n v="3540"/>
    <x v="66"/>
    <x v="34"/>
    <x v="1"/>
    <x v="3"/>
    <x v="1"/>
    <x v="2"/>
    <x v="1630"/>
    <x v="0"/>
    <n v="0"/>
    <x v="11"/>
    <n v="0"/>
    <x v="8"/>
    <x v="3"/>
  </r>
  <r>
    <n v="860"/>
    <x v="66"/>
    <x v="7"/>
    <x v="1"/>
    <x v="2"/>
    <x v="1"/>
    <x v="4"/>
    <x v="1631"/>
    <x v="0"/>
    <n v="0"/>
    <x v="11"/>
    <n v="0"/>
    <x v="8"/>
    <x v="3"/>
  </r>
  <r>
    <n v="2358"/>
    <x v="66"/>
    <x v="0"/>
    <x v="0"/>
    <x v="2"/>
    <x v="0"/>
    <x v="0"/>
    <x v="487"/>
    <x v="5"/>
    <n v="0"/>
    <x v="11"/>
    <n v="0"/>
    <x v="8"/>
    <x v="3"/>
  </r>
  <r>
    <n v="3727"/>
    <x v="66"/>
    <x v="26"/>
    <x v="0"/>
    <x v="2"/>
    <x v="0"/>
    <x v="0"/>
    <x v="582"/>
    <x v="2"/>
    <n v="0"/>
    <x v="11"/>
    <n v="0"/>
    <x v="8"/>
    <x v="3"/>
  </r>
  <r>
    <n v="2760"/>
    <x v="66"/>
    <x v="31"/>
    <x v="1"/>
    <x v="2"/>
    <x v="0"/>
    <x v="0"/>
    <x v="1291"/>
    <x v="6"/>
    <n v="0"/>
    <x v="11"/>
    <n v="0"/>
    <x v="8"/>
    <x v="3"/>
  </r>
  <r>
    <n v="705"/>
    <x v="66"/>
    <x v="8"/>
    <x v="1"/>
    <x v="3"/>
    <x v="1"/>
    <x v="4"/>
    <x v="1632"/>
    <x v="6"/>
    <n v="0"/>
    <x v="11"/>
    <n v="0"/>
    <x v="8"/>
    <x v="3"/>
  </r>
  <r>
    <n v="3322"/>
    <x v="66"/>
    <x v="45"/>
    <x v="1"/>
    <x v="0"/>
    <x v="1"/>
    <x v="4"/>
    <x v="1633"/>
    <x v="8"/>
    <n v="0"/>
    <x v="11"/>
    <n v="0"/>
    <x v="8"/>
    <x v="3"/>
  </r>
  <r>
    <n v="2012"/>
    <x v="66"/>
    <x v="27"/>
    <x v="1"/>
    <x v="0"/>
    <x v="1"/>
    <x v="3"/>
    <x v="1586"/>
    <x v="8"/>
    <n v="0"/>
    <x v="11"/>
    <n v="0"/>
    <x v="8"/>
    <x v="3"/>
  </r>
  <r>
    <n v="33"/>
    <x v="66"/>
    <x v="6"/>
    <x v="1"/>
    <x v="2"/>
    <x v="0"/>
    <x v="0"/>
    <x v="157"/>
    <x v="5"/>
    <n v="0"/>
    <x v="11"/>
    <n v="0"/>
    <x v="8"/>
    <x v="3"/>
  </r>
  <r>
    <n v="3684"/>
    <x v="67"/>
    <x v="43"/>
    <x v="0"/>
    <x v="2"/>
    <x v="0"/>
    <x v="0"/>
    <x v="1634"/>
    <x v="1"/>
    <n v="1"/>
    <x v="657"/>
    <n v="3"/>
    <x v="15"/>
    <x v="1"/>
  </r>
  <r>
    <n v="216"/>
    <x v="67"/>
    <x v="10"/>
    <x v="1"/>
    <x v="0"/>
    <x v="0"/>
    <x v="0"/>
    <x v="1635"/>
    <x v="0"/>
    <n v="1"/>
    <x v="658"/>
    <n v="2"/>
    <x v="11"/>
    <x v="2"/>
  </r>
  <r>
    <n v="4874"/>
    <x v="67"/>
    <x v="47"/>
    <x v="1"/>
    <x v="1"/>
    <x v="3"/>
    <x v="0"/>
    <x v="1636"/>
    <x v="8"/>
    <n v="1"/>
    <x v="142"/>
    <n v="1"/>
    <x v="9"/>
    <x v="0"/>
  </r>
  <r>
    <n v="3671"/>
    <x v="67"/>
    <x v="16"/>
    <x v="0"/>
    <x v="1"/>
    <x v="2"/>
    <x v="0"/>
    <x v="312"/>
    <x v="6"/>
    <n v="1"/>
    <x v="659"/>
    <n v="3"/>
    <x v="13"/>
    <x v="1"/>
  </r>
  <r>
    <n v="1562"/>
    <x v="67"/>
    <x v="8"/>
    <x v="1"/>
    <x v="2"/>
    <x v="3"/>
    <x v="0"/>
    <x v="1637"/>
    <x v="2"/>
    <n v="1"/>
    <x v="660"/>
    <n v="2"/>
    <x v="3"/>
    <x v="0"/>
  </r>
  <r>
    <n v="2269"/>
    <x v="67"/>
    <x v="17"/>
    <x v="0"/>
    <x v="1"/>
    <x v="1"/>
    <x v="2"/>
    <x v="1638"/>
    <x v="5"/>
    <n v="1"/>
    <x v="661"/>
    <n v="4"/>
    <x v="4"/>
    <x v="2"/>
  </r>
  <r>
    <n v="664"/>
    <x v="67"/>
    <x v="22"/>
    <x v="1"/>
    <x v="1"/>
    <x v="2"/>
    <x v="0"/>
    <x v="1639"/>
    <x v="2"/>
    <n v="1"/>
    <x v="662"/>
    <n v="2"/>
    <x v="5"/>
    <x v="0"/>
  </r>
  <r>
    <n v="1072"/>
    <x v="67"/>
    <x v="22"/>
    <x v="1"/>
    <x v="2"/>
    <x v="0"/>
    <x v="0"/>
    <x v="1640"/>
    <x v="1"/>
    <n v="0"/>
    <x v="11"/>
    <n v="0"/>
    <x v="8"/>
    <x v="3"/>
  </r>
  <r>
    <n v="4780"/>
    <x v="67"/>
    <x v="25"/>
    <x v="0"/>
    <x v="1"/>
    <x v="3"/>
    <x v="0"/>
    <x v="1641"/>
    <x v="8"/>
    <n v="0"/>
    <x v="11"/>
    <n v="0"/>
    <x v="8"/>
    <x v="3"/>
  </r>
  <r>
    <n v="159"/>
    <x v="67"/>
    <x v="8"/>
    <x v="1"/>
    <x v="0"/>
    <x v="0"/>
    <x v="0"/>
    <x v="1360"/>
    <x v="8"/>
    <n v="0"/>
    <x v="11"/>
    <n v="0"/>
    <x v="8"/>
    <x v="3"/>
  </r>
  <r>
    <n v="3694"/>
    <x v="67"/>
    <x v="5"/>
    <x v="1"/>
    <x v="3"/>
    <x v="1"/>
    <x v="2"/>
    <x v="1642"/>
    <x v="8"/>
    <n v="0"/>
    <x v="11"/>
    <n v="0"/>
    <x v="8"/>
    <x v="3"/>
  </r>
  <r>
    <n v="1391"/>
    <x v="67"/>
    <x v="24"/>
    <x v="1"/>
    <x v="3"/>
    <x v="2"/>
    <x v="0"/>
    <x v="1643"/>
    <x v="2"/>
    <n v="0"/>
    <x v="11"/>
    <n v="0"/>
    <x v="8"/>
    <x v="3"/>
  </r>
  <r>
    <n v="4773"/>
    <x v="67"/>
    <x v="50"/>
    <x v="1"/>
    <x v="3"/>
    <x v="1"/>
    <x v="2"/>
    <x v="1644"/>
    <x v="6"/>
    <n v="0"/>
    <x v="11"/>
    <n v="0"/>
    <x v="8"/>
    <x v="3"/>
  </r>
  <r>
    <n v="2077"/>
    <x v="67"/>
    <x v="31"/>
    <x v="0"/>
    <x v="3"/>
    <x v="1"/>
    <x v="4"/>
    <x v="1645"/>
    <x v="1"/>
    <n v="0"/>
    <x v="11"/>
    <n v="0"/>
    <x v="8"/>
    <x v="3"/>
  </r>
  <r>
    <n v="1491"/>
    <x v="67"/>
    <x v="24"/>
    <x v="0"/>
    <x v="1"/>
    <x v="0"/>
    <x v="0"/>
    <x v="365"/>
    <x v="4"/>
    <n v="0"/>
    <x v="11"/>
    <n v="0"/>
    <x v="8"/>
    <x v="3"/>
  </r>
  <r>
    <n v="3641"/>
    <x v="67"/>
    <x v="26"/>
    <x v="1"/>
    <x v="2"/>
    <x v="1"/>
    <x v="4"/>
    <x v="559"/>
    <x v="2"/>
    <n v="0"/>
    <x v="11"/>
    <n v="0"/>
    <x v="8"/>
    <x v="3"/>
  </r>
  <r>
    <n v="1370"/>
    <x v="67"/>
    <x v="20"/>
    <x v="1"/>
    <x v="0"/>
    <x v="2"/>
    <x v="0"/>
    <x v="1646"/>
    <x v="6"/>
    <n v="0"/>
    <x v="11"/>
    <n v="0"/>
    <x v="8"/>
    <x v="3"/>
  </r>
  <r>
    <n v="4214"/>
    <x v="67"/>
    <x v="45"/>
    <x v="1"/>
    <x v="2"/>
    <x v="1"/>
    <x v="7"/>
    <x v="1647"/>
    <x v="6"/>
    <n v="0"/>
    <x v="11"/>
    <n v="0"/>
    <x v="8"/>
    <x v="3"/>
  </r>
  <r>
    <n v="2982"/>
    <x v="67"/>
    <x v="16"/>
    <x v="0"/>
    <x v="0"/>
    <x v="0"/>
    <x v="0"/>
    <x v="1112"/>
    <x v="5"/>
    <n v="0"/>
    <x v="11"/>
    <n v="0"/>
    <x v="8"/>
    <x v="3"/>
  </r>
  <r>
    <n v="1636"/>
    <x v="67"/>
    <x v="24"/>
    <x v="1"/>
    <x v="3"/>
    <x v="0"/>
    <x v="0"/>
    <x v="1648"/>
    <x v="1"/>
    <n v="0"/>
    <x v="11"/>
    <n v="0"/>
    <x v="8"/>
    <x v="3"/>
  </r>
  <r>
    <n v="3236"/>
    <x v="67"/>
    <x v="6"/>
    <x v="1"/>
    <x v="1"/>
    <x v="0"/>
    <x v="0"/>
    <x v="1649"/>
    <x v="9"/>
    <n v="0"/>
    <x v="11"/>
    <n v="0"/>
    <x v="8"/>
    <x v="3"/>
  </r>
  <r>
    <n v="1609"/>
    <x v="67"/>
    <x v="18"/>
    <x v="0"/>
    <x v="2"/>
    <x v="1"/>
    <x v="6"/>
    <x v="555"/>
    <x v="8"/>
    <n v="0"/>
    <x v="11"/>
    <n v="0"/>
    <x v="8"/>
    <x v="3"/>
  </r>
  <r>
    <n v="4427"/>
    <x v="67"/>
    <x v="35"/>
    <x v="0"/>
    <x v="0"/>
    <x v="2"/>
    <x v="0"/>
    <x v="1650"/>
    <x v="5"/>
    <n v="0"/>
    <x v="11"/>
    <n v="0"/>
    <x v="8"/>
    <x v="3"/>
  </r>
  <r>
    <n v="3950"/>
    <x v="67"/>
    <x v="50"/>
    <x v="1"/>
    <x v="3"/>
    <x v="0"/>
    <x v="0"/>
    <x v="1168"/>
    <x v="0"/>
    <n v="0"/>
    <x v="11"/>
    <n v="0"/>
    <x v="8"/>
    <x v="3"/>
  </r>
  <r>
    <n v="1067"/>
    <x v="67"/>
    <x v="2"/>
    <x v="1"/>
    <x v="2"/>
    <x v="2"/>
    <x v="0"/>
    <x v="1651"/>
    <x v="5"/>
    <n v="0"/>
    <x v="11"/>
    <n v="0"/>
    <x v="8"/>
    <x v="3"/>
  </r>
  <r>
    <n v="888"/>
    <x v="67"/>
    <x v="18"/>
    <x v="0"/>
    <x v="3"/>
    <x v="1"/>
    <x v="7"/>
    <x v="1652"/>
    <x v="8"/>
    <n v="0"/>
    <x v="11"/>
    <n v="0"/>
    <x v="8"/>
    <x v="3"/>
  </r>
  <r>
    <n v="3259"/>
    <x v="68"/>
    <x v="11"/>
    <x v="1"/>
    <x v="2"/>
    <x v="1"/>
    <x v="5"/>
    <x v="1653"/>
    <x v="2"/>
    <n v="1"/>
    <x v="663"/>
    <n v="2"/>
    <x v="10"/>
    <x v="1"/>
  </r>
  <r>
    <n v="1461"/>
    <x v="68"/>
    <x v="19"/>
    <x v="0"/>
    <x v="0"/>
    <x v="0"/>
    <x v="0"/>
    <x v="1654"/>
    <x v="1"/>
    <n v="1"/>
    <x v="179"/>
    <n v="2"/>
    <x v="6"/>
    <x v="2"/>
  </r>
  <r>
    <n v="4587"/>
    <x v="68"/>
    <x v="48"/>
    <x v="0"/>
    <x v="0"/>
    <x v="1"/>
    <x v="5"/>
    <x v="1655"/>
    <x v="2"/>
    <n v="1"/>
    <x v="664"/>
    <n v="2"/>
    <x v="4"/>
    <x v="2"/>
  </r>
  <r>
    <n v="4280"/>
    <x v="68"/>
    <x v="48"/>
    <x v="1"/>
    <x v="0"/>
    <x v="1"/>
    <x v="2"/>
    <x v="1656"/>
    <x v="0"/>
    <n v="1"/>
    <x v="665"/>
    <n v="3"/>
    <x v="3"/>
    <x v="1"/>
  </r>
  <r>
    <n v="3235"/>
    <x v="68"/>
    <x v="3"/>
    <x v="1"/>
    <x v="2"/>
    <x v="0"/>
    <x v="0"/>
    <x v="531"/>
    <x v="0"/>
    <n v="1"/>
    <x v="666"/>
    <n v="5"/>
    <x v="7"/>
    <x v="0"/>
  </r>
  <r>
    <n v="3293"/>
    <x v="68"/>
    <x v="0"/>
    <x v="1"/>
    <x v="2"/>
    <x v="1"/>
    <x v="2"/>
    <x v="1657"/>
    <x v="6"/>
    <n v="1"/>
    <x v="667"/>
    <n v="4"/>
    <x v="4"/>
    <x v="1"/>
  </r>
  <r>
    <n v="4749"/>
    <x v="68"/>
    <x v="1"/>
    <x v="0"/>
    <x v="1"/>
    <x v="1"/>
    <x v="1"/>
    <x v="1658"/>
    <x v="6"/>
    <n v="1"/>
    <x v="668"/>
    <n v="3"/>
    <x v="3"/>
    <x v="0"/>
  </r>
  <r>
    <n v="3944"/>
    <x v="68"/>
    <x v="1"/>
    <x v="0"/>
    <x v="1"/>
    <x v="0"/>
    <x v="0"/>
    <x v="1659"/>
    <x v="1"/>
    <n v="0"/>
    <x v="11"/>
    <n v="0"/>
    <x v="8"/>
    <x v="3"/>
  </r>
  <r>
    <n v="1582"/>
    <x v="68"/>
    <x v="4"/>
    <x v="1"/>
    <x v="1"/>
    <x v="2"/>
    <x v="0"/>
    <x v="1660"/>
    <x v="8"/>
    <n v="0"/>
    <x v="11"/>
    <n v="0"/>
    <x v="8"/>
    <x v="3"/>
  </r>
  <r>
    <n v="4686"/>
    <x v="68"/>
    <x v="48"/>
    <x v="0"/>
    <x v="1"/>
    <x v="1"/>
    <x v="2"/>
    <x v="1661"/>
    <x v="2"/>
    <n v="0"/>
    <x v="11"/>
    <n v="0"/>
    <x v="8"/>
    <x v="3"/>
  </r>
  <r>
    <n v="3200"/>
    <x v="68"/>
    <x v="33"/>
    <x v="1"/>
    <x v="2"/>
    <x v="0"/>
    <x v="0"/>
    <x v="1662"/>
    <x v="11"/>
    <n v="0"/>
    <x v="11"/>
    <n v="0"/>
    <x v="8"/>
    <x v="3"/>
  </r>
  <r>
    <n v="4426"/>
    <x v="68"/>
    <x v="32"/>
    <x v="0"/>
    <x v="1"/>
    <x v="3"/>
    <x v="0"/>
    <x v="1663"/>
    <x v="8"/>
    <n v="0"/>
    <x v="11"/>
    <n v="0"/>
    <x v="8"/>
    <x v="3"/>
  </r>
  <r>
    <n v="228"/>
    <x v="68"/>
    <x v="2"/>
    <x v="1"/>
    <x v="1"/>
    <x v="1"/>
    <x v="3"/>
    <x v="1664"/>
    <x v="6"/>
    <n v="0"/>
    <x v="11"/>
    <n v="0"/>
    <x v="8"/>
    <x v="3"/>
  </r>
  <r>
    <n v="407"/>
    <x v="68"/>
    <x v="18"/>
    <x v="0"/>
    <x v="2"/>
    <x v="1"/>
    <x v="1"/>
    <x v="1665"/>
    <x v="5"/>
    <n v="0"/>
    <x v="11"/>
    <n v="0"/>
    <x v="8"/>
    <x v="3"/>
  </r>
  <r>
    <n v="964"/>
    <x v="68"/>
    <x v="0"/>
    <x v="1"/>
    <x v="2"/>
    <x v="3"/>
    <x v="0"/>
    <x v="401"/>
    <x v="6"/>
    <n v="0"/>
    <x v="11"/>
    <n v="0"/>
    <x v="8"/>
    <x v="3"/>
  </r>
  <r>
    <n v="4846"/>
    <x v="68"/>
    <x v="44"/>
    <x v="2"/>
    <x v="1"/>
    <x v="0"/>
    <x v="0"/>
    <x v="771"/>
    <x v="1"/>
    <n v="0"/>
    <x v="11"/>
    <n v="0"/>
    <x v="8"/>
    <x v="3"/>
  </r>
  <r>
    <n v="1382"/>
    <x v="68"/>
    <x v="24"/>
    <x v="1"/>
    <x v="2"/>
    <x v="2"/>
    <x v="0"/>
    <x v="1354"/>
    <x v="0"/>
    <n v="0"/>
    <x v="11"/>
    <n v="0"/>
    <x v="8"/>
    <x v="3"/>
  </r>
  <r>
    <n v="3436"/>
    <x v="68"/>
    <x v="41"/>
    <x v="1"/>
    <x v="2"/>
    <x v="0"/>
    <x v="0"/>
    <x v="1666"/>
    <x v="0"/>
    <n v="0"/>
    <x v="11"/>
    <n v="0"/>
    <x v="8"/>
    <x v="3"/>
  </r>
  <r>
    <n v="567"/>
    <x v="68"/>
    <x v="19"/>
    <x v="1"/>
    <x v="0"/>
    <x v="3"/>
    <x v="0"/>
    <x v="1667"/>
    <x v="2"/>
    <n v="0"/>
    <x v="11"/>
    <n v="0"/>
    <x v="8"/>
    <x v="3"/>
  </r>
  <r>
    <n v="1267"/>
    <x v="68"/>
    <x v="18"/>
    <x v="1"/>
    <x v="0"/>
    <x v="0"/>
    <x v="0"/>
    <x v="1668"/>
    <x v="1"/>
    <n v="0"/>
    <x v="11"/>
    <n v="0"/>
    <x v="8"/>
    <x v="3"/>
  </r>
  <r>
    <n v="2436"/>
    <x v="68"/>
    <x v="11"/>
    <x v="1"/>
    <x v="0"/>
    <x v="0"/>
    <x v="0"/>
    <x v="1669"/>
    <x v="1"/>
    <n v="0"/>
    <x v="11"/>
    <n v="0"/>
    <x v="8"/>
    <x v="3"/>
  </r>
  <r>
    <n v="3680"/>
    <x v="68"/>
    <x v="20"/>
    <x v="1"/>
    <x v="1"/>
    <x v="0"/>
    <x v="0"/>
    <x v="97"/>
    <x v="8"/>
    <n v="0"/>
    <x v="11"/>
    <n v="0"/>
    <x v="8"/>
    <x v="3"/>
  </r>
  <r>
    <n v="4012"/>
    <x v="68"/>
    <x v="11"/>
    <x v="1"/>
    <x v="0"/>
    <x v="2"/>
    <x v="0"/>
    <x v="1564"/>
    <x v="8"/>
    <n v="0"/>
    <x v="11"/>
    <n v="0"/>
    <x v="8"/>
    <x v="3"/>
  </r>
  <r>
    <n v="4824"/>
    <x v="68"/>
    <x v="14"/>
    <x v="0"/>
    <x v="2"/>
    <x v="0"/>
    <x v="0"/>
    <x v="1670"/>
    <x v="2"/>
    <n v="0"/>
    <x v="11"/>
    <n v="0"/>
    <x v="8"/>
    <x v="3"/>
  </r>
  <r>
    <n v="2930"/>
    <x v="68"/>
    <x v="41"/>
    <x v="1"/>
    <x v="0"/>
    <x v="2"/>
    <x v="0"/>
    <x v="1671"/>
    <x v="0"/>
    <n v="0"/>
    <x v="11"/>
    <n v="0"/>
    <x v="8"/>
    <x v="3"/>
  </r>
  <r>
    <n v="737"/>
    <x v="68"/>
    <x v="16"/>
    <x v="0"/>
    <x v="2"/>
    <x v="0"/>
    <x v="0"/>
    <x v="1672"/>
    <x v="8"/>
    <n v="0"/>
    <x v="11"/>
    <n v="0"/>
    <x v="8"/>
    <x v="3"/>
  </r>
  <r>
    <n v="2841"/>
    <x v="68"/>
    <x v="26"/>
    <x v="1"/>
    <x v="2"/>
    <x v="3"/>
    <x v="0"/>
    <x v="1673"/>
    <x v="2"/>
    <n v="0"/>
    <x v="11"/>
    <n v="0"/>
    <x v="8"/>
    <x v="3"/>
  </r>
  <r>
    <n v="3962"/>
    <x v="68"/>
    <x v="33"/>
    <x v="0"/>
    <x v="1"/>
    <x v="0"/>
    <x v="0"/>
    <x v="1674"/>
    <x v="6"/>
    <n v="0"/>
    <x v="11"/>
    <n v="0"/>
    <x v="8"/>
    <x v="3"/>
  </r>
  <r>
    <n v="1919"/>
    <x v="68"/>
    <x v="14"/>
    <x v="0"/>
    <x v="2"/>
    <x v="1"/>
    <x v="3"/>
    <x v="1675"/>
    <x v="5"/>
    <n v="0"/>
    <x v="11"/>
    <n v="0"/>
    <x v="8"/>
    <x v="3"/>
  </r>
  <r>
    <n v="4160"/>
    <x v="69"/>
    <x v="17"/>
    <x v="0"/>
    <x v="1"/>
    <x v="0"/>
    <x v="0"/>
    <x v="1676"/>
    <x v="0"/>
    <n v="1"/>
    <x v="669"/>
    <n v="2"/>
    <x v="6"/>
    <x v="0"/>
  </r>
  <r>
    <n v="3686"/>
    <x v="69"/>
    <x v="13"/>
    <x v="1"/>
    <x v="1"/>
    <x v="0"/>
    <x v="0"/>
    <x v="1677"/>
    <x v="8"/>
    <n v="1"/>
    <x v="670"/>
    <n v="3"/>
    <x v="7"/>
    <x v="0"/>
  </r>
  <r>
    <n v="2032"/>
    <x v="69"/>
    <x v="8"/>
    <x v="1"/>
    <x v="3"/>
    <x v="0"/>
    <x v="0"/>
    <x v="287"/>
    <x v="2"/>
    <n v="1"/>
    <x v="671"/>
    <n v="2"/>
    <x v="11"/>
    <x v="0"/>
  </r>
  <r>
    <n v="4293"/>
    <x v="69"/>
    <x v="50"/>
    <x v="1"/>
    <x v="0"/>
    <x v="0"/>
    <x v="0"/>
    <x v="1678"/>
    <x v="5"/>
    <n v="1"/>
    <x v="672"/>
    <n v="4"/>
    <x v="7"/>
    <x v="0"/>
  </r>
  <r>
    <n v="3848"/>
    <x v="69"/>
    <x v="50"/>
    <x v="1"/>
    <x v="3"/>
    <x v="0"/>
    <x v="0"/>
    <x v="1679"/>
    <x v="11"/>
    <n v="1"/>
    <x v="673"/>
    <n v="3"/>
    <x v="12"/>
    <x v="0"/>
  </r>
  <r>
    <n v="3778"/>
    <x v="69"/>
    <x v="33"/>
    <x v="0"/>
    <x v="1"/>
    <x v="3"/>
    <x v="0"/>
    <x v="1680"/>
    <x v="0"/>
    <n v="1"/>
    <x v="674"/>
    <n v="7"/>
    <x v="10"/>
    <x v="0"/>
  </r>
  <r>
    <n v="94"/>
    <x v="69"/>
    <x v="0"/>
    <x v="0"/>
    <x v="0"/>
    <x v="0"/>
    <x v="0"/>
    <x v="1681"/>
    <x v="10"/>
    <n v="1"/>
    <x v="675"/>
    <n v="3"/>
    <x v="9"/>
    <x v="1"/>
  </r>
  <r>
    <n v="1623"/>
    <x v="69"/>
    <x v="7"/>
    <x v="0"/>
    <x v="0"/>
    <x v="0"/>
    <x v="0"/>
    <x v="1682"/>
    <x v="1"/>
    <n v="1"/>
    <x v="676"/>
    <n v="2"/>
    <x v="7"/>
    <x v="0"/>
  </r>
  <r>
    <n v="1144"/>
    <x v="69"/>
    <x v="34"/>
    <x v="0"/>
    <x v="2"/>
    <x v="0"/>
    <x v="0"/>
    <x v="1683"/>
    <x v="6"/>
    <n v="1"/>
    <x v="677"/>
    <n v="3"/>
    <x v="9"/>
    <x v="0"/>
  </r>
  <r>
    <n v="3550"/>
    <x v="69"/>
    <x v="16"/>
    <x v="0"/>
    <x v="1"/>
    <x v="3"/>
    <x v="0"/>
    <x v="1684"/>
    <x v="2"/>
    <n v="0"/>
    <x v="11"/>
    <n v="0"/>
    <x v="8"/>
    <x v="3"/>
  </r>
  <r>
    <n v="3427"/>
    <x v="69"/>
    <x v="7"/>
    <x v="0"/>
    <x v="3"/>
    <x v="1"/>
    <x v="6"/>
    <x v="115"/>
    <x v="2"/>
    <n v="0"/>
    <x v="11"/>
    <n v="0"/>
    <x v="8"/>
    <x v="3"/>
  </r>
  <r>
    <n v="2042"/>
    <x v="69"/>
    <x v="33"/>
    <x v="0"/>
    <x v="1"/>
    <x v="2"/>
    <x v="0"/>
    <x v="1278"/>
    <x v="8"/>
    <n v="0"/>
    <x v="11"/>
    <n v="0"/>
    <x v="8"/>
    <x v="3"/>
  </r>
  <r>
    <n v="4048"/>
    <x v="69"/>
    <x v="42"/>
    <x v="0"/>
    <x v="0"/>
    <x v="3"/>
    <x v="0"/>
    <x v="1685"/>
    <x v="6"/>
    <n v="0"/>
    <x v="11"/>
    <n v="0"/>
    <x v="8"/>
    <x v="3"/>
  </r>
  <r>
    <n v="1932"/>
    <x v="69"/>
    <x v="19"/>
    <x v="0"/>
    <x v="0"/>
    <x v="0"/>
    <x v="0"/>
    <x v="1686"/>
    <x v="11"/>
    <n v="0"/>
    <x v="11"/>
    <n v="0"/>
    <x v="8"/>
    <x v="3"/>
  </r>
  <r>
    <n v="2968"/>
    <x v="69"/>
    <x v="19"/>
    <x v="0"/>
    <x v="2"/>
    <x v="0"/>
    <x v="0"/>
    <x v="1687"/>
    <x v="5"/>
    <n v="0"/>
    <x v="11"/>
    <n v="0"/>
    <x v="8"/>
    <x v="3"/>
  </r>
  <r>
    <n v="4490"/>
    <x v="69"/>
    <x v="30"/>
    <x v="0"/>
    <x v="2"/>
    <x v="3"/>
    <x v="0"/>
    <x v="290"/>
    <x v="0"/>
    <n v="0"/>
    <x v="11"/>
    <n v="0"/>
    <x v="8"/>
    <x v="3"/>
  </r>
  <r>
    <n v="2815"/>
    <x v="69"/>
    <x v="33"/>
    <x v="0"/>
    <x v="0"/>
    <x v="1"/>
    <x v="3"/>
    <x v="757"/>
    <x v="2"/>
    <n v="0"/>
    <x v="11"/>
    <n v="0"/>
    <x v="8"/>
    <x v="3"/>
  </r>
  <r>
    <n v="4384"/>
    <x v="69"/>
    <x v="9"/>
    <x v="0"/>
    <x v="3"/>
    <x v="1"/>
    <x v="2"/>
    <x v="1688"/>
    <x v="5"/>
    <n v="0"/>
    <x v="11"/>
    <n v="0"/>
    <x v="8"/>
    <x v="3"/>
  </r>
  <r>
    <n v="859"/>
    <x v="69"/>
    <x v="19"/>
    <x v="0"/>
    <x v="3"/>
    <x v="2"/>
    <x v="0"/>
    <x v="1689"/>
    <x v="1"/>
    <n v="0"/>
    <x v="11"/>
    <n v="0"/>
    <x v="8"/>
    <x v="3"/>
  </r>
  <r>
    <n v="4111"/>
    <x v="69"/>
    <x v="45"/>
    <x v="1"/>
    <x v="0"/>
    <x v="1"/>
    <x v="5"/>
    <x v="1690"/>
    <x v="4"/>
    <n v="0"/>
    <x v="11"/>
    <n v="0"/>
    <x v="8"/>
    <x v="3"/>
  </r>
  <r>
    <n v="1880"/>
    <x v="69"/>
    <x v="34"/>
    <x v="1"/>
    <x v="2"/>
    <x v="1"/>
    <x v="1"/>
    <x v="1691"/>
    <x v="4"/>
    <n v="0"/>
    <x v="11"/>
    <n v="0"/>
    <x v="8"/>
    <x v="3"/>
  </r>
  <r>
    <n v="798"/>
    <x v="69"/>
    <x v="16"/>
    <x v="1"/>
    <x v="0"/>
    <x v="3"/>
    <x v="0"/>
    <x v="1692"/>
    <x v="5"/>
    <n v="0"/>
    <x v="11"/>
    <n v="0"/>
    <x v="8"/>
    <x v="3"/>
  </r>
  <r>
    <n v="4556"/>
    <x v="69"/>
    <x v="51"/>
    <x v="0"/>
    <x v="0"/>
    <x v="0"/>
    <x v="0"/>
    <x v="1693"/>
    <x v="5"/>
    <n v="0"/>
    <x v="11"/>
    <n v="0"/>
    <x v="8"/>
    <x v="3"/>
  </r>
  <r>
    <n v="2849"/>
    <x v="69"/>
    <x v="31"/>
    <x v="1"/>
    <x v="2"/>
    <x v="1"/>
    <x v="1"/>
    <x v="1115"/>
    <x v="2"/>
    <n v="0"/>
    <x v="11"/>
    <n v="0"/>
    <x v="8"/>
    <x v="3"/>
  </r>
  <r>
    <n v="3416"/>
    <x v="69"/>
    <x v="23"/>
    <x v="1"/>
    <x v="2"/>
    <x v="1"/>
    <x v="7"/>
    <x v="1694"/>
    <x v="8"/>
    <n v="0"/>
    <x v="11"/>
    <n v="0"/>
    <x v="8"/>
    <x v="3"/>
  </r>
  <r>
    <n v="969"/>
    <x v="69"/>
    <x v="4"/>
    <x v="0"/>
    <x v="0"/>
    <x v="0"/>
    <x v="0"/>
    <x v="1695"/>
    <x v="5"/>
    <n v="0"/>
    <x v="11"/>
    <n v="0"/>
    <x v="8"/>
    <x v="3"/>
  </r>
  <r>
    <n v="4194"/>
    <x v="70"/>
    <x v="30"/>
    <x v="0"/>
    <x v="0"/>
    <x v="0"/>
    <x v="0"/>
    <x v="1696"/>
    <x v="5"/>
    <n v="1"/>
    <x v="678"/>
    <n v="2"/>
    <x v="3"/>
    <x v="2"/>
  </r>
  <r>
    <n v="4590"/>
    <x v="70"/>
    <x v="11"/>
    <x v="1"/>
    <x v="3"/>
    <x v="0"/>
    <x v="0"/>
    <x v="1697"/>
    <x v="8"/>
    <n v="1"/>
    <x v="679"/>
    <n v="2"/>
    <x v="10"/>
    <x v="0"/>
  </r>
  <r>
    <n v="1875"/>
    <x v="70"/>
    <x v="19"/>
    <x v="2"/>
    <x v="2"/>
    <x v="0"/>
    <x v="0"/>
    <x v="1698"/>
    <x v="8"/>
    <n v="1"/>
    <x v="680"/>
    <n v="2"/>
    <x v="5"/>
    <x v="1"/>
  </r>
  <r>
    <n v="4989"/>
    <x v="70"/>
    <x v="45"/>
    <x v="1"/>
    <x v="2"/>
    <x v="0"/>
    <x v="0"/>
    <x v="1699"/>
    <x v="0"/>
    <n v="1"/>
    <x v="681"/>
    <n v="2"/>
    <x v="14"/>
    <x v="0"/>
  </r>
  <r>
    <n v="3917"/>
    <x v="70"/>
    <x v="2"/>
    <x v="0"/>
    <x v="3"/>
    <x v="0"/>
    <x v="0"/>
    <x v="1700"/>
    <x v="8"/>
    <n v="1"/>
    <x v="334"/>
    <n v="5"/>
    <x v="7"/>
    <x v="0"/>
  </r>
  <r>
    <n v="4226"/>
    <x v="70"/>
    <x v="15"/>
    <x v="0"/>
    <x v="1"/>
    <x v="2"/>
    <x v="0"/>
    <x v="1701"/>
    <x v="0"/>
    <n v="1"/>
    <x v="682"/>
    <n v="3"/>
    <x v="5"/>
    <x v="0"/>
  </r>
  <r>
    <n v="4137"/>
    <x v="70"/>
    <x v="32"/>
    <x v="1"/>
    <x v="0"/>
    <x v="0"/>
    <x v="0"/>
    <x v="1702"/>
    <x v="8"/>
    <n v="1"/>
    <x v="683"/>
    <n v="3"/>
    <x v="1"/>
    <x v="1"/>
  </r>
  <r>
    <n v="1004"/>
    <x v="70"/>
    <x v="0"/>
    <x v="1"/>
    <x v="3"/>
    <x v="1"/>
    <x v="2"/>
    <x v="1537"/>
    <x v="0"/>
    <n v="1"/>
    <x v="118"/>
    <n v="3"/>
    <x v="5"/>
    <x v="0"/>
  </r>
  <r>
    <n v="1620"/>
    <x v="70"/>
    <x v="7"/>
    <x v="1"/>
    <x v="0"/>
    <x v="1"/>
    <x v="2"/>
    <x v="1703"/>
    <x v="2"/>
    <n v="1"/>
    <x v="684"/>
    <n v="2"/>
    <x v="12"/>
    <x v="0"/>
  </r>
  <r>
    <n v="1318"/>
    <x v="70"/>
    <x v="26"/>
    <x v="1"/>
    <x v="3"/>
    <x v="0"/>
    <x v="0"/>
    <x v="1704"/>
    <x v="2"/>
    <n v="0"/>
    <x v="11"/>
    <n v="0"/>
    <x v="8"/>
    <x v="3"/>
  </r>
  <r>
    <n v="3"/>
    <x v="70"/>
    <x v="10"/>
    <x v="1"/>
    <x v="3"/>
    <x v="1"/>
    <x v="4"/>
    <x v="1705"/>
    <x v="0"/>
    <n v="0"/>
    <x v="11"/>
    <n v="0"/>
    <x v="8"/>
    <x v="3"/>
  </r>
  <r>
    <n v="2913"/>
    <x v="70"/>
    <x v="26"/>
    <x v="1"/>
    <x v="2"/>
    <x v="0"/>
    <x v="0"/>
    <x v="1706"/>
    <x v="2"/>
    <n v="0"/>
    <x v="11"/>
    <n v="0"/>
    <x v="8"/>
    <x v="3"/>
  </r>
  <r>
    <n v="3017"/>
    <x v="70"/>
    <x v="42"/>
    <x v="0"/>
    <x v="2"/>
    <x v="1"/>
    <x v="2"/>
    <x v="1707"/>
    <x v="2"/>
    <n v="0"/>
    <x v="11"/>
    <n v="0"/>
    <x v="8"/>
    <x v="3"/>
  </r>
  <r>
    <n v="973"/>
    <x v="70"/>
    <x v="39"/>
    <x v="0"/>
    <x v="2"/>
    <x v="0"/>
    <x v="0"/>
    <x v="1708"/>
    <x v="2"/>
    <n v="0"/>
    <x v="11"/>
    <n v="0"/>
    <x v="8"/>
    <x v="3"/>
  </r>
  <r>
    <n v="76"/>
    <x v="70"/>
    <x v="19"/>
    <x v="1"/>
    <x v="3"/>
    <x v="0"/>
    <x v="0"/>
    <x v="1709"/>
    <x v="8"/>
    <n v="0"/>
    <x v="11"/>
    <n v="0"/>
    <x v="8"/>
    <x v="3"/>
  </r>
  <r>
    <n v="4424"/>
    <x v="70"/>
    <x v="32"/>
    <x v="1"/>
    <x v="3"/>
    <x v="1"/>
    <x v="4"/>
    <x v="1127"/>
    <x v="6"/>
    <n v="0"/>
    <x v="11"/>
    <n v="0"/>
    <x v="8"/>
    <x v="3"/>
  </r>
  <r>
    <n v="1987"/>
    <x v="70"/>
    <x v="3"/>
    <x v="1"/>
    <x v="0"/>
    <x v="1"/>
    <x v="7"/>
    <x v="1710"/>
    <x v="5"/>
    <n v="0"/>
    <x v="11"/>
    <n v="0"/>
    <x v="8"/>
    <x v="3"/>
  </r>
  <r>
    <n v="3895"/>
    <x v="70"/>
    <x v="15"/>
    <x v="1"/>
    <x v="2"/>
    <x v="1"/>
    <x v="3"/>
    <x v="1329"/>
    <x v="6"/>
    <n v="0"/>
    <x v="11"/>
    <n v="0"/>
    <x v="8"/>
    <x v="3"/>
  </r>
  <r>
    <n v="3125"/>
    <x v="70"/>
    <x v="5"/>
    <x v="1"/>
    <x v="3"/>
    <x v="0"/>
    <x v="0"/>
    <x v="1711"/>
    <x v="8"/>
    <n v="0"/>
    <x v="11"/>
    <n v="0"/>
    <x v="8"/>
    <x v="3"/>
  </r>
  <r>
    <n v="3220"/>
    <x v="70"/>
    <x v="26"/>
    <x v="1"/>
    <x v="2"/>
    <x v="3"/>
    <x v="0"/>
    <x v="1712"/>
    <x v="8"/>
    <n v="0"/>
    <x v="11"/>
    <n v="0"/>
    <x v="8"/>
    <x v="3"/>
  </r>
  <r>
    <n v="3774"/>
    <x v="70"/>
    <x v="15"/>
    <x v="1"/>
    <x v="2"/>
    <x v="0"/>
    <x v="0"/>
    <x v="1713"/>
    <x v="8"/>
    <n v="0"/>
    <x v="11"/>
    <n v="0"/>
    <x v="8"/>
    <x v="3"/>
  </r>
  <r>
    <n v="720"/>
    <x v="70"/>
    <x v="22"/>
    <x v="0"/>
    <x v="2"/>
    <x v="1"/>
    <x v="5"/>
    <x v="1714"/>
    <x v="6"/>
    <n v="0"/>
    <x v="11"/>
    <n v="0"/>
    <x v="8"/>
    <x v="3"/>
  </r>
  <r>
    <n v="87"/>
    <x v="70"/>
    <x v="23"/>
    <x v="1"/>
    <x v="0"/>
    <x v="2"/>
    <x v="0"/>
    <x v="1715"/>
    <x v="6"/>
    <n v="0"/>
    <x v="11"/>
    <n v="0"/>
    <x v="8"/>
    <x v="3"/>
  </r>
  <r>
    <n v="2370"/>
    <x v="70"/>
    <x v="14"/>
    <x v="0"/>
    <x v="2"/>
    <x v="0"/>
    <x v="0"/>
    <x v="1716"/>
    <x v="9"/>
    <n v="0"/>
    <x v="11"/>
    <n v="0"/>
    <x v="8"/>
    <x v="3"/>
  </r>
  <r>
    <n v="2138"/>
    <x v="70"/>
    <x v="45"/>
    <x v="0"/>
    <x v="0"/>
    <x v="3"/>
    <x v="0"/>
    <x v="1717"/>
    <x v="11"/>
    <n v="0"/>
    <x v="11"/>
    <n v="0"/>
    <x v="8"/>
    <x v="3"/>
  </r>
  <r>
    <n v="1860"/>
    <x v="70"/>
    <x v="23"/>
    <x v="0"/>
    <x v="1"/>
    <x v="0"/>
    <x v="0"/>
    <x v="1238"/>
    <x v="2"/>
    <n v="0"/>
    <x v="11"/>
    <n v="0"/>
    <x v="8"/>
    <x v="3"/>
  </r>
  <r>
    <n v="2827"/>
    <x v="70"/>
    <x v="29"/>
    <x v="0"/>
    <x v="1"/>
    <x v="0"/>
    <x v="0"/>
    <x v="1718"/>
    <x v="5"/>
    <n v="0"/>
    <x v="11"/>
    <n v="0"/>
    <x v="8"/>
    <x v="3"/>
  </r>
  <r>
    <n v="4987"/>
    <x v="70"/>
    <x v="41"/>
    <x v="0"/>
    <x v="3"/>
    <x v="0"/>
    <x v="0"/>
    <x v="1719"/>
    <x v="10"/>
    <n v="0"/>
    <x v="11"/>
    <n v="0"/>
    <x v="8"/>
    <x v="3"/>
  </r>
  <r>
    <n v="4450"/>
    <x v="70"/>
    <x v="30"/>
    <x v="0"/>
    <x v="1"/>
    <x v="3"/>
    <x v="0"/>
    <x v="1720"/>
    <x v="2"/>
    <n v="0"/>
    <x v="11"/>
    <n v="0"/>
    <x v="8"/>
    <x v="3"/>
  </r>
  <r>
    <n v="1896"/>
    <x v="70"/>
    <x v="44"/>
    <x v="1"/>
    <x v="1"/>
    <x v="1"/>
    <x v="5"/>
    <x v="1721"/>
    <x v="5"/>
    <n v="0"/>
    <x v="11"/>
    <n v="0"/>
    <x v="8"/>
    <x v="3"/>
  </r>
  <r>
    <n v="4149"/>
    <x v="70"/>
    <x v="13"/>
    <x v="0"/>
    <x v="0"/>
    <x v="0"/>
    <x v="0"/>
    <x v="1722"/>
    <x v="8"/>
    <n v="0"/>
    <x v="11"/>
    <n v="0"/>
    <x v="8"/>
    <x v="3"/>
  </r>
  <r>
    <n v="2027"/>
    <x v="70"/>
    <x v="33"/>
    <x v="0"/>
    <x v="3"/>
    <x v="0"/>
    <x v="0"/>
    <x v="1723"/>
    <x v="6"/>
    <n v="0"/>
    <x v="11"/>
    <n v="0"/>
    <x v="8"/>
    <x v="3"/>
  </r>
  <r>
    <n v="160"/>
    <x v="70"/>
    <x v="2"/>
    <x v="0"/>
    <x v="2"/>
    <x v="0"/>
    <x v="0"/>
    <x v="1724"/>
    <x v="8"/>
    <n v="0"/>
    <x v="11"/>
    <n v="0"/>
    <x v="8"/>
    <x v="3"/>
  </r>
  <r>
    <n v="1365"/>
    <x v="70"/>
    <x v="22"/>
    <x v="1"/>
    <x v="1"/>
    <x v="1"/>
    <x v="3"/>
    <x v="1143"/>
    <x v="2"/>
    <n v="0"/>
    <x v="11"/>
    <n v="0"/>
    <x v="8"/>
    <x v="3"/>
  </r>
  <r>
    <n v="985"/>
    <x v="70"/>
    <x v="10"/>
    <x v="1"/>
    <x v="1"/>
    <x v="3"/>
    <x v="0"/>
    <x v="1725"/>
    <x v="8"/>
    <n v="0"/>
    <x v="11"/>
    <n v="0"/>
    <x v="8"/>
    <x v="3"/>
  </r>
  <r>
    <n v="1990"/>
    <x v="70"/>
    <x v="16"/>
    <x v="0"/>
    <x v="3"/>
    <x v="1"/>
    <x v="3"/>
    <x v="1726"/>
    <x v="1"/>
    <n v="0"/>
    <x v="11"/>
    <n v="0"/>
    <x v="8"/>
    <x v="3"/>
  </r>
  <r>
    <n v="3882"/>
    <x v="70"/>
    <x v="21"/>
    <x v="0"/>
    <x v="1"/>
    <x v="0"/>
    <x v="0"/>
    <x v="1727"/>
    <x v="6"/>
    <n v="0"/>
    <x v="11"/>
    <n v="0"/>
    <x v="8"/>
    <x v="3"/>
  </r>
  <r>
    <n v="2957"/>
    <x v="70"/>
    <x v="26"/>
    <x v="1"/>
    <x v="1"/>
    <x v="0"/>
    <x v="0"/>
    <x v="1728"/>
    <x v="5"/>
    <n v="0"/>
    <x v="11"/>
    <n v="0"/>
    <x v="8"/>
    <x v="3"/>
  </r>
  <r>
    <n v="2926"/>
    <x v="71"/>
    <x v="16"/>
    <x v="1"/>
    <x v="1"/>
    <x v="3"/>
    <x v="0"/>
    <x v="988"/>
    <x v="8"/>
    <n v="1"/>
    <x v="685"/>
    <n v="2"/>
    <x v="12"/>
    <x v="0"/>
  </r>
  <r>
    <n v="948"/>
    <x v="71"/>
    <x v="19"/>
    <x v="0"/>
    <x v="0"/>
    <x v="0"/>
    <x v="0"/>
    <x v="631"/>
    <x v="5"/>
    <n v="1"/>
    <x v="686"/>
    <n v="3"/>
    <x v="1"/>
    <x v="2"/>
  </r>
  <r>
    <n v="569"/>
    <x v="71"/>
    <x v="39"/>
    <x v="1"/>
    <x v="2"/>
    <x v="2"/>
    <x v="0"/>
    <x v="1729"/>
    <x v="1"/>
    <n v="1"/>
    <x v="687"/>
    <n v="5"/>
    <x v="11"/>
    <x v="0"/>
  </r>
  <r>
    <n v="193"/>
    <x v="71"/>
    <x v="22"/>
    <x v="1"/>
    <x v="3"/>
    <x v="1"/>
    <x v="2"/>
    <x v="1730"/>
    <x v="8"/>
    <n v="1"/>
    <x v="688"/>
    <n v="3"/>
    <x v="0"/>
    <x v="1"/>
  </r>
  <r>
    <n v="4338"/>
    <x v="71"/>
    <x v="50"/>
    <x v="0"/>
    <x v="1"/>
    <x v="0"/>
    <x v="0"/>
    <x v="1731"/>
    <x v="8"/>
    <n v="1"/>
    <x v="689"/>
    <n v="2"/>
    <x v="2"/>
    <x v="1"/>
  </r>
  <r>
    <n v="3289"/>
    <x v="71"/>
    <x v="6"/>
    <x v="0"/>
    <x v="1"/>
    <x v="1"/>
    <x v="7"/>
    <x v="1732"/>
    <x v="5"/>
    <n v="1"/>
    <x v="690"/>
    <n v="4"/>
    <x v="15"/>
    <x v="0"/>
  </r>
  <r>
    <n v="3741"/>
    <x v="71"/>
    <x v="23"/>
    <x v="0"/>
    <x v="2"/>
    <x v="1"/>
    <x v="2"/>
    <x v="1733"/>
    <x v="6"/>
    <n v="1"/>
    <x v="691"/>
    <n v="3"/>
    <x v="1"/>
    <x v="1"/>
  </r>
  <r>
    <n v="1782"/>
    <x v="71"/>
    <x v="0"/>
    <x v="1"/>
    <x v="1"/>
    <x v="0"/>
    <x v="0"/>
    <x v="1734"/>
    <x v="6"/>
    <n v="1"/>
    <x v="692"/>
    <n v="4"/>
    <x v="11"/>
    <x v="1"/>
  </r>
  <r>
    <n v="402"/>
    <x v="71"/>
    <x v="0"/>
    <x v="1"/>
    <x v="2"/>
    <x v="3"/>
    <x v="0"/>
    <x v="1735"/>
    <x v="7"/>
    <n v="1"/>
    <x v="693"/>
    <n v="1"/>
    <x v="5"/>
    <x v="1"/>
  </r>
  <r>
    <n v="3772"/>
    <x v="71"/>
    <x v="21"/>
    <x v="0"/>
    <x v="0"/>
    <x v="0"/>
    <x v="0"/>
    <x v="593"/>
    <x v="11"/>
    <n v="1"/>
    <x v="694"/>
    <n v="4"/>
    <x v="1"/>
    <x v="1"/>
  </r>
  <r>
    <n v="2426"/>
    <x v="71"/>
    <x v="8"/>
    <x v="1"/>
    <x v="0"/>
    <x v="3"/>
    <x v="0"/>
    <x v="1736"/>
    <x v="5"/>
    <n v="1"/>
    <x v="695"/>
    <n v="2"/>
    <x v="0"/>
    <x v="2"/>
  </r>
  <r>
    <n v="2233"/>
    <x v="71"/>
    <x v="33"/>
    <x v="1"/>
    <x v="0"/>
    <x v="0"/>
    <x v="0"/>
    <x v="1737"/>
    <x v="5"/>
    <n v="0"/>
    <x v="11"/>
    <n v="0"/>
    <x v="8"/>
    <x v="3"/>
  </r>
  <r>
    <n v="486"/>
    <x v="71"/>
    <x v="2"/>
    <x v="0"/>
    <x v="3"/>
    <x v="0"/>
    <x v="0"/>
    <x v="1738"/>
    <x v="6"/>
    <n v="0"/>
    <x v="11"/>
    <n v="0"/>
    <x v="8"/>
    <x v="3"/>
  </r>
  <r>
    <n v="368"/>
    <x v="71"/>
    <x v="10"/>
    <x v="1"/>
    <x v="0"/>
    <x v="0"/>
    <x v="0"/>
    <x v="1739"/>
    <x v="0"/>
    <n v="0"/>
    <x v="11"/>
    <n v="0"/>
    <x v="8"/>
    <x v="3"/>
  </r>
  <r>
    <n v="4788"/>
    <x v="71"/>
    <x v="29"/>
    <x v="0"/>
    <x v="2"/>
    <x v="1"/>
    <x v="1"/>
    <x v="1740"/>
    <x v="8"/>
    <n v="0"/>
    <x v="11"/>
    <n v="0"/>
    <x v="8"/>
    <x v="3"/>
  </r>
  <r>
    <n v="2357"/>
    <x v="71"/>
    <x v="5"/>
    <x v="0"/>
    <x v="2"/>
    <x v="3"/>
    <x v="0"/>
    <x v="1741"/>
    <x v="2"/>
    <n v="0"/>
    <x v="11"/>
    <n v="0"/>
    <x v="8"/>
    <x v="3"/>
  </r>
  <r>
    <n v="3395"/>
    <x v="71"/>
    <x v="26"/>
    <x v="1"/>
    <x v="1"/>
    <x v="0"/>
    <x v="0"/>
    <x v="1742"/>
    <x v="0"/>
    <n v="0"/>
    <x v="11"/>
    <n v="0"/>
    <x v="8"/>
    <x v="3"/>
  </r>
  <r>
    <n v="1357"/>
    <x v="71"/>
    <x v="19"/>
    <x v="1"/>
    <x v="2"/>
    <x v="1"/>
    <x v="5"/>
    <x v="869"/>
    <x v="2"/>
    <n v="0"/>
    <x v="11"/>
    <n v="0"/>
    <x v="8"/>
    <x v="3"/>
  </r>
  <r>
    <n v="4124"/>
    <x v="71"/>
    <x v="47"/>
    <x v="0"/>
    <x v="2"/>
    <x v="0"/>
    <x v="0"/>
    <x v="1743"/>
    <x v="8"/>
    <n v="0"/>
    <x v="11"/>
    <n v="0"/>
    <x v="8"/>
    <x v="3"/>
  </r>
  <r>
    <n v="1560"/>
    <x v="71"/>
    <x v="19"/>
    <x v="1"/>
    <x v="3"/>
    <x v="1"/>
    <x v="6"/>
    <x v="1680"/>
    <x v="5"/>
    <n v="0"/>
    <x v="11"/>
    <n v="0"/>
    <x v="8"/>
    <x v="3"/>
  </r>
  <r>
    <n v="3976"/>
    <x v="71"/>
    <x v="14"/>
    <x v="0"/>
    <x v="2"/>
    <x v="0"/>
    <x v="0"/>
    <x v="1744"/>
    <x v="2"/>
    <n v="0"/>
    <x v="11"/>
    <n v="0"/>
    <x v="8"/>
    <x v="3"/>
  </r>
  <r>
    <n v="409"/>
    <x v="71"/>
    <x v="8"/>
    <x v="1"/>
    <x v="2"/>
    <x v="3"/>
    <x v="0"/>
    <x v="1745"/>
    <x v="8"/>
    <n v="0"/>
    <x v="11"/>
    <n v="0"/>
    <x v="8"/>
    <x v="3"/>
  </r>
  <r>
    <n v="1605"/>
    <x v="72"/>
    <x v="26"/>
    <x v="0"/>
    <x v="1"/>
    <x v="0"/>
    <x v="0"/>
    <x v="1746"/>
    <x v="5"/>
    <n v="1"/>
    <x v="696"/>
    <n v="4"/>
    <x v="6"/>
    <x v="0"/>
  </r>
  <r>
    <n v="2172"/>
    <x v="72"/>
    <x v="19"/>
    <x v="0"/>
    <x v="2"/>
    <x v="0"/>
    <x v="0"/>
    <x v="1747"/>
    <x v="10"/>
    <n v="1"/>
    <x v="697"/>
    <n v="3"/>
    <x v="10"/>
    <x v="1"/>
  </r>
  <r>
    <n v="4382"/>
    <x v="72"/>
    <x v="35"/>
    <x v="0"/>
    <x v="3"/>
    <x v="1"/>
    <x v="4"/>
    <x v="1748"/>
    <x v="10"/>
    <n v="1"/>
    <x v="698"/>
    <n v="6"/>
    <x v="14"/>
    <x v="2"/>
  </r>
  <r>
    <n v="2402"/>
    <x v="72"/>
    <x v="31"/>
    <x v="0"/>
    <x v="3"/>
    <x v="3"/>
    <x v="0"/>
    <x v="1749"/>
    <x v="11"/>
    <n v="1"/>
    <x v="699"/>
    <n v="3"/>
    <x v="7"/>
    <x v="2"/>
  </r>
  <r>
    <n v="355"/>
    <x v="72"/>
    <x v="18"/>
    <x v="0"/>
    <x v="2"/>
    <x v="0"/>
    <x v="0"/>
    <x v="1750"/>
    <x v="0"/>
    <n v="1"/>
    <x v="345"/>
    <n v="4"/>
    <x v="9"/>
    <x v="1"/>
  </r>
  <r>
    <n v="2884"/>
    <x v="72"/>
    <x v="0"/>
    <x v="1"/>
    <x v="2"/>
    <x v="1"/>
    <x v="7"/>
    <x v="723"/>
    <x v="1"/>
    <n v="1"/>
    <x v="700"/>
    <n v="2"/>
    <x v="13"/>
    <x v="2"/>
  </r>
  <r>
    <n v="3291"/>
    <x v="72"/>
    <x v="34"/>
    <x v="1"/>
    <x v="1"/>
    <x v="1"/>
    <x v="3"/>
    <x v="1751"/>
    <x v="6"/>
    <n v="1"/>
    <x v="701"/>
    <n v="2"/>
    <x v="0"/>
    <x v="1"/>
  </r>
  <r>
    <n v="3308"/>
    <x v="72"/>
    <x v="10"/>
    <x v="0"/>
    <x v="2"/>
    <x v="0"/>
    <x v="0"/>
    <x v="1752"/>
    <x v="1"/>
    <n v="1"/>
    <x v="702"/>
    <n v="1"/>
    <x v="4"/>
    <x v="0"/>
  </r>
  <r>
    <n v="4802"/>
    <x v="72"/>
    <x v="40"/>
    <x v="0"/>
    <x v="2"/>
    <x v="0"/>
    <x v="0"/>
    <x v="1753"/>
    <x v="10"/>
    <n v="1"/>
    <x v="703"/>
    <n v="1"/>
    <x v="0"/>
    <x v="1"/>
  </r>
  <r>
    <n v="3870"/>
    <x v="72"/>
    <x v="29"/>
    <x v="0"/>
    <x v="2"/>
    <x v="2"/>
    <x v="0"/>
    <x v="1754"/>
    <x v="6"/>
    <n v="1"/>
    <x v="704"/>
    <n v="6"/>
    <x v="7"/>
    <x v="0"/>
  </r>
  <r>
    <n v="3175"/>
    <x v="72"/>
    <x v="30"/>
    <x v="1"/>
    <x v="3"/>
    <x v="0"/>
    <x v="0"/>
    <x v="1755"/>
    <x v="2"/>
    <n v="1"/>
    <x v="705"/>
    <n v="3"/>
    <x v="12"/>
    <x v="0"/>
  </r>
  <r>
    <n v="375"/>
    <x v="72"/>
    <x v="39"/>
    <x v="0"/>
    <x v="2"/>
    <x v="1"/>
    <x v="2"/>
    <x v="1756"/>
    <x v="5"/>
    <n v="1"/>
    <x v="706"/>
    <n v="3"/>
    <x v="2"/>
    <x v="0"/>
  </r>
  <r>
    <n v="3792"/>
    <x v="72"/>
    <x v="28"/>
    <x v="0"/>
    <x v="2"/>
    <x v="1"/>
    <x v="4"/>
    <x v="1757"/>
    <x v="11"/>
    <n v="1"/>
    <x v="707"/>
    <n v="2"/>
    <x v="5"/>
    <x v="2"/>
  </r>
  <r>
    <n v="2885"/>
    <x v="72"/>
    <x v="10"/>
    <x v="0"/>
    <x v="3"/>
    <x v="0"/>
    <x v="0"/>
    <x v="1758"/>
    <x v="3"/>
    <n v="1"/>
    <x v="27"/>
    <n v="2"/>
    <x v="14"/>
    <x v="0"/>
  </r>
  <r>
    <n v="370"/>
    <x v="72"/>
    <x v="8"/>
    <x v="1"/>
    <x v="0"/>
    <x v="1"/>
    <x v="1"/>
    <x v="1759"/>
    <x v="8"/>
    <n v="1"/>
    <x v="236"/>
    <n v="3"/>
    <x v="0"/>
    <x v="0"/>
  </r>
  <r>
    <n v="1799"/>
    <x v="72"/>
    <x v="33"/>
    <x v="1"/>
    <x v="3"/>
    <x v="3"/>
    <x v="0"/>
    <x v="1760"/>
    <x v="6"/>
    <n v="1"/>
    <x v="708"/>
    <n v="2"/>
    <x v="12"/>
    <x v="2"/>
  </r>
  <r>
    <n v="2047"/>
    <x v="72"/>
    <x v="33"/>
    <x v="1"/>
    <x v="0"/>
    <x v="0"/>
    <x v="0"/>
    <x v="1761"/>
    <x v="8"/>
    <n v="1"/>
    <x v="709"/>
    <n v="1"/>
    <x v="11"/>
    <x v="0"/>
  </r>
  <r>
    <n v="1607"/>
    <x v="72"/>
    <x v="10"/>
    <x v="1"/>
    <x v="0"/>
    <x v="1"/>
    <x v="6"/>
    <x v="1762"/>
    <x v="5"/>
    <n v="0"/>
    <x v="11"/>
    <n v="0"/>
    <x v="8"/>
    <x v="3"/>
  </r>
  <r>
    <n v="1188"/>
    <x v="72"/>
    <x v="7"/>
    <x v="1"/>
    <x v="3"/>
    <x v="0"/>
    <x v="0"/>
    <x v="1763"/>
    <x v="4"/>
    <n v="0"/>
    <x v="11"/>
    <n v="0"/>
    <x v="8"/>
    <x v="3"/>
  </r>
  <r>
    <n v="2280"/>
    <x v="72"/>
    <x v="26"/>
    <x v="0"/>
    <x v="2"/>
    <x v="0"/>
    <x v="0"/>
    <x v="1764"/>
    <x v="4"/>
    <n v="0"/>
    <x v="11"/>
    <n v="0"/>
    <x v="8"/>
    <x v="3"/>
  </r>
  <r>
    <n v="3519"/>
    <x v="72"/>
    <x v="0"/>
    <x v="0"/>
    <x v="3"/>
    <x v="0"/>
    <x v="0"/>
    <x v="1765"/>
    <x v="2"/>
    <n v="0"/>
    <x v="11"/>
    <n v="0"/>
    <x v="8"/>
    <x v="3"/>
  </r>
  <r>
    <n v="2587"/>
    <x v="72"/>
    <x v="26"/>
    <x v="1"/>
    <x v="2"/>
    <x v="1"/>
    <x v="4"/>
    <x v="1766"/>
    <x v="6"/>
    <n v="0"/>
    <x v="11"/>
    <n v="0"/>
    <x v="8"/>
    <x v="3"/>
  </r>
  <r>
    <n v="3039"/>
    <x v="72"/>
    <x v="22"/>
    <x v="1"/>
    <x v="1"/>
    <x v="3"/>
    <x v="0"/>
    <x v="1767"/>
    <x v="10"/>
    <n v="0"/>
    <x v="11"/>
    <n v="0"/>
    <x v="8"/>
    <x v="3"/>
  </r>
  <r>
    <n v="3850"/>
    <x v="72"/>
    <x v="43"/>
    <x v="0"/>
    <x v="1"/>
    <x v="0"/>
    <x v="0"/>
    <x v="1768"/>
    <x v="8"/>
    <n v="0"/>
    <x v="11"/>
    <n v="0"/>
    <x v="8"/>
    <x v="3"/>
  </r>
  <r>
    <n v="4781"/>
    <x v="72"/>
    <x v="21"/>
    <x v="1"/>
    <x v="0"/>
    <x v="1"/>
    <x v="2"/>
    <x v="1769"/>
    <x v="8"/>
    <n v="0"/>
    <x v="11"/>
    <n v="0"/>
    <x v="8"/>
    <x v="3"/>
  </r>
  <r>
    <n v="1191"/>
    <x v="72"/>
    <x v="6"/>
    <x v="0"/>
    <x v="1"/>
    <x v="2"/>
    <x v="0"/>
    <x v="1770"/>
    <x v="5"/>
    <n v="0"/>
    <x v="11"/>
    <n v="0"/>
    <x v="8"/>
    <x v="3"/>
  </r>
  <r>
    <n v="3266"/>
    <x v="72"/>
    <x v="44"/>
    <x v="0"/>
    <x v="3"/>
    <x v="0"/>
    <x v="0"/>
    <x v="1771"/>
    <x v="4"/>
    <n v="0"/>
    <x v="11"/>
    <n v="0"/>
    <x v="8"/>
    <x v="3"/>
  </r>
  <r>
    <n v="1339"/>
    <x v="72"/>
    <x v="4"/>
    <x v="0"/>
    <x v="0"/>
    <x v="2"/>
    <x v="0"/>
    <x v="1772"/>
    <x v="1"/>
    <n v="0"/>
    <x v="11"/>
    <n v="0"/>
    <x v="8"/>
    <x v="3"/>
  </r>
  <r>
    <n v="4113"/>
    <x v="72"/>
    <x v="14"/>
    <x v="0"/>
    <x v="2"/>
    <x v="3"/>
    <x v="0"/>
    <x v="1773"/>
    <x v="1"/>
    <n v="0"/>
    <x v="11"/>
    <n v="0"/>
    <x v="8"/>
    <x v="3"/>
  </r>
  <r>
    <n v="4863"/>
    <x v="72"/>
    <x v="32"/>
    <x v="0"/>
    <x v="0"/>
    <x v="1"/>
    <x v="2"/>
    <x v="1774"/>
    <x v="6"/>
    <n v="0"/>
    <x v="11"/>
    <n v="0"/>
    <x v="8"/>
    <x v="3"/>
  </r>
  <r>
    <n v="2342"/>
    <x v="72"/>
    <x v="17"/>
    <x v="1"/>
    <x v="2"/>
    <x v="2"/>
    <x v="0"/>
    <x v="663"/>
    <x v="1"/>
    <n v="0"/>
    <x v="11"/>
    <n v="0"/>
    <x v="8"/>
    <x v="3"/>
  </r>
  <r>
    <n v="3512"/>
    <x v="72"/>
    <x v="17"/>
    <x v="0"/>
    <x v="3"/>
    <x v="3"/>
    <x v="0"/>
    <x v="1775"/>
    <x v="8"/>
    <n v="0"/>
    <x v="11"/>
    <n v="0"/>
    <x v="8"/>
    <x v="3"/>
  </r>
  <r>
    <n v="3140"/>
    <x v="72"/>
    <x v="14"/>
    <x v="1"/>
    <x v="2"/>
    <x v="1"/>
    <x v="1"/>
    <x v="1064"/>
    <x v="5"/>
    <n v="0"/>
    <x v="11"/>
    <n v="0"/>
    <x v="8"/>
    <x v="3"/>
  </r>
  <r>
    <n v="1696"/>
    <x v="72"/>
    <x v="18"/>
    <x v="1"/>
    <x v="3"/>
    <x v="0"/>
    <x v="0"/>
    <x v="1776"/>
    <x v="8"/>
    <n v="0"/>
    <x v="11"/>
    <n v="0"/>
    <x v="8"/>
    <x v="3"/>
  </r>
  <r>
    <n v="1998"/>
    <x v="72"/>
    <x v="21"/>
    <x v="1"/>
    <x v="1"/>
    <x v="0"/>
    <x v="0"/>
    <x v="1777"/>
    <x v="10"/>
    <n v="0"/>
    <x v="11"/>
    <n v="0"/>
    <x v="8"/>
    <x v="3"/>
  </r>
  <r>
    <n v="4995"/>
    <x v="72"/>
    <x v="41"/>
    <x v="0"/>
    <x v="1"/>
    <x v="1"/>
    <x v="4"/>
    <x v="1778"/>
    <x v="2"/>
    <n v="0"/>
    <x v="11"/>
    <n v="0"/>
    <x v="8"/>
    <x v="3"/>
  </r>
  <r>
    <n v="3401"/>
    <x v="72"/>
    <x v="43"/>
    <x v="0"/>
    <x v="0"/>
    <x v="1"/>
    <x v="3"/>
    <x v="1358"/>
    <x v="2"/>
    <n v="0"/>
    <x v="11"/>
    <n v="0"/>
    <x v="8"/>
    <x v="3"/>
  </r>
  <r>
    <n v="4732"/>
    <x v="72"/>
    <x v="51"/>
    <x v="1"/>
    <x v="0"/>
    <x v="0"/>
    <x v="0"/>
    <x v="1096"/>
    <x v="4"/>
    <n v="0"/>
    <x v="11"/>
    <n v="0"/>
    <x v="8"/>
    <x v="3"/>
  </r>
  <r>
    <n v="851"/>
    <x v="72"/>
    <x v="22"/>
    <x v="0"/>
    <x v="1"/>
    <x v="0"/>
    <x v="0"/>
    <x v="1779"/>
    <x v="6"/>
    <n v="0"/>
    <x v="11"/>
    <n v="0"/>
    <x v="8"/>
    <x v="3"/>
  </r>
  <r>
    <n v="3019"/>
    <x v="72"/>
    <x v="3"/>
    <x v="0"/>
    <x v="3"/>
    <x v="3"/>
    <x v="0"/>
    <x v="1780"/>
    <x v="5"/>
    <n v="0"/>
    <x v="11"/>
    <n v="0"/>
    <x v="8"/>
    <x v="3"/>
  </r>
  <r>
    <n v="1798"/>
    <x v="72"/>
    <x v="11"/>
    <x v="0"/>
    <x v="3"/>
    <x v="1"/>
    <x v="5"/>
    <x v="1781"/>
    <x v="8"/>
    <n v="0"/>
    <x v="11"/>
    <n v="0"/>
    <x v="8"/>
    <x v="3"/>
  </r>
  <r>
    <n v="190"/>
    <x v="73"/>
    <x v="7"/>
    <x v="1"/>
    <x v="0"/>
    <x v="3"/>
    <x v="0"/>
    <x v="1782"/>
    <x v="8"/>
    <n v="1"/>
    <x v="710"/>
    <n v="1"/>
    <x v="0"/>
    <x v="0"/>
  </r>
  <r>
    <n v="4573"/>
    <x v="73"/>
    <x v="45"/>
    <x v="0"/>
    <x v="1"/>
    <x v="0"/>
    <x v="0"/>
    <x v="1783"/>
    <x v="1"/>
    <n v="1"/>
    <x v="711"/>
    <n v="1"/>
    <x v="14"/>
    <x v="0"/>
  </r>
  <r>
    <n v="638"/>
    <x v="73"/>
    <x v="16"/>
    <x v="1"/>
    <x v="3"/>
    <x v="2"/>
    <x v="0"/>
    <x v="1784"/>
    <x v="1"/>
    <n v="1"/>
    <x v="712"/>
    <n v="2"/>
    <x v="4"/>
    <x v="0"/>
  </r>
  <r>
    <n v="1277"/>
    <x v="73"/>
    <x v="4"/>
    <x v="1"/>
    <x v="3"/>
    <x v="1"/>
    <x v="6"/>
    <x v="1785"/>
    <x v="0"/>
    <n v="1"/>
    <x v="713"/>
    <n v="1"/>
    <x v="15"/>
    <x v="0"/>
  </r>
  <r>
    <n v="2589"/>
    <x v="73"/>
    <x v="41"/>
    <x v="1"/>
    <x v="0"/>
    <x v="2"/>
    <x v="0"/>
    <x v="1786"/>
    <x v="0"/>
    <n v="1"/>
    <x v="714"/>
    <n v="5"/>
    <x v="11"/>
    <x v="0"/>
  </r>
  <r>
    <n v="3227"/>
    <x v="73"/>
    <x v="3"/>
    <x v="1"/>
    <x v="3"/>
    <x v="2"/>
    <x v="0"/>
    <x v="481"/>
    <x v="8"/>
    <n v="1"/>
    <x v="715"/>
    <n v="4"/>
    <x v="15"/>
    <x v="2"/>
  </r>
  <r>
    <n v="2240"/>
    <x v="73"/>
    <x v="23"/>
    <x v="0"/>
    <x v="2"/>
    <x v="3"/>
    <x v="0"/>
    <x v="1787"/>
    <x v="4"/>
    <n v="1"/>
    <x v="716"/>
    <n v="2"/>
    <x v="5"/>
    <x v="1"/>
  </r>
  <r>
    <n v="1754"/>
    <x v="73"/>
    <x v="13"/>
    <x v="1"/>
    <x v="3"/>
    <x v="1"/>
    <x v="7"/>
    <x v="1788"/>
    <x v="5"/>
    <n v="1"/>
    <x v="717"/>
    <n v="1"/>
    <x v="0"/>
    <x v="1"/>
  </r>
  <r>
    <n v="4894"/>
    <x v="73"/>
    <x v="28"/>
    <x v="1"/>
    <x v="1"/>
    <x v="0"/>
    <x v="0"/>
    <x v="1789"/>
    <x v="8"/>
    <n v="1"/>
    <x v="27"/>
    <n v="1"/>
    <x v="9"/>
    <x v="1"/>
  </r>
  <r>
    <n v="2156"/>
    <x v="73"/>
    <x v="11"/>
    <x v="1"/>
    <x v="0"/>
    <x v="0"/>
    <x v="0"/>
    <x v="1514"/>
    <x v="8"/>
    <n v="1"/>
    <x v="718"/>
    <n v="3"/>
    <x v="14"/>
    <x v="2"/>
  </r>
  <r>
    <n v="3112"/>
    <x v="73"/>
    <x v="33"/>
    <x v="1"/>
    <x v="0"/>
    <x v="1"/>
    <x v="7"/>
    <x v="1790"/>
    <x v="5"/>
    <n v="1"/>
    <x v="719"/>
    <n v="4"/>
    <x v="15"/>
    <x v="0"/>
  </r>
  <r>
    <n v="4440"/>
    <x v="73"/>
    <x v="21"/>
    <x v="0"/>
    <x v="1"/>
    <x v="1"/>
    <x v="4"/>
    <x v="1791"/>
    <x v="2"/>
    <n v="0"/>
    <x v="11"/>
    <n v="0"/>
    <x v="8"/>
    <x v="3"/>
  </r>
  <r>
    <n v="3350"/>
    <x v="73"/>
    <x v="0"/>
    <x v="1"/>
    <x v="2"/>
    <x v="0"/>
    <x v="0"/>
    <x v="1124"/>
    <x v="1"/>
    <n v="0"/>
    <x v="11"/>
    <n v="0"/>
    <x v="8"/>
    <x v="3"/>
  </r>
  <r>
    <n v="2852"/>
    <x v="73"/>
    <x v="0"/>
    <x v="1"/>
    <x v="0"/>
    <x v="1"/>
    <x v="7"/>
    <x v="915"/>
    <x v="8"/>
    <n v="0"/>
    <x v="11"/>
    <n v="0"/>
    <x v="8"/>
    <x v="3"/>
  </r>
  <r>
    <n v="4982"/>
    <x v="73"/>
    <x v="30"/>
    <x v="0"/>
    <x v="2"/>
    <x v="0"/>
    <x v="0"/>
    <x v="1792"/>
    <x v="2"/>
    <n v="0"/>
    <x v="11"/>
    <n v="0"/>
    <x v="8"/>
    <x v="3"/>
  </r>
  <r>
    <n v="226"/>
    <x v="73"/>
    <x v="22"/>
    <x v="1"/>
    <x v="1"/>
    <x v="3"/>
    <x v="0"/>
    <x v="1793"/>
    <x v="6"/>
    <n v="0"/>
    <x v="11"/>
    <n v="0"/>
    <x v="8"/>
    <x v="3"/>
  </r>
  <r>
    <n v="2786"/>
    <x v="73"/>
    <x v="23"/>
    <x v="0"/>
    <x v="1"/>
    <x v="1"/>
    <x v="6"/>
    <x v="1794"/>
    <x v="5"/>
    <n v="0"/>
    <x v="11"/>
    <n v="0"/>
    <x v="8"/>
    <x v="3"/>
  </r>
  <r>
    <n v="4779"/>
    <x v="73"/>
    <x v="44"/>
    <x v="1"/>
    <x v="2"/>
    <x v="0"/>
    <x v="0"/>
    <x v="1795"/>
    <x v="4"/>
    <n v="0"/>
    <x v="11"/>
    <n v="0"/>
    <x v="8"/>
    <x v="3"/>
  </r>
  <r>
    <n v="1720"/>
    <x v="73"/>
    <x v="18"/>
    <x v="1"/>
    <x v="3"/>
    <x v="0"/>
    <x v="0"/>
    <x v="1796"/>
    <x v="0"/>
    <n v="0"/>
    <x v="11"/>
    <n v="0"/>
    <x v="8"/>
    <x v="3"/>
  </r>
  <r>
    <n v="4167"/>
    <x v="73"/>
    <x v="50"/>
    <x v="0"/>
    <x v="2"/>
    <x v="0"/>
    <x v="0"/>
    <x v="1587"/>
    <x v="5"/>
    <n v="0"/>
    <x v="11"/>
    <n v="0"/>
    <x v="8"/>
    <x v="3"/>
  </r>
  <r>
    <n v="156"/>
    <x v="73"/>
    <x v="4"/>
    <x v="1"/>
    <x v="0"/>
    <x v="0"/>
    <x v="0"/>
    <x v="1797"/>
    <x v="4"/>
    <n v="0"/>
    <x v="11"/>
    <n v="0"/>
    <x v="8"/>
    <x v="3"/>
  </r>
  <r>
    <n v="4022"/>
    <x v="73"/>
    <x v="15"/>
    <x v="0"/>
    <x v="1"/>
    <x v="3"/>
    <x v="0"/>
    <x v="1798"/>
    <x v="10"/>
    <n v="0"/>
    <x v="11"/>
    <n v="0"/>
    <x v="8"/>
    <x v="3"/>
  </r>
  <r>
    <n v="2768"/>
    <x v="73"/>
    <x v="23"/>
    <x v="1"/>
    <x v="2"/>
    <x v="1"/>
    <x v="4"/>
    <x v="1799"/>
    <x v="6"/>
    <n v="0"/>
    <x v="11"/>
    <n v="0"/>
    <x v="8"/>
    <x v="3"/>
  </r>
  <r>
    <n v="3409"/>
    <x v="73"/>
    <x v="19"/>
    <x v="1"/>
    <x v="0"/>
    <x v="1"/>
    <x v="2"/>
    <x v="675"/>
    <x v="0"/>
    <n v="0"/>
    <x v="11"/>
    <n v="0"/>
    <x v="8"/>
    <x v="3"/>
  </r>
  <r>
    <n v="3387"/>
    <x v="73"/>
    <x v="22"/>
    <x v="0"/>
    <x v="1"/>
    <x v="1"/>
    <x v="2"/>
    <x v="1800"/>
    <x v="8"/>
    <n v="0"/>
    <x v="11"/>
    <n v="0"/>
    <x v="8"/>
    <x v="3"/>
  </r>
  <r>
    <n v="694"/>
    <x v="73"/>
    <x v="8"/>
    <x v="1"/>
    <x v="3"/>
    <x v="1"/>
    <x v="3"/>
    <x v="417"/>
    <x v="0"/>
    <n v="0"/>
    <x v="11"/>
    <n v="0"/>
    <x v="8"/>
    <x v="3"/>
  </r>
  <r>
    <n v="586"/>
    <x v="73"/>
    <x v="16"/>
    <x v="0"/>
    <x v="1"/>
    <x v="0"/>
    <x v="0"/>
    <x v="1801"/>
    <x v="2"/>
    <n v="0"/>
    <x v="11"/>
    <n v="0"/>
    <x v="8"/>
    <x v="3"/>
  </r>
  <r>
    <n v="152"/>
    <x v="73"/>
    <x v="24"/>
    <x v="0"/>
    <x v="0"/>
    <x v="2"/>
    <x v="0"/>
    <x v="1776"/>
    <x v="6"/>
    <n v="0"/>
    <x v="11"/>
    <n v="0"/>
    <x v="8"/>
    <x v="3"/>
  </r>
  <r>
    <n v="890"/>
    <x v="73"/>
    <x v="39"/>
    <x v="1"/>
    <x v="1"/>
    <x v="0"/>
    <x v="0"/>
    <x v="1093"/>
    <x v="5"/>
    <n v="0"/>
    <x v="11"/>
    <n v="0"/>
    <x v="8"/>
    <x v="3"/>
  </r>
  <r>
    <n v="1519"/>
    <x v="73"/>
    <x v="7"/>
    <x v="1"/>
    <x v="3"/>
    <x v="2"/>
    <x v="0"/>
    <x v="153"/>
    <x v="6"/>
    <n v="0"/>
    <x v="11"/>
    <n v="0"/>
    <x v="8"/>
    <x v="3"/>
  </r>
  <r>
    <n v="1846"/>
    <x v="73"/>
    <x v="47"/>
    <x v="0"/>
    <x v="2"/>
    <x v="3"/>
    <x v="0"/>
    <x v="1802"/>
    <x v="1"/>
    <n v="0"/>
    <x v="11"/>
    <n v="0"/>
    <x v="8"/>
    <x v="3"/>
  </r>
  <r>
    <n v="2224"/>
    <x v="73"/>
    <x v="0"/>
    <x v="1"/>
    <x v="2"/>
    <x v="0"/>
    <x v="0"/>
    <x v="1803"/>
    <x v="2"/>
    <n v="0"/>
    <x v="11"/>
    <n v="0"/>
    <x v="8"/>
    <x v="3"/>
  </r>
  <r>
    <n v="1487"/>
    <x v="74"/>
    <x v="2"/>
    <x v="1"/>
    <x v="0"/>
    <x v="0"/>
    <x v="0"/>
    <x v="1804"/>
    <x v="1"/>
    <n v="1"/>
    <x v="720"/>
    <n v="2"/>
    <x v="6"/>
    <x v="0"/>
  </r>
  <r>
    <n v="2994"/>
    <x v="74"/>
    <x v="13"/>
    <x v="1"/>
    <x v="3"/>
    <x v="0"/>
    <x v="0"/>
    <x v="1805"/>
    <x v="6"/>
    <n v="1"/>
    <x v="165"/>
    <n v="4"/>
    <x v="6"/>
    <x v="1"/>
  </r>
  <r>
    <n v="4444"/>
    <x v="74"/>
    <x v="26"/>
    <x v="0"/>
    <x v="1"/>
    <x v="0"/>
    <x v="0"/>
    <x v="1806"/>
    <x v="6"/>
    <n v="1"/>
    <x v="721"/>
    <n v="1"/>
    <x v="14"/>
    <x v="0"/>
  </r>
  <r>
    <n v="4242"/>
    <x v="74"/>
    <x v="47"/>
    <x v="0"/>
    <x v="2"/>
    <x v="0"/>
    <x v="0"/>
    <x v="1807"/>
    <x v="0"/>
    <n v="1"/>
    <x v="310"/>
    <n v="5"/>
    <x v="1"/>
    <x v="0"/>
  </r>
  <r>
    <n v="3998"/>
    <x v="74"/>
    <x v="44"/>
    <x v="1"/>
    <x v="3"/>
    <x v="1"/>
    <x v="2"/>
    <x v="1210"/>
    <x v="0"/>
    <n v="1"/>
    <x v="722"/>
    <n v="2"/>
    <x v="11"/>
    <x v="0"/>
  </r>
  <r>
    <n v="4374"/>
    <x v="74"/>
    <x v="12"/>
    <x v="1"/>
    <x v="0"/>
    <x v="0"/>
    <x v="0"/>
    <x v="1404"/>
    <x v="2"/>
    <n v="1"/>
    <x v="723"/>
    <n v="3"/>
    <x v="15"/>
    <x v="0"/>
  </r>
  <r>
    <n v="1659"/>
    <x v="74"/>
    <x v="22"/>
    <x v="0"/>
    <x v="0"/>
    <x v="1"/>
    <x v="4"/>
    <x v="1808"/>
    <x v="0"/>
    <n v="1"/>
    <x v="724"/>
    <n v="1"/>
    <x v="11"/>
    <x v="0"/>
  </r>
  <r>
    <n v="1291"/>
    <x v="74"/>
    <x v="18"/>
    <x v="0"/>
    <x v="2"/>
    <x v="3"/>
    <x v="0"/>
    <x v="1809"/>
    <x v="8"/>
    <n v="1"/>
    <x v="725"/>
    <n v="2"/>
    <x v="13"/>
    <x v="0"/>
  </r>
  <r>
    <n v="1506"/>
    <x v="74"/>
    <x v="31"/>
    <x v="0"/>
    <x v="1"/>
    <x v="3"/>
    <x v="0"/>
    <x v="1810"/>
    <x v="5"/>
    <n v="1"/>
    <x v="726"/>
    <n v="3"/>
    <x v="0"/>
    <x v="0"/>
  </r>
  <r>
    <n v="1227"/>
    <x v="74"/>
    <x v="2"/>
    <x v="1"/>
    <x v="3"/>
    <x v="1"/>
    <x v="3"/>
    <x v="1811"/>
    <x v="11"/>
    <n v="1"/>
    <x v="335"/>
    <n v="3"/>
    <x v="11"/>
    <x v="0"/>
  </r>
  <r>
    <n v="2306"/>
    <x v="74"/>
    <x v="41"/>
    <x v="0"/>
    <x v="1"/>
    <x v="2"/>
    <x v="0"/>
    <x v="1812"/>
    <x v="1"/>
    <n v="1"/>
    <x v="727"/>
    <n v="3"/>
    <x v="9"/>
    <x v="0"/>
  </r>
  <r>
    <n v="1637"/>
    <x v="74"/>
    <x v="8"/>
    <x v="0"/>
    <x v="1"/>
    <x v="0"/>
    <x v="0"/>
    <x v="1813"/>
    <x v="2"/>
    <n v="1"/>
    <x v="728"/>
    <n v="1"/>
    <x v="5"/>
    <x v="0"/>
  </r>
  <r>
    <n v="345"/>
    <x v="74"/>
    <x v="10"/>
    <x v="1"/>
    <x v="2"/>
    <x v="2"/>
    <x v="0"/>
    <x v="1814"/>
    <x v="1"/>
    <n v="1"/>
    <x v="729"/>
    <n v="3"/>
    <x v="1"/>
    <x v="2"/>
  </r>
  <r>
    <n v="3652"/>
    <x v="74"/>
    <x v="31"/>
    <x v="0"/>
    <x v="3"/>
    <x v="0"/>
    <x v="0"/>
    <x v="1815"/>
    <x v="8"/>
    <n v="1"/>
    <x v="730"/>
    <n v="2"/>
    <x v="14"/>
    <x v="0"/>
  </r>
  <r>
    <n v="678"/>
    <x v="74"/>
    <x v="22"/>
    <x v="0"/>
    <x v="1"/>
    <x v="0"/>
    <x v="0"/>
    <x v="1816"/>
    <x v="2"/>
    <n v="0"/>
    <x v="11"/>
    <n v="0"/>
    <x v="8"/>
    <x v="3"/>
  </r>
  <r>
    <n v="3093"/>
    <x v="74"/>
    <x v="29"/>
    <x v="1"/>
    <x v="2"/>
    <x v="3"/>
    <x v="0"/>
    <x v="1817"/>
    <x v="2"/>
    <n v="0"/>
    <x v="11"/>
    <n v="0"/>
    <x v="8"/>
    <x v="3"/>
  </r>
  <r>
    <n v="1693"/>
    <x v="74"/>
    <x v="2"/>
    <x v="1"/>
    <x v="1"/>
    <x v="0"/>
    <x v="0"/>
    <x v="1818"/>
    <x v="1"/>
    <n v="0"/>
    <x v="11"/>
    <n v="0"/>
    <x v="8"/>
    <x v="3"/>
  </r>
  <r>
    <n v="4295"/>
    <x v="74"/>
    <x v="40"/>
    <x v="1"/>
    <x v="0"/>
    <x v="0"/>
    <x v="0"/>
    <x v="1819"/>
    <x v="6"/>
    <n v="0"/>
    <x v="11"/>
    <n v="0"/>
    <x v="8"/>
    <x v="3"/>
  </r>
  <r>
    <n v="2672"/>
    <x v="74"/>
    <x v="21"/>
    <x v="0"/>
    <x v="2"/>
    <x v="2"/>
    <x v="0"/>
    <x v="1820"/>
    <x v="8"/>
    <n v="0"/>
    <x v="11"/>
    <n v="0"/>
    <x v="8"/>
    <x v="3"/>
  </r>
  <r>
    <n v="3970"/>
    <x v="74"/>
    <x v="42"/>
    <x v="1"/>
    <x v="3"/>
    <x v="0"/>
    <x v="0"/>
    <x v="1821"/>
    <x v="2"/>
    <n v="0"/>
    <x v="11"/>
    <n v="0"/>
    <x v="8"/>
    <x v="3"/>
  </r>
  <r>
    <n v="894"/>
    <x v="74"/>
    <x v="7"/>
    <x v="0"/>
    <x v="0"/>
    <x v="2"/>
    <x v="0"/>
    <x v="1822"/>
    <x v="5"/>
    <n v="0"/>
    <x v="11"/>
    <n v="0"/>
    <x v="8"/>
    <x v="3"/>
  </r>
  <r>
    <n v="4466"/>
    <x v="74"/>
    <x v="23"/>
    <x v="0"/>
    <x v="2"/>
    <x v="0"/>
    <x v="0"/>
    <x v="1823"/>
    <x v="0"/>
    <n v="0"/>
    <x v="11"/>
    <n v="0"/>
    <x v="8"/>
    <x v="3"/>
  </r>
  <r>
    <n v="2835"/>
    <x v="74"/>
    <x v="43"/>
    <x v="1"/>
    <x v="0"/>
    <x v="1"/>
    <x v="5"/>
    <x v="1088"/>
    <x v="8"/>
    <n v="0"/>
    <x v="11"/>
    <n v="0"/>
    <x v="8"/>
    <x v="3"/>
  </r>
  <r>
    <n v="1107"/>
    <x v="74"/>
    <x v="20"/>
    <x v="0"/>
    <x v="3"/>
    <x v="1"/>
    <x v="5"/>
    <x v="1617"/>
    <x v="10"/>
    <n v="0"/>
    <x v="11"/>
    <n v="0"/>
    <x v="8"/>
    <x v="3"/>
  </r>
  <r>
    <n v="3049"/>
    <x v="74"/>
    <x v="41"/>
    <x v="1"/>
    <x v="1"/>
    <x v="3"/>
    <x v="0"/>
    <x v="1824"/>
    <x v="8"/>
    <n v="0"/>
    <x v="11"/>
    <n v="0"/>
    <x v="8"/>
    <x v="3"/>
  </r>
  <r>
    <n v="2318"/>
    <x v="74"/>
    <x v="5"/>
    <x v="1"/>
    <x v="3"/>
    <x v="0"/>
    <x v="0"/>
    <x v="1696"/>
    <x v="1"/>
    <n v="0"/>
    <x v="11"/>
    <n v="0"/>
    <x v="8"/>
    <x v="3"/>
  </r>
  <r>
    <n v="3871"/>
    <x v="74"/>
    <x v="25"/>
    <x v="0"/>
    <x v="2"/>
    <x v="0"/>
    <x v="0"/>
    <x v="295"/>
    <x v="6"/>
    <n v="0"/>
    <x v="11"/>
    <n v="0"/>
    <x v="8"/>
    <x v="3"/>
  </r>
  <r>
    <n v="2467"/>
    <x v="74"/>
    <x v="20"/>
    <x v="1"/>
    <x v="3"/>
    <x v="0"/>
    <x v="0"/>
    <x v="691"/>
    <x v="0"/>
    <n v="0"/>
    <x v="11"/>
    <n v="0"/>
    <x v="8"/>
    <x v="3"/>
  </r>
  <r>
    <n v="774"/>
    <x v="74"/>
    <x v="7"/>
    <x v="0"/>
    <x v="3"/>
    <x v="1"/>
    <x v="6"/>
    <x v="860"/>
    <x v="5"/>
    <n v="0"/>
    <x v="11"/>
    <n v="0"/>
    <x v="8"/>
    <x v="3"/>
  </r>
  <r>
    <n v="818"/>
    <x v="74"/>
    <x v="16"/>
    <x v="1"/>
    <x v="2"/>
    <x v="2"/>
    <x v="0"/>
    <x v="1825"/>
    <x v="1"/>
    <n v="0"/>
    <x v="11"/>
    <n v="0"/>
    <x v="8"/>
    <x v="3"/>
  </r>
  <r>
    <n v="3781"/>
    <x v="74"/>
    <x v="25"/>
    <x v="0"/>
    <x v="0"/>
    <x v="1"/>
    <x v="7"/>
    <x v="709"/>
    <x v="4"/>
    <n v="0"/>
    <x v="11"/>
    <n v="0"/>
    <x v="8"/>
    <x v="3"/>
  </r>
  <r>
    <n v="2100"/>
    <x v="74"/>
    <x v="14"/>
    <x v="0"/>
    <x v="1"/>
    <x v="0"/>
    <x v="0"/>
    <x v="1826"/>
    <x v="9"/>
    <n v="0"/>
    <x v="11"/>
    <n v="0"/>
    <x v="8"/>
    <x v="3"/>
  </r>
  <r>
    <n v="573"/>
    <x v="74"/>
    <x v="22"/>
    <x v="0"/>
    <x v="2"/>
    <x v="1"/>
    <x v="4"/>
    <x v="1498"/>
    <x v="8"/>
    <n v="0"/>
    <x v="11"/>
    <n v="0"/>
    <x v="8"/>
    <x v="3"/>
  </r>
  <r>
    <n v="4027"/>
    <x v="74"/>
    <x v="45"/>
    <x v="0"/>
    <x v="3"/>
    <x v="0"/>
    <x v="0"/>
    <x v="1219"/>
    <x v="2"/>
    <n v="0"/>
    <x v="11"/>
    <n v="0"/>
    <x v="8"/>
    <x v="3"/>
  </r>
  <r>
    <n v="3916"/>
    <x v="74"/>
    <x v="27"/>
    <x v="1"/>
    <x v="3"/>
    <x v="1"/>
    <x v="3"/>
    <x v="1827"/>
    <x v="5"/>
    <n v="0"/>
    <x v="11"/>
    <n v="0"/>
    <x v="8"/>
    <x v="3"/>
  </r>
  <r>
    <n v="2725"/>
    <x v="74"/>
    <x v="7"/>
    <x v="0"/>
    <x v="1"/>
    <x v="0"/>
    <x v="0"/>
    <x v="1828"/>
    <x v="11"/>
    <n v="0"/>
    <x v="11"/>
    <n v="0"/>
    <x v="8"/>
    <x v="3"/>
  </r>
  <r>
    <n v="1770"/>
    <x v="74"/>
    <x v="6"/>
    <x v="0"/>
    <x v="2"/>
    <x v="0"/>
    <x v="0"/>
    <x v="1829"/>
    <x v="5"/>
    <n v="0"/>
    <x v="11"/>
    <n v="0"/>
    <x v="8"/>
    <x v="3"/>
  </r>
  <r>
    <n v="824"/>
    <x v="74"/>
    <x v="24"/>
    <x v="1"/>
    <x v="2"/>
    <x v="0"/>
    <x v="0"/>
    <x v="1830"/>
    <x v="2"/>
    <n v="0"/>
    <x v="11"/>
    <n v="0"/>
    <x v="8"/>
    <x v="3"/>
  </r>
  <r>
    <n v="4951"/>
    <x v="74"/>
    <x v="27"/>
    <x v="1"/>
    <x v="2"/>
    <x v="0"/>
    <x v="0"/>
    <x v="1831"/>
    <x v="5"/>
    <n v="0"/>
    <x v="11"/>
    <n v="0"/>
    <x v="8"/>
    <x v="3"/>
  </r>
  <r>
    <n v="4938"/>
    <x v="75"/>
    <x v="3"/>
    <x v="1"/>
    <x v="3"/>
    <x v="0"/>
    <x v="0"/>
    <x v="1832"/>
    <x v="5"/>
    <n v="1"/>
    <x v="657"/>
    <n v="2"/>
    <x v="7"/>
    <x v="0"/>
  </r>
  <r>
    <n v="1293"/>
    <x v="75"/>
    <x v="6"/>
    <x v="1"/>
    <x v="2"/>
    <x v="1"/>
    <x v="6"/>
    <x v="1833"/>
    <x v="6"/>
    <n v="1"/>
    <x v="731"/>
    <n v="3"/>
    <x v="6"/>
    <x v="1"/>
  </r>
  <r>
    <n v="4359"/>
    <x v="75"/>
    <x v="46"/>
    <x v="1"/>
    <x v="0"/>
    <x v="0"/>
    <x v="0"/>
    <x v="1834"/>
    <x v="9"/>
    <n v="1"/>
    <x v="732"/>
    <n v="3"/>
    <x v="0"/>
    <x v="1"/>
  </r>
  <r>
    <n v="687"/>
    <x v="75"/>
    <x v="0"/>
    <x v="0"/>
    <x v="3"/>
    <x v="1"/>
    <x v="3"/>
    <x v="1835"/>
    <x v="1"/>
    <n v="1"/>
    <x v="733"/>
    <n v="2"/>
    <x v="6"/>
    <x v="1"/>
  </r>
  <r>
    <n v="1018"/>
    <x v="75"/>
    <x v="19"/>
    <x v="0"/>
    <x v="1"/>
    <x v="3"/>
    <x v="0"/>
    <x v="1836"/>
    <x v="8"/>
    <n v="1"/>
    <x v="734"/>
    <n v="2"/>
    <x v="1"/>
    <x v="0"/>
  </r>
  <r>
    <n v="1454"/>
    <x v="75"/>
    <x v="16"/>
    <x v="0"/>
    <x v="2"/>
    <x v="2"/>
    <x v="0"/>
    <x v="1837"/>
    <x v="8"/>
    <n v="1"/>
    <x v="735"/>
    <n v="4"/>
    <x v="3"/>
    <x v="2"/>
  </r>
  <r>
    <n v="4001"/>
    <x v="75"/>
    <x v="11"/>
    <x v="0"/>
    <x v="0"/>
    <x v="0"/>
    <x v="0"/>
    <x v="1003"/>
    <x v="9"/>
    <n v="1"/>
    <x v="408"/>
    <n v="3"/>
    <x v="7"/>
    <x v="0"/>
  </r>
  <r>
    <n v="2302"/>
    <x v="75"/>
    <x v="43"/>
    <x v="1"/>
    <x v="0"/>
    <x v="0"/>
    <x v="0"/>
    <x v="1838"/>
    <x v="7"/>
    <n v="1"/>
    <x v="736"/>
    <n v="4"/>
    <x v="13"/>
    <x v="0"/>
  </r>
  <r>
    <n v="1471"/>
    <x v="75"/>
    <x v="2"/>
    <x v="1"/>
    <x v="0"/>
    <x v="0"/>
    <x v="0"/>
    <x v="1839"/>
    <x v="10"/>
    <n v="1"/>
    <x v="737"/>
    <n v="2"/>
    <x v="2"/>
    <x v="1"/>
  </r>
  <r>
    <n v="2464"/>
    <x v="75"/>
    <x v="45"/>
    <x v="0"/>
    <x v="2"/>
    <x v="2"/>
    <x v="0"/>
    <x v="1840"/>
    <x v="2"/>
    <n v="0"/>
    <x v="11"/>
    <n v="0"/>
    <x v="8"/>
    <x v="3"/>
  </r>
  <r>
    <n v="3593"/>
    <x v="75"/>
    <x v="20"/>
    <x v="0"/>
    <x v="1"/>
    <x v="1"/>
    <x v="6"/>
    <x v="1841"/>
    <x v="2"/>
    <n v="0"/>
    <x v="11"/>
    <n v="0"/>
    <x v="8"/>
    <x v="3"/>
  </r>
  <r>
    <n v="4484"/>
    <x v="75"/>
    <x v="28"/>
    <x v="0"/>
    <x v="1"/>
    <x v="0"/>
    <x v="0"/>
    <x v="1842"/>
    <x v="6"/>
    <n v="0"/>
    <x v="11"/>
    <n v="0"/>
    <x v="8"/>
    <x v="3"/>
  </r>
  <r>
    <n v="660"/>
    <x v="75"/>
    <x v="0"/>
    <x v="0"/>
    <x v="0"/>
    <x v="0"/>
    <x v="0"/>
    <x v="1843"/>
    <x v="5"/>
    <n v="0"/>
    <x v="11"/>
    <n v="0"/>
    <x v="8"/>
    <x v="3"/>
  </r>
  <r>
    <n v="4493"/>
    <x v="75"/>
    <x v="44"/>
    <x v="0"/>
    <x v="1"/>
    <x v="3"/>
    <x v="0"/>
    <x v="1844"/>
    <x v="4"/>
    <n v="0"/>
    <x v="11"/>
    <n v="0"/>
    <x v="8"/>
    <x v="3"/>
  </r>
  <r>
    <n v="766"/>
    <x v="75"/>
    <x v="10"/>
    <x v="1"/>
    <x v="0"/>
    <x v="2"/>
    <x v="0"/>
    <x v="1109"/>
    <x v="5"/>
    <n v="0"/>
    <x v="11"/>
    <n v="0"/>
    <x v="8"/>
    <x v="3"/>
  </r>
  <r>
    <n v="3005"/>
    <x v="75"/>
    <x v="18"/>
    <x v="0"/>
    <x v="1"/>
    <x v="1"/>
    <x v="2"/>
    <x v="1845"/>
    <x v="8"/>
    <n v="0"/>
    <x v="11"/>
    <n v="0"/>
    <x v="8"/>
    <x v="3"/>
  </r>
  <r>
    <n v="222"/>
    <x v="75"/>
    <x v="8"/>
    <x v="1"/>
    <x v="2"/>
    <x v="0"/>
    <x v="0"/>
    <x v="1846"/>
    <x v="6"/>
    <n v="0"/>
    <x v="11"/>
    <n v="0"/>
    <x v="8"/>
    <x v="3"/>
  </r>
  <r>
    <n v="2256"/>
    <x v="75"/>
    <x v="20"/>
    <x v="1"/>
    <x v="0"/>
    <x v="0"/>
    <x v="0"/>
    <x v="1847"/>
    <x v="4"/>
    <n v="0"/>
    <x v="11"/>
    <n v="0"/>
    <x v="8"/>
    <x v="3"/>
  </r>
  <r>
    <n v="3611"/>
    <x v="75"/>
    <x v="10"/>
    <x v="1"/>
    <x v="1"/>
    <x v="0"/>
    <x v="0"/>
    <x v="1848"/>
    <x v="5"/>
    <n v="0"/>
    <x v="11"/>
    <n v="0"/>
    <x v="8"/>
    <x v="3"/>
  </r>
  <r>
    <n v="1543"/>
    <x v="75"/>
    <x v="8"/>
    <x v="1"/>
    <x v="2"/>
    <x v="0"/>
    <x v="0"/>
    <x v="795"/>
    <x v="6"/>
    <n v="0"/>
    <x v="11"/>
    <n v="0"/>
    <x v="8"/>
    <x v="3"/>
  </r>
  <r>
    <n v="4529"/>
    <x v="75"/>
    <x v="30"/>
    <x v="0"/>
    <x v="0"/>
    <x v="0"/>
    <x v="0"/>
    <x v="1849"/>
    <x v="11"/>
    <n v="0"/>
    <x v="11"/>
    <n v="0"/>
    <x v="8"/>
    <x v="3"/>
  </r>
  <r>
    <n v="259"/>
    <x v="75"/>
    <x v="24"/>
    <x v="0"/>
    <x v="2"/>
    <x v="2"/>
    <x v="0"/>
    <x v="1850"/>
    <x v="4"/>
    <n v="0"/>
    <x v="11"/>
    <n v="0"/>
    <x v="8"/>
    <x v="3"/>
  </r>
  <r>
    <n v="1965"/>
    <x v="75"/>
    <x v="31"/>
    <x v="1"/>
    <x v="1"/>
    <x v="0"/>
    <x v="0"/>
    <x v="1851"/>
    <x v="5"/>
    <n v="0"/>
    <x v="11"/>
    <n v="0"/>
    <x v="8"/>
    <x v="3"/>
  </r>
  <r>
    <n v="2793"/>
    <x v="75"/>
    <x v="41"/>
    <x v="0"/>
    <x v="0"/>
    <x v="0"/>
    <x v="0"/>
    <x v="1095"/>
    <x v="6"/>
    <n v="0"/>
    <x v="11"/>
    <n v="0"/>
    <x v="8"/>
    <x v="3"/>
  </r>
  <r>
    <n v="3602"/>
    <x v="75"/>
    <x v="45"/>
    <x v="1"/>
    <x v="2"/>
    <x v="2"/>
    <x v="0"/>
    <x v="184"/>
    <x v="2"/>
    <n v="0"/>
    <x v="11"/>
    <n v="0"/>
    <x v="8"/>
    <x v="3"/>
  </r>
  <r>
    <n v="3800"/>
    <x v="75"/>
    <x v="30"/>
    <x v="0"/>
    <x v="3"/>
    <x v="3"/>
    <x v="0"/>
    <x v="1852"/>
    <x v="8"/>
    <n v="0"/>
    <x v="11"/>
    <n v="0"/>
    <x v="8"/>
    <x v="3"/>
  </r>
  <r>
    <n v="3045"/>
    <x v="76"/>
    <x v="22"/>
    <x v="2"/>
    <x v="3"/>
    <x v="0"/>
    <x v="0"/>
    <x v="1853"/>
    <x v="5"/>
    <n v="1"/>
    <x v="738"/>
    <n v="4"/>
    <x v="5"/>
    <x v="1"/>
  </r>
  <r>
    <n v="3138"/>
    <x v="76"/>
    <x v="31"/>
    <x v="1"/>
    <x v="1"/>
    <x v="1"/>
    <x v="4"/>
    <x v="1854"/>
    <x v="1"/>
    <n v="1"/>
    <x v="739"/>
    <n v="4"/>
    <x v="0"/>
    <x v="0"/>
  </r>
  <r>
    <n v="385"/>
    <x v="76"/>
    <x v="4"/>
    <x v="1"/>
    <x v="3"/>
    <x v="2"/>
    <x v="0"/>
    <x v="1855"/>
    <x v="5"/>
    <n v="1"/>
    <x v="740"/>
    <n v="4"/>
    <x v="15"/>
    <x v="0"/>
  </r>
  <r>
    <n v="1802"/>
    <x v="76"/>
    <x v="10"/>
    <x v="1"/>
    <x v="2"/>
    <x v="0"/>
    <x v="0"/>
    <x v="1856"/>
    <x v="2"/>
    <n v="1"/>
    <x v="741"/>
    <n v="5"/>
    <x v="7"/>
    <x v="0"/>
  </r>
  <r>
    <n v="960"/>
    <x v="76"/>
    <x v="18"/>
    <x v="2"/>
    <x v="0"/>
    <x v="0"/>
    <x v="0"/>
    <x v="1857"/>
    <x v="6"/>
    <n v="1"/>
    <x v="742"/>
    <n v="2"/>
    <x v="0"/>
    <x v="0"/>
  </r>
  <r>
    <n v="2669"/>
    <x v="76"/>
    <x v="41"/>
    <x v="0"/>
    <x v="0"/>
    <x v="0"/>
    <x v="0"/>
    <x v="1858"/>
    <x v="8"/>
    <n v="1"/>
    <x v="743"/>
    <n v="3"/>
    <x v="10"/>
    <x v="0"/>
  </r>
  <r>
    <n v="1767"/>
    <x v="76"/>
    <x v="16"/>
    <x v="1"/>
    <x v="0"/>
    <x v="3"/>
    <x v="0"/>
    <x v="1859"/>
    <x v="2"/>
    <n v="1"/>
    <x v="744"/>
    <n v="3"/>
    <x v="0"/>
    <x v="0"/>
  </r>
  <r>
    <n v="1792"/>
    <x v="76"/>
    <x v="23"/>
    <x v="0"/>
    <x v="2"/>
    <x v="3"/>
    <x v="0"/>
    <x v="1860"/>
    <x v="2"/>
    <n v="1"/>
    <x v="745"/>
    <n v="3"/>
    <x v="10"/>
    <x v="0"/>
  </r>
  <r>
    <n v="1066"/>
    <x v="76"/>
    <x v="6"/>
    <x v="0"/>
    <x v="0"/>
    <x v="0"/>
    <x v="0"/>
    <x v="1861"/>
    <x v="5"/>
    <n v="1"/>
    <x v="746"/>
    <n v="2"/>
    <x v="9"/>
    <x v="1"/>
  </r>
  <r>
    <n v="326"/>
    <x v="76"/>
    <x v="8"/>
    <x v="0"/>
    <x v="0"/>
    <x v="0"/>
    <x v="0"/>
    <x v="1862"/>
    <x v="2"/>
    <n v="1"/>
    <x v="747"/>
    <n v="2"/>
    <x v="3"/>
    <x v="0"/>
  </r>
  <r>
    <n v="806"/>
    <x v="76"/>
    <x v="18"/>
    <x v="2"/>
    <x v="0"/>
    <x v="2"/>
    <x v="0"/>
    <x v="253"/>
    <x v="2"/>
    <n v="1"/>
    <x v="748"/>
    <n v="4"/>
    <x v="15"/>
    <x v="1"/>
  </r>
  <r>
    <n v="4922"/>
    <x v="76"/>
    <x v="23"/>
    <x v="0"/>
    <x v="0"/>
    <x v="3"/>
    <x v="0"/>
    <x v="1863"/>
    <x v="8"/>
    <n v="1"/>
    <x v="749"/>
    <n v="5"/>
    <x v="9"/>
    <x v="0"/>
  </r>
  <r>
    <n v="4507"/>
    <x v="76"/>
    <x v="43"/>
    <x v="0"/>
    <x v="2"/>
    <x v="0"/>
    <x v="0"/>
    <x v="1864"/>
    <x v="2"/>
    <n v="1"/>
    <x v="750"/>
    <n v="2"/>
    <x v="6"/>
    <x v="0"/>
  </r>
  <r>
    <n v="3500"/>
    <x v="76"/>
    <x v="15"/>
    <x v="0"/>
    <x v="0"/>
    <x v="0"/>
    <x v="0"/>
    <x v="1865"/>
    <x v="2"/>
    <n v="1"/>
    <x v="751"/>
    <n v="3"/>
    <x v="2"/>
    <x v="0"/>
  </r>
  <r>
    <n v="2974"/>
    <x v="76"/>
    <x v="7"/>
    <x v="1"/>
    <x v="1"/>
    <x v="1"/>
    <x v="2"/>
    <x v="1866"/>
    <x v="2"/>
    <n v="1"/>
    <x v="752"/>
    <n v="4"/>
    <x v="3"/>
    <x v="0"/>
  </r>
  <r>
    <n v="4282"/>
    <x v="76"/>
    <x v="32"/>
    <x v="1"/>
    <x v="2"/>
    <x v="0"/>
    <x v="0"/>
    <x v="1867"/>
    <x v="5"/>
    <n v="1"/>
    <x v="753"/>
    <n v="6"/>
    <x v="10"/>
    <x v="0"/>
  </r>
  <r>
    <n v="2535"/>
    <x v="76"/>
    <x v="17"/>
    <x v="0"/>
    <x v="1"/>
    <x v="3"/>
    <x v="0"/>
    <x v="1868"/>
    <x v="4"/>
    <n v="0"/>
    <x v="11"/>
    <n v="0"/>
    <x v="8"/>
    <x v="3"/>
  </r>
  <r>
    <n v="4091"/>
    <x v="76"/>
    <x v="54"/>
    <x v="1"/>
    <x v="2"/>
    <x v="3"/>
    <x v="0"/>
    <x v="1869"/>
    <x v="1"/>
    <n v="0"/>
    <x v="11"/>
    <n v="0"/>
    <x v="8"/>
    <x v="3"/>
  </r>
  <r>
    <n v="4029"/>
    <x v="76"/>
    <x v="35"/>
    <x v="0"/>
    <x v="0"/>
    <x v="1"/>
    <x v="2"/>
    <x v="1870"/>
    <x v="8"/>
    <n v="0"/>
    <x v="11"/>
    <n v="0"/>
    <x v="8"/>
    <x v="3"/>
  </r>
  <r>
    <n v="1742"/>
    <x v="76"/>
    <x v="7"/>
    <x v="1"/>
    <x v="3"/>
    <x v="1"/>
    <x v="3"/>
    <x v="1007"/>
    <x v="5"/>
    <n v="0"/>
    <x v="11"/>
    <n v="0"/>
    <x v="8"/>
    <x v="3"/>
  </r>
  <r>
    <n v="3117"/>
    <x v="76"/>
    <x v="47"/>
    <x v="1"/>
    <x v="2"/>
    <x v="0"/>
    <x v="0"/>
    <x v="349"/>
    <x v="8"/>
    <n v="0"/>
    <x v="11"/>
    <n v="0"/>
    <x v="8"/>
    <x v="3"/>
  </r>
  <r>
    <n v="1573"/>
    <x v="76"/>
    <x v="20"/>
    <x v="0"/>
    <x v="1"/>
    <x v="3"/>
    <x v="0"/>
    <x v="1871"/>
    <x v="6"/>
    <n v="0"/>
    <x v="11"/>
    <n v="0"/>
    <x v="8"/>
    <x v="3"/>
  </r>
  <r>
    <n v="3794"/>
    <x v="76"/>
    <x v="23"/>
    <x v="1"/>
    <x v="2"/>
    <x v="3"/>
    <x v="0"/>
    <x v="364"/>
    <x v="2"/>
    <n v="0"/>
    <x v="11"/>
    <n v="0"/>
    <x v="8"/>
    <x v="3"/>
  </r>
  <r>
    <n v="1954"/>
    <x v="76"/>
    <x v="17"/>
    <x v="0"/>
    <x v="2"/>
    <x v="0"/>
    <x v="0"/>
    <x v="1872"/>
    <x v="0"/>
    <n v="0"/>
    <x v="11"/>
    <n v="0"/>
    <x v="8"/>
    <x v="3"/>
  </r>
  <r>
    <n v="3081"/>
    <x v="76"/>
    <x v="20"/>
    <x v="0"/>
    <x v="2"/>
    <x v="0"/>
    <x v="0"/>
    <x v="1873"/>
    <x v="2"/>
    <n v="0"/>
    <x v="11"/>
    <n v="0"/>
    <x v="8"/>
    <x v="3"/>
  </r>
  <r>
    <n v="4495"/>
    <x v="76"/>
    <x v="25"/>
    <x v="1"/>
    <x v="0"/>
    <x v="1"/>
    <x v="1"/>
    <x v="426"/>
    <x v="2"/>
    <n v="0"/>
    <x v="11"/>
    <n v="0"/>
    <x v="8"/>
    <x v="3"/>
  </r>
  <r>
    <n v="1472"/>
    <x v="76"/>
    <x v="16"/>
    <x v="1"/>
    <x v="2"/>
    <x v="0"/>
    <x v="0"/>
    <x v="1874"/>
    <x v="2"/>
    <n v="0"/>
    <x v="11"/>
    <n v="0"/>
    <x v="8"/>
    <x v="3"/>
  </r>
  <r>
    <n v="3762"/>
    <x v="76"/>
    <x v="48"/>
    <x v="0"/>
    <x v="2"/>
    <x v="3"/>
    <x v="0"/>
    <x v="1875"/>
    <x v="10"/>
    <n v="0"/>
    <x v="11"/>
    <n v="0"/>
    <x v="8"/>
    <x v="3"/>
  </r>
  <r>
    <n v="829"/>
    <x v="76"/>
    <x v="7"/>
    <x v="0"/>
    <x v="2"/>
    <x v="1"/>
    <x v="1"/>
    <x v="1876"/>
    <x v="5"/>
    <n v="0"/>
    <x v="11"/>
    <n v="0"/>
    <x v="8"/>
    <x v="3"/>
  </r>
  <r>
    <n v="1404"/>
    <x v="76"/>
    <x v="23"/>
    <x v="1"/>
    <x v="3"/>
    <x v="3"/>
    <x v="0"/>
    <x v="1877"/>
    <x v="2"/>
    <n v="0"/>
    <x v="11"/>
    <n v="0"/>
    <x v="8"/>
    <x v="3"/>
  </r>
  <r>
    <n v="2013"/>
    <x v="77"/>
    <x v="13"/>
    <x v="0"/>
    <x v="0"/>
    <x v="2"/>
    <x v="0"/>
    <x v="1878"/>
    <x v="2"/>
    <n v="1"/>
    <x v="754"/>
    <n v="2"/>
    <x v="2"/>
    <x v="1"/>
  </r>
  <r>
    <n v="749"/>
    <x v="77"/>
    <x v="7"/>
    <x v="0"/>
    <x v="0"/>
    <x v="0"/>
    <x v="0"/>
    <x v="1879"/>
    <x v="0"/>
    <n v="1"/>
    <x v="755"/>
    <n v="3"/>
    <x v="12"/>
    <x v="2"/>
  </r>
  <r>
    <n v="3642"/>
    <x v="77"/>
    <x v="45"/>
    <x v="0"/>
    <x v="3"/>
    <x v="3"/>
    <x v="0"/>
    <x v="1880"/>
    <x v="2"/>
    <n v="1"/>
    <x v="756"/>
    <n v="2"/>
    <x v="9"/>
    <x v="0"/>
  </r>
  <r>
    <n v="4603"/>
    <x v="77"/>
    <x v="47"/>
    <x v="0"/>
    <x v="3"/>
    <x v="1"/>
    <x v="3"/>
    <x v="1881"/>
    <x v="5"/>
    <n v="1"/>
    <x v="757"/>
    <n v="4"/>
    <x v="7"/>
    <x v="1"/>
  </r>
  <r>
    <n v="2572"/>
    <x v="77"/>
    <x v="23"/>
    <x v="1"/>
    <x v="2"/>
    <x v="0"/>
    <x v="0"/>
    <x v="1882"/>
    <x v="5"/>
    <n v="1"/>
    <x v="758"/>
    <n v="4"/>
    <x v="9"/>
    <x v="0"/>
  </r>
  <r>
    <n v="4803"/>
    <x v="77"/>
    <x v="38"/>
    <x v="1"/>
    <x v="3"/>
    <x v="0"/>
    <x v="0"/>
    <x v="1883"/>
    <x v="6"/>
    <n v="1"/>
    <x v="570"/>
    <n v="1"/>
    <x v="4"/>
    <x v="0"/>
  </r>
  <r>
    <n v="2192"/>
    <x v="77"/>
    <x v="26"/>
    <x v="1"/>
    <x v="3"/>
    <x v="0"/>
    <x v="0"/>
    <x v="1239"/>
    <x v="8"/>
    <n v="1"/>
    <x v="462"/>
    <n v="6"/>
    <x v="9"/>
    <x v="1"/>
  </r>
  <r>
    <n v="2084"/>
    <x v="77"/>
    <x v="11"/>
    <x v="0"/>
    <x v="1"/>
    <x v="0"/>
    <x v="0"/>
    <x v="1884"/>
    <x v="6"/>
    <n v="1"/>
    <x v="265"/>
    <n v="1"/>
    <x v="11"/>
    <x v="0"/>
  </r>
  <r>
    <n v="151"/>
    <x v="77"/>
    <x v="22"/>
    <x v="2"/>
    <x v="0"/>
    <x v="1"/>
    <x v="2"/>
    <x v="1885"/>
    <x v="0"/>
    <n v="1"/>
    <x v="759"/>
    <n v="4"/>
    <x v="9"/>
    <x v="2"/>
  </r>
  <r>
    <n v="105"/>
    <x v="77"/>
    <x v="16"/>
    <x v="0"/>
    <x v="0"/>
    <x v="0"/>
    <x v="0"/>
    <x v="130"/>
    <x v="6"/>
    <n v="1"/>
    <x v="760"/>
    <n v="4"/>
    <x v="13"/>
    <x v="0"/>
  </r>
  <r>
    <n v="3660"/>
    <x v="77"/>
    <x v="20"/>
    <x v="0"/>
    <x v="0"/>
    <x v="0"/>
    <x v="0"/>
    <x v="1886"/>
    <x v="6"/>
    <n v="1"/>
    <x v="761"/>
    <n v="5"/>
    <x v="7"/>
    <x v="1"/>
  </r>
  <r>
    <n v="2003"/>
    <x v="77"/>
    <x v="13"/>
    <x v="1"/>
    <x v="0"/>
    <x v="0"/>
    <x v="0"/>
    <x v="1887"/>
    <x v="10"/>
    <n v="1"/>
    <x v="762"/>
    <n v="4"/>
    <x v="13"/>
    <x v="0"/>
  </r>
  <r>
    <n v="2108"/>
    <x v="77"/>
    <x v="19"/>
    <x v="0"/>
    <x v="1"/>
    <x v="0"/>
    <x v="0"/>
    <x v="1888"/>
    <x v="8"/>
    <n v="1"/>
    <x v="763"/>
    <n v="4"/>
    <x v="13"/>
    <x v="0"/>
  </r>
  <r>
    <n v="454"/>
    <x v="77"/>
    <x v="8"/>
    <x v="0"/>
    <x v="0"/>
    <x v="1"/>
    <x v="6"/>
    <x v="1889"/>
    <x v="8"/>
    <n v="0"/>
    <x v="11"/>
    <n v="0"/>
    <x v="8"/>
    <x v="3"/>
  </r>
  <r>
    <n v="4817"/>
    <x v="77"/>
    <x v="25"/>
    <x v="1"/>
    <x v="1"/>
    <x v="1"/>
    <x v="6"/>
    <x v="1890"/>
    <x v="2"/>
    <n v="0"/>
    <x v="11"/>
    <n v="0"/>
    <x v="8"/>
    <x v="3"/>
  </r>
  <r>
    <n v="2473"/>
    <x v="77"/>
    <x v="33"/>
    <x v="1"/>
    <x v="1"/>
    <x v="0"/>
    <x v="0"/>
    <x v="1891"/>
    <x v="10"/>
    <n v="0"/>
    <x v="11"/>
    <n v="0"/>
    <x v="8"/>
    <x v="3"/>
  </r>
  <r>
    <n v="4937"/>
    <x v="77"/>
    <x v="42"/>
    <x v="0"/>
    <x v="2"/>
    <x v="1"/>
    <x v="7"/>
    <x v="848"/>
    <x v="6"/>
    <n v="0"/>
    <x v="11"/>
    <n v="0"/>
    <x v="8"/>
    <x v="3"/>
  </r>
  <r>
    <n v="2802"/>
    <x v="77"/>
    <x v="10"/>
    <x v="0"/>
    <x v="3"/>
    <x v="1"/>
    <x v="3"/>
    <x v="1679"/>
    <x v="5"/>
    <n v="0"/>
    <x v="11"/>
    <n v="0"/>
    <x v="8"/>
    <x v="3"/>
  </r>
  <r>
    <n v="4471"/>
    <x v="77"/>
    <x v="13"/>
    <x v="0"/>
    <x v="2"/>
    <x v="0"/>
    <x v="0"/>
    <x v="1892"/>
    <x v="2"/>
    <n v="0"/>
    <x v="11"/>
    <n v="0"/>
    <x v="8"/>
    <x v="3"/>
  </r>
  <r>
    <n v="4900"/>
    <x v="77"/>
    <x v="15"/>
    <x v="0"/>
    <x v="2"/>
    <x v="0"/>
    <x v="0"/>
    <x v="1893"/>
    <x v="0"/>
    <n v="0"/>
    <x v="11"/>
    <n v="0"/>
    <x v="8"/>
    <x v="3"/>
  </r>
  <r>
    <n v="507"/>
    <x v="77"/>
    <x v="6"/>
    <x v="0"/>
    <x v="1"/>
    <x v="1"/>
    <x v="5"/>
    <x v="1894"/>
    <x v="5"/>
    <n v="0"/>
    <x v="11"/>
    <n v="0"/>
    <x v="8"/>
    <x v="3"/>
  </r>
  <r>
    <n v="3752"/>
    <x v="77"/>
    <x v="29"/>
    <x v="0"/>
    <x v="2"/>
    <x v="0"/>
    <x v="0"/>
    <x v="1895"/>
    <x v="1"/>
    <n v="0"/>
    <x v="11"/>
    <n v="0"/>
    <x v="8"/>
    <x v="3"/>
  </r>
  <r>
    <n v="2624"/>
    <x v="77"/>
    <x v="27"/>
    <x v="1"/>
    <x v="3"/>
    <x v="3"/>
    <x v="0"/>
    <x v="1896"/>
    <x v="8"/>
    <n v="0"/>
    <x v="11"/>
    <n v="0"/>
    <x v="8"/>
    <x v="3"/>
  </r>
  <r>
    <n v="2210"/>
    <x v="77"/>
    <x v="19"/>
    <x v="0"/>
    <x v="1"/>
    <x v="2"/>
    <x v="0"/>
    <x v="1897"/>
    <x v="8"/>
    <n v="0"/>
    <x v="11"/>
    <n v="0"/>
    <x v="8"/>
    <x v="3"/>
  </r>
  <r>
    <n v="3007"/>
    <x v="77"/>
    <x v="5"/>
    <x v="0"/>
    <x v="1"/>
    <x v="1"/>
    <x v="1"/>
    <x v="1898"/>
    <x v="8"/>
    <n v="0"/>
    <x v="11"/>
    <n v="0"/>
    <x v="8"/>
    <x v="3"/>
  </r>
  <r>
    <n v="2321"/>
    <x v="77"/>
    <x v="31"/>
    <x v="1"/>
    <x v="0"/>
    <x v="0"/>
    <x v="0"/>
    <x v="1899"/>
    <x v="11"/>
    <n v="0"/>
    <x v="11"/>
    <n v="0"/>
    <x v="8"/>
    <x v="3"/>
  </r>
  <r>
    <n v="4294"/>
    <x v="77"/>
    <x v="12"/>
    <x v="0"/>
    <x v="1"/>
    <x v="1"/>
    <x v="5"/>
    <x v="736"/>
    <x v="5"/>
    <n v="0"/>
    <x v="11"/>
    <n v="0"/>
    <x v="8"/>
    <x v="3"/>
  </r>
  <r>
    <n v="1368"/>
    <x v="77"/>
    <x v="18"/>
    <x v="0"/>
    <x v="2"/>
    <x v="1"/>
    <x v="2"/>
    <x v="1900"/>
    <x v="2"/>
    <n v="0"/>
    <x v="11"/>
    <n v="0"/>
    <x v="8"/>
    <x v="3"/>
  </r>
  <r>
    <n v="3353"/>
    <x v="77"/>
    <x v="11"/>
    <x v="0"/>
    <x v="1"/>
    <x v="0"/>
    <x v="0"/>
    <x v="50"/>
    <x v="2"/>
    <n v="0"/>
    <x v="11"/>
    <n v="0"/>
    <x v="8"/>
    <x v="3"/>
  </r>
  <r>
    <n v="3337"/>
    <x v="77"/>
    <x v="31"/>
    <x v="0"/>
    <x v="3"/>
    <x v="0"/>
    <x v="0"/>
    <x v="1901"/>
    <x v="4"/>
    <n v="0"/>
    <x v="11"/>
    <n v="0"/>
    <x v="8"/>
    <x v="3"/>
  </r>
  <r>
    <n v="786"/>
    <x v="77"/>
    <x v="10"/>
    <x v="0"/>
    <x v="3"/>
    <x v="1"/>
    <x v="4"/>
    <x v="1902"/>
    <x v="0"/>
    <n v="0"/>
    <x v="11"/>
    <n v="0"/>
    <x v="8"/>
    <x v="3"/>
  </r>
  <r>
    <n v="44"/>
    <x v="77"/>
    <x v="8"/>
    <x v="1"/>
    <x v="0"/>
    <x v="0"/>
    <x v="0"/>
    <x v="1903"/>
    <x v="2"/>
    <n v="0"/>
    <x v="11"/>
    <n v="0"/>
    <x v="8"/>
    <x v="3"/>
  </r>
  <r>
    <n v="2252"/>
    <x v="77"/>
    <x v="17"/>
    <x v="1"/>
    <x v="2"/>
    <x v="1"/>
    <x v="1"/>
    <x v="1904"/>
    <x v="2"/>
    <n v="0"/>
    <x v="11"/>
    <n v="0"/>
    <x v="8"/>
    <x v="3"/>
  </r>
  <r>
    <n v="2797"/>
    <x v="78"/>
    <x v="12"/>
    <x v="2"/>
    <x v="2"/>
    <x v="2"/>
    <x v="0"/>
    <x v="1905"/>
    <x v="8"/>
    <n v="1"/>
    <x v="764"/>
    <n v="4"/>
    <x v="14"/>
    <x v="2"/>
  </r>
  <r>
    <n v="1392"/>
    <x v="78"/>
    <x v="20"/>
    <x v="1"/>
    <x v="2"/>
    <x v="2"/>
    <x v="0"/>
    <x v="1412"/>
    <x v="0"/>
    <n v="1"/>
    <x v="765"/>
    <n v="4"/>
    <x v="4"/>
    <x v="2"/>
  </r>
  <r>
    <n v="3286"/>
    <x v="78"/>
    <x v="26"/>
    <x v="1"/>
    <x v="0"/>
    <x v="1"/>
    <x v="7"/>
    <x v="1906"/>
    <x v="9"/>
    <n v="1"/>
    <x v="191"/>
    <n v="1"/>
    <x v="0"/>
    <x v="0"/>
  </r>
  <r>
    <n v="3298"/>
    <x v="78"/>
    <x v="6"/>
    <x v="1"/>
    <x v="2"/>
    <x v="0"/>
    <x v="0"/>
    <x v="1907"/>
    <x v="5"/>
    <n v="1"/>
    <x v="766"/>
    <n v="3"/>
    <x v="4"/>
    <x v="1"/>
  </r>
  <r>
    <n v="4398"/>
    <x v="78"/>
    <x v="29"/>
    <x v="1"/>
    <x v="0"/>
    <x v="3"/>
    <x v="0"/>
    <x v="364"/>
    <x v="2"/>
    <n v="1"/>
    <x v="767"/>
    <n v="4"/>
    <x v="6"/>
    <x v="1"/>
  </r>
  <r>
    <n v="3856"/>
    <x v="78"/>
    <x v="44"/>
    <x v="0"/>
    <x v="1"/>
    <x v="3"/>
    <x v="0"/>
    <x v="1908"/>
    <x v="6"/>
    <n v="1"/>
    <x v="768"/>
    <n v="2"/>
    <x v="12"/>
    <x v="1"/>
  </r>
  <r>
    <n v="1136"/>
    <x v="78"/>
    <x v="0"/>
    <x v="0"/>
    <x v="0"/>
    <x v="2"/>
    <x v="0"/>
    <x v="1909"/>
    <x v="8"/>
    <n v="1"/>
    <x v="769"/>
    <n v="3"/>
    <x v="6"/>
    <x v="0"/>
  </r>
  <r>
    <n v="78"/>
    <x v="78"/>
    <x v="7"/>
    <x v="1"/>
    <x v="3"/>
    <x v="1"/>
    <x v="2"/>
    <x v="1910"/>
    <x v="5"/>
    <n v="1"/>
    <x v="770"/>
    <n v="6"/>
    <x v="7"/>
    <x v="1"/>
  </r>
  <r>
    <n v="2771"/>
    <x v="78"/>
    <x v="45"/>
    <x v="0"/>
    <x v="1"/>
    <x v="0"/>
    <x v="0"/>
    <x v="1911"/>
    <x v="6"/>
    <n v="1"/>
    <x v="771"/>
    <n v="3"/>
    <x v="12"/>
    <x v="0"/>
  </r>
  <r>
    <n v="984"/>
    <x v="78"/>
    <x v="4"/>
    <x v="0"/>
    <x v="1"/>
    <x v="0"/>
    <x v="0"/>
    <x v="1912"/>
    <x v="0"/>
    <n v="0"/>
    <x v="11"/>
    <n v="0"/>
    <x v="8"/>
    <x v="3"/>
  </r>
  <r>
    <n v="498"/>
    <x v="78"/>
    <x v="19"/>
    <x v="0"/>
    <x v="3"/>
    <x v="2"/>
    <x v="0"/>
    <x v="1860"/>
    <x v="1"/>
    <n v="0"/>
    <x v="11"/>
    <n v="0"/>
    <x v="8"/>
    <x v="3"/>
  </r>
  <r>
    <n v="2555"/>
    <x v="78"/>
    <x v="17"/>
    <x v="1"/>
    <x v="1"/>
    <x v="0"/>
    <x v="0"/>
    <x v="1683"/>
    <x v="0"/>
    <n v="0"/>
    <x v="11"/>
    <n v="0"/>
    <x v="8"/>
    <x v="3"/>
  </r>
  <r>
    <n v="4411"/>
    <x v="78"/>
    <x v="32"/>
    <x v="1"/>
    <x v="0"/>
    <x v="0"/>
    <x v="0"/>
    <x v="1913"/>
    <x v="12"/>
    <n v="0"/>
    <x v="11"/>
    <n v="0"/>
    <x v="8"/>
    <x v="3"/>
  </r>
  <r>
    <n v="1494"/>
    <x v="78"/>
    <x v="4"/>
    <x v="0"/>
    <x v="1"/>
    <x v="1"/>
    <x v="3"/>
    <x v="1914"/>
    <x v="6"/>
    <n v="0"/>
    <x v="11"/>
    <n v="0"/>
    <x v="8"/>
    <x v="3"/>
  </r>
  <r>
    <n v="69"/>
    <x v="78"/>
    <x v="7"/>
    <x v="0"/>
    <x v="0"/>
    <x v="1"/>
    <x v="5"/>
    <x v="117"/>
    <x v="1"/>
    <n v="0"/>
    <x v="11"/>
    <n v="0"/>
    <x v="8"/>
    <x v="3"/>
  </r>
  <r>
    <n v="477"/>
    <x v="78"/>
    <x v="10"/>
    <x v="0"/>
    <x v="1"/>
    <x v="1"/>
    <x v="1"/>
    <x v="1230"/>
    <x v="6"/>
    <n v="0"/>
    <x v="11"/>
    <n v="0"/>
    <x v="8"/>
    <x v="3"/>
  </r>
  <r>
    <n v="4435"/>
    <x v="78"/>
    <x v="11"/>
    <x v="1"/>
    <x v="2"/>
    <x v="3"/>
    <x v="0"/>
    <x v="1915"/>
    <x v="0"/>
    <n v="0"/>
    <x v="11"/>
    <n v="0"/>
    <x v="8"/>
    <x v="3"/>
  </r>
  <r>
    <n v="2740"/>
    <x v="78"/>
    <x v="34"/>
    <x v="1"/>
    <x v="3"/>
    <x v="1"/>
    <x v="4"/>
    <x v="1916"/>
    <x v="5"/>
    <n v="0"/>
    <x v="11"/>
    <n v="0"/>
    <x v="8"/>
    <x v="3"/>
  </r>
  <r>
    <n v="3058"/>
    <x v="78"/>
    <x v="33"/>
    <x v="0"/>
    <x v="2"/>
    <x v="1"/>
    <x v="4"/>
    <x v="1917"/>
    <x v="2"/>
    <n v="0"/>
    <x v="11"/>
    <n v="0"/>
    <x v="8"/>
    <x v="3"/>
  </r>
  <r>
    <n v="1035"/>
    <x v="78"/>
    <x v="5"/>
    <x v="1"/>
    <x v="0"/>
    <x v="0"/>
    <x v="0"/>
    <x v="1918"/>
    <x v="1"/>
    <n v="0"/>
    <x v="11"/>
    <n v="0"/>
    <x v="8"/>
    <x v="3"/>
  </r>
  <r>
    <n v="1266"/>
    <x v="78"/>
    <x v="4"/>
    <x v="1"/>
    <x v="2"/>
    <x v="0"/>
    <x v="0"/>
    <x v="1919"/>
    <x v="2"/>
    <n v="0"/>
    <x v="11"/>
    <n v="0"/>
    <x v="8"/>
    <x v="3"/>
  </r>
  <r>
    <n v="2564"/>
    <x v="78"/>
    <x v="23"/>
    <x v="1"/>
    <x v="2"/>
    <x v="3"/>
    <x v="0"/>
    <x v="1920"/>
    <x v="5"/>
    <n v="0"/>
    <x v="11"/>
    <n v="0"/>
    <x v="8"/>
    <x v="3"/>
  </r>
  <r>
    <n v="3356"/>
    <x v="78"/>
    <x v="6"/>
    <x v="1"/>
    <x v="2"/>
    <x v="1"/>
    <x v="7"/>
    <x v="123"/>
    <x v="2"/>
    <n v="0"/>
    <x v="11"/>
    <n v="0"/>
    <x v="8"/>
    <x v="3"/>
  </r>
  <r>
    <n v="2547"/>
    <x v="78"/>
    <x v="33"/>
    <x v="1"/>
    <x v="1"/>
    <x v="0"/>
    <x v="0"/>
    <x v="1921"/>
    <x v="1"/>
    <n v="0"/>
    <x v="11"/>
    <n v="0"/>
    <x v="8"/>
    <x v="3"/>
  </r>
  <r>
    <n v="4702"/>
    <x v="78"/>
    <x v="25"/>
    <x v="0"/>
    <x v="1"/>
    <x v="0"/>
    <x v="0"/>
    <x v="1922"/>
    <x v="8"/>
    <n v="0"/>
    <x v="11"/>
    <n v="0"/>
    <x v="8"/>
    <x v="3"/>
  </r>
  <r>
    <n v="437"/>
    <x v="78"/>
    <x v="24"/>
    <x v="1"/>
    <x v="2"/>
    <x v="0"/>
    <x v="0"/>
    <x v="1582"/>
    <x v="0"/>
    <n v="0"/>
    <x v="11"/>
    <n v="0"/>
    <x v="8"/>
    <x v="3"/>
  </r>
  <r>
    <n v="1940"/>
    <x v="78"/>
    <x v="45"/>
    <x v="0"/>
    <x v="0"/>
    <x v="0"/>
    <x v="0"/>
    <x v="1923"/>
    <x v="5"/>
    <n v="0"/>
    <x v="11"/>
    <n v="0"/>
    <x v="8"/>
    <x v="3"/>
  </r>
  <r>
    <n v="110"/>
    <x v="78"/>
    <x v="24"/>
    <x v="1"/>
    <x v="2"/>
    <x v="3"/>
    <x v="0"/>
    <x v="1924"/>
    <x v="2"/>
    <n v="0"/>
    <x v="11"/>
    <n v="0"/>
    <x v="8"/>
    <x v="3"/>
  </r>
  <r>
    <n v="587"/>
    <x v="78"/>
    <x v="7"/>
    <x v="0"/>
    <x v="3"/>
    <x v="0"/>
    <x v="0"/>
    <x v="1925"/>
    <x v="1"/>
    <n v="0"/>
    <x v="11"/>
    <n v="0"/>
    <x v="8"/>
    <x v="3"/>
  </r>
  <r>
    <n v="3059"/>
    <x v="78"/>
    <x v="27"/>
    <x v="1"/>
    <x v="2"/>
    <x v="0"/>
    <x v="0"/>
    <x v="1172"/>
    <x v="6"/>
    <n v="0"/>
    <x v="11"/>
    <n v="0"/>
    <x v="8"/>
    <x v="3"/>
  </r>
  <r>
    <n v="2559"/>
    <x v="78"/>
    <x v="14"/>
    <x v="1"/>
    <x v="1"/>
    <x v="1"/>
    <x v="4"/>
    <x v="1926"/>
    <x v="8"/>
    <n v="0"/>
    <x v="11"/>
    <n v="0"/>
    <x v="8"/>
    <x v="3"/>
  </r>
  <r>
    <n v="1321"/>
    <x v="79"/>
    <x v="24"/>
    <x v="1"/>
    <x v="0"/>
    <x v="0"/>
    <x v="0"/>
    <x v="412"/>
    <x v="8"/>
    <n v="1"/>
    <x v="772"/>
    <n v="2"/>
    <x v="6"/>
    <x v="1"/>
  </r>
  <r>
    <n v="989"/>
    <x v="79"/>
    <x v="0"/>
    <x v="1"/>
    <x v="2"/>
    <x v="0"/>
    <x v="0"/>
    <x v="1927"/>
    <x v="0"/>
    <n v="1"/>
    <x v="773"/>
    <n v="3"/>
    <x v="13"/>
    <x v="1"/>
  </r>
  <r>
    <n v="4701"/>
    <x v="79"/>
    <x v="50"/>
    <x v="0"/>
    <x v="2"/>
    <x v="0"/>
    <x v="0"/>
    <x v="1928"/>
    <x v="10"/>
    <n v="1"/>
    <x v="685"/>
    <n v="2"/>
    <x v="11"/>
    <x v="0"/>
  </r>
  <r>
    <n v="963"/>
    <x v="79"/>
    <x v="19"/>
    <x v="0"/>
    <x v="0"/>
    <x v="3"/>
    <x v="0"/>
    <x v="77"/>
    <x v="5"/>
    <n v="1"/>
    <x v="774"/>
    <n v="3"/>
    <x v="5"/>
    <x v="1"/>
  </r>
  <r>
    <n v="4809"/>
    <x v="79"/>
    <x v="40"/>
    <x v="1"/>
    <x v="3"/>
    <x v="0"/>
    <x v="0"/>
    <x v="1929"/>
    <x v="9"/>
    <n v="1"/>
    <x v="775"/>
    <n v="1"/>
    <x v="3"/>
    <x v="1"/>
  </r>
  <r>
    <n v="667"/>
    <x v="79"/>
    <x v="19"/>
    <x v="1"/>
    <x v="3"/>
    <x v="0"/>
    <x v="0"/>
    <x v="1129"/>
    <x v="1"/>
    <n v="1"/>
    <x v="776"/>
    <n v="2"/>
    <x v="14"/>
    <x v="1"/>
  </r>
  <r>
    <n v="2004"/>
    <x v="79"/>
    <x v="43"/>
    <x v="0"/>
    <x v="0"/>
    <x v="0"/>
    <x v="0"/>
    <x v="1930"/>
    <x v="1"/>
    <n v="1"/>
    <x v="777"/>
    <n v="4"/>
    <x v="0"/>
    <x v="1"/>
  </r>
  <r>
    <n v="1009"/>
    <x v="79"/>
    <x v="24"/>
    <x v="1"/>
    <x v="2"/>
    <x v="3"/>
    <x v="0"/>
    <x v="1931"/>
    <x v="1"/>
    <n v="1"/>
    <x v="778"/>
    <n v="3"/>
    <x v="5"/>
    <x v="0"/>
  </r>
  <r>
    <n v="4615"/>
    <x v="79"/>
    <x v="45"/>
    <x v="0"/>
    <x v="0"/>
    <x v="0"/>
    <x v="0"/>
    <x v="1932"/>
    <x v="8"/>
    <n v="1"/>
    <x v="779"/>
    <n v="5"/>
    <x v="13"/>
    <x v="0"/>
  </r>
  <r>
    <n v="1398"/>
    <x v="79"/>
    <x v="16"/>
    <x v="0"/>
    <x v="2"/>
    <x v="0"/>
    <x v="0"/>
    <x v="1933"/>
    <x v="0"/>
    <n v="1"/>
    <x v="780"/>
    <n v="2"/>
    <x v="4"/>
    <x v="0"/>
  </r>
  <r>
    <n v="3184"/>
    <x v="79"/>
    <x v="18"/>
    <x v="0"/>
    <x v="1"/>
    <x v="0"/>
    <x v="0"/>
    <x v="1934"/>
    <x v="1"/>
    <n v="1"/>
    <x v="781"/>
    <n v="4"/>
    <x v="4"/>
    <x v="2"/>
  </r>
  <r>
    <n v="330"/>
    <x v="79"/>
    <x v="4"/>
    <x v="1"/>
    <x v="1"/>
    <x v="1"/>
    <x v="5"/>
    <x v="1935"/>
    <x v="9"/>
    <n v="1"/>
    <x v="782"/>
    <n v="4"/>
    <x v="0"/>
    <x v="2"/>
  </r>
  <r>
    <n v="2613"/>
    <x v="79"/>
    <x v="23"/>
    <x v="1"/>
    <x v="1"/>
    <x v="0"/>
    <x v="0"/>
    <x v="1936"/>
    <x v="5"/>
    <n v="1"/>
    <x v="783"/>
    <n v="2"/>
    <x v="3"/>
    <x v="1"/>
  </r>
  <r>
    <n v="3152"/>
    <x v="79"/>
    <x v="14"/>
    <x v="1"/>
    <x v="0"/>
    <x v="0"/>
    <x v="0"/>
    <x v="1937"/>
    <x v="2"/>
    <n v="1"/>
    <x v="784"/>
    <n v="2"/>
    <x v="15"/>
    <x v="0"/>
  </r>
  <r>
    <n v="2002"/>
    <x v="79"/>
    <x v="10"/>
    <x v="0"/>
    <x v="1"/>
    <x v="1"/>
    <x v="5"/>
    <x v="1938"/>
    <x v="8"/>
    <n v="1"/>
    <x v="16"/>
    <n v="3"/>
    <x v="12"/>
    <x v="0"/>
  </r>
  <r>
    <n v="1375"/>
    <x v="79"/>
    <x v="8"/>
    <x v="0"/>
    <x v="1"/>
    <x v="0"/>
    <x v="0"/>
    <x v="1939"/>
    <x v="4"/>
    <n v="1"/>
    <x v="785"/>
    <n v="3"/>
    <x v="14"/>
    <x v="0"/>
  </r>
  <r>
    <n v="106"/>
    <x v="79"/>
    <x v="13"/>
    <x v="1"/>
    <x v="2"/>
    <x v="0"/>
    <x v="0"/>
    <x v="1940"/>
    <x v="5"/>
    <n v="1"/>
    <x v="9"/>
    <n v="1"/>
    <x v="11"/>
    <x v="1"/>
  </r>
  <r>
    <n v="4403"/>
    <x v="79"/>
    <x v="0"/>
    <x v="1"/>
    <x v="1"/>
    <x v="1"/>
    <x v="6"/>
    <x v="1941"/>
    <x v="10"/>
    <n v="1"/>
    <x v="540"/>
    <n v="2"/>
    <x v="3"/>
    <x v="1"/>
  </r>
  <r>
    <n v="3735"/>
    <x v="79"/>
    <x v="23"/>
    <x v="0"/>
    <x v="1"/>
    <x v="2"/>
    <x v="0"/>
    <x v="1942"/>
    <x v="5"/>
    <n v="1"/>
    <x v="786"/>
    <n v="3"/>
    <x v="10"/>
    <x v="0"/>
  </r>
  <r>
    <n v="3399"/>
    <x v="79"/>
    <x v="0"/>
    <x v="1"/>
    <x v="2"/>
    <x v="1"/>
    <x v="2"/>
    <x v="1943"/>
    <x v="6"/>
    <n v="0"/>
    <x v="11"/>
    <n v="0"/>
    <x v="8"/>
    <x v="3"/>
  </r>
  <r>
    <n v="2811"/>
    <x v="79"/>
    <x v="23"/>
    <x v="0"/>
    <x v="0"/>
    <x v="0"/>
    <x v="0"/>
    <x v="1944"/>
    <x v="5"/>
    <n v="0"/>
    <x v="11"/>
    <n v="0"/>
    <x v="8"/>
    <x v="3"/>
  </r>
  <r>
    <n v="2729"/>
    <x v="79"/>
    <x v="34"/>
    <x v="1"/>
    <x v="1"/>
    <x v="0"/>
    <x v="0"/>
    <x v="480"/>
    <x v="8"/>
    <n v="0"/>
    <x v="11"/>
    <n v="0"/>
    <x v="8"/>
    <x v="3"/>
  </r>
  <r>
    <n v="3625"/>
    <x v="79"/>
    <x v="5"/>
    <x v="0"/>
    <x v="0"/>
    <x v="0"/>
    <x v="0"/>
    <x v="1945"/>
    <x v="6"/>
    <n v="0"/>
    <x v="11"/>
    <n v="0"/>
    <x v="8"/>
    <x v="3"/>
  </r>
  <r>
    <n v="3122"/>
    <x v="79"/>
    <x v="11"/>
    <x v="1"/>
    <x v="1"/>
    <x v="0"/>
    <x v="0"/>
    <x v="1935"/>
    <x v="8"/>
    <n v="0"/>
    <x v="11"/>
    <n v="0"/>
    <x v="8"/>
    <x v="3"/>
  </r>
  <r>
    <n v="763"/>
    <x v="79"/>
    <x v="19"/>
    <x v="0"/>
    <x v="2"/>
    <x v="0"/>
    <x v="0"/>
    <x v="492"/>
    <x v="2"/>
    <n v="0"/>
    <x v="11"/>
    <n v="0"/>
    <x v="8"/>
    <x v="3"/>
  </r>
  <r>
    <n v="4682"/>
    <x v="79"/>
    <x v="51"/>
    <x v="0"/>
    <x v="1"/>
    <x v="0"/>
    <x v="0"/>
    <x v="1946"/>
    <x v="0"/>
    <n v="0"/>
    <x v="11"/>
    <n v="0"/>
    <x v="8"/>
    <x v="3"/>
  </r>
  <r>
    <n v="4764"/>
    <x v="79"/>
    <x v="15"/>
    <x v="1"/>
    <x v="1"/>
    <x v="0"/>
    <x v="0"/>
    <x v="1421"/>
    <x v="6"/>
    <n v="0"/>
    <x v="11"/>
    <n v="0"/>
    <x v="8"/>
    <x v="3"/>
  </r>
  <r>
    <n v="3233"/>
    <x v="79"/>
    <x v="45"/>
    <x v="0"/>
    <x v="3"/>
    <x v="1"/>
    <x v="1"/>
    <x v="1947"/>
    <x v="5"/>
    <n v="0"/>
    <x v="11"/>
    <n v="0"/>
    <x v="8"/>
    <x v="3"/>
  </r>
  <r>
    <n v="1888"/>
    <x v="79"/>
    <x v="45"/>
    <x v="1"/>
    <x v="2"/>
    <x v="1"/>
    <x v="4"/>
    <x v="1948"/>
    <x v="0"/>
    <n v="0"/>
    <x v="11"/>
    <n v="0"/>
    <x v="8"/>
    <x v="3"/>
  </r>
  <r>
    <n v="538"/>
    <x v="79"/>
    <x v="0"/>
    <x v="1"/>
    <x v="0"/>
    <x v="0"/>
    <x v="0"/>
    <x v="1364"/>
    <x v="0"/>
    <n v="0"/>
    <x v="11"/>
    <n v="0"/>
    <x v="8"/>
    <x v="3"/>
  </r>
  <r>
    <n v="4533"/>
    <x v="79"/>
    <x v="1"/>
    <x v="0"/>
    <x v="3"/>
    <x v="0"/>
    <x v="0"/>
    <x v="613"/>
    <x v="5"/>
    <n v="0"/>
    <x v="11"/>
    <n v="0"/>
    <x v="8"/>
    <x v="3"/>
  </r>
  <r>
    <n v="3119"/>
    <x v="79"/>
    <x v="44"/>
    <x v="0"/>
    <x v="2"/>
    <x v="0"/>
    <x v="0"/>
    <x v="1949"/>
    <x v="2"/>
    <n v="0"/>
    <x v="11"/>
    <n v="0"/>
    <x v="8"/>
    <x v="3"/>
  </r>
  <r>
    <n v="1588"/>
    <x v="80"/>
    <x v="22"/>
    <x v="1"/>
    <x v="0"/>
    <x v="0"/>
    <x v="0"/>
    <x v="1950"/>
    <x v="5"/>
    <n v="1"/>
    <x v="787"/>
    <n v="4"/>
    <x v="5"/>
    <x v="0"/>
  </r>
  <r>
    <n v="2565"/>
    <x v="80"/>
    <x v="14"/>
    <x v="1"/>
    <x v="0"/>
    <x v="0"/>
    <x v="0"/>
    <x v="1951"/>
    <x v="5"/>
    <n v="1"/>
    <x v="788"/>
    <n v="2"/>
    <x v="9"/>
    <x v="1"/>
  </r>
  <r>
    <n v="2690"/>
    <x v="80"/>
    <x v="13"/>
    <x v="1"/>
    <x v="2"/>
    <x v="3"/>
    <x v="0"/>
    <x v="1952"/>
    <x v="1"/>
    <n v="1"/>
    <x v="789"/>
    <n v="5"/>
    <x v="2"/>
    <x v="0"/>
  </r>
  <r>
    <n v="2460"/>
    <x v="80"/>
    <x v="19"/>
    <x v="0"/>
    <x v="1"/>
    <x v="0"/>
    <x v="0"/>
    <x v="1167"/>
    <x v="1"/>
    <n v="1"/>
    <x v="790"/>
    <n v="1"/>
    <x v="2"/>
    <x v="1"/>
  </r>
  <r>
    <n v="4260"/>
    <x v="80"/>
    <x v="51"/>
    <x v="0"/>
    <x v="1"/>
    <x v="3"/>
    <x v="0"/>
    <x v="1953"/>
    <x v="0"/>
    <n v="1"/>
    <x v="791"/>
    <n v="3"/>
    <x v="9"/>
    <x v="2"/>
  </r>
  <r>
    <n v="556"/>
    <x v="80"/>
    <x v="0"/>
    <x v="0"/>
    <x v="0"/>
    <x v="3"/>
    <x v="0"/>
    <x v="1954"/>
    <x v="6"/>
    <n v="1"/>
    <x v="792"/>
    <n v="1"/>
    <x v="6"/>
    <x v="1"/>
  </r>
  <r>
    <n v="4319"/>
    <x v="80"/>
    <x v="14"/>
    <x v="0"/>
    <x v="0"/>
    <x v="0"/>
    <x v="0"/>
    <x v="1252"/>
    <x v="2"/>
    <n v="0"/>
    <x v="11"/>
    <n v="0"/>
    <x v="8"/>
    <x v="3"/>
  </r>
  <r>
    <n v="4953"/>
    <x v="80"/>
    <x v="13"/>
    <x v="1"/>
    <x v="2"/>
    <x v="1"/>
    <x v="4"/>
    <x v="1955"/>
    <x v="8"/>
    <n v="0"/>
    <x v="11"/>
    <n v="0"/>
    <x v="8"/>
    <x v="3"/>
  </r>
  <r>
    <n v="4599"/>
    <x v="80"/>
    <x v="44"/>
    <x v="1"/>
    <x v="3"/>
    <x v="0"/>
    <x v="0"/>
    <x v="1956"/>
    <x v="0"/>
    <n v="0"/>
    <x v="11"/>
    <n v="0"/>
    <x v="8"/>
    <x v="3"/>
  </r>
  <r>
    <n v="1678"/>
    <x v="80"/>
    <x v="22"/>
    <x v="0"/>
    <x v="3"/>
    <x v="0"/>
    <x v="0"/>
    <x v="1957"/>
    <x v="0"/>
    <n v="0"/>
    <x v="11"/>
    <n v="0"/>
    <x v="8"/>
    <x v="3"/>
  </r>
  <r>
    <n v="2571"/>
    <x v="80"/>
    <x v="16"/>
    <x v="0"/>
    <x v="0"/>
    <x v="1"/>
    <x v="1"/>
    <x v="1958"/>
    <x v="5"/>
    <n v="0"/>
    <x v="11"/>
    <n v="0"/>
    <x v="8"/>
    <x v="3"/>
  </r>
  <r>
    <n v="1892"/>
    <x v="80"/>
    <x v="43"/>
    <x v="1"/>
    <x v="2"/>
    <x v="0"/>
    <x v="0"/>
    <x v="1808"/>
    <x v="5"/>
    <n v="0"/>
    <x v="11"/>
    <n v="0"/>
    <x v="8"/>
    <x v="3"/>
  </r>
  <r>
    <n v="4277"/>
    <x v="80"/>
    <x v="29"/>
    <x v="1"/>
    <x v="3"/>
    <x v="0"/>
    <x v="0"/>
    <x v="170"/>
    <x v="0"/>
    <n v="0"/>
    <x v="11"/>
    <n v="0"/>
    <x v="8"/>
    <x v="3"/>
  </r>
  <r>
    <n v="1058"/>
    <x v="80"/>
    <x v="2"/>
    <x v="1"/>
    <x v="1"/>
    <x v="3"/>
    <x v="0"/>
    <x v="646"/>
    <x v="2"/>
    <n v="0"/>
    <x v="11"/>
    <n v="0"/>
    <x v="8"/>
    <x v="3"/>
  </r>
  <r>
    <n v="4148"/>
    <x v="80"/>
    <x v="14"/>
    <x v="1"/>
    <x v="1"/>
    <x v="3"/>
    <x v="0"/>
    <x v="1959"/>
    <x v="6"/>
    <n v="0"/>
    <x v="11"/>
    <n v="0"/>
    <x v="8"/>
    <x v="3"/>
  </r>
  <r>
    <n v="865"/>
    <x v="80"/>
    <x v="2"/>
    <x v="1"/>
    <x v="0"/>
    <x v="0"/>
    <x v="0"/>
    <x v="1960"/>
    <x v="10"/>
    <n v="0"/>
    <x v="11"/>
    <n v="0"/>
    <x v="8"/>
    <x v="3"/>
  </r>
  <r>
    <n v="3044"/>
    <x v="80"/>
    <x v="20"/>
    <x v="0"/>
    <x v="0"/>
    <x v="0"/>
    <x v="0"/>
    <x v="1961"/>
    <x v="5"/>
    <n v="0"/>
    <x v="11"/>
    <n v="0"/>
    <x v="8"/>
    <x v="3"/>
  </r>
  <r>
    <n v="3749"/>
    <x v="80"/>
    <x v="33"/>
    <x v="1"/>
    <x v="0"/>
    <x v="0"/>
    <x v="0"/>
    <x v="1962"/>
    <x v="8"/>
    <n v="0"/>
    <x v="11"/>
    <n v="0"/>
    <x v="8"/>
    <x v="3"/>
  </r>
  <r>
    <n v="1474"/>
    <x v="80"/>
    <x v="19"/>
    <x v="1"/>
    <x v="1"/>
    <x v="2"/>
    <x v="0"/>
    <x v="1963"/>
    <x v="10"/>
    <n v="0"/>
    <x v="11"/>
    <n v="0"/>
    <x v="8"/>
    <x v="3"/>
  </r>
  <r>
    <n v="788"/>
    <x v="80"/>
    <x v="7"/>
    <x v="0"/>
    <x v="3"/>
    <x v="0"/>
    <x v="0"/>
    <x v="757"/>
    <x v="4"/>
    <n v="0"/>
    <x v="11"/>
    <n v="0"/>
    <x v="8"/>
    <x v="3"/>
  </r>
  <r>
    <n v="3859"/>
    <x v="80"/>
    <x v="43"/>
    <x v="0"/>
    <x v="3"/>
    <x v="3"/>
    <x v="0"/>
    <x v="1964"/>
    <x v="10"/>
    <n v="0"/>
    <x v="11"/>
    <n v="0"/>
    <x v="8"/>
    <x v="3"/>
  </r>
  <r>
    <n v="3480"/>
    <x v="80"/>
    <x v="26"/>
    <x v="1"/>
    <x v="1"/>
    <x v="2"/>
    <x v="0"/>
    <x v="1965"/>
    <x v="0"/>
    <n v="0"/>
    <x v="11"/>
    <n v="0"/>
    <x v="8"/>
    <x v="3"/>
  </r>
  <r>
    <n v="3018"/>
    <x v="80"/>
    <x v="11"/>
    <x v="0"/>
    <x v="0"/>
    <x v="1"/>
    <x v="4"/>
    <x v="1899"/>
    <x v="6"/>
    <n v="0"/>
    <x v="11"/>
    <n v="0"/>
    <x v="8"/>
    <x v="3"/>
  </r>
  <r>
    <n v="4772"/>
    <x v="80"/>
    <x v="44"/>
    <x v="0"/>
    <x v="0"/>
    <x v="2"/>
    <x v="0"/>
    <x v="1718"/>
    <x v="5"/>
    <n v="0"/>
    <x v="11"/>
    <n v="0"/>
    <x v="8"/>
    <x v="3"/>
  </r>
  <r>
    <n v="3922"/>
    <x v="80"/>
    <x v="3"/>
    <x v="1"/>
    <x v="2"/>
    <x v="0"/>
    <x v="0"/>
    <x v="1966"/>
    <x v="11"/>
    <n v="0"/>
    <x v="11"/>
    <n v="0"/>
    <x v="8"/>
    <x v="3"/>
  </r>
  <r>
    <n v="4181"/>
    <x v="80"/>
    <x v="32"/>
    <x v="0"/>
    <x v="1"/>
    <x v="2"/>
    <x v="0"/>
    <x v="1967"/>
    <x v="0"/>
    <n v="0"/>
    <x v="11"/>
    <n v="0"/>
    <x v="8"/>
    <x v="3"/>
  </r>
  <r>
    <n v="4545"/>
    <x v="80"/>
    <x v="32"/>
    <x v="1"/>
    <x v="3"/>
    <x v="0"/>
    <x v="0"/>
    <x v="603"/>
    <x v="0"/>
    <n v="0"/>
    <x v="11"/>
    <n v="0"/>
    <x v="8"/>
    <x v="3"/>
  </r>
  <r>
    <n v="3890"/>
    <x v="80"/>
    <x v="15"/>
    <x v="1"/>
    <x v="1"/>
    <x v="0"/>
    <x v="0"/>
    <x v="866"/>
    <x v="6"/>
    <n v="0"/>
    <x v="11"/>
    <n v="0"/>
    <x v="8"/>
    <x v="3"/>
  </r>
  <r>
    <n v="4461"/>
    <x v="80"/>
    <x v="42"/>
    <x v="0"/>
    <x v="1"/>
    <x v="0"/>
    <x v="0"/>
    <x v="1968"/>
    <x v="2"/>
    <n v="0"/>
    <x v="11"/>
    <n v="0"/>
    <x v="8"/>
    <x v="3"/>
  </r>
  <r>
    <n v="414"/>
    <x v="81"/>
    <x v="16"/>
    <x v="1"/>
    <x v="3"/>
    <x v="1"/>
    <x v="6"/>
    <x v="1344"/>
    <x v="12"/>
    <n v="1"/>
    <x v="436"/>
    <n v="1"/>
    <x v="3"/>
    <x v="0"/>
  </r>
  <r>
    <n v="3787"/>
    <x v="81"/>
    <x v="32"/>
    <x v="1"/>
    <x v="2"/>
    <x v="2"/>
    <x v="0"/>
    <x v="1969"/>
    <x v="6"/>
    <n v="1"/>
    <x v="793"/>
    <n v="4"/>
    <x v="0"/>
    <x v="0"/>
  </r>
  <r>
    <n v="4591"/>
    <x v="81"/>
    <x v="1"/>
    <x v="1"/>
    <x v="2"/>
    <x v="0"/>
    <x v="0"/>
    <x v="1970"/>
    <x v="5"/>
    <n v="1"/>
    <x v="794"/>
    <n v="3"/>
    <x v="3"/>
    <x v="0"/>
  </r>
  <r>
    <n v="4383"/>
    <x v="81"/>
    <x v="47"/>
    <x v="0"/>
    <x v="2"/>
    <x v="0"/>
    <x v="0"/>
    <x v="1971"/>
    <x v="6"/>
    <n v="1"/>
    <x v="795"/>
    <n v="4"/>
    <x v="1"/>
    <x v="1"/>
  </r>
  <r>
    <n v="3567"/>
    <x v="81"/>
    <x v="16"/>
    <x v="1"/>
    <x v="2"/>
    <x v="2"/>
    <x v="0"/>
    <x v="1972"/>
    <x v="11"/>
    <n v="1"/>
    <x v="796"/>
    <n v="2"/>
    <x v="7"/>
    <x v="0"/>
  </r>
  <r>
    <n v="2845"/>
    <x v="81"/>
    <x v="17"/>
    <x v="0"/>
    <x v="1"/>
    <x v="3"/>
    <x v="0"/>
    <x v="1973"/>
    <x v="2"/>
    <n v="1"/>
    <x v="797"/>
    <n v="2"/>
    <x v="12"/>
    <x v="0"/>
  </r>
  <r>
    <n v="4992"/>
    <x v="81"/>
    <x v="41"/>
    <x v="0"/>
    <x v="2"/>
    <x v="0"/>
    <x v="0"/>
    <x v="1974"/>
    <x v="2"/>
    <n v="1"/>
    <x v="798"/>
    <n v="2"/>
    <x v="4"/>
    <x v="1"/>
  </r>
  <r>
    <n v="725"/>
    <x v="81"/>
    <x v="4"/>
    <x v="0"/>
    <x v="2"/>
    <x v="0"/>
    <x v="0"/>
    <x v="1975"/>
    <x v="2"/>
    <n v="1"/>
    <x v="799"/>
    <n v="2"/>
    <x v="7"/>
    <x v="0"/>
  </r>
  <r>
    <n v="2097"/>
    <x v="81"/>
    <x v="43"/>
    <x v="1"/>
    <x v="2"/>
    <x v="1"/>
    <x v="3"/>
    <x v="1976"/>
    <x v="2"/>
    <n v="1"/>
    <x v="800"/>
    <n v="2"/>
    <x v="7"/>
    <x v="0"/>
  </r>
  <r>
    <n v="2503"/>
    <x v="81"/>
    <x v="27"/>
    <x v="1"/>
    <x v="2"/>
    <x v="0"/>
    <x v="0"/>
    <x v="1977"/>
    <x v="5"/>
    <n v="0"/>
    <x v="11"/>
    <n v="0"/>
    <x v="8"/>
    <x v="3"/>
  </r>
  <r>
    <n v="4288"/>
    <x v="81"/>
    <x v="15"/>
    <x v="1"/>
    <x v="2"/>
    <x v="3"/>
    <x v="0"/>
    <x v="1978"/>
    <x v="5"/>
    <n v="0"/>
    <x v="11"/>
    <n v="0"/>
    <x v="8"/>
    <x v="3"/>
  </r>
  <r>
    <n v="3909"/>
    <x v="81"/>
    <x v="49"/>
    <x v="0"/>
    <x v="2"/>
    <x v="3"/>
    <x v="0"/>
    <x v="1979"/>
    <x v="5"/>
    <n v="0"/>
    <x v="11"/>
    <n v="0"/>
    <x v="8"/>
    <x v="3"/>
  </r>
  <r>
    <n v="233"/>
    <x v="81"/>
    <x v="22"/>
    <x v="1"/>
    <x v="3"/>
    <x v="0"/>
    <x v="0"/>
    <x v="1980"/>
    <x v="5"/>
    <n v="0"/>
    <x v="11"/>
    <n v="0"/>
    <x v="8"/>
    <x v="3"/>
  </r>
  <r>
    <n v="4480"/>
    <x v="81"/>
    <x v="40"/>
    <x v="0"/>
    <x v="3"/>
    <x v="1"/>
    <x v="6"/>
    <x v="1981"/>
    <x v="5"/>
    <n v="0"/>
    <x v="11"/>
    <n v="0"/>
    <x v="8"/>
    <x v="3"/>
  </r>
  <r>
    <n v="2365"/>
    <x v="81"/>
    <x v="16"/>
    <x v="1"/>
    <x v="2"/>
    <x v="0"/>
    <x v="0"/>
    <x v="1959"/>
    <x v="5"/>
    <n v="0"/>
    <x v="11"/>
    <n v="0"/>
    <x v="8"/>
    <x v="3"/>
  </r>
  <r>
    <n v="3482"/>
    <x v="81"/>
    <x v="17"/>
    <x v="0"/>
    <x v="2"/>
    <x v="2"/>
    <x v="0"/>
    <x v="1982"/>
    <x v="4"/>
    <n v="0"/>
    <x v="11"/>
    <n v="0"/>
    <x v="8"/>
    <x v="3"/>
  </r>
  <r>
    <n v="2497"/>
    <x v="81"/>
    <x v="13"/>
    <x v="1"/>
    <x v="1"/>
    <x v="1"/>
    <x v="2"/>
    <x v="1983"/>
    <x v="10"/>
    <n v="0"/>
    <x v="11"/>
    <n v="0"/>
    <x v="8"/>
    <x v="3"/>
  </r>
  <r>
    <n v="4522"/>
    <x v="81"/>
    <x v="13"/>
    <x v="0"/>
    <x v="3"/>
    <x v="0"/>
    <x v="0"/>
    <x v="1984"/>
    <x v="5"/>
    <n v="0"/>
    <x v="11"/>
    <n v="0"/>
    <x v="8"/>
    <x v="3"/>
  </r>
  <r>
    <n v="803"/>
    <x v="81"/>
    <x v="23"/>
    <x v="0"/>
    <x v="0"/>
    <x v="3"/>
    <x v="0"/>
    <x v="956"/>
    <x v="0"/>
    <n v="0"/>
    <x v="11"/>
    <n v="0"/>
    <x v="8"/>
    <x v="3"/>
  </r>
  <r>
    <n v="3961"/>
    <x v="81"/>
    <x v="32"/>
    <x v="1"/>
    <x v="2"/>
    <x v="1"/>
    <x v="7"/>
    <x v="354"/>
    <x v="5"/>
    <n v="0"/>
    <x v="11"/>
    <n v="0"/>
    <x v="8"/>
    <x v="3"/>
  </r>
  <r>
    <n v="4076"/>
    <x v="81"/>
    <x v="17"/>
    <x v="1"/>
    <x v="0"/>
    <x v="0"/>
    <x v="0"/>
    <x v="1985"/>
    <x v="6"/>
    <n v="0"/>
    <x v="11"/>
    <n v="0"/>
    <x v="8"/>
    <x v="3"/>
  </r>
  <r>
    <n v="940"/>
    <x v="81"/>
    <x v="5"/>
    <x v="0"/>
    <x v="0"/>
    <x v="1"/>
    <x v="7"/>
    <x v="1986"/>
    <x v="5"/>
    <n v="0"/>
    <x v="11"/>
    <n v="0"/>
    <x v="8"/>
    <x v="3"/>
  </r>
  <r>
    <n v="4110"/>
    <x v="81"/>
    <x v="33"/>
    <x v="1"/>
    <x v="0"/>
    <x v="0"/>
    <x v="0"/>
    <x v="1900"/>
    <x v="0"/>
    <n v="0"/>
    <x v="11"/>
    <n v="0"/>
    <x v="8"/>
    <x v="3"/>
  </r>
  <r>
    <n v="360"/>
    <x v="81"/>
    <x v="8"/>
    <x v="0"/>
    <x v="2"/>
    <x v="3"/>
    <x v="0"/>
    <x v="1987"/>
    <x v="6"/>
    <n v="0"/>
    <x v="11"/>
    <n v="0"/>
    <x v="8"/>
    <x v="3"/>
  </r>
  <r>
    <n v="3816"/>
    <x v="81"/>
    <x v="55"/>
    <x v="0"/>
    <x v="1"/>
    <x v="2"/>
    <x v="0"/>
    <x v="835"/>
    <x v="2"/>
    <n v="0"/>
    <x v="11"/>
    <n v="0"/>
    <x v="8"/>
    <x v="3"/>
  </r>
  <r>
    <n v="3400"/>
    <x v="81"/>
    <x v="33"/>
    <x v="0"/>
    <x v="0"/>
    <x v="0"/>
    <x v="0"/>
    <x v="1988"/>
    <x v="2"/>
    <n v="0"/>
    <x v="11"/>
    <n v="0"/>
    <x v="8"/>
    <x v="3"/>
  </r>
  <r>
    <n v="3332"/>
    <x v="82"/>
    <x v="23"/>
    <x v="1"/>
    <x v="1"/>
    <x v="1"/>
    <x v="3"/>
    <x v="368"/>
    <x v="8"/>
    <n v="1"/>
    <x v="801"/>
    <n v="4"/>
    <x v="12"/>
    <x v="0"/>
  </r>
  <r>
    <n v="764"/>
    <x v="82"/>
    <x v="22"/>
    <x v="0"/>
    <x v="2"/>
    <x v="1"/>
    <x v="1"/>
    <x v="1989"/>
    <x v="2"/>
    <n v="1"/>
    <x v="802"/>
    <n v="2"/>
    <x v="14"/>
    <x v="1"/>
  </r>
  <r>
    <n v="1345"/>
    <x v="82"/>
    <x v="39"/>
    <x v="1"/>
    <x v="2"/>
    <x v="3"/>
    <x v="0"/>
    <x v="1990"/>
    <x v="5"/>
    <n v="1"/>
    <x v="803"/>
    <n v="6"/>
    <x v="5"/>
    <x v="0"/>
  </r>
  <r>
    <n v="2231"/>
    <x v="82"/>
    <x v="5"/>
    <x v="1"/>
    <x v="2"/>
    <x v="0"/>
    <x v="0"/>
    <x v="1605"/>
    <x v="6"/>
    <n v="1"/>
    <x v="804"/>
    <n v="4"/>
    <x v="1"/>
    <x v="1"/>
  </r>
  <r>
    <n v="2614"/>
    <x v="82"/>
    <x v="22"/>
    <x v="0"/>
    <x v="2"/>
    <x v="0"/>
    <x v="0"/>
    <x v="1991"/>
    <x v="5"/>
    <n v="1"/>
    <x v="805"/>
    <n v="3"/>
    <x v="2"/>
    <x v="0"/>
  </r>
  <r>
    <n v="2205"/>
    <x v="82"/>
    <x v="11"/>
    <x v="1"/>
    <x v="1"/>
    <x v="1"/>
    <x v="7"/>
    <x v="1992"/>
    <x v="8"/>
    <n v="1"/>
    <x v="806"/>
    <n v="3"/>
    <x v="10"/>
    <x v="1"/>
  </r>
  <r>
    <n v="1164"/>
    <x v="82"/>
    <x v="24"/>
    <x v="0"/>
    <x v="0"/>
    <x v="1"/>
    <x v="6"/>
    <x v="1993"/>
    <x v="2"/>
    <n v="1"/>
    <x v="807"/>
    <n v="1"/>
    <x v="7"/>
    <x v="0"/>
  </r>
  <r>
    <n v="4729"/>
    <x v="82"/>
    <x v="50"/>
    <x v="1"/>
    <x v="2"/>
    <x v="0"/>
    <x v="0"/>
    <x v="1994"/>
    <x v="2"/>
    <n v="1"/>
    <x v="808"/>
    <n v="3"/>
    <x v="4"/>
    <x v="0"/>
  </r>
  <r>
    <n v="3579"/>
    <x v="82"/>
    <x v="17"/>
    <x v="0"/>
    <x v="1"/>
    <x v="3"/>
    <x v="0"/>
    <x v="1995"/>
    <x v="0"/>
    <n v="0"/>
    <x v="11"/>
    <n v="0"/>
    <x v="8"/>
    <x v="3"/>
  </r>
  <r>
    <n v="724"/>
    <x v="82"/>
    <x v="22"/>
    <x v="0"/>
    <x v="2"/>
    <x v="0"/>
    <x v="0"/>
    <x v="1996"/>
    <x v="4"/>
    <n v="0"/>
    <x v="11"/>
    <n v="0"/>
    <x v="8"/>
    <x v="3"/>
  </r>
  <r>
    <n v="3707"/>
    <x v="82"/>
    <x v="6"/>
    <x v="1"/>
    <x v="1"/>
    <x v="0"/>
    <x v="0"/>
    <x v="1997"/>
    <x v="8"/>
    <n v="0"/>
    <x v="11"/>
    <n v="0"/>
    <x v="8"/>
    <x v="3"/>
  </r>
  <r>
    <n v="4909"/>
    <x v="82"/>
    <x v="56"/>
    <x v="0"/>
    <x v="0"/>
    <x v="3"/>
    <x v="0"/>
    <x v="572"/>
    <x v="11"/>
    <n v="0"/>
    <x v="11"/>
    <n v="0"/>
    <x v="8"/>
    <x v="3"/>
  </r>
  <r>
    <n v="2537"/>
    <x v="82"/>
    <x v="23"/>
    <x v="1"/>
    <x v="0"/>
    <x v="0"/>
    <x v="0"/>
    <x v="1530"/>
    <x v="1"/>
    <n v="0"/>
    <x v="11"/>
    <n v="0"/>
    <x v="8"/>
    <x v="3"/>
  </r>
  <r>
    <n v="4832"/>
    <x v="82"/>
    <x v="15"/>
    <x v="0"/>
    <x v="2"/>
    <x v="0"/>
    <x v="0"/>
    <x v="1998"/>
    <x v="1"/>
    <n v="0"/>
    <x v="11"/>
    <n v="0"/>
    <x v="8"/>
    <x v="3"/>
  </r>
  <r>
    <n v="4929"/>
    <x v="82"/>
    <x v="50"/>
    <x v="0"/>
    <x v="2"/>
    <x v="0"/>
    <x v="0"/>
    <x v="1999"/>
    <x v="6"/>
    <n v="0"/>
    <x v="11"/>
    <n v="0"/>
    <x v="8"/>
    <x v="3"/>
  </r>
  <r>
    <n v="4948"/>
    <x v="82"/>
    <x v="44"/>
    <x v="0"/>
    <x v="2"/>
    <x v="3"/>
    <x v="0"/>
    <x v="2000"/>
    <x v="11"/>
    <n v="0"/>
    <x v="11"/>
    <n v="0"/>
    <x v="8"/>
    <x v="3"/>
  </r>
  <r>
    <n v="4486"/>
    <x v="82"/>
    <x v="27"/>
    <x v="1"/>
    <x v="2"/>
    <x v="0"/>
    <x v="0"/>
    <x v="2001"/>
    <x v="1"/>
    <n v="0"/>
    <x v="11"/>
    <n v="0"/>
    <x v="8"/>
    <x v="3"/>
  </r>
  <r>
    <n v="2917"/>
    <x v="82"/>
    <x v="0"/>
    <x v="1"/>
    <x v="3"/>
    <x v="2"/>
    <x v="0"/>
    <x v="2002"/>
    <x v="6"/>
    <n v="0"/>
    <x v="11"/>
    <n v="0"/>
    <x v="8"/>
    <x v="3"/>
  </r>
  <r>
    <n v="266"/>
    <x v="82"/>
    <x v="8"/>
    <x v="0"/>
    <x v="0"/>
    <x v="1"/>
    <x v="4"/>
    <x v="443"/>
    <x v="1"/>
    <n v="0"/>
    <x v="11"/>
    <n v="0"/>
    <x v="8"/>
    <x v="3"/>
  </r>
  <r>
    <n v="2277"/>
    <x v="82"/>
    <x v="23"/>
    <x v="0"/>
    <x v="2"/>
    <x v="0"/>
    <x v="0"/>
    <x v="2003"/>
    <x v="8"/>
    <n v="0"/>
    <x v="11"/>
    <n v="0"/>
    <x v="8"/>
    <x v="3"/>
  </r>
  <r>
    <n v="3137"/>
    <x v="82"/>
    <x v="13"/>
    <x v="1"/>
    <x v="0"/>
    <x v="0"/>
    <x v="0"/>
    <x v="1837"/>
    <x v="11"/>
    <n v="0"/>
    <x v="11"/>
    <n v="0"/>
    <x v="8"/>
    <x v="3"/>
  </r>
  <r>
    <n v="4646"/>
    <x v="82"/>
    <x v="16"/>
    <x v="1"/>
    <x v="0"/>
    <x v="1"/>
    <x v="3"/>
    <x v="2004"/>
    <x v="8"/>
    <n v="0"/>
    <x v="11"/>
    <n v="0"/>
    <x v="8"/>
    <x v="3"/>
  </r>
  <r>
    <n v="938"/>
    <x v="83"/>
    <x v="0"/>
    <x v="1"/>
    <x v="2"/>
    <x v="3"/>
    <x v="0"/>
    <x v="1343"/>
    <x v="2"/>
    <n v="1"/>
    <x v="809"/>
    <n v="1"/>
    <x v="10"/>
    <x v="0"/>
  </r>
  <r>
    <n v="2383"/>
    <x v="83"/>
    <x v="20"/>
    <x v="0"/>
    <x v="1"/>
    <x v="2"/>
    <x v="0"/>
    <x v="2005"/>
    <x v="1"/>
    <n v="1"/>
    <x v="810"/>
    <n v="1"/>
    <x v="4"/>
    <x v="1"/>
  </r>
  <r>
    <n v="1361"/>
    <x v="83"/>
    <x v="16"/>
    <x v="0"/>
    <x v="2"/>
    <x v="3"/>
    <x v="0"/>
    <x v="2006"/>
    <x v="0"/>
    <n v="1"/>
    <x v="811"/>
    <n v="6"/>
    <x v="0"/>
    <x v="1"/>
  </r>
  <r>
    <n v="4727"/>
    <x v="83"/>
    <x v="32"/>
    <x v="1"/>
    <x v="3"/>
    <x v="0"/>
    <x v="0"/>
    <x v="2007"/>
    <x v="8"/>
    <n v="1"/>
    <x v="812"/>
    <n v="5"/>
    <x v="12"/>
    <x v="0"/>
  </r>
  <r>
    <n v="1019"/>
    <x v="83"/>
    <x v="10"/>
    <x v="1"/>
    <x v="2"/>
    <x v="0"/>
    <x v="0"/>
    <x v="2008"/>
    <x v="6"/>
    <n v="1"/>
    <x v="813"/>
    <n v="2"/>
    <x v="12"/>
    <x v="1"/>
  </r>
  <r>
    <n v="3103"/>
    <x v="83"/>
    <x v="27"/>
    <x v="0"/>
    <x v="0"/>
    <x v="1"/>
    <x v="4"/>
    <x v="2009"/>
    <x v="10"/>
    <n v="1"/>
    <x v="814"/>
    <n v="3"/>
    <x v="9"/>
    <x v="0"/>
  </r>
  <r>
    <n v="3192"/>
    <x v="83"/>
    <x v="11"/>
    <x v="0"/>
    <x v="2"/>
    <x v="0"/>
    <x v="0"/>
    <x v="2010"/>
    <x v="0"/>
    <n v="0"/>
    <x v="11"/>
    <n v="0"/>
    <x v="8"/>
    <x v="3"/>
  </r>
  <r>
    <n v="3903"/>
    <x v="83"/>
    <x v="35"/>
    <x v="0"/>
    <x v="2"/>
    <x v="1"/>
    <x v="7"/>
    <x v="2011"/>
    <x v="7"/>
    <n v="0"/>
    <x v="11"/>
    <n v="0"/>
    <x v="8"/>
    <x v="3"/>
  </r>
  <r>
    <n v="243"/>
    <x v="83"/>
    <x v="10"/>
    <x v="1"/>
    <x v="3"/>
    <x v="0"/>
    <x v="0"/>
    <x v="2012"/>
    <x v="2"/>
    <n v="0"/>
    <x v="11"/>
    <n v="0"/>
    <x v="8"/>
    <x v="3"/>
  </r>
  <r>
    <n v="2352"/>
    <x v="83"/>
    <x v="33"/>
    <x v="0"/>
    <x v="3"/>
    <x v="2"/>
    <x v="0"/>
    <x v="2013"/>
    <x v="5"/>
    <n v="0"/>
    <x v="11"/>
    <n v="0"/>
    <x v="8"/>
    <x v="3"/>
  </r>
  <r>
    <n v="954"/>
    <x v="83"/>
    <x v="7"/>
    <x v="0"/>
    <x v="0"/>
    <x v="1"/>
    <x v="2"/>
    <x v="120"/>
    <x v="6"/>
    <n v="0"/>
    <x v="11"/>
    <n v="0"/>
    <x v="8"/>
    <x v="3"/>
  </r>
  <r>
    <n v="274"/>
    <x v="83"/>
    <x v="19"/>
    <x v="1"/>
    <x v="1"/>
    <x v="3"/>
    <x v="0"/>
    <x v="2014"/>
    <x v="5"/>
    <n v="0"/>
    <x v="11"/>
    <n v="0"/>
    <x v="8"/>
    <x v="3"/>
  </r>
  <r>
    <n v="2101"/>
    <x v="83"/>
    <x v="21"/>
    <x v="1"/>
    <x v="2"/>
    <x v="0"/>
    <x v="0"/>
    <x v="442"/>
    <x v="8"/>
    <n v="0"/>
    <x v="11"/>
    <n v="0"/>
    <x v="8"/>
    <x v="3"/>
  </r>
  <r>
    <n v="4528"/>
    <x v="83"/>
    <x v="3"/>
    <x v="0"/>
    <x v="1"/>
    <x v="0"/>
    <x v="0"/>
    <x v="2015"/>
    <x v="1"/>
    <n v="0"/>
    <x v="11"/>
    <n v="0"/>
    <x v="8"/>
    <x v="3"/>
  </r>
  <r>
    <n v="837"/>
    <x v="83"/>
    <x v="18"/>
    <x v="0"/>
    <x v="2"/>
    <x v="1"/>
    <x v="1"/>
    <x v="2016"/>
    <x v="2"/>
    <n v="0"/>
    <x v="11"/>
    <n v="0"/>
    <x v="8"/>
    <x v="3"/>
  </r>
  <r>
    <n v="4234"/>
    <x v="83"/>
    <x v="50"/>
    <x v="1"/>
    <x v="2"/>
    <x v="3"/>
    <x v="0"/>
    <x v="556"/>
    <x v="5"/>
    <n v="0"/>
    <x v="11"/>
    <n v="0"/>
    <x v="8"/>
    <x v="3"/>
  </r>
  <r>
    <n v="3887"/>
    <x v="83"/>
    <x v="25"/>
    <x v="0"/>
    <x v="2"/>
    <x v="1"/>
    <x v="2"/>
    <x v="2017"/>
    <x v="6"/>
    <n v="0"/>
    <x v="11"/>
    <n v="0"/>
    <x v="8"/>
    <x v="3"/>
  </r>
  <r>
    <n v="4916"/>
    <x v="83"/>
    <x v="47"/>
    <x v="1"/>
    <x v="1"/>
    <x v="3"/>
    <x v="0"/>
    <x v="2018"/>
    <x v="1"/>
    <n v="0"/>
    <x v="11"/>
    <n v="0"/>
    <x v="8"/>
    <x v="3"/>
  </r>
  <r>
    <n v="1319"/>
    <x v="84"/>
    <x v="20"/>
    <x v="0"/>
    <x v="0"/>
    <x v="1"/>
    <x v="7"/>
    <x v="2019"/>
    <x v="1"/>
    <n v="1"/>
    <x v="815"/>
    <n v="4"/>
    <x v="3"/>
    <x v="1"/>
  </r>
  <r>
    <n v="1815"/>
    <x v="84"/>
    <x v="41"/>
    <x v="1"/>
    <x v="3"/>
    <x v="0"/>
    <x v="0"/>
    <x v="2020"/>
    <x v="12"/>
    <n v="1"/>
    <x v="816"/>
    <n v="2"/>
    <x v="1"/>
    <x v="0"/>
  </r>
  <r>
    <n v="4539"/>
    <x v="84"/>
    <x v="44"/>
    <x v="0"/>
    <x v="0"/>
    <x v="1"/>
    <x v="4"/>
    <x v="2021"/>
    <x v="6"/>
    <n v="1"/>
    <x v="817"/>
    <n v="2"/>
    <x v="5"/>
    <x v="2"/>
  </r>
  <r>
    <n v="2933"/>
    <x v="84"/>
    <x v="22"/>
    <x v="1"/>
    <x v="1"/>
    <x v="3"/>
    <x v="0"/>
    <x v="2022"/>
    <x v="6"/>
    <n v="1"/>
    <x v="818"/>
    <n v="2"/>
    <x v="1"/>
    <x v="1"/>
  </r>
  <r>
    <n v="4301"/>
    <x v="84"/>
    <x v="29"/>
    <x v="1"/>
    <x v="2"/>
    <x v="1"/>
    <x v="2"/>
    <x v="2023"/>
    <x v="3"/>
    <n v="1"/>
    <x v="819"/>
    <n v="4"/>
    <x v="0"/>
    <x v="0"/>
  </r>
  <r>
    <n v="3128"/>
    <x v="84"/>
    <x v="8"/>
    <x v="1"/>
    <x v="0"/>
    <x v="0"/>
    <x v="0"/>
    <x v="2024"/>
    <x v="5"/>
    <n v="1"/>
    <x v="820"/>
    <n v="2"/>
    <x v="5"/>
    <x v="0"/>
  </r>
  <r>
    <n v="614"/>
    <x v="84"/>
    <x v="10"/>
    <x v="0"/>
    <x v="0"/>
    <x v="0"/>
    <x v="0"/>
    <x v="331"/>
    <x v="5"/>
    <n v="1"/>
    <x v="821"/>
    <n v="5"/>
    <x v="15"/>
    <x v="1"/>
  </r>
  <r>
    <n v="1217"/>
    <x v="84"/>
    <x v="22"/>
    <x v="0"/>
    <x v="3"/>
    <x v="2"/>
    <x v="0"/>
    <x v="804"/>
    <x v="6"/>
    <n v="1"/>
    <x v="822"/>
    <n v="3"/>
    <x v="15"/>
    <x v="0"/>
  </r>
  <r>
    <n v="4306"/>
    <x v="84"/>
    <x v="45"/>
    <x v="1"/>
    <x v="3"/>
    <x v="1"/>
    <x v="1"/>
    <x v="2025"/>
    <x v="1"/>
    <n v="1"/>
    <x v="823"/>
    <n v="3"/>
    <x v="9"/>
    <x v="2"/>
  </r>
  <r>
    <n v="1598"/>
    <x v="84"/>
    <x v="0"/>
    <x v="1"/>
    <x v="3"/>
    <x v="1"/>
    <x v="7"/>
    <x v="1377"/>
    <x v="4"/>
    <n v="1"/>
    <x v="824"/>
    <n v="3"/>
    <x v="13"/>
    <x v="0"/>
  </r>
  <r>
    <n v="3559"/>
    <x v="84"/>
    <x v="30"/>
    <x v="1"/>
    <x v="3"/>
    <x v="1"/>
    <x v="6"/>
    <x v="2026"/>
    <x v="5"/>
    <n v="1"/>
    <x v="825"/>
    <n v="1"/>
    <x v="12"/>
    <x v="0"/>
  </r>
  <r>
    <n v="4292"/>
    <x v="84"/>
    <x v="3"/>
    <x v="0"/>
    <x v="2"/>
    <x v="0"/>
    <x v="0"/>
    <x v="2027"/>
    <x v="1"/>
    <n v="1"/>
    <x v="826"/>
    <n v="5"/>
    <x v="11"/>
    <x v="0"/>
  </r>
  <r>
    <n v="1290"/>
    <x v="84"/>
    <x v="19"/>
    <x v="0"/>
    <x v="0"/>
    <x v="1"/>
    <x v="5"/>
    <x v="2028"/>
    <x v="1"/>
    <n v="0"/>
    <x v="11"/>
    <n v="0"/>
    <x v="8"/>
    <x v="3"/>
  </r>
  <r>
    <n v="4367"/>
    <x v="84"/>
    <x v="3"/>
    <x v="0"/>
    <x v="3"/>
    <x v="0"/>
    <x v="0"/>
    <x v="2029"/>
    <x v="1"/>
    <n v="0"/>
    <x v="11"/>
    <n v="0"/>
    <x v="8"/>
    <x v="3"/>
  </r>
  <r>
    <n v="2137"/>
    <x v="84"/>
    <x v="22"/>
    <x v="2"/>
    <x v="0"/>
    <x v="0"/>
    <x v="0"/>
    <x v="2030"/>
    <x v="5"/>
    <n v="0"/>
    <x v="11"/>
    <n v="0"/>
    <x v="8"/>
    <x v="3"/>
  </r>
  <r>
    <n v="440"/>
    <x v="84"/>
    <x v="24"/>
    <x v="0"/>
    <x v="3"/>
    <x v="0"/>
    <x v="0"/>
    <x v="1052"/>
    <x v="8"/>
    <n v="0"/>
    <x v="11"/>
    <n v="0"/>
    <x v="8"/>
    <x v="3"/>
  </r>
  <r>
    <n v="312"/>
    <x v="84"/>
    <x v="18"/>
    <x v="1"/>
    <x v="1"/>
    <x v="0"/>
    <x v="0"/>
    <x v="856"/>
    <x v="4"/>
    <n v="0"/>
    <x v="11"/>
    <n v="0"/>
    <x v="8"/>
    <x v="3"/>
  </r>
  <r>
    <n v="3718"/>
    <x v="84"/>
    <x v="19"/>
    <x v="0"/>
    <x v="1"/>
    <x v="3"/>
    <x v="0"/>
    <x v="2031"/>
    <x v="6"/>
    <n v="0"/>
    <x v="11"/>
    <n v="0"/>
    <x v="8"/>
    <x v="3"/>
  </r>
  <r>
    <n v="1986"/>
    <x v="84"/>
    <x v="11"/>
    <x v="1"/>
    <x v="2"/>
    <x v="0"/>
    <x v="0"/>
    <x v="1189"/>
    <x v="2"/>
    <n v="0"/>
    <x v="11"/>
    <n v="0"/>
    <x v="8"/>
    <x v="3"/>
  </r>
  <r>
    <n v="1677"/>
    <x v="84"/>
    <x v="6"/>
    <x v="0"/>
    <x v="2"/>
    <x v="3"/>
    <x v="0"/>
    <x v="2032"/>
    <x v="10"/>
    <n v="0"/>
    <x v="11"/>
    <n v="0"/>
    <x v="8"/>
    <x v="3"/>
  </r>
  <r>
    <n v="2239"/>
    <x v="84"/>
    <x v="17"/>
    <x v="0"/>
    <x v="2"/>
    <x v="2"/>
    <x v="0"/>
    <x v="2033"/>
    <x v="1"/>
    <n v="0"/>
    <x v="11"/>
    <n v="0"/>
    <x v="8"/>
    <x v="3"/>
  </r>
  <r>
    <n v="1133"/>
    <x v="84"/>
    <x v="24"/>
    <x v="0"/>
    <x v="0"/>
    <x v="3"/>
    <x v="0"/>
    <x v="871"/>
    <x v="6"/>
    <n v="0"/>
    <x v="11"/>
    <n v="0"/>
    <x v="8"/>
    <x v="3"/>
  </r>
  <r>
    <n v="4033"/>
    <x v="84"/>
    <x v="47"/>
    <x v="0"/>
    <x v="3"/>
    <x v="1"/>
    <x v="1"/>
    <x v="464"/>
    <x v="4"/>
    <n v="0"/>
    <x v="11"/>
    <n v="0"/>
    <x v="8"/>
    <x v="3"/>
  </r>
  <r>
    <n v="4896"/>
    <x v="84"/>
    <x v="34"/>
    <x v="1"/>
    <x v="3"/>
    <x v="0"/>
    <x v="0"/>
    <x v="2034"/>
    <x v="2"/>
    <n v="0"/>
    <x v="11"/>
    <n v="0"/>
    <x v="8"/>
    <x v="3"/>
  </r>
  <r>
    <n v="4098"/>
    <x v="84"/>
    <x v="55"/>
    <x v="0"/>
    <x v="0"/>
    <x v="2"/>
    <x v="0"/>
    <x v="2035"/>
    <x v="8"/>
    <n v="0"/>
    <x v="11"/>
    <n v="0"/>
    <x v="8"/>
    <x v="3"/>
  </r>
  <r>
    <n v="961"/>
    <x v="84"/>
    <x v="18"/>
    <x v="0"/>
    <x v="0"/>
    <x v="3"/>
    <x v="0"/>
    <x v="63"/>
    <x v="1"/>
    <n v="0"/>
    <x v="11"/>
    <n v="0"/>
    <x v="8"/>
    <x v="3"/>
  </r>
  <r>
    <n v="1311"/>
    <x v="84"/>
    <x v="10"/>
    <x v="0"/>
    <x v="0"/>
    <x v="2"/>
    <x v="0"/>
    <x v="2036"/>
    <x v="0"/>
    <n v="0"/>
    <x v="11"/>
    <n v="0"/>
    <x v="8"/>
    <x v="3"/>
  </r>
  <r>
    <n v="4807"/>
    <x v="84"/>
    <x v="0"/>
    <x v="1"/>
    <x v="1"/>
    <x v="1"/>
    <x v="1"/>
    <x v="2037"/>
    <x v="8"/>
    <n v="0"/>
    <x v="11"/>
    <n v="0"/>
    <x v="8"/>
    <x v="3"/>
  </r>
  <r>
    <n v="673"/>
    <x v="84"/>
    <x v="7"/>
    <x v="1"/>
    <x v="0"/>
    <x v="0"/>
    <x v="0"/>
    <x v="1631"/>
    <x v="9"/>
    <n v="0"/>
    <x v="11"/>
    <n v="0"/>
    <x v="8"/>
    <x v="3"/>
  </r>
  <r>
    <n v="3547"/>
    <x v="84"/>
    <x v="34"/>
    <x v="0"/>
    <x v="2"/>
    <x v="0"/>
    <x v="0"/>
    <x v="623"/>
    <x v="7"/>
    <n v="0"/>
    <x v="11"/>
    <n v="0"/>
    <x v="8"/>
    <x v="3"/>
  </r>
  <r>
    <n v="2343"/>
    <x v="84"/>
    <x v="0"/>
    <x v="0"/>
    <x v="1"/>
    <x v="1"/>
    <x v="5"/>
    <x v="304"/>
    <x v="0"/>
    <n v="0"/>
    <x v="11"/>
    <n v="0"/>
    <x v="8"/>
    <x v="3"/>
  </r>
  <r>
    <n v="2050"/>
    <x v="84"/>
    <x v="34"/>
    <x v="0"/>
    <x v="2"/>
    <x v="2"/>
    <x v="0"/>
    <x v="2038"/>
    <x v="8"/>
    <n v="0"/>
    <x v="11"/>
    <n v="0"/>
    <x v="8"/>
    <x v="3"/>
  </r>
  <r>
    <n v="1856"/>
    <x v="85"/>
    <x v="23"/>
    <x v="0"/>
    <x v="0"/>
    <x v="0"/>
    <x v="0"/>
    <x v="2039"/>
    <x v="8"/>
    <n v="1"/>
    <x v="827"/>
    <n v="2"/>
    <x v="0"/>
    <x v="0"/>
  </r>
  <r>
    <n v="2848"/>
    <x v="85"/>
    <x v="41"/>
    <x v="0"/>
    <x v="2"/>
    <x v="1"/>
    <x v="3"/>
    <x v="2040"/>
    <x v="6"/>
    <n v="1"/>
    <x v="828"/>
    <n v="4"/>
    <x v="9"/>
    <x v="1"/>
  </r>
  <r>
    <n v="2040"/>
    <x v="85"/>
    <x v="29"/>
    <x v="0"/>
    <x v="2"/>
    <x v="0"/>
    <x v="0"/>
    <x v="2041"/>
    <x v="4"/>
    <n v="1"/>
    <x v="829"/>
    <n v="3"/>
    <x v="13"/>
    <x v="0"/>
  </r>
  <r>
    <n v="320"/>
    <x v="85"/>
    <x v="22"/>
    <x v="1"/>
    <x v="0"/>
    <x v="1"/>
    <x v="1"/>
    <x v="2042"/>
    <x v="10"/>
    <n v="1"/>
    <x v="830"/>
    <n v="5"/>
    <x v="2"/>
    <x v="0"/>
  </r>
  <r>
    <n v="3864"/>
    <x v="85"/>
    <x v="3"/>
    <x v="1"/>
    <x v="1"/>
    <x v="1"/>
    <x v="1"/>
    <x v="1818"/>
    <x v="2"/>
    <n v="1"/>
    <x v="831"/>
    <n v="5"/>
    <x v="5"/>
    <x v="0"/>
  </r>
  <r>
    <n v="3271"/>
    <x v="85"/>
    <x v="7"/>
    <x v="1"/>
    <x v="1"/>
    <x v="2"/>
    <x v="0"/>
    <x v="2026"/>
    <x v="2"/>
    <n v="1"/>
    <x v="832"/>
    <n v="6"/>
    <x v="0"/>
    <x v="1"/>
  </r>
  <r>
    <n v="3090"/>
    <x v="85"/>
    <x v="20"/>
    <x v="1"/>
    <x v="1"/>
    <x v="0"/>
    <x v="0"/>
    <x v="1009"/>
    <x v="6"/>
    <n v="1"/>
    <x v="116"/>
    <n v="5"/>
    <x v="3"/>
    <x v="2"/>
  </r>
  <r>
    <n v="3815"/>
    <x v="85"/>
    <x v="41"/>
    <x v="0"/>
    <x v="0"/>
    <x v="1"/>
    <x v="3"/>
    <x v="2043"/>
    <x v="0"/>
    <n v="1"/>
    <x v="833"/>
    <n v="5"/>
    <x v="11"/>
    <x v="2"/>
  </r>
  <r>
    <n v="630"/>
    <x v="85"/>
    <x v="22"/>
    <x v="0"/>
    <x v="1"/>
    <x v="3"/>
    <x v="0"/>
    <x v="2044"/>
    <x v="1"/>
    <n v="0"/>
    <x v="11"/>
    <n v="0"/>
    <x v="8"/>
    <x v="3"/>
  </r>
  <r>
    <n v="709"/>
    <x v="85"/>
    <x v="22"/>
    <x v="1"/>
    <x v="2"/>
    <x v="0"/>
    <x v="0"/>
    <x v="2045"/>
    <x v="6"/>
    <n v="0"/>
    <x v="11"/>
    <n v="0"/>
    <x v="8"/>
    <x v="3"/>
  </r>
  <r>
    <n v="4220"/>
    <x v="85"/>
    <x v="40"/>
    <x v="0"/>
    <x v="1"/>
    <x v="1"/>
    <x v="3"/>
    <x v="401"/>
    <x v="0"/>
    <n v="0"/>
    <x v="11"/>
    <n v="0"/>
    <x v="8"/>
    <x v="3"/>
  </r>
  <r>
    <n v="3069"/>
    <x v="85"/>
    <x v="34"/>
    <x v="0"/>
    <x v="3"/>
    <x v="3"/>
    <x v="0"/>
    <x v="2046"/>
    <x v="1"/>
    <n v="0"/>
    <x v="11"/>
    <n v="0"/>
    <x v="8"/>
    <x v="3"/>
  </r>
  <r>
    <n v="142"/>
    <x v="85"/>
    <x v="8"/>
    <x v="0"/>
    <x v="2"/>
    <x v="1"/>
    <x v="4"/>
    <x v="1110"/>
    <x v="5"/>
    <n v="0"/>
    <x v="11"/>
    <n v="0"/>
    <x v="8"/>
    <x v="3"/>
  </r>
  <r>
    <n v="4155"/>
    <x v="85"/>
    <x v="51"/>
    <x v="1"/>
    <x v="2"/>
    <x v="0"/>
    <x v="0"/>
    <x v="1443"/>
    <x v="5"/>
    <n v="0"/>
    <x v="11"/>
    <n v="0"/>
    <x v="8"/>
    <x v="3"/>
  </r>
  <r>
    <n v="4648"/>
    <x v="85"/>
    <x v="29"/>
    <x v="1"/>
    <x v="2"/>
    <x v="2"/>
    <x v="0"/>
    <x v="2047"/>
    <x v="4"/>
    <n v="0"/>
    <x v="11"/>
    <n v="0"/>
    <x v="8"/>
    <x v="3"/>
  </r>
  <r>
    <n v="4064"/>
    <x v="85"/>
    <x v="42"/>
    <x v="1"/>
    <x v="1"/>
    <x v="0"/>
    <x v="0"/>
    <x v="1742"/>
    <x v="0"/>
    <n v="0"/>
    <x v="11"/>
    <n v="0"/>
    <x v="8"/>
    <x v="3"/>
  </r>
  <r>
    <n v="1779"/>
    <x v="85"/>
    <x v="5"/>
    <x v="0"/>
    <x v="1"/>
    <x v="1"/>
    <x v="6"/>
    <x v="982"/>
    <x v="5"/>
    <n v="0"/>
    <x v="11"/>
    <n v="0"/>
    <x v="8"/>
    <x v="3"/>
  </r>
  <r>
    <n v="4975"/>
    <x v="85"/>
    <x v="57"/>
    <x v="0"/>
    <x v="0"/>
    <x v="1"/>
    <x v="2"/>
    <x v="2048"/>
    <x v="5"/>
    <n v="0"/>
    <x v="11"/>
    <n v="0"/>
    <x v="8"/>
    <x v="3"/>
  </r>
  <r>
    <n v="3003"/>
    <x v="85"/>
    <x v="2"/>
    <x v="2"/>
    <x v="1"/>
    <x v="3"/>
    <x v="0"/>
    <x v="602"/>
    <x v="6"/>
    <n v="0"/>
    <x v="11"/>
    <n v="0"/>
    <x v="8"/>
    <x v="3"/>
  </r>
  <r>
    <n v="783"/>
    <x v="85"/>
    <x v="7"/>
    <x v="0"/>
    <x v="1"/>
    <x v="0"/>
    <x v="0"/>
    <x v="2049"/>
    <x v="8"/>
    <n v="0"/>
    <x v="11"/>
    <n v="0"/>
    <x v="8"/>
    <x v="3"/>
  </r>
  <r>
    <n v="2281"/>
    <x v="85"/>
    <x v="31"/>
    <x v="0"/>
    <x v="1"/>
    <x v="0"/>
    <x v="0"/>
    <x v="2050"/>
    <x v="4"/>
    <n v="0"/>
    <x v="11"/>
    <n v="0"/>
    <x v="8"/>
    <x v="3"/>
  </r>
  <r>
    <n v="3904"/>
    <x v="85"/>
    <x v="46"/>
    <x v="0"/>
    <x v="0"/>
    <x v="2"/>
    <x v="0"/>
    <x v="584"/>
    <x v="9"/>
    <n v="0"/>
    <x v="11"/>
    <n v="0"/>
    <x v="8"/>
    <x v="3"/>
  </r>
  <r>
    <n v="4247"/>
    <x v="85"/>
    <x v="15"/>
    <x v="0"/>
    <x v="0"/>
    <x v="0"/>
    <x v="0"/>
    <x v="2051"/>
    <x v="8"/>
    <n v="0"/>
    <x v="11"/>
    <n v="0"/>
    <x v="8"/>
    <x v="3"/>
  </r>
  <r>
    <n v="317"/>
    <x v="86"/>
    <x v="7"/>
    <x v="1"/>
    <x v="0"/>
    <x v="3"/>
    <x v="0"/>
    <x v="359"/>
    <x v="2"/>
    <n v="1"/>
    <x v="834"/>
    <n v="3"/>
    <x v="9"/>
    <x v="0"/>
  </r>
  <r>
    <n v="1962"/>
    <x v="86"/>
    <x v="17"/>
    <x v="0"/>
    <x v="0"/>
    <x v="0"/>
    <x v="0"/>
    <x v="2052"/>
    <x v="8"/>
    <n v="1"/>
    <x v="835"/>
    <n v="1"/>
    <x v="0"/>
    <x v="0"/>
  </r>
  <r>
    <n v="4118"/>
    <x v="86"/>
    <x v="41"/>
    <x v="0"/>
    <x v="1"/>
    <x v="1"/>
    <x v="4"/>
    <x v="2053"/>
    <x v="5"/>
    <n v="1"/>
    <x v="836"/>
    <n v="3"/>
    <x v="5"/>
    <x v="0"/>
  </r>
  <r>
    <n v="4675"/>
    <x v="86"/>
    <x v="26"/>
    <x v="1"/>
    <x v="3"/>
    <x v="2"/>
    <x v="0"/>
    <x v="2054"/>
    <x v="0"/>
    <n v="1"/>
    <x v="837"/>
    <n v="3"/>
    <x v="10"/>
    <x v="0"/>
  </r>
  <r>
    <n v="3585"/>
    <x v="86"/>
    <x v="17"/>
    <x v="0"/>
    <x v="0"/>
    <x v="2"/>
    <x v="0"/>
    <x v="2055"/>
    <x v="5"/>
    <n v="1"/>
    <x v="838"/>
    <n v="3"/>
    <x v="0"/>
    <x v="0"/>
  </r>
  <r>
    <n v="4516"/>
    <x v="86"/>
    <x v="28"/>
    <x v="1"/>
    <x v="0"/>
    <x v="0"/>
    <x v="0"/>
    <x v="723"/>
    <x v="0"/>
    <n v="1"/>
    <x v="839"/>
    <n v="6"/>
    <x v="2"/>
    <x v="1"/>
  </r>
  <r>
    <n v="4445"/>
    <x v="86"/>
    <x v="35"/>
    <x v="1"/>
    <x v="3"/>
    <x v="0"/>
    <x v="0"/>
    <x v="205"/>
    <x v="1"/>
    <n v="1"/>
    <x v="840"/>
    <n v="4"/>
    <x v="11"/>
    <x v="0"/>
  </r>
  <r>
    <n v="3170"/>
    <x v="86"/>
    <x v="11"/>
    <x v="1"/>
    <x v="3"/>
    <x v="0"/>
    <x v="0"/>
    <x v="327"/>
    <x v="2"/>
    <n v="1"/>
    <x v="407"/>
    <n v="1"/>
    <x v="13"/>
    <x v="0"/>
  </r>
  <r>
    <n v="4415"/>
    <x v="86"/>
    <x v="30"/>
    <x v="0"/>
    <x v="0"/>
    <x v="1"/>
    <x v="6"/>
    <x v="60"/>
    <x v="6"/>
    <n v="1"/>
    <x v="208"/>
    <n v="3"/>
    <x v="5"/>
    <x v="0"/>
  </r>
  <r>
    <n v="2016"/>
    <x v="86"/>
    <x v="41"/>
    <x v="0"/>
    <x v="1"/>
    <x v="3"/>
    <x v="0"/>
    <x v="55"/>
    <x v="11"/>
    <n v="1"/>
    <x v="841"/>
    <n v="4"/>
    <x v="10"/>
    <x v="0"/>
  </r>
  <r>
    <n v="1558"/>
    <x v="86"/>
    <x v="23"/>
    <x v="0"/>
    <x v="0"/>
    <x v="2"/>
    <x v="0"/>
    <x v="2056"/>
    <x v="2"/>
    <n v="1"/>
    <x v="842"/>
    <n v="3"/>
    <x v="2"/>
    <x v="0"/>
  </r>
  <r>
    <n v="2320"/>
    <x v="86"/>
    <x v="27"/>
    <x v="0"/>
    <x v="3"/>
    <x v="1"/>
    <x v="1"/>
    <x v="2057"/>
    <x v="5"/>
    <n v="1"/>
    <x v="843"/>
    <n v="1"/>
    <x v="13"/>
    <x v="0"/>
  </r>
  <r>
    <n v="1230"/>
    <x v="86"/>
    <x v="39"/>
    <x v="0"/>
    <x v="1"/>
    <x v="0"/>
    <x v="0"/>
    <x v="2058"/>
    <x v="8"/>
    <n v="1"/>
    <x v="844"/>
    <n v="3"/>
    <x v="0"/>
    <x v="0"/>
  </r>
  <r>
    <n v="2548"/>
    <x v="86"/>
    <x v="45"/>
    <x v="0"/>
    <x v="0"/>
    <x v="0"/>
    <x v="0"/>
    <x v="2059"/>
    <x v="6"/>
    <n v="1"/>
    <x v="845"/>
    <n v="3"/>
    <x v="7"/>
    <x v="0"/>
  </r>
  <r>
    <n v="1468"/>
    <x v="86"/>
    <x v="20"/>
    <x v="0"/>
    <x v="0"/>
    <x v="2"/>
    <x v="0"/>
    <x v="1869"/>
    <x v="5"/>
    <n v="0"/>
    <x v="11"/>
    <n v="0"/>
    <x v="8"/>
    <x v="3"/>
  </r>
  <r>
    <n v="2403"/>
    <x v="86"/>
    <x v="26"/>
    <x v="1"/>
    <x v="1"/>
    <x v="0"/>
    <x v="0"/>
    <x v="2060"/>
    <x v="1"/>
    <n v="0"/>
    <x v="11"/>
    <n v="0"/>
    <x v="8"/>
    <x v="3"/>
  </r>
  <r>
    <n v="2888"/>
    <x v="86"/>
    <x v="5"/>
    <x v="0"/>
    <x v="3"/>
    <x v="1"/>
    <x v="2"/>
    <x v="1938"/>
    <x v="4"/>
    <n v="0"/>
    <x v="11"/>
    <n v="0"/>
    <x v="8"/>
    <x v="3"/>
  </r>
  <r>
    <n v="3844"/>
    <x v="86"/>
    <x v="47"/>
    <x v="0"/>
    <x v="0"/>
    <x v="3"/>
    <x v="0"/>
    <x v="1462"/>
    <x v="2"/>
    <n v="0"/>
    <x v="11"/>
    <n v="0"/>
    <x v="8"/>
    <x v="3"/>
  </r>
  <r>
    <n v="107"/>
    <x v="86"/>
    <x v="22"/>
    <x v="0"/>
    <x v="0"/>
    <x v="1"/>
    <x v="3"/>
    <x v="1111"/>
    <x v="0"/>
    <n v="0"/>
    <x v="11"/>
    <n v="0"/>
    <x v="8"/>
    <x v="3"/>
  </r>
  <r>
    <n v="4577"/>
    <x v="86"/>
    <x v="3"/>
    <x v="0"/>
    <x v="1"/>
    <x v="0"/>
    <x v="0"/>
    <x v="2061"/>
    <x v="11"/>
    <n v="0"/>
    <x v="11"/>
    <n v="0"/>
    <x v="8"/>
    <x v="3"/>
  </r>
  <r>
    <n v="675"/>
    <x v="86"/>
    <x v="20"/>
    <x v="1"/>
    <x v="2"/>
    <x v="1"/>
    <x v="3"/>
    <x v="2062"/>
    <x v="2"/>
    <n v="0"/>
    <x v="11"/>
    <n v="0"/>
    <x v="8"/>
    <x v="3"/>
  </r>
  <r>
    <n v="2500"/>
    <x v="86"/>
    <x v="31"/>
    <x v="0"/>
    <x v="0"/>
    <x v="1"/>
    <x v="7"/>
    <x v="2063"/>
    <x v="8"/>
    <n v="0"/>
    <x v="11"/>
    <n v="0"/>
    <x v="8"/>
    <x v="3"/>
  </r>
  <r>
    <n v="1128"/>
    <x v="86"/>
    <x v="24"/>
    <x v="0"/>
    <x v="0"/>
    <x v="1"/>
    <x v="2"/>
    <x v="763"/>
    <x v="0"/>
    <n v="0"/>
    <x v="11"/>
    <n v="0"/>
    <x v="8"/>
    <x v="3"/>
  </r>
  <r>
    <n v="3087"/>
    <x v="86"/>
    <x v="24"/>
    <x v="1"/>
    <x v="2"/>
    <x v="0"/>
    <x v="0"/>
    <x v="2064"/>
    <x v="8"/>
    <n v="0"/>
    <x v="11"/>
    <n v="0"/>
    <x v="8"/>
    <x v="3"/>
  </r>
  <r>
    <n v="2549"/>
    <x v="86"/>
    <x v="11"/>
    <x v="1"/>
    <x v="1"/>
    <x v="0"/>
    <x v="0"/>
    <x v="1169"/>
    <x v="5"/>
    <n v="0"/>
    <x v="11"/>
    <n v="0"/>
    <x v="8"/>
    <x v="3"/>
  </r>
  <r>
    <n v="874"/>
    <x v="86"/>
    <x v="22"/>
    <x v="0"/>
    <x v="0"/>
    <x v="1"/>
    <x v="3"/>
    <x v="2065"/>
    <x v="6"/>
    <n v="0"/>
    <x v="11"/>
    <n v="0"/>
    <x v="8"/>
    <x v="3"/>
  </r>
  <r>
    <n v="4008"/>
    <x v="86"/>
    <x v="28"/>
    <x v="1"/>
    <x v="2"/>
    <x v="0"/>
    <x v="0"/>
    <x v="1904"/>
    <x v="1"/>
    <n v="0"/>
    <x v="11"/>
    <n v="0"/>
    <x v="8"/>
    <x v="3"/>
  </r>
  <r>
    <n v="914"/>
    <x v="86"/>
    <x v="34"/>
    <x v="1"/>
    <x v="2"/>
    <x v="1"/>
    <x v="2"/>
    <x v="344"/>
    <x v="8"/>
    <n v="0"/>
    <x v="11"/>
    <n v="0"/>
    <x v="8"/>
    <x v="3"/>
  </r>
  <r>
    <n v="3740"/>
    <x v="87"/>
    <x v="16"/>
    <x v="0"/>
    <x v="2"/>
    <x v="0"/>
    <x v="0"/>
    <x v="2066"/>
    <x v="8"/>
    <n v="1"/>
    <x v="846"/>
    <n v="1"/>
    <x v="13"/>
    <x v="1"/>
  </r>
  <r>
    <n v="2866"/>
    <x v="87"/>
    <x v="27"/>
    <x v="1"/>
    <x v="2"/>
    <x v="1"/>
    <x v="6"/>
    <x v="2067"/>
    <x v="6"/>
    <n v="1"/>
    <x v="847"/>
    <n v="2"/>
    <x v="11"/>
    <x v="1"/>
  </r>
  <r>
    <n v="1260"/>
    <x v="87"/>
    <x v="4"/>
    <x v="1"/>
    <x v="0"/>
    <x v="3"/>
    <x v="0"/>
    <x v="2068"/>
    <x v="1"/>
    <n v="1"/>
    <x v="848"/>
    <n v="2"/>
    <x v="9"/>
    <x v="0"/>
  </r>
  <r>
    <n v="3431"/>
    <x v="87"/>
    <x v="5"/>
    <x v="1"/>
    <x v="1"/>
    <x v="0"/>
    <x v="0"/>
    <x v="1950"/>
    <x v="9"/>
    <n v="1"/>
    <x v="849"/>
    <n v="1"/>
    <x v="11"/>
    <x v="2"/>
  </r>
  <r>
    <n v="3089"/>
    <x v="87"/>
    <x v="22"/>
    <x v="1"/>
    <x v="2"/>
    <x v="3"/>
    <x v="0"/>
    <x v="2069"/>
    <x v="8"/>
    <n v="1"/>
    <x v="850"/>
    <n v="3"/>
    <x v="9"/>
    <x v="1"/>
  </r>
  <r>
    <n v="1116"/>
    <x v="87"/>
    <x v="7"/>
    <x v="0"/>
    <x v="2"/>
    <x v="2"/>
    <x v="0"/>
    <x v="1523"/>
    <x v="1"/>
    <n v="1"/>
    <x v="851"/>
    <n v="4"/>
    <x v="13"/>
    <x v="0"/>
  </r>
  <r>
    <n v="3553"/>
    <x v="87"/>
    <x v="6"/>
    <x v="1"/>
    <x v="0"/>
    <x v="0"/>
    <x v="0"/>
    <x v="2070"/>
    <x v="2"/>
    <n v="1"/>
    <x v="852"/>
    <n v="2"/>
    <x v="6"/>
    <x v="0"/>
  </r>
  <r>
    <n v="4276"/>
    <x v="87"/>
    <x v="0"/>
    <x v="1"/>
    <x v="0"/>
    <x v="3"/>
    <x v="0"/>
    <x v="251"/>
    <x v="2"/>
    <n v="1"/>
    <x v="853"/>
    <n v="1"/>
    <x v="9"/>
    <x v="0"/>
  </r>
  <r>
    <n v="3594"/>
    <x v="87"/>
    <x v="24"/>
    <x v="0"/>
    <x v="3"/>
    <x v="1"/>
    <x v="5"/>
    <x v="2071"/>
    <x v="5"/>
    <n v="1"/>
    <x v="854"/>
    <n v="2"/>
    <x v="12"/>
    <x v="1"/>
  </r>
  <r>
    <n v="2243"/>
    <x v="87"/>
    <x v="26"/>
    <x v="0"/>
    <x v="1"/>
    <x v="0"/>
    <x v="0"/>
    <x v="2072"/>
    <x v="8"/>
    <n v="1"/>
    <x v="855"/>
    <n v="2"/>
    <x v="14"/>
    <x v="0"/>
  </r>
  <r>
    <n v="4225"/>
    <x v="87"/>
    <x v="9"/>
    <x v="1"/>
    <x v="2"/>
    <x v="0"/>
    <x v="0"/>
    <x v="1355"/>
    <x v="0"/>
    <n v="1"/>
    <x v="856"/>
    <n v="2"/>
    <x v="1"/>
    <x v="2"/>
  </r>
  <r>
    <n v="1507"/>
    <x v="87"/>
    <x v="6"/>
    <x v="0"/>
    <x v="0"/>
    <x v="0"/>
    <x v="0"/>
    <x v="2073"/>
    <x v="1"/>
    <n v="1"/>
    <x v="857"/>
    <n v="3"/>
    <x v="2"/>
    <x v="0"/>
  </r>
  <r>
    <n v="1596"/>
    <x v="87"/>
    <x v="10"/>
    <x v="1"/>
    <x v="3"/>
    <x v="2"/>
    <x v="0"/>
    <x v="2074"/>
    <x v="6"/>
    <n v="1"/>
    <x v="858"/>
    <n v="5"/>
    <x v="2"/>
    <x v="0"/>
  </r>
  <r>
    <n v="698"/>
    <x v="87"/>
    <x v="8"/>
    <x v="0"/>
    <x v="2"/>
    <x v="0"/>
    <x v="0"/>
    <x v="2075"/>
    <x v="6"/>
    <n v="1"/>
    <x v="859"/>
    <n v="3"/>
    <x v="6"/>
    <x v="2"/>
  </r>
  <r>
    <n v="3342"/>
    <x v="87"/>
    <x v="26"/>
    <x v="1"/>
    <x v="0"/>
    <x v="2"/>
    <x v="0"/>
    <x v="2076"/>
    <x v="0"/>
    <n v="0"/>
    <x v="11"/>
    <n v="0"/>
    <x v="8"/>
    <x v="3"/>
  </r>
  <r>
    <n v="1931"/>
    <x v="87"/>
    <x v="33"/>
    <x v="0"/>
    <x v="2"/>
    <x v="2"/>
    <x v="0"/>
    <x v="1955"/>
    <x v="8"/>
    <n v="0"/>
    <x v="11"/>
    <n v="0"/>
    <x v="8"/>
    <x v="3"/>
  </r>
  <r>
    <n v="2386"/>
    <x v="87"/>
    <x v="41"/>
    <x v="0"/>
    <x v="3"/>
    <x v="2"/>
    <x v="0"/>
    <x v="436"/>
    <x v="5"/>
    <n v="0"/>
    <x v="11"/>
    <n v="0"/>
    <x v="8"/>
    <x v="3"/>
  </r>
  <r>
    <n v="4452"/>
    <x v="87"/>
    <x v="44"/>
    <x v="1"/>
    <x v="1"/>
    <x v="1"/>
    <x v="7"/>
    <x v="878"/>
    <x v="2"/>
    <n v="0"/>
    <x v="11"/>
    <n v="0"/>
    <x v="8"/>
    <x v="3"/>
  </r>
  <r>
    <n v="1352"/>
    <x v="87"/>
    <x v="18"/>
    <x v="0"/>
    <x v="1"/>
    <x v="1"/>
    <x v="4"/>
    <x v="2077"/>
    <x v="5"/>
    <n v="0"/>
    <x v="11"/>
    <n v="0"/>
    <x v="8"/>
    <x v="3"/>
  </r>
  <r>
    <n v="4177"/>
    <x v="87"/>
    <x v="29"/>
    <x v="0"/>
    <x v="2"/>
    <x v="3"/>
    <x v="0"/>
    <x v="1992"/>
    <x v="5"/>
    <n v="0"/>
    <x v="11"/>
    <n v="0"/>
    <x v="8"/>
    <x v="3"/>
  </r>
  <r>
    <n v="1833"/>
    <x v="87"/>
    <x v="34"/>
    <x v="0"/>
    <x v="0"/>
    <x v="1"/>
    <x v="5"/>
    <x v="2078"/>
    <x v="5"/>
    <n v="0"/>
    <x v="11"/>
    <n v="0"/>
    <x v="8"/>
    <x v="3"/>
  </r>
  <r>
    <n v="3964"/>
    <x v="87"/>
    <x v="30"/>
    <x v="1"/>
    <x v="3"/>
    <x v="0"/>
    <x v="0"/>
    <x v="415"/>
    <x v="6"/>
    <n v="0"/>
    <x v="11"/>
    <n v="0"/>
    <x v="8"/>
    <x v="3"/>
  </r>
  <r>
    <n v="2864"/>
    <x v="87"/>
    <x v="31"/>
    <x v="0"/>
    <x v="2"/>
    <x v="2"/>
    <x v="0"/>
    <x v="2079"/>
    <x v="0"/>
    <n v="0"/>
    <x v="11"/>
    <n v="0"/>
    <x v="8"/>
    <x v="3"/>
  </r>
  <r>
    <n v="839"/>
    <x v="87"/>
    <x v="24"/>
    <x v="0"/>
    <x v="2"/>
    <x v="0"/>
    <x v="0"/>
    <x v="2080"/>
    <x v="9"/>
    <n v="0"/>
    <x v="11"/>
    <n v="0"/>
    <x v="8"/>
    <x v="3"/>
  </r>
  <r>
    <n v="2455"/>
    <x v="87"/>
    <x v="11"/>
    <x v="0"/>
    <x v="1"/>
    <x v="1"/>
    <x v="4"/>
    <x v="2081"/>
    <x v="6"/>
    <n v="0"/>
    <x v="11"/>
    <n v="0"/>
    <x v="8"/>
    <x v="3"/>
  </r>
  <r>
    <n v="3485"/>
    <x v="87"/>
    <x v="5"/>
    <x v="0"/>
    <x v="2"/>
    <x v="1"/>
    <x v="3"/>
    <x v="1150"/>
    <x v="1"/>
    <n v="0"/>
    <x v="11"/>
    <n v="0"/>
    <x v="8"/>
    <x v="3"/>
  </r>
  <r>
    <n v="4188"/>
    <x v="87"/>
    <x v="21"/>
    <x v="0"/>
    <x v="0"/>
    <x v="3"/>
    <x v="0"/>
    <x v="2082"/>
    <x v="6"/>
    <n v="0"/>
    <x v="11"/>
    <n v="0"/>
    <x v="8"/>
    <x v="3"/>
  </r>
  <r>
    <n v="285"/>
    <x v="87"/>
    <x v="31"/>
    <x v="0"/>
    <x v="2"/>
    <x v="1"/>
    <x v="1"/>
    <x v="2083"/>
    <x v="2"/>
    <n v="0"/>
    <x v="11"/>
    <n v="0"/>
    <x v="8"/>
    <x v="3"/>
  </r>
  <r>
    <n v="4321"/>
    <x v="87"/>
    <x v="29"/>
    <x v="1"/>
    <x v="1"/>
    <x v="0"/>
    <x v="0"/>
    <x v="2084"/>
    <x v="2"/>
    <n v="0"/>
    <x v="11"/>
    <n v="0"/>
    <x v="8"/>
    <x v="3"/>
  </r>
  <r>
    <n v="4040"/>
    <x v="87"/>
    <x v="14"/>
    <x v="0"/>
    <x v="0"/>
    <x v="1"/>
    <x v="1"/>
    <x v="1263"/>
    <x v="2"/>
    <n v="0"/>
    <x v="11"/>
    <n v="0"/>
    <x v="8"/>
    <x v="3"/>
  </r>
  <r>
    <n v="1192"/>
    <x v="87"/>
    <x v="6"/>
    <x v="1"/>
    <x v="2"/>
    <x v="3"/>
    <x v="0"/>
    <x v="2085"/>
    <x v="6"/>
    <n v="0"/>
    <x v="11"/>
    <n v="0"/>
    <x v="8"/>
    <x v="3"/>
  </r>
  <r>
    <n v="2747"/>
    <x v="87"/>
    <x v="2"/>
    <x v="1"/>
    <x v="0"/>
    <x v="2"/>
    <x v="0"/>
    <x v="2086"/>
    <x v="10"/>
    <n v="0"/>
    <x v="11"/>
    <n v="0"/>
    <x v="8"/>
    <x v="3"/>
  </r>
  <r>
    <n v="904"/>
    <x v="87"/>
    <x v="19"/>
    <x v="1"/>
    <x v="1"/>
    <x v="3"/>
    <x v="0"/>
    <x v="2087"/>
    <x v="8"/>
    <n v="0"/>
    <x v="11"/>
    <n v="0"/>
    <x v="8"/>
    <x v="3"/>
  </r>
  <r>
    <n v="628"/>
    <x v="88"/>
    <x v="7"/>
    <x v="1"/>
    <x v="0"/>
    <x v="1"/>
    <x v="2"/>
    <x v="2088"/>
    <x v="1"/>
    <n v="1"/>
    <x v="860"/>
    <n v="4"/>
    <x v="14"/>
    <x v="4"/>
  </r>
  <r>
    <n v="4960"/>
    <x v="88"/>
    <x v="25"/>
    <x v="1"/>
    <x v="2"/>
    <x v="0"/>
    <x v="0"/>
    <x v="2089"/>
    <x v="5"/>
    <n v="1"/>
    <x v="861"/>
    <n v="1"/>
    <x v="9"/>
    <x v="0"/>
  </r>
  <r>
    <n v="4956"/>
    <x v="88"/>
    <x v="21"/>
    <x v="1"/>
    <x v="2"/>
    <x v="2"/>
    <x v="0"/>
    <x v="2061"/>
    <x v="0"/>
    <n v="1"/>
    <x v="862"/>
    <n v="3"/>
    <x v="15"/>
    <x v="0"/>
  </r>
  <r>
    <n v="4527"/>
    <x v="88"/>
    <x v="33"/>
    <x v="0"/>
    <x v="2"/>
    <x v="2"/>
    <x v="0"/>
    <x v="1446"/>
    <x v="2"/>
    <n v="1"/>
    <x v="863"/>
    <n v="3"/>
    <x v="5"/>
    <x v="0"/>
  </r>
  <r>
    <n v="3102"/>
    <x v="88"/>
    <x v="10"/>
    <x v="0"/>
    <x v="1"/>
    <x v="3"/>
    <x v="0"/>
    <x v="2090"/>
    <x v="8"/>
    <n v="1"/>
    <x v="864"/>
    <n v="5"/>
    <x v="7"/>
    <x v="0"/>
  </r>
  <r>
    <n v="2160"/>
    <x v="88"/>
    <x v="34"/>
    <x v="0"/>
    <x v="3"/>
    <x v="1"/>
    <x v="2"/>
    <x v="2091"/>
    <x v="8"/>
    <n v="1"/>
    <x v="767"/>
    <n v="3"/>
    <x v="9"/>
    <x v="0"/>
  </r>
  <r>
    <n v="2603"/>
    <x v="88"/>
    <x v="11"/>
    <x v="1"/>
    <x v="0"/>
    <x v="1"/>
    <x v="2"/>
    <x v="2022"/>
    <x v="8"/>
    <n v="1"/>
    <x v="865"/>
    <n v="3"/>
    <x v="10"/>
    <x v="1"/>
  </r>
  <r>
    <n v="3336"/>
    <x v="88"/>
    <x v="31"/>
    <x v="1"/>
    <x v="3"/>
    <x v="0"/>
    <x v="0"/>
    <x v="1161"/>
    <x v="6"/>
    <n v="1"/>
    <x v="357"/>
    <n v="3"/>
    <x v="10"/>
    <x v="0"/>
  </r>
  <r>
    <n v="620"/>
    <x v="88"/>
    <x v="31"/>
    <x v="0"/>
    <x v="1"/>
    <x v="3"/>
    <x v="0"/>
    <x v="2092"/>
    <x v="5"/>
    <n v="0"/>
    <x v="11"/>
    <n v="0"/>
    <x v="8"/>
    <x v="3"/>
  </r>
  <r>
    <n v="4964"/>
    <x v="88"/>
    <x v="43"/>
    <x v="1"/>
    <x v="3"/>
    <x v="3"/>
    <x v="0"/>
    <x v="105"/>
    <x v="2"/>
    <n v="0"/>
    <x v="11"/>
    <n v="0"/>
    <x v="8"/>
    <x v="3"/>
  </r>
  <r>
    <n v="654"/>
    <x v="88"/>
    <x v="24"/>
    <x v="1"/>
    <x v="2"/>
    <x v="3"/>
    <x v="0"/>
    <x v="2093"/>
    <x v="5"/>
    <n v="0"/>
    <x v="11"/>
    <n v="0"/>
    <x v="8"/>
    <x v="3"/>
  </r>
  <r>
    <n v="3208"/>
    <x v="88"/>
    <x v="16"/>
    <x v="0"/>
    <x v="2"/>
    <x v="2"/>
    <x v="0"/>
    <x v="1623"/>
    <x v="5"/>
    <n v="0"/>
    <x v="11"/>
    <n v="0"/>
    <x v="8"/>
    <x v="3"/>
  </r>
  <r>
    <n v="463"/>
    <x v="88"/>
    <x v="22"/>
    <x v="1"/>
    <x v="0"/>
    <x v="1"/>
    <x v="6"/>
    <x v="2094"/>
    <x v="10"/>
    <n v="0"/>
    <x v="11"/>
    <n v="0"/>
    <x v="8"/>
    <x v="3"/>
  </r>
  <r>
    <n v="2731"/>
    <x v="88"/>
    <x v="33"/>
    <x v="1"/>
    <x v="3"/>
    <x v="1"/>
    <x v="3"/>
    <x v="2095"/>
    <x v="2"/>
    <n v="0"/>
    <x v="11"/>
    <n v="0"/>
    <x v="8"/>
    <x v="3"/>
  </r>
  <r>
    <n v="1199"/>
    <x v="88"/>
    <x v="4"/>
    <x v="0"/>
    <x v="2"/>
    <x v="1"/>
    <x v="6"/>
    <x v="2096"/>
    <x v="0"/>
    <n v="0"/>
    <x v="11"/>
    <n v="0"/>
    <x v="8"/>
    <x v="3"/>
  </r>
  <r>
    <n v="218"/>
    <x v="88"/>
    <x v="7"/>
    <x v="1"/>
    <x v="3"/>
    <x v="3"/>
    <x v="0"/>
    <x v="1896"/>
    <x v="11"/>
    <n v="0"/>
    <x v="11"/>
    <n v="0"/>
    <x v="8"/>
    <x v="3"/>
  </r>
  <r>
    <n v="852"/>
    <x v="88"/>
    <x v="24"/>
    <x v="2"/>
    <x v="1"/>
    <x v="0"/>
    <x v="0"/>
    <x v="2097"/>
    <x v="11"/>
    <n v="0"/>
    <x v="11"/>
    <n v="0"/>
    <x v="8"/>
    <x v="3"/>
  </r>
  <r>
    <n v="4084"/>
    <x v="88"/>
    <x v="30"/>
    <x v="0"/>
    <x v="0"/>
    <x v="0"/>
    <x v="0"/>
    <x v="2098"/>
    <x v="0"/>
    <n v="0"/>
    <x v="11"/>
    <n v="0"/>
    <x v="8"/>
    <x v="3"/>
  </r>
  <r>
    <n v="3405"/>
    <x v="88"/>
    <x v="19"/>
    <x v="1"/>
    <x v="1"/>
    <x v="1"/>
    <x v="6"/>
    <x v="2099"/>
    <x v="6"/>
    <n v="0"/>
    <x v="11"/>
    <n v="0"/>
    <x v="8"/>
    <x v="3"/>
  </r>
  <r>
    <n v="743"/>
    <x v="88"/>
    <x v="18"/>
    <x v="1"/>
    <x v="3"/>
    <x v="1"/>
    <x v="1"/>
    <x v="1286"/>
    <x v="12"/>
    <n v="0"/>
    <x v="11"/>
    <n v="0"/>
    <x v="8"/>
    <x v="3"/>
  </r>
  <r>
    <n v="1905"/>
    <x v="88"/>
    <x v="12"/>
    <x v="0"/>
    <x v="2"/>
    <x v="0"/>
    <x v="0"/>
    <x v="2100"/>
    <x v="11"/>
    <n v="0"/>
    <x v="11"/>
    <n v="0"/>
    <x v="8"/>
    <x v="3"/>
  </r>
  <r>
    <n v="4597"/>
    <x v="88"/>
    <x v="21"/>
    <x v="1"/>
    <x v="2"/>
    <x v="2"/>
    <x v="0"/>
    <x v="1439"/>
    <x v="2"/>
    <n v="0"/>
    <x v="11"/>
    <n v="0"/>
    <x v="8"/>
    <x v="3"/>
  </r>
  <r>
    <n v="1834"/>
    <x v="88"/>
    <x v="7"/>
    <x v="0"/>
    <x v="0"/>
    <x v="3"/>
    <x v="0"/>
    <x v="1988"/>
    <x v="4"/>
    <n v="0"/>
    <x v="11"/>
    <n v="0"/>
    <x v="8"/>
    <x v="3"/>
  </r>
  <r>
    <n v="997"/>
    <x v="89"/>
    <x v="0"/>
    <x v="0"/>
    <x v="3"/>
    <x v="1"/>
    <x v="7"/>
    <x v="2101"/>
    <x v="6"/>
    <n v="1"/>
    <x v="815"/>
    <n v="4"/>
    <x v="2"/>
    <x v="2"/>
  </r>
  <r>
    <n v="1249"/>
    <x v="89"/>
    <x v="4"/>
    <x v="1"/>
    <x v="3"/>
    <x v="0"/>
    <x v="0"/>
    <x v="2102"/>
    <x v="5"/>
    <n v="1"/>
    <x v="866"/>
    <n v="2"/>
    <x v="11"/>
    <x v="2"/>
  </r>
  <r>
    <n v="4720"/>
    <x v="89"/>
    <x v="11"/>
    <x v="1"/>
    <x v="2"/>
    <x v="0"/>
    <x v="0"/>
    <x v="2103"/>
    <x v="4"/>
    <n v="1"/>
    <x v="867"/>
    <n v="2"/>
    <x v="9"/>
    <x v="0"/>
  </r>
  <r>
    <n v="56"/>
    <x v="89"/>
    <x v="10"/>
    <x v="0"/>
    <x v="0"/>
    <x v="1"/>
    <x v="3"/>
    <x v="2104"/>
    <x v="8"/>
    <n v="1"/>
    <x v="868"/>
    <n v="3"/>
    <x v="13"/>
    <x v="0"/>
  </r>
  <r>
    <n v="826"/>
    <x v="89"/>
    <x v="22"/>
    <x v="0"/>
    <x v="1"/>
    <x v="1"/>
    <x v="6"/>
    <x v="2105"/>
    <x v="8"/>
    <n v="1"/>
    <x v="869"/>
    <n v="2"/>
    <x v="7"/>
    <x v="0"/>
  </r>
  <r>
    <n v="814"/>
    <x v="89"/>
    <x v="24"/>
    <x v="0"/>
    <x v="3"/>
    <x v="0"/>
    <x v="0"/>
    <x v="1392"/>
    <x v="5"/>
    <n v="1"/>
    <x v="642"/>
    <n v="4"/>
    <x v="2"/>
    <x v="1"/>
  </r>
  <r>
    <n v="2955"/>
    <x v="89"/>
    <x v="16"/>
    <x v="0"/>
    <x v="3"/>
    <x v="1"/>
    <x v="3"/>
    <x v="1921"/>
    <x v="8"/>
    <n v="1"/>
    <x v="870"/>
    <n v="4"/>
    <x v="1"/>
    <x v="2"/>
  </r>
  <r>
    <n v="2843"/>
    <x v="89"/>
    <x v="41"/>
    <x v="1"/>
    <x v="3"/>
    <x v="1"/>
    <x v="7"/>
    <x v="2106"/>
    <x v="0"/>
    <n v="1"/>
    <x v="871"/>
    <n v="4"/>
    <x v="11"/>
    <x v="0"/>
  </r>
  <r>
    <n v="2854"/>
    <x v="89"/>
    <x v="45"/>
    <x v="1"/>
    <x v="0"/>
    <x v="2"/>
    <x v="0"/>
    <x v="2107"/>
    <x v="5"/>
    <n v="1"/>
    <x v="872"/>
    <n v="4"/>
    <x v="9"/>
    <x v="0"/>
  </r>
  <r>
    <n v="4145"/>
    <x v="89"/>
    <x v="0"/>
    <x v="1"/>
    <x v="0"/>
    <x v="0"/>
    <x v="0"/>
    <x v="2108"/>
    <x v="8"/>
    <n v="1"/>
    <x v="873"/>
    <n v="5"/>
    <x v="3"/>
    <x v="0"/>
  </r>
  <r>
    <n v="616"/>
    <x v="89"/>
    <x v="6"/>
    <x v="0"/>
    <x v="0"/>
    <x v="0"/>
    <x v="0"/>
    <x v="1202"/>
    <x v="5"/>
    <n v="0"/>
    <x v="11"/>
    <n v="0"/>
    <x v="8"/>
    <x v="3"/>
  </r>
  <r>
    <n v="4930"/>
    <x v="89"/>
    <x v="47"/>
    <x v="0"/>
    <x v="1"/>
    <x v="1"/>
    <x v="5"/>
    <x v="2109"/>
    <x v="6"/>
    <n v="0"/>
    <x v="11"/>
    <n v="0"/>
    <x v="8"/>
    <x v="3"/>
  </r>
  <r>
    <n v="4117"/>
    <x v="89"/>
    <x v="25"/>
    <x v="1"/>
    <x v="1"/>
    <x v="0"/>
    <x v="0"/>
    <x v="2110"/>
    <x v="6"/>
    <n v="0"/>
    <x v="11"/>
    <n v="0"/>
    <x v="8"/>
    <x v="3"/>
  </r>
  <r>
    <n v="4859"/>
    <x v="89"/>
    <x v="43"/>
    <x v="1"/>
    <x v="1"/>
    <x v="1"/>
    <x v="6"/>
    <x v="1604"/>
    <x v="1"/>
    <n v="0"/>
    <x v="11"/>
    <n v="0"/>
    <x v="8"/>
    <x v="3"/>
  </r>
  <r>
    <n v="3484"/>
    <x v="89"/>
    <x v="13"/>
    <x v="1"/>
    <x v="2"/>
    <x v="3"/>
    <x v="0"/>
    <x v="2111"/>
    <x v="6"/>
    <n v="0"/>
    <x v="11"/>
    <n v="0"/>
    <x v="8"/>
    <x v="3"/>
  </r>
  <r>
    <n v="1855"/>
    <x v="89"/>
    <x v="48"/>
    <x v="1"/>
    <x v="0"/>
    <x v="1"/>
    <x v="1"/>
    <x v="1374"/>
    <x v="6"/>
    <n v="0"/>
    <x v="11"/>
    <n v="0"/>
    <x v="8"/>
    <x v="3"/>
  </r>
  <r>
    <n v="3142"/>
    <x v="89"/>
    <x v="0"/>
    <x v="0"/>
    <x v="2"/>
    <x v="1"/>
    <x v="3"/>
    <x v="1846"/>
    <x v="0"/>
    <n v="0"/>
    <x v="11"/>
    <n v="0"/>
    <x v="8"/>
    <x v="3"/>
  </r>
  <r>
    <n v="2836"/>
    <x v="89"/>
    <x v="33"/>
    <x v="1"/>
    <x v="1"/>
    <x v="0"/>
    <x v="0"/>
    <x v="2112"/>
    <x v="5"/>
    <n v="0"/>
    <x v="11"/>
    <n v="0"/>
    <x v="8"/>
    <x v="3"/>
  </r>
  <r>
    <n v="2755"/>
    <x v="89"/>
    <x v="17"/>
    <x v="1"/>
    <x v="3"/>
    <x v="0"/>
    <x v="0"/>
    <x v="2113"/>
    <x v="5"/>
    <n v="0"/>
    <x v="11"/>
    <n v="0"/>
    <x v="8"/>
    <x v="3"/>
  </r>
  <r>
    <n v="2206"/>
    <x v="89"/>
    <x v="5"/>
    <x v="0"/>
    <x v="1"/>
    <x v="0"/>
    <x v="0"/>
    <x v="2114"/>
    <x v="2"/>
    <n v="0"/>
    <x v="11"/>
    <n v="0"/>
    <x v="8"/>
    <x v="3"/>
  </r>
  <r>
    <n v="3637"/>
    <x v="89"/>
    <x v="20"/>
    <x v="1"/>
    <x v="0"/>
    <x v="1"/>
    <x v="4"/>
    <x v="1125"/>
    <x v="8"/>
    <n v="0"/>
    <x v="11"/>
    <n v="0"/>
    <x v="8"/>
    <x v="3"/>
  </r>
  <r>
    <n v="1663"/>
    <x v="89"/>
    <x v="6"/>
    <x v="0"/>
    <x v="2"/>
    <x v="0"/>
    <x v="0"/>
    <x v="1735"/>
    <x v="0"/>
    <n v="0"/>
    <x v="11"/>
    <n v="0"/>
    <x v="8"/>
    <x v="3"/>
  </r>
  <r>
    <n v="3491"/>
    <x v="90"/>
    <x v="13"/>
    <x v="1"/>
    <x v="3"/>
    <x v="0"/>
    <x v="0"/>
    <x v="2115"/>
    <x v="5"/>
    <n v="1"/>
    <x v="874"/>
    <n v="1"/>
    <x v="0"/>
    <x v="0"/>
  </r>
  <r>
    <n v="4209"/>
    <x v="90"/>
    <x v="1"/>
    <x v="0"/>
    <x v="1"/>
    <x v="0"/>
    <x v="0"/>
    <x v="1359"/>
    <x v="5"/>
    <n v="1"/>
    <x v="875"/>
    <n v="4"/>
    <x v="10"/>
    <x v="1"/>
  </r>
  <r>
    <n v="2119"/>
    <x v="90"/>
    <x v="26"/>
    <x v="0"/>
    <x v="0"/>
    <x v="2"/>
    <x v="0"/>
    <x v="2116"/>
    <x v="5"/>
    <n v="1"/>
    <x v="876"/>
    <n v="5"/>
    <x v="2"/>
    <x v="0"/>
  </r>
  <r>
    <n v="1287"/>
    <x v="90"/>
    <x v="19"/>
    <x v="1"/>
    <x v="0"/>
    <x v="1"/>
    <x v="3"/>
    <x v="2117"/>
    <x v="5"/>
    <n v="1"/>
    <x v="877"/>
    <n v="4"/>
    <x v="14"/>
    <x v="1"/>
  </r>
  <r>
    <n v="1655"/>
    <x v="90"/>
    <x v="6"/>
    <x v="0"/>
    <x v="2"/>
    <x v="3"/>
    <x v="0"/>
    <x v="2118"/>
    <x v="0"/>
    <n v="1"/>
    <x v="878"/>
    <n v="3"/>
    <x v="3"/>
    <x v="1"/>
  </r>
  <r>
    <n v="4836"/>
    <x v="90"/>
    <x v="50"/>
    <x v="0"/>
    <x v="2"/>
    <x v="0"/>
    <x v="0"/>
    <x v="2119"/>
    <x v="2"/>
    <n v="1"/>
    <x v="6"/>
    <n v="3"/>
    <x v="14"/>
    <x v="0"/>
  </r>
  <r>
    <n v="3826"/>
    <x v="90"/>
    <x v="23"/>
    <x v="1"/>
    <x v="1"/>
    <x v="2"/>
    <x v="0"/>
    <x v="2120"/>
    <x v="8"/>
    <n v="1"/>
    <x v="879"/>
    <n v="3"/>
    <x v="12"/>
    <x v="0"/>
  </r>
  <r>
    <n v="604"/>
    <x v="90"/>
    <x v="19"/>
    <x v="1"/>
    <x v="3"/>
    <x v="0"/>
    <x v="0"/>
    <x v="2121"/>
    <x v="2"/>
    <n v="1"/>
    <x v="880"/>
    <n v="5"/>
    <x v="14"/>
    <x v="0"/>
  </r>
  <r>
    <n v="3223"/>
    <x v="90"/>
    <x v="16"/>
    <x v="0"/>
    <x v="3"/>
    <x v="0"/>
    <x v="0"/>
    <x v="2122"/>
    <x v="10"/>
    <n v="1"/>
    <x v="881"/>
    <n v="4"/>
    <x v="5"/>
    <x v="1"/>
  </r>
  <r>
    <n v="450"/>
    <x v="90"/>
    <x v="16"/>
    <x v="0"/>
    <x v="3"/>
    <x v="2"/>
    <x v="0"/>
    <x v="2123"/>
    <x v="2"/>
    <n v="1"/>
    <x v="882"/>
    <n v="2"/>
    <x v="2"/>
    <x v="2"/>
  </r>
  <r>
    <n v="1796"/>
    <x v="90"/>
    <x v="45"/>
    <x v="1"/>
    <x v="3"/>
    <x v="1"/>
    <x v="3"/>
    <x v="2124"/>
    <x v="5"/>
    <n v="0"/>
    <x v="11"/>
    <n v="0"/>
    <x v="8"/>
    <x v="3"/>
  </r>
  <r>
    <n v="2545"/>
    <x v="90"/>
    <x v="23"/>
    <x v="1"/>
    <x v="1"/>
    <x v="0"/>
    <x v="0"/>
    <x v="2125"/>
    <x v="10"/>
    <n v="0"/>
    <x v="11"/>
    <n v="0"/>
    <x v="8"/>
    <x v="3"/>
  </r>
  <r>
    <n v="4162"/>
    <x v="90"/>
    <x v="20"/>
    <x v="1"/>
    <x v="0"/>
    <x v="1"/>
    <x v="3"/>
    <x v="116"/>
    <x v="8"/>
    <n v="0"/>
    <x v="11"/>
    <n v="0"/>
    <x v="8"/>
    <x v="3"/>
  </r>
  <r>
    <n v="3517"/>
    <x v="90"/>
    <x v="0"/>
    <x v="0"/>
    <x v="1"/>
    <x v="1"/>
    <x v="4"/>
    <x v="2126"/>
    <x v="11"/>
    <n v="0"/>
    <x v="11"/>
    <n v="0"/>
    <x v="8"/>
    <x v="3"/>
  </r>
  <r>
    <n v="900"/>
    <x v="90"/>
    <x v="7"/>
    <x v="0"/>
    <x v="2"/>
    <x v="1"/>
    <x v="6"/>
    <x v="573"/>
    <x v="4"/>
    <n v="0"/>
    <x v="11"/>
    <n v="0"/>
    <x v="8"/>
    <x v="3"/>
  </r>
  <r>
    <n v="2307"/>
    <x v="90"/>
    <x v="2"/>
    <x v="1"/>
    <x v="3"/>
    <x v="1"/>
    <x v="3"/>
    <x v="943"/>
    <x v="4"/>
    <n v="0"/>
    <x v="11"/>
    <n v="0"/>
    <x v="8"/>
    <x v="3"/>
  </r>
  <r>
    <n v="651"/>
    <x v="90"/>
    <x v="19"/>
    <x v="0"/>
    <x v="2"/>
    <x v="2"/>
    <x v="0"/>
    <x v="1327"/>
    <x v="6"/>
    <n v="0"/>
    <x v="11"/>
    <n v="0"/>
    <x v="8"/>
    <x v="3"/>
  </r>
  <r>
    <n v="1599"/>
    <x v="90"/>
    <x v="23"/>
    <x v="1"/>
    <x v="1"/>
    <x v="3"/>
    <x v="0"/>
    <x v="1733"/>
    <x v="5"/>
    <n v="0"/>
    <x v="11"/>
    <n v="0"/>
    <x v="8"/>
    <x v="3"/>
  </r>
  <r>
    <n v="202"/>
    <x v="90"/>
    <x v="6"/>
    <x v="0"/>
    <x v="2"/>
    <x v="0"/>
    <x v="0"/>
    <x v="1135"/>
    <x v="8"/>
    <n v="0"/>
    <x v="11"/>
    <n v="0"/>
    <x v="8"/>
    <x v="3"/>
  </r>
  <r>
    <n v="4540"/>
    <x v="90"/>
    <x v="28"/>
    <x v="2"/>
    <x v="0"/>
    <x v="0"/>
    <x v="0"/>
    <x v="2127"/>
    <x v="0"/>
    <n v="0"/>
    <x v="11"/>
    <n v="0"/>
    <x v="8"/>
    <x v="3"/>
  </r>
  <r>
    <n v="435"/>
    <x v="90"/>
    <x v="8"/>
    <x v="1"/>
    <x v="0"/>
    <x v="3"/>
    <x v="0"/>
    <x v="1162"/>
    <x v="10"/>
    <n v="0"/>
    <x v="11"/>
    <n v="0"/>
    <x v="8"/>
    <x v="3"/>
  </r>
  <r>
    <n v="3379"/>
    <x v="90"/>
    <x v="41"/>
    <x v="2"/>
    <x v="2"/>
    <x v="3"/>
    <x v="0"/>
    <x v="2128"/>
    <x v="11"/>
    <n v="0"/>
    <x v="11"/>
    <n v="0"/>
    <x v="8"/>
    <x v="3"/>
  </r>
  <r>
    <n v="300"/>
    <x v="90"/>
    <x v="16"/>
    <x v="0"/>
    <x v="3"/>
    <x v="0"/>
    <x v="0"/>
    <x v="2129"/>
    <x v="6"/>
    <n v="0"/>
    <x v="11"/>
    <n v="0"/>
    <x v="8"/>
    <x v="3"/>
  </r>
  <r>
    <n v="3991"/>
    <x v="90"/>
    <x v="29"/>
    <x v="0"/>
    <x v="0"/>
    <x v="1"/>
    <x v="7"/>
    <x v="2130"/>
    <x v="8"/>
    <n v="0"/>
    <x v="11"/>
    <n v="0"/>
    <x v="8"/>
    <x v="3"/>
  </r>
  <r>
    <n v="3616"/>
    <x v="90"/>
    <x v="26"/>
    <x v="1"/>
    <x v="3"/>
    <x v="3"/>
    <x v="0"/>
    <x v="577"/>
    <x v="2"/>
    <n v="0"/>
    <x v="11"/>
    <n v="0"/>
    <x v="8"/>
    <x v="3"/>
  </r>
  <r>
    <n v="4329"/>
    <x v="90"/>
    <x v="26"/>
    <x v="0"/>
    <x v="2"/>
    <x v="1"/>
    <x v="3"/>
    <x v="1064"/>
    <x v="4"/>
    <n v="0"/>
    <x v="11"/>
    <n v="0"/>
    <x v="8"/>
    <x v="3"/>
  </r>
  <r>
    <n v="441"/>
    <x v="90"/>
    <x v="4"/>
    <x v="1"/>
    <x v="1"/>
    <x v="1"/>
    <x v="5"/>
    <x v="2131"/>
    <x v="1"/>
    <n v="0"/>
    <x v="11"/>
    <n v="0"/>
    <x v="8"/>
    <x v="3"/>
  </r>
  <r>
    <n v="1951"/>
    <x v="90"/>
    <x v="22"/>
    <x v="0"/>
    <x v="2"/>
    <x v="1"/>
    <x v="5"/>
    <x v="2132"/>
    <x v="8"/>
    <n v="0"/>
    <x v="11"/>
    <n v="0"/>
    <x v="8"/>
    <x v="3"/>
  </r>
  <r>
    <n v="1127"/>
    <x v="90"/>
    <x v="7"/>
    <x v="1"/>
    <x v="0"/>
    <x v="2"/>
    <x v="0"/>
    <x v="2133"/>
    <x v="2"/>
    <n v="0"/>
    <x v="11"/>
    <n v="0"/>
    <x v="8"/>
    <x v="3"/>
  </r>
  <r>
    <n v="847"/>
    <x v="90"/>
    <x v="8"/>
    <x v="1"/>
    <x v="3"/>
    <x v="0"/>
    <x v="0"/>
    <x v="1900"/>
    <x v="5"/>
    <n v="0"/>
    <x v="11"/>
    <n v="0"/>
    <x v="8"/>
    <x v="3"/>
  </r>
  <r>
    <n v="57"/>
    <x v="90"/>
    <x v="23"/>
    <x v="0"/>
    <x v="2"/>
    <x v="1"/>
    <x v="7"/>
    <x v="2134"/>
    <x v="0"/>
    <n v="0"/>
    <x v="11"/>
    <n v="0"/>
    <x v="8"/>
    <x v="3"/>
  </r>
  <r>
    <n v="3943"/>
    <x v="90"/>
    <x v="47"/>
    <x v="1"/>
    <x v="1"/>
    <x v="1"/>
    <x v="2"/>
    <x v="2135"/>
    <x v="6"/>
    <n v="0"/>
    <x v="11"/>
    <n v="0"/>
    <x v="8"/>
    <x v="3"/>
  </r>
  <r>
    <n v="45"/>
    <x v="91"/>
    <x v="19"/>
    <x v="0"/>
    <x v="2"/>
    <x v="1"/>
    <x v="6"/>
    <x v="2136"/>
    <x v="12"/>
    <n v="1"/>
    <x v="252"/>
    <n v="3"/>
    <x v="13"/>
    <x v="0"/>
  </r>
  <r>
    <n v="3384"/>
    <x v="91"/>
    <x v="27"/>
    <x v="1"/>
    <x v="0"/>
    <x v="0"/>
    <x v="0"/>
    <x v="2137"/>
    <x v="8"/>
    <n v="1"/>
    <x v="883"/>
    <n v="3"/>
    <x v="10"/>
    <x v="1"/>
  </r>
  <r>
    <n v="580"/>
    <x v="91"/>
    <x v="0"/>
    <x v="1"/>
    <x v="1"/>
    <x v="0"/>
    <x v="0"/>
    <x v="2138"/>
    <x v="5"/>
    <n v="1"/>
    <x v="884"/>
    <n v="2"/>
    <x v="1"/>
    <x v="0"/>
  </r>
  <r>
    <n v="2794"/>
    <x v="91"/>
    <x v="13"/>
    <x v="0"/>
    <x v="0"/>
    <x v="0"/>
    <x v="0"/>
    <x v="951"/>
    <x v="8"/>
    <n v="1"/>
    <x v="885"/>
    <n v="4"/>
    <x v="3"/>
    <x v="2"/>
  </r>
  <r>
    <n v="185"/>
    <x v="91"/>
    <x v="2"/>
    <x v="1"/>
    <x v="2"/>
    <x v="3"/>
    <x v="0"/>
    <x v="2139"/>
    <x v="2"/>
    <n v="1"/>
    <x v="886"/>
    <n v="3"/>
    <x v="15"/>
    <x v="1"/>
  </r>
  <r>
    <n v="682"/>
    <x v="91"/>
    <x v="16"/>
    <x v="1"/>
    <x v="0"/>
    <x v="3"/>
    <x v="0"/>
    <x v="146"/>
    <x v="0"/>
    <n v="1"/>
    <x v="887"/>
    <n v="2"/>
    <x v="3"/>
    <x v="0"/>
  </r>
  <r>
    <n v="1748"/>
    <x v="91"/>
    <x v="22"/>
    <x v="1"/>
    <x v="3"/>
    <x v="0"/>
    <x v="0"/>
    <x v="2140"/>
    <x v="5"/>
    <n v="1"/>
    <x v="888"/>
    <n v="2"/>
    <x v="15"/>
    <x v="0"/>
  </r>
  <r>
    <n v="930"/>
    <x v="91"/>
    <x v="5"/>
    <x v="1"/>
    <x v="2"/>
    <x v="0"/>
    <x v="0"/>
    <x v="2141"/>
    <x v="2"/>
    <n v="1"/>
    <x v="889"/>
    <n v="2"/>
    <x v="0"/>
    <x v="2"/>
  </r>
  <r>
    <n v="3105"/>
    <x v="91"/>
    <x v="26"/>
    <x v="1"/>
    <x v="1"/>
    <x v="0"/>
    <x v="0"/>
    <x v="2142"/>
    <x v="5"/>
    <n v="1"/>
    <x v="890"/>
    <n v="4"/>
    <x v="14"/>
    <x v="1"/>
  </r>
  <r>
    <n v="4099"/>
    <x v="91"/>
    <x v="29"/>
    <x v="0"/>
    <x v="0"/>
    <x v="2"/>
    <x v="0"/>
    <x v="1704"/>
    <x v="8"/>
    <n v="1"/>
    <x v="891"/>
    <n v="2"/>
    <x v="3"/>
    <x v="0"/>
  </r>
  <r>
    <n v="909"/>
    <x v="91"/>
    <x v="8"/>
    <x v="1"/>
    <x v="2"/>
    <x v="0"/>
    <x v="0"/>
    <x v="2143"/>
    <x v="2"/>
    <n v="1"/>
    <x v="892"/>
    <n v="2"/>
    <x v="9"/>
    <x v="2"/>
  </r>
  <r>
    <n v="4016"/>
    <x v="91"/>
    <x v="37"/>
    <x v="0"/>
    <x v="1"/>
    <x v="1"/>
    <x v="7"/>
    <x v="1278"/>
    <x v="5"/>
    <n v="1"/>
    <x v="893"/>
    <n v="1"/>
    <x v="1"/>
    <x v="0"/>
  </r>
  <r>
    <n v="2029"/>
    <x v="91"/>
    <x v="17"/>
    <x v="1"/>
    <x v="0"/>
    <x v="0"/>
    <x v="0"/>
    <x v="1983"/>
    <x v="10"/>
    <n v="1"/>
    <x v="894"/>
    <n v="4"/>
    <x v="12"/>
    <x v="0"/>
  </r>
  <r>
    <n v="4926"/>
    <x v="91"/>
    <x v="43"/>
    <x v="1"/>
    <x v="1"/>
    <x v="1"/>
    <x v="4"/>
    <x v="2144"/>
    <x v="8"/>
    <n v="1"/>
    <x v="895"/>
    <n v="5"/>
    <x v="5"/>
    <x v="0"/>
  </r>
  <r>
    <n v="2191"/>
    <x v="91"/>
    <x v="28"/>
    <x v="1"/>
    <x v="3"/>
    <x v="1"/>
    <x v="6"/>
    <x v="1187"/>
    <x v="5"/>
    <n v="1"/>
    <x v="896"/>
    <n v="5"/>
    <x v="10"/>
    <x v="0"/>
  </r>
  <r>
    <n v="4567"/>
    <x v="91"/>
    <x v="3"/>
    <x v="1"/>
    <x v="3"/>
    <x v="0"/>
    <x v="0"/>
    <x v="2145"/>
    <x v="5"/>
    <n v="1"/>
    <x v="897"/>
    <n v="2"/>
    <x v="11"/>
    <x v="0"/>
  </r>
  <r>
    <n v="2068"/>
    <x v="91"/>
    <x v="19"/>
    <x v="0"/>
    <x v="2"/>
    <x v="0"/>
    <x v="0"/>
    <x v="285"/>
    <x v="5"/>
    <n v="1"/>
    <x v="898"/>
    <n v="1"/>
    <x v="10"/>
    <x v="0"/>
  </r>
  <r>
    <n v="2753"/>
    <x v="91"/>
    <x v="13"/>
    <x v="0"/>
    <x v="0"/>
    <x v="1"/>
    <x v="2"/>
    <x v="2146"/>
    <x v="8"/>
    <n v="1"/>
    <x v="315"/>
    <n v="2"/>
    <x v="3"/>
    <x v="2"/>
  </r>
  <r>
    <n v="1977"/>
    <x v="91"/>
    <x v="41"/>
    <x v="0"/>
    <x v="1"/>
    <x v="0"/>
    <x v="0"/>
    <x v="2147"/>
    <x v="2"/>
    <n v="1"/>
    <x v="899"/>
    <n v="3"/>
    <x v="5"/>
    <x v="0"/>
  </r>
  <r>
    <n v="1544"/>
    <x v="91"/>
    <x v="16"/>
    <x v="1"/>
    <x v="1"/>
    <x v="1"/>
    <x v="3"/>
    <x v="1961"/>
    <x v="5"/>
    <n v="1"/>
    <x v="900"/>
    <n v="6"/>
    <x v="6"/>
    <x v="0"/>
  </r>
  <r>
    <n v="3720"/>
    <x v="91"/>
    <x v="11"/>
    <x v="0"/>
    <x v="2"/>
    <x v="1"/>
    <x v="6"/>
    <x v="2148"/>
    <x v="8"/>
    <n v="1"/>
    <x v="901"/>
    <n v="2"/>
    <x v="2"/>
    <x v="1"/>
  </r>
  <r>
    <n v="3172"/>
    <x v="91"/>
    <x v="6"/>
    <x v="0"/>
    <x v="0"/>
    <x v="0"/>
    <x v="0"/>
    <x v="667"/>
    <x v="11"/>
    <n v="0"/>
    <x v="11"/>
    <n v="0"/>
    <x v="8"/>
    <x v="3"/>
  </r>
  <r>
    <n v="3805"/>
    <x v="91"/>
    <x v="54"/>
    <x v="1"/>
    <x v="2"/>
    <x v="2"/>
    <x v="0"/>
    <x v="314"/>
    <x v="0"/>
    <n v="0"/>
    <x v="11"/>
    <n v="0"/>
    <x v="8"/>
    <x v="3"/>
  </r>
  <r>
    <n v="2026"/>
    <x v="91"/>
    <x v="14"/>
    <x v="0"/>
    <x v="2"/>
    <x v="0"/>
    <x v="0"/>
    <x v="2149"/>
    <x v="8"/>
    <n v="0"/>
    <x v="11"/>
    <n v="0"/>
    <x v="8"/>
    <x v="3"/>
  </r>
  <r>
    <n v="1526"/>
    <x v="91"/>
    <x v="24"/>
    <x v="1"/>
    <x v="0"/>
    <x v="0"/>
    <x v="0"/>
    <x v="2150"/>
    <x v="5"/>
    <n v="0"/>
    <x v="11"/>
    <n v="0"/>
    <x v="8"/>
    <x v="3"/>
  </r>
  <r>
    <n v="3537"/>
    <x v="91"/>
    <x v="28"/>
    <x v="1"/>
    <x v="3"/>
    <x v="1"/>
    <x v="7"/>
    <x v="2151"/>
    <x v="2"/>
    <n v="0"/>
    <x v="11"/>
    <n v="0"/>
    <x v="8"/>
    <x v="3"/>
  </r>
  <r>
    <n v="1384"/>
    <x v="91"/>
    <x v="7"/>
    <x v="1"/>
    <x v="3"/>
    <x v="0"/>
    <x v="0"/>
    <x v="2152"/>
    <x v="6"/>
    <n v="0"/>
    <x v="11"/>
    <n v="0"/>
    <x v="8"/>
    <x v="3"/>
  </r>
  <r>
    <n v="1341"/>
    <x v="91"/>
    <x v="0"/>
    <x v="1"/>
    <x v="3"/>
    <x v="1"/>
    <x v="4"/>
    <x v="1377"/>
    <x v="2"/>
    <n v="0"/>
    <x v="11"/>
    <n v="0"/>
    <x v="8"/>
    <x v="3"/>
  </r>
  <r>
    <n v="1174"/>
    <x v="91"/>
    <x v="19"/>
    <x v="2"/>
    <x v="2"/>
    <x v="1"/>
    <x v="3"/>
    <x v="628"/>
    <x v="8"/>
    <n v="0"/>
    <x v="11"/>
    <n v="0"/>
    <x v="8"/>
    <x v="3"/>
  </r>
  <r>
    <n v="1130"/>
    <x v="91"/>
    <x v="22"/>
    <x v="1"/>
    <x v="1"/>
    <x v="0"/>
    <x v="0"/>
    <x v="1993"/>
    <x v="2"/>
    <n v="0"/>
    <x v="11"/>
    <n v="0"/>
    <x v="8"/>
    <x v="3"/>
  </r>
  <r>
    <n v="2331"/>
    <x v="91"/>
    <x v="31"/>
    <x v="0"/>
    <x v="3"/>
    <x v="1"/>
    <x v="6"/>
    <x v="789"/>
    <x v="6"/>
    <n v="0"/>
    <x v="11"/>
    <n v="0"/>
    <x v="8"/>
    <x v="3"/>
  </r>
  <r>
    <n v="4713"/>
    <x v="91"/>
    <x v="12"/>
    <x v="1"/>
    <x v="0"/>
    <x v="1"/>
    <x v="3"/>
    <x v="2153"/>
    <x v="10"/>
    <n v="0"/>
    <x v="11"/>
    <n v="0"/>
    <x v="8"/>
    <x v="3"/>
  </r>
  <r>
    <n v="2447"/>
    <x v="91"/>
    <x v="43"/>
    <x v="1"/>
    <x v="2"/>
    <x v="3"/>
    <x v="0"/>
    <x v="2154"/>
    <x v="5"/>
    <n v="0"/>
    <x v="11"/>
    <n v="0"/>
    <x v="8"/>
    <x v="3"/>
  </r>
  <r>
    <n v="4263"/>
    <x v="92"/>
    <x v="45"/>
    <x v="0"/>
    <x v="0"/>
    <x v="1"/>
    <x v="7"/>
    <x v="2155"/>
    <x v="0"/>
    <n v="1"/>
    <x v="902"/>
    <n v="2"/>
    <x v="15"/>
    <x v="0"/>
  </r>
  <r>
    <n v="527"/>
    <x v="92"/>
    <x v="24"/>
    <x v="0"/>
    <x v="0"/>
    <x v="0"/>
    <x v="0"/>
    <x v="102"/>
    <x v="0"/>
    <n v="1"/>
    <x v="903"/>
    <n v="5"/>
    <x v="11"/>
    <x v="0"/>
  </r>
  <r>
    <n v="1920"/>
    <x v="92"/>
    <x v="14"/>
    <x v="0"/>
    <x v="0"/>
    <x v="0"/>
    <x v="0"/>
    <x v="2156"/>
    <x v="4"/>
    <n v="1"/>
    <x v="904"/>
    <n v="3"/>
    <x v="3"/>
    <x v="0"/>
  </r>
  <r>
    <n v="4245"/>
    <x v="92"/>
    <x v="42"/>
    <x v="1"/>
    <x v="2"/>
    <x v="0"/>
    <x v="0"/>
    <x v="187"/>
    <x v="5"/>
    <n v="1"/>
    <x v="905"/>
    <n v="3"/>
    <x v="3"/>
    <x v="2"/>
  </r>
  <r>
    <n v="714"/>
    <x v="92"/>
    <x v="11"/>
    <x v="1"/>
    <x v="3"/>
    <x v="1"/>
    <x v="6"/>
    <x v="2157"/>
    <x v="4"/>
    <n v="1"/>
    <x v="906"/>
    <n v="1"/>
    <x v="15"/>
    <x v="1"/>
  </r>
  <r>
    <n v="2058"/>
    <x v="92"/>
    <x v="24"/>
    <x v="1"/>
    <x v="2"/>
    <x v="0"/>
    <x v="0"/>
    <x v="2080"/>
    <x v="0"/>
    <n v="1"/>
    <x v="907"/>
    <n v="4"/>
    <x v="1"/>
    <x v="0"/>
  </r>
  <r>
    <n v="3411"/>
    <x v="92"/>
    <x v="20"/>
    <x v="0"/>
    <x v="0"/>
    <x v="1"/>
    <x v="4"/>
    <x v="2158"/>
    <x v="2"/>
    <n v="1"/>
    <x v="444"/>
    <n v="4"/>
    <x v="3"/>
    <x v="0"/>
  </r>
  <r>
    <n v="2904"/>
    <x v="92"/>
    <x v="33"/>
    <x v="1"/>
    <x v="1"/>
    <x v="0"/>
    <x v="0"/>
    <x v="1610"/>
    <x v="5"/>
    <n v="1"/>
    <x v="908"/>
    <n v="2"/>
    <x v="1"/>
    <x v="1"/>
  </r>
  <r>
    <n v="3241"/>
    <x v="92"/>
    <x v="27"/>
    <x v="0"/>
    <x v="1"/>
    <x v="0"/>
    <x v="0"/>
    <x v="2159"/>
    <x v="5"/>
    <n v="1"/>
    <x v="909"/>
    <n v="2"/>
    <x v="1"/>
    <x v="0"/>
  </r>
  <r>
    <n v="4838"/>
    <x v="92"/>
    <x v="29"/>
    <x v="0"/>
    <x v="1"/>
    <x v="1"/>
    <x v="7"/>
    <x v="2160"/>
    <x v="5"/>
    <n v="0"/>
    <x v="11"/>
    <n v="0"/>
    <x v="8"/>
    <x v="3"/>
  </r>
  <r>
    <n v="3248"/>
    <x v="92"/>
    <x v="39"/>
    <x v="0"/>
    <x v="2"/>
    <x v="0"/>
    <x v="0"/>
    <x v="2161"/>
    <x v="5"/>
    <n v="0"/>
    <x v="11"/>
    <n v="0"/>
    <x v="8"/>
    <x v="3"/>
  </r>
  <r>
    <n v="2656"/>
    <x v="92"/>
    <x v="0"/>
    <x v="0"/>
    <x v="2"/>
    <x v="2"/>
    <x v="0"/>
    <x v="2162"/>
    <x v="8"/>
    <n v="0"/>
    <x v="11"/>
    <n v="0"/>
    <x v="8"/>
    <x v="3"/>
  </r>
  <r>
    <n v="4021"/>
    <x v="92"/>
    <x v="43"/>
    <x v="0"/>
    <x v="0"/>
    <x v="0"/>
    <x v="0"/>
    <x v="2057"/>
    <x v="5"/>
    <n v="0"/>
    <x v="11"/>
    <n v="0"/>
    <x v="8"/>
    <x v="3"/>
  </r>
  <r>
    <n v="3867"/>
    <x v="92"/>
    <x v="35"/>
    <x v="0"/>
    <x v="2"/>
    <x v="0"/>
    <x v="0"/>
    <x v="1133"/>
    <x v="6"/>
    <n v="0"/>
    <x v="11"/>
    <n v="0"/>
    <x v="8"/>
    <x v="3"/>
  </r>
  <r>
    <n v="846"/>
    <x v="92"/>
    <x v="4"/>
    <x v="1"/>
    <x v="3"/>
    <x v="0"/>
    <x v="0"/>
    <x v="1915"/>
    <x v="5"/>
    <n v="0"/>
    <x v="11"/>
    <n v="0"/>
    <x v="8"/>
    <x v="3"/>
  </r>
  <r>
    <n v="3748"/>
    <x v="92"/>
    <x v="23"/>
    <x v="1"/>
    <x v="2"/>
    <x v="1"/>
    <x v="2"/>
    <x v="1151"/>
    <x v="2"/>
    <n v="0"/>
    <x v="11"/>
    <n v="0"/>
    <x v="8"/>
    <x v="3"/>
  </r>
  <r>
    <n v="1740"/>
    <x v="92"/>
    <x v="10"/>
    <x v="0"/>
    <x v="3"/>
    <x v="1"/>
    <x v="7"/>
    <x v="2163"/>
    <x v="8"/>
    <n v="0"/>
    <x v="11"/>
    <n v="0"/>
    <x v="8"/>
    <x v="3"/>
  </r>
  <r>
    <n v="1535"/>
    <x v="92"/>
    <x v="22"/>
    <x v="1"/>
    <x v="2"/>
    <x v="1"/>
    <x v="6"/>
    <x v="1962"/>
    <x v="2"/>
    <n v="0"/>
    <x v="11"/>
    <n v="0"/>
    <x v="8"/>
    <x v="3"/>
  </r>
  <r>
    <n v="4417"/>
    <x v="92"/>
    <x v="3"/>
    <x v="0"/>
    <x v="0"/>
    <x v="1"/>
    <x v="5"/>
    <x v="2164"/>
    <x v="2"/>
    <n v="0"/>
    <x v="11"/>
    <n v="0"/>
    <x v="8"/>
    <x v="3"/>
  </r>
  <r>
    <n v="4705"/>
    <x v="92"/>
    <x v="19"/>
    <x v="1"/>
    <x v="0"/>
    <x v="0"/>
    <x v="0"/>
    <x v="2165"/>
    <x v="1"/>
    <n v="0"/>
    <x v="11"/>
    <n v="0"/>
    <x v="8"/>
    <x v="3"/>
  </r>
  <r>
    <n v="2688"/>
    <x v="92"/>
    <x v="13"/>
    <x v="2"/>
    <x v="1"/>
    <x v="0"/>
    <x v="0"/>
    <x v="2166"/>
    <x v="8"/>
    <n v="0"/>
    <x v="11"/>
    <n v="0"/>
    <x v="8"/>
    <x v="3"/>
  </r>
  <r>
    <n v="1745"/>
    <x v="92"/>
    <x v="20"/>
    <x v="1"/>
    <x v="1"/>
    <x v="1"/>
    <x v="1"/>
    <x v="2167"/>
    <x v="0"/>
    <n v="0"/>
    <x v="11"/>
    <n v="0"/>
    <x v="8"/>
    <x v="3"/>
  </r>
  <r>
    <n v="392"/>
    <x v="92"/>
    <x v="24"/>
    <x v="0"/>
    <x v="3"/>
    <x v="0"/>
    <x v="0"/>
    <x v="1692"/>
    <x v="5"/>
    <n v="0"/>
    <x v="11"/>
    <n v="0"/>
    <x v="8"/>
    <x v="3"/>
  </r>
  <r>
    <n v="4045"/>
    <x v="92"/>
    <x v="25"/>
    <x v="1"/>
    <x v="3"/>
    <x v="2"/>
    <x v="0"/>
    <x v="2168"/>
    <x v="2"/>
    <n v="0"/>
    <x v="11"/>
    <n v="0"/>
    <x v="8"/>
    <x v="3"/>
  </r>
  <r>
    <n v="4353"/>
    <x v="92"/>
    <x v="40"/>
    <x v="1"/>
    <x v="3"/>
    <x v="3"/>
    <x v="0"/>
    <x v="2169"/>
    <x v="0"/>
    <n v="0"/>
    <x v="11"/>
    <n v="0"/>
    <x v="8"/>
    <x v="3"/>
  </r>
  <r>
    <n v="4459"/>
    <x v="92"/>
    <x v="25"/>
    <x v="0"/>
    <x v="3"/>
    <x v="1"/>
    <x v="4"/>
    <x v="2170"/>
    <x v="8"/>
    <n v="0"/>
    <x v="11"/>
    <n v="0"/>
    <x v="8"/>
    <x v="3"/>
  </r>
  <r>
    <n v="653"/>
    <x v="93"/>
    <x v="7"/>
    <x v="0"/>
    <x v="1"/>
    <x v="1"/>
    <x v="1"/>
    <x v="49"/>
    <x v="6"/>
    <n v="1"/>
    <x v="910"/>
    <n v="2"/>
    <x v="7"/>
    <x v="0"/>
  </r>
  <r>
    <n v="358"/>
    <x v="93"/>
    <x v="2"/>
    <x v="0"/>
    <x v="0"/>
    <x v="0"/>
    <x v="0"/>
    <x v="2171"/>
    <x v="5"/>
    <n v="1"/>
    <x v="308"/>
    <n v="4"/>
    <x v="15"/>
    <x v="0"/>
  </r>
  <r>
    <n v="3430"/>
    <x v="93"/>
    <x v="26"/>
    <x v="0"/>
    <x v="1"/>
    <x v="0"/>
    <x v="0"/>
    <x v="2172"/>
    <x v="5"/>
    <n v="1"/>
    <x v="911"/>
    <n v="3"/>
    <x v="1"/>
    <x v="0"/>
  </r>
  <r>
    <n v="4345"/>
    <x v="93"/>
    <x v="25"/>
    <x v="1"/>
    <x v="3"/>
    <x v="0"/>
    <x v="0"/>
    <x v="691"/>
    <x v="8"/>
    <n v="1"/>
    <x v="912"/>
    <n v="4"/>
    <x v="2"/>
    <x v="0"/>
  </r>
  <r>
    <n v="4249"/>
    <x v="93"/>
    <x v="42"/>
    <x v="1"/>
    <x v="2"/>
    <x v="1"/>
    <x v="3"/>
    <x v="2173"/>
    <x v="1"/>
    <n v="1"/>
    <x v="913"/>
    <n v="2"/>
    <x v="0"/>
    <x v="1"/>
  </r>
  <r>
    <n v="2585"/>
    <x v="93"/>
    <x v="5"/>
    <x v="1"/>
    <x v="3"/>
    <x v="1"/>
    <x v="4"/>
    <x v="2174"/>
    <x v="8"/>
    <n v="1"/>
    <x v="914"/>
    <n v="3"/>
    <x v="1"/>
    <x v="0"/>
  </r>
  <r>
    <n v="4536"/>
    <x v="93"/>
    <x v="31"/>
    <x v="0"/>
    <x v="0"/>
    <x v="0"/>
    <x v="0"/>
    <x v="2175"/>
    <x v="5"/>
    <n v="1"/>
    <x v="915"/>
    <n v="2"/>
    <x v="4"/>
    <x v="0"/>
  </r>
  <r>
    <n v="1409"/>
    <x v="93"/>
    <x v="19"/>
    <x v="0"/>
    <x v="0"/>
    <x v="1"/>
    <x v="5"/>
    <x v="2176"/>
    <x v="0"/>
    <n v="1"/>
    <x v="916"/>
    <n v="3"/>
    <x v="12"/>
    <x v="0"/>
  </r>
  <r>
    <n v="3084"/>
    <x v="93"/>
    <x v="33"/>
    <x v="0"/>
    <x v="0"/>
    <x v="2"/>
    <x v="0"/>
    <x v="2177"/>
    <x v="1"/>
    <n v="1"/>
    <x v="917"/>
    <n v="2"/>
    <x v="7"/>
    <x v="1"/>
  </r>
  <r>
    <n v="3143"/>
    <x v="93"/>
    <x v="23"/>
    <x v="2"/>
    <x v="3"/>
    <x v="0"/>
    <x v="0"/>
    <x v="2178"/>
    <x v="4"/>
    <n v="1"/>
    <x v="918"/>
    <n v="5"/>
    <x v="3"/>
    <x v="2"/>
  </r>
  <r>
    <n v="787"/>
    <x v="93"/>
    <x v="23"/>
    <x v="0"/>
    <x v="2"/>
    <x v="1"/>
    <x v="6"/>
    <x v="188"/>
    <x v="2"/>
    <n v="0"/>
    <x v="11"/>
    <n v="0"/>
    <x v="8"/>
    <x v="3"/>
  </r>
  <r>
    <n v="1571"/>
    <x v="93"/>
    <x v="19"/>
    <x v="0"/>
    <x v="3"/>
    <x v="1"/>
    <x v="3"/>
    <x v="480"/>
    <x v="6"/>
    <n v="0"/>
    <x v="11"/>
    <n v="0"/>
    <x v="8"/>
    <x v="3"/>
  </r>
  <r>
    <n v="4304"/>
    <x v="93"/>
    <x v="34"/>
    <x v="0"/>
    <x v="1"/>
    <x v="0"/>
    <x v="0"/>
    <x v="2159"/>
    <x v="2"/>
    <n v="0"/>
    <x v="11"/>
    <n v="0"/>
    <x v="8"/>
    <x v="3"/>
  </r>
  <r>
    <n v="3969"/>
    <x v="93"/>
    <x v="21"/>
    <x v="0"/>
    <x v="2"/>
    <x v="0"/>
    <x v="0"/>
    <x v="1797"/>
    <x v="8"/>
    <n v="0"/>
    <x v="11"/>
    <n v="0"/>
    <x v="8"/>
    <x v="3"/>
  </r>
  <r>
    <n v="1966"/>
    <x v="93"/>
    <x v="8"/>
    <x v="0"/>
    <x v="3"/>
    <x v="1"/>
    <x v="7"/>
    <x v="2179"/>
    <x v="1"/>
    <n v="0"/>
    <x v="11"/>
    <n v="0"/>
    <x v="8"/>
    <x v="3"/>
  </r>
  <r>
    <n v="2938"/>
    <x v="93"/>
    <x v="4"/>
    <x v="0"/>
    <x v="1"/>
    <x v="0"/>
    <x v="0"/>
    <x v="2180"/>
    <x v="5"/>
    <n v="0"/>
    <x v="11"/>
    <n v="0"/>
    <x v="8"/>
    <x v="3"/>
  </r>
  <r>
    <n v="792"/>
    <x v="93"/>
    <x v="6"/>
    <x v="1"/>
    <x v="3"/>
    <x v="3"/>
    <x v="0"/>
    <x v="2181"/>
    <x v="2"/>
    <n v="0"/>
    <x v="11"/>
    <n v="0"/>
    <x v="8"/>
    <x v="3"/>
  </r>
  <r>
    <n v="485"/>
    <x v="93"/>
    <x v="6"/>
    <x v="1"/>
    <x v="0"/>
    <x v="0"/>
    <x v="0"/>
    <x v="1216"/>
    <x v="8"/>
    <n v="0"/>
    <x v="11"/>
    <n v="0"/>
    <x v="8"/>
    <x v="3"/>
  </r>
  <r>
    <n v="464"/>
    <x v="93"/>
    <x v="16"/>
    <x v="1"/>
    <x v="2"/>
    <x v="1"/>
    <x v="6"/>
    <x v="2182"/>
    <x v="10"/>
    <n v="0"/>
    <x v="11"/>
    <n v="0"/>
    <x v="8"/>
    <x v="3"/>
  </r>
  <r>
    <n v="4212"/>
    <x v="93"/>
    <x v="26"/>
    <x v="0"/>
    <x v="1"/>
    <x v="0"/>
    <x v="0"/>
    <x v="2183"/>
    <x v="11"/>
    <n v="0"/>
    <x v="11"/>
    <n v="0"/>
    <x v="8"/>
    <x v="3"/>
  </r>
  <r>
    <n v="4207"/>
    <x v="93"/>
    <x v="21"/>
    <x v="1"/>
    <x v="3"/>
    <x v="0"/>
    <x v="0"/>
    <x v="48"/>
    <x v="6"/>
    <n v="0"/>
    <x v="11"/>
    <n v="0"/>
    <x v="8"/>
    <x v="3"/>
  </r>
  <r>
    <n v="2489"/>
    <x v="93"/>
    <x v="0"/>
    <x v="1"/>
    <x v="2"/>
    <x v="0"/>
    <x v="0"/>
    <x v="469"/>
    <x v="5"/>
    <n v="0"/>
    <x v="11"/>
    <n v="0"/>
    <x v="8"/>
    <x v="3"/>
  </r>
  <r>
    <n v="4509"/>
    <x v="93"/>
    <x v="5"/>
    <x v="1"/>
    <x v="3"/>
    <x v="1"/>
    <x v="6"/>
    <x v="2184"/>
    <x v="2"/>
    <n v="0"/>
    <x v="11"/>
    <n v="0"/>
    <x v="8"/>
    <x v="3"/>
  </r>
  <r>
    <n v="1927"/>
    <x v="93"/>
    <x v="0"/>
    <x v="1"/>
    <x v="1"/>
    <x v="2"/>
    <x v="0"/>
    <x v="2185"/>
    <x v="2"/>
    <n v="0"/>
    <x v="11"/>
    <n v="0"/>
    <x v="8"/>
    <x v="3"/>
  </r>
  <r>
    <n v="497"/>
    <x v="93"/>
    <x v="10"/>
    <x v="1"/>
    <x v="2"/>
    <x v="2"/>
    <x v="0"/>
    <x v="2186"/>
    <x v="5"/>
    <n v="0"/>
    <x v="11"/>
    <n v="0"/>
    <x v="8"/>
    <x v="3"/>
  </r>
  <r>
    <n v="3324"/>
    <x v="93"/>
    <x v="0"/>
    <x v="0"/>
    <x v="3"/>
    <x v="3"/>
    <x v="0"/>
    <x v="2187"/>
    <x v="1"/>
    <n v="0"/>
    <x v="11"/>
    <n v="0"/>
    <x v="8"/>
    <x v="3"/>
  </r>
  <r>
    <n v="3681"/>
    <x v="94"/>
    <x v="16"/>
    <x v="1"/>
    <x v="0"/>
    <x v="1"/>
    <x v="3"/>
    <x v="2188"/>
    <x v="1"/>
    <n v="1"/>
    <x v="919"/>
    <n v="4"/>
    <x v="2"/>
    <x v="0"/>
  </r>
  <r>
    <n v="2929"/>
    <x v="94"/>
    <x v="33"/>
    <x v="0"/>
    <x v="3"/>
    <x v="1"/>
    <x v="6"/>
    <x v="2189"/>
    <x v="8"/>
    <n v="1"/>
    <x v="920"/>
    <n v="5"/>
    <x v="1"/>
    <x v="1"/>
  </r>
  <r>
    <n v="4763"/>
    <x v="94"/>
    <x v="9"/>
    <x v="1"/>
    <x v="0"/>
    <x v="1"/>
    <x v="3"/>
    <x v="2190"/>
    <x v="4"/>
    <n v="1"/>
    <x v="921"/>
    <n v="2"/>
    <x v="6"/>
    <x v="0"/>
  </r>
  <r>
    <n v="1857"/>
    <x v="94"/>
    <x v="13"/>
    <x v="0"/>
    <x v="2"/>
    <x v="1"/>
    <x v="1"/>
    <x v="2191"/>
    <x v="2"/>
    <n v="1"/>
    <x v="922"/>
    <n v="6"/>
    <x v="4"/>
    <x v="1"/>
  </r>
  <r>
    <n v="3739"/>
    <x v="94"/>
    <x v="13"/>
    <x v="0"/>
    <x v="0"/>
    <x v="0"/>
    <x v="0"/>
    <x v="2192"/>
    <x v="0"/>
    <n v="1"/>
    <x v="923"/>
    <n v="1"/>
    <x v="2"/>
    <x v="1"/>
  </r>
  <r>
    <n v="420"/>
    <x v="94"/>
    <x v="2"/>
    <x v="0"/>
    <x v="3"/>
    <x v="0"/>
    <x v="0"/>
    <x v="1844"/>
    <x v="6"/>
    <n v="1"/>
    <x v="924"/>
    <n v="4"/>
    <x v="14"/>
    <x v="0"/>
  </r>
  <r>
    <n v="2842"/>
    <x v="94"/>
    <x v="23"/>
    <x v="0"/>
    <x v="1"/>
    <x v="0"/>
    <x v="0"/>
    <x v="2193"/>
    <x v="5"/>
    <n v="1"/>
    <x v="925"/>
    <n v="4"/>
    <x v="11"/>
    <x v="1"/>
  </r>
  <r>
    <n v="1995"/>
    <x v="94"/>
    <x v="14"/>
    <x v="0"/>
    <x v="1"/>
    <x v="1"/>
    <x v="2"/>
    <x v="2194"/>
    <x v="6"/>
    <n v="1"/>
    <x v="926"/>
    <n v="3"/>
    <x v="2"/>
    <x v="0"/>
  </r>
  <r>
    <n v="2341"/>
    <x v="94"/>
    <x v="43"/>
    <x v="1"/>
    <x v="0"/>
    <x v="3"/>
    <x v="0"/>
    <x v="2138"/>
    <x v="5"/>
    <n v="1"/>
    <x v="927"/>
    <n v="3"/>
    <x v="5"/>
    <x v="0"/>
  </r>
  <r>
    <n v="4639"/>
    <x v="94"/>
    <x v="25"/>
    <x v="1"/>
    <x v="3"/>
    <x v="3"/>
    <x v="0"/>
    <x v="2195"/>
    <x v="8"/>
    <n v="1"/>
    <x v="928"/>
    <n v="2"/>
    <x v="13"/>
    <x v="0"/>
  </r>
  <r>
    <n v="389"/>
    <x v="94"/>
    <x v="19"/>
    <x v="1"/>
    <x v="2"/>
    <x v="3"/>
    <x v="0"/>
    <x v="2196"/>
    <x v="8"/>
    <n v="1"/>
    <x v="457"/>
    <n v="2"/>
    <x v="10"/>
    <x v="1"/>
  </r>
  <r>
    <n v="3631"/>
    <x v="94"/>
    <x v="0"/>
    <x v="1"/>
    <x v="2"/>
    <x v="0"/>
    <x v="0"/>
    <x v="2197"/>
    <x v="6"/>
    <n v="1"/>
    <x v="587"/>
    <n v="3"/>
    <x v="11"/>
    <x v="0"/>
  </r>
  <r>
    <n v="108"/>
    <x v="94"/>
    <x v="6"/>
    <x v="0"/>
    <x v="2"/>
    <x v="0"/>
    <x v="0"/>
    <x v="2198"/>
    <x v="8"/>
    <n v="0"/>
    <x v="11"/>
    <n v="0"/>
    <x v="8"/>
    <x v="3"/>
  </r>
  <r>
    <n v="3738"/>
    <x v="94"/>
    <x v="19"/>
    <x v="0"/>
    <x v="2"/>
    <x v="0"/>
    <x v="0"/>
    <x v="2199"/>
    <x v="2"/>
    <n v="0"/>
    <x v="11"/>
    <n v="0"/>
    <x v="8"/>
    <x v="3"/>
  </r>
  <r>
    <n v="3326"/>
    <x v="94"/>
    <x v="11"/>
    <x v="1"/>
    <x v="3"/>
    <x v="0"/>
    <x v="0"/>
    <x v="2200"/>
    <x v="2"/>
    <n v="0"/>
    <x v="11"/>
    <n v="0"/>
    <x v="8"/>
    <x v="3"/>
  </r>
  <r>
    <n v="559"/>
    <x v="94"/>
    <x v="18"/>
    <x v="1"/>
    <x v="2"/>
    <x v="1"/>
    <x v="5"/>
    <x v="2201"/>
    <x v="5"/>
    <n v="0"/>
    <x v="11"/>
    <n v="0"/>
    <x v="8"/>
    <x v="3"/>
  </r>
  <r>
    <n v="3993"/>
    <x v="94"/>
    <x v="29"/>
    <x v="0"/>
    <x v="0"/>
    <x v="1"/>
    <x v="4"/>
    <x v="2202"/>
    <x v="2"/>
    <n v="0"/>
    <x v="11"/>
    <n v="0"/>
    <x v="8"/>
    <x v="3"/>
  </r>
  <r>
    <n v="3033"/>
    <x v="94"/>
    <x v="45"/>
    <x v="0"/>
    <x v="3"/>
    <x v="0"/>
    <x v="0"/>
    <x v="2203"/>
    <x v="0"/>
    <n v="0"/>
    <x v="11"/>
    <n v="0"/>
    <x v="8"/>
    <x v="3"/>
  </r>
  <r>
    <n v="2539"/>
    <x v="94"/>
    <x v="27"/>
    <x v="0"/>
    <x v="0"/>
    <x v="0"/>
    <x v="0"/>
    <x v="2204"/>
    <x v="2"/>
    <n v="0"/>
    <x v="11"/>
    <n v="0"/>
    <x v="8"/>
    <x v="3"/>
  </r>
  <r>
    <n v="3891"/>
    <x v="94"/>
    <x v="42"/>
    <x v="1"/>
    <x v="1"/>
    <x v="0"/>
    <x v="0"/>
    <x v="2205"/>
    <x v="0"/>
    <n v="0"/>
    <x v="11"/>
    <n v="0"/>
    <x v="8"/>
    <x v="3"/>
  </r>
  <r>
    <n v="2211"/>
    <x v="94"/>
    <x v="16"/>
    <x v="0"/>
    <x v="0"/>
    <x v="0"/>
    <x v="0"/>
    <x v="2206"/>
    <x v="5"/>
    <n v="0"/>
    <x v="11"/>
    <n v="0"/>
    <x v="8"/>
    <x v="3"/>
  </r>
  <r>
    <n v="400"/>
    <x v="94"/>
    <x v="24"/>
    <x v="1"/>
    <x v="0"/>
    <x v="0"/>
    <x v="0"/>
    <x v="2207"/>
    <x v="5"/>
    <n v="0"/>
    <x v="11"/>
    <n v="0"/>
    <x v="8"/>
    <x v="3"/>
  </r>
  <r>
    <n v="448"/>
    <x v="94"/>
    <x v="19"/>
    <x v="0"/>
    <x v="2"/>
    <x v="1"/>
    <x v="1"/>
    <x v="2208"/>
    <x v="6"/>
    <n v="0"/>
    <x v="11"/>
    <n v="0"/>
    <x v="8"/>
    <x v="3"/>
  </r>
  <r>
    <n v="4605"/>
    <x v="94"/>
    <x v="47"/>
    <x v="0"/>
    <x v="0"/>
    <x v="0"/>
    <x v="0"/>
    <x v="908"/>
    <x v="2"/>
    <n v="0"/>
    <x v="11"/>
    <n v="0"/>
    <x v="8"/>
    <x v="3"/>
  </r>
  <r>
    <n v="4303"/>
    <x v="94"/>
    <x v="17"/>
    <x v="0"/>
    <x v="0"/>
    <x v="0"/>
    <x v="0"/>
    <x v="2209"/>
    <x v="6"/>
    <n v="0"/>
    <x v="11"/>
    <n v="0"/>
    <x v="8"/>
    <x v="3"/>
  </r>
  <r>
    <n v="399"/>
    <x v="94"/>
    <x v="0"/>
    <x v="0"/>
    <x v="0"/>
    <x v="1"/>
    <x v="1"/>
    <x v="2210"/>
    <x v="2"/>
    <n v="0"/>
    <x v="11"/>
    <n v="0"/>
    <x v="8"/>
    <x v="3"/>
  </r>
  <r>
    <n v="1156"/>
    <x v="94"/>
    <x v="39"/>
    <x v="0"/>
    <x v="3"/>
    <x v="0"/>
    <x v="0"/>
    <x v="2211"/>
    <x v="2"/>
    <n v="0"/>
    <x v="11"/>
    <n v="0"/>
    <x v="8"/>
    <x v="3"/>
  </r>
  <r>
    <n v="4191"/>
    <x v="94"/>
    <x v="21"/>
    <x v="1"/>
    <x v="3"/>
    <x v="1"/>
    <x v="7"/>
    <x v="2042"/>
    <x v="8"/>
    <n v="0"/>
    <x v="11"/>
    <n v="0"/>
    <x v="8"/>
    <x v="3"/>
  </r>
  <r>
    <n v="4714"/>
    <x v="94"/>
    <x v="33"/>
    <x v="1"/>
    <x v="1"/>
    <x v="3"/>
    <x v="0"/>
    <x v="682"/>
    <x v="6"/>
    <n v="0"/>
    <x v="11"/>
    <n v="0"/>
    <x v="8"/>
    <x v="3"/>
  </r>
  <r>
    <n v="1646"/>
    <x v="94"/>
    <x v="8"/>
    <x v="1"/>
    <x v="0"/>
    <x v="1"/>
    <x v="5"/>
    <x v="1526"/>
    <x v="4"/>
    <n v="0"/>
    <x v="11"/>
    <n v="0"/>
    <x v="8"/>
    <x v="3"/>
  </r>
  <r>
    <n v="1023"/>
    <x v="95"/>
    <x v="4"/>
    <x v="0"/>
    <x v="0"/>
    <x v="0"/>
    <x v="0"/>
    <x v="883"/>
    <x v="2"/>
    <n v="1"/>
    <x v="929"/>
    <n v="3"/>
    <x v="5"/>
    <x v="0"/>
  </r>
  <r>
    <n v="3957"/>
    <x v="95"/>
    <x v="34"/>
    <x v="0"/>
    <x v="3"/>
    <x v="0"/>
    <x v="0"/>
    <x v="2212"/>
    <x v="0"/>
    <n v="1"/>
    <x v="308"/>
    <n v="2"/>
    <x v="9"/>
    <x v="0"/>
  </r>
  <r>
    <n v="1104"/>
    <x v="95"/>
    <x v="0"/>
    <x v="1"/>
    <x v="1"/>
    <x v="0"/>
    <x v="0"/>
    <x v="2213"/>
    <x v="4"/>
    <n v="1"/>
    <x v="930"/>
    <n v="4"/>
    <x v="1"/>
    <x v="0"/>
  </r>
  <r>
    <n v="578"/>
    <x v="95"/>
    <x v="2"/>
    <x v="0"/>
    <x v="3"/>
    <x v="0"/>
    <x v="0"/>
    <x v="2214"/>
    <x v="1"/>
    <n v="1"/>
    <x v="931"/>
    <n v="1"/>
    <x v="0"/>
    <x v="0"/>
  </r>
  <r>
    <n v="4905"/>
    <x v="95"/>
    <x v="44"/>
    <x v="0"/>
    <x v="0"/>
    <x v="3"/>
    <x v="0"/>
    <x v="2215"/>
    <x v="6"/>
    <n v="1"/>
    <x v="880"/>
    <n v="1"/>
    <x v="14"/>
    <x v="1"/>
  </r>
  <r>
    <n v="1016"/>
    <x v="95"/>
    <x v="0"/>
    <x v="1"/>
    <x v="0"/>
    <x v="0"/>
    <x v="0"/>
    <x v="2216"/>
    <x v="1"/>
    <n v="0"/>
    <x v="11"/>
    <n v="0"/>
    <x v="8"/>
    <x v="3"/>
  </r>
  <r>
    <n v="1640"/>
    <x v="95"/>
    <x v="0"/>
    <x v="0"/>
    <x v="1"/>
    <x v="2"/>
    <x v="0"/>
    <x v="2217"/>
    <x v="9"/>
    <n v="0"/>
    <x v="11"/>
    <n v="0"/>
    <x v="8"/>
    <x v="3"/>
  </r>
  <r>
    <n v="800"/>
    <x v="95"/>
    <x v="6"/>
    <x v="0"/>
    <x v="2"/>
    <x v="0"/>
    <x v="0"/>
    <x v="1976"/>
    <x v="8"/>
    <n v="0"/>
    <x v="11"/>
    <n v="0"/>
    <x v="8"/>
    <x v="3"/>
  </r>
  <r>
    <n v="1635"/>
    <x v="95"/>
    <x v="4"/>
    <x v="1"/>
    <x v="0"/>
    <x v="0"/>
    <x v="0"/>
    <x v="2218"/>
    <x v="5"/>
    <n v="0"/>
    <x v="11"/>
    <n v="0"/>
    <x v="8"/>
    <x v="3"/>
  </r>
  <r>
    <n v="1687"/>
    <x v="95"/>
    <x v="2"/>
    <x v="0"/>
    <x v="2"/>
    <x v="0"/>
    <x v="0"/>
    <x v="2219"/>
    <x v="0"/>
    <n v="0"/>
    <x v="11"/>
    <n v="0"/>
    <x v="8"/>
    <x v="3"/>
  </r>
  <r>
    <n v="2821"/>
    <x v="95"/>
    <x v="34"/>
    <x v="1"/>
    <x v="2"/>
    <x v="1"/>
    <x v="2"/>
    <x v="2220"/>
    <x v="2"/>
    <n v="0"/>
    <x v="11"/>
    <n v="0"/>
    <x v="8"/>
    <x v="3"/>
  </r>
  <r>
    <n v="2516"/>
    <x v="95"/>
    <x v="17"/>
    <x v="1"/>
    <x v="0"/>
    <x v="1"/>
    <x v="4"/>
    <x v="597"/>
    <x v="8"/>
    <n v="0"/>
    <x v="11"/>
    <n v="0"/>
    <x v="8"/>
    <x v="3"/>
  </r>
  <r>
    <n v="4434"/>
    <x v="95"/>
    <x v="29"/>
    <x v="1"/>
    <x v="1"/>
    <x v="0"/>
    <x v="0"/>
    <x v="2221"/>
    <x v="8"/>
    <n v="0"/>
    <x v="11"/>
    <n v="0"/>
    <x v="8"/>
    <x v="3"/>
  </r>
  <r>
    <n v="3609"/>
    <x v="95"/>
    <x v="33"/>
    <x v="0"/>
    <x v="0"/>
    <x v="1"/>
    <x v="6"/>
    <x v="232"/>
    <x v="5"/>
    <n v="0"/>
    <x v="11"/>
    <n v="0"/>
    <x v="8"/>
    <x v="3"/>
  </r>
  <r>
    <n v="808"/>
    <x v="95"/>
    <x v="7"/>
    <x v="0"/>
    <x v="3"/>
    <x v="0"/>
    <x v="0"/>
    <x v="2222"/>
    <x v="2"/>
    <n v="0"/>
    <x v="11"/>
    <n v="0"/>
    <x v="8"/>
    <x v="3"/>
  </r>
  <r>
    <n v="3167"/>
    <x v="95"/>
    <x v="8"/>
    <x v="0"/>
    <x v="2"/>
    <x v="0"/>
    <x v="0"/>
    <x v="382"/>
    <x v="1"/>
    <n v="0"/>
    <x v="11"/>
    <n v="0"/>
    <x v="8"/>
    <x v="3"/>
  </r>
  <r>
    <n v="183"/>
    <x v="95"/>
    <x v="6"/>
    <x v="1"/>
    <x v="1"/>
    <x v="3"/>
    <x v="0"/>
    <x v="507"/>
    <x v="2"/>
    <n v="0"/>
    <x v="11"/>
    <n v="0"/>
    <x v="8"/>
    <x v="3"/>
  </r>
  <r>
    <n v="1520"/>
    <x v="95"/>
    <x v="19"/>
    <x v="1"/>
    <x v="1"/>
    <x v="3"/>
    <x v="0"/>
    <x v="2223"/>
    <x v="6"/>
    <n v="0"/>
    <x v="11"/>
    <n v="0"/>
    <x v="8"/>
    <x v="3"/>
  </r>
  <r>
    <n v="1082"/>
    <x v="96"/>
    <x v="8"/>
    <x v="0"/>
    <x v="2"/>
    <x v="0"/>
    <x v="0"/>
    <x v="2224"/>
    <x v="5"/>
    <n v="1"/>
    <x v="932"/>
    <n v="2"/>
    <x v="5"/>
    <x v="2"/>
  </r>
  <r>
    <n v="3062"/>
    <x v="96"/>
    <x v="23"/>
    <x v="0"/>
    <x v="2"/>
    <x v="1"/>
    <x v="6"/>
    <x v="2225"/>
    <x v="0"/>
    <n v="1"/>
    <x v="933"/>
    <n v="2"/>
    <x v="0"/>
    <x v="0"/>
  </r>
  <r>
    <n v="165"/>
    <x v="96"/>
    <x v="22"/>
    <x v="0"/>
    <x v="3"/>
    <x v="1"/>
    <x v="2"/>
    <x v="514"/>
    <x v="8"/>
    <n v="1"/>
    <x v="934"/>
    <n v="4"/>
    <x v="2"/>
    <x v="0"/>
  </r>
  <r>
    <n v="2627"/>
    <x v="96"/>
    <x v="34"/>
    <x v="1"/>
    <x v="2"/>
    <x v="1"/>
    <x v="5"/>
    <x v="2226"/>
    <x v="4"/>
    <n v="1"/>
    <x v="935"/>
    <n v="2"/>
    <x v="12"/>
    <x v="0"/>
  </r>
  <r>
    <n v="1645"/>
    <x v="96"/>
    <x v="4"/>
    <x v="0"/>
    <x v="3"/>
    <x v="3"/>
    <x v="0"/>
    <x v="2227"/>
    <x v="1"/>
    <n v="1"/>
    <x v="936"/>
    <n v="3"/>
    <x v="11"/>
    <x v="0"/>
  </r>
  <r>
    <n v="1117"/>
    <x v="96"/>
    <x v="22"/>
    <x v="0"/>
    <x v="0"/>
    <x v="0"/>
    <x v="0"/>
    <x v="2228"/>
    <x v="5"/>
    <n v="1"/>
    <x v="937"/>
    <n v="4"/>
    <x v="15"/>
    <x v="0"/>
  </r>
  <r>
    <n v="3114"/>
    <x v="96"/>
    <x v="2"/>
    <x v="0"/>
    <x v="2"/>
    <x v="0"/>
    <x v="0"/>
    <x v="2229"/>
    <x v="4"/>
    <n v="1"/>
    <x v="938"/>
    <n v="3"/>
    <x v="7"/>
    <x v="0"/>
  </r>
  <r>
    <n v="191"/>
    <x v="96"/>
    <x v="0"/>
    <x v="1"/>
    <x v="2"/>
    <x v="0"/>
    <x v="0"/>
    <x v="2230"/>
    <x v="8"/>
    <n v="1"/>
    <x v="939"/>
    <n v="1"/>
    <x v="15"/>
    <x v="1"/>
  </r>
  <r>
    <n v="1926"/>
    <x v="96"/>
    <x v="16"/>
    <x v="0"/>
    <x v="2"/>
    <x v="1"/>
    <x v="7"/>
    <x v="2231"/>
    <x v="5"/>
    <n v="0"/>
    <x v="11"/>
    <n v="0"/>
    <x v="8"/>
    <x v="3"/>
  </r>
  <r>
    <n v="423"/>
    <x v="96"/>
    <x v="4"/>
    <x v="1"/>
    <x v="1"/>
    <x v="0"/>
    <x v="0"/>
    <x v="2232"/>
    <x v="2"/>
    <n v="0"/>
    <x v="11"/>
    <n v="0"/>
    <x v="8"/>
    <x v="3"/>
  </r>
  <r>
    <n v="3635"/>
    <x v="96"/>
    <x v="8"/>
    <x v="1"/>
    <x v="2"/>
    <x v="1"/>
    <x v="1"/>
    <x v="2233"/>
    <x v="4"/>
    <n v="0"/>
    <x v="11"/>
    <n v="0"/>
    <x v="8"/>
    <x v="3"/>
  </r>
  <r>
    <n v="996"/>
    <x v="96"/>
    <x v="20"/>
    <x v="0"/>
    <x v="2"/>
    <x v="0"/>
    <x v="0"/>
    <x v="2234"/>
    <x v="6"/>
    <n v="0"/>
    <x v="11"/>
    <n v="0"/>
    <x v="8"/>
    <x v="3"/>
  </r>
  <r>
    <n v="4899"/>
    <x v="96"/>
    <x v="17"/>
    <x v="1"/>
    <x v="0"/>
    <x v="3"/>
    <x v="0"/>
    <x v="38"/>
    <x v="5"/>
    <n v="0"/>
    <x v="11"/>
    <n v="0"/>
    <x v="8"/>
    <x v="3"/>
  </r>
  <r>
    <n v="284"/>
    <x v="96"/>
    <x v="19"/>
    <x v="1"/>
    <x v="2"/>
    <x v="3"/>
    <x v="0"/>
    <x v="288"/>
    <x v="5"/>
    <n v="0"/>
    <x v="11"/>
    <n v="0"/>
    <x v="8"/>
    <x v="3"/>
  </r>
  <r>
    <n v="373"/>
    <x v="96"/>
    <x v="10"/>
    <x v="0"/>
    <x v="2"/>
    <x v="0"/>
    <x v="0"/>
    <x v="2235"/>
    <x v="5"/>
    <n v="0"/>
    <x v="11"/>
    <n v="0"/>
    <x v="8"/>
    <x v="3"/>
  </r>
  <r>
    <n v="4114"/>
    <x v="96"/>
    <x v="1"/>
    <x v="0"/>
    <x v="2"/>
    <x v="0"/>
    <x v="0"/>
    <x v="519"/>
    <x v="9"/>
    <n v="0"/>
    <x v="11"/>
    <n v="0"/>
    <x v="8"/>
    <x v="3"/>
  </r>
  <r>
    <n v="223"/>
    <x v="96"/>
    <x v="10"/>
    <x v="0"/>
    <x v="2"/>
    <x v="2"/>
    <x v="0"/>
    <x v="2236"/>
    <x v="8"/>
    <n v="0"/>
    <x v="11"/>
    <n v="0"/>
    <x v="8"/>
    <x v="3"/>
  </r>
  <r>
    <n v="4143"/>
    <x v="96"/>
    <x v="26"/>
    <x v="1"/>
    <x v="3"/>
    <x v="3"/>
    <x v="0"/>
    <x v="553"/>
    <x v="1"/>
    <n v="0"/>
    <x v="11"/>
    <n v="0"/>
    <x v="8"/>
    <x v="3"/>
  </r>
  <r>
    <n v="2251"/>
    <x v="96"/>
    <x v="0"/>
    <x v="1"/>
    <x v="1"/>
    <x v="2"/>
    <x v="0"/>
    <x v="1256"/>
    <x v="2"/>
    <n v="0"/>
    <x v="11"/>
    <n v="0"/>
    <x v="8"/>
    <x v="3"/>
  </r>
  <r>
    <n v="410"/>
    <x v="96"/>
    <x v="7"/>
    <x v="0"/>
    <x v="1"/>
    <x v="2"/>
    <x v="0"/>
    <x v="2237"/>
    <x v="6"/>
    <n v="0"/>
    <x v="11"/>
    <n v="0"/>
    <x v="8"/>
    <x v="3"/>
  </r>
  <r>
    <n v="3728"/>
    <x v="96"/>
    <x v="26"/>
    <x v="1"/>
    <x v="3"/>
    <x v="1"/>
    <x v="7"/>
    <x v="1543"/>
    <x v="2"/>
    <n v="0"/>
    <x v="11"/>
    <n v="0"/>
    <x v="8"/>
    <x v="3"/>
  </r>
  <r>
    <n v="3101"/>
    <x v="96"/>
    <x v="13"/>
    <x v="1"/>
    <x v="3"/>
    <x v="1"/>
    <x v="1"/>
    <x v="2238"/>
    <x v="8"/>
    <n v="0"/>
    <x v="11"/>
    <n v="0"/>
    <x v="8"/>
    <x v="3"/>
  </r>
  <r>
    <n v="4513"/>
    <x v="96"/>
    <x v="13"/>
    <x v="1"/>
    <x v="1"/>
    <x v="0"/>
    <x v="0"/>
    <x v="299"/>
    <x v="1"/>
    <n v="0"/>
    <x v="11"/>
    <n v="0"/>
    <x v="8"/>
    <x v="3"/>
  </r>
  <r>
    <n v="1442"/>
    <x v="96"/>
    <x v="23"/>
    <x v="1"/>
    <x v="2"/>
    <x v="3"/>
    <x v="0"/>
    <x v="2239"/>
    <x v="1"/>
    <n v="0"/>
    <x v="11"/>
    <n v="0"/>
    <x v="8"/>
    <x v="3"/>
  </r>
  <r>
    <n v="1119"/>
    <x v="97"/>
    <x v="10"/>
    <x v="1"/>
    <x v="2"/>
    <x v="1"/>
    <x v="6"/>
    <x v="2240"/>
    <x v="8"/>
    <n v="1"/>
    <x v="940"/>
    <n v="4"/>
    <x v="15"/>
    <x v="0"/>
  </r>
  <r>
    <n v="2708"/>
    <x v="97"/>
    <x v="34"/>
    <x v="0"/>
    <x v="1"/>
    <x v="2"/>
    <x v="0"/>
    <x v="1732"/>
    <x v="2"/>
    <n v="1"/>
    <x v="941"/>
    <n v="3"/>
    <x v="5"/>
    <x v="1"/>
  </r>
  <r>
    <n v="3626"/>
    <x v="97"/>
    <x v="7"/>
    <x v="0"/>
    <x v="1"/>
    <x v="2"/>
    <x v="0"/>
    <x v="2241"/>
    <x v="10"/>
    <n v="1"/>
    <x v="942"/>
    <n v="1"/>
    <x v="2"/>
    <x v="0"/>
  </r>
  <r>
    <n v="1813"/>
    <x v="97"/>
    <x v="23"/>
    <x v="1"/>
    <x v="0"/>
    <x v="2"/>
    <x v="0"/>
    <x v="2242"/>
    <x v="2"/>
    <n v="1"/>
    <x v="943"/>
    <n v="2"/>
    <x v="15"/>
    <x v="1"/>
  </r>
  <r>
    <n v="3050"/>
    <x v="97"/>
    <x v="17"/>
    <x v="1"/>
    <x v="2"/>
    <x v="0"/>
    <x v="0"/>
    <x v="2243"/>
    <x v="12"/>
    <n v="1"/>
    <x v="944"/>
    <n v="1"/>
    <x v="3"/>
    <x v="0"/>
  </r>
  <r>
    <n v="2941"/>
    <x v="97"/>
    <x v="16"/>
    <x v="0"/>
    <x v="1"/>
    <x v="0"/>
    <x v="0"/>
    <x v="2244"/>
    <x v="0"/>
    <n v="1"/>
    <x v="945"/>
    <n v="7"/>
    <x v="14"/>
    <x v="2"/>
  </r>
  <r>
    <n v="4491"/>
    <x v="97"/>
    <x v="3"/>
    <x v="1"/>
    <x v="1"/>
    <x v="0"/>
    <x v="0"/>
    <x v="2245"/>
    <x v="11"/>
    <n v="1"/>
    <x v="946"/>
    <n v="1"/>
    <x v="0"/>
    <x v="2"/>
  </r>
  <r>
    <n v="2001"/>
    <x v="97"/>
    <x v="26"/>
    <x v="1"/>
    <x v="2"/>
    <x v="0"/>
    <x v="0"/>
    <x v="2246"/>
    <x v="0"/>
    <n v="0"/>
    <x v="11"/>
    <n v="0"/>
    <x v="8"/>
    <x v="3"/>
  </r>
  <r>
    <n v="3364"/>
    <x v="97"/>
    <x v="8"/>
    <x v="0"/>
    <x v="2"/>
    <x v="0"/>
    <x v="0"/>
    <x v="2247"/>
    <x v="2"/>
    <n v="0"/>
    <x v="11"/>
    <n v="0"/>
    <x v="8"/>
    <x v="3"/>
  </r>
  <r>
    <n v="976"/>
    <x v="97"/>
    <x v="10"/>
    <x v="1"/>
    <x v="3"/>
    <x v="1"/>
    <x v="6"/>
    <x v="2248"/>
    <x v="2"/>
    <n v="0"/>
    <x v="11"/>
    <n v="0"/>
    <x v="8"/>
    <x v="3"/>
  </r>
  <r>
    <n v="3373"/>
    <x v="97"/>
    <x v="24"/>
    <x v="0"/>
    <x v="2"/>
    <x v="1"/>
    <x v="6"/>
    <x v="2249"/>
    <x v="1"/>
    <n v="0"/>
    <x v="11"/>
    <n v="0"/>
    <x v="8"/>
    <x v="3"/>
  </r>
  <r>
    <n v="3924"/>
    <x v="97"/>
    <x v="41"/>
    <x v="0"/>
    <x v="1"/>
    <x v="0"/>
    <x v="0"/>
    <x v="2250"/>
    <x v="0"/>
    <n v="0"/>
    <x v="11"/>
    <n v="0"/>
    <x v="8"/>
    <x v="3"/>
  </r>
  <r>
    <n v="4499"/>
    <x v="97"/>
    <x v="43"/>
    <x v="0"/>
    <x v="3"/>
    <x v="0"/>
    <x v="0"/>
    <x v="2251"/>
    <x v="6"/>
    <n v="0"/>
    <x v="11"/>
    <n v="0"/>
    <x v="8"/>
    <x v="3"/>
  </r>
  <r>
    <n v="3700"/>
    <x v="97"/>
    <x v="11"/>
    <x v="1"/>
    <x v="0"/>
    <x v="0"/>
    <x v="0"/>
    <x v="2252"/>
    <x v="6"/>
    <n v="0"/>
    <x v="11"/>
    <n v="0"/>
    <x v="8"/>
    <x v="3"/>
  </r>
  <r>
    <n v="225"/>
    <x v="97"/>
    <x v="22"/>
    <x v="1"/>
    <x v="3"/>
    <x v="1"/>
    <x v="5"/>
    <x v="2253"/>
    <x v="7"/>
    <n v="0"/>
    <x v="11"/>
    <n v="0"/>
    <x v="8"/>
    <x v="3"/>
  </r>
  <r>
    <n v="1653"/>
    <x v="97"/>
    <x v="20"/>
    <x v="2"/>
    <x v="2"/>
    <x v="1"/>
    <x v="3"/>
    <x v="1874"/>
    <x v="6"/>
    <n v="0"/>
    <x v="11"/>
    <n v="0"/>
    <x v="8"/>
    <x v="3"/>
  </r>
  <r>
    <n v="1064"/>
    <x v="98"/>
    <x v="39"/>
    <x v="0"/>
    <x v="2"/>
    <x v="0"/>
    <x v="0"/>
    <x v="2197"/>
    <x v="2"/>
    <n v="1"/>
    <x v="828"/>
    <n v="2"/>
    <x v="7"/>
    <x v="1"/>
  </r>
  <r>
    <n v="3851"/>
    <x v="98"/>
    <x v="27"/>
    <x v="1"/>
    <x v="1"/>
    <x v="0"/>
    <x v="0"/>
    <x v="2254"/>
    <x v="11"/>
    <n v="1"/>
    <x v="947"/>
    <n v="4"/>
    <x v="9"/>
    <x v="0"/>
  </r>
  <r>
    <n v="3263"/>
    <x v="98"/>
    <x v="2"/>
    <x v="1"/>
    <x v="1"/>
    <x v="0"/>
    <x v="0"/>
    <x v="2255"/>
    <x v="8"/>
    <n v="1"/>
    <x v="948"/>
    <n v="4"/>
    <x v="14"/>
    <x v="0"/>
  </r>
  <r>
    <n v="1083"/>
    <x v="98"/>
    <x v="11"/>
    <x v="2"/>
    <x v="2"/>
    <x v="0"/>
    <x v="0"/>
    <x v="2256"/>
    <x v="5"/>
    <n v="1"/>
    <x v="949"/>
    <n v="3"/>
    <x v="14"/>
    <x v="1"/>
  </r>
  <r>
    <n v="836"/>
    <x v="98"/>
    <x v="20"/>
    <x v="0"/>
    <x v="2"/>
    <x v="1"/>
    <x v="6"/>
    <x v="2257"/>
    <x v="11"/>
    <n v="1"/>
    <x v="950"/>
    <n v="4"/>
    <x v="4"/>
    <x v="1"/>
  </r>
  <r>
    <n v="1065"/>
    <x v="98"/>
    <x v="0"/>
    <x v="1"/>
    <x v="2"/>
    <x v="1"/>
    <x v="2"/>
    <x v="2258"/>
    <x v="5"/>
    <n v="1"/>
    <x v="951"/>
    <n v="1"/>
    <x v="0"/>
    <x v="0"/>
  </r>
  <r>
    <n v="1958"/>
    <x v="98"/>
    <x v="3"/>
    <x v="1"/>
    <x v="2"/>
    <x v="1"/>
    <x v="2"/>
    <x v="2259"/>
    <x v="5"/>
    <n v="1"/>
    <x v="952"/>
    <n v="1"/>
    <x v="14"/>
    <x v="1"/>
  </r>
  <r>
    <n v="3876"/>
    <x v="98"/>
    <x v="27"/>
    <x v="1"/>
    <x v="1"/>
    <x v="0"/>
    <x v="0"/>
    <x v="2260"/>
    <x v="6"/>
    <n v="1"/>
    <x v="953"/>
    <n v="2"/>
    <x v="4"/>
    <x v="1"/>
  </r>
  <r>
    <n v="512"/>
    <x v="98"/>
    <x v="24"/>
    <x v="1"/>
    <x v="3"/>
    <x v="2"/>
    <x v="0"/>
    <x v="2261"/>
    <x v="5"/>
    <n v="1"/>
    <x v="954"/>
    <n v="3"/>
    <x v="1"/>
    <x v="2"/>
  </r>
  <r>
    <n v="4500"/>
    <x v="98"/>
    <x v="54"/>
    <x v="1"/>
    <x v="1"/>
    <x v="1"/>
    <x v="3"/>
    <x v="2262"/>
    <x v="5"/>
    <n v="1"/>
    <x v="955"/>
    <n v="4"/>
    <x v="7"/>
    <x v="1"/>
  </r>
  <r>
    <n v="2362"/>
    <x v="98"/>
    <x v="3"/>
    <x v="1"/>
    <x v="1"/>
    <x v="0"/>
    <x v="0"/>
    <x v="2263"/>
    <x v="5"/>
    <n v="1"/>
    <x v="956"/>
    <n v="2"/>
    <x v="15"/>
    <x v="1"/>
  </r>
  <r>
    <n v="1358"/>
    <x v="98"/>
    <x v="24"/>
    <x v="0"/>
    <x v="0"/>
    <x v="3"/>
    <x v="0"/>
    <x v="2264"/>
    <x v="4"/>
    <n v="1"/>
    <x v="957"/>
    <n v="4"/>
    <x v="10"/>
    <x v="2"/>
  </r>
  <r>
    <n v="2124"/>
    <x v="98"/>
    <x v="23"/>
    <x v="1"/>
    <x v="1"/>
    <x v="1"/>
    <x v="5"/>
    <x v="2265"/>
    <x v="5"/>
    <n v="0"/>
    <x v="11"/>
    <n v="0"/>
    <x v="8"/>
    <x v="3"/>
  </r>
  <r>
    <n v="2025"/>
    <x v="98"/>
    <x v="43"/>
    <x v="1"/>
    <x v="2"/>
    <x v="0"/>
    <x v="0"/>
    <x v="2266"/>
    <x v="5"/>
    <n v="0"/>
    <x v="11"/>
    <n v="0"/>
    <x v="8"/>
    <x v="3"/>
  </r>
  <r>
    <n v="3937"/>
    <x v="98"/>
    <x v="3"/>
    <x v="1"/>
    <x v="2"/>
    <x v="0"/>
    <x v="0"/>
    <x v="2267"/>
    <x v="2"/>
    <n v="0"/>
    <x v="11"/>
    <n v="0"/>
    <x v="8"/>
    <x v="3"/>
  </r>
  <r>
    <n v="2340"/>
    <x v="98"/>
    <x v="11"/>
    <x v="0"/>
    <x v="3"/>
    <x v="0"/>
    <x v="0"/>
    <x v="2268"/>
    <x v="7"/>
    <n v="0"/>
    <x v="11"/>
    <n v="0"/>
    <x v="8"/>
    <x v="3"/>
  </r>
  <r>
    <n v="4711"/>
    <x v="98"/>
    <x v="42"/>
    <x v="1"/>
    <x v="1"/>
    <x v="1"/>
    <x v="7"/>
    <x v="2269"/>
    <x v="4"/>
    <n v="0"/>
    <x v="11"/>
    <n v="0"/>
    <x v="8"/>
    <x v="3"/>
  </r>
  <r>
    <n v="4706"/>
    <x v="98"/>
    <x v="29"/>
    <x v="1"/>
    <x v="2"/>
    <x v="1"/>
    <x v="3"/>
    <x v="701"/>
    <x v="0"/>
    <n v="0"/>
    <x v="11"/>
    <n v="0"/>
    <x v="8"/>
    <x v="3"/>
  </r>
  <r>
    <n v="3032"/>
    <x v="98"/>
    <x v="3"/>
    <x v="0"/>
    <x v="0"/>
    <x v="0"/>
    <x v="0"/>
    <x v="1394"/>
    <x v="8"/>
    <n v="0"/>
    <x v="11"/>
    <n v="0"/>
    <x v="8"/>
    <x v="3"/>
  </r>
  <r>
    <n v="4477"/>
    <x v="98"/>
    <x v="14"/>
    <x v="0"/>
    <x v="2"/>
    <x v="0"/>
    <x v="0"/>
    <x v="2270"/>
    <x v="5"/>
    <n v="0"/>
    <x v="11"/>
    <n v="0"/>
    <x v="8"/>
    <x v="3"/>
  </r>
  <r>
    <n v="2874"/>
    <x v="98"/>
    <x v="11"/>
    <x v="0"/>
    <x v="3"/>
    <x v="0"/>
    <x v="0"/>
    <x v="449"/>
    <x v="5"/>
    <n v="0"/>
    <x v="11"/>
    <n v="0"/>
    <x v="8"/>
    <x v="3"/>
  </r>
  <r>
    <n v="3940"/>
    <x v="98"/>
    <x v="29"/>
    <x v="1"/>
    <x v="3"/>
    <x v="0"/>
    <x v="0"/>
    <x v="2271"/>
    <x v="6"/>
    <n v="0"/>
    <x v="11"/>
    <n v="0"/>
    <x v="8"/>
    <x v="3"/>
  </r>
  <r>
    <n v="3958"/>
    <x v="98"/>
    <x v="14"/>
    <x v="1"/>
    <x v="1"/>
    <x v="1"/>
    <x v="3"/>
    <x v="2272"/>
    <x v="2"/>
    <n v="0"/>
    <x v="11"/>
    <n v="0"/>
    <x v="8"/>
    <x v="3"/>
  </r>
  <r>
    <n v="4451"/>
    <x v="98"/>
    <x v="35"/>
    <x v="0"/>
    <x v="2"/>
    <x v="0"/>
    <x v="0"/>
    <x v="2273"/>
    <x v="8"/>
    <n v="0"/>
    <x v="11"/>
    <n v="0"/>
    <x v="8"/>
    <x v="3"/>
  </r>
  <r>
    <n v="2319"/>
    <x v="98"/>
    <x v="45"/>
    <x v="1"/>
    <x v="3"/>
    <x v="0"/>
    <x v="0"/>
    <x v="2274"/>
    <x v="6"/>
    <n v="0"/>
    <x v="11"/>
    <n v="0"/>
    <x v="8"/>
    <x v="3"/>
  </r>
  <r>
    <n v="4785"/>
    <x v="98"/>
    <x v="59"/>
    <x v="0"/>
    <x v="2"/>
    <x v="0"/>
    <x v="0"/>
    <x v="2275"/>
    <x v="10"/>
    <n v="0"/>
    <x v="11"/>
    <n v="0"/>
    <x v="8"/>
    <x v="3"/>
  </r>
  <r>
    <n v="4724"/>
    <x v="98"/>
    <x v="40"/>
    <x v="1"/>
    <x v="2"/>
    <x v="1"/>
    <x v="1"/>
    <x v="2276"/>
    <x v="2"/>
    <n v="0"/>
    <x v="11"/>
    <n v="0"/>
    <x v="8"/>
    <x v="3"/>
  </r>
  <r>
    <n v="1225"/>
    <x v="98"/>
    <x v="4"/>
    <x v="1"/>
    <x v="2"/>
    <x v="2"/>
    <x v="0"/>
    <x v="2277"/>
    <x v="8"/>
    <n v="0"/>
    <x v="11"/>
    <n v="0"/>
    <x v="8"/>
    <x v="3"/>
  </r>
  <r>
    <n v="131"/>
    <x v="98"/>
    <x v="8"/>
    <x v="0"/>
    <x v="1"/>
    <x v="0"/>
    <x v="0"/>
    <x v="2278"/>
    <x v="6"/>
    <n v="0"/>
    <x v="11"/>
    <n v="0"/>
    <x v="8"/>
    <x v="3"/>
  </r>
  <r>
    <n v="905"/>
    <x v="98"/>
    <x v="8"/>
    <x v="0"/>
    <x v="2"/>
    <x v="3"/>
    <x v="0"/>
    <x v="1735"/>
    <x v="2"/>
    <n v="0"/>
    <x v="11"/>
    <n v="0"/>
    <x v="8"/>
    <x v="3"/>
  </r>
  <r>
    <n v="329"/>
    <x v="98"/>
    <x v="22"/>
    <x v="0"/>
    <x v="1"/>
    <x v="0"/>
    <x v="0"/>
    <x v="2279"/>
    <x v="6"/>
    <n v="0"/>
    <x v="11"/>
    <n v="0"/>
    <x v="8"/>
    <x v="3"/>
  </r>
  <r>
    <n v="3564"/>
    <x v="98"/>
    <x v="8"/>
    <x v="1"/>
    <x v="2"/>
    <x v="0"/>
    <x v="0"/>
    <x v="2280"/>
    <x v="0"/>
    <n v="0"/>
    <x v="11"/>
    <n v="0"/>
    <x v="8"/>
    <x v="3"/>
  </r>
  <r>
    <n v="955"/>
    <x v="98"/>
    <x v="8"/>
    <x v="1"/>
    <x v="2"/>
    <x v="0"/>
    <x v="0"/>
    <x v="2281"/>
    <x v="5"/>
    <n v="0"/>
    <x v="11"/>
    <n v="0"/>
    <x v="8"/>
    <x v="3"/>
  </r>
  <r>
    <n v="2267"/>
    <x v="99"/>
    <x v="31"/>
    <x v="0"/>
    <x v="2"/>
    <x v="3"/>
    <x v="0"/>
    <x v="2282"/>
    <x v="8"/>
    <n v="1"/>
    <x v="569"/>
    <n v="2"/>
    <x v="13"/>
    <x v="0"/>
  </r>
  <r>
    <n v="1140"/>
    <x v="99"/>
    <x v="24"/>
    <x v="1"/>
    <x v="1"/>
    <x v="3"/>
    <x v="0"/>
    <x v="2283"/>
    <x v="10"/>
    <n v="1"/>
    <x v="958"/>
    <n v="2"/>
    <x v="10"/>
    <x v="2"/>
  </r>
  <r>
    <n v="2349"/>
    <x v="99"/>
    <x v="23"/>
    <x v="0"/>
    <x v="0"/>
    <x v="1"/>
    <x v="7"/>
    <x v="2284"/>
    <x v="2"/>
    <n v="1"/>
    <x v="959"/>
    <n v="5"/>
    <x v="11"/>
    <x v="0"/>
  </r>
  <r>
    <n v="3449"/>
    <x v="99"/>
    <x v="14"/>
    <x v="1"/>
    <x v="3"/>
    <x v="0"/>
    <x v="0"/>
    <x v="706"/>
    <x v="6"/>
    <n v="1"/>
    <x v="960"/>
    <n v="3"/>
    <x v="11"/>
    <x v="0"/>
  </r>
  <r>
    <n v="1115"/>
    <x v="99"/>
    <x v="16"/>
    <x v="1"/>
    <x v="0"/>
    <x v="1"/>
    <x v="6"/>
    <x v="2285"/>
    <x v="5"/>
    <n v="1"/>
    <x v="217"/>
    <n v="5"/>
    <x v="9"/>
    <x v="4"/>
  </r>
  <r>
    <n v="170"/>
    <x v="99"/>
    <x v="2"/>
    <x v="0"/>
    <x v="1"/>
    <x v="3"/>
    <x v="0"/>
    <x v="2286"/>
    <x v="2"/>
    <n v="1"/>
    <x v="313"/>
    <n v="2"/>
    <x v="5"/>
    <x v="1"/>
  </r>
  <r>
    <n v="647"/>
    <x v="99"/>
    <x v="10"/>
    <x v="0"/>
    <x v="2"/>
    <x v="2"/>
    <x v="0"/>
    <x v="2287"/>
    <x v="2"/>
    <n v="1"/>
    <x v="961"/>
    <n v="2"/>
    <x v="10"/>
    <x v="0"/>
  </r>
  <r>
    <n v="29"/>
    <x v="99"/>
    <x v="10"/>
    <x v="0"/>
    <x v="1"/>
    <x v="0"/>
    <x v="0"/>
    <x v="2288"/>
    <x v="6"/>
    <n v="1"/>
    <x v="962"/>
    <n v="2"/>
    <x v="5"/>
    <x v="2"/>
  </r>
  <r>
    <n v="4135"/>
    <x v="99"/>
    <x v="30"/>
    <x v="1"/>
    <x v="1"/>
    <x v="3"/>
    <x v="0"/>
    <x v="2289"/>
    <x v="12"/>
    <n v="1"/>
    <x v="963"/>
    <n v="2"/>
    <x v="4"/>
    <x v="0"/>
  </r>
  <r>
    <n v="4073"/>
    <x v="99"/>
    <x v="45"/>
    <x v="1"/>
    <x v="1"/>
    <x v="0"/>
    <x v="0"/>
    <x v="2290"/>
    <x v="5"/>
    <n v="1"/>
    <x v="224"/>
    <n v="4"/>
    <x v="15"/>
    <x v="2"/>
  </r>
  <r>
    <n v="911"/>
    <x v="99"/>
    <x v="19"/>
    <x v="0"/>
    <x v="2"/>
    <x v="0"/>
    <x v="0"/>
    <x v="2291"/>
    <x v="8"/>
    <n v="1"/>
    <x v="964"/>
    <n v="1"/>
    <x v="12"/>
    <x v="1"/>
  </r>
  <r>
    <n v="817"/>
    <x v="99"/>
    <x v="4"/>
    <x v="0"/>
    <x v="3"/>
    <x v="1"/>
    <x v="5"/>
    <x v="2292"/>
    <x v="8"/>
    <n v="1"/>
    <x v="965"/>
    <n v="3"/>
    <x v="15"/>
    <x v="0"/>
  </r>
  <r>
    <n v="521"/>
    <x v="99"/>
    <x v="16"/>
    <x v="1"/>
    <x v="3"/>
    <x v="1"/>
    <x v="6"/>
    <x v="2293"/>
    <x v="11"/>
    <n v="0"/>
    <x v="11"/>
    <n v="0"/>
    <x v="8"/>
    <x v="3"/>
  </r>
  <r>
    <n v="2236"/>
    <x v="99"/>
    <x v="7"/>
    <x v="1"/>
    <x v="2"/>
    <x v="0"/>
    <x v="0"/>
    <x v="2294"/>
    <x v="2"/>
    <n v="0"/>
    <x v="11"/>
    <n v="0"/>
    <x v="8"/>
    <x v="3"/>
  </r>
  <r>
    <n v="1877"/>
    <x v="99"/>
    <x v="7"/>
    <x v="0"/>
    <x v="2"/>
    <x v="1"/>
    <x v="4"/>
    <x v="2295"/>
    <x v="8"/>
    <n v="0"/>
    <x v="11"/>
    <n v="0"/>
    <x v="8"/>
    <x v="3"/>
  </r>
  <r>
    <n v="3486"/>
    <x v="99"/>
    <x v="24"/>
    <x v="1"/>
    <x v="1"/>
    <x v="0"/>
    <x v="0"/>
    <x v="2015"/>
    <x v="11"/>
    <n v="0"/>
    <x v="11"/>
    <n v="0"/>
    <x v="8"/>
    <x v="3"/>
  </r>
  <r>
    <n v="4479"/>
    <x v="99"/>
    <x v="21"/>
    <x v="1"/>
    <x v="2"/>
    <x v="3"/>
    <x v="0"/>
    <x v="2296"/>
    <x v="9"/>
    <n v="0"/>
    <x v="11"/>
    <n v="0"/>
    <x v="8"/>
    <x v="3"/>
  </r>
  <r>
    <n v="2796"/>
    <x v="99"/>
    <x v="33"/>
    <x v="0"/>
    <x v="1"/>
    <x v="1"/>
    <x v="2"/>
    <x v="2256"/>
    <x v="5"/>
    <n v="0"/>
    <x v="11"/>
    <n v="0"/>
    <x v="8"/>
    <x v="3"/>
  </r>
  <r>
    <n v="566"/>
    <x v="99"/>
    <x v="24"/>
    <x v="0"/>
    <x v="2"/>
    <x v="1"/>
    <x v="5"/>
    <x v="2182"/>
    <x v="1"/>
    <n v="0"/>
    <x v="11"/>
    <n v="0"/>
    <x v="8"/>
    <x v="3"/>
  </r>
  <r>
    <n v="994"/>
    <x v="99"/>
    <x v="19"/>
    <x v="0"/>
    <x v="2"/>
    <x v="0"/>
    <x v="0"/>
    <x v="2297"/>
    <x v="4"/>
    <n v="0"/>
    <x v="11"/>
    <n v="0"/>
    <x v="8"/>
    <x v="3"/>
  </r>
  <r>
    <n v="2879"/>
    <x v="99"/>
    <x v="47"/>
    <x v="0"/>
    <x v="1"/>
    <x v="3"/>
    <x v="0"/>
    <x v="1315"/>
    <x v="4"/>
    <n v="0"/>
    <x v="11"/>
    <n v="0"/>
    <x v="8"/>
    <x v="3"/>
  </r>
  <r>
    <n v="1380"/>
    <x v="99"/>
    <x v="39"/>
    <x v="0"/>
    <x v="1"/>
    <x v="1"/>
    <x v="5"/>
    <x v="2298"/>
    <x v="2"/>
    <n v="0"/>
    <x v="11"/>
    <n v="0"/>
    <x v="8"/>
    <x v="3"/>
  </r>
  <r>
    <n v="2931"/>
    <x v="99"/>
    <x v="22"/>
    <x v="0"/>
    <x v="0"/>
    <x v="0"/>
    <x v="0"/>
    <x v="2299"/>
    <x v="6"/>
    <n v="0"/>
    <x v="11"/>
    <n v="0"/>
    <x v="8"/>
    <x v="3"/>
  </r>
  <r>
    <n v="1918"/>
    <x v="99"/>
    <x v="0"/>
    <x v="1"/>
    <x v="0"/>
    <x v="3"/>
    <x v="0"/>
    <x v="941"/>
    <x v="5"/>
    <n v="0"/>
    <x v="11"/>
    <n v="0"/>
    <x v="8"/>
    <x v="3"/>
  </r>
  <r>
    <n v="290"/>
    <x v="99"/>
    <x v="5"/>
    <x v="0"/>
    <x v="2"/>
    <x v="2"/>
    <x v="0"/>
    <x v="2300"/>
    <x v="8"/>
    <n v="0"/>
    <x v="11"/>
    <n v="0"/>
    <x v="8"/>
    <x v="3"/>
  </r>
  <r>
    <n v="1360"/>
    <x v="99"/>
    <x v="10"/>
    <x v="1"/>
    <x v="2"/>
    <x v="0"/>
    <x v="0"/>
    <x v="1418"/>
    <x v="5"/>
    <n v="0"/>
    <x v="11"/>
    <n v="0"/>
    <x v="8"/>
    <x v="3"/>
  </r>
  <r>
    <n v="3109"/>
    <x v="99"/>
    <x v="17"/>
    <x v="2"/>
    <x v="3"/>
    <x v="1"/>
    <x v="3"/>
    <x v="2301"/>
    <x v="6"/>
    <n v="0"/>
    <x v="11"/>
    <n v="0"/>
    <x v="8"/>
    <x v="3"/>
  </r>
  <r>
    <n v="2868"/>
    <x v="100"/>
    <x v="7"/>
    <x v="1"/>
    <x v="2"/>
    <x v="1"/>
    <x v="2"/>
    <x v="2302"/>
    <x v="0"/>
    <n v="1"/>
    <x v="966"/>
    <n v="1"/>
    <x v="10"/>
    <x v="1"/>
  </r>
  <r>
    <n v="2071"/>
    <x v="100"/>
    <x v="34"/>
    <x v="0"/>
    <x v="1"/>
    <x v="1"/>
    <x v="3"/>
    <x v="2303"/>
    <x v="6"/>
    <n v="1"/>
    <x v="130"/>
    <n v="4"/>
    <x v="14"/>
    <x v="0"/>
  </r>
  <r>
    <n v="3645"/>
    <x v="100"/>
    <x v="6"/>
    <x v="0"/>
    <x v="2"/>
    <x v="0"/>
    <x v="0"/>
    <x v="625"/>
    <x v="5"/>
    <n v="1"/>
    <x v="967"/>
    <n v="4"/>
    <x v="9"/>
    <x v="1"/>
  </r>
  <r>
    <n v="1903"/>
    <x v="100"/>
    <x v="27"/>
    <x v="0"/>
    <x v="1"/>
    <x v="0"/>
    <x v="0"/>
    <x v="2304"/>
    <x v="8"/>
    <n v="1"/>
    <x v="968"/>
    <n v="2"/>
    <x v="11"/>
    <x v="0"/>
  </r>
  <r>
    <n v="3528"/>
    <x v="100"/>
    <x v="41"/>
    <x v="0"/>
    <x v="0"/>
    <x v="0"/>
    <x v="0"/>
    <x v="2262"/>
    <x v="5"/>
    <n v="1"/>
    <x v="310"/>
    <n v="5"/>
    <x v="10"/>
    <x v="0"/>
  </r>
  <r>
    <n v="1108"/>
    <x v="100"/>
    <x v="22"/>
    <x v="1"/>
    <x v="0"/>
    <x v="0"/>
    <x v="0"/>
    <x v="2242"/>
    <x v="6"/>
    <n v="1"/>
    <x v="969"/>
    <n v="2"/>
    <x v="14"/>
    <x v="0"/>
  </r>
  <r>
    <n v="2839"/>
    <x v="100"/>
    <x v="14"/>
    <x v="0"/>
    <x v="2"/>
    <x v="2"/>
    <x v="0"/>
    <x v="2305"/>
    <x v="2"/>
    <n v="1"/>
    <x v="970"/>
    <n v="5"/>
    <x v="15"/>
    <x v="0"/>
  </r>
  <r>
    <n v="2638"/>
    <x v="100"/>
    <x v="2"/>
    <x v="0"/>
    <x v="3"/>
    <x v="1"/>
    <x v="4"/>
    <x v="2306"/>
    <x v="0"/>
    <n v="1"/>
    <x v="971"/>
    <n v="4"/>
    <x v="10"/>
    <x v="0"/>
  </r>
  <r>
    <n v="3338"/>
    <x v="100"/>
    <x v="27"/>
    <x v="2"/>
    <x v="0"/>
    <x v="0"/>
    <x v="0"/>
    <x v="2307"/>
    <x v="4"/>
    <n v="1"/>
    <x v="972"/>
    <n v="3"/>
    <x v="11"/>
    <x v="1"/>
  </r>
  <r>
    <n v="3941"/>
    <x v="100"/>
    <x v="36"/>
    <x v="1"/>
    <x v="2"/>
    <x v="0"/>
    <x v="0"/>
    <x v="2308"/>
    <x v="2"/>
    <n v="1"/>
    <x v="973"/>
    <n v="2"/>
    <x v="11"/>
    <x v="1"/>
  </r>
  <r>
    <n v="4575"/>
    <x v="100"/>
    <x v="27"/>
    <x v="1"/>
    <x v="3"/>
    <x v="0"/>
    <x v="0"/>
    <x v="2309"/>
    <x v="1"/>
    <n v="1"/>
    <x v="974"/>
    <n v="2"/>
    <x v="3"/>
    <x v="2"/>
  </r>
  <r>
    <n v="3433"/>
    <x v="100"/>
    <x v="13"/>
    <x v="0"/>
    <x v="3"/>
    <x v="1"/>
    <x v="5"/>
    <x v="2310"/>
    <x v="11"/>
    <n v="1"/>
    <x v="975"/>
    <n v="5"/>
    <x v="6"/>
    <x v="0"/>
  </r>
  <r>
    <n v="93"/>
    <x v="100"/>
    <x v="2"/>
    <x v="0"/>
    <x v="2"/>
    <x v="0"/>
    <x v="0"/>
    <x v="2311"/>
    <x v="1"/>
    <n v="0"/>
    <x v="11"/>
    <n v="0"/>
    <x v="8"/>
    <x v="3"/>
  </r>
  <r>
    <n v="1201"/>
    <x v="100"/>
    <x v="0"/>
    <x v="1"/>
    <x v="0"/>
    <x v="0"/>
    <x v="0"/>
    <x v="2312"/>
    <x v="2"/>
    <n v="0"/>
    <x v="11"/>
    <n v="0"/>
    <x v="8"/>
    <x v="3"/>
  </r>
  <r>
    <n v="2006"/>
    <x v="100"/>
    <x v="3"/>
    <x v="0"/>
    <x v="1"/>
    <x v="1"/>
    <x v="7"/>
    <x v="1601"/>
    <x v="2"/>
    <n v="0"/>
    <x v="11"/>
    <n v="0"/>
    <x v="8"/>
    <x v="3"/>
  </r>
  <r>
    <n v="332"/>
    <x v="100"/>
    <x v="18"/>
    <x v="0"/>
    <x v="3"/>
    <x v="0"/>
    <x v="0"/>
    <x v="2313"/>
    <x v="1"/>
    <n v="0"/>
    <x v="11"/>
    <n v="0"/>
    <x v="8"/>
    <x v="3"/>
  </r>
  <r>
    <n v="3743"/>
    <x v="100"/>
    <x v="17"/>
    <x v="0"/>
    <x v="3"/>
    <x v="1"/>
    <x v="7"/>
    <x v="2314"/>
    <x v="2"/>
    <n v="0"/>
    <x v="11"/>
    <n v="0"/>
    <x v="8"/>
    <x v="3"/>
  </r>
  <r>
    <n v="711"/>
    <x v="100"/>
    <x v="7"/>
    <x v="1"/>
    <x v="0"/>
    <x v="1"/>
    <x v="6"/>
    <x v="2315"/>
    <x v="8"/>
    <n v="0"/>
    <x v="11"/>
    <n v="0"/>
    <x v="8"/>
    <x v="3"/>
  </r>
  <r>
    <n v="1245"/>
    <x v="100"/>
    <x v="10"/>
    <x v="1"/>
    <x v="2"/>
    <x v="0"/>
    <x v="0"/>
    <x v="2316"/>
    <x v="8"/>
    <n v="0"/>
    <x v="11"/>
    <n v="0"/>
    <x v="8"/>
    <x v="3"/>
  </r>
  <r>
    <n v="4919"/>
    <x v="100"/>
    <x v="21"/>
    <x v="1"/>
    <x v="3"/>
    <x v="0"/>
    <x v="0"/>
    <x v="797"/>
    <x v="11"/>
    <n v="0"/>
    <x v="11"/>
    <n v="0"/>
    <x v="8"/>
    <x v="3"/>
  </r>
  <r>
    <n v="4003"/>
    <x v="100"/>
    <x v="32"/>
    <x v="0"/>
    <x v="1"/>
    <x v="1"/>
    <x v="7"/>
    <x v="705"/>
    <x v="6"/>
    <n v="0"/>
    <x v="11"/>
    <n v="0"/>
    <x v="8"/>
    <x v="3"/>
  </r>
  <r>
    <n v="4243"/>
    <x v="100"/>
    <x v="47"/>
    <x v="0"/>
    <x v="2"/>
    <x v="0"/>
    <x v="0"/>
    <x v="1150"/>
    <x v="10"/>
    <n v="0"/>
    <x v="11"/>
    <n v="0"/>
    <x v="8"/>
    <x v="3"/>
  </r>
  <r>
    <n v="1179"/>
    <x v="100"/>
    <x v="8"/>
    <x v="1"/>
    <x v="1"/>
    <x v="0"/>
    <x v="0"/>
    <x v="1493"/>
    <x v="2"/>
    <n v="0"/>
    <x v="11"/>
    <n v="0"/>
    <x v="8"/>
    <x v="3"/>
  </r>
  <r>
    <n v="2945"/>
    <x v="100"/>
    <x v="10"/>
    <x v="1"/>
    <x v="1"/>
    <x v="2"/>
    <x v="0"/>
    <x v="2317"/>
    <x v="5"/>
    <n v="0"/>
    <x v="11"/>
    <n v="0"/>
    <x v="8"/>
    <x v="3"/>
  </r>
  <r>
    <n v="1749"/>
    <x v="100"/>
    <x v="7"/>
    <x v="0"/>
    <x v="3"/>
    <x v="1"/>
    <x v="7"/>
    <x v="2318"/>
    <x v="2"/>
    <n v="0"/>
    <x v="11"/>
    <n v="0"/>
    <x v="8"/>
    <x v="3"/>
  </r>
  <r>
    <n v="1631"/>
    <x v="100"/>
    <x v="10"/>
    <x v="1"/>
    <x v="1"/>
    <x v="1"/>
    <x v="7"/>
    <x v="1308"/>
    <x v="8"/>
    <n v="0"/>
    <x v="11"/>
    <n v="0"/>
    <x v="8"/>
    <x v="3"/>
  </r>
  <r>
    <n v="4574"/>
    <x v="100"/>
    <x v="25"/>
    <x v="0"/>
    <x v="1"/>
    <x v="2"/>
    <x v="0"/>
    <x v="2319"/>
    <x v="6"/>
    <n v="0"/>
    <x v="11"/>
    <n v="0"/>
    <x v="8"/>
    <x v="3"/>
  </r>
  <r>
    <n v="2423"/>
    <x v="100"/>
    <x v="45"/>
    <x v="0"/>
    <x v="1"/>
    <x v="0"/>
    <x v="0"/>
    <x v="986"/>
    <x v="2"/>
    <n v="0"/>
    <x v="11"/>
    <n v="0"/>
    <x v="8"/>
    <x v="3"/>
  </r>
  <r>
    <n v="3377"/>
    <x v="100"/>
    <x v="33"/>
    <x v="0"/>
    <x v="0"/>
    <x v="3"/>
    <x v="0"/>
    <x v="2169"/>
    <x v="5"/>
    <n v="0"/>
    <x v="11"/>
    <n v="0"/>
    <x v="8"/>
    <x v="3"/>
  </r>
  <r>
    <n v="2807"/>
    <x v="100"/>
    <x v="20"/>
    <x v="1"/>
    <x v="3"/>
    <x v="1"/>
    <x v="2"/>
    <x v="2302"/>
    <x v="7"/>
    <n v="0"/>
    <x v="11"/>
    <n v="0"/>
    <x v="8"/>
    <x v="3"/>
  </r>
  <r>
    <n v="1668"/>
    <x v="101"/>
    <x v="7"/>
    <x v="0"/>
    <x v="1"/>
    <x v="3"/>
    <x v="0"/>
    <x v="2320"/>
    <x v="12"/>
    <n v="1"/>
    <x v="976"/>
    <n v="5"/>
    <x v="10"/>
    <x v="1"/>
  </r>
  <r>
    <n v="685"/>
    <x v="101"/>
    <x v="4"/>
    <x v="0"/>
    <x v="0"/>
    <x v="1"/>
    <x v="4"/>
    <x v="2321"/>
    <x v="2"/>
    <n v="1"/>
    <x v="977"/>
    <n v="1"/>
    <x v="6"/>
    <x v="2"/>
  </r>
  <r>
    <n v="396"/>
    <x v="101"/>
    <x v="19"/>
    <x v="1"/>
    <x v="1"/>
    <x v="1"/>
    <x v="1"/>
    <x v="2322"/>
    <x v="0"/>
    <n v="1"/>
    <x v="978"/>
    <n v="1"/>
    <x v="11"/>
    <x v="1"/>
  </r>
  <r>
    <n v="2570"/>
    <x v="101"/>
    <x v="43"/>
    <x v="1"/>
    <x v="0"/>
    <x v="0"/>
    <x v="0"/>
    <x v="1701"/>
    <x v="2"/>
    <n v="1"/>
    <x v="979"/>
    <n v="3"/>
    <x v="14"/>
    <x v="2"/>
  </r>
  <r>
    <n v="4551"/>
    <x v="101"/>
    <x v="30"/>
    <x v="1"/>
    <x v="1"/>
    <x v="2"/>
    <x v="0"/>
    <x v="2323"/>
    <x v="5"/>
    <n v="1"/>
    <x v="980"/>
    <n v="4"/>
    <x v="11"/>
    <x v="2"/>
  </r>
  <r>
    <n v="4559"/>
    <x v="101"/>
    <x v="58"/>
    <x v="0"/>
    <x v="0"/>
    <x v="1"/>
    <x v="3"/>
    <x v="2324"/>
    <x v="10"/>
    <n v="1"/>
    <x v="980"/>
    <n v="4"/>
    <x v="0"/>
    <x v="0"/>
  </r>
  <r>
    <n v="3837"/>
    <x v="101"/>
    <x v="29"/>
    <x v="0"/>
    <x v="1"/>
    <x v="2"/>
    <x v="0"/>
    <x v="2325"/>
    <x v="5"/>
    <n v="1"/>
    <x v="981"/>
    <n v="2"/>
    <x v="9"/>
    <x v="0"/>
  </r>
  <r>
    <n v="716"/>
    <x v="101"/>
    <x v="18"/>
    <x v="1"/>
    <x v="1"/>
    <x v="0"/>
    <x v="0"/>
    <x v="2326"/>
    <x v="10"/>
    <n v="1"/>
    <x v="668"/>
    <n v="2"/>
    <x v="10"/>
    <x v="0"/>
  </r>
  <r>
    <n v="3440"/>
    <x v="101"/>
    <x v="33"/>
    <x v="1"/>
    <x v="3"/>
    <x v="0"/>
    <x v="0"/>
    <x v="2327"/>
    <x v="11"/>
    <n v="0"/>
    <x v="11"/>
    <n v="0"/>
    <x v="8"/>
    <x v="3"/>
  </r>
  <r>
    <n v="3776"/>
    <x v="101"/>
    <x v="51"/>
    <x v="1"/>
    <x v="2"/>
    <x v="2"/>
    <x v="0"/>
    <x v="2328"/>
    <x v="0"/>
    <n v="0"/>
    <x v="11"/>
    <n v="0"/>
    <x v="8"/>
    <x v="3"/>
  </r>
  <r>
    <n v="4094"/>
    <x v="101"/>
    <x v="49"/>
    <x v="1"/>
    <x v="1"/>
    <x v="0"/>
    <x v="0"/>
    <x v="2329"/>
    <x v="8"/>
    <n v="0"/>
    <x v="11"/>
    <n v="0"/>
    <x v="8"/>
    <x v="3"/>
  </r>
  <r>
    <n v="1456"/>
    <x v="101"/>
    <x v="16"/>
    <x v="1"/>
    <x v="1"/>
    <x v="0"/>
    <x v="0"/>
    <x v="2330"/>
    <x v="2"/>
    <n v="0"/>
    <x v="11"/>
    <n v="0"/>
    <x v="8"/>
    <x v="3"/>
  </r>
  <r>
    <n v="113"/>
    <x v="101"/>
    <x v="18"/>
    <x v="1"/>
    <x v="0"/>
    <x v="0"/>
    <x v="0"/>
    <x v="2331"/>
    <x v="0"/>
    <n v="0"/>
    <x v="11"/>
    <n v="0"/>
    <x v="8"/>
    <x v="3"/>
  </r>
  <r>
    <n v="3439"/>
    <x v="101"/>
    <x v="43"/>
    <x v="1"/>
    <x v="2"/>
    <x v="0"/>
    <x v="0"/>
    <x v="1932"/>
    <x v="6"/>
    <n v="0"/>
    <x v="11"/>
    <n v="0"/>
    <x v="8"/>
    <x v="3"/>
  </r>
  <r>
    <n v="4734"/>
    <x v="101"/>
    <x v="40"/>
    <x v="1"/>
    <x v="2"/>
    <x v="0"/>
    <x v="0"/>
    <x v="2332"/>
    <x v="2"/>
    <n v="0"/>
    <x v="11"/>
    <n v="0"/>
    <x v="8"/>
    <x v="3"/>
  </r>
  <r>
    <n v="2950"/>
    <x v="101"/>
    <x v="36"/>
    <x v="0"/>
    <x v="3"/>
    <x v="0"/>
    <x v="0"/>
    <x v="2333"/>
    <x v="9"/>
    <n v="0"/>
    <x v="11"/>
    <n v="0"/>
    <x v="8"/>
    <x v="3"/>
  </r>
  <r>
    <n v="2305"/>
    <x v="101"/>
    <x v="13"/>
    <x v="1"/>
    <x v="1"/>
    <x v="1"/>
    <x v="2"/>
    <x v="2334"/>
    <x v="11"/>
    <n v="0"/>
    <x v="11"/>
    <n v="0"/>
    <x v="8"/>
    <x v="3"/>
  </r>
  <r>
    <n v="1184"/>
    <x v="101"/>
    <x v="4"/>
    <x v="2"/>
    <x v="2"/>
    <x v="1"/>
    <x v="3"/>
    <x v="2335"/>
    <x v="8"/>
    <n v="0"/>
    <x v="11"/>
    <n v="0"/>
    <x v="8"/>
    <x v="3"/>
  </r>
  <r>
    <n v="3687"/>
    <x v="101"/>
    <x v="4"/>
    <x v="1"/>
    <x v="2"/>
    <x v="0"/>
    <x v="0"/>
    <x v="732"/>
    <x v="5"/>
    <n v="0"/>
    <x v="11"/>
    <n v="0"/>
    <x v="8"/>
    <x v="3"/>
  </r>
  <r>
    <n v="797"/>
    <x v="101"/>
    <x v="8"/>
    <x v="1"/>
    <x v="2"/>
    <x v="2"/>
    <x v="0"/>
    <x v="2336"/>
    <x v="5"/>
    <n v="0"/>
    <x v="11"/>
    <n v="0"/>
    <x v="8"/>
    <x v="3"/>
  </r>
  <r>
    <n v="1839"/>
    <x v="101"/>
    <x v="7"/>
    <x v="1"/>
    <x v="2"/>
    <x v="2"/>
    <x v="0"/>
    <x v="1260"/>
    <x v="0"/>
    <n v="0"/>
    <x v="11"/>
    <n v="0"/>
    <x v="8"/>
    <x v="3"/>
  </r>
  <r>
    <n v="3726"/>
    <x v="101"/>
    <x v="20"/>
    <x v="0"/>
    <x v="1"/>
    <x v="0"/>
    <x v="0"/>
    <x v="2112"/>
    <x v="4"/>
    <n v="0"/>
    <x v="11"/>
    <n v="0"/>
    <x v="8"/>
    <x v="3"/>
  </r>
  <r>
    <n v="3986"/>
    <x v="101"/>
    <x v="47"/>
    <x v="1"/>
    <x v="1"/>
    <x v="3"/>
    <x v="0"/>
    <x v="2337"/>
    <x v="4"/>
    <n v="0"/>
    <x v="11"/>
    <n v="0"/>
    <x v="8"/>
    <x v="3"/>
  </r>
  <r>
    <n v="3699"/>
    <x v="101"/>
    <x v="8"/>
    <x v="0"/>
    <x v="0"/>
    <x v="0"/>
    <x v="0"/>
    <x v="150"/>
    <x v="5"/>
    <n v="0"/>
    <x v="11"/>
    <n v="0"/>
    <x v="8"/>
    <x v="3"/>
  </r>
  <r>
    <n v="513"/>
    <x v="101"/>
    <x v="20"/>
    <x v="1"/>
    <x v="2"/>
    <x v="3"/>
    <x v="0"/>
    <x v="2338"/>
    <x v="6"/>
    <n v="0"/>
    <x v="11"/>
    <n v="0"/>
    <x v="8"/>
    <x v="3"/>
  </r>
  <r>
    <n v="3133"/>
    <x v="101"/>
    <x v="27"/>
    <x v="0"/>
    <x v="2"/>
    <x v="1"/>
    <x v="2"/>
    <x v="677"/>
    <x v="5"/>
    <n v="0"/>
    <x v="11"/>
    <n v="0"/>
    <x v="8"/>
    <x v="3"/>
  </r>
  <r>
    <n v="246"/>
    <x v="101"/>
    <x v="2"/>
    <x v="1"/>
    <x v="2"/>
    <x v="0"/>
    <x v="0"/>
    <x v="1291"/>
    <x v="0"/>
    <n v="0"/>
    <x v="11"/>
    <n v="0"/>
    <x v="8"/>
    <x v="3"/>
  </r>
  <r>
    <n v="1956"/>
    <x v="101"/>
    <x v="3"/>
    <x v="1"/>
    <x v="0"/>
    <x v="1"/>
    <x v="3"/>
    <x v="2339"/>
    <x v="6"/>
    <n v="0"/>
    <x v="11"/>
    <n v="0"/>
    <x v="8"/>
    <x v="3"/>
  </r>
  <r>
    <n v="1576"/>
    <x v="102"/>
    <x v="19"/>
    <x v="1"/>
    <x v="3"/>
    <x v="0"/>
    <x v="0"/>
    <x v="2340"/>
    <x v="6"/>
    <n v="1"/>
    <x v="982"/>
    <n v="3"/>
    <x v="6"/>
    <x v="1"/>
  </r>
  <r>
    <n v="1629"/>
    <x v="102"/>
    <x v="7"/>
    <x v="0"/>
    <x v="2"/>
    <x v="0"/>
    <x v="0"/>
    <x v="2341"/>
    <x v="0"/>
    <n v="1"/>
    <x v="983"/>
    <n v="2"/>
    <x v="14"/>
    <x v="0"/>
  </r>
  <r>
    <n v="2828"/>
    <x v="102"/>
    <x v="0"/>
    <x v="0"/>
    <x v="3"/>
    <x v="0"/>
    <x v="0"/>
    <x v="2342"/>
    <x v="0"/>
    <n v="1"/>
    <x v="984"/>
    <n v="3"/>
    <x v="5"/>
    <x v="0"/>
  </r>
  <r>
    <n v="4768"/>
    <x v="102"/>
    <x v="27"/>
    <x v="1"/>
    <x v="2"/>
    <x v="0"/>
    <x v="0"/>
    <x v="2343"/>
    <x v="1"/>
    <n v="1"/>
    <x v="985"/>
    <n v="2"/>
    <x v="14"/>
    <x v="0"/>
  </r>
  <r>
    <n v="3987"/>
    <x v="102"/>
    <x v="21"/>
    <x v="1"/>
    <x v="2"/>
    <x v="1"/>
    <x v="4"/>
    <x v="2344"/>
    <x v="0"/>
    <n v="1"/>
    <x v="986"/>
    <n v="2"/>
    <x v="14"/>
    <x v="1"/>
  </r>
  <r>
    <n v="1763"/>
    <x v="102"/>
    <x v="5"/>
    <x v="0"/>
    <x v="3"/>
    <x v="1"/>
    <x v="6"/>
    <x v="871"/>
    <x v="5"/>
    <n v="1"/>
    <x v="987"/>
    <n v="1"/>
    <x v="6"/>
    <x v="0"/>
  </r>
  <r>
    <n v="1810"/>
    <x v="102"/>
    <x v="7"/>
    <x v="0"/>
    <x v="0"/>
    <x v="0"/>
    <x v="0"/>
    <x v="436"/>
    <x v="0"/>
    <n v="1"/>
    <x v="988"/>
    <n v="1"/>
    <x v="1"/>
    <x v="0"/>
  </r>
  <r>
    <n v="340"/>
    <x v="102"/>
    <x v="8"/>
    <x v="2"/>
    <x v="1"/>
    <x v="0"/>
    <x v="0"/>
    <x v="2345"/>
    <x v="2"/>
    <n v="1"/>
    <x v="989"/>
    <n v="5"/>
    <x v="5"/>
    <x v="1"/>
  </r>
  <r>
    <n v="38"/>
    <x v="102"/>
    <x v="18"/>
    <x v="1"/>
    <x v="3"/>
    <x v="3"/>
    <x v="0"/>
    <x v="2346"/>
    <x v="5"/>
    <n v="0"/>
    <x v="11"/>
    <n v="0"/>
    <x v="8"/>
    <x v="3"/>
  </r>
  <r>
    <n v="889"/>
    <x v="102"/>
    <x v="16"/>
    <x v="1"/>
    <x v="2"/>
    <x v="1"/>
    <x v="5"/>
    <x v="2347"/>
    <x v="9"/>
    <n v="0"/>
    <x v="11"/>
    <n v="0"/>
    <x v="8"/>
    <x v="3"/>
  </r>
  <r>
    <n v="4421"/>
    <x v="102"/>
    <x v="34"/>
    <x v="1"/>
    <x v="2"/>
    <x v="0"/>
    <x v="0"/>
    <x v="2348"/>
    <x v="5"/>
    <n v="0"/>
    <x v="11"/>
    <n v="0"/>
    <x v="8"/>
    <x v="3"/>
  </r>
  <r>
    <n v="4168"/>
    <x v="102"/>
    <x v="32"/>
    <x v="1"/>
    <x v="1"/>
    <x v="1"/>
    <x v="7"/>
    <x v="2349"/>
    <x v="2"/>
    <n v="0"/>
    <x v="11"/>
    <n v="0"/>
    <x v="8"/>
    <x v="3"/>
  </r>
  <r>
    <n v="4428"/>
    <x v="102"/>
    <x v="25"/>
    <x v="0"/>
    <x v="0"/>
    <x v="0"/>
    <x v="0"/>
    <x v="2350"/>
    <x v="1"/>
    <n v="0"/>
    <x v="11"/>
    <n v="0"/>
    <x v="8"/>
    <x v="3"/>
  </r>
  <r>
    <n v="4170"/>
    <x v="102"/>
    <x v="20"/>
    <x v="0"/>
    <x v="1"/>
    <x v="0"/>
    <x v="0"/>
    <x v="2351"/>
    <x v="6"/>
    <n v="0"/>
    <x v="11"/>
    <n v="0"/>
    <x v="8"/>
    <x v="3"/>
  </r>
  <r>
    <n v="1891"/>
    <x v="102"/>
    <x v="24"/>
    <x v="0"/>
    <x v="1"/>
    <x v="1"/>
    <x v="4"/>
    <x v="2352"/>
    <x v="2"/>
    <n v="0"/>
    <x v="11"/>
    <n v="0"/>
    <x v="8"/>
    <x v="3"/>
  </r>
  <r>
    <n v="260"/>
    <x v="102"/>
    <x v="18"/>
    <x v="0"/>
    <x v="2"/>
    <x v="1"/>
    <x v="2"/>
    <x v="2353"/>
    <x v="2"/>
    <n v="0"/>
    <x v="11"/>
    <n v="0"/>
    <x v="8"/>
    <x v="3"/>
  </r>
  <r>
    <n v="4389"/>
    <x v="102"/>
    <x v="29"/>
    <x v="0"/>
    <x v="2"/>
    <x v="0"/>
    <x v="0"/>
    <x v="2354"/>
    <x v="2"/>
    <n v="0"/>
    <x v="11"/>
    <n v="0"/>
    <x v="8"/>
    <x v="3"/>
  </r>
  <r>
    <n v="2223"/>
    <x v="102"/>
    <x v="29"/>
    <x v="0"/>
    <x v="0"/>
    <x v="3"/>
    <x v="0"/>
    <x v="1036"/>
    <x v="12"/>
    <n v="0"/>
    <x v="11"/>
    <n v="0"/>
    <x v="8"/>
    <x v="3"/>
  </r>
  <r>
    <n v="1568"/>
    <x v="102"/>
    <x v="22"/>
    <x v="1"/>
    <x v="2"/>
    <x v="1"/>
    <x v="2"/>
    <x v="72"/>
    <x v="4"/>
    <n v="0"/>
    <x v="11"/>
    <n v="0"/>
    <x v="8"/>
    <x v="3"/>
  </r>
  <r>
    <n v="3402"/>
    <x v="102"/>
    <x v="19"/>
    <x v="0"/>
    <x v="0"/>
    <x v="0"/>
    <x v="0"/>
    <x v="2355"/>
    <x v="6"/>
    <n v="0"/>
    <x v="11"/>
    <n v="0"/>
    <x v="8"/>
    <x v="3"/>
  </r>
  <r>
    <n v="912"/>
    <x v="103"/>
    <x v="24"/>
    <x v="0"/>
    <x v="2"/>
    <x v="3"/>
    <x v="0"/>
    <x v="2356"/>
    <x v="1"/>
    <n v="1"/>
    <x v="990"/>
    <n v="5"/>
    <x v="6"/>
    <x v="0"/>
  </r>
  <r>
    <n v="4531"/>
    <x v="103"/>
    <x v="17"/>
    <x v="0"/>
    <x v="1"/>
    <x v="1"/>
    <x v="3"/>
    <x v="1651"/>
    <x v="0"/>
    <n v="1"/>
    <x v="991"/>
    <n v="3"/>
    <x v="1"/>
    <x v="1"/>
  </r>
  <r>
    <n v="4681"/>
    <x v="103"/>
    <x v="44"/>
    <x v="0"/>
    <x v="2"/>
    <x v="1"/>
    <x v="6"/>
    <x v="2357"/>
    <x v="0"/>
    <n v="1"/>
    <x v="992"/>
    <n v="2"/>
    <x v="3"/>
    <x v="0"/>
  </r>
  <r>
    <n v="1413"/>
    <x v="103"/>
    <x v="4"/>
    <x v="0"/>
    <x v="2"/>
    <x v="1"/>
    <x v="6"/>
    <x v="2358"/>
    <x v="0"/>
    <n v="1"/>
    <x v="993"/>
    <n v="4"/>
    <x v="14"/>
    <x v="0"/>
  </r>
  <r>
    <n v="310"/>
    <x v="103"/>
    <x v="24"/>
    <x v="1"/>
    <x v="2"/>
    <x v="1"/>
    <x v="3"/>
    <x v="2359"/>
    <x v="8"/>
    <n v="1"/>
    <x v="994"/>
    <n v="2"/>
    <x v="3"/>
    <x v="1"/>
  </r>
  <r>
    <n v="993"/>
    <x v="103"/>
    <x v="10"/>
    <x v="1"/>
    <x v="2"/>
    <x v="2"/>
    <x v="0"/>
    <x v="2360"/>
    <x v="5"/>
    <n v="1"/>
    <x v="995"/>
    <n v="5"/>
    <x v="11"/>
    <x v="0"/>
  </r>
  <r>
    <n v="639"/>
    <x v="103"/>
    <x v="24"/>
    <x v="1"/>
    <x v="2"/>
    <x v="0"/>
    <x v="0"/>
    <x v="508"/>
    <x v="5"/>
    <n v="1"/>
    <x v="996"/>
    <n v="6"/>
    <x v="4"/>
    <x v="1"/>
  </r>
  <r>
    <n v="1937"/>
    <x v="103"/>
    <x v="19"/>
    <x v="0"/>
    <x v="2"/>
    <x v="0"/>
    <x v="0"/>
    <x v="1722"/>
    <x v="1"/>
    <n v="1"/>
    <x v="997"/>
    <n v="3"/>
    <x v="15"/>
    <x v="0"/>
  </r>
  <r>
    <n v="4006"/>
    <x v="103"/>
    <x v="12"/>
    <x v="0"/>
    <x v="2"/>
    <x v="0"/>
    <x v="0"/>
    <x v="2361"/>
    <x v="8"/>
    <n v="1"/>
    <x v="998"/>
    <n v="1"/>
    <x v="3"/>
    <x v="0"/>
  </r>
  <r>
    <n v="927"/>
    <x v="103"/>
    <x v="24"/>
    <x v="0"/>
    <x v="3"/>
    <x v="3"/>
    <x v="0"/>
    <x v="2362"/>
    <x v="5"/>
    <n v="1"/>
    <x v="999"/>
    <n v="2"/>
    <x v="13"/>
    <x v="0"/>
  </r>
  <r>
    <n v="2597"/>
    <x v="103"/>
    <x v="20"/>
    <x v="1"/>
    <x v="0"/>
    <x v="0"/>
    <x v="0"/>
    <x v="1102"/>
    <x v="1"/>
    <n v="1"/>
    <x v="1000"/>
    <n v="3"/>
    <x v="4"/>
    <x v="2"/>
  </r>
  <r>
    <n v="4032"/>
    <x v="103"/>
    <x v="14"/>
    <x v="1"/>
    <x v="2"/>
    <x v="3"/>
    <x v="0"/>
    <x v="2363"/>
    <x v="8"/>
    <n v="1"/>
    <x v="1001"/>
    <n v="6"/>
    <x v="3"/>
    <x v="2"/>
  </r>
  <r>
    <n v="3755"/>
    <x v="103"/>
    <x v="48"/>
    <x v="0"/>
    <x v="1"/>
    <x v="2"/>
    <x v="0"/>
    <x v="2364"/>
    <x v="1"/>
    <n v="1"/>
    <x v="1002"/>
    <n v="2"/>
    <x v="7"/>
    <x v="0"/>
  </r>
  <r>
    <n v="3053"/>
    <x v="103"/>
    <x v="0"/>
    <x v="1"/>
    <x v="2"/>
    <x v="2"/>
    <x v="0"/>
    <x v="1508"/>
    <x v="11"/>
    <n v="1"/>
    <x v="251"/>
    <n v="4"/>
    <x v="7"/>
    <x v="0"/>
  </r>
  <r>
    <n v="3145"/>
    <x v="103"/>
    <x v="11"/>
    <x v="0"/>
    <x v="3"/>
    <x v="1"/>
    <x v="4"/>
    <x v="2365"/>
    <x v="1"/>
    <n v="1"/>
    <x v="1003"/>
    <n v="1"/>
    <x v="11"/>
    <x v="0"/>
  </r>
  <r>
    <n v="2005"/>
    <x v="103"/>
    <x v="0"/>
    <x v="1"/>
    <x v="2"/>
    <x v="3"/>
    <x v="0"/>
    <x v="2366"/>
    <x v="1"/>
    <n v="0"/>
    <x v="11"/>
    <n v="0"/>
    <x v="8"/>
    <x v="3"/>
  </r>
  <r>
    <n v="2618"/>
    <x v="103"/>
    <x v="45"/>
    <x v="1"/>
    <x v="0"/>
    <x v="0"/>
    <x v="0"/>
    <x v="2367"/>
    <x v="6"/>
    <n v="0"/>
    <x v="11"/>
    <n v="0"/>
    <x v="8"/>
    <x v="3"/>
  </r>
  <r>
    <n v="3347"/>
    <x v="103"/>
    <x v="43"/>
    <x v="1"/>
    <x v="1"/>
    <x v="0"/>
    <x v="0"/>
    <x v="2368"/>
    <x v="2"/>
    <n v="0"/>
    <x v="11"/>
    <n v="0"/>
    <x v="8"/>
    <x v="3"/>
  </r>
  <r>
    <n v="3066"/>
    <x v="103"/>
    <x v="45"/>
    <x v="1"/>
    <x v="2"/>
    <x v="2"/>
    <x v="0"/>
    <x v="490"/>
    <x v="0"/>
    <n v="0"/>
    <x v="11"/>
    <n v="0"/>
    <x v="8"/>
    <x v="3"/>
  </r>
  <r>
    <n v="2681"/>
    <x v="103"/>
    <x v="33"/>
    <x v="1"/>
    <x v="1"/>
    <x v="0"/>
    <x v="0"/>
    <x v="917"/>
    <x v="4"/>
    <n v="0"/>
    <x v="11"/>
    <n v="0"/>
    <x v="8"/>
    <x v="3"/>
  </r>
  <r>
    <n v="3368"/>
    <x v="103"/>
    <x v="6"/>
    <x v="0"/>
    <x v="0"/>
    <x v="3"/>
    <x v="0"/>
    <x v="78"/>
    <x v="9"/>
    <n v="0"/>
    <x v="11"/>
    <n v="0"/>
    <x v="8"/>
    <x v="3"/>
  </r>
  <r>
    <n v="1261"/>
    <x v="103"/>
    <x v="24"/>
    <x v="1"/>
    <x v="1"/>
    <x v="0"/>
    <x v="0"/>
    <x v="1461"/>
    <x v="5"/>
    <n v="0"/>
    <x v="11"/>
    <n v="0"/>
    <x v="8"/>
    <x v="3"/>
  </r>
  <r>
    <n v="3362"/>
    <x v="103"/>
    <x v="33"/>
    <x v="0"/>
    <x v="3"/>
    <x v="0"/>
    <x v="0"/>
    <x v="381"/>
    <x v="2"/>
    <n v="0"/>
    <x v="11"/>
    <n v="0"/>
    <x v="8"/>
    <x v="3"/>
  </r>
  <r>
    <n v="3523"/>
    <x v="103"/>
    <x v="25"/>
    <x v="1"/>
    <x v="2"/>
    <x v="0"/>
    <x v="0"/>
    <x v="2236"/>
    <x v="1"/>
    <n v="0"/>
    <x v="11"/>
    <n v="0"/>
    <x v="8"/>
    <x v="3"/>
  </r>
  <r>
    <n v="3074"/>
    <x v="103"/>
    <x v="33"/>
    <x v="1"/>
    <x v="2"/>
    <x v="0"/>
    <x v="0"/>
    <x v="1258"/>
    <x v="5"/>
    <n v="0"/>
    <x v="11"/>
    <n v="0"/>
    <x v="8"/>
    <x v="3"/>
  </r>
  <r>
    <n v="4131"/>
    <x v="103"/>
    <x v="3"/>
    <x v="2"/>
    <x v="2"/>
    <x v="0"/>
    <x v="0"/>
    <x v="2369"/>
    <x v="2"/>
    <n v="0"/>
    <x v="11"/>
    <n v="0"/>
    <x v="8"/>
    <x v="3"/>
  </r>
  <r>
    <n v="3912"/>
    <x v="103"/>
    <x v="1"/>
    <x v="0"/>
    <x v="2"/>
    <x v="0"/>
    <x v="0"/>
    <x v="2370"/>
    <x v="4"/>
    <n v="0"/>
    <x v="11"/>
    <n v="0"/>
    <x v="8"/>
    <x v="3"/>
  </r>
  <r>
    <n v="2451"/>
    <x v="103"/>
    <x v="4"/>
    <x v="1"/>
    <x v="2"/>
    <x v="1"/>
    <x v="3"/>
    <x v="2371"/>
    <x v="2"/>
    <n v="0"/>
    <x v="11"/>
    <n v="0"/>
    <x v="8"/>
    <x v="3"/>
  </r>
  <r>
    <n v="1145"/>
    <x v="103"/>
    <x v="7"/>
    <x v="0"/>
    <x v="0"/>
    <x v="3"/>
    <x v="0"/>
    <x v="328"/>
    <x v="6"/>
    <n v="0"/>
    <x v="11"/>
    <n v="0"/>
    <x v="8"/>
    <x v="3"/>
  </r>
  <r>
    <n v="4600"/>
    <x v="103"/>
    <x v="11"/>
    <x v="1"/>
    <x v="2"/>
    <x v="2"/>
    <x v="0"/>
    <x v="2372"/>
    <x v="2"/>
    <n v="0"/>
    <x v="11"/>
    <n v="0"/>
    <x v="8"/>
    <x v="3"/>
  </r>
  <r>
    <n v="872"/>
    <x v="103"/>
    <x v="2"/>
    <x v="1"/>
    <x v="0"/>
    <x v="0"/>
    <x v="0"/>
    <x v="2373"/>
    <x v="1"/>
    <n v="0"/>
    <x v="11"/>
    <n v="0"/>
    <x v="8"/>
    <x v="3"/>
  </r>
  <r>
    <n v="3975"/>
    <x v="103"/>
    <x v="44"/>
    <x v="1"/>
    <x v="2"/>
    <x v="3"/>
    <x v="0"/>
    <x v="2374"/>
    <x v="2"/>
    <n v="0"/>
    <x v="11"/>
    <n v="0"/>
    <x v="8"/>
    <x v="3"/>
  </r>
  <r>
    <n v="62"/>
    <x v="103"/>
    <x v="6"/>
    <x v="1"/>
    <x v="2"/>
    <x v="1"/>
    <x v="5"/>
    <x v="2375"/>
    <x v="5"/>
    <n v="0"/>
    <x v="11"/>
    <n v="0"/>
    <x v="8"/>
    <x v="3"/>
  </r>
  <r>
    <n v="3121"/>
    <x v="103"/>
    <x v="16"/>
    <x v="0"/>
    <x v="1"/>
    <x v="0"/>
    <x v="0"/>
    <x v="2376"/>
    <x v="4"/>
    <n v="0"/>
    <x v="11"/>
    <n v="0"/>
    <x v="8"/>
    <x v="3"/>
  </r>
  <r>
    <n v="126"/>
    <x v="104"/>
    <x v="24"/>
    <x v="0"/>
    <x v="3"/>
    <x v="0"/>
    <x v="0"/>
    <x v="2377"/>
    <x v="2"/>
    <n v="1"/>
    <x v="774"/>
    <n v="5"/>
    <x v="1"/>
    <x v="0"/>
  </r>
  <r>
    <n v="2899"/>
    <x v="104"/>
    <x v="0"/>
    <x v="1"/>
    <x v="1"/>
    <x v="3"/>
    <x v="0"/>
    <x v="2378"/>
    <x v="2"/>
    <n v="1"/>
    <x v="1004"/>
    <n v="4"/>
    <x v="6"/>
    <x v="2"/>
  </r>
  <r>
    <n v="3352"/>
    <x v="104"/>
    <x v="6"/>
    <x v="1"/>
    <x v="2"/>
    <x v="1"/>
    <x v="5"/>
    <x v="2379"/>
    <x v="2"/>
    <n v="1"/>
    <x v="1005"/>
    <n v="6"/>
    <x v="14"/>
    <x v="1"/>
  </r>
  <r>
    <n v="1566"/>
    <x v="104"/>
    <x v="8"/>
    <x v="0"/>
    <x v="2"/>
    <x v="0"/>
    <x v="0"/>
    <x v="2380"/>
    <x v="4"/>
    <n v="1"/>
    <x v="1006"/>
    <n v="6"/>
    <x v="10"/>
    <x v="0"/>
  </r>
  <r>
    <n v="2203"/>
    <x v="104"/>
    <x v="41"/>
    <x v="1"/>
    <x v="0"/>
    <x v="0"/>
    <x v="0"/>
    <x v="2381"/>
    <x v="8"/>
    <n v="1"/>
    <x v="1007"/>
    <n v="3"/>
    <x v="12"/>
    <x v="0"/>
  </r>
  <r>
    <n v="2919"/>
    <x v="104"/>
    <x v="19"/>
    <x v="1"/>
    <x v="2"/>
    <x v="1"/>
    <x v="4"/>
    <x v="2382"/>
    <x v="1"/>
    <n v="1"/>
    <x v="1008"/>
    <n v="3"/>
    <x v="12"/>
    <x v="2"/>
  </r>
  <r>
    <n v="3047"/>
    <x v="104"/>
    <x v="26"/>
    <x v="1"/>
    <x v="2"/>
    <x v="0"/>
    <x v="0"/>
    <x v="2383"/>
    <x v="6"/>
    <n v="1"/>
    <x v="1009"/>
    <n v="3"/>
    <x v="5"/>
    <x v="0"/>
  </r>
  <r>
    <n v="1211"/>
    <x v="104"/>
    <x v="19"/>
    <x v="0"/>
    <x v="0"/>
    <x v="2"/>
    <x v="0"/>
    <x v="2384"/>
    <x v="5"/>
    <n v="1"/>
    <x v="1010"/>
    <n v="2"/>
    <x v="15"/>
    <x v="2"/>
  </r>
  <r>
    <n v="925"/>
    <x v="104"/>
    <x v="24"/>
    <x v="0"/>
    <x v="1"/>
    <x v="1"/>
    <x v="7"/>
    <x v="2385"/>
    <x v="1"/>
    <n v="1"/>
    <x v="1011"/>
    <n v="3"/>
    <x v="2"/>
    <x v="0"/>
  </r>
  <r>
    <n v="453"/>
    <x v="104"/>
    <x v="16"/>
    <x v="2"/>
    <x v="2"/>
    <x v="0"/>
    <x v="0"/>
    <x v="2386"/>
    <x v="2"/>
    <n v="0"/>
    <x v="11"/>
    <n v="0"/>
    <x v="8"/>
    <x v="3"/>
  </r>
  <r>
    <n v="98"/>
    <x v="104"/>
    <x v="4"/>
    <x v="1"/>
    <x v="0"/>
    <x v="1"/>
    <x v="6"/>
    <x v="2387"/>
    <x v="0"/>
    <n v="0"/>
    <x v="11"/>
    <n v="0"/>
    <x v="8"/>
    <x v="3"/>
  </r>
  <r>
    <n v="1076"/>
    <x v="104"/>
    <x v="26"/>
    <x v="0"/>
    <x v="2"/>
    <x v="0"/>
    <x v="0"/>
    <x v="1683"/>
    <x v="9"/>
    <n v="0"/>
    <x v="11"/>
    <n v="0"/>
    <x v="8"/>
    <x v="3"/>
  </r>
  <r>
    <n v="3490"/>
    <x v="104"/>
    <x v="22"/>
    <x v="1"/>
    <x v="3"/>
    <x v="1"/>
    <x v="5"/>
    <x v="2254"/>
    <x v="0"/>
    <n v="0"/>
    <x v="11"/>
    <n v="0"/>
    <x v="8"/>
    <x v="3"/>
  </r>
  <r>
    <n v="4595"/>
    <x v="104"/>
    <x v="42"/>
    <x v="0"/>
    <x v="2"/>
    <x v="1"/>
    <x v="6"/>
    <x v="2388"/>
    <x v="0"/>
    <n v="0"/>
    <x v="11"/>
    <n v="0"/>
    <x v="8"/>
    <x v="3"/>
  </r>
  <r>
    <n v="3154"/>
    <x v="104"/>
    <x v="2"/>
    <x v="1"/>
    <x v="1"/>
    <x v="0"/>
    <x v="0"/>
    <x v="2389"/>
    <x v="2"/>
    <n v="0"/>
    <x v="11"/>
    <n v="0"/>
    <x v="8"/>
    <x v="3"/>
  </r>
  <r>
    <n v="4931"/>
    <x v="104"/>
    <x v="5"/>
    <x v="0"/>
    <x v="1"/>
    <x v="2"/>
    <x v="0"/>
    <x v="1053"/>
    <x v="5"/>
    <n v="0"/>
    <x v="11"/>
    <n v="0"/>
    <x v="8"/>
    <x v="3"/>
  </r>
  <r>
    <n v="3980"/>
    <x v="104"/>
    <x v="51"/>
    <x v="0"/>
    <x v="0"/>
    <x v="1"/>
    <x v="4"/>
    <x v="2390"/>
    <x v="5"/>
    <n v="0"/>
    <x v="11"/>
    <n v="0"/>
    <x v="8"/>
    <x v="3"/>
  </r>
  <r>
    <n v="692"/>
    <x v="104"/>
    <x v="16"/>
    <x v="1"/>
    <x v="1"/>
    <x v="0"/>
    <x v="0"/>
    <x v="1772"/>
    <x v="11"/>
    <n v="0"/>
    <x v="11"/>
    <n v="0"/>
    <x v="8"/>
    <x v="3"/>
  </r>
  <r>
    <n v="1346"/>
    <x v="104"/>
    <x v="5"/>
    <x v="1"/>
    <x v="2"/>
    <x v="3"/>
    <x v="0"/>
    <x v="2391"/>
    <x v="5"/>
    <n v="0"/>
    <x v="11"/>
    <n v="0"/>
    <x v="8"/>
    <x v="3"/>
  </r>
  <r>
    <n v="4046"/>
    <x v="104"/>
    <x v="45"/>
    <x v="0"/>
    <x v="2"/>
    <x v="0"/>
    <x v="0"/>
    <x v="2392"/>
    <x v="5"/>
    <n v="0"/>
    <x v="11"/>
    <n v="0"/>
    <x v="8"/>
    <x v="3"/>
  </r>
  <r>
    <n v="4537"/>
    <x v="104"/>
    <x v="37"/>
    <x v="0"/>
    <x v="3"/>
    <x v="2"/>
    <x v="0"/>
    <x v="1629"/>
    <x v="6"/>
    <n v="0"/>
    <x v="11"/>
    <n v="0"/>
    <x v="8"/>
    <x v="3"/>
  </r>
  <r>
    <n v="4970"/>
    <x v="104"/>
    <x v="43"/>
    <x v="0"/>
    <x v="0"/>
    <x v="0"/>
    <x v="0"/>
    <x v="2393"/>
    <x v="2"/>
    <n v="0"/>
    <x v="11"/>
    <n v="0"/>
    <x v="8"/>
    <x v="3"/>
  </r>
  <r>
    <n v="805"/>
    <x v="104"/>
    <x v="24"/>
    <x v="0"/>
    <x v="1"/>
    <x v="0"/>
    <x v="0"/>
    <x v="2394"/>
    <x v="6"/>
    <n v="0"/>
    <x v="11"/>
    <n v="0"/>
    <x v="8"/>
    <x v="3"/>
  </r>
  <r>
    <n v="1734"/>
    <x v="104"/>
    <x v="7"/>
    <x v="1"/>
    <x v="2"/>
    <x v="0"/>
    <x v="0"/>
    <x v="1097"/>
    <x v="10"/>
    <n v="0"/>
    <x v="11"/>
    <n v="0"/>
    <x v="8"/>
    <x v="3"/>
  </r>
  <r>
    <n v="2130"/>
    <x v="104"/>
    <x v="10"/>
    <x v="1"/>
    <x v="2"/>
    <x v="2"/>
    <x v="0"/>
    <x v="1968"/>
    <x v="6"/>
    <n v="0"/>
    <x v="11"/>
    <n v="0"/>
    <x v="8"/>
    <x v="3"/>
  </r>
  <r>
    <n v="4102"/>
    <x v="104"/>
    <x v="40"/>
    <x v="1"/>
    <x v="2"/>
    <x v="0"/>
    <x v="0"/>
    <x v="2087"/>
    <x v="8"/>
    <n v="0"/>
    <x v="11"/>
    <n v="0"/>
    <x v="8"/>
    <x v="3"/>
  </r>
  <r>
    <n v="3438"/>
    <x v="105"/>
    <x v="33"/>
    <x v="0"/>
    <x v="0"/>
    <x v="2"/>
    <x v="0"/>
    <x v="2395"/>
    <x v="5"/>
    <n v="1"/>
    <x v="1012"/>
    <n v="3"/>
    <x v="14"/>
    <x v="0"/>
  </r>
  <r>
    <n v="2228"/>
    <x v="105"/>
    <x v="13"/>
    <x v="0"/>
    <x v="1"/>
    <x v="0"/>
    <x v="0"/>
    <x v="2396"/>
    <x v="4"/>
    <n v="1"/>
    <x v="1013"/>
    <n v="2"/>
    <x v="0"/>
    <x v="0"/>
  </r>
  <r>
    <n v="4923"/>
    <x v="105"/>
    <x v="1"/>
    <x v="1"/>
    <x v="0"/>
    <x v="0"/>
    <x v="0"/>
    <x v="2397"/>
    <x v="6"/>
    <n v="1"/>
    <x v="1014"/>
    <n v="2"/>
    <x v="14"/>
    <x v="0"/>
  </r>
  <r>
    <n v="3730"/>
    <x v="105"/>
    <x v="39"/>
    <x v="1"/>
    <x v="2"/>
    <x v="1"/>
    <x v="3"/>
    <x v="2398"/>
    <x v="8"/>
    <n v="1"/>
    <x v="1015"/>
    <n v="6"/>
    <x v="6"/>
    <x v="0"/>
  </r>
  <r>
    <n v="4524"/>
    <x v="105"/>
    <x v="45"/>
    <x v="1"/>
    <x v="3"/>
    <x v="3"/>
    <x v="0"/>
    <x v="2399"/>
    <x v="2"/>
    <n v="1"/>
    <x v="1016"/>
    <n v="2"/>
    <x v="7"/>
    <x v="2"/>
  </r>
  <r>
    <n v="4337"/>
    <x v="105"/>
    <x v="27"/>
    <x v="0"/>
    <x v="1"/>
    <x v="0"/>
    <x v="0"/>
    <x v="2400"/>
    <x v="8"/>
    <n v="1"/>
    <x v="1017"/>
    <n v="3"/>
    <x v="4"/>
    <x v="0"/>
  </r>
  <r>
    <n v="850"/>
    <x v="105"/>
    <x v="10"/>
    <x v="1"/>
    <x v="1"/>
    <x v="1"/>
    <x v="3"/>
    <x v="2401"/>
    <x v="0"/>
    <n v="1"/>
    <x v="1018"/>
    <n v="2"/>
    <x v="2"/>
    <x v="1"/>
  </r>
  <r>
    <n v="1032"/>
    <x v="105"/>
    <x v="8"/>
    <x v="0"/>
    <x v="1"/>
    <x v="2"/>
    <x v="0"/>
    <x v="1453"/>
    <x v="5"/>
    <n v="1"/>
    <x v="1019"/>
    <n v="1"/>
    <x v="9"/>
    <x v="2"/>
  </r>
  <r>
    <n v="977"/>
    <x v="105"/>
    <x v="5"/>
    <x v="0"/>
    <x v="2"/>
    <x v="0"/>
    <x v="0"/>
    <x v="2402"/>
    <x v="0"/>
    <n v="1"/>
    <x v="1020"/>
    <n v="2"/>
    <x v="11"/>
    <x v="0"/>
  </r>
  <r>
    <n v="950"/>
    <x v="105"/>
    <x v="39"/>
    <x v="0"/>
    <x v="3"/>
    <x v="1"/>
    <x v="5"/>
    <x v="2403"/>
    <x v="2"/>
    <n v="1"/>
    <x v="1021"/>
    <n v="4"/>
    <x v="2"/>
    <x v="0"/>
  </r>
  <r>
    <n v="4352"/>
    <x v="105"/>
    <x v="37"/>
    <x v="1"/>
    <x v="0"/>
    <x v="1"/>
    <x v="7"/>
    <x v="1688"/>
    <x v="0"/>
    <n v="1"/>
    <x v="1022"/>
    <n v="2"/>
    <x v="6"/>
    <x v="1"/>
  </r>
  <r>
    <n v="3767"/>
    <x v="105"/>
    <x v="17"/>
    <x v="1"/>
    <x v="2"/>
    <x v="1"/>
    <x v="5"/>
    <x v="2404"/>
    <x v="8"/>
    <n v="1"/>
    <x v="1023"/>
    <n v="7"/>
    <x v="2"/>
    <x v="2"/>
  </r>
  <r>
    <n v="4501"/>
    <x v="105"/>
    <x v="29"/>
    <x v="1"/>
    <x v="3"/>
    <x v="1"/>
    <x v="2"/>
    <x v="2405"/>
    <x v="5"/>
    <n v="1"/>
    <x v="1024"/>
    <n v="4"/>
    <x v="0"/>
    <x v="2"/>
  </r>
  <r>
    <n v="3339"/>
    <x v="105"/>
    <x v="16"/>
    <x v="1"/>
    <x v="3"/>
    <x v="1"/>
    <x v="7"/>
    <x v="2406"/>
    <x v="2"/>
    <n v="1"/>
    <x v="1025"/>
    <n v="5"/>
    <x v="12"/>
    <x v="0"/>
  </r>
  <r>
    <n v="3793"/>
    <x v="105"/>
    <x v="47"/>
    <x v="0"/>
    <x v="2"/>
    <x v="0"/>
    <x v="0"/>
    <x v="283"/>
    <x v="8"/>
    <n v="1"/>
    <x v="1026"/>
    <n v="4"/>
    <x v="3"/>
    <x v="0"/>
  </r>
  <r>
    <n v="3063"/>
    <x v="105"/>
    <x v="27"/>
    <x v="1"/>
    <x v="3"/>
    <x v="3"/>
    <x v="0"/>
    <x v="2407"/>
    <x v="5"/>
    <n v="1"/>
    <x v="1027"/>
    <n v="1"/>
    <x v="13"/>
    <x v="0"/>
  </r>
  <r>
    <n v="3075"/>
    <x v="105"/>
    <x v="26"/>
    <x v="1"/>
    <x v="2"/>
    <x v="0"/>
    <x v="0"/>
    <x v="2408"/>
    <x v="8"/>
    <n v="0"/>
    <x v="11"/>
    <n v="0"/>
    <x v="8"/>
    <x v="3"/>
  </r>
  <r>
    <n v="1953"/>
    <x v="105"/>
    <x v="13"/>
    <x v="1"/>
    <x v="2"/>
    <x v="0"/>
    <x v="0"/>
    <x v="2409"/>
    <x v="6"/>
    <n v="0"/>
    <x v="11"/>
    <n v="0"/>
    <x v="8"/>
    <x v="3"/>
  </r>
  <r>
    <n v="4286"/>
    <x v="105"/>
    <x v="37"/>
    <x v="1"/>
    <x v="1"/>
    <x v="1"/>
    <x v="7"/>
    <x v="2410"/>
    <x v="0"/>
    <n v="0"/>
    <x v="11"/>
    <n v="0"/>
    <x v="8"/>
    <x v="3"/>
  </r>
  <r>
    <n v="2692"/>
    <x v="105"/>
    <x v="16"/>
    <x v="1"/>
    <x v="1"/>
    <x v="1"/>
    <x v="3"/>
    <x v="2411"/>
    <x v="2"/>
    <n v="0"/>
    <x v="11"/>
    <n v="0"/>
    <x v="8"/>
    <x v="3"/>
  </r>
  <r>
    <n v="712"/>
    <x v="105"/>
    <x v="19"/>
    <x v="1"/>
    <x v="3"/>
    <x v="2"/>
    <x v="0"/>
    <x v="2412"/>
    <x v="2"/>
    <n v="0"/>
    <x v="11"/>
    <n v="0"/>
    <x v="8"/>
    <x v="3"/>
  </r>
  <r>
    <n v="3464"/>
    <x v="105"/>
    <x v="29"/>
    <x v="1"/>
    <x v="2"/>
    <x v="0"/>
    <x v="0"/>
    <x v="1895"/>
    <x v="2"/>
    <n v="0"/>
    <x v="11"/>
    <n v="0"/>
    <x v="8"/>
    <x v="3"/>
  </r>
  <r>
    <n v="4300"/>
    <x v="105"/>
    <x v="28"/>
    <x v="1"/>
    <x v="3"/>
    <x v="1"/>
    <x v="7"/>
    <x v="381"/>
    <x v="1"/>
    <n v="0"/>
    <x v="11"/>
    <n v="0"/>
    <x v="8"/>
    <x v="3"/>
  </r>
  <r>
    <n v="4717"/>
    <x v="105"/>
    <x v="47"/>
    <x v="1"/>
    <x v="2"/>
    <x v="0"/>
    <x v="0"/>
    <x v="1416"/>
    <x v="2"/>
    <n v="0"/>
    <x v="11"/>
    <n v="0"/>
    <x v="8"/>
    <x v="3"/>
  </r>
  <r>
    <n v="3649"/>
    <x v="105"/>
    <x v="19"/>
    <x v="2"/>
    <x v="0"/>
    <x v="0"/>
    <x v="0"/>
    <x v="2413"/>
    <x v="2"/>
    <n v="0"/>
    <x v="11"/>
    <n v="0"/>
    <x v="8"/>
    <x v="3"/>
  </r>
  <r>
    <n v="980"/>
    <x v="105"/>
    <x v="6"/>
    <x v="1"/>
    <x v="2"/>
    <x v="3"/>
    <x v="0"/>
    <x v="2414"/>
    <x v="8"/>
    <n v="0"/>
    <x v="11"/>
    <n v="0"/>
    <x v="8"/>
    <x v="3"/>
  </r>
  <r>
    <n v="1583"/>
    <x v="105"/>
    <x v="2"/>
    <x v="1"/>
    <x v="0"/>
    <x v="0"/>
    <x v="0"/>
    <x v="2350"/>
    <x v="5"/>
    <n v="0"/>
    <x v="11"/>
    <n v="0"/>
    <x v="8"/>
    <x v="3"/>
  </r>
  <r>
    <n v="3372"/>
    <x v="105"/>
    <x v="39"/>
    <x v="1"/>
    <x v="0"/>
    <x v="0"/>
    <x v="0"/>
    <x v="249"/>
    <x v="2"/>
    <n v="0"/>
    <x v="11"/>
    <n v="0"/>
    <x v="8"/>
    <x v="3"/>
  </r>
  <r>
    <n v="4704"/>
    <x v="105"/>
    <x v="0"/>
    <x v="1"/>
    <x v="3"/>
    <x v="0"/>
    <x v="0"/>
    <x v="2415"/>
    <x v="0"/>
    <n v="0"/>
    <x v="11"/>
    <n v="0"/>
    <x v="8"/>
    <x v="3"/>
  </r>
  <r>
    <n v="55"/>
    <x v="105"/>
    <x v="8"/>
    <x v="1"/>
    <x v="1"/>
    <x v="0"/>
    <x v="0"/>
    <x v="1865"/>
    <x v="1"/>
    <n v="0"/>
    <x v="11"/>
    <n v="0"/>
    <x v="8"/>
    <x v="3"/>
  </r>
  <r>
    <n v="2249"/>
    <x v="105"/>
    <x v="3"/>
    <x v="0"/>
    <x v="1"/>
    <x v="0"/>
    <x v="0"/>
    <x v="2416"/>
    <x v="8"/>
    <n v="0"/>
    <x v="11"/>
    <n v="0"/>
    <x v="8"/>
    <x v="3"/>
  </r>
  <r>
    <n v="4423"/>
    <x v="105"/>
    <x v="40"/>
    <x v="0"/>
    <x v="2"/>
    <x v="1"/>
    <x v="2"/>
    <x v="1335"/>
    <x v="8"/>
    <n v="0"/>
    <x v="11"/>
    <n v="0"/>
    <x v="8"/>
    <x v="3"/>
  </r>
  <r>
    <n v="4869"/>
    <x v="105"/>
    <x v="47"/>
    <x v="1"/>
    <x v="0"/>
    <x v="1"/>
    <x v="7"/>
    <x v="2417"/>
    <x v="0"/>
    <n v="0"/>
    <x v="11"/>
    <n v="0"/>
    <x v="8"/>
    <x v="3"/>
  </r>
  <r>
    <n v="4"/>
    <x v="105"/>
    <x v="0"/>
    <x v="0"/>
    <x v="1"/>
    <x v="1"/>
    <x v="5"/>
    <x v="2418"/>
    <x v="8"/>
    <n v="0"/>
    <x v="11"/>
    <n v="0"/>
    <x v="8"/>
    <x v="3"/>
  </r>
  <r>
    <n v="5000"/>
    <x v="105"/>
    <x v="57"/>
    <x v="1"/>
    <x v="0"/>
    <x v="1"/>
    <x v="6"/>
    <x v="2419"/>
    <x v="5"/>
    <n v="0"/>
    <x v="11"/>
    <n v="0"/>
    <x v="8"/>
    <x v="3"/>
  </r>
  <r>
    <n v="4584"/>
    <x v="106"/>
    <x v="13"/>
    <x v="0"/>
    <x v="3"/>
    <x v="0"/>
    <x v="0"/>
    <x v="2420"/>
    <x v="5"/>
    <n v="1"/>
    <x v="1028"/>
    <n v="4"/>
    <x v="13"/>
    <x v="0"/>
  </r>
  <r>
    <n v="1884"/>
    <x v="106"/>
    <x v="4"/>
    <x v="1"/>
    <x v="0"/>
    <x v="1"/>
    <x v="5"/>
    <x v="2421"/>
    <x v="6"/>
    <n v="1"/>
    <x v="1029"/>
    <n v="3"/>
    <x v="15"/>
    <x v="0"/>
  </r>
  <r>
    <n v="1478"/>
    <x v="106"/>
    <x v="39"/>
    <x v="0"/>
    <x v="2"/>
    <x v="0"/>
    <x v="0"/>
    <x v="2422"/>
    <x v="6"/>
    <n v="1"/>
    <x v="1030"/>
    <n v="1"/>
    <x v="6"/>
    <x v="1"/>
  </r>
  <r>
    <n v="2188"/>
    <x v="106"/>
    <x v="10"/>
    <x v="1"/>
    <x v="0"/>
    <x v="0"/>
    <x v="0"/>
    <x v="2423"/>
    <x v="1"/>
    <n v="1"/>
    <x v="970"/>
    <n v="4"/>
    <x v="3"/>
    <x v="1"/>
  </r>
  <r>
    <n v="2443"/>
    <x v="106"/>
    <x v="13"/>
    <x v="1"/>
    <x v="3"/>
    <x v="0"/>
    <x v="0"/>
    <x v="2424"/>
    <x v="6"/>
    <n v="1"/>
    <x v="1031"/>
    <n v="3"/>
    <x v="6"/>
    <x v="0"/>
  </r>
  <r>
    <n v="432"/>
    <x v="106"/>
    <x v="24"/>
    <x v="0"/>
    <x v="0"/>
    <x v="0"/>
    <x v="0"/>
    <x v="2425"/>
    <x v="5"/>
    <n v="1"/>
    <x v="1032"/>
    <n v="5"/>
    <x v="11"/>
    <x v="2"/>
  </r>
  <r>
    <n v="1991"/>
    <x v="106"/>
    <x v="11"/>
    <x v="0"/>
    <x v="0"/>
    <x v="0"/>
    <x v="0"/>
    <x v="2426"/>
    <x v="0"/>
    <n v="0"/>
    <x v="11"/>
    <n v="0"/>
    <x v="8"/>
    <x v="3"/>
  </r>
  <r>
    <n v="4363"/>
    <x v="106"/>
    <x v="12"/>
    <x v="1"/>
    <x v="0"/>
    <x v="0"/>
    <x v="0"/>
    <x v="2427"/>
    <x v="2"/>
    <n v="0"/>
    <x v="11"/>
    <n v="0"/>
    <x v="8"/>
    <x v="3"/>
  </r>
  <r>
    <n v="2902"/>
    <x v="106"/>
    <x v="19"/>
    <x v="1"/>
    <x v="3"/>
    <x v="3"/>
    <x v="0"/>
    <x v="2428"/>
    <x v="2"/>
    <n v="0"/>
    <x v="11"/>
    <n v="0"/>
    <x v="8"/>
    <x v="3"/>
  </r>
  <r>
    <n v="1690"/>
    <x v="106"/>
    <x v="16"/>
    <x v="1"/>
    <x v="3"/>
    <x v="1"/>
    <x v="4"/>
    <x v="2429"/>
    <x v="5"/>
    <n v="0"/>
    <x v="11"/>
    <n v="0"/>
    <x v="8"/>
    <x v="3"/>
  </r>
  <r>
    <n v="919"/>
    <x v="106"/>
    <x v="10"/>
    <x v="0"/>
    <x v="1"/>
    <x v="3"/>
    <x v="0"/>
    <x v="2430"/>
    <x v="6"/>
    <n v="0"/>
    <x v="11"/>
    <n v="0"/>
    <x v="8"/>
    <x v="3"/>
  </r>
  <r>
    <n v="1812"/>
    <x v="106"/>
    <x v="22"/>
    <x v="0"/>
    <x v="2"/>
    <x v="0"/>
    <x v="0"/>
    <x v="1834"/>
    <x v="6"/>
    <n v="0"/>
    <x v="11"/>
    <n v="0"/>
    <x v="8"/>
    <x v="3"/>
  </r>
  <r>
    <n v="2542"/>
    <x v="106"/>
    <x v="5"/>
    <x v="1"/>
    <x v="1"/>
    <x v="0"/>
    <x v="0"/>
    <x v="2431"/>
    <x v="2"/>
    <n v="0"/>
    <x v="11"/>
    <n v="0"/>
    <x v="8"/>
    <x v="3"/>
  </r>
  <r>
    <n v="3169"/>
    <x v="106"/>
    <x v="6"/>
    <x v="1"/>
    <x v="3"/>
    <x v="1"/>
    <x v="6"/>
    <x v="395"/>
    <x v="0"/>
    <n v="0"/>
    <x v="11"/>
    <n v="0"/>
    <x v="8"/>
    <x v="3"/>
  </r>
  <r>
    <n v="3421"/>
    <x v="106"/>
    <x v="17"/>
    <x v="1"/>
    <x v="2"/>
    <x v="0"/>
    <x v="0"/>
    <x v="2432"/>
    <x v="0"/>
    <n v="0"/>
    <x v="11"/>
    <n v="0"/>
    <x v="8"/>
    <x v="3"/>
  </r>
  <r>
    <n v="4063"/>
    <x v="106"/>
    <x v="36"/>
    <x v="1"/>
    <x v="2"/>
    <x v="1"/>
    <x v="3"/>
    <x v="2433"/>
    <x v="1"/>
    <n v="0"/>
    <x v="11"/>
    <n v="0"/>
    <x v="8"/>
    <x v="3"/>
  </r>
  <r>
    <n v="1510"/>
    <x v="106"/>
    <x v="24"/>
    <x v="0"/>
    <x v="1"/>
    <x v="0"/>
    <x v="0"/>
    <x v="2434"/>
    <x v="5"/>
    <n v="0"/>
    <x v="11"/>
    <n v="0"/>
    <x v="8"/>
    <x v="3"/>
  </r>
  <r>
    <n v="4622"/>
    <x v="106"/>
    <x v="25"/>
    <x v="0"/>
    <x v="2"/>
    <x v="3"/>
    <x v="0"/>
    <x v="2435"/>
    <x v="1"/>
    <n v="0"/>
    <x v="11"/>
    <n v="0"/>
    <x v="8"/>
    <x v="3"/>
  </r>
  <r>
    <n v="4849"/>
    <x v="106"/>
    <x v="16"/>
    <x v="0"/>
    <x v="3"/>
    <x v="0"/>
    <x v="0"/>
    <x v="2436"/>
    <x v="2"/>
    <n v="0"/>
    <x v="11"/>
    <n v="0"/>
    <x v="8"/>
    <x v="3"/>
  </r>
  <r>
    <n v="4939"/>
    <x v="106"/>
    <x v="19"/>
    <x v="0"/>
    <x v="1"/>
    <x v="3"/>
    <x v="0"/>
    <x v="1847"/>
    <x v="5"/>
    <n v="0"/>
    <x v="11"/>
    <n v="0"/>
    <x v="8"/>
    <x v="3"/>
  </r>
  <r>
    <n v="3323"/>
    <x v="106"/>
    <x v="31"/>
    <x v="1"/>
    <x v="2"/>
    <x v="0"/>
    <x v="0"/>
    <x v="2437"/>
    <x v="11"/>
    <n v="0"/>
    <x v="11"/>
    <n v="0"/>
    <x v="8"/>
    <x v="3"/>
  </r>
  <r>
    <n v="3588"/>
    <x v="106"/>
    <x v="39"/>
    <x v="0"/>
    <x v="2"/>
    <x v="0"/>
    <x v="0"/>
    <x v="2438"/>
    <x v="4"/>
    <n v="0"/>
    <x v="11"/>
    <n v="0"/>
    <x v="8"/>
    <x v="3"/>
  </r>
  <r>
    <n v="3423"/>
    <x v="106"/>
    <x v="17"/>
    <x v="0"/>
    <x v="3"/>
    <x v="1"/>
    <x v="2"/>
    <x v="2439"/>
    <x v="4"/>
    <n v="0"/>
    <x v="11"/>
    <n v="0"/>
    <x v="8"/>
    <x v="3"/>
  </r>
  <r>
    <n v="2493"/>
    <x v="106"/>
    <x v="11"/>
    <x v="1"/>
    <x v="0"/>
    <x v="0"/>
    <x v="0"/>
    <x v="1378"/>
    <x v="1"/>
    <n v="0"/>
    <x v="11"/>
    <n v="0"/>
    <x v="8"/>
    <x v="3"/>
  </r>
  <r>
    <n v="158"/>
    <x v="106"/>
    <x v="7"/>
    <x v="1"/>
    <x v="2"/>
    <x v="0"/>
    <x v="0"/>
    <x v="422"/>
    <x v="8"/>
    <n v="0"/>
    <x v="11"/>
    <n v="0"/>
    <x v="8"/>
    <x v="3"/>
  </r>
  <r>
    <n v="767"/>
    <x v="106"/>
    <x v="0"/>
    <x v="1"/>
    <x v="2"/>
    <x v="1"/>
    <x v="4"/>
    <x v="2440"/>
    <x v="4"/>
    <n v="0"/>
    <x v="11"/>
    <n v="0"/>
    <x v="8"/>
    <x v="3"/>
  </r>
  <r>
    <n v="2502"/>
    <x v="106"/>
    <x v="43"/>
    <x v="0"/>
    <x v="3"/>
    <x v="3"/>
    <x v="0"/>
    <x v="2441"/>
    <x v="8"/>
    <n v="0"/>
    <x v="11"/>
    <n v="0"/>
    <x v="8"/>
    <x v="3"/>
  </r>
  <r>
    <n v="4238"/>
    <x v="106"/>
    <x v="44"/>
    <x v="1"/>
    <x v="1"/>
    <x v="1"/>
    <x v="4"/>
    <x v="2087"/>
    <x v="0"/>
    <n v="0"/>
    <x v="11"/>
    <n v="0"/>
    <x v="8"/>
    <x v="3"/>
  </r>
  <r>
    <n v="257"/>
    <x v="107"/>
    <x v="8"/>
    <x v="1"/>
    <x v="1"/>
    <x v="1"/>
    <x v="5"/>
    <x v="2442"/>
    <x v="11"/>
    <n v="1"/>
    <x v="1033"/>
    <n v="1"/>
    <x v="12"/>
    <x v="0"/>
  </r>
  <r>
    <n v="4816"/>
    <x v="107"/>
    <x v="21"/>
    <x v="1"/>
    <x v="2"/>
    <x v="1"/>
    <x v="5"/>
    <x v="2001"/>
    <x v="1"/>
    <n v="1"/>
    <x v="1034"/>
    <n v="4"/>
    <x v="15"/>
    <x v="0"/>
  </r>
  <r>
    <n v="3802"/>
    <x v="107"/>
    <x v="42"/>
    <x v="1"/>
    <x v="2"/>
    <x v="3"/>
    <x v="0"/>
    <x v="1712"/>
    <x v="6"/>
    <n v="1"/>
    <x v="1035"/>
    <n v="3"/>
    <x v="10"/>
    <x v="0"/>
  </r>
  <r>
    <n v="1656"/>
    <x v="107"/>
    <x v="22"/>
    <x v="0"/>
    <x v="1"/>
    <x v="0"/>
    <x v="0"/>
    <x v="787"/>
    <x v="5"/>
    <n v="1"/>
    <x v="1036"/>
    <n v="4"/>
    <x v="5"/>
    <x v="1"/>
  </r>
  <r>
    <n v="2023"/>
    <x v="107"/>
    <x v="45"/>
    <x v="1"/>
    <x v="2"/>
    <x v="3"/>
    <x v="0"/>
    <x v="2443"/>
    <x v="2"/>
    <n v="1"/>
    <x v="1037"/>
    <n v="4"/>
    <x v="15"/>
    <x v="0"/>
  </r>
  <r>
    <n v="3157"/>
    <x v="107"/>
    <x v="19"/>
    <x v="0"/>
    <x v="0"/>
    <x v="1"/>
    <x v="2"/>
    <x v="2444"/>
    <x v="0"/>
    <n v="1"/>
    <x v="1038"/>
    <n v="2"/>
    <x v="7"/>
    <x v="0"/>
  </r>
  <r>
    <n v="3516"/>
    <x v="107"/>
    <x v="27"/>
    <x v="1"/>
    <x v="0"/>
    <x v="3"/>
    <x v="0"/>
    <x v="381"/>
    <x v="8"/>
    <n v="1"/>
    <x v="1039"/>
    <n v="3"/>
    <x v="6"/>
    <x v="0"/>
  </r>
  <r>
    <n v="4246"/>
    <x v="107"/>
    <x v="42"/>
    <x v="0"/>
    <x v="0"/>
    <x v="0"/>
    <x v="0"/>
    <x v="2445"/>
    <x v="5"/>
    <n v="1"/>
    <x v="1040"/>
    <n v="2"/>
    <x v="3"/>
    <x v="2"/>
  </r>
  <r>
    <n v="4858"/>
    <x v="107"/>
    <x v="51"/>
    <x v="0"/>
    <x v="0"/>
    <x v="1"/>
    <x v="6"/>
    <x v="2446"/>
    <x v="2"/>
    <n v="1"/>
    <x v="1041"/>
    <n v="4"/>
    <x v="6"/>
    <x v="2"/>
  </r>
  <r>
    <n v="3886"/>
    <x v="107"/>
    <x v="29"/>
    <x v="1"/>
    <x v="2"/>
    <x v="0"/>
    <x v="0"/>
    <x v="2447"/>
    <x v="10"/>
    <n v="1"/>
    <x v="1042"/>
    <n v="3"/>
    <x v="3"/>
    <x v="0"/>
  </r>
  <r>
    <n v="3723"/>
    <x v="107"/>
    <x v="43"/>
    <x v="1"/>
    <x v="1"/>
    <x v="0"/>
    <x v="0"/>
    <x v="2170"/>
    <x v="6"/>
    <n v="1"/>
    <x v="1043"/>
    <n v="2"/>
    <x v="0"/>
    <x v="1"/>
  </r>
  <r>
    <n v="3931"/>
    <x v="107"/>
    <x v="60"/>
    <x v="0"/>
    <x v="3"/>
    <x v="0"/>
    <x v="0"/>
    <x v="2448"/>
    <x v="6"/>
    <n v="0"/>
    <x v="11"/>
    <n v="0"/>
    <x v="8"/>
    <x v="3"/>
  </r>
  <r>
    <n v="1420"/>
    <x v="107"/>
    <x v="24"/>
    <x v="1"/>
    <x v="1"/>
    <x v="0"/>
    <x v="0"/>
    <x v="2449"/>
    <x v="8"/>
    <n v="0"/>
    <x v="11"/>
    <n v="0"/>
    <x v="8"/>
    <x v="3"/>
  </r>
  <r>
    <n v="4322"/>
    <x v="107"/>
    <x v="30"/>
    <x v="0"/>
    <x v="1"/>
    <x v="1"/>
    <x v="5"/>
    <x v="2450"/>
    <x v="6"/>
    <n v="0"/>
    <x v="11"/>
    <n v="0"/>
    <x v="8"/>
    <x v="3"/>
  </r>
  <r>
    <n v="3854"/>
    <x v="107"/>
    <x v="51"/>
    <x v="1"/>
    <x v="1"/>
    <x v="3"/>
    <x v="0"/>
    <x v="925"/>
    <x v="6"/>
    <n v="0"/>
    <x v="11"/>
    <n v="0"/>
    <x v="8"/>
    <x v="3"/>
  </r>
  <r>
    <n v="972"/>
    <x v="107"/>
    <x v="24"/>
    <x v="0"/>
    <x v="3"/>
    <x v="0"/>
    <x v="0"/>
    <x v="2451"/>
    <x v="0"/>
    <n v="0"/>
    <x v="11"/>
    <n v="0"/>
    <x v="8"/>
    <x v="3"/>
  </r>
  <r>
    <n v="3839"/>
    <x v="107"/>
    <x v="45"/>
    <x v="0"/>
    <x v="2"/>
    <x v="0"/>
    <x v="0"/>
    <x v="1606"/>
    <x v="0"/>
    <n v="0"/>
    <x v="11"/>
    <n v="0"/>
    <x v="8"/>
    <x v="3"/>
  </r>
  <r>
    <n v="807"/>
    <x v="107"/>
    <x v="2"/>
    <x v="1"/>
    <x v="0"/>
    <x v="1"/>
    <x v="7"/>
    <x v="2452"/>
    <x v="8"/>
    <n v="0"/>
    <x v="11"/>
    <n v="0"/>
    <x v="8"/>
    <x v="3"/>
  </r>
  <r>
    <n v="179"/>
    <x v="107"/>
    <x v="4"/>
    <x v="0"/>
    <x v="0"/>
    <x v="0"/>
    <x v="0"/>
    <x v="820"/>
    <x v="4"/>
    <n v="0"/>
    <x v="11"/>
    <n v="0"/>
    <x v="8"/>
    <x v="3"/>
  </r>
  <r>
    <n v="1302"/>
    <x v="107"/>
    <x v="19"/>
    <x v="0"/>
    <x v="3"/>
    <x v="0"/>
    <x v="0"/>
    <x v="2453"/>
    <x v="5"/>
    <n v="0"/>
    <x v="11"/>
    <n v="0"/>
    <x v="8"/>
    <x v="3"/>
  </r>
  <r>
    <n v="2186"/>
    <x v="107"/>
    <x v="44"/>
    <x v="1"/>
    <x v="2"/>
    <x v="1"/>
    <x v="1"/>
    <x v="2454"/>
    <x v="5"/>
    <n v="0"/>
    <x v="11"/>
    <n v="0"/>
    <x v="8"/>
    <x v="3"/>
  </r>
  <r>
    <n v="1186"/>
    <x v="107"/>
    <x v="7"/>
    <x v="1"/>
    <x v="2"/>
    <x v="3"/>
    <x v="0"/>
    <x v="2455"/>
    <x v="8"/>
    <n v="0"/>
    <x v="11"/>
    <n v="0"/>
    <x v="8"/>
    <x v="3"/>
  </r>
  <r>
    <n v="721"/>
    <x v="107"/>
    <x v="4"/>
    <x v="1"/>
    <x v="1"/>
    <x v="1"/>
    <x v="3"/>
    <x v="1235"/>
    <x v="2"/>
    <n v="0"/>
    <x v="11"/>
    <n v="0"/>
    <x v="8"/>
    <x v="3"/>
  </r>
  <r>
    <n v="1866"/>
    <x v="107"/>
    <x v="5"/>
    <x v="1"/>
    <x v="2"/>
    <x v="0"/>
    <x v="0"/>
    <x v="1017"/>
    <x v="8"/>
    <n v="0"/>
    <x v="11"/>
    <n v="0"/>
    <x v="8"/>
    <x v="3"/>
  </r>
  <r>
    <n v="1416"/>
    <x v="107"/>
    <x v="18"/>
    <x v="1"/>
    <x v="0"/>
    <x v="0"/>
    <x v="0"/>
    <x v="2253"/>
    <x v="2"/>
    <n v="0"/>
    <x v="11"/>
    <n v="0"/>
    <x v="8"/>
    <x v="3"/>
  </r>
  <r>
    <n v="1522"/>
    <x v="107"/>
    <x v="2"/>
    <x v="0"/>
    <x v="0"/>
    <x v="3"/>
    <x v="0"/>
    <x v="2456"/>
    <x v="8"/>
    <n v="0"/>
    <x v="11"/>
    <n v="0"/>
    <x v="8"/>
    <x v="3"/>
  </r>
  <r>
    <n v="4581"/>
    <x v="107"/>
    <x v="14"/>
    <x v="0"/>
    <x v="2"/>
    <x v="3"/>
    <x v="0"/>
    <x v="891"/>
    <x v="6"/>
    <n v="0"/>
    <x v="11"/>
    <n v="0"/>
    <x v="8"/>
    <x v="3"/>
  </r>
  <r>
    <n v="4051"/>
    <x v="107"/>
    <x v="35"/>
    <x v="1"/>
    <x v="2"/>
    <x v="0"/>
    <x v="0"/>
    <x v="2457"/>
    <x v="2"/>
    <n v="0"/>
    <x v="11"/>
    <n v="0"/>
    <x v="8"/>
    <x v="3"/>
  </r>
  <r>
    <n v="3786"/>
    <x v="108"/>
    <x v="31"/>
    <x v="0"/>
    <x v="3"/>
    <x v="1"/>
    <x v="2"/>
    <x v="260"/>
    <x v="1"/>
    <n v="1"/>
    <x v="1044"/>
    <n v="4"/>
    <x v="1"/>
    <x v="1"/>
  </r>
  <r>
    <n v="4667"/>
    <x v="108"/>
    <x v="7"/>
    <x v="1"/>
    <x v="2"/>
    <x v="2"/>
    <x v="0"/>
    <x v="2458"/>
    <x v="5"/>
    <n v="1"/>
    <x v="1045"/>
    <n v="5"/>
    <x v="13"/>
    <x v="2"/>
  </r>
  <r>
    <n v="3034"/>
    <x v="108"/>
    <x v="26"/>
    <x v="0"/>
    <x v="3"/>
    <x v="2"/>
    <x v="0"/>
    <x v="2459"/>
    <x v="11"/>
    <n v="1"/>
    <x v="1046"/>
    <n v="2"/>
    <x v="1"/>
    <x v="0"/>
  </r>
  <r>
    <n v="2616"/>
    <x v="108"/>
    <x v="3"/>
    <x v="1"/>
    <x v="3"/>
    <x v="0"/>
    <x v="0"/>
    <x v="2460"/>
    <x v="0"/>
    <n v="1"/>
    <x v="313"/>
    <n v="4"/>
    <x v="3"/>
    <x v="2"/>
  </r>
  <r>
    <n v="2855"/>
    <x v="108"/>
    <x v="44"/>
    <x v="0"/>
    <x v="2"/>
    <x v="1"/>
    <x v="6"/>
    <x v="2461"/>
    <x v="8"/>
    <n v="1"/>
    <x v="1047"/>
    <n v="3"/>
    <x v="0"/>
    <x v="1"/>
  </r>
  <r>
    <n v="3945"/>
    <x v="108"/>
    <x v="51"/>
    <x v="0"/>
    <x v="2"/>
    <x v="1"/>
    <x v="2"/>
    <x v="2462"/>
    <x v="6"/>
    <n v="1"/>
    <x v="1048"/>
    <n v="4"/>
    <x v="7"/>
    <x v="1"/>
  </r>
  <r>
    <n v="3098"/>
    <x v="108"/>
    <x v="16"/>
    <x v="0"/>
    <x v="2"/>
    <x v="0"/>
    <x v="0"/>
    <x v="2463"/>
    <x v="6"/>
    <n v="1"/>
    <x v="1049"/>
    <n v="1"/>
    <x v="11"/>
    <x v="0"/>
  </r>
  <r>
    <n v="2087"/>
    <x v="108"/>
    <x v="39"/>
    <x v="0"/>
    <x v="0"/>
    <x v="0"/>
    <x v="0"/>
    <x v="2464"/>
    <x v="2"/>
    <n v="1"/>
    <x v="1050"/>
    <n v="4"/>
    <x v="11"/>
    <x v="1"/>
  </r>
  <r>
    <n v="4147"/>
    <x v="108"/>
    <x v="32"/>
    <x v="1"/>
    <x v="0"/>
    <x v="3"/>
    <x v="0"/>
    <x v="2465"/>
    <x v="9"/>
    <n v="1"/>
    <x v="988"/>
    <n v="3"/>
    <x v="15"/>
    <x v="0"/>
  </r>
  <r>
    <n v="3168"/>
    <x v="108"/>
    <x v="33"/>
    <x v="0"/>
    <x v="1"/>
    <x v="2"/>
    <x v="0"/>
    <x v="1955"/>
    <x v="5"/>
    <n v="1"/>
    <x v="1051"/>
    <n v="2"/>
    <x v="5"/>
    <x v="0"/>
  </r>
  <r>
    <n v="1524"/>
    <x v="108"/>
    <x v="7"/>
    <x v="0"/>
    <x v="0"/>
    <x v="0"/>
    <x v="0"/>
    <x v="2466"/>
    <x v="4"/>
    <n v="1"/>
    <x v="1052"/>
    <n v="5"/>
    <x v="9"/>
    <x v="0"/>
  </r>
  <r>
    <n v="2642"/>
    <x v="108"/>
    <x v="10"/>
    <x v="0"/>
    <x v="1"/>
    <x v="0"/>
    <x v="0"/>
    <x v="2467"/>
    <x v="2"/>
    <n v="0"/>
    <x v="11"/>
    <n v="0"/>
    <x v="8"/>
    <x v="3"/>
  </r>
  <r>
    <n v="434"/>
    <x v="108"/>
    <x v="19"/>
    <x v="1"/>
    <x v="2"/>
    <x v="0"/>
    <x v="0"/>
    <x v="2468"/>
    <x v="5"/>
    <n v="0"/>
    <x v="11"/>
    <n v="0"/>
    <x v="8"/>
    <x v="3"/>
  </r>
  <r>
    <n v="1276"/>
    <x v="108"/>
    <x v="4"/>
    <x v="0"/>
    <x v="1"/>
    <x v="3"/>
    <x v="0"/>
    <x v="1763"/>
    <x v="1"/>
    <n v="0"/>
    <x v="11"/>
    <n v="0"/>
    <x v="8"/>
    <x v="3"/>
  </r>
  <r>
    <n v="1298"/>
    <x v="108"/>
    <x v="16"/>
    <x v="1"/>
    <x v="1"/>
    <x v="0"/>
    <x v="0"/>
    <x v="2469"/>
    <x v="6"/>
    <n v="0"/>
    <x v="11"/>
    <n v="0"/>
    <x v="8"/>
    <x v="3"/>
  </r>
  <r>
    <n v="1594"/>
    <x v="108"/>
    <x v="33"/>
    <x v="1"/>
    <x v="1"/>
    <x v="1"/>
    <x v="2"/>
    <x v="2470"/>
    <x v="5"/>
    <n v="0"/>
    <x v="11"/>
    <n v="0"/>
    <x v="8"/>
    <x v="3"/>
  </r>
  <r>
    <n v="2155"/>
    <x v="108"/>
    <x v="24"/>
    <x v="0"/>
    <x v="2"/>
    <x v="0"/>
    <x v="0"/>
    <x v="2471"/>
    <x v="6"/>
    <n v="0"/>
    <x v="11"/>
    <n v="0"/>
    <x v="8"/>
    <x v="3"/>
  </r>
  <r>
    <n v="207"/>
    <x v="108"/>
    <x v="4"/>
    <x v="1"/>
    <x v="1"/>
    <x v="0"/>
    <x v="0"/>
    <x v="2472"/>
    <x v="5"/>
    <n v="0"/>
    <x v="11"/>
    <n v="0"/>
    <x v="8"/>
    <x v="3"/>
  </r>
  <r>
    <n v="4211"/>
    <x v="108"/>
    <x v="14"/>
    <x v="1"/>
    <x v="0"/>
    <x v="0"/>
    <x v="0"/>
    <x v="1212"/>
    <x v="5"/>
    <n v="0"/>
    <x v="11"/>
    <n v="0"/>
    <x v="8"/>
    <x v="3"/>
  </r>
  <r>
    <n v="3798"/>
    <x v="108"/>
    <x v="42"/>
    <x v="1"/>
    <x v="0"/>
    <x v="0"/>
    <x v="0"/>
    <x v="287"/>
    <x v="12"/>
    <n v="0"/>
    <x v="11"/>
    <n v="0"/>
    <x v="8"/>
    <x v="3"/>
  </r>
  <r>
    <n v="4066"/>
    <x v="108"/>
    <x v="46"/>
    <x v="0"/>
    <x v="2"/>
    <x v="1"/>
    <x v="3"/>
    <x v="2473"/>
    <x v="8"/>
    <n v="0"/>
    <x v="11"/>
    <n v="0"/>
    <x v="8"/>
    <x v="3"/>
  </r>
  <r>
    <n v="665"/>
    <x v="108"/>
    <x v="10"/>
    <x v="0"/>
    <x v="0"/>
    <x v="2"/>
    <x v="0"/>
    <x v="1162"/>
    <x v="2"/>
    <n v="0"/>
    <x v="11"/>
    <n v="0"/>
    <x v="8"/>
    <x v="3"/>
  </r>
  <r>
    <n v="401"/>
    <x v="108"/>
    <x v="26"/>
    <x v="1"/>
    <x v="2"/>
    <x v="0"/>
    <x v="0"/>
    <x v="1099"/>
    <x v="6"/>
    <n v="0"/>
    <x v="11"/>
    <n v="0"/>
    <x v="8"/>
    <x v="3"/>
  </r>
  <r>
    <n v="2946"/>
    <x v="108"/>
    <x v="30"/>
    <x v="0"/>
    <x v="2"/>
    <x v="1"/>
    <x v="1"/>
    <x v="829"/>
    <x v="5"/>
    <n v="0"/>
    <x v="11"/>
    <n v="0"/>
    <x v="8"/>
    <x v="3"/>
  </r>
  <r>
    <n v="1185"/>
    <x v="108"/>
    <x v="22"/>
    <x v="1"/>
    <x v="2"/>
    <x v="1"/>
    <x v="7"/>
    <x v="2474"/>
    <x v="2"/>
    <n v="0"/>
    <x v="11"/>
    <n v="0"/>
    <x v="8"/>
    <x v="3"/>
  </r>
  <r>
    <n v="3524"/>
    <x v="108"/>
    <x v="19"/>
    <x v="1"/>
    <x v="1"/>
    <x v="0"/>
    <x v="0"/>
    <x v="2475"/>
    <x v="8"/>
    <n v="0"/>
    <x v="11"/>
    <n v="0"/>
    <x v="8"/>
    <x v="3"/>
  </r>
  <r>
    <n v="884"/>
    <x v="108"/>
    <x v="24"/>
    <x v="0"/>
    <x v="2"/>
    <x v="0"/>
    <x v="0"/>
    <x v="2476"/>
    <x v="2"/>
    <n v="0"/>
    <x v="11"/>
    <n v="0"/>
    <x v="8"/>
    <x v="3"/>
  </r>
  <r>
    <n v="371"/>
    <x v="108"/>
    <x v="6"/>
    <x v="1"/>
    <x v="2"/>
    <x v="0"/>
    <x v="0"/>
    <x v="2477"/>
    <x v="5"/>
    <n v="0"/>
    <x v="11"/>
    <n v="0"/>
    <x v="8"/>
    <x v="3"/>
  </r>
  <r>
    <n v="3199"/>
    <x v="108"/>
    <x v="8"/>
    <x v="1"/>
    <x v="3"/>
    <x v="3"/>
    <x v="0"/>
    <x v="485"/>
    <x v="1"/>
    <n v="0"/>
    <x v="11"/>
    <n v="0"/>
    <x v="8"/>
    <x v="3"/>
  </r>
  <r>
    <n v="3229"/>
    <x v="108"/>
    <x v="20"/>
    <x v="0"/>
    <x v="2"/>
    <x v="0"/>
    <x v="0"/>
    <x v="470"/>
    <x v="4"/>
    <n v="0"/>
    <x v="11"/>
    <n v="0"/>
    <x v="8"/>
    <x v="3"/>
  </r>
  <r>
    <n v="2271"/>
    <x v="108"/>
    <x v="20"/>
    <x v="1"/>
    <x v="0"/>
    <x v="0"/>
    <x v="0"/>
    <x v="2478"/>
    <x v="2"/>
    <n v="0"/>
    <x v="11"/>
    <n v="0"/>
    <x v="8"/>
    <x v="3"/>
  </r>
  <r>
    <n v="1724"/>
    <x v="108"/>
    <x v="8"/>
    <x v="1"/>
    <x v="2"/>
    <x v="0"/>
    <x v="0"/>
    <x v="306"/>
    <x v="6"/>
    <n v="0"/>
    <x v="11"/>
    <n v="0"/>
    <x v="8"/>
    <x v="3"/>
  </r>
  <r>
    <n v="2376"/>
    <x v="109"/>
    <x v="20"/>
    <x v="0"/>
    <x v="0"/>
    <x v="1"/>
    <x v="5"/>
    <x v="2479"/>
    <x v="8"/>
    <n v="1"/>
    <x v="1053"/>
    <n v="2"/>
    <x v="13"/>
    <x v="2"/>
  </r>
  <r>
    <n v="2608"/>
    <x v="109"/>
    <x v="41"/>
    <x v="1"/>
    <x v="2"/>
    <x v="3"/>
    <x v="0"/>
    <x v="2480"/>
    <x v="2"/>
    <n v="1"/>
    <x v="1054"/>
    <n v="3"/>
    <x v="10"/>
    <x v="1"/>
  </r>
  <r>
    <n v="618"/>
    <x v="109"/>
    <x v="19"/>
    <x v="1"/>
    <x v="2"/>
    <x v="3"/>
    <x v="0"/>
    <x v="2481"/>
    <x v="6"/>
    <n v="1"/>
    <x v="1055"/>
    <n v="3"/>
    <x v="14"/>
    <x v="2"/>
  </r>
  <r>
    <n v="941"/>
    <x v="109"/>
    <x v="2"/>
    <x v="1"/>
    <x v="2"/>
    <x v="0"/>
    <x v="0"/>
    <x v="2482"/>
    <x v="4"/>
    <n v="1"/>
    <x v="1056"/>
    <n v="2"/>
    <x v="10"/>
    <x v="0"/>
  </r>
  <r>
    <n v="936"/>
    <x v="109"/>
    <x v="6"/>
    <x v="1"/>
    <x v="3"/>
    <x v="0"/>
    <x v="0"/>
    <x v="2483"/>
    <x v="8"/>
    <n v="1"/>
    <x v="228"/>
    <n v="3"/>
    <x v="2"/>
    <x v="0"/>
  </r>
  <r>
    <n v="1220"/>
    <x v="109"/>
    <x v="8"/>
    <x v="0"/>
    <x v="2"/>
    <x v="0"/>
    <x v="0"/>
    <x v="2484"/>
    <x v="4"/>
    <n v="1"/>
    <x v="223"/>
    <n v="3"/>
    <x v="4"/>
    <x v="1"/>
  </r>
  <r>
    <n v="1359"/>
    <x v="109"/>
    <x v="22"/>
    <x v="1"/>
    <x v="2"/>
    <x v="3"/>
    <x v="0"/>
    <x v="2485"/>
    <x v="6"/>
    <n v="1"/>
    <x v="1057"/>
    <n v="6"/>
    <x v="5"/>
    <x v="1"/>
  </r>
  <r>
    <n v="1228"/>
    <x v="109"/>
    <x v="39"/>
    <x v="1"/>
    <x v="2"/>
    <x v="0"/>
    <x v="0"/>
    <x v="2486"/>
    <x v="5"/>
    <n v="1"/>
    <x v="376"/>
    <n v="3"/>
    <x v="4"/>
    <x v="0"/>
  </r>
  <r>
    <n v="2286"/>
    <x v="109"/>
    <x v="33"/>
    <x v="1"/>
    <x v="1"/>
    <x v="1"/>
    <x v="7"/>
    <x v="2487"/>
    <x v="1"/>
    <n v="0"/>
    <x v="11"/>
    <n v="0"/>
    <x v="8"/>
    <x v="3"/>
  </r>
  <r>
    <n v="4840"/>
    <x v="109"/>
    <x v="48"/>
    <x v="1"/>
    <x v="1"/>
    <x v="0"/>
    <x v="0"/>
    <x v="2488"/>
    <x v="0"/>
    <n v="0"/>
    <x v="11"/>
    <n v="0"/>
    <x v="8"/>
    <x v="3"/>
  </r>
  <r>
    <n v="2772"/>
    <x v="109"/>
    <x v="34"/>
    <x v="1"/>
    <x v="1"/>
    <x v="1"/>
    <x v="3"/>
    <x v="2489"/>
    <x v="2"/>
    <n v="0"/>
    <x v="11"/>
    <n v="0"/>
    <x v="8"/>
    <x v="3"/>
  </r>
  <r>
    <n v="1209"/>
    <x v="109"/>
    <x v="11"/>
    <x v="0"/>
    <x v="2"/>
    <x v="0"/>
    <x v="0"/>
    <x v="2490"/>
    <x v="5"/>
    <n v="0"/>
    <x v="11"/>
    <n v="0"/>
    <x v="8"/>
    <x v="3"/>
  </r>
  <r>
    <n v="1597"/>
    <x v="109"/>
    <x v="39"/>
    <x v="0"/>
    <x v="0"/>
    <x v="0"/>
    <x v="0"/>
    <x v="2491"/>
    <x v="5"/>
    <n v="0"/>
    <x v="11"/>
    <n v="0"/>
    <x v="8"/>
    <x v="3"/>
  </r>
  <r>
    <n v="1973"/>
    <x v="109"/>
    <x v="23"/>
    <x v="0"/>
    <x v="3"/>
    <x v="2"/>
    <x v="0"/>
    <x v="438"/>
    <x v="8"/>
    <n v="0"/>
    <x v="11"/>
    <n v="0"/>
    <x v="8"/>
    <x v="3"/>
  </r>
  <r>
    <n v="3708"/>
    <x v="109"/>
    <x v="6"/>
    <x v="0"/>
    <x v="1"/>
    <x v="0"/>
    <x v="0"/>
    <x v="1918"/>
    <x v="8"/>
    <n v="0"/>
    <x v="11"/>
    <n v="0"/>
    <x v="8"/>
    <x v="3"/>
  </r>
  <r>
    <n v="3973"/>
    <x v="109"/>
    <x v="44"/>
    <x v="0"/>
    <x v="0"/>
    <x v="0"/>
    <x v="0"/>
    <x v="2492"/>
    <x v="0"/>
    <n v="0"/>
    <x v="11"/>
    <n v="0"/>
    <x v="8"/>
    <x v="3"/>
  </r>
  <r>
    <n v="2317"/>
    <x v="109"/>
    <x v="6"/>
    <x v="1"/>
    <x v="3"/>
    <x v="0"/>
    <x v="0"/>
    <x v="2493"/>
    <x v="2"/>
    <n v="0"/>
    <x v="11"/>
    <n v="0"/>
    <x v="8"/>
    <x v="3"/>
  </r>
  <r>
    <n v="4311"/>
    <x v="109"/>
    <x v="20"/>
    <x v="1"/>
    <x v="3"/>
    <x v="0"/>
    <x v="0"/>
    <x v="1136"/>
    <x v="2"/>
    <n v="0"/>
    <x v="11"/>
    <n v="0"/>
    <x v="8"/>
    <x v="3"/>
  </r>
  <r>
    <n v="2481"/>
    <x v="109"/>
    <x v="14"/>
    <x v="1"/>
    <x v="0"/>
    <x v="0"/>
    <x v="0"/>
    <x v="258"/>
    <x v="6"/>
    <n v="0"/>
    <x v="11"/>
    <n v="0"/>
    <x v="8"/>
    <x v="3"/>
  </r>
  <r>
    <n v="2109"/>
    <x v="109"/>
    <x v="45"/>
    <x v="0"/>
    <x v="3"/>
    <x v="2"/>
    <x v="0"/>
    <x v="2494"/>
    <x v="8"/>
    <n v="0"/>
    <x v="11"/>
    <n v="0"/>
    <x v="8"/>
    <x v="3"/>
  </r>
  <r>
    <n v="528"/>
    <x v="109"/>
    <x v="6"/>
    <x v="1"/>
    <x v="0"/>
    <x v="1"/>
    <x v="4"/>
    <x v="2495"/>
    <x v="1"/>
    <n v="0"/>
    <x v="11"/>
    <n v="0"/>
    <x v="8"/>
    <x v="3"/>
  </r>
  <r>
    <n v="3461"/>
    <x v="109"/>
    <x v="31"/>
    <x v="1"/>
    <x v="0"/>
    <x v="1"/>
    <x v="6"/>
    <x v="2496"/>
    <x v="2"/>
    <n v="0"/>
    <x v="11"/>
    <n v="0"/>
    <x v="8"/>
    <x v="3"/>
  </r>
  <r>
    <n v="1534"/>
    <x v="109"/>
    <x v="23"/>
    <x v="0"/>
    <x v="3"/>
    <x v="3"/>
    <x v="0"/>
    <x v="1719"/>
    <x v="8"/>
    <n v="0"/>
    <x v="11"/>
    <n v="0"/>
    <x v="8"/>
    <x v="3"/>
  </r>
  <r>
    <n v="3483"/>
    <x v="109"/>
    <x v="2"/>
    <x v="0"/>
    <x v="1"/>
    <x v="1"/>
    <x v="2"/>
    <x v="2497"/>
    <x v="0"/>
    <n v="0"/>
    <x v="11"/>
    <n v="0"/>
    <x v="8"/>
    <x v="3"/>
  </r>
  <r>
    <n v="1564"/>
    <x v="109"/>
    <x v="16"/>
    <x v="0"/>
    <x v="2"/>
    <x v="3"/>
    <x v="0"/>
    <x v="2498"/>
    <x v="6"/>
    <n v="0"/>
    <x v="11"/>
    <n v="0"/>
    <x v="8"/>
    <x v="3"/>
  </r>
  <r>
    <n v="2959"/>
    <x v="109"/>
    <x v="17"/>
    <x v="1"/>
    <x v="0"/>
    <x v="0"/>
    <x v="0"/>
    <x v="2393"/>
    <x v="2"/>
    <n v="0"/>
    <x v="11"/>
    <n v="0"/>
    <x v="8"/>
    <x v="3"/>
  </r>
  <r>
    <n v="3036"/>
    <x v="109"/>
    <x v="17"/>
    <x v="0"/>
    <x v="3"/>
    <x v="0"/>
    <x v="0"/>
    <x v="2499"/>
    <x v="8"/>
    <n v="0"/>
    <x v="11"/>
    <n v="0"/>
    <x v="8"/>
    <x v="3"/>
  </r>
  <r>
    <n v="3557"/>
    <x v="109"/>
    <x v="8"/>
    <x v="1"/>
    <x v="0"/>
    <x v="1"/>
    <x v="6"/>
    <x v="2500"/>
    <x v="5"/>
    <n v="0"/>
    <x v="11"/>
    <n v="0"/>
    <x v="8"/>
    <x v="3"/>
  </r>
  <r>
    <n v="493"/>
    <x v="109"/>
    <x v="4"/>
    <x v="0"/>
    <x v="2"/>
    <x v="1"/>
    <x v="3"/>
    <x v="1125"/>
    <x v="0"/>
    <n v="0"/>
    <x v="11"/>
    <n v="0"/>
    <x v="8"/>
    <x v="3"/>
  </r>
  <r>
    <n v="4078"/>
    <x v="109"/>
    <x v="48"/>
    <x v="1"/>
    <x v="2"/>
    <x v="3"/>
    <x v="0"/>
    <x v="1968"/>
    <x v="0"/>
    <n v="0"/>
    <x v="11"/>
    <n v="0"/>
    <x v="8"/>
    <x v="3"/>
  </r>
  <r>
    <n v="1256"/>
    <x v="110"/>
    <x v="10"/>
    <x v="1"/>
    <x v="1"/>
    <x v="1"/>
    <x v="7"/>
    <x v="1697"/>
    <x v="2"/>
    <n v="1"/>
    <x v="1058"/>
    <n v="2"/>
    <x v="0"/>
    <x v="0"/>
  </r>
  <r>
    <n v="4735"/>
    <x v="110"/>
    <x v="25"/>
    <x v="0"/>
    <x v="3"/>
    <x v="0"/>
    <x v="0"/>
    <x v="825"/>
    <x v="0"/>
    <n v="1"/>
    <x v="640"/>
    <n v="3"/>
    <x v="10"/>
    <x v="0"/>
  </r>
  <r>
    <n v="398"/>
    <x v="110"/>
    <x v="10"/>
    <x v="0"/>
    <x v="0"/>
    <x v="1"/>
    <x v="4"/>
    <x v="2501"/>
    <x v="11"/>
    <n v="1"/>
    <x v="1059"/>
    <n v="5"/>
    <x v="3"/>
    <x v="2"/>
  </r>
  <r>
    <n v="2649"/>
    <x v="110"/>
    <x v="23"/>
    <x v="0"/>
    <x v="2"/>
    <x v="2"/>
    <x v="0"/>
    <x v="2502"/>
    <x v="2"/>
    <n v="1"/>
    <x v="1060"/>
    <n v="1"/>
    <x v="5"/>
    <x v="0"/>
  </r>
  <r>
    <n v="1397"/>
    <x v="110"/>
    <x v="10"/>
    <x v="1"/>
    <x v="1"/>
    <x v="0"/>
    <x v="0"/>
    <x v="2503"/>
    <x v="4"/>
    <n v="1"/>
    <x v="952"/>
    <n v="2"/>
    <x v="3"/>
    <x v="1"/>
  </r>
  <r>
    <n v="3901"/>
    <x v="110"/>
    <x v="15"/>
    <x v="2"/>
    <x v="2"/>
    <x v="0"/>
    <x v="0"/>
    <x v="2504"/>
    <x v="3"/>
    <n v="1"/>
    <x v="1061"/>
    <n v="7"/>
    <x v="15"/>
    <x v="0"/>
  </r>
  <r>
    <n v="2374"/>
    <x v="110"/>
    <x v="27"/>
    <x v="0"/>
    <x v="0"/>
    <x v="1"/>
    <x v="2"/>
    <x v="2505"/>
    <x v="10"/>
    <n v="1"/>
    <x v="197"/>
    <n v="3"/>
    <x v="5"/>
    <x v="1"/>
  </r>
  <r>
    <n v="2776"/>
    <x v="110"/>
    <x v="31"/>
    <x v="1"/>
    <x v="2"/>
    <x v="2"/>
    <x v="0"/>
    <x v="2500"/>
    <x v="5"/>
    <n v="1"/>
    <x v="1062"/>
    <n v="2"/>
    <x v="3"/>
    <x v="0"/>
  </r>
  <r>
    <n v="1978"/>
    <x v="110"/>
    <x v="24"/>
    <x v="0"/>
    <x v="2"/>
    <x v="0"/>
    <x v="0"/>
    <x v="2506"/>
    <x v="2"/>
    <n v="1"/>
    <x v="1063"/>
    <n v="3"/>
    <x v="15"/>
    <x v="0"/>
  </r>
  <r>
    <n v="655"/>
    <x v="110"/>
    <x v="22"/>
    <x v="0"/>
    <x v="1"/>
    <x v="0"/>
    <x v="0"/>
    <x v="2507"/>
    <x v="5"/>
    <n v="1"/>
    <x v="1064"/>
    <n v="2"/>
    <x v="12"/>
    <x v="0"/>
  </r>
  <r>
    <n v="3242"/>
    <x v="110"/>
    <x v="19"/>
    <x v="1"/>
    <x v="1"/>
    <x v="1"/>
    <x v="4"/>
    <x v="2508"/>
    <x v="1"/>
    <n v="1"/>
    <x v="1065"/>
    <n v="4"/>
    <x v="0"/>
    <x v="0"/>
  </r>
  <r>
    <n v="4077"/>
    <x v="110"/>
    <x v="38"/>
    <x v="1"/>
    <x v="3"/>
    <x v="2"/>
    <x v="0"/>
    <x v="2509"/>
    <x v="5"/>
    <n v="0"/>
    <x v="11"/>
    <n v="0"/>
    <x v="8"/>
    <x v="3"/>
  </r>
  <r>
    <n v="2258"/>
    <x v="110"/>
    <x v="5"/>
    <x v="1"/>
    <x v="0"/>
    <x v="1"/>
    <x v="5"/>
    <x v="2510"/>
    <x v="2"/>
    <n v="0"/>
    <x v="11"/>
    <n v="0"/>
    <x v="8"/>
    <x v="3"/>
  </r>
  <r>
    <n v="1223"/>
    <x v="110"/>
    <x v="16"/>
    <x v="0"/>
    <x v="0"/>
    <x v="3"/>
    <x v="0"/>
    <x v="246"/>
    <x v="11"/>
    <n v="0"/>
    <x v="11"/>
    <n v="0"/>
    <x v="8"/>
    <x v="3"/>
  </r>
  <r>
    <n v="3037"/>
    <x v="110"/>
    <x v="44"/>
    <x v="1"/>
    <x v="0"/>
    <x v="1"/>
    <x v="2"/>
    <x v="768"/>
    <x v="11"/>
    <n v="0"/>
    <x v="11"/>
    <n v="0"/>
    <x v="8"/>
    <x v="3"/>
  </r>
  <r>
    <n v="3022"/>
    <x v="110"/>
    <x v="5"/>
    <x v="1"/>
    <x v="2"/>
    <x v="0"/>
    <x v="0"/>
    <x v="2145"/>
    <x v="5"/>
    <n v="0"/>
    <x v="11"/>
    <n v="0"/>
    <x v="8"/>
    <x v="3"/>
  </r>
  <r>
    <n v="3894"/>
    <x v="110"/>
    <x v="43"/>
    <x v="1"/>
    <x v="0"/>
    <x v="0"/>
    <x v="0"/>
    <x v="2511"/>
    <x v="4"/>
    <n v="0"/>
    <x v="11"/>
    <n v="0"/>
    <x v="8"/>
    <x v="3"/>
  </r>
  <r>
    <n v="4299"/>
    <x v="110"/>
    <x v="25"/>
    <x v="0"/>
    <x v="0"/>
    <x v="3"/>
    <x v="0"/>
    <x v="549"/>
    <x v="5"/>
    <n v="0"/>
    <x v="11"/>
    <n v="0"/>
    <x v="8"/>
    <x v="3"/>
  </r>
  <r>
    <n v="1702"/>
    <x v="110"/>
    <x v="5"/>
    <x v="1"/>
    <x v="3"/>
    <x v="0"/>
    <x v="0"/>
    <x v="1329"/>
    <x v="6"/>
    <n v="0"/>
    <x v="11"/>
    <n v="0"/>
    <x v="8"/>
    <x v="3"/>
  </r>
  <r>
    <n v="1842"/>
    <x v="110"/>
    <x v="25"/>
    <x v="0"/>
    <x v="2"/>
    <x v="1"/>
    <x v="4"/>
    <x v="2512"/>
    <x v="1"/>
    <n v="0"/>
    <x v="11"/>
    <n v="0"/>
    <x v="8"/>
    <x v="3"/>
  </r>
  <r>
    <n v="3648"/>
    <x v="110"/>
    <x v="11"/>
    <x v="1"/>
    <x v="2"/>
    <x v="0"/>
    <x v="0"/>
    <x v="2513"/>
    <x v="8"/>
    <n v="0"/>
    <x v="11"/>
    <n v="0"/>
    <x v="8"/>
    <x v="3"/>
  </r>
  <r>
    <n v="19"/>
    <x v="110"/>
    <x v="2"/>
    <x v="0"/>
    <x v="1"/>
    <x v="0"/>
    <x v="0"/>
    <x v="2514"/>
    <x v="11"/>
    <n v="0"/>
    <x v="11"/>
    <n v="0"/>
    <x v="8"/>
    <x v="3"/>
  </r>
  <r>
    <n v="1589"/>
    <x v="110"/>
    <x v="20"/>
    <x v="1"/>
    <x v="1"/>
    <x v="0"/>
    <x v="0"/>
    <x v="2515"/>
    <x v="9"/>
    <n v="0"/>
    <x v="11"/>
    <n v="0"/>
    <x v="8"/>
    <x v="3"/>
  </r>
  <r>
    <n v="2393"/>
    <x v="110"/>
    <x v="31"/>
    <x v="0"/>
    <x v="1"/>
    <x v="1"/>
    <x v="7"/>
    <x v="2290"/>
    <x v="0"/>
    <n v="0"/>
    <x v="11"/>
    <n v="0"/>
    <x v="8"/>
    <x v="3"/>
  </r>
  <r>
    <n v="3807"/>
    <x v="110"/>
    <x v="15"/>
    <x v="1"/>
    <x v="0"/>
    <x v="0"/>
    <x v="0"/>
    <x v="2351"/>
    <x v="5"/>
    <n v="0"/>
    <x v="11"/>
    <n v="0"/>
    <x v="8"/>
    <x v="3"/>
  </r>
  <r>
    <n v="247"/>
    <x v="110"/>
    <x v="10"/>
    <x v="0"/>
    <x v="3"/>
    <x v="1"/>
    <x v="5"/>
    <x v="663"/>
    <x v="6"/>
    <n v="0"/>
    <x v="11"/>
    <n v="0"/>
    <x v="8"/>
    <x v="3"/>
  </r>
  <r>
    <n v="2829"/>
    <x v="110"/>
    <x v="26"/>
    <x v="1"/>
    <x v="2"/>
    <x v="1"/>
    <x v="3"/>
    <x v="2516"/>
    <x v="5"/>
    <n v="0"/>
    <x v="11"/>
    <n v="0"/>
    <x v="8"/>
    <x v="3"/>
  </r>
  <r>
    <n v="4526"/>
    <x v="110"/>
    <x v="54"/>
    <x v="1"/>
    <x v="1"/>
    <x v="0"/>
    <x v="0"/>
    <x v="2517"/>
    <x v="2"/>
    <n v="0"/>
    <x v="11"/>
    <n v="0"/>
    <x v="8"/>
    <x v="3"/>
  </r>
  <r>
    <n v="3382"/>
    <x v="110"/>
    <x v="34"/>
    <x v="1"/>
    <x v="2"/>
    <x v="3"/>
    <x v="0"/>
    <x v="1241"/>
    <x v="1"/>
    <n v="0"/>
    <x v="11"/>
    <n v="0"/>
    <x v="8"/>
    <x v="3"/>
  </r>
  <r>
    <n v="3759"/>
    <x v="110"/>
    <x v="40"/>
    <x v="1"/>
    <x v="2"/>
    <x v="2"/>
    <x v="0"/>
    <x v="1241"/>
    <x v="5"/>
    <n v="0"/>
    <x v="11"/>
    <n v="0"/>
    <x v="8"/>
    <x v="3"/>
  </r>
  <r>
    <n v="2384"/>
    <x v="110"/>
    <x v="22"/>
    <x v="0"/>
    <x v="0"/>
    <x v="2"/>
    <x v="0"/>
    <x v="2518"/>
    <x v="2"/>
    <n v="0"/>
    <x v="11"/>
    <n v="0"/>
    <x v="8"/>
    <x v="3"/>
  </r>
  <r>
    <n v="4362"/>
    <x v="111"/>
    <x v="47"/>
    <x v="1"/>
    <x v="2"/>
    <x v="0"/>
    <x v="0"/>
    <x v="140"/>
    <x v="5"/>
    <n v="1"/>
    <x v="1066"/>
    <n v="6"/>
    <x v="7"/>
    <x v="0"/>
  </r>
  <r>
    <n v="9"/>
    <x v="111"/>
    <x v="19"/>
    <x v="1"/>
    <x v="1"/>
    <x v="0"/>
    <x v="0"/>
    <x v="2519"/>
    <x v="1"/>
    <n v="1"/>
    <x v="1067"/>
    <n v="3"/>
    <x v="3"/>
    <x v="1"/>
  </r>
  <r>
    <n v="4662"/>
    <x v="111"/>
    <x v="32"/>
    <x v="1"/>
    <x v="2"/>
    <x v="2"/>
    <x v="0"/>
    <x v="2520"/>
    <x v="8"/>
    <n v="1"/>
    <x v="1068"/>
    <n v="3"/>
    <x v="1"/>
    <x v="1"/>
  </r>
  <r>
    <n v="2388"/>
    <x v="111"/>
    <x v="11"/>
    <x v="1"/>
    <x v="0"/>
    <x v="0"/>
    <x v="0"/>
    <x v="2521"/>
    <x v="8"/>
    <n v="1"/>
    <x v="1069"/>
    <n v="3"/>
    <x v="5"/>
    <x v="1"/>
  </r>
  <r>
    <n v="4074"/>
    <x v="111"/>
    <x v="36"/>
    <x v="0"/>
    <x v="0"/>
    <x v="0"/>
    <x v="0"/>
    <x v="2431"/>
    <x v="5"/>
    <n v="1"/>
    <x v="1070"/>
    <n v="3"/>
    <x v="15"/>
    <x v="0"/>
  </r>
  <r>
    <n v="2262"/>
    <x v="111"/>
    <x v="28"/>
    <x v="1"/>
    <x v="3"/>
    <x v="0"/>
    <x v="0"/>
    <x v="2522"/>
    <x v="1"/>
    <n v="0"/>
    <x v="11"/>
    <n v="0"/>
    <x v="8"/>
    <x v="3"/>
  </r>
  <r>
    <n v="2942"/>
    <x v="111"/>
    <x v="23"/>
    <x v="1"/>
    <x v="1"/>
    <x v="1"/>
    <x v="6"/>
    <x v="2523"/>
    <x v="8"/>
    <n v="0"/>
    <x v="11"/>
    <n v="0"/>
    <x v="8"/>
    <x v="3"/>
  </r>
  <r>
    <n v="1661"/>
    <x v="111"/>
    <x v="22"/>
    <x v="0"/>
    <x v="2"/>
    <x v="2"/>
    <x v="0"/>
    <x v="1683"/>
    <x v="4"/>
    <n v="0"/>
    <x v="11"/>
    <n v="0"/>
    <x v="8"/>
    <x v="3"/>
  </r>
  <r>
    <n v="3927"/>
    <x v="111"/>
    <x v="33"/>
    <x v="1"/>
    <x v="3"/>
    <x v="0"/>
    <x v="0"/>
    <x v="2524"/>
    <x v="0"/>
    <n v="0"/>
    <x v="11"/>
    <n v="0"/>
    <x v="8"/>
    <x v="3"/>
  </r>
  <r>
    <n v="1832"/>
    <x v="111"/>
    <x v="19"/>
    <x v="0"/>
    <x v="1"/>
    <x v="0"/>
    <x v="0"/>
    <x v="2525"/>
    <x v="8"/>
    <n v="0"/>
    <x v="11"/>
    <n v="0"/>
    <x v="8"/>
    <x v="3"/>
  </r>
  <r>
    <n v="1495"/>
    <x v="111"/>
    <x v="7"/>
    <x v="1"/>
    <x v="0"/>
    <x v="1"/>
    <x v="1"/>
    <x v="2526"/>
    <x v="1"/>
    <n v="0"/>
    <x v="11"/>
    <n v="0"/>
    <x v="8"/>
    <x v="3"/>
  </r>
  <r>
    <n v="2276"/>
    <x v="111"/>
    <x v="7"/>
    <x v="0"/>
    <x v="1"/>
    <x v="0"/>
    <x v="0"/>
    <x v="2527"/>
    <x v="6"/>
    <n v="0"/>
    <x v="11"/>
    <n v="0"/>
    <x v="8"/>
    <x v="3"/>
  </r>
  <r>
    <n v="2578"/>
    <x v="111"/>
    <x v="33"/>
    <x v="0"/>
    <x v="0"/>
    <x v="2"/>
    <x v="0"/>
    <x v="2528"/>
    <x v="5"/>
    <n v="0"/>
    <x v="11"/>
    <n v="0"/>
    <x v="8"/>
    <x v="3"/>
  </r>
  <r>
    <n v="4275"/>
    <x v="111"/>
    <x v="46"/>
    <x v="0"/>
    <x v="0"/>
    <x v="0"/>
    <x v="0"/>
    <x v="483"/>
    <x v="8"/>
    <n v="0"/>
    <x v="11"/>
    <n v="0"/>
    <x v="8"/>
    <x v="3"/>
  </r>
  <r>
    <n v="1269"/>
    <x v="111"/>
    <x v="24"/>
    <x v="1"/>
    <x v="0"/>
    <x v="1"/>
    <x v="7"/>
    <x v="502"/>
    <x v="2"/>
    <n v="0"/>
    <x v="11"/>
    <n v="0"/>
    <x v="8"/>
    <x v="3"/>
  </r>
  <r>
    <n v="3948"/>
    <x v="111"/>
    <x v="44"/>
    <x v="0"/>
    <x v="0"/>
    <x v="1"/>
    <x v="3"/>
    <x v="2529"/>
    <x v="2"/>
    <n v="0"/>
    <x v="11"/>
    <n v="0"/>
    <x v="8"/>
    <x v="3"/>
  </r>
  <r>
    <n v="3057"/>
    <x v="111"/>
    <x v="26"/>
    <x v="0"/>
    <x v="0"/>
    <x v="0"/>
    <x v="0"/>
    <x v="2530"/>
    <x v="2"/>
    <n v="0"/>
    <x v="11"/>
    <n v="0"/>
    <x v="8"/>
    <x v="3"/>
  </r>
  <r>
    <n v="1552"/>
    <x v="111"/>
    <x v="26"/>
    <x v="0"/>
    <x v="0"/>
    <x v="1"/>
    <x v="3"/>
    <x v="309"/>
    <x v="5"/>
    <n v="0"/>
    <x v="11"/>
    <n v="0"/>
    <x v="8"/>
    <x v="3"/>
  </r>
  <r>
    <n v="951"/>
    <x v="111"/>
    <x v="4"/>
    <x v="1"/>
    <x v="2"/>
    <x v="1"/>
    <x v="5"/>
    <x v="2531"/>
    <x v="0"/>
    <n v="0"/>
    <x v="11"/>
    <n v="0"/>
    <x v="8"/>
    <x v="3"/>
  </r>
  <r>
    <n v="4115"/>
    <x v="111"/>
    <x v="47"/>
    <x v="1"/>
    <x v="0"/>
    <x v="0"/>
    <x v="0"/>
    <x v="2532"/>
    <x v="5"/>
    <n v="0"/>
    <x v="11"/>
    <n v="0"/>
    <x v="8"/>
    <x v="3"/>
  </r>
  <r>
    <n v="1934"/>
    <x v="111"/>
    <x v="6"/>
    <x v="0"/>
    <x v="1"/>
    <x v="3"/>
    <x v="0"/>
    <x v="2287"/>
    <x v="8"/>
    <n v="0"/>
    <x v="11"/>
    <n v="0"/>
    <x v="8"/>
    <x v="3"/>
  </r>
  <r>
    <n v="2431"/>
    <x v="111"/>
    <x v="3"/>
    <x v="0"/>
    <x v="0"/>
    <x v="2"/>
    <x v="0"/>
    <x v="2533"/>
    <x v="6"/>
    <n v="0"/>
    <x v="11"/>
    <n v="0"/>
    <x v="8"/>
    <x v="3"/>
  </r>
  <r>
    <n v="962"/>
    <x v="111"/>
    <x v="10"/>
    <x v="0"/>
    <x v="2"/>
    <x v="1"/>
    <x v="1"/>
    <x v="1637"/>
    <x v="5"/>
    <n v="0"/>
    <x v="11"/>
    <n v="0"/>
    <x v="8"/>
    <x v="3"/>
  </r>
  <r>
    <n v="4988"/>
    <x v="111"/>
    <x v="47"/>
    <x v="0"/>
    <x v="3"/>
    <x v="1"/>
    <x v="4"/>
    <x v="1774"/>
    <x v="2"/>
    <n v="0"/>
    <x v="11"/>
    <n v="0"/>
    <x v="8"/>
    <x v="3"/>
  </r>
  <r>
    <n v="4877"/>
    <x v="111"/>
    <x v="1"/>
    <x v="1"/>
    <x v="2"/>
    <x v="2"/>
    <x v="0"/>
    <x v="2534"/>
    <x v="7"/>
    <n v="0"/>
    <x v="11"/>
    <n v="0"/>
    <x v="8"/>
    <x v="3"/>
  </r>
  <r>
    <n v="2333"/>
    <x v="111"/>
    <x v="5"/>
    <x v="1"/>
    <x v="2"/>
    <x v="1"/>
    <x v="2"/>
    <x v="2535"/>
    <x v="1"/>
    <n v="0"/>
    <x v="11"/>
    <n v="0"/>
    <x v="8"/>
    <x v="3"/>
  </r>
  <r>
    <n v="4356"/>
    <x v="111"/>
    <x v="32"/>
    <x v="1"/>
    <x v="1"/>
    <x v="0"/>
    <x v="0"/>
    <x v="2536"/>
    <x v="5"/>
    <n v="0"/>
    <x v="11"/>
    <n v="0"/>
    <x v="8"/>
    <x v="3"/>
  </r>
  <r>
    <n v="4990"/>
    <x v="112"/>
    <x v="25"/>
    <x v="1"/>
    <x v="3"/>
    <x v="1"/>
    <x v="6"/>
    <x v="2537"/>
    <x v="6"/>
    <n v="1"/>
    <x v="1071"/>
    <n v="6"/>
    <x v="7"/>
    <x v="0"/>
  </r>
  <r>
    <n v="2080"/>
    <x v="112"/>
    <x v="33"/>
    <x v="1"/>
    <x v="2"/>
    <x v="1"/>
    <x v="6"/>
    <x v="2538"/>
    <x v="0"/>
    <n v="1"/>
    <x v="1072"/>
    <n v="3"/>
    <x v="0"/>
    <x v="2"/>
  </r>
  <r>
    <n v="1243"/>
    <x v="112"/>
    <x v="0"/>
    <x v="0"/>
    <x v="2"/>
    <x v="1"/>
    <x v="6"/>
    <x v="375"/>
    <x v="10"/>
    <n v="1"/>
    <x v="1073"/>
    <n v="3"/>
    <x v="12"/>
    <x v="0"/>
  </r>
  <r>
    <n v="2893"/>
    <x v="112"/>
    <x v="33"/>
    <x v="0"/>
    <x v="2"/>
    <x v="3"/>
    <x v="0"/>
    <x v="2069"/>
    <x v="6"/>
    <n v="1"/>
    <x v="1074"/>
    <n v="3"/>
    <x v="2"/>
    <x v="1"/>
  </r>
  <r>
    <n v="4079"/>
    <x v="112"/>
    <x v="24"/>
    <x v="1"/>
    <x v="2"/>
    <x v="1"/>
    <x v="4"/>
    <x v="2539"/>
    <x v="2"/>
    <n v="1"/>
    <x v="1075"/>
    <n v="2"/>
    <x v="14"/>
    <x v="0"/>
  </r>
  <r>
    <n v="535"/>
    <x v="112"/>
    <x v="10"/>
    <x v="1"/>
    <x v="2"/>
    <x v="0"/>
    <x v="0"/>
    <x v="256"/>
    <x v="4"/>
    <n v="1"/>
    <x v="1076"/>
    <n v="3"/>
    <x v="1"/>
    <x v="0"/>
  </r>
  <r>
    <n v="1206"/>
    <x v="112"/>
    <x v="22"/>
    <x v="0"/>
    <x v="3"/>
    <x v="1"/>
    <x v="6"/>
    <x v="2540"/>
    <x v="6"/>
    <n v="1"/>
    <x v="1077"/>
    <n v="3"/>
    <x v="1"/>
    <x v="1"/>
  </r>
  <r>
    <n v="982"/>
    <x v="112"/>
    <x v="5"/>
    <x v="1"/>
    <x v="1"/>
    <x v="1"/>
    <x v="6"/>
    <x v="2541"/>
    <x v="11"/>
    <n v="1"/>
    <x v="1078"/>
    <n v="3"/>
    <x v="14"/>
    <x v="0"/>
  </r>
  <r>
    <n v="2816"/>
    <x v="112"/>
    <x v="13"/>
    <x v="0"/>
    <x v="1"/>
    <x v="1"/>
    <x v="2"/>
    <x v="2542"/>
    <x v="2"/>
    <n v="0"/>
    <x v="11"/>
    <n v="0"/>
    <x v="8"/>
    <x v="3"/>
  </r>
  <r>
    <n v="95"/>
    <x v="112"/>
    <x v="19"/>
    <x v="1"/>
    <x v="3"/>
    <x v="0"/>
    <x v="0"/>
    <x v="2543"/>
    <x v="10"/>
    <n v="0"/>
    <x v="11"/>
    <n v="0"/>
    <x v="8"/>
    <x v="3"/>
  </r>
  <r>
    <n v="77"/>
    <x v="112"/>
    <x v="4"/>
    <x v="0"/>
    <x v="1"/>
    <x v="3"/>
    <x v="0"/>
    <x v="2314"/>
    <x v="4"/>
    <n v="0"/>
    <x v="11"/>
    <n v="0"/>
    <x v="8"/>
    <x v="3"/>
  </r>
  <r>
    <n v="297"/>
    <x v="112"/>
    <x v="5"/>
    <x v="1"/>
    <x v="1"/>
    <x v="0"/>
    <x v="0"/>
    <x v="2025"/>
    <x v="0"/>
    <n v="0"/>
    <x v="11"/>
    <n v="0"/>
    <x v="8"/>
    <x v="3"/>
  </r>
  <r>
    <n v="1057"/>
    <x v="112"/>
    <x v="16"/>
    <x v="1"/>
    <x v="3"/>
    <x v="3"/>
    <x v="0"/>
    <x v="2544"/>
    <x v="11"/>
    <n v="0"/>
    <x v="11"/>
    <n v="0"/>
    <x v="8"/>
    <x v="3"/>
  </r>
  <r>
    <n v="2540"/>
    <x v="112"/>
    <x v="39"/>
    <x v="0"/>
    <x v="2"/>
    <x v="1"/>
    <x v="5"/>
    <x v="2545"/>
    <x v="5"/>
    <n v="0"/>
    <x v="11"/>
    <n v="0"/>
    <x v="8"/>
    <x v="3"/>
  </r>
  <r>
    <n v="1743"/>
    <x v="112"/>
    <x v="4"/>
    <x v="0"/>
    <x v="2"/>
    <x v="0"/>
    <x v="0"/>
    <x v="1089"/>
    <x v="6"/>
    <n v="0"/>
    <x v="11"/>
    <n v="0"/>
    <x v="8"/>
    <x v="3"/>
  </r>
  <r>
    <n v="3651"/>
    <x v="112"/>
    <x v="16"/>
    <x v="0"/>
    <x v="2"/>
    <x v="3"/>
    <x v="0"/>
    <x v="1688"/>
    <x v="5"/>
    <n v="0"/>
    <x v="11"/>
    <n v="0"/>
    <x v="8"/>
    <x v="3"/>
  </r>
  <r>
    <n v="1818"/>
    <x v="112"/>
    <x v="43"/>
    <x v="0"/>
    <x v="3"/>
    <x v="3"/>
    <x v="0"/>
    <x v="2546"/>
    <x v="11"/>
    <n v="0"/>
    <x v="11"/>
    <n v="0"/>
    <x v="8"/>
    <x v="3"/>
  </r>
  <r>
    <n v="2705"/>
    <x v="112"/>
    <x v="13"/>
    <x v="1"/>
    <x v="1"/>
    <x v="2"/>
    <x v="0"/>
    <x v="2352"/>
    <x v="2"/>
    <n v="0"/>
    <x v="11"/>
    <n v="0"/>
    <x v="8"/>
    <x v="3"/>
  </r>
  <r>
    <n v="689"/>
    <x v="112"/>
    <x v="8"/>
    <x v="1"/>
    <x v="3"/>
    <x v="2"/>
    <x v="0"/>
    <x v="2547"/>
    <x v="2"/>
    <n v="0"/>
    <x v="11"/>
    <n v="0"/>
    <x v="8"/>
    <x v="3"/>
  </r>
  <r>
    <n v="2655"/>
    <x v="112"/>
    <x v="20"/>
    <x v="1"/>
    <x v="2"/>
    <x v="0"/>
    <x v="0"/>
    <x v="198"/>
    <x v="2"/>
    <n v="0"/>
    <x v="11"/>
    <n v="0"/>
    <x v="8"/>
    <x v="3"/>
  </r>
  <r>
    <n v="1063"/>
    <x v="112"/>
    <x v="16"/>
    <x v="0"/>
    <x v="0"/>
    <x v="0"/>
    <x v="0"/>
    <x v="1553"/>
    <x v="7"/>
    <n v="0"/>
    <x v="11"/>
    <n v="0"/>
    <x v="8"/>
    <x v="3"/>
  </r>
  <r>
    <n v="4815"/>
    <x v="112"/>
    <x v="14"/>
    <x v="0"/>
    <x v="3"/>
    <x v="1"/>
    <x v="7"/>
    <x v="2548"/>
    <x v="8"/>
    <n v="0"/>
    <x v="11"/>
    <n v="0"/>
    <x v="8"/>
    <x v="3"/>
  </r>
  <r>
    <n v="1053"/>
    <x v="113"/>
    <x v="4"/>
    <x v="1"/>
    <x v="0"/>
    <x v="3"/>
    <x v="0"/>
    <x v="2549"/>
    <x v="11"/>
    <n v="1"/>
    <x v="1079"/>
    <n v="1"/>
    <x v="6"/>
    <x v="2"/>
  </r>
  <r>
    <n v="4302"/>
    <x v="113"/>
    <x v="36"/>
    <x v="1"/>
    <x v="2"/>
    <x v="0"/>
    <x v="0"/>
    <x v="2550"/>
    <x v="0"/>
    <n v="1"/>
    <x v="1080"/>
    <n v="2"/>
    <x v="6"/>
    <x v="0"/>
  </r>
  <r>
    <n v="1224"/>
    <x v="113"/>
    <x v="0"/>
    <x v="0"/>
    <x v="2"/>
    <x v="3"/>
    <x v="0"/>
    <x v="2551"/>
    <x v="2"/>
    <n v="1"/>
    <x v="1081"/>
    <n v="3"/>
    <x v="3"/>
    <x v="1"/>
  </r>
  <r>
    <n v="4946"/>
    <x v="113"/>
    <x v="30"/>
    <x v="1"/>
    <x v="2"/>
    <x v="1"/>
    <x v="7"/>
    <x v="1449"/>
    <x v="1"/>
    <n v="1"/>
    <x v="1082"/>
    <n v="2"/>
    <x v="4"/>
    <x v="0"/>
  </r>
  <r>
    <n v="4683"/>
    <x v="113"/>
    <x v="48"/>
    <x v="1"/>
    <x v="1"/>
    <x v="0"/>
    <x v="0"/>
    <x v="349"/>
    <x v="10"/>
    <n v="1"/>
    <x v="1083"/>
    <n v="1"/>
    <x v="0"/>
    <x v="2"/>
  </r>
  <r>
    <n v="2886"/>
    <x v="113"/>
    <x v="26"/>
    <x v="1"/>
    <x v="3"/>
    <x v="1"/>
    <x v="4"/>
    <x v="2552"/>
    <x v="2"/>
    <n v="1"/>
    <x v="1084"/>
    <n v="3"/>
    <x v="14"/>
    <x v="0"/>
  </r>
  <r>
    <n v="4312"/>
    <x v="113"/>
    <x v="41"/>
    <x v="1"/>
    <x v="2"/>
    <x v="0"/>
    <x v="0"/>
    <x v="1555"/>
    <x v="6"/>
    <n v="1"/>
    <x v="63"/>
    <n v="2"/>
    <x v="12"/>
    <x v="1"/>
  </r>
  <r>
    <n v="53"/>
    <x v="113"/>
    <x v="8"/>
    <x v="1"/>
    <x v="1"/>
    <x v="1"/>
    <x v="4"/>
    <x v="2553"/>
    <x v="0"/>
    <n v="0"/>
    <x v="11"/>
    <n v="0"/>
    <x v="8"/>
    <x v="3"/>
  </r>
  <r>
    <n v="241"/>
    <x v="113"/>
    <x v="2"/>
    <x v="1"/>
    <x v="2"/>
    <x v="0"/>
    <x v="0"/>
    <x v="2554"/>
    <x v="1"/>
    <n v="0"/>
    <x v="11"/>
    <n v="0"/>
    <x v="8"/>
    <x v="3"/>
  </r>
  <r>
    <n v="2483"/>
    <x v="113"/>
    <x v="20"/>
    <x v="1"/>
    <x v="0"/>
    <x v="0"/>
    <x v="0"/>
    <x v="2555"/>
    <x v="4"/>
    <n v="0"/>
    <x v="11"/>
    <n v="0"/>
    <x v="8"/>
    <x v="3"/>
  </r>
  <r>
    <n v="359"/>
    <x v="113"/>
    <x v="10"/>
    <x v="0"/>
    <x v="3"/>
    <x v="1"/>
    <x v="7"/>
    <x v="2556"/>
    <x v="2"/>
    <n v="0"/>
    <x v="11"/>
    <n v="0"/>
    <x v="8"/>
    <x v="3"/>
  </r>
  <r>
    <n v="2803"/>
    <x v="113"/>
    <x v="6"/>
    <x v="1"/>
    <x v="3"/>
    <x v="0"/>
    <x v="0"/>
    <x v="2557"/>
    <x v="7"/>
    <n v="0"/>
    <x v="11"/>
    <n v="0"/>
    <x v="8"/>
    <x v="3"/>
  </r>
  <r>
    <n v="135"/>
    <x v="113"/>
    <x v="10"/>
    <x v="0"/>
    <x v="2"/>
    <x v="0"/>
    <x v="0"/>
    <x v="133"/>
    <x v="6"/>
    <n v="0"/>
    <x v="11"/>
    <n v="0"/>
    <x v="8"/>
    <x v="3"/>
  </r>
  <r>
    <n v="365"/>
    <x v="113"/>
    <x v="4"/>
    <x v="0"/>
    <x v="0"/>
    <x v="0"/>
    <x v="0"/>
    <x v="2142"/>
    <x v="0"/>
    <n v="0"/>
    <x v="11"/>
    <n v="0"/>
    <x v="8"/>
    <x v="3"/>
  </r>
  <r>
    <n v="1091"/>
    <x v="113"/>
    <x v="16"/>
    <x v="0"/>
    <x v="1"/>
    <x v="3"/>
    <x v="0"/>
    <x v="2558"/>
    <x v="2"/>
    <n v="0"/>
    <x v="11"/>
    <n v="0"/>
    <x v="8"/>
    <x v="3"/>
  </r>
  <r>
    <n v="4510"/>
    <x v="113"/>
    <x v="1"/>
    <x v="0"/>
    <x v="2"/>
    <x v="1"/>
    <x v="7"/>
    <x v="2559"/>
    <x v="8"/>
    <n v="0"/>
    <x v="11"/>
    <n v="0"/>
    <x v="8"/>
    <x v="3"/>
  </r>
  <r>
    <n v="1013"/>
    <x v="113"/>
    <x v="6"/>
    <x v="0"/>
    <x v="1"/>
    <x v="2"/>
    <x v="0"/>
    <x v="2560"/>
    <x v="0"/>
    <n v="0"/>
    <x v="11"/>
    <n v="0"/>
    <x v="8"/>
    <x v="3"/>
  </r>
  <r>
    <n v="1976"/>
    <x v="113"/>
    <x v="18"/>
    <x v="1"/>
    <x v="3"/>
    <x v="0"/>
    <x v="0"/>
    <x v="2561"/>
    <x v="6"/>
    <n v="0"/>
    <x v="11"/>
    <n v="0"/>
    <x v="8"/>
    <x v="3"/>
  </r>
  <r>
    <n v="1845"/>
    <x v="113"/>
    <x v="31"/>
    <x v="0"/>
    <x v="3"/>
    <x v="1"/>
    <x v="4"/>
    <x v="2562"/>
    <x v="2"/>
    <n v="0"/>
    <x v="11"/>
    <n v="0"/>
    <x v="8"/>
    <x v="3"/>
  </r>
  <r>
    <n v="3455"/>
    <x v="113"/>
    <x v="45"/>
    <x v="0"/>
    <x v="0"/>
    <x v="1"/>
    <x v="7"/>
    <x v="2563"/>
    <x v="8"/>
    <n v="0"/>
    <x v="11"/>
    <n v="0"/>
    <x v="8"/>
    <x v="3"/>
  </r>
  <r>
    <n v="1025"/>
    <x v="113"/>
    <x v="18"/>
    <x v="0"/>
    <x v="0"/>
    <x v="0"/>
    <x v="0"/>
    <x v="2564"/>
    <x v="12"/>
    <n v="0"/>
    <x v="11"/>
    <n v="0"/>
    <x v="8"/>
    <x v="3"/>
  </r>
  <r>
    <n v="2345"/>
    <x v="113"/>
    <x v="6"/>
    <x v="0"/>
    <x v="2"/>
    <x v="1"/>
    <x v="2"/>
    <x v="2565"/>
    <x v="1"/>
    <n v="0"/>
    <x v="11"/>
    <n v="0"/>
    <x v="8"/>
    <x v="3"/>
  </r>
  <r>
    <n v="2735"/>
    <x v="113"/>
    <x v="26"/>
    <x v="1"/>
    <x v="2"/>
    <x v="1"/>
    <x v="5"/>
    <x v="2566"/>
    <x v="11"/>
    <n v="0"/>
    <x v="11"/>
    <n v="0"/>
    <x v="8"/>
    <x v="3"/>
  </r>
  <r>
    <n v="4270"/>
    <x v="113"/>
    <x v="42"/>
    <x v="1"/>
    <x v="3"/>
    <x v="3"/>
    <x v="0"/>
    <x v="488"/>
    <x v="1"/>
    <n v="0"/>
    <x v="11"/>
    <n v="0"/>
    <x v="8"/>
    <x v="3"/>
  </r>
  <r>
    <n v="752"/>
    <x v="113"/>
    <x v="19"/>
    <x v="1"/>
    <x v="0"/>
    <x v="0"/>
    <x v="0"/>
    <x v="2567"/>
    <x v="8"/>
    <n v="0"/>
    <x v="11"/>
    <n v="0"/>
    <x v="8"/>
    <x v="3"/>
  </r>
  <r>
    <n v="3197"/>
    <x v="113"/>
    <x v="20"/>
    <x v="1"/>
    <x v="1"/>
    <x v="3"/>
    <x v="0"/>
    <x v="2568"/>
    <x v="4"/>
    <n v="0"/>
    <x v="11"/>
    <n v="0"/>
    <x v="8"/>
    <x v="3"/>
  </r>
  <r>
    <n v="3365"/>
    <x v="113"/>
    <x v="17"/>
    <x v="0"/>
    <x v="0"/>
    <x v="1"/>
    <x v="2"/>
    <x v="2569"/>
    <x v="2"/>
    <n v="0"/>
    <x v="11"/>
    <n v="0"/>
    <x v="8"/>
    <x v="3"/>
  </r>
  <r>
    <n v="635"/>
    <x v="114"/>
    <x v="39"/>
    <x v="1"/>
    <x v="1"/>
    <x v="2"/>
    <x v="0"/>
    <x v="1836"/>
    <x v="5"/>
    <n v="1"/>
    <x v="1085"/>
    <n v="4"/>
    <x v="1"/>
    <x v="1"/>
  </r>
  <r>
    <n v="100"/>
    <x v="114"/>
    <x v="16"/>
    <x v="0"/>
    <x v="0"/>
    <x v="0"/>
    <x v="0"/>
    <x v="2570"/>
    <x v="1"/>
    <n v="1"/>
    <x v="1086"/>
    <n v="1"/>
    <x v="1"/>
    <x v="1"/>
  </r>
  <r>
    <n v="3181"/>
    <x v="114"/>
    <x v="20"/>
    <x v="0"/>
    <x v="2"/>
    <x v="1"/>
    <x v="5"/>
    <x v="2571"/>
    <x v="4"/>
    <n v="1"/>
    <x v="1087"/>
    <n v="4"/>
    <x v="0"/>
    <x v="1"/>
  </r>
  <r>
    <n v="1542"/>
    <x v="114"/>
    <x v="7"/>
    <x v="0"/>
    <x v="1"/>
    <x v="0"/>
    <x v="0"/>
    <x v="2572"/>
    <x v="5"/>
    <n v="1"/>
    <x v="1088"/>
    <n v="1"/>
    <x v="5"/>
    <x v="0"/>
  </r>
  <r>
    <n v="4742"/>
    <x v="114"/>
    <x v="12"/>
    <x v="0"/>
    <x v="0"/>
    <x v="2"/>
    <x v="0"/>
    <x v="2573"/>
    <x v="8"/>
    <n v="1"/>
    <x v="1089"/>
    <n v="3"/>
    <x v="15"/>
    <x v="0"/>
  </r>
  <r>
    <n v="1178"/>
    <x v="114"/>
    <x v="16"/>
    <x v="1"/>
    <x v="3"/>
    <x v="0"/>
    <x v="0"/>
    <x v="2574"/>
    <x v="8"/>
    <n v="1"/>
    <x v="1090"/>
    <n v="1"/>
    <x v="3"/>
    <x v="2"/>
  </r>
  <r>
    <n v="1759"/>
    <x v="114"/>
    <x v="26"/>
    <x v="0"/>
    <x v="0"/>
    <x v="1"/>
    <x v="3"/>
    <x v="2575"/>
    <x v="2"/>
    <n v="1"/>
    <x v="1091"/>
    <n v="2"/>
    <x v="7"/>
    <x v="0"/>
  </r>
  <r>
    <n v="4205"/>
    <x v="114"/>
    <x v="42"/>
    <x v="1"/>
    <x v="3"/>
    <x v="0"/>
    <x v="0"/>
    <x v="221"/>
    <x v="4"/>
    <n v="0"/>
    <x v="11"/>
    <n v="0"/>
    <x v="8"/>
    <x v="3"/>
  </r>
  <r>
    <n v="4885"/>
    <x v="114"/>
    <x v="13"/>
    <x v="1"/>
    <x v="2"/>
    <x v="1"/>
    <x v="4"/>
    <x v="2576"/>
    <x v="6"/>
    <n v="0"/>
    <x v="11"/>
    <n v="0"/>
    <x v="8"/>
    <x v="3"/>
  </r>
  <r>
    <n v="4791"/>
    <x v="114"/>
    <x v="21"/>
    <x v="0"/>
    <x v="2"/>
    <x v="0"/>
    <x v="0"/>
    <x v="2577"/>
    <x v="5"/>
    <n v="0"/>
    <x v="11"/>
    <n v="0"/>
    <x v="8"/>
    <x v="3"/>
  </r>
  <r>
    <n v="1706"/>
    <x v="114"/>
    <x v="23"/>
    <x v="0"/>
    <x v="2"/>
    <x v="1"/>
    <x v="5"/>
    <x v="991"/>
    <x v="8"/>
    <n v="0"/>
    <x v="11"/>
    <n v="0"/>
    <x v="8"/>
    <x v="3"/>
  </r>
  <r>
    <n v="4850"/>
    <x v="114"/>
    <x v="45"/>
    <x v="1"/>
    <x v="2"/>
    <x v="0"/>
    <x v="0"/>
    <x v="2008"/>
    <x v="6"/>
    <n v="0"/>
    <x v="11"/>
    <n v="0"/>
    <x v="8"/>
    <x v="3"/>
  </r>
  <r>
    <n v="124"/>
    <x v="114"/>
    <x v="4"/>
    <x v="1"/>
    <x v="3"/>
    <x v="0"/>
    <x v="0"/>
    <x v="822"/>
    <x v="5"/>
    <n v="0"/>
    <x v="11"/>
    <n v="0"/>
    <x v="8"/>
    <x v="3"/>
  </r>
  <r>
    <n v="2506"/>
    <x v="114"/>
    <x v="20"/>
    <x v="0"/>
    <x v="3"/>
    <x v="1"/>
    <x v="2"/>
    <x v="2196"/>
    <x v="0"/>
    <n v="0"/>
    <x v="11"/>
    <n v="0"/>
    <x v="8"/>
    <x v="3"/>
  </r>
  <r>
    <n v="2202"/>
    <x v="114"/>
    <x v="41"/>
    <x v="1"/>
    <x v="3"/>
    <x v="0"/>
    <x v="0"/>
    <x v="2578"/>
    <x v="4"/>
    <n v="0"/>
    <x v="11"/>
    <n v="0"/>
    <x v="8"/>
    <x v="3"/>
  </r>
  <r>
    <n v="1068"/>
    <x v="114"/>
    <x v="22"/>
    <x v="0"/>
    <x v="1"/>
    <x v="0"/>
    <x v="0"/>
    <x v="1139"/>
    <x v="5"/>
    <n v="0"/>
    <x v="11"/>
    <n v="0"/>
    <x v="8"/>
    <x v="3"/>
  </r>
  <r>
    <n v="771"/>
    <x v="114"/>
    <x v="6"/>
    <x v="0"/>
    <x v="3"/>
    <x v="0"/>
    <x v="0"/>
    <x v="2579"/>
    <x v="2"/>
    <n v="0"/>
    <x v="11"/>
    <n v="0"/>
    <x v="8"/>
    <x v="3"/>
  </r>
  <r>
    <n v="2195"/>
    <x v="114"/>
    <x v="3"/>
    <x v="0"/>
    <x v="2"/>
    <x v="1"/>
    <x v="2"/>
    <x v="1743"/>
    <x v="1"/>
    <n v="0"/>
    <x v="11"/>
    <n v="0"/>
    <x v="8"/>
    <x v="3"/>
  </r>
  <r>
    <n v="2299"/>
    <x v="114"/>
    <x v="23"/>
    <x v="1"/>
    <x v="2"/>
    <x v="3"/>
    <x v="0"/>
    <x v="2580"/>
    <x v="1"/>
    <n v="0"/>
    <x v="11"/>
    <n v="0"/>
    <x v="8"/>
    <x v="3"/>
  </r>
  <r>
    <n v="1463"/>
    <x v="114"/>
    <x v="2"/>
    <x v="1"/>
    <x v="1"/>
    <x v="0"/>
    <x v="0"/>
    <x v="2581"/>
    <x v="2"/>
    <n v="0"/>
    <x v="11"/>
    <n v="0"/>
    <x v="8"/>
    <x v="3"/>
  </r>
  <r>
    <n v="4614"/>
    <x v="114"/>
    <x v="25"/>
    <x v="0"/>
    <x v="1"/>
    <x v="1"/>
    <x v="1"/>
    <x v="99"/>
    <x v="6"/>
    <n v="0"/>
    <x v="11"/>
    <n v="0"/>
    <x v="8"/>
    <x v="3"/>
  </r>
  <r>
    <n v="2552"/>
    <x v="114"/>
    <x v="41"/>
    <x v="1"/>
    <x v="1"/>
    <x v="0"/>
    <x v="0"/>
    <x v="1692"/>
    <x v="6"/>
    <n v="0"/>
    <x v="11"/>
    <n v="0"/>
    <x v="8"/>
    <x v="3"/>
  </r>
  <r>
    <n v="983"/>
    <x v="114"/>
    <x v="6"/>
    <x v="1"/>
    <x v="3"/>
    <x v="0"/>
    <x v="0"/>
    <x v="2114"/>
    <x v="2"/>
    <n v="0"/>
    <x v="11"/>
    <n v="0"/>
    <x v="8"/>
    <x v="3"/>
  </r>
  <r>
    <n v="3865"/>
    <x v="114"/>
    <x v="32"/>
    <x v="0"/>
    <x v="1"/>
    <x v="1"/>
    <x v="3"/>
    <x v="962"/>
    <x v="5"/>
    <n v="0"/>
    <x v="11"/>
    <n v="0"/>
    <x v="8"/>
    <x v="3"/>
  </r>
  <r>
    <n v="3078"/>
    <x v="114"/>
    <x v="26"/>
    <x v="0"/>
    <x v="0"/>
    <x v="2"/>
    <x v="0"/>
    <x v="963"/>
    <x v="0"/>
    <n v="0"/>
    <x v="11"/>
    <n v="0"/>
    <x v="8"/>
    <x v="3"/>
  </r>
  <r>
    <n v="2862"/>
    <x v="115"/>
    <x v="29"/>
    <x v="0"/>
    <x v="3"/>
    <x v="0"/>
    <x v="0"/>
    <x v="20"/>
    <x v="1"/>
    <n v="1"/>
    <x v="1092"/>
    <n v="2"/>
    <x v="15"/>
    <x v="0"/>
  </r>
  <r>
    <n v="2207"/>
    <x v="115"/>
    <x v="10"/>
    <x v="1"/>
    <x v="2"/>
    <x v="0"/>
    <x v="0"/>
    <x v="2582"/>
    <x v="6"/>
    <n v="1"/>
    <x v="1093"/>
    <n v="4"/>
    <x v="10"/>
    <x v="0"/>
  </r>
  <r>
    <n v="2218"/>
    <x v="115"/>
    <x v="4"/>
    <x v="0"/>
    <x v="2"/>
    <x v="1"/>
    <x v="5"/>
    <x v="2583"/>
    <x v="4"/>
    <n v="1"/>
    <x v="1094"/>
    <n v="4"/>
    <x v="12"/>
    <x v="0"/>
  </r>
  <r>
    <n v="2177"/>
    <x v="115"/>
    <x v="13"/>
    <x v="0"/>
    <x v="1"/>
    <x v="3"/>
    <x v="0"/>
    <x v="1660"/>
    <x v="9"/>
    <n v="1"/>
    <x v="1095"/>
    <n v="4"/>
    <x v="4"/>
    <x v="1"/>
  </r>
  <r>
    <n v="324"/>
    <x v="115"/>
    <x v="6"/>
    <x v="0"/>
    <x v="3"/>
    <x v="2"/>
    <x v="0"/>
    <x v="2584"/>
    <x v="2"/>
    <n v="1"/>
    <x v="1096"/>
    <n v="3"/>
    <x v="1"/>
    <x v="0"/>
  </r>
  <r>
    <n v="380"/>
    <x v="115"/>
    <x v="22"/>
    <x v="1"/>
    <x v="1"/>
    <x v="2"/>
    <x v="0"/>
    <x v="2585"/>
    <x v="2"/>
    <n v="1"/>
    <x v="1097"/>
    <n v="3"/>
    <x v="1"/>
    <x v="0"/>
  </r>
  <r>
    <n v="488"/>
    <x v="115"/>
    <x v="10"/>
    <x v="0"/>
    <x v="1"/>
    <x v="0"/>
    <x v="0"/>
    <x v="2586"/>
    <x v="1"/>
    <n v="1"/>
    <x v="1098"/>
    <n v="5"/>
    <x v="14"/>
    <x v="0"/>
  </r>
  <r>
    <n v="602"/>
    <x v="115"/>
    <x v="4"/>
    <x v="1"/>
    <x v="2"/>
    <x v="0"/>
    <x v="0"/>
    <x v="651"/>
    <x v="5"/>
    <n v="1"/>
    <x v="1099"/>
    <n v="2"/>
    <x v="9"/>
    <x v="1"/>
  </r>
  <r>
    <n v="3035"/>
    <x v="115"/>
    <x v="33"/>
    <x v="2"/>
    <x v="2"/>
    <x v="1"/>
    <x v="2"/>
    <x v="2587"/>
    <x v="2"/>
    <n v="1"/>
    <x v="1100"/>
    <n v="2"/>
    <x v="10"/>
    <x v="0"/>
  </r>
  <r>
    <n v="4331"/>
    <x v="115"/>
    <x v="14"/>
    <x v="1"/>
    <x v="0"/>
    <x v="0"/>
    <x v="0"/>
    <x v="2588"/>
    <x v="0"/>
    <n v="1"/>
    <x v="962"/>
    <n v="3"/>
    <x v="0"/>
    <x v="2"/>
  </r>
  <r>
    <n v="2898"/>
    <x v="115"/>
    <x v="23"/>
    <x v="1"/>
    <x v="1"/>
    <x v="2"/>
    <x v="0"/>
    <x v="2589"/>
    <x v="12"/>
    <n v="1"/>
    <x v="1101"/>
    <n v="5"/>
    <x v="11"/>
    <x v="1"/>
  </r>
  <r>
    <n v="2568"/>
    <x v="115"/>
    <x v="45"/>
    <x v="1"/>
    <x v="1"/>
    <x v="0"/>
    <x v="0"/>
    <x v="2590"/>
    <x v="2"/>
    <n v="1"/>
    <x v="1102"/>
    <n v="3"/>
    <x v="15"/>
    <x v="0"/>
  </r>
  <r>
    <n v="150"/>
    <x v="115"/>
    <x v="5"/>
    <x v="0"/>
    <x v="2"/>
    <x v="0"/>
    <x v="0"/>
    <x v="2591"/>
    <x v="8"/>
    <n v="1"/>
    <x v="954"/>
    <n v="4"/>
    <x v="10"/>
    <x v="0"/>
  </r>
  <r>
    <n v="3676"/>
    <x v="115"/>
    <x v="44"/>
    <x v="0"/>
    <x v="0"/>
    <x v="2"/>
    <x v="0"/>
    <x v="1343"/>
    <x v="1"/>
    <n v="1"/>
    <x v="1103"/>
    <n v="2"/>
    <x v="5"/>
    <x v="0"/>
  </r>
  <r>
    <n v="3709"/>
    <x v="115"/>
    <x v="3"/>
    <x v="1"/>
    <x v="2"/>
    <x v="1"/>
    <x v="2"/>
    <x v="2592"/>
    <x v="5"/>
    <n v="0"/>
    <x v="11"/>
    <n v="0"/>
    <x v="8"/>
    <x v="3"/>
  </r>
  <r>
    <n v="237"/>
    <x v="115"/>
    <x v="31"/>
    <x v="0"/>
    <x v="3"/>
    <x v="3"/>
    <x v="0"/>
    <x v="2593"/>
    <x v="0"/>
    <n v="0"/>
    <x v="11"/>
    <n v="0"/>
    <x v="8"/>
    <x v="3"/>
  </r>
  <r>
    <n v="2869"/>
    <x v="115"/>
    <x v="13"/>
    <x v="0"/>
    <x v="2"/>
    <x v="1"/>
    <x v="5"/>
    <x v="1444"/>
    <x v="2"/>
    <n v="0"/>
    <x v="11"/>
    <n v="0"/>
    <x v="8"/>
    <x v="3"/>
  </r>
  <r>
    <n v="688"/>
    <x v="115"/>
    <x v="6"/>
    <x v="1"/>
    <x v="2"/>
    <x v="3"/>
    <x v="0"/>
    <x v="435"/>
    <x v="6"/>
    <n v="0"/>
    <x v="11"/>
    <n v="0"/>
    <x v="8"/>
    <x v="3"/>
  </r>
  <r>
    <n v="3604"/>
    <x v="115"/>
    <x v="13"/>
    <x v="0"/>
    <x v="2"/>
    <x v="1"/>
    <x v="2"/>
    <x v="2594"/>
    <x v="2"/>
    <n v="0"/>
    <x v="11"/>
    <n v="0"/>
    <x v="8"/>
    <x v="3"/>
  </r>
  <r>
    <n v="2292"/>
    <x v="115"/>
    <x v="8"/>
    <x v="0"/>
    <x v="0"/>
    <x v="0"/>
    <x v="0"/>
    <x v="2595"/>
    <x v="9"/>
    <n v="0"/>
    <x v="11"/>
    <n v="0"/>
    <x v="8"/>
    <x v="3"/>
  </r>
  <r>
    <n v="2000"/>
    <x v="115"/>
    <x v="27"/>
    <x v="0"/>
    <x v="2"/>
    <x v="0"/>
    <x v="0"/>
    <x v="2596"/>
    <x v="5"/>
    <n v="0"/>
    <x v="11"/>
    <n v="0"/>
    <x v="8"/>
    <x v="3"/>
  </r>
  <r>
    <n v="4436"/>
    <x v="115"/>
    <x v="27"/>
    <x v="0"/>
    <x v="3"/>
    <x v="1"/>
    <x v="7"/>
    <x v="2597"/>
    <x v="5"/>
    <n v="0"/>
    <x v="11"/>
    <n v="0"/>
    <x v="8"/>
    <x v="3"/>
  </r>
  <r>
    <n v="65"/>
    <x v="115"/>
    <x v="8"/>
    <x v="0"/>
    <x v="1"/>
    <x v="3"/>
    <x v="0"/>
    <x v="2598"/>
    <x v="11"/>
    <n v="0"/>
    <x v="11"/>
    <n v="0"/>
    <x v="8"/>
    <x v="3"/>
  </r>
  <r>
    <n v="4544"/>
    <x v="115"/>
    <x v="12"/>
    <x v="0"/>
    <x v="1"/>
    <x v="0"/>
    <x v="0"/>
    <x v="2599"/>
    <x v="0"/>
    <n v="0"/>
    <x v="11"/>
    <n v="0"/>
    <x v="8"/>
    <x v="3"/>
  </r>
  <r>
    <n v="387"/>
    <x v="115"/>
    <x v="23"/>
    <x v="0"/>
    <x v="2"/>
    <x v="1"/>
    <x v="3"/>
    <x v="305"/>
    <x v="5"/>
    <n v="0"/>
    <x v="11"/>
    <n v="0"/>
    <x v="8"/>
    <x v="3"/>
  </r>
  <r>
    <n v="2526"/>
    <x v="115"/>
    <x v="20"/>
    <x v="0"/>
    <x v="2"/>
    <x v="3"/>
    <x v="0"/>
    <x v="2600"/>
    <x v="1"/>
    <n v="0"/>
    <x v="11"/>
    <n v="0"/>
    <x v="8"/>
    <x v="3"/>
  </r>
  <r>
    <n v="3531"/>
    <x v="115"/>
    <x v="7"/>
    <x v="1"/>
    <x v="1"/>
    <x v="1"/>
    <x v="3"/>
    <x v="2601"/>
    <x v="5"/>
    <n v="0"/>
    <x v="11"/>
    <n v="0"/>
    <x v="8"/>
    <x v="3"/>
  </r>
  <r>
    <n v="4942"/>
    <x v="116"/>
    <x v="45"/>
    <x v="1"/>
    <x v="3"/>
    <x v="1"/>
    <x v="3"/>
    <x v="2602"/>
    <x v="5"/>
    <n v="1"/>
    <x v="1104"/>
    <n v="4"/>
    <x v="3"/>
    <x v="0"/>
  </r>
  <r>
    <n v="3104"/>
    <x v="116"/>
    <x v="20"/>
    <x v="1"/>
    <x v="0"/>
    <x v="0"/>
    <x v="0"/>
    <x v="2027"/>
    <x v="5"/>
    <n v="1"/>
    <x v="1105"/>
    <n v="2"/>
    <x v="1"/>
    <x v="0"/>
  </r>
  <r>
    <n v="4719"/>
    <x v="116"/>
    <x v="55"/>
    <x v="0"/>
    <x v="2"/>
    <x v="0"/>
    <x v="0"/>
    <x v="141"/>
    <x v="2"/>
    <n v="1"/>
    <x v="1106"/>
    <n v="4"/>
    <x v="6"/>
    <x v="2"/>
  </r>
  <r>
    <n v="3768"/>
    <x v="116"/>
    <x v="27"/>
    <x v="0"/>
    <x v="0"/>
    <x v="1"/>
    <x v="4"/>
    <x v="2603"/>
    <x v="8"/>
    <n v="1"/>
    <x v="1107"/>
    <n v="5"/>
    <x v="4"/>
    <x v="0"/>
  </r>
  <r>
    <n v="3301"/>
    <x v="116"/>
    <x v="19"/>
    <x v="0"/>
    <x v="0"/>
    <x v="0"/>
    <x v="0"/>
    <x v="1343"/>
    <x v="4"/>
    <n v="1"/>
    <x v="226"/>
    <n v="5"/>
    <x v="3"/>
    <x v="1"/>
  </r>
  <r>
    <n v="3100"/>
    <x v="116"/>
    <x v="5"/>
    <x v="1"/>
    <x v="2"/>
    <x v="3"/>
    <x v="0"/>
    <x v="925"/>
    <x v="2"/>
    <n v="1"/>
    <x v="1108"/>
    <n v="4"/>
    <x v="9"/>
    <x v="0"/>
  </r>
  <r>
    <n v="1989"/>
    <x v="116"/>
    <x v="6"/>
    <x v="0"/>
    <x v="0"/>
    <x v="0"/>
    <x v="0"/>
    <x v="2604"/>
    <x v="5"/>
    <n v="1"/>
    <x v="1109"/>
    <n v="3"/>
    <x v="12"/>
    <x v="1"/>
  </r>
  <r>
    <n v="568"/>
    <x v="116"/>
    <x v="7"/>
    <x v="0"/>
    <x v="1"/>
    <x v="0"/>
    <x v="0"/>
    <x v="1801"/>
    <x v="0"/>
    <n v="1"/>
    <x v="1110"/>
    <n v="5"/>
    <x v="1"/>
    <x v="0"/>
  </r>
  <r>
    <n v="2865"/>
    <x v="116"/>
    <x v="19"/>
    <x v="0"/>
    <x v="3"/>
    <x v="0"/>
    <x v="0"/>
    <x v="1724"/>
    <x v="7"/>
    <n v="1"/>
    <x v="1111"/>
    <n v="4"/>
    <x v="11"/>
    <x v="0"/>
  </r>
  <r>
    <n v="2623"/>
    <x v="116"/>
    <x v="26"/>
    <x v="0"/>
    <x v="0"/>
    <x v="0"/>
    <x v="0"/>
    <x v="2511"/>
    <x v="2"/>
    <n v="1"/>
    <x v="1112"/>
    <n v="4"/>
    <x v="1"/>
    <x v="0"/>
  </r>
  <r>
    <n v="2260"/>
    <x v="116"/>
    <x v="24"/>
    <x v="0"/>
    <x v="2"/>
    <x v="2"/>
    <x v="0"/>
    <x v="2605"/>
    <x v="0"/>
    <n v="1"/>
    <x v="567"/>
    <n v="2"/>
    <x v="2"/>
    <x v="2"/>
  </r>
  <r>
    <n v="2981"/>
    <x v="116"/>
    <x v="33"/>
    <x v="0"/>
    <x v="3"/>
    <x v="3"/>
    <x v="0"/>
    <x v="232"/>
    <x v="2"/>
    <n v="1"/>
    <x v="1113"/>
    <n v="4"/>
    <x v="7"/>
    <x v="0"/>
  </r>
  <r>
    <n v="3106"/>
    <x v="116"/>
    <x v="31"/>
    <x v="0"/>
    <x v="0"/>
    <x v="3"/>
    <x v="0"/>
    <x v="2606"/>
    <x v="4"/>
    <n v="0"/>
    <x v="11"/>
    <n v="0"/>
    <x v="8"/>
    <x v="3"/>
  </r>
  <r>
    <n v="2795"/>
    <x v="116"/>
    <x v="27"/>
    <x v="0"/>
    <x v="0"/>
    <x v="0"/>
    <x v="0"/>
    <x v="2607"/>
    <x v="5"/>
    <n v="0"/>
    <x v="11"/>
    <n v="0"/>
    <x v="8"/>
    <x v="3"/>
  </r>
  <r>
    <n v="3666"/>
    <x v="116"/>
    <x v="0"/>
    <x v="1"/>
    <x v="2"/>
    <x v="0"/>
    <x v="0"/>
    <x v="2608"/>
    <x v="8"/>
    <n v="0"/>
    <x v="11"/>
    <n v="0"/>
    <x v="8"/>
    <x v="3"/>
  </r>
  <r>
    <n v="1480"/>
    <x v="116"/>
    <x v="39"/>
    <x v="0"/>
    <x v="3"/>
    <x v="3"/>
    <x v="0"/>
    <x v="121"/>
    <x v="2"/>
    <n v="0"/>
    <x v="11"/>
    <n v="0"/>
    <x v="8"/>
    <x v="3"/>
  </r>
  <r>
    <n v="1950"/>
    <x v="116"/>
    <x v="27"/>
    <x v="0"/>
    <x v="0"/>
    <x v="0"/>
    <x v="0"/>
    <x v="2609"/>
    <x v="0"/>
    <n v="0"/>
    <x v="11"/>
    <n v="0"/>
    <x v="8"/>
    <x v="3"/>
  </r>
  <r>
    <n v="988"/>
    <x v="116"/>
    <x v="22"/>
    <x v="1"/>
    <x v="0"/>
    <x v="1"/>
    <x v="5"/>
    <x v="2610"/>
    <x v="5"/>
    <n v="0"/>
    <x v="11"/>
    <n v="0"/>
    <x v="8"/>
    <x v="3"/>
  </r>
  <r>
    <n v="1778"/>
    <x v="116"/>
    <x v="18"/>
    <x v="0"/>
    <x v="1"/>
    <x v="1"/>
    <x v="5"/>
    <x v="2611"/>
    <x v="4"/>
    <n v="0"/>
    <x v="11"/>
    <n v="0"/>
    <x v="8"/>
    <x v="3"/>
  </r>
  <r>
    <n v="1353"/>
    <x v="116"/>
    <x v="5"/>
    <x v="0"/>
    <x v="2"/>
    <x v="0"/>
    <x v="0"/>
    <x v="1986"/>
    <x v="5"/>
    <n v="0"/>
    <x v="11"/>
    <n v="0"/>
    <x v="8"/>
    <x v="3"/>
  </r>
  <r>
    <n v="344"/>
    <x v="116"/>
    <x v="24"/>
    <x v="0"/>
    <x v="1"/>
    <x v="3"/>
    <x v="0"/>
    <x v="1035"/>
    <x v="2"/>
    <n v="0"/>
    <x v="11"/>
    <n v="0"/>
    <x v="8"/>
    <x v="3"/>
  </r>
  <r>
    <n v="916"/>
    <x v="116"/>
    <x v="0"/>
    <x v="1"/>
    <x v="0"/>
    <x v="2"/>
    <x v="0"/>
    <x v="2612"/>
    <x v="5"/>
    <n v="0"/>
    <x v="11"/>
    <n v="0"/>
    <x v="8"/>
    <x v="3"/>
  </r>
  <r>
    <n v="1557"/>
    <x v="117"/>
    <x v="8"/>
    <x v="1"/>
    <x v="0"/>
    <x v="1"/>
    <x v="5"/>
    <x v="786"/>
    <x v="0"/>
    <n v="1"/>
    <x v="1114"/>
    <n v="4"/>
    <x v="11"/>
    <x v="0"/>
  </r>
  <r>
    <n v="1509"/>
    <x v="117"/>
    <x v="10"/>
    <x v="0"/>
    <x v="1"/>
    <x v="3"/>
    <x v="0"/>
    <x v="2613"/>
    <x v="4"/>
    <n v="1"/>
    <x v="1115"/>
    <n v="2"/>
    <x v="6"/>
    <x v="0"/>
  </r>
  <r>
    <n v="3675"/>
    <x v="117"/>
    <x v="11"/>
    <x v="0"/>
    <x v="1"/>
    <x v="1"/>
    <x v="6"/>
    <x v="2614"/>
    <x v="6"/>
    <n v="1"/>
    <x v="1116"/>
    <n v="1"/>
    <x v="1"/>
    <x v="0"/>
  </r>
  <r>
    <n v="542"/>
    <x v="117"/>
    <x v="19"/>
    <x v="1"/>
    <x v="0"/>
    <x v="2"/>
    <x v="0"/>
    <x v="2615"/>
    <x v="1"/>
    <n v="1"/>
    <x v="1117"/>
    <n v="1"/>
    <x v="15"/>
    <x v="0"/>
  </r>
  <r>
    <n v="2291"/>
    <x v="117"/>
    <x v="31"/>
    <x v="0"/>
    <x v="2"/>
    <x v="1"/>
    <x v="7"/>
    <x v="856"/>
    <x v="6"/>
    <n v="1"/>
    <x v="1118"/>
    <n v="3"/>
    <x v="5"/>
    <x v="1"/>
  </r>
  <r>
    <n v="2665"/>
    <x v="117"/>
    <x v="16"/>
    <x v="0"/>
    <x v="3"/>
    <x v="0"/>
    <x v="0"/>
    <x v="2616"/>
    <x v="6"/>
    <n v="1"/>
    <x v="1119"/>
    <n v="2"/>
    <x v="9"/>
    <x v="1"/>
  </r>
  <r>
    <n v="3126"/>
    <x v="117"/>
    <x v="23"/>
    <x v="1"/>
    <x v="2"/>
    <x v="0"/>
    <x v="0"/>
    <x v="2617"/>
    <x v="1"/>
    <n v="1"/>
    <x v="1120"/>
    <n v="1"/>
    <x v="2"/>
    <x v="1"/>
  </r>
  <r>
    <n v="1689"/>
    <x v="117"/>
    <x v="2"/>
    <x v="1"/>
    <x v="2"/>
    <x v="2"/>
    <x v="0"/>
    <x v="2618"/>
    <x v="2"/>
    <n v="1"/>
    <x v="545"/>
    <n v="5"/>
    <x v="1"/>
    <x v="0"/>
  </r>
  <r>
    <n v="4893"/>
    <x v="117"/>
    <x v="15"/>
    <x v="0"/>
    <x v="2"/>
    <x v="3"/>
    <x v="0"/>
    <x v="2619"/>
    <x v="6"/>
    <n v="1"/>
    <x v="1121"/>
    <n v="7"/>
    <x v="10"/>
    <x v="0"/>
  </r>
  <r>
    <n v="205"/>
    <x v="117"/>
    <x v="6"/>
    <x v="0"/>
    <x v="0"/>
    <x v="1"/>
    <x v="7"/>
    <x v="620"/>
    <x v="2"/>
    <n v="1"/>
    <x v="1122"/>
    <n v="4"/>
    <x v="2"/>
    <x v="0"/>
  </r>
  <r>
    <n v="2035"/>
    <x v="117"/>
    <x v="29"/>
    <x v="0"/>
    <x v="1"/>
    <x v="0"/>
    <x v="0"/>
    <x v="2620"/>
    <x v="8"/>
    <n v="0"/>
    <x v="11"/>
    <n v="0"/>
    <x v="8"/>
    <x v="3"/>
  </r>
  <r>
    <n v="3072"/>
    <x v="117"/>
    <x v="27"/>
    <x v="1"/>
    <x v="2"/>
    <x v="0"/>
    <x v="0"/>
    <x v="2621"/>
    <x v="2"/>
    <n v="0"/>
    <x v="11"/>
    <n v="0"/>
    <x v="8"/>
    <x v="3"/>
  </r>
  <r>
    <n v="4496"/>
    <x v="117"/>
    <x v="25"/>
    <x v="1"/>
    <x v="0"/>
    <x v="0"/>
    <x v="0"/>
    <x v="2622"/>
    <x v="5"/>
    <n v="0"/>
    <x v="11"/>
    <n v="0"/>
    <x v="8"/>
    <x v="3"/>
  </r>
  <r>
    <n v="696"/>
    <x v="117"/>
    <x v="39"/>
    <x v="1"/>
    <x v="1"/>
    <x v="0"/>
    <x v="0"/>
    <x v="2623"/>
    <x v="2"/>
    <n v="0"/>
    <x v="11"/>
    <n v="0"/>
    <x v="8"/>
    <x v="3"/>
  </r>
  <r>
    <n v="4165"/>
    <x v="117"/>
    <x v="28"/>
    <x v="1"/>
    <x v="0"/>
    <x v="1"/>
    <x v="7"/>
    <x v="190"/>
    <x v="4"/>
    <n v="0"/>
    <x v="11"/>
    <n v="0"/>
    <x v="8"/>
    <x v="3"/>
  </r>
  <r>
    <n v="804"/>
    <x v="117"/>
    <x v="22"/>
    <x v="1"/>
    <x v="2"/>
    <x v="0"/>
    <x v="0"/>
    <x v="2624"/>
    <x v="5"/>
    <n v="0"/>
    <x v="11"/>
    <n v="0"/>
    <x v="8"/>
    <x v="3"/>
  </r>
  <r>
    <n v="4088"/>
    <x v="117"/>
    <x v="47"/>
    <x v="0"/>
    <x v="0"/>
    <x v="1"/>
    <x v="3"/>
    <x v="897"/>
    <x v="6"/>
    <n v="0"/>
    <x v="11"/>
    <n v="0"/>
    <x v="8"/>
    <x v="3"/>
  </r>
  <r>
    <n v="3253"/>
    <x v="117"/>
    <x v="27"/>
    <x v="0"/>
    <x v="2"/>
    <x v="1"/>
    <x v="1"/>
    <x v="2625"/>
    <x v="5"/>
    <n v="0"/>
    <x v="11"/>
    <n v="0"/>
    <x v="8"/>
    <x v="3"/>
  </r>
  <r>
    <n v="2265"/>
    <x v="117"/>
    <x v="5"/>
    <x v="1"/>
    <x v="2"/>
    <x v="1"/>
    <x v="7"/>
    <x v="2626"/>
    <x v="1"/>
    <n v="0"/>
    <x v="11"/>
    <n v="0"/>
    <x v="8"/>
    <x v="3"/>
  </r>
  <r>
    <n v="1579"/>
    <x v="117"/>
    <x v="2"/>
    <x v="1"/>
    <x v="1"/>
    <x v="0"/>
    <x v="0"/>
    <x v="1159"/>
    <x v="5"/>
    <n v="0"/>
    <x v="11"/>
    <n v="0"/>
    <x v="8"/>
    <x v="3"/>
  </r>
  <r>
    <n v="147"/>
    <x v="117"/>
    <x v="20"/>
    <x v="0"/>
    <x v="2"/>
    <x v="1"/>
    <x v="1"/>
    <x v="2627"/>
    <x v="6"/>
    <n v="0"/>
    <x v="11"/>
    <n v="0"/>
    <x v="8"/>
    <x v="3"/>
  </r>
  <r>
    <n v="31"/>
    <x v="117"/>
    <x v="6"/>
    <x v="0"/>
    <x v="1"/>
    <x v="2"/>
    <x v="0"/>
    <x v="1415"/>
    <x v="0"/>
    <n v="0"/>
    <x v="11"/>
    <n v="0"/>
    <x v="8"/>
    <x v="3"/>
  </r>
  <r>
    <n v="3210"/>
    <x v="117"/>
    <x v="27"/>
    <x v="2"/>
    <x v="1"/>
    <x v="3"/>
    <x v="0"/>
    <x v="1770"/>
    <x v="6"/>
    <n v="0"/>
    <x v="11"/>
    <n v="0"/>
    <x v="8"/>
    <x v="3"/>
  </r>
  <r>
    <n v="1093"/>
    <x v="117"/>
    <x v="16"/>
    <x v="0"/>
    <x v="1"/>
    <x v="2"/>
    <x v="0"/>
    <x v="1137"/>
    <x v="1"/>
    <n v="0"/>
    <x v="11"/>
    <n v="0"/>
    <x v="8"/>
    <x v="3"/>
  </r>
  <r>
    <n v="2323"/>
    <x v="117"/>
    <x v="0"/>
    <x v="1"/>
    <x v="3"/>
    <x v="2"/>
    <x v="0"/>
    <x v="2628"/>
    <x v="8"/>
    <n v="0"/>
    <x v="11"/>
    <n v="0"/>
    <x v="8"/>
    <x v="3"/>
  </r>
  <r>
    <n v="663"/>
    <x v="117"/>
    <x v="18"/>
    <x v="0"/>
    <x v="0"/>
    <x v="0"/>
    <x v="0"/>
    <x v="757"/>
    <x v="5"/>
    <n v="0"/>
    <x v="11"/>
    <n v="0"/>
    <x v="8"/>
    <x v="3"/>
  </r>
  <r>
    <n v="2406"/>
    <x v="117"/>
    <x v="14"/>
    <x v="1"/>
    <x v="1"/>
    <x v="0"/>
    <x v="0"/>
    <x v="979"/>
    <x v="2"/>
    <n v="0"/>
    <x v="11"/>
    <n v="0"/>
    <x v="8"/>
    <x v="3"/>
  </r>
  <r>
    <n v="1993"/>
    <x v="117"/>
    <x v="29"/>
    <x v="1"/>
    <x v="3"/>
    <x v="0"/>
    <x v="0"/>
    <x v="1332"/>
    <x v="2"/>
    <n v="0"/>
    <x v="11"/>
    <n v="0"/>
    <x v="8"/>
    <x v="3"/>
  </r>
  <r>
    <n v="3232"/>
    <x v="117"/>
    <x v="41"/>
    <x v="1"/>
    <x v="0"/>
    <x v="0"/>
    <x v="0"/>
    <x v="2629"/>
    <x v="0"/>
    <n v="0"/>
    <x v="11"/>
    <n v="0"/>
    <x v="8"/>
    <x v="3"/>
  </r>
  <r>
    <n v="3492"/>
    <x v="117"/>
    <x v="19"/>
    <x v="0"/>
    <x v="0"/>
    <x v="0"/>
    <x v="0"/>
    <x v="511"/>
    <x v="4"/>
    <n v="0"/>
    <x v="11"/>
    <n v="0"/>
    <x v="8"/>
    <x v="3"/>
  </r>
  <r>
    <n v="3473"/>
    <x v="117"/>
    <x v="21"/>
    <x v="0"/>
    <x v="2"/>
    <x v="1"/>
    <x v="6"/>
    <x v="2630"/>
    <x v="8"/>
    <n v="0"/>
    <x v="11"/>
    <n v="0"/>
    <x v="8"/>
    <x v="3"/>
  </r>
  <r>
    <n v="1532"/>
    <x v="117"/>
    <x v="4"/>
    <x v="1"/>
    <x v="0"/>
    <x v="1"/>
    <x v="2"/>
    <x v="2631"/>
    <x v="5"/>
    <n v="0"/>
    <x v="11"/>
    <n v="0"/>
    <x v="8"/>
    <x v="3"/>
  </r>
  <r>
    <n v="1387"/>
    <x v="118"/>
    <x v="6"/>
    <x v="0"/>
    <x v="3"/>
    <x v="0"/>
    <x v="0"/>
    <x v="2632"/>
    <x v="5"/>
    <n v="1"/>
    <x v="1123"/>
    <n v="1"/>
    <x v="2"/>
    <x v="0"/>
  </r>
  <r>
    <n v="1824"/>
    <x v="118"/>
    <x v="5"/>
    <x v="1"/>
    <x v="0"/>
    <x v="1"/>
    <x v="2"/>
    <x v="2633"/>
    <x v="4"/>
    <n v="1"/>
    <x v="1124"/>
    <n v="3"/>
    <x v="14"/>
    <x v="2"/>
  </r>
  <r>
    <n v="2700"/>
    <x v="118"/>
    <x v="30"/>
    <x v="0"/>
    <x v="3"/>
    <x v="0"/>
    <x v="0"/>
    <x v="2634"/>
    <x v="0"/>
    <n v="1"/>
    <x v="1125"/>
    <n v="4"/>
    <x v="11"/>
    <x v="0"/>
  </r>
  <r>
    <n v="2091"/>
    <x v="118"/>
    <x v="13"/>
    <x v="0"/>
    <x v="3"/>
    <x v="2"/>
    <x v="0"/>
    <x v="2635"/>
    <x v="6"/>
    <n v="1"/>
    <x v="1126"/>
    <n v="2"/>
    <x v="10"/>
    <x v="1"/>
  </r>
  <r>
    <n v="1861"/>
    <x v="118"/>
    <x v="5"/>
    <x v="0"/>
    <x v="1"/>
    <x v="0"/>
    <x v="0"/>
    <x v="2636"/>
    <x v="1"/>
    <n v="1"/>
    <x v="1127"/>
    <n v="3"/>
    <x v="12"/>
    <x v="1"/>
  </r>
  <r>
    <n v="4685"/>
    <x v="118"/>
    <x v="44"/>
    <x v="0"/>
    <x v="3"/>
    <x v="0"/>
    <x v="0"/>
    <x v="2637"/>
    <x v="6"/>
    <n v="1"/>
    <x v="1128"/>
    <n v="3"/>
    <x v="1"/>
    <x v="0"/>
  </r>
  <r>
    <n v="394"/>
    <x v="118"/>
    <x v="4"/>
    <x v="0"/>
    <x v="3"/>
    <x v="0"/>
    <x v="0"/>
    <x v="2638"/>
    <x v="1"/>
    <n v="1"/>
    <x v="171"/>
    <n v="6"/>
    <x v="3"/>
    <x v="0"/>
  </r>
  <r>
    <n v="550"/>
    <x v="118"/>
    <x v="18"/>
    <x v="0"/>
    <x v="3"/>
    <x v="1"/>
    <x v="4"/>
    <x v="2639"/>
    <x v="8"/>
    <n v="0"/>
    <x v="11"/>
    <n v="0"/>
    <x v="8"/>
    <x v="3"/>
  </r>
  <r>
    <n v="4853"/>
    <x v="118"/>
    <x v="33"/>
    <x v="2"/>
    <x v="3"/>
    <x v="0"/>
    <x v="0"/>
    <x v="2640"/>
    <x v="8"/>
    <n v="0"/>
    <x v="11"/>
    <n v="0"/>
    <x v="8"/>
    <x v="3"/>
  </r>
  <r>
    <n v="451"/>
    <x v="118"/>
    <x v="6"/>
    <x v="0"/>
    <x v="2"/>
    <x v="1"/>
    <x v="1"/>
    <x v="2641"/>
    <x v="8"/>
    <n v="0"/>
    <x v="11"/>
    <n v="0"/>
    <x v="8"/>
    <x v="3"/>
  </r>
  <r>
    <n v="52"/>
    <x v="118"/>
    <x v="16"/>
    <x v="0"/>
    <x v="0"/>
    <x v="0"/>
    <x v="0"/>
    <x v="1739"/>
    <x v="4"/>
    <n v="0"/>
    <x v="11"/>
    <n v="0"/>
    <x v="8"/>
    <x v="3"/>
  </r>
  <r>
    <n v="2596"/>
    <x v="118"/>
    <x v="27"/>
    <x v="1"/>
    <x v="3"/>
    <x v="1"/>
    <x v="3"/>
    <x v="2642"/>
    <x v="8"/>
    <n v="0"/>
    <x v="11"/>
    <n v="0"/>
    <x v="8"/>
    <x v="3"/>
  </r>
  <r>
    <n v="2261"/>
    <x v="118"/>
    <x v="21"/>
    <x v="0"/>
    <x v="1"/>
    <x v="3"/>
    <x v="0"/>
    <x v="1646"/>
    <x v="3"/>
    <n v="0"/>
    <x v="11"/>
    <n v="0"/>
    <x v="8"/>
    <x v="3"/>
  </r>
  <r>
    <n v="71"/>
    <x v="118"/>
    <x v="18"/>
    <x v="1"/>
    <x v="2"/>
    <x v="3"/>
    <x v="0"/>
    <x v="2643"/>
    <x v="9"/>
    <n v="0"/>
    <x v="11"/>
    <n v="0"/>
    <x v="8"/>
    <x v="3"/>
  </r>
  <r>
    <n v="3320"/>
    <x v="118"/>
    <x v="26"/>
    <x v="1"/>
    <x v="3"/>
    <x v="0"/>
    <x v="0"/>
    <x v="1463"/>
    <x v="8"/>
    <n v="0"/>
    <x v="11"/>
    <n v="0"/>
    <x v="8"/>
    <x v="3"/>
  </r>
  <r>
    <n v="2008"/>
    <x v="118"/>
    <x v="10"/>
    <x v="1"/>
    <x v="2"/>
    <x v="0"/>
    <x v="0"/>
    <x v="624"/>
    <x v="3"/>
    <n v="0"/>
    <x v="11"/>
    <n v="0"/>
    <x v="8"/>
    <x v="3"/>
  </r>
  <r>
    <n v="3569"/>
    <x v="118"/>
    <x v="30"/>
    <x v="1"/>
    <x v="1"/>
    <x v="1"/>
    <x v="7"/>
    <x v="2644"/>
    <x v="8"/>
    <n v="0"/>
    <x v="11"/>
    <n v="0"/>
    <x v="8"/>
    <x v="3"/>
  </r>
  <r>
    <n v="2699"/>
    <x v="118"/>
    <x v="24"/>
    <x v="1"/>
    <x v="1"/>
    <x v="0"/>
    <x v="0"/>
    <x v="2645"/>
    <x v="2"/>
    <n v="0"/>
    <x v="11"/>
    <n v="0"/>
    <x v="8"/>
    <x v="3"/>
  </r>
  <r>
    <n v="861"/>
    <x v="118"/>
    <x v="8"/>
    <x v="1"/>
    <x v="0"/>
    <x v="0"/>
    <x v="0"/>
    <x v="2646"/>
    <x v="5"/>
    <n v="0"/>
    <x v="11"/>
    <n v="0"/>
    <x v="8"/>
    <x v="3"/>
  </r>
  <r>
    <n v="1242"/>
    <x v="118"/>
    <x v="6"/>
    <x v="1"/>
    <x v="1"/>
    <x v="1"/>
    <x v="6"/>
    <x v="1567"/>
    <x v="4"/>
    <n v="0"/>
    <x v="11"/>
    <n v="0"/>
    <x v="8"/>
    <x v="3"/>
  </r>
  <r>
    <n v="2711"/>
    <x v="118"/>
    <x v="16"/>
    <x v="1"/>
    <x v="3"/>
    <x v="0"/>
    <x v="0"/>
    <x v="2647"/>
    <x v="6"/>
    <n v="0"/>
    <x v="11"/>
    <n v="0"/>
    <x v="8"/>
    <x v="3"/>
  </r>
  <r>
    <n v="3683"/>
    <x v="118"/>
    <x v="15"/>
    <x v="0"/>
    <x v="0"/>
    <x v="1"/>
    <x v="1"/>
    <x v="2648"/>
    <x v="5"/>
    <n v="0"/>
    <x v="11"/>
    <n v="0"/>
    <x v="8"/>
    <x v="3"/>
  </r>
  <r>
    <n v="3693"/>
    <x v="118"/>
    <x v="28"/>
    <x v="1"/>
    <x v="0"/>
    <x v="0"/>
    <x v="0"/>
    <x v="1173"/>
    <x v="8"/>
    <n v="0"/>
    <x v="11"/>
    <n v="0"/>
    <x v="8"/>
    <x v="3"/>
  </r>
  <r>
    <n v="1806"/>
    <x v="118"/>
    <x v="34"/>
    <x v="1"/>
    <x v="3"/>
    <x v="0"/>
    <x v="0"/>
    <x v="2154"/>
    <x v="6"/>
    <n v="0"/>
    <x v="11"/>
    <n v="0"/>
    <x v="8"/>
    <x v="3"/>
  </r>
  <r>
    <n v="4407"/>
    <x v="119"/>
    <x v="42"/>
    <x v="0"/>
    <x v="3"/>
    <x v="0"/>
    <x v="0"/>
    <x v="2649"/>
    <x v="6"/>
    <n v="1"/>
    <x v="1129"/>
    <n v="1"/>
    <x v="6"/>
    <x v="0"/>
  </r>
  <r>
    <n v="3705"/>
    <x v="119"/>
    <x v="18"/>
    <x v="0"/>
    <x v="1"/>
    <x v="0"/>
    <x v="0"/>
    <x v="2650"/>
    <x v="5"/>
    <n v="1"/>
    <x v="1130"/>
    <n v="5"/>
    <x v="6"/>
    <x v="1"/>
  </r>
  <r>
    <n v="3921"/>
    <x v="119"/>
    <x v="11"/>
    <x v="0"/>
    <x v="3"/>
    <x v="0"/>
    <x v="0"/>
    <x v="2441"/>
    <x v="2"/>
    <n v="1"/>
    <x v="1131"/>
    <n v="3"/>
    <x v="1"/>
    <x v="0"/>
  </r>
  <r>
    <n v="2054"/>
    <x v="119"/>
    <x v="11"/>
    <x v="1"/>
    <x v="3"/>
    <x v="1"/>
    <x v="4"/>
    <x v="2450"/>
    <x v="5"/>
    <n v="1"/>
    <x v="1132"/>
    <n v="3"/>
    <x v="5"/>
    <x v="0"/>
  </r>
  <r>
    <n v="4469"/>
    <x v="119"/>
    <x v="30"/>
    <x v="1"/>
    <x v="1"/>
    <x v="3"/>
    <x v="0"/>
    <x v="2651"/>
    <x v="12"/>
    <n v="1"/>
    <x v="1133"/>
    <n v="7"/>
    <x v="1"/>
    <x v="1"/>
  </r>
  <r>
    <n v="4395"/>
    <x v="119"/>
    <x v="41"/>
    <x v="0"/>
    <x v="1"/>
    <x v="0"/>
    <x v="0"/>
    <x v="2652"/>
    <x v="8"/>
    <n v="1"/>
    <x v="1134"/>
    <n v="2"/>
    <x v="2"/>
    <x v="1"/>
  </r>
  <r>
    <n v="509"/>
    <x v="119"/>
    <x v="10"/>
    <x v="0"/>
    <x v="2"/>
    <x v="0"/>
    <x v="0"/>
    <x v="345"/>
    <x v="6"/>
    <n v="1"/>
    <x v="1135"/>
    <n v="3"/>
    <x v="7"/>
    <x v="0"/>
  </r>
  <r>
    <n v="446"/>
    <x v="119"/>
    <x v="8"/>
    <x v="0"/>
    <x v="1"/>
    <x v="3"/>
    <x v="0"/>
    <x v="1588"/>
    <x v="6"/>
    <n v="0"/>
    <x v="11"/>
    <n v="0"/>
    <x v="8"/>
    <x v="3"/>
  </r>
  <r>
    <n v="2554"/>
    <x v="119"/>
    <x v="33"/>
    <x v="0"/>
    <x v="3"/>
    <x v="1"/>
    <x v="2"/>
    <x v="429"/>
    <x v="5"/>
    <n v="0"/>
    <x v="11"/>
    <n v="0"/>
    <x v="8"/>
    <x v="3"/>
  </r>
  <r>
    <n v="1080"/>
    <x v="119"/>
    <x v="2"/>
    <x v="1"/>
    <x v="2"/>
    <x v="0"/>
    <x v="0"/>
    <x v="1007"/>
    <x v="6"/>
    <n v="0"/>
    <x v="11"/>
    <n v="0"/>
    <x v="8"/>
    <x v="3"/>
  </r>
  <r>
    <n v="1449"/>
    <x v="119"/>
    <x v="4"/>
    <x v="1"/>
    <x v="2"/>
    <x v="1"/>
    <x v="6"/>
    <x v="1473"/>
    <x v="5"/>
    <n v="0"/>
    <x v="11"/>
    <n v="0"/>
    <x v="8"/>
    <x v="3"/>
  </r>
  <r>
    <n v="3080"/>
    <x v="119"/>
    <x v="4"/>
    <x v="0"/>
    <x v="0"/>
    <x v="0"/>
    <x v="0"/>
    <x v="2653"/>
    <x v="8"/>
    <n v="0"/>
    <x v="11"/>
    <n v="0"/>
    <x v="8"/>
    <x v="3"/>
  </r>
  <r>
    <n v="790"/>
    <x v="119"/>
    <x v="7"/>
    <x v="1"/>
    <x v="2"/>
    <x v="2"/>
    <x v="0"/>
    <x v="2654"/>
    <x v="4"/>
    <n v="0"/>
    <x v="11"/>
    <n v="0"/>
    <x v="8"/>
    <x v="3"/>
  </r>
  <r>
    <n v="4625"/>
    <x v="119"/>
    <x v="51"/>
    <x v="0"/>
    <x v="3"/>
    <x v="1"/>
    <x v="4"/>
    <x v="778"/>
    <x v="8"/>
    <n v="0"/>
    <x v="11"/>
    <n v="0"/>
    <x v="8"/>
    <x v="3"/>
  </r>
  <r>
    <n v="3077"/>
    <x v="119"/>
    <x v="14"/>
    <x v="1"/>
    <x v="0"/>
    <x v="0"/>
    <x v="0"/>
    <x v="2655"/>
    <x v="0"/>
    <n v="0"/>
    <x v="11"/>
    <n v="0"/>
    <x v="8"/>
    <x v="3"/>
  </r>
  <r>
    <n v="536"/>
    <x v="119"/>
    <x v="16"/>
    <x v="0"/>
    <x v="1"/>
    <x v="1"/>
    <x v="1"/>
    <x v="2656"/>
    <x v="8"/>
    <n v="0"/>
    <x v="11"/>
    <n v="0"/>
    <x v="8"/>
    <x v="3"/>
  </r>
  <r>
    <n v="576"/>
    <x v="119"/>
    <x v="6"/>
    <x v="1"/>
    <x v="0"/>
    <x v="0"/>
    <x v="0"/>
    <x v="1399"/>
    <x v="10"/>
    <n v="0"/>
    <x v="11"/>
    <n v="0"/>
    <x v="8"/>
    <x v="3"/>
  </r>
  <r>
    <n v="870"/>
    <x v="119"/>
    <x v="8"/>
    <x v="0"/>
    <x v="2"/>
    <x v="0"/>
    <x v="0"/>
    <x v="2657"/>
    <x v="1"/>
    <n v="0"/>
    <x v="11"/>
    <n v="0"/>
    <x v="8"/>
    <x v="3"/>
  </r>
  <r>
    <n v="4847"/>
    <x v="119"/>
    <x v="15"/>
    <x v="0"/>
    <x v="3"/>
    <x v="0"/>
    <x v="0"/>
    <x v="2658"/>
    <x v="2"/>
    <n v="0"/>
    <x v="11"/>
    <n v="0"/>
    <x v="8"/>
    <x v="3"/>
  </r>
  <r>
    <n v="918"/>
    <x v="119"/>
    <x v="22"/>
    <x v="2"/>
    <x v="3"/>
    <x v="0"/>
    <x v="0"/>
    <x v="2659"/>
    <x v="1"/>
    <n v="0"/>
    <x v="11"/>
    <n v="0"/>
    <x v="8"/>
    <x v="3"/>
  </r>
  <r>
    <n v="3027"/>
    <x v="119"/>
    <x v="26"/>
    <x v="0"/>
    <x v="2"/>
    <x v="1"/>
    <x v="6"/>
    <x v="2660"/>
    <x v="1"/>
    <n v="0"/>
    <x v="11"/>
    <n v="0"/>
    <x v="8"/>
    <x v="3"/>
  </r>
  <r>
    <n v="4128"/>
    <x v="119"/>
    <x v="45"/>
    <x v="0"/>
    <x v="3"/>
    <x v="2"/>
    <x v="0"/>
    <x v="2661"/>
    <x v="16"/>
    <n v="0"/>
    <x v="11"/>
    <n v="0"/>
    <x v="8"/>
    <x v="3"/>
  </r>
  <r>
    <n v="2969"/>
    <x v="119"/>
    <x v="8"/>
    <x v="1"/>
    <x v="2"/>
    <x v="3"/>
    <x v="0"/>
    <x v="210"/>
    <x v="5"/>
    <n v="0"/>
    <x v="11"/>
    <n v="0"/>
    <x v="8"/>
    <x v="3"/>
  </r>
  <r>
    <n v="2872"/>
    <x v="119"/>
    <x v="8"/>
    <x v="1"/>
    <x v="0"/>
    <x v="0"/>
    <x v="0"/>
    <x v="2662"/>
    <x v="5"/>
    <n v="0"/>
    <x v="11"/>
    <n v="0"/>
    <x v="8"/>
    <x v="3"/>
  </r>
  <r>
    <n v="34"/>
    <x v="119"/>
    <x v="24"/>
    <x v="0"/>
    <x v="3"/>
    <x v="0"/>
    <x v="0"/>
    <x v="2663"/>
    <x v="1"/>
    <n v="0"/>
    <x v="11"/>
    <n v="0"/>
    <x v="8"/>
    <x v="3"/>
  </r>
  <r>
    <n v="4641"/>
    <x v="119"/>
    <x v="31"/>
    <x v="1"/>
    <x v="3"/>
    <x v="0"/>
    <x v="0"/>
    <x v="2664"/>
    <x v="4"/>
    <n v="0"/>
    <x v="11"/>
    <n v="0"/>
    <x v="8"/>
    <x v="3"/>
  </r>
  <r>
    <n v="1085"/>
    <x v="119"/>
    <x v="18"/>
    <x v="0"/>
    <x v="0"/>
    <x v="1"/>
    <x v="3"/>
    <x v="2175"/>
    <x v="2"/>
    <n v="0"/>
    <x v="11"/>
    <n v="0"/>
    <x v="8"/>
    <x v="3"/>
  </r>
  <r>
    <n v="182"/>
    <x v="120"/>
    <x v="24"/>
    <x v="0"/>
    <x v="0"/>
    <x v="0"/>
    <x v="0"/>
    <x v="2665"/>
    <x v="8"/>
    <n v="1"/>
    <x v="1136"/>
    <n v="3"/>
    <x v="5"/>
    <x v="1"/>
  </r>
  <r>
    <n v="2309"/>
    <x v="120"/>
    <x v="0"/>
    <x v="0"/>
    <x v="3"/>
    <x v="1"/>
    <x v="5"/>
    <x v="2666"/>
    <x v="4"/>
    <n v="1"/>
    <x v="1137"/>
    <n v="3"/>
    <x v="0"/>
    <x v="0"/>
  </r>
  <r>
    <n v="547"/>
    <x v="120"/>
    <x v="16"/>
    <x v="1"/>
    <x v="1"/>
    <x v="1"/>
    <x v="3"/>
    <x v="2667"/>
    <x v="5"/>
    <n v="1"/>
    <x v="1138"/>
    <n v="2"/>
    <x v="14"/>
    <x v="0"/>
  </r>
  <r>
    <n v="1412"/>
    <x v="120"/>
    <x v="20"/>
    <x v="0"/>
    <x v="0"/>
    <x v="0"/>
    <x v="0"/>
    <x v="2668"/>
    <x v="5"/>
    <n v="1"/>
    <x v="1139"/>
    <n v="1"/>
    <x v="10"/>
    <x v="0"/>
  </r>
  <r>
    <n v="2044"/>
    <x v="120"/>
    <x v="0"/>
    <x v="1"/>
    <x v="1"/>
    <x v="1"/>
    <x v="2"/>
    <x v="406"/>
    <x v="1"/>
    <n v="1"/>
    <x v="1140"/>
    <n v="2"/>
    <x v="7"/>
    <x v="1"/>
  </r>
  <r>
    <n v="2220"/>
    <x v="120"/>
    <x v="43"/>
    <x v="1"/>
    <x v="3"/>
    <x v="1"/>
    <x v="4"/>
    <x v="2669"/>
    <x v="5"/>
    <n v="1"/>
    <x v="1141"/>
    <n v="3"/>
    <x v="15"/>
    <x v="0"/>
  </r>
  <r>
    <n v="695"/>
    <x v="120"/>
    <x v="19"/>
    <x v="0"/>
    <x v="0"/>
    <x v="3"/>
    <x v="0"/>
    <x v="2670"/>
    <x v="2"/>
    <n v="1"/>
    <x v="1142"/>
    <n v="4"/>
    <x v="0"/>
    <x v="0"/>
  </r>
  <r>
    <n v="2427"/>
    <x v="120"/>
    <x v="19"/>
    <x v="1"/>
    <x v="1"/>
    <x v="2"/>
    <x v="0"/>
    <x v="2671"/>
    <x v="4"/>
    <n v="1"/>
    <x v="1143"/>
    <n v="4"/>
    <x v="3"/>
    <x v="1"/>
  </r>
  <r>
    <n v="810"/>
    <x v="120"/>
    <x v="22"/>
    <x v="0"/>
    <x v="1"/>
    <x v="0"/>
    <x v="0"/>
    <x v="2672"/>
    <x v="8"/>
    <n v="0"/>
    <x v="11"/>
    <n v="0"/>
    <x v="8"/>
    <x v="3"/>
  </r>
  <r>
    <n v="3852"/>
    <x v="120"/>
    <x v="14"/>
    <x v="0"/>
    <x v="1"/>
    <x v="0"/>
    <x v="0"/>
    <x v="2673"/>
    <x v="5"/>
    <n v="0"/>
    <x v="11"/>
    <n v="0"/>
    <x v="8"/>
    <x v="3"/>
  </r>
  <r>
    <n v="1669"/>
    <x v="120"/>
    <x v="19"/>
    <x v="1"/>
    <x v="0"/>
    <x v="0"/>
    <x v="0"/>
    <x v="2674"/>
    <x v="2"/>
    <n v="0"/>
    <x v="11"/>
    <n v="0"/>
    <x v="8"/>
    <x v="3"/>
  </r>
  <r>
    <n v="3674"/>
    <x v="120"/>
    <x v="24"/>
    <x v="1"/>
    <x v="3"/>
    <x v="0"/>
    <x v="0"/>
    <x v="1843"/>
    <x v="6"/>
    <n v="0"/>
    <x v="11"/>
    <n v="0"/>
    <x v="8"/>
    <x v="3"/>
  </r>
  <r>
    <n v="2250"/>
    <x v="120"/>
    <x v="24"/>
    <x v="0"/>
    <x v="0"/>
    <x v="1"/>
    <x v="5"/>
    <x v="2675"/>
    <x v="5"/>
    <n v="0"/>
    <x v="11"/>
    <n v="0"/>
    <x v="8"/>
    <x v="3"/>
  </r>
  <r>
    <n v="3770"/>
    <x v="120"/>
    <x v="34"/>
    <x v="1"/>
    <x v="2"/>
    <x v="3"/>
    <x v="0"/>
    <x v="1685"/>
    <x v="10"/>
    <n v="0"/>
    <x v="11"/>
    <n v="0"/>
    <x v="8"/>
    <x v="3"/>
  </r>
  <r>
    <n v="334"/>
    <x v="120"/>
    <x v="22"/>
    <x v="1"/>
    <x v="2"/>
    <x v="0"/>
    <x v="0"/>
    <x v="2676"/>
    <x v="0"/>
    <n v="0"/>
    <x v="11"/>
    <n v="0"/>
    <x v="8"/>
    <x v="3"/>
  </r>
  <r>
    <n v="2679"/>
    <x v="120"/>
    <x v="8"/>
    <x v="0"/>
    <x v="0"/>
    <x v="1"/>
    <x v="2"/>
    <x v="2560"/>
    <x v="4"/>
    <n v="0"/>
    <x v="11"/>
    <n v="0"/>
    <x v="8"/>
    <x v="3"/>
  </r>
  <r>
    <n v="2037"/>
    <x v="120"/>
    <x v="34"/>
    <x v="1"/>
    <x v="1"/>
    <x v="3"/>
    <x v="0"/>
    <x v="827"/>
    <x v="7"/>
    <n v="0"/>
    <x v="11"/>
    <n v="0"/>
    <x v="8"/>
    <x v="3"/>
  </r>
  <r>
    <n v="4261"/>
    <x v="120"/>
    <x v="14"/>
    <x v="0"/>
    <x v="0"/>
    <x v="0"/>
    <x v="0"/>
    <x v="2677"/>
    <x v="2"/>
    <n v="0"/>
    <x v="11"/>
    <n v="0"/>
    <x v="8"/>
    <x v="3"/>
  </r>
  <r>
    <n v="455"/>
    <x v="120"/>
    <x v="18"/>
    <x v="0"/>
    <x v="2"/>
    <x v="2"/>
    <x v="0"/>
    <x v="2678"/>
    <x v="2"/>
    <n v="0"/>
    <x v="11"/>
    <n v="0"/>
    <x v="8"/>
    <x v="3"/>
  </r>
  <r>
    <n v="3043"/>
    <x v="120"/>
    <x v="7"/>
    <x v="0"/>
    <x v="0"/>
    <x v="1"/>
    <x v="4"/>
    <x v="2679"/>
    <x v="0"/>
    <n v="0"/>
    <x v="11"/>
    <n v="0"/>
    <x v="8"/>
    <x v="3"/>
  </r>
  <r>
    <n v="80"/>
    <x v="120"/>
    <x v="8"/>
    <x v="0"/>
    <x v="2"/>
    <x v="1"/>
    <x v="7"/>
    <x v="2680"/>
    <x v="1"/>
    <n v="0"/>
    <x v="11"/>
    <n v="0"/>
    <x v="8"/>
    <x v="3"/>
  </r>
  <r>
    <n v="3252"/>
    <x v="120"/>
    <x v="17"/>
    <x v="1"/>
    <x v="0"/>
    <x v="0"/>
    <x v="0"/>
    <x v="1310"/>
    <x v="2"/>
    <n v="0"/>
    <x v="11"/>
    <n v="0"/>
    <x v="8"/>
    <x v="3"/>
  </r>
  <r>
    <n v="4674"/>
    <x v="120"/>
    <x v="41"/>
    <x v="0"/>
    <x v="1"/>
    <x v="0"/>
    <x v="0"/>
    <x v="2681"/>
    <x v="8"/>
    <n v="0"/>
    <x v="11"/>
    <n v="0"/>
    <x v="8"/>
    <x v="3"/>
  </r>
  <r>
    <n v="2335"/>
    <x v="120"/>
    <x v="43"/>
    <x v="0"/>
    <x v="3"/>
    <x v="0"/>
    <x v="0"/>
    <x v="763"/>
    <x v="6"/>
    <n v="0"/>
    <x v="11"/>
    <n v="0"/>
    <x v="8"/>
    <x v="3"/>
  </r>
  <r>
    <n v="677"/>
    <x v="120"/>
    <x v="7"/>
    <x v="1"/>
    <x v="2"/>
    <x v="3"/>
    <x v="0"/>
    <x v="2682"/>
    <x v="5"/>
    <n v="0"/>
    <x v="11"/>
    <n v="0"/>
    <x v="8"/>
    <x v="3"/>
  </r>
  <r>
    <n v="467"/>
    <x v="121"/>
    <x v="19"/>
    <x v="0"/>
    <x v="3"/>
    <x v="1"/>
    <x v="4"/>
    <x v="1791"/>
    <x v="1"/>
    <n v="1"/>
    <x v="1144"/>
    <n v="2"/>
    <x v="14"/>
    <x v="2"/>
  </r>
  <r>
    <n v="965"/>
    <x v="121"/>
    <x v="10"/>
    <x v="1"/>
    <x v="2"/>
    <x v="3"/>
    <x v="0"/>
    <x v="2683"/>
    <x v="1"/>
    <n v="1"/>
    <x v="274"/>
    <n v="1"/>
    <x v="11"/>
    <x v="0"/>
  </r>
  <r>
    <n v="3608"/>
    <x v="121"/>
    <x v="29"/>
    <x v="0"/>
    <x v="3"/>
    <x v="0"/>
    <x v="0"/>
    <x v="2684"/>
    <x v="2"/>
    <n v="1"/>
    <x v="1145"/>
    <n v="1"/>
    <x v="4"/>
    <x v="0"/>
  </r>
  <r>
    <n v="145"/>
    <x v="121"/>
    <x v="16"/>
    <x v="0"/>
    <x v="0"/>
    <x v="0"/>
    <x v="0"/>
    <x v="1177"/>
    <x v="8"/>
    <n v="1"/>
    <x v="1146"/>
    <n v="3"/>
    <x v="3"/>
    <x v="2"/>
  </r>
  <r>
    <n v="4198"/>
    <x v="121"/>
    <x v="21"/>
    <x v="1"/>
    <x v="0"/>
    <x v="3"/>
    <x v="0"/>
    <x v="2685"/>
    <x v="2"/>
    <n v="1"/>
    <x v="1147"/>
    <n v="2"/>
    <x v="2"/>
    <x v="0"/>
  </r>
  <r>
    <n v="3021"/>
    <x v="121"/>
    <x v="13"/>
    <x v="0"/>
    <x v="3"/>
    <x v="3"/>
    <x v="0"/>
    <x v="2686"/>
    <x v="10"/>
    <n v="1"/>
    <x v="1148"/>
    <n v="3"/>
    <x v="12"/>
    <x v="2"/>
  </r>
  <r>
    <n v="4506"/>
    <x v="121"/>
    <x v="37"/>
    <x v="1"/>
    <x v="0"/>
    <x v="3"/>
    <x v="0"/>
    <x v="2687"/>
    <x v="4"/>
    <n v="1"/>
    <x v="1149"/>
    <n v="4"/>
    <x v="13"/>
    <x v="0"/>
  </r>
  <r>
    <n v="3054"/>
    <x v="121"/>
    <x v="23"/>
    <x v="1"/>
    <x v="2"/>
    <x v="1"/>
    <x v="2"/>
    <x v="2688"/>
    <x v="9"/>
    <n v="1"/>
    <x v="1150"/>
    <n v="4"/>
    <x v="5"/>
    <x v="0"/>
  </r>
  <r>
    <n v="3501"/>
    <x v="121"/>
    <x v="11"/>
    <x v="0"/>
    <x v="3"/>
    <x v="1"/>
    <x v="2"/>
    <x v="2689"/>
    <x v="8"/>
    <n v="1"/>
    <x v="1151"/>
    <n v="2"/>
    <x v="15"/>
    <x v="0"/>
  </r>
  <r>
    <n v="1170"/>
    <x v="121"/>
    <x v="33"/>
    <x v="0"/>
    <x v="1"/>
    <x v="0"/>
    <x v="0"/>
    <x v="2690"/>
    <x v="5"/>
    <n v="1"/>
    <x v="1152"/>
    <n v="2"/>
    <x v="5"/>
    <x v="1"/>
  </r>
  <r>
    <n v="2095"/>
    <x v="121"/>
    <x v="43"/>
    <x v="0"/>
    <x v="1"/>
    <x v="3"/>
    <x v="0"/>
    <x v="2691"/>
    <x v="2"/>
    <n v="1"/>
    <x v="1153"/>
    <n v="3"/>
    <x v="3"/>
    <x v="0"/>
  </r>
  <r>
    <n v="3012"/>
    <x v="121"/>
    <x v="0"/>
    <x v="0"/>
    <x v="3"/>
    <x v="1"/>
    <x v="3"/>
    <x v="1576"/>
    <x v="1"/>
    <n v="0"/>
    <x v="11"/>
    <n v="0"/>
    <x v="8"/>
    <x v="3"/>
  </r>
  <r>
    <n v="4821"/>
    <x v="121"/>
    <x v="33"/>
    <x v="1"/>
    <x v="1"/>
    <x v="3"/>
    <x v="0"/>
    <x v="2537"/>
    <x v="8"/>
    <n v="0"/>
    <x v="11"/>
    <n v="0"/>
    <x v="8"/>
    <x v="3"/>
  </r>
  <r>
    <n v="657"/>
    <x v="121"/>
    <x v="6"/>
    <x v="0"/>
    <x v="1"/>
    <x v="2"/>
    <x v="0"/>
    <x v="572"/>
    <x v="10"/>
    <n v="0"/>
    <x v="11"/>
    <n v="0"/>
    <x v="8"/>
    <x v="3"/>
  </r>
  <r>
    <n v="2491"/>
    <x v="121"/>
    <x v="10"/>
    <x v="0"/>
    <x v="0"/>
    <x v="1"/>
    <x v="1"/>
    <x v="1663"/>
    <x v="11"/>
    <n v="0"/>
    <x v="11"/>
    <n v="0"/>
    <x v="8"/>
    <x v="3"/>
  </r>
  <r>
    <n v="2676"/>
    <x v="121"/>
    <x v="32"/>
    <x v="1"/>
    <x v="0"/>
    <x v="0"/>
    <x v="0"/>
    <x v="2692"/>
    <x v="4"/>
    <n v="0"/>
    <x v="11"/>
    <n v="0"/>
    <x v="8"/>
    <x v="3"/>
  </r>
  <r>
    <n v="4562"/>
    <x v="121"/>
    <x v="44"/>
    <x v="0"/>
    <x v="2"/>
    <x v="0"/>
    <x v="0"/>
    <x v="2692"/>
    <x v="2"/>
    <n v="0"/>
    <x v="11"/>
    <n v="0"/>
    <x v="8"/>
    <x v="3"/>
  </r>
  <r>
    <n v="1070"/>
    <x v="121"/>
    <x v="16"/>
    <x v="1"/>
    <x v="3"/>
    <x v="1"/>
    <x v="2"/>
    <x v="2693"/>
    <x v="4"/>
    <n v="0"/>
    <x v="11"/>
    <n v="0"/>
    <x v="8"/>
    <x v="3"/>
  </r>
  <r>
    <n v="289"/>
    <x v="121"/>
    <x v="8"/>
    <x v="1"/>
    <x v="0"/>
    <x v="1"/>
    <x v="6"/>
    <x v="315"/>
    <x v="0"/>
    <n v="0"/>
    <x v="11"/>
    <n v="0"/>
    <x v="8"/>
    <x v="3"/>
  </r>
  <r>
    <n v="1851"/>
    <x v="121"/>
    <x v="34"/>
    <x v="0"/>
    <x v="1"/>
    <x v="1"/>
    <x v="6"/>
    <x v="2694"/>
    <x v="8"/>
    <n v="0"/>
    <x v="11"/>
    <n v="0"/>
    <x v="8"/>
    <x v="3"/>
  </r>
  <r>
    <n v="1527"/>
    <x v="121"/>
    <x v="10"/>
    <x v="0"/>
    <x v="0"/>
    <x v="0"/>
    <x v="0"/>
    <x v="2695"/>
    <x v="8"/>
    <n v="0"/>
    <x v="11"/>
    <n v="0"/>
    <x v="8"/>
    <x v="3"/>
  </r>
  <r>
    <n v="3764"/>
    <x v="121"/>
    <x v="44"/>
    <x v="0"/>
    <x v="2"/>
    <x v="3"/>
    <x v="0"/>
    <x v="1431"/>
    <x v="0"/>
    <n v="0"/>
    <x v="11"/>
    <n v="0"/>
    <x v="8"/>
    <x v="3"/>
  </r>
  <r>
    <n v="4503"/>
    <x v="121"/>
    <x v="25"/>
    <x v="0"/>
    <x v="2"/>
    <x v="1"/>
    <x v="5"/>
    <x v="2696"/>
    <x v="0"/>
    <n v="0"/>
    <x v="11"/>
    <n v="0"/>
    <x v="8"/>
    <x v="3"/>
  </r>
  <r>
    <n v="697"/>
    <x v="121"/>
    <x v="8"/>
    <x v="0"/>
    <x v="2"/>
    <x v="2"/>
    <x v="0"/>
    <x v="2697"/>
    <x v="0"/>
    <n v="0"/>
    <x v="11"/>
    <n v="0"/>
    <x v="8"/>
    <x v="3"/>
  </r>
  <r>
    <n v="670"/>
    <x v="121"/>
    <x v="8"/>
    <x v="0"/>
    <x v="0"/>
    <x v="0"/>
    <x v="0"/>
    <x v="678"/>
    <x v="8"/>
    <n v="0"/>
    <x v="11"/>
    <n v="0"/>
    <x v="8"/>
    <x v="3"/>
  </r>
  <r>
    <n v="2599"/>
    <x v="121"/>
    <x v="34"/>
    <x v="0"/>
    <x v="0"/>
    <x v="1"/>
    <x v="1"/>
    <x v="2698"/>
    <x v="8"/>
    <n v="0"/>
    <x v="11"/>
    <n v="0"/>
    <x v="8"/>
    <x v="3"/>
  </r>
  <r>
    <n v="2434"/>
    <x v="121"/>
    <x v="3"/>
    <x v="1"/>
    <x v="1"/>
    <x v="0"/>
    <x v="0"/>
    <x v="2699"/>
    <x v="8"/>
    <n v="0"/>
    <x v="11"/>
    <n v="0"/>
    <x v="8"/>
    <x v="3"/>
  </r>
  <r>
    <n v="2834"/>
    <x v="121"/>
    <x v="43"/>
    <x v="1"/>
    <x v="0"/>
    <x v="0"/>
    <x v="0"/>
    <x v="1442"/>
    <x v="2"/>
    <n v="0"/>
    <x v="11"/>
    <n v="0"/>
    <x v="8"/>
    <x v="3"/>
  </r>
  <r>
    <n v="2508"/>
    <x v="122"/>
    <x v="33"/>
    <x v="0"/>
    <x v="2"/>
    <x v="2"/>
    <x v="0"/>
    <x v="2700"/>
    <x v="1"/>
    <n v="1"/>
    <x v="1154"/>
    <n v="5"/>
    <x v="15"/>
    <x v="0"/>
  </r>
  <r>
    <n v="4333"/>
    <x v="122"/>
    <x v="13"/>
    <x v="1"/>
    <x v="2"/>
    <x v="1"/>
    <x v="7"/>
    <x v="2701"/>
    <x v="6"/>
    <n v="1"/>
    <x v="1155"/>
    <n v="2"/>
    <x v="15"/>
    <x v="0"/>
  </r>
  <r>
    <n v="4695"/>
    <x v="122"/>
    <x v="36"/>
    <x v="2"/>
    <x v="2"/>
    <x v="1"/>
    <x v="4"/>
    <x v="2702"/>
    <x v="2"/>
    <n v="1"/>
    <x v="1156"/>
    <n v="3"/>
    <x v="5"/>
    <x v="2"/>
  </r>
  <r>
    <n v="3161"/>
    <x v="122"/>
    <x v="11"/>
    <x v="0"/>
    <x v="2"/>
    <x v="0"/>
    <x v="0"/>
    <x v="480"/>
    <x v="5"/>
    <n v="1"/>
    <x v="1157"/>
    <n v="2"/>
    <x v="6"/>
    <x v="1"/>
  </r>
  <r>
    <n v="3155"/>
    <x v="122"/>
    <x v="15"/>
    <x v="1"/>
    <x v="1"/>
    <x v="1"/>
    <x v="6"/>
    <x v="2703"/>
    <x v="11"/>
    <n v="1"/>
    <x v="1158"/>
    <n v="3"/>
    <x v="7"/>
    <x v="0"/>
  </r>
  <r>
    <n v="3719"/>
    <x v="122"/>
    <x v="45"/>
    <x v="1"/>
    <x v="1"/>
    <x v="2"/>
    <x v="0"/>
    <x v="2704"/>
    <x v="6"/>
    <n v="1"/>
    <x v="1159"/>
    <n v="2"/>
    <x v="15"/>
    <x v="2"/>
  </r>
  <r>
    <n v="864"/>
    <x v="122"/>
    <x v="8"/>
    <x v="1"/>
    <x v="1"/>
    <x v="0"/>
    <x v="0"/>
    <x v="1054"/>
    <x v="0"/>
    <n v="1"/>
    <x v="1160"/>
    <n v="4"/>
    <x v="7"/>
    <x v="0"/>
  </r>
  <r>
    <n v="4199"/>
    <x v="122"/>
    <x v="3"/>
    <x v="0"/>
    <x v="0"/>
    <x v="1"/>
    <x v="7"/>
    <x v="1776"/>
    <x v="4"/>
    <n v="1"/>
    <x v="1161"/>
    <n v="4"/>
    <x v="13"/>
    <x v="0"/>
  </r>
  <r>
    <n v="427"/>
    <x v="122"/>
    <x v="4"/>
    <x v="0"/>
    <x v="2"/>
    <x v="0"/>
    <x v="0"/>
    <x v="2705"/>
    <x v="4"/>
    <n v="1"/>
    <x v="1162"/>
    <n v="2"/>
    <x v="12"/>
    <x v="2"/>
  </r>
  <r>
    <n v="2457"/>
    <x v="122"/>
    <x v="43"/>
    <x v="1"/>
    <x v="3"/>
    <x v="1"/>
    <x v="1"/>
    <x v="2706"/>
    <x v="2"/>
    <n v="1"/>
    <x v="1163"/>
    <n v="3"/>
    <x v="13"/>
    <x v="2"/>
  </r>
  <r>
    <n v="311"/>
    <x v="122"/>
    <x v="24"/>
    <x v="1"/>
    <x v="0"/>
    <x v="1"/>
    <x v="6"/>
    <x v="2707"/>
    <x v="2"/>
    <n v="0"/>
    <x v="11"/>
    <n v="0"/>
    <x v="8"/>
    <x v="3"/>
  </r>
  <r>
    <n v="3209"/>
    <x v="122"/>
    <x v="41"/>
    <x v="1"/>
    <x v="2"/>
    <x v="1"/>
    <x v="4"/>
    <x v="2708"/>
    <x v="4"/>
    <n v="0"/>
    <x v="11"/>
    <n v="0"/>
    <x v="8"/>
    <x v="3"/>
  </r>
  <r>
    <n v="4752"/>
    <x v="122"/>
    <x v="30"/>
    <x v="1"/>
    <x v="1"/>
    <x v="0"/>
    <x v="0"/>
    <x v="2709"/>
    <x v="6"/>
    <n v="0"/>
    <x v="11"/>
    <n v="0"/>
    <x v="8"/>
    <x v="3"/>
  </r>
  <r>
    <n v="2445"/>
    <x v="122"/>
    <x v="26"/>
    <x v="0"/>
    <x v="2"/>
    <x v="3"/>
    <x v="0"/>
    <x v="2710"/>
    <x v="6"/>
    <n v="0"/>
    <x v="11"/>
    <n v="0"/>
    <x v="8"/>
    <x v="3"/>
  </r>
  <r>
    <n v="3996"/>
    <x v="122"/>
    <x v="61"/>
    <x v="0"/>
    <x v="2"/>
    <x v="0"/>
    <x v="0"/>
    <x v="1328"/>
    <x v="2"/>
    <n v="0"/>
    <x v="11"/>
    <n v="0"/>
    <x v="8"/>
    <x v="3"/>
  </r>
  <r>
    <n v="3434"/>
    <x v="122"/>
    <x v="47"/>
    <x v="1"/>
    <x v="0"/>
    <x v="1"/>
    <x v="1"/>
    <x v="2011"/>
    <x v="5"/>
    <n v="0"/>
    <x v="11"/>
    <n v="0"/>
    <x v="8"/>
    <x v="3"/>
  </r>
  <r>
    <n v="1843"/>
    <x v="122"/>
    <x v="31"/>
    <x v="0"/>
    <x v="2"/>
    <x v="3"/>
    <x v="0"/>
    <x v="1520"/>
    <x v="6"/>
    <n v="0"/>
    <x v="11"/>
    <n v="0"/>
    <x v="8"/>
    <x v="3"/>
  </r>
  <r>
    <n v="739"/>
    <x v="122"/>
    <x v="22"/>
    <x v="1"/>
    <x v="1"/>
    <x v="1"/>
    <x v="3"/>
    <x v="2711"/>
    <x v="8"/>
    <n v="0"/>
    <x v="11"/>
    <n v="0"/>
    <x v="8"/>
    <x v="3"/>
  </r>
  <r>
    <n v="40"/>
    <x v="122"/>
    <x v="23"/>
    <x v="0"/>
    <x v="0"/>
    <x v="0"/>
    <x v="0"/>
    <x v="732"/>
    <x v="6"/>
    <n v="0"/>
    <x v="11"/>
    <n v="0"/>
    <x v="8"/>
    <x v="3"/>
  </r>
  <r>
    <n v="1444"/>
    <x v="122"/>
    <x v="7"/>
    <x v="1"/>
    <x v="0"/>
    <x v="1"/>
    <x v="2"/>
    <x v="2712"/>
    <x v="5"/>
    <n v="0"/>
    <x v="11"/>
    <n v="0"/>
    <x v="8"/>
    <x v="3"/>
  </r>
  <r>
    <n v="4368"/>
    <x v="122"/>
    <x v="44"/>
    <x v="1"/>
    <x v="2"/>
    <x v="0"/>
    <x v="0"/>
    <x v="2713"/>
    <x v="10"/>
    <n v="0"/>
    <x v="11"/>
    <n v="0"/>
    <x v="8"/>
    <x v="3"/>
  </r>
  <r>
    <n v="1705"/>
    <x v="122"/>
    <x v="4"/>
    <x v="0"/>
    <x v="0"/>
    <x v="1"/>
    <x v="3"/>
    <x v="233"/>
    <x v="1"/>
    <n v="0"/>
    <x v="11"/>
    <n v="0"/>
    <x v="8"/>
    <x v="3"/>
  </r>
  <r>
    <n v="2264"/>
    <x v="122"/>
    <x v="29"/>
    <x v="0"/>
    <x v="1"/>
    <x v="0"/>
    <x v="0"/>
    <x v="936"/>
    <x v="4"/>
    <n v="0"/>
    <x v="11"/>
    <n v="0"/>
    <x v="8"/>
    <x v="3"/>
  </r>
  <r>
    <n v="4173"/>
    <x v="122"/>
    <x v="27"/>
    <x v="0"/>
    <x v="2"/>
    <x v="0"/>
    <x v="0"/>
    <x v="1849"/>
    <x v="8"/>
    <n v="0"/>
    <x v="11"/>
    <n v="0"/>
    <x v="8"/>
    <x v="3"/>
  </r>
  <r>
    <n v="2117"/>
    <x v="122"/>
    <x v="42"/>
    <x v="1"/>
    <x v="0"/>
    <x v="0"/>
    <x v="0"/>
    <x v="1987"/>
    <x v="10"/>
    <n v="0"/>
    <x v="11"/>
    <n v="0"/>
    <x v="8"/>
    <x v="3"/>
  </r>
  <r>
    <n v="4266"/>
    <x v="122"/>
    <x v="31"/>
    <x v="0"/>
    <x v="0"/>
    <x v="0"/>
    <x v="0"/>
    <x v="76"/>
    <x v="8"/>
    <n v="0"/>
    <x v="11"/>
    <n v="0"/>
    <x v="8"/>
    <x v="3"/>
  </r>
  <r>
    <n v="1947"/>
    <x v="122"/>
    <x v="8"/>
    <x v="1"/>
    <x v="1"/>
    <x v="1"/>
    <x v="1"/>
    <x v="2714"/>
    <x v="6"/>
    <n v="0"/>
    <x v="11"/>
    <n v="0"/>
    <x v="8"/>
    <x v="3"/>
  </r>
  <r>
    <n v="4341"/>
    <x v="122"/>
    <x v="12"/>
    <x v="1"/>
    <x v="1"/>
    <x v="3"/>
    <x v="0"/>
    <x v="987"/>
    <x v="8"/>
    <n v="0"/>
    <x v="11"/>
    <n v="0"/>
    <x v="8"/>
    <x v="3"/>
  </r>
  <r>
    <n v="3530"/>
    <x v="122"/>
    <x v="23"/>
    <x v="1"/>
    <x v="1"/>
    <x v="2"/>
    <x v="0"/>
    <x v="100"/>
    <x v="0"/>
    <n v="0"/>
    <x v="11"/>
    <n v="0"/>
    <x v="8"/>
    <x v="3"/>
  </r>
  <r>
    <n v="3659"/>
    <x v="123"/>
    <x v="31"/>
    <x v="0"/>
    <x v="3"/>
    <x v="1"/>
    <x v="7"/>
    <x v="2715"/>
    <x v="5"/>
    <n v="1"/>
    <x v="1164"/>
    <n v="4"/>
    <x v="15"/>
    <x v="2"/>
  </r>
  <r>
    <n v="1788"/>
    <x v="123"/>
    <x v="26"/>
    <x v="0"/>
    <x v="1"/>
    <x v="0"/>
    <x v="0"/>
    <x v="2716"/>
    <x v="5"/>
    <n v="1"/>
    <x v="1165"/>
    <n v="2"/>
    <x v="15"/>
    <x v="0"/>
  </r>
  <r>
    <n v="1730"/>
    <x v="123"/>
    <x v="7"/>
    <x v="0"/>
    <x v="3"/>
    <x v="0"/>
    <x v="0"/>
    <x v="2098"/>
    <x v="1"/>
    <n v="1"/>
    <x v="816"/>
    <n v="2"/>
    <x v="13"/>
    <x v="1"/>
  </r>
  <r>
    <n v="1897"/>
    <x v="123"/>
    <x v="7"/>
    <x v="1"/>
    <x v="1"/>
    <x v="0"/>
    <x v="0"/>
    <x v="2717"/>
    <x v="9"/>
    <n v="1"/>
    <x v="1166"/>
    <n v="4"/>
    <x v="0"/>
    <x v="0"/>
  </r>
  <r>
    <n v="4222"/>
    <x v="123"/>
    <x v="28"/>
    <x v="1"/>
    <x v="1"/>
    <x v="1"/>
    <x v="2"/>
    <x v="2718"/>
    <x v="6"/>
    <n v="1"/>
    <x v="1167"/>
    <n v="2"/>
    <x v="7"/>
    <x v="0"/>
  </r>
  <r>
    <n v="1046"/>
    <x v="123"/>
    <x v="7"/>
    <x v="0"/>
    <x v="3"/>
    <x v="0"/>
    <x v="0"/>
    <x v="1332"/>
    <x v="5"/>
    <n v="1"/>
    <x v="1168"/>
    <n v="1"/>
    <x v="2"/>
    <x v="1"/>
  </r>
  <r>
    <n v="3701"/>
    <x v="123"/>
    <x v="20"/>
    <x v="0"/>
    <x v="0"/>
    <x v="1"/>
    <x v="6"/>
    <x v="2719"/>
    <x v="0"/>
    <n v="1"/>
    <x v="1169"/>
    <n v="3"/>
    <x v="12"/>
    <x v="0"/>
  </r>
  <r>
    <n v="4538"/>
    <x v="123"/>
    <x v="34"/>
    <x v="1"/>
    <x v="2"/>
    <x v="3"/>
    <x v="0"/>
    <x v="1707"/>
    <x v="6"/>
    <n v="1"/>
    <x v="1170"/>
    <n v="2"/>
    <x v="11"/>
    <x v="0"/>
  </r>
  <r>
    <n v="511"/>
    <x v="123"/>
    <x v="20"/>
    <x v="1"/>
    <x v="2"/>
    <x v="0"/>
    <x v="0"/>
    <x v="2720"/>
    <x v="2"/>
    <n v="1"/>
    <x v="1171"/>
    <n v="4"/>
    <x v="7"/>
    <x v="2"/>
  </r>
  <r>
    <n v="328"/>
    <x v="123"/>
    <x v="0"/>
    <x v="1"/>
    <x v="0"/>
    <x v="1"/>
    <x v="2"/>
    <x v="2721"/>
    <x v="11"/>
    <n v="1"/>
    <x v="1172"/>
    <n v="5"/>
    <x v="9"/>
    <x v="2"/>
  </r>
  <r>
    <n v="1844"/>
    <x v="123"/>
    <x v="41"/>
    <x v="0"/>
    <x v="0"/>
    <x v="2"/>
    <x v="0"/>
    <x v="1741"/>
    <x v="11"/>
    <n v="1"/>
    <x v="1173"/>
    <n v="2"/>
    <x v="11"/>
    <x v="0"/>
  </r>
  <r>
    <n v="3853"/>
    <x v="123"/>
    <x v="47"/>
    <x v="1"/>
    <x v="0"/>
    <x v="1"/>
    <x v="7"/>
    <x v="2722"/>
    <x v="0"/>
    <n v="1"/>
    <x v="1174"/>
    <n v="2"/>
    <x v="11"/>
    <x v="1"/>
  </r>
  <r>
    <n v="1823"/>
    <x v="123"/>
    <x v="11"/>
    <x v="0"/>
    <x v="1"/>
    <x v="3"/>
    <x v="0"/>
    <x v="2723"/>
    <x v="6"/>
    <n v="1"/>
    <x v="1175"/>
    <n v="2"/>
    <x v="1"/>
    <x v="0"/>
  </r>
  <r>
    <n v="2118"/>
    <x v="123"/>
    <x v="41"/>
    <x v="0"/>
    <x v="2"/>
    <x v="1"/>
    <x v="4"/>
    <x v="2724"/>
    <x v="6"/>
    <n v="0"/>
    <x v="11"/>
    <n v="0"/>
    <x v="8"/>
    <x v="3"/>
  </r>
  <r>
    <n v="1087"/>
    <x v="123"/>
    <x v="20"/>
    <x v="1"/>
    <x v="1"/>
    <x v="0"/>
    <x v="0"/>
    <x v="2725"/>
    <x v="0"/>
    <n v="0"/>
    <x v="11"/>
    <n v="0"/>
    <x v="8"/>
    <x v="3"/>
  </r>
  <r>
    <n v="3814"/>
    <x v="123"/>
    <x v="47"/>
    <x v="0"/>
    <x v="1"/>
    <x v="0"/>
    <x v="0"/>
    <x v="2726"/>
    <x v="0"/>
    <n v="0"/>
    <x v="11"/>
    <n v="0"/>
    <x v="8"/>
    <x v="3"/>
  </r>
  <r>
    <n v="346"/>
    <x v="123"/>
    <x v="24"/>
    <x v="1"/>
    <x v="3"/>
    <x v="1"/>
    <x v="5"/>
    <x v="2727"/>
    <x v="1"/>
    <n v="0"/>
    <x v="11"/>
    <n v="0"/>
    <x v="8"/>
    <x v="3"/>
  </r>
  <r>
    <n v="21"/>
    <x v="123"/>
    <x v="7"/>
    <x v="0"/>
    <x v="2"/>
    <x v="1"/>
    <x v="1"/>
    <x v="1303"/>
    <x v="5"/>
    <n v="0"/>
    <x v="11"/>
    <n v="0"/>
    <x v="8"/>
    <x v="3"/>
  </r>
  <r>
    <n v="2353"/>
    <x v="123"/>
    <x v="7"/>
    <x v="1"/>
    <x v="1"/>
    <x v="1"/>
    <x v="7"/>
    <x v="1886"/>
    <x v="0"/>
    <n v="0"/>
    <x v="11"/>
    <n v="0"/>
    <x v="8"/>
    <x v="3"/>
  </r>
  <r>
    <n v="261"/>
    <x v="123"/>
    <x v="18"/>
    <x v="1"/>
    <x v="2"/>
    <x v="0"/>
    <x v="0"/>
    <x v="2728"/>
    <x v="5"/>
    <n v="0"/>
    <x v="11"/>
    <n v="0"/>
    <x v="8"/>
    <x v="3"/>
  </r>
  <r>
    <n v="1250"/>
    <x v="123"/>
    <x v="7"/>
    <x v="1"/>
    <x v="3"/>
    <x v="2"/>
    <x v="0"/>
    <x v="2729"/>
    <x v="2"/>
    <n v="0"/>
    <x v="11"/>
    <n v="0"/>
    <x v="8"/>
    <x v="3"/>
  </r>
  <r>
    <n v="2544"/>
    <x v="123"/>
    <x v="1"/>
    <x v="1"/>
    <x v="1"/>
    <x v="0"/>
    <x v="0"/>
    <x v="1475"/>
    <x v="8"/>
    <n v="0"/>
    <x v="11"/>
    <n v="0"/>
    <x v="8"/>
    <x v="3"/>
  </r>
  <r>
    <n v="794"/>
    <x v="123"/>
    <x v="0"/>
    <x v="0"/>
    <x v="0"/>
    <x v="2"/>
    <x v="0"/>
    <x v="2730"/>
    <x v="12"/>
    <n v="0"/>
    <x v="11"/>
    <n v="0"/>
    <x v="8"/>
    <x v="3"/>
  </r>
  <r>
    <n v="3862"/>
    <x v="123"/>
    <x v="25"/>
    <x v="1"/>
    <x v="3"/>
    <x v="1"/>
    <x v="1"/>
    <x v="2731"/>
    <x v="2"/>
    <n v="0"/>
    <x v="11"/>
    <n v="0"/>
    <x v="8"/>
    <x v="3"/>
  </r>
  <r>
    <n v="3239"/>
    <x v="123"/>
    <x v="33"/>
    <x v="1"/>
    <x v="0"/>
    <x v="1"/>
    <x v="7"/>
    <x v="2732"/>
    <x v="5"/>
    <n v="0"/>
    <x v="11"/>
    <n v="0"/>
    <x v="8"/>
    <x v="3"/>
  </r>
  <r>
    <n v="3110"/>
    <x v="123"/>
    <x v="33"/>
    <x v="1"/>
    <x v="1"/>
    <x v="0"/>
    <x v="0"/>
    <x v="2733"/>
    <x v="2"/>
    <n v="0"/>
    <x v="11"/>
    <n v="0"/>
    <x v="8"/>
    <x v="3"/>
  </r>
  <r>
    <n v="2875"/>
    <x v="124"/>
    <x v="39"/>
    <x v="0"/>
    <x v="1"/>
    <x v="1"/>
    <x v="7"/>
    <x v="2734"/>
    <x v="11"/>
    <n v="1"/>
    <x v="1176"/>
    <n v="6"/>
    <x v="13"/>
    <x v="1"/>
  </r>
  <r>
    <n v="4055"/>
    <x v="124"/>
    <x v="21"/>
    <x v="1"/>
    <x v="2"/>
    <x v="3"/>
    <x v="0"/>
    <x v="2309"/>
    <x v="4"/>
    <n v="1"/>
    <x v="835"/>
    <n v="2"/>
    <x v="6"/>
    <x v="1"/>
  </r>
  <r>
    <n v="4438"/>
    <x v="124"/>
    <x v="25"/>
    <x v="0"/>
    <x v="2"/>
    <x v="0"/>
    <x v="0"/>
    <x v="114"/>
    <x v="5"/>
    <n v="1"/>
    <x v="1177"/>
    <n v="5"/>
    <x v="14"/>
    <x v="0"/>
  </r>
  <r>
    <n v="3376"/>
    <x v="124"/>
    <x v="14"/>
    <x v="0"/>
    <x v="2"/>
    <x v="1"/>
    <x v="7"/>
    <x v="2524"/>
    <x v="8"/>
    <n v="1"/>
    <x v="1178"/>
    <n v="5"/>
    <x v="9"/>
    <x v="0"/>
  </r>
  <r>
    <n v="1177"/>
    <x v="124"/>
    <x v="8"/>
    <x v="1"/>
    <x v="0"/>
    <x v="2"/>
    <x v="0"/>
    <x v="2735"/>
    <x v="2"/>
    <n v="1"/>
    <x v="1179"/>
    <n v="4"/>
    <x v="14"/>
    <x v="2"/>
  </r>
  <r>
    <n v="1099"/>
    <x v="124"/>
    <x v="6"/>
    <x v="1"/>
    <x v="3"/>
    <x v="0"/>
    <x v="0"/>
    <x v="2736"/>
    <x v="2"/>
    <n v="1"/>
    <x v="1180"/>
    <n v="3"/>
    <x v="6"/>
    <x v="0"/>
  </r>
  <r>
    <n v="4758"/>
    <x v="124"/>
    <x v="33"/>
    <x v="0"/>
    <x v="0"/>
    <x v="2"/>
    <x v="0"/>
    <x v="2737"/>
    <x v="8"/>
    <n v="0"/>
    <x v="11"/>
    <n v="0"/>
    <x v="8"/>
    <x v="3"/>
  </r>
  <r>
    <n v="3472"/>
    <x v="124"/>
    <x v="33"/>
    <x v="1"/>
    <x v="1"/>
    <x v="1"/>
    <x v="6"/>
    <x v="2738"/>
    <x v="8"/>
    <n v="0"/>
    <x v="11"/>
    <n v="0"/>
    <x v="8"/>
    <x v="3"/>
  </r>
  <r>
    <n v="1470"/>
    <x v="124"/>
    <x v="4"/>
    <x v="0"/>
    <x v="0"/>
    <x v="1"/>
    <x v="7"/>
    <x v="107"/>
    <x v="4"/>
    <n v="0"/>
    <x v="11"/>
    <n v="0"/>
    <x v="8"/>
    <x v="3"/>
  </r>
  <r>
    <n v="2746"/>
    <x v="124"/>
    <x v="19"/>
    <x v="0"/>
    <x v="1"/>
    <x v="0"/>
    <x v="0"/>
    <x v="2739"/>
    <x v="2"/>
    <n v="0"/>
    <x v="11"/>
    <n v="0"/>
    <x v="8"/>
    <x v="3"/>
  </r>
  <r>
    <n v="1649"/>
    <x v="124"/>
    <x v="4"/>
    <x v="1"/>
    <x v="1"/>
    <x v="1"/>
    <x v="3"/>
    <x v="975"/>
    <x v="2"/>
    <n v="0"/>
    <x v="11"/>
    <n v="0"/>
    <x v="8"/>
    <x v="3"/>
  </r>
  <r>
    <n v="1273"/>
    <x v="124"/>
    <x v="6"/>
    <x v="0"/>
    <x v="2"/>
    <x v="1"/>
    <x v="4"/>
    <x v="2740"/>
    <x v="0"/>
    <n v="0"/>
    <x v="11"/>
    <n v="0"/>
    <x v="8"/>
    <x v="3"/>
  </r>
  <r>
    <n v="4583"/>
    <x v="124"/>
    <x v="23"/>
    <x v="0"/>
    <x v="3"/>
    <x v="1"/>
    <x v="7"/>
    <x v="2741"/>
    <x v="5"/>
    <n v="0"/>
    <x v="11"/>
    <n v="0"/>
    <x v="8"/>
    <x v="3"/>
  </r>
  <r>
    <n v="4798"/>
    <x v="124"/>
    <x v="26"/>
    <x v="0"/>
    <x v="2"/>
    <x v="0"/>
    <x v="0"/>
    <x v="1273"/>
    <x v="6"/>
    <n v="0"/>
    <x v="11"/>
    <n v="0"/>
    <x v="8"/>
    <x v="3"/>
  </r>
  <r>
    <n v="2643"/>
    <x v="124"/>
    <x v="29"/>
    <x v="1"/>
    <x v="0"/>
    <x v="3"/>
    <x v="0"/>
    <x v="178"/>
    <x v="8"/>
    <n v="0"/>
    <x v="11"/>
    <n v="0"/>
    <x v="8"/>
    <x v="3"/>
  </r>
  <r>
    <n v="200"/>
    <x v="124"/>
    <x v="23"/>
    <x v="0"/>
    <x v="2"/>
    <x v="2"/>
    <x v="0"/>
    <x v="2742"/>
    <x v="5"/>
    <n v="0"/>
    <x v="11"/>
    <n v="0"/>
    <x v="8"/>
    <x v="3"/>
  </r>
  <r>
    <n v="4489"/>
    <x v="124"/>
    <x v="43"/>
    <x v="0"/>
    <x v="0"/>
    <x v="1"/>
    <x v="6"/>
    <x v="2743"/>
    <x v="1"/>
    <n v="0"/>
    <x v="11"/>
    <n v="0"/>
    <x v="8"/>
    <x v="3"/>
  </r>
  <r>
    <n v="3923"/>
    <x v="124"/>
    <x v="14"/>
    <x v="0"/>
    <x v="2"/>
    <x v="0"/>
    <x v="0"/>
    <x v="659"/>
    <x v="5"/>
    <n v="0"/>
    <x v="11"/>
    <n v="0"/>
    <x v="8"/>
    <x v="3"/>
  </r>
  <r>
    <n v="2723"/>
    <x v="124"/>
    <x v="16"/>
    <x v="0"/>
    <x v="2"/>
    <x v="0"/>
    <x v="0"/>
    <x v="1545"/>
    <x v="8"/>
    <n v="0"/>
    <x v="11"/>
    <n v="0"/>
    <x v="8"/>
    <x v="3"/>
  </r>
  <r>
    <n v="1713"/>
    <x v="124"/>
    <x v="2"/>
    <x v="0"/>
    <x v="3"/>
    <x v="0"/>
    <x v="0"/>
    <x v="609"/>
    <x v="8"/>
    <n v="0"/>
    <x v="11"/>
    <n v="0"/>
    <x v="8"/>
    <x v="3"/>
  </r>
  <r>
    <n v="3325"/>
    <x v="124"/>
    <x v="43"/>
    <x v="1"/>
    <x v="1"/>
    <x v="1"/>
    <x v="5"/>
    <x v="298"/>
    <x v="2"/>
    <n v="0"/>
    <x v="11"/>
    <n v="0"/>
    <x v="8"/>
    <x v="3"/>
  </r>
  <r>
    <n v="1563"/>
    <x v="124"/>
    <x v="10"/>
    <x v="0"/>
    <x v="1"/>
    <x v="2"/>
    <x v="0"/>
    <x v="2174"/>
    <x v="8"/>
    <n v="0"/>
    <x v="11"/>
    <n v="0"/>
    <x v="8"/>
    <x v="3"/>
  </r>
  <r>
    <n v="4150"/>
    <x v="124"/>
    <x v="12"/>
    <x v="1"/>
    <x v="1"/>
    <x v="1"/>
    <x v="7"/>
    <x v="1439"/>
    <x v="5"/>
    <n v="0"/>
    <x v="11"/>
    <n v="0"/>
    <x v="8"/>
    <x v="3"/>
  </r>
  <r>
    <n v="2722"/>
    <x v="124"/>
    <x v="8"/>
    <x v="0"/>
    <x v="2"/>
    <x v="1"/>
    <x v="6"/>
    <x v="1876"/>
    <x v="0"/>
    <n v="0"/>
    <x v="11"/>
    <n v="0"/>
    <x v="8"/>
    <x v="3"/>
  </r>
  <r>
    <n v="2937"/>
    <x v="124"/>
    <x v="23"/>
    <x v="0"/>
    <x v="1"/>
    <x v="2"/>
    <x v="0"/>
    <x v="390"/>
    <x v="1"/>
    <n v="0"/>
    <x v="11"/>
    <n v="0"/>
    <x v="8"/>
    <x v="3"/>
  </r>
  <r>
    <n v="999"/>
    <x v="125"/>
    <x v="19"/>
    <x v="0"/>
    <x v="0"/>
    <x v="1"/>
    <x v="3"/>
    <x v="2744"/>
    <x v="6"/>
    <n v="1"/>
    <x v="1181"/>
    <n v="3"/>
    <x v="11"/>
    <x v="0"/>
  </r>
  <r>
    <n v="2789"/>
    <x v="125"/>
    <x v="29"/>
    <x v="1"/>
    <x v="2"/>
    <x v="1"/>
    <x v="4"/>
    <x v="2745"/>
    <x v="8"/>
    <n v="1"/>
    <x v="1182"/>
    <n v="5"/>
    <x v="14"/>
    <x v="0"/>
  </r>
  <r>
    <n v="3591"/>
    <x v="125"/>
    <x v="11"/>
    <x v="1"/>
    <x v="2"/>
    <x v="0"/>
    <x v="0"/>
    <x v="2746"/>
    <x v="2"/>
    <n v="1"/>
    <x v="1183"/>
    <n v="3"/>
    <x v="11"/>
    <x v="0"/>
  </r>
  <r>
    <n v="2"/>
    <x v="125"/>
    <x v="8"/>
    <x v="0"/>
    <x v="2"/>
    <x v="2"/>
    <x v="0"/>
    <x v="299"/>
    <x v="2"/>
    <n v="1"/>
    <x v="1184"/>
    <n v="2"/>
    <x v="10"/>
    <x v="0"/>
  </r>
  <r>
    <n v="325"/>
    <x v="125"/>
    <x v="24"/>
    <x v="0"/>
    <x v="3"/>
    <x v="3"/>
    <x v="0"/>
    <x v="1560"/>
    <x v="5"/>
    <n v="1"/>
    <x v="1185"/>
    <n v="3"/>
    <x v="13"/>
    <x v="2"/>
  </r>
  <r>
    <n v="413"/>
    <x v="125"/>
    <x v="6"/>
    <x v="0"/>
    <x v="3"/>
    <x v="1"/>
    <x v="5"/>
    <x v="2747"/>
    <x v="6"/>
    <n v="1"/>
    <x v="538"/>
    <n v="3"/>
    <x v="3"/>
    <x v="0"/>
  </r>
  <r>
    <n v="2326"/>
    <x v="125"/>
    <x v="17"/>
    <x v="1"/>
    <x v="2"/>
    <x v="0"/>
    <x v="0"/>
    <x v="902"/>
    <x v="9"/>
    <n v="1"/>
    <x v="1186"/>
    <n v="3"/>
    <x v="3"/>
    <x v="0"/>
  </r>
  <r>
    <n v="1428"/>
    <x v="125"/>
    <x v="23"/>
    <x v="0"/>
    <x v="0"/>
    <x v="0"/>
    <x v="0"/>
    <x v="2748"/>
    <x v="11"/>
    <n v="1"/>
    <x v="1187"/>
    <n v="5"/>
    <x v="5"/>
    <x v="0"/>
  </r>
  <r>
    <n v="2939"/>
    <x v="125"/>
    <x v="11"/>
    <x v="0"/>
    <x v="0"/>
    <x v="1"/>
    <x v="3"/>
    <x v="2749"/>
    <x v="0"/>
    <n v="1"/>
    <x v="1188"/>
    <n v="5"/>
    <x v="4"/>
    <x v="2"/>
  </r>
  <r>
    <n v="2844"/>
    <x v="125"/>
    <x v="5"/>
    <x v="0"/>
    <x v="2"/>
    <x v="0"/>
    <x v="0"/>
    <x v="2750"/>
    <x v="5"/>
    <n v="0"/>
    <x v="11"/>
    <n v="0"/>
    <x v="8"/>
    <x v="3"/>
  </r>
  <r>
    <n v="1513"/>
    <x v="125"/>
    <x v="0"/>
    <x v="0"/>
    <x v="0"/>
    <x v="0"/>
    <x v="0"/>
    <x v="2751"/>
    <x v="11"/>
    <n v="0"/>
    <x v="11"/>
    <n v="0"/>
    <x v="8"/>
    <x v="3"/>
  </r>
  <r>
    <n v="1774"/>
    <x v="125"/>
    <x v="5"/>
    <x v="2"/>
    <x v="2"/>
    <x v="0"/>
    <x v="0"/>
    <x v="2752"/>
    <x v="10"/>
    <n v="0"/>
    <x v="11"/>
    <n v="0"/>
    <x v="8"/>
    <x v="3"/>
  </r>
  <r>
    <n v="3060"/>
    <x v="125"/>
    <x v="2"/>
    <x v="1"/>
    <x v="1"/>
    <x v="3"/>
    <x v="0"/>
    <x v="2753"/>
    <x v="2"/>
    <n v="0"/>
    <x v="11"/>
    <n v="0"/>
    <x v="8"/>
    <x v="3"/>
  </r>
  <r>
    <n v="4842"/>
    <x v="125"/>
    <x v="33"/>
    <x v="0"/>
    <x v="1"/>
    <x v="1"/>
    <x v="2"/>
    <x v="2754"/>
    <x v="9"/>
    <n v="0"/>
    <x v="11"/>
    <n v="0"/>
    <x v="8"/>
    <x v="3"/>
  </r>
  <r>
    <n v="2275"/>
    <x v="125"/>
    <x v="26"/>
    <x v="1"/>
    <x v="1"/>
    <x v="0"/>
    <x v="0"/>
    <x v="2755"/>
    <x v="0"/>
    <n v="0"/>
    <x v="11"/>
    <n v="0"/>
    <x v="8"/>
    <x v="3"/>
  </r>
  <r>
    <n v="3129"/>
    <x v="125"/>
    <x v="14"/>
    <x v="1"/>
    <x v="0"/>
    <x v="3"/>
    <x v="0"/>
    <x v="501"/>
    <x v="0"/>
    <n v="0"/>
    <x v="11"/>
    <n v="0"/>
    <x v="8"/>
    <x v="3"/>
  </r>
  <r>
    <n v="4921"/>
    <x v="125"/>
    <x v="45"/>
    <x v="0"/>
    <x v="1"/>
    <x v="0"/>
    <x v="0"/>
    <x v="1224"/>
    <x v="0"/>
    <n v="0"/>
    <x v="11"/>
    <n v="0"/>
    <x v="8"/>
    <x v="3"/>
  </r>
  <r>
    <n v="541"/>
    <x v="125"/>
    <x v="2"/>
    <x v="1"/>
    <x v="0"/>
    <x v="1"/>
    <x v="1"/>
    <x v="79"/>
    <x v="4"/>
    <n v="0"/>
    <x v="11"/>
    <n v="0"/>
    <x v="8"/>
    <x v="3"/>
  </r>
  <r>
    <n v="1551"/>
    <x v="125"/>
    <x v="10"/>
    <x v="0"/>
    <x v="3"/>
    <x v="1"/>
    <x v="7"/>
    <x v="293"/>
    <x v="8"/>
    <n v="0"/>
    <x v="11"/>
    <n v="0"/>
    <x v="8"/>
    <x v="3"/>
  </r>
  <r>
    <n v="2556"/>
    <x v="125"/>
    <x v="3"/>
    <x v="0"/>
    <x v="3"/>
    <x v="1"/>
    <x v="6"/>
    <x v="1088"/>
    <x v="0"/>
    <n v="0"/>
    <x v="11"/>
    <n v="0"/>
    <x v="8"/>
    <x v="3"/>
  </r>
  <r>
    <n v="1221"/>
    <x v="125"/>
    <x v="7"/>
    <x v="1"/>
    <x v="2"/>
    <x v="1"/>
    <x v="7"/>
    <x v="979"/>
    <x v="8"/>
    <n v="0"/>
    <x v="11"/>
    <n v="0"/>
    <x v="8"/>
    <x v="3"/>
  </r>
  <r>
    <n v="4808"/>
    <x v="125"/>
    <x v="44"/>
    <x v="0"/>
    <x v="2"/>
    <x v="3"/>
    <x v="0"/>
    <x v="1742"/>
    <x v="5"/>
    <n v="0"/>
    <x v="11"/>
    <n v="0"/>
    <x v="8"/>
    <x v="3"/>
  </r>
  <r>
    <n v="412"/>
    <x v="125"/>
    <x v="8"/>
    <x v="0"/>
    <x v="2"/>
    <x v="2"/>
    <x v="0"/>
    <x v="2756"/>
    <x v="1"/>
    <n v="0"/>
    <x v="11"/>
    <n v="0"/>
    <x v="8"/>
    <x v="3"/>
  </r>
  <r>
    <n v="4792"/>
    <x v="125"/>
    <x v="20"/>
    <x v="2"/>
    <x v="1"/>
    <x v="1"/>
    <x v="3"/>
    <x v="2495"/>
    <x v="8"/>
    <n v="0"/>
    <x v="11"/>
    <n v="0"/>
    <x v="8"/>
    <x v="3"/>
  </r>
  <r>
    <n v="4272"/>
    <x v="125"/>
    <x v="41"/>
    <x v="1"/>
    <x v="2"/>
    <x v="1"/>
    <x v="2"/>
    <x v="2757"/>
    <x v="5"/>
    <n v="0"/>
    <x v="11"/>
    <n v="0"/>
    <x v="8"/>
    <x v="3"/>
  </r>
  <r>
    <n v="3193"/>
    <x v="125"/>
    <x v="5"/>
    <x v="0"/>
    <x v="2"/>
    <x v="1"/>
    <x v="5"/>
    <x v="1399"/>
    <x v="2"/>
    <n v="0"/>
    <x v="11"/>
    <n v="0"/>
    <x v="8"/>
    <x v="3"/>
  </r>
  <r>
    <n v="4636"/>
    <x v="125"/>
    <x v="41"/>
    <x v="1"/>
    <x v="3"/>
    <x v="1"/>
    <x v="3"/>
    <x v="99"/>
    <x v="11"/>
    <n v="0"/>
    <x v="11"/>
    <n v="0"/>
    <x v="8"/>
    <x v="3"/>
  </r>
  <r>
    <n v="489"/>
    <x v="125"/>
    <x v="8"/>
    <x v="1"/>
    <x v="2"/>
    <x v="0"/>
    <x v="0"/>
    <x v="2758"/>
    <x v="5"/>
    <n v="0"/>
    <x v="11"/>
    <n v="0"/>
    <x v="8"/>
    <x v="3"/>
  </r>
  <r>
    <n v="2863"/>
    <x v="125"/>
    <x v="19"/>
    <x v="1"/>
    <x v="3"/>
    <x v="0"/>
    <x v="0"/>
    <x v="1901"/>
    <x v="1"/>
    <n v="0"/>
    <x v="11"/>
    <n v="0"/>
    <x v="8"/>
    <x v="3"/>
  </r>
  <r>
    <n v="4326"/>
    <x v="125"/>
    <x v="13"/>
    <x v="1"/>
    <x v="0"/>
    <x v="0"/>
    <x v="0"/>
    <x v="360"/>
    <x v="5"/>
    <n v="0"/>
    <x v="11"/>
    <n v="0"/>
    <x v="8"/>
    <x v="3"/>
  </r>
  <r>
    <n v="2639"/>
    <x v="125"/>
    <x v="23"/>
    <x v="0"/>
    <x v="2"/>
    <x v="1"/>
    <x v="2"/>
    <x v="2759"/>
    <x v="1"/>
    <n v="0"/>
    <x v="11"/>
    <n v="0"/>
    <x v="8"/>
    <x v="3"/>
  </r>
  <r>
    <n v="242"/>
    <x v="125"/>
    <x v="4"/>
    <x v="0"/>
    <x v="2"/>
    <x v="0"/>
    <x v="0"/>
    <x v="2760"/>
    <x v="4"/>
    <n v="0"/>
    <x v="11"/>
    <n v="0"/>
    <x v="8"/>
    <x v="3"/>
  </r>
  <r>
    <n v="133"/>
    <x v="126"/>
    <x v="10"/>
    <x v="2"/>
    <x v="1"/>
    <x v="1"/>
    <x v="6"/>
    <x v="2761"/>
    <x v="6"/>
    <n v="1"/>
    <x v="1189"/>
    <n v="3"/>
    <x v="4"/>
    <x v="1"/>
  </r>
  <r>
    <n v="41"/>
    <x v="126"/>
    <x v="27"/>
    <x v="1"/>
    <x v="3"/>
    <x v="0"/>
    <x v="0"/>
    <x v="2762"/>
    <x v="5"/>
    <n v="1"/>
    <x v="1190"/>
    <n v="2"/>
    <x v="15"/>
    <x v="1"/>
  </r>
  <r>
    <n v="1482"/>
    <x v="126"/>
    <x v="7"/>
    <x v="0"/>
    <x v="1"/>
    <x v="1"/>
    <x v="5"/>
    <x v="534"/>
    <x v="10"/>
    <n v="1"/>
    <x v="1191"/>
    <n v="3"/>
    <x v="12"/>
    <x v="2"/>
  </r>
  <r>
    <n v="1536"/>
    <x v="126"/>
    <x v="7"/>
    <x v="1"/>
    <x v="2"/>
    <x v="0"/>
    <x v="0"/>
    <x v="240"/>
    <x v="11"/>
    <n v="1"/>
    <x v="293"/>
    <n v="2"/>
    <x v="14"/>
    <x v="0"/>
  </r>
  <r>
    <n v="1961"/>
    <x v="126"/>
    <x v="31"/>
    <x v="1"/>
    <x v="1"/>
    <x v="2"/>
    <x v="0"/>
    <x v="2763"/>
    <x v="9"/>
    <n v="1"/>
    <x v="1192"/>
    <n v="3"/>
    <x v="1"/>
    <x v="0"/>
  </r>
  <r>
    <n v="1847"/>
    <x v="126"/>
    <x v="2"/>
    <x v="1"/>
    <x v="1"/>
    <x v="0"/>
    <x v="0"/>
    <x v="2764"/>
    <x v="4"/>
    <n v="1"/>
    <x v="1193"/>
    <n v="4"/>
    <x v="2"/>
    <x v="2"/>
  </r>
  <r>
    <n v="2356"/>
    <x v="126"/>
    <x v="24"/>
    <x v="1"/>
    <x v="3"/>
    <x v="1"/>
    <x v="2"/>
    <x v="1851"/>
    <x v="1"/>
    <n v="1"/>
    <x v="1194"/>
    <n v="3"/>
    <x v="7"/>
    <x v="0"/>
  </r>
  <r>
    <n v="3930"/>
    <x v="126"/>
    <x v="56"/>
    <x v="1"/>
    <x v="0"/>
    <x v="2"/>
    <x v="0"/>
    <x v="2044"/>
    <x v="5"/>
    <n v="1"/>
    <x v="1195"/>
    <n v="3"/>
    <x v="13"/>
    <x v="2"/>
  </r>
  <r>
    <n v="4731"/>
    <x v="126"/>
    <x v="30"/>
    <x v="1"/>
    <x v="2"/>
    <x v="1"/>
    <x v="5"/>
    <x v="539"/>
    <x v="10"/>
    <n v="1"/>
    <x v="1196"/>
    <n v="1"/>
    <x v="15"/>
    <x v="2"/>
  </r>
  <r>
    <n v="1034"/>
    <x v="126"/>
    <x v="8"/>
    <x v="0"/>
    <x v="0"/>
    <x v="0"/>
    <x v="0"/>
    <x v="1092"/>
    <x v="6"/>
    <n v="1"/>
    <x v="1197"/>
    <n v="6"/>
    <x v="6"/>
    <x v="0"/>
  </r>
  <r>
    <n v="4151"/>
    <x v="126"/>
    <x v="30"/>
    <x v="1"/>
    <x v="1"/>
    <x v="3"/>
    <x v="0"/>
    <x v="2765"/>
    <x v="5"/>
    <n v="1"/>
    <x v="1198"/>
    <n v="4"/>
    <x v="0"/>
    <x v="2"/>
  </r>
  <r>
    <n v="2833"/>
    <x v="126"/>
    <x v="24"/>
    <x v="1"/>
    <x v="3"/>
    <x v="3"/>
    <x v="0"/>
    <x v="39"/>
    <x v="1"/>
    <n v="1"/>
    <x v="1199"/>
    <n v="5"/>
    <x v="5"/>
    <x v="0"/>
  </r>
  <r>
    <n v="1418"/>
    <x v="126"/>
    <x v="22"/>
    <x v="1"/>
    <x v="0"/>
    <x v="3"/>
    <x v="0"/>
    <x v="2766"/>
    <x v="1"/>
    <n v="1"/>
    <x v="1200"/>
    <n v="2"/>
    <x v="5"/>
    <x v="1"/>
  </r>
  <r>
    <n v="4631"/>
    <x v="126"/>
    <x v="32"/>
    <x v="0"/>
    <x v="2"/>
    <x v="0"/>
    <x v="0"/>
    <x v="2767"/>
    <x v="5"/>
    <n v="1"/>
    <x v="1201"/>
    <n v="2"/>
    <x v="14"/>
    <x v="0"/>
  </r>
  <r>
    <n v="3216"/>
    <x v="126"/>
    <x v="16"/>
    <x v="0"/>
    <x v="2"/>
    <x v="1"/>
    <x v="7"/>
    <x v="2768"/>
    <x v="1"/>
    <n v="1"/>
    <x v="1202"/>
    <n v="2"/>
    <x v="2"/>
    <x v="2"/>
  </r>
  <r>
    <n v="3789"/>
    <x v="126"/>
    <x v="46"/>
    <x v="1"/>
    <x v="3"/>
    <x v="1"/>
    <x v="6"/>
    <x v="2769"/>
    <x v="1"/>
    <n v="0"/>
    <x v="11"/>
    <n v="0"/>
    <x v="8"/>
    <x v="3"/>
  </r>
  <r>
    <n v="4736"/>
    <x v="126"/>
    <x v="32"/>
    <x v="2"/>
    <x v="2"/>
    <x v="0"/>
    <x v="0"/>
    <x v="2770"/>
    <x v="0"/>
    <n v="0"/>
    <x v="11"/>
    <n v="0"/>
    <x v="8"/>
    <x v="3"/>
  </r>
  <r>
    <n v="605"/>
    <x v="126"/>
    <x v="22"/>
    <x v="0"/>
    <x v="1"/>
    <x v="0"/>
    <x v="0"/>
    <x v="317"/>
    <x v="11"/>
    <n v="0"/>
    <x v="11"/>
    <n v="0"/>
    <x v="8"/>
    <x v="3"/>
  </r>
  <r>
    <n v="645"/>
    <x v="126"/>
    <x v="0"/>
    <x v="1"/>
    <x v="2"/>
    <x v="1"/>
    <x v="3"/>
    <x v="2171"/>
    <x v="2"/>
    <n v="0"/>
    <x v="11"/>
    <n v="0"/>
    <x v="8"/>
    <x v="3"/>
  </r>
  <r>
    <n v="3761"/>
    <x v="126"/>
    <x v="17"/>
    <x v="0"/>
    <x v="1"/>
    <x v="1"/>
    <x v="6"/>
    <x v="2771"/>
    <x v="8"/>
    <n v="0"/>
    <x v="11"/>
    <n v="0"/>
    <x v="8"/>
    <x v="3"/>
  </r>
  <r>
    <n v="381"/>
    <x v="126"/>
    <x v="20"/>
    <x v="0"/>
    <x v="1"/>
    <x v="2"/>
    <x v="0"/>
    <x v="2772"/>
    <x v="9"/>
    <n v="0"/>
    <x v="11"/>
    <n v="0"/>
    <x v="8"/>
    <x v="3"/>
  </r>
  <r>
    <n v="4997"/>
    <x v="126"/>
    <x v="1"/>
    <x v="0"/>
    <x v="2"/>
    <x v="1"/>
    <x v="2"/>
    <x v="2773"/>
    <x v="2"/>
    <n v="0"/>
    <x v="11"/>
    <n v="0"/>
    <x v="8"/>
    <x v="3"/>
  </r>
  <r>
    <n v="1822"/>
    <x v="126"/>
    <x v="22"/>
    <x v="0"/>
    <x v="0"/>
    <x v="3"/>
    <x v="0"/>
    <x v="2774"/>
    <x v="8"/>
    <n v="0"/>
    <x v="11"/>
    <n v="0"/>
    <x v="8"/>
    <x v="3"/>
  </r>
  <r>
    <n v="2707"/>
    <x v="126"/>
    <x v="3"/>
    <x v="0"/>
    <x v="1"/>
    <x v="0"/>
    <x v="0"/>
    <x v="1212"/>
    <x v="8"/>
    <n v="0"/>
    <x v="11"/>
    <n v="0"/>
    <x v="8"/>
    <x v="3"/>
  </r>
  <r>
    <n v="4248"/>
    <x v="126"/>
    <x v="40"/>
    <x v="0"/>
    <x v="0"/>
    <x v="1"/>
    <x v="3"/>
    <x v="2775"/>
    <x v="5"/>
    <n v="0"/>
    <x v="11"/>
    <n v="0"/>
    <x v="8"/>
    <x v="3"/>
  </r>
  <r>
    <n v="461"/>
    <x v="126"/>
    <x v="2"/>
    <x v="1"/>
    <x v="1"/>
    <x v="2"/>
    <x v="0"/>
    <x v="2776"/>
    <x v="2"/>
    <n v="0"/>
    <x v="11"/>
    <n v="0"/>
    <x v="8"/>
    <x v="3"/>
  </r>
  <r>
    <n v="1722"/>
    <x v="126"/>
    <x v="8"/>
    <x v="1"/>
    <x v="1"/>
    <x v="3"/>
    <x v="0"/>
    <x v="2777"/>
    <x v="4"/>
    <n v="0"/>
    <x v="11"/>
    <n v="0"/>
    <x v="8"/>
    <x v="3"/>
  </r>
  <r>
    <n v="91"/>
    <x v="126"/>
    <x v="39"/>
    <x v="0"/>
    <x v="2"/>
    <x v="1"/>
    <x v="3"/>
    <x v="2778"/>
    <x v="5"/>
    <n v="0"/>
    <x v="11"/>
    <n v="0"/>
    <x v="8"/>
    <x v="3"/>
  </r>
  <r>
    <n v="939"/>
    <x v="126"/>
    <x v="0"/>
    <x v="2"/>
    <x v="2"/>
    <x v="3"/>
    <x v="0"/>
    <x v="2296"/>
    <x v="1"/>
    <n v="0"/>
    <x v="11"/>
    <n v="0"/>
    <x v="8"/>
    <x v="3"/>
  </r>
  <r>
    <n v="2339"/>
    <x v="126"/>
    <x v="11"/>
    <x v="1"/>
    <x v="1"/>
    <x v="0"/>
    <x v="0"/>
    <x v="788"/>
    <x v="2"/>
    <n v="0"/>
    <x v="11"/>
    <n v="0"/>
    <x v="8"/>
    <x v="3"/>
  </r>
  <r>
    <n v="751"/>
    <x v="126"/>
    <x v="0"/>
    <x v="0"/>
    <x v="2"/>
    <x v="0"/>
    <x v="0"/>
    <x v="2350"/>
    <x v="8"/>
    <n v="0"/>
    <x v="11"/>
    <n v="0"/>
    <x v="8"/>
    <x v="3"/>
  </r>
  <r>
    <n v="430"/>
    <x v="126"/>
    <x v="4"/>
    <x v="1"/>
    <x v="2"/>
    <x v="1"/>
    <x v="7"/>
    <x v="2779"/>
    <x v="1"/>
    <n v="0"/>
    <x v="11"/>
    <n v="0"/>
    <x v="8"/>
    <x v="3"/>
  </r>
  <r>
    <n v="3838"/>
    <x v="126"/>
    <x v="27"/>
    <x v="0"/>
    <x v="0"/>
    <x v="1"/>
    <x v="3"/>
    <x v="112"/>
    <x v="7"/>
    <n v="0"/>
    <x v="11"/>
    <n v="0"/>
    <x v="8"/>
    <x v="3"/>
  </r>
  <r>
    <n v="3254"/>
    <x v="126"/>
    <x v="34"/>
    <x v="0"/>
    <x v="1"/>
    <x v="3"/>
    <x v="0"/>
    <x v="2297"/>
    <x v="4"/>
    <n v="0"/>
    <x v="11"/>
    <n v="0"/>
    <x v="8"/>
    <x v="3"/>
  </r>
  <r>
    <n v="1253"/>
    <x v="126"/>
    <x v="8"/>
    <x v="1"/>
    <x v="0"/>
    <x v="0"/>
    <x v="0"/>
    <x v="2780"/>
    <x v="10"/>
    <n v="0"/>
    <x v="11"/>
    <n v="0"/>
    <x v="8"/>
    <x v="3"/>
  </r>
  <r>
    <n v="460"/>
    <x v="126"/>
    <x v="0"/>
    <x v="1"/>
    <x v="0"/>
    <x v="2"/>
    <x v="0"/>
    <x v="2781"/>
    <x v="2"/>
    <n v="0"/>
    <x v="11"/>
    <n v="0"/>
    <x v="8"/>
    <x v="3"/>
  </r>
  <r>
    <n v="1830"/>
    <x v="127"/>
    <x v="31"/>
    <x v="0"/>
    <x v="3"/>
    <x v="0"/>
    <x v="0"/>
    <x v="1055"/>
    <x v="8"/>
    <n v="1"/>
    <x v="1203"/>
    <n v="5"/>
    <x v="12"/>
    <x v="0"/>
  </r>
  <r>
    <n v="2710"/>
    <x v="127"/>
    <x v="5"/>
    <x v="1"/>
    <x v="2"/>
    <x v="0"/>
    <x v="0"/>
    <x v="873"/>
    <x v="8"/>
    <n v="1"/>
    <x v="1204"/>
    <n v="4"/>
    <x v="5"/>
    <x v="0"/>
  </r>
  <r>
    <n v="3639"/>
    <x v="127"/>
    <x v="14"/>
    <x v="1"/>
    <x v="2"/>
    <x v="0"/>
    <x v="0"/>
    <x v="2782"/>
    <x v="2"/>
    <n v="1"/>
    <x v="1205"/>
    <n v="2"/>
    <x v="0"/>
    <x v="0"/>
  </r>
  <r>
    <n v="4963"/>
    <x v="127"/>
    <x v="45"/>
    <x v="0"/>
    <x v="0"/>
    <x v="0"/>
    <x v="0"/>
    <x v="807"/>
    <x v="1"/>
    <n v="1"/>
    <x v="1206"/>
    <n v="1"/>
    <x v="11"/>
    <x v="0"/>
  </r>
  <r>
    <n v="4822"/>
    <x v="127"/>
    <x v="42"/>
    <x v="1"/>
    <x v="2"/>
    <x v="3"/>
    <x v="0"/>
    <x v="2783"/>
    <x v="5"/>
    <n v="1"/>
    <x v="1207"/>
    <n v="2"/>
    <x v="0"/>
    <x v="0"/>
  </r>
  <r>
    <n v="417"/>
    <x v="127"/>
    <x v="19"/>
    <x v="1"/>
    <x v="3"/>
    <x v="0"/>
    <x v="0"/>
    <x v="1919"/>
    <x v="4"/>
    <n v="1"/>
    <x v="1208"/>
    <n v="4"/>
    <x v="10"/>
    <x v="2"/>
  </r>
  <r>
    <n v="2209"/>
    <x v="127"/>
    <x v="28"/>
    <x v="1"/>
    <x v="1"/>
    <x v="0"/>
    <x v="0"/>
    <x v="1362"/>
    <x v="8"/>
    <n v="1"/>
    <x v="38"/>
    <n v="2"/>
    <x v="11"/>
    <x v="0"/>
  </r>
  <r>
    <n v="23"/>
    <x v="127"/>
    <x v="4"/>
    <x v="0"/>
    <x v="0"/>
    <x v="0"/>
    <x v="0"/>
    <x v="2784"/>
    <x v="1"/>
    <n v="1"/>
    <x v="1209"/>
    <n v="3"/>
    <x v="3"/>
    <x v="0"/>
  </r>
  <r>
    <n v="3182"/>
    <x v="127"/>
    <x v="26"/>
    <x v="1"/>
    <x v="0"/>
    <x v="3"/>
    <x v="0"/>
    <x v="903"/>
    <x v="6"/>
    <n v="1"/>
    <x v="1210"/>
    <n v="1"/>
    <x v="9"/>
    <x v="0"/>
  </r>
  <r>
    <n v="20"/>
    <x v="127"/>
    <x v="31"/>
    <x v="0"/>
    <x v="2"/>
    <x v="1"/>
    <x v="5"/>
    <x v="2785"/>
    <x v="1"/>
    <n v="1"/>
    <x v="1211"/>
    <n v="5"/>
    <x v="6"/>
    <x v="2"/>
  </r>
  <r>
    <n v="3160"/>
    <x v="127"/>
    <x v="31"/>
    <x v="1"/>
    <x v="1"/>
    <x v="0"/>
    <x v="0"/>
    <x v="2786"/>
    <x v="2"/>
    <n v="1"/>
    <x v="1212"/>
    <n v="4"/>
    <x v="1"/>
    <x v="1"/>
  </r>
  <r>
    <n v="4061"/>
    <x v="127"/>
    <x v="29"/>
    <x v="0"/>
    <x v="0"/>
    <x v="0"/>
    <x v="0"/>
    <x v="2787"/>
    <x v="0"/>
    <n v="0"/>
    <x v="11"/>
    <n v="0"/>
    <x v="8"/>
    <x v="3"/>
  </r>
  <r>
    <n v="111"/>
    <x v="127"/>
    <x v="6"/>
    <x v="1"/>
    <x v="3"/>
    <x v="1"/>
    <x v="1"/>
    <x v="2157"/>
    <x v="11"/>
    <n v="0"/>
    <x v="11"/>
    <n v="0"/>
    <x v="8"/>
    <x v="3"/>
  </r>
  <r>
    <n v="2999"/>
    <x v="127"/>
    <x v="5"/>
    <x v="0"/>
    <x v="0"/>
    <x v="1"/>
    <x v="4"/>
    <x v="412"/>
    <x v="6"/>
    <n v="0"/>
    <x v="11"/>
    <n v="0"/>
    <x v="8"/>
    <x v="3"/>
  </r>
  <r>
    <n v="4042"/>
    <x v="127"/>
    <x v="56"/>
    <x v="0"/>
    <x v="3"/>
    <x v="3"/>
    <x v="0"/>
    <x v="1519"/>
    <x v="11"/>
    <n v="0"/>
    <x v="11"/>
    <n v="0"/>
    <x v="8"/>
    <x v="3"/>
  </r>
  <r>
    <n v="4784"/>
    <x v="127"/>
    <x v="45"/>
    <x v="0"/>
    <x v="1"/>
    <x v="0"/>
    <x v="0"/>
    <x v="1741"/>
    <x v="0"/>
    <n v="0"/>
    <x v="11"/>
    <n v="0"/>
    <x v="8"/>
    <x v="3"/>
  </r>
  <r>
    <n v="2756"/>
    <x v="127"/>
    <x v="3"/>
    <x v="0"/>
    <x v="1"/>
    <x v="0"/>
    <x v="0"/>
    <x v="234"/>
    <x v="6"/>
    <n v="0"/>
    <x v="11"/>
    <n v="0"/>
    <x v="8"/>
    <x v="3"/>
  </r>
  <r>
    <n v="1270"/>
    <x v="127"/>
    <x v="18"/>
    <x v="1"/>
    <x v="2"/>
    <x v="2"/>
    <x v="0"/>
    <x v="2788"/>
    <x v="8"/>
    <n v="0"/>
    <x v="11"/>
    <n v="0"/>
    <x v="8"/>
    <x v="3"/>
  </r>
  <r>
    <n v="2425"/>
    <x v="127"/>
    <x v="23"/>
    <x v="2"/>
    <x v="1"/>
    <x v="0"/>
    <x v="0"/>
    <x v="151"/>
    <x v="8"/>
    <n v="0"/>
    <x v="11"/>
    <n v="0"/>
    <x v="8"/>
    <x v="3"/>
  </r>
  <r>
    <n v="897"/>
    <x v="127"/>
    <x v="5"/>
    <x v="0"/>
    <x v="2"/>
    <x v="1"/>
    <x v="3"/>
    <x v="2789"/>
    <x v="2"/>
    <n v="0"/>
    <x v="11"/>
    <n v="0"/>
    <x v="8"/>
    <x v="3"/>
  </r>
  <r>
    <n v="4121"/>
    <x v="127"/>
    <x v="26"/>
    <x v="1"/>
    <x v="0"/>
    <x v="0"/>
    <x v="0"/>
    <x v="2790"/>
    <x v="1"/>
    <n v="0"/>
    <x v="11"/>
    <n v="0"/>
    <x v="8"/>
    <x v="3"/>
  </r>
  <r>
    <n v="270"/>
    <x v="127"/>
    <x v="4"/>
    <x v="1"/>
    <x v="3"/>
    <x v="0"/>
    <x v="0"/>
    <x v="2791"/>
    <x v="8"/>
    <n v="0"/>
    <x v="11"/>
    <n v="0"/>
    <x v="8"/>
    <x v="3"/>
  </r>
  <r>
    <n v="2304"/>
    <x v="127"/>
    <x v="13"/>
    <x v="0"/>
    <x v="2"/>
    <x v="1"/>
    <x v="4"/>
    <x v="2792"/>
    <x v="8"/>
    <n v="0"/>
    <x v="11"/>
    <n v="0"/>
    <x v="8"/>
    <x v="3"/>
  </r>
  <r>
    <n v="636"/>
    <x v="128"/>
    <x v="31"/>
    <x v="1"/>
    <x v="1"/>
    <x v="1"/>
    <x v="4"/>
    <x v="2793"/>
    <x v="5"/>
    <n v="1"/>
    <x v="1213"/>
    <n v="5"/>
    <x v="14"/>
    <x v="0"/>
  </r>
  <r>
    <n v="2584"/>
    <x v="128"/>
    <x v="34"/>
    <x v="0"/>
    <x v="0"/>
    <x v="0"/>
    <x v="0"/>
    <x v="2794"/>
    <x v="6"/>
    <n v="1"/>
    <x v="1214"/>
    <n v="3"/>
    <x v="2"/>
    <x v="0"/>
  </r>
  <r>
    <n v="3670"/>
    <x v="128"/>
    <x v="8"/>
    <x v="1"/>
    <x v="2"/>
    <x v="0"/>
    <x v="0"/>
    <x v="2795"/>
    <x v="11"/>
    <n v="1"/>
    <x v="1215"/>
    <n v="4"/>
    <x v="15"/>
    <x v="0"/>
  </r>
  <r>
    <n v="1737"/>
    <x v="128"/>
    <x v="6"/>
    <x v="1"/>
    <x v="0"/>
    <x v="0"/>
    <x v="0"/>
    <x v="2796"/>
    <x v="6"/>
    <n v="1"/>
    <x v="1216"/>
    <n v="4"/>
    <x v="6"/>
    <x v="0"/>
  </r>
  <r>
    <n v="1377"/>
    <x v="128"/>
    <x v="22"/>
    <x v="1"/>
    <x v="2"/>
    <x v="0"/>
    <x v="0"/>
    <x v="2797"/>
    <x v="1"/>
    <n v="1"/>
    <x v="1217"/>
    <n v="8"/>
    <x v="14"/>
    <x v="0"/>
  </r>
  <r>
    <n v="2764"/>
    <x v="128"/>
    <x v="24"/>
    <x v="0"/>
    <x v="2"/>
    <x v="0"/>
    <x v="0"/>
    <x v="2331"/>
    <x v="1"/>
    <n v="1"/>
    <x v="1218"/>
    <n v="3"/>
    <x v="1"/>
    <x v="1"/>
  </r>
  <r>
    <n v="2007"/>
    <x v="128"/>
    <x v="4"/>
    <x v="0"/>
    <x v="1"/>
    <x v="1"/>
    <x v="4"/>
    <x v="777"/>
    <x v="2"/>
    <n v="1"/>
    <x v="1219"/>
    <n v="6"/>
    <x v="10"/>
    <x v="1"/>
  </r>
  <r>
    <n v="416"/>
    <x v="128"/>
    <x v="10"/>
    <x v="1"/>
    <x v="2"/>
    <x v="1"/>
    <x v="1"/>
    <x v="2798"/>
    <x v="10"/>
    <n v="0"/>
    <x v="11"/>
    <n v="0"/>
    <x v="8"/>
    <x v="3"/>
  </r>
  <r>
    <n v="3733"/>
    <x v="128"/>
    <x v="19"/>
    <x v="0"/>
    <x v="2"/>
    <x v="2"/>
    <x v="0"/>
    <x v="2799"/>
    <x v="4"/>
    <n v="0"/>
    <x v="11"/>
    <n v="0"/>
    <x v="8"/>
    <x v="3"/>
  </r>
  <r>
    <n v="2513"/>
    <x v="128"/>
    <x v="10"/>
    <x v="0"/>
    <x v="2"/>
    <x v="0"/>
    <x v="0"/>
    <x v="2108"/>
    <x v="8"/>
    <n v="0"/>
    <x v="11"/>
    <n v="0"/>
    <x v="8"/>
    <x v="3"/>
  </r>
  <r>
    <n v="4934"/>
    <x v="128"/>
    <x v="44"/>
    <x v="2"/>
    <x v="1"/>
    <x v="0"/>
    <x v="0"/>
    <x v="2557"/>
    <x v="5"/>
    <n v="0"/>
    <x v="11"/>
    <n v="0"/>
    <x v="8"/>
    <x v="3"/>
  </r>
  <r>
    <n v="1208"/>
    <x v="128"/>
    <x v="6"/>
    <x v="0"/>
    <x v="2"/>
    <x v="3"/>
    <x v="0"/>
    <x v="1857"/>
    <x v="10"/>
    <n v="0"/>
    <x v="11"/>
    <n v="0"/>
    <x v="8"/>
    <x v="3"/>
  </r>
  <r>
    <n v="1660"/>
    <x v="128"/>
    <x v="22"/>
    <x v="1"/>
    <x v="1"/>
    <x v="3"/>
    <x v="0"/>
    <x v="2800"/>
    <x v="8"/>
    <n v="0"/>
    <x v="11"/>
    <n v="0"/>
    <x v="8"/>
    <x v="3"/>
  </r>
  <r>
    <n v="2379"/>
    <x v="128"/>
    <x v="14"/>
    <x v="1"/>
    <x v="0"/>
    <x v="3"/>
    <x v="0"/>
    <x v="2801"/>
    <x v="5"/>
    <n v="0"/>
    <x v="11"/>
    <n v="0"/>
    <x v="8"/>
    <x v="3"/>
  </r>
  <r>
    <n v="2196"/>
    <x v="128"/>
    <x v="0"/>
    <x v="1"/>
    <x v="0"/>
    <x v="0"/>
    <x v="0"/>
    <x v="2802"/>
    <x v="1"/>
    <n v="0"/>
    <x v="11"/>
    <n v="0"/>
    <x v="8"/>
    <x v="3"/>
  </r>
  <r>
    <n v="1000"/>
    <x v="128"/>
    <x v="22"/>
    <x v="1"/>
    <x v="1"/>
    <x v="2"/>
    <x v="0"/>
    <x v="2098"/>
    <x v="0"/>
    <n v="0"/>
    <x v="11"/>
    <n v="0"/>
    <x v="8"/>
    <x v="3"/>
  </r>
  <r>
    <n v="1490"/>
    <x v="128"/>
    <x v="4"/>
    <x v="1"/>
    <x v="1"/>
    <x v="0"/>
    <x v="0"/>
    <x v="1259"/>
    <x v="10"/>
    <n v="0"/>
    <x v="11"/>
    <n v="0"/>
    <x v="8"/>
    <x v="3"/>
  </r>
  <r>
    <n v="4976"/>
    <x v="128"/>
    <x v="14"/>
    <x v="1"/>
    <x v="0"/>
    <x v="0"/>
    <x v="0"/>
    <x v="2375"/>
    <x v="5"/>
    <n v="0"/>
    <x v="11"/>
    <n v="0"/>
    <x v="8"/>
    <x v="3"/>
  </r>
  <r>
    <n v="1915"/>
    <x v="128"/>
    <x v="8"/>
    <x v="0"/>
    <x v="0"/>
    <x v="1"/>
    <x v="1"/>
    <x v="1386"/>
    <x v="1"/>
    <n v="0"/>
    <x v="11"/>
    <n v="0"/>
    <x v="8"/>
    <x v="3"/>
  </r>
  <r>
    <n v="2779"/>
    <x v="128"/>
    <x v="41"/>
    <x v="1"/>
    <x v="3"/>
    <x v="1"/>
    <x v="2"/>
    <x v="1060"/>
    <x v="4"/>
    <n v="0"/>
    <x v="11"/>
    <n v="0"/>
    <x v="8"/>
    <x v="3"/>
  </r>
  <r>
    <n v="4195"/>
    <x v="129"/>
    <x v="27"/>
    <x v="0"/>
    <x v="0"/>
    <x v="2"/>
    <x v="0"/>
    <x v="2803"/>
    <x v="8"/>
    <n v="1"/>
    <x v="1220"/>
    <n v="4"/>
    <x v="5"/>
    <x v="0"/>
  </r>
  <r>
    <n v="2465"/>
    <x v="129"/>
    <x v="31"/>
    <x v="1"/>
    <x v="1"/>
    <x v="1"/>
    <x v="3"/>
    <x v="2804"/>
    <x v="6"/>
    <n v="1"/>
    <x v="1221"/>
    <n v="2"/>
    <x v="0"/>
    <x v="0"/>
  </r>
  <r>
    <n v="625"/>
    <x v="129"/>
    <x v="16"/>
    <x v="0"/>
    <x v="3"/>
    <x v="2"/>
    <x v="0"/>
    <x v="2805"/>
    <x v="2"/>
    <n v="1"/>
    <x v="658"/>
    <n v="2"/>
    <x v="1"/>
    <x v="1"/>
  </r>
  <r>
    <n v="1452"/>
    <x v="129"/>
    <x v="24"/>
    <x v="0"/>
    <x v="1"/>
    <x v="0"/>
    <x v="0"/>
    <x v="2806"/>
    <x v="1"/>
    <n v="1"/>
    <x v="1222"/>
    <n v="3"/>
    <x v="0"/>
    <x v="2"/>
  </r>
  <r>
    <n v="574"/>
    <x v="129"/>
    <x v="18"/>
    <x v="0"/>
    <x v="2"/>
    <x v="1"/>
    <x v="6"/>
    <x v="2807"/>
    <x v="6"/>
    <n v="1"/>
    <x v="1223"/>
    <n v="2"/>
    <x v="11"/>
    <x v="0"/>
  </r>
  <r>
    <n v="1171"/>
    <x v="129"/>
    <x v="7"/>
    <x v="0"/>
    <x v="3"/>
    <x v="3"/>
    <x v="0"/>
    <x v="2808"/>
    <x v="8"/>
    <n v="1"/>
    <x v="1224"/>
    <n v="4"/>
    <x v="3"/>
    <x v="0"/>
  </r>
  <r>
    <n v="3136"/>
    <x v="129"/>
    <x v="47"/>
    <x v="0"/>
    <x v="1"/>
    <x v="0"/>
    <x v="0"/>
    <x v="2809"/>
    <x v="0"/>
    <n v="1"/>
    <x v="1225"/>
    <n v="3"/>
    <x v="15"/>
    <x v="0"/>
  </r>
  <r>
    <n v="4740"/>
    <x v="129"/>
    <x v="47"/>
    <x v="0"/>
    <x v="0"/>
    <x v="1"/>
    <x v="4"/>
    <x v="2810"/>
    <x v="2"/>
    <n v="0"/>
    <x v="11"/>
    <n v="0"/>
    <x v="8"/>
    <x v="3"/>
  </r>
  <r>
    <n v="1281"/>
    <x v="129"/>
    <x v="22"/>
    <x v="0"/>
    <x v="1"/>
    <x v="0"/>
    <x v="0"/>
    <x v="2811"/>
    <x v="0"/>
    <n v="0"/>
    <x v="11"/>
    <n v="0"/>
    <x v="8"/>
    <x v="3"/>
  </r>
  <r>
    <n v="492"/>
    <x v="129"/>
    <x v="4"/>
    <x v="0"/>
    <x v="0"/>
    <x v="0"/>
    <x v="0"/>
    <x v="2652"/>
    <x v="5"/>
    <n v="0"/>
    <x v="11"/>
    <n v="0"/>
    <x v="8"/>
    <x v="3"/>
  </r>
  <r>
    <n v="1709"/>
    <x v="129"/>
    <x v="22"/>
    <x v="0"/>
    <x v="2"/>
    <x v="0"/>
    <x v="0"/>
    <x v="2812"/>
    <x v="5"/>
    <n v="0"/>
    <x v="11"/>
    <n v="0"/>
    <x v="8"/>
    <x v="3"/>
  </r>
  <r>
    <n v="1923"/>
    <x v="129"/>
    <x v="0"/>
    <x v="1"/>
    <x v="0"/>
    <x v="1"/>
    <x v="7"/>
    <x v="2813"/>
    <x v="0"/>
    <n v="0"/>
    <x v="11"/>
    <n v="0"/>
    <x v="8"/>
    <x v="3"/>
  </r>
  <r>
    <n v="4200"/>
    <x v="129"/>
    <x v="17"/>
    <x v="2"/>
    <x v="2"/>
    <x v="0"/>
    <x v="0"/>
    <x v="175"/>
    <x v="5"/>
    <n v="0"/>
    <x v="11"/>
    <n v="0"/>
    <x v="8"/>
    <x v="3"/>
  </r>
  <r>
    <n v="3426"/>
    <x v="129"/>
    <x v="20"/>
    <x v="1"/>
    <x v="2"/>
    <x v="3"/>
    <x v="0"/>
    <x v="2814"/>
    <x v="5"/>
    <n v="0"/>
    <x v="11"/>
    <n v="0"/>
    <x v="8"/>
    <x v="3"/>
  </r>
  <r>
    <n v="1399"/>
    <x v="129"/>
    <x v="18"/>
    <x v="1"/>
    <x v="3"/>
    <x v="1"/>
    <x v="7"/>
    <x v="2815"/>
    <x v="8"/>
    <n v="0"/>
    <x v="11"/>
    <n v="0"/>
    <x v="8"/>
    <x v="3"/>
  </r>
  <r>
    <n v="433"/>
    <x v="129"/>
    <x v="0"/>
    <x v="0"/>
    <x v="2"/>
    <x v="0"/>
    <x v="0"/>
    <x v="2816"/>
    <x v="4"/>
    <n v="0"/>
    <x v="11"/>
    <n v="0"/>
    <x v="8"/>
    <x v="3"/>
  </r>
  <r>
    <n v="560"/>
    <x v="129"/>
    <x v="8"/>
    <x v="0"/>
    <x v="3"/>
    <x v="1"/>
    <x v="2"/>
    <x v="2309"/>
    <x v="5"/>
    <n v="0"/>
    <x v="11"/>
    <n v="0"/>
    <x v="8"/>
    <x v="3"/>
  </r>
  <r>
    <n v="3331"/>
    <x v="129"/>
    <x v="43"/>
    <x v="0"/>
    <x v="2"/>
    <x v="0"/>
    <x v="0"/>
    <x v="2817"/>
    <x v="6"/>
    <n v="0"/>
    <x v="11"/>
    <n v="0"/>
    <x v="8"/>
    <x v="3"/>
  </r>
  <r>
    <n v="1194"/>
    <x v="129"/>
    <x v="7"/>
    <x v="0"/>
    <x v="3"/>
    <x v="3"/>
    <x v="0"/>
    <x v="2818"/>
    <x v="6"/>
    <n v="0"/>
    <x v="11"/>
    <n v="0"/>
    <x v="8"/>
    <x v="3"/>
  </r>
  <r>
    <n v="4044"/>
    <x v="129"/>
    <x v="43"/>
    <x v="0"/>
    <x v="2"/>
    <x v="1"/>
    <x v="7"/>
    <x v="2357"/>
    <x v="1"/>
    <n v="0"/>
    <x v="11"/>
    <n v="0"/>
    <x v="8"/>
    <x v="3"/>
  </r>
  <r>
    <n v="3015"/>
    <x v="129"/>
    <x v="11"/>
    <x v="1"/>
    <x v="2"/>
    <x v="0"/>
    <x v="0"/>
    <x v="341"/>
    <x v="5"/>
    <n v="0"/>
    <x v="11"/>
    <n v="0"/>
    <x v="8"/>
    <x v="3"/>
  </r>
  <r>
    <n v="757"/>
    <x v="129"/>
    <x v="24"/>
    <x v="0"/>
    <x v="2"/>
    <x v="3"/>
    <x v="0"/>
    <x v="2819"/>
    <x v="2"/>
    <n v="0"/>
    <x v="11"/>
    <n v="0"/>
    <x v="8"/>
    <x v="3"/>
  </r>
  <r>
    <n v="2308"/>
    <x v="129"/>
    <x v="17"/>
    <x v="2"/>
    <x v="2"/>
    <x v="1"/>
    <x v="6"/>
    <x v="2820"/>
    <x v="1"/>
    <n v="0"/>
    <x v="11"/>
    <n v="0"/>
    <x v="8"/>
    <x v="3"/>
  </r>
  <r>
    <n v="1155"/>
    <x v="129"/>
    <x v="16"/>
    <x v="0"/>
    <x v="0"/>
    <x v="0"/>
    <x v="0"/>
    <x v="2821"/>
    <x v="2"/>
    <n v="0"/>
    <x v="11"/>
    <n v="0"/>
    <x v="8"/>
    <x v="3"/>
  </r>
  <r>
    <n v="1497"/>
    <x v="129"/>
    <x v="6"/>
    <x v="0"/>
    <x v="3"/>
    <x v="1"/>
    <x v="7"/>
    <x v="1077"/>
    <x v="11"/>
    <n v="0"/>
    <x v="11"/>
    <n v="0"/>
    <x v="8"/>
    <x v="3"/>
  </r>
  <r>
    <n v="2162"/>
    <x v="129"/>
    <x v="33"/>
    <x v="0"/>
    <x v="2"/>
    <x v="2"/>
    <x v="0"/>
    <x v="2822"/>
    <x v="2"/>
    <n v="0"/>
    <x v="11"/>
    <n v="0"/>
    <x v="8"/>
    <x v="3"/>
  </r>
  <r>
    <n v="545"/>
    <x v="129"/>
    <x v="6"/>
    <x v="0"/>
    <x v="3"/>
    <x v="1"/>
    <x v="4"/>
    <x v="2791"/>
    <x v="2"/>
    <n v="0"/>
    <x v="11"/>
    <n v="0"/>
    <x v="8"/>
    <x v="3"/>
  </r>
  <r>
    <n v="2736"/>
    <x v="130"/>
    <x v="19"/>
    <x v="1"/>
    <x v="1"/>
    <x v="0"/>
    <x v="0"/>
    <x v="2823"/>
    <x v="11"/>
    <n v="1"/>
    <x v="1226"/>
    <n v="5"/>
    <x v="0"/>
    <x v="0"/>
  </r>
  <r>
    <n v="2847"/>
    <x v="130"/>
    <x v="24"/>
    <x v="0"/>
    <x v="1"/>
    <x v="2"/>
    <x v="0"/>
    <x v="1091"/>
    <x v="8"/>
    <n v="1"/>
    <x v="1227"/>
    <n v="4"/>
    <x v="13"/>
    <x v="0"/>
  </r>
  <r>
    <n v="1772"/>
    <x v="130"/>
    <x v="33"/>
    <x v="0"/>
    <x v="0"/>
    <x v="2"/>
    <x v="0"/>
    <x v="2824"/>
    <x v="8"/>
    <n v="1"/>
    <x v="1228"/>
    <n v="3"/>
    <x v="7"/>
    <x v="2"/>
  </r>
  <r>
    <n v="572"/>
    <x v="130"/>
    <x v="18"/>
    <x v="1"/>
    <x v="3"/>
    <x v="3"/>
    <x v="0"/>
    <x v="2825"/>
    <x v="11"/>
    <n v="1"/>
    <x v="1229"/>
    <n v="2"/>
    <x v="3"/>
    <x v="1"/>
  </r>
  <r>
    <n v="2066"/>
    <x v="130"/>
    <x v="4"/>
    <x v="0"/>
    <x v="1"/>
    <x v="2"/>
    <x v="0"/>
    <x v="2826"/>
    <x v="8"/>
    <n v="1"/>
    <x v="1079"/>
    <n v="2"/>
    <x v="0"/>
    <x v="2"/>
  </r>
  <r>
    <n v="1943"/>
    <x v="130"/>
    <x v="10"/>
    <x v="1"/>
    <x v="2"/>
    <x v="1"/>
    <x v="2"/>
    <x v="2827"/>
    <x v="12"/>
    <n v="1"/>
    <x v="1230"/>
    <n v="2"/>
    <x v="6"/>
    <x v="0"/>
  </r>
  <r>
    <n v="1775"/>
    <x v="130"/>
    <x v="13"/>
    <x v="0"/>
    <x v="1"/>
    <x v="0"/>
    <x v="0"/>
    <x v="2828"/>
    <x v="2"/>
    <n v="1"/>
    <x v="1231"/>
    <n v="3"/>
    <x v="11"/>
    <x v="0"/>
  </r>
  <r>
    <n v="1900"/>
    <x v="130"/>
    <x v="7"/>
    <x v="2"/>
    <x v="2"/>
    <x v="0"/>
    <x v="0"/>
    <x v="2069"/>
    <x v="1"/>
    <n v="1"/>
    <x v="1232"/>
    <n v="3"/>
    <x v="5"/>
    <x v="2"/>
  </r>
  <r>
    <n v="4707"/>
    <x v="130"/>
    <x v="25"/>
    <x v="0"/>
    <x v="0"/>
    <x v="0"/>
    <x v="0"/>
    <x v="1871"/>
    <x v="8"/>
    <n v="1"/>
    <x v="1172"/>
    <n v="5"/>
    <x v="6"/>
    <x v="0"/>
  </r>
  <r>
    <n v="3149"/>
    <x v="130"/>
    <x v="20"/>
    <x v="1"/>
    <x v="1"/>
    <x v="0"/>
    <x v="0"/>
    <x v="755"/>
    <x v="1"/>
    <n v="1"/>
    <x v="1233"/>
    <n v="1"/>
    <x v="14"/>
    <x v="0"/>
  </r>
  <r>
    <n v="760"/>
    <x v="130"/>
    <x v="8"/>
    <x v="1"/>
    <x v="2"/>
    <x v="1"/>
    <x v="1"/>
    <x v="2829"/>
    <x v="5"/>
    <n v="0"/>
    <x v="11"/>
    <n v="0"/>
    <x v="8"/>
    <x v="3"/>
  </r>
  <r>
    <n v="1081"/>
    <x v="130"/>
    <x v="22"/>
    <x v="0"/>
    <x v="1"/>
    <x v="1"/>
    <x v="3"/>
    <x v="643"/>
    <x v="8"/>
    <n v="0"/>
    <x v="11"/>
    <n v="0"/>
    <x v="8"/>
    <x v="3"/>
  </r>
  <r>
    <n v="4602"/>
    <x v="130"/>
    <x v="28"/>
    <x v="0"/>
    <x v="0"/>
    <x v="0"/>
    <x v="0"/>
    <x v="2830"/>
    <x v="0"/>
    <n v="0"/>
    <x v="11"/>
    <n v="0"/>
    <x v="8"/>
    <x v="3"/>
  </r>
  <r>
    <n v="4310"/>
    <x v="130"/>
    <x v="13"/>
    <x v="0"/>
    <x v="2"/>
    <x v="1"/>
    <x v="7"/>
    <x v="2831"/>
    <x v="5"/>
    <n v="0"/>
    <x v="11"/>
    <n v="0"/>
    <x v="8"/>
    <x v="3"/>
  </r>
  <r>
    <n v="2189"/>
    <x v="130"/>
    <x v="34"/>
    <x v="1"/>
    <x v="2"/>
    <x v="0"/>
    <x v="0"/>
    <x v="1626"/>
    <x v="8"/>
    <n v="0"/>
    <x v="11"/>
    <n v="0"/>
    <x v="8"/>
    <x v="3"/>
  </r>
  <r>
    <n v="3415"/>
    <x v="130"/>
    <x v="34"/>
    <x v="0"/>
    <x v="2"/>
    <x v="1"/>
    <x v="2"/>
    <x v="2832"/>
    <x v="6"/>
    <n v="0"/>
    <x v="11"/>
    <n v="0"/>
    <x v="8"/>
    <x v="3"/>
  </r>
  <r>
    <n v="1945"/>
    <x v="130"/>
    <x v="16"/>
    <x v="0"/>
    <x v="2"/>
    <x v="0"/>
    <x v="0"/>
    <x v="2833"/>
    <x v="8"/>
    <n v="0"/>
    <x v="11"/>
    <n v="0"/>
    <x v="8"/>
    <x v="3"/>
  </r>
  <r>
    <n v="1960"/>
    <x v="130"/>
    <x v="8"/>
    <x v="0"/>
    <x v="0"/>
    <x v="0"/>
    <x v="0"/>
    <x v="2834"/>
    <x v="4"/>
    <n v="0"/>
    <x v="11"/>
    <n v="0"/>
    <x v="8"/>
    <x v="3"/>
  </r>
  <r>
    <n v="3020"/>
    <x v="130"/>
    <x v="34"/>
    <x v="0"/>
    <x v="2"/>
    <x v="0"/>
    <x v="0"/>
    <x v="2611"/>
    <x v="6"/>
    <n v="0"/>
    <x v="11"/>
    <n v="0"/>
    <x v="8"/>
    <x v="3"/>
  </r>
  <r>
    <n v="26"/>
    <x v="130"/>
    <x v="8"/>
    <x v="0"/>
    <x v="1"/>
    <x v="2"/>
    <x v="0"/>
    <x v="514"/>
    <x v="11"/>
    <n v="0"/>
    <x v="11"/>
    <n v="0"/>
    <x v="8"/>
    <x v="3"/>
  </r>
  <r>
    <n v="3966"/>
    <x v="130"/>
    <x v="44"/>
    <x v="1"/>
    <x v="0"/>
    <x v="3"/>
    <x v="0"/>
    <x v="2835"/>
    <x v="0"/>
    <n v="0"/>
    <x v="11"/>
    <n v="0"/>
    <x v="8"/>
    <x v="3"/>
  </r>
  <r>
    <n v="2973"/>
    <x v="130"/>
    <x v="3"/>
    <x v="1"/>
    <x v="3"/>
    <x v="0"/>
    <x v="0"/>
    <x v="1903"/>
    <x v="5"/>
    <n v="0"/>
    <x v="11"/>
    <n v="0"/>
    <x v="8"/>
    <x v="3"/>
  </r>
  <r>
    <n v="4351"/>
    <x v="130"/>
    <x v="12"/>
    <x v="0"/>
    <x v="2"/>
    <x v="1"/>
    <x v="1"/>
    <x v="131"/>
    <x v="0"/>
    <n v="0"/>
    <x v="11"/>
    <n v="0"/>
    <x v="8"/>
    <x v="3"/>
  </r>
  <r>
    <n v="4841"/>
    <x v="131"/>
    <x v="51"/>
    <x v="1"/>
    <x v="2"/>
    <x v="1"/>
    <x v="7"/>
    <x v="2836"/>
    <x v="0"/>
    <n v="1"/>
    <x v="1234"/>
    <n v="3"/>
    <x v="7"/>
    <x v="1"/>
  </r>
  <r>
    <n v="1997"/>
    <x v="131"/>
    <x v="14"/>
    <x v="1"/>
    <x v="2"/>
    <x v="1"/>
    <x v="6"/>
    <x v="1786"/>
    <x v="5"/>
    <n v="1"/>
    <x v="1235"/>
    <n v="3"/>
    <x v="10"/>
    <x v="1"/>
  </r>
  <r>
    <n v="2647"/>
    <x v="131"/>
    <x v="19"/>
    <x v="1"/>
    <x v="2"/>
    <x v="1"/>
    <x v="7"/>
    <x v="2837"/>
    <x v="1"/>
    <n v="0"/>
    <x v="11"/>
    <n v="0"/>
    <x v="8"/>
    <x v="3"/>
  </r>
  <r>
    <n v="844"/>
    <x v="131"/>
    <x v="10"/>
    <x v="1"/>
    <x v="3"/>
    <x v="2"/>
    <x v="0"/>
    <x v="2838"/>
    <x v="0"/>
    <n v="0"/>
    <x v="11"/>
    <n v="0"/>
    <x v="8"/>
    <x v="3"/>
  </r>
  <r>
    <n v="1757"/>
    <x v="131"/>
    <x v="31"/>
    <x v="1"/>
    <x v="1"/>
    <x v="3"/>
    <x v="0"/>
    <x v="2839"/>
    <x v="0"/>
    <n v="0"/>
    <x v="11"/>
    <n v="0"/>
    <x v="8"/>
    <x v="3"/>
  </r>
  <r>
    <n v="4609"/>
    <x v="131"/>
    <x v="34"/>
    <x v="0"/>
    <x v="2"/>
    <x v="0"/>
    <x v="0"/>
    <x v="2070"/>
    <x v="2"/>
    <n v="0"/>
    <x v="11"/>
    <n v="0"/>
    <x v="8"/>
    <x v="3"/>
  </r>
  <r>
    <n v="1624"/>
    <x v="131"/>
    <x v="19"/>
    <x v="0"/>
    <x v="0"/>
    <x v="3"/>
    <x v="0"/>
    <x v="1462"/>
    <x v="2"/>
    <n v="0"/>
    <x v="11"/>
    <n v="0"/>
    <x v="8"/>
    <x v="3"/>
  </r>
  <r>
    <n v="4354"/>
    <x v="131"/>
    <x v="48"/>
    <x v="1"/>
    <x v="1"/>
    <x v="3"/>
    <x v="0"/>
    <x v="2840"/>
    <x v="6"/>
    <n v="0"/>
    <x v="11"/>
    <n v="0"/>
    <x v="8"/>
    <x v="3"/>
  </r>
  <r>
    <n v="2804"/>
    <x v="131"/>
    <x v="19"/>
    <x v="1"/>
    <x v="2"/>
    <x v="1"/>
    <x v="7"/>
    <x v="2841"/>
    <x v="0"/>
    <n v="0"/>
    <x v="11"/>
    <n v="0"/>
    <x v="8"/>
    <x v="3"/>
  </r>
  <r>
    <n v="1801"/>
    <x v="131"/>
    <x v="26"/>
    <x v="0"/>
    <x v="2"/>
    <x v="0"/>
    <x v="0"/>
    <x v="38"/>
    <x v="8"/>
    <n v="0"/>
    <x v="11"/>
    <n v="0"/>
    <x v="8"/>
    <x v="3"/>
  </r>
  <r>
    <n v="3477"/>
    <x v="131"/>
    <x v="26"/>
    <x v="0"/>
    <x v="3"/>
    <x v="1"/>
    <x v="3"/>
    <x v="460"/>
    <x v="5"/>
    <n v="0"/>
    <x v="11"/>
    <n v="0"/>
    <x v="8"/>
    <x v="3"/>
  </r>
  <r>
    <n v="4159"/>
    <x v="131"/>
    <x v="24"/>
    <x v="1"/>
    <x v="3"/>
    <x v="0"/>
    <x v="0"/>
    <x v="2842"/>
    <x v="6"/>
    <n v="0"/>
    <x v="11"/>
    <n v="0"/>
    <x v="8"/>
    <x v="3"/>
  </r>
  <r>
    <n v="2504"/>
    <x v="131"/>
    <x v="19"/>
    <x v="0"/>
    <x v="2"/>
    <x v="3"/>
    <x v="0"/>
    <x v="122"/>
    <x v="5"/>
    <n v="0"/>
    <x v="11"/>
    <n v="0"/>
    <x v="8"/>
    <x v="3"/>
  </r>
  <r>
    <n v="4387"/>
    <x v="131"/>
    <x v="47"/>
    <x v="1"/>
    <x v="2"/>
    <x v="0"/>
    <x v="0"/>
    <x v="2843"/>
    <x v="1"/>
    <n v="0"/>
    <x v="11"/>
    <n v="0"/>
    <x v="8"/>
    <x v="3"/>
  </r>
  <r>
    <n v="2734"/>
    <x v="131"/>
    <x v="27"/>
    <x v="1"/>
    <x v="3"/>
    <x v="2"/>
    <x v="0"/>
    <x v="1714"/>
    <x v="2"/>
    <n v="0"/>
    <x v="11"/>
    <n v="0"/>
    <x v="8"/>
    <x v="3"/>
  </r>
  <r>
    <n v="2528"/>
    <x v="131"/>
    <x v="0"/>
    <x v="0"/>
    <x v="2"/>
    <x v="0"/>
    <x v="0"/>
    <x v="2844"/>
    <x v="9"/>
    <n v="0"/>
    <x v="11"/>
    <n v="0"/>
    <x v="8"/>
    <x v="3"/>
  </r>
  <r>
    <n v="4969"/>
    <x v="131"/>
    <x v="27"/>
    <x v="0"/>
    <x v="3"/>
    <x v="3"/>
    <x v="0"/>
    <x v="2177"/>
    <x v="1"/>
    <n v="0"/>
    <x v="11"/>
    <n v="0"/>
    <x v="8"/>
    <x v="3"/>
  </r>
  <r>
    <n v="2428"/>
    <x v="131"/>
    <x v="5"/>
    <x v="0"/>
    <x v="2"/>
    <x v="1"/>
    <x v="7"/>
    <x v="2290"/>
    <x v="9"/>
    <n v="0"/>
    <x v="11"/>
    <n v="0"/>
    <x v="8"/>
    <x v="3"/>
  </r>
  <r>
    <n v="3238"/>
    <x v="131"/>
    <x v="16"/>
    <x v="0"/>
    <x v="0"/>
    <x v="1"/>
    <x v="2"/>
    <x v="2845"/>
    <x v="10"/>
    <n v="0"/>
    <x v="11"/>
    <n v="0"/>
    <x v="8"/>
    <x v="3"/>
  </r>
  <r>
    <n v="3092"/>
    <x v="131"/>
    <x v="6"/>
    <x v="0"/>
    <x v="0"/>
    <x v="1"/>
    <x v="4"/>
    <x v="2846"/>
    <x v="5"/>
    <n v="0"/>
    <x v="11"/>
    <n v="0"/>
    <x v="8"/>
    <x v="3"/>
  </r>
  <r>
    <n v="2787"/>
    <x v="131"/>
    <x v="6"/>
    <x v="1"/>
    <x v="3"/>
    <x v="0"/>
    <x v="0"/>
    <x v="2847"/>
    <x v="6"/>
    <n v="0"/>
    <x v="11"/>
    <n v="0"/>
    <x v="8"/>
    <x v="3"/>
  </r>
  <r>
    <n v="1122"/>
    <x v="131"/>
    <x v="8"/>
    <x v="0"/>
    <x v="1"/>
    <x v="1"/>
    <x v="4"/>
    <x v="1721"/>
    <x v="2"/>
    <n v="0"/>
    <x v="11"/>
    <n v="0"/>
    <x v="8"/>
    <x v="3"/>
  </r>
  <r>
    <n v="1907"/>
    <x v="131"/>
    <x v="19"/>
    <x v="0"/>
    <x v="2"/>
    <x v="0"/>
    <x v="0"/>
    <x v="469"/>
    <x v="8"/>
    <n v="0"/>
    <x v="11"/>
    <n v="0"/>
    <x v="8"/>
    <x v="3"/>
  </r>
  <r>
    <n v="4422"/>
    <x v="131"/>
    <x v="45"/>
    <x v="1"/>
    <x v="3"/>
    <x v="0"/>
    <x v="0"/>
    <x v="2848"/>
    <x v="0"/>
    <n v="0"/>
    <x v="11"/>
    <n v="0"/>
    <x v="8"/>
    <x v="3"/>
  </r>
  <r>
    <n v="3883"/>
    <x v="131"/>
    <x v="48"/>
    <x v="1"/>
    <x v="3"/>
    <x v="1"/>
    <x v="2"/>
    <x v="2849"/>
    <x v="2"/>
    <n v="0"/>
    <x v="11"/>
    <n v="0"/>
    <x v="8"/>
    <x v="3"/>
  </r>
  <r>
    <n v="2766"/>
    <x v="131"/>
    <x v="26"/>
    <x v="0"/>
    <x v="3"/>
    <x v="3"/>
    <x v="0"/>
    <x v="2850"/>
    <x v="4"/>
    <n v="0"/>
    <x v="11"/>
    <n v="0"/>
    <x v="8"/>
    <x v="3"/>
  </r>
  <r>
    <n v="719"/>
    <x v="132"/>
    <x v="5"/>
    <x v="1"/>
    <x v="2"/>
    <x v="1"/>
    <x v="4"/>
    <x v="2851"/>
    <x v="6"/>
    <n v="1"/>
    <x v="1236"/>
    <n v="2"/>
    <x v="14"/>
    <x v="0"/>
  </r>
  <r>
    <n v="4799"/>
    <x v="132"/>
    <x v="43"/>
    <x v="1"/>
    <x v="0"/>
    <x v="1"/>
    <x v="6"/>
    <x v="2852"/>
    <x v="4"/>
    <n v="1"/>
    <x v="1237"/>
    <n v="4"/>
    <x v="14"/>
    <x v="1"/>
  </r>
  <r>
    <n v="2703"/>
    <x v="132"/>
    <x v="6"/>
    <x v="1"/>
    <x v="0"/>
    <x v="0"/>
    <x v="0"/>
    <x v="1718"/>
    <x v="8"/>
    <n v="1"/>
    <x v="1238"/>
    <n v="3"/>
    <x v="1"/>
    <x v="0"/>
  </r>
  <r>
    <n v="295"/>
    <x v="132"/>
    <x v="5"/>
    <x v="0"/>
    <x v="1"/>
    <x v="0"/>
    <x v="0"/>
    <x v="2853"/>
    <x v="4"/>
    <n v="1"/>
    <x v="1239"/>
    <n v="3"/>
    <x v="10"/>
    <x v="0"/>
  </r>
  <r>
    <n v="4313"/>
    <x v="132"/>
    <x v="47"/>
    <x v="0"/>
    <x v="1"/>
    <x v="1"/>
    <x v="7"/>
    <x v="2600"/>
    <x v="5"/>
    <n v="1"/>
    <x v="1240"/>
    <n v="2"/>
    <x v="5"/>
    <x v="2"/>
  </r>
  <r>
    <n v="813"/>
    <x v="132"/>
    <x v="4"/>
    <x v="0"/>
    <x v="3"/>
    <x v="0"/>
    <x v="0"/>
    <x v="158"/>
    <x v="6"/>
    <n v="1"/>
    <x v="1241"/>
    <n v="4"/>
    <x v="1"/>
    <x v="1"/>
  </r>
  <r>
    <n v="1647"/>
    <x v="132"/>
    <x v="20"/>
    <x v="1"/>
    <x v="0"/>
    <x v="0"/>
    <x v="0"/>
    <x v="2854"/>
    <x v="2"/>
    <n v="1"/>
    <x v="1242"/>
    <n v="2"/>
    <x v="0"/>
    <x v="2"/>
  </r>
  <r>
    <n v="656"/>
    <x v="132"/>
    <x v="20"/>
    <x v="1"/>
    <x v="3"/>
    <x v="0"/>
    <x v="0"/>
    <x v="2855"/>
    <x v="10"/>
    <n v="1"/>
    <x v="1243"/>
    <n v="1"/>
    <x v="6"/>
    <x v="1"/>
  </r>
  <r>
    <n v="4067"/>
    <x v="132"/>
    <x v="44"/>
    <x v="0"/>
    <x v="3"/>
    <x v="1"/>
    <x v="4"/>
    <x v="426"/>
    <x v="2"/>
    <n v="1"/>
    <x v="1244"/>
    <n v="2"/>
    <x v="9"/>
    <x v="0"/>
  </r>
  <r>
    <n v="2367"/>
    <x v="132"/>
    <x v="31"/>
    <x v="0"/>
    <x v="0"/>
    <x v="0"/>
    <x v="0"/>
    <x v="2856"/>
    <x v="4"/>
    <n v="0"/>
    <x v="11"/>
    <n v="0"/>
    <x v="8"/>
    <x v="3"/>
  </r>
  <r>
    <n v="4903"/>
    <x v="132"/>
    <x v="32"/>
    <x v="0"/>
    <x v="0"/>
    <x v="0"/>
    <x v="0"/>
    <x v="2163"/>
    <x v="4"/>
    <n v="0"/>
    <x v="11"/>
    <n v="0"/>
    <x v="8"/>
    <x v="3"/>
  </r>
  <r>
    <n v="2687"/>
    <x v="132"/>
    <x v="0"/>
    <x v="1"/>
    <x v="1"/>
    <x v="0"/>
    <x v="0"/>
    <x v="645"/>
    <x v="0"/>
    <n v="0"/>
    <x v="11"/>
    <n v="0"/>
    <x v="8"/>
    <x v="3"/>
  </r>
  <r>
    <n v="4801"/>
    <x v="132"/>
    <x v="47"/>
    <x v="0"/>
    <x v="2"/>
    <x v="1"/>
    <x v="7"/>
    <x v="268"/>
    <x v="0"/>
    <n v="0"/>
    <x v="11"/>
    <n v="0"/>
    <x v="8"/>
    <x v="3"/>
  </r>
  <r>
    <n v="2479"/>
    <x v="132"/>
    <x v="24"/>
    <x v="1"/>
    <x v="2"/>
    <x v="0"/>
    <x v="0"/>
    <x v="2857"/>
    <x v="11"/>
    <n v="0"/>
    <x v="11"/>
    <n v="0"/>
    <x v="8"/>
    <x v="3"/>
  </r>
  <r>
    <n v="4401"/>
    <x v="132"/>
    <x v="53"/>
    <x v="1"/>
    <x v="3"/>
    <x v="0"/>
    <x v="0"/>
    <x v="2858"/>
    <x v="1"/>
    <n v="0"/>
    <x v="11"/>
    <n v="0"/>
    <x v="8"/>
    <x v="3"/>
  </r>
  <r>
    <n v="2581"/>
    <x v="132"/>
    <x v="5"/>
    <x v="1"/>
    <x v="3"/>
    <x v="0"/>
    <x v="0"/>
    <x v="2513"/>
    <x v="6"/>
    <n v="0"/>
    <x v="11"/>
    <n v="0"/>
    <x v="8"/>
    <x v="3"/>
  </r>
  <r>
    <n v="3589"/>
    <x v="132"/>
    <x v="14"/>
    <x v="0"/>
    <x v="2"/>
    <x v="1"/>
    <x v="6"/>
    <x v="2476"/>
    <x v="6"/>
    <n v="0"/>
    <x v="11"/>
    <n v="0"/>
    <x v="8"/>
    <x v="3"/>
  </r>
  <r>
    <n v="1254"/>
    <x v="132"/>
    <x v="10"/>
    <x v="0"/>
    <x v="2"/>
    <x v="0"/>
    <x v="0"/>
    <x v="2859"/>
    <x v="0"/>
    <n v="0"/>
    <x v="11"/>
    <n v="0"/>
    <x v="8"/>
    <x v="3"/>
  </r>
  <r>
    <n v="2168"/>
    <x v="132"/>
    <x v="16"/>
    <x v="0"/>
    <x v="0"/>
    <x v="1"/>
    <x v="5"/>
    <x v="2351"/>
    <x v="12"/>
    <n v="0"/>
    <x v="11"/>
    <n v="0"/>
    <x v="8"/>
    <x v="3"/>
  </r>
  <r>
    <n v="3682"/>
    <x v="132"/>
    <x v="16"/>
    <x v="0"/>
    <x v="2"/>
    <x v="2"/>
    <x v="0"/>
    <x v="1776"/>
    <x v="4"/>
    <n v="0"/>
    <x v="11"/>
    <n v="0"/>
    <x v="8"/>
    <x v="3"/>
  </r>
  <r>
    <n v="4400"/>
    <x v="132"/>
    <x v="28"/>
    <x v="0"/>
    <x v="0"/>
    <x v="0"/>
    <x v="0"/>
    <x v="2050"/>
    <x v="8"/>
    <n v="0"/>
    <x v="11"/>
    <n v="0"/>
    <x v="8"/>
    <x v="3"/>
  </r>
  <r>
    <n v="773"/>
    <x v="132"/>
    <x v="7"/>
    <x v="1"/>
    <x v="3"/>
    <x v="3"/>
    <x v="0"/>
    <x v="2860"/>
    <x v="5"/>
    <n v="0"/>
    <x v="11"/>
    <n v="0"/>
    <x v="8"/>
    <x v="3"/>
  </r>
  <r>
    <n v="4203"/>
    <x v="132"/>
    <x v="50"/>
    <x v="1"/>
    <x v="3"/>
    <x v="3"/>
    <x v="0"/>
    <x v="2861"/>
    <x v="5"/>
    <n v="0"/>
    <x v="11"/>
    <n v="0"/>
    <x v="8"/>
    <x v="3"/>
  </r>
  <r>
    <n v="4977"/>
    <x v="132"/>
    <x v="23"/>
    <x v="1"/>
    <x v="0"/>
    <x v="1"/>
    <x v="5"/>
    <x v="2862"/>
    <x v="5"/>
    <n v="0"/>
    <x v="11"/>
    <n v="0"/>
    <x v="8"/>
    <x v="3"/>
  </r>
  <r>
    <n v="4279"/>
    <x v="132"/>
    <x v="23"/>
    <x v="0"/>
    <x v="3"/>
    <x v="0"/>
    <x v="0"/>
    <x v="2863"/>
    <x v="2"/>
    <n v="0"/>
    <x v="11"/>
    <n v="0"/>
    <x v="8"/>
    <x v="3"/>
  </r>
  <r>
    <n v="4684"/>
    <x v="133"/>
    <x v="25"/>
    <x v="0"/>
    <x v="2"/>
    <x v="3"/>
    <x v="0"/>
    <x v="2864"/>
    <x v="0"/>
    <n v="1"/>
    <x v="1245"/>
    <n v="2"/>
    <x v="6"/>
    <x v="2"/>
  </r>
  <r>
    <n v="1975"/>
    <x v="133"/>
    <x v="27"/>
    <x v="1"/>
    <x v="1"/>
    <x v="1"/>
    <x v="5"/>
    <x v="2234"/>
    <x v="0"/>
    <n v="1"/>
    <x v="1246"/>
    <n v="2"/>
    <x v="13"/>
    <x v="1"/>
  </r>
  <r>
    <n v="1071"/>
    <x v="133"/>
    <x v="7"/>
    <x v="1"/>
    <x v="3"/>
    <x v="1"/>
    <x v="3"/>
    <x v="2865"/>
    <x v="8"/>
    <n v="1"/>
    <x v="1247"/>
    <n v="2"/>
    <x v="9"/>
    <x v="0"/>
  </r>
  <r>
    <n v="2716"/>
    <x v="133"/>
    <x v="44"/>
    <x v="0"/>
    <x v="2"/>
    <x v="0"/>
    <x v="0"/>
    <x v="2866"/>
    <x v="0"/>
    <n v="1"/>
    <x v="1248"/>
    <n v="3"/>
    <x v="10"/>
    <x v="0"/>
  </r>
  <r>
    <n v="3766"/>
    <x v="133"/>
    <x v="28"/>
    <x v="0"/>
    <x v="1"/>
    <x v="1"/>
    <x v="5"/>
    <x v="2046"/>
    <x v="8"/>
    <n v="1"/>
    <x v="1249"/>
    <n v="3"/>
    <x v="14"/>
    <x v="1"/>
  </r>
  <r>
    <n v="3801"/>
    <x v="133"/>
    <x v="3"/>
    <x v="1"/>
    <x v="3"/>
    <x v="2"/>
    <x v="0"/>
    <x v="2867"/>
    <x v="2"/>
    <n v="1"/>
    <x v="1250"/>
    <n v="2"/>
    <x v="4"/>
    <x v="2"/>
  </r>
  <r>
    <n v="2363"/>
    <x v="133"/>
    <x v="39"/>
    <x v="1"/>
    <x v="1"/>
    <x v="0"/>
    <x v="0"/>
    <x v="2571"/>
    <x v="4"/>
    <n v="1"/>
    <x v="1251"/>
    <n v="3"/>
    <x v="7"/>
    <x v="0"/>
  </r>
  <r>
    <n v="2641"/>
    <x v="133"/>
    <x v="23"/>
    <x v="1"/>
    <x v="2"/>
    <x v="0"/>
    <x v="0"/>
    <x v="2728"/>
    <x v="2"/>
    <n v="1"/>
    <x v="573"/>
    <n v="1"/>
    <x v="15"/>
    <x v="2"/>
  </r>
  <r>
    <n v="4795"/>
    <x v="133"/>
    <x v="25"/>
    <x v="1"/>
    <x v="0"/>
    <x v="0"/>
    <x v="0"/>
    <x v="2868"/>
    <x v="8"/>
    <n v="1"/>
    <x v="1252"/>
    <n v="1"/>
    <x v="9"/>
    <x v="0"/>
  </r>
  <r>
    <n v="4898"/>
    <x v="133"/>
    <x v="42"/>
    <x v="1"/>
    <x v="3"/>
    <x v="1"/>
    <x v="1"/>
    <x v="2869"/>
    <x v="6"/>
    <n v="0"/>
    <x v="11"/>
    <n v="0"/>
    <x v="8"/>
    <x v="3"/>
  </r>
  <r>
    <n v="2943"/>
    <x v="133"/>
    <x v="11"/>
    <x v="1"/>
    <x v="3"/>
    <x v="2"/>
    <x v="0"/>
    <x v="2870"/>
    <x v="11"/>
    <n v="0"/>
    <x v="11"/>
    <n v="0"/>
    <x v="8"/>
    <x v="3"/>
  </r>
  <r>
    <n v="968"/>
    <x v="133"/>
    <x v="2"/>
    <x v="0"/>
    <x v="2"/>
    <x v="0"/>
    <x v="0"/>
    <x v="2871"/>
    <x v="4"/>
    <n v="0"/>
    <x v="11"/>
    <n v="0"/>
    <x v="8"/>
    <x v="3"/>
  </r>
  <r>
    <n v="2229"/>
    <x v="133"/>
    <x v="19"/>
    <x v="0"/>
    <x v="3"/>
    <x v="3"/>
    <x v="0"/>
    <x v="2377"/>
    <x v="6"/>
    <n v="0"/>
    <x v="11"/>
    <n v="0"/>
    <x v="8"/>
    <x v="3"/>
  </r>
  <r>
    <n v="2230"/>
    <x v="133"/>
    <x v="11"/>
    <x v="1"/>
    <x v="3"/>
    <x v="0"/>
    <x v="0"/>
    <x v="2872"/>
    <x v="0"/>
    <n v="0"/>
    <x v="11"/>
    <n v="0"/>
    <x v="8"/>
    <x v="3"/>
  </r>
  <r>
    <n v="4105"/>
    <x v="133"/>
    <x v="3"/>
    <x v="1"/>
    <x v="2"/>
    <x v="0"/>
    <x v="0"/>
    <x v="2103"/>
    <x v="2"/>
    <n v="0"/>
    <x v="11"/>
    <n v="0"/>
    <x v="8"/>
    <x v="3"/>
  </r>
  <r>
    <n v="4875"/>
    <x v="133"/>
    <x v="44"/>
    <x v="1"/>
    <x v="3"/>
    <x v="1"/>
    <x v="1"/>
    <x v="1599"/>
    <x v="2"/>
    <n v="0"/>
    <x v="11"/>
    <n v="0"/>
    <x v="8"/>
    <x v="3"/>
  </r>
  <r>
    <n v="1879"/>
    <x v="133"/>
    <x v="26"/>
    <x v="0"/>
    <x v="3"/>
    <x v="1"/>
    <x v="4"/>
    <x v="273"/>
    <x v="5"/>
    <n v="0"/>
    <x v="11"/>
    <n v="0"/>
    <x v="8"/>
    <x v="3"/>
  </r>
  <r>
    <n v="2566"/>
    <x v="133"/>
    <x v="13"/>
    <x v="0"/>
    <x v="2"/>
    <x v="0"/>
    <x v="0"/>
    <x v="2873"/>
    <x v="2"/>
    <n v="0"/>
    <x v="11"/>
    <n v="0"/>
    <x v="8"/>
    <x v="3"/>
  </r>
  <r>
    <n v="4129"/>
    <x v="133"/>
    <x v="40"/>
    <x v="1"/>
    <x v="3"/>
    <x v="3"/>
    <x v="0"/>
    <x v="1084"/>
    <x v="8"/>
    <n v="0"/>
    <x v="11"/>
    <n v="0"/>
    <x v="8"/>
    <x v="3"/>
  </r>
  <r>
    <n v="2533"/>
    <x v="133"/>
    <x v="18"/>
    <x v="0"/>
    <x v="0"/>
    <x v="0"/>
    <x v="0"/>
    <x v="2101"/>
    <x v="2"/>
    <n v="0"/>
    <x v="11"/>
    <n v="0"/>
    <x v="8"/>
    <x v="3"/>
  </r>
  <r>
    <n v="2523"/>
    <x v="133"/>
    <x v="7"/>
    <x v="0"/>
    <x v="2"/>
    <x v="0"/>
    <x v="0"/>
    <x v="1587"/>
    <x v="4"/>
    <n v="0"/>
    <x v="11"/>
    <n v="0"/>
    <x v="8"/>
    <x v="3"/>
  </r>
  <r>
    <n v="1022"/>
    <x v="133"/>
    <x v="6"/>
    <x v="1"/>
    <x v="0"/>
    <x v="1"/>
    <x v="5"/>
    <x v="2874"/>
    <x v="5"/>
    <n v="0"/>
    <x v="11"/>
    <n v="0"/>
    <x v="8"/>
    <x v="3"/>
  </r>
  <r>
    <n v="4397"/>
    <x v="133"/>
    <x v="47"/>
    <x v="0"/>
    <x v="3"/>
    <x v="0"/>
    <x v="0"/>
    <x v="2875"/>
    <x v="8"/>
    <n v="0"/>
    <x v="11"/>
    <n v="0"/>
    <x v="8"/>
    <x v="3"/>
  </r>
  <r>
    <n v="4019"/>
    <x v="133"/>
    <x v="3"/>
    <x v="1"/>
    <x v="3"/>
    <x v="0"/>
    <x v="0"/>
    <x v="101"/>
    <x v="5"/>
    <n v="0"/>
    <x v="11"/>
    <n v="0"/>
    <x v="8"/>
    <x v="3"/>
  </r>
  <r>
    <n v="2558"/>
    <x v="133"/>
    <x v="5"/>
    <x v="1"/>
    <x v="1"/>
    <x v="1"/>
    <x v="4"/>
    <x v="1305"/>
    <x v="8"/>
    <n v="0"/>
    <x v="11"/>
    <n v="0"/>
    <x v="8"/>
    <x v="3"/>
  </r>
  <r>
    <n v="1804"/>
    <x v="133"/>
    <x v="33"/>
    <x v="0"/>
    <x v="1"/>
    <x v="0"/>
    <x v="0"/>
    <x v="2876"/>
    <x v="7"/>
    <n v="0"/>
    <x v="11"/>
    <n v="0"/>
    <x v="8"/>
    <x v="3"/>
  </r>
  <r>
    <n v="4296"/>
    <x v="133"/>
    <x v="41"/>
    <x v="1"/>
    <x v="3"/>
    <x v="0"/>
    <x v="0"/>
    <x v="1562"/>
    <x v="11"/>
    <n v="0"/>
    <x v="11"/>
    <n v="0"/>
    <x v="8"/>
    <x v="3"/>
  </r>
  <r>
    <n v="2666"/>
    <x v="133"/>
    <x v="34"/>
    <x v="0"/>
    <x v="1"/>
    <x v="1"/>
    <x v="6"/>
    <x v="2877"/>
    <x v="11"/>
    <n v="0"/>
    <x v="11"/>
    <n v="0"/>
    <x v="8"/>
    <x v="3"/>
  </r>
  <r>
    <n v="917"/>
    <x v="133"/>
    <x v="24"/>
    <x v="0"/>
    <x v="2"/>
    <x v="3"/>
    <x v="0"/>
    <x v="2878"/>
    <x v="4"/>
    <n v="0"/>
    <x v="11"/>
    <n v="0"/>
    <x v="8"/>
    <x v="3"/>
  </r>
  <r>
    <n v="3061"/>
    <x v="133"/>
    <x v="27"/>
    <x v="0"/>
    <x v="3"/>
    <x v="1"/>
    <x v="6"/>
    <x v="1090"/>
    <x v="5"/>
    <n v="0"/>
    <x v="11"/>
    <n v="0"/>
    <x v="8"/>
    <x v="3"/>
  </r>
  <r>
    <n v="1817"/>
    <x v="133"/>
    <x v="20"/>
    <x v="1"/>
    <x v="1"/>
    <x v="0"/>
    <x v="0"/>
    <x v="718"/>
    <x v="8"/>
    <n v="0"/>
    <x v="11"/>
    <n v="0"/>
    <x v="8"/>
    <x v="3"/>
  </r>
  <r>
    <n v="3534"/>
    <x v="133"/>
    <x v="30"/>
    <x v="1"/>
    <x v="2"/>
    <x v="0"/>
    <x v="0"/>
    <x v="474"/>
    <x v="5"/>
    <n v="0"/>
    <x v="11"/>
    <n v="0"/>
    <x v="8"/>
    <x v="3"/>
  </r>
  <r>
    <n v="251"/>
    <x v="133"/>
    <x v="20"/>
    <x v="0"/>
    <x v="3"/>
    <x v="1"/>
    <x v="3"/>
    <x v="2879"/>
    <x v="0"/>
    <n v="0"/>
    <x v="11"/>
    <n v="0"/>
    <x v="8"/>
    <x v="3"/>
  </r>
  <r>
    <n v="4794"/>
    <x v="133"/>
    <x v="3"/>
    <x v="1"/>
    <x v="1"/>
    <x v="0"/>
    <x v="0"/>
    <x v="2880"/>
    <x v="6"/>
    <n v="0"/>
    <x v="11"/>
    <n v="0"/>
    <x v="8"/>
    <x v="3"/>
  </r>
  <r>
    <n v="1390"/>
    <x v="134"/>
    <x v="22"/>
    <x v="0"/>
    <x v="2"/>
    <x v="1"/>
    <x v="4"/>
    <x v="2881"/>
    <x v="5"/>
    <n v="1"/>
    <x v="1253"/>
    <n v="2"/>
    <x v="9"/>
    <x v="0"/>
  </r>
  <r>
    <n v="1761"/>
    <x v="134"/>
    <x v="26"/>
    <x v="1"/>
    <x v="2"/>
    <x v="2"/>
    <x v="0"/>
    <x v="2882"/>
    <x v="5"/>
    <n v="1"/>
    <x v="1254"/>
    <n v="3"/>
    <x v="9"/>
    <x v="0"/>
  </r>
  <r>
    <n v="4244"/>
    <x v="134"/>
    <x v="34"/>
    <x v="0"/>
    <x v="2"/>
    <x v="1"/>
    <x v="1"/>
    <x v="2883"/>
    <x v="2"/>
    <n v="1"/>
    <x v="1255"/>
    <n v="3"/>
    <x v="7"/>
    <x v="1"/>
  </r>
  <r>
    <n v="830"/>
    <x v="134"/>
    <x v="18"/>
    <x v="1"/>
    <x v="0"/>
    <x v="1"/>
    <x v="2"/>
    <x v="43"/>
    <x v="5"/>
    <n v="1"/>
    <x v="1256"/>
    <n v="2"/>
    <x v="1"/>
    <x v="0"/>
  </r>
  <r>
    <n v="3281"/>
    <x v="134"/>
    <x v="23"/>
    <x v="0"/>
    <x v="2"/>
    <x v="1"/>
    <x v="2"/>
    <x v="2884"/>
    <x v="0"/>
    <n v="1"/>
    <x v="1257"/>
    <n v="4"/>
    <x v="15"/>
    <x v="1"/>
  </r>
  <r>
    <n v="862"/>
    <x v="134"/>
    <x v="2"/>
    <x v="0"/>
    <x v="0"/>
    <x v="1"/>
    <x v="1"/>
    <x v="220"/>
    <x v="10"/>
    <n v="1"/>
    <x v="1258"/>
    <n v="3"/>
    <x v="0"/>
    <x v="0"/>
  </r>
  <r>
    <n v="1570"/>
    <x v="134"/>
    <x v="16"/>
    <x v="1"/>
    <x v="2"/>
    <x v="0"/>
    <x v="0"/>
    <x v="2885"/>
    <x v="0"/>
    <n v="1"/>
    <x v="1259"/>
    <n v="1"/>
    <x v="1"/>
    <x v="0"/>
  </r>
  <r>
    <n v="539"/>
    <x v="134"/>
    <x v="39"/>
    <x v="1"/>
    <x v="0"/>
    <x v="1"/>
    <x v="3"/>
    <x v="2886"/>
    <x v="5"/>
    <n v="1"/>
    <x v="1260"/>
    <n v="5"/>
    <x v="3"/>
    <x v="1"/>
  </r>
  <r>
    <n v="1212"/>
    <x v="134"/>
    <x v="4"/>
    <x v="0"/>
    <x v="3"/>
    <x v="1"/>
    <x v="7"/>
    <x v="2887"/>
    <x v="10"/>
    <n v="1"/>
    <x v="1261"/>
    <n v="4"/>
    <x v="2"/>
    <x v="2"/>
  </r>
  <r>
    <n v="3988"/>
    <x v="134"/>
    <x v="26"/>
    <x v="0"/>
    <x v="3"/>
    <x v="1"/>
    <x v="2"/>
    <x v="2888"/>
    <x v="8"/>
    <n v="0"/>
    <x v="11"/>
    <n v="0"/>
    <x v="8"/>
    <x v="3"/>
  </r>
  <r>
    <n v="3150"/>
    <x v="134"/>
    <x v="29"/>
    <x v="2"/>
    <x v="3"/>
    <x v="3"/>
    <x v="0"/>
    <x v="721"/>
    <x v="11"/>
    <n v="0"/>
    <x v="11"/>
    <n v="0"/>
    <x v="8"/>
    <x v="3"/>
  </r>
  <r>
    <n v="4955"/>
    <x v="134"/>
    <x v="1"/>
    <x v="0"/>
    <x v="2"/>
    <x v="1"/>
    <x v="4"/>
    <x v="2889"/>
    <x v="5"/>
    <n v="0"/>
    <x v="11"/>
    <n v="0"/>
    <x v="8"/>
    <x v="3"/>
  </r>
  <r>
    <n v="3587"/>
    <x v="134"/>
    <x v="10"/>
    <x v="0"/>
    <x v="3"/>
    <x v="1"/>
    <x v="4"/>
    <x v="2890"/>
    <x v="6"/>
    <n v="0"/>
    <x v="11"/>
    <n v="0"/>
    <x v="8"/>
    <x v="3"/>
  </r>
  <r>
    <n v="2078"/>
    <x v="134"/>
    <x v="17"/>
    <x v="0"/>
    <x v="1"/>
    <x v="0"/>
    <x v="0"/>
    <x v="2815"/>
    <x v="4"/>
    <n v="0"/>
    <x v="11"/>
    <n v="0"/>
    <x v="8"/>
    <x v="3"/>
  </r>
  <r>
    <n v="3467"/>
    <x v="134"/>
    <x v="18"/>
    <x v="0"/>
    <x v="3"/>
    <x v="0"/>
    <x v="0"/>
    <x v="1569"/>
    <x v="11"/>
    <n v="0"/>
    <x v="11"/>
    <n v="0"/>
    <x v="8"/>
    <x v="3"/>
  </r>
  <r>
    <n v="1315"/>
    <x v="134"/>
    <x v="10"/>
    <x v="1"/>
    <x v="1"/>
    <x v="1"/>
    <x v="7"/>
    <x v="2891"/>
    <x v="5"/>
    <n v="0"/>
    <x v="11"/>
    <n v="0"/>
    <x v="8"/>
    <x v="3"/>
  </r>
  <r>
    <n v="3091"/>
    <x v="134"/>
    <x v="13"/>
    <x v="1"/>
    <x v="2"/>
    <x v="3"/>
    <x v="0"/>
    <x v="326"/>
    <x v="2"/>
    <n v="0"/>
    <x v="11"/>
    <n v="0"/>
    <x v="8"/>
    <x v="3"/>
  </r>
  <r>
    <n v="1630"/>
    <x v="134"/>
    <x v="4"/>
    <x v="1"/>
    <x v="2"/>
    <x v="1"/>
    <x v="1"/>
    <x v="2892"/>
    <x v="6"/>
    <n v="0"/>
    <x v="11"/>
    <n v="0"/>
    <x v="8"/>
    <x v="3"/>
  </r>
  <r>
    <n v="832"/>
    <x v="134"/>
    <x v="7"/>
    <x v="1"/>
    <x v="2"/>
    <x v="0"/>
    <x v="0"/>
    <x v="861"/>
    <x v="8"/>
    <n v="0"/>
    <x v="11"/>
    <n v="0"/>
    <x v="8"/>
    <x v="3"/>
  </r>
  <r>
    <n v="483"/>
    <x v="134"/>
    <x v="18"/>
    <x v="2"/>
    <x v="3"/>
    <x v="0"/>
    <x v="0"/>
    <x v="1497"/>
    <x v="6"/>
    <n v="0"/>
    <x v="11"/>
    <n v="0"/>
    <x v="8"/>
    <x v="3"/>
  </r>
  <r>
    <n v="2159"/>
    <x v="134"/>
    <x v="0"/>
    <x v="1"/>
    <x v="0"/>
    <x v="0"/>
    <x v="0"/>
    <x v="2598"/>
    <x v="12"/>
    <n v="0"/>
    <x v="11"/>
    <n v="0"/>
    <x v="8"/>
    <x v="3"/>
  </r>
  <r>
    <n v="3451"/>
    <x v="134"/>
    <x v="7"/>
    <x v="0"/>
    <x v="1"/>
    <x v="1"/>
    <x v="6"/>
    <x v="2893"/>
    <x v="10"/>
    <n v="0"/>
    <x v="11"/>
    <n v="0"/>
    <x v="8"/>
    <x v="3"/>
  </r>
  <r>
    <n v="4258"/>
    <x v="134"/>
    <x v="47"/>
    <x v="1"/>
    <x v="2"/>
    <x v="2"/>
    <x v="0"/>
    <x v="1463"/>
    <x v="5"/>
    <n v="0"/>
    <x v="11"/>
    <n v="0"/>
    <x v="8"/>
    <x v="3"/>
  </r>
  <r>
    <n v="1419"/>
    <x v="134"/>
    <x v="7"/>
    <x v="1"/>
    <x v="0"/>
    <x v="1"/>
    <x v="7"/>
    <x v="76"/>
    <x v="6"/>
    <n v="0"/>
    <x v="11"/>
    <n v="0"/>
    <x v="8"/>
    <x v="3"/>
  </r>
  <r>
    <n v="1431"/>
    <x v="134"/>
    <x v="18"/>
    <x v="0"/>
    <x v="2"/>
    <x v="3"/>
    <x v="0"/>
    <x v="2894"/>
    <x v="0"/>
    <n v="0"/>
    <x v="11"/>
    <n v="0"/>
    <x v="8"/>
    <x v="3"/>
  </r>
  <r>
    <n v="809"/>
    <x v="134"/>
    <x v="20"/>
    <x v="1"/>
    <x v="2"/>
    <x v="3"/>
    <x v="0"/>
    <x v="940"/>
    <x v="2"/>
    <n v="0"/>
    <x v="11"/>
    <n v="0"/>
    <x v="8"/>
    <x v="3"/>
  </r>
  <r>
    <n v="1264"/>
    <x v="134"/>
    <x v="16"/>
    <x v="0"/>
    <x v="0"/>
    <x v="1"/>
    <x v="7"/>
    <x v="2895"/>
    <x v="0"/>
    <n v="0"/>
    <x v="11"/>
    <n v="0"/>
    <x v="8"/>
    <x v="3"/>
  </r>
  <r>
    <n v="2410"/>
    <x v="134"/>
    <x v="6"/>
    <x v="0"/>
    <x v="3"/>
    <x v="0"/>
    <x v="0"/>
    <x v="1781"/>
    <x v="2"/>
    <n v="0"/>
    <x v="11"/>
    <n v="0"/>
    <x v="8"/>
    <x v="3"/>
  </r>
  <r>
    <n v="2586"/>
    <x v="135"/>
    <x v="26"/>
    <x v="0"/>
    <x v="2"/>
    <x v="1"/>
    <x v="1"/>
    <x v="2896"/>
    <x v="8"/>
    <n v="1"/>
    <x v="1262"/>
    <n v="1"/>
    <x v="12"/>
    <x v="0"/>
  </r>
  <r>
    <n v="484"/>
    <x v="135"/>
    <x v="39"/>
    <x v="0"/>
    <x v="3"/>
    <x v="0"/>
    <x v="0"/>
    <x v="2897"/>
    <x v="2"/>
    <n v="1"/>
    <x v="1263"/>
    <n v="4"/>
    <x v="7"/>
    <x v="2"/>
  </r>
  <r>
    <n v="913"/>
    <x v="135"/>
    <x v="20"/>
    <x v="0"/>
    <x v="2"/>
    <x v="0"/>
    <x v="0"/>
    <x v="2898"/>
    <x v="6"/>
    <n v="1"/>
    <x v="1264"/>
    <n v="4"/>
    <x v="11"/>
    <x v="0"/>
  </r>
  <r>
    <n v="1363"/>
    <x v="135"/>
    <x v="22"/>
    <x v="1"/>
    <x v="2"/>
    <x v="0"/>
    <x v="0"/>
    <x v="446"/>
    <x v="5"/>
    <n v="1"/>
    <x v="1265"/>
    <n v="3"/>
    <x v="9"/>
    <x v="0"/>
  </r>
  <r>
    <n v="1732"/>
    <x v="135"/>
    <x v="13"/>
    <x v="1"/>
    <x v="2"/>
    <x v="1"/>
    <x v="2"/>
    <x v="1462"/>
    <x v="2"/>
    <n v="1"/>
    <x v="1266"/>
    <n v="4"/>
    <x v="10"/>
    <x v="0"/>
  </r>
  <r>
    <n v="750"/>
    <x v="135"/>
    <x v="24"/>
    <x v="0"/>
    <x v="2"/>
    <x v="3"/>
    <x v="0"/>
    <x v="2595"/>
    <x v="5"/>
    <n v="1"/>
    <x v="1267"/>
    <n v="3"/>
    <x v="4"/>
    <x v="0"/>
  </r>
  <r>
    <n v="1246"/>
    <x v="135"/>
    <x v="24"/>
    <x v="0"/>
    <x v="3"/>
    <x v="0"/>
    <x v="0"/>
    <x v="2899"/>
    <x v="6"/>
    <n v="1"/>
    <x v="1268"/>
    <n v="2"/>
    <x v="3"/>
    <x v="0"/>
  </r>
  <r>
    <n v="3556"/>
    <x v="135"/>
    <x v="25"/>
    <x v="1"/>
    <x v="0"/>
    <x v="0"/>
    <x v="0"/>
    <x v="2900"/>
    <x v="8"/>
    <n v="1"/>
    <x v="1269"/>
    <n v="2"/>
    <x v="6"/>
    <x v="0"/>
  </r>
  <r>
    <n v="3064"/>
    <x v="135"/>
    <x v="27"/>
    <x v="1"/>
    <x v="3"/>
    <x v="3"/>
    <x v="0"/>
    <x v="2878"/>
    <x v="6"/>
    <n v="1"/>
    <x v="1270"/>
    <n v="5"/>
    <x v="1"/>
    <x v="0"/>
  </r>
  <r>
    <n v="3506"/>
    <x v="135"/>
    <x v="20"/>
    <x v="1"/>
    <x v="0"/>
    <x v="0"/>
    <x v="0"/>
    <x v="2901"/>
    <x v="8"/>
    <n v="1"/>
    <x v="1271"/>
    <n v="2"/>
    <x v="9"/>
    <x v="0"/>
  </r>
  <r>
    <n v="1819"/>
    <x v="135"/>
    <x v="26"/>
    <x v="1"/>
    <x v="0"/>
    <x v="0"/>
    <x v="0"/>
    <x v="2902"/>
    <x v="2"/>
    <n v="1"/>
    <x v="1272"/>
    <n v="3"/>
    <x v="14"/>
    <x v="1"/>
  </r>
  <r>
    <n v="1044"/>
    <x v="135"/>
    <x v="23"/>
    <x v="0"/>
    <x v="3"/>
    <x v="1"/>
    <x v="3"/>
    <x v="2903"/>
    <x v="7"/>
    <n v="0"/>
    <x v="11"/>
    <n v="0"/>
    <x v="8"/>
    <x v="3"/>
  </r>
  <r>
    <n v="3630"/>
    <x v="135"/>
    <x v="26"/>
    <x v="0"/>
    <x v="3"/>
    <x v="2"/>
    <x v="0"/>
    <x v="2904"/>
    <x v="5"/>
    <n v="0"/>
    <x v="11"/>
    <n v="0"/>
    <x v="8"/>
    <x v="3"/>
  </r>
  <r>
    <n v="1569"/>
    <x v="135"/>
    <x v="24"/>
    <x v="1"/>
    <x v="0"/>
    <x v="3"/>
    <x v="0"/>
    <x v="2115"/>
    <x v="2"/>
    <n v="0"/>
    <x v="11"/>
    <n v="0"/>
    <x v="8"/>
    <x v="3"/>
  </r>
  <r>
    <n v="4855"/>
    <x v="135"/>
    <x v="14"/>
    <x v="1"/>
    <x v="1"/>
    <x v="1"/>
    <x v="7"/>
    <x v="2905"/>
    <x v="0"/>
    <n v="0"/>
    <x v="11"/>
    <n v="0"/>
    <x v="8"/>
    <x v="3"/>
  </r>
  <r>
    <n v="3428"/>
    <x v="135"/>
    <x v="20"/>
    <x v="2"/>
    <x v="2"/>
    <x v="2"/>
    <x v="0"/>
    <x v="1528"/>
    <x v="8"/>
    <n v="0"/>
    <x v="11"/>
    <n v="0"/>
    <x v="8"/>
    <x v="3"/>
  </r>
  <r>
    <n v="2458"/>
    <x v="135"/>
    <x v="22"/>
    <x v="1"/>
    <x v="3"/>
    <x v="1"/>
    <x v="1"/>
    <x v="2906"/>
    <x v="8"/>
    <n v="0"/>
    <x v="11"/>
    <n v="0"/>
    <x v="8"/>
    <x v="3"/>
  </r>
  <r>
    <n v="4083"/>
    <x v="135"/>
    <x v="39"/>
    <x v="1"/>
    <x v="0"/>
    <x v="1"/>
    <x v="6"/>
    <x v="2242"/>
    <x v="2"/>
    <n v="0"/>
    <x v="11"/>
    <n v="0"/>
    <x v="8"/>
    <x v="3"/>
  </r>
  <r>
    <n v="753"/>
    <x v="135"/>
    <x v="22"/>
    <x v="0"/>
    <x v="2"/>
    <x v="3"/>
    <x v="0"/>
    <x v="2907"/>
    <x v="8"/>
    <n v="0"/>
    <x v="11"/>
    <n v="0"/>
    <x v="8"/>
    <x v="3"/>
  </r>
  <r>
    <n v="82"/>
    <x v="135"/>
    <x v="16"/>
    <x v="0"/>
    <x v="0"/>
    <x v="1"/>
    <x v="6"/>
    <x v="878"/>
    <x v="4"/>
    <n v="0"/>
    <x v="11"/>
    <n v="0"/>
    <x v="8"/>
    <x v="3"/>
  </r>
  <r>
    <n v="2798"/>
    <x v="135"/>
    <x v="6"/>
    <x v="0"/>
    <x v="3"/>
    <x v="1"/>
    <x v="5"/>
    <x v="2908"/>
    <x v="0"/>
    <n v="0"/>
    <x v="11"/>
    <n v="0"/>
    <x v="8"/>
    <x v="3"/>
  </r>
  <r>
    <n v="4514"/>
    <x v="135"/>
    <x v="15"/>
    <x v="1"/>
    <x v="0"/>
    <x v="0"/>
    <x v="0"/>
    <x v="2575"/>
    <x v="2"/>
    <n v="0"/>
    <x v="11"/>
    <n v="0"/>
    <x v="8"/>
    <x v="3"/>
  </r>
  <r>
    <n v="4947"/>
    <x v="135"/>
    <x v="30"/>
    <x v="1"/>
    <x v="3"/>
    <x v="0"/>
    <x v="0"/>
    <x v="416"/>
    <x v="4"/>
    <n v="0"/>
    <x v="11"/>
    <n v="0"/>
    <x v="8"/>
    <x v="3"/>
  </r>
  <r>
    <n v="4358"/>
    <x v="135"/>
    <x v="48"/>
    <x v="0"/>
    <x v="1"/>
    <x v="2"/>
    <x v="0"/>
    <x v="2909"/>
    <x v="4"/>
    <n v="0"/>
    <x v="11"/>
    <n v="0"/>
    <x v="8"/>
    <x v="3"/>
  </r>
  <r>
    <n v="3004"/>
    <x v="135"/>
    <x v="3"/>
    <x v="1"/>
    <x v="3"/>
    <x v="3"/>
    <x v="0"/>
    <x v="567"/>
    <x v="2"/>
    <n v="0"/>
    <x v="11"/>
    <n v="0"/>
    <x v="8"/>
    <x v="3"/>
  </r>
  <r>
    <n v="350"/>
    <x v="135"/>
    <x v="10"/>
    <x v="0"/>
    <x v="0"/>
    <x v="1"/>
    <x v="3"/>
    <x v="788"/>
    <x v="2"/>
    <n v="0"/>
    <x v="11"/>
    <n v="0"/>
    <x v="8"/>
    <x v="3"/>
  </r>
  <r>
    <n v="2745"/>
    <x v="135"/>
    <x v="20"/>
    <x v="1"/>
    <x v="1"/>
    <x v="0"/>
    <x v="0"/>
    <x v="861"/>
    <x v="1"/>
    <n v="0"/>
    <x v="11"/>
    <n v="0"/>
    <x v="8"/>
    <x v="3"/>
  </r>
  <r>
    <n v="4861"/>
    <x v="135"/>
    <x v="1"/>
    <x v="0"/>
    <x v="1"/>
    <x v="1"/>
    <x v="5"/>
    <x v="492"/>
    <x v="1"/>
    <n v="0"/>
    <x v="11"/>
    <n v="0"/>
    <x v="8"/>
    <x v="3"/>
  </r>
  <r>
    <n v="2463"/>
    <x v="135"/>
    <x v="13"/>
    <x v="0"/>
    <x v="3"/>
    <x v="0"/>
    <x v="0"/>
    <x v="869"/>
    <x v="4"/>
    <n v="0"/>
    <x v="11"/>
    <n v="0"/>
    <x v="8"/>
    <x v="3"/>
  </r>
  <r>
    <n v="3422"/>
    <x v="135"/>
    <x v="20"/>
    <x v="0"/>
    <x v="0"/>
    <x v="3"/>
    <x v="0"/>
    <x v="883"/>
    <x v="11"/>
    <n v="0"/>
    <x v="11"/>
    <n v="0"/>
    <x v="8"/>
    <x v="3"/>
  </r>
  <r>
    <n v="1644"/>
    <x v="135"/>
    <x v="2"/>
    <x v="0"/>
    <x v="2"/>
    <x v="0"/>
    <x v="0"/>
    <x v="1309"/>
    <x v="8"/>
    <n v="0"/>
    <x v="11"/>
    <n v="0"/>
    <x v="8"/>
    <x v="3"/>
  </r>
  <r>
    <n v="3714"/>
    <x v="135"/>
    <x v="5"/>
    <x v="1"/>
    <x v="3"/>
    <x v="1"/>
    <x v="2"/>
    <x v="99"/>
    <x v="8"/>
    <n v="0"/>
    <x v="11"/>
    <n v="0"/>
    <x v="8"/>
    <x v="3"/>
  </r>
  <r>
    <n v="299"/>
    <x v="135"/>
    <x v="8"/>
    <x v="1"/>
    <x v="2"/>
    <x v="0"/>
    <x v="0"/>
    <x v="999"/>
    <x v="8"/>
    <n v="0"/>
    <x v="11"/>
    <n v="0"/>
    <x v="8"/>
    <x v="3"/>
  </r>
  <r>
    <n v="1060"/>
    <x v="135"/>
    <x v="10"/>
    <x v="1"/>
    <x v="2"/>
    <x v="0"/>
    <x v="0"/>
    <x v="2910"/>
    <x v="1"/>
    <n v="0"/>
    <x v="11"/>
    <n v="0"/>
    <x v="8"/>
    <x v="3"/>
  </r>
  <r>
    <n v="2515"/>
    <x v="135"/>
    <x v="24"/>
    <x v="1"/>
    <x v="1"/>
    <x v="0"/>
    <x v="0"/>
    <x v="385"/>
    <x v="0"/>
    <n v="0"/>
    <x v="11"/>
    <n v="0"/>
    <x v="8"/>
    <x v="3"/>
  </r>
  <r>
    <n v="3933"/>
    <x v="135"/>
    <x v="62"/>
    <x v="1"/>
    <x v="0"/>
    <x v="0"/>
    <x v="0"/>
    <x v="2911"/>
    <x v="2"/>
    <n v="0"/>
    <x v="11"/>
    <n v="0"/>
    <x v="8"/>
    <x v="3"/>
  </r>
  <r>
    <n v="2480"/>
    <x v="136"/>
    <x v="19"/>
    <x v="0"/>
    <x v="3"/>
    <x v="0"/>
    <x v="0"/>
    <x v="2912"/>
    <x v="4"/>
    <n v="1"/>
    <x v="1273"/>
    <n v="4"/>
    <x v="15"/>
    <x v="0"/>
  </r>
  <r>
    <n v="756"/>
    <x v="136"/>
    <x v="20"/>
    <x v="1"/>
    <x v="0"/>
    <x v="0"/>
    <x v="0"/>
    <x v="2913"/>
    <x v="2"/>
    <n v="1"/>
    <x v="1274"/>
    <n v="4"/>
    <x v="7"/>
    <x v="0"/>
  </r>
  <r>
    <n v="2621"/>
    <x v="136"/>
    <x v="23"/>
    <x v="0"/>
    <x v="0"/>
    <x v="0"/>
    <x v="0"/>
    <x v="2914"/>
    <x v="9"/>
    <n v="1"/>
    <x v="1275"/>
    <n v="5"/>
    <x v="10"/>
    <x v="1"/>
  </r>
  <r>
    <n v="3280"/>
    <x v="136"/>
    <x v="8"/>
    <x v="0"/>
    <x v="1"/>
    <x v="1"/>
    <x v="7"/>
    <x v="2915"/>
    <x v="2"/>
    <n v="1"/>
    <x v="1276"/>
    <n v="3"/>
    <x v="12"/>
    <x v="0"/>
  </r>
  <r>
    <n v="4945"/>
    <x v="136"/>
    <x v="21"/>
    <x v="1"/>
    <x v="1"/>
    <x v="0"/>
    <x v="0"/>
    <x v="2916"/>
    <x v="11"/>
    <n v="1"/>
    <x v="1277"/>
    <n v="1"/>
    <x v="5"/>
    <x v="0"/>
  </r>
  <r>
    <n v="4125"/>
    <x v="136"/>
    <x v="51"/>
    <x v="0"/>
    <x v="1"/>
    <x v="3"/>
    <x v="0"/>
    <x v="676"/>
    <x v="8"/>
    <n v="1"/>
    <x v="1278"/>
    <n v="3"/>
    <x v="12"/>
    <x v="2"/>
  </r>
  <r>
    <n v="2096"/>
    <x v="136"/>
    <x v="2"/>
    <x v="1"/>
    <x v="3"/>
    <x v="2"/>
    <x v="0"/>
    <x v="2917"/>
    <x v="2"/>
    <n v="1"/>
    <x v="536"/>
    <n v="7"/>
    <x v="2"/>
    <x v="1"/>
  </r>
  <r>
    <n v="2105"/>
    <x v="136"/>
    <x v="26"/>
    <x v="0"/>
    <x v="2"/>
    <x v="0"/>
    <x v="0"/>
    <x v="2918"/>
    <x v="1"/>
    <n v="1"/>
    <x v="172"/>
    <n v="3"/>
    <x v="10"/>
    <x v="1"/>
  </r>
  <r>
    <n v="649"/>
    <x v="136"/>
    <x v="4"/>
    <x v="0"/>
    <x v="0"/>
    <x v="0"/>
    <x v="0"/>
    <x v="2919"/>
    <x v="2"/>
    <n v="1"/>
    <x v="1279"/>
    <n v="2"/>
    <x v="4"/>
    <x v="2"/>
  </r>
  <r>
    <n v="2378"/>
    <x v="136"/>
    <x v="31"/>
    <x v="0"/>
    <x v="2"/>
    <x v="0"/>
    <x v="0"/>
    <x v="273"/>
    <x v="0"/>
    <n v="1"/>
    <x v="1280"/>
    <n v="2"/>
    <x v="6"/>
    <x v="1"/>
  </r>
  <r>
    <n v="1675"/>
    <x v="136"/>
    <x v="22"/>
    <x v="1"/>
    <x v="2"/>
    <x v="3"/>
    <x v="0"/>
    <x v="2920"/>
    <x v="3"/>
    <n v="0"/>
    <x v="11"/>
    <n v="0"/>
    <x v="8"/>
    <x v="3"/>
  </r>
  <r>
    <n v="422"/>
    <x v="136"/>
    <x v="20"/>
    <x v="2"/>
    <x v="3"/>
    <x v="1"/>
    <x v="3"/>
    <x v="2921"/>
    <x v="0"/>
    <n v="0"/>
    <x v="11"/>
    <n v="0"/>
    <x v="8"/>
    <x v="3"/>
  </r>
  <r>
    <n v="1925"/>
    <x v="136"/>
    <x v="0"/>
    <x v="0"/>
    <x v="1"/>
    <x v="0"/>
    <x v="0"/>
    <x v="2922"/>
    <x v="2"/>
    <n v="0"/>
    <x v="11"/>
    <n v="0"/>
    <x v="8"/>
    <x v="3"/>
  </r>
  <r>
    <n v="3265"/>
    <x v="136"/>
    <x v="34"/>
    <x v="2"/>
    <x v="3"/>
    <x v="0"/>
    <x v="0"/>
    <x v="2221"/>
    <x v="0"/>
    <n v="0"/>
    <x v="11"/>
    <n v="0"/>
    <x v="8"/>
    <x v="3"/>
  </r>
  <r>
    <n v="2478"/>
    <x v="136"/>
    <x v="23"/>
    <x v="1"/>
    <x v="3"/>
    <x v="1"/>
    <x v="3"/>
    <x v="2743"/>
    <x v="5"/>
    <n v="0"/>
    <x v="11"/>
    <n v="0"/>
    <x v="8"/>
    <x v="3"/>
  </r>
  <r>
    <n v="4038"/>
    <x v="136"/>
    <x v="23"/>
    <x v="0"/>
    <x v="0"/>
    <x v="0"/>
    <x v="0"/>
    <x v="1749"/>
    <x v="2"/>
    <n v="0"/>
    <x v="11"/>
    <n v="0"/>
    <x v="8"/>
    <x v="3"/>
  </r>
  <r>
    <n v="3629"/>
    <x v="136"/>
    <x v="24"/>
    <x v="1"/>
    <x v="2"/>
    <x v="0"/>
    <x v="0"/>
    <x v="957"/>
    <x v="8"/>
    <n v="0"/>
    <x v="11"/>
    <n v="0"/>
    <x v="8"/>
    <x v="3"/>
  </r>
  <r>
    <n v="3190"/>
    <x v="136"/>
    <x v="31"/>
    <x v="1"/>
    <x v="0"/>
    <x v="1"/>
    <x v="3"/>
    <x v="2923"/>
    <x v="4"/>
    <n v="0"/>
    <x v="11"/>
    <n v="0"/>
    <x v="8"/>
    <x v="3"/>
  </r>
  <r>
    <n v="421"/>
    <x v="136"/>
    <x v="24"/>
    <x v="0"/>
    <x v="2"/>
    <x v="0"/>
    <x v="0"/>
    <x v="2924"/>
    <x v="4"/>
    <n v="0"/>
    <x v="11"/>
    <n v="0"/>
    <x v="8"/>
    <x v="3"/>
  </r>
  <r>
    <n v="2784"/>
    <x v="136"/>
    <x v="14"/>
    <x v="0"/>
    <x v="0"/>
    <x v="1"/>
    <x v="7"/>
    <x v="740"/>
    <x v="0"/>
    <n v="0"/>
    <x v="11"/>
    <n v="0"/>
    <x v="8"/>
    <x v="3"/>
  </r>
  <r>
    <n v="1042"/>
    <x v="136"/>
    <x v="22"/>
    <x v="0"/>
    <x v="1"/>
    <x v="3"/>
    <x v="0"/>
    <x v="2925"/>
    <x v="5"/>
    <n v="0"/>
    <x v="11"/>
    <n v="0"/>
    <x v="8"/>
    <x v="3"/>
  </r>
  <r>
    <n v="2801"/>
    <x v="136"/>
    <x v="4"/>
    <x v="1"/>
    <x v="1"/>
    <x v="1"/>
    <x v="1"/>
    <x v="2926"/>
    <x v="2"/>
    <n v="0"/>
    <x v="11"/>
    <n v="0"/>
    <x v="8"/>
    <x v="3"/>
  </r>
  <r>
    <n v="1328"/>
    <x v="136"/>
    <x v="16"/>
    <x v="1"/>
    <x v="3"/>
    <x v="0"/>
    <x v="0"/>
    <x v="810"/>
    <x v="2"/>
    <n v="0"/>
    <x v="11"/>
    <n v="0"/>
    <x v="8"/>
    <x v="3"/>
  </r>
  <r>
    <n v="4678"/>
    <x v="137"/>
    <x v="35"/>
    <x v="1"/>
    <x v="0"/>
    <x v="3"/>
    <x v="0"/>
    <x v="2927"/>
    <x v="5"/>
    <n v="1"/>
    <x v="1281"/>
    <n v="5"/>
    <x v="14"/>
    <x v="0"/>
  </r>
  <r>
    <n v="2435"/>
    <x v="137"/>
    <x v="33"/>
    <x v="0"/>
    <x v="1"/>
    <x v="0"/>
    <x v="0"/>
    <x v="1757"/>
    <x v="4"/>
    <n v="1"/>
    <x v="1282"/>
    <n v="1"/>
    <x v="9"/>
    <x v="1"/>
  </r>
  <r>
    <n v="1181"/>
    <x v="137"/>
    <x v="22"/>
    <x v="0"/>
    <x v="3"/>
    <x v="0"/>
    <x v="0"/>
    <x v="1083"/>
    <x v="9"/>
    <n v="1"/>
    <x v="1283"/>
    <n v="2"/>
    <x v="3"/>
    <x v="0"/>
  </r>
  <r>
    <n v="2739"/>
    <x v="137"/>
    <x v="5"/>
    <x v="1"/>
    <x v="2"/>
    <x v="1"/>
    <x v="7"/>
    <x v="799"/>
    <x v="0"/>
    <n v="1"/>
    <x v="1284"/>
    <n v="4"/>
    <x v="4"/>
    <x v="0"/>
  </r>
  <r>
    <n v="465"/>
    <x v="137"/>
    <x v="22"/>
    <x v="1"/>
    <x v="0"/>
    <x v="1"/>
    <x v="2"/>
    <x v="289"/>
    <x v="5"/>
    <n v="1"/>
    <x v="1285"/>
    <n v="6"/>
    <x v="5"/>
    <x v="0"/>
  </r>
  <r>
    <n v="3915"/>
    <x v="137"/>
    <x v="33"/>
    <x v="0"/>
    <x v="1"/>
    <x v="1"/>
    <x v="5"/>
    <x v="2742"/>
    <x v="11"/>
    <n v="1"/>
    <x v="1286"/>
    <n v="4"/>
    <x v="3"/>
    <x v="1"/>
  </r>
  <r>
    <n v="1426"/>
    <x v="137"/>
    <x v="10"/>
    <x v="1"/>
    <x v="0"/>
    <x v="0"/>
    <x v="0"/>
    <x v="2928"/>
    <x v="2"/>
    <n v="1"/>
    <x v="1287"/>
    <n v="1"/>
    <x v="12"/>
    <x v="1"/>
  </r>
  <r>
    <n v="35"/>
    <x v="137"/>
    <x v="19"/>
    <x v="0"/>
    <x v="1"/>
    <x v="1"/>
    <x v="7"/>
    <x v="2929"/>
    <x v="5"/>
    <n v="1"/>
    <x v="1288"/>
    <n v="2"/>
    <x v="6"/>
    <x v="0"/>
  </r>
  <r>
    <n v="4907"/>
    <x v="137"/>
    <x v="14"/>
    <x v="0"/>
    <x v="1"/>
    <x v="1"/>
    <x v="2"/>
    <x v="2930"/>
    <x v="8"/>
    <n v="1"/>
    <x v="228"/>
    <n v="4"/>
    <x v="2"/>
    <x v="0"/>
  </r>
  <r>
    <n v="4933"/>
    <x v="137"/>
    <x v="1"/>
    <x v="0"/>
    <x v="1"/>
    <x v="0"/>
    <x v="0"/>
    <x v="2931"/>
    <x v="5"/>
    <n v="1"/>
    <x v="1289"/>
    <n v="9"/>
    <x v="11"/>
    <x v="1"/>
  </r>
  <r>
    <n v="3697"/>
    <x v="137"/>
    <x v="45"/>
    <x v="0"/>
    <x v="2"/>
    <x v="3"/>
    <x v="0"/>
    <x v="2932"/>
    <x v="5"/>
    <n v="0"/>
    <x v="11"/>
    <n v="0"/>
    <x v="8"/>
    <x v="3"/>
  </r>
  <r>
    <n v="4107"/>
    <x v="137"/>
    <x v="34"/>
    <x v="1"/>
    <x v="1"/>
    <x v="0"/>
    <x v="0"/>
    <x v="554"/>
    <x v="2"/>
    <n v="0"/>
    <x v="11"/>
    <n v="0"/>
    <x v="8"/>
    <x v="3"/>
  </r>
  <r>
    <n v="2472"/>
    <x v="137"/>
    <x v="33"/>
    <x v="1"/>
    <x v="3"/>
    <x v="1"/>
    <x v="7"/>
    <x v="2933"/>
    <x v="8"/>
    <n v="0"/>
    <x v="11"/>
    <n v="0"/>
    <x v="8"/>
    <x v="3"/>
  </r>
  <r>
    <n v="2092"/>
    <x v="137"/>
    <x v="19"/>
    <x v="0"/>
    <x v="3"/>
    <x v="2"/>
    <x v="0"/>
    <x v="2934"/>
    <x v="5"/>
    <n v="0"/>
    <x v="11"/>
    <n v="0"/>
    <x v="8"/>
    <x v="3"/>
  </r>
  <r>
    <n v="1699"/>
    <x v="137"/>
    <x v="16"/>
    <x v="1"/>
    <x v="0"/>
    <x v="1"/>
    <x v="5"/>
    <x v="2935"/>
    <x v="10"/>
    <n v="0"/>
    <x v="11"/>
    <n v="0"/>
    <x v="8"/>
    <x v="3"/>
  </r>
  <r>
    <n v="367"/>
    <x v="137"/>
    <x v="22"/>
    <x v="0"/>
    <x v="2"/>
    <x v="1"/>
    <x v="2"/>
    <x v="1944"/>
    <x v="2"/>
    <n v="0"/>
    <x v="11"/>
    <n v="0"/>
    <x v="8"/>
    <x v="3"/>
  </r>
  <r>
    <n v="141"/>
    <x v="137"/>
    <x v="23"/>
    <x v="1"/>
    <x v="1"/>
    <x v="3"/>
    <x v="0"/>
    <x v="2702"/>
    <x v="9"/>
    <n v="0"/>
    <x v="11"/>
    <n v="0"/>
    <x v="8"/>
    <x v="3"/>
  </r>
  <r>
    <n v="3068"/>
    <x v="137"/>
    <x v="44"/>
    <x v="0"/>
    <x v="0"/>
    <x v="2"/>
    <x v="0"/>
    <x v="1108"/>
    <x v="8"/>
    <n v="0"/>
    <x v="11"/>
    <n v="0"/>
    <x v="8"/>
    <x v="3"/>
  </r>
  <r>
    <n v="4204"/>
    <x v="137"/>
    <x v="28"/>
    <x v="0"/>
    <x v="1"/>
    <x v="0"/>
    <x v="0"/>
    <x v="68"/>
    <x v="2"/>
    <n v="0"/>
    <x v="11"/>
    <n v="0"/>
    <x v="8"/>
    <x v="3"/>
  </r>
  <r>
    <n v="1545"/>
    <x v="137"/>
    <x v="24"/>
    <x v="0"/>
    <x v="1"/>
    <x v="3"/>
    <x v="0"/>
    <x v="620"/>
    <x v="0"/>
    <n v="0"/>
    <x v="11"/>
    <n v="0"/>
    <x v="8"/>
    <x v="3"/>
  </r>
  <r>
    <n v="2637"/>
    <x v="137"/>
    <x v="34"/>
    <x v="1"/>
    <x v="0"/>
    <x v="1"/>
    <x v="7"/>
    <x v="2936"/>
    <x v="1"/>
    <n v="0"/>
    <x v="11"/>
    <n v="0"/>
    <x v="8"/>
    <x v="3"/>
  </r>
  <r>
    <n v="2695"/>
    <x v="137"/>
    <x v="33"/>
    <x v="1"/>
    <x v="1"/>
    <x v="0"/>
    <x v="0"/>
    <x v="520"/>
    <x v="12"/>
    <n v="0"/>
    <x v="11"/>
    <n v="0"/>
    <x v="8"/>
    <x v="3"/>
  </r>
  <r>
    <n v="3710"/>
    <x v="137"/>
    <x v="5"/>
    <x v="1"/>
    <x v="1"/>
    <x v="1"/>
    <x v="2"/>
    <x v="2937"/>
    <x v="6"/>
    <n v="0"/>
    <x v="11"/>
    <n v="0"/>
    <x v="8"/>
    <x v="3"/>
  </r>
  <r>
    <n v="248"/>
    <x v="137"/>
    <x v="7"/>
    <x v="1"/>
    <x v="0"/>
    <x v="3"/>
    <x v="0"/>
    <x v="2938"/>
    <x v="5"/>
    <n v="0"/>
    <x v="11"/>
    <n v="0"/>
    <x v="8"/>
    <x v="3"/>
  </r>
  <r>
    <n v="2214"/>
    <x v="137"/>
    <x v="13"/>
    <x v="0"/>
    <x v="2"/>
    <x v="0"/>
    <x v="0"/>
    <x v="2939"/>
    <x v="4"/>
    <n v="0"/>
    <x v="11"/>
    <n v="0"/>
    <x v="8"/>
    <x v="3"/>
  </r>
  <r>
    <n v="2416"/>
    <x v="137"/>
    <x v="10"/>
    <x v="1"/>
    <x v="0"/>
    <x v="3"/>
    <x v="0"/>
    <x v="1618"/>
    <x v="2"/>
    <n v="0"/>
    <x v="11"/>
    <n v="0"/>
    <x v="8"/>
    <x v="3"/>
  </r>
  <r>
    <n v="1701"/>
    <x v="137"/>
    <x v="8"/>
    <x v="1"/>
    <x v="2"/>
    <x v="0"/>
    <x v="0"/>
    <x v="1435"/>
    <x v="0"/>
    <n v="0"/>
    <x v="11"/>
    <n v="0"/>
    <x v="8"/>
    <x v="3"/>
  </r>
  <r>
    <n v="314"/>
    <x v="137"/>
    <x v="0"/>
    <x v="0"/>
    <x v="2"/>
    <x v="0"/>
    <x v="0"/>
    <x v="2940"/>
    <x v="8"/>
    <n v="0"/>
    <x v="11"/>
    <n v="0"/>
    <x v="8"/>
    <x v="3"/>
  </r>
  <r>
    <n v="2626"/>
    <x v="137"/>
    <x v="23"/>
    <x v="0"/>
    <x v="2"/>
    <x v="3"/>
    <x v="0"/>
    <x v="426"/>
    <x v="0"/>
    <n v="0"/>
    <x v="11"/>
    <n v="0"/>
    <x v="8"/>
    <x v="3"/>
  </r>
  <r>
    <n v="470"/>
    <x v="137"/>
    <x v="7"/>
    <x v="0"/>
    <x v="1"/>
    <x v="0"/>
    <x v="0"/>
    <x v="2941"/>
    <x v="5"/>
    <n v="0"/>
    <x v="11"/>
    <n v="0"/>
    <x v="8"/>
    <x v="3"/>
  </r>
  <r>
    <n v="2021"/>
    <x v="137"/>
    <x v="26"/>
    <x v="0"/>
    <x v="3"/>
    <x v="2"/>
    <x v="0"/>
    <x v="2942"/>
    <x v="8"/>
    <n v="0"/>
    <x v="11"/>
    <n v="0"/>
    <x v="8"/>
    <x v="3"/>
  </r>
  <r>
    <n v="718"/>
    <x v="137"/>
    <x v="2"/>
    <x v="0"/>
    <x v="2"/>
    <x v="1"/>
    <x v="3"/>
    <x v="387"/>
    <x v="5"/>
    <n v="0"/>
    <x v="11"/>
    <n v="0"/>
    <x v="8"/>
    <x v="3"/>
  </r>
  <r>
    <n v="4586"/>
    <x v="137"/>
    <x v="25"/>
    <x v="0"/>
    <x v="2"/>
    <x v="3"/>
    <x v="0"/>
    <x v="1571"/>
    <x v="6"/>
    <n v="0"/>
    <x v="11"/>
    <n v="0"/>
    <x v="8"/>
    <x v="3"/>
  </r>
  <r>
    <n v="249"/>
    <x v="137"/>
    <x v="6"/>
    <x v="0"/>
    <x v="0"/>
    <x v="0"/>
    <x v="0"/>
    <x v="2943"/>
    <x v="8"/>
    <n v="0"/>
    <x v="11"/>
    <n v="0"/>
    <x v="8"/>
    <x v="3"/>
  </r>
  <r>
    <n v="2452"/>
    <x v="137"/>
    <x v="0"/>
    <x v="1"/>
    <x v="2"/>
    <x v="0"/>
    <x v="0"/>
    <x v="2944"/>
    <x v="5"/>
    <n v="0"/>
    <x v="11"/>
    <n v="0"/>
    <x v="8"/>
    <x v="3"/>
  </r>
  <r>
    <n v="4644"/>
    <x v="138"/>
    <x v="42"/>
    <x v="0"/>
    <x v="0"/>
    <x v="2"/>
    <x v="0"/>
    <x v="2945"/>
    <x v="5"/>
    <n v="1"/>
    <x v="1290"/>
    <n v="2"/>
    <x v="1"/>
    <x v="1"/>
  </r>
  <r>
    <n v="4872"/>
    <x v="138"/>
    <x v="15"/>
    <x v="1"/>
    <x v="2"/>
    <x v="1"/>
    <x v="5"/>
    <x v="1094"/>
    <x v="6"/>
    <n v="1"/>
    <x v="1291"/>
    <n v="3"/>
    <x v="11"/>
    <x v="0"/>
  </r>
  <r>
    <n v="4332"/>
    <x v="138"/>
    <x v="45"/>
    <x v="0"/>
    <x v="1"/>
    <x v="3"/>
    <x v="0"/>
    <x v="2946"/>
    <x v="0"/>
    <n v="1"/>
    <x v="1292"/>
    <n v="2"/>
    <x v="13"/>
    <x v="0"/>
  </r>
  <r>
    <n v="1247"/>
    <x v="138"/>
    <x v="18"/>
    <x v="1"/>
    <x v="2"/>
    <x v="0"/>
    <x v="0"/>
    <x v="2947"/>
    <x v="11"/>
    <n v="1"/>
    <x v="1293"/>
    <n v="4"/>
    <x v="5"/>
    <x v="0"/>
  </r>
  <r>
    <n v="4185"/>
    <x v="138"/>
    <x v="40"/>
    <x v="1"/>
    <x v="2"/>
    <x v="1"/>
    <x v="6"/>
    <x v="653"/>
    <x v="11"/>
    <n v="1"/>
    <x v="1294"/>
    <n v="5"/>
    <x v="2"/>
    <x v="1"/>
  </r>
  <r>
    <n v="1837"/>
    <x v="138"/>
    <x v="26"/>
    <x v="1"/>
    <x v="0"/>
    <x v="0"/>
    <x v="0"/>
    <x v="440"/>
    <x v="4"/>
    <n v="1"/>
    <x v="1295"/>
    <n v="1"/>
    <x v="1"/>
    <x v="0"/>
  </r>
  <r>
    <n v="2477"/>
    <x v="138"/>
    <x v="13"/>
    <x v="1"/>
    <x v="3"/>
    <x v="3"/>
    <x v="0"/>
    <x v="2142"/>
    <x v="5"/>
    <n v="1"/>
    <x v="1296"/>
    <n v="2"/>
    <x v="3"/>
    <x v="0"/>
  </r>
  <r>
    <n v="1685"/>
    <x v="138"/>
    <x v="6"/>
    <x v="2"/>
    <x v="0"/>
    <x v="0"/>
    <x v="0"/>
    <x v="2948"/>
    <x v="8"/>
    <n v="1"/>
    <x v="1148"/>
    <n v="3"/>
    <x v="5"/>
    <x v="0"/>
  </r>
  <r>
    <n v="1735"/>
    <x v="138"/>
    <x v="24"/>
    <x v="0"/>
    <x v="3"/>
    <x v="2"/>
    <x v="0"/>
    <x v="353"/>
    <x v="2"/>
    <n v="1"/>
    <x v="1297"/>
    <n v="2"/>
    <x v="4"/>
    <x v="2"/>
  </r>
  <r>
    <n v="2995"/>
    <x v="138"/>
    <x v="44"/>
    <x v="0"/>
    <x v="1"/>
    <x v="1"/>
    <x v="4"/>
    <x v="2949"/>
    <x v="5"/>
    <n v="1"/>
    <x v="1298"/>
    <n v="4"/>
    <x v="15"/>
    <x v="0"/>
  </r>
  <r>
    <n v="1292"/>
    <x v="138"/>
    <x v="22"/>
    <x v="0"/>
    <x v="0"/>
    <x v="0"/>
    <x v="0"/>
    <x v="1960"/>
    <x v="2"/>
    <n v="1"/>
    <x v="1299"/>
    <n v="2"/>
    <x v="3"/>
    <x v="0"/>
  </r>
  <r>
    <n v="3412"/>
    <x v="138"/>
    <x v="3"/>
    <x v="1"/>
    <x v="0"/>
    <x v="0"/>
    <x v="0"/>
    <x v="2950"/>
    <x v="8"/>
    <n v="1"/>
    <x v="1300"/>
    <n v="2"/>
    <x v="2"/>
    <x v="2"/>
  </r>
  <r>
    <n v="2316"/>
    <x v="138"/>
    <x v="22"/>
    <x v="0"/>
    <x v="0"/>
    <x v="1"/>
    <x v="4"/>
    <x v="2951"/>
    <x v="8"/>
    <n v="0"/>
    <x v="11"/>
    <n v="0"/>
    <x v="8"/>
    <x v="3"/>
  </r>
  <r>
    <n v="1162"/>
    <x v="138"/>
    <x v="7"/>
    <x v="0"/>
    <x v="1"/>
    <x v="0"/>
    <x v="0"/>
    <x v="2952"/>
    <x v="6"/>
    <n v="0"/>
    <x v="11"/>
    <n v="0"/>
    <x v="8"/>
    <x v="3"/>
  </r>
  <r>
    <n v="589"/>
    <x v="138"/>
    <x v="24"/>
    <x v="1"/>
    <x v="3"/>
    <x v="1"/>
    <x v="3"/>
    <x v="2953"/>
    <x v="5"/>
    <n v="0"/>
    <x v="11"/>
    <n v="0"/>
    <x v="8"/>
    <x v="3"/>
  </r>
  <r>
    <n v="1869"/>
    <x v="138"/>
    <x v="3"/>
    <x v="1"/>
    <x v="0"/>
    <x v="1"/>
    <x v="3"/>
    <x v="2954"/>
    <x v="6"/>
    <n v="0"/>
    <x v="11"/>
    <n v="0"/>
    <x v="8"/>
    <x v="3"/>
  </r>
  <r>
    <n v="1388"/>
    <x v="138"/>
    <x v="8"/>
    <x v="0"/>
    <x v="1"/>
    <x v="0"/>
    <x v="0"/>
    <x v="2955"/>
    <x v="2"/>
    <n v="0"/>
    <x v="11"/>
    <n v="0"/>
    <x v="8"/>
    <x v="3"/>
  </r>
  <r>
    <n v="2901"/>
    <x v="138"/>
    <x v="28"/>
    <x v="0"/>
    <x v="2"/>
    <x v="0"/>
    <x v="0"/>
    <x v="2956"/>
    <x v="5"/>
    <n v="0"/>
    <x v="11"/>
    <n v="0"/>
    <x v="8"/>
    <x v="3"/>
  </r>
  <r>
    <n v="4467"/>
    <x v="138"/>
    <x v="3"/>
    <x v="0"/>
    <x v="1"/>
    <x v="3"/>
    <x v="0"/>
    <x v="2957"/>
    <x v="6"/>
    <n v="0"/>
    <x v="11"/>
    <n v="0"/>
    <x v="8"/>
    <x v="3"/>
  </r>
  <r>
    <n v="1366"/>
    <x v="138"/>
    <x v="2"/>
    <x v="0"/>
    <x v="3"/>
    <x v="0"/>
    <x v="0"/>
    <x v="2958"/>
    <x v="6"/>
    <n v="0"/>
    <x v="11"/>
    <n v="0"/>
    <x v="8"/>
    <x v="3"/>
  </r>
  <r>
    <n v="540"/>
    <x v="138"/>
    <x v="24"/>
    <x v="0"/>
    <x v="0"/>
    <x v="1"/>
    <x v="7"/>
    <x v="734"/>
    <x v="2"/>
    <n v="0"/>
    <x v="11"/>
    <n v="0"/>
    <x v="8"/>
    <x v="3"/>
  </r>
  <r>
    <n v="4187"/>
    <x v="138"/>
    <x v="29"/>
    <x v="0"/>
    <x v="1"/>
    <x v="0"/>
    <x v="0"/>
    <x v="2959"/>
    <x v="6"/>
    <n v="0"/>
    <x v="11"/>
    <n v="0"/>
    <x v="8"/>
    <x v="3"/>
  </r>
  <r>
    <n v="4087"/>
    <x v="138"/>
    <x v="31"/>
    <x v="0"/>
    <x v="2"/>
    <x v="0"/>
    <x v="0"/>
    <x v="506"/>
    <x v="2"/>
    <n v="0"/>
    <x v="11"/>
    <n v="0"/>
    <x v="8"/>
    <x v="3"/>
  </r>
  <r>
    <n v="3536"/>
    <x v="138"/>
    <x v="34"/>
    <x v="1"/>
    <x v="3"/>
    <x v="0"/>
    <x v="0"/>
    <x v="277"/>
    <x v="0"/>
    <n v="0"/>
    <x v="11"/>
    <n v="0"/>
    <x v="8"/>
    <x v="3"/>
  </r>
  <r>
    <n v="4588"/>
    <x v="138"/>
    <x v="45"/>
    <x v="0"/>
    <x v="1"/>
    <x v="0"/>
    <x v="0"/>
    <x v="983"/>
    <x v="4"/>
    <n v="0"/>
    <x v="11"/>
    <n v="0"/>
    <x v="8"/>
    <x v="3"/>
  </r>
  <r>
    <n v="1120"/>
    <x v="138"/>
    <x v="0"/>
    <x v="1"/>
    <x v="2"/>
    <x v="1"/>
    <x v="1"/>
    <x v="2960"/>
    <x v="0"/>
    <n v="0"/>
    <x v="11"/>
    <n v="0"/>
    <x v="8"/>
    <x v="3"/>
  </r>
  <r>
    <n v="4498"/>
    <x v="138"/>
    <x v="1"/>
    <x v="0"/>
    <x v="1"/>
    <x v="1"/>
    <x v="6"/>
    <x v="2961"/>
    <x v="10"/>
    <n v="0"/>
    <x v="11"/>
    <n v="0"/>
    <x v="8"/>
    <x v="3"/>
  </r>
  <r>
    <n v="1200"/>
    <x v="138"/>
    <x v="19"/>
    <x v="1"/>
    <x v="2"/>
    <x v="0"/>
    <x v="0"/>
    <x v="1196"/>
    <x v="2"/>
    <n v="0"/>
    <x v="11"/>
    <n v="0"/>
    <x v="8"/>
    <x v="3"/>
  </r>
  <r>
    <n v="1593"/>
    <x v="138"/>
    <x v="22"/>
    <x v="1"/>
    <x v="1"/>
    <x v="1"/>
    <x v="1"/>
    <x v="2962"/>
    <x v="9"/>
    <n v="0"/>
    <x v="11"/>
    <n v="0"/>
    <x v="8"/>
    <x v="3"/>
  </r>
  <r>
    <n v="588"/>
    <x v="138"/>
    <x v="4"/>
    <x v="0"/>
    <x v="1"/>
    <x v="3"/>
    <x v="0"/>
    <x v="2963"/>
    <x v="6"/>
    <n v="0"/>
    <x v="11"/>
    <n v="0"/>
    <x v="8"/>
    <x v="3"/>
  </r>
  <r>
    <n v="1652"/>
    <x v="139"/>
    <x v="6"/>
    <x v="0"/>
    <x v="2"/>
    <x v="1"/>
    <x v="2"/>
    <x v="183"/>
    <x v="2"/>
    <n v="1"/>
    <x v="1301"/>
    <n v="6"/>
    <x v="7"/>
    <x v="0"/>
  </r>
  <r>
    <n v="742"/>
    <x v="139"/>
    <x v="4"/>
    <x v="1"/>
    <x v="1"/>
    <x v="1"/>
    <x v="3"/>
    <x v="2964"/>
    <x v="5"/>
    <n v="1"/>
    <x v="1302"/>
    <n v="3"/>
    <x v="2"/>
    <x v="0"/>
  </r>
  <r>
    <n v="3549"/>
    <x v="139"/>
    <x v="23"/>
    <x v="0"/>
    <x v="2"/>
    <x v="1"/>
    <x v="4"/>
    <x v="944"/>
    <x v="5"/>
    <n v="1"/>
    <x v="1303"/>
    <n v="4"/>
    <x v="10"/>
    <x v="0"/>
  </r>
  <r>
    <n v="37"/>
    <x v="139"/>
    <x v="19"/>
    <x v="1"/>
    <x v="0"/>
    <x v="0"/>
    <x v="0"/>
    <x v="2965"/>
    <x v="5"/>
    <n v="1"/>
    <x v="1304"/>
    <n v="3"/>
    <x v="11"/>
    <x v="1"/>
  </r>
  <r>
    <n v="4619"/>
    <x v="139"/>
    <x v="45"/>
    <x v="0"/>
    <x v="3"/>
    <x v="0"/>
    <x v="0"/>
    <x v="2966"/>
    <x v="5"/>
    <n v="1"/>
    <x v="1305"/>
    <n v="1"/>
    <x v="9"/>
    <x v="0"/>
  </r>
  <r>
    <n v="1658"/>
    <x v="139"/>
    <x v="6"/>
    <x v="1"/>
    <x v="2"/>
    <x v="3"/>
    <x v="0"/>
    <x v="2967"/>
    <x v="11"/>
    <n v="1"/>
    <x v="1306"/>
    <n v="3"/>
    <x v="14"/>
    <x v="0"/>
  </r>
  <r>
    <n v="3836"/>
    <x v="139"/>
    <x v="41"/>
    <x v="1"/>
    <x v="2"/>
    <x v="0"/>
    <x v="0"/>
    <x v="2968"/>
    <x v="4"/>
    <n v="1"/>
    <x v="1307"/>
    <n v="2"/>
    <x v="12"/>
    <x v="1"/>
  </r>
  <r>
    <n v="1676"/>
    <x v="139"/>
    <x v="10"/>
    <x v="1"/>
    <x v="2"/>
    <x v="3"/>
    <x v="0"/>
    <x v="2969"/>
    <x v="2"/>
    <n v="0"/>
    <x v="11"/>
    <n v="0"/>
    <x v="8"/>
    <x v="3"/>
  </r>
  <r>
    <n v="144"/>
    <x v="139"/>
    <x v="22"/>
    <x v="0"/>
    <x v="1"/>
    <x v="2"/>
    <x v="0"/>
    <x v="2970"/>
    <x v="6"/>
    <n v="0"/>
    <x v="11"/>
    <n v="0"/>
    <x v="8"/>
    <x v="3"/>
  </r>
  <r>
    <n v="1189"/>
    <x v="139"/>
    <x v="6"/>
    <x v="0"/>
    <x v="1"/>
    <x v="0"/>
    <x v="0"/>
    <x v="2971"/>
    <x v="0"/>
    <n v="0"/>
    <x v="11"/>
    <n v="0"/>
    <x v="8"/>
    <x v="3"/>
  </r>
  <r>
    <n v="2910"/>
    <x v="139"/>
    <x v="16"/>
    <x v="1"/>
    <x v="1"/>
    <x v="0"/>
    <x v="0"/>
    <x v="2972"/>
    <x v="2"/>
    <n v="0"/>
    <x v="11"/>
    <n v="0"/>
    <x v="8"/>
    <x v="3"/>
  </r>
  <r>
    <n v="2184"/>
    <x v="139"/>
    <x v="16"/>
    <x v="1"/>
    <x v="2"/>
    <x v="0"/>
    <x v="0"/>
    <x v="2973"/>
    <x v="5"/>
    <n v="0"/>
    <x v="11"/>
    <n v="0"/>
    <x v="8"/>
    <x v="3"/>
  </r>
  <r>
    <n v="2181"/>
    <x v="139"/>
    <x v="16"/>
    <x v="0"/>
    <x v="2"/>
    <x v="1"/>
    <x v="4"/>
    <x v="2974"/>
    <x v="6"/>
    <n v="0"/>
    <x v="11"/>
    <n v="0"/>
    <x v="8"/>
    <x v="3"/>
  </r>
  <r>
    <n v="2909"/>
    <x v="139"/>
    <x v="24"/>
    <x v="0"/>
    <x v="0"/>
    <x v="0"/>
    <x v="0"/>
    <x v="2975"/>
    <x v="12"/>
    <n v="0"/>
    <x v="11"/>
    <n v="0"/>
    <x v="8"/>
    <x v="3"/>
  </r>
  <r>
    <n v="2216"/>
    <x v="139"/>
    <x v="19"/>
    <x v="1"/>
    <x v="3"/>
    <x v="2"/>
    <x v="0"/>
    <x v="2976"/>
    <x v="4"/>
    <n v="0"/>
    <x v="11"/>
    <n v="0"/>
    <x v="8"/>
    <x v="3"/>
  </r>
  <r>
    <n v="3163"/>
    <x v="139"/>
    <x v="41"/>
    <x v="0"/>
    <x v="1"/>
    <x v="3"/>
    <x v="0"/>
    <x v="2977"/>
    <x v="8"/>
    <n v="0"/>
    <x v="11"/>
    <n v="0"/>
    <x v="8"/>
    <x v="3"/>
  </r>
  <r>
    <n v="2227"/>
    <x v="139"/>
    <x v="31"/>
    <x v="1"/>
    <x v="3"/>
    <x v="2"/>
    <x v="0"/>
    <x v="1307"/>
    <x v="5"/>
    <n v="0"/>
    <x v="11"/>
    <n v="0"/>
    <x v="8"/>
    <x v="3"/>
  </r>
  <r>
    <n v="1723"/>
    <x v="139"/>
    <x v="10"/>
    <x v="0"/>
    <x v="3"/>
    <x v="1"/>
    <x v="4"/>
    <x v="2978"/>
    <x v="5"/>
    <n v="0"/>
    <x v="11"/>
    <n v="0"/>
    <x v="8"/>
    <x v="3"/>
  </r>
  <r>
    <n v="17"/>
    <x v="139"/>
    <x v="20"/>
    <x v="1"/>
    <x v="2"/>
    <x v="0"/>
    <x v="0"/>
    <x v="1058"/>
    <x v="6"/>
    <n v="0"/>
    <x v="11"/>
    <n v="0"/>
    <x v="8"/>
    <x v="3"/>
  </r>
  <r>
    <n v="2726"/>
    <x v="139"/>
    <x v="23"/>
    <x v="0"/>
    <x v="0"/>
    <x v="1"/>
    <x v="7"/>
    <x v="2979"/>
    <x v="0"/>
    <n v="0"/>
    <x v="11"/>
    <n v="0"/>
    <x v="8"/>
    <x v="3"/>
  </r>
  <r>
    <n v="2920"/>
    <x v="139"/>
    <x v="28"/>
    <x v="1"/>
    <x v="1"/>
    <x v="1"/>
    <x v="3"/>
    <x v="2135"/>
    <x v="9"/>
    <n v="0"/>
    <x v="11"/>
    <n v="0"/>
    <x v="8"/>
    <x v="3"/>
  </r>
  <r>
    <n v="4582"/>
    <x v="139"/>
    <x v="41"/>
    <x v="0"/>
    <x v="2"/>
    <x v="0"/>
    <x v="0"/>
    <x v="2980"/>
    <x v="1"/>
    <n v="0"/>
    <x v="11"/>
    <n v="0"/>
    <x v="8"/>
    <x v="3"/>
  </r>
  <r>
    <n v="2446"/>
    <x v="139"/>
    <x v="22"/>
    <x v="1"/>
    <x v="0"/>
    <x v="0"/>
    <x v="0"/>
    <x v="2981"/>
    <x v="9"/>
    <n v="0"/>
    <x v="11"/>
    <n v="0"/>
    <x v="8"/>
    <x v="3"/>
  </r>
  <r>
    <n v="4663"/>
    <x v="140"/>
    <x v="42"/>
    <x v="1"/>
    <x v="3"/>
    <x v="2"/>
    <x v="0"/>
    <x v="2316"/>
    <x v="5"/>
    <n v="1"/>
    <x v="1308"/>
    <n v="1"/>
    <x v="13"/>
    <x v="1"/>
  </r>
  <r>
    <n v="1714"/>
    <x v="140"/>
    <x v="2"/>
    <x v="1"/>
    <x v="3"/>
    <x v="3"/>
    <x v="0"/>
    <x v="2982"/>
    <x v="6"/>
    <n v="1"/>
    <x v="1309"/>
    <n v="4"/>
    <x v="4"/>
    <x v="1"/>
  </r>
  <r>
    <n v="3633"/>
    <x v="140"/>
    <x v="16"/>
    <x v="1"/>
    <x v="1"/>
    <x v="1"/>
    <x v="4"/>
    <x v="539"/>
    <x v="6"/>
    <n v="1"/>
    <x v="1310"/>
    <n v="4"/>
    <x v="6"/>
    <x v="0"/>
  </r>
  <r>
    <n v="3812"/>
    <x v="140"/>
    <x v="17"/>
    <x v="0"/>
    <x v="0"/>
    <x v="1"/>
    <x v="7"/>
    <x v="2983"/>
    <x v="8"/>
    <n v="1"/>
    <x v="1311"/>
    <n v="2"/>
    <x v="5"/>
    <x v="2"/>
  </r>
  <r>
    <n v="581"/>
    <x v="140"/>
    <x v="6"/>
    <x v="1"/>
    <x v="0"/>
    <x v="3"/>
    <x v="0"/>
    <x v="808"/>
    <x v="11"/>
    <n v="1"/>
    <x v="647"/>
    <n v="4"/>
    <x v="9"/>
    <x v="0"/>
  </r>
  <r>
    <n v="2051"/>
    <x v="140"/>
    <x v="6"/>
    <x v="0"/>
    <x v="2"/>
    <x v="0"/>
    <x v="0"/>
    <x v="2984"/>
    <x v="5"/>
    <n v="1"/>
    <x v="1312"/>
    <n v="2"/>
    <x v="4"/>
    <x v="1"/>
  </r>
  <r>
    <n v="1771"/>
    <x v="140"/>
    <x v="43"/>
    <x v="0"/>
    <x v="1"/>
    <x v="1"/>
    <x v="7"/>
    <x v="2985"/>
    <x v="1"/>
    <n v="1"/>
    <x v="826"/>
    <n v="1"/>
    <x v="4"/>
    <x v="0"/>
  </r>
  <r>
    <n v="2064"/>
    <x v="140"/>
    <x v="43"/>
    <x v="0"/>
    <x v="2"/>
    <x v="0"/>
    <x v="0"/>
    <x v="2986"/>
    <x v="2"/>
    <n v="1"/>
    <x v="1313"/>
    <n v="2"/>
    <x v="7"/>
    <x v="0"/>
  </r>
  <r>
    <n v="363"/>
    <x v="140"/>
    <x v="8"/>
    <x v="1"/>
    <x v="0"/>
    <x v="0"/>
    <x v="0"/>
    <x v="2987"/>
    <x v="1"/>
    <n v="1"/>
    <x v="1314"/>
    <n v="1"/>
    <x v="7"/>
    <x v="0"/>
  </r>
  <r>
    <n v="2774"/>
    <x v="140"/>
    <x v="13"/>
    <x v="1"/>
    <x v="0"/>
    <x v="3"/>
    <x v="0"/>
    <x v="2988"/>
    <x v="6"/>
    <n v="1"/>
    <x v="1315"/>
    <n v="3"/>
    <x v="13"/>
    <x v="0"/>
  </r>
  <r>
    <n v="2724"/>
    <x v="140"/>
    <x v="19"/>
    <x v="0"/>
    <x v="1"/>
    <x v="0"/>
    <x v="0"/>
    <x v="2989"/>
    <x v="8"/>
    <n v="0"/>
    <x v="11"/>
    <n v="0"/>
    <x v="8"/>
    <x v="3"/>
  </r>
  <r>
    <n v="1983"/>
    <x v="140"/>
    <x v="2"/>
    <x v="1"/>
    <x v="0"/>
    <x v="1"/>
    <x v="7"/>
    <x v="2990"/>
    <x v="5"/>
    <n v="0"/>
    <x v="11"/>
    <n v="0"/>
    <x v="8"/>
    <x v="3"/>
  </r>
  <r>
    <n v="2650"/>
    <x v="140"/>
    <x v="24"/>
    <x v="1"/>
    <x v="1"/>
    <x v="1"/>
    <x v="2"/>
    <x v="2787"/>
    <x v="4"/>
    <n v="0"/>
    <x v="11"/>
    <n v="0"/>
    <x v="8"/>
    <x v="3"/>
  </r>
  <r>
    <n v="25"/>
    <x v="140"/>
    <x v="6"/>
    <x v="1"/>
    <x v="0"/>
    <x v="3"/>
    <x v="0"/>
    <x v="2201"/>
    <x v="0"/>
    <n v="0"/>
    <x v="11"/>
    <n v="0"/>
    <x v="8"/>
    <x v="3"/>
  </r>
  <r>
    <n v="1858"/>
    <x v="140"/>
    <x v="0"/>
    <x v="0"/>
    <x v="0"/>
    <x v="1"/>
    <x v="6"/>
    <x v="1943"/>
    <x v="5"/>
    <n v="0"/>
    <x v="11"/>
    <n v="0"/>
    <x v="8"/>
    <x v="3"/>
  </r>
  <r>
    <n v="2424"/>
    <x v="140"/>
    <x v="30"/>
    <x v="0"/>
    <x v="3"/>
    <x v="0"/>
    <x v="0"/>
    <x v="2991"/>
    <x v="10"/>
    <n v="0"/>
    <x v="11"/>
    <n v="0"/>
    <x v="8"/>
    <x v="3"/>
  </r>
  <r>
    <n v="4555"/>
    <x v="140"/>
    <x v="1"/>
    <x v="0"/>
    <x v="3"/>
    <x v="3"/>
    <x v="0"/>
    <x v="1451"/>
    <x v="8"/>
    <n v="0"/>
    <x v="11"/>
    <n v="0"/>
    <x v="8"/>
    <x v="3"/>
  </r>
  <r>
    <n v="2147"/>
    <x v="140"/>
    <x v="34"/>
    <x v="0"/>
    <x v="0"/>
    <x v="3"/>
    <x v="0"/>
    <x v="1960"/>
    <x v="0"/>
    <n v="0"/>
    <x v="11"/>
    <n v="0"/>
    <x v="8"/>
    <x v="3"/>
  </r>
  <r>
    <n v="2337"/>
    <x v="140"/>
    <x v="7"/>
    <x v="0"/>
    <x v="2"/>
    <x v="3"/>
    <x v="0"/>
    <x v="2992"/>
    <x v="4"/>
    <n v="0"/>
    <x v="11"/>
    <n v="0"/>
    <x v="8"/>
    <x v="3"/>
  </r>
  <r>
    <n v="3124"/>
    <x v="140"/>
    <x v="6"/>
    <x v="0"/>
    <x v="0"/>
    <x v="3"/>
    <x v="0"/>
    <x v="2993"/>
    <x v="6"/>
    <n v="0"/>
    <x v="11"/>
    <n v="0"/>
    <x v="8"/>
    <x v="3"/>
  </r>
  <r>
    <n v="3835"/>
    <x v="140"/>
    <x v="48"/>
    <x v="0"/>
    <x v="0"/>
    <x v="1"/>
    <x v="3"/>
    <x v="840"/>
    <x v="2"/>
    <n v="0"/>
    <x v="11"/>
    <n v="0"/>
    <x v="8"/>
    <x v="3"/>
  </r>
  <r>
    <n v="2197"/>
    <x v="140"/>
    <x v="26"/>
    <x v="0"/>
    <x v="1"/>
    <x v="1"/>
    <x v="6"/>
    <x v="2994"/>
    <x v="6"/>
    <n v="0"/>
    <x v="11"/>
    <n v="0"/>
    <x v="8"/>
    <x v="3"/>
  </r>
  <r>
    <n v="3565"/>
    <x v="140"/>
    <x v="34"/>
    <x v="0"/>
    <x v="3"/>
    <x v="0"/>
    <x v="0"/>
    <x v="353"/>
    <x v="8"/>
    <n v="0"/>
    <x v="11"/>
    <n v="0"/>
    <x v="8"/>
    <x v="3"/>
  </r>
  <r>
    <n v="491"/>
    <x v="140"/>
    <x v="24"/>
    <x v="0"/>
    <x v="3"/>
    <x v="0"/>
    <x v="0"/>
    <x v="2995"/>
    <x v="12"/>
    <n v="0"/>
    <x v="11"/>
    <n v="0"/>
    <x v="8"/>
    <x v="3"/>
  </r>
  <r>
    <n v="606"/>
    <x v="140"/>
    <x v="7"/>
    <x v="0"/>
    <x v="0"/>
    <x v="2"/>
    <x v="0"/>
    <x v="2996"/>
    <x v="11"/>
    <n v="0"/>
    <x v="11"/>
    <n v="0"/>
    <x v="8"/>
    <x v="3"/>
  </r>
  <r>
    <n v="4759"/>
    <x v="140"/>
    <x v="35"/>
    <x v="1"/>
    <x v="3"/>
    <x v="0"/>
    <x v="0"/>
    <x v="2997"/>
    <x v="5"/>
    <n v="0"/>
    <x v="11"/>
    <n v="0"/>
    <x v="8"/>
    <x v="3"/>
  </r>
  <r>
    <n v="3560"/>
    <x v="140"/>
    <x v="11"/>
    <x v="0"/>
    <x v="2"/>
    <x v="0"/>
    <x v="0"/>
    <x v="2998"/>
    <x v="4"/>
    <n v="0"/>
    <x v="11"/>
    <n v="0"/>
    <x v="8"/>
    <x v="3"/>
  </r>
  <r>
    <n v="4712"/>
    <x v="140"/>
    <x v="30"/>
    <x v="0"/>
    <x v="1"/>
    <x v="0"/>
    <x v="0"/>
    <x v="2911"/>
    <x v="8"/>
    <n v="0"/>
    <x v="11"/>
    <n v="0"/>
    <x v="8"/>
    <x v="3"/>
  </r>
  <r>
    <n v="1183"/>
    <x v="141"/>
    <x v="19"/>
    <x v="0"/>
    <x v="2"/>
    <x v="0"/>
    <x v="0"/>
    <x v="423"/>
    <x v="6"/>
    <n v="1"/>
    <x v="1316"/>
    <n v="3"/>
    <x v="9"/>
    <x v="1"/>
  </r>
  <r>
    <n v="2601"/>
    <x v="141"/>
    <x v="2"/>
    <x v="0"/>
    <x v="2"/>
    <x v="0"/>
    <x v="0"/>
    <x v="2999"/>
    <x v="0"/>
    <n v="1"/>
    <x v="1317"/>
    <n v="2"/>
    <x v="10"/>
    <x v="2"/>
  </r>
  <r>
    <n v="613"/>
    <x v="141"/>
    <x v="7"/>
    <x v="0"/>
    <x v="1"/>
    <x v="3"/>
    <x v="0"/>
    <x v="3000"/>
    <x v="10"/>
    <n v="1"/>
    <x v="1318"/>
    <n v="6"/>
    <x v="7"/>
    <x v="0"/>
  </r>
  <r>
    <n v="4308"/>
    <x v="141"/>
    <x v="15"/>
    <x v="0"/>
    <x v="3"/>
    <x v="1"/>
    <x v="5"/>
    <x v="3001"/>
    <x v="6"/>
    <n v="1"/>
    <x v="1319"/>
    <n v="2"/>
    <x v="3"/>
    <x v="0"/>
  </r>
  <r>
    <n v="3151"/>
    <x v="141"/>
    <x v="10"/>
    <x v="0"/>
    <x v="1"/>
    <x v="3"/>
    <x v="0"/>
    <x v="3002"/>
    <x v="6"/>
    <n v="1"/>
    <x v="1320"/>
    <n v="5"/>
    <x v="15"/>
    <x v="1"/>
  </r>
  <r>
    <n v="1173"/>
    <x v="141"/>
    <x v="22"/>
    <x v="0"/>
    <x v="0"/>
    <x v="0"/>
    <x v="0"/>
    <x v="3003"/>
    <x v="5"/>
    <n v="1"/>
    <x v="1321"/>
    <n v="4"/>
    <x v="7"/>
    <x v="1"/>
  </r>
  <r>
    <n v="2763"/>
    <x v="141"/>
    <x v="23"/>
    <x v="0"/>
    <x v="3"/>
    <x v="2"/>
    <x v="0"/>
    <x v="3004"/>
    <x v="2"/>
    <n v="1"/>
    <x v="1322"/>
    <n v="2"/>
    <x v="13"/>
    <x v="1"/>
  </r>
  <r>
    <n v="481"/>
    <x v="141"/>
    <x v="20"/>
    <x v="0"/>
    <x v="3"/>
    <x v="1"/>
    <x v="7"/>
    <x v="3005"/>
    <x v="11"/>
    <n v="1"/>
    <x v="1323"/>
    <n v="3"/>
    <x v="14"/>
    <x v="0"/>
  </r>
  <r>
    <n v="3343"/>
    <x v="141"/>
    <x v="14"/>
    <x v="0"/>
    <x v="2"/>
    <x v="0"/>
    <x v="0"/>
    <x v="3006"/>
    <x v="11"/>
    <n v="1"/>
    <x v="1324"/>
    <n v="2"/>
    <x v="12"/>
    <x v="0"/>
  </r>
  <r>
    <n v="840"/>
    <x v="141"/>
    <x v="24"/>
    <x v="1"/>
    <x v="2"/>
    <x v="0"/>
    <x v="0"/>
    <x v="501"/>
    <x v="2"/>
    <n v="1"/>
    <x v="1325"/>
    <n v="3"/>
    <x v="7"/>
    <x v="2"/>
  </r>
  <r>
    <n v="1364"/>
    <x v="141"/>
    <x v="0"/>
    <x v="1"/>
    <x v="3"/>
    <x v="2"/>
    <x v="0"/>
    <x v="3007"/>
    <x v="10"/>
    <n v="0"/>
    <x v="11"/>
    <n v="0"/>
    <x v="8"/>
    <x v="3"/>
  </r>
  <r>
    <n v="194"/>
    <x v="141"/>
    <x v="10"/>
    <x v="1"/>
    <x v="2"/>
    <x v="1"/>
    <x v="2"/>
    <x v="3008"/>
    <x v="8"/>
    <n v="0"/>
    <x v="11"/>
    <n v="0"/>
    <x v="8"/>
    <x v="3"/>
  </r>
  <r>
    <n v="162"/>
    <x v="141"/>
    <x v="16"/>
    <x v="1"/>
    <x v="0"/>
    <x v="1"/>
    <x v="4"/>
    <x v="3009"/>
    <x v="5"/>
    <n v="0"/>
    <x v="11"/>
    <n v="0"/>
    <x v="8"/>
    <x v="3"/>
  </r>
  <r>
    <n v="230"/>
    <x v="141"/>
    <x v="22"/>
    <x v="1"/>
    <x v="0"/>
    <x v="0"/>
    <x v="0"/>
    <x v="3010"/>
    <x v="1"/>
    <n v="0"/>
    <x v="11"/>
    <n v="0"/>
    <x v="8"/>
    <x v="3"/>
  </r>
  <r>
    <n v="3889"/>
    <x v="141"/>
    <x v="29"/>
    <x v="1"/>
    <x v="1"/>
    <x v="0"/>
    <x v="0"/>
    <x v="189"/>
    <x v="2"/>
    <n v="0"/>
    <x v="11"/>
    <n v="0"/>
    <x v="8"/>
    <x v="3"/>
  </r>
  <r>
    <n v="2631"/>
    <x v="141"/>
    <x v="25"/>
    <x v="1"/>
    <x v="3"/>
    <x v="1"/>
    <x v="4"/>
    <x v="1702"/>
    <x v="0"/>
    <n v="0"/>
    <x v="11"/>
    <n v="0"/>
    <x v="8"/>
    <x v="3"/>
  </r>
  <r>
    <n v="4186"/>
    <x v="141"/>
    <x v="27"/>
    <x v="0"/>
    <x v="1"/>
    <x v="0"/>
    <x v="0"/>
    <x v="2011"/>
    <x v="6"/>
    <n v="0"/>
    <x v="11"/>
    <n v="0"/>
    <x v="8"/>
    <x v="3"/>
  </r>
  <r>
    <n v="1550"/>
    <x v="141"/>
    <x v="0"/>
    <x v="1"/>
    <x v="3"/>
    <x v="1"/>
    <x v="5"/>
    <x v="2120"/>
    <x v="0"/>
    <n v="0"/>
    <x v="11"/>
    <n v="0"/>
    <x v="8"/>
    <x v="3"/>
  </r>
  <r>
    <n v="2266"/>
    <x v="141"/>
    <x v="11"/>
    <x v="0"/>
    <x v="2"/>
    <x v="2"/>
    <x v="0"/>
    <x v="3011"/>
    <x v="1"/>
    <n v="0"/>
    <x v="11"/>
    <n v="0"/>
    <x v="8"/>
    <x v="3"/>
  </r>
  <r>
    <n v="4101"/>
    <x v="141"/>
    <x v="11"/>
    <x v="0"/>
    <x v="2"/>
    <x v="3"/>
    <x v="0"/>
    <x v="3012"/>
    <x v="4"/>
    <n v="0"/>
    <x v="11"/>
    <n v="0"/>
    <x v="8"/>
    <x v="3"/>
  </r>
  <r>
    <n v="383"/>
    <x v="141"/>
    <x v="2"/>
    <x v="0"/>
    <x v="2"/>
    <x v="3"/>
    <x v="0"/>
    <x v="3013"/>
    <x v="6"/>
    <n v="0"/>
    <x v="11"/>
    <n v="0"/>
    <x v="8"/>
    <x v="3"/>
  </r>
  <r>
    <n v="4350"/>
    <x v="141"/>
    <x v="37"/>
    <x v="1"/>
    <x v="0"/>
    <x v="0"/>
    <x v="0"/>
    <x v="3014"/>
    <x v="10"/>
    <n v="0"/>
    <x v="11"/>
    <n v="0"/>
    <x v="8"/>
    <x v="3"/>
  </r>
  <r>
    <n v="4680"/>
    <x v="141"/>
    <x v="15"/>
    <x v="0"/>
    <x v="0"/>
    <x v="0"/>
    <x v="0"/>
    <x v="2494"/>
    <x v="6"/>
    <n v="0"/>
    <x v="11"/>
    <n v="0"/>
    <x v="8"/>
    <x v="3"/>
  </r>
  <r>
    <n v="3030"/>
    <x v="141"/>
    <x v="26"/>
    <x v="0"/>
    <x v="1"/>
    <x v="0"/>
    <x v="0"/>
    <x v="3015"/>
    <x v="8"/>
    <n v="0"/>
    <x v="11"/>
    <n v="0"/>
    <x v="8"/>
    <x v="3"/>
  </r>
  <r>
    <n v="415"/>
    <x v="141"/>
    <x v="24"/>
    <x v="1"/>
    <x v="2"/>
    <x v="0"/>
    <x v="0"/>
    <x v="2581"/>
    <x v="8"/>
    <n v="0"/>
    <x v="11"/>
    <n v="0"/>
    <x v="8"/>
    <x v="3"/>
  </r>
  <r>
    <n v="3250"/>
    <x v="141"/>
    <x v="26"/>
    <x v="1"/>
    <x v="3"/>
    <x v="0"/>
    <x v="0"/>
    <x v="3016"/>
    <x v="6"/>
    <n v="0"/>
    <x v="11"/>
    <n v="0"/>
    <x v="8"/>
    <x v="3"/>
  </r>
  <r>
    <n v="3269"/>
    <x v="141"/>
    <x v="32"/>
    <x v="1"/>
    <x v="2"/>
    <x v="0"/>
    <x v="0"/>
    <x v="2612"/>
    <x v="6"/>
    <n v="0"/>
    <x v="11"/>
    <n v="0"/>
    <x v="8"/>
    <x v="3"/>
  </r>
  <r>
    <n v="231"/>
    <x v="142"/>
    <x v="10"/>
    <x v="1"/>
    <x v="1"/>
    <x v="1"/>
    <x v="3"/>
    <x v="841"/>
    <x v="8"/>
    <n v="1"/>
    <x v="1326"/>
    <n v="2"/>
    <x v="6"/>
    <x v="1"/>
  </r>
  <r>
    <n v="1147"/>
    <x v="142"/>
    <x v="7"/>
    <x v="1"/>
    <x v="3"/>
    <x v="0"/>
    <x v="0"/>
    <x v="3017"/>
    <x v="4"/>
    <n v="1"/>
    <x v="1327"/>
    <n v="3"/>
    <x v="6"/>
    <x v="0"/>
  </r>
  <r>
    <n v="2241"/>
    <x v="142"/>
    <x v="2"/>
    <x v="1"/>
    <x v="1"/>
    <x v="0"/>
    <x v="0"/>
    <x v="1962"/>
    <x v="11"/>
    <n v="1"/>
    <x v="1328"/>
    <n v="2"/>
    <x v="4"/>
    <x v="1"/>
  </r>
  <r>
    <n v="4550"/>
    <x v="142"/>
    <x v="41"/>
    <x v="0"/>
    <x v="2"/>
    <x v="1"/>
    <x v="3"/>
    <x v="3018"/>
    <x v="1"/>
    <n v="1"/>
    <x v="1329"/>
    <n v="3"/>
    <x v="2"/>
    <x v="0"/>
  </r>
  <r>
    <n v="4831"/>
    <x v="142"/>
    <x v="43"/>
    <x v="1"/>
    <x v="2"/>
    <x v="0"/>
    <x v="0"/>
    <x v="61"/>
    <x v="5"/>
    <n v="1"/>
    <x v="1330"/>
    <n v="3"/>
    <x v="13"/>
    <x v="1"/>
  </r>
  <r>
    <n v="2380"/>
    <x v="142"/>
    <x v="26"/>
    <x v="1"/>
    <x v="3"/>
    <x v="0"/>
    <x v="0"/>
    <x v="657"/>
    <x v="5"/>
    <n v="1"/>
    <x v="1331"/>
    <n v="3"/>
    <x v="11"/>
    <x v="0"/>
  </r>
  <r>
    <n v="1054"/>
    <x v="142"/>
    <x v="7"/>
    <x v="1"/>
    <x v="3"/>
    <x v="3"/>
    <x v="0"/>
    <x v="3019"/>
    <x v="0"/>
    <n v="1"/>
    <x v="1332"/>
    <n v="2"/>
    <x v="14"/>
    <x v="0"/>
  </r>
  <r>
    <n v="280"/>
    <x v="142"/>
    <x v="16"/>
    <x v="1"/>
    <x v="2"/>
    <x v="3"/>
    <x v="0"/>
    <x v="3020"/>
    <x v="8"/>
    <n v="1"/>
    <x v="1216"/>
    <n v="3"/>
    <x v="14"/>
    <x v="1"/>
  </r>
  <r>
    <n v="4347"/>
    <x v="142"/>
    <x v="3"/>
    <x v="1"/>
    <x v="2"/>
    <x v="1"/>
    <x v="3"/>
    <x v="503"/>
    <x v="5"/>
    <n v="1"/>
    <x v="1333"/>
    <n v="4"/>
    <x v="12"/>
    <x v="1"/>
  </r>
  <r>
    <n v="885"/>
    <x v="142"/>
    <x v="7"/>
    <x v="1"/>
    <x v="2"/>
    <x v="0"/>
    <x v="0"/>
    <x v="3021"/>
    <x v="5"/>
    <n v="1"/>
    <x v="1334"/>
    <n v="2"/>
    <x v="2"/>
    <x v="2"/>
  </r>
  <r>
    <n v="924"/>
    <x v="142"/>
    <x v="8"/>
    <x v="0"/>
    <x v="2"/>
    <x v="0"/>
    <x v="0"/>
    <x v="3022"/>
    <x v="6"/>
    <n v="1"/>
    <x v="1335"/>
    <n v="3"/>
    <x v="10"/>
    <x v="2"/>
  </r>
  <r>
    <n v="3532"/>
    <x v="142"/>
    <x v="14"/>
    <x v="0"/>
    <x v="2"/>
    <x v="1"/>
    <x v="3"/>
    <x v="3023"/>
    <x v="2"/>
    <n v="0"/>
    <x v="11"/>
    <n v="0"/>
    <x v="8"/>
    <x v="3"/>
  </r>
  <r>
    <n v="2561"/>
    <x v="142"/>
    <x v="13"/>
    <x v="1"/>
    <x v="2"/>
    <x v="0"/>
    <x v="0"/>
    <x v="3024"/>
    <x v="8"/>
    <n v="0"/>
    <x v="11"/>
    <n v="0"/>
    <x v="8"/>
    <x v="3"/>
  </r>
  <r>
    <n v="775"/>
    <x v="142"/>
    <x v="34"/>
    <x v="0"/>
    <x v="2"/>
    <x v="1"/>
    <x v="2"/>
    <x v="3025"/>
    <x v="11"/>
    <n v="0"/>
    <x v="11"/>
    <n v="0"/>
    <x v="8"/>
    <x v="3"/>
  </r>
  <r>
    <n v="2099"/>
    <x v="142"/>
    <x v="17"/>
    <x v="1"/>
    <x v="2"/>
    <x v="0"/>
    <x v="0"/>
    <x v="3026"/>
    <x v="4"/>
    <n v="0"/>
    <x v="11"/>
    <n v="0"/>
    <x v="8"/>
    <x v="3"/>
  </r>
  <r>
    <n v="3002"/>
    <x v="142"/>
    <x v="17"/>
    <x v="1"/>
    <x v="1"/>
    <x v="0"/>
    <x v="0"/>
    <x v="3027"/>
    <x v="4"/>
    <n v="0"/>
    <x v="11"/>
    <n v="0"/>
    <x v="8"/>
    <x v="3"/>
  </r>
  <r>
    <n v="4430"/>
    <x v="142"/>
    <x v="27"/>
    <x v="1"/>
    <x v="2"/>
    <x v="1"/>
    <x v="7"/>
    <x v="2349"/>
    <x v="8"/>
    <n v="0"/>
    <x v="11"/>
    <n v="0"/>
    <x v="8"/>
    <x v="3"/>
  </r>
  <r>
    <n v="612"/>
    <x v="142"/>
    <x v="18"/>
    <x v="0"/>
    <x v="1"/>
    <x v="1"/>
    <x v="2"/>
    <x v="2221"/>
    <x v="2"/>
    <n v="0"/>
    <x v="11"/>
    <n v="0"/>
    <x v="8"/>
    <x v="3"/>
  </r>
  <r>
    <n v="4448"/>
    <x v="142"/>
    <x v="34"/>
    <x v="0"/>
    <x v="1"/>
    <x v="0"/>
    <x v="0"/>
    <x v="3028"/>
    <x v="0"/>
    <n v="0"/>
    <x v="11"/>
    <n v="0"/>
    <x v="8"/>
    <x v="3"/>
  </r>
  <r>
    <n v="1262"/>
    <x v="142"/>
    <x v="16"/>
    <x v="1"/>
    <x v="2"/>
    <x v="3"/>
    <x v="0"/>
    <x v="933"/>
    <x v="5"/>
    <n v="0"/>
    <x v="11"/>
    <n v="0"/>
    <x v="8"/>
    <x v="3"/>
  </r>
  <r>
    <n v="1251"/>
    <x v="142"/>
    <x v="19"/>
    <x v="0"/>
    <x v="2"/>
    <x v="1"/>
    <x v="7"/>
    <x v="3029"/>
    <x v="8"/>
    <n v="0"/>
    <x v="11"/>
    <n v="0"/>
    <x v="8"/>
    <x v="3"/>
  </r>
  <r>
    <n v="3361"/>
    <x v="142"/>
    <x v="20"/>
    <x v="1"/>
    <x v="2"/>
    <x v="3"/>
    <x v="0"/>
    <x v="2505"/>
    <x v="2"/>
    <n v="0"/>
    <x v="11"/>
    <n v="0"/>
    <x v="8"/>
    <x v="3"/>
  </r>
  <r>
    <n v="1479"/>
    <x v="142"/>
    <x v="7"/>
    <x v="1"/>
    <x v="3"/>
    <x v="0"/>
    <x v="0"/>
    <x v="14"/>
    <x v="11"/>
    <n v="0"/>
    <x v="11"/>
    <n v="0"/>
    <x v="8"/>
    <x v="3"/>
  </r>
  <r>
    <n v="277"/>
    <x v="142"/>
    <x v="6"/>
    <x v="0"/>
    <x v="2"/>
    <x v="2"/>
    <x v="0"/>
    <x v="3030"/>
    <x v="0"/>
    <n v="0"/>
    <x v="11"/>
    <n v="0"/>
    <x v="8"/>
    <x v="3"/>
  </r>
  <r>
    <n v="309"/>
    <x v="142"/>
    <x v="0"/>
    <x v="1"/>
    <x v="1"/>
    <x v="3"/>
    <x v="0"/>
    <x v="2534"/>
    <x v="8"/>
    <n v="0"/>
    <x v="11"/>
    <n v="0"/>
    <x v="8"/>
    <x v="3"/>
  </r>
  <r>
    <n v="1214"/>
    <x v="142"/>
    <x v="7"/>
    <x v="1"/>
    <x v="3"/>
    <x v="1"/>
    <x v="5"/>
    <x v="448"/>
    <x v="6"/>
    <n v="0"/>
    <x v="11"/>
    <n v="0"/>
    <x v="8"/>
    <x v="3"/>
  </r>
  <r>
    <n v="991"/>
    <x v="142"/>
    <x v="23"/>
    <x v="0"/>
    <x v="2"/>
    <x v="0"/>
    <x v="0"/>
    <x v="3031"/>
    <x v="5"/>
    <n v="0"/>
    <x v="11"/>
    <n v="0"/>
    <x v="8"/>
    <x v="3"/>
  </r>
  <r>
    <n v="728"/>
    <x v="142"/>
    <x v="7"/>
    <x v="0"/>
    <x v="1"/>
    <x v="0"/>
    <x v="0"/>
    <x v="3032"/>
    <x v="1"/>
    <n v="0"/>
    <x v="11"/>
    <n v="0"/>
    <x v="8"/>
    <x v="3"/>
  </r>
  <r>
    <n v="3619"/>
    <x v="142"/>
    <x v="10"/>
    <x v="1"/>
    <x v="1"/>
    <x v="0"/>
    <x v="0"/>
    <x v="624"/>
    <x v="5"/>
    <n v="0"/>
    <x v="11"/>
    <n v="0"/>
    <x v="8"/>
    <x v="3"/>
  </r>
  <r>
    <n v="4494"/>
    <x v="142"/>
    <x v="25"/>
    <x v="1"/>
    <x v="2"/>
    <x v="0"/>
    <x v="0"/>
    <x v="3033"/>
    <x v="5"/>
    <n v="0"/>
    <x v="11"/>
    <n v="0"/>
    <x v="8"/>
    <x v="3"/>
  </r>
  <r>
    <n v="3614"/>
    <x v="142"/>
    <x v="34"/>
    <x v="1"/>
    <x v="1"/>
    <x v="3"/>
    <x v="0"/>
    <x v="3034"/>
    <x v="4"/>
    <n v="0"/>
    <x v="11"/>
    <n v="0"/>
    <x v="8"/>
    <x v="3"/>
  </r>
  <r>
    <n v="1634"/>
    <x v="142"/>
    <x v="8"/>
    <x v="1"/>
    <x v="2"/>
    <x v="1"/>
    <x v="1"/>
    <x v="3035"/>
    <x v="0"/>
    <n v="0"/>
    <x v="11"/>
    <n v="0"/>
    <x v="8"/>
    <x v="3"/>
  </r>
  <r>
    <n v="1829"/>
    <x v="142"/>
    <x v="28"/>
    <x v="0"/>
    <x v="2"/>
    <x v="3"/>
    <x v="0"/>
    <x v="3036"/>
    <x v="8"/>
    <n v="0"/>
    <x v="11"/>
    <n v="0"/>
    <x v="8"/>
    <x v="3"/>
  </r>
  <r>
    <n v="2034"/>
    <x v="143"/>
    <x v="0"/>
    <x v="1"/>
    <x v="2"/>
    <x v="3"/>
    <x v="0"/>
    <x v="1773"/>
    <x v="6"/>
    <n v="1"/>
    <x v="1336"/>
    <n v="5"/>
    <x v="14"/>
    <x v="1"/>
  </r>
  <r>
    <n v="140"/>
    <x v="143"/>
    <x v="4"/>
    <x v="0"/>
    <x v="3"/>
    <x v="1"/>
    <x v="7"/>
    <x v="3037"/>
    <x v="11"/>
    <n v="1"/>
    <x v="817"/>
    <n v="3"/>
    <x v="7"/>
    <x v="0"/>
  </r>
  <r>
    <n v="2986"/>
    <x v="143"/>
    <x v="24"/>
    <x v="0"/>
    <x v="1"/>
    <x v="1"/>
    <x v="1"/>
    <x v="3038"/>
    <x v="5"/>
    <n v="1"/>
    <x v="1337"/>
    <n v="4"/>
    <x v="3"/>
    <x v="2"/>
  </r>
  <r>
    <n v="1383"/>
    <x v="143"/>
    <x v="24"/>
    <x v="0"/>
    <x v="0"/>
    <x v="3"/>
    <x v="0"/>
    <x v="3039"/>
    <x v="5"/>
    <n v="1"/>
    <x v="1338"/>
    <n v="3"/>
    <x v="13"/>
    <x v="2"/>
  </r>
  <r>
    <n v="2123"/>
    <x v="143"/>
    <x v="11"/>
    <x v="0"/>
    <x v="2"/>
    <x v="3"/>
    <x v="0"/>
    <x v="3040"/>
    <x v="5"/>
    <n v="1"/>
    <x v="1339"/>
    <n v="1"/>
    <x v="9"/>
    <x v="0"/>
  </r>
  <r>
    <n v="1828"/>
    <x v="143"/>
    <x v="4"/>
    <x v="1"/>
    <x v="2"/>
    <x v="1"/>
    <x v="2"/>
    <x v="3041"/>
    <x v="8"/>
    <n v="1"/>
    <x v="1340"/>
    <n v="4"/>
    <x v="1"/>
    <x v="0"/>
  </r>
  <r>
    <n v="2287"/>
    <x v="143"/>
    <x v="43"/>
    <x v="0"/>
    <x v="3"/>
    <x v="1"/>
    <x v="4"/>
    <x v="2831"/>
    <x v="5"/>
    <n v="1"/>
    <x v="1341"/>
    <n v="3"/>
    <x v="10"/>
    <x v="0"/>
  </r>
  <r>
    <n v="3056"/>
    <x v="143"/>
    <x v="20"/>
    <x v="1"/>
    <x v="2"/>
    <x v="0"/>
    <x v="0"/>
    <x v="3042"/>
    <x v="0"/>
    <n v="1"/>
    <x v="1342"/>
    <n v="5"/>
    <x v="11"/>
    <x v="1"/>
  </r>
  <r>
    <n v="2914"/>
    <x v="143"/>
    <x v="30"/>
    <x v="1"/>
    <x v="0"/>
    <x v="2"/>
    <x v="0"/>
    <x v="2934"/>
    <x v="2"/>
    <n v="1"/>
    <x v="704"/>
    <n v="2"/>
    <x v="0"/>
    <x v="0"/>
  </r>
  <r>
    <n v="4967"/>
    <x v="143"/>
    <x v="42"/>
    <x v="0"/>
    <x v="1"/>
    <x v="0"/>
    <x v="0"/>
    <x v="1505"/>
    <x v="1"/>
    <n v="1"/>
    <x v="1343"/>
    <n v="4"/>
    <x v="4"/>
    <x v="0"/>
  </r>
  <r>
    <n v="479"/>
    <x v="143"/>
    <x v="5"/>
    <x v="0"/>
    <x v="2"/>
    <x v="1"/>
    <x v="3"/>
    <x v="3043"/>
    <x v="6"/>
    <n v="1"/>
    <x v="1344"/>
    <n v="2"/>
    <x v="12"/>
    <x v="0"/>
  </r>
  <r>
    <n v="1024"/>
    <x v="143"/>
    <x v="22"/>
    <x v="1"/>
    <x v="2"/>
    <x v="0"/>
    <x v="0"/>
    <x v="3044"/>
    <x v="11"/>
    <n v="1"/>
    <x v="1345"/>
    <n v="2"/>
    <x v="12"/>
    <x v="2"/>
  </r>
  <r>
    <n v="1816"/>
    <x v="143"/>
    <x v="5"/>
    <x v="0"/>
    <x v="3"/>
    <x v="3"/>
    <x v="0"/>
    <x v="3045"/>
    <x v="5"/>
    <n v="1"/>
    <x v="175"/>
    <n v="3"/>
    <x v="15"/>
    <x v="1"/>
  </r>
  <r>
    <n v="51"/>
    <x v="143"/>
    <x v="8"/>
    <x v="1"/>
    <x v="0"/>
    <x v="0"/>
    <x v="0"/>
    <x v="3046"/>
    <x v="2"/>
    <n v="1"/>
    <x v="1346"/>
    <n v="2"/>
    <x v="10"/>
    <x v="2"/>
  </r>
  <r>
    <n v="1441"/>
    <x v="143"/>
    <x v="18"/>
    <x v="0"/>
    <x v="0"/>
    <x v="3"/>
    <x v="0"/>
    <x v="3047"/>
    <x v="11"/>
    <n v="1"/>
    <x v="694"/>
    <n v="2"/>
    <x v="11"/>
    <x v="1"/>
  </r>
  <r>
    <n v="523"/>
    <x v="143"/>
    <x v="4"/>
    <x v="2"/>
    <x v="2"/>
    <x v="3"/>
    <x v="0"/>
    <x v="3048"/>
    <x v="0"/>
    <n v="0"/>
    <x v="11"/>
    <n v="0"/>
    <x v="8"/>
    <x v="3"/>
  </r>
  <r>
    <n v="1371"/>
    <x v="143"/>
    <x v="2"/>
    <x v="1"/>
    <x v="3"/>
    <x v="3"/>
    <x v="0"/>
    <x v="3049"/>
    <x v="9"/>
    <n v="0"/>
    <x v="11"/>
    <n v="0"/>
    <x v="8"/>
    <x v="3"/>
  </r>
  <r>
    <n v="4315"/>
    <x v="143"/>
    <x v="50"/>
    <x v="1"/>
    <x v="3"/>
    <x v="3"/>
    <x v="0"/>
    <x v="2736"/>
    <x v="8"/>
    <n v="0"/>
    <x v="11"/>
    <n v="0"/>
    <x v="8"/>
    <x v="3"/>
  </r>
  <r>
    <n v="3042"/>
    <x v="143"/>
    <x v="0"/>
    <x v="1"/>
    <x v="2"/>
    <x v="0"/>
    <x v="0"/>
    <x v="3050"/>
    <x v="2"/>
    <n v="0"/>
    <x v="11"/>
    <n v="0"/>
    <x v="8"/>
    <x v="3"/>
  </r>
  <r>
    <n v="3295"/>
    <x v="143"/>
    <x v="23"/>
    <x v="0"/>
    <x v="2"/>
    <x v="0"/>
    <x v="0"/>
    <x v="3051"/>
    <x v="6"/>
    <n v="0"/>
    <x v="11"/>
    <n v="0"/>
    <x v="8"/>
    <x v="3"/>
  </r>
  <r>
    <n v="3610"/>
    <x v="143"/>
    <x v="28"/>
    <x v="1"/>
    <x v="2"/>
    <x v="3"/>
    <x v="0"/>
    <x v="2381"/>
    <x v="2"/>
    <n v="0"/>
    <x v="11"/>
    <n v="0"/>
    <x v="8"/>
    <x v="3"/>
  </r>
  <r>
    <n v="1389"/>
    <x v="143"/>
    <x v="4"/>
    <x v="0"/>
    <x v="1"/>
    <x v="0"/>
    <x v="0"/>
    <x v="2627"/>
    <x v="6"/>
    <n v="0"/>
    <x v="11"/>
    <n v="0"/>
    <x v="8"/>
    <x v="3"/>
  </r>
  <r>
    <n v="4250"/>
    <x v="143"/>
    <x v="45"/>
    <x v="1"/>
    <x v="1"/>
    <x v="1"/>
    <x v="2"/>
    <x v="917"/>
    <x v="5"/>
    <n v="0"/>
    <x v="11"/>
    <n v="0"/>
    <x v="8"/>
    <x v="3"/>
  </r>
  <r>
    <n v="12"/>
    <x v="143"/>
    <x v="19"/>
    <x v="1"/>
    <x v="3"/>
    <x v="1"/>
    <x v="5"/>
    <x v="1604"/>
    <x v="6"/>
    <n v="0"/>
    <x v="11"/>
    <n v="0"/>
    <x v="8"/>
    <x v="3"/>
  </r>
  <r>
    <n v="1198"/>
    <x v="143"/>
    <x v="4"/>
    <x v="1"/>
    <x v="0"/>
    <x v="3"/>
    <x v="0"/>
    <x v="2349"/>
    <x v="4"/>
    <n v="0"/>
    <x v="11"/>
    <n v="0"/>
    <x v="8"/>
    <x v="3"/>
  </r>
  <r>
    <n v="472"/>
    <x v="143"/>
    <x v="8"/>
    <x v="0"/>
    <x v="2"/>
    <x v="3"/>
    <x v="0"/>
    <x v="69"/>
    <x v="8"/>
    <n v="0"/>
    <x v="11"/>
    <n v="0"/>
    <x v="8"/>
    <x v="3"/>
  </r>
  <r>
    <n v="679"/>
    <x v="143"/>
    <x v="10"/>
    <x v="1"/>
    <x v="3"/>
    <x v="3"/>
    <x v="0"/>
    <x v="3052"/>
    <x v="1"/>
    <n v="0"/>
    <x v="11"/>
    <n v="0"/>
    <x v="8"/>
    <x v="3"/>
  </r>
  <r>
    <n v="2980"/>
    <x v="143"/>
    <x v="0"/>
    <x v="1"/>
    <x v="2"/>
    <x v="1"/>
    <x v="1"/>
    <x v="1964"/>
    <x v="8"/>
    <n v="0"/>
    <x v="11"/>
    <n v="0"/>
    <x v="8"/>
    <x v="3"/>
  </r>
  <r>
    <n v="3806"/>
    <x v="143"/>
    <x v="21"/>
    <x v="0"/>
    <x v="1"/>
    <x v="0"/>
    <x v="0"/>
    <x v="1260"/>
    <x v="2"/>
    <n v="0"/>
    <x v="11"/>
    <n v="0"/>
    <x v="8"/>
    <x v="3"/>
  </r>
  <r>
    <n v="3732"/>
    <x v="143"/>
    <x v="23"/>
    <x v="1"/>
    <x v="0"/>
    <x v="0"/>
    <x v="0"/>
    <x v="3053"/>
    <x v="2"/>
    <n v="0"/>
    <x v="11"/>
    <n v="0"/>
    <x v="8"/>
    <x v="3"/>
  </r>
  <r>
    <n v="1239"/>
    <x v="143"/>
    <x v="24"/>
    <x v="1"/>
    <x v="2"/>
    <x v="3"/>
    <x v="0"/>
    <x v="3054"/>
    <x v="1"/>
    <n v="0"/>
    <x v="11"/>
    <n v="0"/>
    <x v="8"/>
    <x v="3"/>
  </r>
  <r>
    <n v="3847"/>
    <x v="143"/>
    <x v="30"/>
    <x v="1"/>
    <x v="0"/>
    <x v="2"/>
    <x v="0"/>
    <x v="3055"/>
    <x v="4"/>
    <n v="0"/>
    <x v="11"/>
    <n v="0"/>
    <x v="8"/>
    <x v="3"/>
  </r>
  <r>
    <n v="3529"/>
    <x v="143"/>
    <x v="17"/>
    <x v="1"/>
    <x v="0"/>
    <x v="2"/>
    <x v="0"/>
    <x v="834"/>
    <x v="5"/>
    <n v="0"/>
    <x v="11"/>
    <n v="0"/>
    <x v="8"/>
    <x v="3"/>
  </r>
  <r>
    <n v="1102"/>
    <x v="143"/>
    <x v="2"/>
    <x v="0"/>
    <x v="3"/>
    <x v="0"/>
    <x v="0"/>
    <x v="3056"/>
    <x v="8"/>
    <n v="0"/>
    <x v="11"/>
    <n v="0"/>
    <x v="8"/>
    <x v="3"/>
  </r>
  <r>
    <n v="704"/>
    <x v="144"/>
    <x v="23"/>
    <x v="0"/>
    <x v="0"/>
    <x v="0"/>
    <x v="0"/>
    <x v="3057"/>
    <x v="5"/>
    <n v="1"/>
    <x v="166"/>
    <n v="3"/>
    <x v="5"/>
    <x v="1"/>
  </r>
  <r>
    <n v="1586"/>
    <x v="144"/>
    <x v="7"/>
    <x v="1"/>
    <x v="0"/>
    <x v="2"/>
    <x v="0"/>
    <x v="313"/>
    <x v="8"/>
    <n v="1"/>
    <x v="1347"/>
    <n v="2"/>
    <x v="14"/>
    <x v="0"/>
  </r>
  <r>
    <n v="947"/>
    <x v="144"/>
    <x v="24"/>
    <x v="1"/>
    <x v="0"/>
    <x v="0"/>
    <x v="0"/>
    <x v="3058"/>
    <x v="1"/>
    <n v="1"/>
    <x v="1348"/>
    <n v="1"/>
    <x v="13"/>
    <x v="0"/>
  </r>
  <r>
    <n v="1985"/>
    <x v="144"/>
    <x v="41"/>
    <x v="1"/>
    <x v="2"/>
    <x v="2"/>
    <x v="0"/>
    <x v="3059"/>
    <x v="8"/>
    <n v="1"/>
    <x v="1349"/>
    <n v="2"/>
    <x v="15"/>
    <x v="0"/>
  </r>
  <r>
    <n v="4635"/>
    <x v="144"/>
    <x v="28"/>
    <x v="1"/>
    <x v="2"/>
    <x v="0"/>
    <x v="0"/>
    <x v="1287"/>
    <x v="5"/>
    <n v="1"/>
    <x v="1350"/>
    <n v="2"/>
    <x v="1"/>
    <x v="1"/>
  </r>
  <r>
    <n v="591"/>
    <x v="144"/>
    <x v="19"/>
    <x v="0"/>
    <x v="3"/>
    <x v="3"/>
    <x v="0"/>
    <x v="3060"/>
    <x v="1"/>
    <n v="1"/>
    <x v="746"/>
    <n v="3"/>
    <x v="11"/>
    <x v="2"/>
  </r>
  <r>
    <n v="3552"/>
    <x v="144"/>
    <x v="26"/>
    <x v="1"/>
    <x v="0"/>
    <x v="0"/>
    <x v="0"/>
    <x v="79"/>
    <x v="5"/>
    <n v="1"/>
    <x v="149"/>
    <n v="1"/>
    <x v="0"/>
    <x v="0"/>
  </r>
  <r>
    <n v="2765"/>
    <x v="144"/>
    <x v="5"/>
    <x v="1"/>
    <x v="1"/>
    <x v="0"/>
    <x v="0"/>
    <x v="2732"/>
    <x v="2"/>
    <n v="1"/>
    <x v="1351"/>
    <n v="1"/>
    <x v="15"/>
    <x v="0"/>
  </r>
  <r>
    <n v="180"/>
    <x v="144"/>
    <x v="22"/>
    <x v="1"/>
    <x v="2"/>
    <x v="0"/>
    <x v="0"/>
    <x v="3061"/>
    <x v="5"/>
    <n v="1"/>
    <x v="1352"/>
    <n v="4"/>
    <x v="2"/>
    <x v="0"/>
  </r>
  <r>
    <n v="2600"/>
    <x v="144"/>
    <x v="8"/>
    <x v="0"/>
    <x v="1"/>
    <x v="0"/>
    <x v="0"/>
    <x v="3062"/>
    <x v="2"/>
    <n v="1"/>
    <x v="1353"/>
    <n v="2"/>
    <x v="15"/>
    <x v="4"/>
  </r>
  <r>
    <n v="4142"/>
    <x v="144"/>
    <x v="12"/>
    <x v="0"/>
    <x v="1"/>
    <x v="0"/>
    <x v="0"/>
    <x v="3063"/>
    <x v="2"/>
    <n v="0"/>
    <x v="11"/>
    <n v="0"/>
    <x v="8"/>
    <x v="3"/>
  </r>
  <r>
    <n v="557"/>
    <x v="144"/>
    <x v="8"/>
    <x v="1"/>
    <x v="1"/>
    <x v="2"/>
    <x v="0"/>
    <x v="3064"/>
    <x v="5"/>
    <n v="0"/>
    <x v="11"/>
    <n v="0"/>
    <x v="8"/>
    <x v="3"/>
  </r>
  <r>
    <n v="1994"/>
    <x v="144"/>
    <x v="13"/>
    <x v="0"/>
    <x v="2"/>
    <x v="2"/>
    <x v="0"/>
    <x v="3065"/>
    <x v="2"/>
    <n v="0"/>
    <x v="11"/>
    <n v="0"/>
    <x v="8"/>
    <x v="3"/>
  </r>
  <r>
    <n v="1750"/>
    <x v="144"/>
    <x v="8"/>
    <x v="1"/>
    <x v="3"/>
    <x v="0"/>
    <x v="0"/>
    <x v="1752"/>
    <x v="2"/>
    <n v="0"/>
    <x v="11"/>
    <n v="0"/>
    <x v="8"/>
    <x v="3"/>
  </r>
  <r>
    <n v="2522"/>
    <x v="144"/>
    <x v="41"/>
    <x v="0"/>
    <x v="2"/>
    <x v="3"/>
    <x v="0"/>
    <x v="3066"/>
    <x v="6"/>
    <n v="0"/>
    <x v="11"/>
    <n v="0"/>
    <x v="8"/>
    <x v="3"/>
  </r>
  <r>
    <n v="563"/>
    <x v="144"/>
    <x v="22"/>
    <x v="1"/>
    <x v="2"/>
    <x v="0"/>
    <x v="0"/>
    <x v="1344"/>
    <x v="2"/>
    <n v="0"/>
    <x v="11"/>
    <n v="0"/>
    <x v="8"/>
    <x v="3"/>
  </r>
  <r>
    <n v="998"/>
    <x v="144"/>
    <x v="8"/>
    <x v="1"/>
    <x v="0"/>
    <x v="0"/>
    <x v="0"/>
    <x v="1522"/>
    <x v="6"/>
    <n v="0"/>
    <x v="11"/>
    <n v="0"/>
    <x v="8"/>
    <x v="3"/>
  </r>
  <r>
    <n v="4569"/>
    <x v="144"/>
    <x v="28"/>
    <x v="0"/>
    <x v="3"/>
    <x v="2"/>
    <x v="0"/>
    <x v="2531"/>
    <x v="6"/>
    <n v="0"/>
    <x v="11"/>
    <n v="0"/>
    <x v="8"/>
    <x v="3"/>
  </r>
  <r>
    <n v="1698"/>
    <x v="144"/>
    <x v="24"/>
    <x v="1"/>
    <x v="1"/>
    <x v="1"/>
    <x v="4"/>
    <x v="350"/>
    <x v="2"/>
    <n v="0"/>
    <x v="11"/>
    <n v="0"/>
    <x v="8"/>
    <x v="3"/>
  </r>
  <r>
    <n v="3954"/>
    <x v="144"/>
    <x v="14"/>
    <x v="1"/>
    <x v="0"/>
    <x v="2"/>
    <x v="0"/>
    <x v="3067"/>
    <x v="2"/>
    <n v="0"/>
    <x v="11"/>
    <n v="0"/>
    <x v="8"/>
    <x v="3"/>
  </r>
  <r>
    <n v="4699"/>
    <x v="144"/>
    <x v="35"/>
    <x v="1"/>
    <x v="0"/>
    <x v="1"/>
    <x v="2"/>
    <x v="2533"/>
    <x v="4"/>
    <n v="0"/>
    <x v="11"/>
    <n v="0"/>
    <x v="8"/>
    <x v="3"/>
  </r>
  <r>
    <n v="2667"/>
    <x v="144"/>
    <x v="16"/>
    <x v="0"/>
    <x v="0"/>
    <x v="0"/>
    <x v="0"/>
    <x v="3068"/>
    <x v="7"/>
    <n v="0"/>
    <x v="11"/>
    <n v="0"/>
    <x v="8"/>
    <x v="3"/>
  </r>
  <r>
    <n v="4464"/>
    <x v="144"/>
    <x v="24"/>
    <x v="0"/>
    <x v="1"/>
    <x v="3"/>
    <x v="0"/>
    <x v="2037"/>
    <x v="4"/>
    <n v="0"/>
    <x v="11"/>
    <n v="0"/>
    <x v="8"/>
    <x v="3"/>
  </r>
  <r>
    <n v="3013"/>
    <x v="145"/>
    <x v="6"/>
    <x v="0"/>
    <x v="2"/>
    <x v="1"/>
    <x v="5"/>
    <x v="1871"/>
    <x v="6"/>
    <n v="1"/>
    <x v="1319"/>
    <n v="1"/>
    <x v="14"/>
    <x v="0"/>
  </r>
  <r>
    <n v="1263"/>
    <x v="145"/>
    <x v="34"/>
    <x v="0"/>
    <x v="0"/>
    <x v="1"/>
    <x v="1"/>
    <x v="2112"/>
    <x v="10"/>
    <n v="1"/>
    <x v="1354"/>
    <n v="1"/>
    <x v="3"/>
    <x v="0"/>
  </r>
  <r>
    <n v="3183"/>
    <x v="145"/>
    <x v="45"/>
    <x v="0"/>
    <x v="0"/>
    <x v="2"/>
    <x v="0"/>
    <x v="1133"/>
    <x v="6"/>
    <n v="1"/>
    <x v="1355"/>
    <n v="1"/>
    <x v="6"/>
    <x v="1"/>
  </r>
  <r>
    <n v="3191"/>
    <x v="145"/>
    <x v="41"/>
    <x v="0"/>
    <x v="3"/>
    <x v="0"/>
    <x v="0"/>
    <x v="571"/>
    <x v="2"/>
    <n v="1"/>
    <x v="1356"/>
    <n v="6"/>
    <x v="4"/>
    <x v="0"/>
  </r>
  <r>
    <n v="4221"/>
    <x v="145"/>
    <x v="12"/>
    <x v="0"/>
    <x v="3"/>
    <x v="1"/>
    <x v="3"/>
    <x v="3069"/>
    <x v="5"/>
    <n v="1"/>
    <x v="1357"/>
    <n v="2"/>
    <x v="1"/>
    <x v="0"/>
  </r>
  <r>
    <n v="4180"/>
    <x v="145"/>
    <x v="33"/>
    <x v="1"/>
    <x v="0"/>
    <x v="0"/>
    <x v="0"/>
    <x v="3070"/>
    <x v="10"/>
    <n v="1"/>
    <x v="1358"/>
    <n v="3"/>
    <x v="12"/>
    <x v="0"/>
  </r>
  <r>
    <n v="4829"/>
    <x v="145"/>
    <x v="45"/>
    <x v="1"/>
    <x v="2"/>
    <x v="2"/>
    <x v="0"/>
    <x v="3071"/>
    <x v="5"/>
    <n v="1"/>
    <x v="1359"/>
    <n v="6"/>
    <x v="10"/>
    <x v="0"/>
  </r>
  <r>
    <n v="1437"/>
    <x v="145"/>
    <x v="19"/>
    <x v="0"/>
    <x v="1"/>
    <x v="0"/>
    <x v="0"/>
    <x v="3072"/>
    <x v="1"/>
    <n v="1"/>
    <x v="1360"/>
    <n v="3"/>
    <x v="9"/>
    <x v="0"/>
  </r>
  <r>
    <n v="2377"/>
    <x v="145"/>
    <x v="17"/>
    <x v="0"/>
    <x v="0"/>
    <x v="3"/>
    <x v="0"/>
    <x v="2284"/>
    <x v="10"/>
    <n v="0"/>
    <x v="11"/>
    <n v="0"/>
    <x v="8"/>
    <x v="3"/>
  </r>
  <r>
    <n v="3935"/>
    <x v="145"/>
    <x v="3"/>
    <x v="1"/>
    <x v="1"/>
    <x v="1"/>
    <x v="6"/>
    <x v="3073"/>
    <x v="2"/>
    <n v="0"/>
    <x v="11"/>
    <n v="0"/>
    <x v="8"/>
    <x v="3"/>
  </r>
  <r>
    <n v="2998"/>
    <x v="145"/>
    <x v="7"/>
    <x v="0"/>
    <x v="3"/>
    <x v="1"/>
    <x v="1"/>
    <x v="3074"/>
    <x v="1"/>
    <n v="0"/>
    <x v="11"/>
    <n v="0"/>
    <x v="8"/>
    <x v="3"/>
  </r>
  <r>
    <n v="4904"/>
    <x v="145"/>
    <x v="17"/>
    <x v="1"/>
    <x v="3"/>
    <x v="0"/>
    <x v="0"/>
    <x v="3075"/>
    <x v="2"/>
    <n v="0"/>
    <x v="11"/>
    <n v="0"/>
    <x v="8"/>
    <x v="3"/>
  </r>
  <r>
    <n v="85"/>
    <x v="145"/>
    <x v="2"/>
    <x v="0"/>
    <x v="1"/>
    <x v="3"/>
    <x v="0"/>
    <x v="3076"/>
    <x v="5"/>
    <n v="0"/>
    <x v="11"/>
    <n v="0"/>
    <x v="8"/>
    <x v="3"/>
  </r>
  <r>
    <n v="3561"/>
    <x v="145"/>
    <x v="27"/>
    <x v="1"/>
    <x v="2"/>
    <x v="0"/>
    <x v="0"/>
    <x v="3077"/>
    <x v="8"/>
    <n v="0"/>
    <x v="11"/>
    <n v="0"/>
    <x v="8"/>
    <x v="3"/>
  </r>
  <r>
    <n v="503"/>
    <x v="145"/>
    <x v="8"/>
    <x v="1"/>
    <x v="2"/>
    <x v="0"/>
    <x v="0"/>
    <x v="3078"/>
    <x v="2"/>
    <n v="0"/>
    <x v="11"/>
    <n v="0"/>
    <x v="8"/>
    <x v="3"/>
  </r>
  <r>
    <n v="4534"/>
    <x v="145"/>
    <x v="3"/>
    <x v="0"/>
    <x v="0"/>
    <x v="0"/>
    <x v="0"/>
    <x v="3079"/>
    <x v="0"/>
    <n v="0"/>
    <x v="11"/>
    <n v="0"/>
    <x v="8"/>
    <x v="3"/>
  </r>
  <r>
    <n v="1731"/>
    <x v="145"/>
    <x v="4"/>
    <x v="2"/>
    <x v="3"/>
    <x v="1"/>
    <x v="1"/>
    <x v="2959"/>
    <x v="2"/>
    <n v="0"/>
    <x v="11"/>
    <n v="0"/>
    <x v="8"/>
    <x v="3"/>
  </r>
  <r>
    <n v="2324"/>
    <x v="145"/>
    <x v="11"/>
    <x v="1"/>
    <x v="0"/>
    <x v="1"/>
    <x v="7"/>
    <x v="3080"/>
    <x v="0"/>
    <n v="0"/>
    <x v="11"/>
    <n v="0"/>
    <x v="8"/>
    <x v="3"/>
  </r>
  <r>
    <n v="3967"/>
    <x v="145"/>
    <x v="12"/>
    <x v="1"/>
    <x v="0"/>
    <x v="0"/>
    <x v="0"/>
    <x v="2657"/>
    <x v="5"/>
    <n v="0"/>
    <x v="11"/>
    <n v="0"/>
    <x v="8"/>
    <x v="3"/>
  </r>
  <r>
    <n v="1911"/>
    <x v="145"/>
    <x v="41"/>
    <x v="1"/>
    <x v="2"/>
    <x v="1"/>
    <x v="6"/>
    <x v="1719"/>
    <x v="2"/>
    <n v="0"/>
    <x v="11"/>
    <n v="0"/>
    <x v="8"/>
    <x v="3"/>
  </r>
  <r>
    <n v="3908"/>
    <x v="145"/>
    <x v="44"/>
    <x v="1"/>
    <x v="3"/>
    <x v="1"/>
    <x v="6"/>
    <x v="2681"/>
    <x v="5"/>
    <n v="0"/>
    <x v="11"/>
    <n v="0"/>
    <x v="8"/>
    <x v="3"/>
  </r>
  <r>
    <n v="4778"/>
    <x v="145"/>
    <x v="43"/>
    <x v="1"/>
    <x v="2"/>
    <x v="0"/>
    <x v="0"/>
    <x v="2645"/>
    <x v="2"/>
    <n v="0"/>
    <x v="11"/>
    <n v="0"/>
    <x v="8"/>
    <x v="3"/>
  </r>
  <r>
    <n v="1528"/>
    <x v="145"/>
    <x v="24"/>
    <x v="1"/>
    <x v="3"/>
    <x v="1"/>
    <x v="1"/>
    <x v="1902"/>
    <x v="6"/>
    <n v="0"/>
    <x v="11"/>
    <n v="0"/>
    <x v="8"/>
    <x v="3"/>
  </r>
  <r>
    <n v="2057"/>
    <x v="146"/>
    <x v="13"/>
    <x v="1"/>
    <x v="2"/>
    <x v="1"/>
    <x v="1"/>
    <x v="3081"/>
    <x v="0"/>
    <n v="1"/>
    <x v="1154"/>
    <n v="1"/>
    <x v="15"/>
    <x v="2"/>
  </r>
  <r>
    <n v="1498"/>
    <x v="146"/>
    <x v="7"/>
    <x v="1"/>
    <x v="1"/>
    <x v="2"/>
    <x v="0"/>
    <x v="3082"/>
    <x v="2"/>
    <n v="1"/>
    <x v="817"/>
    <n v="2"/>
    <x v="1"/>
    <x v="0"/>
  </r>
  <r>
    <n v="3310"/>
    <x v="146"/>
    <x v="16"/>
    <x v="1"/>
    <x v="1"/>
    <x v="2"/>
    <x v="0"/>
    <x v="3083"/>
    <x v="4"/>
    <n v="1"/>
    <x v="1361"/>
    <n v="1"/>
    <x v="4"/>
    <x v="0"/>
  </r>
  <r>
    <n v="1886"/>
    <x v="146"/>
    <x v="26"/>
    <x v="1"/>
    <x v="2"/>
    <x v="2"/>
    <x v="0"/>
    <x v="3084"/>
    <x v="4"/>
    <n v="1"/>
    <x v="1362"/>
    <n v="3"/>
    <x v="3"/>
    <x v="2"/>
  </r>
  <r>
    <n v="2083"/>
    <x v="146"/>
    <x v="5"/>
    <x v="0"/>
    <x v="1"/>
    <x v="1"/>
    <x v="6"/>
    <x v="3085"/>
    <x v="2"/>
    <n v="1"/>
    <x v="1363"/>
    <n v="5"/>
    <x v="4"/>
    <x v="0"/>
  </r>
  <r>
    <n v="627"/>
    <x v="146"/>
    <x v="5"/>
    <x v="1"/>
    <x v="1"/>
    <x v="1"/>
    <x v="7"/>
    <x v="3086"/>
    <x v="8"/>
    <n v="1"/>
    <x v="1364"/>
    <n v="3"/>
    <x v="11"/>
    <x v="2"/>
  </r>
  <r>
    <n v="741"/>
    <x v="146"/>
    <x v="5"/>
    <x v="1"/>
    <x v="3"/>
    <x v="0"/>
    <x v="0"/>
    <x v="3087"/>
    <x v="8"/>
    <n v="0"/>
    <x v="11"/>
    <n v="0"/>
    <x v="8"/>
    <x v="3"/>
  </r>
  <r>
    <n v="1342"/>
    <x v="146"/>
    <x v="19"/>
    <x v="1"/>
    <x v="3"/>
    <x v="1"/>
    <x v="2"/>
    <x v="3088"/>
    <x v="1"/>
    <n v="0"/>
    <x v="11"/>
    <n v="0"/>
    <x v="8"/>
    <x v="3"/>
  </r>
  <r>
    <n v="4927"/>
    <x v="146"/>
    <x v="28"/>
    <x v="1"/>
    <x v="1"/>
    <x v="0"/>
    <x v="0"/>
    <x v="843"/>
    <x v="0"/>
    <n v="0"/>
    <x v="11"/>
    <n v="0"/>
    <x v="8"/>
    <x v="3"/>
  </r>
  <r>
    <n v="1783"/>
    <x v="146"/>
    <x v="20"/>
    <x v="1"/>
    <x v="0"/>
    <x v="0"/>
    <x v="0"/>
    <x v="3089"/>
    <x v="6"/>
    <n v="0"/>
    <x v="11"/>
    <n v="0"/>
    <x v="8"/>
    <x v="3"/>
  </r>
  <r>
    <n v="2033"/>
    <x v="146"/>
    <x v="13"/>
    <x v="0"/>
    <x v="1"/>
    <x v="0"/>
    <x v="0"/>
    <x v="1679"/>
    <x v="8"/>
    <n v="0"/>
    <x v="11"/>
    <n v="0"/>
    <x v="8"/>
    <x v="3"/>
  </r>
  <r>
    <n v="287"/>
    <x v="146"/>
    <x v="24"/>
    <x v="0"/>
    <x v="1"/>
    <x v="0"/>
    <x v="0"/>
    <x v="1299"/>
    <x v="5"/>
    <n v="0"/>
    <x v="11"/>
    <n v="0"/>
    <x v="8"/>
    <x v="3"/>
  </r>
  <r>
    <n v="4229"/>
    <x v="146"/>
    <x v="14"/>
    <x v="1"/>
    <x v="2"/>
    <x v="0"/>
    <x v="0"/>
    <x v="3090"/>
    <x v="8"/>
    <n v="0"/>
    <x v="11"/>
    <n v="0"/>
    <x v="8"/>
    <x v="3"/>
  </r>
  <r>
    <n v="2954"/>
    <x v="146"/>
    <x v="20"/>
    <x v="0"/>
    <x v="0"/>
    <x v="1"/>
    <x v="2"/>
    <x v="2874"/>
    <x v="8"/>
    <n v="0"/>
    <x v="11"/>
    <n v="0"/>
    <x v="8"/>
    <x v="3"/>
  </r>
  <r>
    <n v="2694"/>
    <x v="146"/>
    <x v="5"/>
    <x v="0"/>
    <x v="0"/>
    <x v="0"/>
    <x v="0"/>
    <x v="621"/>
    <x v="5"/>
    <n v="0"/>
    <x v="11"/>
    <n v="0"/>
    <x v="8"/>
    <x v="3"/>
  </r>
  <r>
    <n v="495"/>
    <x v="146"/>
    <x v="20"/>
    <x v="1"/>
    <x v="0"/>
    <x v="0"/>
    <x v="0"/>
    <x v="341"/>
    <x v="1"/>
    <n v="0"/>
    <x v="11"/>
    <n v="0"/>
    <x v="8"/>
    <x v="3"/>
  </r>
  <r>
    <n v="789"/>
    <x v="146"/>
    <x v="39"/>
    <x v="0"/>
    <x v="2"/>
    <x v="0"/>
    <x v="0"/>
    <x v="1003"/>
    <x v="4"/>
    <n v="0"/>
    <x v="11"/>
    <n v="0"/>
    <x v="8"/>
    <x v="3"/>
  </r>
  <r>
    <n v="2485"/>
    <x v="146"/>
    <x v="19"/>
    <x v="0"/>
    <x v="3"/>
    <x v="1"/>
    <x v="1"/>
    <x v="3091"/>
    <x v="4"/>
    <n v="0"/>
    <x v="11"/>
    <n v="0"/>
    <x v="8"/>
    <x v="3"/>
  </r>
  <r>
    <n v="3788"/>
    <x v="146"/>
    <x v="25"/>
    <x v="0"/>
    <x v="0"/>
    <x v="0"/>
    <x v="0"/>
    <x v="3092"/>
    <x v="6"/>
    <n v="0"/>
    <x v="11"/>
    <n v="0"/>
    <x v="8"/>
    <x v="3"/>
  </r>
  <r>
    <n v="3285"/>
    <x v="146"/>
    <x v="26"/>
    <x v="1"/>
    <x v="3"/>
    <x v="1"/>
    <x v="3"/>
    <x v="3093"/>
    <x v="11"/>
    <n v="0"/>
    <x v="11"/>
    <n v="0"/>
    <x v="8"/>
    <x v="3"/>
  </r>
  <r>
    <n v="4096"/>
    <x v="146"/>
    <x v="11"/>
    <x v="0"/>
    <x v="3"/>
    <x v="2"/>
    <x v="0"/>
    <x v="3034"/>
    <x v="5"/>
    <n v="0"/>
    <x v="11"/>
    <n v="0"/>
    <x v="8"/>
    <x v="3"/>
  </r>
  <r>
    <n v="3508"/>
    <x v="146"/>
    <x v="23"/>
    <x v="1"/>
    <x v="2"/>
    <x v="1"/>
    <x v="7"/>
    <x v="1875"/>
    <x v="5"/>
    <n v="0"/>
    <x v="11"/>
    <n v="0"/>
    <x v="8"/>
    <x v="3"/>
  </r>
  <r>
    <n v="1621"/>
    <x v="146"/>
    <x v="4"/>
    <x v="0"/>
    <x v="2"/>
    <x v="0"/>
    <x v="0"/>
    <x v="914"/>
    <x v="1"/>
    <n v="0"/>
    <x v="11"/>
    <n v="0"/>
    <x v="8"/>
    <x v="3"/>
  </r>
  <r>
    <n v="3644"/>
    <x v="146"/>
    <x v="19"/>
    <x v="1"/>
    <x v="1"/>
    <x v="1"/>
    <x v="4"/>
    <x v="3094"/>
    <x v="6"/>
    <n v="0"/>
    <x v="11"/>
    <n v="0"/>
    <x v="8"/>
    <x v="3"/>
  </r>
  <r>
    <n v="163"/>
    <x v="147"/>
    <x v="7"/>
    <x v="0"/>
    <x v="0"/>
    <x v="3"/>
    <x v="0"/>
    <x v="3095"/>
    <x v="0"/>
    <n v="1"/>
    <x v="1365"/>
    <n v="4"/>
    <x v="12"/>
    <x v="0"/>
  </r>
  <r>
    <n v="4134"/>
    <x v="147"/>
    <x v="25"/>
    <x v="0"/>
    <x v="2"/>
    <x v="0"/>
    <x v="0"/>
    <x v="3096"/>
    <x v="8"/>
    <n v="1"/>
    <x v="1366"/>
    <n v="1"/>
    <x v="9"/>
    <x v="0"/>
  </r>
  <r>
    <n v="1959"/>
    <x v="147"/>
    <x v="31"/>
    <x v="1"/>
    <x v="3"/>
    <x v="0"/>
    <x v="0"/>
    <x v="2317"/>
    <x v="5"/>
    <n v="1"/>
    <x v="1367"/>
    <n v="1"/>
    <x v="13"/>
    <x v="2"/>
  </r>
  <r>
    <n v="115"/>
    <x v="147"/>
    <x v="5"/>
    <x v="1"/>
    <x v="2"/>
    <x v="1"/>
    <x v="1"/>
    <x v="3097"/>
    <x v="6"/>
    <n v="1"/>
    <x v="1368"/>
    <n v="2"/>
    <x v="4"/>
    <x v="1"/>
  </r>
  <r>
    <n v="304"/>
    <x v="147"/>
    <x v="8"/>
    <x v="0"/>
    <x v="2"/>
    <x v="0"/>
    <x v="0"/>
    <x v="3098"/>
    <x v="11"/>
    <n v="1"/>
    <x v="147"/>
    <n v="5"/>
    <x v="3"/>
    <x v="0"/>
  </r>
  <r>
    <n v="2823"/>
    <x v="147"/>
    <x v="8"/>
    <x v="1"/>
    <x v="1"/>
    <x v="0"/>
    <x v="0"/>
    <x v="974"/>
    <x v="6"/>
    <n v="1"/>
    <x v="1369"/>
    <n v="2"/>
    <x v="2"/>
    <x v="1"/>
  </r>
  <r>
    <n v="4800"/>
    <x v="147"/>
    <x v="46"/>
    <x v="1"/>
    <x v="1"/>
    <x v="0"/>
    <x v="0"/>
    <x v="3099"/>
    <x v="4"/>
    <n v="1"/>
    <x v="1363"/>
    <n v="3"/>
    <x v="12"/>
    <x v="0"/>
  </r>
  <r>
    <n v="88"/>
    <x v="147"/>
    <x v="16"/>
    <x v="0"/>
    <x v="3"/>
    <x v="0"/>
    <x v="0"/>
    <x v="3100"/>
    <x v="6"/>
    <n v="1"/>
    <x v="1370"/>
    <n v="4"/>
    <x v="2"/>
    <x v="1"/>
  </r>
  <r>
    <n v="2351"/>
    <x v="147"/>
    <x v="13"/>
    <x v="0"/>
    <x v="0"/>
    <x v="1"/>
    <x v="3"/>
    <x v="410"/>
    <x v="4"/>
    <n v="1"/>
    <x v="1371"/>
    <n v="1"/>
    <x v="2"/>
    <x v="0"/>
  </r>
  <r>
    <n v="4215"/>
    <x v="147"/>
    <x v="25"/>
    <x v="0"/>
    <x v="1"/>
    <x v="1"/>
    <x v="4"/>
    <x v="3101"/>
    <x v="2"/>
    <n v="1"/>
    <x v="1372"/>
    <n v="3"/>
    <x v="3"/>
    <x v="2"/>
  </r>
  <r>
    <n v="3366"/>
    <x v="147"/>
    <x v="45"/>
    <x v="1"/>
    <x v="0"/>
    <x v="3"/>
    <x v="0"/>
    <x v="3102"/>
    <x v="5"/>
    <n v="1"/>
    <x v="1373"/>
    <n v="6"/>
    <x v="0"/>
    <x v="0"/>
  </r>
  <r>
    <n v="1787"/>
    <x v="147"/>
    <x v="11"/>
    <x v="1"/>
    <x v="0"/>
    <x v="1"/>
    <x v="6"/>
    <x v="3103"/>
    <x v="8"/>
    <n v="0"/>
    <x v="11"/>
    <n v="0"/>
    <x v="8"/>
    <x v="3"/>
  </r>
  <r>
    <n v="4958"/>
    <x v="147"/>
    <x v="42"/>
    <x v="1"/>
    <x v="1"/>
    <x v="0"/>
    <x v="0"/>
    <x v="3104"/>
    <x v="0"/>
    <n v="0"/>
    <x v="11"/>
    <n v="0"/>
    <x v="8"/>
    <x v="3"/>
  </r>
  <r>
    <n v="1883"/>
    <x v="147"/>
    <x v="0"/>
    <x v="1"/>
    <x v="1"/>
    <x v="1"/>
    <x v="7"/>
    <x v="3105"/>
    <x v="0"/>
    <n v="0"/>
    <x v="11"/>
    <n v="0"/>
    <x v="8"/>
    <x v="3"/>
  </r>
  <r>
    <n v="1175"/>
    <x v="147"/>
    <x v="23"/>
    <x v="1"/>
    <x v="0"/>
    <x v="3"/>
    <x v="0"/>
    <x v="3106"/>
    <x v="4"/>
    <n v="0"/>
    <x v="11"/>
    <n v="0"/>
    <x v="8"/>
    <x v="3"/>
  </r>
  <r>
    <n v="2167"/>
    <x v="147"/>
    <x v="13"/>
    <x v="0"/>
    <x v="2"/>
    <x v="1"/>
    <x v="6"/>
    <x v="3107"/>
    <x v="8"/>
    <n v="0"/>
    <x v="11"/>
    <n v="0"/>
    <x v="8"/>
    <x v="3"/>
  </r>
  <r>
    <n v="3111"/>
    <x v="147"/>
    <x v="17"/>
    <x v="0"/>
    <x v="0"/>
    <x v="0"/>
    <x v="0"/>
    <x v="1415"/>
    <x v="5"/>
    <n v="0"/>
    <x v="11"/>
    <n v="0"/>
    <x v="8"/>
    <x v="3"/>
  </r>
  <r>
    <n v="2279"/>
    <x v="147"/>
    <x v="14"/>
    <x v="0"/>
    <x v="0"/>
    <x v="1"/>
    <x v="4"/>
    <x v="1109"/>
    <x v="5"/>
    <n v="0"/>
    <x v="11"/>
    <n v="0"/>
    <x v="8"/>
    <x v="3"/>
  </r>
  <r>
    <n v="3463"/>
    <x v="147"/>
    <x v="16"/>
    <x v="0"/>
    <x v="2"/>
    <x v="0"/>
    <x v="0"/>
    <x v="797"/>
    <x v="0"/>
    <n v="0"/>
    <x v="11"/>
    <n v="0"/>
    <x v="8"/>
    <x v="3"/>
  </r>
  <r>
    <n v="2400"/>
    <x v="147"/>
    <x v="31"/>
    <x v="1"/>
    <x v="2"/>
    <x v="0"/>
    <x v="0"/>
    <x v="3108"/>
    <x v="8"/>
    <n v="0"/>
    <x v="11"/>
    <n v="0"/>
    <x v="8"/>
    <x v="3"/>
  </r>
  <r>
    <n v="1226"/>
    <x v="147"/>
    <x v="22"/>
    <x v="1"/>
    <x v="0"/>
    <x v="0"/>
    <x v="0"/>
    <x v="857"/>
    <x v="4"/>
    <n v="0"/>
    <x v="11"/>
    <n v="0"/>
    <x v="8"/>
    <x v="3"/>
  </r>
  <r>
    <n v="2098"/>
    <x v="147"/>
    <x v="43"/>
    <x v="1"/>
    <x v="3"/>
    <x v="1"/>
    <x v="7"/>
    <x v="3109"/>
    <x v="0"/>
    <n v="0"/>
    <x v="11"/>
    <n v="0"/>
    <x v="8"/>
    <x v="3"/>
  </r>
  <r>
    <n v="585"/>
    <x v="147"/>
    <x v="8"/>
    <x v="1"/>
    <x v="0"/>
    <x v="0"/>
    <x v="0"/>
    <x v="3110"/>
    <x v="0"/>
    <n v="0"/>
    <x v="11"/>
    <n v="0"/>
    <x v="8"/>
    <x v="3"/>
  </r>
  <r>
    <n v="4866"/>
    <x v="147"/>
    <x v="28"/>
    <x v="1"/>
    <x v="1"/>
    <x v="0"/>
    <x v="0"/>
    <x v="1937"/>
    <x v="12"/>
    <n v="0"/>
    <x v="11"/>
    <n v="0"/>
    <x v="8"/>
    <x v="3"/>
  </r>
  <r>
    <n v="1784"/>
    <x v="147"/>
    <x v="7"/>
    <x v="1"/>
    <x v="2"/>
    <x v="1"/>
    <x v="5"/>
    <x v="3111"/>
    <x v="8"/>
    <n v="0"/>
    <x v="11"/>
    <n v="0"/>
    <x v="8"/>
    <x v="3"/>
  </r>
  <r>
    <n v="2750"/>
    <x v="147"/>
    <x v="16"/>
    <x v="0"/>
    <x v="0"/>
    <x v="0"/>
    <x v="0"/>
    <x v="3112"/>
    <x v="6"/>
    <n v="0"/>
    <x v="11"/>
    <n v="0"/>
    <x v="8"/>
    <x v="3"/>
  </r>
  <r>
    <n v="3888"/>
    <x v="147"/>
    <x v="13"/>
    <x v="0"/>
    <x v="1"/>
    <x v="1"/>
    <x v="5"/>
    <x v="3113"/>
    <x v="6"/>
    <n v="0"/>
    <x v="11"/>
    <n v="0"/>
    <x v="8"/>
    <x v="3"/>
  </r>
  <r>
    <n v="2329"/>
    <x v="147"/>
    <x v="5"/>
    <x v="0"/>
    <x v="0"/>
    <x v="3"/>
    <x v="0"/>
    <x v="3114"/>
    <x v="0"/>
    <n v="0"/>
    <x v="11"/>
    <n v="0"/>
    <x v="8"/>
    <x v="3"/>
  </r>
  <r>
    <n v="102"/>
    <x v="147"/>
    <x v="24"/>
    <x v="1"/>
    <x v="2"/>
    <x v="1"/>
    <x v="7"/>
    <x v="3115"/>
    <x v="10"/>
    <n v="0"/>
    <x v="11"/>
    <n v="0"/>
    <x v="8"/>
    <x v="3"/>
  </r>
  <r>
    <n v="1299"/>
    <x v="147"/>
    <x v="22"/>
    <x v="1"/>
    <x v="1"/>
    <x v="0"/>
    <x v="0"/>
    <x v="2278"/>
    <x v="2"/>
    <n v="0"/>
    <x v="11"/>
    <n v="0"/>
    <x v="8"/>
    <x v="3"/>
  </r>
  <r>
    <n v="2127"/>
    <x v="147"/>
    <x v="43"/>
    <x v="1"/>
    <x v="1"/>
    <x v="3"/>
    <x v="0"/>
    <x v="3116"/>
    <x v="8"/>
    <n v="0"/>
    <x v="11"/>
    <n v="0"/>
    <x v="8"/>
    <x v="3"/>
  </r>
  <r>
    <n v="347"/>
    <x v="147"/>
    <x v="23"/>
    <x v="1"/>
    <x v="2"/>
    <x v="0"/>
    <x v="0"/>
    <x v="3117"/>
    <x v="4"/>
    <n v="0"/>
    <x v="11"/>
    <n v="0"/>
    <x v="8"/>
    <x v="3"/>
  </r>
  <r>
    <n v="929"/>
    <x v="147"/>
    <x v="41"/>
    <x v="1"/>
    <x v="1"/>
    <x v="2"/>
    <x v="0"/>
    <x v="1038"/>
    <x v="5"/>
    <n v="0"/>
    <x v="11"/>
    <n v="0"/>
    <x v="8"/>
    <x v="3"/>
  </r>
  <r>
    <n v="4290"/>
    <x v="148"/>
    <x v="5"/>
    <x v="1"/>
    <x v="2"/>
    <x v="0"/>
    <x v="0"/>
    <x v="3118"/>
    <x v="4"/>
    <n v="1"/>
    <x v="1374"/>
    <n v="2"/>
    <x v="10"/>
    <x v="0"/>
  </r>
  <r>
    <n v="2569"/>
    <x v="148"/>
    <x v="44"/>
    <x v="1"/>
    <x v="0"/>
    <x v="3"/>
    <x v="0"/>
    <x v="1347"/>
    <x v="4"/>
    <n v="1"/>
    <x v="1375"/>
    <n v="3"/>
    <x v="10"/>
    <x v="0"/>
  </r>
  <r>
    <n v="1756"/>
    <x v="148"/>
    <x v="16"/>
    <x v="1"/>
    <x v="0"/>
    <x v="1"/>
    <x v="7"/>
    <x v="2029"/>
    <x v="8"/>
    <n v="1"/>
    <x v="1376"/>
    <n v="3"/>
    <x v="4"/>
    <x v="0"/>
  </r>
  <r>
    <n v="3476"/>
    <x v="148"/>
    <x v="19"/>
    <x v="0"/>
    <x v="1"/>
    <x v="2"/>
    <x v="0"/>
    <x v="3119"/>
    <x v="1"/>
    <n v="1"/>
    <x v="1377"/>
    <n v="1"/>
    <x v="12"/>
    <x v="0"/>
  </r>
  <r>
    <n v="1308"/>
    <x v="148"/>
    <x v="6"/>
    <x v="1"/>
    <x v="3"/>
    <x v="0"/>
    <x v="0"/>
    <x v="315"/>
    <x v="0"/>
    <n v="1"/>
    <x v="1378"/>
    <n v="1"/>
    <x v="0"/>
    <x v="0"/>
  </r>
  <r>
    <n v="3502"/>
    <x v="148"/>
    <x v="27"/>
    <x v="0"/>
    <x v="2"/>
    <x v="0"/>
    <x v="0"/>
    <x v="3120"/>
    <x v="0"/>
    <n v="1"/>
    <x v="1379"/>
    <n v="1"/>
    <x v="0"/>
    <x v="1"/>
  </r>
  <r>
    <n v="4454"/>
    <x v="148"/>
    <x v="40"/>
    <x v="1"/>
    <x v="3"/>
    <x v="0"/>
    <x v="0"/>
    <x v="480"/>
    <x v="8"/>
    <n v="1"/>
    <x v="1380"/>
    <n v="2"/>
    <x v="6"/>
    <x v="0"/>
  </r>
  <r>
    <n v="821"/>
    <x v="148"/>
    <x v="19"/>
    <x v="1"/>
    <x v="2"/>
    <x v="0"/>
    <x v="0"/>
    <x v="3121"/>
    <x v="5"/>
    <n v="1"/>
    <x v="1381"/>
    <n v="6"/>
    <x v="15"/>
    <x v="1"/>
  </r>
  <r>
    <n v="4002"/>
    <x v="148"/>
    <x v="32"/>
    <x v="1"/>
    <x v="3"/>
    <x v="1"/>
    <x v="5"/>
    <x v="3122"/>
    <x v="10"/>
    <n v="1"/>
    <x v="1382"/>
    <n v="3"/>
    <x v="11"/>
    <x v="0"/>
  </r>
  <r>
    <n v="1295"/>
    <x v="148"/>
    <x v="8"/>
    <x v="0"/>
    <x v="0"/>
    <x v="3"/>
    <x v="0"/>
    <x v="3123"/>
    <x v="5"/>
    <n v="1"/>
    <x v="1383"/>
    <n v="6"/>
    <x v="15"/>
    <x v="1"/>
  </r>
  <r>
    <n v="3319"/>
    <x v="148"/>
    <x v="47"/>
    <x v="1"/>
    <x v="1"/>
    <x v="0"/>
    <x v="0"/>
    <x v="754"/>
    <x v="1"/>
    <n v="1"/>
    <x v="1384"/>
    <n v="3"/>
    <x v="13"/>
    <x v="0"/>
  </r>
  <r>
    <n v="3288"/>
    <x v="148"/>
    <x v="41"/>
    <x v="1"/>
    <x v="2"/>
    <x v="2"/>
    <x v="0"/>
    <x v="3124"/>
    <x v="11"/>
    <n v="0"/>
    <x v="11"/>
    <n v="0"/>
    <x v="8"/>
    <x v="3"/>
  </r>
  <r>
    <n v="1608"/>
    <x v="148"/>
    <x v="5"/>
    <x v="1"/>
    <x v="3"/>
    <x v="1"/>
    <x v="3"/>
    <x v="3125"/>
    <x v="0"/>
    <n v="0"/>
    <x v="11"/>
    <n v="0"/>
    <x v="8"/>
    <x v="3"/>
  </r>
  <r>
    <n v="117"/>
    <x v="148"/>
    <x v="0"/>
    <x v="1"/>
    <x v="2"/>
    <x v="0"/>
    <x v="0"/>
    <x v="3126"/>
    <x v="8"/>
    <n v="0"/>
    <x v="11"/>
    <n v="0"/>
    <x v="8"/>
    <x v="3"/>
  </r>
  <r>
    <n v="1893"/>
    <x v="148"/>
    <x v="11"/>
    <x v="0"/>
    <x v="2"/>
    <x v="1"/>
    <x v="6"/>
    <x v="3127"/>
    <x v="5"/>
    <n v="0"/>
    <x v="11"/>
    <n v="0"/>
    <x v="8"/>
    <x v="3"/>
  </r>
  <r>
    <n v="3327"/>
    <x v="148"/>
    <x v="11"/>
    <x v="1"/>
    <x v="2"/>
    <x v="1"/>
    <x v="4"/>
    <x v="2607"/>
    <x v="5"/>
    <n v="0"/>
    <x v="11"/>
    <n v="0"/>
    <x v="8"/>
    <x v="3"/>
  </r>
  <r>
    <n v="4883"/>
    <x v="148"/>
    <x v="40"/>
    <x v="2"/>
    <x v="1"/>
    <x v="1"/>
    <x v="3"/>
    <x v="3128"/>
    <x v="2"/>
    <n v="0"/>
    <x v="11"/>
    <n v="0"/>
    <x v="8"/>
    <x v="3"/>
  </r>
  <r>
    <n v="2121"/>
    <x v="148"/>
    <x v="5"/>
    <x v="1"/>
    <x v="3"/>
    <x v="2"/>
    <x v="0"/>
    <x v="3129"/>
    <x v="8"/>
    <n v="0"/>
    <x v="11"/>
    <n v="0"/>
    <x v="8"/>
    <x v="3"/>
  </r>
  <r>
    <n v="2212"/>
    <x v="148"/>
    <x v="19"/>
    <x v="0"/>
    <x v="0"/>
    <x v="2"/>
    <x v="0"/>
    <x v="1579"/>
    <x v="0"/>
    <n v="0"/>
    <x v="11"/>
    <n v="0"/>
    <x v="8"/>
    <x v="3"/>
  </r>
  <r>
    <n v="1936"/>
    <x v="148"/>
    <x v="33"/>
    <x v="0"/>
    <x v="0"/>
    <x v="0"/>
    <x v="0"/>
    <x v="2628"/>
    <x v="4"/>
    <n v="0"/>
    <x v="11"/>
    <n v="0"/>
    <x v="8"/>
    <x v="3"/>
  </r>
  <r>
    <n v="386"/>
    <x v="148"/>
    <x v="0"/>
    <x v="2"/>
    <x v="3"/>
    <x v="0"/>
    <x v="0"/>
    <x v="3130"/>
    <x v="8"/>
    <n v="0"/>
    <x v="11"/>
    <n v="0"/>
    <x v="8"/>
    <x v="3"/>
  </r>
  <r>
    <n v="3300"/>
    <x v="148"/>
    <x v="20"/>
    <x v="0"/>
    <x v="2"/>
    <x v="3"/>
    <x v="0"/>
    <x v="3131"/>
    <x v="2"/>
    <n v="0"/>
    <x v="11"/>
    <n v="0"/>
    <x v="8"/>
    <x v="3"/>
  </r>
  <r>
    <n v="68"/>
    <x v="148"/>
    <x v="19"/>
    <x v="0"/>
    <x v="1"/>
    <x v="0"/>
    <x v="0"/>
    <x v="3132"/>
    <x v="2"/>
    <n v="0"/>
    <x v="11"/>
    <n v="0"/>
    <x v="8"/>
    <x v="3"/>
  </r>
  <r>
    <n v="3131"/>
    <x v="148"/>
    <x v="22"/>
    <x v="0"/>
    <x v="0"/>
    <x v="0"/>
    <x v="0"/>
    <x v="726"/>
    <x v="2"/>
    <n v="0"/>
    <x v="11"/>
    <n v="0"/>
    <x v="8"/>
    <x v="3"/>
  </r>
  <r>
    <n v="3679"/>
    <x v="148"/>
    <x v="16"/>
    <x v="1"/>
    <x v="2"/>
    <x v="0"/>
    <x v="0"/>
    <x v="3133"/>
    <x v="1"/>
    <n v="0"/>
    <x v="11"/>
    <n v="0"/>
    <x v="8"/>
    <x v="3"/>
  </r>
  <r>
    <n v="2592"/>
    <x v="148"/>
    <x v="14"/>
    <x v="1"/>
    <x v="2"/>
    <x v="0"/>
    <x v="0"/>
    <x v="1814"/>
    <x v="0"/>
    <n v="0"/>
    <x v="11"/>
    <n v="0"/>
    <x v="8"/>
    <x v="3"/>
  </r>
  <r>
    <n v="1529"/>
    <x v="148"/>
    <x v="23"/>
    <x v="0"/>
    <x v="2"/>
    <x v="1"/>
    <x v="6"/>
    <x v="3134"/>
    <x v="2"/>
    <n v="0"/>
    <x v="11"/>
    <n v="0"/>
    <x v="8"/>
    <x v="3"/>
  </r>
  <r>
    <n v="4633"/>
    <x v="148"/>
    <x v="30"/>
    <x v="0"/>
    <x v="2"/>
    <x v="0"/>
    <x v="0"/>
    <x v="3135"/>
    <x v="2"/>
    <n v="0"/>
    <x v="11"/>
    <n v="0"/>
    <x v="8"/>
    <x v="3"/>
  </r>
  <r>
    <n v="3920"/>
    <x v="148"/>
    <x v="47"/>
    <x v="1"/>
    <x v="2"/>
    <x v="2"/>
    <x v="0"/>
    <x v="1288"/>
    <x v="5"/>
    <n v="0"/>
    <x v="11"/>
    <n v="0"/>
    <x v="8"/>
    <x v="3"/>
  </r>
  <r>
    <n v="2992"/>
    <x v="148"/>
    <x v="26"/>
    <x v="0"/>
    <x v="0"/>
    <x v="0"/>
    <x v="0"/>
    <x v="3136"/>
    <x v="7"/>
    <n v="0"/>
    <x v="11"/>
    <n v="0"/>
    <x v="8"/>
    <x v="3"/>
  </r>
  <r>
    <n v="4750"/>
    <x v="148"/>
    <x v="25"/>
    <x v="1"/>
    <x v="0"/>
    <x v="2"/>
    <x v="0"/>
    <x v="3137"/>
    <x v="0"/>
    <n v="0"/>
    <x v="11"/>
    <n v="0"/>
    <x v="8"/>
    <x v="3"/>
  </r>
  <r>
    <n v="3785"/>
    <x v="148"/>
    <x v="34"/>
    <x v="0"/>
    <x v="3"/>
    <x v="0"/>
    <x v="0"/>
    <x v="447"/>
    <x v="5"/>
    <n v="0"/>
    <x v="11"/>
    <n v="0"/>
    <x v="8"/>
    <x v="3"/>
  </r>
  <r>
    <n v="2301"/>
    <x v="148"/>
    <x v="45"/>
    <x v="1"/>
    <x v="0"/>
    <x v="0"/>
    <x v="0"/>
    <x v="2704"/>
    <x v="2"/>
    <n v="0"/>
    <x v="11"/>
    <n v="0"/>
    <x v="8"/>
    <x v="3"/>
  </r>
  <r>
    <n v="4949"/>
    <x v="148"/>
    <x v="44"/>
    <x v="0"/>
    <x v="0"/>
    <x v="0"/>
    <x v="0"/>
    <x v="3138"/>
    <x v="0"/>
    <n v="0"/>
    <x v="11"/>
    <n v="0"/>
    <x v="8"/>
    <x v="3"/>
  </r>
  <r>
    <n v="3447"/>
    <x v="148"/>
    <x v="13"/>
    <x v="0"/>
    <x v="2"/>
    <x v="0"/>
    <x v="0"/>
    <x v="2980"/>
    <x v="6"/>
    <n v="0"/>
    <x v="11"/>
    <n v="0"/>
    <x v="8"/>
    <x v="3"/>
  </r>
  <r>
    <n v="2525"/>
    <x v="148"/>
    <x v="19"/>
    <x v="1"/>
    <x v="2"/>
    <x v="0"/>
    <x v="0"/>
    <x v="3139"/>
    <x v="2"/>
    <n v="0"/>
    <x v="11"/>
    <n v="0"/>
    <x v="8"/>
    <x v="3"/>
  </r>
  <r>
    <n v="3551"/>
    <x v="148"/>
    <x v="0"/>
    <x v="0"/>
    <x v="0"/>
    <x v="0"/>
    <x v="0"/>
    <x v="3140"/>
    <x v="2"/>
    <n v="0"/>
    <x v="11"/>
    <n v="0"/>
    <x v="8"/>
    <x v="3"/>
  </r>
  <r>
    <n v="1982"/>
    <x v="148"/>
    <x v="11"/>
    <x v="1"/>
    <x v="3"/>
    <x v="2"/>
    <x v="0"/>
    <x v="3141"/>
    <x v="0"/>
    <n v="0"/>
    <x v="11"/>
    <n v="0"/>
    <x v="8"/>
    <x v="3"/>
  </r>
  <r>
    <n v="2806"/>
    <x v="149"/>
    <x v="13"/>
    <x v="0"/>
    <x v="0"/>
    <x v="0"/>
    <x v="0"/>
    <x v="3142"/>
    <x v="6"/>
    <n v="1"/>
    <x v="1385"/>
    <n v="5"/>
    <x v="6"/>
    <x v="0"/>
  </r>
  <r>
    <n v="1682"/>
    <x v="149"/>
    <x v="6"/>
    <x v="0"/>
    <x v="2"/>
    <x v="1"/>
    <x v="6"/>
    <x v="3143"/>
    <x v="6"/>
    <n v="1"/>
    <x v="166"/>
    <n v="3"/>
    <x v="7"/>
    <x v="0"/>
  </r>
  <r>
    <n v="4991"/>
    <x v="149"/>
    <x v="28"/>
    <x v="0"/>
    <x v="3"/>
    <x v="2"/>
    <x v="0"/>
    <x v="3144"/>
    <x v="11"/>
    <n v="1"/>
    <x v="1386"/>
    <n v="4"/>
    <x v="6"/>
    <x v="0"/>
  </r>
  <r>
    <n v="3097"/>
    <x v="149"/>
    <x v="8"/>
    <x v="1"/>
    <x v="1"/>
    <x v="2"/>
    <x v="0"/>
    <x v="3145"/>
    <x v="2"/>
    <n v="1"/>
    <x v="1387"/>
    <n v="7"/>
    <x v="6"/>
    <x v="0"/>
  </r>
  <r>
    <n v="1467"/>
    <x v="149"/>
    <x v="22"/>
    <x v="0"/>
    <x v="1"/>
    <x v="1"/>
    <x v="7"/>
    <x v="1413"/>
    <x v="4"/>
    <n v="1"/>
    <x v="1388"/>
    <n v="2"/>
    <x v="14"/>
    <x v="0"/>
  </r>
  <r>
    <n v="227"/>
    <x v="149"/>
    <x v="0"/>
    <x v="1"/>
    <x v="0"/>
    <x v="1"/>
    <x v="1"/>
    <x v="3146"/>
    <x v="0"/>
    <n v="1"/>
    <x v="1389"/>
    <n v="2"/>
    <x v="0"/>
    <x v="0"/>
  </r>
  <r>
    <n v="2907"/>
    <x v="149"/>
    <x v="1"/>
    <x v="0"/>
    <x v="1"/>
    <x v="0"/>
    <x v="0"/>
    <x v="3147"/>
    <x v="11"/>
    <n v="1"/>
    <x v="1390"/>
    <n v="3"/>
    <x v="11"/>
    <x v="0"/>
  </r>
  <r>
    <n v="1325"/>
    <x v="149"/>
    <x v="0"/>
    <x v="0"/>
    <x v="1"/>
    <x v="2"/>
    <x v="0"/>
    <x v="3121"/>
    <x v="0"/>
    <n v="1"/>
    <x v="653"/>
    <n v="1"/>
    <x v="6"/>
    <x v="0"/>
  </r>
  <r>
    <n v="2201"/>
    <x v="149"/>
    <x v="26"/>
    <x v="0"/>
    <x v="0"/>
    <x v="2"/>
    <x v="0"/>
    <x v="3148"/>
    <x v="2"/>
    <n v="1"/>
    <x v="1391"/>
    <n v="3"/>
    <x v="10"/>
    <x v="0"/>
  </r>
  <r>
    <n v="4690"/>
    <x v="149"/>
    <x v="44"/>
    <x v="0"/>
    <x v="0"/>
    <x v="3"/>
    <x v="0"/>
    <x v="3149"/>
    <x v="6"/>
    <n v="0"/>
    <x v="11"/>
    <n v="0"/>
    <x v="8"/>
    <x v="3"/>
  </r>
  <r>
    <n v="3527"/>
    <x v="149"/>
    <x v="5"/>
    <x v="1"/>
    <x v="1"/>
    <x v="0"/>
    <x v="0"/>
    <x v="3150"/>
    <x v="1"/>
    <n v="0"/>
    <x v="11"/>
    <n v="0"/>
    <x v="8"/>
    <x v="3"/>
  </r>
  <r>
    <n v="2702"/>
    <x v="149"/>
    <x v="0"/>
    <x v="0"/>
    <x v="3"/>
    <x v="1"/>
    <x v="4"/>
    <x v="3151"/>
    <x v="2"/>
    <n v="0"/>
    <x v="11"/>
    <n v="0"/>
    <x v="8"/>
    <x v="3"/>
  </r>
  <r>
    <n v="3507"/>
    <x v="149"/>
    <x v="14"/>
    <x v="1"/>
    <x v="3"/>
    <x v="2"/>
    <x v="0"/>
    <x v="2312"/>
    <x v="4"/>
    <n v="0"/>
    <x v="11"/>
    <n v="0"/>
    <x v="8"/>
    <x v="3"/>
  </r>
  <r>
    <n v="499"/>
    <x v="149"/>
    <x v="8"/>
    <x v="1"/>
    <x v="1"/>
    <x v="0"/>
    <x v="0"/>
    <x v="1100"/>
    <x v="5"/>
    <n v="0"/>
    <x v="11"/>
    <n v="0"/>
    <x v="8"/>
    <x v="3"/>
  </r>
  <r>
    <n v="1755"/>
    <x v="149"/>
    <x v="5"/>
    <x v="1"/>
    <x v="2"/>
    <x v="1"/>
    <x v="2"/>
    <x v="855"/>
    <x v="6"/>
    <n v="0"/>
    <x v="11"/>
    <n v="0"/>
    <x v="8"/>
    <x v="3"/>
  </r>
  <r>
    <n v="4037"/>
    <x v="149"/>
    <x v="47"/>
    <x v="0"/>
    <x v="0"/>
    <x v="0"/>
    <x v="0"/>
    <x v="3152"/>
    <x v="2"/>
    <n v="0"/>
    <x v="11"/>
    <n v="0"/>
    <x v="8"/>
    <x v="3"/>
  </r>
  <r>
    <n v="3971"/>
    <x v="149"/>
    <x v="29"/>
    <x v="1"/>
    <x v="2"/>
    <x v="3"/>
    <x v="0"/>
    <x v="3153"/>
    <x v="2"/>
    <n v="0"/>
    <x v="11"/>
    <n v="0"/>
    <x v="8"/>
    <x v="3"/>
  </r>
  <r>
    <n v="1335"/>
    <x v="149"/>
    <x v="8"/>
    <x v="1"/>
    <x v="1"/>
    <x v="0"/>
    <x v="0"/>
    <x v="3154"/>
    <x v="0"/>
    <n v="0"/>
    <x v="11"/>
    <n v="0"/>
    <x v="8"/>
    <x v="3"/>
  </r>
  <r>
    <n v="1197"/>
    <x v="149"/>
    <x v="4"/>
    <x v="0"/>
    <x v="3"/>
    <x v="0"/>
    <x v="0"/>
    <x v="2677"/>
    <x v="8"/>
    <n v="0"/>
    <x v="11"/>
    <n v="0"/>
    <x v="8"/>
    <x v="3"/>
  </r>
  <r>
    <n v="3953"/>
    <x v="149"/>
    <x v="20"/>
    <x v="0"/>
    <x v="2"/>
    <x v="1"/>
    <x v="1"/>
    <x v="880"/>
    <x v="10"/>
    <n v="0"/>
    <x v="11"/>
    <n v="0"/>
    <x v="8"/>
    <x v="3"/>
  </r>
  <r>
    <n v="3513"/>
    <x v="149"/>
    <x v="6"/>
    <x v="1"/>
    <x v="0"/>
    <x v="1"/>
    <x v="3"/>
    <x v="3155"/>
    <x v="12"/>
    <n v="0"/>
    <x v="11"/>
    <n v="0"/>
    <x v="8"/>
    <x v="3"/>
  </r>
  <r>
    <n v="4981"/>
    <x v="149"/>
    <x v="13"/>
    <x v="0"/>
    <x v="3"/>
    <x v="0"/>
    <x v="0"/>
    <x v="2112"/>
    <x v="1"/>
    <n v="0"/>
    <x v="11"/>
    <n v="0"/>
    <x v="8"/>
    <x v="3"/>
  </r>
  <r>
    <n v="2718"/>
    <x v="149"/>
    <x v="34"/>
    <x v="0"/>
    <x v="1"/>
    <x v="2"/>
    <x v="0"/>
    <x v="740"/>
    <x v="7"/>
    <n v="0"/>
    <x v="11"/>
    <n v="0"/>
    <x v="8"/>
    <x v="3"/>
  </r>
  <r>
    <n v="4579"/>
    <x v="149"/>
    <x v="29"/>
    <x v="0"/>
    <x v="3"/>
    <x v="0"/>
    <x v="0"/>
    <x v="2698"/>
    <x v="0"/>
    <n v="0"/>
    <x v="11"/>
    <n v="0"/>
    <x v="8"/>
    <x v="3"/>
  </r>
  <r>
    <n v="306"/>
    <x v="149"/>
    <x v="11"/>
    <x v="1"/>
    <x v="2"/>
    <x v="3"/>
    <x v="0"/>
    <x v="3156"/>
    <x v="8"/>
    <n v="0"/>
    <x v="11"/>
    <n v="0"/>
    <x v="8"/>
    <x v="3"/>
  </r>
  <r>
    <n v="431"/>
    <x v="150"/>
    <x v="18"/>
    <x v="1"/>
    <x v="1"/>
    <x v="3"/>
    <x v="0"/>
    <x v="3157"/>
    <x v="6"/>
    <n v="1"/>
    <x v="1392"/>
    <n v="1"/>
    <x v="3"/>
    <x v="0"/>
  </r>
  <r>
    <n v="833"/>
    <x v="150"/>
    <x v="8"/>
    <x v="1"/>
    <x v="2"/>
    <x v="2"/>
    <x v="0"/>
    <x v="3158"/>
    <x v="8"/>
    <n v="1"/>
    <x v="1393"/>
    <n v="4"/>
    <x v="10"/>
    <x v="1"/>
  </r>
  <r>
    <n v="2360"/>
    <x v="150"/>
    <x v="10"/>
    <x v="1"/>
    <x v="2"/>
    <x v="2"/>
    <x v="0"/>
    <x v="3159"/>
    <x v="5"/>
    <n v="1"/>
    <x v="1394"/>
    <n v="2"/>
    <x v="13"/>
    <x v="1"/>
  </r>
  <r>
    <n v="2394"/>
    <x v="150"/>
    <x v="11"/>
    <x v="0"/>
    <x v="2"/>
    <x v="2"/>
    <x v="0"/>
    <x v="1334"/>
    <x v="10"/>
    <n v="1"/>
    <x v="1395"/>
    <n v="3"/>
    <x v="6"/>
    <x v="0"/>
  </r>
  <r>
    <n v="2456"/>
    <x v="150"/>
    <x v="7"/>
    <x v="1"/>
    <x v="2"/>
    <x v="0"/>
    <x v="0"/>
    <x v="3160"/>
    <x v="5"/>
    <n v="1"/>
    <x v="1396"/>
    <n v="4"/>
    <x v="0"/>
    <x v="0"/>
  </r>
  <r>
    <n v="4848"/>
    <x v="150"/>
    <x v="17"/>
    <x v="1"/>
    <x v="2"/>
    <x v="0"/>
    <x v="0"/>
    <x v="3161"/>
    <x v="8"/>
    <n v="1"/>
    <x v="1397"/>
    <n v="2"/>
    <x v="6"/>
    <x v="0"/>
  </r>
  <r>
    <n v="3612"/>
    <x v="150"/>
    <x v="24"/>
    <x v="0"/>
    <x v="2"/>
    <x v="0"/>
    <x v="0"/>
    <x v="3162"/>
    <x v="6"/>
    <n v="1"/>
    <x v="1398"/>
    <n v="3"/>
    <x v="0"/>
    <x v="1"/>
  </r>
  <r>
    <n v="727"/>
    <x v="150"/>
    <x v="2"/>
    <x v="1"/>
    <x v="2"/>
    <x v="3"/>
    <x v="0"/>
    <x v="3163"/>
    <x v="4"/>
    <n v="1"/>
    <x v="1399"/>
    <n v="2"/>
    <x v="13"/>
    <x v="1"/>
  </r>
  <r>
    <n v="67"/>
    <x v="150"/>
    <x v="10"/>
    <x v="2"/>
    <x v="0"/>
    <x v="1"/>
    <x v="3"/>
    <x v="3164"/>
    <x v="2"/>
    <n v="1"/>
    <x v="1159"/>
    <n v="3"/>
    <x v="10"/>
    <x v="1"/>
  </r>
  <r>
    <n v="1435"/>
    <x v="150"/>
    <x v="33"/>
    <x v="0"/>
    <x v="2"/>
    <x v="3"/>
    <x v="0"/>
    <x v="3165"/>
    <x v="2"/>
    <n v="1"/>
    <x v="432"/>
    <n v="3"/>
    <x v="11"/>
    <x v="1"/>
  </r>
  <r>
    <n v="3329"/>
    <x v="150"/>
    <x v="2"/>
    <x v="0"/>
    <x v="0"/>
    <x v="0"/>
    <x v="0"/>
    <x v="3166"/>
    <x v="8"/>
    <n v="1"/>
    <x v="1400"/>
    <n v="2"/>
    <x v="13"/>
    <x v="0"/>
  </r>
  <r>
    <n v="2111"/>
    <x v="150"/>
    <x v="5"/>
    <x v="0"/>
    <x v="1"/>
    <x v="3"/>
    <x v="0"/>
    <x v="3167"/>
    <x v="6"/>
    <n v="1"/>
    <x v="1401"/>
    <n v="5"/>
    <x v="9"/>
    <x v="0"/>
  </r>
  <r>
    <n v="3601"/>
    <x v="150"/>
    <x v="27"/>
    <x v="1"/>
    <x v="2"/>
    <x v="0"/>
    <x v="0"/>
    <x v="3168"/>
    <x v="4"/>
    <n v="1"/>
    <x v="1402"/>
    <n v="3"/>
    <x v="11"/>
    <x v="2"/>
  </r>
  <r>
    <n v="2595"/>
    <x v="150"/>
    <x v="6"/>
    <x v="1"/>
    <x v="0"/>
    <x v="1"/>
    <x v="4"/>
    <x v="3169"/>
    <x v="2"/>
    <n v="1"/>
    <x v="1403"/>
    <n v="2"/>
    <x v="5"/>
    <x v="1"/>
  </r>
  <r>
    <n v="2412"/>
    <x v="150"/>
    <x v="27"/>
    <x v="1"/>
    <x v="3"/>
    <x v="3"/>
    <x v="0"/>
    <x v="3170"/>
    <x v="6"/>
    <n v="1"/>
    <x v="1404"/>
    <n v="5"/>
    <x v="15"/>
    <x v="0"/>
  </r>
  <r>
    <n v="4687"/>
    <x v="150"/>
    <x v="42"/>
    <x v="1"/>
    <x v="1"/>
    <x v="0"/>
    <x v="0"/>
    <x v="3002"/>
    <x v="5"/>
    <n v="1"/>
    <x v="1405"/>
    <n v="2"/>
    <x v="12"/>
    <x v="0"/>
  </r>
  <r>
    <n v="2285"/>
    <x v="150"/>
    <x v="22"/>
    <x v="0"/>
    <x v="3"/>
    <x v="2"/>
    <x v="0"/>
    <x v="2263"/>
    <x v="2"/>
    <n v="0"/>
    <x v="11"/>
    <n v="0"/>
    <x v="8"/>
    <x v="3"/>
  </r>
  <r>
    <n v="4408"/>
    <x v="150"/>
    <x v="36"/>
    <x v="0"/>
    <x v="2"/>
    <x v="3"/>
    <x v="0"/>
    <x v="3171"/>
    <x v="12"/>
    <n v="0"/>
    <x v="11"/>
    <n v="0"/>
    <x v="8"/>
    <x v="3"/>
  </r>
  <r>
    <n v="3555"/>
    <x v="150"/>
    <x v="20"/>
    <x v="0"/>
    <x v="1"/>
    <x v="2"/>
    <x v="0"/>
    <x v="2460"/>
    <x v="9"/>
    <n v="0"/>
    <x v="11"/>
    <n v="0"/>
    <x v="8"/>
    <x v="3"/>
  </r>
  <r>
    <n v="920"/>
    <x v="150"/>
    <x v="2"/>
    <x v="0"/>
    <x v="2"/>
    <x v="0"/>
    <x v="0"/>
    <x v="1999"/>
    <x v="6"/>
    <n v="0"/>
    <x v="11"/>
    <n v="0"/>
    <x v="8"/>
    <x v="3"/>
  </r>
  <r>
    <n v="263"/>
    <x v="150"/>
    <x v="24"/>
    <x v="1"/>
    <x v="0"/>
    <x v="0"/>
    <x v="0"/>
    <x v="3172"/>
    <x v="1"/>
    <n v="0"/>
    <x v="11"/>
    <n v="0"/>
    <x v="8"/>
    <x v="3"/>
  </r>
  <r>
    <n v="2744"/>
    <x v="150"/>
    <x v="11"/>
    <x v="1"/>
    <x v="1"/>
    <x v="1"/>
    <x v="5"/>
    <x v="2677"/>
    <x v="6"/>
    <n v="0"/>
    <x v="11"/>
    <n v="0"/>
    <x v="8"/>
    <x v="3"/>
  </r>
  <r>
    <n v="931"/>
    <x v="150"/>
    <x v="39"/>
    <x v="1"/>
    <x v="0"/>
    <x v="1"/>
    <x v="1"/>
    <x v="1397"/>
    <x v="11"/>
    <n v="0"/>
    <x v="11"/>
    <n v="0"/>
    <x v="8"/>
    <x v="3"/>
  </r>
  <r>
    <n v="1721"/>
    <x v="150"/>
    <x v="7"/>
    <x v="1"/>
    <x v="0"/>
    <x v="1"/>
    <x v="3"/>
    <x v="3173"/>
    <x v="8"/>
    <n v="0"/>
    <x v="11"/>
    <n v="0"/>
    <x v="8"/>
    <x v="3"/>
  </r>
  <r>
    <n v="4119"/>
    <x v="150"/>
    <x v="47"/>
    <x v="1"/>
    <x v="1"/>
    <x v="1"/>
    <x v="1"/>
    <x v="3174"/>
    <x v="1"/>
    <n v="0"/>
    <x v="11"/>
    <n v="0"/>
    <x v="8"/>
    <x v="3"/>
  </r>
  <r>
    <n v="2157"/>
    <x v="150"/>
    <x v="34"/>
    <x v="0"/>
    <x v="2"/>
    <x v="0"/>
    <x v="0"/>
    <x v="1016"/>
    <x v="8"/>
    <n v="0"/>
    <x v="11"/>
    <n v="0"/>
    <x v="8"/>
    <x v="3"/>
  </r>
  <r>
    <n v="22"/>
    <x v="150"/>
    <x v="16"/>
    <x v="1"/>
    <x v="2"/>
    <x v="1"/>
    <x v="4"/>
    <x v="3175"/>
    <x v="2"/>
    <n v="0"/>
    <x v="11"/>
    <n v="0"/>
    <x v="8"/>
    <x v="3"/>
  </r>
  <r>
    <n v="2538"/>
    <x v="150"/>
    <x v="34"/>
    <x v="0"/>
    <x v="0"/>
    <x v="0"/>
    <x v="0"/>
    <x v="418"/>
    <x v="5"/>
    <n v="0"/>
    <x v="11"/>
    <n v="0"/>
    <x v="8"/>
    <x v="3"/>
  </r>
  <r>
    <n v="4297"/>
    <x v="150"/>
    <x v="35"/>
    <x v="2"/>
    <x v="0"/>
    <x v="1"/>
    <x v="6"/>
    <x v="2439"/>
    <x v="1"/>
    <n v="0"/>
    <x v="11"/>
    <n v="0"/>
    <x v="8"/>
    <x v="3"/>
  </r>
  <r>
    <n v="755"/>
    <x v="150"/>
    <x v="19"/>
    <x v="0"/>
    <x v="1"/>
    <x v="0"/>
    <x v="0"/>
    <x v="912"/>
    <x v="0"/>
    <n v="0"/>
    <x v="11"/>
    <n v="0"/>
    <x v="8"/>
    <x v="3"/>
  </r>
  <r>
    <n v="1279"/>
    <x v="150"/>
    <x v="31"/>
    <x v="0"/>
    <x v="0"/>
    <x v="1"/>
    <x v="7"/>
    <x v="3176"/>
    <x v="8"/>
    <n v="0"/>
    <x v="11"/>
    <n v="0"/>
    <x v="8"/>
    <x v="3"/>
  </r>
  <r>
    <n v="4458"/>
    <x v="150"/>
    <x v="28"/>
    <x v="2"/>
    <x v="3"/>
    <x v="0"/>
    <x v="0"/>
    <x v="300"/>
    <x v="0"/>
    <n v="0"/>
    <x v="11"/>
    <n v="0"/>
    <x v="8"/>
    <x v="3"/>
  </r>
  <r>
    <n v="3256"/>
    <x v="150"/>
    <x v="31"/>
    <x v="1"/>
    <x v="1"/>
    <x v="3"/>
    <x v="0"/>
    <x v="3177"/>
    <x v="0"/>
    <n v="0"/>
    <x v="11"/>
    <n v="0"/>
    <x v="8"/>
    <x v="3"/>
  </r>
  <r>
    <n v="2014"/>
    <x v="150"/>
    <x v="43"/>
    <x v="1"/>
    <x v="3"/>
    <x v="2"/>
    <x v="0"/>
    <x v="3178"/>
    <x v="5"/>
    <n v="0"/>
    <x v="11"/>
    <n v="0"/>
    <x v="8"/>
    <x v="3"/>
  </r>
  <r>
    <n v="3349"/>
    <x v="151"/>
    <x v="8"/>
    <x v="1"/>
    <x v="3"/>
    <x v="0"/>
    <x v="0"/>
    <x v="1863"/>
    <x v="8"/>
    <n v="1"/>
    <x v="1406"/>
    <n v="1"/>
    <x v="9"/>
    <x v="1"/>
  </r>
  <r>
    <n v="4632"/>
    <x v="151"/>
    <x v="51"/>
    <x v="0"/>
    <x v="2"/>
    <x v="0"/>
    <x v="0"/>
    <x v="3179"/>
    <x v="8"/>
    <n v="1"/>
    <x v="1407"/>
    <n v="6"/>
    <x v="4"/>
    <x v="0"/>
  </r>
  <r>
    <n v="3073"/>
    <x v="151"/>
    <x v="23"/>
    <x v="1"/>
    <x v="3"/>
    <x v="0"/>
    <x v="0"/>
    <x v="3180"/>
    <x v="2"/>
    <n v="1"/>
    <x v="1408"/>
    <n v="4"/>
    <x v="6"/>
    <x v="2"/>
  </r>
  <r>
    <n v="3716"/>
    <x v="151"/>
    <x v="8"/>
    <x v="0"/>
    <x v="1"/>
    <x v="1"/>
    <x v="7"/>
    <x v="2737"/>
    <x v="2"/>
    <n v="1"/>
    <x v="1409"/>
    <n v="2"/>
    <x v="2"/>
    <x v="0"/>
  </r>
  <r>
    <n v="2404"/>
    <x v="151"/>
    <x v="11"/>
    <x v="1"/>
    <x v="0"/>
    <x v="1"/>
    <x v="5"/>
    <x v="3181"/>
    <x v="6"/>
    <n v="1"/>
    <x v="1410"/>
    <n v="1"/>
    <x v="12"/>
    <x v="0"/>
  </r>
  <r>
    <n v="4865"/>
    <x v="151"/>
    <x v="27"/>
    <x v="0"/>
    <x v="2"/>
    <x v="1"/>
    <x v="2"/>
    <x v="3182"/>
    <x v="4"/>
    <n v="1"/>
    <x v="1411"/>
    <n v="4"/>
    <x v="5"/>
    <x v="2"/>
  </r>
  <r>
    <n v="3571"/>
    <x v="151"/>
    <x v="34"/>
    <x v="0"/>
    <x v="2"/>
    <x v="0"/>
    <x v="0"/>
    <x v="417"/>
    <x v="5"/>
    <n v="1"/>
    <x v="1412"/>
    <n v="2"/>
    <x v="6"/>
    <x v="0"/>
  </r>
  <r>
    <n v="103"/>
    <x v="151"/>
    <x v="0"/>
    <x v="1"/>
    <x v="2"/>
    <x v="0"/>
    <x v="0"/>
    <x v="3183"/>
    <x v="8"/>
    <n v="0"/>
    <x v="11"/>
    <n v="0"/>
    <x v="8"/>
    <x v="3"/>
  </r>
  <r>
    <n v="2698"/>
    <x v="151"/>
    <x v="26"/>
    <x v="0"/>
    <x v="1"/>
    <x v="0"/>
    <x v="0"/>
    <x v="3184"/>
    <x v="6"/>
    <n v="0"/>
    <x v="11"/>
    <n v="0"/>
    <x v="8"/>
    <x v="3"/>
  </r>
  <r>
    <n v="1040"/>
    <x v="151"/>
    <x v="16"/>
    <x v="0"/>
    <x v="1"/>
    <x v="3"/>
    <x v="0"/>
    <x v="3185"/>
    <x v="2"/>
    <n v="0"/>
    <x v="11"/>
    <n v="0"/>
    <x v="8"/>
    <x v="3"/>
  </r>
  <r>
    <n v="1776"/>
    <x v="151"/>
    <x v="23"/>
    <x v="0"/>
    <x v="3"/>
    <x v="1"/>
    <x v="5"/>
    <x v="2470"/>
    <x v="5"/>
    <n v="0"/>
    <x v="11"/>
    <n v="0"/>
    <x v="8"/>
    <x v="3"/>
  </r>
  <r>
    <n v="762"/>
    <x v="151"/>
    <x v="19"/>
    <x v="0"/>
    <x v="3"/>
    <x v="0"/>
    <x v="0"/>
    <x v="2543"/>
    <x v="6"/>
    <n v="0"/>
    <x v="11"/>
    <n v="0"/>
    <x v="8"/>
    <x v="3"/>
  </r>
  <r>
    <n v="2670"/>
    <x v="151"/>
    <x v="17"/>
    <x v="1"/>
    <x v="1"/>
    <x v="0"/>
    <x v="0"/>
    <x v="3059"/>
    <x v="6"/>
    <n v="0"/>
    <x v="11"/>
    <n v="0"/>
    <x v="8"/>
    <x v="3"/>
  </r>
  <r>
    <n v="1531"/>
    <x v="151"/>
    <x v="10"/>
    <x v="1"/>
    <x v="2"/>
    <x v="0"/>
    <x v="0"/>
    <x v="3186"/>
    <x v="5"/>
    <n v="0"/>
    <x v="11"/>
    <n v="0"/>
    <x v="8"/>
    <x v="3"/>
  </r>
  <r>
    <n v="4184"/>
    <x v="151"/>
    <x v="40"/>
    <x v="1"/>
    <x v="2"/>
    <x v="0"/>
    <x v="0"/>
    <x v="3187"/>
    <x v="2"/>
    <n v="0"/>
    <x v="11"/>
    <n v="0"/>
    <x v="8"/>
    <x v="3"/>
  </r>
  <r>
    <n v="2620"/>
    <x v="151"/>
    <x v="45"/>
    <x v="0"/>
    <x v="1"/>
    <x v="2"/>
    <x v="0"/>
    <x v="437"/>
    <x v="10"/>
    <n v="0"/>
    <x v="11"/>
    <n v="0"/>
    <x v="8"/>
    <x v="3"/>
  </r>
  <r>
    <n v="4594"/>
    <x v="151"/>
    <x v="15"/>
    <x v="0"/>
    <x v="2"/>
    <x v="3"/>
    <x v="0"/>
    <x v="3188"/>
    <x v="10"/>
    <n v="0"/>
    <x v="11"/>
    <n v="0"/>
    <x v="8"/>
    <x v="3"/>
  </r>
  <r>
    <n v="1703"/>
    <x v="151"/>
    <x v="16"/>
    <x v="1"/>
    <x v="2"/>
    <x v="0"/>
    <x v="0"/>
    <x v="3189"/>
    <x v="8"/>
    <n v="0"/>
    <x v="11"/>
    <n v="0"/>
    <x v="8"/>
    <x v="3"/>
  </r>
  <r>
    <n v="3417"/>
    <x v="151"/>
    <x v="7"/>
    <x v="1"/>
    <x v="2"/>
    <x v="2"/>
    <x v="0"/>
    <x v="3190"/>
    <x v="10"/>
    <n v="0"/>
    <x v="11"/>
    <n v="0"/>
    <x v="8"/>
    <x v="3"/>
  </r>
  <r>
    <n v="4642"/>
    <x v="151"/>
    <x v="42"/>
    <x v="0"/>
    <x v="2"/>
    <x v="0"/>
    <x v="0"/>
    <x v="2969"/>
    <x v="0"/>
    <n v="0"/>
    <x v="11"/>
    <n v="0"/>
    <x v="8"/>
    <x v="3"/>
  </r>
  <r>
    <n v="1421"/>
    <x v="151"/>
    <x v="7"/>
    <x v="1"/>
    <x v="2"/>
    <x v="1"/>
    <x v="6"/>
    <x v="2728"/>
    <x v="1"/>
    <n v="0"/>
    <x v="11"/>
    <n v="0"/>
    <x v="8"/>
    <x v="3"/>
  </r>
  <r>
    <n v="4425"/>
    <x v="151"/>
    <x v="42"/>
    <x v="1"/>
    <x v="0"/>
    <x v="0"/>
    <x v="0"/>
    <x v="3191"/>
    <x v="0"/>
    <n v="0"/>
    <x v="11"/>
    <n v="0"/>
    <x v="8"/>
    <x v="3"/>
  </r>
  <r>
    <n v="2144"/>
    <x v="151"/>
    <x v="5"/>
    <x v="1"/>
    <x v="3"/>
    <x v="0"/>
    <x v="0"/>
    <x v="2131"/>
    <x v="8"/>
    <n v="0"/>
    <x v="11"/>
    <n v="0"/>
    <x v="8"/>
    <x v="3"/>
  </r>
  <r>
    <n v="4169"/>
    <x v="151"/>
    <x v="41"/>
    <x v="1"/>
    <x v="3"/>
    <x v="1"/>
    <x v="3"/>
    <x v="2581"/>
    <x v="6"/>
    <n v="0"/>
    <x v="11"/>
    <n v="0"/>
    <x v="8"/>
    <x v="3"/>
  </r>
  <r>
    <n v="4576"/>
    <x v="151"/>
    <x v="36"/>
    <x v="1"/>
    <x v="1"/>
    <x v="3"/>
    <x v="0"/>
    <x v="3192"/>
    <x v="11"/>
    <n v="0"/>
    <x v="11"/>
    <n v="0"/>
    <x v="8"/>
    <x v="3"/>
  </r>
  <r>
    <n v="47"/>
    <x v="151"/>
    <x v="26"/>
    <x v="0"/>
    <x v="0"/>
    <x v="1"/>
    <x v="5"/>
    <x v="3193"/>
    <x v="2"/>
    <n v="0"/>
    <x v="11"/>
    <n v="0"/>
    <x v="8"/>
    <x v="3"/>
  </r>
  <r>
    <n v="4891"/>
    <x v="151"/>
    <x v="14"/>
    <x v="1"/>
    <x v="2"/>
    <x v="0"/>
    <x v="0"/>
    <x v="3194"/>
    <x v="4"/>
    <n v="0"/>
    <x v="11"/>
    <n v="0"/>
    <x v="8"/>
    <x v="3"/>
  </r>
  <r>
    <n v="4236"/>
    <x v="151"/>
    <x v="46"/>
    <x v="1"/>
    <x v="2"/>
    <x v="0"/>
    <x v="0"/>
    <x v="604"/>
    <x v="10"/>
    <n v="0"/>
    <x v="11"/>
    <n v="0"/>
    <x v="8"/>
    <x v="3"/>
  </r>
  <r>
    <n v="2615"/>
    <x v="151"/>
    <x v="31"/>
    <x v="1"/>
    <x v="2"/>
    <x v="1"/>
    <x v="5"/>
    <x v="2535"/>
    <x v="9"/>
    <n v="0"/>
    <x v="11"/>
    <n v="0"/>
    <x v="8"/>
    <x v="3"/>
  </r>
  <r>
    <n v="2429"/>
    <x v="151"/>
    <x v="23"/>
    <x v="0"/>
    <x v="1"/>
    <x v="3"/>
    <x v="0"/>
    <x v="1612"/>
    <x v="2"/>
    <n v="0"/>
    <x v="11"/>
    <n v="0"/>
    <x v="8"/>
    <x v="3"/>
  </r>
  <r>
    <n v="3753"/>
    <x v="151"/>
    <x v="42"/>
    <x v="1"/>
    <x v="2"/>
    <x v="3"/>
    <x v="0"/>
    <x v="3195"/>
    <x v="2"/>
    <n v="0"/>
    <x v="11"/>
    <n v="0"/>
    <x v="8"/>
    <x v="3"/>
  </r>
  <r>
    <n v="4043"/>
    <x v="152"/>
    <x v="25"/>
    <x v="1"/>
    <x v="1"/>
    <x v="1"/>
    <x v="3"/>
    <x v="3191"/>
    <x v="5"/>
    <n v="1"/>
    <x v="1413"/>
    <n v="2"/>
    <x v="9"/>
    <x v="2"/>
  </r>
  <r>
    <n v="4482"/>
    <x v="152"/>
    <x v="27"/>
    <x v="0"/>
    <x v="0"/>
    <x v="1"/>
    <x v="4"/>
    <x v="794"/>
    <x v="6"/>
    <n v="1"/>
    <x v="1414"/>
    <n v="4"/>
    <x v="14"/>
    <x v="1"/>
  </r>
  <r>
    <n v="90"/>
    <x v="152"/>
    <x v="8"/>
    <x v="0"/>
    <x v="2"/>
    <x v="0"/>
    <x v="0"/>
    <x v="462"/>
    <x v="2"/>
    <n v="1"/>
    <x v="1415"/>
    <n v="3"/>
    <x v="13"/>
    <x v="1"/>
  </r>
  <r>
    <n v="1086"/>
    <x v="152"/>
    <x v="10"/>
    <x v="0"/>
    <x v="0"/>
    <x v="1"/>
    <x v="5"/>
    <x v="28"/>
    <x v="2"/>
    <n v="1"/>
    <x v="1416"/>
    <n v="3"/>
    <x v="13"/>
    <x v="2"/>
  </r>
  <r>
    <n v="3827"/>
    <x v="152"/>
    <x v="15"/>
    <x v="1"/>
    <x v="0"/>
    <x v="0"/>
    <x v="0"/>
    <x v="3196"/>
    <x v="8"/>
    <n v="0"/>
    <x v="11"/>
    <n v="0"/>
    <x v="8"/>
    <x v="3"/>
  </r>
  <r>
    <n v="3736"/>
    <x v="152"/>
    <x v="8"/>
    <x v="1"/>
    <x v="1"/>
    <x v="0"/>
    <x v="0"/>
    <x v="169"/>
    <x v="9"/>
    <n v="0"/>
    <x v="11"/>
    <n v="0"/>
    <x v="8"/>
    <x v="3"/>
  </r>
  <r>
    <n v="858"/>
    <x v="152"/>
    <x v="16"/>
    <x v="0"/>
    <x v="3"/>
    <x v="0"/>
    <x v="0"/>
    <x v="2163"/>
    <x v="8"/>
    <n v="0"/>
    <x v="11"/>
    <n v="0"/>
    <x v="8"/>
    <x v="3"/>
  </r>
  <r>
    <n v="4882"/>
    <x v="152"/>
    <x v="3"/>
    <x v="1"/>
    <x v="2"/>
    <x v="0"/>
    <x v="0"/>
    <x v="93"/>
    <x v="0"/>
    <n v="0"/>
    <x v="11"/>
    <n v="0"/>
    <x v="8"/>
    <x v="3"/>
  </r>
  <r>
    <n v="3522"/>
    <x v="152"/>
    <x v="24"/>
    <x v="1"/>
    <x v="3"/>
    <x v="1"/>
    <x v="7"/>
    <x v="1823"/>
    <x v="5"/>
    <n v="0"/>
    <x v="11"/>
    <n v="0"/>
    <x v="8"/>
    <x v="3"/>
  </r>
  <r>
    <n v="713"/>
    <x v="152"/>
    <x v="16"/>
    <x v="1"/>
    <x v="0"/>
    <x v="2"/>
    <x v="0"/>
    <x v="3197"/>
    <x v="6"/>
    <n v="0"/>
    <x v="11"/>
    <n v="0"/>
    <x v="8"/>
    <x v="3"/>
  </r>
  <r>
    <n v="2145"/>
    <x v="152"/>
    <x v="23"/>
    <x v="1"/>
    <x v="2"/>
    <x v="1"/>
    <x v="7"/>
    <x v="3198"/>
    <x v="5"/>
    <n v="0"/>
    <x v="11"/>
    <n v="0"/>
    <x v="8"/>
    <x v="3"/>
  </r>
  <r>
    <n v="2757"/>
    <x v="152"/>
    <x v="24"/>
    <x v="0"/>
    <x v="1"/>
    <x v="1"/>
    <x v="3"/>
    <x v="2195"/>
    <x v="11"/>
    <n v="0"/>
    <x v="11"/>
    <n v="0"/>
    <x v="8"/>
    <x v="3"/>
  </r>
  <r>
    <n v="458"/>
    <x v="152"/>
    <x v="0"/>
    <x v="1"/>
    <x v="0"/>
    <x v="0"/>
    <x v="0"/>
    <x v="863"/>
    <x v="6"/>
    <n v="0"/>
    <x v="11"/>
    <n v="0"/>
    <x v="8"/>
    <x v="3"/>
  </r>
  <r>
    <n v="526"/>
    <x v="152"/>
    <x v="6"/>
    <x v="1"/>
    <x v="2"/>
    <x v="1"/>
    <x v="3"/>
    <x v="679"/>
    <x v="2"/>
    <n v="0"/>
    <x v="11"/>
    <n v="0"/>
    <x v="8"/>
    <x v="3"/>
  </r>
  <r>
    <n v="3643"/>
    <x v="152"/>
    <x v="41"/>
    <x v="0"/>
    <x v="1"/>
    <x v="0"/>
    <x v="0"/>
    <x v="446"/>
    <x v="2"/>
    <n v="0"/>
    <x v="11"/>
    <n v="0"/>
    <x v="8"/>
    <x v="3"/>
  </r>
  <r>
    <n v="2165"/>
    <x v="152"/>
    <x v="32"/>
    <x v="1"/>
    <x v="1"/>
    <x v="0"/>
    <x v="0"/>
    <x v="3199"/>
    <x v="2"/>
    <n v="0"/>
    <x v="11"/>
    <n v="0"/>
    <x v="8"/>
    <x v="3"/>
  </r>
  <r>
    <n v="4512"/>
    <x v="152"/>
    <x v="3"/>
    <x v="0"/>
    <x v="2"/>
    <x v="0"/>
    <x v="0"/>
    <x v="1386"/>
    <x v="5"/>
    <n v="0"/>
    <x v="11"/>
    <n v="0"/>
    <x v="8"/>
    <x v="3"/>
  </r>
  <r>
    <n v="2226"/>
    <x v="152"/>
    <x v="31"/>
    <x v="1"/>
    <x v="0"/>
    <x v="2"/>
    <x v="0"/>
    <x v="3200"/>
    <x v="2"/>
    <n v="0"/>
    <x v="11"/>
    <n v="0"/>
    <x v="8"/>
    <x v="3"/>
  </r>
  <r>
    <n v="4015"/>
    <x v="153"/>
    <x v="28"/>
    <x v="0"/>
    <x v="2"/>
    <x v="3"/>
    <x v="0"/>
    <x v="3201"/>
    <x v="2"/>
    <n v="1"/>
    <x v="1417"/>
    <n v="4"/>
    <x v="9"/>
    <x v="0"/>
  </r>
  <r>
    <n v="1429"/>
    <x v="153"/>
    <x v="39"/>
    <x v="0"/>
    <x v="2"/>
    <x v="3"/>
    <x v="0"/>
    <x v="3202"/>
    <x v="11"/>
    <n v="1"/>
    <x v="1418"/>
    <n v="2"/>
    <x v="10"/>
    <x v="2"/>
  </r>
  <r>
    <n v="592"/>
    <x v="153"/>
    <x v="2"/>
    <x v="1"/>
    <x v="1"/>
    <x v="0"/>
    <x v="0"/>
    <x v="3203"/>
    <x v="1"/>
    <n v="1"/>
    <x v="1419"/>
    <n v="4"/>
    <x v="2"/>
    <x v="0"/>
  </r>
  <r>
    <n v="1957"/>
    <x v="153"/>
    <x v="26"/>
    <x v="0"/>
    <x v="1"/>
    <x v="1"/>
    <x v="6"/>
    <x v="571"/>
    <x v="2"/>
    <n v="1"/>
    <x v="1420"/>
    <n v="2"/>
    <x v="11"/>
    <x v="2"/>
  </r>
  <r>
    <n v="4876"/>
    <x v="153"/>
    <x v="47"/>
    <x v="0"/>
    <x v="2"/>
    <x v="1"/>
    <x v="6"/>
    <x v="3204"/>
    <x v="2"/>
    <n v="1"/>
    <x v="1421"/>
    <n v="1"/>
    <x v="0"/>
    <x v="0"/>
  </r>
  <r>
    <n v="4228"/>
    <x v="153"/>
    <x v="30"/>
    <x v="1"/>
    <x v="3"/>
    <x v="1"/>
    <x v="1"/>
    <x v="3205"/>
    <x v="5"/>
    <n v="1"/>
    <x v="1422"/>
    <n v="2"/>
    <x v="1"/>
    <x v="2"/>
  </r>
  <r>
    <n v="2812"/>
    <x v="153"/>
    <x v="33"/>
    <x v="0"/>
    <x v="2"/>
    <x v="1"/>
    <x v="5"/>
    <x v="170"/>
    <x v="6"/>
    <n v="1"/>
    <x v="1423"/>
    <n v="3"/>
    <x v="7"/>
    <x v="0"/>
  </r>
  <r>
    <n v="4334"/>
    <x v="153"/>
    <x v="32"/>
    <x v="0"/>
    <x v="3"/>
    <x v="3"/>
    <x v="0"/>
    <x v="3206"/>
    <x v="4"/>
    <n v="1"/>
    <x v="1424"/>
    <n v="2"/>
    <x v="10"/>
    <x v="1"/>
  </r>
  <r>
    <n v="1929"/>
    <x v="153"/>
    <x v="0"/>
    <x v="1"/>
    <x v="1"/>
    <x v="2"/>
    <x v="0"/>
    <x v="3207"/>
    <x v="8"/>
    <n v="1"/>
    <x v="1425"/>
    <n v="1"/>
    <x v="13"/>
    <x v="0"/>
  </r>
  <r>
    <n v="2644"/>
    <x v="153"/>
    <x v="11"/>
    <x v="1"/>
    <x v="1"/>
    <x v="1"/>
    <x v="3"/>
    <x v="3208"/>
    <x v="4"/>
    <n v="0"/>
    <x v="11"/>
    <n v="0"/>
    <x v="8"/>
    <x v="3"/>
  </r>
  <r>
    <n v="1683"/>
    <x v="153"/>
    <x v="31"/>
    <x v="0"/>
    <x v="3"/>
    <x v="1"/>
    <x v="3"/>
    <x v="3209"/>
    <x v="8"/>
    <n v="0"/>
    <x v="11"/>
    <n v="0"/>
    <x v="8"/>
    <x v="3"/>
  </r>
  <r>
    <n v="3028"/>
    <x v="153"/>
    <x v="43"/>
    <x v="0"/>
    <x v="3"/>
    <x v="1"/>
    <x v="7"/>
    <x v="3210"/>
    <x v="5"/>
    <n v="0"/>
    <x v="11"/>
    <n v="0"/>
    <x v="8"/>
    <x v="3"/>
  </r>
  <r>
    <n v="4414"/>
    <x v="153"/>
    <x v="48"/>
    <x v="0"/>
    <x v="2"/>
    <x v="0"/>
    <x v="0"/>
    <x v="3211"/>
    <x v="1"/>
    <n v="0"/>
    <x v="11"/>
    <n v="0"/>
    <x v="8"/>
    <x v="3"/>
  </r>
  <r>
    <n v="2576"/>
    <x v="153"/>
    <x v="11"/>
    <x v="0"/>
    <x v="2"/>
    <x v="1"/>
    <x v="7"/>
    <x v="3212"/>
    <x v="11"/>
    <n v="0"/>
    <x v="11"/>
    <n v="0"/>
    <x v="8"/>
    <x v="3"/>
  </r>
  <r>
    <n v="356"/>
    <x v="153"/>
    <x v="24"/>
    <x v="1"/>
    <x v="0"/>
    <x v="1"/>
    <x v="3"/>
    <x v="2933"/>
    <x v="0"/>
    <n v="0"/>
    <x v="11"/>
    <n v="0"/>
    <x v="8"/>
    <x v="3"/>
  </r>
  <r>
    <n v="1578"/>
    <x v="153"/>
    <x v="8"/>
    <x v="0"/>
    <x v="0"/>
    <x v="1"/>
    <x v="4"/>
    <x v="3213"/>
    <x v="6"/>
    <n v="0"/>
    <x v="11"/>
    <n v="0"/>
    <x v="8"/>
    <x v="3"/>
  </r>
  <r>
    <n v="1316"/>
    <x v="153"/>
    <x v="2"/>
    <x v="1"/>
    <x v="1"/>
    <x v="0"/>
    <x v="0"/>
    <x v="2608"/>
    <x v="5"/>
    <n v="0"/>
    <x v="11"/>
    <n v="0"/>
    <x v="8"/>
    <x v="3"/>
  </r>
  <r>
    <n v="362"/>
    <x v="153"/>
    <x v="16"/>
    <x v="0"/>
    <x v="3"/>
    <x v="0"/>
    <x v="0"/>
    <x v="3214"/>
    <x v="1"/>
    <n v="0"/>
    <x v="11"/>
    <n v="0"/>
    <x v="8"/>
    <x v="3"/>
  </r>
  <r>
    <n v="873"/>
    <x v="153"/>
    <x v="6"/>
    <x v="0"/>
    <x v="1"/>
    <x v="0"/>
    <x v="0"/>
    <x v="2034"/>
    <x v="0"/>
    <n v="0"/>
    <x v="11"/>
    <n v="0"/>
    <x v="8"/>
    <x v="3"/>
  </r>
  <r>
    <n v="1825"/>
    <x v="153"/>
    <x v="41"/>
    <x v="1"/>
    <x v="2"/>
    <x v="0"/>
    <x v="0"/>
    <x v="128"/>
    <x v="2"/>
    <n v="0"/>
    <x v="11"/>
    <n v="0"/>
    <x v="8"/>
    <x v="3"/>
  </r>
  <r>
    <n v="201"/>
    <x v="153"/>
    <x v="6"/>
    <x v="0"/>
    <x v="3"/>
    <x v="0"/>
    <x v="0"/>
    <x v="3215"/>
    <x v="11"/>
    <n v="0"/>
    <x v="11"/>
    <n v="0"/>
    <x v="8"/>
    <x v="3"/>
  </r>
  <r>
    <n v="1707"/>
    <x v="153"/>
    <x v="5"/>
    <x v="0"/>
    <x v="3"/>
    <x v="0"/>
    <x v="0"/>
    <x v="470"/>
    <x v="0"/>
    <n v="0"/>
    <x v="11"/>
    <n v="0"/>
    <x v="8"/>
    <x v="3"/>
  </r>
  <r>
    <n v="2178"/>
    <x v="153"/>
    <x v="5"/>
    <x v="1"/>
    <x v="1"/>
    <x v="1"/>
    <x v="6"/>
    <x v="863"/>
    <x v="5"/>
    <n v="0"/>
    <x v="11"/>
    <n v="0"/>
    <x v="8"/>
    <x v="3"/>
  </r>
  <r>
    <n v="780"/>
    <x v="153"/>
    <x v="19"/>
    <x v="0"/>
    <x v="3"/>
    <x v="3"/>
    <x v="0"/>
    <x v="1364"/>
    <x v="5"/>
    <n v="0"/>
    <x v="11"/>
    <n v="0"/>
    <x v="8"/>
    <x v="3"/>
  </r>
  <r>
    <n v="272"/>
    <x v="154"/>
    <x v="8"/>
    <x v="0"/>
    <x v="0"/>
    <x v="1"/>
    <x v="1"/>
    <x v="3216"/>
    <x v="6"/>
    <n v="1"/>
    <x v="1426"/>
    <n v="3"/>
    <x v="3"/>
    <x v="2"/>
  </r>
  <r>
    <n v="4617"/>
    <x v="154"/>
    <x v="30"/>
    <x v="0"/>
    <x v="1"/>
    <x v="1"/>
    <x v="3"/>
    <x v="3217"/>
    <x v="5"/>
    <n v="1"/>
    <x v="1427"/>
    <n v="2"/>
    <x v="11"/>
    <x v="0"/>
  </r>
  <r>
    <n v="2773"/>
    <x v="154"/>
    <x v="39"/>
    <x v="1"/>
    <x v="2"/>
    <x v="3"/>
    <x v="0"/>
    <x v="3218"/>
    <x v="1"/>
    <n v="1"/>
    <x v="1428"/>
    <n v="9"/>
    <x v="13"/>
    <x v="0"/>
  </r>
  <r>
    <n v="2960"/>
    <x v="154"/>
    <x v="26"/>
    <x v="1"/>
    <x v="3"/>
    <x v="1"/>
    <x v="7"/>
    <x v="1972"/>
    <x v="8"/>
    <n v="1"/>
    <x v="255"/>
    <n v="4"/>
    <x v="0"/>
    <x v="0"/>
  </r>
  <r>
    <n v="619"/>
    <x v="154"/>
    <x v="18"/>
    <x v="0"/>
    <x v="2"/>
    <x v="0"/>
    <x v="0"/>
    <x v="3219"/>
    <x v="2"/>
    <n v="1"/>
    <x v="1429"/>
    <n v="2"/>
    <x v="2"/>
    <x v="0"/>
  </r>
  <r>
    <n v="3982"/>
    <x v="154"/>
    <x v="36"/>
    <x v="0"/>
    <x v="1"/>
    <x v="0"/>
    <x v="0"/>
    <x v="3220"/>
    <x v="5"/>
    <n v="1"/>
    <x v="1430"/>
    <n v="6"/>
    <x v="9"/>
    <x v="0"/>
  </r>
  <r>
    <n v="4525"/>
    <x v="154"/>
    <x v="42"/>
    <x v="1"/>
    <x v="3"/>
    <x v="1"/>
    <x v="3"/>
    <x v="3221"/>
    <x v="8"/>
    <n v="1"/>
    <x v="706"/>
    <n v="4"/>
    <x v="12"/>
    <x v="0"/>
  </r>
  <r>
    <n v="3832"/>
    <x v="154"/>
    <x v="32"/>
    <x v="0"/>
    <x v="2"/>
    <x v="2"/>
    <x v="0"/>
    <x v="2980"/>
    <x v="11"/>
    <n v="1"/>
    <x v="1431"/>
    <n v="4"/>
    <x v="1"/>
    <x v="1"/>
  </r>
  <r>
    <n v="271"/>
    <x v="154"/>
    <x v="16"/>
    <x v="0"/>
    <x v="2"/>
    <x v="1"/>
    <x v="3"/>
    <x v="2812"/>
    <x v="6"/>
    <n v="1"/>
    <x v="1432"/>
    <n v="3"/>
    <x v="3"/>
    <x v="0"/>
  </r>
  <r>
    <n v="1547"/>
    <x v="154"/>
    <x v="2"/>
    <x v="1"/>
    <x v="2"/>
    <x v="3"/>
    <x v="0"/>
    <x v="2828"/>
    <x v="8"/>
    <n v="1"/>
    <x v="1433"/>
    <n v="4"/>
    <x v="15"/>
    <x v="1"/>
  </r>
  <r>
    <n v="2927"/>
    <x v="154"/>
    <x v="20"/>
    <x v="0"/>
    <x v="3"/>
    <x v="0"/>
    <x v="0"/>
    <x v="2617"/>
    <x v="5"/>
    <n v="1"/>
    <x v="1434"/>
    <n v="4"/>
    <x v="3"/>
    <x v="0"/>
  </r>
  <r>
    <n v="708"/>
    <x v="154"/>
    <x v="22"/>
    <x v="0"/>
    <x v="0"/>
    <x v="2"/>
    <x v="0"/>
    <x v="2958"/>
    <x v="11"/>
    <n v="1"/>
    <x v="1435"/>
    <n v="4"/>
    <x v="5"/>
    <x v="2"/>
  </r>
  <r>
    <n v="1124"/>
    <x v="154"/>
    <x v="22"/>
    <x v="0"/>
    <x v="1"/>
    <x v="0"/>
    <x v="0"/>
    <x v="3222"/>
    <x v="8"/>
    <n v="0"/>
    <x v="11"/>
    <n v="0"/>
    <x v="8"/>
    <x v="3"/>
  </r>
  <r>
    <n v="2889"/>
    <x v="154"/>
    <x v="13"/>
    <x v="0"/>
    <x v="1"/>
    <x v="1"/>
    <x v="3"/>
    <x v="3223"/>
    <x v="6"/>
    <n v="0"/>
    <x v="11"/>
    <n v="0"/>
    <x v="8"/>
    <x v="3"/>
  </r>
  <r>
    <n v="518"/>
    <x v="154"/>
    <x v="19"/>
    <x v="0"/>
    <x v="3"/>
    <x v="1"/>
    <x v="4"/>
    <x v="1248"/>
    <x v="5"/>
    <n v="0"/>
    <x v="11"/>
    <n v="0"/>
    <x v="8"/>
    <x v="3"/>
  </r>
  <r>
    <n v="1477"/>
    <x v="154"/>
    <x v="4"/>
    <x v="1"/>
    <x v="0"/>
    <x v="3"/>
    <x v="0"/>
    <x v="2795"/>
    <x v="6"/>
    <n v="0"/>
    <x v="11"/>
    <n v="0"/>
    <x v="8"/>
    <x v="3"/>
  </r>
  <r>
    <n v="4325"/>
    <x v="154"/>
    <x v="12"/>
    <x v="1"/>
    <x v="1"/>
    <x v="2"/>
    <x v="0"/>
    <x v="3224"/>
    <x v="8"/>
    <n v="0"/>
    <x v="11"/>
    <n v="0"/>
    <x v="8"/>
    <x v="3"/>
  </r>
  <r>
    <n v="2706"/>
    <x v="154"/>
    <x v="19"/>
    <x v="0"/>
    <x v="2"/>
    <x v="0"/>
    <x v="0"/>
    <x v="3225"/>
    <x v="10"/>
    <n v="0"/>
    <x v="11"/>
    <n v="0"/>
    <x v="8"/>
    <x v="3"/>
  </r>
  <r>
    <n v="36"/>
    <x v="154"/>
    <x v="5"/>
    <x v="1"/>
    <x v="2"/>
    <x v="0"/>
    <x v="0"/>
    <x v="3226"/>
    <x v="5"/>
    <n v="0"/>
    <x v="11"/>
    <n v="0"/>
    <x v="8"/>
    <x v="3"/>
  </r>
  <r>
    <n v="4862"/>
    <x v="154"/>
    <x v="42"/>
    <x v="0"/>
    <x v="0"/>
    <x v="0"/>
    <x v="0"/>
    <x v="3188"/>
    <x v="6"/>
    <n v="0"/>
    <x v="11"/>
    <n v="0"/>
    <x v="8"/>
    <x v="3"/>
  </r>
  <r>
    <n v="121"/>
    <x v="154"/>
    <x v="18"/>
    <x v="0"/>
    <x v="1"/>
    <x v="1"/>
    <x v="1"/>
    <x v="3227"/>
    <x v="1"/>
    <n v="0"/>
    <x v="11"/>
    <n v="0"/>
    <x v="8"/>
    <x v="3"/>
  </r>
  <r>
    <n v="390"/>
    <x v="154"/>
    <x v="39"/>
    <x v="0"/>
    <x v="0"/>
    <x v="0"/>
    <x v="0"/>
    <x v="3228"/>
    <x v="4"/>
    <n v="0"/>
    <x v="11"/>
    <n v="0"/>
    <x v="8"/>
    <x v="3"/>
  </r>
  <r>
    <n v="2063"/>
    <x v="154"/>
    <x v="23"/>
    <x v="0"/>
    <x v="0"/>
    <x v="2"/>
    <x v="0"/>
    <x v="324"/>
    <x v="12"/>
    <n v="0"/>
    <x v="11"/>
    <n v="0"/>
    <x v="8"/>
    <x v="3"/>
  </r>
  <r>
    <n v="4224"/>
    <x v="154"/>
    <x v="63"/>
    <x v="1"/>
    <x v="2"/>
    <x v="0"/>
    <x v="0"/>
    <x v="3229"/>
    <x v="11"/>
    <n v="0"/>
    <x v="11"/>
    <n v="0"/>
    <x v="8"/>
    <x v="3"/>
  </r>
  <r>
    <n v="3542"/>
    <x v="154"/>
    <x v="23"/>
    <x v="1"/>
    <x v="3"/>
    <x v="1"/>
    <x v="3"/>
    <x v="3230"/>
    <x v="0"/>
    <n v="0"/>
    <x v="11"/>
    <n v="0"/>
    <x v="8"/>
    <x v="3"/>
  </r>
  <r>
    <n v="3406"/>
    <x v="154"/>
    <x v="7"/>
    <x v="1"/>
    <x v="1"/>
    <x v="3"/>
    <x v="0"/>
    <x v="3231"/>
    <x v="6"/>
    <n v="0"/>
    <x v="11"/>
    <n v="0"/>
    <x v="8"/>
    <x v="3"/>
  </r>
  <r>
    <n v="3823"/>
    <x v="154"/>
    <x v="46"/>
    <x v="1"/>
    <x v="2"/>
    <x v="0"/>
    <x v="0"/>
    <x v="3232"/>
    <x v="2"/>
    <n v="0"/>
    <x v="11"/>
    <n v="0"/>
    <x v="8"/>
    <x v="3"/>
  </r>
  <r>
    <n v="1674"/>
    <x v="154"/>
    <x v="8"/>
    <x v="1"/>
    <x v="2"/>
    <x v="0"/>
    <x v="0"/>
    <x v="735"/>
    <x v="5"/>
    <n v="0"/>
    <x v="11"/>
    <n v="0"/>
    <x v="8"/>
    <x v="3"/>
  </r>
  <r>
    <n v="114"/>
    <x v="154"/>
    <x v="24"/>
    <x v="1"/>
    <x v="2"/>
    <x v="0"/>
    <x v="0"/>
    <x v="63"/>
    <x v="5"/>
    <n v="0"/>
    <x v="11"/>
    <n v="0"/>
    <x v="8"/>
    <x v="3"/>
  </r>
  <r>
    <n v="2553"/>
    <x v="154"/>
    <x v="6"/>
    <x v="0"/>
    <x v="3"/>
    <x v="1"/>
    <x v="4"/>
    <x v="3233"/>
    <x v="6"/>
    <n v="0"/>
    <x v="11"/>
    <n v="0"/>
    <x v="8"/>
    <x v="3"/>
  </r>
  <r>
    <n v="1408"/>
    <x v="154"/>
    <x v="7"/>
    <x v="0"/>
    <x v="2"/>
    <x v="0"/>
    <x v="0"/>
    <x v="3234"/>
    <x v="2"/>
    <n v="0"/>
    <x v="11"/>
    <n v="0"/>
    <x v="8"/>
    <x v="3"/>
  </r>
  <r>
    <n v="1005"/>
    <x v="154"/>
    <x v="2"/>
    <x v="1"/>
    <x v="2"/>
    <x v="1"/>
    <x v="6"/>
    <x v="52"/>
    <x v="0"/>
    <n v="0"/>
    <x v="11"/>
    <n v="0"/>
    <x v="8"/>
    <x v="3"/>
  </r>
  <r>
    <n v="2166"/>
    <x v="155"/>
    <x v="19"/>
    <x v="1"/>
    <x v="0"/>
    <x v="0"/>
    <x v="0"/>
    <x v="3235"/>
    <x v="0"/>
    <n v="1"/>
    <x v="550"/>
    <n v="4"/>
    <x v="7"/>
    <x v="2"/>
  </r>
  <r>
    <n v="3038"/>
    <x v="155"/>
    <x v="39"/>
    <x v="1"/>
    <x v="1"/>
    <x v="1"/>
    <x v="3"/>
    <x v="3236"/>
    <x v="0"/>
    <n v="1"/>
    <x v="1436"/>
    <n v="3"/>
    <x v="12"/>
    <x v="0"/>
  </r>
  <r>
    <n v="3914"/>
    <x v="155"/>
    <x v="27"/>
    <x v="0"/>
    <x v="1"/>
    <x v="1"/>
    <x v="6"/>
    <x v="3237"/>
    <x v="0"/>
    <n v="1"/>
    <x v="572"/>
    <n v="2"/>
    <x v="15"/>
    <x v="2"/>
  </r>
  <r>
    <n v="2799"/>
    <x v="155"/>
    <x v="2"/>
    <x v="1"/>
    <x v="1"/>
    <x v="0"/>
    <x v="0"/>
    <x v="3196"/>
    <x v="5"/>
    <n v="1"/>
    <x v="1437"/>
    <n v="1"/>
    <x v="5"/>
    <x v="0"/>
  </r>
  <r>
    <n v="2486"/>
    <x v="155"/>
    <x v="44"/>
    <x v="0"/>
    <x v="0"/>
    <x v="0"/>
    <x v="0"/>
    <x v="1347"/>
    <x v="6"/>
    <n v="1"/>
    <x v="1438"/>
    <n v="2"/>
    <x v="9"/>
    <x v="0"/>
  </r>
  <r>
    <n v="2028"/>
    <x v="155"/>
    <x v="0"/>
    <x v="1"/>
    <x v="0"/>
    <x v="1"/>
    <x v="3"/>
    <x v="2097"/>
    <x v="2"/>
    <n v="1"/>
    <x v="1439"/>
    <n v="3"/>
    <x v="5"/>
    <x v="0"/>
  </r>
  <r>
    <n v="3445"/>
    <x v="155"/>
    <x v="5"/>
    <x v="0"/>
    <x v="0"/>
    <x v="0"/>
    <x v="0"/>
    <x v="2430"/>
    <x v="5"/>
    <n v="1"/>
    <x v="1002"/>
    <n v="5"/>
    <x v="14"/>
    <x v="0"/>
  </r>
  <r>
    <n v="2792"/>
    <x v="155"/>
    <x v="0"/>
    <x v="1"/>
    <x v="0"/>
    <x v="2"/>
    <x v="0"/>
    <x v="3238"/>
    <x v="4"/>
    <n v="0"/>
    <x v="11"/>
    <n v="0"/>
    <x v="8"/>
    <x v="3"/>
  </r>
  <r>
    <n v="4068"/>
    <x v="155"/>
    <x v="48"/>
    <x v="1"/>
    <x v="1"/>
    <x v="3"/>
    <x v="0"/>
    <x v="3239"/>
    <x v="4"/>
    <n v="0"/>
    <x v="11"/>
    <n v="0"/>
    <x v="8"/>
    <x v="3"/>
  </r>
  <r>
    <n v="2499"/>
    <x v="155"/>
    <x v="18"/>
    <x v="0"/>
    <x v="3"/>
    <x v="0"/>
    <x v="0"/>
    <x v="637"/>
    <x v="11"/>
    <n v="0"/>
    <x v="11"/>
    <n v="0"/>
    <x v="8"/>
    <x v="3"/>
  </r>
  <r>
    <n v="4328"/>
    <x v="155"/>
    <x v="12"/>
    <x v="0"/>
    <x v="2"/>
    <x v="1"/>
    <x v="2"/>
    <x v="520"/>
    <x v="8"/>
    <n v="0"/>
    <x v="11"/>
    <n v="0"/>
    <x v="8"/>
    <x v="3"/>
  </r>
  <r>
    <n v="582"/>
    <x v="155"/>
    <x v="26"/>
    <x v="0"/>
    <x v="0"/>
    <x v="0"/>
    <x v="0"/>
    <x v="2718"/>
    <x v="11"/>
    <n v="0"/>
    <x v="11"/>
    <n v="0"/>
    <x v="8"/>
    <x v="3"/>
  </r>
  <r>
    <n v="2577"/>
    <x v="155"/>
    <x v="8"/>
    <x v="1"/>
    <x v="1"/>
    <x v="1"/>
    <x v="5"/>
    <x v="329"/>
    <x v="4"/>
    <n v="0"/>
    <x v="11"/>
    <n v="0"/>
    <x v="8"/>
    <x v="3"/>
  </r>
  <r>
    <n v="1172"/>
    <x v="155"/>
    <x v="8"/>
    <x v="0"/>
    <x v="1"/>
    <x v="1"/>
    <x v="4"/>
    <x v="23"/>
    <x v="2"/>
    <n v="0"/>
    <x v="11"/>
    <n v="0"/>
    <x v="8"/>
    <x v="3"/>
  </r>
  <r>
    <n v="4446"/>
    <x v="155"/>
    <x v="32"/>
    <x v="1"/>
    <x v="3"/>
    <x v="2"/>
    <x v="0"/>
    <x v="3240"/>
    <x v="2"/>
    <n v="0"/>
    <x v="11"/>
    <n v="0"/>
    <x v="8"/>
    <x v="3"/>
  </r>
  <r>
    <n v="2964"/>
    <x v="155"/>
    <x v="34"/>
    <x v="1"/>
    <x v="2"/>
    <x v="0"/>
    <x v="0"/>
    <x v="3241"/>
    <x v="8"/>
    <n v="0"/>
    <x v="11"/>
    <n v="0"/>
    <x v="8"/>
    <x v="3"/>
  </r>
  <r>
    <n v="3790"/>
    <x v="155"/>
    <x v="25"/>
    <x v="1"/>
    <x v="3"/>
    <x v="1"/>
    <x v="1"/>
    <x v="865"/>
    <x v="5"/>
    <n v="0"/>
    <x v="11"/>
    <n v="0"/>
    <x v="8"/>
    <x v="3"/>
  </r>
  <r>
    <n v="1831"/>
    <x v="155"/>
    <x v="27"/>
    <x v="0"/>
    <x v="0"/>
    <x v="1"/>
    <x v="2"/>
    <x v="2731"/>
    <x v="10"/>
    <n v="0"/>
    <x v="11"/>
    <n v="0"/>
    <x v="8"/>
    <x v="3"/>
  </r>
  <r>
    <n v="2783"/>
    <x v="155"/>
    <x v="20"/>
    <x v="1"/>
    <x v="0"/>
    <x v="0"/>
    <x v="0"/>
    <x v="1526"/>
    <x v="6"/>
    <n v="0"/>
    <x v="11"/>
    <n v="0"/>
    <x v="8"/>
    <x v="3"/>
  </r>
  <r>
    <n v="676"/>
    <x v="155"/>
    <x v="8"/>
    <x v="0"/>
    <x v="2"/>
    <x v="1"/>
    <x v="4"/>
    <x v="3242"/>
    <x v="6"/>
    <n v="0"/>
    <x v="11"/>
    <n v="0"/>
    <x v="8"/>
    <x v="3"/>
  </r>
  <r>
    <n v="4700"/>
    <x v="155"/>
    <x v="43"/>
    <x v="1"/>
    <x v="2"/>
    <x v="1"/>
    <x v="4"/>
    <x v="3243"/>
    <x v="1"/>
    <n v="0"/>
    <x v="11"/>
    <n v="0"/>
    <x v="8"/>
    <x v="3"/>
  </r>
  <r>
    <n v="4851"/>
    <x v="155"/>
    <x v="47"/>
    <x v="1"/>
    <x v="1"/>
    <x v="0"/>
    <x v="0"/>
    <x v="2944"/>
    <x v="1"/>
    <n v="0"/>
    <x v="11"/>
    <n v="0"/>
    <x v="8"/>
    <x v="3"/>
  </r>
  <r>
    <n v="1910"/>
    <x v="156"/>
    <x v="20"/>
    <x v="0"/>
    <x v="2"/>
    <x v="0"/>
    <x v="0"/>
    <x v="3244"/>
    <x v="2"/>
    <n v="1"/>
    <x v="1440"/>
    <n v="3"/>
    <x v="2"/>
    <x v="0"/>
  </r>
  <r>
    <n v="1948"/>
    <x v="156"/>
    <x v="5"/>
    <x v="1"/>
    <x v="2"/>
    <x v="3"/>
    <x v="0"/>
    <x v="3245"/>
    <x v="5"/>
    <n v="1"/>
    <x v="1441"/>
    <n v="1"/>
    <x v="11"/>
    <x v="0"/>
  </r>
  <r>
    <n v="4005"/>
    <x v="156"/>
    <x v="50"/>
    <x v="1"/>
    <x v="1"/>
    <x v="0"/>
    <x v="0"/>
    <x v="1054"/>
    <x v="5"/>
    <n v="1"/>
    <x v="1442"/>
    <n v="4"/>
    <x v="14"/>
    <x v="0"/>
  </r>
  <r>
    <n v="4897"/>
    <x v="156"/>
    <x v="54"/>
    <x v="2"/>
    <x v="3"/>
    <x v="1"/>
    <x v="6"/>
    <x v="3246"/>
    <x v="8"/>
    <n v="1"/>
    <x v="1443"/>
    <n v="3"/>
    <x v="7"/>
    <x v="2"/>
  </r>
  <r>
    <n v="845"/>
    <x v="156"/>
    <x v="16"/>
    <x v="1"/>
    <x v="2"/>
    <x v="0"/>
    <x v="0"/>
    <x v="3247"/>
    <x v="8"/>
    <n v="1"/>
    <x v="1444"/>
    <n v="2"/>
    <x v="9"/>
    <x v="2"/>
  </r>
  <r>
    <n v="577"/>
    <x v="156"/>
    <x v="6"/>
    <x v="1"/>
    <x v="3"/>
    <x v="0"/>
    <x v="0"/>
    <x v="3248"/>
    <x v="12"/>
    <n v="1"/>
    <x v="1445"/>
    <n v="5"/>
    <x v="0"/>
    <x v="0"/>
  </r>
  <r>
    <n v="4623"/>
    <x v="156"/>
    <x v="24"/>
    <x v="0"/>
    <x v="2"/>
    <x v="1"/>
    <x v="7"/>
    <x v="3249"/>
    <x v="8"/>
    <n v="1"/>
    <x v="1446"/>
    <n v="2"/>
    <x v="3"/>
    <x v="0"/>
  </r>
  <r>
    <n v="2761"/>
    <x v="156"/>
    <x v="8"/>
    <x v="1"/>
    <x v="1"/>
    <x v="0"/>
    <x v="0"/>
    <x v="1275"/>
    <x v="7"/>
    <n v="0"/>
    <x v="11"/>
    <n v="0"/>
    <x v="8"/>
    <x v="3"/>
  </r>
  <r>
    <n v="153"/>
    <x v="156"/>
    <x v="20"/>
    <x v="1"/>
    <x v="3"/>
    <x v="1"/>
    <x v="1"/>
    <x v="57"/>
    <x v="0"/>
    <n v="0"/>
    <x v="11"/>
    <n v="0"/>
    <x v="8"/>
    <x v="3"/>
  </r>
  <r>
    <n v="4868"/>
    <x v="156"/>
    <x v="12"/>
    <x v="1"/>
    <x v="3"/>
    <x v="1"/>
    <x v="5"/>
    <x v="3250"/>
    <x v="5"/>
    <n v="0"/>
    <x v="11"/>
    <n v="0"/>
    <x v="8"/>
    <x v="3"/>
  </r>
  <r>
    <n v="2748"/>
    <x v="156"/>
    <x v="16"/>
    <x v="0"/>
    <x v="1"/>
    <x v="1"/>
    <x v="5"/>
    <x v="3251"/>
    <x v="6"/>
    <n v="0"/>
    <x v="11"/>
    <n v="0"/>
    <x v="8"/>
    <x v="3"/>
  </r>
  <r>
    <n v="3543"/>
    <x v="156"/>
    <x v="5"/>
    <x v="1"/>
    <x v="2"/>
    <x v="0"/>
    <x v="0"/>
    <x v="3252"/>
    <x v="5"/>
    <n v="0"/>
    <x v="11"/>
    <n v="0"/>
    <x v="8"/>
    <x v="3"/>
  </r>
  <r>
    <n v="4379"/>
    <x v="156"/>
    <x v="0"/>
    <x v="0"/>
    <x v="3"/>
    <x v="1"/>
    <x v="4"/>
    <x v="94"/>
    <x v="5"/>
    <n v="0"/>
    <x v="11"/>
    <n v="0"/>
    <x v="8"/>
    <x v="3"/>
  </r>
  <r>
    <n v="2484"/>
    <x v="156"/>
    <x v="13"/>
    <x v="0"/>
    <x v="3"/>
    <x v="1"/>
    <x v="4"/>
    <x v="3253"/>
    <x v="4"/>
    <n v="0"/>
    <x v="11"/>
    <n v="0"/>
    <x v="8"/>
    <x v="3"/>
  </r>
  <r>
    <n v="3897"/>
    <x v="156"/>
    <x v="44"/>
    <x v="0"/>
    <x v="2"/>
    <x v="0"/>
    <x v="0"/>
    <x v="3254"/>
    <x v="5"/>
    <n v="0"/>
    <x v="11"/>
    <n v="0"/>
    <x v="8"/>
    <x v="3"/>
  </r>
  <r>
    <n v="3526"/>
    <x v="156"/>
    <x v="5"/>
    <x v="2"/>
    <x v="1"/>
    <x v="0"/>
    <x v="0"/>
    <x v="2250"/>
    <x v="5"/>
    <n v="0"/>
    <x v="11"/>
    <n v="0"/>
    <x v="8"/>
    <x v="3"/>
  </r>
  <r>
    <n v="1694"/>
    <x v="156"/>
    <x v="16"/>
    <x v="1"/>
    <x v="3"/>
    <x v="0"/>
    <x v="0"/>
    <x v="3244"/>
    <x v="2"/>
    <n v="0"/>
    <x v="11"/>
    <n v="0"/>
    <x v="8"/>
    <x v="3"/>
  </r>
  <r>
    <n v="4857"/>
    <x v="156"/>
    <x v="36"/>
    <x v="1"/>
    <x v="0"/>
    <x v="1"/>
    <x v="5"/>
    <x v="3255"/>
    <x v="2"/>
    <n v="0"/>
    <x v="11"/>
    <n v="0"/>
    <x v="8"/>
    <x v="3"/>
  </r>
  <r>
    <n v="1424"/>
    <x v="156"/>
    <x v="8"/>
    <x v="0"/>
    <x v="1"/>
    <x v="0"/>
    <x v="0"/>
    <x v="3256"/>
    <x v="8"/>
    <n v="0"/>
    <x v="11"/>
    <n v="0"/>
    <x v="8"/>
    <x v="3"/>
  </r>
  <r>
    <n v="776"/>
    <x v="156"/>
    <x v="20"/>
    <x v="1"/>
    <x v="1"/>
    <x v="1"/>
    <x v="3"/>
    <x v="3257"/>
    <x v="0"/>
    <n v="0"/>
    <x v="11"/>
    <n v="0"/>
    <x v="8"/>
    <x v="3"/>
  </r>
  <r>
    <n v="376"/>
    <x v="157"/>
    <x v="20"/>
    <x v="1"/>
    <x v="0"/>
    <x v="3"/>
    <x v="0"/>
    <x v="3258"/>
    <x v="1"/>
    <n v="1"/>
    <x v="698"/>
    <n v="4"/>
    <x v="13"/>
    <x v="0"/>
  </r>
  <r>
    <n v="254"/>
    <x v="157"/>
    <x v="10"/>
    <x v="0"/>
    <x v="3"/>
    <x v="1"/>
    <x v="4"/>
    <x v="3259"/>
    <x v="8"/>
    <n v="1"/>
    <x v="1447"/>
    <n v="6"/>
    <x v="13"/>
    <x v="2"/>
  </r>
  <r>
    <n v="4716"/>
    <x v="157"/>
    <x v="35"/>
    <x v="1"/>
    <x v="1"/>
    <x v="0"/>
    <x v="0"/>
    <x v="2251"/>
    <x v="10"/>
    <n v="1"/>
    <x v="1448"/>
    <n v="5"/>
    <x v="3"/>
    <x v="2"/>
  </r>
  <r>
    <n v="2259"/>
    <x v="157"/>
    <x v="20"/>
    <x v="0"/>
    <x v="0"/>
    <x v="0"/>
    <x v="0"/>
    <x v="3260"/>
    <x v="2"/>
    <n v="1"/>
    <x v="1449"/>
    <n v="2"/>
    <x v="11"/>
    <x v="0"/>
  </r>
  <r>
    <n v="405"/>
    <x v="157"/>
    <x v="7"/>
    <x v="0"/>
    <x v="1"/>
    <x v="1"/>
    <x v="3"/>
    <x v="3261"/>
    <x v="0"/>
    <n v="1"/>
    <x v="1450"/>
    <n v="2"/>
    <x v="14"/>
    <x v="1"/>
  </r>
  <r>
    <n v="3304"/>
    <x v="157"/>
    <x v="0"/>
    <x v="1"/>
    <x v="0"/>
    <x v="0"/>
    <x v="0"/>
    <x v="3262"/>
    <x v="2"/>
    <n v="0"/>
    <x v="11"/>
    <n v="0"/>
    <x v="8"/>
    <x v="3"/>
  </r>
  <r>
    <n v="3703"/>
    <x v="157"/>
    <x v="17"/>
    <x v="0"/>
    <x v="2"/>
    <x v="0"/>
    <x v="0"/>
    <x v="3263"/>
    <x v="6"/>
    <n v="0"/>
    <x v="11"/>
    <n v="0"/>
    <x v="8"/>
    <x v="3"/>
  </r>
  <r>
    <n v="642"/>
    <x v="157"/>
    <x v="16"/>
    <x v="0"/>
    <x v="2"/>
    <x v="1"/>
    <x v="4"/>
    <x v="3264"/>
    <x v="5"/>
    <n v="0"/>
    <x v="11"/>
    <n v="0"/>
    <x v="8"/>
    <x v="3"/>
  </r>
  <r>
    <n v="2573"/>
    <x v="157"/>
    <x v="11"/>
    <x v="1"/>
    <x v="0"/>
    <x v="0"/>
    <x v="0"/>
    <x v="3265"/>
    <x v="8"/>
    <n v="0"/>
    <x v="11"/>
    <n v="0"/>
    <x v="8"/>
    <x v="3"/>
  </r>
  <r>
    <n v="411"/>
    <x v="157"/>
    <x v="22"/>
    <x v="0"/>
    <x v="0"/>
    <x v="1"/>
    <x v="1"/>
    <x v="1798"/>
    <x v="11"/>
    <n v="0"/>
    <x v="11"/>
    <n v="0"/>
    <x v="8"/>
    <x v="3"/>
  </r>
  <r>
    <n v="2106"/>
    <x v="157"/>
    <x v="44"/>
    <x v="1"/>
    <x v="0"/>
    <x v="1"/>
    <x v="3"/>
    <x v="3266"/>
    <x v="2"/>
    <n v="0"/>
    <x v="11"/>
    <n v="0"/>
    <x v="8"/>
    <x v="3"/>
  </r>
  <r>
    <n v="2385"/>
    <x v="157"/>
    <x v="20"/>
    <x v="1"/>
    <x v="0"/>
    <x v="0"/>
    <x v="0"/>
    <x v="3267"/>
    <x v="11"/>
    <n v="0"/>
    <x v="11"/>
    <n v="0"/>
    <x v="8"/>
    <x v="3"/>
  </r>
  <r>
    <n v="4796"/>
    <x v="157"/>
    <x v="29"/>
    <x v="0"/>
    <x v="3"/>
    <x v="0"/>
    <x v="0"/>
    <x v="937"/>
    <x v="0"/>
    <n v="0"/>
    <x v="11"/>
    <n v="0"/>
    <x v="8"/>
    <x v="3"/>
  </r>
  <r>
    <n v="167"/>
    <x v="157"/>
    <x v="22"/>
    <x v="1"/>
    <x v="3"/>
    <x v="1"/>
    <x v="6"/>
    <x v="3268"/>
    <x v="8"/>
    <n v="0"/>
    <x v="11"/>
    <n v="0"/>
    <x v="8"/>
    <x v="3"/>
  </r>
  <r>
    <n v="1029"/>
    <x v="157"/>
    <x v="23"/>
    <x v="1"/>
    <x v="2"/>
    <x v="0"/>
    <x v="0"/>
    <x v="884"/>
    <x v="2"/>
    <n v="0"/>
    <x v="11"/>
    <n v="0"/>
    <x v="8"/>
    <x v="3"/>
  </r>
  <r>
    <n v="4616"/>
    <x v="157"/>
    <x v="38"/>
    <x v="0"/>
    <x v="1"/>
    <x v="1"/>
    <x v="5"/>
    <x v="2698"/>
    <x v="2"/>
    <n v="0"/>
    <x v="11"/>
    <n v="0"/>
    <x v="8"/>
    <x v="3"/>
  </r>
  <r>
    <n v="123"/>
    <x v="157"/>
    <x v="18"/>
    <x v="1"/>
    <x v="1"/>
    <x v="1"/>
    <x v="1"/>
    <x v="421"/>
    <x v="5"/>
    <n v="0"/>
    <x v="11"/>
    <n v="0"/>
    <x v="8"/>
    <x v="3"/>
  </r>
  <r>
    <n v="2825"/>
    <x v="157"/>
    <x v="25"/>
    <x v="1"/>
    <x v="0"/>
    <x v="1"/>
    <x v="2"/>
    <x v="1876"/>
    <x v="8"/>
    <n v="0"/>
    <x v="11"/>
    <n v="0"/>
    <x v="8"/>
    <x v="3"/>
  </r>
  <r>
    <n v="1043"/>
    <x v="157"/>
    <x v="19"/>
    <x v="1"/>
    <x v="2"/>
    <x v="1"/>
    <x v="4"/>
    <x v="1152"/>
    <x v="5"/>
    <n v="0"/>
    <x v="11"/>
    <n v="0"/>
    <x v="8"/>
    <x v="3"/>
  </r>
  <r>
    <n v="2604"/>
    <x v="157"/>
    <x v="5"/>
    <x v="0"/>
    <x v="0"/>
    <x v="0"/>
    <x v="0"/>
    <x v="2279"/>
    <x v="8"/>
    <n v="0"/>
    <x v="11"/>
    <n v="0"/>
    <x v="8"/>
    <x v="3"/>
  </r>
  <r>
    <n v="4653"/>
    <x v="158"/>
    <x v="30"/>
    <x v="1"/>
    <x v="0"/>
    <x v="1"/>
    <x v="3"/>
    <x v="3269"/>
    <x v="2"/>
    <n v="1"/>
    <x v="910"/>
    <n v="2"/>
    <x v="6"/>
    <x v="0"/>
  </r>
  <r>
    <n v="339"/>
    <x v="158"/>
    <x v="26"/>
    <x v="1"/>
    <x v="2"/>
    <x v="0"/>
    <x v="0"/>
    <x v="3270"/>
    <x v="2"/>
    <n v="1"/>
    <x v="1451"/>
    <n v="3"/>
    <x v="9"/>
    <x v="1"/>
  </r>
  <r>
    <n v="1238"/>
    <x v="158"/>
    <x v="7"/>
    <x v="1"/>
    <x v="3"/>
    <x v="1"/>
    <x v="3"/>
    <x v="3271"/>
    <x v="6"/>
    <n v="1"/>
    <x v="1452"/>
    <n v="4"/>
    <x v="7"/>
    <x v="1"/>
  </r>
  <r>
    <n v="970"/>
    <x v="158"/>
    <x v="5"/>
    <x v="0"/>
    <x v="3"/>
    <x v="3"/>
    <x v="0"/>
    <x v="3272"/>
    <x v="0"/>
    <n v="1"/>
    <x v="1453"/>
    <n v="2"/>
    <x v="15"/>
    <x v="2"/>
  </r>
  <r>
    <n v="2574"/>
    <x v="158"/>
    <x v="16"/>
    <x v="1"/>
    <x v="2"/>
    <x v="0"/>
    <x v="0"/>
    <x v="3273"/>
    <x v="1"/>
    <n v="1"/>
    <x v="1454"/>
    <n v="3"/>
    <x v="4"/>
    <x v="0"/>
  </r>
  <r>
    <n v="4307"/>
    <x v="158"/>
    <x v="64"/>
    <x v="1"/>
    <x v="3"/>
    <x v="3"/>
    <x v="0"/>
    <x v="3274"/>
    <x v="0"/>
    <n v="1"/>
    <x v="1447"/>
    <n v="3"/>
    <x v="14"/>
    <x v="1"/>
  </r>
  <r>
    <n v="4971"/>
    <x v="158"/>
    <x v="29"/>
    <x v="1"/>
    <x v="0"/>
    <x v="1"/>
    <x v="4"/>
    <x v="3275"/>
    <x v="6"/>
    <n v="1"/>
    <x v="1455"/>
    <n v="2"/>
    <x v="3"/>
    <x v="1"/>
  </r>
  <r>
    <n v="4274"/>
    <x v="158"/>
    <x v="25"/>
    <x v="0"/>
    <x v="1"/>
    <x v="0"/>
    <x v="0"/>
    <x v="3276"/>
    <x v="0"/>
    <n v="1"/>
    <x v="1149"/>
    <n v="3"/>
    <x v="5"/>
    <x v="0"/>
  </r>
  <r>
    <n v="3843"/>
    <x v="158"/>
    <x v="25"/>
    <x v="0"/>
    <x v="0"/>
    <x v="1"/>
    <x v="3"/>
    <x v="3277"/>
    <x v="0"/>
    <n v="0"/>
    <x v="11"/>
    <n v="0"/>
    <x v="8"/>
    <x v="3"/>
  </r>
  <r>
    <n v="1406"/>
    <x v="158"/>
    <x v="8"/>
    <x v="1"/>
    <x v="1"/>
    <x v="0"/>
    <x v="0"/>
    <x v="1266"/>
    <x v="9"/>
    <n v="0"/>
    <x v="11"/>
    <n v="0"/>
    <x v="8"/>
    <x v="3"/>
  </r>
  <r>
    <n v="2283"/>
    <x v="158"/>
    <x v="13"/>
    <x v="0"/>
    <x v="0"/>
    <x v="0"/>
    <x v="0"/>
    <x v="3278"/>
    <x v="4"/>
    <n v="0"/>
    <x v="11"/>
    <n v="0"/>
    <x v="8"/>
    <x v="3"/>
  </r>
  <r>
    <n v="1768"/>
    <x v="158"/>
    <x v="28"/>
    <x v="0"/>
    <x v="1"/>
    <x v="1"/>
    <x v="6"/>
    <x v="3279"/>
    <x v="0"/>
    <n v="0"/>
    <x v="11"/>
    <n v="0"/>
    <x v="8"/>
    <x v="3"/>
  </r>
  <r>
    <n v="4433"/>
    <x v="158"/>
    <x v="29"/>
    <x v="1"/>
    <x v="2"/>
    <x v="3"/>
    <x v="0"/>
    <x v="3280"/>
    <x v="5"/>
    <n v="0"/>
    <x v="11"/>
    <n v="0"/>
    <x v="8"/>
    <x v="3"/>
  </r>
  <r>
    <n v="2876"/>
    <x v="158"/>
    <x v="10"/>
    <x v="1"/>
    <x v="0"/>
    <x v="1"/>
    <x v="3"/>
    <x v="1870"/>
    <x v="8"/>
    <n v="0"/>
    <x v="11"/>
    <n v="0"/>
    <x v="8"/>
    <x v="3"/>
  </r>
  <r>
    <n v="2518"/>
    <x v="158"/>
    <x v="11"/>
    <x v="1"/>
    <x v="1"/>
    <x v="0"/>
    <x v="0"/>
    <x v="3281"/>
    <x v="5"/>
    <n v="0"/>
    <x v="11"/>
    <n v="0"/>
    <x v="8"/>
    <x v="3"/>
  </r>
  <r>
    <n v="1026"/>
    <x v="158"/>
    <x v="20"/>
    <x v="1"/>
    <x v="2"/>
    <x v="0"/>
    <x v="0"/>
    <x v="990"/>
    <x v="5"/>
    <n v="0"/>
    <x v="11"/>
    <n v="0"/>
    <x v="8"/>
    <x v="3"/>
  </r>
  <r>
    <n v="342"/>
    <x v="158"/>
    <x v="0"/>
    <x v="1"/>
    <x v="2"/>
    <x v="3"/>
    <x v="0"/>
    <x v="1302"/>
    <x v="10"/>
    <n v="0"/>
    <x v="11"/>
    <n v="0"/>
    <x v="8"/>
    <x v="3"/>
  </r>
  <r>
    <n v="2809"/>
    <x v="158"/>
    <x v="43"/>
    <x v="0"/>
    <x v="1"/>
    <x v="0"/>
    <x v="0"/>
    <x v="2876"/>
    <x v="8"/>
    <n v="0"/>
    <x v="11"/>
    <n v="0"/>
    <x v="8"/>
    <x v="3"/>
  </r>
  <r>
    <n v="596"/>
    <x v="158"/>
    <x v="10"/>
    <x v="2"/>
    <x v="0"/>
    <x v="2"/>
    <x v="0"/>
    <x v="3282"/>
    <x v="2"/>
    <n v="0"/>
    <x v="11"/>
    <n v="0"/>
    <x v="8"/>
    <x v="3"/>
  </r>
  <r>
    <n v="3267"/>
    <x v="158"/>
    <x v="7"/>
    <x v="1"/>
    <x v="2"/>
    <x v="1"/>
    <x v="7"/>
    <x v="3283"/>
    <x v="2"/>
    <n v="0"/>
    <x v="11"/>
    <n v="0"/>
    <x v="8"/>
    <x v="3"/>
  </r>
  <r>
    <n v="3345"/>
    <x v="158"/>
    <x v="3"/>
    <x v="0"/>
    <x v="0"/>
    <x v="1"/>
    <x v="1"/>
    <x v="3284"/>
    <x v="5"/>
    <n v="0"/>
    <x v="11"/>
    <n v="0"/>
    <x v="8"/>
    <x v="3"/>
  </r>
  <r>
    <n v="3820"/>
    <x v="158"/>
    <x v="15"/>
    <x v="2"/>
    <x v="1"/>
    <x v="1"/>
    <x v="7"/>
    <x v="2923"/>
    <x v="8"/>
    <n v="0"/>
    <x v="11"/>
    <n v="0"/>
    <x v="8"/>
    <x v="3"/>
  </r>
  <r>
    <n v="2732"/>
    <x v="158"/>
    <x v="11"/>
    <x v="1"/>
    <x v="3"/>
    <x v="0"/>
    <x v="0"/>
    <x v="3285"/>
    <x v="9"/>
    <n v="0"/>
    <x v="11"/>
    <n v="0"/>
    <x v="8"/>
    <x v="3"/>
  </r>
  <r>
    <n v="2661"/>
    <x v="158"/>
    <x v="43"/>
    <x v="0"/>
    <x v="1"/>
    <x v="1"/>
    <x v="6"/>
    <x v="3286"/>
    <x v="1"/>
    <n v="0"/>
    <x v="11"/>
    <n v="0"/>
    <x v="8"/>
    <x v="3"/>
  </r>
  <r>
    <n v="2469"/>
    <x v="158"/>
    <x v="13"/>
    <x v="0"/>
    <x v="2"/>
    <x v="0"/>
    <x v="0"/>
    <x v="1877"/>
    <x v="8"/>
    <n v="0"/>
    <x v="11"/>
    <n v="0"/>
    <x v="8"/>
    <x v="3"/>
  </r>
  <r>
    <n v="659"/>
    <x v="159"/>
    <x v="22"/>
    <x v="0"/>
    <x v="2"/>
    <x v="0"/>
    <x v="0"/>
    <x v="3287"/>
    <x v="5"/>
    <n v="1"/>
    <x v="1456"/>
    <n v="5"/>
    <x v="4"/>
    <x v="1"/>
  </r>
  <r>
    <n v="1517"/>
    <x v="159"/>
    <x v="18"/>
    <x v="0"/>
    <x v="2"/>
    <x v="1"/>
    <x v="6"/>
    <x v="3288"/>
    <x v="0"/>
    <n v="1"/>
    <x v="1457"/>
    <n v="3"/>
    <x v="4"/>
    <x v="0"/>
  </r>
  <r>
    <n v="4596"/>
    <x v="159"/>
    <x v="9"/>
    <x v="1"/>
    <x v="2"/>
    <x v="1"/>
    <x v="2"/>
    <x v="3289"/>
    <x v="6"/>
    <n v="1"/>
    <x v="1458"/>
    <n v="2"/>
    <x v="1"/>
    <x v="1"/>
  </r>
  <r>
    <n v="3446"/>
    <x v="159"/>
    <x v="33"/>
    <x v="2"/>
    <x v="1"/>
    <x v="1"/>
    <x v="6"/>
    <x v="3290"/>
    <x v="6"/>
    <n v="1"/>
    <x v="1459"/>
    <n v="2"/>
    <x v="7"/>
    <x v="0"/>
  </r>
  <r>
    <n v="3596"/>
    <x v="159"/>
    <x v="8"/>
    <x v="0"/>
    <x v="1"/>
    <x v="3"/>
    <x v="0"/>
    <x v="3291"/>
    <x v="6"/>
    <n v="1"/>
    <x v="1460"/>
    <n v="2"/>
    <x v="12"/>
    <x v="0"/>
  </r>
  <r>
    <n v="3297"/>
    <x v="159"/>
    <x v="19"/>
    <x v="1"/>
    <x v="2"/>
    <x v="0"/>
    <x v="0"/>
    <x v="3292"/>
    <x v="1"/>
    <n v="1"/>
    <x v="1461"/>
    <n v="5"/>
    <x v="9"/>
    <x v="0"/>
  </r>
  <r>
    <n v="4580"/>
    <x v="159"/>
    <x v="25"/>
    <x v="0"/>
    <x v="1"/>
    <x v="0"/>
    <x v="0"/>
    <x v="875"/>
    <x v="5"/>
    <n v="1"/>
    <x v="356"/>
    <n v="5"/>
    <x v="9"/>
    <x v="0"/>
  </r>
  <r>
    <n v="4146"/>
    <x v="159"/>
    <x v="44"/>
    <x v="1"/>
    <x v="3"/>
    <x v="1"/>
    <x v="7"/>
    <x v="3293"/>
    <x v="0"/>
    <n v="0"/>
    <x v="11"/>
    <n v="0"/>
    <x v="8"/>
    <x v="3"/>
  </r>
  <r>
    <n v="175"/>
    <x v="159"/>
    <x v="22"/>
    <x v="0"/>
    <x v="0"/>
    <x v="0"/>
    <x v="0"/>
    <x v="3294"/>
    <x v="5"/>
    <n v="0"/>
    <x v="11"/>
    <n v="0"/>
    <x v="8"/>
    <x v="3"/>
  </r>
  <r>
    <n v="1850"/>
    <x v="159"/>
    <x v="8"/>
    <x v="0"/>
    <x v="3"/>
    <x v="0"/>
    <x v="0"/>
    <x v="3295"/>
    <x v="11"/>
    <n v="0"/>
    <x v="11"/>
    <n v="0"/>
    <x v="8"/>
    <x v="3"/>
  </r>
  <r>
    <n v="2671"/>
    <x v="159"/>
    <x v="7"/>
    <x v="0"/>
    <x v="3"/>
    <x v="0"/>
    <x v="0"/>
    <x v="3296"/>
    <x v="5"/>
    <n v="0"/>
    <x v="11"/>
    <n v="0"/>
    <x v="8"/>
    <x v="3"/>
  </r>
  <r>
    <n v="4548"/>
    <x v="159"/>
    <x v="17"/>
    <x v="0"/>
    <x v="2"/>
    <x v="2"/>
    <x v="0"/>
    <x v="3225"/>
    <x v="5"/>
    <n v="0"/>
    <x v="11"/>
    <n v="0"/>
    <x v="8"/>
    <x v="3"/>
  </r>
  <r>
    <n v="3065"/>
    <x v="159"/>
    <x v="29"/>
    <x v="1"/>
    <x v="0"/>
    <x v="1"/>
    <x v="3"/>
    <x v="3297"/>
    <x v="2"/>
    <n v="0"/>
    <x v="11"/>
    <n v="0"/>
    <x v="8"/>
    <x v="3"/>
  </r>
  <r>
    <n v="4629"/>
    <x v="159"/>
    <x v="17"/>
    <x v="1"/>
    <x v="3"/>
    <x v="1"/>
    <x v="7"/>
    <x v="3298"/>
    <x v="5"/>
    <n v="0"/>
    <x v="11"/>
    <n v="0"/>
    <x v="8"/>
    <x v="3"/>
  </r>
  <r>
    <n v="4994"/>
    <x v="159"/>
    <x v="28"/>
    <x v="1"/>
    <x v="2"/>
    <x v="2"/>
    <x v="0"/>
    <x v="3299"/>
    <x v="5"/>
    <n v="0"/>
    <x v="11"/>
    <n v="0"/>
    <x v="8"/>
    <x v="3"/>
  </r>
  <r>
    <n v="4271"/>
    <x v="159"/>
    <x v="43"/>
    <x v="1"/>
    <x v="0"/>
    <x v="1"/>
    <x v="5"/>
    <x v="553"/>
    <x v="0"/>
    <n v="0"/>
    <x v="11"/>
    <n v="0"/>
    <x v="8"/>
    <x v="3"/>
  </r>
  <r>
    <n v="2580"/>
    <x v="159"/>
    <x v="31"/>
    <x v="1"/>
    <x v="0"/>
    <x v="2"/>
    <x v="0"/>
    <x v="3300"/>
    <x v="8"/>
    <n v="0"/>
    <x v="11"/>
    <n v="0"/>
    <x v="8"/>
    <x v="3"/>
  </r>
  <r>
    <n v="4393"/>
    <x v="159"/>
    <x v="48"/>
    <x v="0"/>
    <x v="1"/>
    <x v="0"/>
    <x v="0"/>
    <x v="1259"/>
    <x v="5"/>
    <n v="0"/>
    <x v="11"/>
    <n v="0"/>
    <x v="8"/>
    <x v="3"/>
  </r>
  <r>
    <n v="4267"/>
    <x v="159"/>
    <x v="13"/>
    <x v="0"/>
    <x v="3"/>
    <x v="0"/>
    <x v="0"/>
    <x v="3301"/>
    <x v="2"/>
    <n v="0"/>
    <x v="11"/>
    <n v="0"/>
    <x v="8"/>
    <x v="3"/>
  </r>
  <r>
    <n v="239"/>
    <x v="159"/>
    <x v="24"/>
    <x v="0"/>
    <x v="1"/>
    <x v="1"/>
    <x v="7"/>
    <x v="1235"/>
    <x v="1"/>
    <n v="0"/>
    <x v="11"/>
    <n v="0"/>
    <x v="8"/>
    <x v="3"/>
  </r>
  <r>
    <n v="1092"/>
    <x v="159"/>
    <x v="19"/>
    <x v="1"/>
    <x v="1"/>
    <x v="1"/>
    <x v="1"/>
    <x v="3271"/>
    <x v="2"/>
    <n v="0"/>
    <x v="11"/>
    <n v="0"/>
    <x v="8"/>
    <x v="3"/>
  </r>
  <r>
    <n v="278"/>
    <x v="159"/>
    <x v="8"/>
    <x v="1"/>
    <x v="2"/>
    <x v="3"/>
    <x v="0"/>
    <x v="3302"/>
    <x v="8"/>
    <n v="0"/>
    <x v="11"/>
    <n v="0"/>
    <x v="8"/>
    <x v="3"/>
  </r>
  <r>
    <n v="3156"/>
    <x v="159"/>
    <x v="31"/>
    <x v="1"/>
    <x v="1"/>
    <x v="3"/>
    <x v="0"/>
    <x v="2084"/>
    <x v="2"/>
    <n v="0"/>
    <x v="11"/>
    <n v="0"/>
    <x v="8"/>
    <x v="3"/>
  </r>
  <r>
    <n v="2717"/>
    <x v="159"/>
    <x v="31"/>
    <x v="1"/>
    <x v="3"/>
    <x v="1"/>
    <x v="7"/>
    <x v="2682"/>
    <x v="6"/>
    <n v="0"/>
    <x v="11"/>
    <n v="0"/>
    <x v="8"/>
    <x v="3"/>
  </r>
  <r>
    <n v="4833"/>
    <x v="159"/>
    <x v="54"/>
    <x v="1"/>
    <x v="1"/>
    <x v="0"/>
    <x v="0"/>
    <x v="2698"/>
    <x v="6"/>
    <n v="0"/>
    <x v="11"/>
    <n v="0"/>
    <x v="8"/>
    <x v="3"/>
  </r>
  <r>
    <n v="2399"/>
    <x v="159"/>
    <x v="19"/>
    <x v="0"/>
    <x v="3"/>
    <x v="1"/>
    <x v="4"/>
    <x v="3303"/>
    <x v="5"/>
    <n v="0"/>
    <x v="11"/>
    <n v="0"/>
    <x v="8"/>
    <x v="3"/>
  </r>
  <r>
    <n v="4710"/>
    <x v="159"/>
    <x v="42"/>
    <x v="0"/>
    <x v="3"/>
    <x v="3"/>
    <x v="0"/>
    <x v="959"/>
    <x v="5"/>
    <n v="0"/>
    <x v="11"/>
    <n v="0"/>
    <x v="8"/>
    <x v="3"/>
  </r>
  <r>
    <n v="219"/>
    <x v="159"/>
    <x v="7"/>
    <x v="1"/>
    <x v="1"/>
    <x v="1"/>
    <x v="1"/>
    <x v="3304"/>
    <x v="6"/>
    <n v="0"/>
    <x v="11"/>
    <n v="0"/>
    <x v="8"/>
    <x v="3"/>
  </r>
  <r>
    <n v="462"/>
    <x v="159"/>
    <x v="6"/>
    <x v="1"/>
    <x v="0"/>
    <x v="2"/>
    <x v="0"/>
    <x v="3305"/>
    <x v="5"/>
    <n v="0"/>
    <x v="11"/>
    <n v="0"/>
    <x v="8"/>
    <x v="3"/>
  </r>
  <r>
    <n v="3460"/>
    <x v="159"/>
    <x v="41"/>
    <x v="1"/>
    <x v="2"/>
    <x v="1"/>
    <x v="3"/>
    <x v="3306"/>
    <x v="5"/>
    <n v="0"/>
    <x v="11"/>
    <n v="0"/>
    <x v="8"/>
    <x v="3"/>
  </r>
  <r>
    <n v="4640"/>
    <x v="160"/>
    <x v="3"/>
    <x v="1"/>
    <x v="1"/>
    <x v="3"/>
    <x v="0"/>
    <x v="3307"/>
    <x v="2"/>
    <n v="1"/>
    <x v="1462"/>
    <n v="4"/>
    <x v="11"/>
    <x v="0"/>
  </r>
  <r>
    <n v="1852"/>
    <x v="160"/>
    <x v="11"/>
    <x v="1"/>
    <x v="1"/>
    <x v="3"/>
    <x v="0"/>
    <x v="3308"/>
    <x v="2"/>
    <n v="1"/>
    <x v="1463"/>
    <n v="2"/>
    <x v="12"/>
    <x v="0"/>
  </r>
  <r>
    <n v="3179"/>
    <x v="160"/>
    <x v="5"/>
    <x v="1"/>
    <x v="1"/>
    <x v="0"/>
    <x v="0"/>
    <x v="3027"/>
    <x v="4"/>
    <n v="1"/>
    <x v="1464"/>
    <n v="5"/>
    <x v="11"/>
    <x v="2"/>
  </r>
  <r>
    <n v="4546"/>
    <x v="160"/>
    <x v="41"/>
    <x v="1"/>
    <x v="3"/>
    <x v="3"/>
    <x v="0"/>
    <x v="3309"/>
    <x v="8"/>
    <n v="1"/>
    <x v="1465"/>
    <n v="2"/>
    <x v="5"/>
    <x v="2"/>
  </r>
  <r>
    <n v="74"/>
    <x v="160"/>
    <x v="4"/>
    <x v="0"/>
    <x v="0"/>
    <x v="0"/>
    <x v="0"/>
    <x v="3310"/>
    <x v="8"/>
    <n v="1"/>
    <x v="1466"/>
    <n v="2"/>
    <x v="12"/>
    <x v="0"/>
  </r>
  <r>
    <n v="1111"/>
    <x v="160"/>
    <x v="6"/>
    <x v="1"/>
    <x v="2"/>
    <x v="0"/>
    <x v="0"/>
    <x v="3311"/>
    <x v="0"/>
    <n v="1"/>
    <x v="1467"/>
    <n v="3"/>
    <x v="4"/>
    <x v="2"/>
  </r>
  <r>
    <n v="2749"/>
    <x v="160"/>
    <x v="13"/>
    <x v="1"/>
    <x v="1"/>
    <x v="2"/>
    <x v="0"/>
    <x v="1559"/>
    <x v="2"/>
    <n v="1"/>
    <x v="1468"/>
    <n v="1"/>
    <x v="12"/>
    <x v="0"/>
  </r>
  <r>
    <n v="732"/>
    <x v="160"/>
    <x v="18"/>
    <x v="1"/>
    <x v="1"/>
    <x v="2"/>
    <x v="0"/>
    <x v="3312"/>
    <x v="5"/>
    <n v="1"/>
    <x v="1469"/>
    <n v="1"/>
    <x v="11"/>
    <x v="0"/>
  </r>
  <r>
    <n v="4178"/>
    <x v="160"/>
    <x v="28"/>
    <x v="1"/>
    <x v="0"/>
    <x v="1"/>
    <x v="2"/>
    <x v="820"/>
    <x v="2"/>
    <n v="1"/>
    <x v="173"/>
    <n v="2"/>
    <x v="11"/>
    <x v="1"/>
  </r>
  <r>
    <n v="4269"/>
    <x v="160"/>
    <x v="42"/>
    <x v="1"/>
    <x v="2"/>
    <x v="2"/>
    <x v="0"/>
    <x v="756"/>
    <x v="10"/>
    <n v="1"/>
    <x v="466"/>
    <n v="1"/>
    <x v="0"/>
    <x v="1"/>
  </r>
  <r>
    <n v="379"/>
    <x v="160"/>
    <x v="7"/>
    <x v="0"/>
    <x v="3"/>
    <x v="0"/>
    <x v="0"/>
    <x v="3313"/>
    <x v="8"/>
    <n v="1"/>
    <x v="1470"/>
    <n v="4"/>
    <x v="11"/>
    <x v="0"/>
  </r>
  <r>
    <n v="1729"/>
    <x v="160"/>
    <x v="34"/>
    <x v="1"/>
    <x v="1"/>
    <x v="1"/>
    <x v="1"/>
    <x v="3314"/>
    <x v="6"/>
    <n v="0"/>
    <x v="11"/>
    <n v="0"/>
    <x v="8"/>
    <x v="3"/>
  </r>
  <r>
    <n v="4999"/>
    <x v="160"/>
    <x v="54"/>
    <x v="1"/>
    <x v="1"/>
    <x v="0"/>
    <x v="0"/>
    <x v="3315"/>
    <x v="1"/>
    <n v="0"/>
    <x v="11"/>
    <n v="0"/>
    <x v="8"/>
    <x v="3"/>
  </r>
  <r>
    <n v="4940"/>
    <x v="160"/>
    <x v="45"/>
    <x v="1"/>
    <x v="0"/>
    <x v="3"/>
    <x v="0"/>
    <x v="3316"/>
    <x v="4"/>
    <n v="0"/>
    <x v="11"/>
    <n v="0"/>
    <x v="8"/>
    <x v="3"/>
  </r>
  <r>
    <n v="1511"/>
    <x v="160"/>
    <x v="31"/>
    <x v="0"/>
    <x v="1"/>
    <x v="0"/>
    <x v="0"/>
    <x v="3317"/>
    <x v="6"/>
    <n v="0"/>
    <x v="11"/>
    <n v="0"/>
    <x v="8"/>
    <x v="3"/>
  </r>
  <r>
    <n v="445"/>
    <x v="160"/>
    <x v="4"/>
    <x v="0"/>
    <x v="2"/>
    <x v="2"/>
    <x v="0"/>
    <x v="291"/>
    <x v="11"/>
    <n v="0"/>
    <x v="11"/>
    <n v="0"/>
    <x v="8"/>
    <x v="3"/>
  </r>
  <r>
    <n v="3375"/>
    <x v="160"/>
    <x v="19"/>
    <x v="0"/>
    <x v="2"/>
    <x v="1"/>
    <x v="4"/>
    <x v="2349"/>
    <x v="8"/>
    <n v="0"/>
    <x v="11"/>
    <n v="0"/>
    <x v="8"/>
    <x v="3"/>
  </r>
  <r>
    <n v="1835"/>
    <x v="160"/>
    <x v="13"/>
    <x v="0"/>
    <x v="2"/>
    <x v="1"/>
    <x v="5"/>
    <x v="101"/>
    <x v="10"/>
    <n v="0"/>
    <x v="11"/>
    <n v="0"/>
    <x v="8"/>
    <x v="3"/>
  </r>
  <r>
    <n v="738"/>
    <x v="160"/>
    <x v="24"/>
    <x v="1"/>
    <x v="1"/>
    <x v="1"/>
    <x v="3"/>
    <x v="3318"/>
    <x v="6"/>
    <n v="0"/>
    <x v="11"/>
    <n v="0"/>
    <x v="8"/>
    <x v="3"/>
  </r>
  <r>
    <n v="504"/>
    <x v="160"/>
    <x v="2"/>
    <x v="0"/>
    <x v="1"/>
    <x v="0"/>
    <x v="0"/>
    <x v="3319"/>
    <x v="8"/>
    <n v="0"/>
    <x v="11"/>
    <n v="0"/>
    <x v="8"/>
    <x v="3"/>
  </r>
  <r>
    <n v="531"/>
    <x v="160"/>
    <x v="20"/>
    <x v="1"/>
    <x v="2"/>
    <x v="1"/>
    <x v="7"/>
    <x v="1398"/>
    <x v="10"/>
    <n v="0"/>
    <x v="11"/>
    <n v="0"/>
    <x v="8"/>
    <x v="3"/>
  </r>
  <r>
    <n v="3861"/>
    <x v="160"/>
    <x v="43"/>
    <x v="1"/>
    <x v="3"/>
    <x v="3"/>
    <x v="0"/>
    <x v="3320"/>
    <x v="6"/>
    <n v="0"/>
    <x v="11"/>
    <n v="0"/>
    <x v="8"/>
    <x v="3"/>
  </r>
  <r>
    <n v="4330"/>
    <x v="160"/>
    <x v="50"/>
    <x v="0"/>
    <x v="2"/>
    <x v="3"/>
    <x v="0"/>
    <x v="3321"/>
    <x v="2"/>
    <n v="0"/>
    <x v="11"/>
    <n v="0"/>
    <x v="8"/>
    <x v="3"/>
  </r>
  <r>
    <n v="4870"/>
    <x v="160"/>
    <x v="21"/>
    <x v="0"/>
    <x v="0"/>
    <x v="3"/>
    <x v="0"/>
    <x v="3322"/>
    <x v="5"/>
    <n v="0"/>
    <x v="11"/>
    <n v="0"/>
    <x v="8"/>
    <x v="3"/>
  </r>
  <r>
    <n v="1310"/>
    <x v="160"/>
    <x v="4"/>
    <x v="0"/>
    <x v="0"/>
    <x v="3"/>
    <x v="0"/>
    <x v="3323"/>
    <x v="8"/>
    <n v="0"/>
    <x v="11"/>
    <n v="0"/>
    <x v="8"/>
    <x v="3"/>
  </r>
  <r>
    <n v="811"/>
    <x v="161"/>
    <x v="22"/>
    <x v="0"/>
    <x v="2"/>
    <x v="0"/>
    <x v="0"/>
    <x v="3324"/>
    <x v="6"/>
    <n v="1"/>
    <x v="1471"/>
    <n v="1"/>
    <x v="12"/>
    <x v="0"/>
  </r>
  <r>
    <n v="500"/>
    <x v="161"/>
    <x v="24"/>
    <x v="1"/>
    <x v="2"/>
    <x v="3"/>
    <x v="0"/>
    <x v="3325"/>
    <x v="2"/>
    <n v="1"/>
    <x v="1472"/>
    <n v="8"/>
    <x v="0"/>
    <x v="0"/>
  </r>
  <r>
    <n v="933"/>
    <x v="161"/>
    <x v="4"/>
    <x v="1"/>
    <x v="2"/>
    <x v="0"/>
    <x v="0"/>
    <x v="3326"/>
    <x v="3"/>
    <n v="1"/>
    <x v="1473"/>
    <n v="3"/>
    <x v="2"/>
    <x v="0"/>
  </r>
  <r>
    <n v="4762"/>
    <x v="161"/>
    <x v="42"/>
    <x v="2"/>
    <x v="3"/>
    <x v="3"/>
    <x v="0"/>
    <x v="793"/>
    <x v="8"/>
    <n v="1"/>
    <x v="1474"/>
    <n v="5"/>
    <x v="10"/>
    <x v="0"/>
  </r>
  <r>
    <n v="1012"/>
    <x v="161"/>
    <x v="0"/>
    <x v="1"/>
    <x v="3"/>
    <x v="3"/>
    <x v="0"/>
    <x v="3327"/>
    <x v="2"/>
    <n v="1"/>
    <x v="1475"/>
    <n v="2"/>
    <x v="12"/>
    <x v="0"/>
  </r>
  <r>
    <n v="1719"/>
    <x v="161"/>
    <x v="7"/>
    <x v="0"/>
    <x v="2"/>
    <x v="2"/>
    <x v="0"/>
    <x v="3328"/>
    <x v="5"/>
    <n v="1"/>
    <x v="1476"/>
    <n v="1"/>
    <x v="1"/>
    <x v="1"/>
  </r>
  <r>
    <n v="1425"/>
    <x v="161"/>
    <x v="5"/>
    <x v="0"/>
    <x v="3"/>
    <x v="3"/>
    <x v="0"/>
    <x v="553"/>
    <x v="5"/>
    <n v="1"/>
    <x v="1477"/>
    <n v="3"/>
    <x v="15"/>
    <x v="2"/>
  </r>
  <r>
    <n v="2409"/>
    <x v="161"/>
    <x v="15"/>
    <x v="0"/>
    <x v="3"/>
    <x v="3"/>
    <x v="0"/>
    <x v="138"/>
    <x v="5"/>
    <n v="1"/>
    <x v="1478"/>
    <n v="3"/>
    <x v="12"/>
    <x v="0"/>
  </r>
  <r>
    <n v="70"/>
    <x v="161"/>
    <x v="8"/>
    <x v="0"/>
    <x v="0"/>
    <x v="0"/>
    <x v="0"/>
    <x v="3329"/>
    <x v="6"/>
    <n v="1"/>
    <x v="1479"/>
    <n v="1"/>
    <x v="12"/>
    <x v="0"/>
  </r>
  <r>
    <n v="1865"/>
    <x v="161"/>
    <x v="8"/>
    <x v="0"/>
    <x v="1"/>
    <x v="3"/>
    <x v="0"/>
    <x v="1012"/>
    <x v="0"/>
    <n v="1"/>
    <x v="1089"/>
    <n v="3"/>
    <x v="12"/>
    <x v="0"/>
  </r>
  <r>
    <n v="4036"/>
    <x v="161"/>
    <x v="15"/>
    <x v="1"/>
    <x v="3"/>
    <x v="1"/>
    <x v="6"/>
    <x v="2133"/>
    <x v="5"/>
    <n v="1"/>
    <x v="1480"/>
    <n v="1"/>
    <x v="9"/>
    <x v="0"/>
  </r>
  <r>
    <n v="2079"/>
    <x v="161"/>
    <x v="34"/>
    <x v="2"/>
    <x v="2"/>
    <x v="1"/>
    <x v="4"/>
    <x v="307"/>
    <x v="1"/>
    <n v="1"/>
    <x v="1481"/>
    <n v="4"/>
    <x v="9"/>
    <x v="0"/>
  </r>
  <r>
    <n v="155"/>
    <x v="161"/>
    <x v="19"/>
    <x v="1"/>
    <x v="1"/>
    <x v="0"/>
    <x v="0"/>
    <x v="979"/>
    <x v="4"/>
    <n v="1"/>
    <x v="1225"/>
    <n v="4"/>
    <x v="6"/>
    <x v="2"/>
  </r>
  <r>
    <n v="519"/>
    <x v="161"/>
    <x v="20"/>
    <x v="0"/>
    <x v="3"/>
    <x v="0"/>
    <x v="0"/>
    <x v="3330"/>
    <x v="5"/>
    <n v="1"/>
    <x v="1482"/>
    <n v="4"/>
    <x v="14"/>
    <x v="1"/>
  </r>
  <r>
    <n v="2928"/>
    <x v="161"/>
    <x v="22"/>
    <x v="2"/>
    <x v="2"/>
    <x v="1"/>
    <x v="3"/>
    <x v="3331"/>
    <x v="1"/>
    <n v="0"/>
    <x v="11"/>
    <n v="0"/>
    <x v="8"/>
    <x v="3"/>
  </r>
  <r>
    <n v="1278"/>
    <x v="161"/>
    <x v="39"/>
    <x v="1"/>
    <x v="2"/>
    <x v="1"/>
    <x v="3"/>
    <x v="3332"/>
    <x v="0"/>
    <n v="0"/>
    <x v="11"/>
    <n v="0"/>
    <x v="8"/>
    <x v="3"/>
  </r>
  <r>
    <n v="1075"/>
    <x v="161"/>
    <x v="8"/>
    <x v="1"/>
    <x v="0"/>
    <x v="3"/>
    <x v="0"/>
    <x v="3333"/>
    <x v="6"/>
    <n v="0"/>
    <x v="11"/>
    <n v="0"/>
    <x v="8"/>
    <x v="3"/>
  </r>
  <r>
    <n v="1349"/>
    <x v="161"/>
    <x v="23"/>
    <x v="0"/>
    <x v="1"/>
    <x v="2"/>
    <x v="0"/>
    <x v="1360"/>
    <x v="6"/>
    <n v="0"/>
    <x v="11"/>
    <n v="0"/>
    <x v="8"/>
    <x v="3"/>
  </r>
  <r>
    <n v="3804"/>
    <x v="161"/>
    <x v="43"/>
    <x v="0"/>
    <x v="1"/>
    <x v="3"/>
    <x v="0"/>
    <x v="3334"/>
    <x v="6"/>
    <n v="0"/>
    <x v="11"/>
    <n v="0"/>
    <x v="8"/>
    <x v="3"/>
  </r>
  <r>
    <n v="1229"/>
    <x v="161"/>
    <x v="6"/>
    <x v="1"/>
    <x v="0"/>
    <x v="0"/>
    <x v="0"/>
    <x v="3335"/>
    <x v="0"/>
    <n v="0"/>
    <x v="11"/>
    <n v="0"/>
    <x v="8"/>
    <x v="3"/>
  </r>
  <r>
    <n v="2125"/>
    <x v="161"/>
    <x v="19"/>
    <x v="0"/>
    <x v="0"/>
    <x v="1"/>
    <x v="4"/>
    <x v="3336"/>
    <x v="0"/>
    <n v="0"/>
    <x v="11"/>
    <n v="0"/>
    <x v="8"/>
    <x v="3"/>
  </r>
  <r>
    <n v="4760"/>
    <x v="161"/>
    <x v="3"/>
    <x v="0"/>
    <x v="2"/>
    <x v="0"/>
    <x v="0"/>
    <x v="3337"/>
    <x v="2"/>
    <n v="0"/>
    <x v="11"/>
    <n v="0"/>
    <x v="8"/>
    <x v="3"/>
  </r>
  <r>
    <n v="442"/>
    <x v="161"/>
    <x v="24"/>
    <x v="0"/>
    <x v="2"/>
    <x v="0"/>
    <x v="0"/>
    <x v="3338"/>
    <x v="10"/>
    <n v="0"/>
    <x v="11"/>
    <n v="0"/>
    <x v="8"/>
    <x v="3"/>
  </r>
  <r>
    <n v="2433"/>
    <x v="161"/>
    <x v="31"/>
    <x v="0"/>
    <x v="2"/>
    <x v="0"/>
    <x v="0"/>
    <x v="3339"/>
    <x v="2"/>
    <n v="0"/>
    <x v="11"/>
    <n v="0"/>
    <x v="8"/>
    <x v="3"/>
  </r>
  <r>
    <n v="1062"/>
    <x v="161"/>
    <x v="10"/>
    <x v="1"/>
    <x v="2"/>
    <x v="2"/>
    <x v="0"/>
    <x v="371"/>
    <x v="1"/>
    <n v="0"/>
    <x v="11"/>
    <n v="0"/>
    <x v="8"/>
    <x v="3"/>
  </r>
  <r>
    <n v="662"/>
    <x v="161"/>
    <x v="5"/>
    <x v="0"/>
    <x v="3"/>
    <x v="1"/>
    <x v="2"/>
    <x v="2938"/>
    <x v="6"/>
    <n v="0"/>
    <x v="11"/>
    <n v="0"/>
    <x v="8"/>
    <x v="3"/>
  </r>
  <r>
    <n v="2110"/>
    <x v="161"/>
    <x v="17"/>
    <x v="1"/>
    <x v="2"/>
    <x v="1"/>
    <x v="3"/>
    <x v="2925"/>
    <x v="2"/>
    <n v="0"/>
    <x v="11"/>
    <n v="0"/>
    <x v="8"/>
    <x v="3"/>
  </r>
  <r>
    <n v="1585"/>
    <x v="161"/>
    <x v="20"/>
    <x v="1"/>
    <x v="0"/>
    <x v="0"/>
    <x v="0"/>
    <x v="962"/>
    <x v="11"/>
    <n v="0"/>
    <x v="11"/>
    <n v="0"/>
    <x v="8"/>
    <x v="3"/>
  </r>
  <r>
    <n v="447"/>
    <x v="161"/>
    <x v="24"/>
    <x v="0"/>
    <x v="2"/>
    <x v="0"/>
    <x v="0"/>
    <x v="1220"/>
    <x v="2"/>
    <n v="0"/>
    <x v="11"/>
    <n v="0"/>
    <x v="8"/>
    <x v="3"/>
  </r>
  <r>
    <n v="4172"/>
    <x v="161"/>
    <x v="34"/>
    <x v="0"/>
    <x v="2"/>
    <x v="0"/>
    <x v="0"/>
    <x v="3340"/>
    <x v="12"/>
    <n v="0"/>
    <x v="11"/>
    <n v="0"/>
    <x v="8"/>
    <x v="3"/>
  </r>
  <r>
    <n v="1765"/>
    <x v="162"/>
    <x v="17"/>
    <x v="0"/>
    <x v="0"/>
    <x v="0"/>
    <x v="0"/>
    <x v="3341"/>
    <x v="5"/>
    <n v="1"/>
    <x v="1483"/>
    <n v="3"/>
    <x v="0"/>
    <x v="0"/>
  </r>
  <r>
    <n v="4986"/>
    <x v="162"/>
    <x v="44"/>
    <x v="0"/>
    <x v="1"/>
    <x v="2"/>
    <x v="0"/>
    <x v="3342"/>
    <x v="4"/>
    <n v="1"/>
    <x v="1484"/>
    <n v="2"/>
    <x v="3"/>
    <x v="0"/>
  </r>
  <r>
    <n v="520"/>
    <x v="162"/>
    <x v="31"/>
    <x v="1"/>
    <x v="3"/>
    <x v="3"/>
    <x v="0"/>
    <x v="2129"/>
    <x v="8"/>
    <n v="1"/>
    <x v="1485"/>
    <n v="3"/>
    <x v="6"/>
    <x v="0"/>
  </r>
  <r>
    <n v="4553"/>
    <x v="162"/>
    <x v="41"/>
    <x v="0"/>
    <x v="1"/>
    <x v="1"/>
    <x v="6"/>
    <x v="3343"/>
    <x v="0"/>
    <n v="1"/>
    <x v="1486"/>
    <n v="2"/>
    <x v="6"/>
    <x v="1"/>
  </r>
  <r>
    <n v="4273"/>
    <x v="162"/>
    <x v="14"/>
    <x v="0"/>
    <x v="1"/>
    <x v="3"/>
    <x v="0"/>
    <x v="56"/>
    <x v="8"/>
    <n v="1"/>
    <x v="1487"/>
    <n v="3"/>
    <x v="12"/>
    <x v="1"/>
  </r>
  <r>
    <n v="791"/>
    <x v="162"/>
    <x v="18"/>
    <x v="0"/>
    <x v="0"/>
    <x v="0"/>
    <x v="0"/>
    <x v="3344"/>
    <x v="6"/>
    <n v="1"/>
    <x v="1488"/>
    <n v="2"/>
    <x v="1"/>
    <x v="2"/>
  </r>
  <r>
    <n v="1711"/>
    <x v="162"/>
    <x v="22"/>
    <x v="0"/>
    <x v="2"/>
    <x v="0"/>
    <x v="0"/>
    <x v="2484"/>
    <x v="11"/>
    <n v="1"/>
    <x v="1489"/>
    <n v="2"/>
    <x v="2"/>
    <x v="2"/>
  </r>
  <r>
    <n v="2116"/>
    <x v="162"/>
    <x v="17"/>
    <x v="1"/>
    <x v="2"/>
    <x v="0"/>
    <x v="0"/>
    <x v="3345"/>
    <x v="2"/>
    <n v="1"/>
    <x v="140"/>
    <n v="2"/>
    <x v="9"/>
    <x v="0"/>
  </r>
  <r>
    <n v="4004"/>
    <x v="162"/>
    <x v="27"/>
    <x v="1"/>
    <x v="0"/>
    <x v="1"/>
    <x v="2"/>
    <x v="3346"/>
    <x v="8"/>
    <n v="1"/>
    <x v="1490"/>
    <n v="2"/>
    <x v="9"/>
    <x v="1"/>
  </r>
  <r>
    <n v="1110"/>
    <x v="162"/>
    <x v="6"/>
    <x v="0"/>
    <x v="3"/>
    <x v="1"/>
    <x v="6"/>
    <x v="1938"/>
    <x v="8"/>
    <n v="1"/>
    <x v="1491"/>
    <n v="3"/>
    <x v="13"/>
    <x v="0"/>
  </r>
  <r>
    <n v="3481"/>
    <x v="162"/>
    <x v="24"/>
    <x v="1"/>
    <x v="0"/>
    <x v="3"/>
    <x v="0"/>
    <x v="3347"/>
    <x v="6"/>
    <n v="0"/>
    <x v="11"/>
    <n v="0"/>
    <x v="8"/>
    <x v="3"/>
  </r>
  <r>
    <n v="2895"/>
    <x v="162"/>
    <x v="43"/>
    <x v="0"/>
    <x v="3"/>
    <x v="1"/>
    <x v="2"/>
    <x v="969"/>
    <x v="1"/>
    <n v="0"/>
    <x v="11"/>
    <n v="0"/>
    <x v="8"/>
    <x v="3"/>
  </r>
  <r>
    <n v="1638"/>
    <x v="162"/>
    <x v="7"/>
    <x v="2"/>
    <x v="3"/>
    <x v="0"/>
    <x v="0"/>
    <x v="3348"/>
    <x v="2"/>
    <n v="0"/>
    <x v="11"/>
    <n v="0"/>
    <x v="8"/>
    <x v="3"/>
  </r>
  <r>
    <n v="3079"/>
    <x v="162"/>
    <x v="47"/>
    <x v="0"/>
    <x v="2"/>
    <x v="3"/>
    <x v="0"/>
    <x v="3349"/>
    <x v="6"/>
    <n v="0"/>
    <x v="11"/>
    <n v="0"/>
    <x v="8"/>
    <x v="3"/>
  </r>
  <r>
    <n v="1222"/>
    <x v="162"/>
    <x v="7"/>
    <x v="0"/>
    <x v="3"/>
    <x v="3"/>
    <x v="0"/>
    <x v="3350"/>
    <x v="1"/>
    <n v="0"/>
    <x v="11"/>
    <n v="0"/>
    <x v="8"/>
    <x v="3"/>
  </r>
  <r>
    <n v="2440"/>
    <x v="162"/>
    <x v="10"/>
    <x v="1"/>
    <x v="1"/>
    <x v="0"/>
    <x v="0"/>
    <x v="1603"/>
    <x v="9"/>
    <n v="0"/>
    <x v="11"/>
    <n v="0"/>
    <x v="8"/>
    <x v="3"/>
  </r>
  <r>
    <n v="590"/>
    <x v="162"/>
    <x v="0"/>
    <x v="1"/>
    <x v="2"/>
    <x v="0"/>
    <x v="0"/>
    <x v="2009"/>
    <x v="2"/>
    <n v="0"/>
    <x v="11"/>
    <n v="0"/>
    <x v="8"/>
    <x v="3"/>
  </r>
  <r>
    <n v="3646"/>
    <x v="162"/>
    <x v="43"/>
    <x v="0"/>
    <x v="0"/>
    <x v="0"/>
    <x v="0"/>
    <x v="3351"/>
    <x v="5"/>
    <n v="0"/>
    <x v="11"/>
    <n v="0"/>
    <x v="8"/>
    <x v="3"/>
  </r>
  <r>
    <n v="4298"/>
    <x v="162"/>
    <x v="41"/>
    <x v="0"/>
    <x v="0"/>
    <x v="1"/>
    <x v="5"/>
    <x v="2741"/>
    <x v="11"/>
    <n v="0"/>
    <x v="11"/>
    <n v="0"/>
    <x v="8"/>
    <x v="3"/>
  </r>
  <r>
    <n v="666"/>
    <x v="162"/>
    <x v="6"/>
    <x v="0"/>
    <x v="0"/>
    <x v="0"/>
    <x v="0"/>
    <x v="3352"/>
    <x v="10"/>
    <n v="0"/>
    <x v="11"/>
    <n v="0"/>
    <x v="8"/>
    <x v="3"/>
  </r>
  <r>
    <n v="867"/>
    <x v="162"/>
    <x v="5"/>
    <x v="1"/>
    <x v="1"/>
    <x v="2"/>
    <x v="0"/>
    <x v="555"/>
    <x v="6"/>
    <n v="0"/>
    <x v="11"/>
    <n v="0"/>
    <x v="8"/>
    <x v="3"/>
  </r>
  <r>
    <n v="1791"/>
    <x v="162"/>
    <x v="17"/>
    <x v="0"/>
    <x v="1"/>
    <x v="3"/>
    <x v="0"/>
    <x v="599"/>
    <x v="11"/>
    <n v="0"/>
    <x v="11"/>
    <n v="0"/>
    <x v="8"/>
    <x v="3"/>
  </r>
  <r>
    <n v="3632"/>
    <x v="162"/>
    <x v="44"/>
    <x v="0"/>
    <x v="2"/>
    <x v="0"/>
    <x v="0"/>
    <x v="48"/>
    <x v="8"/>
    <n v="0"/>
    <x v="11"/>
    <n v="0"/>
    <x v="8"/>
    <x v="3"/>
  </r>
  <r>
    <n v="802"/>
    <x v="162"/>
    <x v="6"/>
    <x v="1"/>
    <x v="3"/>
    <x v="3"/>
    <x v="0"/>
    <x v="3353"/>
    <x v="4"/>
    <n v="0"/>
    <x v="11"/>
    <n v="0"/>
    <x v="8"/>
    <x v="3"/>
  </r>
  <r>
    <n v="2397"/>
    <x v="162"/>
    <x v="11"/>
    <x v="0"/>
    <x v="0"/>
    <x v="0"/>
    <x v="0"/>
    <x v="1463"/>
    <x v="6"/>
    <n v="0"/>
    <x v="11"/>
    <n v="0"/>
    <x v="8"/>
    <x v="3"/>
  </r>
  <r>
    <n v="3731"/>
    <x v="162"/>
    <x v="33"/>
    <x v="0"/>
    <x v="2"/>
    <x v="1"/>
    <x v="4"/>
    <x v="2037"/>
    <x v="2"/>
    <n v="0"/>
    <x v="11"/>
    <n v="0"/>
    <x v="8"/>
    <x v="3"/>
  </r>
  <r>
    <n v="699"/>
    <x v="162"/>
    <x v="16"/>
    <x v="0"/>
    <x v="0"/>
    <x v="1"/>
    <x v="3"/>
    <x v="1262"/>
    <x v="4"/>
    <n v="0"/>
    <x v="11"/>
    <n v="0"/>
    <x v="8"/>
    <x v="3"/>
  </r>
  <r>
    <n v="3546"/>
    <x v="162"/>
    <x v="13"/>
    <x v="0"/>
    <x v="2"/>
    <x v="2"/>
    <x v="0"/>
    <x v="3354"/>
    <x v="6"/>
    <n v="0"/>
    <x v="11"/>
    <n v="0"/>
    <x v="8"/>
    <x v="3"/>
  </r>
  <r>
    <n v="761"/>
    <x v="162"/>
    <x v="19"/>
    <x v="0"/>
    <x v="1"/>
    <x v="1"/>
    <x v="4"/>
    <x v="1171"/>
    <x v="2"/>
    <n v="0"/>
    <x v="11"/>
    <n v="0"/>
    <x v="8"/>
    <x v="3"/>
  </r>
  <r>
    <n v="2038"/>
    <x v="162"/>
    <x v="13"/>
    <x v="0"/>
    <x v="1"/>
    <x v="2"/>
    <x v="0"/>
    <x v="913"/>
    <x v="6"/>
    <n v="0"/>
    <x v="11"/>
    <n v="0"/>
    <x v="8"/>
    <x v="3"/>
  </r>
  <r>
    <n v="86"/>
    <x v="163"/>
    <x v="22"/>
    <x v="1"/>
    <x v="1"/>
    <x v="1"/>
    <x v="6"/>
    <x v="3030"/>
    <x v="2"/>
    <n v="1"/>
    <x v="503"/>
    <n v="5"/>
    <x v="15"/>
    <x v="0"/>
  </r>
  <r>
    <n v="3394"/>
    <x v="163"/>
    <x v="34"/>
    <x v="0"/>
    <x v="1"/>
    <x v="0"/>
    <x v="0"/>
    <x v="287"/>
    <x v="10"/>
    <n v="1"/>
    <x v="1492"/>
    <n v="3"/>
    <x v="3"/>
    <x v="1"/>
  </r>
  <r>
    <n v="1485"/>
    <x v="163"/>
    <x v="0"/>
    <x v="0"/>
    <x v="1"/>
    <x v="1"/>
    <x v="3"/>
    <x v="3170"/>
    <x v="5"/>
    <n v="1"/>
    <x v="1493"/>
    <n v="1"/>
    <x v="9"/>
    <x v="0"/>
  </r>
  <r>
    <n v="308"/>
    <x v="163"/>
    <x v="7"/>
    <x v="0"/>
    <x v="0"/>
    <x v="2"/>
    <x v="0"/>
    <x v="2985"/>
    <x v="1"/>
    <n v="1"/>
    <x v="1494"/>
    <n v="1"/>
    <x v="7"/>
    <x v="0"/>
  </r>
  <r>
    <n v="3391"/>
    <x v="163"/>
    <x v="32"/>
    <x v="1"/>
    <x v="0"/>
    <x v="1"/>
    <x v="5"/>
    <x v="3355"/>
    <x v="2"/>
    <n v="1"/>
    <x v="1495"/>
    <n v="1"/>
    <x v="11"/>
    <x v="0"/>
  </r>
  <r>
    <n v="4179"/>
    <x v="163"/>
    <x v="50"/>
    <x v="1"/>
    <x v="0"/>
    <x v="1"/>
    <x v="2"/>
    <x v="3356"/>
    <x v="5"/>
    <n v="1"/>
    <x v="1496"/>
    <n v="5"/>
    <x v="0"/>
    <x v="0"/>
  </r>
  <r>
    <n v="1204"/>
    <x v="163"/>
    <x v="24"/>
    <x v="1"/>
    <x v="2"/>
    <x v="0"/>
    <x v="0"/>
    <x v="3357"/>
    <x v="0"/>
    <n v="1"/>
    <x v="1497"/>
    <n v="5"/>
    <x v="13"/>
    <x v="0"/>
  </r>
  <r>
    <n v="3910"/>
    <x v="163"/>
    <x v="44"/>
    <x v="1"/>
    <x v="0"/>
    <x v="0"/>
    <x v="0"/>
    <x v="3358"/>
    <x v="2"/>
    <n v="1"/>
    <x v="1498"/>
    <n v="4"/>
    <x v="5"/>
    <x v="0"/>
  </r>
  <r>
    <n v="3533"/>
    <x v="163"/>
    <x v="31"/>
    <x v="0"/>
    <x v="0"/>
    <x v="0"/>
    <x v="0"/>
    <x v="3359"/>
    <x v="6"/>
    <n v="1"/>
    <x v="1499"/>
    <n v="1"/>
    <x v="10"/>
    <x v="0"/>
  </r>
  <r>
    <n v="3782"/>
    <x v="163"/>
    <x v="28"/>
    <x v="1"/>
    <x v="0"/>
    <x v="0"/>
    <x v="0"/>
    <x v="3360"/>
    <x v="1"/>
    <n v="1"/>
    <x v="1500"/>
    <n v="2"/>
    <x v="9"/>
    <x v="0"/>
  </r>
  <r>
    <n v="1766"/>
    <x v="163"/>
    <x v="34"/>
    <x v="1"/>
    <x v="1"/>
    <x v="0"/>
    <x v="0"/>
    <x v="462"/>
    <x v="6"/>
    <n v="1"/>
    <x v="1501"/>
    <n v="2"/>
    <x v="4"/>
    <x v="0"/>
  </r>
  <r>
    <n v="60"/>
    <x v="163"/>
    <x v="7"/>
    <x v="1"/>
    <x v="2"/>
    <x v="3"/>
    <x v="0"/>
    <x v="3361"/>
    <x v="6"/>
    <n v="0"/>
    <x v="11"/>
    <n v="0"/>
    <x v="8"/>
    <x v="3"/>
  </r>
  <r>
    <n v="3194"/>
    <x v="163"/>
    <x v="13"/>
    <x v="0"/>
    <x v="2"/>
    <x v="0"/>
    <x v="0"/>
    <x v="3362"/>
    <x v="6"/>
    <n v="0"/>
    <x v="11"/>
    <n v="0"/>
    <x v="8"/>
    <x v="3"/>
  </r>
  <r>
    <n v="4071"/>
    <x v="163"/>
    <x v="30"/>
    <x v="0"/>
    <x v="0"/>
    <x v="0"/>
    <x v="0"/>
    <x v="225"/>
    <x v="1"/>
    <n v="0"/>
    <x v="11"/>
    <n v="0"/>
    <x v="8"/>
    <x v="3"/>
  </r>
  <r>
    <n v="3367"/>
    <x v="163"/>
    <x v="6"/>
    <x v="1"/>
    <x v="3"/>
    <x v="3"/>
    <x v="0"/>
    <x v="3363"/>
    <x v="6"/>
    <n v="0"/>
    <x v="11"/>
    <n v="0"/>
    <x v="8"/>
    <x v="3"/>
  </r>
  <r>
    <n v="2921"/>
    <x v="163"/>
    <x v="28"/>
    <x v="1"/>
    <x v="2"/>
    <x v="0"/>
    <x v="0"/>
    <x v="2577"/>
    <x v="5"/>
    <n v="0"/>
    <x v="11"/>
    <n v="0"/>
    <x v="8"/>
    <x v="3"/>
  </r>
  <r>
    <n v="1614"/>
    <x v="163"/>
    <x v="8"/>
    <x v="1"/>
    <x v="2"/>
    <x v="3"/>
    <x v="0"/>
    <x v="2470"/>
    <x v="2"/>
    <n v="0"/>
    <x v="11"/>
    <n v="0"/>
    <x v="8"/>
    <x v="3"/>
  </r>
  <r>
    <n v="1909"/>
    <x v="163"/>
    <x v="34"/>
    <x v="0"/>
    <x v="1"/>
    <x v="1"/>
    <x v="1"/>
    <x v="3364"/>
    <x v="5"/>
    <n v="0"/>
    <x v="11"/>
    <n v="0"/>
    <x v="8"/>
    <x v="3"/>
  </r>
  <r>
    <n v="1386"/>
    <x v="163"/>
    <x v="24"/>
    <x v="1"/>
    <x v="1"/>
    <x v="0"/>
    <x v="0"/>
    <x v="3365"/>
    <x v="2"/>
    <n v="0"/>
    <x v="11"/>
    <n v="0"/>
    <x v="8"/>
    <x v="3"/>
  </r>
  <r>
    <n v="136"/>
    <x v="163"/>
    <x v="8"/>
    <x v="0"/>
    <x v="2"/>
    <x v="1"/>
    <x v="1"/>
    <x v="3366"/>
    <x v="1"/>
    <n v="0"/>
    <x v="11"/>
    <n v="0"/>
    <x v="8"/>
    <x v="3"/>
  </r>
  <r>
    <n v="1285"/>
    <x v="163"/>
    <x v="10"/>
    <x v="1"/>
    <x v="1"/>
    <x v="3"/>
    <x v="0"/>
    <x v="3367"/>
    <x v="6"/>
    <n v="0"/>
    <x v="11"/>
    <n v="0"/>
    <x v="8"/>
    <x v="3"/>
  </r>
  <r>
    <n v="1475"/>
    <x v="163"/>
    <x v="10"/>
    <x v="1"/>
    <x v="0"/>
    <x v="1"/>
    <x v="6"/>
    <x v="467"/>
    <x v="0"/>
    <n v="0"/>
    <x v="11"/>
    <n v="0"/>
    <x v="8"/>
    <x v="3"/>
  </r>
  <r>
    <n v="644"/>
    <x v="163"/>
    <x v="20"/>
    <x v="0"/>
    <x v="2"/>
    <x v="2"/>
    <x v="0"/>
    <x v="3368"/>
    <x v="5"/>
    <n v="0"/>
    <x v="11"/>
    <n v="0"/>
    <x v="8"/>
    <x v="3"/>
  </r>
  <r>
    <n v="3404"/>
    <x v="163"/>
    <x v="6"/>
    <x v="1"/>
    <x v="2"/>
    <x v="0"/>
    <x v="0"/>
    <x v="17"/>
    <x v="6"/>
    <n v="0"/>
    <x v="11"/>
    <n v="0"/>
    <x v="8"/>
    <x v="3"/>
  </r>
  <r>
    <n v="707"/>
    <x v="163"/>
    <x v="8"/>
    <x v="0"/>
    <x v="2"/>
    <x v="3"/>
    <x v="0"/>
    <x v="2223"/>
    <x v="5"/>
    <n v="0"/>
    <x v="11"/>
    <n v="0"/>
    <x v="8"/>
    <x v="3"/>
  </r>
  <r>
    <n v="691"/>
    <x v="163"/>
    <x v="6"/>
    <x v="1"/>
    <x v="2"/>
    <x v="1"/>
    <x v="6"/>
    <x v="2714"/>
    <x v="2"/>
    <n v="0"/>
    <x v="11"/>
    <n v="0"/>
    <x v="8"/>
    <x v="3"/>
  </r>
  <r>
    <n v="217"/>
    <x v="163"/>
    <x v="4"/>
    <x v="1"/>
    <x v="2"/>
    <x v="1"/>
    <x v="3"/>
    <x v="899"/>
    <x v="6"/>
    <n v="0"/>
    <x v="11"/>
    <n v="0"/>
    <x v="8"/>
    <x v="3"/>
  </r>
  <r>
    <n v="1602"/>
    <x v="163"/>
    <x v="22"/>
    <x v="1"/>
    <x v="2"/>
    <x v="0"/>
    <x v="0"/>
    <x v="3369"/>
    <x v="2"/>
    <n v="0"/>
    <x v="11"/>
    <n v="0"/>
    <x v="8"/>
    <x v="3"/>
  </r>
  <r>
    <n v="2170"/>
    <x v="163"/>
    <x v="7"/>
    <x v="0"/>
    <x v="1"/>
    <x v="3"/>
    <x v="0"/>
    <x v="3370"/>
    <x v="2"/>
    <n v="0"/>
    <x v="11"/>
    <n v="0"/>
    <x v="8"/>
    <x v="3"/>
  </r>
  <r>
    <n v="4138"/>
    <x v="163"/>
    <x v="36"/>
    <x v="1"/>
    <x v="0"/>
    <x v="3"/>
    <x v="0"/>
    <x v="3371"/>
    <x v="6"/>
    <n v="0"/>
    <x v="11"/>
    <n v="0"/>
    <x v="8"/>
    <x v="3"/>
  </r>
  <r>
    <n v="3828"/>
    <x v="164"/>
    <x v="51"/>
    <x v="0"/>
    <x v="3"/>
    <x v="0"/>
    <x v="0"/>
    <x v="551"/>
    <x v="1"/>
    <n v="1"/>
    <x v="1413"/>
    <n v="2"/>
    <x v="14"/>
    <x v="0"/>
  </r>
  <r>
    <n v="4761"/>
    <x v="164"/>
    <x v="11"/>
    <x v="0"/>
    <x v="0"/>
    <x v="0"/>
    <x v="0"/>
    <x v="3372"/>
    <x v="9"/>
    <n v="1"/>
    <x v="1502"/>
    <n v="4"/>
    <x v="6"/>
    <x v="2"/>
  </r>
  <r>
    <n v="4376"/>
    <x v="164"/>
    <x v="12"/>
    <x v="1"/>
    <x v="2"/>
    <x v="1"/>
    <x v="5"/>
    <x v="3373"/>
    <x v="6"/>
    <n v="1"/>
    <x v="1503"/>
    <n v="2"/>
    <x v="4"/>
    <x v="0"/>
  </r>
  <r>
    <n v="700"/>
    <x v="164"/>
    <x v="24"/>
    <x v="1"/>
    <x v="0"/>
    <x v="0"/>
    <x v="0"/>
    <x v="3374"/>
    <x v="0"/>
    <n v="1"/>
    <x v="1504"/>
    <n v="4"/>
    <x v="11"/>
    <x v="2"/>
  </r>
  <r>
    <n v="1746"/>
    <x v="164"/>
    <x v="10"/>
    <x v="1"/>
    <x v="2"/>
    <x v="0"/>
    <x v="0"/>
    <x v="3375"/>
    <x v="2"/>
    <n v="1"/>
    <x v="1505"/>
    <n v="2"/>
    <x v="10"/>
    <x v="0"/>
  </r>
  <r>
    <n v="2289"/>
    <x v="164"/>
    <x v="34"/>
    <x v="1"/>
    <x v="3"/>
    <x v="0"/>
    <x v="0"/>
    <x v="259"/>
    <x v="8"/>
    <n v="1"/>
    <x v="1506"/>
    <n v="5"/>
    <x v="5"/>
    <x v="2"/>
  </r>
  <r>
    <n v="1928"/>
    <x v="164"/>
    <x v="5"/>
    <x v="1"/>
    <x v="1"/>
    <x v="0"/>
    <x v="0"/>
    <x v="3376"/>
    <x v="5"/>
    <n v="1"/>
    <x v="690"/>
    <n v="1"/>
    <x v="11"/>
    <x v="1"/>
  </r>
  <r>
    <n v="1275"/>
    <x v="164"/>
    <x v="24"/>
    <x v="1"/>
    <x v="1"/>
    <x v="2"/>
    <x v="0"/>
    <x v="1752"/>
    <x v="0"/>
    <n v="1"/>
    <x v="1507"/>
    <n v="5"/>
    <x v="1"/>
    <x v="0"/>
  </r>
  <r>
    <n v="1139"/>
    <x v="164"/>
    <x v="18"/>
    <x v="0"/>
    <x v="1"/>
    <x v="1"/>
    <x v="3"/>
    <x v="3377"/>
    <x v="4"/>
    <n v="1"/>
    <x v="1508"/>
    <n v="2"/>
    <x v="11"/>
    <x v="0"/>
  </r>
  <r>
    <n v="4324"/>
    <x v="164"/>
    <x v="29"/>
    <x v="1"/>
    <x v="3"/>
    <x v="2"/>
    <x v="0"/>
    <x v="3378"/>
    <x v="2"/>
    <n v="1"/>
    <x v="1509"/>
    <n v="3"/>
    <x v="2"/>
    <x v="1"/>
  </r>
  <r>
    <n v="4965"/>
    <x v="164"/>
    <x v="15"/>
    <x v="2"/>
    <x v="2"/>
    <x v="0"/>
    <x v="0"/>
    <x v="3379"/>
    <x v="4"/>
    <n v="0"/>
    <x v="11"/>
    <n v="0"/>
    <x v="8"/>
    <x v="3"/>
  </r>
  <r>
    <n v="1252"/>
    <x v="164"/>
    <x v="4"/>
    <x v="0"/>
    <x v="1"/>
    <x v="1"/>
    <x v="7"/>
    <x v="3380"/>
    <x v="8"/>
    <n v="0"/>
    <x v="11"/>
    <n v="0"/>
    <x v="8"/>
    <x v="3"/>
  </r>
  <r>
    <n v="2831"/>
    <x v="164"/>
    <x v="8"/>
    <x v="0"/>
    <x v="1"/>
    <x v="0"/>
    <x v="0"/>
    <x v="741"/>
    <x v="5"/>
    <n v="0"/>
    <x v="11"/>
    <n v="0"/>
    <x v="8"/>
    <x v="3"/>
  </r>
  <r>
    <n v="1268"/>
    <x v="164"/>
    <x v="7"/>
    <x v="1"/>
    <x v="2"/>
    <x v="2"/>
    <x v="0"/>
    <x v="255"/>
    <x v="5"/>
    <n v="0"/>
    <x v="11"/>
    <n v="0"/>
    <x v="8"/>
    <x v="3"/>
  </r>
  <r>
    <n v="1502"/>
    <x v="164"/>
    <x v="4"/>
    <x v="1"/>
    <x v="0"/>
    <x v="1"/>
    <x v="2"/>
    <x v="3381"/>
    <x v="0"/>
    <n v="0"/>
    <x v="11"/>
    <n v="0"/>
    <x v="8"/>
    <x v="3"/>
  </r>
  <r>
    <n v="3052"/>
    <x v="164"/>
    <x v="3"/>
    <x v="1"/>
    <x v="2"/>
    <x v="1"/>
    <x v="7"/>
    <x v="80"/>
    <x v="11"/>
    <n v="0"/>
    <x v="11"/>
    <n v="0"/>
    <x v="8"/>
    <x v="3"/>
  </r>
  <r>
    <n v="3581"/>
    <x v="164"/>
    <x v="11"/>
    <x v="0"/>
    <x v="1"/>
    <x v="0"/>
    <x v="0"/>
    <x v="3382"/>
    <x v="0"/>
    <n v="0"/>
    <x v="11"/>
    <n v="0"/>
    <x v="8"/>
    <x v="3"/>
  </r>
  <r>
    <n v="4093"/>
    <x v="164"/>
    <x v="44"/>
    <x v="1"/>
    <x v="2"/>
    <x v="1"/>
    <x v="3"/>
    <x v="3383"/>
    <x v="11"/>
    <n v="0"/>
    <x v="11"/>
    <n v="0"/>
    <x v="8"/>
    <x v="3"/>
  </r>
  <r>
    <n v="1059"/>
    <x v="164"/>
    <x v="10"/>
    <x v="0"/>
    <x v="2"/>
    <x v="1"/>
    <x v="3"/>
    <x v="3384"/>
    <x v="5"/>
    <n v="0"/>
    <x v="11"/>
    <n v="0"/>
    <x v="8"/>
    <x v="3"/>
  </r>
  <r>
    <n v="1984"/>
    <x v="164"/>
    <x v="19"/>
    <x v="1"/>
    <x v="2"/>
    <x v="0"/>
    <x v="0"/>
    <x v="3385"/>
    <x v="5"/>
    <n v="0"/>
    <x v="11"/>
    <n v="0"/>
    <x v="8"/>
    <x v="3"/>
  </r>
  <r>
    <n v="4206"/>
    <x v="164"/>
    <x v="9"/>
    <x v="1"/>
    <x v="3"/>
    <x v="3"/>
    <x v="0"/>
    <x v="3386"/>
    <x v="1"/>
    <n v="0"/>
    <x v="11"/>
    <n v="0"/>
    <x v="8"/>
    <x v="3"/>
  </r>
  <r>
    <n v="1710"/>
    <x v="165"/>
    <x v="7"/>
    <x v="0"/>
    <x v="2"/>
    <x v="0"/>
    <x v="0"/>
    <x v="3387"/>
    <x v="8"/>
    <n v="1"/>
    <x v="1510"/>
    <n v="2"/>
    <x v="9"/>
    <x v="0"/>
  </r>
  <r>
    <n v="2115"/>
    <x v="165"/>
    <x v="11"/>
    <x v="0"/>
    <x v="0"/>
    <x v="0"/>
    <x v="0"/>
    <x v="3388"/>
    <x v="1"/>
    <n v="1"/>
    <x v="1511"/>
    <n v="3"/>
    <x v="11"/>
    <x v="0"/>
  </r>
  <r>
    <n v="2371"/>
    <x v="165"/>
    <x v="7"/>
    <x v="1"/>
    <x v="2"/>
    <x v="1"/>
    <x v="5"/>
    <x v="3389"/>
    <x v="10"/>
    <n v="1"/>
    <x v="142"/>
    <n v="2"/>
    <x v="10"/>
    <x v="2"/>
  </r>
  <r>
    <n v="1612"/>
    <x v="165"/>
    <x v="19"/>
    <x v="0"/>
    <x v="1"/>
    <x v="2"/>
    <x v="0"/>
    <x v="3390"/>
    <x v="6"/>
    <n v="1"/>
    <x v="1512"/>
    <n v="6"/>
    <x v="0"/>
    <x v="0"/>
  </r>
  <r>
    <n v="1219"/>
    <x v="165"/>
    <x v="24"/>
    <x v="0"/>
    <x v="2"/>
    <x v="3"/>
    <x v="0"/>
    <x v="272"/>
    <x v="2"/>
    <n v="1"/>
    <x v="1513"/>
    <n v="3"/>
    <x v="5"/>
    <x v="0"/>
  </r>
  <r>
    <n v="3418"/>
    <x v="165"/>
    <x v="47"/>
    <x v="0"/>
    <x v="0"/>
    <x v="1"/>
    <x v="4"/>
    <x v="182"/>
    <x v="8"/>
    <n v="1"/>
    <x v="1514"/>
    <n v="3"/>
    <x v="0"/>
    <x v="0"/>
  </r>
  <r>
    <n v="213"/>
    <x v="165"/>
    <x v="0"/>
    <x v="0"/>
    <x v="0"/>
    <x v="0"/>
    <x v="0"/>
    <x v="3391"/>
    <x v="6"/>
    <n v="1"/>
    <x v="1515"/>
    <n v="4"/>
    <x v="1"/>
    <x v="1"/>
  </r>
  <r>
    <n v="1235"/>
    <x v="165"/>
    <x v="8"/>
    <x v="1"/>
    <x v="0"/>
    <x v="0"/>
    <x v="0"/>
    <x v="1790"/>
    <x v="8"/>
    <n v="1"/>
    <x v="1516"/>
    <n v="2"/>
    <x v="2"/>
    <x v="0"/>
  </r>
  <r>
    <n v="1125"/>
    <x v="165"/>
    <x v="7"/>
    <x v="1"/>
    <x v="1"/>
    <x v="0"/>
    <x v="0"/>
    <x v="3392"/>
    <x v="8"/>
    <n v="1"/>
    <x v="1517"/>
    <n v="3"/>
    <x v="5"/>
    <x v="0"/>
  </r>
  <r>
    <n v="2894"/>
    <x v="165"/>
    <x v="24"/>
    <x v="0"/>
    <x v="1"/>
    <x v="1"/>
    <x v="6"/>
    <x v="3393"/>
    <x v="11"/>
    <n v="1"/>
    <x v="1518"/>
    <n v="4"/>
    <x v="15"/>
    <x v="0"/>
  </r>
  <r>
    <n v="3171"/>
    <x v="165"/>
    <x v="45"/>
    <x v="0"/>
    <x v="3"/>
    <x v="0"/>
    <x v="0"/>
    <x v="3394"/>
    <x v="8"/>
    <n v="1"/>
    <x v="882"/>
    <n v="4"/>
    <x v="0"/>
    <x v="0"/>
  </r>
  <r>
    <n v="887"/>
    <x v="165"/>
    <x v="0"/>
    <x v="0"/>
    <x v="2"/>
    <x v="1"/>
    <x v="7"/>
    <x v="2324"/>
    <x v="6"/>
    <n v="0"/>
    <x v="11"/>
    <n v="0"/>
    <x v="8"/>
    <x v="3"/>
  </r>
  <r>
    <n v="1336"/>
    <x v="165"/>
    <x v="39"/>
    <x v="0"/>
    <x v="3"/>
    <x v="0"/>
    <x v="0"/>
    <x v="3395"/>
    <x v="8"/>
    <n v="0"/>
    <x v="11"/>
    <n v="0"/>
    <x v="8"/>
    <x v="3"/>
  </r>
  <r>
    <n v="2161"/>
    <x v="165"/>
    <x v="24"/>
    <x v="1"/>
    <x v="3"/>
    <x v="1"/>
    <x v="7"/>
    <x v="3396"/>
    <x v="8"/>
    <n v="0"/>
    <x v="11"/>
    <n v="0"/>
    <x v="8"/>
    <x v="3"/>
  </r>
  <r>
    <n v="3340"/>
    <x v="165"/>
    <x v="45"/>
    <x v="1"/>
    <x v="1"/>
    <x v="2"/>
    <x v="0"/>
    <x v="1661"/>
    <x v="1"/>
    <n v="0"/>
    <x v="11"/>
    <n v="0"/>
    <x v="8"/>
    <x v="3"/>
  </r>
  <r>
    <n v="2059"/>
    <x v="165"/>
    <x v="24"/>
    <x v="0"/>
    <x v="1"/>
    <x v="3"/>
    <x v="0"/>
    <x v="2304"/>
    <x v="2"/>
    <n v="0"/>
    <x v="11"/>
    <n v="0"/>
    <x v="8"/>
    <x v="3"/>
  </r>
  <r>
    <n v="943"/>
    <x v="165"/>
    <x v="19"/>
    <x v="1"/>
    <x v="3"/>
    <x v="1"/>
    <x v="6"/>
    <x v="2436"/>
    <x v="1"/>
    <n v="0"/>
    <x v="11"/>
    <n v="0"/>
    <x v="8"/>
    <x v="3"/>
  </r>
  <r>
    <n v="2274"/>
    <x v="165"/>
    <x v="4"/>
    <x v="0"/>
    <x v="3"/>
    <x v="1"/>
    <x v="4"/>
    <x v="2436"/>
    <x v="8"/>
    <n v="0"/>
    <x v="11"/>
    <n v="0"/>
    <x v="8"/>
    <x v="3"/>
  </r>
  <r>
    <n v="2030"/>
    <x v="165"/>
    <x v="26"/>
    <x v="0"/>
    <x v="3"/>
    <x v="1"/>
    <x v="7"/>
    <x v="1568"/>
    <x v="1"/>
    <n v="0"/>
    <x v="11"/>
    <n v="0"/>
    <x v="8"/>
    <x v="3"/>
  </r>
  <r>
    <n v="2185"/>
    <x v="165"/>
    <x v="3"/>
    <x v="1"/>
    <x v="2"/>
    <x v="2"/>
    <x v="0"/>
    <x v="126"/>
    <x v="8"/>
    <n v="0"/>
    <x v="11"/>
    <n v="0"/>
    <x v="8"/>
    <x v="3"/>
  </r>
  <r>
    <n v="1462"/>
    <x v="165"/>
    <x v="7"/>
    <x v="0"/>
    <x v="1"/>
    <x v="0"/>
    <x v="0"/>
    <x v="3397"/>
    <x v="8"/>
    <n v="0"/>
    <x v="11"/>
    <n v="0"/>
    <x v="8"/>
    <x v="3"/>
  </r>
  <r>
    <n v="2668"/>
    <x v="165"/>
    <x v="34"/>
    <x v="0"/>
    <x v="1"/>
    <x v="0"/>
    <x v="0"/>
    <x v="3398"/>
    <x v="1"/>
    <n v="0"/>
    <x v="11"/>
    <n v="0"/>
    <x v="8"/>
    <x v="3"/>
  </r>
  <r>
    <n v="187"/>
    <x v="166"/>
    <x v="2"/>
    <x v="0"/>
    <x v="1"/>
    <x v="1"/>
    <x v="6"/>
    <x v="3399"/>
    <x v="11"/>
    <n v="1"/>
    <x v="966"/>
    <n v="3"/>
    <x v="15"/>
    <x v="1"/>
  </r>
  <r>
    <n v="3985"/>
    <x v="166"/>
    <x v="27"/>
    <x v="1"/>
    <x v="0"/>
    <x v="1"/>
    <x v="5"/>
    <x v="1229"/>
    <x v="5"/>
    <n v="1"/>
    <x v="1519"/>
    <n v="3"/>
    <x v="11"/>
    <x v="0"/>
  </r>
  <r>
    <n v="3514"/>
    <x v="166"/>
    <x v="6"/>
    <x v="0"/>
    <x v="1"/>
    <x v="0"/>
    <x v="0"/>
    <x v="3400"/>
    <x v="5"/>
    <n v="1"/>
    <x v="1520"/>
    <n v="3"/>
    <x v="3"/>
    <x v="0"/>
  </r>
  <r>
    <n v="4709"/>
    <x v="166"/>
    <x v="13"/>
    <x v="0"/>
    <x v="0"/>
    <x v="1"/>
    <x v="7"/>
    <x v="2599"/>
    <x v="8"/>
    <n v="1"/>
    <x v="1521"/>
    <n v="4"/>
    <x v="9"/>
    <x v="0"/>
  </r>
  <r>
    <n v="2327"/>
    <x v="166"/>
    <x v="17"/>
    <x v="1"/>
    <x v="1"/>
    <x v="1"/>
    <x v="6"/>
    <x v="3401"/>
    <x v="5"/>
    <n v="1"/>
    <x v="1522"/>
    <n v="3"/>
    <x v="11"/>
    <x v="1"/>
  </r>
  <r>
    <n v="2089"/>
    <x v="166"/>
    <x v="4"/>
    <x v="0"/>
    <x v="0"/>
    <x v="0"/>
    <x v="0"/>
    <x v="509"/>
    <x v="5"/>
    <n v="1"/>
    <x v="1523"/>
    <n v="4"/>
    <x v="11"/>
    <x v="0"/>
  </r>
  <r>
    <n v="770"/>
    <x v="166"/>
    <x v="19"/>
    <x v="0"/>
    <x v="2"/>
    <x v="3"/>
    <x v="0"/>
    <x v="3402"/>
    <x v="8"/>
    <n v="1"/>
    <x v="1037"/>
    <n v="1"/>
    <x v="10"/>
    <x v="0"/>
  </r>
  <r>
    <n v="2923"/>
    <x v="166"/>
    <x v="26"/>
    <x v="1"/>
    <x v="3"/>
    <x v="0"/>
    <x v="0"/>
    <x v="3403"/>
    <x v="4"/>
    <n v="1"/>
    <x v="1524"/>
    <n v="3"/>
    <x v="10"/>
    <x v="1"/>
  </r>
  <r>
    <n v="3819"/>
    <x v="166"/>
    <x v="36"/>
    <x v="1"/>
    <x v="3"/>
    <x v="0"/>
    <x v="0"/>
    <x v="3404"/>
    <x v="2"/>
    <n v="1"/>
    <x v="1525"/>
    <n v="4"/>
    <x v="1"/>
    <x v="0"/>
  </r>
  <r>
    <n v="2657"/>
    <x v="166"/>
    <x v="2"/>
    <x v="0"/>
    <x v="0"/>
    <x v="1"/>
    <x v="6"/>
    <x v="3405"/>
    <x v="0"/>
    <n v="1"/>
    <x v="1526"/>
    <n v="2"/>
    <x v="1"/>
    <x v="0"/>
  </r>
  <r>
    <n v="4057"/>
    <x v="166"/>
    <x v="9"/>
    <x v="1"/>
    <x v="0"/>
    <x v="1"/>
    <x v="6"/>
    <x v="3406"/>
    <x v="1"/>
    <n v="1"/>
    <x v="1527"/>
    <n v="5"/>
    <x v="13"/>
    <x v="2"/>
  </r>
  <r>
    <n v="4805"/>
    <x v="166"/>
    <x v="30"/>
    <x v="1"/>
    <x v="0"/>
    <x v="0"/>
    <x v="0"/>
    <x v="3407"/>
    <x v="12"/>
    <n v="1"/>
    <x v="1528"/>
    <n v="3"/>
    <x v="6"/>
    <x v="1"/>
  </r>
  <r>
    <n v="1166"/>
    <x v="166"/>
    <x v="7"/>
    <x v="0"/>
    <x v="2"/>
    <x v="1"/>
    <x v="3"/>
    <x v="3408"/>
    <x v="5"/>
    <n v="1"/>
    <x v="1529"/>
    <n v="3"/>
    <x v="11"/>
    <x v="0"/>
  </r>
  <r>
    <n v="2984"/>
    <x v="166"/>
    <x v="22"/>
    <x v="1"/>
    <x v="2"/>
    <x v="0"/>
    <x v="0"/>
    <x v="3409"/>
    <x v="6"/>
    <n v="1"/>
    <x v="1530"/>
    <n v="5"/>
    <x v="9"/>
    <x v="0"/>
  </r>
  <r>
    <n v="4774"/>
    <x v="166"/>
    <x v="42"/>
    <x v="1"/>
    <x v="1"/>
    <x v="1"/>
    <x v="4"/>
    <x v="3410"/>
    <x v="0"/>
    <n v="0"/>
    <x v="11"/>
    <n v="0"/>
    <x v="8"/>
    <x v="3"/>
  </r>
  <r>
    <n v="4343"/>
    <x v="166"/>
    <x v="41"/>
    <x v="1"/>
    <x v="3"/>
    <x v="2"/>
    <x v="0"/>
    <x v="3411"/>
    <x v="2"/>
    <n v="0"/>
    <x v="11"/>
    <n v="0"/>
    <x v="8"/>
    <x v="3"/>
  </r>
  <r>
    <n v="907"/>
    <x v="166"/>
    <x v="4"/>
    <x v="1"/>
    <x v="2"/>
    <x v="1"/>
    <x v="2"/>
    <x v="3412"/>
    <x v="0"/>
    <n v="0"/>
    <x v="11"/>
    <n v="0"/>
    <x v="8"/>
    <x v="3"/>
  </r>
  <r>
    <n v="3777"/>
    <x v="166"/>
    <x v="44"/>
    <x v="1"/>
    <x v="3"/>
    <x v="1"/>
    <x v="3"/>
    <x v="3413"/>
    <x v="2"/>
    <n v="0"/>
    <x v="11"/>
    <n v="0"/>
    <x v="8"/>
    <x v="3"/>
  </r>
  <r>
    <n v="1314"/>
    <x v="166"/>
    <x v="39"/>
    <x v="0"/>
    <x v="0"/>
    <x v="0"/>
    <x v="0"/>
    <x v="3414"/>
    <x v="4"/>
    <n v="0"/>
    <x v="11"/>
    <n v="0"/>
    <x v="8"/>
    <x v="3"/>
  </r>
  <r>
    <n v="438"/>
    <x v="166"/>
    <x v="2"/>
    <x v="1"/>
    <x v="2"/>
    <x v="0"/>
    <x v="0"/>
    <x v="170"/>
    <x v="3"/>
    <n v="0"/>
    <x v="11"/>
    <n v="0"/>
    <x v="8"/>
    <x v="3"/>
  </r>
  <r>
    <n v="4216"/>
    <x v="166"/>
    <x v="41"/>
    <x v="1"/>
    <x v="0"/>
    <x v="1"/>
    <x v="3"/>
    <x v="1687"/>
    <x v="5"/>
    <n v="0"/>
    <x v="11"/>
    <n v="0"/>
    <x v="8"/>
    <x v="3"/>
  </r>
  <r>
    <n v="3276"/>
    <x v="166"/>
    <x v="44"/>
    <x v="2"/>
    <x v="0"/>
    <x v="1"/>
    <x v="2"/>
    <x v="619"/>
    <x v="4"/>
    <n v="0"/>
    <x v="11"/>
    <n v="0"/>
    <x v="8"/>
    <x v="3"/>
  </r>
  <r>
    <n v="1481"/>
    <x v="166"/>
    <x v="0"/>
    <x v="1"/>
    <x v="0"/>
    <x v="1"/>
    <x v="3"/>
    <x v="2544"/>
    <x v="6"/>
    <n v="0"/>
    <x v="11"/>
    <n v="0"/>
    <x v="8"/>
    <x v="3"/>
  </r>
  <r>
    <n v="127"/>
    <x v="166"/>
    <x v="39"/>
    <x v="0"/>
    <x v="3"/>
    <x v="3"/>
    <x v="0"/>
    <x v="3415"/>
    <x v="8"/>
    <n v="0"/>
    <x v="11"/>
    <n v="0"/>
    <x v="8"/>
    <x v="3"/>
  </r>
  <r>
    <n v="1670"/>
    <x v="166"/>
    <x v="31"/>
    <x v="1"/>
    <x v="3"/>
    <x v="1"/>
    <x v="4"/>
    <x v="44"/>
    <x v="2"/>
    <n v="0"/>
    <x v="11"/>
    <n v="0"/>
    <x v="8"/>
    <x v="3"/>
  </r>
  <r>
    <n v="681"/>
    <x v="166"/>
    <x v="2"/>
    <x v="0"/>
    <x v="3"/>
    <x v="1"/>
    <x v="5"/>
    <x v="3157"/>
    <x v="6"/>
    <n v="0"/>
    <x v="11"/>
    <n v="0"/>
    <x v="8"/>
    <x v="3"/>
  </r>
  <r>
    <n v="3742"/>
    <x v="166"/>
    <x v="44"/>
    <x v="0"/>
    <x v="2"/>
    <x v="0"/>
    <x v="0"/>
    <x v="3416"/>
    <x v="5"/>
    <n v="0"/>
    <x v="11"/>
    <n v="0"/>
    <x v="8"/>
    <x v="3"/>
  </r>
  <r>
    <n v="990"/>
    <x v="166"/>
    <x v="8"/>
    <x v="1"/>
    <x v="2"/>
    <x v="1"/>
    <x v="3"/>
    <x v="2397"/>
    <x v="8"/>
    <n v="0"/>
    <x v="11"/>
    <n v="0"/>
    <x v="8"/>
    <x v="3"/>
  </r>
  <r>
    <n v="2146"/>
    <x v="166"/>
    <x v="10"/>
    <x v="1"/>
    <x v="1"/>
    <x v="0"/>
    <x v="0"/>
    <x v="3417"/>
    <x v="2"/>
    <n v="0"/>
    <x v="11"/>
    <n v="0"/>
    <x v="8"/>
    <x v="3"/>
  </r>
  <r>
    <n v="2141"/>
    <x v="166"/>
    <x v="14"/>
    <x v="0"/>
    <x v="2"/>
    <x v="0"/>
    <x v="0"/>
    <x v="883"/>
    <x v="12"/>
    <n v="0"/>
    <x v="11"/>
    <n v="0"/>
    <x v="8"/>
    <x v="3"/>
  </r>
  <r>
    <n v="3359"/>
    <x v="166"/>
    <x v="0"/>
    <x v="1"/>
    <x v="3"/>
    <x v="0"/>
    <x v="0"/>
    <x v="3418"/>
    <x v="2"/>
    <n v="0"/>
    <x v="11"/>
    <n v="0"/>
    <x v="8"/>
    <x v="3"/>
  </r>
  <r>
    <n v="1553"/>
    <x v="166"/>
    <x v="6"/>
    <x v="1"/>
    <x v="2"/>
    <x v="1"/>
    <x v="7"/>
    <x v="3419"/>
    <x v="6"/>
    <n v="0"/>
    <x v="11"/>
    <n v="0"/>
    <x v="8"/>
    <x v="3"/>
  </r>
  <r>
    <n v="4818"/>
    <x v="166"/>
    <x v="46"/>
    <x v="0"/>
    <x v="1"/>
    <x v="0"/>
    <x v="0"/>
    <x v="3420"/>
    <x v="8"/>
    <n v="0"/>
    <x v="11"/>
    <n v="0"/>
    <x v="8"/>
    <x v="3"/>
  </r>
  <r>
    <n v="3803"/>
    <x v="166"/>
    <x v="32"/>
    <x v="0"/>
    <x v="2"/>
    <x v="1"/>
    <x v="1"/>
    <x v="3421"/>
    <x v="2"/>
    <n v="0"/>
    <x v="11"/>
    <n v="0"/>
    <x v="8"/>
    <x v="3"/>
  </r>
  <r>
    <n v="1871"/>
    <x v="166"/>
    <x v="34"/>
    <x v="0"/>
    <x v="1"/>
    <x v="0"/>
    <x v="0"/>
    <x v="3422"/>
    <x v="11"/>
    <n v="0"/>
    <x v="11"/>
    <n v="0"/>
    <x v="8"/>
    <x v="3"/>
  </r>
  <r>
    <n v="1639"/>
    <x v="167"/>
    <x v="26"/>
    <x v="0"/>
    <x v="1"/>
    <x v="0"/>
    <x v="0"/>
    <x v="3423"/>
    <x v="10"/>
    <n v="1"/>
    <x v="1531"/>
    <n v="4"/>
    <x v="11"/>
    <x v="1"/>
  </r>
  <r>
    <n v="706"/>
    <x v="167"/>
    <x v="7"/>
    <x v="1"/>
    <x v="3"/>
    <x v="1"/>
    <x v="1"/>
    <x v="3424"/>
    <x v="0"/>
    <n v="1"/>
    <x v="1532"/>
    <n v="3"/>
    <x v="11"/>
    <x v="2"/>
  </r>
  <r>
    <n v="2737"/>
    <x v="167"/>
    <x v="0"/>
    <x v="0"/>
    <x v="1"/>
    <x v="1"/>
    <x v="5"/>
    <x v="843"/>
    <x v="6"/>
    <n v="1"/>
    <x v="1533"/>
    <n v="1"/>
    <x v="10"/>
    <x v="0"/>
  </r>
  <r>
    <n v="2837"/>
    <x v="167"/>
    <x v="43"/>
    <x v="1"/>
    <x v="1"/>
    <x v="2"/>
    <x v="0"/>
    <x v="3425"/>
    <x v="8"/>
    <n v="1"/>
    <x v="1534"/>
    <n v="3"/>
    <x v="10"/>
    <x v="1"/>
  </r>
  <r>
    <n v="4405"/>
    <x v="167"/>
    <x v="45"/>
    <x v="0"/>
    <x v="2"/>
    <x v="0"/>
    <x v="0"/>
    <x v="3059"/>
    <x v="2"/>
    <n v="1"/>
    <x v="1535"/>
    <n v="3"/>
    <x v="5"/>
    <x v="0"/>
  </r>
  <r>
    <n v="3715"/>
    <x v="167"/>
    <x v="44"/>
    <x v="0"/>
    <x v="2"/>
    <x v="0"/>
    <x v="0"/>
    <x v="3426"/>
    <x v="5"/>
    <n v="1"/>
    <x v="535"/>
    <n v="3"/>
    <x v="2"/>
    <x v="0"/>
  </r>
  <r>
    <n v="1592"/>
    <x v="167"/>
    <x v="24"/>
    <x v="0"/>
    <x v="3"/>
    <x v="0"/>
    <x v="0"/>
    <x v="653"/>
    <x v="0"/>
    <n v="1"/>
    <x v="1536"/>
    <n v="4"/>
    <x v="13"/>
    <x v="0"/>
  </r>
  <r>
    <n v="262"/>
    <x v="167"/>
    <x v="18"/>
    <x v="1"/>
    <x v="3"/>
    <x v="1"/>
    <x v="4"/>
    <x v="3191"/>
    <x v="7"/>
    <n v="1"/>
    <x v="980"/>
    <n v="2"/>
    <x v="1"/>
    <x v="1"/>
  </r>
  <r>
    <n v="4439"/>
    <x v="167"/>
    <x v="47"/>
    <x v="0"/>
    <x v="0"/>
    <x v="3"/>
    <x v="0"/>
    <x v="2371"/>
    <x v="5"/>
    <n v="1"/>
    <x v="1537"/>
    <n v="3"/>
    <x v="2"/>
    <x v="0"/>
  </r>
  <r>
    <n v="3574"/>
    <x v="167"/>
    <x v="13"/>
    <x v="0"/>
    <x v="2"/>
    <x v="0"/>
    <x v="0"/>
    <x v="3427"/>
    <x v="9"/>
    <n v="0"/>
    <x v="11"/>
    <n v="0"/>
    <x v="8"/>
    <x v="3"/>
  </r>
  <r>
    <n v="1089"/>
    <x v="167"/>
    <x v="39"/>
    <x v="1"/>
    <x v="1"/>
    <x v="3"/>
    <x v="0"/>
    <x v="3428"/>
    <x v="1"/>
    <n v="0"/>
    <x v="11"/>
    <n v="0"/>
    <x v="8"/>
    <x v="3"/>
  </r>
  <r>
    <n v="476"/>
    <x v="167"/>
    <x v="8"/>
    <x v="0"/>
    <x v="1"/>
    <x v="2"/>
    <x v="0"/>
    <x v="2773"/>
    <x v="11"/>
    <n v="0"/>
    <x v="11"/>
    <n v="0"/>
    <x v="8"/>
    <x v="3"/>
  </r>
  <r>
    <n v="4766"/>
    <x v="167"/>
    <x v="32"/>
    <x v="1"/>
    <x v="3"/>
    <x v="3"/>
    <x v="0"/>
    <x v="3429"/>
    <x v="4"/>
    <n v="0"/>
    <x v="11"/>
    <n v="0"/>
    <x v="8"/>
    <x v="3"/>
  </r>
  <r>
    <n v="1617"/>
    <x v="167"/>
    <x v="7"/>
    <x v="0"/>
    <x v="3"/>
    <x v="0"/>
    <x v="0"/>
    <x v="2410"/>
    <x v="2"/>
    <n v="0"/>
    <x v="11"/>
    <n v="0"/>
    <x v="8"/>
    <x v="3"/>
  </r>
  <r>
    <n v="4744"/>
    <x v="167"/>
    <x v="21"/>
    <x v="1"/>
    <x v="2"/>
    <x v="3"/>
    <x v="0"/>
    <x v="2423"/>
    <x v="8"/>
    <n v="0"/>
    <x v="11"/>
    <n v="0"/>
    <x v="8"/>
    <x v="3"/>
  </r>
  <r>
    <n v="1665"/>
    <x v="167"/>
    <x v="39"/>
    <x v="1"/>
    <x v="0"/>
    <x v="0"/>
    <x v="0"/>
    <x v="1382"/>
    <x v="9"/>
    <n v="0"/>
    <x v="11"/>
    <n v="0"/>
    <x v="8"/>
    <x v="3"/>
  </r>
  <r>
    <n v="3925"/>
    <x v="167"/>
    <x v="40"/>
    <x v="1"/>
    <x v="2"/>
    <x v="0"/>
    <x v="0"/>
    <x v="1099"/>
    <x v="5"/>
    <n v="0"/>
    <x v="11"/>
    <n v="0"/>
    <x v="8"/>
    <x v="3"/>
  </r>
  <r>
    <n v="1890"/>
    <x v="167"/>
    <x v="31"/>
    <x v="0"/>
    <x v="1"/>
    <x v="0"/>
    <x v="0"/>
    <x v="2806"/>
    <x v="1"/>
    <n v="0"/>
    <x v="11"/>
    <n v="0"/>
    <x v="8"/>
    <x v="3"/>
  </r>
  <r>
    <n v="2315"/>
    <x v="167"/>
    <x v="45"/>
    <x v="1"/>
    <x v="2"/>
    <x v="2"/>
    <x v="0"/>
    <x v="1495"/>
    <x v="6"/>
    <n v="0"/>
    <x v="11"/>
    <n v="0"/>
    <x v="8"/>
    <x v="3"/>
  </r>
  <r>
    <n v="391"/>
    <x v="167"/>
    <x v="16"/>
    <x v="1"/>
    <x v="0"/>
    <x v="3"/>
    <x v="0"/>
    <x v="910"/>
    <x v="1"/>
    <n v="0"/>
    <x v="11"/>
    <n v="0"/>
    <x v="8"/>
    <x v="3"/>
  </r>
  <r>
    <n v="2461"/>
    <x v="167"/>
    <x v="5"/>
    <x v="0"/>
    <x v="1"/>
    <x v="3"/>
    <x v="0"/>
    <x v="3430"/>
    <x v="4"/>
    <n v="0"/>
    <x v="11"/>
    <n v="0"/>
    <x v="8"/>
    <x v="3"/>
  </r>
  <r>
    <n v="4472"/>
    <x v="167"/>
    <x v="21"/>
    <x v="1"/>
    <x v="0"/>
    <x v="1"/>
    <x v="1"/>
    <x v="3431"/>
    <x v="2"/>
    <n v="0"/>
    <x v="11"/>
    <n v="0"/>
    <x v="8"/>
    <x v="3"/>
  </r>
  <r>
    <n v="4034"/>
    <x v="167"/>
    <x v="21"/>
    <x v="1"/>
    <x v="3"/>
    <x v="0"/>
    <x v="0"/>
    <x v="1929"/>
    <x v="6"/>
    <n v="0"/>
    <x v="11"/>
    <n v="0"/>
    <x v="8"/>
    <x v="3"/>
  </r>
  <r>
    <n v="4060"/>
    <x v="167"/>
    <x v="14"/>
    <x v="0"/>
    <x v="0"/>
    <x v="3"/>
    <x v="0"/>
    <x v="1335"/>
    <x v="5"/>
    <n v="0"/>
    <x v="11"/>
    <n v="0"/>
    <x v="8"/>
    <x v="3"/>
  </r>
  <r>
    <n v="3432"/>
    <x v="167"/>
    <x v="18"/>
    <x v="1"/>
    <x v="2"/>
    <x v="0"/>
    <x v="0"/>
    <x v="3305"/>
    <x v="2"/>
    <n v="0"/>
    <x v="11"/>
    <n v="0"/>
    <x v="8"/>
    <x v="3"/>
  </r>
  <r>
    <n v="3668"/>
    <x v="168"/>
    <x v="26"/>
    <x v="1"/>
    <x v="3"/>
    <x v="2"/>
    <x v="0"/>
    <x v="3432"/>
    <x v="11"/>
    <n v="1"/>
    <x v="1262"/>
    <n v="4"/>
    <x v="13"/>
    <x v="2"/>
  </r>
  <r>
    <n v="4826"/>
    <x v="168"/>
    <x v="25"/>
    <x v="1"/>
    <x v="2"/>
    <x v="0"/>
    <x v="0"/>
    <x v="3433"/>
    <x v="5"/>
    <n v="1"/>
    <x v="1538"/>
    <n v="2"/>
    <x v="2"/>
    <x v="0"/>
  </r>
  <r>
    <n v="3211"/>
    <x v="168"/>
    <x v="19"/>
    <x v="0"/>
    <x v="0"/>
    <x v="1"/>
    <x v="6"/>
    <x v="3434"/>
    <x v="6"/>
    <n v="1"/>
    <x v="1539"/>
    <n v="1"/>
    <x v="12"/>
    <x v="0"/>
  </r>
  <r>
    <n v="668"/>
    <x v="168"/>
    <x v="2"/>
    <x v="1"/>
    <x v="3"/>
    <x v="1"/>
    <x v="4"/>
    <x v="3435"/>
    <x v="8"/>
    <n v="1"/>
    <x v="1540"/>
    <n v="2"/>
    <x v="14"/>
    <x v="0"/>
  </r>
  <r>
    <n v="1322"/>
    <x v="168"/>
    <x v="6"/>
    <x v="2"/>
    <x v="1"/>
    <x v="0"/>
    <x v="0"/>
    <x v="105"/>
    <x v="10"/>
    <n v="1"/>
    <x v="1541"/>
    <n v="2"/>
    <x v="10"/>
    <x v="0"/>
  </r>
  <r>
    <n v="4035"/>
    <x v="168"/>
    <x v="41"/>
    <x v="1"/>
    <x v="0"/>
    <x v="0"/>
    <x v="0"/>
    <x v="3436"/>
    <x v="0"/>
    <n v="1"/>
    <x v="1542"/>
    <n v="2"/>
    <x v="2"/>
    <x v="0"/>
  </r>
  <r>
    <n v="876"/>
    <x v="168"/>
    <x v="2"/>
    <x v="0"/>
    <x v="2"/>
    <x v="0"/>
    <x v="0"/>
    <x v="3437"/>
    <x v="8"/>
    <n v="1"/>
    <x v="904"/>
    <n v="4"/>
    <x v="5"/>
    <x v="0"/>
  </r>
  <r>
    <n v="3344"/>
    <x v="168"/>
    <x v="6"/>
    <x v="1"/>
    <x v="2"/>
    <x v="0"/>
    <x v="0"/>
    <x v="3438"/>
    <x v="0"/>
    <n v="1"/>
    <x v="1543"/>
    <n v="2"/>
    <x v="10"/>
    <x v="0"/>
  </r>
  <r>
    <n v="6"/>
    <x v="168"/>
    <x v="6"/>
    <x v="0"/>
    <x v="1"/>
    <x v="2"/>
    <x v="0"/>
    <x v="3439"/>
    <x v="9"/>
    <n v="1"/>
    <x v="1544"/>
    <n v="1"/>
    <x v="14"/>
    <x v="0"/>
  </r>
  <r>
    <n v="3873"/>
    <x v="168"/>
    <x v="47"/>
    <x v="0"/>
    <x v="0"/>
    <x v="1"/>
    <x v="1"/>
    <x v="3440"/>
    <x v="5"/>
    <n v="1"/>
    <x v="1545"/>
    <n v="2"/>
    <x v="4"/>
    <x v="1"/>
  </r>
  <r>
    <n v="4468"/>
    <x v="168"/>
    <x v="28"/>
    <x v="1"/>
    <x v="3"/>
    <x v="0"/>
    <x v="0"/>
    <x v="587"/>
    <x v="6"/>
    <n v="0"/>
    <x v="11"/>
    <n v="0"/>
    <x v="8"/>
    <x v="3"/>
  </r>
  <r>
    <n v="2421"/>
    <x v="168"/>
    <x v="20"/>
    <x v="1"/>
    <x v="2"/>
    <x v="0"/>
    <x v="0"/>
    <x v="3441"/>
    <x v="6"/>
    <n v="0"/>
    <x v="11"/>
    <n v="0"/>
    <x v="8"/>
    <x v="3"/>
  </r>
  <r>
    <n v="4028"/>
    <x v="168"/>
    <x v="50"/>
    <x v="1"/>
    <x v="2"/>
    <x v="0"/>
    <x v="0"/>
    <x v="2384"/>
    <x v="2"/>
    <n v="0"/>
    <x v="11"/>
    <n v="0"/>
    <x v="8"/>
    <x v="3"/>
  </r>
  <r>
    <n v="3173"/>
    <x v="168"/>
    <x v="17"/>
    <x v="1"/>
    <x v="0"/>
    <x v="0"/>
    <x v="0"/>
    <x v="1528"/>
    <x v="4"/>
    <n v="0"/>
    <x v="11"/>
    <n v="0"/>
    <x v="8"/>
    <x v="3"/>
  </r>
  <r>
    <n v="3938"/>
    <x v="168"/>
    <x v="32"/>
    <x v="1"/>
    <x v="2"/>
    <x v="1"/>
    <x v="4"/>
    <x v="3442"/>
    <x v="5"/>
    <n v="0"/>
    <x v="11"/>
    <n v="0"/>
    <x v="8"/>
    <x v="3"/>
  </r>
  <r>
    <n v="1157"/>
    <x v="168"/>
    <x v="2"/>
    <x v="0"/>
    <x v="2"/>
    <x v="1"/>
    <x v="4"/>
    <x v="3443"/>
    <x v="8"/>
    <n v="0"/>
    <x v="11"/>
    <n v="0"/>
    <x v="8"/>
    <x v="3"/>
  </r>
  <r>
    <n v="2103"/>
    <x v="168"/>
    <x v="11"/>
    <x v="1"/>
    <x v="1"/>
    <x v="3"/>
    <x v="0"/>
    <x v="3444"/>
    <x v="5"/>
    <n v="0"/>
    <x v="11"/>
    <n v="0"/>
    <x v="8"/>
    <x v="3"/>
  </r>
  <r>
    <n v="319"/>
    <x v="168"/>
    <x v="0"/>
    <x v="2"/>
    <x v="2"/>
    <x v="2"/>
    <x v="0"/>
    <x v="3445"/>
    <x v="5"/>
    <n v="0"/>
    <x v="11"/>
    <n v="0"/>
    <x v="8"/>
    <x v="3"/>
  </r>
  <r>
    <n v="1885"/>
    <x v="168"/>
    <x v="31"/>
    <x v="1"/>
    <x v="2"/>
    <x v="0"/>
    <x v="0"/>
    <x v="194"/>
    <x v="1"/>
    <n v="0"/>
    <x v="11"/>
    <n v="0"/>
    <x v="8"/>
    <x v="3"/>
  </r>
  <r>
    <n v="2997"/>
    <x v="168"/>
    <x v="5"/>
    <x v="1"/>
    <x v="3"/>
    <x v="0"/>
    <x v="0"/>
    <x v="3446"/>
    <x v="6"/>
    <n v="0"/>
    <x v="11"/>
    <n v="0"/>
    <x v="8"/>
    <x v="3"/>
  </r>
  <r>
    <n v="1165"/>
    <x v="168"/>
    <x v="18"/>
    <x v="0"/>
    <x v="0"/>
    <x v="2"/>
    <x v="0"/>
    <x v="3447"/>
    <x v="0"/>
    <n v="0"/>
    <x v="11"/>
    <n v="0"/>
    <x v="8"/>
    <x v="3"/>
  </r>
  <r>
    <n v="4834"/>
    <x v="168"/>
    <x v="11"/>
    <x v="0"/>
    <x v="2"/>
    <x v="0"/>
    <x v="0"/>
    <x v="328"/>
    <x v="2"/>
    <n v="0"/>
    <x v="11"/>
    <n v="0"/>
    <x v="8"/>
    <x v="3"/>
  </r>
  <r>
    <n v="1992"/>
    <x v="168"/>
    <x v="8"/>
    <x v="1"/>
    <x v="1"/>
    <x v="0"/>
    <x v="0"/>
    <x v="3448"/>
    <x v="6"/>
    <n v="0"/>
    <x v="11"/>
    <n v="0"/>
    <x v="8"/>
    <x v="3"/>
  </r>
  <r>
    <n v="3174"/>
    <x v="168"/>
    <x v="5"/>
    <x v="0"/>
    <x v="1"/>
    <x v="3"/>
    <x v="0"/>
    <x v="3449"/>
    <x v="10"/>
    <n v="0"/>
    <x v="11"/>
    <n v="0"/>
    <x v="8"/>
    <x v="3"/>
  </r>
  <r>
    <n v="210"/>
    <x v="168"/>
    <x v="20"/>
    <x v="0"/>
    <x v="2"/>
    <x v="0"/>
    <x v="0"/>
    <x v="3450"/>
    <x v="5"/>
    <n v="0"/>
    <x v="11"/>
    <n v="0"/>
    <x v="8"/>
    <x v="3"/>
  </r>
  <r>
    <n v="3462"/>
    <x v="168"/>
    <x v="31"/>
    <x v="1"/>
    <x v="1"/>
    <x v="0"/>
    <x v="0"/>
    <x v="3451"/>
    <x v="2"/>
    <n v="0"/>
    <x v="11"/>
    <n v="0"/>
    <x v="8"/>
    <x v="3"/>
  </r>
  <r>
    <n v="5"/>
    <x v="168"/>
    <x v="19"/>
    <x v="0"/>
    <x v="1"/>
    <x v="2"/>
    <x v="0"/>
    <x v="3452"/>
    <x v="6"/>
    <n v="0"/>
    <x v="11"/>
    <n v="0"/>
    <x v="8"/>
    <x v="3"/>
  </r>
  <r>
    <n v="1758"/>
    <x v="169"/>
    <x v="41"/>
    <x v="1"/>
    <x v="2"/>
    <x v="1"/>
    <x v="1"/>
    <x v="2213"/>
    <x v="6"/>
    <n v="1"/>
    <x v="1546"/>
    <n v="4"/>
    <x v="9"/>
    <x v="0"/>
  </r>
  <r>
    <n v="624"/>
    <x v="169"/>
    <x v="4"/>
    <x v="1"/>
    <x v="1"/>
    <x v="0"/>
    <x v="0"/>
    <x v="3453"/>
    <x v="12"/>
    <n v="1"/>
    <x v="1547"/>
    <n v="2"/>
    <x v="9"/>
    <x v="1"/>
  </r>
  <r>
    <n v="4476"/>
    <x v="169"/>
    <x v="47"/>
    <x v="1"/>
    <x v="0"/>
    <x v="0"/>
    <x v="0"/>
    <x v="3454"/>
    <x v="8"/>
    <n v="1"/>
    <x v="1548"/>
    <n v="4"/>
    <x v="14"/>
    <x v="0"/>
  </r>
  <r>
    <n v="3647"/>
    <x v="169"/>
    <x v="33"/>
    <x v="0"/>
    <x v="2"/>
    <x v="0"/>
    <x v="0"/>
    <x v="6"/>
    <x v="11"/>
    <n v="1"/>
    <x v="1549"/>
    <n v="5"/>
    <x v="10"/>
    <x v="1"/>
  </r>
  <r>
    <n v="1205"/>
    <x v="169"/>
    <x v="22"/>
    <x v="0"/>
    <x v="2"/>
    <x v="1"/>
    <x v="7"/>
    <x v="3455"/>
    <x v="4"/>
    <n v="1"/>
    <x v="58"/>
    <n v="2"/>
    <x v="4"/>
    <x v="1"/>
  </r>
  <r>
    <n v="3278"/>
    <x v="169"/>
    <x v="2"/>
    <x v="2"/>
    <x v="2"/>
    <x v="0"/>
    <x v="0"/>
    <x v="1833"/>
    <x v="0"/>
    <n v="1"/>
    <x v="1550"/>
    <n v="2"/>
    <x v="0"/>
    <x v="0"/>
  </r>
  <r>
    <n v="4497"/>
    <x v="169"/>
    <x v="28"/>
    <x v="0"/>
    <x v="0"/>
    <x v="3"/>
    <x v="0"/>
    <x v="3456"/>
    <x v="6"/>
    <n v="1"/>
    <x v="1551"/>
    <n v="4"/>
    <x v="12"/>
    <x v="1"/>
  </r>
  <r>
    <n v="2364"/>
    <x v="169"/>
    <x v="17"/>
    <x v="0"/>
    <x v="1"/>
    <x v="0"/>
    <x v="0"/>
    <x v="2937"/>
    <x v="6"/>
    <n v="1"/>
    <x v="1552"/>
    <n v="3"/>
    <x v="0"/>
    <x v="0"/>
  </r>
  <r>
    <n v="2010"/>
    <x v="169"/>
    <x v="26"/>
    <x v="0"/>
    <x v="2"/>
    <x v="1"/>
    <x v="2"/>
    <x v="1551"/>
    <x v="2"/>
    <n v="1"/>
    <x v="1553"/>
    <n v="3"/>
    <x v="12"/>
    <x v="0"/>
  </r>
  <r>
    <n v="3548"/>
    <x v="169"/>
    <x v="27"/>
    <x v="0"/>
    <x v="2"/>
    <x v="2"/>
    <x v="0"/>
    <x v="917"/>
    <x v="4"/>
    <n v="1"/>
    <x v="1554"/>
    <n v="2"/>
    <x v="13"/>
    <x v="1"/>
  </r>
  <r>
    <n v="3636"/>
    <x v="169"/>
    <x v="26"/>
    <x v="1"/>
    <x v="3"/>
    <x v="2"/>
    <x v="0"/>
    <x v="3457"/>
    <x v="5"/>
    <n v="0"/>
    <x v="11"/>
    <n v="0"/>
    <x v="8"/>
    <x v="3"/>
  </r>
  <r>
    <n v="4613"/>
    <x v="169"/>
    <x v="40"/>
    <x v="0"/>
    <x v="1"/>
    <x v="1"/>
    <x v="3"/>
    <x v="3458"/>
    <x v="6"/>
    <n v="0"/>
    <x v="11"/>
    <n v="0"/>
    <x v="8"/>
    <x v="3"/>
  </r>
  <r>
    <n v="2273"/>
    <x v="169"/>
    <x v="19"/>
    <x v="0"/>
    <x v="2"/>
    <x v="1"/>
    <x v="7"/>
    <x v="915"/>
    <x v="2"/>
    <n v="0"/>
    <x v="11"/>
    <n v="0"/>
    <x v="8"/>
    <x v="3"/>
  </r>
  <r>
    <n v="3479"/>
    <x v="169"/>
    <x v="5"/>
    <x v="1"/>
    <x v="3"/>
    <x v="1"/>
    <x v="6"/>
    <x v="1739"/>
    <x v="5"/>
    <n v="0"/>
    <x v="11"/>
    <n v="0"/>
    <x v="8"/>
    <x v="3"/>
  </r>
  <r>
    <n v="3558"/>
    <x v="169"/>
    <x v="31"/>
    <x v="0"/>
    <x v="1"/>
    <x v="0"/>
    <x v="0"/>
    <x v="3459"/>
    <x v="1"/>
    <n v="0"/>
    <x v="11"/>
    <n v="0"/>
    <x v="8"/>
    <x v="3"/>
  </r>
  <r>
    <n v="1764"/>
    <x v="169"/>
    <x v="8"/>
    <x v="0"/>
    <x v="0"/>
    <x v="0"/>
    <x v="0"/>
    <x v="988"/>
    <x v="6"/>
    <n v="0"/>
    <x v="11"/>
    <n v="0"/>
    <x v="8"/>
    <x v="3"/>
  </r>
  <r>
    <n v="1525"/>
    <x v="169"/>
    <x v="24"/>
    <x v="1"/>
    <x v="0"/>
    <x v="3"/>
    <x v="0"/>
    <x v="2031"/>
    <x v="2"/>
    <n v="0"/>
    <x v="11"/>
    <n v="0"/>
    <x v="8"/>
    <x v="3"/>
  </r>
  <r>
    <n v="1433"/>
    <x v="169"/>
    <x v="6"/>
    <x v="1"/>
    <x v="1"/>
    <x v="2"/>
    <x v="0"/>
    <x v="2550"/>
    <x v="5"/>
    <n v="0"/>
    <x v="11"/>
    <n v="0"/>
    <x v="8"/>
    <x v="3"/>
  </r>
  <r>
    <n v="3906"/>
    <x v="169"/>
    <x v="47"/>
    <x v="0"/>
    <x v="1"/>
    <x v="3"/>
    <x v="0"/>
    <x v="3460"/>
    <x v="6"/>
    <n v="0"/>
    <x v="11"/>
    <n v="0"/>
    <x v="8"/>
    <x v="3"/>
  </r>
  <r>
    <n v="1688"/>
    <x v="169"/>
    <x v="6"/>
    <x v="0"/>
    <x v="1"/>
    <x v="2"/>
    <x v="0"/>
    <x v="3461"/>
    <x v="2"/>
    <n v="0"/>
    <x v="11"/>
    <n v="0"/>
    <x v="8"/>
    <x v="3"/>
  </r>
  <r>
    <n v="2730"/>
    <x v="169"/>
    <x v="0"/>
    <x v="0"/>
    <x v="1"/>
    <x v="0"/>
    <x v="0"/>
    <x v="3462"/>
    <x v="0"/>
    <n v="0"/>
    <x v="11"/>
    <n v="0"/>
    <x v="8"/>
    <x v="3"/>
  </r>
  <r>
    <n v="3317"/>
    <x v="169"/>
    <x v="0"/>
    <x v="1"/>
    <x v="0"/>
    <x v="3"/>
    <x v="0"/>
    <x v="3463"/>
    <x v="1"/>
    <n v="0"/>
    <x v="11"/>
    <n v="0"/>
    <x v="8"/>
    <x v="3"/>
  </r>
  <r>
    <n v="4902"/>
    <x v="169"/>
    <x v="44"/>
    <x v="1"/>
    <x v="2"/>
    <x v="1"/>
    <x v="5"/>
    <x v="3464"/>
    <x v="6"/>
    <n v="0"/>
    <x v="11"/>
    <n v="0"/>
    <x v="8"/>
    <x v="3"/>
  </r>
  <r>
    <n v="2413"/>
    <x v="169"/>
    <x v="8"/>
    <x v="1"/>
    <x v="2"/>
    <x v="3"/>
    <x v="0"/>
    <x v="3465"/>
    <x v="2"/>
    <n v="0"/>
    <x v="11"/>
    <n v="0"/>
    <x v="8"/>
    <x v="3"/>
  </r>
  <r>
    <n v="1546"/>
    <x v="169"/>
    <x v="6"/>
    <x v="0"/>
    <x v="0"/>
    <x v="1"/>
    <x v="5"/>
    <x v="600"/>
    <x v="0"/>
    <n v="0"/>
    <x v="11"/>
    <n v="0"/>
    <x v="8"/>
    <x v="3"/>
  </r>
  <r>
    <n v="2546"/>
    <x v="169"/>
    <x v="22"/>
    <x v="0"/>
    <x v="2"/>
    <x v="0"/>
    <x v="0"/>
    <x v="262"/>
    <x v="1"/>
    <n v="0"/>
    <x v="11"/>
    <n v="0"/>
    <x v="8"/>
    <x v="3"/>
  </r>
  <r>
    <n v="2487"/>
    <x v="169"/>
    <x v="45"/>
    <x v="0"/>
    <x v="1"/>
    <x v="0"/>
    <x v="0"/>
    <x v="1034"/>
    <x v="7"/>
    <n v="0"/>
    <x v="11"/>
    <n v="0"/>
    <x v="8"/>
    <x v="3"/>
  </r>
  <r>
    <n v="1355"/>
    <x v="169"/>
    <x v="7"/>
    <x v="0"/>
    <x v="2"/>
    <x v="0"/>
    <x v="0"/>
    <x v="2016"/>
    <x v="2"/>
    <n v="0"/>
    <x v="11"/>
    <n v="0"/>
    <x v="8"/>
    <x v="3"/>
  </r>
  <r>
    <n v="2052"/>
    <x v="169"/>
    <x v="13"/>
    <x v="1"/>
    <x v="3"/>
    <x v="1"/>
    <x v="6"/>
    <x v="3466"/>
    <x v="5"/>
    <n v="0"/>
    <x v="11"/>
    <n v="0"/>
    <x v="8"/>
    <x v="3"/>
  </r>
  <r>
    <n v="922"/>
    <x v="169"/>
    <x v="8"/>
    <x v="1"/>
    <x v="1"/>
    <x v="1"/>
    <x v="7"/>
    <x v="1877"/>
    <x v="0"/>
    <n v="0"/>
    <x v="11"/>
    <n v="0"/>
    <x v="8"/>
    <x v="3"/>
  </r>
  <r>
    <n v="1996"/>
    <x v="170"/>
    <x v="4"/>
    <x v="0"/>
    <x v="3"/>
    <x v="1"/>
    <x v="2"/>
    <x v="3467"/>
    <x v="0"/>
    <n v="1"/>
    <x v="1555"/>
    <n v="2"/>
    <x v="12"/>
    <x v="2"/>
  </r>
  <r>
    <n v="1785"/>
    <x v="170"/>
    <x v="8"/>
    <x v="0"/>
    <x v="1"/>
    <x v="3"/>
    <x v="0"/>
    <x v="473"/>
    <x v="13"/>
    <n v="1"/>
    <x v="1556"/>
    <n v="2"/>
    <x v="1"/>
    <x v="0"/>
  </r>
  <r>
    <n v="4256"/>
    <x v="170"/>
    <x v="38"/>
    <x v="1"/>
    <x v="2"/>
    <x v="0"/>
    <x v="0"/>
    <x v="3468"/>
    <x v="8"/>
    <n v="1"/>
    <x v="1557"/>
    <n v="2"/>
    <x v="10"/>
    <x v="2"/>
  </r>
  <r>
    <n v="3055"/>
    <x v="170"/>
    <x v="27"/>
    <x v="1"/>
    <x v="2"/>
    <x v="1"/>
    <x v="2"/>
    <x v="3469"/>
    <x v="0"/>
    <n v="1"/>
    <x v="1558"/>
    <n v="2"/>
    <x v="2"/>
    <x v="0"/>
  </r>
  <r>
    <n v="1385"/>
    <x v="170"/>
    <x v="4"/>
    <x v="0"/>
    <x v="2"/>
    <x v="1"/>
    <x v="1"/>
    <x v="3470"/>
    <x v="1"/>
    <n v="1"/>
    <x v="1559"/>
    <n v="6"/>
    <x v="13"/>
    <x v="2"/>
  </r>
  <r>
    <n v="3495"/>
    <x v="170"/>
    <x v="16"/>
    <x v="0"/>
    <x v="2"/>
    <x v="1"/>
    <x v="3"/>
    <x v="3471"/>
    <x v="1"/>
    <n v="1"/>
    <x v="1560"/>
    <n v="3"/>
    <x v="10"/>
    <x v="1"/>
  </r>
  <r>
    <n v="3869"/>
    <x v="170"/>
    <x v="42"/>
    <x v="1"/>
    <x v="1"/>
    <x v="2"/>
    <x v="0"/>
    <x v="3472"/>
    <x v="0"/>
    <n v="1"/>
    <x v="1561"/>
    <n v="6"/>
    <x v="15"/>
    <x v="2"/>
  </r>
  <r>
    <n v="2851"/>
    <x v="170"/>
    <x v="43"/>
    <x v="1"/>
    <x v="1"/>
    <x v="0"/>
    <x v="0"/>
    <x v="800"/>
    <x v="6"/>
    <n v="1"/>
    <x v="1562"/>
    <n v="3"/>
    <x v="5"/>
    <x v="0"/>
  </r>
  <r>
    <n v="2088"/>
    <x v="170"/>
    <x v="0"/>
    <x v="1"/>
    <x v="2"/>
    <x v="1"/>
    <x v="1"/>
    <x v="1207"/>
    <x v="8"/>
    <n v="1"/>
    <x v="1109"/>
    <n v="2"/>
    <x v="13"/>
    <x v="0"/>
  </r>
  <r>
    <n v="4039"/>
    <x v="170"/>
    <x v="27"/>
    <x v="1"/>
    <x v="3"/>
    <x v="1"/>
    <x v="5"/>
    <x v="1693"/>
    <x v="10"/>
    <n v="1"/>
    <x v="1563"/>
    <n v="2"/>
    <x v="14"/>
    <x v="0"/>
  </r>
  <r>
    <n v="2541"/>
    <x v="170"/>
    <x v="19"/>
    <x v="0"/>
    <x v="1"/>
    <x v="1"/>
    <x v="1"/>
    <x v="3473"/>
    <x v="8"/>
    <n v="1"/>
    <x v="432"/>
    <n v="7"/>
    <x v="10"/>
    <x v="1"/>
  </r>
  <r>
    <n v="3312"/>
    <x v="170"/>
    <x v="17"/>
    <x v="1"/>
    <x v="2"/>
    <x v="0"/>
    <x v="0"/>
    <x v="3474"/>
    <x v="0"/>
    <n v="1"/>
    <x v="1564"/>
    <n v="2"/>
    <x v="12"/>
    <x v="0"/>
  </r>
  <r>
    <n v="3796"/>
    <x v="170"/>
    <x v="1"/>
    <x v="1"/>
    <x v="0"/>
    <x v="0"/>
    <x v="0"/>
    <x v="3475"/>
    <x v="5"/>
    <n v="1"/>
    <x v="27"/>
    <n v="6"/>
    <x v="0"/>
    <x v="0"/>
  </r>
  <r>
    <n v="353"/>
    <x v="170"/>
    <x v="20"/>
    <x v="0"/>
    <x v="2"/>
    <x v="0"/>
    <x v="0"/>
    <x v="3476"/>
    <x v="5"/>
    <n v="1"/>
    <x v="1160"/>
    <n v="2"/>
    <x v="7"/>
    <x v="1"/>
  </r>
  <r>
    <n v="1006"/>
    <x v="170"/>
    <x v="8"/>
    <x v="0"/>
    <x v="0"/>
    <x v="1"/>
    <x v="3"/>
    <x v="3477"/>
    <x v="1"/>
    <n v="1"/>
    <x v="1565"/>
    <n v="1"/>
    <x v="1"/>
    <x v="0"/>
  </r>
  <r>
    <n v="186"/>
    <x v="170"/>
    <x v="31"/>
    <x v="0"/>
    <x v="0"/>
    <x v="1"/>
    <x v="1"/>
    <x v="1285"/>
    <x v="6"/>
    <n v="1"/>
    <x v="559"/>
    <n v="6"/>
    <x v="10"/>
    <x v="1"/>
  </r>
  <r>
    <n v="323"/>
    <x v="170"/>
    <x v="7"/>
    <x v="0"/>
    <x v="0"/>
    <x v="0"/>
    <x v="0"/>
    <x v="3005"/>
    <x v="6"/>
    <n v="0"/>
    <x v="11"/>
    <n v="0"/>
    <x v="8"/>
    <x v="3"/>
  </r>
  <r>
    <n v="2932"/>
    <x v="170"/>
    <x v="20"/>
    <x v="1"/>
    <x v="0"/>
    <x v="2"/>
    <x v="0"/>
    <x v="3478"/>
    <x v="4"/>
    <n v="0"/>
    <x v="11"/>
    <n v="0"/>
    <x v="8"/>
    <x v="3"/>
  </r>
  <r>
    <n v="1148"/>
    <x v="170"/>
    <x v="2"/>
    <x v="1"/>
    <x v="0"/>
    <x v="1"/>
    <x v="1"/>
    <x v="3479"/>
    <x v="8"/>
    <n v="0"/>
    <x v="11"/>
    <n v="0"/>
    <x v="8"/>
    <x v="3"/>
  </r>
  <r>
    <n v="2660"/>
    <x v="170"/>
    <x v="26"/>
    <x v="1"/>
    <x v="3"/>
    <x v="0"/>
    <x v="0"/>
    <x v="3480"/>
    <x v="0"/>
    <n v="0"/>
    <x v="11"/>
    <n v="0"/>
    <x v="8"/>
    <x v="3"/>
  </r>
  <r>
    <n v="3775"/>
    <x v="170"/>
    <x v="17"/>
    <x v="0"/>
    <x v="0"/>
    <x v="1"/>
    <x v="1"/>
    <x v="3481"/>
    <x v="10"/>
    <n v="0"/>
    <x v="11"/>
    <n v="0"/>
    <x v="8"/>
    <x v="3"/>
  </r>
  <r>
    <n v="3928"/>
    <x v="170"/>
    <x v="15"/>
    <x v="0"/>
    <x v="0"/>
    <x v="0"/>
    <x v="0"/>
    <x v="3482"/>
    <x v="6"/>
    <n v="0"/>
    <x v="11"/>
    <n v="0"/>
    <x v="8"/>
    <x v="3"/>
  </r>
  <r>
    <n v="3846"/>
    <x v="170"/>
    <x v="3"/>
    <x v="0"/>
    <x v="3"/>
    <x v="0"/>
    <x v="0"/>
    <x v="3483"/>
    <x v="8"/>
    <n v="0"/>
    <x v="11"/>
    <n v="0"/>
    <x v="8"/>
    <x v="3"/>
  </r>
  <r>
    <n v="1862"/>
    <x v="170"/>
    <x v="28"/>
    <x v="0"/>
    <x v="1"/>
    <x v="0"/>
    <x v="0"/>
    <x v="3484"/>
    <x v="5"/>
    <n v="0"/>
    <x v="11"/>
    <n v="0"/>
    <x v="8"/>
    <x v="3"/>
  </r>
  <r>
    <n v="1464"/>
    <x v="170"/>
    <x v="7"/>
    <x v="1"/>
    <x v="0"/>
    <x v="0"/>
    <x v="0"/>
    <x v="166"/>
    <x v="10"/>
    <n v="0"/>
    <x v="11"/>
    <n v="0"/>
    <x v="8"/>
    <x v="3"/>
  </r>
  <r>
    <n v="878"/>
    <x v="170"/>
    <x v="22"/>
    <x v="1"/>
    <x v="2"/>
    <x v="0"/>
    <x v="0"/>
    <x v="2721"/>
    <x v="8"/>
    <n v="0"/>
    <x v="11"/>
    <n v="0"/>
    <x v="8"/>
    <x v="3"/>
  </r>
  <r>
    <n v="4265"/>
    <x v="170"/>
    <x v="42"/>
    <x v="0"/>
    <x v="0"/>
    <x v="0"/>
    <x v="0"/>
    <x v="1696"/>
    <x v="1"/>
    <n v="0"/>
    <x v="11"/>
    <n v="0"/>
    <x v="8"/>
    <x v="3"/>
  </r>
  <r>
    <n v="221"/>
    <x v="170"/>
    <x v="22"/>
    <x v="1"/>
    <x v="2"/>
    <x v="3"/>
    <x v="0"/>
    <x v="3485"/>
    <x v="6"/>
    <n v="0"/>
    <x v="11"/>
    <n v="0"/>
    <x v="8"/>
    <x v="3"/>
  </r>
  <r>
    <n v="3779"/>
    <x v="170"/>
    <x v="29"/>
    <x v="0"/>
    <x v="3"/>
    <x v="0"/>
    <x v="0"/>
    <x v="3486"/>
    <x v="8"/>
    <n v="0"/>
    <x v="11"/>
    <n v="0"/>
    <x v="8"/>
    <x v="3"/>
  </r>
  <r>
    <n v="1329"/>
    <x v="170"/>
    <x v="20"/>
    <x v="0"/>
    <x v="0"/>
    <x v="0"/>
    <x v="0"/>
    <x v="3487"/>
    <x v="9"/>
    <n v="0"/>
    <x v="11"/>
    <n v="0"/>
    <x v="8"/>
    <x v="3"/>
  </r>
  <r>
    <n v="1811"/>
    <x v="170"/>
    <x v="45"/>
    <x v="1"/>
    <x v="0"/>
    <x v="0"/>
    <x v="0"/>
    <x v="237"/>
    <x v="1"/>
    <n v="0"/>
    <x v="11"/>
    <n v="0"/>
    <x v="8"/>
    <x v="3"/>
  </r>
  <r>
    <n v="1836"/>
    <x v="170"/>
    <x v="5"/>
    <x v="0"/>
    <x v="1"/>
    <x v="1"/>
    <x v="6"/>
    <x v="3488"/>
    <x v="1"/>
    <n v="0"/>
    <x v="11"/>
    <n v="0"/>
    <x v="8"/>
    <x v="3"/>
  </r>
  <r>
    <n v="1460"/>
    <x v="170"/>
    <x v="10"/>
    <x v="1"/>
    <x v="2"/>
    <x v="0"/>
    <x v="0"/>
    <x v="3489"/>
    <x v="5"/>
    <n v="0"/>
    <x v="11"/>
    <n v="0"/>
    <x v="8"/>
    <x v="3"/>
  </r>
  <r>
    <n v="3360"/>
    <x v="170"/>
    <x v="20"/>
    <x v="0"/>
    <x v="0"/>
    <x v="2"/>
    <x v="0"/>
    <x v="3084"/>
    <x v="4"/>
    <n v="0"/>
    <x v="11"/>
    <n v="0"/>
    <x v="8"/>
    <x v="3"/>
  </r>
  <r>
    <n v="3896"/>
    <x v="171"/>
    <x v="30"/>
    <x v="0"/>
    <x v="0"/>
    <x v="3"/>
    <x v="0"/>
    <x v="2335"/>
    <x v="0"/>
    <n v="1"/>
    <x v="658"/>
    <n v="5"/>
    <x v="6"/>
    <x v="2"/>
  </r>
  <r>
    <n v="3818"/>
    <x v="171"/>
    <x v="34"/>
    <x v="1"/>
    <x v="0"/>
    <x v="3"/>
    <x v="0"/>
    <x v="3490"/>
    <x v="2"/>
    <n v="1"/>
    <x v="1566"/>
    <n v="2"/>
    <x v="13"/>
    <x v="1"/>
  </r>
  <r>
    <n v="3653"/>
    <x v="171"/>
    <x v="44"/>
    <x v="0"/>
    <x v="2"/>
    <x v="3"/>
    <x v="0"/>
    <x v="3491"/>
    <x v="1"/>
    <n v="1"/>
    <x v="1567"/>
    <n v="4"/>
    <x v="12"/>
    <x v="1"/>
  </r>
  <r>
    <n v="1684"/>
    <x v="171"/>
    <x v="7"/>
    <x v="1"/>
    <x v="0"/>
    <x v="0"/>
    <x v="0"/>
    <x v="3492"/>
    <x v="0"/>
    <n v="1"/>
    <x v="1568"/>
    <n v="4"/>
    <x v="4"/>
    <x v="2"/>
  </r>
  <r>
    <n v="1741"/>
    <x v="171"/>
    <x v="18"/>
    <x v="0"/>
    <x v="3"/>
    <x v="0"/>
    <x v="0"/>
    <x v="1686"/>
    <x v="4"/>
    <n v="1"/>
    <x v="1569"/>
    <n v="3"/>
    <x v="6"/>
    <x v="0"/>
  </r>
  <r>
    <n v="2381"/>
    <x v="171"/>
    <x v="5"/>
    <x v="1"/>
    <x v="0"/>
    <x v="2"/>
    <x v="0"/>
    <x v="3493"/>
    <x v="8"/>
    <n v="1"/>
    <x v="1570"/>
    <n v="1"/>
    <x v="2"/>
    <x v="0"/>
  </r>
  <r>
    <n v="4053"/>
    <x v="171"/>
    <x v="17"/>
    <x v="0"/>
    <x v="0"/>
    <x v="0"/>
    <x v="0"/>
    <x v="3494"/>
    <x v="0"/>
    <n v="1"/>
    <x v="1571"/>
    <n v="3"/>
    <x v="14"/>
    <x v="1"/>
  </r>
  <r>
    <n v="2432"/>
    <x v="171"/>
    <x v="14"/>
    <x v="0"/>
    <x v="1"/>
    <x v="1"/>
    <x v="1"/>
    <x v="3495"/>
    <x v="5"/>
    <n v="1"/>
    <x v="746"/>
    <n v="6"/>
    <x v="10"/>
    <x v="0"/>
  </r>
  <r>
    <n v="404"/>
    <x v="171"/>
    <x v="7"/>
    <x v="0"/>
    <x v="3"/>
    <x v="1"/>
    <x v="3"/>
    <x v="3496"/>
    <x v="5"/>
    <n v="1"/>
    <x v="1572"/>
    <n v="4"/>
    <x v="7"/>
    <x v="0"/>
  </r>
  <r>
    <n v="3132"/>
    <x v="171"/>
    <x v="3"/>
    <x v="1"/>
    <x v="0"/>
    <x v="0"/>
    <x v="0"/>
    <x v="1481"/>
    <x v="1"/>
    <n v="1"/>
    <x v="1573"/>
    <n v="6"/>
    <x v="4"/>
    <x v="0"/>
  </r>
  <r>
    <n v="3874"/>
    <x v="171"/>
    <x v="25"/>
    <x v="0"/>
    <x v="3"/>
    <x v="0"/>
    <x v="0"/>
    <x v="2593"/>
    <x v="5"/>
    <n v="1"/>
    <x v="176"/>
    <n v="2"/>
    <x v="9"/>
    <x v="0"/>
  </r>
  <r>
    <n v="4344"/>
    <x v="171"/>
    <x v="40"/>
    <x v="1"/>
    <x v="3"/>
    <x v="1"/>
    <x v="2"/>
    <x v="3497"/>
    <x v="2"/>
    <n v="1"/>
    <x v="1574"/>
    <n v="4"/>
    <x v="6"/>
    <x v="1"/>
  </r>
  <r>
    <n v="3397"/>
    <x v="171"/>
    <x v="26"/>
    <x v="0"/>
    <x v="3"/>
    <x v="1"/>
    <x v="7"/>
    <x v="3498"/>
    <x v="8"/>
    <n v="1"/>
    <x v="1372"/>
    <n v="1"/>
    <x v="13"/>
    <x v="0"/>
  </r>
  <r>
    <n v="4776"/>
    <x v="171"/>
    <x v="47"/>
    <x v="0"/>
    <x v="1"/>
    <x v="2"/>
    <x v="0"/>
    <x v="1654"/>
    <x v="6"/>
    <n v="1"/>
    <x v="1530"/>
    <n v="5"/>
    <x v="14"/>
    <x v="1"/>
  </r>
  <r>
    <n v="2501"/>
    <x v="171"/>
    <x v="22"/>
    <x v="1"/>
    <x v="0"/>
    <x v="3"/>
    <x v="0"/>
    <x v="3499"/>
    <x v="2"/>
    <n v="0"/>
    <x v="11"/>
    <n v="0"/>
    <x v="8"/>
    <x v="3"/>
  </r>
  <r>
    <n v="4880"/>
    <x v="171"/>
    <x v="36"/>
    <x v="1"/>
    <x v="2"/>
    <x v="1"/>
    <x v="1"/>
    <x v="3500"/>
    <x v="5"/>
    <n v="0"/>
    <x v="11"/>
    <n v="0"/>
    <x v="8"/>
    <x v="3"/>
  </r>
  <r>
    <n v="3562"/>
    <x v="171"/>
    <x v="11"/>
    <x v="0"/>
    <x v="1"/>
    <x v="0"/>
    <x v="0"/>
    <x v="3501"/>
    <x v="2"/>
    <n v="0"/>
    <x v="11"/>
    <n v="0"/>
    <x v="8"/>
    <x v="3"/>
  </r>
  <r>
    <n v="4349"/>
    <x v="171"/>
    <x v="30"/>
    <x v="1"/>
    <x v="1"/>
    <x v="1"/>
    <x v="5"/>
    <x v="2411"/>
    <x v="1"/>
    <n v="0"/>
    <x v="11"/>
    <n v="0"/>
    <x v="8"/>
    <x v="3"/>
  </r>
  <r>
    <n v="1161"/>
    <x v="171"/>
    <x v="24"/>
    <x v="0"/>
    <x v="2"/>
    <x v="3"/>
    <x v="0"/>
    <x v="3502"/>
    <x v="8"/>
    <n v="0"/>
    <x v="11"/>
    <n v="0"/>
    <x v="8"/>
    <x v="3"/>
  </r>
  <r>
    <n v="4026"/>
    <x v="171"/>
    <x v="45"/>
    <x v="1"/>
    <x v="1"/>
    <x v="0"/>
    <x v="0"/>
    <x v="2451"/>
    <x v="0"/>
    <n v="0"/>
    <x v="11"/>
    <n v="0"/>
    <x v="8"/>
    <x v="3"/>
  </r>
  <r>
    <n v="3607"/>
    <x v="171"/>
    <x v="27"/>
    <x v="0"/>
    <x v="3"/>
    <x v="1"/>
    <x v="5"/>
    <x v="906"/>
    <x v="8"/>
    <n v="0"/>
    <x v="11"/>
    <n v="0"/>
    <x v="8"/>
    <x v="3"/>
  </r>
  <r>
    <n v="2325"/>
    <x v="171"/>
    <x v="11"/>
    <x v="1"/>
    <x v="1"/>
    <x v="3"/>
    <x v="0"/>
    <x v="3130"/>
    <x v="2"/>
    <n v="0"/>
    <x v="11"/>
    <n v="0"/>
    <x v="8"/>
    <x v="3"/>
  </r>
  <r>
    <n v="2591"/>
    <x v="171"/>
    <x v="44"/>
    <x v="1"/>
    <x v="3"/>
    <x v="0"/>
    <x v="0"/>
    <x v="3503"/>
    <x v="2"/>
    <n v="0"/>
    <x v="11"/>
    <n v="0"/>
    <x v="8"/>
    <x v="3"/>
  </r>
  <r>
    <n v="1938"/>
    <x v="171"/>
    <x v="33"/>
    <x v="0"/>
    <x v="0"/>
    <x v="1"/>
    <x v="6"/>
    <x v="3504"/>
    <x v="6"/>
    <n v="0"/>
    <x v="11"/>
    <n v="0"/>
    <x v="8"/>
    <x v="3"/>
  </r>
  <r>
    <n v="293"/>
    <x v="171"/>
    <x v="8"/>
    <x v="0"/>
    <x v="2"/>
    <x v="3"/>
    <x v="0"/>
    <x v="849"/>
    <x v="12"/>
    <n v="0"/>
    <x v="11"/>
    <n v="0"/>
    <x v="8"/>
    <x v="3"/>
  </r>
  <r>
    <n v="1648"/>
    <x v="171"/>
    <x v="23"/>
    <x v="0"/>
    <x v="1"/>
    <x v="0"/>
    <x v="0"/>
    <x v="650"/>
    <x v="6"/>
    <n v="0"/>
    <x v="11"/>
    <n v="0"/>
    <x v="8"/>
    <x v="3"/>
  </r>
  <r>
    <n v="1565"/>
    <x v="171"/>
    <x v="18"/>
    <x v="0"/>
    <x v="0"/>
    <x v="1"/>
    <x v="1"/>
    <x v="1057"/>
    <x v="6"/>
    <n v="0"/>
    <x v="11"/>
    <n v="0"/>
    <x v="8"/>
    <x v="3"/>
  </r>
  <r>
    <n v="2951"/>
    <x v="171"/>
    <x v="7"/>
    <x v="0"/>
    <x v="1"/>
    <x v="1"/>
    <x v="4"/>
    <x v="3505"/>
    <x v="8"/>
    <n v="0"/>
    <x v="11"/>
    <n v="0"/>
    <x v="8"/>
    <x v="3"/>
  </r>
  <r>
    <n v="4024"/>
    <x v="171"/>
    <x v="14"/>
    <x v="1"/>
    <x v="2"/>
    <x v="0"/>
    <x v="0"/>
    <x v="862"/>
    <x v="6"/>
    <n v="0"/>
    <x v="11"/>
    <n v="0"/>
    <x v="8"/>
    <x v="3"/>
  </r>
  <r>
    <n v="3691"/>
    <x v="171"/>
    <x v="17"/>
    <x v="2"/>
    <x v="1"/>
    <x v="1"/>
    <x v="2"/>
    <x v="2100"/>
    <x v="5"/>
    <n v="0"/>
    <x v="11"/>
    <n v="0"/>
    <x v="8"/>
    <x v="3"/>
  </r>
  <r>
    <n v="3833"/>
    <x v="171"/>
    <x v="12"/>
    <x v="1"/>
    <x v="0"/>
    <x v="1"/>
    <x v="1"/>
    <x v="3506"/>
    <x v="6"/>
    <n v="0"/>
    <x v="11"/>
    <n v="0"/>
    <x v="8"/>
    <x v="3"/>
  </r>
  <r>
    <n v="3784"/>
    <x v="171"/>
    <x v="11"/>
    <x v="1"/>
    <x v="1"/>
    <x v="2"/>
    <x v="0"/>
    <x v="1929"/>
    <x v="10"/>
    <n v="0"/>
    <x v="11"/>
    <n v="0"/>
    <x v="8"/>
    <x v="3"/>
  </r>
  <r>
    <n v="3159"/>
    <x v="171"/>
    <x v="23"/>
    <x v="0"/>
    <x v="0"/>
    <x v="2"/>
    <x v="0"/>
    <x v="3507"/>
    <x v="10"/>
    <n v="0"/>
    <x v="11"/>
    <n v="0"/>
    <x v="8"/>
    <x v="3"/>
  </r>
  <r>
    <n v="508"/>
    <x v="171"/>
    <x v="5"/>
    <x v="0"/>
    <x v="2"/>
    <x v="0"/>
    <x v="0"/>
    <x v="1116"/>
    <x v="6"/>
    <n v="0"/>
    <x v="11"/>
    <n v="0"/>
    <x v="8"/>
    <x v="3"/>
  </r>
  <r>
    <n v="1141"/>
    <x v="171"/>
    <x v="7"/>
    <x v="2"/>
    <x v="2"/>
    <x v="3"/>
    <x v="0"/>
    <x v="332"/>
    <x v="0"/>
    <n v="0"/>
    <x v="11"/>
    <n v="0"/>
    <x v="8"/>
    <x v="3"/>
  </r>
  <r>
    <n v="2154"/>
    <x v="171"/>
    <x v="27"/>
    <x v="0"/>
    <x v="2"/>
    <x v="3"/>
    <x v="0"/>
    <x v="3508"/>
    <x v="0"/>
    <n v="0"/>
    <x v="11"/>
    <n v="0"/>
    <x v="8"/>
    <x v="3"/>
  </r>
  <r>
    <n v="4718"/>
    <x v="172"/>
    <x v="47"/>
    <x v="0"/>
    <x v="1"/>
    <x v="0"/>
    <x v="0"/>
    <x v="3509"/>
    <x v="5"/>
    <n v="1"/>
    <x v="1575"/>
    <n v="2"/>
    <x v="9"/>
    <x v="1"/>
  </r>
  <r>
    <n v="4560"/>
    <x v="172"/>
    <x v="14"/>
    <x v="1"/>
    <x v="2"/>
    <x v="1"/>
    <x v="4"/>
    <x v="3510"/>
    <x v="6"/>
    <n v="1"/>
    <x v="1576"/>
    <n v="5"/>
    <x v="9"/>
    <x v="0"/>
  </r>
  <r>
    <n v="533"/>
    <x v="172"/>
    <x v="16"/>
    <x v="1"/>
    <x v="2"/>
    <x v="1"/>
    <x v="7"/>
    <x v="3511"/>
    <x v="3"/>
    <n v="1"/>
    <x v="1577"/>
    <n v="2"/>
    <x v="9"/>
    <x v="0"/>
  </r>
  <r>
    <n v="3302"/>
    <x v="172"/>
    <x v="0"/>
    <x v="1"/>
    <x v="3"/>
    <x v="2"/>
    <x v="0"/>
    <x v="3512"/>
    <x v="0"/>
    <n v="1"/>
    <x v="1578"/>
    <n v="5"/>
    <x v="13"/>
    <x v="2"/>
  </r>
  <r>
    <n v="3408"/>
    <x v="172"/>
    <x v="45"/>
    <x v="1"/>
    <x v="2"/>
    <x v="0"/>
    <x v="0"/>
    <x v="3513"/>
    <x v="4"/>
    <n v="1"/>
    <x v="1579"/>
    <n v="3"/>
    <x v="15"/>
    <x v="1"/>
  </r>
  <r>
    <n v="1055"/>
    <x v="172"/>
    <x v="16"/>
    <x v="0"/>
    <x v="0"/>
    <x v="0"/>
    <x v="0"/>
    <x v="1674"/>
    <x v="10"/>
    <n v="1"/>
    <x v="1580"/>
    <n v="2"/>
    <x v="6"/>
    <x v="0"/>
  </r>
  <r>
    <n v="1334"/>
    <x v="172"/>
    <x v="16"/>
    <x v="0"/>
    <x v="2"/>
    <x v="0"/>
    <x v="0"/>
    <x v="3514"/>
    <x v="8"/>
    <n v="1"/>
    <x v="1581"/>
    <n v="3"/>
    <x v="5"/>
    <x v="0"/>
  </r>
  <r>
    <n v="3396"/>
    <x v="172"/>
    <x v="2"/>
    <x v="1"/>
    <x v="3"/>
    <x v="3"/>
    <x v="0"/>
    <x v="3515"/>
    <x v="5"/>
    <n v="1"/>
    <x v="1582"/>
    <n v="2"/>
    <x v="10"/>
    <x v="0"/>
  </r>
  <r>
    <n v="532"/>
    <x v="172"/>
    <x v="19"/>
    <x v="1"/>
    <x v="3"/>
    <x v="0"/>
    <x v="0"/>
    <x v="3516"/>
    <x v="2"/>
    <n v="1"/>
    <x v="1583"/>
    <n v="4"/>
    <x v="0"/>
    <x v="0"/>
  </r>
  <r>
    <n v="1913"/>
    <x v="172"/>
    <x v="22"/>
    <x v="1"/>
    <x v="1"/>
    <x v="3"/>
    <x v="0"/>
    <x v="1134"/>
    <x v="0"/>
    <n v="1"/>
    <x v="1584"/>
    <n v="4"/>
    <x v="5"/>
    <x v="0"/>
  </r>
  <r>
    <n v="3444"/>
    <x v="172"/>
    <x v="33"/>
    <x v="0"/>
    <x v="0"/>
    <x v="3"/>
    <x v="0"/>
    <x v="2383"/>
    <x v="6"/>
    <n v="1"/>
    <x v="97"/>
    <n v="3"/>
    <x v="5"/>
    <x v="0"/>
  </r>
  <r>
    <n v="1465"/>
    <x v="172"/>
    <x v="8"/>
    <x v="0"/>
    <x v="1"/>
    <x v="1"/>
    <x v="3"/>
    <x v="3517"/>
    <x v="5"/>
    <n v="1"/>
    <x v="908"/>
    <n v="2"/>
    <x v="15"/>
    <x v="0"/>
  </r>
  <r>
    <n v="4257"/>
    <x v="172"/>
    <x v="37"/>
    <x v="1"/>
    <x v="0"/>
    <x v="1"/>
    <x v="2"/>
    <x v="3518"/>
    <x v="6"/>
    <n v="0"/>
    <x v="11"/>
    <n v="0"/>
    <x v="8"/>
    <x v="3"/>
  </r>
  <r>
    <n v="848"/>
    <x v="172"/>
    <x v="22"/>
    <x v="0"/>
    <x v="0"/>
    <x v="1"/>
    <x v="1"/>
    <x v="2331"/>
    <x v="10"/>
    <n v="0"/>
    <x v="11"/>
    <n v="0"/>
    <x v="8"/>
    <x v="3"/>
  </r>
  <r>
    <n v="1210"/>
    <x v="172"/>
    <x v="2"/>
    <x v="1"/>
    <x v="0"/>
    <x v="1"/>
    <x v="7"/>
    <x v="3519"/>
    <x v="5"/>
    <n v="0"/>
    <x v="11"/>
    <n v="0"/>
    <x v="8"/>
    <x v="3"/>
  </r>
  <r>
    <n v="2244"/>
    <x v="172"/>
    <x v="16"/>
    <x v="0"/>
    <x v="3"/>
    <x v="1"/>
    <x v="3"/>
    <x v="2722"/>
    <x v="5"/>
    <n v="0"/>
    <x v="11"/>
    <n v="0"/>
    <x v="8"/>
    <x v="3"/>
  </r>
  <r>
    <n v="4176"/>
    <x v="172"/>
    <x v="21"/>
    <x v="0"/>
    <x v="1"/>
    <x v="0"/>
    <x v="0"/>
    <x v="2079"/>
    <x v="8"/>
    <n v="0"/>
    <x v="11"/>
    <n v="0"/>
    <x v="8"/>
    <x v="3"/>
  </r>
  <r>
    <n v="1955"/>
    <x v="172"/>
    <x v="4"/>
    <x v="1"/>
    <x v="1"/>
    <x v="0"/>
    <x v="0"/>
    <x v="827"/>
    <x v="6"/>
    <n v="0"/>
    <x v="11"/>
    <n v="0"/>
    <x v="8"/>
    <x v="3"/>
  </r>
  <r>
    <n v="4463"/>
    <x v="172"/>
    <x v="54"/>
    <x v="1"/>
    <x v="2"/>
    <x v="0"/>
    <x v="0"/>
    <x v="3520"/>
    <x v="0"/>
    <n v="0"/>
    <x v="11"/>
    <n v="0"/>
    <x v="8"/>
    <x v="3"/>
  </r>
  <r>
    <n v="2530"/>
    <x v="172"/>
    <x v="5"/>
    <x v="1"/>
    <x v="1"/>
    <x v="0"/>
    <x v="0"/>
    <x v="3521"/>
    <x v="5"/>
    <n v="0"/>
    <x v="11"/>
    <n v="0"/>
    <x v="8"/>
    <x v="3"/>
  </r>
  <r>
    <n v="3650"/>
    <x v="172"/>
    <x v="41"/>
    <x v="1"/>
    <x v="3"/>
    <x v="0"/>
    <x v="0"/>
    <x v="2338"/>
    <x v="0"/>
    <n v="0"/>
    <x v="11"/>
    <n v="0"/>
    <x v="8"/>
    <x v="3"/>
  </r>
  <r>
    <n v="1105"/>
    <x v="172"/>
    <x v="8"/>
    <x v="0"/>
    <x v="1"/>
    <x v="1"/>
    <x v="2"/>
    <x v="3522"/>
    <x v="2"/>
    <n v="0"/>
    <x v="11"/>
    <n v="0"/>
    <x v="8"/>
    <x v="3"/>
  </r>
  <r>
    <n v="1716"/>
    <x v="172"/>
    <x v="7"/>
    <x v="0"/>
    <x v="2"/>
    <x v="1"/>
    <x v="3"/>
    <x v="3093"/>
    <x v="8"/>
    <n v="0"/>
    <x v="11"/>
    <n v="0"/>
    <x v="8"/>
    <x v="3"/>
  </r>
  <r>
    <n v="1728"/>
    <x v="172"/>
    <x v="5"/>
    <x v="1"/>
    <x v="3"/>
    <x v="2"/>
    <x v="0"/>
    <x v="3523"/>
    <x v="10"/>
    <n v="0"/>
    <x v="11"/>
    <n v="0"/>
    <x v="8"/>
    <x v="3"/>
  </r>
  <r>
    <n v="3403"/>
    <x v="172"/>
    <x v="20"/>
    <x v="1"/>
    <x v="0"/>
    <x v="2"/>
    <x v="0"/>
    <x v="3524"/>
    <x v="2"/>
    <n v="0"/>
    <x v="11"/>
    <n v="0"/>
    <x v="8"/>
    <x v="3"/>
  </r>
  <r>
    <n v="2790"/>
    <x v="172"/>
    <x v="19"/>
    <x v="1"/>
    <x v="0"/>
    <x v="0"/>
    <x v="0"/>
    <x v="717"/>
    <x v="5"/>
    <n v="0"/>
    <x v="11"/>
    <n v="0"/>
    <x v="8"/>
    <x v="3"/>
  </r>
  <r>
    <n v="3503"/>
    <x v="172"/>
    <x v="2"/>
    <x v="0"/>
    <x v="0"/>
    <x v="1"/>
    <x v="7"/>
    <x v="3340"/>
    <x v="5"/>
    <n v="0"/>
    <x v="11"/>
    <n v="0"/>
    <x v="8"/>
    <x v="3"/>
  </r>
  <r>
    <n v="3949"/>
    <x v="173"/>
    <x v="25"/>
    <x v="0"/>
    <x v="0"/>
    <x v="0"/>
    <x v="0"/>
    <x v="998"/>
    <x v="0"/>
    <n v="1"/>
    <x v="1585"/>
    <n v="3"/>
    <x v="7"/>
    <x v="0"/>
  </r>
  <r>
    <n v="2053"/>
    <x v="173"/>
    <x v="43"/>
    <x v="0"/>
    <x v="1"/>
    <x v="0"/>
    <x v="0"/>
    <x v="3525"/>
    <x v="0"/>
    <n v="1"/>
    <x v="1586"/>
    <n v="2"/>
    <x v="12"/>
    <x v="0"/>
  </r>
  <r>
    <n v="1868"/>
    <x v="173"/>
    <x v="23"/>
    <x v="1"/>
    <x v="3"/>
    <x v="1"/>
    <x v="4"/>
    <x v="1984"/>
    <x v="7"/>
    <n v="1"/>
    <x v="1587"/>
    <n v="5"/>
    <x v="12"/>
    <x v="0"/>
  </r>
  <r>
    <n v="730"/>
    <x v="173"/>
    <x v="8"/>
    <x v="0"/>
    <x v="1"/>
    <x v="0"/>
    <x v="0"/>
    <x v="3526"/>
    <x v="6"/>
    <n v="1"/>
    <x v="366"/>
    <n v="2"/>
    <x v="10"/>
    <x v="0"/>
  </r>
  <r>
    <n v="2128"/>
    <x v="173"/>
    <x v="20"/>
    <x v="0"/>
    <x v="0"/>
    <x v="0"/>
    <x v="0"/>
    <x v="3527"/>
    <x v="2"/>
    <n v="1"/>
    <x v="1588"/>
    <n v="2"/>
    <x v="2"/>
    <x v="0"/>
  </r>
  <r>
    <n v="2972"/>
    <x v="173"/>
    <x v="3"/>
    <x v="0"/>
    <x v="3"/>
    <x v="1"/>
    <x v="5"/>
    <x v="3528"/>
    <x v="11"/>
    <n v="1"/>
    <x v="1589"/>
    <n v="3"/>
    <x v="7"/>
    <x v="0"/>
  </r>
  <r>
    <n v="112"/>
    <x v="173"/>
    <x v="24"/>
    <x v="0"/>
    <x v="0"/>
    <x v="0"/>
    <x v="0"/>
    <x v="1431"/>
    <x v="11"/>
    <n v="1"/>
    <x v="1590"/>
    <n v="3"/>
    <x v="11"/>
    <x v="0"/>
  </r>
  <r>
    <n v="1213"/>
    <x v="173"/>
    <x v="2"/>
    <x v="0"/>
    <x v="3"/>
    <x v="1"/>
    <x v="1"/>
    <x v="3529"/>
    <x v="0"/>
    <n v="1"/>
    <x v="1591"/>
    <n v="3"/>
    <x v="10"/>
    <x v="2"/>
  </r>
  <r>
    <n v="3729"/>
    <x v="173"/>
    <x v="27"/>
    <x v="1"/>
    <x v="1"/>
    <x v="1"/>
    <x v="7"/>
    <x v="1502"/>
    <x v="1"/>
    <n v="1"/>
    <x v="582"/>
    <n v="2"/>
    <x v="14"/>
    <x v="0"/>
  </r>
  <r>
    <n v="4255"/>
    <x v="173"/>
    <x v="42"/>
    <x v="0"/>
    <x v="2"/>
    <x v="0"/>
    <x v="0"/>
    <x v="3530"/>
    <x v="2"/>
    <n v="1"/>
    <x v="1592"/>
    <n v="7"/>
    <x v="13"/>
    <x v="0"/>
  </r>
  <r>
    <n v="731"/>
    <x v="173"/>
    <x v="6"/>
    <x v="1"/>
    <x v="1"/>
    <x v="1"/>
    <x v="3"/>
    <x v="3531"/>
    <x v="2"/>
    <n v="1"/>
    <x v="1593"/>
    <n v="3"/>
    <x v="4"/>
    <x v="2"/>
  </r>
  <r>
    <n v="3222"/>
    <x v="173"/>
    <x v="22"/>
    <x v="0"/>
    <x v="1"/>
    <x v="1"/>
    <x v="7"/>
    <x v="3532"/>
    <x v="1"/>
    <n v="1"/>
    <x v="1594"/>
    <n v="3"/>
    <x v="9"/>
    <x v="1"/>
  </r>
  <r>
    <n v="4369"/>
    <x v="173"/>
    <x v="27"/>
    <x v="0"/>
    <x v="0"/>
    <x v="3"/>
    <x v="0"/>
    <x v="2619"/>
    <x v="2"/>
    <n v="1"/>
    <x v="1595"/>
    <n v="5"/>
    <x v="4"/>
    <x v="1"/>
  </r>
  <r>
    <n v="3217"/>
    <x v="173"/>
    <x v="19"/>
    <x v="1"/>
    <x v="0"/>
    <x v="0"/>
    <x v="0"/>
    <x v="3060"/>
    <x v="5"/>
    <n v="1"/>
    <x v="1596"/>
    <n v="4"/>
    <x v="9"/>
    <x v="2"/>
  </r>
  <r>
    <n v="4281"/>
    <x v="173"/>
    <x v="1"/>
    <x v="1"/>
    <x v="3"/>
    <x v="1"/>
    <x v="6"/>
    <x v="3533"/>
    <x v="6"/>
    <n v="0"/>
    <x v="11"/>
    <n v="0"/>
    <x v="8"/>
    <x v="3"/>
  </r>
  <r>
    <n v="3845"/>
    <x v="173"/>
    <x v="47"/>
    <x v="0"/>
    <x v="0"/>
    <x v="1"/>
    <x v="2"/>
    <x v="1022"/>
    <x v="4"/>
    <n v="0"/>
    <x v="11"/>
    <n v="0"/>
    <x v="8"/>
    <x v="3"/>
  </r>
  <r>
    <n v="2814"/>
    <x v="173"/>
    <x v="8"/>
    <x v="0"/>
    <x v="2"/>
    <x v="0"/>
    <x v="0"/>
    <x v="643"/>
    <x v="5"/>
    <n v="0"/>
    <x v="11"/>
    <n v="0"/>
    <x v="8"/>
    <x v="3"/>
  </r>
  <r>
    <n v="959"/>
    <x v="173"/>
    <x v="10"/>
    <x v="1"/>
    <x v="0"/>
    <x v="1"/>
    <x v="3"/>
    <x v="3534"/>
    <x v="2"/>
    <n v="0"/>
    <x v="11"/>
    <n v="0"/>
    <x v="8"/>
    <x v="3"/>
  </r>
  <r>
    <n v="4797"/>
    <x v="173"/>
    <x v="46"/>
    <x v="0"/>
    <x v="0"/>
    <x v="0"/>
    <x v="0"/>
    <x v="1883"/>
    <x v="2"/>
    <n v="0"/>
    <x v="11"/>
    <n v="0"/>
    <x v="8"/>
    <x v="3"/>
  </r>
  <r>
    <n v="4000"/>
    <x v="173"/>
    <x v="21"/>
    <x v="1"/>
    <x v="2"/>
    <x v="0"/>
    <x v="0"/>
    <x v="3535"/>
    <x v="2"/>
    <n v="0"/>
    <x v="11"/>
    <n v="0"/>
    <x v="8"/>
    <x v="3"/>
  </r>
  <r>
    <n v="3225"/>
    <x v="173"/>
    <x v="28"/>
    <x v="1"/>
    <x v="2"/>
    <x v="0"/>
    <x v="0"/>
    <x v="3536"/>
    <x v="2"/>
    <n v="0"/>
    <x v="11"/>
    <n v="0"/>
    <x v="8"/>
    <x v="3"/>
  </r>
  <r>
    <n v="2069"/>
    <x v="173"/>
    <x v="26"/>
    <x v="0"/>
    <x v="1"/>
    <x v="3"/>
    <x v="0"/>
    <x v="3108"/>
    <x v="0"/>
    <n v="0"/>
    <x v="11"/>
    <n v="0"/>
    <x v="8"/>
    <x v="3"/>
  </r>
  <r>
    <n v="4906"/>
    <x v="173"/>
    <x v="47"/>
    <x v="1"/>
    <x v="1"/>
    <x v="1"/>
    <x v="4"/>
    <x v="2445"/>
    <x v="10"/>
    <n v="0"/>
    <x v="11"/>
    <n v="0"/>
    <x v="8"/>
    <x v="3"/>
  </r>
  <r>
    <n v="3769"/>
    <x v="173"/>
    <x v="21"/>
    <x v="0"/>
    <x v="2"/>
    <x v="1"/>
    <x v="4"/>
    <x v="3537"/>
    <x v="8"/>
    <n v="0"/>
    <x v="11"/>
    <n v="0"/>
    <x v="8"/>
    <x v="3"/>
  </r>
  <r>
    <n v="4481"/>
    <x v="173"/>
    <x v="3"/>
    <x v="1"/>
    <x v="1"/>
    <x v="1"/>
    <x v="2"/>
    <x v="579"/>
    <x v="8"/>
    <n v="0"/>
    <x v="11"/>
    <n v="0"/>
    <x v="8"/>
    <x v="3"/>
  </r>
  <r>
    <n v="203"/>
    <x v="173"/>
    <x v="8"/>
    <x v="1"/>
    <x v="2"/>
    <x v="1"/>
    <x v="3"/>
    <x v="3353"/>
    <x v="5"/>
    <n v="0"/>
    <x v="11"/>
    <n v="0"/>
    <x v="8"/>
    <x v="3"/>
  </r>
  <r>
    <n v="2131"/>
    <x v="173"/>
    <x v="11"/>
    <x v="1"/>
    <x v="2"/>
    <x v="0"/>
    <x v="0"/>
    <x v="738"/>
    <x v="2"/>
    <n v="0"/>
    <x v="11"/>
    <n v="0"/>
    <x v="8"/>
    <x v="3"/>
  </r>
  <r>
    <n v="4915"/>
    <x v="173"/>
    <x v="25"/>
    <x v="0"/>
    <x v="2"/>
    <x v="0"/>
    <x v="0"/>
    <x v="3538"/>
    <x v="5"/>
    <n v="0"/>
    <x v="11"/>
    <n v="0"/>
    <x v="8"/>
    <x v="3"/>
  </r>
  <r>
    <n v="506"/>
    <x v="173"/>
    <x v="7"/>
    <x v="1"/>
    <x v="1"/>
    <x v="1"/>
    <x v="3"/>
    <x v="938"/>
    <x v="8"/>
    <n v="0"/>
    <x v="11"/>
    <n v="0"/>
    <x v="8"/>
    <x v="3"/>
  </r>
  <r>
    <n v="354"/>
    <x v="173"/>
    <x v="8"/>
    <x v="0"/>
    <x v="0"/>
    <x v="3"/>
    <x v="0"/>
    <x v="1475"/>
    <x v="2"/>
    <n v="0"/>
    <x v="11"/>
    <n v="0"/>
    <x v="8"/>
    <x v="3"/>
  </r>
  <r>
    <n v="2808"/>
    <x v="173"/>
    <x v="31"/>
    <x v="0"/>
    <x v="0"/>
    <x v="2"/>
    <x v="0"/>
    <x v="3539"/>
    <x v="3"/>
    <n v="0"/>
    <x v="11"/>
    <n v="0"/>
    <x v="8"/>
    <x v="3"/>
  </r>
  <r>
    <n v="1381"/>
    <x v="173"/>
    <x v="0"/>
    <x v="1"/>
    <x v="0"/>
    <x v="1"/>
    <x v="5"/>
    <x v="3540"/>
    <x v="2"/>
    <n v="0"/>
    <x v="11"/>
    <n v="0"/>
    <x v="8"/>
    <x v="3"/>
  </r>
  <r>
    <n v="2778"/>
    <x v="173"/>
    <x v="43"/>
    <x v="1"/>
    <x v="2"/>
    <x v="0"/>
    <x v="0"/>
    <x v="556"/>
    <x v="5"/>
    <n v="0"/>
    <x v="11"/>
    <n v="0"/>
    <x v="8"/>
    <x v="3"/>
  </r>
  <r>
    <n v="4935"/>
    <x v="174"/>
    <x v="44"/>
    <x v="1"/>
    <x v="0"/>
    <x v="2"/>
    <x v="0"/>
    <x v="3541"/>
    <x v="2"/>
    <n v="1"/>
    <x v="1597"/>
    <n v="4"/>
    <x v="4"/>
    <x v="0"/>
  </r>
  <r>
    <n v="579"/>
    <x v="174"/>
    <x v="10"/>
    <x v="0"/>
    <x v="0"/>
    <x v="1"/>
    <x v="1"/>
    <x v="3542"/>
    <x v="8"/>
    <n v="1"/>
    <x v="1598"/>
    <n v="1"/>
    <x v="11"/>
    <x v="2"/>
  </r>
  <r>
    <n v="1258"/>
    <x v="174"/>
    <x v="0"/>
    <x v="0"/>
    <x v="2"/>
    <x v="1"/>
    <x v="7"/>
    <x v="227"/>
    <x v="1"/>
    <n v="1"/>
    <x v="1599"/>
    <n v="3"/>
    <x v="15"/>
    <x v="1"/>
  </r>
  <r>
    <n v="1010"/>
    <x v="174"/>
    <x v="20"/>
    <x v="2"/>
    <x v="2"/>
    <x v="0"/>
    <x v="0"/>
    <x v="3543"/>
    <x v="5"/>
    <n v="1"/>
    <x v="1600"/>
    <n v="2"/>
    <x v="2"/>
    <x v="0"/>
  </r>
  <r>
    <n v="154"/>
    <x v="174"/>
    <x v="18"/>
    <x v="0"/>
    <x v="1"/>
    <x v="1"/>
    <x v="4"/>
    <x v="3544"/>
    <x v="5"/>
    <n v="1"/>
    <x v="1601"/>
    <n v="3"/>
    <x v="1"/>
    <x v="0"/>
  </r>
  <r>
    <n v="3578"/>
    <x v="174"/>
    <x v="41"/>
    <x v="0"/>
    <x v="0"/>
    <x v="0"/>
    <x v="0"/>
    <x v="3545"/>
    <x v="11"/>
    <n v="1"/>
    <x v="1428"/>
    <n v="2"/>
    <x v="5"/>
    <x v="0"/>
  </r>
  <r>
    <n v="234"/>
    <x v="174"/>
    <x v="6"/>
    <x v="1"/>
    <x v="0"/>
    <x v="0"/>
    <x v="0"/>
    <x v="3546"/>
    <x v="6"/>
    <n v="1"/>
    <x v="1602"/>
    <n v="3"/>
    <x v="10"/>
    <x v="0"/>
  </r>
  <r>
    <n v="96"/>
    <x v="174"/>
    <x v="22"/>
    <x v="0"/>
    <x v="2"/>
    <x v="2"/>
    <x v="0"/>
    <x v="3415"/>
    <x v="10"/>
    <n v="1"/>
    <x v="689"/>
    <n v="6"/>
    <x v="7"/>
    <x v="0"/>
  </r>
  <r>
    <n v="4416"/>
    <x v="174"/>
    <x v="27"/>
    <x v="1"/>
    <x v="1"/>
    <x v="0"/>
    <x v="0"/>
    <x v="3547"/>
    <x v="0"/>
    <n v="1"/>
    <x v="1603"/>
    <n v="1"/>
    <x v="15"/>
    <x v="0"/>
  </r>
  <r>
    <n v="3580"/>
    <x v="174"/>
    <x v="4"/>
    <x v="0"/>
    <x v="1"/>
    <x v="1"/>
    <x v="6"/>
    <x v="3548"/>
    <x v="5"/>
    <n v="1"/>
    <x v="1604"/>
    <n v="2"/>
    <x v="2"/>
    <x v="1"/>
  </r>
  <r>
    <n v="4789"/>
    <x v="174"/>
    <x v="14"/>
    <x v="0"/>
    <x v="3"/>
    <x v="3"/>
    <x v="0"/>
    <x v="2096"/>
    <x v="2"/>
    <n v="1"/>
    <x v="1605"/>
    <n v="2"/>
    <x v="0"/>
    <x v="0"/>
  </r>
  <r>
    <n v="1374"/>
    <x v="174"/>
    <x v="22"/>
    <x v="1"/>
    <x v="2"/>
    <x v="3"/>
    <x v="0"/>
    <x v="2722"/>
    <x v="5"/>
    <n v="1"/>
    <x v="1606"/>
    <n v="1"/>
    <x v="2"/>
    <x v="0"/>
  </r>
  <r>
    <n v="2629"/>
    <x v="174"/>
    <x v="31"/>
    <x v="2"/>
    <x v="3"/>
    <x v="3"/>
    <x v="0"/>
    <x v="2313"/>
    <x v="5"/>
    <n v="1"/>
    <x v="1003"/>
    <n v="3"/>
    <x v="11"/>
    <x v="1"/>
  </r>
  <r>
    <n v="2313"/>
    <x v="174"/>
    <x v="5"/>
    <x v="1"/>
    <x v="0"/>
    <x v="2"/>
    <x v="0"/>
    <x v="943"/>
    <x v="1"/>
    <n v="0"/>
    <x v="11"/>
    <n v="0"/>
    <x v="8"/>
    <x v="3"/>
  </r>
  <r>
    <n v="2459"/>
    <x v="174"/>
    <x v="33"/>
    <x v="2"/>
    <x v="0"/>
    <x v="1"/>
    <x v="4"/>
    <x v="1604"/>
    <x v="6"/>
    <n v="0"/>
    <x v="11"/>
    <n v="0"/>
    <x v="8"/>
    <x v="3"/>
  </r>
  <r>
    <n v="341"/>
    <x v="174"/>
    <x v="20"/>
    <x v="1"/>
    <x v="3"/>
    <x v="0"/>
    <x v="0"/>
    <x v="147"/>
    <x v="6"/>
    <n v="0"/>
    <x v="11"/>
    <n v="0"/>
    <x v="8"/>
    <x v="3"/>
  </r>
  <r>
    <n v="3166"/>
    <x v="174"/>
    <x v="31"/>
    <x v="1"/>
    <x v="1"/>
    <x v="3"/>
    <x v="0"/>
    <x v="24"/>
    <x v="11"/>
    <n v="0"/>
    <x v="11"/>
    <n v="0"/>
    <x v="8"/>
    <x v="3"/>
  </r>
  <r>
    <n v="3995"/>
    <x v="174"/>
    <x v="19"/>
    <x v="0"/>
    <x v="2"/>
    <x v="0"/>
    <x v="0"/>
    <x v="1104"/>
    <x v="1"/>
    <n v="0"/>
    <x v="11"/>
    <n v="0"/>
    <x v="8"/>
    <x v="3"/>
  </r>
  <r>
    <n v="2689"/>
    <x v="174"/>
    <x v="4"/>
    <x v="1"/>
    <x v="2"/>
    <x v="1"/>
    <x v="2"/>
    <x v="519"/>
    <x v="1"/>
    <n v="0"/>
    <x v="11"/>
    <n v="0"/>
    <x v="8"/>
    <x v="3"/>
  </r>
  <r>
    <n v="2149"/>
    <x v="174"/>
    <x v="27"/>
    <x v="0"/>
    <x v="2"/>
    <x v="1"/>
    <x v="6"/>
    <x v="3549"/>
    <x v="2"/>
    <n v="0"/>
    <x v="11"/>
    <n v="0"/>
    <x v="8"/>
    <x v="3"/>
  </r>
  <r>
    <n v="2496"/>
    <x v="174"/>
    <x v="23"/>
    <x v="1"/>
    <x v="1"/>
    <x v="0"/>
    <x v="0"/>
    <x v="217"/>
    <x v="2"/>
    <n v="0"/>
    <x v="11"/>
    <n v="0"/>
    <x v="8"/>
    <x v="3"/>
  </r>
  <r>
    <n v="583"/>
    <x v="174"/>
    <x v="20"/>
    <x v="1"/>
    <x v="2"/>
    <x v="1"/>
    <x v="5"/>
    <x v="1523"/>
    <x v="0"/>
    <n v="0"/>
    <x v="11"/>
    <n v="0"/>
    <x v="8"/>
    <x v="3"/>
  </r>
  <r>
    <n v="3765"/>
    <x v="174"/>
    <x v="35"/>
    <x v="1"/>
    <x v="1"/>
    <x v="3"/>
    <x v="0"/>
    <x v="2564"/>
    <x v="5"/>
    <n v="0"/>
    <x v="11"/>
    <n v="0"/>
    <x v="8"/>
    <x v="3"/>
  </r>
  <r>
    <n v="456"/>
    <x v="174"/>
    <x v="18"/>
    <x v="1"/>
    <x v="3"/>
    <x v="1"/>
    <x v="4"/>
    <x v="3031"/>
    <x v="1"/>
    <n v="0"/>
    <x v="11"/>
    <n v="0"/>
    <x v="8"/>
    <x v="3"/>
  </r>
  <r>
    <n v="424"/>
    <x v="174"/>
    <x v="26"/>
    <x v="0"/>
    <x v="2"/>
    <x v="2"/>
    <x v="0"/>
    <x v="1439"/>
    <x v="8"/>
    <n v="0"/>
    <x v="11"/>
    <n v="0"/>
    <x v="8"/>
    <x v="3"/>
  </r>
  <r>
    <n v="3595"/>
    <x v="174"/>
    <x v="5"/>
    <x v="1"/>
    <x v="0"/>
    <x v="1"/>
    <x v="3"/>
    <x v="3550"/>
    <x v="8"/>
    <n v="0"/>
    <x v="11"/>
    <n v="0"/>
    <x v="8"/>
    <x v="3"/>
  </r>
  <r>
    <n v="4638"/>
    <x v="175"/>
    <x v="32"/>
    <x v="0"/>
    <x v="0"/>
    <x v="1"/>
    <x v="2"/>
    <x v="892"/>
    <x v="6"/>
    <n v="1"/>
    <x v="1607"/>
    <n v="1"/>
    <x v="14"/>
    <x v="0"/>
  </r>
  <r>
    <n v="2813"/>
    <x v="175"/>
    <x v="39"/>
    <x v="1"/>
    <x v="0"/>
    <x v="0"/>
    <x v="0"/>
    <x v="2044"/>
    <x v="2"/>
    <n v="1"/>
    <x v="1539"/>
    <n v="3"/>
    <x v="11"/>
    <x v="0"/>
  </r>
  <r>
    <n v="4366"/>
    <x v="175"/>
    <x v="56"/>
    <x v="0"/>
    <x v="0"/>
    <x v="0"/>
    <x v="0"/>
    <x v="3551"/>
    <x v="8"/>
    <n v="1"/>
    <x v="1608"/>
    <n v="1"/>
    <x v="5"/>
    <x v="1"/>
  </r>
  <r>
    <n v="2636"/>
    <x v="175"/>
    <x v="6"/>
    <x v="0"/>
    <x v="3"/>
    <x v="0"/>
    <x v="0"/>
    <x v="3552"/>
    <x v="2"/>
    <n v="1"/>
    <x v="1609"/>
    <n v="2"/>
    <x v="2"/>
    <x v="2"/>
  </r>
  <r>
    <n v="2190"/>
    <x v="175"/>
    <x v="20"/>
    <x v="1"/>
    <x v="0"/>
    <x v="0"/>
    <x v="0"/>
    <x v="2201"/>
    <x v="9"/>
    <n v="1"/>
    <x v="1610"/>
    <n v="5"/>
    <x v="15"/>
    <x v="2"/>
  </r>
  <r>
    <n v="1633"/>
    <x v="175"/>
    <x v="18"/>
    <x v="0"/>
    <x v="3"/>
    <x v="0"/>
    <x v="0"/>
    <x v="3288"/>
    <x v="11"/>
    <n v="1"/>
    <x v="1611"/>
    <n v="2"/>
    <x v="15"/>
    <x v="0"/>
  </r>
  <r>
    <n v="2832"/>
    <x v="175"/>
    <x v="24"/>
    <x v="0"/>
    <x v="0"/>
    <x v="1"/>
    <x v="1"/>
    <x v="529"/>
    <x v="2"/>
    <n v="1"/>
    <x v="1612"/>
    <n v="3"/>
    <x v="15"/>
    <x v="0"/>
  </r>
  <r>
    <n v="4983"/>
    <x v="175"/>
    <x v="13"/>
    <x v="1"/>
    <x v="1"/>
    <x v="0"/>
    <x v="0"/>
    <x v="3553"/>
    <x v="12"/>
    <n v="1"/>
    <x v="1613"/>
    <n v="3"/>
    <x v="5"/>
    <x v="0"/>
  </r>
  <r>
    <n v="3947"/>
    <x v="175"/>
    <x v="42"/>
    <x v="0"/>
    <x v="0"/>
    <x v="0"/>
    <x v="0"/>
    <x v="3554"/>
    <x v="2"/>
    <n v="1"/>
    <x v="236"/>
    <n v="2"/>
    <x v="13"/>
    <x v="1"/>
  </r>
  <r>
    <n v="3600"/>
    <x v="175"/>
    <x v="26"/>
    <x v="1"/>
    <x v="0"/>
    <x v="1"/>
    <x v="1"/>
    <x v="3555"/>
    <x v="4"/>
    <n v="1"/>
    <x v="1614"/>
    <n v="2"/>
    <x v="9"/>
    <x v="2"/>
  </r>
  <r>
    <n v="3374"/>
    <x v="175"/>
    <x v="44"/>
    <x v="0"/>
    <x v="1"/>
    <x v="0"/>
    <x v="0"/>
    <x v="2740"/>
    <x v="9"/>
    <n v="1"/>
    <x v="1615"/>
    <n v="5"/>
    <x v="4"/>
    <x v="0"/>
  </r>
  <r>
    <n v="1807"/>
    <x v="175"/>
    <x v="26"/>
    <x v="1"/>
    <x v="0"/>
    <x v="1"/>
    <x v="7"/>
    <x v="643"/>
    <x v="0"/>
    <n v="1"/>
    <x v="1616"/>
    <n v="2"/>
    <x v="14"/>
    <x v="1"/>
  </r>
  <r>
    <n v="1405"/>
    <x v="175"/>
    <x v="22"/>
    <x v="1"/>
    <x v="1"/>
    <x v="0"/>
    <x v="0"/>
    <x v="2122"/>
    <x v="1"/>
    <n v="1"/>
    <x v="1435"/>
    <n v="4"/>
    <x v="1"/>
    <x v="1"/>
  </r>
  <r>
    <n v="842"/>
    <x v="175"/>
    <x v="18"/>
    <x v="0"/>
    <x v="3"/>
    <x v="1"/>
    <x v="2"/>
    <x v="3556"/>
    <x v="0"/>
    <n v="1"/>
    <x v="1617"/>
    <n v="5"/>
    <x v="2"/>
    <x v="0"/>
  </r>
  <r>
    <n v="3148"/>
    <x v="175"/>
    <x v="43"/>
    <x v="0"/>
    <x v="0"/>
    <x v="1"/>
    <x v="7"/>
    <x v="3557"/>
    <x v="5"/>
    <n v="0"/>
    <x v="11"/>
    <n v="0"/>
    <x v="8"/>
    <x v="3"/>
  </r>
  <r>
    <n v="4133"/>
    <x v="175"/>
    <x v="16"/>
    <x v="0"/>
    <x v="2"/>
    <x v="0"/>
    <x v="0"/>
    <x v="3558"/>
    <x v="8"/>
    <n v="0"/>
    <x v="11"/>
    <n v="0"/>
    <x v="8"/>
    <x v="3"/>
  </r>
  <r>
    <n v="3747"/>
    <x v="175"/>
    <x v="23"/>
    <x v="0"/>
    <x v="0"/>
    <x v="3"/>
    <x v="0"/>
    <x v="3559"/>
    <x v="2"/>
    <n v="0"/>
    <x v="11"/>
    <n v="0"/>
    <x v="8"/>
    <x v="3"/>
  </r>
  <r>
    <n v="3316"/>
    <x v="175"/>
    <x v="41"/>
    <x v="0"/>
    <x v="1"/>
    <x v="1"/>
    <x v="3"/>
    <x v="3560"/>
    <x v="5"/>
    <n v="0"/>
    <x v="11"/>
    <n v="0"/>
    <x v="8"/>
    <x v="3"/>
  </r>
  <r>
    <n v="4703"/>
    <x v="175"/>
    <x v="21"/>
    <x v="1"/>
    <x v="3"/>
    <x v="0"/>
    <x v="0"/>
    <x v="3561"/>
    <x v="0"/>
    <n v="0"/>
    <x v="11"/>
    <n v="0"/>
    <x v="8"/>
    <x v="3"/>
  </r>
  <r>
    <n v="3177"/>
    <x v="175"/>
    <x v="19"/>
    <x v="0"/>
    <x v="0"/>
    <x v="1"/>
    <x v="7"/>
    <x v="1541"/>
    <x v="4"/>
    <n v="0"/>
    <x v="11"/>
    <n v="0"/>
    <x v="8"/>
    <x v="3"/>
  </r>
  <r>
    <n v="46"/>
    <x v="175"/>
    <x v="4"/>
    <x v="2"/>
    <x v="0"/>
    <x v="3"/>
    <x v="0"/>
    <x v="1569"/>
    <x v="4"/>
    <n v="0"/>
    <x v="11"/>
    <n v="0"/>
    <x v="8"/>
    <x v="3"/>
  </r>
  <r>
    <n v="208"/>
    <x v="175"/>
    <x v="24"/>
    <x v="1"/>
    <x v="3"/>
    <x v="3"/>
    <x v="0"/>
    <x v="504"/>
    <x v="6"/>
    <n v="0"/>
    <x v="11"/>
    <n v="0"/>
    <x v="8"/>
    <x v="3"/>
  </r>
  <r>
    <n v="733"/>
    <x v="175"/>
    <x v="16"/>
    <x v="1"/>
    <x v="2"/>
    <x v="1"/>
    <x v="2"/>
    <x v="2177"/>
    <x v="10"/>
    <n v="0"/>
    <x v="11"/>
    <n v="0"/>
    <x v="8"/>
    <x v="3"/>
  </r>
  <r>
    <n v="971"/>
    <x v="175"/>
    <x v="16"/>
    <x v="2"/>
    <x v="1"/>
    <x v="1"/>
    <x v="2"/>
    <x v="3562"/>
    <x v="1"/>
    <n v="0"/>
    <x v="11"/>
    <n v="0"/>
    <x v="8"/>
    <x v="3"/>
  </r>
  <r>
    <n v="3855"/>
    <x v="175"/>
    <x v="34"/>
    <x v="0"/>
    <x v="3"/>
    <x v="2"/>
    <x v="0"/>
    <x v="2654"/>
    <x v="7"/>
    <n v="0"/>
    <x v="11"/>
    <n v="0"/>
    <x v="8"/>
    <x v="3"/>
  </r>
  <r>
    <n v="952"/>
    <x v="175"/>
    <x v="22"/>
    <x v="1"/>
    <x v="0"/>
    <x v="2"/>
    <x v="0"/>
    <x v="370"/>
    <x v="1"/>
    <n v="0"/>
    <x v="11"/>
    <n v="0"/>
    <x v="8"/>
    <x v="3"/>
  </r>
  <r>
    <n v="4557"/>
    <x v="175"/>
    <x v="5"/>
    <x v="0"/>
    <x v="3"/>
    <x v="1"/>
    <x v="5"/>
    <x v="3563"/>
    <x v="0"/>
    <n v="0"/>
    <x v="11"/>
    <n v="0"/>
    <x v="8"/>
    <x v="3"/>
  </r>
  <r>
    <n v="2020"/>
    <x v="175"/>
    <x v="25"/>
    <x v="0"/>
    <x v="0"/>
    <x v="1"/>
    <x v="1"/>
    <x v="3564"/>
    <x v="11"/>
    <n v="0"/>
    <x v="11"/>
    <n v="0"/>
    <x v="8"/>
    <x v="3"/>
  </r>
  <r>
    <n v="2916"/>
    <x v="175"/>
    <x v="23"/>
    <x v="0"/>
    <x v="1"/>
    <x v="0"/>
    <x v="0"/>
    <x v="2579"/>
    <x v="0"/>
    <n v="0"/>
    <x v="11"/>
    <n v="0"/>
    <x v="8"/>
    <x v="3"/>
  </r>
  <r>
    <n v="1618"/>
    <x v="175"/>
    <x v="16"/>
    <x v="0"/>
    <x v="3"/>
    <x v="0"/>
    <x v="0"/>
    <x v="2498"/>
    <x v="5"/>
    <n v="0"/>
    <x v="11"/>
    <n v="0"/>
    <x v="8"/>
    <x v="3"/>
  </r>
  <r>
    <n v="4139"/>
    <x v="175"/>
    <x v="17"/>
    <x v="0"/>
    <x v="2"/>
    <x v="1"/>
    <x v="1"/>
    <x v="485"/>
    <x v="10"/>
    <n v="0"/>
    <x v="11"/>
    <n v="0"/>
    <x v="8"/>
    <x v="3"/>
  </r>
  <r>
    <n v="3737"/>
    <x v="175"/>
    <x v="16"/>
    <x v="0"/>
    <x v="3"/>
    <x v="1"/>
    <x v="3"/>
    <x v="656"/>
    <x v="2"/>
    <n v="0"/>
    <x v="11"/>
    <n v="0"/>
    <x v="8"/>
    <x v="3"/>
  </r>
  <r>
    <n v="4106"/>
    <x v="175"/>
    <x v="17"/>
    <x v="0"/>
    <x v="1"/>
    <x v="0"/>
    <x v="0"/>
    <x v="3565"/>
    <x v="2"/>
    <n v="0"/>
    <x v="11"/>
    <n v="0"/>
    <x v="8"/>
    <x v="3"/>
  </r>
  <r>
    <n v="3981"/>
    <x v="176"/>
    <x v="34"/>
    <x v="0"/>
    <x v="2"/>
    <x v="3"/>
    <x v="0"/>
    <x v="3566"/>
    <x v="8"/>
    <n v="1"/>
    <x v="1609"/>
    <n v="1"/>
    <x v="13"/>
    <x v="1"/>
  </r>
  <r>
    <n v="1396"/>
    <x v="176"/>
    <x v="2"/>
    <x v="1"/>
    <x v="0"/>
    <x v="0"/>
    <x v="0"/>
    <x v="3567"/>
    <x v="0"/>
    <n v="1"/>
    <x v="1618"/>
    <n v="4"/>
    <x v="6"/>
    <x v="2"/>
  </r>
  <r>
    <n v="2150"/>
    <x v="176"/>
    <x v="11"/>
    <x v="1"/>
    <x v="3"/>
    <x v="1"/>
    <x v="6"/>
    <x v="3568"/>
    <x v="6"/>
    <n v="1"/>
    <x v="1619"/>
    <n v="1"/>
    <x v="7"/>
    <x v="0"/>
  </r>
  <r>
    <n v="1030"/>
    <x v="176"/>
    <x v="7"/>
    <x v="1"/>
    <x v="2"/>
    <x v="2"/>
    <x v="0"/>
    <x v="1007"/>
    <x v="8"/>
    <n v="1"/>
    <x v="1620"/>
    <n v="2"/>
    <x v="3"/>
    <x v="1"/>
  </r>
  <r>
    <n v="3006"/>
    <x v="176"/>
    <x v="43"/>
    <x v="0"/>
    <x v="2"/>
    <x v="0"/>
    <x v="0"/>
    <x v="3569"/>
    <x v="5"/>
    <n v="1"/>
    <x v="1621"/>
    <n v="3"/>
    <x v="6"/>
    <x v="0"/>
  </r>
  <r>
    <n v="2254"/>
    <x v="176"/>
    <x v="31"/>
    <x v="1"/>
    <x v="2"/>
    <x v="2"/>
    <x v="0"/>
    <x v="992"/>
    <x v="10"/>
    <n v="1"/>
    <x v="1622"/>
    <n v="4"/>
    <x v="14"/>
    <x v="1"/>
  </r>
  <r>
    <n v="2532"/>
    <x v="176"/>
    <x v="8"/>
    <x v="0"/>
    <x v="0"/>
    <x v="2"/>
    <x v="0"/>
    <x v="3570"/>
    <x v="6"/>
    <n v="1"/>
    <x v="1020"/>
    <n v="4"/>
    <x v="3"/>
    <x v="0"/>
  </r>
  <r>
    <n v="4665"/>
    <x v="176"/>
    <x v="11"/>
    <x v="2"/>
    <x v="3"/>
    <x v="0"/>
    <x v="0"/>
    <x v="3571"/>
    <x v="8"/>
    <n v="1"/>
    <x v="1623"/>
    <n v="3"/>
    <x v="4"/>
    <x v="2"/>
  </r>
  <r>
    <n v="13"/>
    <x v="176"/>
    <x v="4"/>
    <x v="0"/>
    <x v="2"/>
    <x v="1"/>
    <x v="1"/>
    <x v="3572"/>
    <x v="5"/>
    <n v="1"/>
    <x v="1624"/>
    <n v="3"/>
    <x v="12"/>
    <x v="0"/>
  </r>
  <r>
    <n v="3189"/>
    <x v="176"/>
    <x v="31"/>
    <x v="1"/>
    <x v="2"/>
    <x v="0"/>
    <x v="0"/>
    <x v="3573"/>
    <x v="0"/>
    <n v="1"/>
    <x v="1625"/>
    <n v="3"/>
    <x v="4"/>
    <x v="0"/>
  </r>
  <r>
    <n v="2217"/>
    <x v="176"/>
    <x v="11"/>
    <x v="1"/>
    <x v="0"/>
    <x v="0"/>
    <x v="0"/>
    <x v="2052"/>
    <x v="4"/>
    <n v="0"/>
    <x v="11"/>
    <n v="0"/>
    <x v="8"/>
    <x v="3"/>
  </r>
  <r>
    <n v="4305"/>
    <x v="176"/>
    <x v="28"/>
    <x v="1"/>
    <x v="3"/>
    <x v="3"/>
    <x v="0"/>
    <x v="3574"/>
    <x v="7"/>
    <n v="0"/>
    <x v="11"/>
    <n v="0"/>
    <x v="8"/>
    <x v="3"/>
  </r>
  <r>
    <n v="2248"/>
    <x v="176"/>
    <x v="14"/>
    <x v="1"/>
    <x v="2"/>
    <x v="0"/>
    <x v="0"/>
    <x v="3569"/>
    <x v="5"/>
    <n v="0"/>
    <x v="11"/>
    <n v="0"/>
    <x v="8"/>
    <x v="3"/>
  </r>
  <r>
    <n v="4144"/>
    <x v="176"/>
    <x v="25"/>
    <x v="1"/>
    <x v="1"/>
    <x v="3"/>
    <x v="0"/>
    <x v="3575"/>
    <x v="5"/>
    <n v="0"/>
    <x v="11"/>
    <n v="0"/>
    <x v="8"/>
    <x v="3"/>
  </r>
  <r>
    <n v="4442"/>
    <x v="176"/>
    <x v="51"/>
    <x v="0"/>
    <x v="2"/>
    <x v="0"/>
    <x v="0"/>
    <x v="1318"/>
    <x v="6"/>
    <n v="0"/>
    <x v="11"/>
    <n v="0"/>
    <x v="8"/>
    <x v="3"/>
  </r>
  <r>
    <n v="944"/>
    <x v="176"/>
    <x v="10"/>
    <x v="0"/>
    <x v="1"/>
    <x v="1"/>
    <x v="1"/>
    <x v="1019"/>
    <x v="2"/>
    <n v="0"/>
    <x v="11"/>
    <n v="0"/>
    <x v="8"/>
    <x v="3"/>
  </r>
  <r>
    <n v="3760"/>
    <x v="176"/>
    <x v="13"/>
    <x v="0"/>
    <x v="2"/>
    <x v="2"/>
    <x v="0"/>
    <x v="3576"/>
    <x v="6"/>
    <n v="0"/>
    <x v="11"/>
    <n v="0"/>
    <x v="8"/>
    <x v="3"/>
  </r>
  <r>
    <n v="893"/>
    <x v="176"/>
    <x v="8"/>
    <x v="1"/>
    <x v="2"/>
    <x v="3"/>
    <x v="0"/>
    <x v="3577"/>
    <x v="5"/>
    <n v="0"/>
    <x v="11"/>
    <n v="0"/>
    <x v="8"/>
    <x v="3"/>
  </r>
  <r>
    <n v="717"/>
    <x v="176"/>
    <x v="24"/>
    <x v="1"/>
    <x v="3"/>
    <x v="0"/>
    <x v="0"/>
    <x v="3578"/>
    <x v="2"/>
    <n v="0"/>
    <x v="11"/>
    <n v="0"/>
    <x v="8"/>
    <x v="3"/>
  </r>
  <r>
    <n v="4664"/>
    <x v="176"/>
    <x v="50"/>
    <x v="0"/>
    <x v="1"/>
    <x v="1"/>
    <x v="2"/>
    <x v="3027"/>
    <x v="8"/>
    <n v="0"/>
    <x v="11"/>
    <n v="0"/>
    <x v="8"/>
    <x v="3"/>
  </r>
  <r>
    <n v="63"/>
    <x v="176"/>
    <x v="8"/>
    <x v="0"/>
    <x v="3"/>
    <x v="1"/>
    <x v="3"/>
    <x v="3579"/>
    <x v="8"/>
    <n v="0"/>
    <x v="11"/>
    <n v="0"/>
    <x v="8"/>
    <x v="3"/>
  </r>
  <r>
    <n v="3898"/>
    <x v="176"/>
    <x v="45"/>
    <x v="0"/>
    <x v="3"/>
    <x v="1"/>
    <x v="2"/>
    <x v="3580"/>
    <x v="7"/>
    <n v="0"/>
    <x v="11"/>
    <n v="0"/>
    <x v="8"/>
    <x v="3"/>
  </r>
  <r>
    <n v="1167"/>
    <x v="176"/>
    <x v="18"/>
    <x v="0"/>
    <x v="3"/>
    <x v="3"/>
    <x v="0"/>
    <x v="3189"/>
    <x v="9"/>
    <n v="0"/>
    <x v="11"/>
    <n v="0"/>
    <x v="8"/>
    <x v="3"/>
  </r>
  <r>
    <n v="1972"/>
    <x v="176"/>
    <x v="33"/>
    <x v="0"/>
    <x v="0"/>
    <x v="3"/>
    <x v="0"/>
    <x v="1649"/>
    <x v="5"/>
    <n v="0"/>
    <x v="11"/>
    <n v="0"/>
    <x v="8"/>
    <x v="3"/>
  </r>
  <r>
    <n v="4309"/>
    <x v="176"/>
    <x v="45"/>
    <x v="0"/>
    <x v="3"/>
    <x v="0"/>
    <x v="0"/>
    <x v="509"/>
    <x v="8"/>
    <n v="0"/>
    <x v="11"/>
    <n v="0"/>
    <x v="8"/>
    <x v="3"/>
  </r>
  <r>
    <n v="4453"/>
    <x v="176"/>
    <x v="43"/>
    <x v="1"/>
    <x v="3"/>
    <x v="3"/>
    <x v="0"/>
    <x v="1463"/>
    <x v="0"/>
    <n v="0"/>
    <x v="11"/>
    <n v="0"/>
    <x v="8"/>
    <x v="3"/>
  </r>
  <r>
    <n v="4399"/>
    <x v="177"/>
    <x v="47"/>
    <x v="0"/>
    <x v="3"/>
    <x v="0"/>
    <x v="0"/>
    <x v="2559"/>
    <x v="2"/>
    <n v="1"/>
    <x v="252"/>
    <n v="3"/>
    <x v="2"/>
    <x v="0"/>
  </r>
  <r>
    <n v="935"/>
    <x v="177"/>
    <x v="8"/>
    <x v="0"/>
    <x v="1"/>
    <x v="3"/>
    <x v="0"/>
    <x v="2278"/>
    <x v="2"/>
    <n v="1"/>
    <x v="1626"/>
    <n v="4"/>
    <x v="4"/>
    <x v="1"/>
  </r>
  <r>
    <n v="601"/>
    <x v="177"/>
    <x v="8"/>
    <x v="0"/>
    <x v="2"/>
    <x v="1"/>
    <x v="1"/>
    <x v="1955"/>
    <x v="5"/>
    <n v="1"/>
    <x v="1627"/>
    <n v="3"/>
    <x v="0"/>
    <x v="0"/>
  </r>
  <r>
    <n v="3525"/>
    <x v="177"/>
    <x v="5"/>
    <x v="0"/>
    <x v="1"/>
    <x v="3"/>
    <x v="0"/>
    <x v="3581"/>
    <x v="5"/>
    <n v="1"/>
    <x v="1628"/>
    <n v="3"/>
    <x v="6"/>
    <x v="0"/>
  </r>
  <r>
    <n v="1088"/>
    <x v="177"/>
    <x v="7"/>
    <x v="1"/>
    <x v="0"/>
    <x v="1"/>
    <x v="6"/>
    <x v="3582"/>
    <x v="6"/>
    <n v="1"/>
    <x v="1629"/>
    <n v="4"/>
    <x v="11"/>
    <x v="0"/>
  </r>
  <r>
    <n v="3246"/>
    <x v="177"/>
    <x v="25"/>
    <x v="1"/>
    <x v="2"/>
    <x v="2"/>
    <x v="0"/>
    <x v="2816"/>
    <x v="6"/>
    <n v="1"/>
    <x v="1630"/>
    <n v="4"/>
    <x v="5"/>
    <x v="0"/>
  </r>
  <r>
    <n v="2392"/>
    <x v="177"/>
    <x v="23"/>
    <x v="0"/>
    <x v="3"/>
    <x v="1"/>
    <x v="4"/>
    <x v="3583"/>
    <x v="12"/>
    <n v="1"/>
    <x v="1631"/>
    <n v="2"/>
    <x v="10"/>
    <x v="0"/>
  </r>
  <r>
    <n v="4811"/>
    <x v="177"/>
    <x v="42"/>
    <x v="1"/>
    <x v="0"/>
    <x v="3"/>
    <x v="0"/>
    <x v="513"/>
    <x v="1"/>
    <n v="1"/>
    <x v="1632"/>
    <n v="2"/>
    <x v="6"/>
    <x v="0"/>
  </r>
  <r>
    <n v="1402"/>
    <x v="177"/>
    <x v="4"/>
    <x v="1"/>
    <x v="3"/>
    <x v="0"/>
    <x v="0"/>
    <x v="3251"/>
    <x v="6"/>
    <n v="1"/>
    <x v="1633"/>
    <n v="4"/>
    <x v="6"/>
    <x v="0"/>
  </r>
  <r>
    <n v="4730"/>
    <x v="177"/>
    <x v="35"/>
    <x v="1"/>
    <x v="1"/>
    <x v="0"/>
    <x v="0"/>
    <x v="2181"/>
    <x v="2"/>
    <n v="1"/>
    <x v="325"/>
    <n v="3"/>
    <x v="4"/>
    <x v="2"/>
  </r>
  <r>
    <n v="1572"/>
    <x v="177"/>
    <x v="24"/>
    <x v="1"/>
    <x v="2"/>
    <x v="0"/>
    <x v="0"/>
    <x v="3584"/>
    <x v="6"/>
    <n v="1"/>
    <x v="1634"/>
    <n v="1"/>
    <x v="1"/>
    <x v="0"/>
  </r>
  <r>
    <n v="4828"/>
    <x v="177"/>
    <x v="12"/>
    <x v="1"/>
    <x v="0"/>
    <x v="1"/>
    <x v="1"/>
    <x v="3585"/>
    <x v="8"/>
    <n v="0"/>
    <x v="11"/>
    <n v="0"/>
    <x v="8"/>
    <x v="3"/>
  </r>
  <r>
    <n v="3654"/>
    <x v="177"/>
    <x v="0"/>
    <x v="1"/>
    <x v="3"/>
    <x v="0"/>
    <x v="0"/>
    <x v="3586"/>
    <x v="2"/>
    <n v="0"/>
    <x v="11"/>
    <n v="0"/>
    <x v="8"/>
    <x v="3"/>
  </r>
  <r>
    <n v="255"/>
    <x v="177"/>
    <x v="0"/>
    <x v="1"/>
    <x v="2"/>
    <x v="1"/>
    <x v="5"/>
    <x v="3072"/>
    <x v="11"/>
    <n v="0"/>
    <x v="11"/>
    <n v="0"/>
    <x v="8"/>
    <x v="3"/>
  </r>
  <r>
    <n v="1393"/>
    <x v="177"/>
    <x v="2"/>
    <x v="0"/>
    <x v="0"/>
    <x v="0"/>
    <x v="0"/>
    <x v="3587"/>
    <x v="4"/>
    <n v="0"/>
    <x v="11"/>
    <n v="0"/>
    <x v="8"/>
    <x v="3"/>
  </r>
  <r>
    <n v="683"/>
    <x v="177"/>
    <x v="6"/>
    <x v="1"/>
    <x v="3"/>
    <x v="1"/>
    <x v="6"/>
    <x v="2890"/>
    <x v="8"/>
    <n v="0"/>
    <x v="11"/>
    <n v="0"/>
    <x v="8"/>
    <x v="3"/>
  </r>
  <r>
    <n v="2936"/>
    <x v="177"/>
    <x v="16"/>
    <x v="1"/>
    <x v="1"/>
    <x v="0"/>
    <x v="0"/>
    <x v="3588"/>
    <x v="2"/>
    <n v="0"/>
    <x v="11"/>
    <n v="0"/>
    <x v="8"/>
    <x v="3"/>
  </r>
  <r>
    <n v="3877"/>
    <x v="177"/>
    <x v="45"/>
    <x v="0"/>
    <x v="2"/>
    <x v="3"/>
    <x v="0"/>
    <x v="1164"/>
    <x v="8"/>
    <n v="0"/>
    <x v="11"/>
    <n v="0"/>
    <x v="8"/>
    <x v="3"/>
  </r>
  <r>
    <n v="1401"/>
    <x v="177"/>
    <x v="8"/>
    <x v="1"/>
    <x v="1"/>
    <x v="1"/>
    <x v="6"/>
    <x v="2818"/>
    <x v="10"/>
    <n v="0"/>
    <x v="11"/>
    <n v="0"/>
    <x v="8"/>
    <x v="3"/>
  </r>
  <r>
    <n v="4656"/>
    <x v="177"/>
    <x v="48"/>
    <x v="1"/>
    <x v="3"/>
    <x v="2"/>
    <x v="0"/>
    <x v="1433"/>
    <x v="2"/>
    <n v="0"/>
    <x v="11"/>
    <n v="0"/>
    <x v="8"/>
    <x v="3"/>
  </r>
  <r>
    <n v="1297"/>
    <x v="177"/>
    <x v="24"/>
    <x v="0"/>
    <x v="3"/>
    <x v="1"/>
    <x v="7"/>
    <x v="691"/>
    <x v="0"/>
    <n v="0"/>
    <x v="11"/>
    <n v="0"/>
    <x v="8"/>
    <x v="3"/>
  </r>
  <r>
    <n v="3470"/>
    <x v="177"/>
    <x v="11"/>
    <x v="0"/>
    <x v="2"/>
    <x v="0"/>
    <x v="0"/>
    <x v="1637"/>
    <x v="8"/>
    <n v="0"/>
    <x v="11"/>
    <n v="0"/>
    <x v="8"/>
    <x v="3"/>
  </r>
  <r>
    <n v="2634"/>
    <x v="177"/>
    <x v="3"/>
    <x v="1"/>
    <x v="3"/>
    <x v="1"/>
    <x v="3"/>
    <x v="2211"/>
    <x v="4"/>
    <n v="0"/>
    <x v="11"/>
    <n v="0"/>
    <x v="8"/>
    <x v="3"/>
  </r>
  <r>
    <n v="3939"/>
    <x v="177"/>
    <x v="34"/>
    <x v="1"/>
    <x v="3"/>
    <x v="1"/>
    <x v="6"/>
    <x v="3589"/>
    <x v="11"/>
    <n v="0"/>
    <x v="11"/>
    <n v="0"/>
    <x v="8"/>
    <x v="3"/>
  </r>
  <r>
    <n v="3333"/>
    <x v="177"/>
    <x v="45"/>
    <x v="0"/>
    <x v="2"/>
    <x v="1"/>
    <x v="5"/>
    <x v="681"/>
    <x v="5"/>
    <n v="0"/>
    <x v="11"/>
    <n v="0"/>
    <x v="8"/>
    <x v="3"/>
  </r>
  <r>
    <n v="3456"/>
    <x v="177"/>
    <x v="11"/>
    <x v="0"/>
    <x v="2"/>
    <x v="1"/>
    <x v="4"/>
    <x v="3590"/>
    <x v="2"/>
    <n v="0"/>
    <x v="11"/>
    <n v="0"/>
    <x v="8"/>
    <x v="3"/>
  </r>
  <r>
    <n v="4541"/>
    <x v="177"/>
    <x v="56"/>
    <x v="1"/>
    <x v="0"/>
    <x v="2"/>
    <x v="0"/>
    <x v="1901"/>
    <x v="8"/>
    <n v="0"/>
    <x v="11"/>
    <n v="0"/>
    <x v="8"/>
    <x v="3"/>
  </r>
  <r>
    <n v="4650"/>
    <x v="177"/>
    <x v="31"/>
    <x v="0"/>
    <x v="2"/>
    <x v="3"/>
    <x v="0"/>
    <x v="3591"/>
    <x v="1"/>
    <n v="0"/>
    <x v="11"/>
    <n v="0"/>
    <x v="8"/>
    <x v="3"/>
  </r>
  <r>
    <n v="32"/>
    <x v="177"/>
    <x v="7"/>
    <x v="1"/>
    <x v="3"/>
    <x v="0"/>
    <x v="0"/>
    <x v="3592"/>
    <x v="0"/>
    <n v="0"/>
    <x v="11"/>
    <n v="0"/>
    <x v="8"/>
    <x v="3"/>
  </r>
  <r>
    <n v="2970"/>
    <x v="178"/>
    <x v="45"/>
    <x v="0"/>
    <x v="3"/>
    <x v="0"/>
    <x v="0"/>
    <x v="1761"/>
    <x v="6"/>
    <n v="1"/>
    <x v="1635"/>
    <n v="3"/>
    <x v="15"/>
    <x v="0"/>
  </r>
  <r>
    <n v="986"/>
    <x v="178"/>
    <x v="24"/>
    <x v="1"/>
    <x v="2"/>
    <x v="0"/>
    <x v="0"/>
    <x v="3593"/>
    <x v="10"/>
    <n v="1"/>
    <x v="1636"/>
    <n v="2"/>
    <x v="13"/>
    <x v="1"/>
  </r>
  <r>
    <n v="2086"/>
    <x v="178"/>
    <x v="10"/>
    <x v="1"/>
    <x v="3"/>
    <x v="3"/>
    <x v="0"/>
    <x v="3594"/>
    <x v="1"/>
    <n v="1"/>
    <x v="1637"/>
    <n v="2"/>
    <x v="2"/>
    <x v="0"/>
  </r>
  <r>
    <n v="650"/>
    <x v="178"/>
    <x v="24"/>
    <x v="0"/>
    <x v="3"/>
    <x v="1"/>
    <x v="5"/>
    <x v="3595"/>
    <x v="5"/>
    <n v="1"/>
    <x v="1638"/>
    <n v="4"/>
    <x v="6"/>
    <x v="1"/>
  </r>
  <r>
    <n v="1664"/>
    <x v="178"/>
    <x v="24"/>
    <x v="1"/>
    <x v="0"/>
    <x v="3"/>
    <x v="0"/>
    <x v="3596"/>
    <x v="5"/>
    <n v="1"/>
    <x v="1639"/>
    <n v="2"/>
    <x v="12"/>
    <x v="0"/>
  </r>
  <r>
    <n v="1138"/>
    <x v="178"/>
    <x v="5"/>
    <x v="0"/>
    <x v="0"/>
    <x v="2"/>
    <x v="0"/>
    <x v="3172"/>
    <x v="1"/>
    <n v="1"/>
    <x v="1640"/>
    <n v="2"/>
    <x v="9"/>
    <x v="0"/>
  </r>
  <r>
    <n v="1584"/>
    <x v="178"/>
    <x v="4"/>
    <x v="1"/>
    <x v="3"/>
    <x v="3"/>
    <x v="0"/>
    <x v="3143"/>
    <x v="2"/>
    <n v="1"/>
    <x v="1641"/>
    <n v="1"/>
    <x v="14"/>
    <x v="2"/>
  </r>
  <r>
    <n v="1330"/>
    <x v="178"/>
    <x v="33"/>
    <x v="0"/>
    <x v="1"/>
    <x v="1"/>
    <x v="7"/>
    <x v="3597"/>
    <x v="5"/>
    <n v="0"/>
    <x v="11"/>
    <n v="0"/>
    <x v="8"/>
    <x v="3"/>
  </r>
  <r>
    <n v="143"/>
    <x v="178"/>
    <x v="5"/>
    <x v="1"/>
    <x v="1"/>
    <x v="0"/>
    <x v="0"/>
    <x v="3598"/>
    <x v="5"/>
    <n v="0"/>
    <x v="11"/>
    <n v="0"/>
    <x v="8"/>
    <x v="3"/>
  </r>
  <r>
    <n v="2877"/>
    <x v="178"/>
    <x v="26"/>
    <x v="1"/>
    <x v="2"/>
    <x v="0"/>
    <x v="0"/>
    <x v="3599"/>
    <x v="11"/>
    <n v="0"/>
    <x v="11"/>
    <n v="0"/>
    <x v="8"/>
    <x v="3"/>
  </r>
  <r>
    <n v="4193"/>
    <x v="178"/>
    <x v="26"/>
    <x v="0"/>
    <x v="2"/>
    <x v="0"/>
    <x v="0"/>
    <x v="3600"/>
    <x v="5"/>
    <n v="0"/>
    <x v="11"/>
    <n v="0"/>
    <x v="8"/>
    <x v="3"/>
  </r>
  <r>
    <n v="4218"/>
    <x v="178"/>
    <x v="43"/>
    <x v="1"/>
    <x v="2"/>
    <x v="1"/>
    <x v="2"/>
    <x v="1763"/>
    <x v="11"/>
    <n v="0"/>
    <x v="11"/>
    <n v="0"/>
    <x v="8"/>
    <x v="3"/>
  </r>
  <r>
    <n v="1132"/>
    <x v="178"/>
    <x v="8"/>
    <x v="1"/>
    <x v="1"/>
    <x v="3"/>
    <x v="0"/>
    <x v="3514"/>
    <x v="0"/>
    <n v="0"/>
    <x v="11"/>
    <n v="0"/>
    <x v="8"/>
    <x v="3"/>
  </r>
  <r>
    <n v="835"/>
    <x v="178"/>
    <x v="7"/>
    <x v="0"/>
    <x v="3"/>
    <x v="1"/>
    <x v="5"/>
    <x v="2089"/>
    <x v="8"/>
    <n v="0"/>
    <x v="11"/>
    <n v="0"/>
    <x v="8"/>
    <x v="3"/>
  </r>
  <r>
    <n v="979"/>
    <x v="178"/>
    <x v="23"/>
    <x v="1"/>
    <x v="0"/>
    <x v="0"/>
    <x v="0"/>
    <x v="2637"/>
    <x v="8"/>
    <n v="0"/>
    <x v="11"/>
    <n v="0"/>
    <x v="8"/>
    <x v="3"/>
  </r>
  <r>
    <n v="1451"/>
    <x v="178"/>
    <x v="24"/>
    <x v="0"/>
    <x v="0"/>
    <x v="2"/>
    <x v="0"/>
    <x v="3061"/>
    <x v="2"/>
    <n v="0"/>
    <x v="11"/>
    <n v="0"/>
    <x v="8"/>
    <x v="3"/>
  </r>
  <r>
    <n v="42"/>
    <x v="178"/>
    <x v="39"/>
    <x v="0"/>
    <x v="0"/>
    <x v="0"/>
    <x v="0"/>
    <x v="3601"/>
    <x v="1"/>
    <n v="0"/>
    <x v="11"/>
    <n v="0"/>
    <x v="8"/>
    <x v="3"/>
  </r>
  <r>
    <n v="2598"/>
    <x v="178"/>
    <x v="6"/>
    <x v="0"/>
    <x v="3"/>
    <x v="1"/>
    <x v="7"/>
    <x v="3602"/>
    <x v="8"/>
    <n v="0"/>
    <x v="11"/>
    <n v="0"/>
    <x v="8"/>
    <x v="3"/>
  </r>
  <r>
    <n v="4505"/>
    <x v="178"/>
    <x v="15"/>
    <x v="0"/>
    <x v="3"/>
    <x v="0"/>
    <x v="0"/>
    <x v="1166"/>
    <x v="0"/>
    <n v="0"/>
    <x v="11"/>
    <n v="0"/>
    <x v="8"/>
    <x v="3"/>
  </r>
  <r>
    <n v="1280"/>
    <x v="178"/>
    <x v="7"/>
    <x v="0"/>
    <x v="2"/>
    <x v="2"/>
    <x v="0"/>
    <x v="329"/>
    <x v="0"/>
    <n v="0"/>
    <x v="11"/>
    <n v="0"/>
    <x v="8"/>
    <x v="3"/>
  </r>
  <r>
    <n v="2817"/>
    <x v="178"/>
    <x v="25"/>
    <x v="1"/>
    <x v="3"/>
    <x v="3"/>
    <x v="0"/>
    <x v="1317"/>
    <x v="0"/>
    <n v="0"/>
    <x v="11"/>
    <n v="0"/>
    <x v="8"/>
    <x v="3"/>
  </r>
  <r>
    <n v="1939"/>
    <x v="178"/>
    <x v="8"/>
    <x v="1"/>
    <x v="0"/>
    <x v="2"/>
    <x v="0"/>
    <x v="1097"/>
    <x v="2"/>
    <n v="0"/>
    <x v="11"/>
    <n v="0"/>
    <x v="8"/>
    <x v="3"/>
  </r>
  <r>
    <n v="1988"/>
    <x v="178"/>
    <x v="33"/>
    <x v="1"/>
    <x v="0"/>
    <x v="1"/>
    <x v="3"/>
    <x v="3036"/>
    <x v="4"/>
    <n v="0"/>
    <x v="11"/>
    <n v="0"/>
    <x v="8"/>
    <x v="3"/>
  </r>
  <r>
    <n v="2682"/>
    <x v="179"/>
    <x v="26"/>
    <x v="1"/>
    <x v="1"/>
    <x v="2"/>
    <x v="0"/>
    <x v="664"/>
    <x v="5"/>
    <n v="1"/>
    <x v="1642"/>
    <n v="2"/>
    <x v="9"/>
    <x v="1"/>
  </r>
  <r>
    <n v="932"/>
    <x v="179"/>
    <x v="24"/>
    <x v="1"/>
    <x v="0"/>
    <x v="1"/>
    <x v="4"/>
    <x v="3336"/>
    <x v="8"/>
    <n v="1"/>
    <x v="755"/>
    <n v="2"/>
    <x v="12"/>
    <x v="0"/>
  </r>
  <r>
    <n v="2176"/>
    <x v="179"/>
    <x v="19"/>
    <x v="0"/>
    <x v="1"/>
    <x v="1"/>
    <x v="1"/>
    <x v="975"/>
    <x v="5"/>
    <n v="1"/>
    <x v="1643"/>
    <n v="1"/>
    <x v="5"/>
    <x v="0"/>
  </r>
  <r>
    <n v="4657"/>
    <x v="179"/>
    <x v="13"/>
    <x v="0"/>
    <x v="0"/>
    <x v="3"/>
    <x v="0"/>
    <x v="548"/>
    <x v="2"/>
    <n v="1"/>
    <x v="1644"/>
    <n v="3"/>
    <x v="14"/>
    <x v="0"/>
  </r>
  <r>
    <n v="166"/>
    <x v="179"/>
    <x v="5"/>
    <x v="0"/>
    <x v="2"/>
    <x v="0"/>
    <x v="0"/>
    <x v="3603"/>
    <x v="8"/>
    <n v="1"/>
    <x v="1645"/>
    <n v="1"/>
    <x v="6"/>
    <x v="1"/>
  </r>
  <r>
    <n v="2890"/>
    <x v="179"/>
    <x v="16"/>
    <x v="1"/>
    <x v="2"/>
    <x v="3"/>
    <x v="0"/>
    <x v="3604"/>
    <x v="0"/>
    <n v="1"/>
    <x v="1646"/>
    <n v="2"/>
    <x v="1"/>
    <x v="1"/>
  </r>
  <r>
    <n v="1448"/>
    <x v="179"/>
    <x v="8"/>
    <x v="0"/>
    <x v="3"/>
    <x v="0"/>
    <x v="0"/>
    <x v="251"/>
    <x v="2"/>
    <n v="1"/>
    <x v="1647"/>
    <n v="6"/>
    <x v="14"/>
    <x v="2"/>
  </r>
  <r>
    <n v="1152"/>
    <x v="179"/>
    <x v="31"/>
    <x v="0"/>
    <x v="0"/>
    <x v="1"/>
    <x v="5"/>
    <x v="2520"/>
    <x v="1"/>
    <n v="1"/>
    <x v="1482"/>
    <n v="2"/>
    <x v="7"/>
    <x v="2"/>
  </r>
  <r>
    <n v="3475"/>
    <x v="179"/>
    <x v="27"/>
    <x v="0"/>
    <x v="2"/>
    <x v="3"/>
    <x v="0"/>
    <x v="3605"/>
    <x v="4"/>
    <n v="0"/>
    <x v="11"/>
    <n v="0"/>
    <x v="8"/>
    <x v="3"/>
  </r>
  <r>
    <n v="3952"/>
    <x v="179"/>
    <x v="41"/>
    <x v="1"/>
    <x v="3"/>
    <x v="1"/>
    <x v="6"/>
    <x v="3606"/>
    <x v="5"/>
    <n v="0"/>
    <x v="11"/>
    <n v="0"/>
    <x v="8"/>
    <x v="3"/>
  </r>
  <r>
    <n v="2444"/>
    <x v="179"/>
    <x v="14"/>
    <x v="1"/>
    <x v="2"/>
    <x v="1"/>
    <x v="6"/>
    <x v="3607"/>
    <x v="0"/>
    <n v="0"/>
    <x v="11"/>
    <n v="0"/>
    <x v="8"/>
    <x v="3"/>
  </r>
  <r>
    <n v="3722"/>
    <x v="179"/>
    <x v="41"/>
    <x v="1"/>
    <x v="0"/>
    <x v="0"/>
    <x v="0"/>
    <x v="951"/>
    <x v="5"/>
    <n v="0"/>
    <x v="11"/>
    <n v="0"/>
    <x v="8"/>
    <x v="3"/>
  </r>
  <r>
    <n v="3206"/>
    <x v="179"/>
    <x v="8"/>
    <x v="0"/>
    <x v="0"/>
    <x v="0"/>
    <x v="0"/>
    <x v="3608"/>
    <x v="2"/>
    <n v="0"/>
    <x v="11"/>
    <n v="0"/>
    <x v="8"/>
    <x v="3"/>
  </r>
  <r>
    <n v="3275"/>
    <x v="179"/>
    <x v="0"/>
    <x v="1"/>
    <x v="3"/>
    <x v="1"/>
    <x v="3"/>
    <x v="3609"/>
    <x v="2"/>
    <n v="0"/>
    <x v="11"/>
    <n v="0"/>
    <x v="8"/>
    <x v="3"/>
  </r>
  <r>
    <n v="3425"/>
    <x v="179"/>
    <x v="30"/>
    <x v="0"/>
    <x v="3"/>
    <x v="0"/>
    <x v="0"/>
    <x v="3610"/>
    <x v="8"/>
    <n v="0"/>
    <x v="11"/>
    <n v="0"/>
    <x v="8"/>
    <x v="3"/>
  </r>
  <r>
    <n v="3469"/>
    <x v="179"/>
    <x v="17"/>
    <x v="0"/>
    <x v="1"/>
    <x v="0"/>
    <x v="0"/>
    <x v="2152"/>
    <x v="8"/>
    <n v="0"/>
    <x v="11"/>
    <n v="0"/>
    <x v="8"/>
    <x v="3"/>
  </r>
  <r>
    <n v="315"/>
    <x v="179"/>
    <x v="2"/>
    <x v="1"/>
    <x v="3"/>
    <x v="0"/>
    <x v="0"/>
    <x v="2695"/>
    <x v="0"/>
    <n v="0"/>
    <x v="11"/>
    <n v="0"/>
    <x v="8"/>
    <x v="3"/>
  </r>
  <r>
    <n v="3130"/>
    <x v="179"/>
    <x v="19"/>
    <x v="0"/>
    <x v="2"/>
    <x v="0"/>
    <x v="0"/>
    <x v="762"/>
    <x v="0"/>
    <n v="0"/>
    <x v="11"/>
    <n v="0"/>
    <x v="8"/>
    <x v="3"/>
  </r>
  <r>
    <n v="4668"/>
    <x v="179"/>
    <x v="43"/>
    <x v="1"/>
    <x v="0"/>
    <x v="0"/>
    <x v="0"/>
    <x v="1287"/>
    <x v="8"/>
    <n v="0"/>
    <x v="11"/>
    <n v="0"/>
    <x v="8"/>
    <x v="3"/>
  </r>
  <r>
    <n v="2536"/>
    <x v="179"/>
    <x v="19"/>
    <x v="1"/>
    <x v="3"/>
    <x v="2"/>
    <x v="0"/>
    <x v="3611"/>
    <x v="6"/>
    <n v="0"/>
    <x v="11"/>
    <n v="0"/>
    <x v="8"/>
    <x v="3"/>
  </r>
  <r>
    <n v="3582"/>
    <x v="179"/>
    <x v="13"/>
    <x v="0"/>
    <x v="1"/>
    <x v="0"/>
    <x v="0"/>
    <x v="3612"/>
    <x v="8"/>
    <n v="0"/>
    <x v="11"/>
    <n v="0"/>
    <x v="8"/>
    <x v="3"/>
  </r>
  <r>
    <n v="3860"/>
    <x v="179"/>
    <x v="17"/>
    <x v="0"/>
    <x v="2"/>
    <x v="1"/>
    <x v="5"/>
    <x v="3613"/>
    <x v="10"/>
    <n v="0"/>
    <x v="11"/>
    <n v="0"/>
    <x v="8"/>
    <x v="3"/>
  </r>
  <r>
    <n v="525"/>
    <x v="179"/>
    <x v="16"/>
    <x v="1"/>
    <x v="3"/>
    <x v="0"/>
    <x v="0"/>
    <x v="3614"/>
    <x v="5"/>
    <n v="0"/>
    <x v="11"/>
    <n v="0"/>
    <x v="8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0">
  <r>
    <n v="2295"/>
    <d v="2025-01-01T00:00:00"/>
    <n v="30"/>
    <s v="Male"/>
    <s v="South"/>
    <x v="0"/>
    <m/>
    <n v="373.7"/>
    <n v="8"/>
    <n v="1"/>
    <x v="0"/>
    <n v="5"/>
    <n v="9"/>
    <n v="4"/>
    <x v="0"/>
  </r>
  <r>
    <n v="2903"/>
    <d v="2025-01-01T00:00:00"/>
    <n v="55"/>
    <s v="Female"/>
    <s v="South"/>
    <x v="1"/>
    <s v="CAMP3"/>
    <n v="1407.9"/>
    <n v="3"/>
    <n v="1"/>
    <x v="1"/>
    <n v="3"/>
    <n v="12"/>
    <n v="5"/>
    <x v="0"/>
  </r>
  <r>
    <n v="1922"/>
    <d v="2025-01-01T00:00:00"/>
    <n v="21"/>
    <s v="Female"/>
    <s v="North"/>
    <x v="2"/>
    <m/>
    <n v="493"/>
    <n v="5"/>
    <n v="1"/>
    <x v="2"/>
    <n v="4"/>
    <n v="14"/>
    <n v="4"/>
    <x v="0"/>
  </r>
  <r>
    <n v="3627"/>
    <d v="2025-01-01T00:00:00"/>
    <n v="44"/>
    <s v="Male"/>
    <s v="South"/>
    <x v="0"/>
    <m/>
    <n v="784.2"/>
    <n v="13"/>
    <n v="1"/>
    <x v="3"/>
    <n v="2"/>
    <n v="5"/>
    <n v="3"/>
    <x v="0"/>
  </r>
  <r>
    <n v="2605"/>
    <d v="2025-01-01T00:00:00"/>
    <n v="22"/>
    <s v="Male"/>
    <s v="East"/>
    <x v="0"/>
    <m/>
    <n v="1090.9000000000001"/>
    <n v="9"/>
    <n v="1"/>
    <x v="4"/>
    <n v="4"/>
    <n v="1"/>
    <n v="4"/>
    <x v="0"/>
  </r>
  <r>
    <n v="3218"/>
    <d v="2025-01-01T00:00:00"/>
    <n v="32"/>
    <s v="Male"/>
    <s v="North"/>
    <x v="3"/>
    <m/>
    <n v="1417.7"/>
    <n v="6"/>
    <n v="1"/>
    <x v="5"/>
    <n v="3"/>
    <n v="13"/>
    <n v="5"/>
    <x v="0"/>
  </r>
  <r>
    <n v="822"/>
    <d v="2025-01-01T00:00:00"/>
    <n v="27"/>
    <s v="Male"/>
    <s v="East"/>
    <x v="3"/>
    <m/>
    <n v="253"/>
    <n v="4"/>
    <n v="1"/>
    <x v="6"/>
    <n v="3"/>
    <n v="9"/>
    <n v="5"/>
    <x v="0"/>
  </r>
  <r>
    <n v="73"/>
    <d v="2025-01-01T00:00:00"/>
    <n v="25"/>
    <s v="Female"/>
    <s v="South"/>
    <x v="3"/>
    <m/>
    <n v="276.10000000000002"/>
    <n v="9"/>
    <n v="1"/>
    <x v="7"/>
    <n v="2"/>
    <n v="4"/>
    <n v="4"/>
    <x v="0"/>
  </r>
  <r>
    <n v="1902"/>
    <d v="2025-01-01T00:00:00"/>
    <n v="18"/>
    <s v="Female"/>
    <s v="West"/>
    <x v="0"/>
    <m/>
    <n v="436"/>
    <n v="1"/>
    <n v="1"/>
    <x v="8"/>
    <n v="5"/>
    <n v="8"/>
    <n v="5"/>
    <x v="0"/>
  </r>
  <r>
    <n v="4979"/>
    <d v="2025-01-01T00:00:00"/>
    <n v="67"/>
    <s v="Male"/>
    <s v="East"/>
    <x v="0"/>
    <m/>
    <n v="198.9"/>
    <n v="4"/>
    <n v="1"/>
    <x v="9"/>
    <n v="7"/>
    <n v="9"/>
    <n v="5"/>
    <x v="0"/>
  </r>
  <r>
    <n v="1427"/>
    <d v="2025-01-01T00:00:00"/>
    <n v="23"/>
    <s v="Male"/>
    <s v="North"/>
    <x v="0"/>
    <m/>
    <n v="80.3"/>
    <n v="6"/>
    <n v="1"/>
    <x v="10"/>
    <n v="4"/>
    <n v="8"/>
    <n v="5"/>
    <x v="0"/>
  </r>
  <r>
    <n v="2633"/>
    <d v="2025-01-01T00:00:00"/>
    <n v="36"/>
    <s v="Female"/>
    <s v="South"/>
    <x v="1"/>
    <s v="CAMP5"/>
    <n v="483.7"/>
    <n v="3"/>
    <n v="0"/>
    <x v="11"/>
    <n v="0"/>
    <n v="0"/>
    <m/>
    <x v="0"/>
  </r>
  <r>
    <n v="4777"/>
    <d v="2025-01-01T00:00:00"/>
    <n v="55"/>
    <s v="Male"/>
    <s v="South"/>
    <x v="0"/>
    <m/>
    <n v="466.4"/>
    <n v="7"/>
    <n v="0"/>
    <x v="11"/>
    <n v="0"/>
    <n v="0"/>
    <m/>
    <x v="0"/>
  </r>
  <r>
    <n v="4412"/>
    <d v="2025-01-01T00:00:00"/>
    <n v="58"/>
    <s v="Male"/>
    <s v="South"/>
    <x v="1"/>
    <s v="CAMP3"/>
    <n v="454"/>
    <n v="3"/>
    <n v="0"/>
    <x v="11"/>
    <n v="0"/>
    <n v="0"/>
    <m/>
    <x v="0"/>
  </r>
  <r>
    <n v="2328"/>
    <d v="2025-01-01T00:00:00"/>
    <n v="39"/>
    <s v="Female"/>
    <s v="East"/>
    <x v="0"/>
    <m/>
    <n v="180.4"/>
    <n v="11"/>
    <n v="0"/>
    <x v="11"/>
    <n v="0"/>
    <n v="0"/>
    <m/>
    <x v="0"/>
  </r>
  <r>
    <n v="4152"/>
    <d v="2025-01-01T00:00:00"/>
    <n v="45"/>
    <s v="Male"/>
    <s v="North"/>
    <x v="0"/>
    <m/>
    <n v="168.2"/>
    <n v="5"/>
    <n v="0"/>
    <x v="11"/>
    <n v="0"/>
    <n v="0"/>
    <m/>
    <x v="0"/>
  </r>
  <r>
    <n v="4130"/>
    <d v="2025-01-01T00:00:00"/>
    <n v="57"/>
    <s v="Male"/>
    <s v="West"/>
    <x v="1"/>
    <s v="CAMP2"/>
    <n v="131"/>
    <n v="7"/>
    <n v="0"/>
    <x v="11"/>
    <n v="0"/>
    <n v="0"/>
    <m/>
    <x v="0"/>
  </r>
  <r>
    <n v="2612"/>
    <d v="2025-01-01T00:00:00"/>
    <n v="29"/>
    <s v="Other"/>
    <s v="East"/>
    <x v="3"/>
    <m/>
    <n v="128.19999999999999"/>
    <n v="4"/>
    <n v="0"/>
    <x v="11"/>
    <n v="0"/>
    <n v="0"/>
    <m/>
    <x v="0"/>
  </r>
  <r>
    <n v="2912"/>
    <d v="2025-01-01T00:00:00"/>
    <n v="21"/>
    <s v="Female"/>
    <s v="East"/>
    <x v="0"/>
    <m/>
    <n v="114.4"/>
    <n v="2"/>
    <n v="0"/>
    <x v="11"/>
    <n v="0"/>
    <n v="0"/>
    <m/>
    <x v="0"/>
  </r>
  <r>
    <n v="2715"/>
    <d v="2025-01-01T00:00:00"/>
    <n v="25"/>
    <s v="Male"/>
    <s v="East"/>
    <x v="0"/>
    <m/>
    <n v="88.4"/>
    <n v="8"/>
    <n v="0"/>
    <x v="11"/>
    <n v="0"/>
    <n v="0"/>
    <m/>
    <x v="0"/>
  </r>
  <r>
    <n v="209"/>
    <d v="2025-01-01T00:00:00"/>
    <n v="25"/>
    <s v="Female"/>
    <s v="East"/>
    <x v="0"/>
    <m/>
    <n v="88.2"/>
    <n v="8"/>
    <n v="0"/>
    <x v="11"/>
    <n v="0"/>
    <n v="0"/>
    <m/>
    <x v="0"/>
  </r>
  <r>
    <n v="4726"/>
    <d v="2025-01-01T00:00:00"/>
    <n v="43"/>
    <s v="Male"/>
    <s v="East"/>
    <x v="1"/>
    <s v="CAMP4"/>
    <n v="61.7"/>
    <n v="7"/>
    <n v="0"/>
    <x v="11"/>
    <n v="0"/>
    <n v="0"/>
    <m/>
    <x v="0"/>
  </r>
  <r>
    <n v="3318"/>
    <d v="2025-01-01T00:00:00"/>
    <n v="55"/>
    <s v="Female"/>
    <s v="North"/>
    <x v="3"/>
    <m/>
    <n v="36.4"/>
    <n v="8"/>
    <n v="0"/>
    <x v="11"/>
    <n v="0"/>
    <n v="0"/>
    <m/>
    <x v="0"/>
  </r>
  <r>
    <n v="953"/>
    <d v="2025-02-01T00:00:00"/>
    <n v="20"/>
    <s v="Male"/>
    <s v="North"/>
    <x v="2"/>
    <m/>
    <n v="154.1"/>
    <n v="4"/>
    <n v="1"/>
    <x v="12"/>
    <n v="2"/>
    <n v="7"/>
    <n v="4"/>
    <x v="1"/>
  </r>
  <r>
    <n v="1625"/>
    <d v="2025-02-01T00:00:00"/>
    <n v="30"/>
    <s v="Female"/>
    <s v="South"/>
    <x v="1"/>
    <s v="CAMP5"/>
    <n v="315.3"/>
    <n v="2"/>
    <n v="1"/>
    <x v="13"/>
    <n v="4"/>
    <n v="10"/>
    <n v="3"/>
    <x v="1"/>
  </r>
  <r>
    <n v="1863"/>
    <d v="2025-02-01T00:00:00"/>
    <n v="44"/>
    <s v="Female"/>
    <s v="South"/>
    <x v="0"/>
    <m/>
    <n v="550.20000000000005"/>
    <n v="3"/>
    <n v="1"/>
    <x v="14"/>
    <n v="1"/>
    <n v="12"/>
    <n v="3"/>
    <x v="1"/>
  </r>
  <r>
    <n v="318"/>
    <d v="2025-02-01T00:00:00"/>
    <n v="21"/>
    <s v="Male"/>
    <s v="West"/>
    <x v="0"/>
    <m/>
    <n v="944.8"/>
    <n v="8"/>
    <n v="1"/>
    <x v="15"/>
    <n v="2"/>
    <n v="2"/>
    <n v="5"/>
    <x v="1"/>
  </r>
  <r>
    <n v="2860"/>
    <d v="2025-02-01T00:00:00"/>
    <n v="28"/>
    <s v="Male"/>
    <s v="South"/>
    <x v="1"/>
    <s v="CAMP3"/>
    <n v="145.80000000000001"/>
    <n v="4"/>
    <n v="1"/>
    <x v="16"/>
    <n v="4"/>
    <n v="4"/>
    <n v="4"/>
    <x v="1"/>
  </r>
  <r>
    <n v="3592"/>
    <d v="2025-02-01T00:00:00"/>
    <n v="31"/>
    <s v="Female"/>
    <s v="South"/>
    <x v="0"/>
    <m/>
    <n v="518.4"/>
    <n v="7"/>
    <n v="1"/>
    <x v="17"/>
    <n v="5"/>
    <n v="11"/>
    <n v="4"/>
    <x v="1"/>
  </r>
  <r>
    <n v="4420"/>
    <d v="2025-02-01T00:00:00"/>
    <n v="53"/>
    <s v="Female"/>
    <s v="East"/>
    <x v="3"/>
    <m/>
    <n v="476.9"/>
    <n v="6"/>
    <n v="1"/>
    <x v="18"/>
    <n v="3"/>
    <n v="13"/>
    <n v="5"/>
    <x v="1"/>
  </r>
  <r>
    <n v="4104"/>
    <d v="2025-02-01T00:00:00"/>
    <n v="58"/>
    <s v="Female"/>
    <s v="East"/>
    <x v="0"/>
    <m/>
    <n v="939.6"/>
    <n v="6"/>
    <n v="0"/>
    <x v="11"/>
    <n v="0"/>
    <n v="0"/>
    <m/>
    <x v="1"/>
  </r>
  <r>
    <n v="176"/>
    <d v="2025-02-01T00:00:00"/>
    <n v="18"/>
    <s v="Male"/>
    <s v="North"/>
    <x v="2"/>
    <m/>
    <n v="806.4"/>
    <n v="5"/>
    <n v="0"/>
    <x v="11"/>
    <n v="0"/>
    <n v="0"/>
    <m/>
    <x v="1"/>
  </r>
  <r>
    <n v="240"/>
    <d v="2025-02-01T00:00:00"/>
    <n v="22"/>
    <s v="Male"/>
    <s v="East"/>
    <x v="0"/>
    <m/>
    <n v="770.5"/>
    <n v="9"/>
    <n v="0"/>
    <x v="11"/>
    <n v="0"/>
    <n v="0"/>
    <m/>
    <x v="1"/>
  </r>
  <r>
    <n v="3677"/>
    <d v="2025-02-01T00:00:00"/>
    <n v="24"/>
    <s v="Female"/>
    <s v="South"/>
    <x v="1"/>
    <s v="CAMP4"/>
    <n v="682.3"/>
    <n v="7"/>
    <n v="0"/>
    <x v="11"/>
    <n v="0"/>
    <n v="0"/>
    <m/>
    <x v="1"/>
  </r>
  <r>
    <n v="2173"/>
    <d v="2025-02-01T00:00:00"/>
    <n v="33"/>
    <s v="Female"/>
    <s v="East"/>
    <x v="2"/>
    <m/>
    <n v="509.9"/>
    <n v="4"/>
    <n v="0"/>
    <x v="11"/>
    <n v="0"/>
    <n v="0"/>
    <m/>
    <x v="1"/>
  </r>
  <r>
    <n v="343"/>
    <d v="2025-02-01T00:00:00"/>
    <n v="21"/>
    <s v="Female"/>
    <s v="North"/>
    <x v="0"/>
    <m/>
    <n v="487.1"/>
    <n v="6"/>
    <n v="0"/>
    <x v="11"/>
    <n v="0"/>
    <n v="0"/>
    <m/>
    <x v="1"/>
  </r>
  <r>
    <n v="1106"/>
    <d v="2025-02-01T00:00:00"/>
    <n v="25"/>
    <s v="Female"/>
    <s v="North"/>
    <x v="1"/>
    <s v="CAMP2"/>
    <n v="457.6"/>
    <n v="5"/>
    <n v="0"/>
    <x v="11"/>
    <n v="0"/>
    <n v="0"/>
    <m/>
    <x v="1"/>
  </r>
  <r>
    <n v="1691"/>
    <d v="2025-02-01T00:00:00"/>
    <n v="26"/>
    <s v="Female"/>
    <s v="West"/>
    <x v="0"/>
    <m/>
    <n v="411"/>
    <n v="4"/>
    <n v="0"/>
    <x v="11"/>
    <n v="0"/>
    <n v="0"/>
    <m/>
    <x v="1"/>
  </r>
  <r>
    <n v="4316"/>
    <d v="2025-02-01T00:00:00"/>
    <n v="52"/>
    <s v="Male"/>
    <s v="South"/>
    <x v="2"/>
    <m/>
    <n v="338.2"/>
    <n v="4"/>
    <n v="0"/>
    <x v="11"/>
    <n v="0"/>
    <n v="0"/>
    <m/>
    <x v="1"/>
  </r>
  <r>
    <n v="2152"/>
    <d v="2025-02-01T00:00:00"/>
    <n v="28"/>
    <s v="Male"/>
    <s v="South"/>
    <x v="1"/>
    <s v="CAMP4"/>
    <n v="305"/>
    <n v="10"/>
    <n v="0"/>
    <x v="11"/>
    <n v="0"/>
    <n v="0"/>
    <m/>
    <x v="1"/>
  </r>
  <r>
    <n v="1446"/>
    <d v="2025-02-01T00:00:00"/>
    <n v="18"/>
    <s v="Female"/>
    <s v="East"/>
    <x v="0"/>
    <m/>
    <n v="296.60000000000002"/>
    <n v="8"/>
    <n v="0"/>
    <x v="11"/>
    <n v="0"/>
    <n v="0"/>
    <m/>
    <x v="1"/>
  </r>
  <r>
    <n v="3620"/>
    <d v="2025-02-01T00:00:00"/>
    <n v="26"/>
    <s v="Male"/>
    <s v="East"/>
    <x v="0"/>
    <m/>
    <n v="296.3"/>
    <n v="3"/>
    <n v="0"/>
    <x v="11"/>
    <n v="0"/>
    <n v="0"/>
    <m/>
    <x v="1"/>
  </r>
  <r>
    <n v="3799"/>
    <d v="2025-02-01T00:00:00"/>
    <n v="57"/>
    <s v="Female"/>
    <s v="East"/>
    <x v="0"/>
    <m/>
    <n v="286.10000000000002"/>
    <n v="10"/>
    <n v="0"/>
    <x v="11"/>
    <n v="0"/>
    <n v="0"/>
    <m/>
    <x v="1"/>
  </r>
  <r>
    <n v="1809"/>
    <d v="2025-02-01T00:00:00"/>
    <n v="35"/>
    <s v="Female"/>
    <s v="South"/>
    <x v="3"/>
    <m/>
    <n v="269.89999999999998"/>
    <n v="3"/>
    <n v="0"/>
    <x v="11"/>
    <n v="0"/>
    <n v="0"/>
    <m/>
    <x v="1"/>
  </r>
  <r>
    <n v="1096"/>
    <d v="2025-02-01T00:00:00"/>
    <n v="22"/>
    <s v="Female"/>
    <s v="South"/>
    <x v="1"/>
    <s v="CAMP3"/>
    <n v="256.60000000000002"/>
    <n v="8"/>
    <n v="0"/>
    <x v="11"/>
    <n v="0"/>
    <n v="0"/>
    <m/>
    <x v="1"/>
  </r>
  <r>
    <n v="598"/>
    <d v="2025-02-01T00:00:00"/>
    <n v="29"/>
    <s v="Female"/>
    <s v="West"/>
    <x v="0"/>
    <m/>
    <n v="217"/>
    <n v="7"/>
    <n v="0"/>
    <x v="11"/>
    <n v="0"/>
    <n v="0"/>
    <m/>
    <x v="1"/>
  </r>
  <r>
    <n v="388"/>
    <d v="2025-02-01T00:00:00"/>
    <n v="23"/>
    <s v="Female"/>
    <s v="South"/>
    <x v="3"/>
    <m/>
    <n v="193.1"/>
    <n v="7"/>
    <n v="0"/>
    <x v="11"/>
    <n v="0"/>
    <n v="0"/>
    <m/>
    <x v="1"/>
  </r>
  <r>
    <n v="4511"/>
    <d v="2025-02-01T00:00:00"/>
    <n v="41"/>
    <s v="Male"/>
    <s v="West"/>
    <x v="2"/>
    <m/>
    <n v="187.2"/>
    <n v="7"/>
    <n v="0"/>
    <x v="11"/>
    <n v="0"/>
    <n v="0"/>
    <m/>
    <x v="1"/>
  </r>
  <r>
    <n v="603"/>
    <d v="2025-02-01T00:00:00"/>
    <n v="27"/>
    <s v="Male"/>
    <s v="South"/>
    <x v="1"/>
    <s v="CAMP6"/>
    <n v="146.69999999999999"/>
    <n v="5"/>
    <n v="0"/>
    <x v="11"/>
    <n v="0"/>
    <n v="0"/>
    <m/>
    <x v="1"/>
  </r>
  <r>
    <n v="4171"/>
    <d v="2025-02-01T00:00:00"/>
    <n v="32"/>
    <s v="Female"/>
    <s v="North"/>
    <x v="3"/>
    <m/>
    <n v="128.1"/>
    <n v="5"/>
    <n v="0"/>
    <x v="11"/>
    <n v="0"/>
    <n v="0"/>
    <m/>
    <x v="1"/>
  </r>
  <r>
    <n v="671"/>
    <d v="2025-02-01T00:00:00"/>
    <n v="32"/>
    <s v="Female"/>
    <s v="East"/>
    <x v="0"/>
    <m/>
    <n v="116.3"/>
    <n v="7"/>
    <n v="0"/>
    <x v="11"/>
    <n v="0"/>
    <n v="0"/>
    <m/>
    <x v="1"/>
  </r>
  <r>
    <n v="834"/>
    <d v="2025-02-01T00:00:00"/>
    <n v="29"/>
    <s v="Male"/>
    <s v="South"/>
    <x v="0"/>
    <m/>
    <n v="105.6"/>
    <n v="8"/>
    <n v="0"/>
    <x v="11"/>
    <n v="0"/>
    <n v="0"/>
    <m/>
    <x v="1"/>
  </r>
  <r>
    <n v="1679"/>
    <d v="2025-02-01T00:00:00"/>
    <n v="23"/>
    <s v="Female"/>
    <s v="East"/>
    <x v="1"/>
    <s v="CAMP7"/>
    <n v="90.6"/>
    <n v="6"/>
    <n v="0"/>
    <x v="11"/>
    <n v="0"/>
    <n v="0"/>
    <m/>
    <x v="1"/>
  </r>
  <r>
    <n v="3586"/>
    <d v="2025-03-01T00:00:00"/>
    <n v="32"/>
    <s v="Female"/>
    <s v="East"/>
    <x v="0"/>
    <m/>
    <n v="344.7"/>
    <n v="7"/>
    <n v="1"/>
    <x v="19"/>
    <n v="3"/>
    <n v="11"/>
    <n v="4"/>
    <x v="2"/>
  </r>
  <r>
    <n v="83"/>
    <d v="2025-03-01T00:00:00"/>
    <n v="22"/>
    <s v="Female"/>
    <s v="West"/>
    <x v="0"/>
    <m/>
    <n v="317.7"/>
    <n v="12"/>
    <n v="1"/>
    <x v="20"/>
    <n v="3"/>
    <n v="5"/>
    <n v="4"/>
    <x v="2"/>
  </r>
  <r>
    <n v="418"/>
    <d v="2025-03-01T00:00:00"/>
    <n v="28"/>
    <s v="Male"/>
    <s v="East"/>
    <x v="0"/>
    <m/>
    <n v="583.6"/>
    <n v="9"/>
    <n v="1"/>
    <x v="21"/>
    <n v="1"/>
    <n v="4"/>
    <n v="3"/>
    <x v="2"/>
  </r>
  <r>
    <n v="1949"/>
    <d v="2025-03-01T00:00:00"/>
    <n v="33"/>
    <s v="Male"/>
    <s v="North"/>
    <x v="1"/>
    <s v="CAMP6"/>
    <n v="447.5"/>
    <n v="6"/>
    <n v="1"/>
    <x v="22"/>
    <n v="7"/>
    <n v="10"/>
    <n v="4"/>
    <x v="2"/>
  </r>
  <r>
    <n v="3824"/>
    <d v="2025-03-01T00:00:00"/>
    <n v="50"/>
    <s v="Other"/>
    <s v="East"/>
    <x v="0"/>
    <m/>
    <n v="594.29999999999995"/>
    <n v="8"/>
    <n v="1"/>
    <x v="23"/>
    <n v="4"/>
    <n v="9"/>
    <n v="4"/>
    <x v="2"/>
  </r>
  <r>
    <n v="2288"/>
    <d v="2025-03-01T00:00:00"/>
    <n v="30"/>
    <s v="Male"/>
    <s v="East"/>
    <x v="0"/>
    <m/>
    <n v="738.8"/>
    <n v="11"/>
    <n v="1"/>
    <x v="24"/>
    <n v="1"/>
    <n v="9"/>
    <n v="3"/>
    <x v="2"/>
  </r>
  <r>
    <n v="2881"/>
    <d v="2025-03-01T00:00:00"/>
    <n v="28"/>
    <s v="Female"/>
    <s v="West"/>
    <x v="2"/>
    <m/>
    <n v="318.3"/>
    <n v="6"/>
    <n v="1"/>
    <x v="25"/>
    <n v="3"/>
    <n v="2"/>
    <n v="4"/>
    <x v="2"/>
  </r>
  <r>
    <n v="3024"/>
    <d v="2025-03-01T00:00:00"/>
    <n v="39"/>
    <s v="Male"/>
    <s v="East"/>
    <x v="1"/>
    <s v="CAMP1"/>
    <n v="593.6"/>
    <n v="6"/>
    <n v="1"/>
    <x v="26"/>
    <n v="1"/>
    <n v="15"/>
    <n v="4"/>
    <x v="2"/>
  </r>
  <r>
    <n v="4047"/>
    <d v="2025-03-01T00:00:00"/>
    <n v="53"/>
    <s v="Male"/>
    <s v="North"/>
    <x v="1"/>
    <s v="CAMP3"/>
    <n v="515.70000000000005"/>
    <n v="8"/>
    <n v="1"/>
    <x v="27"/>
    <n v="5"/>
    <n v="8"/>
    <n v="4"/>
    <x v="2"/>
  </r>
  <r>
    <n v="4998"/>
    <d v="2025-03-01T00:00:00"/>
    <n v="48"/>
    <s v="Female"/>
    <s v="South"/>
    <x v="3"/>
    <m/>
    <n v="837.2"/>
    <n v="5"/>
    <n v="1"/>
    <x v="28"/>
    <n v="4"/>
    <n v="12"/>
    <n v="4"/>
    <x v="2"/>
  </r>
  <r>
    <n v="1615"/>
    <d v="2025-03-01T00:00:00"/>
    <n v="25"/>
    <s v="Female"/>
    <s v="East"/>
    <x v="0"/>
    <m/>
    <n v="165"/>
    <n v="4"/>
    <n v="1"/>
    <x v="29"/>
    <n v="3"/>
    <n v="8"/>
    <n v="4"/>
    <x v="2"/>
  </r>
  <r>
    <n v="4637"/>
    <d v="2025-03-01T00:00:00"/>
    <n v="27"/>
    <s v="Female"/>
    <s v="South"/>
    <x v="3"/>
    <m/>
    <n v="693.4"/>
    <n v="7"/>
    <n v="0"/>
    <x v="11"/>
    <n v="0"/>
    <n v="0"/>
    <m/>
    <x v="2"/>
  </r>
  <r>
    <n v="4790"/>
    <d v="2025-03-01T00:00:00"/>
    <n v="49"/>
    <s v="Male"/>
    <s v="North"/>
    <x v="2"/>
    <m/>
    <n v="572.1"/>
    <n v="6"/>
    <n v="0"/>
    <x v="11"/>
    <n v="0"/>
    <n v="0"/>
    <m/>
    <x v="2"/>
  </r>
  <r>
    <n v="4917"/>
    <d v="2025-03-01T00:00:00"/>
    <n v="34"/>
    <s v="Male"/>
    <s v="South"/>
    <x v="0"/>
    <m/>
    <n v="497.8"/>
    <n v="7"/>
    <n v="0"/>
    <x v="11"/>
    <n v="0"/>
    <n v="0"/>
    <m/>
    <x v="2"/>
  </r>
  <r>
    <n v="2070"/>
    <d v="2025-03-01T00:00:00"/>
    <n v="39"/>
    <s v="Male"/>
    <s v="West"/>
    <x v="0"/>
    <m/>
    <n v="335.2"/>
    <n v="5"/>
    <n v="0"/>
    <x v="11"/>
    <n v="0"/>
    <n v="0"/>
    <m/>
    <x v="2"/>
  </r>
  <r>
    <n v="4627"/>
    <d v="2025-03-01T00:00:00"/>
    <n v="54"/>
    <s v="Female"/>
    <s v="North"/>
    <x v="0"/>
    <m/>
    <n v="332.2"/>
    <n v="6"/>
    <n v="0"/>
    <x v="11"/>
    <n v="0"/>
    <n v="0"/>
    <m/>
    <x v="2"/>
  </r>
  <r>
    <n v="2891"/>
    <d v="2025-03-01T00:00:00"/>
    <n v="26"/>
    <s v="Male"/>
    <s v="East"/>
    <x v="1"/>
    <s v="CAMP2"/>
    <n v="248.3"/>
    <n v="7"/>
    <n v="0"/>
    <x v="11"/>
    <n v="0"/>
    <n v="0"/>
    <m/>
    <x v="2"/>
  </r>
  <r>
    <n v="584"/>
    <d v="2025-03-01T00:00:00"/>
    <n v="31"/>
    <s v="Female"/>
    <s v="West"/>
    <x v="1"/>
    <s v="CAMP5"/>
    <n v="199.9"/>
    <n v="10"/>
    <n v="0"/>
    <x v="11"/>
    <n v="0"/>
    <n v="0"/>
    <m/>
    <x v="2"/>
  </r>
  <r>
    <n v="4095"/>
    <d v="2025-03-01T00:00:00"/>
    <n v="34"/>
    <s v="Male"/>
    <s v="East"/>
    <x v="0"/>
    <m/>
    <n v="161"/>
    <n v="3"/>
    <n v="0"/>
    <x v="11"/>
    <n v="0"/>
    <n v="0"/>
    <m/>
    <x v="2"/>
  </r>
  <r>
    <n v="4240"/>
    <d v="2025-03-01T00:00:00"/>
    <n v="53"/>
    <s v="Male"/>
    <s v="North"/>
    <x v="0"/>
    <m/>
    <n v="56.4"/>
    <n v="9"/>
    <n v="0"/>
    <x v="11"/>
    <n v="0"/>
    <n v="0"/>
    <m/>
    <x v="2"/>
  </r>
  <r>
    <n v="849"/>
    <d v="2025-04-01T00:00:00"/>
    <n v="24"/>
    <s v="Male"/>
    <s v="South"/>
    <x v="0"/>
    <m/>
    <n v="365.7"/>
    <n v="5"/>
    <n v="1"/>
    <x v="30"/>
    <n v="4"/>
    <n v="4"/>
    <n v="5"/>
    <x v="3"/>
  </r>
  <r>
    <n v="3554"/>
    <d v="2025-04-01T00:00:00"/>
    <n v="31"/>
    <s v="Female"/>
    <s v="North"/>
    <x v="0"/>
    <m/>
    <n v="479.6"/>
    <n v="7"/>
    <n v="1"/>
    <x v="31"/>
    <n v="2"/>
    <n v="6"/>
    <n v="3"/>
    <x v="3"/>
  </r>
  <r>
    <n v="3457"/>
    <d v="2025-04-01T00:00:00"/>
    <n v="38"/>
    <s v="Male"/>
    <s v="South"/>
    <x v="1"/>
    <s v="CAMP6"/>
    <n v="89.1"/>
    <n v="7"/>
    <n v="1"/>
    <x v="32"/>
    <n v="3"/>
    <n v="7"/>
    <n v="5"/>
    <x v="3"/>
  </r>
  <r>
    <n v="276"/>
    <d v="2025-04-01T00:00:00"/>
    <n v="23"/>
    <s v="Male"/>
    <s v="East"/>
    <x v="2"/>
    <m/>
    <n v="110.7"/>
    <n v="6"/>
    <n v="1"/>
    <x v="33"/>
    <n v="2"/>
    <n v="14"/>
    <n v="3"/>
    <x v="3"/>
  </r>
  <r>
    <n v="2648"/>
    <d v="2025-04-01T00:00:00"/>
    <n v="37"/>
    <s v="Female"/>
    <s v="South"/>
    <x v="0"/>
    <m/>
    <n v="267.60000000000002"/>
    <n v="2"/>
    <n v="1"/>
    <x v="34"/>
    <n v="2"/>
    <n v="2"/>
    <n v="3"/>
    <x v="3"/>
  </r>
  <r>
    <n v="3164"/>
    <d v="2025-04-01T00:00:00"/>
    <n v="32"/>
    <s v="Male"/>
    <s v="South"/>
    <x v="2"/>
    <m/>
    <n v="324.5"/>
    <n v="6"/>
    <n v="1"/>
    <x v="35"/>
    <n v="4"/>
    <n v="12"/>
    <n v="3"/>
    <x v="3"/>
  </r>
  <r>
    <n v="2415"/>
    <d v="2025-04-01T00:00:00"/>
    <n v="52"/>
    <s v="Female"/>
    <s v="South"/>
    <x v="2"/>
    <m/>
    <n v="306"/>
    <n v="8"/>
    <n v="1"/>
    <x v="36"/>
    <n v="3"/>
    <n v="9"/>
    <n v="3"/>
    <x v="3"/>
  </r>
  <r>
    <n v="2988"/>
    <d v="2025-04-01T00:00:00"/>
    <n v="26"/>
    <s v="Male"/>
    <s v="East"/>
    <x v="0"/>
    <m/>
    <n v="387.4"/>
    <n v="7"/>
    <n v="1"/>
    <x v="37"/>
    <n v="2"/>
    <n v="4"/>
    <n v="5"/>
    <x v="3"/>
  </r>
  <r>
    <n v="2583"/>
    <d v="2025-04-01T00:00:00"/>
    <n v="44"/>
    <s v="Female"/>
    <s v="North"/>
    <x v="0"/>
    <m/>
    <n v="126.5"/>
    <n v="4"/>
    <n v="1"/>
    <x v="38"/>
    <n v="1"/>
    <n v="15"/>
    <n v="4"/>
    <x v="3"/>
  </r>
  <r>
    <n v="2122"/>
    <d v="2025-04-01T00:00:00"/>
    <n v="54"/>
    <s v="Female"/>
    <s v="North"/>
    <x v="3"/>
    <m/>
    <n v="393.6"/>
    <n v="5"/>
    <n v="1"/>
    <x v="39"/>
    <n v="3"/>
    <n v="15"/>
    <n v="4"/>
    <x v="3"/>
  </r>
  <r>
    <n v="3202"/>
    <d v="2025-04-01T00:00:00"/>
    <n v="22"/>
    <s v="Male"/>
    <s v="South"/>
    <x v="2"/>
    <m/>
    <n v="643"/>
    <n v="5"/>
    <n v="1"/>
    <x v="40"/>
    <n v="3"/>
    <n v="1"/>
    <n v="4"/>
    <x v="3"/>
  </r>
  <r>
    <n v="4697"/>
    <d v="2025-04-01T00:00:00"/>
    <n v="55"/>
    <s v="Other"/>
    <s v="North"/>
    <x v="1"/>
    <s v="CAMP4"/>
    <n v="410.2"/>
    <n v="7"/>
    <n v="1"/>
    <x v="41"/>
    <n v="1"/>
    <n v="12"/>
    <n v="4"/>
    <x v="3"/>
  </r>
  <r>
    <n v="232"/>
    <d v="2025-04-01T00:00:00"/>
    <n v="20"/>
    <s v="Female"/>
    <s v="West"/>
    <x v="0"/>
    <m/>
    <n v="688.8"/>
    <n v="5"/>
    <n v="0"/>
    <x v="11"/>
    <n v="0"/>
    <n v="0"/>
    <m/>
    <x v="3"/>
  </r>
  <r>
    <n v="3881"/>
    <d v="2025-04-01T00:00:00"/>
    <n v="45"/>
    <s v="Male"/>
    <s v="South"/>
    <x v="1"/>
    <s v="CAMP2"/>
    <n v="687.4"/>
    <n v="10"/>
    <n v="0"/>
    <x v="11"/>
    <n v="0"/>
    <n v="0"/>
    <m/>
    <x v="3"/>
  </r>
  <r>
    <n v="403"/>
    <d v="2025-04-01T00:00:00"/>
    <n v="22"/>
    <s v="Female"/>
    <s v="East"/>
    <x v="0"/>
    <m/>
    <n v="600.79999999999995"/>
    <n v="9"/>
    <n v="0"/>
    <x v="11"/>
    <n v="0"/>
    <n v="0"/>
    <m/>
    <x v="3"/>
  </r>
  <r>
    <n v="4112"/>
    <d v="2025-04-01T00:00:00"/>
    <n v="45"/>
    <s v="Female"/>
    <s v="West"/>
    <x v="0"/>
    <m/>
    <n v="593.70000000000005"/>
    <n v="5"/>
    <n v="0"/>
    <x v="11"/>
    <n v="0"/>
    <n v="0"/>
    <m/>
    <x v="3"/>
  </r>
  <r>
    <n v="3734"/>
    <d v="2025-04-01T00:00:00"/>
    <n v="29"/>
    <s v="Female"/>
    <s v="West"/>
    <x v="0"/>
    <m/>
    <n v="527.4"/>
    <n v="8"/>
    <n v="0"/>
    <x v="11"/>
    <n v="0"/>
    <n v="0"/>
    <m/>
    <x v="3"/>
  </r>
  <r>
    <n v="148"/>
    <d v="2025-04-01T00:00:00"/>
    <n v="23"/>
    <s v="Female"/>
    <s v="North"/>
    <x v="0"/>
    <m/>
    <n v="526.5"/>
    <n v="6"/>
    <n v="0"/>
    <x v="11"/>
    <n v="0"/>
    <n v="0"/>
    <m/>
    <x v="3"/>
  </r>
  <r>
    <n v="351"/>
    <d v="2025-04-01T00:00:00"/>
    <n v="18"/>
    <s v="Male"/>
    <s v="West"/>
    <x v="1"/>
    <s v="CAMP4"/>
    <n v="504.4"/>
    <n v="4"/>
    <n v="0"/>
    <x v="11"/>
    <n v="0"/>
    <n v="0"/>
    <m/>
    <x v="3"/>
  </r>
  <r>
    <n v="4830"/>
    <d v="2025-04-01T00:00:00"/>
    <n v="66"/>
    <s v="Female"/>
    <s v="West"/>
    <x v="0"/>
    <m/>
    <n v="421.3"/>
    <n v="7"/>
    <n v="0"/>
    <x v="11"/>
    <n v="0"/>
    <n v="0"/>
    <m/>
    <x v="3"/>
  </r>
  <r>
    <n v="3662"/>
    <d v="2025-04-01T00:00:00"/>
    <n v="28"/>
    <s v="Male"/>
    <s v="South"/>
    <x v="1"/>
    <s v="CAMP4"/>
    <n v="321.7"/>
    <n v="2"/>
    <n v="0"/>
    <x v="11"/>
    <n v="0"/>
    <n v="0"/>
    <m/>
    <x v="3"/>
  </r>
  <r>
    <n v="4593"/>
    <d v="2025-04-01T00:00:00"/>
    <n v="63"/>
    <s v="Female"/>
    <s v="South"/>
    <x v="2"/>
    <m/>
    <n v="321.7"/>
    <n v="6"/>
    <n v="0"/>
    <x v="11"/>
    <n v="0"/>
    <n v="0"/>
    <m/>
    <x v="3"/>
  </r>
  <r>
    <n v="609"/>
    <d v="2025-04-01T00:00:00"/>
    <n v="32"/>
    <s v="Female"/>
    <s v="East"/>
    <x v="1"/>
    <s v="CAMP2"/>
    <n v="311.89999999999998"/>
    <n v="3"/>
    <n v="0"/>
    <x v="11"/>
    <n v="0"/>
    <n v="0"/>
    <m/>
    <x v="3"/>
  </r>
  <r>
    <n v="3247"/>
    <d v="2025-04-01T00:00:00"/>
    <n v="33"/>
    <s v="Female"/>
    <s v="North"/>
    <x v="2"/>
    <m/>
    <n v="210.6"/>
    <n v="6"/>
    <n v="0"/>
    <x v="11"/>
    <n v="0"/>
    <n v="0"/>
    <m/>
    <x v="3"/>
  </r>
  <r>
    <n v="1692"/>
    <d v="2025-04-01T00:00:00"/>
    <n v="26"/>
    <s v="Male"/>
    <s v="East"/>
    <x v="3"/>
    <m/>
    <n v="189.4"/>
    <n v="5"/>
    <n v="0"/>
    <x v="11"/>
    <n v="0"/>
    <n v="0"/>
    <m/>
    <x v="3"/>
  </r>
  <r>
    <n v="4571"/>
    <d v="2025-04-01T00:00:00"/>
    <n v="52"/>
    <s v="Female"/>
    <s v="North"/>
    <x v="1"/>
    <s v="CAMP3"/>
    <n v="175"/>
    <n v="4"/>
    <n v="0"/>
    <x v="11"/>
    <n v="0"/>
    <n v="0"/>
    <m/>
    <x v="3"/>
  </r>
  <r>
    <n v="4628"/>
    <d v="2025-04-01T00:00:00"/>
    <n v="33"/>
    <s v="Female"/>
    <s v="South"/>
    <x v="1"/>
    <s v="CAMP2"/>
    <n v="147.4"/>
    <n v="11"/>
    <n v="0"/>
    <x v="11"/>
    <n v="0"/>
    <n v="0"/>
    <m/>
    <x v="3"/>
  </r>
  <r>
    <n v="744"/>
    <d v="2025-04-01T00:00:00"/>
    <n v="28"/>
    <s v="Male"/>
    <s v="East"/>
    <x v="0"/>
    <m/>
    <n v="139.69999999999999"/>
    <n v="6"/>
    <n v="0"/>
    <x v="11"/>
    <n v="0"/>
    <n v="0"/>
    <m/>
    <x v="3"/>
  </r>
  <r>
    <n v="2769"/>
    <d v="2025-04-01T00:00:00"/>
    <n v="44"/>
    <s v="Female"/>
    <s v="North"/>
    <x v="0"/>
    <m/>
    <n v="105.6"/>
    <n v="6"/>
    <n v="0"/>
    <x v="11"/>
    <n v="0"/>
    <n v="0"/>
    <m/>
    <x v="3"/>
  </r>
  <r>
    <n v="2560"/>
    <d v="2025-04-01T00:00:00"/>
    <n v="25"/>
    <s v="Male"/>
    <s v="South"/>
    <x v="1"/>
    <s v="CAMP4"/>
    <n v="74"/>
    <n v="4"/>
    <n v="0"/>
    <x v="11"/>
    <n v="0"/>
    <n v="0"/>
    <m/>
    <x v="3"/>
  </r>
  <r>
    <n v="3468"/>
    <d v="2025-05-01T00:00:00"/>
    <n v="44"/>
    <s v="Female"/>
    <s v="East"/>
    <x v="0"/>
    <m/>
    <n v="248"/>
    <n v="4"/>
    <n v="1"/>
    <x v="42"/>
    <n v="2"/>
    <n v="15"/>
    <n v="4"/>
    <x v="4"/>
  </r>
  <r>
    <n v="548"/>
    <d v="2025-05-01T00:00:00"/>
    <n v="25"/>
    <s v="Female"/>
    <s v="East"/>
    <x v="0"/>
    <m/>
    <n v="520.29999999999995"/>
    <n v="5"/>
    <n v="1"/>
    <x v="43"/>
    <n v="2"/>
    <n v="13"/>
    <n v="5"/>
    <x v="4"/>
  </r>
  <r>
    <n v="4669"/>
    <d v="2025-05-01T00:00:00"/>
    <n v="45"/>
    <s v="Female"/>
    <s v="East"/>
    <x v="3"/>
    <m/>
    <n v="150.9"/>
    <n v="6"/>
    <n v="1"/>
    <x v="44"/>
    <n v="4"/>
    <n v="12"/>
    <n v="5"/>
    <x v="4"/>
  </r>
  <r>
    <n v="1476"/>
    <d v="2025-05-01T00:00:00"/>
    <n v="18"/>
    <s v="Female"/>
    <s v="East"/>
    <x v="0"/>
    <m/>
    <n v="408.5"/>
    <n v="4"/>
    <n v="1"/>
    <x v="45"/>
    <n v="2"/>
    <n v="3"/>
    <n v="3"/>
    <x v="4"/>
  </r>
  <r>
    <n v="1567"/>
    <d v="2025-05-01T00:00:00"/>
    <n v="24"/>
    <s v="Female"/>
    <s v="East"/>
    <x v="1"/>
    <s v="CAMP7"/>
    <n v="699.8"/>
    <n v="4"/>
    <n v="1"/>
    <x v="46"/>
    <n v="4"/>
    <n v="7"/>
    <n v="4"/>
    <x v="4"/>
  </r>
  <r>
    <n v="882"/>
    <d v="2025-05-01T00:00:00"/>
    <n v="25"/>
    <s v="Female"/>
    <s v="South"/>
    <x v="3"/>
    <m/>
    <n v="339.9"/>
    <n v="8"/>
    <n v="1"/>
    <x v="47"/>
    <n v="2"/>
    <n v="13"/>
    <n v="4"/>
    <x v="4"/>
  </r>
  <r>
    <n v="1496"/>
    <d v="2025-05-01T00:00:00"/>
    <n v="31"/>
    <s v="Female"/>
    <s v="East"/>
    <x v="0"/>
    <m/>
    <n v="533.5"/>
    <n v="8"/>
    <n v="1"/>
    <x v="48"/>
    <n v="2"/>
    <n v="12"/>
    <n v="4"/>
    <x v="4"/>
  </r>
  <r>
    <n v="4589"/>
    <d v="2025-05-01T00:00:00"/>
    <n v="41"/>
    <s v="Female"/>
    <s v="East"/>
    <x v="1"/>
    <s v="CAMP1"/>
    <n v="334.2"/>
    <n v="5"/>
    <n v="1"/>
    <x v="49"/>
    <n v="3"/>
    <n v="9"/>
    <n v="4"/>
    <x v="4"/>
  </r>
  <r>
    <n v="684"/>
    <d v="2025-05-01T00:00:00"/>
    <n v="31"/>
    <s v="Female"/>
    <s v="West"/>
    <x v="1"/>
    <s v="CAMP4"/>
    <n v="991.8"/>
    <n v="8"/>
    <n v="1"/>
    <x v="50"/>
    <n v="2"/>
    <n v="15"/>
    <n v="3"/>
    <x v="4"/>
  </r>
  <r>
    <n v="895"/>
    <d v="2025-05-01T00:00:00"/>
    <n v="23"/>
    <s v="Female"/>
    <s v="North"/>
    <x v="0"/>
    <m/>
    <n v="448.6"/>
    <n v="8"/>
    <n v="1"/>
    <x v="51"/>
    <n v="3"/>
    <n v="3"/>
    <n v="3"/>
    <x v="4"/>
  </r>
  <r>
    <n v="2056"/>
    <d v="2025-05-01T00:00:00"/>
    <n v="25"/>
    <s v="Female"/>
    <s v="East"/>
    <x v="3"/>
    <m/>
    <n v="1392.3"/>
    <n v="6"/>
    <n v="1"/>
    <x v="52"/>
    <n v="3"/>
    <n v="1"/>
    <n v="5"/>
    <x v="4"/>
  </r>
  <r>
    <n v="157"/>
    <d v="2025-05-01T00:00:00"/>
    <n v="24"/>
    <s v="Male"/>
    <s v="South"/>
    <x v="0"/>
    <m/>
    <n v="172.4"/>
    <n v="8"/>
    <n v="1"/>
    <x v="53"/>
    <n v="2"/>
    <n v="1"/>
    <n v="4"/>
    <x v="4"/>
  </r>
  <r>
    <n v="544"/>
    <d v="2025-05-01T00:00:00"/>
    <n v="18"/>
    <s v="Male"/>
    <s v="East"/>
    <x v="2"/>
    <m/>
    <n v="592.4"/>
    <n v="3"/>
    <n v="1"/>
    <x v="54"/>
    <n v="5"/>
    <n v="7"/>
    <n v="4"/>
    <x v="4"/>
  </r>
  <r>
    <n v="3698"/>
    <d v="2025-05-01T00:00:00"/>
    <n v="20"/>
    <s v="Female"/>
    <s v="North"/>
    <x v="3"/>
    <m/>
    <n v="262"/>
    <n v="6"/>
    <n v="0"/>
    <x v="11"/>
    <n v="0"/>
    <n v="0"/>
    <m/>
    <x v="4"/>
  </r>
  <r>
    <n v="4475"/>
    <d v="2025-05-01T00:00:00"/>
    <n v="49"/>
    <s v="Male"/>
    <s v="West"/>
    <x v="1"/>
    <s v="CAMP2"/>
    <n v="548.4"/>
    <n v="6"/>
    <n v="0"/>
    <x v="11"/>
    <n v="0"/>
    <n v="0"/>
    <m/>
    <x v="4"/>
  </r>
  <r>
    <n v="2193"/>
    <d v="2025-05-01T00:00:00"/>
    <n v="29"/>
    <s v="Male"/>
    <s v="West"/>
    <x v="0"/>
    <m/>
    <n v="510.8"/>
    <n v="4"/>
    <n v="0"/>
    <x v="11"/>
    <n v="0"/>
    <n v="0"/>
    <m/>
    <x v="4"/>
  </r>
  <r>
    <n v="2346"/>
    <d v="2025-05-01T00:00:00"/>
    <n v="41"/>
    <s v="Male"/>
    <s v="West"/>
    <x v="0"/>
    <m/>
    <n v="474.3"/>
    <n v="4"/>
    <n v="0"/>
    <x v="11"/>
    <n v="0"/>
    <n v="0"/>
    <m/>
    <x v="4"/>
  </r>
  <r>
    <n v="3390"/>
    <d v="2025-05-01T00:00:00"/>
    <n v="41"/>
    <s v="Male"/>
    <s v="North"/>
    <x v="0"/>
    <m/>
    <n v="402.4"/>
    <n v="6"/>
    <n v="0"/>
    <x v="11"/>
    <n v="0"/>
    <n v="0"/>
    <m/>
    <x v="4"/>
  </r>
  <r>
    <n v="4413"/>
    <d v="2025-05-01T00:00:00"/>
    <n v="72"/>
    <s v="Female"/>
    <s v="South"/>
    <x v="0"/>
    <m/>
    <n v="397"/>
    <n v="4"/>
    <n v="0"/>
    <x v="11"/>
    <n v="0"/>
    <n v="0"/>
    <m/>
    <x v="4"/>
  </r>
  <r>
    <n v="3919"/>
    <d v="2025-05-01T00:00:00"/>
    <n v="71"/>
    <s v="Other"/>
    <s v="South"/>
    <x v="1"/>
    <s v="CAMP4"/>
    <n v="334.6"/>
    <n v="5"/>
    <n v="0"/>
    <x v="11"/>
    <n v="0"/>
    <n v="0"/>
    <m/>
    <x v="4"/>
  </r>
  <r>
    <n v="2126"/>
    <d v="2025-05-01T00:00:00"/>
    <n v="44"/>
    <s v="Female"/>
    <s v="South"/>
    <x v="0"/>
    <m/>
    <n v="320.39999999999998"/>
    <n v="3"/>
    <n v="0"/>
    <x v="11"/>
    <n v="0"/>
    <n v="0"/>
    <m/>
    <x v="4"/>
  </r>
  <r>
    <n v="597"/>
    <d v="2025-05-01T00:00:00"/>
    <n v="24"/>
    <s v="Male"/>
    <s v="West"/>
    <x v="3"/>
    <m/>
    <n v="311.3"/>
    <n v="8"/>
    <n v="0"/>
    <x v="11"/>
    <n v="0"/>
    <n v="0"/>
    <m/>
    <x v="4"/>
  </r>
  <r>
    <n v="3029"/>
    <d v="2025-05-01T00:00:00"/>
    <n v="26"/>
    <s v="Male"/>
    <s v="North"/>
    <x v="0"/>
    <m/>
    <n v="269.8"/>
    <n v="4"/>
    <n v="0"/>
    <x v="11"/>
    <n v="0"/>
    <n v="0"/>
    <m/>
    <x v="4"/>
  </r>
  <r>
    <n v="2253"/>
    <d v="2025-05-01T00:00:00"/>
    <n v="18"/>
    <s v="Female"/>
    <s v="North"/>
    <x v="2"/>
    <m/>
    <n v="249.1"/>
    <n v="7"/>
    <n v="0"/>
    <x v="11"/>
    <n v="0"/>
    <n v="0"/>
    <m/>
    <x v="4"/>
  </r>
  <r>
    <n v="3568"/>
    <d v="2025-05-01T00:00:00"/>
    <n v="31"/>
    <s v="Female"/>
    <s v="West"/>
    <x v="1"/>
    <s v="CAMP3"/>
    <n v="224.7"/>
    <n v="5"/>
    <n v="0"/>
    <x v="11"/>
    <n v="0"/>
    <n v="0"/>
    <m/>
    <x v="4"/>
  </r>
  <r>
    <n v="4549"/>
    <d v="2025-05-01T00:00:00"/>
    <n v="63"/>
    <s v="Male"/>
    <s v="East"/>
    <x v="0"/>
    <m/>
    <n v="196.1"/>
    <n v="7"/>
    <n v="0"/>
    <x v="11"/>
    <n v="0"/>
    <n v="0"/>
    <m/>
    <x v="4"/>
  </r>
  <r>
    <n v="4031"/>
    <d v="2025-05-01T00:00:00"/>
    <n v="43"/>
    <s v="Female"/>
    <s v="South"/>
    <x v="1"/>
    <s v="CAMP2"/>
    <n v="161.1"/>
    <n v="7"/>
    <n v="0"/>
    <x v="11"/>
    <n v="0"/>
    <n v="0"/>
    <m/>
    <x v="4"/>
  </r>
  <r>
    <n v="1616"/>
    <d v="2025-05-01T00:00:00"/>
    <n v="30"/>
    <s v="Male"/>
    <s v="South"/>
    <x v="3"/>
    <m/>
    <n v="159"/>
    <n v="4"/>
    <n v="0"/>
    <x v="11"/>
    <n v="0"/>
    <n v="0"/>
    <m/>
    <x v="4"/>
  </r>
  <r>
    <n v="1434"/>
    <d v="2025-05-01T00:00:00"/>
    <n v="29"/>
    <s v="Female"/>
    <s v="South"/>
    <x v="1"/>
    <s v="CAMP2"/>
    <n v="157.5"/>
    <n v="4"/>
    <n v="0"/>
    <x v="11"/>
    <n v="0"/>
    <n v="0"/>
    <m/>
    <x v="4"/>
  </r>
  <r>
    <n v="2235"/>
    <d v="2025-05-01T00:00:00"/>
    <n v="34"/>
    <s v="Male"/>
    <s v="North"/>
    <x v="1"/>
    <s v="CAMP3"/>
    <n v="87.1"/>
    <n v="9"/>
    <n v="0"/>
    <x v="11"/>
    <n v="0"/>
    <n v="0"/>
    <m/>
    <x v="4"/>
  </r>
  <r>
    <n v="3330"/>
    <d v="2025-05-01T00:00:00"/>
    <n v="37"/>
    <s v="Female"/>
    <s v="South"/>
    <x v="0"/>
    <m/>
    <n v="14"/>
    <n v="6"/>
    <n v="0"/>
    <x v="11"/>
    <n v="0"/>
    <n v="0"/>
    <m/>
    <x v="4"/>
  </r>
  <r>
    <n v="1963"/>
    <d v="2025-06-01T00:00:00"/>
    <n v="28"/>
    <s v="Female"/>
    <s v="West"/>
    <x v="2"/>
    <m/>
    <n v="477.9"/>
    <n v="8"/>
    <n v="1"/>
    <x v="55"/>
    <n v="4"/>
    <n v="6"/>
    <n v="4"/>
    <x v="5"/>
  </r>
  <r>
    <n v="1559"/>
    <d v="2025-06-01T00:00:00"/>
    <n v="29"/>
    <s v="Female"/>
    <s v="South"/>
    <x v="1"/>
    <s v="CAMP3"/>
    <n v="351.1"/>
    <n v="4"/>
    <n v="1"/>
    <x v="56"/>
    <n v="3"/>
    <n v="6"/>
    <n v="5"/>
    <x v="5"/>
  </r>
  <r>
    <n v="524"/>
    <d v="2025-06-01T00:00:00"/>
    <n v="19"/>
    <s v="Male"/>
    <s v="East"/>
    <x v="3"/>
    <m/>
    <n v="510.5"/>
    <n v="4"/>
    <n v="1"/>
    <x v="57"/>
    <n v="5"/>
    <n v="5"/>
    <n v="4"/>
    <x v="5"/>
  </r>
  <r>
    <n v="1407"/>
    <d v="2025-06-01T00:00:00"/>
    <n v="18"/>
    <s v="Female"/>
    <s v="East"/>
    <x v="0"/>
    <m/>
    <n v="259.39999999999998"/>
    <n v="5"/>
    <n v="1"/>
    <x v="58"/>
    <n v="3"/>
    <n v="8"/>
    <n v="4"/>
    <x v="5"/>
  </r>
  <r>
    <n v="4728"/>
    <d v="2025-06-01T00:00:00"/>
    <n v="58"/>
    <s v="Female"/>
    <s v="North"/>
    <x v="1"/>
    <s v="CAMP6"/>
    <n v="226.2"/>
    <n v="8"/>
    <n v="1"/>
    <x v="59"/>
    <n v="2"/>
    <n v="6"/>
    <n v="4"/>
    <x v="5"/>
  </r>
  <r>
    <n v="3829"/>
    <d v="2025-06-01T00:00:00"/>
    <n v="59"/>
    <s v="Female"/>
    <s v="North"/>
    <x v="1"/>
    <s v="CAMP3"/>
    <n v="875.8"/>
    <n v="6"/>
    <n v="1"/>
    <x v="60"/>
    <n v="5"/>
    <n v="1"/>
    <n v="5"/>
    <x v="5"/>
  </r>
  <r>
    <n v="4378"/>
    <d v="2025-06-01T00:00:00"/>
    <n v="45"/>
    <s v="Female"/>
    <s v="East"/>
    <x v="3"/>
    <m/>
    <n v="385.4"/>
    <n v="7"/>
    <n v="1"/>
    <x v="61"/>
    <n v="4"/>
    <n v="2"/>
    <n v="4"/>
    <x v="5"/>
  </r>
  <r>
    <n v="3277"/>
    <d v="2025-06-01T00:00:00"/>
    <n v="26"/>
    <s v="Male"/>
    <s v="East"/>
    <x v="1"/>
    <s v="CAMP3"/>
    <n v="566.9"/>
    <n v="5"/>
    <n v="1"/>
    <x v="62"/>
    <n v="5"/>
    <n v="14"/>
    <n v="3"/>
    <x v="5"/>
  </r>
  <r>
    <n v="3667"/>
    <d v="2025-06-01T00:00:00"/>
    <n v="32"/>
    <s v="Female"/>
    <s v="North"/>
    <x v="3"/>
    <m/>
    <n v="497.5"/>
    <n v="4"/>
    <n v="1"/>
    <x v="63"/>
    <n v="5"/>
    <n v="1"/>
    <n v="4"/>
    <x v="5"/>
  </r>
  <r>
    <n v="2977"/>
    <d v="2025-06-01T00:00:00"/>
    <n v="49"/>
    <s v="Female"/>
    <s v="South"/>
    <x v="1"/>
    <s v="CAMP3"/>
    <n v="600.79999999999995"/>
    <n v="4"/>
    <n v="0"/>
    <x v="11"/>
    <n v="0"/>
    <n v="0"/>
    <m/>
    <x v="5"/>
  </r>
  <r>
    <n v="4396"/>
    <d v="2025-06-01T00:00:00"/>
    <n v="36"/>
    <s v="Female"/>
    <s v="South"/>
    <x v="0"/>
    <m/>
    <n v="598.20000000000005"/>
    <n v="3"/>
    <n v="0"/>
    <x v="11"/>
    <n v="0"/>
    <n v="0"/>
    <m/>
    <x v="5"/>
  </r>
  <r>
    <n v="726"/>
    <d v="2025-06-01T00:00:00"/>
    <n v="33"/>
    <s v="Other"/>
    <s v="West"/>
    <x v="0"/>
    <m/>
    <n v="556.29999999999995"/>
    <n v="1"/>
    <n v="0"/>
    <x v="11"/>
    <n v="0"/>
    <n v="0"/>
    <m/>
    <x v="5"/>
  </r>
  <r>
    <n v="3905"/>
    <d v="2025-06-01T00:00:00"/>
    <n v="41"/>
    <s v="Male"/>
    <s v="North"/>
    <x v="1"/>
    <s v="CAMP5"/>
    <n v="527.79999999999995"/>
    <n v="7"/>
    <n v="0"/>
    <x v="11"/>
    <n v="0"/>
    <n v="0"/>
    <m/>
    <x v="5"/>
  </r>
  <r>
    <n v="1859"/>
    <d v="2025-06-01T00:00:00"/>
    <n v="37"/>
    <s v="Male"/>
    <s v="West"/>
    <x v="1"/>
    <s v="CAMP2"/>
    <n v="520.4"/>
    <n v="5"/>
    <n v="0"/>
    <x v="11"/>
    <n v="0"/>
    <n v="0"/>
    <m/>
    <x v="5"/>
  </r>
  <r>
    <n v="1642"/>
    <d v="2025-06-01T00:00:00"/>
    <n v="27"/>
    <s v="Male"/>
    <s v="South"/>
    <x v="3"/>
    <m/>
    <n v="391.6"/>
    <n v="8"/>
    <n v="0"/>
    <x v="11"/>
    <n v="0"/>
    <n v="0"/>
    <m/>
    <x v="5"/>
  </r>
  <r>
    <n v="1874"/>
    <d v="2025-06-01T00:00:00"/>
    <n v="40"/>
    <s v="Female"/>
    <s v="East"/>
    <x v="0"/>
    <m/>
    <n v="367.5"/>
    <n v="5"/>
    <n v="0"/>
    <x v="11"/>
    <n v="0"/>
    <n v="0"/>
    <m/>
    <x v="5"/>
  </r>
  <r>
    <n v="2619"/>
    <d v="2025-06-01T00:00:00"/>
    <n v="33"/>
    <s v="Male"/>
    <s v="East"/>
    <x v="3"/>
    <m/>
    <n v="323.10000000000002"/>
    <n v="9"/>
    <n v="0"/>
    <x v="11"/>
    <n v="0"/>
    <n v="0"/>
    <m/>
    <x v="5"/>
  </r>
  <r>
    <n v="4984"/>
    <d v="2025-06-01T00:00:00"/>
    <n v="56"/>
    <s v="Female"/>
    <s v="East"/>
    <x v="0"/>
    <m/>
    <n v="204.7"/>
    <n v="8"/>
    <n v="0"/>
    <x v="11"/>
    <n v="0"/>
    <n v="0"/>
    <m/>
    <x v="5"/>
  </r>
  <r>
    <n v="2782"/>
    <d v="2025-06-01T00:00:00"/>
    <n v="18"/>
    <s v="Male"/>
    <s v="South"/>
    <x v="1"/>
    <s v="CAMP4"/>
    <n v="202.9"/>
    <n v="12"/>
    <n v="0"/>
    <x v="11"/>
    <n v="0"/>
    <n v="0"/>
    <m/>
    <x v="5"/>
  </r>
  <r>
    <n v="1762"/>
    <d v="2025-06-01T00:00:00"/>
    <n v="30"/>
    <s v="Female"/>
    <s v="West"/>
    <x v="0"/>
    <m/>
    <n v="144.19999999999999"/>
    <n v="6"/>
    <n v="0"/>
    <x v="11"/>
    <n v="0"/>
    <n v="0"/>
    <m/>
    <x v="5"/>
  </r>
  <r>
    <n v="3573"/>
    <d v="2025-06-01T00:00:00"/>
    <n v="26"/>
    <s v="Male"/>
    <s v="North"/>
    <x v="0"/>
    <m/>
    <n v="131.9"/>
    <n v="7"/>
    <n v="0"/>
    <x v="11"/>
    <n v="0"/>
    <n v="0"/>
    <m/>
    <x v="5"/>
  </r>
  <r>
    <n v="1780"/>
    <d v="2025-06-01T00:00:00"/>
    <n v="49"/>
    <s v="Male"/>
    <s v="East"/>
    <x v="0"/>
    <m/>
    <n v="131.80000000000001"/>
    <n v="10"/>
    <n v="0"/>
    <x v="11"/>
    <n v="0"/>
    <n v="0"/>
    <m/>
    <x v="5"/>
  </r>
  <r>
    <n v="2611"/>
    <d v="2025-06-01T00:00:00"/>
    <n v="38"/>
    <s v="Male"/>
    <s v="South"/>
    <x v="0"/>
    <m/>
    <n v="110.8"/>
    <n v="1"/>
    <n v="0"/>
    <x v="11"/>
    <n v="0"/>
    <n v="0"/>
    <m/>
    <x v="5"/>
  </r>
  <r>
    <n v="1980"/>
    <d v="2025-06-01T00:00:00"/>
    <n v="36"/>
    <s v="Male"/>
    <s v="North"/>
    <x v="0"/>
    <m/>
    <n v="102.4"/>
    <n v="4"/>
    <n v="0"/>
    <x v="11"/>
    <n v="0"/>
    <n v="0"/>
    <m/>
    <x v="5"/>
  </r>
  <r>
    <n v="2164"/>
    <d v="2025-06-01T00:00:00"/>
    <n v="44"/>
    <s v="Other"/>
    <s v="South"/>
    <x v="0"/>
    <m/>
    <n v="64.5"/>
    <n v="6"/>
    <n v="0"/>
    <x v="11"/>
    <n v="0"/>
    <n v="0"/>
    <m/>
    <x v="5"/>
  </r>
  <r>
    <n v="812"/>
    <d v="2025-06-01T00:00:00"/>
    <n v="23"/>
    <s v="Male"/>
    <s v="North"/>
    <x v="0"/>
    <m/>
    <n v="40.9"/>
    <n v="4"/>
    <n v="0"/>
    <x v="11"/>
    <n v="0"/>
    <n v="0"/>
    <m/>
    <x v="5"/>
  </r>
  <r>
    <n v="3094"/>
    <d v="2025-06-01T00:00:00"/>
    <n v="45"/>
    <s v="Female"/>
    <s v="South"/>
    <x v="0"/>
    <m/>
    <n v="10"/>
    <n v="5"/>
    <n v="0"/>
    <x v="11"/>
    <n v="0"/>
    <n v="0"/>
    <m/>
    <x v="5"/>
  </r>
  <r>
    <n v="2693"/>
    <d v="2025-01-02T00:00:00"/>
    <n v="29"/>
    <s v="Male"/>
    <s v="North"/>
    <x v="3"/>
    <m/>
    <n v="343"/>
    <n v="5"/>
    <n v="1"/>
    <x v="64"/>
    <n v="3"/>
    <n v="3"/>
    <n v="4"/>
    <x v="0"/>
  </r>
  <r>
    <n v="1744"/>
    <d v="2025-01-02T00:00:00"/>
    <n v="18"/>
    <s v="Female"/>
    <s v="East"/>
    <x v="0"/>
    <m/>
    <n v="201.4"/>
    <n v="8"/>
    <n v="1"/>
    <x v="65"/>
    <n v="1"/>
    <n v="9"/>
    <n v="4"/>
    <x v="0"/>
  </r>
  <r>
    <n v="4771"/>
    <d v="2025-01-02T00:00:00"/>
    <n v="38"/>
    <s v="Female"/>
    <s v="North"/>
    <x v="1"/>
    <s v="CAMP1"/>
    <n v="382.8"/>
    <n v="7"/>
    <n v="1"/>
    <x v="66"/>
    <n v="3"/>
    <n v="13"/>
    <n v="5"/>
    <x v="0"/>
  </r>
  <r>
    <n v="408"/>
    <d v="2025-01-02T00:00:00"/>
    <n v="22"/>
    <s v="Male"/>
    <s v="East"/>
    <x v="0"/>
    <m/>
    <n v="484.6"/>
    <n v="3"/>
    <n v="1"/>
    <x v="67"/>
    <n v="4"/>
    <n v="4"/>
    <n v="5"/>
    <x v="0"/>
  </r>
  <r>
    <n v="3108"/>
    <d v="2025-01-02T00:00:00"/>
    <n v="26"/>
    <s v="Male"/>
    <s v="East"/>
    <x v="0"/>
    <m/>
    <n v="414"/>
    <n v="8"/>
    <n v="1"/>
    <x v="68"/>
    <n v="3"/>
    <n v="10"/>
    <n v="4"/>
    <x v="0"/>
  </r>
  <r>
    <n v="3913"/>
    <d v="2025-01-02T00:00:00"/>
    <n v="40"/>
    <s v="Male"/>
    <s v="South"/>
    <x v="2"/>
    <m/>
    <n v="209.6"/>
    <n v="7"/>
    <n v="1"/>
    <x v="69"/>
    <n v="3"/>
    <n v="2"/>
    <n v="3"/>
    <x v="0"/>
  </r>
  <r>
    <n v="2296"/>
    <d v="2025-01-02T00:00:00"/>
    <n v="35"/>
    <s v="Male"/>
    <s v="West"/>
    <x v="1"/>
    <s v="CAMP7"/>
    <n v="924.6"/>
    <n v="4"/>
    <n v="1"/>
    <x v="70"/>
    <n v="2"/>
    <n v="10"/>
    <n v="4"/>
    <x v="0"/>
  </r>
  <r>
    <n v="3745"/>
    <d v="2025-01-02T00:00:00"/>
    <n v="31"/>
    <s v="Male"/>
    <s v="South"/>
    <x v="0"/>
    <m/>
    <n v="1195"/>
    <n v="6"/>
    <n v="1"/>
    <x v="71"/>
    <n v="5"/>
    <n v="12"/>
    <n v="4"/>
    <x v="0"/>
  </r>
  <r>
    <n v="2819"/>
    <d v="2025-01-02T00:00:00"/>
    <n v="42"/>
    <s v="Male"/>
    <s v="West"/>
    <x v="1"/>
    <s v="CAMP5"/>
    <n v="333.5"/>
    <n v="8"/>
    <n v="1"/>
    <x v="72"/>
    <n v="2"/>
    <n v="11"/>
    <n v="4"/>
    <x v="0"/>
  </r>
  <r>
    <n v="2762"/>
    <d v="2025-01-02T00:00:00"/>
    <n v="24"/>
    <s v="Male"/>
    <s v="West"/>
    <x v="0"/>
    <m/>
    <n v="896.6"/>
    <n v="11"/>
    <n v="1"/>
    <x v="73"/>
    <n v="3"/>
    <n v="12"/>
    <n v="3"/>
    <x v="0"/>
  </r>
  <r>
    <n v="3783"/>
    <d v="2025-01-02T00:00:00"/>
    <n v="66"/>
    <s v="Female"/>
    <s v="East"/>
    <x v="1"/>
    <s v="CAMP6"/>
    <n v="23.7"/>
    <n v="7"/>
    <n v="0"/>
    <x v="11"/>
    <n v="0"/>
    <n v="0"/>
    <m/>
    <x v="0"/>
  </r>
  <r>
    <n v="206"/>
    <d v="2025-01-02T00:00:00"/>
    <n v="25"/>
    <s v="Female"/>
    <s v="East"/>
    <x v="3"/>
    <m/>
    <n v="454.4"/>
    <n v="4"/>
    <n v="0"/>
    <x v="11"/>
    <n v="0"/>
    <n v="0"/>
    <m/>
    <x v="0"/>
  </r>
  <r>
    <n v="1284"/>
    <d v="2025-01-02T00:00:00"/>
    <n v="20"/>
    <s v="Male"/>
    <s v="South"/>
    <x v="2"/>
    <m/>
    <n v="385.1"/>
    <n v="3"/>
    <n v="0"/>
    <x v="11"/>
    <n v="0"/>
    <n v="0"/>
    <m/>
    <x v="0"/>
  </r>
  <r>
    <n v="2350"/>
    <d v="2025-01-02T00:00:00"/>
    <n v="47"/>
    <s v="Male"/>
    <s v="West"/>
    <x v="3"/>
    <m/>
    <n v="376.3"/>
    <n v="7"/>
    <n v="0"/>
    <x v="11"/>
    <n v="0"/>
    <n v="0"/>
    <m/>
    <x v="0"/>
  </r>
  <r>
    <n v="3272"/>
    <d v="2025-01-02T00:00:00"/>
    <n v="32"/>
    <s v="Female"/>
    <s v="North"/>
    <x v="3"/>
    <m/>
    <n v="355.4"/>
    <n v="2"/>
    <n v="0"/>
    <x v="11"/>
    <n v="0"/>
    <n v="0"/>
    <m/>
    <x v="0"/>
  </r>
  <r>
    <n v="1887"/>
    <d v="2025-01-02T00:00:00"/>
    <n v="36"/>
    <s v="Male"/>
    <s v="East"/>
    <x v="1"/>
    <s v="CAMP2"/>
    <n v="335.6"/>
    <n v="4"/>
    <n v="0"/>
    <x v="11"/>
    <n v="0"/>
    <n v="0"/>
    <m/>
    <x v="0"/>
  </r>
  <r>
    <n v="3099"/>
    <d v="2025-01-02T00:00:00"/>
    <n v="41"/>
    <s v="Female"/>
    <s v="West"/>
    <x v="2"/>
    <m/>
    <n v="318.60000000000002"/>
    <n v="11"/>
    <n v="0"/>
    <x v="11"/>
    <n v="0"/>
    <n v="0"/>
    <m/>
    <x v="0"/>
  </r>
  <r>
    <n v="4901"/>
    <d v="2025-01-02T00:00:00"/>
    <n v="49"/>
    <s v="Male"/>
    <s v="West"/>
    <x v="1"/>
    <s v="CAMP4"/>
    <n v="304.8"/>
    <n v="9"/>
    <n v="0"/>
    <x v="11"/>
    <n v="0"/>
    <n v="0"/>
    <m/>
    <x v="0"/>
  </r>
  <r>
    <n v="2529"/>
    <d v="2025-01-02T00:00:00"/>
    <n v="35"/>
    <s v="Male"/>
    <s v="West"/>
    <x v="1"/>
    <s v="CAMP2"/>
    <n v="270.60000000000002"/>
    <n v="2"/>
    <n v="0"/>
    <x v="11"/>
    <n v="0"/>
    <n v="0"/>
    <m/>
    <x v="0"/>
  </r>
  <r>
    <n v="1484"/>
    <d v="2025-01-02T00:00:00"/>
    <n v="28"/>
    <s v="Female"/>
    <s v="South"/>
    <x v="1"/>
    <s v="CAMP7"/>
    <n v="221"/>
    <n v="5"/>
    <n v="0"/>
    <x v="11"/>
    <n v="0"/>
    <n v="0"/>
    <m/>
    <x v="0"/>
  </r>
  <r>
    <n v="129"/>
    <d v="2025-01-02T00:00:00"/>
    <n v="28"/>
    <s v="Male"/>
    <s v="West"/>
    <x v="3"/>
    <m/>
    <n v="202.4"/>
    <n v="2"/>
    <n v="0"/>
    <x v="11"/>
    <n v="0"/>
    <n v="0"/>
    <m/>
    <x v="0"/>
  </r>
  <r>
    <n v="946"/>
    <d v="2025-01-02T00:00:00"/>
    <n v="33"/>
    <s v="Male"/>
    <s v="East"/>
    <x v="3"/>
    <m/>
    <n v="172.5"/>
    <n v="5"/>
    <n v="0"/>
    <x v="11"/>
    <n v="0"/>
    <n v="0"/>
    <m/>
    <x v="0"/>
  </r>
  <r>
    <n v="1169"/>
    <d v="2025-01-02T00:00:00"/>
    <n v="23"/>
    <s v="Female"/>
    <s v="West"/>
    <x v="1"/>
    <s v="CAMP2"/>
    <n v="153.69999999999999"/>
    <n v="3"/>
    <n v="0"/>
    <x v="11"/>
    <n v="0"/>
    <n v="0"/>
    <m/>
    <x v="0"/>
  </r>
  <r>
    <n v="3711"/>
    <d v="2025-01-02T00:00:00"/>
    <n v="34"/>
    <s v="Male"/>
    <s v="East"/>
    <x v="1"/>
    <s v="CAMP2"/>
    <n v="134.5"/>
    <n v="6"/>
    <n v="0"/>
    <x v="11"/>
    <n v="0"/>
    <n v="0"/>
    <m/>
    <x v="0"/>
  </r>
  <r>
    <n v="4504"/>
    <d v="2025-01-02T00:00:00"/>
    <n v="41"/>
    <s v="Male"/>
    <s v="South"/>
    <x v="1"/>
    <s v="CAMP5"/>
    <n v="117.4"/>
    <n v="9"/>
    <n v="0"/>
    <x v="11"/>
    <n v="0"/>
    <n v="0"/>
    <m/>
    <x v="0"/>
  </r>
  <r>
    <n v="4757"/>
    <d v="2025-01-02T00:00:00"/>
    <n v="49"/>
    <s v="Female"/>
    <s v="North"/>
    <x v="1"/>
    <s v="CAMP1"/>
    <n v="85.2"/>
    <n v="7"/>
    <n v="0"/>
    <x v="11"/>
    <n v="0"/>
    <n v="0"/>
    <m/>
    <x v="0"/>
  </r>
  <r>
    <n v="3314"/>
    <d v="2025-01-02T00:00:00"/>
    <n v="50"/>
    <s v="Male"/>
    <s v="East"/>
    <x v="1"/>
    <s v="CAMP5"/>
    <n v="80.3"/>
    <n v="4"/>
    <n v="0"/>
    <x v="11"/>
    <n v="0"/>
    <n v="0"/>
    <m/>
    <x v="0"/>
  </r>
  <r>
    <n v="1516"/>
    <d v="2025-01-02T00:00:00"/>
    <n v="24"/>
    <s v="Male"/>
    <s v="South"/>
    <x v="0"/>
    <m/>
    <n v="80"/>
    <n v="5"/>
    <n v="0"/>
    <x v="11"/>
    <n v="0"/>
    <n v="0"/>
    <m/>
    <x v="0"/>
  </r>
  <r>
    <n v="4688"/>
    <d v="2025-01-02T00:00:00"/>
    <n v="43"/>
    <s v="Male"/>
    <s v="North"/>
    <x v="0"/>
    <m/>
    <n v="40.700000000000003"/>
    <n v="11"/>
    <n v="0"/>
    <x v="11"/>
    <n v="0"/>
    <n v="0"/>
    <m/>
    <x v="0"/>
  </r>
  <r>
    <n v="3606"/>
    <d v="2025-02-02T00:00:00"/>
    <n v="27"/>
    <s v="Male"/>
    <s v="South"/>
    <x v="1"/>
    <s v="CAMP6"/>
    <n v="468.2"/>
    <n v="5"/>
    <n v="1"/>
    <x v="74"/>
    <n v="5"/>
    <n v="8"/>
    <n v="4"/>
    <x v="1"/>
  </r>
  <r>
    <n v="1539"/>
    <d v="2025-02-02T00:00:00"/>
    <n v="35"/>
    <s v="Male"/>
    <s v="West"/>
    <x v="1"/>
    <s v="CAMP6"/>
    <n v="275.5"/>
    <n v="3"/>
    <n v="1"/>
    <x v="75"/>
    <n v="1"/>
    <n v="2"/>
    <n v="5"/>
    <x v="1"/>
  </r>
  <r>
    <n v="1017"/>
    <d v="2025-02-02T00:00:00"/>
    <n v="25"/>
    <s v="Female"/>
    <s v="North"/>
    <x v="2"/>
    <m/>
    <n v="458.8"/>
    <n v="6"/>
    <n v="1"/>
    <x v="76"/>
    <n v="3"/>
    <n v="4"/>
    <n v="4"/>
    <x v="1"/>
  </r>
  <r>
    <n v="4884"/>
    <d v="2025-02-02T00:00:00"/>
    <n v="36"/>
    <s v="Male"/>
    <s v="North"/>
    <x v="1"/>
    <s v="CAMP3"/>
    <n v="431.5"/>
    <n v="8"/>
    <n v="1"/>
    <x v="77"/>
    <n v="5"/>
    <n v="15"/>
    <n v="5"/>
    <x v="1"/>
  </r>
  <r>
    <n v="4429"/>
    <d v="2025-02-02T00:00:00"/>
    <n v="46"/>
    <s v="Male"/>
    <s v="West"/>
    <x v="3"/>
    <m/>
    <n v="513.20000000000005"/>
    <n v="7"/>
    <n v="1"/>
    <x v="78"/>
    <n v="2"/>
    <n v="10"/>
    <n v="3"/>
    <x v="1"/>
  </r>
  <r>
    <n v="3041"/>
    <d v="2025-02-02T00:00:00"/>
    <n v="33"/>
    <s v="Female"/>
    <s v="East"/>
    <x v="3"/>
    <m/>
    <n v="501.6"/>
    <n v="6"/>
    <n v="1"/>
    <x v="79"/>
    <n v="5"/>
    <n v="15"/>
    <n v="3"/>
    <x v="1"/>
  </r>
  <r>
    <n v="4447"/>
    <d v="2025-02-02T00:00:00"/>
    <n v="44"/>
    <s v="Female"/>
    <s v="East"/>
    <x v="0"/>
    <m/>
    <n v="544"/>
    <n v="4"/>
    <n v="1"/>
    <x v="80"/>
    <n v="2"/>
    <n v="9"/>
    <n v="4"/>
    <x v="1"/>
  </r>
  <r>
    <n v="1327"/>
    <d v="2025-02-02T00:00:00"/>
    <n v="18"/>
    <s v="Female"/>
    <s v="South"/>
    <x v="1"/>
    <s v="CAMP4"/>
    <n v="419.8"/>
    <n v="5"/>
    <n v="1"/>
    <x v="81"/>
    <n v="3"/>
    <n v="1"/>
    <n v="3"/>
    <x v="1"/>
  </r>
  <r>
    <n v="3465"/>
    <d v="2025-02-02T00:00:00"/>
    <n v="32"/>
    <s v="Female"/>
    <s v="South"/>
    <x v="0"/>
    <m/>
    <n v="221.5"/>
    <n v="7"/>
    <n v="1"/>
    <x v="82"/>
    <n v="3"/>
    <n v="4"/>
    <n v="4"/>
    <x v="1"/>
  </r>
  <r>
    <n v="3932"/>
    <d v="2025-02-02T00:00:00"/>
    <n v="41"/>
    <s v="Female"/>
    <s v="South"/>
    <x v="1"/>
    <s v="CAMP7"/>
    <n v="198"/>
    <n v="6"/>
    <n v="1"/>
    <x v="83"/>
    <n v="4"/>
    <n v="8"/>
    <n v="4"/>
    <x v="1"/>
  </r>
  <r>
    <n v="2924"/>
    <d v="2025-02-02T00:00:00"/>
    <n v="43"/>
    <s v="Male"/>
    <s v="West"/>
    <x v="1"/>
    <s v="CAMP4"/>
    <n v="514.5"/>
    <n v="8"/>
    <n v="1"/>
    <x v="84"/>
    <n v="3"/>
    <n v="6"/>
    <n v="4"/>
    <x v="1"/>
  </r>
  <r>
    <n v="903"/>
    <d v="2025-02-02T00:00:00"/>
    <n v="31"/>
    <s v="Female"/>
    <s v="West"/>
    <x v="0"/>
    <m/>
    <n v="986.2"/>
    <n v="6"/>
    <n v="1"/>
    <x v="85"/>
    <n v="2"/>
    <n v="9"/>
    <n v="4"/>
    <x v="1"/>
  </r>
  <r>
    <n v="722"/>
    <d v="2025-02-02T00:00:00"/>
    <n v="23"/>
    <s v="Male"/>
    <s v="East"/>
    <x v="0"/>
    <m/>
    <n v="90.8"/>
    <n v="4"/>
    <n v="1"/>
    <x v="86"/>
    <n v="2"/>
    <n v="8"/>
    <n v="4"/>
    <x v="1"/>
  </r>
  <r>
    <n v="843"/>
    <d v="2025-02-02T00:00:00"/>
    <n v="39"/>
    <s v="Male"/>
    <s v="West"/>
    <x v="0"/>
    <m/>
    <n v="160.69999999999999"/>
    <n v="3"/>
    <n v="1"/>
    <x v="87"/>
    <n v="2"/>
    <n v="14"/>
    <n v="3"/>
    <x v="1"/>
  </r>
  <r>
    <n v="868"/>
    <d v="2025-02-02T00:00:00"/>
    <n v="23"/>
    <s v="Male"/>
    <s v="North"/>
    <x v="1"/>
    <s v="CAMP7"/>
    <n v="825.8"/>
    <n v="8"/>
    <n v="1"/>
    <x v="88"/>
    <n v="5"/>
    <n v="10"/>
    <n v="4"/>
    <x v="1"/>
  </r>
  <r>
    <n v="886"/>
    <d v="2025-02-02T00:00:00"/>
    <n v="29"/>
    <s v="Female"/>
    <s v="South"/>
    <x v="0"/>
    <m/>
    <n v="876.1"/>
    <n v="7"/>
    <n v="0"/>
    <x v="11"/>
    <n v="0"/>
    <n v="0"/>
    <m/>
    <x v="1"/>
  </r>
  <r>
    <n v="1369"/>
    <d v="2025-02-02T00:00:00"/>
    <n v="24"/>
    <s v="Female"/>
    <s v="South"/>
    <x v="3"/>
    <m/>
    <n v="732.4"/>
    <n v="2"/>
    <n v="0"/>
    <x v="11"/>
    <n v="0"/>
    <n v="0"/>
    <m/>
    <x v="1"/>
  </r>
  <r>
    <n v="3213"/>
    <d v="2025-02-02T00:00:00"/>
    <n v="32"/>
    <s v="Female"/>
    <s v="North"/>
    <x v="0"/>
    <m/>
    <n v="667.1"/>
    <n v="4"/>
    <n v="0"/>
    <x v="11"/>
    <n v="0"/>
    <n v="0"/>
    <m/>
    <x v="1"/>
  </r>
  <r>
    <n v="4845"/>
    <d v="2025-02-02T00:00:00"/>
    <n v="56"/>
    <s v="Male"/>
    <s v="South"/>
    <x v="2"/>
    <m/>
    <n v="587.4"/>
    <n v="6"/>
    <n v="0"/>
    <x v="11"/>
    <n v="0"/>
    <n v="0"/>
    <m/>
    <x v="1"/>
  </r>
  <r>
    <n v="2991"/>
    <d v="2025-02-02T00:00:00"/>
    <n v="37"/>
    <s v="Female"/>
    <s v="North"/>
    <x v="0"/>
    <m/>
    <n v="461.5"/>
    <n v="7"/>
    <n v="0"/>
    <x v="11"/>
    <n v="0"/>
    <n v="0"/>
    <m/>
    <x v="1"/>
  </r>
  <r>
    <n v="785"/>
    <d v="2025-02-02T00:00:00"/>
    <n v="26"/>
    <s v="Female"/>
    <s v="East"/>
    <x v="0"/>
    <m/>
    <n v="298.5"/>
    <n v="6"/>
    <n v="0"/>
    <x v="11"/>
    <n v="0"/>
    <n v="0"/>
    <m/>
    <x v="1"/>
  </r>
  <r>
    <n v="593"/>
    <d v="2025-02-02T00:00:00"/>
    <n v="29"/>
    <s v="Female"/>
    <s v="North"/>
    <x v="1"/>
    <s v="CAMP7"/>
    <n v="288.60000000000002"/>
    <n v="4"/>
    <n v="0"/>
    <x v="11"/>
    <n v="0"/>
    <n v="0"/>
    <m/>
    <x v="1"/>
  </r>
  <r>
    <n v="3872"/>
    <d v="2025-02-02T00:00:00"/>
    <n v="46"/>
    <s v="Male"/>
    <s v="East"/>
    <x v="0"/>
    <m/>
    <n v="232.3"/>
    <n v="4"/>
    <n v="0"/>
    <x v="11"/>
    <n v="0"/>
    <n v="0"/>
    <m/>
    <x v="1"/>
  </r>
  <r>
    <n v="4530"/>
    <d v="2025-02-02T00:00:00"/>
    <n v="65"/>
    <s v="Female"/>
    <s v="East"/>
    <x v="1"/>
    <s v="CAMP3"/>
    <n v="154.30000000000001"/>
    <n v="3"/>
    <n v="0"/>
    <x v="11"/>
    <n v="0"/>
    <n v="0"/>
    <m/>
    <x v="1"/>
  </r>
  <r>
    <n v="1372"/>
    <d v="2025-02-02T00:00:00"/>
    <n v="26"/>
    <s v="Female"/>
    <s v="South"/>
    <x v="3"/>
    <m/>
    <n v="128.5"/>
    <n v="3"/>
    <n v="0"/>
    <x v="11"/>
    <n v="0"/>
    <n v="0"/>
    <m/>
    <x v="1"/>
  </r>
  <r>
    <n v="15"/>
    <d v="2025-02-02T00:00:00"/>
    <n v="25"/>
    <s v="Male"/>
    <s v="South"/>
    <x v="1"/>
    <s v="CAMP3"/>
    <n v="76.2"/>
    <n v="5"/>
    <n v="0"/>
    <x v="11"/>
    <n v="0"/>
    <n v="0"/>
    <m/>
    <x v="1"/>
  </r>
  <r>
    <n v="4608"/>
    <d v="2025-02-02T00:00:00"/>
    <n v="47"/>
    <s v="Male"/>
    <s v="South"/>
    <x v="2"/>
    <m/>
    <n v="67.099999999999994"/>
    <n v="8"/>
    <n v="0"/>
    <x v="11"/>
    <n v="0"/>
    <n v="0"/>
    <m/>
    <x v="1"/>
  </r>
  <r>
    <n v="1537"/>
    <d v="2025-02-02T00:00:00"/>
    <n v="23"/>
    <s v="Male"/>
    <s v="South"/>
    <x v="0"/>
    <m/>
    <n v="59.2"/>
    <n v="7"/>
    <n v="0"/>
    <x v="11"/>
    <n v="0"/>
    <n v="0"/>
    <m/>
    <x v="1"/>
  </r>
  <r>
    <n v="754"/>
    <d v="2025-03-02T00:00:00"/>
    <n v="24"/>
    <s v="Female"/>
    <s v="North"/>
    <x v="0"/>
    <m/>
    <n v="311.5"/>
    <n v="5"/>
    <n v="1"/>
    <x v="89"/>
    <n v="3"/>
    <n v="10"/>
    <n v="4"/>
    <x v="2"/>
  </r>
  <r>
    <n v="1838"/>
    <d v="2025-03-02T00:00:00"/>
    <n v="41"/>
    <s v="Male"/>
    <s v="East"/>
    <x v="0"/>
    <m/>
    <n v="458.3"/>
    <n v="7"/>
    <n v="1"/>
    <x v="90"/>
    <n v="2"/>
    <n v="2"/>
    <n v="5"/>
    <x v="2"/>
  </r>
  <r>
    <n v="4419"/>
    <d v="2025-03-02T00:00:00"/>
    <n v="57"/>
    <s v="Male"/>
    <s v="West"/>
    <x v="0"/>
    <m/>
    <n v="726"/>
    <n v="6"/>
    <n v="1"/>
    <x v="91"/>
    <n v="5"/>
    <n v="4"/>
    <n v="5"/>
    <x v="2"/>
  </r>
  <r>
    <n v="4864"/>
    <d v="2025-03-02T00:00:00"/>
    <n v="30"/>
    <s v="Female"/>
    <s v="North"/>
    <x v="0"/>
    <m/>
    <n v="232.5"/>
    <n v="3"/>
    <n v="1"/>
    <x v="92"/>
    <n v="7"/>
    <n v="8"/>
    <n v="5"/>
    <x v="2"/>
  </r>
  <r>
    <n v="3255"/>
    <d v="2025-03-02T00:00:00"/>
    <n v="39"/>
    <s v="Other"/>
    <s v="East"/>
    <x v="0"/>
    <m/>
    <n v="564.79999999999995"/>
    <n v="5"/>
    <n v="1"/>
    <x v="93"/>
    <n v="4"/>
    <n v="10"/>
    <n v="5"/>
    <x v="2"/>
  </r>
  <r>
    <n v="823"/>
    <d v="2025-03-02T00:00:00"/>
    <n v="20"/>
    <s v="Male"/>
    <s v="West"/>
    <x v="2"/>
    <m/>
    <n v="110.6"/>
    <n v="10"/>
    <n v="1"/>
    <x v="94"/>
    <n v="2"/>
    <n v="7"/>
    <n v="4"/>
    <x v="2"/>
  </r>
  <r>
    <n v="703"/>
    <d v="2025-03-02T00:00:00"/>
    <n v="28"/>
    <s v="Male"/>
    <s v="East"/>
    <x v="0"/>
    <m/>
    <n v="161.19999999999999"/>
    <n v="4"/>
    <n v="1"/>
    <x v="95"/>
    <n v="3"/>
    <n v="12"/>
    <n v="4"/>
    <x v="2"/>
  </r>
  <r>
    <n v="1163"/>
    <d v="2025-03-02T00:00:00"/>
    <n v="27"/>
    <s v="Female"/>
    <s v="West"/>
    <x v="1"/>
    <s v="CAMP6"/>
    <n v="689.4"/>
    <n v="7"/>
    <n v="1"/>
    <x v="96"/>
    <n v="1"/>
    <n v="4"/>
    <n v="4"/>
    <x v="2"/>
  </r>
  <r>
    <n v="1969"/>
    <d v="2025-03-02T00:00:00"/>
    <n v="39"/>
    <s v="Female"/>
    <s v="West"/>
    <x v="3"/>
    <m/>
    <n v="572"/>
    <n v="5"/>
    <n v="1"/>
    <x v="97"/>
    <n v="3"/>
    <n v="5"/>
    <n v="4"/>
    <x v="2"/>
  </r>
  <r>
    <n v="2151"/>
    <d v="2025-03-02T00:00:00"/>
    <n v="34"/>
    <s v="Male"/>
    <s v="South"/>
    <x v="3"/>
    <m/>
    <n v="668.4"/>
    <n v="8"/>
    <n v="0"/>
    <x v="11"/>
    <n v="0"/>
    <n v="0"/>
    <m/>
    <x v="2"/>
  </r>
  <r>
    <n v="4449"/>
    <d v="2025-03-02T00:00:00"/>
    <n v="54"/>
    <s v="Male"/>
    <s v="North"/>
    <x v="0"/>
    <m/>
    <n v="543.9"/>
    <n v="3"/>
    <n v="0"/>
    <x v="11"/>
    <n v="0"/>
    <n v="0"/>
    <m/>
    <x v="2"/>
  </r>
  <r>
    <n v="282"/>
    <d v="2025-03-02T00:00:00"/>
    <n v="31"/>
    <s v="Female"/>
    <s v="West"/>
    <x v="0"/>
    <m/>
    <n v="538.20000000000005"/>
    <n v="12"/>
    <n v="0"/>
    <x v="11"/>
    <n v="0"/>
    <n v="0"/>
    <m/>
    <x v="2"/>
  </r>
  <r>
    <n v="4278"/>
    <d v="2025-03-02T00:00:00"/>
    <n v="37"/>
    <s v="Male"/>
    <s v="West"/>
    <x v="0"/>
    <m/>
    <n v="494.5"/>
    <n v="4"/>
    <n v="0"/>
    <x v="11"/>
    <n v="0"/>
    <n v="0"/>
    <m/>
    <x v="2"/>
  </r>
  <r>
    <n v="3989"/>
    <d v="2025-03-02T00:00:00"/>
    <n v="56"/>
    <s v="Other"/>
    <s v="South"/>
    <x v="3"/>
    <m/>
    <n v="446.1"/>
    <n v="6"/>
    <n v="0"/>
    <x v="11"/>
    <n v="0"/>
    <n v="0"/>
    <m/>
    <x v="2"/>
  </r>
  <r>
    <n v="2685"/>
    <d v="2025-03-02T00:00:00"/>
    <n v="38"/>
    <s v="Male"/>
    <s v="East"/>
    <x v="1"/>
    <s v="CAMP3"/>
    <n v="384"/>
    <n v="6"/>
    <n v="0"/>
    <x v="11"/>
    <n v="0"/>
    <n v="0"/>
    <m/>
    <x v="2"/>
  </r>
  <r>
    <n v="2963"/>
    <d v="2025-03-02T00:00:00"/>
    <n v="32"/>
    <s v="Male"/>
    <s v="East"/>
    <x v="0"/>
    <m/>
    <n v="335.5"/>
    <n v="5"/>
    <n v="0"/>
    <x v="11"/>
    <n v="0"/>
    <n v="0"/>
    <m/>
    <x v="2"/>
  </r>
  <r>
    <n v="820"/>
    <d v="2025-03-02T00:00:00"/>
    <n v="28"/>
    <s v="Female"/>
    <s v="West"/>
    <x v="0"/>
    <m/>
    <n v="303.2"/>
    <n v="6"/>
    <n v="0"/>
    <x v="11"/>
    <n v="0"/>
    <n v="0"/>
    <m/>
    <x v="2"/>
  </r>
  <r>
    <n v="4775"/>
    <d v="2025-03-02T00:00:00"/>
    <n v="56"/>
    <s v="Female"/>
    <s v="East"/>
    <x v="1"/>
    <s v="CAMP1"/>
    <n v="243.3"/>
    <n v="6"/>
    <n v="0"/>
    <x v="11"/>
    <n v="0"/>
    <n v="0"/>
    <m/>
    <x v="2"/>
  </r>
  <r>
    <n v="1326"/>
    <d v="2025-03-02T00:00:00"/>
    <n v="22"/>
    <s v="Male"/>
    <s v="East"/>
    <x v="0"/>
    <m/>
    <n v="240.3"/>
    <n v="7"/>
    <n v="0"/>
    <x v="11"/>
    <n v="0"/>
    <n v="0"/>
    <m/>
    <x v="2"/>
  </r>
  <r>
    <n v="3511"/>
    <d v="2025-03-02T00:00:00"/>
    <n v="26"/>
    <s v="Female"/>
    <s v="East"/>
    <x v="3"/>
    <m/>
    <n v="232.9"/>
    <n v="7"/>
    <n v="0"/>
    <x v="11"/>
    <n v="0"/>
    <n v="0"/>
    <m/>
    <x v="2"/>
  </r>
  <r>
    <n v="134"/>
    <d v="2025-03-02T00:00:00"/>
    <n v="26"/>
    <s v="Male"/>
    <s v="West"/>
    <x v="0"/>
    <m/>
    <n v="208.8"/>
    <n v="6"/>
    <n v="0"/>
    <x v="11"/>
    <n v="0"/>
    <n v="0"/>
    <m/>
    <x v="2"/>
  </r>
  <r>
    <n v="3016"/>
    <d v="2025-03-02T00:00:00"/>
    <n v="49"/>
    <s v="Other"/>
    <s v="East"/>
    <x v="0"/>
    <m/>
    <n v="185.2"/>
    <n v="5"/>
    <n v="0"/>
    <x v="11"/>
    <n v="0"/>
    <n v="0"/>
    <m/>
    <x v="2"/>
  </r>
  <r>
    <n v="3997"/>
    <d v="2025-03-02T00:00:00"/>
    <n v="65"/>
    <s v="Female"/>
    <s v="North"/>
    <x v="0"/>
    <m/>
    <n v="145.6"/>
    <n v="5"/>
    <n v="0"/>
    <x v="11"/>
    <n v="0"/>
    <n v="0"/>
    <m/>
    <x v="2"/>
  </r>
  <r>
    <n v="3279"/>
    <d v="2025-03-02T00:00:00"/>
    <n v="44"/>
    <s v="Male"/>
    <s v="North"/>
    <x v="1"/>
    <s v="CAMP4"/>
    <n v="133.1"/>
    <n v="8"/>
    <n v="0"/>
    <x v="11"/>
    <n v="0"/>
    <n v="0"/>
    <m/>
    <x v="2"/>
  </r>
  <r>
    <n v="1942"/>
    <d v="2025-03-02T00:00:00"/>
    <n v="23"/>
    <s v="Female"/>
    <s v="West"/>
    <x v="0"/>
    <m/>
    <n v="127.1"/>
    <n v="5"/>
    <n v="0"/>
    <x v="11"/>
    <n v="0"/>
    <n v="0"/>
    <m/>
    <x v="2"/>
  </r>
  <r>
    <n v="1395"/>
    <d v="2025-03-02T00:00:00"/>
    <n v="22"/>
    <s v="Male"/>
    <s v="South"/>
    <x v="0"/>
    <m/>
    <n v="98.2"/>
    <n v="4"/>
    <n v="0"/>
    <x v="11"/>
    <n v="0"/>
    <n v="0"/>
    <m/>
    <x v="2"/>
  </r>
  <r>
    <n v="4920"/>
    <d v="2025-03-02T00:00:00"/>
    <n v="51"/>
    <s v="Female"/>
    <s v="South"/>
    <x v="1"/>
    <s v="CAMP2"/>
    <n v="88.1"/>
    <n v="6"/>
    <n v="0"/>
    <x v="11"/>
    <n v="0"/>
    <n v="0"/>
    <m/>
    <x v="2"/>
  </r>
  <r>
    <n v="2300"/>
    <d v="2025-03-02T00:00:00"/>
    <n v="27"/>
    <s v="Male"/>
    <s v="East"/>
    <x v="3"/>
    <m/>
    <n v="70.599999999999994"/>
    <n v="8"/>
    <n v="0"/>
    <x v="11"/>
    <n v="0"/>
    <n v="0"/>
    <m/>
    <x v="2"/>
  </r>
  <r>
    <n v="981"/>
    <d v="2025-03-02T00:00:00"/>
    <n v="28"/>
    <s v="Male"/>
    <s v="North"/>
    <x v="1"/>
    <s v="CAMP5"/>
    <n v="63.5"/>
    <n v="4"/>
    <n v="0"/>
    <x v="11"/>
    <n v="0"/>
    <n v="0"/>
    <m/>
    <x v="2"/>
  </r>
  <r>
    <n v="2948"/>
    <d v="2025-04-02T00:00:00"/>
    <n v="34"/>
    <s v="Male"/>
    <s v="East"/>
    <x v="0"/>
    <m/>
    <n v="390.6"/>
    <n v="2"/>
    <n v="1"/>
    <x v="98"/>
    <n v="4"/>
    <n v="2"/>
    <n v="4"/>
    <x v="3"/>
  </r>
  <r>
    <n v="4380"/>
    <d v="2025-04-02T00:00:00"/>
    <n v="37"/>
    <s v="Male"/>
    <s v="South"/>
    <x v="0"/>
    <m/>
    <n v="548.29999999999995"/>
    <n v="7"/>
    <n v="1"/>
    <x v="99"/>
    <n v="4"/>
    <n v="5"/>
    <n v="3"/>
    <x v="3"/>
  </r>
  <r>
    <n v="2887"/>
    <d v="2025-04-02T00:00:00"/>
    <n v="34"/>
    <s v="Female"/>
    <s v="South"/>
    <x v="0"/>
    <m/>
    <n v="806.4"/>
    <n v="6"/>
    <n v="1"/>
    <x v="100"/>
    <n v="2"/>
    <n v="1"/>
    <n v="4"/>
    <x v="3"/>
  </r>
  <r>
    <n v="2514"/>
    <d v="2025-04-02T00:00:00"/>
    <n v="27"/>
    <s v="Female"/>
    <s v="West"/>
    <x v="1"/>
    <s v="CAMP1"/>
    <n v="1154.3"/>
    <n v="10"/>
    <n v="1"/>
    <x v="101"/>
    <n v="7"/>
    <n v="10"/>
    <n v="4"/>
    <x v="3"/>
  </r>
  <r>
    <n v="693"/>
    <d v="2025-04-02T00:00:00"/>
    <n v="22"/>
    <s v="Male"/>
    <s v="South"/>
    <x v="0"/>
    <m/>
    <n v="575.4"/>
    <n v="9"/>
    <n v="1"/>
    <x v="102"/>
    <n v="4"/>
    <n v="1"/>
    <n v="4"/>
    <x v="3"/>
  </r>
  <r>
    <n v="3658"/>
    <d v="2025-04-02T00:00:00"/>
    <n v="37"/>
    <s v="Female"/>
    <s v="South"/>
    <x v="1"/>
    <s v="CAMP1"/>
    <n v="553.20000000000005"/>
    <n v="3"/>
    <n v="1"/>
    <x v="103"/>
    <n v="5"/>
    <n v="3"/>
    <n v="4"/>
    <x v="3"/>
  </r>
  <r>
    <n v="4698"/>
    <d v="2025-04-02T00:00:00"/>
    <n v="44"/>
    <s v="Female"/>
    <s v="West"/>
    <x v="0"/>
    <m/>
    <n v="774.7"/>
    <n v="7"/>
    <n v="1"/>
    <x v="104"/>
    <n v="6"/>
    <n v="6"/>
    <n v="5"/>
    <x v="3"/>
  </r>
  <r>
    <n v="3262"/>
    <d v="2025-04-02T00:00:00"/>
    <n v="28"/>
    <s v="Male"/>
    <s v="East"/>
    <x v="3"/>
    <m/>
    <n v="160.6"/>
    <n v="7"/>
    <n v="1"/>
    <x v="105"/>
    <n v="4"/>
    <n v="6"/>
    <n v="3"/>
    <x v="3"/>
  </r>
  <r>
    <n v="1878"/>
    <d v="2025-04-02T00:00:00"/>
    <n v="33"/>
    <s v="Male"/>
    <s v="South"/>
    <x v="0"/>
    <m/>
    <n v="615.29999999999995"/>
    <n v="3"/>
    <n v="1"/>
    <x v="106"/>
    <n v="5"/>
    <n v="10"/>
    <n v="4"/>
    <x v="3"/>
  </r>
  <r>
    <n v="1168"/>
    <d v="2025-04-02T00:00:00"/>
    <n v="25"/>
    <s v="Female"/>
    <s v="West"/>
    <x v="2"/>
    <m/>
    <n v="279.10000000000002"/>
    <n v="8"/>
    <n v="1"/>
    <x v="107"/>
    <n v="6"/>
    <n v="11"/>
    <n v="4"/>
    <x v="3"/>
  </r>
  <r>
    <n v="3196"/>
    <d v="2025-04-02T00:00:00"/>
    <n v="30"/>
    <s v="Male"/>
    <s v="North"/>
    <x v="2"/>
    <m/>
    <n v="630.70000000000005"/>
    <n v="6"/>
    <n v="1"/>
    <x v="108"/>
    <n v="4"/>
    <n v="6"/>
    <n v="5"/>
    <x v="3"/>
  </r>
  <r>
    <n v="4254"/>
    <d v="2025-04-02T00:00:00"/>
    <n v="60"/>
    <s v="Female"/>
    <s v="East"/>
    <x v="0"/>
    <m/>
    <n v="552.79999999999995"/>
    <n v="4"/>
    <n v="0"/>
    <x v="11"/>
    <n v="0"/>
    <n v="0"/>
    <m/>
    <x v="3"/>
  </r>
  <r>
    <n v="130"/>
    <d v="2025-04-02T00:00:00"/>
    <n v="21"/>
    <s v="Female"/>
    <s v="North"/>
    <x v="1"/>
    <s v="CAMP2"/>
    <n v="450.7"/>
    <n v="3"/>
    <n v="0"/>
    <x v="11"/>
    <n v="0"/>
    <n v="0"/>
    <m/>
    <x v="3"/>
  </r>
  <r>
    <n v="4630"/>
    <d v="2025-04-02T00:00:00"/>
    <n v="54"/>
    <s v="Male"/>
    <s v="West"/>
    <x v="1"/>
    <s v="CAMP4"/>
    <n v="439.9"/>
    <n v="7"/>
    <n v="0"/>
    <x v="11"/>
    <n v="0"/>
    <n v="0"/>
    <m/>
    <x v="3"/>
  </r>
  <r>
    <n v="1704"/>
    <d v="2025-04-02T00:00:00"/>
    <n v="18"/>
    <s v="Male"/>
    <s v="West"/>
    <x v="3"/>
    <m/>
    <n v="391.1"/>
    <n v="5"/>
    <n v="0"/>
    <x v="11"/>
    <n v="0"/>
    <n v="0"/>
    <m/>
    <x v="3"/>
  </r>
  <r>
    <n v="2311"/>
    <d v="2025-04-02T00:00:00"/>
    <n v="56"/>
    <s v="Male"/>
    <s v="East"/>
    <x v="1"/>
    <s v="CAMP4"/>
    <n v="376.9"/>
    <n v="6"/>
    <n v="0"/>
    <x v="11"/>
    <n v="0"/>
    <n v="0"/>
    <m/>
    <x v="3"/>
  </r>
  <r>
    <n v="104"/>
    <d v="2025-04-02T00:00:00"/>
    <n v="23"/>
    <s v="Male"/>
    <s v="East"/>
    <x v="3"/>
    <m/>
    <n v="229.8"/>
    <n v="8"/>
    <n v="0"/>
    <x v="11"/>
    <n v="0"/>
    <n v="0"/>
    <m/>
    <x v="3"/>
  </r>
  <r>
    <n v="2856"/>
    <d v="2025-04-02T00:00:00"/>
    <n v="48"/>
    <s v="Female"/>
    <s v="North"/>
    <x v="3"/>
    <m/>
    <n v="219.1"/>
    <n v="2"/>
    <n v="0"/>
    <x v="11"/>
    <n v="0"/>
    <n v="0"/>
    <m/>
    <x v="3"/>
  </r>
  <r>
    <n v="2278"/>
    <d v="2025-04-02T00:00:00"/>
    <n v="46"/>
    <s v="Female"/>
    <s v="South"/>
    <x v="0"/>
    <m/>
    <n v="207"/>
    <n v="5"/>
    <n v="0"/>
    <x v="11"/>
    <n v="0"/>
    <n v="0"/>
    <m/>
    <x v="3"/>
  </r>
  <r>
    <n v="1422"/>
    <d v="2025-04-02T00:00:00"/>
    <n v="20"/>
    <s v="Male"/>
    <s v="West"/>
    <x v="1"/>
    <s v="CAMP1"/>
    <n v="184.2"/>
    <n v="5"/>
    <n v="0"/>
    <x v="11"/>
    <n v="0"/>
    <n v="0"/>
    <m/>
    <x v="3"/>
  </r>
  <r>
    <n v="3354"/>
    <d v="2025-04-02T00:00:00"/>
    <n v="32"/>
    <s v="Male"/>
    <s v="South"/>
    <x v="0"/>
    <m/>
    <n v="150"/>
    <n v="6"/>
    <n v="0"/>
    <x v="11"/>
    <n v="0"/>
    <n v="0"/>
    <m/>
    <x v="3"/>
  </r>
  <r>
    <n v="4754"/>
    <d v="2025-04-02T00:00:00"/>
    <n v="59"/>
    <s v="Male"/>
    <s v="North"/>
    <x v="0"/>
    <m/>
    <n v="108.2"/>
    <n v="10"/>
    <n v="0"/>
    <x v="11"/>
    <n v="0"/>
    <n v="0"/>
    <m/>
    <x v="3"/>
  </r>
  <r>
    <n v="1873"/>
    <d v="2025-04-02T00:00:00"/>
    <n v="18"/>
    <s v="Female"/>
    <s v="East"/>
    <x v="0"/>
    <m/>
    <n v="107.8"/>
    <n v="8"/>
    <n v="0"/>
    <x v="11"/>
    <n v="0"/>
    <n v="0"/>
    <m/>
    <x v="3"/>
  </r>
  <r>
    <n v="3661"/>
    <d v="2025-04-02T00:00:00"/>
    <n v="39"/>
    <s v="Other"/>
    <s v="West"/>
    <x v="1"/>
    <s v="CAMP5"/>
    <n v="92.3"/>
    <n v="10"/>
    <n v="0"/>
    <x v="11"/>
    <n v="0"/>
    <n v="0"/>
    <m/>
    <x v="3"/>
  </r>
  <r>
    <n v="1727"/>
    <d v="2025-04-02T00:00:00"/>
    <n v="18"/>
    <s v="Other"/>
    <s v="North"/>
    <x v="0"/>
    <m/>
    <n v="84.1"/>
    <n v="5"/>
    <n v="0"/>
    <x v="11"/>
    <n v="0"/>
    <n v="0"/>
    <m/>
    <x v="3"/>
  </r>
  <r>
    <n v="793"/>
    <d v="2025-04-02T00:00:00"/>
    <n v="26"/>
    <s v="Other"/>
    <s v="East"/>
    <x v="2"/>
    <m/>
    <n v="42.1"/>
    <n v="9"/>
    <n v="0"/>
    <x v="11"/>
    <n v="0"/>
    <n v="0"/>
    <m/>
    <x v="3"/>
  </r>
  <r>
    <n v="1440"/>
    <d v="2025-05-02T00:00:00"/>
    <n v="22"/>
    <s v="Female"/>
    <s v="West"/>
    <x v="2"/>
    <m/>
    <n v="306.60000000000002"/>
    <n v="1"/>
    <n v="1"/>
    <x v="109"/>
    <n v="2"/>
    <n v="14"/>
    <n v="3"/>
    <x v="4"/>
  </r>
  <r>
    <n v="3127"/>
    <d v="2025-05-02T00:00:00"/>
    <n v="48"/>
    <s v="Female"/>
    <s v="North"/>
    <x v="0"/>
    <m/>
    <n v="987.4"/>
    <n v="12"/>
    <n v="1"/>
    <x v="110"/>
    <n v="4"/>
    <n v="1"/>
    <n v="5"/>
    <x v="4"/>
  </r>
  <r>
    <n v="4431"/>
    <d v="2025-05-02T00:00:00"/>
    <n v="52"/>
    <s v="Male"/>
    <s v="South"/>
    <x v="2"/>
    <m/>
    <n v="159"/>
    <n v="4"/>
    <n v="1"/>
    <x v="111"/>
    <n v="3"/>
    <n v="12"/>
    <n v="4"/>
    <x v="4"/>
  </r>
  <r>
    <n v="3539"/>
    <d v="2025-05-02T00:00:00"/>
    <n v="33"/>
    <s v="Male"/>
    <s v="East"/>
    <x v="0"/>
    <m/>
    <n v="398.4"/>
    <n v="5"/>
    <n v="1"/>
    <x v="112"/>
    <n v="4"/>
    <n v="14"/>
    <n v="4"/>
    <x v="4"/>
  </r>
  <r>
    <n v="2697"/>
    <d v="2025-05-02T00:00:00"/>
    <n v="32"/>
    <s v="Female"/>
    <s v="South"/>
    <x v="0"/>
    <m/>
    <n v="546.4"/>
    <n v="7"/>
    <n v="1"/>
    <x v="113"/>
    <n v="4"/>
    <n v="11"/>
    <n v="4"/>
    <x v="4"/>
  </r>
  <r>
    <n v="1935"/>
    <d v="2025-05-02T00:00:00"/>
    <n v="22"/>
    <s v="Male"/>
    <s v="North"/>
    <x v="0"/>
    <m/>
    <n v="552"/>
    <n v="3"/>
    <n v="1"/>
    <x v="114"/>
    <n v="1"/>
    <n v="9"/>
    <n v="5"/>
    <x v="4"/>
  </r>
  <r>
    <n v="2752"/>
    <d v="2025-05-02T00:00:00"/>
    <n v="39"/>
    <s v="Female"/>
    <s v="South"/>
    <x v="0"/>
    <m/>
    <n v="371.2"/>
    <n v="3"/>
    <n v="1"/>
    <x v="115"/>
    <n v="3"/>
    <n v="9"/>
    <n v="4"/>
    <x v="4"/>
  </r>
  <r>
    <n v="4126"/>
    <d v="2025-05-02T00:00:00"/>
    <n v="59"/>
    <s v="Male"/>
    <s v="North"/>
    <x v="1"/>
    <s v="CAMP7"/>
    <n v="587.1"/>
    <n v="6"/>
    <n v="1"/>
    <x v="116"/>
    <n v="2"/>
    <n v="10"/>
    <n v="4"/>
    <x v="4"/>
  </r>
  <r>
    <n v="4323"/>
    <d v="2025-05-02T00:00:00"/>
    <n v="28"/>
    <s v="Male"/>
    <s v="North"/>
    <x v="1"/>
    <s v="CAMP1"/>
    <n v="1076.4000000000001"/>
    <n v="7"/>
    <n v="1"/>
    <x v="117"/>
    <n v="2"/>
    <n v="5"/>
    <n v="5"/>
    <x v="4"/>
  </r>
  <r>
    <n v="1443"/>
    <d v="2025-05-02T00:00:00"/>
    <n v="29"/>
    <s v="Female"/>
    <s v="North"/>
    <x v="2"/>
    <m/>
    <n v="637.29999999999995"/>
    <n v="7"/>
    <n v="1"/>
    <x v="118"/>
    <n v="3"/>
    <n v="14"/>
    <n v="5"/>
    <x v="4"/>
  </r>
  <r>
    <n v="4647"/>
    <d v="2025-05-02T00:00:00"/>
    <n v="43"/>
    <s v="Male"/>
    <s v="East"/>
    <x v="0"/>
    <m/>
    <n v="148.30000000000001"/>
    <n v="7"/>
    <n v="1"/>
    <x v="119"/>
    <n v="2"/>
    <n v="6"/>
    <n v="3"/>
    <x v="4"/>
  </r>
  <r>
    <n v="3205"/>
    <d v="2025-05-02T00:00:00"/>
    <n v="40"/>
    <s v="Male"/>
    <s v="East"/>
    <x v="0"/>
    <m/>
    <n v="356.3"/>
    <n v="6"/>
    <n v="1"/>
    <x v="120"/>
    <n v="2"/>
    <n v="6"/>
    <n v="4"/>
    <x v="4"/>
  </r>
  <r>
    <n v="3868"/>
    <d v="2025-05-02T00:00:00"/>
    <n v="31"/>
    <s v="Female"/>
    <s v="North"/>
    <x v="1"/>
    <s v="CAMP2"/>
    <n v="838"/>
    <n v="7"/>
    <n v="1"/>
    <x v="121"/>
    <n v="3"/>
    <n v="12"/>
    <n v="5"/>
    <x v="4"/>
  </r>
  <r>
    <n v="4069"/>
    <d v="2025-05-02T00:00:00"/>
    <n v="47"/>
    <s v="Male"/>
    <s v="South"/>
    <x v="0"/>
    <m/>
    <n v="640.1"/>
    <n v="5"/>
    <n v="0"/>
    <x v="11"/>
    <n v="0"/>
    <n v="0"/>
    <m/>
    <x v="4"/>
  </r>
  <r>
    <n v="4182"/>
    <d v="2025-05-02T00:00:00"/>
    <n v="50"/>
    <s v="Female"/>
    <s v="South"/>
    <x v="0"/>
    <m/>
    <n v="580.4"/>
    <n v="3"/>
    <n v="0"/>
    <x v="11"/>
    <n v="0"/>
    <n v="0"/>
    <m/>
    <x v="4"/>
  </r>
  <r>
    <n v="2405"/>
    <d v="2025-05-02T00:00:00"/>
    <n v="32"/>
    <s v="Other"/>
    <s v="North"/>
    <x v="0"/>
    <m/>
    <n v="517.5"/>
    <n v="4"/>
    <n v="0"/>
    <x v="11"/>
    <n v="0"/>
    <n v="0"/>
    <m/>
    <x v="4"/>
  </r>
  <r>
    <n v="3096"/>
    <d v="2025-05-02T00:00:00"/>
    <n v="28"/>
    <s v="Female"/>
    <s v="West"/>
    <x v="1"/>
    <s v="CAMP1"/>
    <n v="510.9"/>
    <n v="6"/>
    <n v="0"/>
    <x v="11"/>
    <n v="0"/>
    <n v="0"/>
    <m/>
    <x v="4"/>
  </r>
  <r>
    <n v="3453"/>
    <d v="2025-05-02T00:00:00"/>
    <n v="35"/>
    <s v="Female"/>
    <s v="East"/>
    <x v="0"/>
    <m/>
    <n v="422.9"/>
    <n v="3"/>
    <n v="0"/>
    <x v="11"/>
    <n v="0"/>
    <n v="0"/>
    <m/>
    <x v="4"/>
  </r>
  <r>
    <n v="4753"/>
    <d v="2025-05-02T00:00:00"/>
    <n v="50"/>
    <s v="Female"/>
    <s v="North"/>
    <x v="2"/>
    <m/>
    <n v="417.7"/>
    <n v="3"/>
    <n v="0"/>
    <x v="11"/>
    <n v="0"/>
    <n v="0"/>
    <m/>
    <x v="4"/>
  </r>
  <r>
    <n v="4465"/>
    <d v="2025-05-02T00:00:00"/>
    <n v="71"/>
    <s v="Male"/>
    <s v="East"/>
    <x v="0"/>
    <m/>
    <n v="397.5"/>
    <n v="3"/>
    <n v="0"/>
    <x v="11"/>
    <n v="0"/>
    <n v="0"/>
    <m/>
    <x v="4"/>
  </r>
  <r>
    <n v="3070"/>
    <d v="2025-05-02T00:00:00"/>
    <n v="35"/>
    <s v="Female"/>
    <s v="East"/>
    <x v="1"/>
    <s v="CAMP6"/>
    <n v="349.3"/>
    <n v="8"/>
    <n v="0"/>
    <x v="11"/>
    <n v="0"/>
    <n v="0"/>
    <m/>
    <x v="4"/>
  </r>
  <r>
    <n v="2375"/>
    <d v="2025-05-02T00:00:00"/>
    <n v="54"/>
    <s v="Female"/>
    <s v="West"/>
    <x v="3"/>
    <m/>
    <n v="334"/>
    <n v="7"/>
    <n v="0"/>
    <x v="11"/>
    <n v="0"/>
    <n v="0"/>
    <m/>
    <x v="4"/>
  </r>
  <r>
    <n v="3001"/>
    <d v="2025-05-02T00:00:00"/>
    <n v="45"/>
    <s v="Female"/>
    <s v="South"/>
    <x v="0"/>
    <m/>
    <n v="320.60000000000002"/>
    <n v="8"/>
    <n v="0"/>
    <x v="11"/>
    <n v="0"/>
    <n v="0"/>
    <m/>
    <x v="4"/>
  </r>
  <r>
    <n v="3009"/>
    <d v="2025-05-02T00:00:00"/>
    <n v="24"/>
    <s v="Male"/>
    <s v="North"/>
    <x v="0"/>
    <m/>
    <n v="315"/>
    <n v="3"/>
    <n v="0"/>
    <x v="11"/>
    <n v="0"/>
    <n v="0"/>
    <m/>
    <x v="4"/>
  </r>
  <r>
    <n v="4023"/>
    <d v="2025-05-02T00:00:00"/>
    <n v="44"/>
    <s v="Female"/>
    <s v="West"/>
    <x v="0"/>
    <m/>
    <n v="310.3"/>
    <n v="3"/>
    <n v="0"/>
    <x v="11"/>
    <n v="0"/>
    <n v="0"/>
    <m/>
    <x v="4"/>
  </r>
  <r>
    <n v="4241"/>
    <d v="2025-05-02T00:00:00"/>
    <n v="50"/>
    <s v="Female"/>
    <s v="East"/>
    <x v="0"/>
    <m/>
    <n v="297.5"/>
    <n v="5"/>
    <n v="0"/>
    <x v="11"/>
    <n v="0"/>
    <n v="0"/>
    <m/>
    <x v="4"/>
  </r>
  <r>
    <n v="4025"/>
    <d v="2025-05-02T00:00:00"/>
    <n v="60"/>
    <s v="Male"/>
    <s v="South"/>
    <x v="1"/>
    <s v="CAMP6"/>
    <n v="290.8"/>
    <n v="5"/>
    <n v="0"/>
    <x v="11"/>
    <n v="0"/>
    <n v="0"/>
    <m/>
    <x v="4"/>
  </r>
  <r>
    <n v="171"/>
    <d v="2025-05-02T00:00:00"/>
    <n v="33"/>
    <s v="Male"/>
    <s v="South"/>
    <x v="1"/>
    <s v="CAMP4"/>
    <n v="216.5"/>
    <n v="3"/>
    <n v="0"/>
    <x v="11"/>
    <n v="0"/>
    <n v="0"/>
    <m/>
    <x v="4"/>
  </r>
  <r>
    <n v="2531"/>
    <d v="2025-05-02T00:00:00"/>
    <n v="36"/>
    <s v="Other"/>
    <s v="North"/>
    <x v="1"/>
    <s v="CAMP5"/>
    <n v="215.2"/>
    <n v="3"/>
    <n v="0"/>
    <x v="11"/>
    <n v="0"/>
    <n v="0"/>
    <m/>
    <x v="4"/>
  </r>
  <r>
    <n v="1458"/>
    <d v="2025-05-02T00:00:00"/>
    <n v="27"/>
    <s v="Female"/>
    <s v="East"/>
    <x v="1"/>
    <s v="CAMP1"/>
    <n v="193"/>
    <n v="6"/>
    <n v="0"/>
    <x v="11"/>
    <n v="0"/>
    <n v="0"/>
    <m/>
    <x v="4"/>
  </r>
  <r>
    <n v="4572"/>
    <d v="2025-05-02T00:00:00"/>
    <n v="55"/>
    <s v="Female"/>
    <s v="West"/>
    <x v="1"/>
    <s v="CAMP2"/>
    <n v="177.8"/>
    <n v="7"/>
    <n v="0"/>
    <x v="11"/>
    <n v="0"/>
    <n v="0"/>
    <m/>
    <x v="4"/>
  </r>
  <r>
    <n v="4954"/>
    <d v="2025-05-02T00:00:00"/>
    <n v="70"/>
    <s v="Male"/>
    <s v="North"/>
    <x v="0"/>
    <m/>
    <n v="137.80000000000001"/>
    <n v="2"/>
    <n v="0"/>
    <x v="11"/>
    <n v="0"/>
    <n v="0"/>
    <m/>
    <x v="4"/>
  </r>
  <r>
    <n v="3685"/>
    <d v="2025-05-02T00:00:00"/>
    <n v="44"/>
    <s v="Male"/>
    <s v="West"/>
    <x v="0"/>
    <m/>
    <n v="126.4"/>
    <n v="6"/>
    <n v="0"/>
    <x v="11"/>
    <n v="0"/>
    <n v="0"/>
    <m/>
    <x v="4"/>
  </r>
  <r>
    <n v="419"/>
    <d v="2025-05-02T00:00:00"/>
    <n v="27"/>
    <s v="Male"/>
    <s v="East"/>
    <x v="0"/>
    <m/>
    <n v="113.9"/>
    <n v="9"/>
    <n v="0"/>
    <x v="11"/>
    <n v="0"/>
    <n v="0"/>
    <m/>
    <x v="4"/>
  </r>
  <r>
    <n v="3452"/>
    <d v="2025-05-02T00:00:00"/>
    <n v="32"/>
    <s v="Female"/>
    <s v="West"/>
    <x v="0"/>
    <m/>
    <n v="113.8"/>
    <n v="1"/>
    <n v="0"/>
    <x v="11"/>
    <n v="0"/>
    <n v="0"/>
    <m/>
    <x v="4"/>
  </r>
  <r>
    <n v="4072"/>
    <d v="2025-05-02T00:00:00"/>
    <n v="49"/>
    <s v="Female"/>
    <s v="West"/>
    <x v="2"/>
    <m/>
    <n v="111.8"/>
    <n v="9"/>
    <n v="0"/>
    <x v="11"/>
    <n v="0"/>
    <n v="0"/>
    <m/>
    <x v="4"/>
  </r>
  <r>
    <n v="3621"/>
    <d v="2025-05-02T00:00:00"/>
    <n v="43"/>
    <s v="Male"/>
    <s v="West"/>
    <x v="1"/>
    <s v="CAMP4"/>
    <n v="90.7"/>
    <n v="5"/>
    <n v="0"/>
    <x v="11"/>
    <n v="0"/>
    <n v="0"/>
    <m/>
    <x v="4"/>
  </r>
  <r>
    <n v="3212"/>
    <d v="2025-05-02T00:00:00"/>
    <n v="40"/>
    <s v="Female"/>
    <s v="West"/>
    <x v="1"/>
    <s v="CAMP1"/>
    <n v="77.599999999999994"/>
    <n v="3"/>
    <n v="0"/>
    <x v="11"/>
    <n v="0"/>
    <n v="0"/>
    <m/>
    <x v="4"/>
  </r>
  <r>
    <n v="3893"/>
    <d v="2025-05-02T00:00:00"/>
    <n v="52"/>
    <s v="Female"/>
    <s v="West"/>
    <x v="0"/>
    <m/>
    <n v="68.5"/>
    <n v="14"/>
    <n v="0"/>
    <x v="11"/>
    <n v="0"/>
    <n v="0"/>
    <m/>
    <x v="4"/>
  </r>
  <r>
    <n v="2169"/>
    <d v="2025-05-02T00:00:00"/>
    <n v="43"/>
    <s v="Female"/>
    <s v="West"/>
    <x v="3"/>
    <m/>
    <n v="42.7"/>
    <n v="2"/>
    <n v="0"/>
    <x v="11"/>
    <n v="0"/>
    <n v="0"/>
    <m/>
    <x v="4"/>
  </r>
  <r>
    <n v="4201"/>
    <d v="2025-06-02T00:00:00"/>
    <n v="36"/>
    <s v="Male"/>
    <s v="North"/>
    <x v="0"/>
    <m/>
    <n v="348.6"/>
    <n v="9"/>
    <n v="1"/>
    <x v="122"/>
    <n v="1"/>
    <n v="2"/>
    <n v="4"/>
    <x v="5"/>
  </r>
  <r>
    <n v="2918"/>
    <d v="2025-06-02T00:00:00"/>
    <n v="42"/>
    <s v="Male"/>
    <s v="West"/>
    <x v="1"/>
    <s v="CAMP6"/>
    <n v="1124.5999999999999"/>
    <n v="7"/>
    <n v="1"/>
    <x v="123"/>
    <n v="6"/>
    <n v="1"/>
    <n v="4"/>
    <x v="5"/>
  </r>
  <r>
    <n v="4950"/>
    <d v="2025-06-02T00:00:00"/>
    <n v="55"/>
    <s v="Female"/>
    <s v="North"/>
    <x v="0"/>
    <m/>
    <n v="278.10000000000002"/>
    <n v="4"/>
    <n v="1"/>
    <x v="124"/>
    <n v="1"/>
    <n v="7"/>
    <n v="5"/>
    <x v="5"/>
  </r>
  <r>
    <n v="2055"/>
    <d v="2025-06-02T00:00:00"/>
    <n v="44"/>
    <s v="Female"/>
    <s v="West"/>
    <x v="0"/>
    <m/>
    <n v="156.30000000000001"/>
    <n v="8"/>
    <n v="1"/>
    <x v="125"/>
    <n v="2"/>
    <n v="8"/>
    <n v="4"/>
    <x v="5"/>
  </r>
  <r>
    <n v="4607"/>
    <d v="2025-06-02T00:00:00"/>
    <n v="46"/>
    <s v="Male"/>
    <s v="North"/>
    <x v="1"/>
    <s v="CAMP7"/>
    <n v="576.5"/>
    <n v="9"/>
    <n v="1"/>
    <x v="126"/>
    <n v="4"/>
    <n v="1"/>
    <n v="4"/>
    <x v="5"/>
  </r>
  <r>
    <n v="772"/>
    <d v="2025-06-02T00:00:00"/>
    <n v="27"/>
    <s v="Female"/>
    <s v="South"/>
    <x v="0"/>
    <m/>
    <n v="32.9"/>
    <n v="3"/>
    <n v="1"/>
    <x v="127"/>
    <n v="4"/>
    <n v="4"/>
    <n v="3"/>
    <x v="5"/>
  </r>
  <r>
    <n v="537"/>
    <d v="2025-06-02T00:00:00"/>
    <n v="18"/>
    <s v="Female"/>
    <s v="West"/>
    <x v="1"/>
    <s v="CAMP7"/>
    <n v="306.39999999999998"/>
    <n v="10"/>
    <n v="1"/>
    <x v="128"/>
    <n v="3"/>
    <n v="9"/>
    <n v="4"/>
    <x v="5"/>
  </r>
  <r>
    <n v="4089"/>
    <d v="2025-06-02T00:00:00"/>
    <n v="46"/>
    <s v="Female"/>
    <s v="North"/>
    <x v="0"/>
    <m/>
    <n v="555.1"/>
    <n v="5"/>
    <n v="1"/>
    <x v="129"/>
    <n v="2"/>
    <n v="11"/>
    <n v="4"/>
    <x v="5"/>
  </r>
  <r>
    <n v="3509"/>
    <d v="2025-06-02T00:00:00"/>
    <n v="31"/>
    <s v="Male"/>
    <s v="West"/>
    <x v="0"/>
    <m/>
    <n v="313.10000000000002"/>
    <n v="5"/>
    <n v="1"/>
    <x v="130"/>
    <n v="5"/>
    <n v="4"/>
    <n v="5"/>
    <x v="5"/>
  </r>
  <r>
    <n v="2509"/>
    <d v="2025-06-02T00:00:00"/>
    <n v="33"/>
    <s v="Male"/>
    <s v="West"/>
    <x v="0"/>
    <m/>
    <n v="792.3"/>
    <n v="5"/>
    <n v="0"/>
    <x v="11"/>
    <n v="0"/>
    <n v="0"/>
    <m/>
    <x v="5"/>
  </r>
  <r>
    <n v="2826"/>
    <d v="2025-06-02T00:00:00"/>
    <n v="37"/>
    <s v="Male"/>
    <s v="West"/>
    <x v="0"/>
    <m/>
    <n v="631.9"/>
    <n v="4"/>
    <n v="0"/>
    <x v="11"/>
    <n v="0"/>
    <n v="0"/>
    <m/>
    <x v="5"/>
  </r>
  <r>
    <n v="1854"/>
    <d v="2025-06-02T00:00:00"/>
    <n v="34"/>
    <s v="Female"/>
    <s v="West"/>
    <x v="0"/>
    <m/>
    <n v="551.20000000000005"/>
    <n v="6"/>
    <n v="0"/>
    <x v="11"/>
    <n v="0"/>
    <n v="0"/>
    <m/>
    <x v="5"/>
  </r>
  <r>
    <n v="1028"/>
    <d v="2025-06-02T00:00:00"/>
    <n v="32"/>
    <s v="Male"/>
    <s v="North"/>
    <x v="3"/>
    <m/>
    <n v="542.70000000000005"/>
    <n v="6"/>
    <n v="0"/>
    <x v="11"/>
    <n v="0"/>
    <n v="0"/>
    <m/>
    <x v="5"/>
  </r>
  <r>
    <n v="3900"/>
    <d v="2025-06-02T00:00:00"/>
    <n v="46"/>
    <s v="Female"/>
    <s v="West"/>
    <x v="2"/>
    <m/>
    <n v="539.6"/>
    <n v="8"/>
    <n v="0"/>
    <x v="11"/>
    <n v="0"/>
    <n v="0"/>
    <m/>
    <x v="5"/>
  </r>
  <r>
    <n v="4070"/>
    <d v="2025-06-02T00:00:00"/>
    <n v="54"/>
    <s v="Female"/>
    <s v="North"/>
    <x v="0"/>
    <m/>
    <n v="516"/>
    <n v="7"/>
    <n v="0"/>
    <x v="11"/>
    <n v="0"/>
    <n v="0"/>
    <m/>
    <x v="5"/>
  </r>
  <r>
    <n v="2543"/>
    <d v="2025-06-02T00:00:00"/>
    <n v="41"/>
    <s v="Female"/>
    <s v="East"/>
    <x v="3"/>
    <m/>
    <n v="510.5"/>
    <n v="7"/>
    <n v="0"/>
    <x v="11"/>
    <n v="0"/>
    <n v="0"/>
    <m/>
    <x v="5"/>
  </r>
  <r>
    <n v="4654"/>
    <d v="2025-06-02T00:00:00"/>
    <n v="48"/>
    <s v="Female"/>
    <s v="South"/>
    <x v="2"/>
    <m/>
    <n v="362.8"/>
    <n v="6"/>
    <n v="0"/>
    <x v="11"/>
    <n v="0"/>
    <n v="0"/>
    <m/>
    <x v="5"/>
  </r>
  <r>
    <n v="4943"/>
    <d v="2025-06-02T00:00:00"/>
    <n v="67"/>
    <s v="Male"/>
    <s v="South"/>
    <x v="1"/>
    <s v="CAMP3"/>
    <n v="352.7"/>
    <n v="3"/>
    <n v="0"/>
    <x v="11"/>
    <n v="0"/>
    <n v="0"/>
    <m/>
    <x v="5"/>
  </r>
  <r>
    <n v="1008"/>
    <d v="2025-06-02T00:00:00"/>
    <n v="27"/>
    <s v="Male"/>
    <s v="South"/>
    <x v="2"/>
    <m/>
    <n v="275.7"/>
    <n v="6"/>
    <n v="0"/>
    <x v="11"/>
    <n v="0"/>
    <n v="0"/>
    <m/>
    <x v="5"/>
  </r>
  <r>
    <n v="3398"/>
    <d v="2025-06-02T00:00:00"/>
    <n v="45"/>
    <s v="Male"/>
    <s v="North"/>
    <x v="0"/>
    <m/>
    <n v="270.8"/>
    <n v="3"/>
    <n v="0"/>
    <x v="11"/>
    <n v="0"/>
    <n v="0"/>
    <m/>
    <x v="5"/>
  </r>
  <r>
    <n v="3618"/>
    <d v="2025-06-02T00:00:00"/>
    <n v="33"/>
    <s v="Female"/>
    <s v="North"/>
    <x v="0"/>
    <m/>
    <n v="236.8"/>
    <n v="4"/>
    <n v="0"/>
    <x v="11"/>
    <n v="0"/>
    <n v="0"/>
    <m/>
    <x v="5"/>
  </r>
  <r>
    <n v="377"/>
    <d v="2025-06-02T00:00:00"/>
    <n v="26"/>
    <s v="Female"/>
    <s v="East"/>
    <x v="0"/>
    <m/>
    <n v="187.3"/>
    <n v="16"/>
    <n v="0"/>
    <x v="11"/>
    <n v="0"/>
    <n v="0"/>
    <m/>
    <x v="5"/>
  </r>
  <r>
    <n v="2719"/>
    <d v="2025-06-02T00:00:00"/>
    <n v="42"/>
    <s v="Male"/>
    <s v="East"/>
    <x v="0"/>
    <m/>
    <n v="179.5"/>
    <n v="6"/>
    <n v="0"/>
    <x v="11"/>
    <n v="0"/>
    <n v="0"/>
    <m/>
    <x v="5"/>
  </r>
  <r>
    <n v="220"/>
    <d v="2025-06-02T00:00:00"/>
    <n v="27"/>
    <s v="Male"/>
    <s v="South"/>
    <x v="1"/>
    <s v="CAMP1"/>
    <n v="175.6"/>
    <n v="4"/>
    <n v="0"/>
    <x v="11"/>
    <n v="0"/>
    <n v="0"/>
    <m/>
    <x v="5"/>
  </r>
  <r>
    <n v="2372"/>
    <d v="2025-06-02T00:00:00"/>
    <n v="40"/>
    <s v="Male"/>
    <s v="East"/>
    <x v="2"/>
    <m/>
    <n v="118.4"/>
    <n v="1"/>
    <n v="0"/>
    <x v="11"/>
    <n v="0"/>
    <n v="0"/>
    <m/>
    <x v="5"/>
  </r>
  <r>
    <n v="1244"/>
    <d v="2025-06-02T00:00:00"/>
    <n v="18"/>
    <s v="Female"/>
    <s v="East"/>
    <x v="3"/>
    <m/>
    <n v="109.2"/>
    <n v="8"/>
    <n v="0"/>
    <x v="11"/>
    <n v="0"/>
    <n v="0"/>
    <m/>
    <x v="5"/>
  </r>
  <r>
    <n v="3704"/>
    <d v="2025-06-02T00:00:00"/>
    <n v="31"/>
    <s v="Female"/>
    <s v="South"/>
    <x v="0"/>
    <m/>
    <n v="44.6"/>
    <n v="6"/>
    <n v="0"/>
    <x v="11"/>
    <n v="0"/>
    <n v="0"/>
    <m/>
    <x v="5"/>
  </r>
  <r>
    <n v="2683"/>
    <d v="2025-01-03T00:00:00"/>
    <n v="30"/>
    <s v="Female"/>
    <s v="East"/>
    <x v="2"/>
    <m/>
    <n v="441.1"/>
    <n v="6"/>
    <n v="1"/>
    <x v="131"/>
    <n v="3"/>
    <n v="6"/>
    <n v="4"/>
    <x v="0"/>
  </r>
  <r>
    <n v="1753"/>
    <d v="2025-01-03T00:00:00"/>
    <n v="49"/>
    <s v="Female"/>
    <s v="North"/>
    <x v="1"/>
    <s v="CAMP5"/>
    <n v="322.7"/>
    <n v="2"/>
    <n v="1"/>
    <x v="132"/>
    <n v="3"/>
    <n v="3"/>
    <n v="4"/>
    <x v="0"/>
  </r>
  <r>
    <n v="4136"/>
    <d v="2025-01-03T00:00:00"/>
    <n v="61"/>
    <s v="Male"/>
    <s v="East"/>
    <x v="3"/>
    <m/>
    <n v="224.6"/>
    <n v="5"/>
    <n v="1"/>
    <x v="133"/>
    <n v="3"/>
    <n v="13"/>
    <n v="4"/>
    <x v="0"/>
  </r>
  <r>
    <n v="2978"/>
    <d v="2025-01-03T00:00:00"/>
    <n v="35"/>
    <s v="Female"/>
    <s v="West"/>
    <x v="3"/>
    <m/>
    <n v="347.2"/>
    <n v="5"/>
    <n v="1"/>
    <x v="134"/>
    <n v="2"/>
    <n v="14"/>
    <n v="3"/>
    <x v="0"/>
  </r>
  <r>
    <n v="2361"/>
    <d v="2025-01-03T00:00:00"/>
    <n v="43"/>
    <s v="Female"/>
    <s v="East"/>
    <x v="1"/>
    <s v="CAMP7"/>
    <n v="854.9"/>
    <n v="5"/>
    <n v="1"/>
    <x v="135"/>
    <n v="2"/>
    <n v="7"/>
    <n v="4"/>
    <x v="0"/>
  </r>
  <r>
    <n v="3965"/>
    <d v="2025-01-03T00:00:00"/>
    <n v="51"/>
    <s v="Female"/>
    <s v="West"/>
    <x v="1"/>
    <s v="CAMP6"/>
    <n v="1168.3"/>
    <n v="10"/>
    <n v="1"/>
    <x v="136"/>
    <n v="1"/>
    <n v="8"/>
    <n v="4"/>
    <x v="0"/>
  </r>
  <r>
    <n v="2225"/>
    <d v="2025-01-03T00:00:00"/>
    <n v="44"/>
    <s v="Female"/>
    <s v="South"/>
    <x v="1"/>
    <s v="CAMP7"/>
    <n v="295.2"/>
    <n v="6"/>
    <n v="1"/>
    <x v="137"/>
    <n v="3"/>
    <n v="4"/>
    <n v="3"/>
    <x v="0"/>
  </r>
  <r>
    <n v="1800"/>
    <d v="2025-01-03T00:00:00"/>
    <n v="27"/>
    <s v="Male"/>
    <s v="West"/>
    <x v="0"/>
    <m/>
    <n v="320.2"/>
    <n v="6"/>
    <n v="1"/>
    <x v="138"/>
    <n v="2"/>
    <n v="9"/>
    <n v="3"/>
    <x v="0"/>
  </r>
  <r>
    <n v="899"/>
    <d v="2025-01-03T00:00:00"/>
    <n v="21"/>
    <s v="Male"/>
    <s v="North"/>
    <x v="0"/>
    <m/>
    <n v="223.6"/>
    <n v="5"/>
    <n v="1"/>
    <x v="139"/>
    <n v="2"/>
    <n v="4"/>
    <n v="4"/>
    <x v="0"/>
  </r>
  <r>
    <n v="333"/>
    <d v="2025-01-03T00:00:00"/>
    <n v="18"/>
    <s v="Female"/>
    <s v="West"/>
    <x v="3"/>
    <m/>
    <n v="458.7"/>
    <n v="5"/>
    <n v="1"/>
    <x v="140"/>
    <n v="3"/>
    <n v="5"/>
    <n v="4"/>
    <x v="0"/>
  </r>
  <r>
    <n v="3008"/>
    <d v="2025-01-03T00:00:00"/>
    <n v="41"/>
    <s v="Male"/>
    <s v="South"/>
    <x v="0"/>
    <m/>
    <n v="931.9"/>
    <n v="7"/>
    <n v="1"/>
    <x v="141"/>
    <n v="3"/>
    <n v="12"/>
    <n v="4"/>
    <x v="0"/>
  </r>
  <r>
    <n v="4056"/>
    <d v="2025-01-03T00:00:00"/>
    <n v="42"/>
    <s v="Female"/>
    <s v="West"/>
    <x v="3"/>
    <m/>
    <n v="28"/>
    <n v="2"/>
    <n v="0"/>
    <x v="11"/>
    <n v="0"/>
    <n v="0"/>
    <m/>
    <x v="0"/>
  </r>
  <r>
    <n v="4547"/>
    <d v="2025-01-03T00:00:00"/>
    <n v="56"/>
    <s v="Female"/>
    <s v="West"/>
    <x v="1"/>
    <s v="CAMP4"/>
    <n v="93"/>
    <n v="5"/>
    <n v="0"/>
    <x v="11"/>
    <n v="0"/>
    <n v="0"/>
    <m/>
    <x v="0"/>
  </r>
  <r>
    <n v="3088"/>
    <d v="2025-01-03T00:00:00"/>
    <n v="38"/>
    <s v="Male"/>
    <s v="South"/>
    <x v="0"/>
    <m/>
    <n v="629.29999999999995"/>
    <n v="5"/>
    <n v="0"/>
    <x v="11"/>
    <n v="0"/>
    <n v="0"/>
    <m/>
    <x v="0"/>
  </r>
  <r>
    <n v="4156"/>
    <d v="2025-01-03T00:00:00"/>
    <n v="62"/>
    <s v="Female"/>
    <s v="East"/>
    <x v="3"/>
    <m/>
    <n v="489.4"/>
    <n v="5"/>
    <n v="0"/>
    <x v="11"/>
    <n v="0"/>
    <n v="0"/>
    <m/>
    <x v="0"/>
  </r>
  <r>
    <n v="4813"/>
    <d v="2025-01-03T00:00:00"/>
    <n v="43"/>
    <s v="Male"/>
    <s v="East"/>
    <x v="0"/>
    <m/>
    <n v="431.5"/>
    <n v="6"/>
    <n v="0"/>
    <x v="11"/>
    <n v="0"/>
    <n v="0"/>
    <m/>
    <x v="0"/>
  </r>
  <r>
    <n v="2534"/>
    <d v="2025-01-03T00:00:00"/>
    <n v="40"/>
    <s v="Female"/>
    <s v="East"/>
    <x v="2"/>
    <m/>
    <n v="356.9"/>
    <n v="5"/>
    <n v="0"/>
    <x v="11"/>
    <n v="0"/>
    <n v="0"/>
    <m/>
    <x v="0"/>
  </r>
  <r>
    <n v="471"/>
    <d v="2025-01-03T00:00:00"/>
    <n v="20"/>
    <s v="Other"/>
    <s v="West"/>
    <x v="0"/>
    <m/>
    <n v="326.3"/>
    <n v="6"/>
    <n v="0"/>
    <x v="11"/>
    <n v="0"/>
    <n v="0"/>
    <m/>
    <x v="0"/>
  </r>
  <r>
    <n v="3118"/>
    <d v="2025-01-03T00:00:00"/>
    <n v="40"/>
    <s v="Male"/>
    <s v="West"/>
    <x v="0"/>
    <m/>
    <n v="262.10000000000002"/>
    <n v="7"/>
    <n v="0"/>
    <x v="11"/>
    <n v="0"/>
    <n v="0"/>
    <m/>
    <x v="0"/>
  </r>
  <r>
    <n v="3946"/>
    <d v="2025-01-03T00:00:00"/>
    <n v="33"/>
    <s v="Female"/>
    <s v="South"/>
    <x v="0"/>
    <m/>
    <n v="238.1"/>
    <n v="6"/>
    <n v="0"/>
    <x v="11"/>
    <n v="0"/>
    <n v="0"/>
    <m/>
    <x v="0"/>
  </r>
  <r>
    <n v="2132"/>
    <d v="2025-01-03T00:00:00"/>
    <n v="39"/>
    <s v="Male"/>
    <s v="North"/>
    <x v="2"/>
    <m/>
    <n v="229.8"/>
    <n v="12"/>
    <n v="0"/>
    <x v="11"/>
    <n v="0"/>
    <n v="0"/>
    <m/>
    <x v="0"/>
  </r>
  <r>
    <n v="841"/>
    <d v="2025-01-03T00:00:00"/>
    <n v="18"/>
    <s v="Female"/>
    <s v="East"/>
    <x v="1"/>
    <s v="CAMP7"/>
    <n v="196"/>
    <n v="2"/>
    <n v="0"/>
    <x v="11"/>
    <n v="0"/>
    <n v="0"/>
    <m/>
    <x v="0"/>
  </r>
  <r>
    <n v="3067"/>
    <d v="2025-01-03T00:00:00"/>
    <n v="46"/>
    <s v="Male"/>
    <s v="South"/>
    <x v="2"/>
    <m/>
    <n v="174.2"/>
    <n v="8"/>
    <n v="0"/>
    <x v="11"/>
    <n v="0"/>
    <n v="0"/>
    <m/>
    <x v="0"/>
  </r>
  <r>
    <n v="4097"/>
    <d v="2025-01-03T00:00:00"/>
    <n v="49"/>
    <s v="Female"/>
    <s v="West"/>
    <x v="1"/>
    <s v="CAMP5"/>
    <n v="154.4"/>
    <n v="2"/>
    <n v="0"/>
    <x v="11"/>
    <n v="0"/>
    <n v="0"/>
    <m/>
    <x v="0"/>
  </r>
  <r>
    <n v="564"/>
    <d v="2025-01-03T00:00:00"/>
    <n v="27"/>
    <s v="Male"/>
    <s v="South"/>
    <x v="0"/>
    <m/>
    <n v="148.69999999999999"/>
    <n v="6"/>
    <n v="0"/>
    <x v="11"/>
    <n v="0"/>
    <n v="0"/>
    <m/>
    <x v="0"/>
  </r>
  <r>
    <n v="172"/>
    <d v="2025-01-03T00:00:00"/>
    <n v="18"/>
    <s v="Female"/>
    <s v="South"/>
    <x v="2"/>
    <m/>
    <n v="124.8"/>
    <n v="7"/>
    <n v="0"/>
    <x v="11"/>
    <n v="0"/>
    <n v="0"/>
    <m/>
    <x v="0"/>
  </r>
  <r>
    <n v="1265"/>
    <d v="2025-01-03T00:00:00"/>
    <n v="31"/>
    <s v="Male"/>
    <s v="East"/>
    <x v="0"/>
    <m/>
    <n v="115.5"/>
    <n v="4"/>
    <n v="0"/>
    <x v="11"/>
    <n v="0"/>
    <n v="0"/>
    <m/>
    <x v="0"/>
  </r>
  <r>
    <n v="245"/>
    <d v="2025-01-03T00:00:00"/>
    <n v="37"/>
    <s v="Male"/>
    <s v="East"/>
    <x v="1"/>
    <s v="CAMP6"/>
    <n v="112.2"/>
    <n v="5"/>
    <n v="0"/>
    <x v="11"/>
    <n v="0"/>
    <n v="0"/>
    <m/>
    <x v="0"/>
  </r>
  <r>
    <n v="3420"/>
    <d v="2025-01-03T00:00:00"/>
    <n v="40"/>
    <s v="Female"/>
    <s v="South"/>
    <x v="0"/>
    <m/>
    <n v="91.2"/>
    <n v="3"/>
    <n v="0"/>
    <x v="11"/>
    <n v="0"/>
    <n v="0"/>
    <m/>
    <x v="0"/>
  </r>
  <r>
    <n v="457"/>
    <d v="2025-01-03T00:00:00"/>
    <n v="30"/>
    <s v="Female"/>
    <s v="South"/>
    <x v="0"/>
    <m/>
    <n v="64.7"/>
    <n v="8"/>
    <n v="0"/>
    <x v="11"/>
    <n v="0"/>
    <n v="0"/>
    <m/>
    <x v="0"/>
  </r>
  <r>
    <n v="2818"/>
    <d v="2025-01-03T00:00:00"/>
    <n v="36"/>
    <s v="Female"/>
    <s v="West"/>
    <x v="1"/>
    <s v="CAMP2"/>
    <n v="39.200000000000003"/>
    <n v="7"/>
    <n v="0"/>
    <x v="11"/>
    <n v="0"/>
    <n v="0"/>
    <m/>
    <x v="0"/>
  </r>
  <r>
    <n v="1098"/>
    <d v="2025-02-03T00:00:00"/>
    <n v="27"/>
    <s v="Male"/>
    <s v="East"/>
    <x v="1"/>
    <s v="CAMP6"/>
    <n v="43"/>
    <n v="5"/>
    <n v="1"/>
    <x v="142"/>
    <n v="3"/>
    <n v="7"/>
    <n v="4"/>
    <x v="1"/>
  </r>
  <r>
    <n v="4196"/>
    <d v="2025-02-03T00:00:00"/>
    <n v="56"/>
    <s v="Male"/>
    <s v="West"/>
    <x v="1"/>
    <s v="CAMP3"/>
    <n v="1291.3"/>
    <n v="5"/>
    <n v="1"/>
    <x v="143"/>
    <n v="3"/>
    <n v="5"/>
    <n v="5"/>
    <x v="1"/>
  </r>
  <r>
    <n v="4370"/>
    <d v="2025-02-03T00:00:00"/>
    <n v="77"/>
    <s v="Female"/>
    <s v="West"/>
    <x v="1"/>
    <s v="CAMP3"/>
    <n v="200.1"/>
    <n v="12"/>
    <n v="1"/>
    <x v="144"/>
    <n v="3"/>
    <n v="9"/>
    <n v="4"/>
    <x v="1"/>
  </r>
  <r>
    <n v="3355"/>
    <d v="2025-02-03T00:00:00"/>
    <n v="28"/>
    <s v="Male"/>
    <s v="East"/>
    <x v="1"/>
    <s v="CAMP4"/>
    <n v="338.8"/>
    <n v="7"/>
    <n v="1"/>
    <x v="145"/>
    <n v="1"/>
    <n v="11"/>
    <n v="5"/>
    <x v="1"/>
  </r>
  <r>
    <n v="1981"/>
    <d v="2025-02-03T00:00:00"/>
    <n v="40"/>
    <s v="Female"/>
    <s v="North"/>
    <x v="0"/>
    <m/>
    <n v="650.70000000000005"/>
    <n v="6"/>
    <n v="1"/>
    <x v="146"/>
    <n v="1"/>
    <n v="5"/>
    <n v="4"/>
    <x v="1"/>
  </r>
  <r>
    <n v="16"/>
    <d v="2025-02-03T00:00:00"/>
    <n v="24"/>
    <s v="Male"/>
    <s v="South"/>
    <x v="0"/>
    <m/>
    <n v="99.7"/>
    <n v="4"/>
    <n v="1"/>
    <x v="147"/>
    <n v="4"/>
    <n v="3"/>
    <n v="5"/>
    <x v="1"/>
  </r>
  <r>
    <n v="1001"/>
    <d v="2025-02-03T00:00:00"/>
    <n v="25"/>
    <s v="Male"/>
    <s v="East"/>
    <x v="0"/>
    <m/>
    <n v="230.2"/>
    <n v="6"/>
    <n v="1"/>
    <x v="148"/>
    <n v="3"/>
    <n v="7"/>
    <n v="4"/>
    <x v="1"/>
  </r>
  <r>
    <n v="2880"/>
    <d v="2025-02-03T00:00:00"/>
    <n v="50"/>
    <s v="Female"/>
    <s v="South"/>
    <x v="0"/>
    <m/>
    <n v="437.4"/>
    <n v="5"/>
    <n v="1"/>
    <x v="149"/>
    <n v="3"/>
    <n v="9"/>
    <n v="3"/>
    <x v="1"/>
  </r>
  <r>
    <n v="168"/>
    <d v="2025-02-03T00:00:00"/>
    <n v="26"/>
    <s v="Female"/>
    <s v="South"/>
    <x v="0"/>
    <m/>
    <n v="194.1"/>
    <n v="3"/>
    <n v="1"/>
    <x v="150"/>
    <n v="2"/>
    <n v="2"/>
    <n v="5"/>
    <x v="1"/>
  </r>
  <r>
    <n v="1898"/>
    <d v="2025-02-03T00:00:00"/>
    <n v="30"/>
    <s v="Male"/>
    <s v="East"/>
    <x v="1"/>
    <s v="CAMP7"/>
    <n v="230.9"/>
    <n v="4"/>
    <n v="1"/>
    <x v="151"/>
    <n v="2"/>
    <n v="15"/>
    <n v="5"/>
    <x v="1"/>
  </r>
  <r>
    <n v="1808"/>
    <d v="2025-02-03T00:00:00"/>
    <n v="27"/>
    <s v="Male"/>
    <s v="East"/>
    <x v="3"/>
    <m/>
    <n v="782.3"/>
    <n v="5"/>
    <n v="0"/>
    <x v="11"/>
    <n v="0"/>
    <n v="0"/>
    <m/>
    <x v="1"/>
  </r>
  <r>
    <n v="3757"/>
    <d v="2025-02-03T00:00:00"/>
    <n v="54"/>
    <s v="Male"/>
    <s v="East"/>
    <x v="0"/>
    <m/>
    <n v="620.5"/>
    <n v="6"/>
    <n v="0"/>
    <x v="11"/>
    <n v="0"/>
    <n v="0"/>
    <m/>
    <x v="1"/>
  </r>
  <r>
    <n v="50"/>
    <d v="2025-02-03T00:00:00"/>
    <n v="23"/>
    <s v="Male"/>
    <s v="East"/>
    <x v="3"/>
    <m/>
    <n v="578.70000000000005"/>
    <n v="6"/>
    <n v="0"/>
    <x v="11"/>
    <n v="0"/>
    <n v="0"/>
    <m/>
    <x v="1"/>
  </r>
  <r>
    <n v="2113"/>
    <d v="2025-02-03T00:00:00"/>
    <n v="38"/>
    <s v="Male"/>
    <s v="East"/>
    <x v="0"/>
    <m/>
    <n v="406.9"/>
    <n v="8"/>
    <n v="0"/>
    <x v="11"/>
    <n v="0"/>
    <n v="0"/>
    <m/>
    <x v="1"/>
  </r>
  <r>
    <n v="1967"/>
    <d v="2025-02-03T00:00:00"/>
    <n v="48"/>
    <s v="Male"/>
    <s v="West"/>
    <x v="2"/>
    <m/>
    <n v="396.9"/>
    <n v="2"/>
    <n v="0"/>
    <x v="11"/>
    <n v="0"/>
    <n v="0"/>
    <m/>
    <x v="1"/>
  </r>
  <r>
    <n v="4782"/>
    <d v="2025-02-03T00:00:00"/>
    <n v="53"/>
    <s v="Male"/>
    <s v="East"/>
    <x v="0"/>
    <m/>
    <n v="344"/>
    <n v="4"/>
    <n v="0"/>
    <x v="11"/>
    <n v="0"/>
    <n v="0"/>
    <m/>
    <x v="1"/>
  </r>
  <r>
    <n v="4959"/>
    <d v="2025-02-03T00:00:00"/>
    <n v="49"/>
    <s v="Male"/>
    <s v="South"/>
    <x v="2"/>
    <m/>
    <n v="338.2"/>
    <n v="5"/>
    <n v="0"/>
    <x v="11"/>
    <n v="0"/>
    <n v="0"/>
    <m/>
    <x v="1"/>
  </r>
  <r>
    <n v="621"/>
    <d v="2025-02-03T00:00:00"/>
    <n v="21"/>
    <s v="Male"/>
    <s v="South"/>
    <x v="3"/>
    <m/>
    <n v="319.39999999999998"/>
    <n v="7"/>
    <n v="0"/>
    <x v="11"/>
    <n v="0"/>
    <n v="0"/>
    <m/>
    <x v="1"/>
  </r>
  <r>
    <n v="3095"/>
    <d v="2025-02-03T00:00:00"/>
    <n v="22"/>
    <s v="Female"/>
    <s v="South"/>
    <x v="1"/>
    <s v="CAMP2"/>
    <n v="311.89999999999998"/>
    <n v="13"/>
    <n v="0"/>
    <x v="11"/>
    <n v="0"/>
    <n v="0"/>
    <m/>
    <x v="1"/>
  </r>
  <r>
    <n v="3176"/>
    <d v="2025-02-03T00:00:00"/>
    <n v="32"/>
    <s v="Male"/>
    <s v="West"/>
    <x v="2"/>
    <m/>
    <n v="296.2"/>
    <n v="8"/>
    <n v="0"/>
    <x v="11"/>
    <n v="0"/>
    <n v="0"/>
    <m/>
    <x v="1"/>
  </r>
  <r>
    <n v="118"/>
    <d v="2025-02-03T00:00:00"/>
    <n v="24"/>
    <s v="Female"/>
    <s v="South"/>
    <x v="0"/>
    <m/>
    <n v="275.60000000000002"/>
    <n v="5"/>
    <n v="0"/>
    <x v="11"/>
    <n v="0"/>
    <n v="0"/>
    <m/>
    <x v="1"/>
  </r>
  <r>
    <n v="2139"/>
    <d v="2025-02-03T00:00:00"/>
    <n v="47"/>
    <s v="Female"/>
    <s v="North"/>
    <x v="3"/>
    <m/>
    <n v="271.3"/>
    <n v="8"/>
    <n v="0"/>
    <x v="11"/>
    <n v="0"/>
    <n v="0"/>
    <m/>
    <x v="1"/>
  </r>
  <r>
    <n v="3378"/>
    <d v="2025-02-03T00:00:00"/>
    <n v="21"/>
    <s v="Female"/>
    <s v="East"/>
    <x v="0"/>
    <m/>
    <n v="232.9"/>
    <n v="6"/>
    <n v="0"/>
    <x v="11"/>
    <n v="0"/>
    <n v="0"/>
    <m/>
    <x v="1"/>
  </r>
  <r>
    <n v="4391"/>
    <d v="2025-02-03T00:00:00"/>
    <n v="52"/>
    <s v="Male"/>
    <s v="South"/>
    <x v="0"/>
    <m/>
    <n v="205.7"/>
    <n v="5"/>
    <n v="0"/>
    <x v="11"/>
    <n v="0"/>
    <n v="0"/>
    <m/>
    <x v="1"/>
  </r>
  <r>
    <n v="1240"/>
    <d v="2025-02-03T00:00:00"/>
    <n v="23"/>
    <s v="Male"/>
    <s v="East"/>
    <x v="1"/>
    <s v="CAMP2"/>
    <n v="204.7"/>
    <n v="12"/>
    <n v="0"/>
    <x v="11"/>
    <n v="0"/>
    <n v="0"/>
    <m/>
    <x v="1"/>
  </r>
  <r>
    <n v="3603"/>
    <d v="2025-02-03T00:00:00"/>
    <n v="43"/>
    <s v="Female"/>
    <s v="North"/>
    <x v="0"/>
    <m/>
    <n v="147.30000000000001"/>
    <n v="6"/>
    <n v="0"/>
    <x v="11"/>
    <n v="0"/>
    <n v="0"/>
    <m/>
    <x v="1"/>
  </r>
  <r>
    <n v="4360"/>
    <d v="2025-02-03T00:00:00"/>
    <n v="45"/>
    <s v="Male"/>
    <s v="South"/>
    <x v="0"/>
    <m/>
    <n v="100.3"/>
    <n v="6"/>
    <n v="0"/>
    <x v="11"/>
    <n v="0"/>
    <n v="0"/>
    <m/>
    <x v="1"/>
  </r>
  <r>
    <n v="669"/>
    <d v="2025-02-03T00:00:00"/>
    <n v="25"/>
    <s v="Male"/>
    <s v="North"/>
    <x v="1"/>
    <s v="CAMP7"/>
    <n v="94.6"/>
    <n v="8"/>
    <n v="0"/>
    <x v="11"/>
    <n v="0"/>
    <n v="0"/>
    <m/>
    <x v="1"/>
  </r>
  <r>
    <n v="690"/>
    <d v="2025-02-03T00:00:00"/>
    <n v="22"/>
    <s v="Male"/>
    <s v="East"/>
    <x v="1"/>
    <s v="CAMP6"/>
    <n v="93.1"/>
    <n v="5"/>
    <n v="0"/>
    <x v="11"/>
    <n v="0"/>
    <n v="0"/>
    <m/>
    <x v="1"/>
  </r>
  <r>
    <n v="494"/>
    <d v="2025-02-03T00:00:00"/>
    <n v="28"/>
    <s v="Female"/>
    <s v="North"/>
    <x v="1"/>
    <s v="CAMP3"/>
    <n v="88.6"/>
    <n v="6"/>
    <n v="0"/>
    <x v="11"/>
    <n v="0"/>
    <n v="0"/>
    <m/>
    <x v="1"/>
  </r>
  <r>
    <n v="3724"/>
    <d v="2025-02-03T00:00:00"/>
    <n v="40"/>
    <s v="Female"/>
    <s v="West"/>
    <x v="0"/>
    <m/>
    <n v="87.8"/>
    <n v="5"/>
    <n v="0"/>
    <x v="11"/>
    <n v="0"/>
    <n v="0"/>
    <m/>
    <x v="1"/>
  </r>
  <r>
    <n v="3282"/>
    <d v="2025-02-03T00:00:00"/>
    <n v="60"/>
    <s v="Male"/>
    <s v="East"/>
    <x v="3"/>
    <m/>
    <n v="43.1"/>
    <n v="3"/>
    <n v="0"/>
    <x v="11"/>
    <n v="0"/>
    <n v="0"/>
    <m/>
    <x v="1"/>
  </r>
  <r>
    <n v="2238"/>
    <d v="2025-02-03T00:00:00"/>
    <n v="42"/>
    <s v="Female"/>
    <s v="West"/>
    <x v="0"/>
    <m/>
    <n v="34"/>
    <n v="9"/>
    <n v="0"/>
    <x v="11"/>
    <n v="0"/>
    <n v="0"/>
    <m/>
    <x v="1"/>
  </r>
  <r>
    <n v="3758"/>
    <d v="2025-03-03T00:00:00"/>
    <n v="59"/>
    <s v="Male"/>
    <s v="South"/>
    <x v="1"/>
    <s v="CAMP6"/>
    <n v="595.5"/>
    <n v="9"/>
    <n v="1"/>
    <x v="152"/>
    <n v="2"/>
    <n v="9"/>
    <n v="3"/>
    <x v="2"/>
  </r>
  <r>
    <n v="1309"/>
    <d v="2025-03-03T00:00:00"/>
    <n v="20"/>
    <s v="Female"/>
    <s v="East"/>
    <x v="3"/>
    <m/>
    <n v="610.4"/>
    <n v="8"/>
    <n v="1"/>
    <x v="153"/>
    <n v="2"/>
    <n v="3"/>
    <n v="4"/>
    <x v="2"/>
  </r>
  <r>
    <n v="4141"/>
    <d v="2025-03-03T00:00:00"/>
    <n v="45"/>
    <s v="Male"/>
    <s v="South"/>
    <x v="0"/>
    <m/>
    <n v="522.5"/>
    <n v="7"/>
    <n v="1"/>
    <x v="154"/>
    <n v="2"/>
    <n v="14"/>
    <n v="4"/>
    <x v="2"/>
  </r>
  <r>
    <n v="2401"/>
    <d v="2025-03-03T00:00:00"/>
    <n v="34"/>
    <s v="Male"/>
    <s v="West"/>
    <x v="0"/>
    <m/>
    <n v="355.9"/>
    <n v="4"/>
    <n v="1"/>
    <x v="155"/>
    <n v="6"/>
    <n v="3"/>
    <n v="5"/>
    <x v="2"/>
  </r>
  <r>
    <n v="195"/>
    <d v="2025-03-03T00:00:00"/>
    <n v="25"/>
    <s v="Male"/>
    <s v="South"/>
    <x v="0"/>
    <m/>
    <n v="329.1"/>
    <n v="4"/>
    <n v="1"/>
    <x v="156"/>
    <n v="5"/>
    <n v="6"/>
    <n v="4"/>
    <x v="2"/>
  </r>
  <r>
    <n v="3657"/>
    <d v="2025-03-03T00:00:00"/>
    <n v="43"/>
    <s v="Female"/>
    <s v="North"/>
    <x v="1"/>
    <s v="CAMP2"/>
    <n v="558.70000000000005"/>
    <n v="3"/>
    <n v="1"/>
    <x v="44"/>
    <n v="2"/>
    <n v="8"/>
    <n v="5"/>
    <x v="2"/>
  </r>
  <r>
    <n v="3773"/>
    <d v="2025-03-03T00:00:00"/>
    <n v="63"/>
    <s v="Female"/>
    <s v="East"/>
    <x v="1"/>
    <s v="CAMP3"/>
    <n v="546.6"/>
    <n v="7"/>
    <n v="1"/>
    <x v="157"/>
    <n v="3"/>
    <n v="11"/>
    <n v="4"/>
    <x v="2"/>
  </r>
  <r>
    <n v="4887"/>
    <d v="2025-03-03T00:00:00"/>
    <n v="55"/>
    <s v="Female"/>
    <s v="North"/>
    <x v="0"/>
    <m/>
    <n v="407.5"/>
    <n v="8"/>
    <n v="1"/>
    <x v="158"/>
    <n v="3"/>
    <n v="3"/>
    <n v="4"/>
    <x v="2"/>
  </r>
  <r>
    <n v="2369"/>
    <d v="2025-03-03T00:00:00"/>
    <n v="34"/>
    <s v="Female"/>
    <s v="East"/>
    <x v="0"/>
    <m/>
    <n v="397"/>
    <n v="3"/>
    <n v="1"/>
    <x v="159"/>
    <n v="2"/>
    <n v="6"/>
    <n v="5"/>
    <x v="2"/>
  </r>
  <r>
    <n v="4693"/>
    <d v="2025-03-03T00:00:00"/>
    <n v="39"/>
    <s v="Male"/>
    <s v="North"/>
    <x v="1"/>
    <s v="CAMP7"/>
    <n v="491.5"/>
    <n v="6"/>
    <n v="1"/>
    <x v="160"/>
    <n v="3"/>
    <n v="10"/>
    <n v="3"/>
    <x v="2"/>
  </r>
  <r>
    <n v="4092"/>
    <d v="2025-03-03T00:00:00"/>
    <n v="58"/>
    <s v="Male"/>
    <s v="East"/>
    <x v="0"/>
    <m/>
    <n v="391.2"/>
    <n v="6"/>
    <n v="1"/>
    <x v="161"/>
    <n v="2"/>
    <n v="5"/>
    <n v="5"/>
    <x v="2"/>
  </r>
  <r>
    <n v="3544"/>
    <d v="2025-03-03T00:00:00"/>
    <n v="30"/>
    <s v="Male"/>
    <s v="East"/>
    <x v="0"/>
    <m/>
    <n v="390"/>
    <n v="5"/>
    <n v="1"/>
    <x v="162"/>
    <n v="3"/>
    <n v="4"/>
    <n v="4"/>
    <x v="2"/>
  </r>
  <r>
    <n v="1504"/>
    <d v="2025-03-03T00:00:00"/>
    <n v="24"/>
    <s v="Male"/>
    <s v="East"/>
    <x v="2"/>
    <m/>
    <n v="268.89999999999998"/>
    <n v="7"/>
    <n v="1"/>
    <x v="163"/>
    <n v="4"/>
    <n v="3"/>
    <n v="4"/>
    <x v="2"/>
  </r>
  <r>
    <n v="4932"/>
    <d v="2025-03-03T00:00:00"/>
    <n v="47"/>
    <s v="Male"/>
    <s v="East"/>
    <x v="1"/>
    <s v="CAMP3"/>
    <n v="441.5"/>
    <n v="6"/>
    <n v="1"/>
    <x v="164"/>
    <n v="3"/>
    <n v="12"/>
    <n v="4"/>
    <x v="2"/>
  </r>
  <r>
    <n v="769"/>
    <d v="2025-03-03T00:00:00"/>
    <n v="22"/>
    <s v="Male"/>
    <s v="North"/>
    <x v="0"/>
    <m/>
    <n v="645.70000000000005"/>
    <n v="6"/>
    <n v="0"/>
    <x v="11"/>
    <n v="0"/>
    <n v="0"/>
    <m/>
    <x v="2"/>
  </r>
  <r>
    <n v="4854"/>
    <d v="2025-03-03T00:00:00"/>
    <n v="32"/>
    <s v="Male"/>
    <s v="East"/>
    <x v="3"/>
    <m/>
    <n v="643.70000000000005"/>
    <n v="10"/>
    <n v="0"/>
    <x v="11"/>
    <n v="0"/>
    <n v="0"/>
    <m/>
    <x v="2"/>
  </r>
  <r>
    <n v="1037"/>
    <d v="2025-03-03T00:00:00"/>
    <n v="27"/>
    <s v="Male"/>
    <s v="West"/>
    <x v="2"/>
    <m/>
    <n v="500.4"/>
    <n v="7"/>
    <n v="0"/>
    <x v="11"/>
    <n v="0"/>
    <n v="0"/>
    <m/>
    <x v="2"/>
  </r>
  <r>
    <n v="4993"/>
    <d v="2025-03-03T00:00:00"/>
    <n v="56"/>
    <s v="Male"/>
    <s v="East"/>
    <x v="3"/>
    <m/>
    <n v="483"/>
    <n v="6"/>
    <n v="0"/>
    <x v="11"/>
    <n v="0"/>
    <n v="0"/>
    <m/>
    <x v="2"/>
  </r>
  <r>
    <n v="1182"/>
    <d v="2025-03-03T00:00:00"/>
    <n v="25"/>
    <s v="Female"/>
    <s v="North"/>
    <x v="3"/>
    <m/>
    <n v="476.1"/>
    <n v="4"/>
    <n v="0"/>
    <x v="11"/>
    <n v="0"/>
    <n v="0"/>
    <m/>
    <x v="2"/>
  </r>
  <r>
    <n v="3717"/>
    <d v="2025-03-03T00:00:00"/>
    <n v="41"/>
    <s v="Female"/>
    <s v="West"/>
    <x v="1"/>
    <s v="CAMP1"/>
    <n v="402.2"/>
    <n v="10"/>
    <n v="0"/>
    <x v="11"/>
    <n v="0"/>
    <n v="0"/>
    <m/>
    <x v="2"/>
  </r>
  <r>
    <n v="4751"/>
    <d v="2025-03-03T00:00:00"/>
    <n v="55"/>
    <s v="Female"/>
    <s v="North"/>
    <x v="0"/>
    <m/>
    <n v="379.8"/>
    <n v="7"/>
    <n v="0"/>
    <x v="11"/>
    <n v="0"/>
    <n v="0"/>
    <m/>
    <x v="2"/>
  </r>
  <r>
    <n v="2450"/>
    <d v="2025-03-03T00:00:00"/>
    <n v="35"/>
    <s v="Female"/>
    <s v="East"/>
    <x v="0"/>
    <m/>
    <n v="328.1"/>
    <n v="5"/>
    <n v="0"/>
    <x v="11"/>
    <n v="0"/>
    <n v="0"/>
    <m/>
    <x v="2"/>
  </r>
  <r>
    <n v="4116"/>
    <d v="2025-03-03T00:00:00"/>
    <n v="47"/>
    <s v="Male"/>
    <s v="West"/>
    <x v="0"/>
    <m/>
    <n v="327.3"/>
    <n v="4"/>
    <n v="0"/>
    <x v="11"/>
    <n v="0"/>
    <n v="0"/>
    <m/>
    <x v="2"/>
  </r>
  <r>
    <n v="4941"/>
    <d v="2025-03-03T00:00:00"/>
    <n v="60"/>
    <s v="Female"/>
    <s v="West"/>
    <x v="0"/>
    <m/>
    <n v="304.89999999999998"/>
    <n v="2"/>
    <n v="0"/>
    <x v="11"/>
    <n v="0"/>
    <n v="0"/>
    <m/>
    <x v="2"/>
  </r>
  <r>
    <n v="395"/>
    <d v="2025-03-03T00:00:00"/>
    <n v="18"/>
    <s v="Male"/>
    <s v="South"/>
    <x v="0"/>
    <m/>
    <n v="294.39999999999998"/>
    <n v="7"/>
    <n v="0"/>
    <x v="11"/>
    <n v="0"/>
    <n v="0"/>
    <m/>
    <x v="2"/>
  </r>
  <r>
    <n v="181"/>
    <d v="2025-03-03T00:00:00"/>
    <n v="30"/>
    <s v="Female"/>
    <s v="East"/>
    <x v="3"/>
    <m/>
    <n v="292.10000000000002"/>
    <n v="6"/>
    <n v="0"/>
    <x v="11"/>
    <n v="0"/>
    <n v="0"/>
    <m/>
    <x v="2"/>
  </r>
  <r>
    <n v="4611"/>
    <d v="2025-03-03T00:00:00"/>
    <n v="55"/>
    <s v="Female"/>
    <s v="East"/>
    <x v="0"/>
    <m/>
    <n v="245"/>
    <n v="5"/>
    <n v="0"/>
    <x v="11"/>
    <n v="0"/>
    <n v="0"/>
    <m/>
    <x v="2"/>
  </r>
  <r>
    <n v="908"/>
    <d v="2025-03-03T00:00:00"/>
    <n v="27"/>
    <s v="Male"/>
    <s v="North"/>
    <x v="0"/>
    <m/>
    <n v="182.4"/>
    <n v="9"/>
    <n v="0"/>
    <x v="11"/>
    <n v="0"/>
    <n v="0"/>
    <m/>
    <x v="2"/>
  </r>
  <r>
    <n v="4253"/>
    <d v="2025-03-03T00:00:00"/>
    <n v="51"/>
    <s v="Male"/>
    <s v="West"/>
    <x v="0"/>
    <m/>
    <n v="168.3"/>
    <n v="5"/>
    <n v="0"/>
    <x v="11"/>
    <n v="0"/>
    <n v="0"/>
    <m/>
    <x v="2"/>
  </r>
  <r>
    <n v="2438"/>
    <d v="2025-03-03T00:00:00"/>
    <n v="36"/>
    <s v="Male"/>
    <s v="East"/>
    <x v="0"/>
    <m/>
    <n v="148.6"/>
    <n v="10"/>
    <n v="0"/>
    <x v="11"/>
    <n v="0"/>
    <n v="0"/>
    <m/>
    <x v="2"/>
  </r>
  <r>
    <n v="3721"/>
    <d v="2025-03-03T00:00:00"/>
    <n v="30"/>
    <s v="Male"/>
    <s v="East"/>
    <x v="1"/>
    <s v="CAMP3"/>
    <n v="131.4"/>
    <n v="4"/>
    <n v="0"/>
    <x v="11"/>
    <n v="0"/>
    <n v="0"/>
    <m/>
    <x v="2"/>
  </r>
  <r>
    <n v="3441"/>
    <d v="2025-03-03T00:00:00"/>
    <n v="32"/>
    <s v="Male"/>
    <s v="West"/>
    <x v="0"/>
    <m/>
    <n v="112.7"/>
    <n v="7"/>
    <n v="0"/>
    <x v="11"/>
    <n v="0"/>
    <n v="0"/>
    <m/>
    <x v="2"/>
  </r>
  <r>
    <n v="2180"/>
    <d v="2025-04-03T00:00:00"/>
    <n v="36"/>
    <s v="Female"/>
    <s v="South"/>
    <x v="2"/>
    <m/>
    <n v="102"/>
    <n v="3"/>
    <n v="1"/>
    <x v="165"/>
    <n v="6"/>
    <n v="12"/>
    <n v="3"/>
    <x v="3"/>
  </r>
  <r>
    <n v="4715"/>
    <d v="2025-04-03T00:00:00"/>
    <n v="46"/>
    <s v="Male"/>
    <s v="East"/>
    <x v="0"/>
    <m/>
    <n v="663.4"/>
    <n v="6"/>
    <n v="1"/>
    <x v="166"/>
    <n v="1"/>
    <n v="14"/>
    <n v="4"/>
    <x v="3"/>
  </r>
  <r>
    <n v="173"/>
    <d v="2025-04-03T00:00:00"/>
    <n v="33"/>
    <s v="Female"/>
    <s v="North"/>
    <x v="1"/>
    <s v="CAMP7"/>
    <n v="1288.5"/>
    <n v="7"/>
    <n v="1"/>
    <x v="167"/>
    <n v="3"/>
    <n v="9"/>
    <n v="3"/>
    <x v="3"/>
  </r>
  <r>
    <n v="4661"/>
    <d v="2025-04-03T00:00:00"/>
    <n v="76"/>
    <s v="Female"/>
    <s v="North"/>
    <x v="0"/>
    <m/>
    <n v="436.8"/>
    <n v="6"/>
    <n v="1"/>
    <x v="168"/>
    <n v="6"/>
    <n v="4"/>
    <n v="4"/>
    <x v="3"/>
  </r>
  <r>
    <n v="1662"/>
    <d v="2025-04-03T00:00:00"/>
    <n v="30"/>
    <s v="Female"/>
    <s v="North"/>
    <x v="0"/>
    <m/>
    <n v="147.1"/>
    <n v="4"/>
    <n v="1"/>
    <x v="169"/>
    <n v="3"/>
    <n v="10"/>
    <n v="4"/>
    <x v="3"/>
  </r>
  <r>
    <n v="4502"/>
    <d v="2025-04-03T00:00:00"/>
    <n v="37"/>
    <s v="Female"/>
    <s v="East"/>
    <x v="0"/>
    <m/>
    <n v="455"/>
    <n v="4"/>
    <n v="1"/>
    <x v="170"/>
    <n v="1"/>
    <n v="14"/>
    <n v="3"/>
    <x v="3"/>
  </r>
  <r>
    <n v="2062"/>
    <d v="2025-04-03T00:00:00"/>
    <n v="31"/>
    <s v="Male"/>
    <s v="East"/>
    <x v="2"/>
    <m/>
    <n v="413.3"/>
    <n v="6"/>
    <n v="1"/>
    <x v="171"/>
    <n v="3"/>
    <n v="12"/>
    <n v="5"/>
    <x v="3"/>
  </r>
  <r>
    <n v="275"/>
    <d v="2025-04-03T00:00:00"/>
    <n v="34"/>
    <s v="Female"/>
    <s v="North"/>
    <x v="3"/>
    <m/>
    <n v="416.9"/>
    <n v="3"/>
    <n v="1"/>
    <x v="172"/>
    <n v="5"/>
    <n v="15"/>
    <n v="5"/>
    <x v="3"/>
  </r>
  <r>
    <n v="4161"/>
    <d v="2025-04-03T00:00:00"/>
    <n v="45"/>
    <s v="Female"/>
    <s v="West"/>
    <x v="0"/>
    <m/>
    <n v="268.89999999999998"/>
    <n v="3"/>
    <n v="1"/>
    <x v="173"/>
    <n v="2"/>
    <n v="8"/>
    <n v="4"/>
    <x v="3"/>
  </r>
  <r>
    <n v="2303"/>
    <d v="2025-04-03T00:00:00"/>
    <n v="30"/>
    <s v="Male"/>
    <s v="West"/>
    <x v="0"/>
    <m/>
    <n v="750.8"/>
    <n v="5"/>
    <n v="1"/>
    <x v="174"/>
    <n v="2"/>
    <n v="12"/>
    <n v="3"/>
    <x v="3"/>
  </r>
  <r>
    <n v="1432"/>
    <d v="2025-04-03T00:00:00"/>
    <n v="25"/>
    <s v="Male"/>
    <s v="South"/>
    <x v="3"/>
    <m/>
    <n v="466.9"/>
    <n v="7"/>
    <n v="1"/>
    <x v="175"/>
    <n v="3"/>
    <n v="15"/>
    <n v="4"/>
    <x v="3"/>
  </r>
  <r>
    <n v="2606"/>
    <d v="2025-04-03T00:00:00"/>
    <n v="28"/>
    <s v="Male"/>
    <s v="South"/>
    <x v="0"/>
    <m/>
    <n v="360.8"/>
    <n v="4"/>
    <n v="1"/>
    <x v="176"/>
    <n v="2"/>
    <n v="1"/>
    <n v="4"/>
    <x v="3"/>
  </r>
  <r>
    <n v="2680"/>
    <d v="2025-04-03T00:00:00"/>
    <n v="37"/>
    <s v="Male"/>
    <s v="North"/>
    <x v="1"/>
    <s v="CAMP7"/>
    <n v="695.2"/>
    <n v="9"/>
    <n v="0"/>
    <x v="11"/>
    <n v="0"/>
    <n v="0"/>
    <m/>
    <x v="3"/>
  </r>
  <r>
    <n v="1378"/>
    <d v="2025-04-03T00:00:00"/>
    <n v="28"/>
    <s v="Male"/>
    <s v="West"/>
    <x v="2"/>
    <m/>
    <n v="501.4"/>
    <n v="3"/>
    <n v="0"/>
    <x v="11"/>
    <n v="0"/>
    <n v="0"/>
    <m/>
    <x v="3"/>
  </r>
  <r>
    <n v="1793"/>
    <d v="2025-04-03T00:00:00"/>
    <n v="30"/>
    <s v="Female"/>
    <s v="North"/>
    <x v="2"/>
    <m/>
    <n v="470.3"/>
    <n v="3"/>
    <n v="0"/>
    <x v="11"/>
    <n v="0"/>
    <n v="0"/>
    <m/>
    <x v="3"/>
  </r>
  <r>
    <n v="1094"/>
    <d v="2025-04-03T00:00:00"/>
    <n v="37"/>
    <s v="Male"/>
    <s v="West"/>
    <x v="0"/>
    <m/>
    <n v="433.4"/>
    <n v="7"/>
    <n v="0"/>
    <x v="11"/>
    <n v="0"/>
    <n v="0"/>
    <m/>
    <x v="3"/>
  </r>
  <r>
    <n v="2270"/>
    <d v="2025-04-03T00:00:00"/>
    <n v="36"/>
    <s v="Male"/>
    <s v="North"/>
    <x v="1"/>
    <s v="CAMP5"/>
    <n v="376.2"/>
    <n v="6"/>
    <n v="0"/>
    <x v="11"/>
    <n v="0"/>
    <n v="0"/>
    <m/>
    <x v="3"/>
  </r>
  <r>
    <n v="4737"/>
    <d v="2025-04-03T00:00:00"/>
    <n v="54"/>
    <s v="Male"/>
    <s v="West"/>
    <x v="2"/>
    <m/>
    <n v="373"/>
    <n v="5"/>
    <n v="0"/>
    <x v="11"/>
    <n v="0"/>
    <n v="0"/>
    <m/>
    <x v="3"/>
  </r>
  <r>
    <n v="2294"/>
    <d v="2025-04-03T00:00:00"/>
    <n v="43"/>
    <s v="Female"/>
    <s v="East"/>
    <x v="2"/>
    <m/>
    <n v="363.3"/>
    <n v="4"/>
    <n v="0"/>
    <x v="11"/>
    <n v="0"/>
    <n v="0"/>
    <m/>
    <x v="3"/>
  </r>
  <r>
    <n v="3907"/>
    <d v="2025-04-03T00:00:00"/>
    <n v="43"/>
    <s v="Female"/>
    <s v="East"/>
    <x v="3"/>
    <m/>
    <n v="347.4"/>
    <n v="4"/>
    <n v="0"/>
    <x v="11"/>
    <n v="0"/>
    <n v="0"/>
    <m/>
    <x v="3"/>
  </r>
  <r>
    <n v="3185"/>
    <d v="2025-04-03T00:00:00"/>
    <n v="35"/>
    <s v="Female"/>
    <s v="West"/>
    <x v="0"/>
    <m/>
    <n v="303.8"/>
    <n v="7"/>
    <n v="0"/>
    <x v="11"/>
    <n v="0"/>
    <n v="0"/>
    <m/>
    <x v="3"/>
  </r>
  <r>
    <n v="4375"/>
    <d v="2025-04-03T00:00:00"/>
    <n v="48"/>
    <s v="Female"/>
    <s v="South"/>
    <x v="1"/>
    <s v="CAMP5"/>
    <n v="262"/>
    <n v="10"/>
    <n v="0"/>
    <x v="11"/>
    <n v="0"/>
    <n v="0"/>
    <m/>
    <x v="3"/>
  </r>
  <r>
    <n v="307"/>
    <d v="2025-04-03T00:00:00"/>
    <n v="27"/>
    <s v="Male"/>
    <s v="East"/>
    <x v="1"/>
    <s v="CAMP4"/>
    <n v="237.1"/>
    <n v="6"/>
    <n v="0"/>
    <x v="11"/>
    <n v="0"/>
    <n v="0"/>
    <m/>
    <x v="3"/>
  </r>
  <r>
    <n v="571"/>
    <d v="2025-04-03T00:00:00"/>
    <n v="22"/>
    <s v="Male"/>
    <s v="North"/>
    <x v="2"/>
    <m/>
    <n v="198"/>
    <n v="11"/>
    <n v="0"/>
    <x v="11"/>
    <n v="0"/>
    <n v="0"/>
    <m/>
    <x v="3"/>
  </r>
  <r>
    <n v="4814"/>
    <d v="2025-04-03T00:00:00"/>
    <n v="63"/>
    <s v="Male"/>
    <s v="North"/>
    <x v="1"/>
    <s v="CAMP4"/>
    <n v="195.9"/>
    <n v="5"/>
    <n v="0"/>
    <x v="11"/>
    <n v="0"/>
    <n v="0"/>
    <m/>
    <x v="3"/>
  </r>
  <r>
    <n v="633"/>
    <d v="2025-04-03T00:00:00"/>
    <n v="21"/>
    <s v="Female"/>
    <s v="West"/>
    <x v="1"/>
    <s v="CAMP5"/>
    <n v="170.1"/>
    <n v="6"/>
    <n v="0"/>
    <x v="11"/>
    <n v="0"/>
    <n v="0"/>
    <m/>
    <x v="3"/>
  </r>
  <r>
    <n v="28"/>
    <d v="2025-04-03T00:00:00"/>
    <n v="31"/>
    <s v="Female"/>
    <s v="North"/>
    <x v="1"/>
    <s v="CAMP7"/>
    <n v="137"/>
    <n v="3"/>
    <n v="0"/>
    <x v="11"/>
    <n v="0"/>
    <n v="0"/>
    <m/>
    <x v="3"/>
  </r>
  <r>
    <n v="4320"/>
    <d v="2025-04-03T00:00:00"/>
    <n v="67"/>
    <s v="Male"/>
    <s v="South"/>
    <x v="0"/>
    <m/>
    <n v="112.5"/>
    <n v="4"/>
    <n v="0"/>
    <x v="11"/>
    <n v="0"/>
    <n v="0"/>
    <m/>
    <x v="3"/>
  </r>
  <r>
    <n v="3221"/>
    <d v="2025-04-03T00:00:00"/>
    <n v="39"/>
    <s v="Male"/>
    <s v="North"/>
    <x v="0"/>
    <m/>
    <n v="111.8"/>
    <n v="8"/>
    <n v="0"/>
    <x v="11"/>
    <n v="0"/>
    <n v="0"/>
    <m/>
    <x v="3"/>
  </r>
  <r>
    <n v="2947"/>
    <d v="2025-04-03T00:00:00"/>
    <n v="30"/>
    <s v="Female"/>
    <s v="East"/>
    <x v="0"/>
    <m/>
    <n v="88.5"/>
    <n v="4"/>
    <n v="0"/>
    <x v="11"/>
    <n v="0"/>
    <n v="0"/>
    <m/>
    <x v="3"/>
  </r>
  <r>
    <n v="2495"/>
    <d v="2025-04-03T00:00:00"/>
    <n v="24"/>
    <s v="Male"/>
    <s v="South"/>
    <x v="0"/>
    <m/>
    <n v="77.599999999999994"/>
    <n v="9"/>
    <n v="0"/>
    <x v="11"/>
    <n v="0"/>
    <n v="0"/>
    <m/>
    <x v="3"/>
  </r>
  <r>
    <n v="1338"/>
    <d v="2025-05-03T00:00:00"/>
    <n v="25"/>
    <s v="Female"/>
    <s v="West"/>
    <x v="1"/>
    <s v="CAMP3"/>
    <n v="157.6"/>
    <n v="7"/>
    <n v="1"/>
    <x v="177"/>
    <n v="2"/>
    <n v="15"/>
    <n v="4"/>
    <x v="4"/>
  </r>
  <r>
    <n v="1154"/>
    <d v="2025-05-03T00:00:00"/>
    <n v="23"/>
    <s v="Male"/>
    <s v="North"/>
    <x v="0"/>
    <m/>
    <n v="336.4"/>
    <n v="5"/>
    <n v="1"/>
    <x v="178"/>
    <n v="2"/>
    <n v="4"/>
    <n v="4"/>
    <x v="4"/>
  </r>
  <r>
    <n v="4558"/>
    <d v="2025-05-03T00:00:00"/>
    <n v="61"/>
    <s v="Male"/>
    <s v="South"/>
    <x v="1"/>
    <s v="CAMP6"/>
    <n v="567.6"/>
    <n v="4"/>
    <n v="1"/>
    <x v="179"/>
    <n v="2"/>
    <n v="6"/>
    <n v="4"/>
    <x v="4"/>
  </r>
  <r>
    <n v="1135"/>
    <d v="2025-05-03T00:00:00"/>
    <n v="25"/>
    <s v="Male"/>
    <s v="West"/>
    <x v="0"/>
    <m/>
    <n v="420"/>
    <n v="4"/>
    <n v="1"/>
    <x v="180"/>
    <n v="3"/>
    <n v="6"/>
    <n v="4"/>
    <x v="4"/>
  </r>
  <r>
    <n v="1207"/>
    <d v="2025-05-03T00:00:00"/>
    <n v="29"/>
    <s v="Female"/>
    <s v="West"/>
    <x v="1"/>
    <s v="CAMP5"/>
    <n v="272.3"/>
    <n v="5"/>
    <n v="1"/>
    <x v="181"/>
    <n v="4"/>
    <n v="3"/>
    <n v="4"/>
    <x v="4"/>
  </r>
  <r>
    <n v="1143"/>
    <d v="2025-05-03T00:00:00"/>
    <n v="30"/>
    <s v="Male"/>
    <s v="South"/>
    <x v="2"/>
    <m/>
    <n v="851.4"/>
    <n v="9"/>
    <n v="0"/>
    <x v="11"/>
    <n v="0"/>
    <n v="0"/>
    <m/>
    <x v="4"/>
  </r>
  <r>
    <n v="4075"/>
    <d v="2025-05-03T00:00:00"/>
    <n v="43"/>
    <s v="Male"/>
    <s v="North"/>
    <x v="1"/>
    <s v="CAMP2"/>
    <n v="740"/>
    <n v="6"/>
    <n v="0"/>
    <x v="11"/>
    <n v="0"/>
    <n v="0"/>
    <m/>
    <x v="4"/>
  </r>
  <r>
    <n v="2770"/>
    <d v="2025-05-03T00:00:00"/>
    <n v="46"/>
    <s v="Male"/>
    <s v="East"/>
    <x v="1"/>
    <s v="CAMP7"/>
    <n v="524.1"/>
    <n v="4"/>
    <n v="0"/>
    <x v="11"/>
    <n v="0"/>
    <n v="0"/>
    <m/>
    <x v="4"/>
  </r>
  <r>
    <n v="1450"/>
    <d v="2025-05-03T00:00:00"/>
    <n v="26"/>
    <s v="Female"/>
    <s v="West"/>
    <x v="0"/>
    <m/>
    <n v="427.3"/>
    <n v="8"/>
    <n v="0"/>
    <x v="11"/>
    <n v="0"/>
    <n v="0"/>
    <m/>
    <x v="4"/>
  </r>
  <r>
    <n v="648"/>
    <d v="2025-05-03T00:00:00"/>
    <n v="20"/>
    <s v="Female"/>
    <s v="South"/>
    <x v="1"/>
    <s v="CAMP6"/>
    <n v="399.8"/>
    <n v="8"/>
    <n v="0"/>
    <x v="11"/>
    <n v="0"/>
    <n v="0"/>
    <m/>
    <x v="4"/>
  </r>
  <r>
    <n v="4127"/>
    <d v="2025-05-03T00:00:00"/>
    <n v="50"/>
    <s v="Male"/>
    <s v="East"/>
    <x v="0"/>
    <m/>
    <n v="377.5"/>
    <n v="4"/>
    <n v="0"/>
    <x v="11"/>
    <n v="0"/>
    <n v="0"/>
    <m/>
    <x v="4"/>
  </r>
  <r>
    <n v="1078"/>
    <d v="2025-05-03T00:00:00"/>
    <n v="27"/>
    <s v="Male"/>
    <s v="West"/>
    <x v="1"/>
    <s v="CAMP4"/>
    <n v="337.4"/>
    <n v="7"/>
    <n v="0"/>
    <x v="11"/>
    <n v="0"/>
    <n v="0"/>
    <m/>
    <x v="4"/>
  </r>
  <r>
    <n v="710"/>
    <d v="2025-05-03T00:00:00"/>
    <n v="28"/>
    <s v="Male"/>
    <s v="South"/>
    <x v="1"/>
    <s v="CAMP4"/>
    <n v="333"/>
    <n v="6"/>
    <n v="0"/>
    <x v="11"/>
    <n v="0"/>
    <n v="0"/>
    <m/>
    <x v="4"/>
  </r>
  <r>
    <n v="4626"/>
    <d v="2025-05-03T00:00:00"/>
    <n v="55"/>
    <s v="Female"/>
    <s v="North"/>
    <x v="2"/>
    <m/>
    <n v="320"/>
    <n v="6"/>
    <n v="0"/>
    <x v="11"/>
    <n v="0"/>
    <n v="0"/>
    <m/>
    <x v="4"/>
  </r>
  <r>
    <n v="2664"/>
    <d v="2025-05-03T00:00:00"/>
    <n v="21"/>
    <s v="Male"/>
    <s v="East"/>
    <x v="0"/>
    <m/>
    <n v="318.39999999999998"/>
    <n v="2"/>
    <n v="0"/>
    <x v="11"/>
    <n v="0"/>
    <n v="0"/>
    <m/>
    <x v="4"/>
  </r>
  <r>
    <n v="1538"/>
    <d v="2025-05-03T00:00:00"/>
    <n v="30"/>
    <s v="Male"/>
    <s v="East"/>
    <x v="1"/>
    <s v="CAMP2"/>
    <n v="256.5"/>
    <n v="1"/>
    <n v="0"/>
    <x v="11"/>
    <n v="0"/>
    <n v="0"/>
    <m/>
    <x v="4"/>
  </r>
  <r>
    <n v="2347"/>
    <d v="2025-05-03T00:00:00"/>
    <n v="47"/>
    <s v="Female"/>
    <s v="West"/>
    <x v="0"/>
    <m/>
    <n v="225.5"/>
    <n v="6"/>
    <n v="0"/>
    <x v="11"/>
    <n v="0"/>
    <n v="0"/>
    <m/>
    <x v="4"/>
  </r>
  <r>
    <n v="4009"/>
    <d v="2025-05-03T00:00:00"/>
    <n v="36"/>
    <s v="Male"/>
    <s v="North"/>
    <x v="0"/>
    <m/>
    <n v="224.1"/>
    <n v="9"/>
    <n v="0"/>
    <x v="11"/>
    <n v="0"/>
    <n v="0"/>
    <m/>
    <x v="4"/>
  </r>
  <r>
    <n v="3702"/>
    <d v="2025-05-03T00:00:00"/>
    <n v="35"/>
    <s v="Female"/>
    <s v="East"/>
    <x v="0"/>
    <m/>
    <n v="220.1"/>
    <n v="3"/>
    <n v="0"/>
    <x v="11"/>
    <n v="0"/>
    <n v="0"/>
    <m/>
    <x v="4"/>
  </r>
  <r>
    <n v="4679"/>
    <d v="2025-05-03T00:00:00"/>
    <n v="42"/>
    <s v="Male"/>
    <s v="East"/>
    <x v="0"/>
    <m/>
    <n v="198.9"/>
    <n v="3"/>
    <n v="0"/>
    <x v="11"/>
    <n v="0"/>
    <n v="0"/>
    <m/>
    <x v="4"/>
  </r>
  <r>
    <n v="2588"/>
    <d v="2025-05-03T00:00:00"/>
    <n v="29"/>
    <s v="Male"/>
    <s v="North"/>
    <x v="1"/>
    <s v="CAMP6"/>
    <n v="174.4"/>
    <n v="4"/>
    <n v="0"/>
    <x v="11"/>
    <n v="0"/>
    <n v="0"/>
    <m/>
    <x v="4"/>
  </r>
  <r>
    <n v="4183"/>
    <d v="2025-05-03T00:00:00"/>
    <n v="47"/>
    <s v="Female"/>
    <s v="South"/>
    <x v="1"/>
    <s v="CAMP4"/>
    <n v="155.80000000000001"/>
    <n v="9"/>
    <n v="0"/>
    <x v="11"/>
    <n v="0"/>
    <n v="0"/>
    <m/>
    <x v="4"/>
  </r>
  <r>
    <n v="1218"/>
    <d v="2025-05-03T00:00:00"/>
    <n v="19"/>
    <s v="Male"/>
    <s v="South"/>
    <x v="0"/>
    <m/>
    <n v="140.5"/>
    <n v="10"/>
    <n v="0"/>
    <x v="11"/>
    <n v="0"/>
    <n v="0"/>
    <m/>
    <x v="4"/>
  </r>
  <r>
    <n v="1794"/>
    <d v="2025-05-03T00:00:00"/>
    <n v="33"/>
    <s v="Female"/>
    <s v="North"/>
    <x v="0"/>
    <m/>
    <n v="130.69999999999999"/>
    <n v="7"/>
    <n v="0"/>
    <x v="11"/>
    <n v="0"/>
    <n v="0"/>
    <m/>
    <x v="4"/>
  </r>
  <r>
    <n v="3086"/>
    <d v="2025-05-03T00:00:00"/>
    <n v="26"/>
    <s v="Female"/>
    <s v="South"/>
    <x v="2"/>
    <m/>
    <n v="68.099999999999994"/>
    <n v="9"/>
    <n v="0"/>
    <x v="11"/>
    <n v="0"/>
    <n v="0"/>
    <m/>
    <x v="4"/>
  </r>
  <r>
    <n v="374"/>
    <d v="2025-05-03T00:00:00"/>
    <n v="30"/>
    <s v="Male"/>
    <s v="East"/>
    <x v="2"/>
    <m/>
    <n v="41.9"/>
    <n v="4"/>
    <n v="0"/>
    <x v="11"/>
    <n v="0"/>
    <n v="0"/>
    <m/>
    <x v="4"/>
  </r>
  <r>
    <n v="3283"/>
    <d v="2025-06-03T00:00:00"/>
    <n v="35"/>
    <s v="Female"/>
    <s v="West"/>
    <x v="3"/>
    <m/>
    <n v="391.6"/>
    <n v="10"/>
    <n v="1"/>
    <x v="182"/>
    <n v="4"/>
    <n v="5"/>
    <n v="5"/>
    <x v="5"/>
  </r>
  <r>
    <n v="2658"/>
    <d v="2025-06-03T00:00:00"/>
    <n v="49"/>
    <s v="Male"/>
    <s v="North"/>
    <x v="3"/>
    <m/>
    <n v="383.4"/>
    <n v="8"/>
    <n v="1"/>
    <x v="183"/>
    <n v="2"/>
    <n v="11"/>
    <n v="4"/>
    <x v="5"/>
  </r>
  <r>
    <n v="250"/>
    <d v="2025-06-03T00:00:00"/>
    <n v="26"/>
    <s v="Male"/>
    <s v="North"/>
    <x v="0"/>
    <m/>
    <n v="113.6"/>
    <n v="9"/>
    <n v="1"/>
    <x v="184"/>
    <n v="2"/>
    <n v="9"/>
    <n v="4"/>
    <x v="5"/>
  </r>
  <r>
    <n v="4049"/>
    <d v="2025-06-03T00:00:00"/>
    <n v="62"/>
    <s v="Male"/>
    <s v="North"/>
    <x v="1"/>
    <s v="CAMP4"/>
    <n v="289.5"/>
    <n v="3"/>
    <n v="1"/>
    <x v="185"/>
    <n v="5"/>
    <n v="8"/>
    <n v="4"/>
    <x v="5"/>
  </r>
  <r>
    <n v="337"/>
    <d v="2025-06-03T00:00:00"/>
    <n v="25"/>
    <s v="Male"/>
    <s v="North"/>
    <x v="2"/>
    <m/>
    <n v="695.9"/>
    <n v="7"/>
    <n v="1"/>
    <x v="186"/>
    <n v="2"/>
    <n v="4"/>
    <n v="3"/>
    <x v="5"/>
  </r>
  <r>
    <n v="552"/>
    <d v="2025-06-03T00:00:00"/>
    <n v="23"/>
    <s v="Female"/>
    <s v="West"/>
    <x v="0"/>
    <m/>
    <n v="525.1"/>
    <n v="7"/>
    <n v="1"/>
    <x v="187"/>
    <n v="5"/>
    <n v="4"/>
    <n v="5"/>
    <x v="5"/>
  </r>
  <r>
    <n v="1373"/>
    <d v="2025-06-03T00:00:00"/>
    <n v="22"/>
    <s v="Female"/>
    <s v="North"/>
    <x v="1"/>
    <s v="CAMP4"/>
    <n v="1008.4"/>
    <n v="5"/>
    <n v="0"/>
    <x v="11"/>
    <n v="0"/>
    <n v="0"/>
    <m/>
    <x v="5"/>
  </r>
  <r>
    <n v="2882"/>
    <d v="2025-06-03T00:00:00"/>
    <n v="39"/>
    <s v="Female"/>
    <s v="North"/>
    <x v="1"/>
    <s v="CAMP4"/>
    <n v="536.9"/>
    <n v="6"/>
    <n v="0"/>
    <x v="11"/>
    <n v="0"/>
    <n v="0"/>
    <m/>
    <x v="5"/>
  </r>
  <r>
    <n v="1149"/>
    <d v="2025-06-03T00:00:00"/>
    <n v="18"/>
    <s v="Female"/>
    <s v="East"/>
    <x v="1"/>
    <s v="CAMP5"/>
    <n v="525.1"/>
    <n v="6"/>
    <n v="0"/>
    <x v="11"/>
    <n v="0"/>
    <n v="0"/>
    <m/>
    <x v="5"/>
  </r>
  <r>
    <n v="4812"/>
    <d v="2025-06-03T00:00:00"/>
    <n v="46"/>
    <s v="Male"/>
    <s v="East"/>
    <x v="0"/>
    <m/>
    <n v="346.6"/>
    <n v="8"/>
    <n v="0"/>
    <x v="11"/>
    <n v="0"/>
    <n v="0"/>
    <m/>
    <x v="5"/>
  </r>
  <r>
    <n v="253"/>
    <d v="2025-06-03T00:00:00"/>
    <n v="18"/>
    <s v="Female"/>
    <s v="North"/>
    <x v="2"/>
    <m/>
    <n v="345.3"/>
    <n v="10"/>
    <n v="0"/>
    <x v="11"/>
    <n v="0"/>
    <n v="0"/>
    <m/>
    <x v="5"/>
  </r>
  <r>
    <n v="4158"/>
    <d v="2025-06-03T00:00:00"/>
    <n v="52"/>
    <s v="Male"/>
    <s v="South"/>
    <x v="0"/>
    <m/>
    <n v="340.1"/>
    <n v="4"/>
    <n v="0"/>
    <x v="11"/>
    <n v="0"/>
    <n v="0"/>
    <m/>
    <x v="5"/>
  </r>
  <r>
    <n v="2234"/>
    <d v="2025-06-03T00:00:00"/>
    <n v="33"/>
    <s v="Male"/>
    <s v="West"/>
    <x v="1"/>
    <s v="CAMP6"/>
    <n v="334.3"/>
    <n v="4"/>
    <n v="0"/>
    <x v="11"/>
    <n v="0"/>
    <n v="0"/>
    <m/>
    <x v="5"/>
  </r>
  <r>
    <n v="3515"/>
    <d v="2025-06-03T00:00:00"/>
    <n v="28"/>
    <s v="Male"/>
    <s v="East"/>
    <x v="1"/>
    <s v="CAMP7"/>
    <n v="251.5"/>
    <n v="4"/>
    <n v="0"/>
    <x v="11"/>
    <n v="0"/>
    <n v="0"/>
    <m/>
    <x v="5"/>
  </r>
  <r>
    <n v="2785"/>
    <d v="2025-06-03T00:00:00"/>
    <n v="29"/>
    <s v="Female"/>
    <s v="South"/>
    <x v="3"/>
    <m/>
    <n v="137.69999999999999"/>
    <n v="8"/>
    <n v="0"/>
    <x v="11"/>
    <n v="0"/>
    <n v="0"/>
    <m/>
    <x v="5"/>
  </r>
  <r>
    <n v="2507"/>
    <d v="2025-06-03T00:00:00"/>
    <n v="18"/>
    <s v="Male"/>
    <s v="West"/>
    <x v="3"/>
    <m/>
    <n v="134.9"/>
    <n v="5"/>
    <n v="0"/>
    <x v="11"/>
    <n v="0"/>
    <n v="0"/>
    <m/>
    <x v="5"/>
  </r>
  <r>
    <n v="1666"/>
    <d v="2025-06-03T00:00:00"/>
    <n v="23"/>
    <s v="Male"/>
    <s v="West"/>
    <x v="0"/>
    <m/>
    <n v="119.6"/>
    <n v="6"/>
    <n v="0"/>
    <x v="11"/>
    <n v="0"/>
    <n v="0"/>
    <m/>
    <x v="5"/>
  </r>
  <r>
    <n v="1137"/>
    <d v="2025-06-03T00:00:00"/>
    <n v="27"/>
    <s v="Male"/>
    <s v="North"/>
    <x v="1"/>
    <s v="CAMP3"/>
    <n v="93.6"/>
    <n v="9"/>
    <n v="0"/>
    <x v="11"/>
    <n v="0"/>
    <n v="0"/>
    <m/>
    <x v="5"/>
  </r>
  <r>
    <n v="2041"/>
    <d v="2025-06-03T00:00:00"/>
    <n v="51"/>
    <s v="Male"/>
    <s v="South"/>
    <x v="0"/>
    <m/>
    <n v="70.2"/>
    <n v="6"/>
    <n v="0"/>
    <x v="11"/>
    <n v="0"/>
    <n v="0"/>
    <m/>
    <x v="5"/>
  </r>
  <r>
    <n v="2019"/>
    <d v="2025-01-04T00:00:00"/>
    <n v="28"/>
    <s v="Female"/>
    <s v="East"/>
    <x v="0"/>
    <m/>
    <n v="336.7"/>
    <n v="5"/>
    <n v="1"/>
    <x v="188"/>
    <n v="3"/>
    <n v="9"/>
    <n v="5"/>
    <x v="0"/>
  </r>
  <r>
    <n v="2686"/>
    <d v="2025-01-04T00:00:00"/>
    <n v="47"/>
    <s v="Female"/>
    <s v="East"/>
    <x v="1"/>
    <s v="CAMP7"/>
    <n v="358.1"/>
    <n v="6"/>
    <n v="1"/>
    <x v="189"/>
    <n v="2"/>
    <n v="11"/>
    <n v="4"/>
    <x v="0"/>
  </r>
  <r>
    <n v="2709"/>
    <d v="2025-01-04T00:00:00"/>
    <n v="37"/>
    <s v="Male"/>
    <s v="West"/>
    <x v="2"/>
    <m/>
    <n v="173.2"/>
    <n v="5"/>
    <n v="1"/>
    <x v="190"/>
    <n v="3"/>
    <n v="15"/>
    <n v="4"/>
    <x v="0"/>
  </r>
  <r>
    <n v="3471"/>
    <d v="2025-01-04T00:00:00"/>
    <n v="33"/>
    <s v="Female"/>
    <s v="South"/>
    <x v="1"/>
    <s v="CAMP2"/>
    <n v="491.5"/>
    <n v="5"/>
    <n v="1"/>
    <x v="191"/>
    <n v="5"/>
    <n v="9"/>
    <n v="3"/>
    <x v="0"/>
  </r>
  <r>
    <n v="3264"/>
    <d v="2025-01-04T00:00:00"/>
    <n v="36"/>
    <s v="Male"/>
    <s v="East"/>
    <x v="1"/>
    <s v="CAMP3"/>
    <n v="731.7"/>
    <n v="5"/>
    <n v="1"/>
    <x v="192"/>
    <n v="1"/>
    <n v="14"/>
    <n v="3"/>
    <x v="0"/>
  </r>
  <r>
    <n v="3690"/>
    <d v="2025-01-04T00:00:00"/>
    <n v="28"/>
    <s v="Male"/>
    <s v="North"/>
    <x v="1"/>
    <s v="CAMP4"/>
    <n v="1775.3"/>
    <n v="7"/>
    <n v="1"/>
    <x v="193"/>
    <n v="3"/>
    <n v="7"/>
    <n v="3"/>
    <x v="0"/>
  </r>
  <r>
    <n v="2704"/>
    <d v="2025-01-04T00:00:00"/>
    <n v="49"/>
    <s v="Male"/>
    <s v="East"/>
    <x v="1"/>
    <s v="CAMP1"/>
    <n v="1358.5"/>
    <n v="6"/>
    <n v="1"/>
    <x v="194"/>
    <n v="1"/>
    <n v="6"/>
    <n v="4"/>
    <x v="0"/>
  </r>
  <r>
    <n v="641"/>
    <d v="2025-01-04T00:00:00"/>
    <n v="25"/>
    <s v="Male"/>
    <s v="East"/>
    <x v="0"/>
    <m/>
    <n v="733.3"/>
    <n v="7"/>
    <n v="0"/>
    <x v="11"/>
    <n v="0"/>
    <n v="0"/>
    <m/>
    <x v="0"/>
  </r>
  <r>
    <n v="2213"/>
    <d v="2025-01-04T00:00:00"/>
    <n v="41"/>
    <s v="Male"/>
    <s v="East"/>
    <x v="0"/>
    <m/>
    <n v="686.4"/>
    <n v="5"/>
    <n v="0"/>
    <x v="11"/>
    <n v="0"/>
    <n v="0"/>
    <m/>
    <x v="0"/>
  </r>
  <r>
    <n v="1814"/>
    <d v="2025-01-04T00:00:00"/>
    <n v="27"/>
    <s v="Other"/>
    <s v="East"/>
    <x v="1"/>
    <s v="CAMP4"/>
    <n v="590.20000000000005"/>
    <n v="7"/>
    <n v="0"/>
    <x v="11"/>
    <n v="0"/>
    <n v="0"/>
    <m/>
    <x v="0"/>
  </r>
  <r>
    <n v="372"/>
    <d v="2025-01-04T00:00:00"/>
    <n v="27"/>
    <s v="Female"/>
    <s v="North"/>
    <x v="0"/>
    <m/>
    <n v="572.29999999999995"/>
    <n v="10"/>
    <n v="0"/>
    <x v="11"/>
    <n v="0"/>
    <n v="0"/>
    <m/>
    <x v="0"/>
  </r>
  <r>
    <n v="1514"/>
    <d v="2025-01-04T00:00:00"/>
    <n v="32"/>
    <s v="Female"/>
    <s v="North"/>
    <x v="1"/>
    <s v="CAMP4"/>
    <n v="552"/>
    <n v="3"/>
    <n v="0"/>
    <x v="11"/>
    <n v="0"/>
    <n v="0"/>
    <m/>
    <x v="0"/>
  </r>
  <r>
    <n v="883"/>
    <d v="2025-01-04T00:00:00"/>
    <n v="25"/>
    <s v="Male"/>
    <s v="North"/>
    <x v="1"/>
    <s v="CAMP7"/>
    <n v="424.2"/>
    <n v="7"/>
    <n v="0"/>
    <x v="11"/>
    <n v="0"/>
    <n v="0"/>
    <m/>
    <x v="0"/>
  </r>
  <r>
    <n v="3162"/>
    <d v="2025-01-04T00:00:00"/>
    <n v="33"/>
    <s v="Male"/>
    <s v="West"/>
    <x v="0"/>
    <m/>
    <n v="333.6"/>
    <n v="5"/>
    <n v="0"/>
    <x v="11"/>
    <n v="0"/>
    <n v="0"/>
    <m/>
    <x v="0"/>
  </r>
  <r>
    <n v="1050"/>
    <d v="2025-01-04T00:00:00"/>
    <n v="28"/>
    <s v="Male"/>
    <s v="South"/>
    <x v="2"/>
    <m/>
    <n v="324"/>
    <n v="8"/>
    <n v="0"/>
    <x v="11"/>
    <n v="0"/>
    <n v="0"/>
    <m/>
    <x v="0"/>
  </r>
  <r>
    <n v="795"/>
    <d v="2025-01-04T00:00:00"/>
    <n v="21"/>
    <s v="Male"/>
    <s v="North"/>
    <x v="3"/>
    <m/>
    <n v="290.10000000000002"/>
    <n v="8"/>
    <n v="0"/>
    <x v="11"/>
    <n v="0"/>
    <n v="0"/>
    <m/>
    <x v="0"/>
  </r>
  <r>
    <n v="11"/>
    <d v="2025-01-04T00:00:00"/>
    <n v="36"/>
    <s v="Female"/>
    <s v="East"/>
    <x v="0"/>
    <m/>
    <n v="281.39999999999998"/>
    <n v="4"/>
    <n v="0"/>
    <x v="11"/>
    <n v="0"/>
    <n v="0"/>
    <m/>
    <x v="0"/>
  </r>
  <r>
    <n v="3224"/>
    <d v="2025-01-04T00:00:00"/>
    <n v="34"/>
    <s v="Male"/>
    <s v="North"/>
    <x v="3"/>
    <m/>
    <n v="240.1"/>
    <n v="3"/>
    <n v="0"/>
    <x v="11"/>
    <n v="0"/>
    <n v="0"/>
    <m/>
    <x v="0"/>
  </r>
  <r>
    <n v="1203"/>
    <d v="2025-01-04T00:00:00"/>
    <n v="30"/>
    <s v="Male"/>
    <s v="North"/>
    <x v="1"/>
    <s v="CAMP2"/>
    <n v="209.3"/>
    <n v="7"/>
    <n v="0"/>
    <x v="11"/>
    <n v="0"/>
    <n v="0"/>
    <m/>
    <x v="0"/>
  </r>
  <r>
    <n v="2517"/>
    <d v="2025-01-04T00:00:00"/>
    <n v="29"/>
    <s v="Male"/>
    <s v="West"/>
    <x v="3"/>
    <m/>
    <n v="190.6"/>
    <n v="7"/>
    <n v="0"/>
    <x v="11"/>
    <n v="0"/>
    <n v="0"/>
    <m/>
    <x v="0"/>
  </r>
  <r>
    <n v="4327"/>
    <d v="2025-01-04T00:00:00"/>
    <n v="42"/>
    <s v="Male"/>
    <s v="North"/>
    <x v="3"/>
    <m/>
    <n v="185.1"/>
    <n v="5"/>
    <n v="0"/>
    <x v="11"/>
    <n v="0"/>
    <n v="0"/>
    <m/>
    <x v="0"/>
  </r>
  <r>
    <n v="1074"/>
    <d v="2025-01-04T00:00:00"/>
    <n v="22"/>
    <s v="Male"/>
    <s v="West"/>
    <x v="0"/>
    <m/>
    <n v="180"/>
    <n v="2"/>
    <n v="0"/>
    <x v="11"/>
    <n v="0"/>
    <n v="0"/>
    <m/>
    <x v="0"/>
  </r>
  <r>
    <n v="937"/>
    <d v="2025-01-04T00:00:00"/>
    <n v="22"/>
    <s v="Female"/>
    <s v="West"/>
    <x v="0"/>
    <m/>
    <n v="169"/>
    <n v="7"/>
    <n v="0"/>
    <x v="11"/>
    <n v="0"/>
    <n v="0"/>
    <m/>
    <x v="0"/>
  </r>
  <r>
    <n v="4552"/>
    <d v="2025-01-04T00:00:00"/>
    <n v="44"/>
    <s v="Female"/>
    <s v="East"/>
    <x v="3"/>
    <m/>
    <n v="154.4"/>
    <n v="5"/>
    <n v="0"/>
    <x v="11"/>
    <n v="0"/>
    <n v="0"/>
    <m/>
    <x v="0"/>
  </r>
  <r>
    <n v="4235"/>
    <d v="2025-01-04T00:00:00"/>
    <n v="66"/>
    <s v="Female"/>
    <s v="South"/>
    <x v="0"/>
    <m/>
    <n v="130.5"/>
    <n v="7"/>
    <n v="0"/>
    <x v="11"/>
    <n v="0"/>
    <n v="0"/>
    <m/>
    <x v="0"/>
  </r>
  <r>
    <n v="1747"/>
    <d v="2025-01-04T00:00:00"/>
    <n v="19"/>
    <s v="Female"/>
    <s v="East"/>
    <x v="3"/>
    <m/>
    <n v="60.4"/>
    <n v="5"/>
    <n v="0"/>
    <x v="11"/>
    <n v="0"/>
    <n v="0"/>
    <m/>
    <x v="0"/>
  </r>
  <r>
    <n v="4659"/>
    <d v="2025-02-04T00:00:00"/>
    <n v="46"/>
    <s v="Female"/>
    <s v="West"/>
    <x v="0"/>
    <m/>
    <n v="298"/>
    <n v="8"/>
    <n v="1"/>
    <x v="195"/>
    <n v="2"/>
    <n v="11"/>
    <n v="5"/>
    <x v="1"/>
  </r>
  <r>
    <n v="4804"/>
    <d v="2025-02-04T00:00:00"/>
    <n v="43"/>
    <s v="Female"/>
    <s v="West"/>
    <x v="0"/>
    <m/>
    <n v="154.6"/>
    <n v="7"/>
    <n v="1"/>
    <x v="196"/>
    <n v="5"/>
    <n v="13"/>
    <n v="4"/>
    <x v="1"/>
  </r>
  <r>
    <n v="4230"/>
    <d v="2025-02-04T00:00:00"/>
    <n v="63"/>
    <s v="Male"/>
    <s v="South"/>
    <x v="0"/>
    <m/>
    <n v="525.5"/>
    <n v="6"/>
    <n v="1"/>
    <x v="197"/>
    <n v="1"/>
    <n v="11"/>
    <n v="4"/>
    <x v="1"/>
  </r>
  <r>
    <n v="3203"/>
    <d v="2025-02-04T00:00:00"/>
    <n v="37"/>
    <s v="Female"/>
    <s v="East"/>
    <x v="2"/>
    <m/>
    <n v="295.60000000000002"/>
    <n v="8"/>
    <n v="1"/>
    <x v="198"/>
    <n v="2"/>
    <n v="10"/>
    <n v="4"/>
    <x v="1"/>
  </r>
  <r>
    <n v="2800"/>
    <d v="2025-02-04T00:00:00"/>
    <n v="32"/>
    <s v="Male"/>
    <s v="North"/>
    <x v="1"/>
    <s v="CAMP1"/>
    <n v="777.4"/>
    <n v="5"/>
    <n v="0"/>
    <x v="11"/>
    <n v="0"/>
    <n v="0"/>
    <m/>
    <x v="1"/>
  </r>
  <r>
    <n v="856"/>
    <d v="2025-02-04T00:00:00"/>
    <n v="18"/>
    <s v="Female"/>
    <s v="South"/>
    <x v="0"/>
    <m/>
    <n v="486.4"/>
    <n v="5"/>
    <n v="0"/>
    <x v="11"/>
    <n v="0"/>
    <n v="0"/>
    <m/>
    <x v="1"/>
  </r>
  <r>
    <n v="1601"/>
    <d v="2025-02-04T00:00:00"/>
    <n v="31"/>
    <s v="Male"/>
    <s v="East"/>
    <x v="0"/>
    <m/>
    <n v="260.10000000000002"/>
    <n v="5"/>
    <n v="0"/>
    <x v="11"/>
    <n v="0"/>
    <n v="0"/>
    <m/>
    <x v="1"/>
  </r>
  <r>
    <n v="2853"/>
    <d v="2025-02-04T00:00:00"/>
    <n v="33"/>
    <s v="Female"/>
    <s v="North"/>
    <x v="1"/>
    <s v="CAMP2"/>
    <n v="233.7"/>
    <n v="5"/>
    <n v="0"/>
    <x v="11"/>
    <n v="0"/>
    <n v="0"/>
    <m/>
    <x v="1"/>
  </r>
  <r>
    <n v="3369"/>
    <d v="2025-02-04T00:00:00"/>
    <n v="31"/>
    <s v="Female"/>
    <s v="North"/>
    <x v="0"/>
    <m/>
    <n v="136.9"/>
    <n v="6"/>
    <n v="0"/>
    <x v="11"/>
    <n v="0"/>
    <n v="0"/>
    <m/>
    <x v="1"/>
  </r>
  <r>
    <n v="3756"/>
    <d v="2025-02-04T00:00:00"/>
    <n v="36"/>
    <s v="Male"/>
    <s v="South"/>
    <x v="0"/>
    <m/>
    <n v="133.9"/>
    <n v="5"/>
    <n v="0"/>
    <x v="11"/>
    <n v="0"/>
    <n v="0"/>
    <m/>
    <x v="1"/>
  </r>
  <r>
    <n v="599"/>
    <d v="2025-02-04T00:00:00"/>
    <n v="20"/>
    <s v="Female"/>
    <s v="East"/>
    <x v="0"/>
    <m/>
    <n v="131.1"/>
    <n v="2"/>
    <n v="0"/>
    <x v="11"/>
    <n v="0"/>
    <n v="0"/>
    <m/>
    <x v="1"/>
  </r>
  <r>
    <n v="4747"/>
    <d v="2025-02-04T00:00:00"/>
    <n v="70"/>
    <s v="Male"/>
    <s v="South"/>
    <x v="1"/>
    <s v="CAMP7"/>
    <n v="88"/>
    <n v="4"/>
    <n v="0"/>
    <x v="11"/>
    <n v="0"/>
    <n v="0"/>
    <m/>
    <x v="1"/>
  </r>
  <r>
    <n v="4014"/>
    <d v="2025-02-04T00:00:00"/>
    <n v="71"/>
    <s v="Female"/>
    <s v="South"/>
    <x v="0"/>
    <m/>
    <n v="62.1"/>
    <n v="6"/>
    <n v="0"/>
    <x v="11"/>
    <n v="0"/>
    <n v="0"/>
    <m/>
    <x v="1"/>
  </r>
  <r>
    <n v="4856"/>
    <d v="2025-02-04T00:00:00"/>
    <n v="59"/>
    <s v="Male"/>
    <s v="East"/>
    <x v="0"/>
    <m/>
    <n v="50"/>
    <n v="9"/>
    <n v="0"/>
    <x v="11"/>
    <n v="0"/>
    <n v="0"/>
    <m/>
    <x v="1"/>
  </r>
  <r>
    <n v="1681"/>
    <d v="2025-03-04T00:00:00"/>
    <n v="20"/>
    <s v="Female"/>
    <s v="South"/>
    <x v="0"/>
    <m/>
    <n v="870.2"/>
    <n v="4"/>
    <n v="1"/>
    <x v="199"/>
    <n v="3"/>
    <n v="6"/>
    <n v="3"/>
    <x v="2"/>
  </r>
  <r>
    <n v="2158"/>
    <d v="2025-03-04T00:00:00"/>
    <n v="29"/>
    <s v="Female"/>
    <s v="East"/>
    <x v="3"/>
    <m/>
    <n v="680.6"/>
    <n v="4"/>
    <n v="1"/>
    <x v="200"/>
    <n v="1"/>
    <n v="3"/>
    <n v="4"/>
    <x v="2"/>
  </r>
  <r>
    <n v="3918"/>
    <d v="2025-03-04T00:00:00"/>
    <n v="55"/>
    <s v="Male"/>
    <s v="South"/>
    <x v="0"/>
    <m/>
    <n v="301.8"/>
    <n v="6"/>
    <n v="1"/>
    <x v="201"/>
    <n v="4"/>
    <n v="10"/>
    <n v="4"/>
    <x v="2"/>
  </r>
  <r>
    <n v="2396"/>
    <d v="2025-03-04T00:00:00"/>
    <n v="31"/>
    <s v="Female"/>
    <s v="North"/>
    <x v="0"/>
    <m/>
    <n v="292.39999999999998"/>
    <n v="4"/>
    <n v="1"/>
    <x v="202"/>
    <n v="2"/>
    <n v="10"/>
    <n v="5"/>
    <x v="2"/>
  </r>
  <r>
    <n v="2754"/>
    <d v="2025-03-04T00:00:00"/>
    <n v="26"/>
    <s v="Female"/>
    <s v="East"/>
    <x v="0"/>
    <m/>
    <n v="630.5"/>
    <n v="8"/>
    <n v="1"/>
    <x v="203"/>
    <n v="3"/>
    <n v="11"/>
    <n v="5"/>
    <x v="2"/>
  </r>
  <r>
    <n v="2962"/>
    <d v="2025-03-04T00:00:00"/>
    <n v="31"/>
    <s v="Female"/>
    <s v="East"/>
    <x v="0"/>
    <m/>
    <n v="91.8"/>
    <n v="6"/>
    <n v="1"/>
    <x v="204"/>
    <n v="5"/>
    <n v="9"/>
    <n v="3"/>
    <x v="2"/>
  </r>
  <r>
    <n v="2551"/>
    <d v="2025-03-04T00:00:00"/>
    <n v="43"/>
    <s v="Female"/>
    <s v="East"/>
    <x v="3"/>
    <m/>
    <n v="614.1"/>
    <n v="2"/>
    <n v="1"/>
    <x v="205"/>
    <n v="4"/>
    <n v="12"/>
    <n v="4"/>
    <x v="2"/>
  </r>
  <r>
    <n v="3048"/>
    <d v="2025-03-04T00:00:00"/>
    <n v="35"/>
    <s v="Female"/>
    <s v="South"/>
    <x v="1"/>
    <s v="CAMP1"/>
    <n v="179.4"/>
    <n v="7"/>
    <n v="1"/>
    <x v="206"/>
    <n v="5"/>
    <n v="8"/>
    <n v="4"/>
    <x v="2"/>
  </r>
  <r>
    <n v="570"/>
    <d v="2025-03-04T00:00:00"/>
    <n v="30"/>
    <s v="Male"/>
    <s v="East"/>
    <x v="0"/>
    <m/>
    <n v="100.7"/>
    <n v="6"/>
    <n v="1"/>
    <x v="207"/>
    <n v="5"/>
    <n v="10"/>
    <n v="5"/>
    <x v="2"/>
  </r>
  <r>
    <n v="784"/>
    <d v="2025-03-04T00:00:00"/>
    <n v="18"/>
    <s v="Female"/>
    <s v="East"/>
    <x v="0"/>
    <m/>
    <n v="333.8"/>
    <n v="3"/>
    <n v="1"/>
    <x v="208"/>
    <n v="2"/>
    <n v="15"/>
    <n v="3"/>
    <x v="2"/>
  </r>
  <r>
    <n v="3695"/>
    <d v="2025-03-04T00:00:00"/>
    <n v="26"/>
    <s v="Female"/>
    <s v="East"/>
    <x v="3"/>
    <m/>
    <n v="126.3"/>
    <n v="7"/>
    <n v="1"/>
    <x v="209"/>
    <n v="1"/>
    <n v="11"/>
    <n v="4"/>
    <x v="2"/>
  </r>
  <r>
    <n v="827"/>
    <d v="2025-03-04T00:00:00"/>
    <n v="30"/>
    <s v="Male"/>
    <s v="South"/>
    <x v="3"/>
    <m/>
    <n v="675.9"/>
    <n v="5"/>
    <n v="1"/>
    <x v="210"/>
    <n v="2"/>
    <n v="9"/>
    <n v="5"/>
    <x v="2"/>
  </r>
  <r>
    <n v="4437"/>
    <d v="2025-03-04T00:00:00"/>
    <n v="58"/>
    <s v="Male"/>
    <s v="West"/>
    <x v="0"/>
    <m/>
    <n v="685.2"/>
    <n v="6"/>
    <n v="1"/>
    <x v="211"/>
    <n v="1"/>
    <n v="8"/>
    <n v="4"/>
    <x v="2"/>
  </r>
  <r>
    <n v="1142"/>
    <d v="2025-03-04T00:00:00"/>
    <n v="20"/>
    <s v="Female"/>
    <s v="North"/>
    <x v="0"/>
    <m/>
    <n v="449.6"/>
    <n v="10"/>
    <n v="1"/>
    <x v="212"/>
    <n v="5"/>
    <n v="11"/>
    <n v="5"/>
    <x v="2"/>
  </r>
  <r>
    <n v="1632"/>
    <d v="2025-03-04T00:00:00"/>
    <n v="23"/>
    <s v="Male"/>
    <s v="South"/>
    <x v="0"/>
    <m/>
    <n v="621.4"/>
    <n v="5"/>
    <n v="0"/>
    <x v="11"/>
    <n v="0"/>
    <n v="0"/>
    <m/>
    <x v="2"/>
  </r>
  <r>
    <n v="1347"/>
    <d v="2025-03-04T00:00:00"/>
    <n v="22"/>
    <s v="Male"/>
    <s v="East"/>
    <x v="0"/>
    <m/>
    <n v="549.4"/>
    <n v="9"/>
    <n v="0"/>
    <x v="11"/>
    <n v="0"/>
    <n v="0"/>
    <m/>
    <x v="2"/>
  </r>
  <r>
    <n v="4721"/>
    <d v="2025-03-04T00:00:00"/>
    <n v="58"/>
    <s v="Male"/>
    <s v="West"/>
    <x v="0"/>
    <m/>
    <n v="495"/>
    <n v="6"/>
    <n v="0"/>
    <x v="11"/>
    <n v="0"/>
    <n v="0"/>
    <m/>
    <x v="2"/>
  </r>
  <r>
    <n v="196"/>
    <d v="2025-03-04T00:00:00"/>
    <n v="27"/>
    <s v="Male"/>
    <s v="West"/>
    <x v="0"/>
    <m/>
    <n v="464.2"/>
    <n v="6"/>
    <n v="0"/>
    <x v="11"/>
    <n v="0"/>
    <n v="0"/>
    <m/>
    <x v="2"/>
  </r>
  <r>
    <n v="4770"/>
    <d v="2025-03-04T00:00:00"/>
    <n v="45"/>
    <s v="Female"/>
    <s v="North"/>
    <x v="3"/>
    <m/>
    <n v="437.8"/>
    <n v="7"/>
    <n v="0"/>
    <x v="11"/>
    <n v="0"/>
    <n v="0"/>
    <m/>
    <x v="2"/>
  </r>
  <r>
    <n v="2017"/>
    <d v="2025-03-04T00:00:00"/>
    <n v="31"/>
    <s v="Male"/>
    <s v="South"/>
    <x v="1"/>
    <s v="CAMP1"/>
    <n v="433.8"/>
    <n v="5"/>
    <n v="0"/>
    <x v="11"/>
    <n v="0"/>
    <n v="0"/>
    <m/>
    <x v="2"/>
  </r>
  <r>
    <n v="2713"/>
    <d v="2025-03-04T00:00:00"/>
    <n v="31"/>
    <s v="Female"/>
    <s v="South"/>
    <x v="0"/>
    <m/>
    <n v="422.9"/>
    <n v="5"/>
    <n v="0"/>
    <x v="11"/>
    <n v="0"/>
    <n v="0"/>
    <m/>
    <x v="2"/>
  </r>
  <r>
    <n v="2454"/>
    <d v="2025-03-04T00:00:00"/>
    <n v="41"/>
    <s v="Female"/>
    <s v="East"/>
    <x v="0"/>
    <m/>
    <n v="370.9"/>
    <n v="8"/>
    <n v="0"/>
    <x v="11"/>
    <n v="0"/>
    <n v="0"/>
    <m/>
    <x v="2"/>
  </r>
  <r>
    <n v="828"/>
    <d v="2025-03-04T00:00:00"/>
    <n v="29"/>
    <s v="Male"/>
    <s v="North"/>
    <x v="1"/>
    <s v="CAMP6"/>
    <n v="349.4"/>
    <n v="9"/>
    <n v="0"/>
    <x v="11"/>
    <n v="0"/>
    <n v="0"/>
    <m/>
    <x v="2"/>
  </r>
  <r>
    <n v="4738"/>
    <d v="2025-03-04T00:00:00"/>
    <n v="34"/>
    <s v="Male"/>
    <s v="South"/>
    <x v="0"/>
    <m/>
    <n v="332.6"/>
    <n v="8"/>
    <n v="0"/>
    <x v="11"/>
    <n v="0"/>
    <n v="0"/>
    <m/>
    <x v="2"/>
  </r>
  <r>
    <n v="594"/>
    <d v="2025-03-04T00:00:00"/>
    <n v="22"/>
    <s v="Other"/>
    <s v="South"/>
    <x v="0"/>
    <m/>
    <n v="273.3"/>
    <n v="2"/>
    <n v="0"/>
    <x v="11"/>
    <n v="0"/>
    <n v="0"/>
    <m/>
    <x v="2"/>
  </r>
  <r>
    <n v="1193"/>
    <d v="2025-03-04T00:00:00"/>
    <n v="18"/>
    <s v="Female"/>
    <s v="East"/>
    <x v="1"/>
    <s v="CAMP5"/>
    <n v="267.5"/>
    <n v="8"/>
    <n v="0"/>
    <x v="11"/>
    <n v="0"/>
    <n v="0"/>
    <m/>
    <x v="2"/>
  </r>
  <r>
    <n v="1805"/>
    <d v="2025-03-04T00:00:00"/>
    <n v="32"/>
    <s v="Male"/>
    <s v="East"/>
    <x v="0"/>
    <m/>
    <n v="256.2"/>
    <n v="6"/>
    <n v="0"/>
    <x v="11"/>
    <n v="0"/>
    <n v="0"/>
    <m/>
    <x v="2"/>
  </r>
  <r>
    <n v="3808"/>
    <d v="2025-03-04T00:00:00"/>
    <n v="64"/>
    <s v="Male"/>
    <s v="East"/>
    <x v="0"/>
    <m/>
    <n v="253.9"/>
    <n v="3"/>
    <n v="0"/>
    <x v="11"/>
    <n v="0"/>
    <n v="0"/>
    <m/>
    <x v="2"/>
  </r>
  <r>
    <n v="2310"/>
    <d v="2025-03-04T00:00:00"/>
    <n v="32"/>
    <s v="Male"/>
    <s v="South"/>
    <x v="0"/>
    <m/>
    <n v="225"/>
    <n v="7"/>
    <n v="0"/>
    <x v="11"/>
    <n v="0"/>
    <n v="0"/>
    <m/>
    <x v="2"/>
  </r>
  <r>
    <n v="2036"/>
    <d v="2025-03-04T00:00:00"/>
    <n v="40"/>
    <s v="Other"/>
    <s v="East"/>
    <x v="0"/>
    <m/>
    <n v="207.6"/>
    <n v="6"/>
    <n v="0"/>
    <x v="11"/>
    <n v="0"/>
    <n v="0"/>
    <m/>
    <x v="2"/>
  </r>
  <r>
    <n v="4289"/>
    <d v="2025-03-04T00:00:00"/>
    <n v="50"/>
    <s v="Female"/>
    <s v="South"/>
    <x v="0"/>
    <m/>
    <n v="79"/>
    <n v="9"/>
    <n v="0"/>
    <x v="11"/>
    <n v="0"/>
    <n v="0"/>
    <m/>
    <x v="2"/>
  </r>
  <r>
    <n v="715"/>
    <d v="2025-03-04T00:00:00"/>
    <n v="23"/>
    <s v="Male"/>
    <s v="North"/>
    <x v="1"/>
    <s v="CAMP5"/>
    <n v="78"/>
    <n v="14"/>
    <n v="0"/>
    <x v="11"/>
    <n v="0"/>
    <n v="0"/>
    <m/>
    <x v="2"/>
  </r>
  <r>
    <n v="1946"/>
    <d v="2025-04-04T00:00:00"/>
    <n v="28"/>
    <s v="Female"/>
    <s v="East"/>
    <x v="0"/>
    <m/>
    <n v="463.4"/>
    <n v="4"/>
    <n v="1"/>
    <x v="213"/>
    <n v="1"/>
    <n v="13"/>
    <n v="5"/>
    <x v="3"/>
  </r>
  <r>
    <n v="4694"/>
    <d v="2025-04-04T00:00:00"/>
    <n v="38"/>
    <s v="Female"/>
    <s v="South"/>
    <x v="0"/>
    <m/>
    <n v="307.2"/>
    <n v="10"/>
    <n v="1"/>
    <x v="214"/>
    <n v="6"/>
    <n v="14"/>
    <n v="4"/>
    <x v="3"/>
  </r>
  <r>
    <n v="957"/>
    <d v="2025-04-04T00:00:00"/>
    <n v="28"/>
    <s v="Female"/>
    <s v="North"/>
    <x v="1"/>
    <s v="CAMP2"/>
    <n v="481.4"/>
    <n v="7"/>
    <n v="1"/>
    <x v="215"/>
    <n v="2"/>
    <n v="9"/>
    <n v="3"/>
    <x v="3"/>
  </r>
  <r>
    <n v="48"/>
    <d v="2025-04-04T00:00:00"/>
    <n v="21"/>
    <s v="Female"/>
    <s v="North"/>
    <x v="0"/>
    <m/>
    <n v="256.89999999999998"/>
    <n v="5"/>
    <n v="1"/>
    <x v="216"/>
    <n v="2"/>
    <n v="2"/>
    <n v="4"/>
    <x v="3"/>
  </r>
  <r>
    <n v="1790"/>
    <d v="2025-04-04T00:00:00"/>
    <n v="35"/>
    <s v="Female"/>
    <s v="North"/>
    <x v="0"/>
    <m/>
    <n v="486.4"/>
    <n v="5"/>
    <n v="1"/>
    <x v="217"/>
    <n v="2"/>
    <n v="6"/>
    <n v="4"/>
    <x v="3"/>
  </r>
  <r>
    <n v="2696"/>
    <d v="2025-04-04T00:00:00"/>
    <n v="25"/>
    <s v="Male"/>
    <s v="North"/>
    <x v="3"/>
    <m/>
    <n v="286.10000000000002"/>
    <n v="6"/>
    <n v="1"/>
    <x v="218"/>
    <n v="4"/>
    <n v="6"/>
    <n v="4"/>
    <x v="3"/>
  </r>
  <r>
    <n v="3231"/>
    <d v="2025-04-04T00:00:00"/>
    <n v="34"/>
    <s v="Female"/>
    <s v="West"/>
    <x v="1"/>
    <s v="CAMP5"/>
    <n v="712.1"/>
    <n v="8"/>
    <n v="1"/>
    <x v="219"/>
    <n v="3"/>
    <n v="8"/>
    <n v="5"/>
    <x v="3"/>
  </r>
  <r>
    <n v="2712"/>
    <d v="2025-04-04T00:00:00"/>
    <n v="38"/>
    <s v="Male"/>
    <s v="South"/>
    <x v="0"/>
    <m/>
    <n v="323.3"/>
    <n v="3"/>
    <n v="1"/>
    <x v="220"/>
    <n v="1"/>
    <n v="12"/>
    <n v="5"/>
    <x v="3"/>
  </r>
  <r>
    <n v="4542"/>
    <d v="2025-04-04T00:00:00"/>
    <n v="37"/>
    <s v="Male"/>
    <s v="West"/>
    <x v="0"/>
    <m/>
    <n v="578.20000000000005"/>
    <n v="7"/>
    <n v="1"/>
    <x v="221"/>
    <n v="2"/>
    <n v="1"/>
    <n v="4"/>
    <x v="3"/>
  </r>
  <r>
    <n v="1286"/>
    <d v="2025-04-04T00:00:00"/>
    <n v="27"/>
    <s v="Female"/>
    <s v="South"/>
    <x v="2"/>
    <m/>
    <n v="689"/>
    <n v="5"/>
    <n v="1"/>
    <x v="222"/>
    <n v="1"/>
    <n v="12"/>
    <n v="3"/>
    <x v="3"/>
  </r>
  <r>
    <n v="3040"/>
    <d v="2025-04-04T00:00:00"/>
    <n v="45"/>
    <s v="Female"/>
    <s v="West"/>
    <x v="1"/>
    <s v="CAMP6"/>
    <n v="286"/>
    <n v="3"/>
    <n v="1"/>
    <x v="223"/>
    <n v="1"/>
    <n v="6"/>
    <n v="4"/>
    <x v="3"/>
  </r>
  <r>
    <n v="4402"/>
    <d v="2025-04-04T00:00:00"/>
    <n v="37"/>
    <s v="Male"/>
    <s v="North"/>
    <x v="2"/>
    <m/>
    <n v="214.4"/>
    <n v="5"/>
    <n v="1"/>
    <x v="224"/>
    <n v="4"/>
    <n v="6"/>
    <n v="4"/>
    <x v="3"/>
  </r>
  <r>
    <n v="549"/>
    <d v="2025-04-04T00:00:00"/>
    <n v="27"/>
    <s v="Other"/>
    <s v="East"/>
    <x v="1"/>
    <s v="CAMP3"/>
    <n v="119.2"/>
    <n v="6"/>
    <n v="1"/>
    <x v="50"/>
    <n v="5"/>
    <n v="6"/>
    <n v="4"/>
    <x v="3"/>
  </r>
  <r>
    <n v="3328"/>
    <d v="2025-04-04T00:00:00"/>
    <n v="28"/>
    <s v="Female"/>
    <s v="North"/>
    <x v="0"/>
    <m/>
    <n v="654.4"/>
    <n v="5"/>
    <n v="0"/>
    <x v="11"/>
    <n v="0"/>
    <n v="0"/>
    <m/>
    <x v="3"/>
  </r>
  <r>
    <n v="1643"/>
    <d v="2025-04-04T00:00:00"/>
    <n v="31"/>
    <s v="Male"/>
    <s v="East"/>
    <x v="0"/>
    <m/>
    <n v="543.6"/>
    <n v="5"/>
    <n v="0"/>
    <x v="11"/>
    <n v="0"/>
    <n v="0"/>
    <m/>
    <x v="3"/>
  </r>
  <r>
    <n v="264"/>
    <d v="2025-04-04T00:00:00"/>
    <n v="22"/>
    <s v="Female"/>
    <s v="West"/>
    <x v="0"/>
    <m/>
    <n v="522.5"/>
    <n v="3"/>
    <n v="0"/>
    <x v="11"/>
    <n v="0"/>
    <n v="0"/>
    <m/>
    <x v="3"/>
  </r>
  <r>
    <n v="816"/>
    <d v="2025-04-04T00:00:00"/>
    <n v="31"/>
    <s v="Female"/>
    <s v="East"/>
    <x v="0"/>
    <m/>
    <n v="514.4"/>
    <n v="6"/>
    <n v="0"/>
    <x v="11"/>
    <n v="0"/>
    <n v="0"/>
    <m/>
    <x v="3"/>
  </r>
  <r>
    <n v="2701"/>
    <d v="2025-04-04T00:00:00"/>
    <n v="28"/>
    <s v="Male"/>
    <s v="East"/>
    <x v="3"/>
    <m/>
    <n v="496.1"/>
    <n v="8"/>
    <n v="0"/>
    <x v="11"/>
    <n v="0"/>
    <n v="0"/>
    <m/>
    <x v="3"/>
  </r>
  <r>
    <n v="2805"/>
    <d v="2025-04-04T00:00:00"/>
    <n v="27"/>
    <s v="Female"/>
    <s v="West"/>
    <x v="0"/>
    <m/>
    <n v="485.6"/>
    <n v="6"/>
    <n v="0"/>
    <x v="11"/>
    <n v="0"/>
    <n v="0"/>
    <m/>
    <x v="3"/>
  </r>
  <r>
    <n v="2072"/>
    <d v="2025-04-04T00:00:00"/>
    <n v="44"/>
    <s v="Female"/>
    <s v="South"/>
    <x v="3"/>
    <m/>
    <n v="446.8"/>
    <n v="8"/>
    <n v="0"/>
    <x v="11"/>
    <n v="0"/>
    <n v="0"/>
    <m/>
    <x v="3"/>
  </r>
  <r>
    <n v="551"/>
    <d v="2025-04-04T00:00:00"/>
    <n v="22"/>
    <s v="Male"/>
    <s v="North"/>
    <x v="1"/>
    <s v="CAMP1"/>
    <n v="431.7"/>
    <n v="5"/>
    <n v="0"/>
    <x v="11"/>
    <n v="0"/>
    <n v="0"/>
    <m/>
    <x v="3"/>
  </r>
  <r>
    <n v="1394"/>
    <d v="2025-04-04T00:00:00"/>
    <n v="23"/>
    <s v="Male"/>
    <s v="South"/>
    <x v="0"/>
    <m/>
    <n v="393.1"/>
    <n v="6"/>
    <n v="0"/>
    <x v="11"/>
    <n v="0"/>
    <n v="0"/>
    <m/>
    <x v="3"/>
  </r>
  <r>
    <n v="3139"/>
    <d v="2025-04-04T00:00:00"/>
    <n v="38"/>
    <s v="Female"/>
    <s v="South"/>
    <x v="1"/>
    <s v="CAMP2"/>
    <n v="377.5"/>
    <n v="5"/>
    <n v="0"/>
    <x v="11"/>
    <n v="0"/>
    <n v="0"/>
    <m/>
    <x v="3"/>
  </r>
  <r>
    <n v="137"/>
    <d v="2025-04-04T00:00:00"/>
    <n v="23"/>
    <s v="Female"/>
    <s v="North"/>
    <x v="1"/>
    <s v="CAMP6"/>
    <n v="233.1"/>
    <n v="6"/>
    <n v="0"/>
    <x v="11"/>
    <n v="0"/>
    <n v="0"/>
    <m/>
    <x v="3"/>
  </r>
  <r>
    <n v="2594"/>
    <d v="2025-04-04T00:00:00"/>
    <n v="42"/>
    <s v="Female"/>
    <s v="South"/>
    <x v="0"/>
    <m/>
    <n v="201.5"/>
    <n v="9"/>
    <n v="0"/>
    <x v="11"/>
    <n v="0"/>
    <n v="0"/>
    <m/>
    <x v="3"/>
  </r>
  <r>
    <n v="1501"/>
    <d v="2025-04-04T00:00:00"/>
    <n v="21"/>
    <s v="Male"/>
    <s v="East"/>
    <x v="1"/>
    <s v="CAMP6"/>
    <n v="157.30000000000001"/>
    <n v="3"/>
    <n v="0"/>
    <x v="11"/>
    <n v="0"/>
    <n v="0"/>
    <m/>
    <x v="3"/>
  </r>
  <r>
    <n v="1974"/>
    <d v="2025-04-04T00:00:00"/>
    <n v="28"/>
    <s v="Male"/>
    <s v="East"/>
    <x v="1"/>
    <s v="CAMP2"/>
    <n v="125.4"/>
    <n v="5"/>
    <n v="0"/>
    <x v="11"/>
    <n v="0"/>
    <n v="0"/>
    <m/>
    <x v="3"/>
  </r>
  <r>
    <n v="2246"/>
    <d v="2025-04-04T00:00:00"/>
    <n v="44"/>
    <s v="Male"/>
    <s v="East"/>
    <x v="0"/>
    <m/>
    <n v="114.2"/>
    <n v="5"/>
    <n v="0"/>
    <x v="11"/>
    <n v="0"/>
    <n v="0"/>
    <m/>
    <x v="3"/>
  </r>
  <r>
    <n v="1606"/>
    <d v="2025-04-04T00:00:00"/>
    <n v="27"/>
    <s v="Female"/>
    <s v="North"/>
    <x v="1"/>
    <s v="CAMP3"/>
    <n v="106.2"/>
    <n v="7"/>
    <n v="0"/>
    <x v="11"/>
    <n v="0"/>
    <n v="0"/>
    <m/>
    <x v="3"/>
  </r>
  <r>
    <n v="4517"/>
    <d v="2025-04-04T00:00:00"/>
    <n v="41"/>
    <s v="Female"/>
    <s v="East"/>
    <x v="1"/>
    <s v="CAMP7"/>
    <n v="83.4"/>
    <n v="4"/>
    <n v="0"/>
    <x v="11"/>
    <n v="0"/>
    <n v="0"/>
    <m/>
    <x v="3"/>
  </r>
  <r>
    <n v="2257"/>
    <d v="2025-04-04T00:00:00"/>
    <n v="33"/>
    <s v="Female"/>
    <s v="North"/>
    <x v="1"/>
    <s v="CAMP7"/>
    <n v="68.3"/>
    <n v="4"/>
    <n v="0"/>
    <x v="11"/>
    <n v="0"/>
    <n v="0"/>
    <m/>
    <x v="3"/>
  </r>
  <r>
    <n v="2867"/>
    <d v="2025-04-04T00:00:00"/>
    <n v="32"/>
    <s v="Male"/>
    <s v="North"/>
    <x v="3"/>
    <m/>
    <n v="54"/>
    <n v="10"/>
    <n v="0"/>
    <x v="11"/>
    <n v="0"/>
    <n v="0"/>
    <m/>
    <x v="3"/>
  </r>
  <r>
    <n v="4462"/>
    <d v="2025-04-04T00:00:00"/>
    <n v="48"/>
    <s v="Male"/>
    <s v="East"/>
    <x v="2"/>
    <m/>
    <n v="43.3"/>
    <n v="9"/>
    <n v="0"/>
    <x v="11"/>
    <n v="0"/>
    <n v="0"/>
    <m/>
    <x v="3"/>
  </r>
  <r>
    <n v="3180"/>
    <d v="2025-05-04T00:00:00"/>
    <n v="28"/>
    <s v="Female"/>
    <s v="South"/>
    <x v="3"/>
    <m/>
    <n v="538.79999999999995"/>
    <n v="5"/>
    <n v="1"/>
    <x v="225"/>
    <n v="4"/>
    <n v="6"/>
    <n v="4"/>
    <x v="4"/>
  </r>
  <r>
    <n v="505"/>
    <d v="2025-05-04T00:00:00"/>
    <n v="21"/>
    <s v="Male"/>
    <s v="East"/>
    <x v="1"/>
    <s v="CAMP5"/>
    <n v="502.7"/>
    <n v="5"/>
    <n v="1"/>
    <x v="226"/>
    <n v="2"/>
    <n v="6"/>
    <n v="4"/>
    <x v="4"/>
  </r>
  <r>
    <n v="2411"/>
    <d v="2025-05-04T00:00:00"/>
    <n v="24"/>
    <s v="Female"/>
    <s v="East"/>
    <x v="0"/>
    <m/>
    <n v="726.1"/>
    <n v="6"/>
    <n v="1"/>
    <x v="227"/>
    <n v="1"/>
    <n v="1"/>
    <n v="4"/>
    <x v="4"/>
  </r>
  <r>
    <n v="3840"/>
    <d v="2025-05-04T00:00:00"/>
    <n v="60"/>
    <s v="Female"/>
    <s v="West"/>
    <x v="1"/>
    <s v="CAMP4"/>
    <n v="86.2"/>
    <n v="6"/>
    <n v="1"/>
    <x v="228"/>
    <n v="5"/>
    <n v="3"/>
    <n v="4"/>
    <x v="4"/>
  </r>
  <r>
    <n v="2171"/>
    <d v="2025-05-04T00:00:00"/>
    <n v="39"/>
    <s v="Male"/>
    <s v="East"/>
    <x v="2"/>
    <m/>
    <n v="258.8"/>
    <n v="9"/>
    <n v="1"/>
    <x v="229"/>
    <n v="7"/>
    <n v="2"/>
    <n v="4"/>
    <x v="4"/>
  </r>
  <r>
    <n v="3270"/>
    <d v="2025-05-04T00:00:00"/>
    <n v="32"/>
    <s v="Other"/>
    <s v="North"/>
    <x v="1"/>
    <s v="CAMP4"/>
    <n v="301.3"/>
    <n v="7"/>
    <n v="1"/>
    <x v="230"/>
    <n v="3"/>
    <n v="15"/>
    <n v="4"/>
    <x v="4"/>
  </r>
  <r>
    <n v="987"/>
    <d v="2025-05-04T00:00:00"/>
    <n v="19"/>
    <s v="Male"/>
    <s v="North"/>
    <x v="2"/>
    <m/>
    <n v="585.9"/>
    <n v="1"/>
    <n v="1"/>
    <x v="231"/>
    <n v="3"/>
    <n v="1"/>
    <n v="5"/>
    <x v="4"/>
  </r>
  <r>
    <n v="4406"/>
    <d v="2025-05-04T00:00:00"/>
    <n v="53"/>
    <s v="Female"/>
    <s v="North"/>
    <x v="0"/>
    <m/>
    <n v="401"/>
    <n v="7"/>
    <n v="0"/>
    <x v="11"/>
    <n v="0"/>
    <n v="0"/>
    <m/>
    <x v="4"/>
  </r>
  <r>
    <n v="1777"/>
    <d v="2025-05-04T00:00:00"/>
    <n v="39"/>
    <s v="Male"/>
    <s v="South"/>
    <x v="1"/>
    <s v="CAMP1"/>
    <n v="351.5"/>
    <n v="7"/>
    <n v="0"/>
    <x v="11"/>
    <n v="0"/>
    <n v="0"/>
    <m/>
    <x v="4"/>
  </r>
  <r>
    <n v="1187"/>
    <d v="2025-05-04T00:00:00"/>
    <n v="26"/>
    <s v="Male"/>
    <s v="North"/>
    <x v="0"/>
    <m/>
    <n v="327.2"/>
    <n v="7"/>
    <n v="0"/>
    <x v="11"/>
    <n v="0"/>
    <n v="0"/>
    <m/>
    <x v="4"/>
  </r>
  <r>
    <n v="2334"/>
    <d v="2025-05-04T00:00:00"/>
    <n v="36"/>
    <s v="Female"/>
    <s v="East"/>
    <x v="3"/>
    <m/>
    <n v="288.10000000000002"/>
    <n v="2"/>
    <n v="0"/>
    <x v="11"/>
    <n v="0"/>
    <n v="0"/>
    <m/>
    <x v="4"/>
  </r>
  <r>
    <n v="1881"/>
    <d v="2025-05-04T00:00:00"/>
    <n v="26"/>
    <s v="Female"/>
    <s v="West"/>
    <x v="2"/>
    <m/>
    <n v="248.9"/>
    <n v="7"/>
    <n v="0"/>
    <x v="11"/>
    <n v="0"/>
    <n v="0"/>
    <m/>
    <x v="4"/>
  </r>
  <r>
    <n v="2628"/>
    <d v="2025-05-04T00:00:00"/>
    <n v="45"/>
    <s v="Female"/>
    <s v="East"/>
    <x v="2"/>
    <m/>
    <n v="168.1"/>
    <n v="4"/>
    <n v="0"/>
    <x v="11"/>
    <n v="0"/>
    <n v="0"/>
    <m/>
    <x v="4"/>
  </r>
  <r>
    <n v="4888"/>
    <d v="2025-05-04T00:00:00"/>
    <n v="38"/>
    <s v="Male"/>
    <s v="North"/>
    <x v="1"/>
    <s v="CAMP1"/>
    <n v="161.9"/>
    <n v="7"/>
    <n v="0"/>
    <x v="11"/>
    <n v="0"/>
    <n v="0"/>
    <m/>
    <x v="4"/>
  </r>
  <r>
    <n v="39"/>
    <d v="2025-05-04T00:00:00"/>
    <n v="32"/>
    <s v="Female"/>
    <s v="South"/>
    <x v="1"/>
    <s v="CAMP3"/>
    <n v="140"/>
    <n v="9"/>
    <n v="0"/>
    <x v="11"/>
    <n v="0"/>
    <n v="0"/>
    <m/>
    <x v="4"/>
  </r>
  <r>
    <n v="2390"/>
    <d v="2025-05-04T00:00:00"/>
    <n v="24"/>
    <s v="Male"/>
    <s v="East"/>
    <x v="2"/>
    <m/>
    <n v="139.5"/>
    <n v="11"/>
    <n v="0"/>
    <x v="11"/>
    <n v="0"/>
    <n v="0"/>
    <m/>
    <x v="4"/>
  </r>
  <r>
    <n v="1255"/>
    <d v="2025-05-04T00:00:00"/>
    <n v="30"/>
    <s v="Male"/>
    <s v="North"/>
    <x v="0"/>
    <m/>
    <n v="111.7"/>
    <n v="5"/>
    <n v="0"/>
    <x v="11"/>
    <n v="0"/>
    <n v="0"/>
    <m/>
    <x v="4"/>
  </r>
  <r>
    <n v="3929"/>
    <d v="2025-05-04T00:00:00"/>
    <n v="65"/>
    <s v="Male"/>
    <s v="West"/>
    <x v="3"/>
    <m/>
    <n v="100.4"/>
    <n v="5"/>
    <n v="0"/>
    <x v="11"/>
    <n v="0"/>
    <n v="0"/>
    <m/>
    <x v="4"/>
  </r>
  <r>
    <n v="2519"/>
    <d v="2025-05-04T00:00:00"/>
    <n v="32"/>
    <s v="Male"/>
    <s v="West"/>
    <x v="2"/>
    <m/>
    <n v="88.3"/>
    <n v="6"/>
    <n v="0"/>
    <x v="11"/>
    <n v="0"/>
    <n v="0"/>
    <m/>
    <x v="4"/>
  </r>
  <r>
    <n v="3023"/>
    <d v="2025-05-04T00:00:00"/>
    <n v="37"/>
    <s v="Other"/>
    <s v="North"/>
    <x v="1"/>
    <s v="CAMP2"/>
    <n v="65.3"/>
    <n v="5"/>
    <n v="0"/>
    <x v="11"/>
    <n v="0"/>
    <n v="0"/>
    <m/>
    <x v="4"/>
  </r>
  <r>
    <n v="352"/>
    <d v="2025-06-04T00:00:00"/>
    <n v="24"/>
    <s v="Female"/>
    <s v="East"/>
    <x v="1"/>
    <s v="CAMP5"/>
    <n v="626.5"/>
    <n v="4"/>
    <n v="1"/>
    <x v="232"/>
    <n v="4"/>
    <n v="1"/>
    <n v="4"/>
    <x v="5"/>
  </r>
  <r>
    <n v="2208"/>
    <d v="2025-06-04T00:00:00"/>
    <n v="37"/>
    <s v="Male"/>
    <s v="East"/>
    <x v="1"/>
    <s v="CAMP2"/>
    <n v="580.70000000000005"/>
    <n v="7"/>
    <n v="1"/>
    <x v="233"/>
    <n v="3"/>
    <n v="4"/>
    <n v="5"/>
    <x v="5"/>
  </r>
  <r>
    <n v="3584"/>
    <d v="2025-06-04T00:00:00"/>
    <n v="29"/>
    <s v="Female"/>
    <s v="South"/>
    <x v="3"/>
    <m/>
    <n v="146.80000000000001"/>
    <n v="7"/>
    <n v="1"/>
    <x v="22"/>
    <n v="3"/>
    <n v="15"/>
    <n v="3"/>
    <x v="5"/>
  </r>
  <r>
    <n v="2140"/>
    <d v="2025-06-04T00:00:00"/>
    <n v="38"/>
    <s v="Male"/>
    <s v="West"/>
    <x v="0"/>
    <m/>
    <n v="356.3"/>
    <n v="7"/>
    <n v="1"/>
    <x v="234"/>
    <n v="4"/>
    <n v="2"/>
    <n v="3"/>
    <x v="5"/>
  </r>
  <r>
    <n v="4621"/>
    <d v="2025-06-04T00:00:00"/>
    <n v="59"/>
    <s v="Female"/>
    <s v="West"/>
    <x v="2"/>
    <m/>
    <n v="370.4"/>
    <n v="5"/>
    <n v="1"/>
    <x v="235"/>
    <n v="2"/>
    <n v="11"/>
    <n v="4"/>
    <x v="5"/>
  </r>
  <r>
    <n v="4767"/>
    <d v="2025-06-04T00:00:00"/>
    <n v="64"/>
    <s v="Female"/>
    <s v="South"/>
    <x v="3"/>
    <m/>
    <n v="495.2"/>
    <n v="10"/>
    <n v="1"/>
    <x v="236"/>
    <n v="2"/>
    <n v="9"/>
    <n v="4"/>
    <x v="5"/>
  </r>
  <r>
    <n v="2174"/>
    <d v="2025-06-04T00:00:00"/>
    <n v="27"/>
    <s v="Male"/>
    <s v="West"/>
    <x v="0"/>
    <m/>
    <n v="266.7"/>
    <n v="18"/>
    <n v="1"/>
    <x v="237"/>
    <n v="3"/>
    <n v="4"/>
    <n v="3"/>
    <x v="5"/>
  </r>
  <r>
    <n v="4643"/>
    <d v="2025-06-04T00:00:00"/>
    <n v="47"/>
    <s v="Female"/>
    <s v="West"/>
    <x v="0"/>
    <m/>
    <n v="98.3"/>
    <n v="3"/>
    <n v="1"/>
    <x v="238"/>
    <n v="2"/>
    <n v="13"/>
    <n v="3"/>
    <x v="5"/>
  </r>
  <r>
    <n v="2382"/>
    <d v="2025-06-04T00:00:00"/>
    <n v="45"/>
    <s v="Female"/>
    <s v="East"/>
    <x v="0"/>
    <m/>
    <n v="461.6"/>
    <n v="3"/>
    <n v="0"/>
    <x v="11"/>
    <n v="0"/>
    <n v="0"/>
    <m/>
    <x v="5"/>
  </r>
  <r>
    <n v="2107"/>
    <d v="2025-06-04T00:00:00"/>
    <n v="24"/>
    <s v="Male"/>
    <s v="South"/>
    <x v="0"/>
    <m/>
    <n v="460.9"/>
    <n v="3"/>
    <n v="0"/>
    <x v="11"/>
    <n v="0"/>
    <n v="0"/>
    <m/>
    <x v="5"/>
  </r>
  <r>
    <n v="3207"/>
    <d v="2025-06-04T00:00:00"/>
    <n v="46"/>
    <s v="Female"/>
    <s v="West"/>
    <x v="0"/>
    <m/>
    <n v="425.1"/>
    <n v="6"/>
    <n v="0"/>
    <x v="11"/>
    <n v="0"/>
    <n v="0"/>
    <m/>
    <x v="5"/>
  </r>
  <r>
    <n v="4620"/>
    <d v="2025-06-04T00:00:00"/>
    <n v="57"/>
    <s v="Male"/>
    <s v="East"/>
    <x v="0"/>
    <m/>
    <n v="403.3"/>
    <n v="7"/>
    <n v="0"/>
    <x v="11"/>
    <n v="0"/>
    <n v="0"/>
    <m/>
    <x v="5"/>
  </r>
  <r>
    <n v="2045"/>
    <d v="2025-06-04T00:00:00"/>
    <n v="29"/>
    <s v="Male"/>
    <s v="West"/>
    <x v="0"/>
    <m/>
    <n v="356.4"/>
    <n v="8"/>
    <n v="0"/>
    <x v="11"/>
    <n v="0"/>
    <n v="0"/>
    <m/>
    <x v="5"/>
  </r>
  <r>
    <n v="2245"/>
    <d v="2025-06-04T00:00:00"/>
    <n v="38"/>
    <s v="Male"/>
    <s v="East"/>
    <x v="2"/>
    <m/>
    <n v="334.3"/>
    <n v="8"/>
    <n v="0"/>
    <x v="11"/>
    <n v="0"/>
    <n v="0"/>
    <m/>
    <x v="5"/>
  </r>
  <r>
    <n v="128"/>
    <d v="2025-06-04T00:00:00"/>
    <n v="30"/>
    <s v="Female"/>
    <s v="South"/>
    <x v="0"/>
    <m/>
    <n v="319.89999999999998"/>
    <n v="5"/>
    <n v="0"/>
    <x v="11"/>
    <n v="0"/>
    <n v="0"/>
    <m/>
    <x v="5"/>
  </r>
  <r>
    <n v="3407"/>
    <d v="2025-06-04T00:00:00"/>
    <n v="28"/>
    <s v="Female"/>
    <s v="East"/>
    <x v="2"/>
    <m/>
    <n v="276.89999999999998"/>
    <n v="8"/>
    <n v="0"/>
    <x v="11"/>
    <n v="0"/>
    <n v="0"/>
    <m/>
    <x v="5"/>
  </r>
  <r>
    <n v="4810"/>
    <d v="2025-06-04T00:00:00"/>
    <n v="55"/>
    <s v="Female"/>
    <s v="North"/>
    <x v="0"/>
    <m/>
    <n v="239.5"/>
    <n v="3"/>
    <n v="0"/>
    <x v="11"/>
    <n v="0"/>
    <n v="0"/>
    <m/>
    <x v="5"/>
  </r>
  <r>
    <n v="2965"/>
    <d v="2025-06-04T00:00:00"/>
    <n v="26"/>
    <s v="Male"/>
    <s v="East"/>
    <x v="0"/>
    <m/>
    <n v="133.4"/>
    <n v="4"/>
    <n v="0"/>
    <x v="11"/>
    <n v="0"/>
    <n v="0"/>
    <m/>
    <x v="5"/>
  </r>
  <r>
    <n v="397"/>
    <d v="2025-06-04T00:00:00"/>
    <n v="18"/>
    <s v="Male"/>
    <s v="South"/>
    <x v="0"/>
    <m/>
    <n v="123.8"/>
    <n v="7"/>
    <n v="0"/>
    <x v="11"/>
    <n v="0"/>
    <n v="0"/>
    <m/>
    <x v="5"/>
  </r>
  <r>
    <n v="3204"/>
    <d v="2025-06-04T00:00:00"/>
    <n v="39"/>
    <s v="Male"/>
    <s v="East"/>
    <x v="1"/>
    <s v="CAMP6"/>
    <n v="123.6"/>
    <n v="7"/>
    <n v="0"/>
    <x v="11"/>
    <n v="0"/>
    <n v="0"/>
    <m/>
    <x v="5"/>
  </r>
  <r>
    <n v="892"/>
    <d v="2025-06-04T00:00:00"/>
    <n v="28"/>
    <s v="Other"/>
    <s v="North"/>
    <x v="1"/>
    <s v="CAMP5"/>
    <n v="117.4"/>
    <n v="7"/>
    <n v="0"/>
    <x v="11"/>
    <n v="0"/>
    <n v="0"/>
    <m/>
    <x v="5"/>
  </r>
  <r>
    <n v="1272"/>
    <d v="2025-06-04T00:00:00"/>
    <n v="27"/>
    <s v="Male"/>
    <s v="North"/>
    <x v="0"/>
    <m/>
    <n v="99.2"/>
    <n v="3"/>
    <n v="0"/>
    <x v="11"/>
    <n v="0"/>
    <n v="0"/>
    <m/>
    <x v="5"/>
  </r>
  <r>
    <n v="4570"/>
    <d v="2025-06-04T00:00:00"/>
    <n v="56"/>
    <s v="Female"/>
    <s v="East"/>
    <x v="0"/>
    <m/>
    <n v="73.900000000000006"/>
    <n v="4"/>
    <n v="0"/>
    <x v="11"/>
    <n v="0"/>
    <n v="0"/>
    <m/>
    <x v="5"/>
  </r>
  <r>
    <n v="3669"/>
    <d v="2025-01-05T00:00:00"/>
    <n v="37"/>
    <s v="Female"/>
    <s v="East"/>
    <x v="1"/>
    <s v="CAMP5"/>
    <n v="253.2"/>
    <n v="6"/>
    <n v="1"/>
    <x v="239"/>
    <n v="7"/>
    <n v="11"/>
    <n v="5"/>
    <x v="0"/>
  </r>
  <r>
    <n v="2976"/>
    <d v="2025-01-05T00:00:00"/>
    <n v="55"/>
    <s v="Male"/>
    <s v="East"/>
    <x v="1"/>
    <s v="CAMP5"/>
    <n v="135.4"/>
    <n v="3"/>
    <n v="1"/>
    <x v="240"/>
    <n v="2"/>
    <n v="11"/>
    <n v="4"/>
    <x v="0"/>
  </r>
  <r>
    <n v="2398"/>
    <d v="2025-01-05T00:00:00"/>
    <n v="35"/>
    <s v="Male"/>
    <s v="West"/>
    <x v="0"/>
    <m/>
    <n v="644.4"/>
    <n v="3"/>
    <n v="1"/>
    <x v="241"/>
    <n v="2"/>
    <n v="14"/>
    <n v="4"/>
    <x v="0"/>
  </r>
  <r>
    <n v="4197"/>
    <d v="2025-01-05T00:00:00"/>
    <n v="34"/>
    <s v="Male"/>
    <s v="West"/>
    <x v="0"/>
    <m/>
    <n v="279.2"/>
    <n v="3"/>
    <n v="1"/>
    <x v="242"/>
    <n v="2"/>
    <n v="14"/>
    <n v="4"/>
    <x v="0"/>
  </r>
  <r>
    <n v="2414"/>
    <d v="2025-01-05T00:00:00"/>
    <n v="33"/>
    <s v="Male"/>
    <s v="West"/>
    <x v="3"/>
    <m/>
    <n v="366.8"/>
    <n v="8"/>
    <n v="1"/>
    <x v="243"/>
    <n v="5"/>
    <n v="9"/>
    <n v="4"/>
    <x v="0"/>
  </r>
  <r>
    <n v="2422"/>
    <d v="2025-01-05T00:00:00"/>
    <n v="40"/>
    <s v="Female"/>
    <s v="West"/>
    <x v="0"/>
    <m/>
    <n v="279.5"/>
    <n v="3"/>
    <n v="1"/>
    <x v="244"/>
    <n v="1"/>
    <n v="15"/>
    <n v="4"/>
    <x v="0"/>
  </r>
  <r>
    <n v="357"/>
    <d v="2025-01-05T00:00:00"/>
    <n v="20"/>
    <s v="Female"/>
    <s v="North"/>
    <x v="3"/>
    <m/>
    <n v="335.3"/>
    <n v="6"/>
    <n v="1"/>
    <x v="245"/>
    <n v="1"/>
    <n v="3"/>
    <n v="5"/>
    <x v="0"/>
  </r>
  <r>
    <n v="902"/>
    <d v="2025-01-05T00:00:00"/>
    <n v="24"/>
    <s v="Female"/>
    <s v="East"/>
    <x v="1"/>
    <s v="CAMP1"/>
    <n v="304.7"/>
    <n v="3"/>
    <n v="1"/>
    <x v="246"/>
    <n v="3"/>
    <n v="14"/>
    <n v="4"/>
    <x v="0"/>
  </r>
  <r>
    <n v="1048"/>
    <d v="2025-01-05T00:00:00"/>
    <n v="37"/>
    <s v="Female"/>
    <s v="North"/>
    <x v="1"/>
    <s v="CAMP4"/>
    <n v="590.6"/>
    <n v="5"/>
    <n v="1"/>
    <x v="247"/>
    <n v="3"/>
    <n v="4"/>
    <n v="5"/>
    <x v="0"/>
  </r>
  <r>
    <n v="516"/>
    <d v="2025-01-05T00:00:00"/>
    <n v="18"/>
    <s v="Female"/>
    <s v="East"/>
    <x v="0"/>
    <m/>
    <n v="910.2"/>
    <n v="2"/>
    <n v="1"/>
    <x v="248"/>
    <n v="4"/>
    <n v="15"/>
    <n v="4"/>
    <x v="0"/>
  </r>
  <r>
    <n v="378"/>
    <d v="2025-01-05T00:00:00"/>
    <n v="23"/>
    <s v="Male"/>
    <s v="North"/>
    <x v="3"/>
    <m/>
    <n v="306.89999999999998"/>
    <n v="9"/>
    <n v="1"/>
    <x v="249"/>
    <n v="3"/>
    <n v="13"/>
    <n v="4"/>
    <x v="0"/>
  </r>
  <r>
    <n v="3951"/>
    <d v="2025-01-05T00:00:00"/>
    <n v="38"/>
    <s v="Male"/>
    <s v="East"/>
    <x v="0"/>
    <m/>
    <n v="507.1"/>
    <n v="6"/>
    <n v="1"/>
    <x v="250"/>
    <n v="5"/>
    <n v="11"/>
    <n v="4"/>
    <x v="0"/>
  </r>
  <r>
    <n v="3926"/>
    <d v="2025-01-05T00:00:00"/>
    <n v="58"/>
    <s v="Male"/>
    <s v="North"/>
    <x v="1"/>
    <s v="CAMP2"/>
    <n v="588.79999999999995"/>
    <n v="5"/>
    <n v="1"/>
    <x v="251"/>
    <n v="1"/>
    <n v="13"/>
    <n v="3"/>
    <x v="0"/>
  </r>
  <r>
    <n v="3413"/>
    <d v="2025-01-05T00:00:00"/>
    <n v="45"/>
    <s v="Female"/>
    <s v="South"/>
    <x v="3"/>
    <m/>
    <n v="803.7"/>
    <n v="8"/>
    <n v="0"/>
    <x v="11"/>
    <n v="0"/>
    <n v="0"/>
    <m/>
    <x v="0"/>
  </r>
  <r>
    <n v="99"/>
    <d v="2025-01-05T00:00:00"/>
    <n v="26"/>
    <s v="Female"/>
    <s v="East"/>
    <x v="3"/>
    <m/>
    <n v="726.3"/>
    <n v="3"/>
    <n v="0"/>
    <x v="11"/>
    <n v="0"/>
    <n v="0"/>
    <m/>
    <x v="0"/>
  </r>
  <r>
    <n v="2720"/>
    <d v="2025-01-05T00:00:00"/>
    <n v="30"/>
    <s v="Male"/>
    <s v="South"/>
    <x v="0"/>
    <m/>
    <n v="721.6"/>
    <n v="7"/>
    <n v="0"/>
    <x v="11"/>
    <n v="0"/>
    <n v="0"/>
    <m/>
    <x v="0"/>
  </r>
  <r>
    <n v="4418"/>
    <d v="2025-01-05T00:00:00"/>
    <n v="44"/>
    <s v="Male"/>
    <s v="North"/>
    <x v="3"/>
    <m/>
    <n v="428"/>
    <n v="6"/>
    <n v="0"/>
    <x v="11"/>
    <n v="0"/>
    <n v="0"/>
    <m/>
    <x v="0"/>
  </r>
  <r>
    <n v="4487"/>
    <d v="2025-01-05T00:00:00"/>
    <n v="32"/>
    <s v="Female"/>
    <s v="South"/>
    <x v="1"/>
    <s v="CAMP7"/>
    <n v="342.4"/>
    <n v="3"/>
    <n v="0"/>
    <x v="11"/>
    <n v="0"/>
    <n v="0"/>
    <m/>
    <x v="0"/>
  </r>
  <r>
    <n v="313"/>
    <d v="2025-01-05T00:00:00"/>
    <n v="26"/>
    <s v="Male"/>
    <s v="South"/>
    <x v="0"/>
    <m/>
    <n v="340.9"/>
    <n v="3"/>
    <n v="0"/>
    <x v="11"/>
    <n v="0"/>
    <n v="0"/>
    <m/>
    <x v="0"/>
  </r>
  <r>
    <n v="1503"/>
    <d v="2025-01-05T00:00:00"/>
    <n v="29"/>
    <s v="Female"/>
    <s v="North"/>
    <x v="0"/>
    <m/>
    <n v="322.3"/>
    <n v="5"/>
    <n v="0"/>
    <x v="11"/>
    <n v="0"/>
    <n v="0"/>
    <m/>
    <x v="0"/>
  </r>
  <r>
    <n v="875"/>
    <d v="2025-01-05T00:00:00"/>
    <n v="32"/>
    <s v="Female"/>
    <s v="North"/>
    <x v="0"/>
    <m/>
    <n v="301.3"/>
    <n v="5"/>
    <n v="0"/>
    <x v="11"/>
    <n v="0"/>
    <n v="0"/>
    <m/>
    <x v="0"/>
  </r>
  <r>
    <n v="926"/>
    <d v="2025-01-05T00:00:00"/>
    <n v="25"/>
    <s v="Male"/>
    <s v="East"/>
    <x v="3"/>
    <m/>
    <n v="285.10000000000002"/>
    <n v="5"/>
    <n v="0"/>
    <x v="11"/>
    <n v="0"/>
    <n v="0"/>
    <m/>
    <x v="0"/>
  </r>
  <r>
    <n v="1202"/>
    <d v="2025-01-05T00:00:00"/>
    <n v="23"/>
    <s v="Male"/>
    <s v="West"/>
    <x v="0"/>
    <m/>
    <n v="250.1"/>
    <n v="5"/>
    <n v="0"/>
    <x v="11"/>
    <n v="0"/>
    <n v="0"/>
    <m/>
    <x v="0"/>
  </r>
  <r>
    <n v="879"/>
    <d v="2025-01-05T00:00:00"/>
    <n v="24"/>
    <s v="Male"/>
    <s v="East"/>
    <x v="0"/>
    <m/>
    <n v="243.4"/>
    <n v="6"/>
    <n v="0"/>
    <x v="11"/>
    <n v="0"/>
    <n v="0"/>
    <m/>
    <x v="0"/>
  </r>
  <r>
    <n v="238"/>
    <d v="2025-01-05T00:00:00"/>
    <n v="23"/>
    <s v="Female"/>
    <s v="East"/>
    <x v="0"/>
    <m/>
    <n v="224.1"/>
    <n v="4"/>
    <n v="0"/>
    <x v="11"/>
    <n v="0"/>
    <n v="0"/>
    <m/>
    <x v="0"/>
  </r>
  <r>
    <n v="2081"/>
    <d v="2025-01-05T00:00:00"/>
    <n v="55"/>
    <s v="Male"/>
    <s v="West"/>
    <x v="1"/>
    <s v="CAMP1"/>
    <n v="186.5"/>
    <n v="3"/>
    <n v="0"/>
    <x v="11"/>
    <n v="0"/>
    <n v="0"/>
    <m/>
    <x v="0"/>
  </r>
  <r>
    <n v="1970"/>
    <d v="2025-01-05T00:00:00"/>
    <n v="34"/>
    <s v="Male"/>
    <s v="South"/>
    <x v="0"/>
    <m/>
    <n v="177.1"/>
    <n v="1"/>
    <n v="0"/>
    <x v="11"/>
    <n v="0"/>
    <n v="0"/>
    <m/>
    <x v="0"/>
  </r>
  <r>
    <n v="1697"/>
    <d v="2025-01-05T00:00:00"/>
    <n v="23"/>
    <s v="Male"/>
    <s v="South"/>
    <x v="0"/>
    <m/>
    <n v="146.6"/>
    <n v="13"/>
    <n v="0"/>
    <x v="11"/>
    <n v="0"/>
    <n v="0"/>
    <m/>
    <x v="0"/>
  </r>
  <r>
    <n v="1577"/>
    <d v="2025-01-05T00:00:00"/>
    <n v="19"/>
    <s v="Female"/>
    <s v="East"/>
    <x v="0"/>
    <m/>
    <n v="94.9"/>
    <n v="1"/>
    <n v="0"/>
    <x v="11"/>
    <n v="0"/>
    <n v="0"/>
    <m/>
    <x v="0"/>
  </r>
  <r>
    <n v="4520"/>
    <d v="2025-01-05T00:00:00"/>
    <n v="28"/>
    <s v="Female"/>
    <s v="West"/>
    <x v="1"/>
    <s v="CAMP3"/>
    <n v="92.7"/>
    <n v="9"/>
    <n v="0"/>
    <x v="11"/>
    <n v="0"/>
    <n v="0"/>
    <m/>
    <x v="0"/>
  </r>
  <r>
    <n v="4508"/>
    <d v="2025-01-05T00:00:00"/>
    <n v="53"/>
    <s v="Male"/>
    <s v="West"/>
    <x v="0"/>
    <m/>
    <n v="65"/>
    <n v="7"/>
    <n v="0"/>
    <x v="11"/>
    <n v="0"/>
    <n v="0"/>
    <m/>
    <x v="0"/>
  </r>
  <r>
    <n v="1971"/>
    <d v="2025-01-05T00:00:00"/>
    <n v="45"/>
    <s v="Female"/>
    <s v="South"/>
    <x v="1"/>
    <s v="CAMP3"/>
    <n v="63.5"/>
    <n v="5"/>
    <n v="0"/>
    <x v="11"/>
    <n v="0"/>
    <n v="0"/>
    <m/>
    <x v="0"/>
  </r>
  <r>
    <n v="4889"/>
    <d v="2025-01-05T00:00:00"/>
    <n v="46"/>
    <s v="Female"/>
    <s v="South"/>
    <x v="3"/>
    <m/>
    <n v="47.7"/>
    <n v="9"/>
    <n v="0"/>
    <x v="11"/>
    <n v="0"/>
    <n v="0"/>
    <m/>
    <x v="0"/>
  </r>
  <r>
    <n v="1337"/>
    <d v="2025-02-05T00:00:00"/>
    <n v="21"/>
    <s v="Female"/>
    <s v="North"/>
    <x v="0"/>
    <m/>
    <n v="181.4"/>
    <n v="6"/>
    <n v="1"/>
    <x v="252"/>
    <n v="5"/>
    <n v="15"/>
    <n v="4"/>
    <x v="1"/>
  </r>
  <r>
    <n v="4202"/>
    <d v="2025-02-05T00:00:00"/>
    <n v="45"/>
    <s v="Female"/>
    <s v="East"/>
    <x v="0"/>
    <m/>
    <n v="447.9"/>
    <n v="5"/>
    <n v="1"/>
    <x v="253"/>
    <n v="2"/>
    <n v="13"/>
    <n v="4"/>
    <x v="1"/>
  </r>
  <r>
    <n v="3577"/>
    <d v="2025-02-05T00:00:00"/>
    <n v="18"/>
    <s v="Male"/>
    <s v="West"/>
    <x v="0"/>
    <m/>
    <n v="185.9"/>
    <n v="6"/>
    <n v="1"/>
    <x v="254"/>
    <n v="3"/>
    <n v="10"/>
    <n v="4"/>
    <x v="1"/>
  </r>
  <r>
    <n v="4601"/>
    <d v="2025-02-05T00:00:00"/>
    <n v="43"/>
    <s v="Male"/>
    <s v="North"/>
    <x v="0"/>
    <m/>
    <n v="816.2"/>
    <n v="2"/>
    <n v="1"/>
    <x v="255"/>
    <n v="2"/>
    <n v="7"/>
    <n v="4"/>
    <x v="1"/>
  </r>
  <r>
    <n v="3590"/>
    <d v="2025-02-05T00:00:00"/>
    <n v="40"/>
    <s v="Female"/>
    <s v="North"/>
    <x v="0"/>
    <m/>
    <n v="455.5"/>
    <n v="4"/>
    <n v="1"/>
    <x v="256"/>
    <n v="3"/>
    <n v="14"/>
    <n v="4"/>
    <x v="1"/>
  </r>
  <r>
    <n v="2961"/>
    <d v="2025-02-05T00:00:00"/>
    <n v="38"/>
    <s v="Female"/>
    <s v="East"/>
    <x v="1"/>
    <s v="CAMP6"/>
    <n v="1320.2"/>
    <n v="3"/>
    <n v="1"/>
    <x v="257"/>
    <n v="1"/>
    <n v="10"/>
    <n v="4"/>
    <x v="1"/>
  </r>
  <r>
    <n v="27"/>
    <d v="2025-02-05T00:00:00"/>
    <n v="35"/>
    <s v="Male"/>
    <s v="East"/>
    <x v="3"/>
    <m/>
    <n v="170.6"/>
    <n v="8"/>
    <n v="1"/>
    <x v="258"/>
    <n v="8"/>
    <n v="14"/>
    <n v="4"/>
    <x v="1"/>
  </r>
  <r>
    <n v="4519"/>
    <d v="2025-02-05T00:00:00"/>
    <n v="42"/>
    <s v="Female"/>
    <s v="North"/>
    <x v="3"/>
    <m/>
    <n v="971"/>
    <n v="4"/>
    <n v="0"/>
    <x v="11"/>
    <n v="0"/>
    <n v="0"/>
    <m/>
    <x v="1"/>
  </r>
  <r>
    <n v="369"/>
    <d v="2025-02-05T00:00:00"/>
    <n v="25"/>
    <s v="Male"/>
    <s v="East"/>
    <x v="2"/>
    <m/>
    <n v="642.1"/>
    <n v="3"/>
    <n v="0"/>
    <x v="11"/>
    <n v="0"/>
    <n v="0"/>
    <m/>
    <x v="1"/>
  </r>
  <r>
    <n v="4708"/>
    <d v="2025-02-05T00:00:00"/>
    <n v="39"/>
    <s v="Female"/>
    <s v="East"/>
    <x v="3"/>
    <m/>
    <n v="629.79999999999995"/>
    <n v="2"/>
    <n v="0"/>
    <x v="11"/>
    <n v="0"/>
    <n v="0"/>
    <m/>
    <x v="1"/>
  </r>
  <r>
    <n v="2290"/>
    <d v="2025-02-05T00:00:00"/>
    <n v="32"/>
    <s v="Female"/>
    <s v="North"/>
    <x v="1"/>
    <s v="CAMP6"/>
    <n v="611"/>
    <n v="8"/>
    <n v="0"/>
    <x v="11"/>
    <n v="0"/>
    <n v="0"/>
    <m/>
    <x v="1"/>
  </r>
  <r>
    <n v="2448"/>
    <d v="2025-02-05T00:00:00"/>
    <n v="41"/>
    <s v="Male"/>
    <s v="West"/>
    <x v="0"/>
    <m/>
    <n v="558"/>
    <n v="6"/>
    <n v="0"/>
    <x v="11"/>
    <n v="0"/>
    <n v="0"/>
    <m/>
    <x v="1"/>
  </r>
  <r>
    <n v="235"/>
    <d v="2025-02-05T00:00:00"/>
    <n v="25"/>
    <s v="Female"/>
    <s v="East"/>
    <x v="0"/>
    <m/>
    <n v="382"/>
    <n v="7"/>
    <n v="0"/>
    <x v="11"/>
    <n v="0"/>
    <n v="0"/>
    <m/>
    <x v="1"/>
  </r>
  <r>
    <n v="2743"/>
    <d v="2025-02-05T00:00:00"/>
    <n v="35"/>
    <s v="Female"/>
    <s v="North"/>
    <x v="0"/>
    <m/>
    <n v="367.3"/>
    <n v="3"/>
    <n v="0"/>
    <x v="11"/>
    <n v="0"/>
    <n v="0"/>
    <m/>
    <x v="1"/>
  </r>
  <r>
    <n v="4820"/>
    <d v="2025-02-05T00:00:00"/>
    <n v="37"/>
    <s v="Male"/>
    <s v="North"/>
    <x v="0"/>
    <m/>
    <n v="355"/>
    <n v="8"/>
    <n v="0"/>
    <x v="11"/>
    <n v="0"/>
    <n v="0"/>
    <m/>
    <x v="1"/>
  </r>
  <r>
    <n v="3031"/>
    <d v="2025-02-05T00:00:00"/>
    <n v="50"/>
    <s v="Male"/>
    <s v="North"/>
    <x v="3"/>
    <m/>
    <n v="270.3"/>
    <n v="6"/>
    <n v="0"/>
    <x v="11"/>
    <n v="0"/>
    <n v="0"/>
    <m/>
    <x v="1"/>
  </r>
  <r>
    <n v="1848"/>
    <d v="2025-02-05T00:00:00"/>
    <n v="36"/>
    <s v="Female"/>
    <s v="South"/>
    <x v="1"/>
    <s v="CAMP3"/>
    <n v="245.5"/>
    <n v="7"/>
    <n v="0"/>
    <x v="11"/>
    <n v="0"/>
    <n v="0"/>
    <m/>
    <x v="1"/>
  </r>
  <r>
    <n v="58"/>
    <d v="2025-02-05T00:00:00"/>
    <n v="27"/>
    <s v="Male"/>
    <s v="West"/>
    <x v="2"/>
    <m/>
    <n v="237.5"/>
    <n v="4"/>
    <n v="0"/>
    <x v="11"/>
    <n v="0"/>
    <n v="0"/>
    <m/>
    <x v="1"/>
  </r>
  <r>
    <n v="72"/>
    <d v="2025-02-05T00:00:00"/>
    <n v="26"/>
    <s v="Female"/>
    <s v="North"/>
    <x v="3"/>
    <m/>
    <n v="216.4"/>
    <n v="10"/>
    <n v="0"/>
    <x v="11"/>
    <n v="0"/>
    <n v="0"/>
    <m/>
    <x v="1"/>
  </r>
  <r>
    <n v="1515"/>
    <d v="2025-02-05T00:00:00"/>
    <n v="22"/>
    <s v="Female"/>
    <s v="North"/>
    <x v="0"/>
    <m/>
    <n v="209.3"/>
    <n v="8"/>
    <n v="0"/>
    <x v="11"/>
    <n v="0"/>
    <n v="0"/>
    <m/>
    <x v="1"/>
  </r>
  <r>
    <n v="1738"/>
    <d v="2025-02-05T00:00:00"/>
    <n v="23"/>
    <s v="Male"/>
    <s v="South"/>
    <x v="0"/>
    <m/>
    <n v="141.30000000000001"/>
    <n v="2"/>
    <n v="0"/>
    <x v="11"/>
    <n v="0"/>
    <n v="0"/>
    <m/>
    <x v="1"/>
  </r>
  <r>
    <n v="4914"/>
    <d v="2025-02-05T00:00:00"/>
    <n v="43"/>
    <s v="Female"/>
    <s v="North"/>
    <x v="3"/>
    <m/>
    <n v="138.80000000000001"/>
    <n v="5"/>
    <n v="0"/>
    <x v="11"/>
    <n v="0"/>
    <n v="0"/>
    <m/>
    <x v="1"/>
  </r>
  <r>
    <n v="2674"/>
    <d v="2025-02-05T00:00:00"/>
    <n v="35"/>
    <s v="Male"/>
    <s v="North"/>
    <x v="2"/>
    <m/>
    <n v="130.30000000000001"/>
    <n v="7"/>
    <n v="0"/>
    <x v="11"/>
    <n v="0"/>
    <n v="0"/>
    <m/>
    <x v="1"/>
  </r>
  <r>
    <n v="3499"/>
    <d v="2025-02-05T00:00:00"/>
    <n v="49"/>
    <s v="Male"/>
    <s v="South"/>
    <x v="0"/>
    <m/>
    <n v="128.69999999999999"/>
    <n v="12"/>
    <n v="0"/>
    <x v="11"/>
    <n v="0"/>
    <n v="0"/>
    <m/>
    <x v="1"/>
  </r>
  <r>
    <n v="4873"/>
    <d v="2025-02-05T00:00:00"/>
    <n v="53"/>
    <s v="Other"/>
    <s v="West"/>
    <x v="0"/>
    <m/>
    <n v="127"/>
    <n v="7"/>
    <n v="0"/>
    <x v="11"/>
    <n v="0"/>
    <n v="0"/>
    <m/>
    <x v="1"/>
  </r>
  <r>
    <n v="2031"/>
    <d v="2025-02-05T00:00:00"/>
    <n v="40"/>
    <s v="Female"/>
    <s v="East"/>
    <x v="0"/>
    <m/>
    <n v="124.7"/>
    <n v="5"/>
    <n v="0"/>
    <x v="11"/>
    <n v="0"/>
    <n v="0"/>
    <m/>
    <x v="1"/>
  </r>
  <r>
    <n v="3115"/>
    <d v="2025-02-05T00:00:00"/>
    <n v="33"/>
    <s v="Female"/>
    <s v="South"/>
    <x v="1"/>
    <s v="CAMP3"/>
    <n v="108.7"/>
    <n v="4"/>
    <n v="0"/>
    <x v="11"/>
    <n v="0"/>
    <n v="0"/>
    <m/>
    <x v="1"/>
  </r>
  <r>
    <n v="3334"/>
    <d v="2025-02-05T00:00:00"/>
    <n v="29"/>
    <s v="Female"/>
    <s v="East"/>
    <x v="0"/>
    <m/>
    <n v="77.599999999999994"/>
    <n v="6"/>
    <n v="0"/>
    <x v="11"/>
    <n v="0"/>
    <n v="0"/>
    <m/>
    <x v="1"/>
  </r>
  <r>
    <n v="4532"/>
    <d v="2025-02-05T00:00:00"/>
    <n v="44"/>
    <s v="Female"/>
    <s v="West"/>
    <x v="3"/>
    <m/>
    <n v="33.200000000000003"/>
    <n v="8"/>
    <n v="0"/>
    <x v="11"/>
    <n v="0"/>
    <n v="0"/>
    <m/>
    <x v="1"/>
  </r>
  <r>
    <n v="2788"/>
    <d v="2025-02-05T00:00:00"/>
    <n v="49"/>
    <s v="Male"/>
    <s v="East"/>
    <x v="1"/>
    <s v="CAMP7"/>
    <n v="9"/>
    <n v="10"/>
    <n v="0"/>
    <x v="11"/>
    <n v="0"/>
    <n v="0"/>
    <m/>
    <x v="1"/>
  </r>
  <r>
    <n v="1604"/>
    <d v="2025-03-05T00:00:00"/>
    <n v="18"/>
    <s v="Male"/>
    <s v="East"/>
    <x v="0"/>
    <m/>
    <n v="877.4"/>
    <n v="5"/>
    <n v="1"/>
    <x v="259"/>
    <n v="4"/>
    <n v="9"/>
    <n v="4"/>
    <x v="2"/>
  </r>
  <r>
    <n v="1523"/>
    <d v="2025-03-05T00:00:00"/>
    <n v="18"/>
    <s v="Male"/>
    <s v="West"/>
    <x v="3"/>
    <m/>
    <n v="148.5"/>
    <n v="9"/>
    <n v="1"/>
    <x v="260"/>
    <n v="4"/>
    <n v="5"/>
    <n v="5"/>
    <x v="2"/>
  </r>
  <r>
    <n v="1056"/>
    <d v="2025-03-05T00:00:00"/>
    <n v="41"/>
    <s v="Female"/>
    <s v="South"/>
    <x v="0"/>
    <m/>
    <n v="114"/>
    <n v="8"/>
    <n v="1"/>
    <x v="261"/>
    <n v="3"/>
    <n v="2"/>
    <n v="4"/>
    <x v="2"/>
  </r>
  <r>
    <n v="2344"/>
    <d v="2025-03-05T00:00:00"/>
    <n v="30"/>
    <s v="Female"/>
    <s v="East"/>
    <x v="3"/>
    <m/>
    <n v="557.29999999999995"/>
    <n v="5"/>
    <n v="1"/>
    <x v="262"/>
    <n v="4"/>
    <n v="7"/>
    <n v="4"/>
    <x v="2"/>
  </r>
  <r>
    <n v="2163"/>
    <d v="2025-03-05T00:00:00"/>
    <n v="28"/>
    <s v="Female"/>
    <s v="East"/>
    <x v="0"/>
    <m/>
    <n v="218.1"/>
    <n v="5"/>
    <n v="1"/>
    <x v="263"/>
    <n v="3"/>
    <n v="5"/>
    <n v="4"/>
    <x v="2"/>
  </r>
  <r>
    <n v="3228"/>
    <d v="2025-03-05T00:00:00"/>
    <n v="35"/>
    <s v="Female"/>
    <s v="East"/>
    <x v="0"/>
    <m/>
    <n v="428.2"/>
    <n v="7"/>
    <n v="1"/>
    <x v="264"/>
    <n v="2"/>
    <n v="5"/>
    <n v="4"/>
    <x v="2"/>
  </r>
  <r>
    <n v="4843"/>
    <d v="2025-03-05T00:00:00"/>
    <n v="38"/>
    <s v="Male"/>
    <s v="East"/>
    <x v="0"/>
    <m/>
    <n v="210"/>
    <n v="11"/>
    <n v="1"/>
    <x v="265"/>
    <n v="5"/>
    <n v="8"/>
    <n v="5"/>
    <x v="2"/>
  </r>
  <r>
    <n v="1100"/>
    <d v="2025-03-05T00:00:00"/>
    <n v="18"/>
    <s v="Male"/>
    <s v="North"/>
    <x v="2"/>
    <m/>
    <n v="607.20000000000005"/>
    <n v="6"/>
    <n v="1"/>
    <x v="266"/>
    <n v="2"/>
    <n v="2"/>
    <n v="4"/>
    <x v="2"/>
  </r>
  <r>
    <n v="1803"/>
    <d v="2025-03-05T00:00:00"/>
    <n v="21"/>
    <s v="Male"/>
    <s v="South"/>
    <x v="0"/>
    <m/>
    <n v="99.6"/>
    <n v="4"/>
    <n v="1"/>
    <x v="267"/>
    <n v="3"/>
    <n v="15"/>
    <n v="5"/>
    <x v="2"/>
  </r>
  <r>
    <n v="1561"/>
    <d v="2025-03-05T00:00:00"/>
    <n v="26"/>
    <s v="Female"/>
    <s v="South"/>
    <x v="1"/>
    <s v="CAMP6"/>
    <n v="540.70000000000005"/>
    <n v="6"/>
    <n v="1"/>
    <x v="268"/>
    <n v="2"/>
    <n v="5"/>
    <n v="3"/>
    <x v="2"/>
  </r>
  <r>
    <n v="3634"/>
    <d v="2025-03-05T00:00:00"/>
    <n v="24"/>
    <s v="Female"/>
    <s v="West"/>
    <x v="0"/>
    <m/>
    <n v="349.8"/>
    <n v="4"/>
    <n v="1"/>
    <x v="269"/>
    <n v="4"/>
    <n v="8"/>
    <n v="4"/>
    <x v="2"/>
  </r>
  <r>
    <n v="1069"/>
    <d v="2025-03-05T00:00:00"/>
    <n v="33"/>
    <s v="Female"/>
    <s v="East"/>
    <x v="0"/>
    <m/>
    <n v="512.79999999999995"/>
    <n v="7"/>
    <n v="1"/>
    <x v="270"/>
    <n v="6"/>
    <n v="15"/>
    <n v="4"/>
    <x v="2"/>
  </r>
  <r>
    <n v="565"/>
    <d v="2025-03-05T00:00:00"/>
    <n v="28"/>
    <s v="Male"/>
    <s v="West"/>
    <x v="1"/>
    <s v="CAMP2"/>
    <n v="602.29999999999995"/>
    <n v="8"/>
    <n v="1"/>
    <x v="271"/>
    <n v="5"/>
    <n v="1"/>
    <n v="4"/>
    <x v="2"/>
  </r>
  <r>
    <n v="496"/>
    <d v="2025-03-05T00:00:00"/>
    <n v="24"/>
    <s v="Male"/>
    <s v="North"/>
    <x v="1"/>
    <s v="CAMP6"/>
    <n v="647.29999999999995"/>
    <n v="7"/>
    <n v="0"/>
    <x v="11"/>
    <n v="0"/>
    <n v="0"/>
    <m/>
    <x v="2"/>
  </r>
  <r>
    <n v="2870"/>
    <d v="2025-03-05T00:00:00"/>
    <n v="24"/>
    <s v="Male"/>
    <s v="West"/>
    <x v="1"/>
    <s v="CAMP4"/>
    <n v="610.6"/>
    <n v="7"/>
    <n v="0"/>
    <x v="11"/>
    <n v="0"/>
    <n v="0"/>
    <m/>
    <x v="2"/>
  </r>
  <r>
    <n v="3538"/>
    <d v="2025-03-05T00:00:00"/>
    <n v="32"/>
    <s v="Female"/>
    <s v="East"/>
    <x v="1"/>
    <s v="CAMP2"/>
    <n v="598.5"/>
    <n v="6"/>
    <n v="0"/>
    <x v="11"/>
    <n v="0"/>
    <n v="0"/>
    <m/>
    <x v="2"/>
  </r>
  <r>
    <n v="3866"/>
    <d v="2025-03-05T00:00:00"/>
    <n v="67"/>
    <s v="Female"/>
    <s v="North"/>
    <x v="1"/>
    <s v="CAMP2"/>
    <n v="458.1"/>
    <n v="6"/>
    <n v="0"/>
    <x v="11"/>
    <n v="0"/>
    <n v="0"/>
    <m/>
    <x v="2"/>
  </r>
  <r>
    <n v="3188"/>
    <d v="2025-03-05T00:00:00"/>
    <n v="45"/>
    <s v="Female"/>
    <s v="East"/>
    <x v="1"/>
    <s v="CAMP1"/>
    <n v="437.1"/>
    <n v="5"/>
    <n v="0"/>
    <x v="11"/>
    <n v="0"/>
    <n v="0"/>
    <m/>
    <x v="2"/>
  </r>
  <r>
    <n v="1288"/>
    <d v="2025-03-05T00:00:00"/>
    <n v="30"/>
    <s v="Female"/>
    <s v="South"/>
    <x v="0"/>
    <m/>
    <n v="405.9"/>
    <n v="4"/>
    <n v="0"/>
    <x v="11"/>
    <n v="0"/>
    <n v="0"/>
    <m/>
    <x v="2"/>
  </r>
  <r>
    <n v="3821"/>
    <d v="2025-03-05T00:00:00"/>
    <n v="40"/>
    <s v="Female"/>
    <s v="South"/>
    <x v="1"/>
    <s v="CAMP3"/>
    <n v="347.6"/>
    <n v="6"/>
    <n v="0"/>
    <x v="11"/>
    <n v="0"/>
    <n v="0"/>
    <m/>
    <x v="2"/>
  </r>
  <r>
    <n v="3857"/>
    <d v="2025-03-05T00:00:00"/>
    <n v="51"/>
    <s v="Female"/>
    <s v="South"/>
    <x v="1"/>
    <s v="CAMP7"/>
    <n v="305.60000000000002"/>
    <n v="9"/>
    <n v="0"/>
    <x v="11"/>
    <n v="0"/>
    <n v="0"/>
    <m/>
    <x v="2"/>
  </r>
  <r>
    <n v="1899"/>
    <d v="2025-03-05T00:00:00"/>
    <n v="38"/>
    <s v="Male"/>
    <s v="South"/>
    <x v="0"/>
    <m/>
    <n v="302.89999999999998"/>
    <n v="4"/>
    <n v="0"/>
    <x v="11"/>
    <n v="0"/>
    <n v="0"/>
    <m/>
    <x v="2"/>
  </r>
  <r>
    <n v="1924"/>
    <d v="2025-03-05T00:00:00"/>
    <n v="30"/>
    <s v="Female"/>
    <s v="East"/>
    <x v="2"/>
    <m/>
    <n v="214.6"/>
    <n v="6"/>
    <n v="0"/>
    <x v="11"/>
    <n v="0"/>
    <n v="0"/>
    <m/>
    <x v="2"/>
  </r>
  <r>
    <n v="4259"/>
    <d v="2025-03-05T00:00:00"/>
    <n v="18"/>
    <s v="Female"/>
    <s v="West"/>
    <x v="0"/>
    <m/>
    <n v="206.6"/>
    <n v="3"/>
    <n v="0"/>
    <x v="11"/>
    <n v="0"/>
    <n v="0"/>
    <m/>
    <x v="2"/>
  </r>
  <r>
    <n v="429"/>
    <d v="2025-03-05T00:00:00"/>
    <n v="18"/>
    <s v="Female"/>
    <s v="West"/>
    <x v="0"/>
    <m/>
    <n v="154.69999999999999"/>
    <n v="7"/>
    <n v="0"/>
    <x v="11"/>
    <n v="0"/>
    <n v="0"/>
    <m/>
    <x v="2"/>
  </r>
  <r>
    <n v="3306"/>
    <d v="2025-03-05T00:00:00"/>
    <n v="35"/>
    <s v="Male"/>
    <s v="East"/>
    <x v="0"/>
    <m/>
    <n v="142.69999999999999"/>
    <n v="5"/>
    <n v="0"/>
    <x v="11"/>
    <n v="0"/>
    <n v="0"/>
    <m/>
    <x v="2"/>
  </r>
  <r>
    <n v="4346"/>
    <d v="2025-03-05T00:00:00"/>
    <n v="40"/>
    <s v="Male"/>
    <s v="South"/>
    <x v="1"/>
    <s v="CAMP3"/>
    <n v="142.1"/>
    <n v="9"/>
    <n v="0"/>
    <x v="11"/>
    <n v="0"/>
    <n v="0"/>
    <m/>
    <x v="2"/>
  </r>
  <r>
    <n v="3014"/>
    <d v="2025-03-05T00:00:00"/>
    <n v="21"/>
    <s v="Female"/>
    <s v="West"/>
    <x v="1"/>
    <s v="CAMP3"/>
    <n v="138.1"/>
    <n v="9"/>
    <n v="0"/>
    <x v="11"/>
    <n v="0"/>
    <n v="0"/>
    <m/>
    <x v="2"/>
  </r>
  <r>
    <n v="4474"/>
    <d v="2025-03-05T00:00:00"/>
    <n v="53"/>
    <s v="Male"/>
    <s v="East"/>
    <x v="0"/>
    <m/>
    <n v="103.8"/>
    <n v="8"/>
    <n v="0"/>
    <x v="11"/>
    <n v="0"/>
    <n v="0"/>
    <m/>
    <x v="2"/>
  </r>
  <r>
    <n v="3195"/>
    <d v="2025-03-05T00:00:00"/>
    <n v="30"/>
    <s v="Female"/>
    <s v="West"/>
    <x v="1"/>
    <s v="CAMP2"/>
    <n v="91.4"/>
    <n v="3"/>
    <n v="0"/>
    <x v="11"/>
    <n v="0"/>
    <n v="0"/>
    <m/>
    <x v="2"/>
  </r>
  <r>
    <n v="4488"/>
    <d v="2025-03-05T00:00:00"/>
    <n v="45"/>
    <s v="Male"/>
    <s v="West"/>
    <x v="3"/>
    <m/>
    <n v="65.900000000000006"/>
    <n v="5"/>
    <n v="0"/>
    <x v="11"/>
    <n v="0"/>
    <n v="0"/>
    <m/>
    <x v="2"/>
  </r>
  <r>
    <n v="4936"/>
    <d v="2025-03-05T00:00:00"/>
    <n v="38"/>
    <s v="Male"/>
    <s v="South"/>
    <x v="0"/>
    <m/>
    <n v="50.8"/>
    <n v="4"/>
    <n v="0"/>
    <x v="11"/>
    <n v="0"/>
    <n v="0"/>
    <m/>
    <x v="2"/>
  </r>
  <r>
    <n v="3487"/>
    <d v="2025-03-05T00:00:00"/>
    <n v="37"/>
    <s v="Female"/>
    <s v="East"/>
    <x v="0"/>
    <m/>
    <n v="37.6"/>
    <n v="7"/>
    <n v="0"/>
    <x v="11"/>
    <n v="0"/>
    <n v="0"/>
    <m/>
    <x v="2"/>
  </r>
  <r>
    <n v="1317"/>
    <d v="2025-04-05T00:00:00"/>
    <n v="18"/>
    <s v="Male"/>
    <s v="South"/>
    <x v="0"/>
    <m/>
    <n v="172.8"/>
    <n v="4"/>
    <n v="1"/>
    <x v="272"/>
    <n v="2"/>
    <n v="14"/>
    <n v="4"/>
    <x v="3"/>
  </r>
  <r>
    <n v="2905"/>
    <d v="2025-04-05T00:00:00"/>
    <n v="36"/>
    <s v="Female"/>
    <s v="East"/>
    <x v="1"/>
    <s v="CAMP1"/>
    <n v="504.6"/>
    <n v="9"/>
    <n v="1"/>
    <x v="273"/>
    <n v="2"/>
    <n v="9"/>
    <n v="4"/>
    <x v="3"/>
  </r>
  <r>
    <n v="2094"/>
    <d v="2025-04-05T00:00:00"/>
    <n v="36"/>
    <s v="Male"/>
    <s v="West"/>
    <x v="1"/>
    <s v="CAMP4"/>
    <n v="601.70000000000005"/>
    <n v="9"/>
    <n v="1"/>
    <x v="274"/>
    <n v="4"/>
    <n v="2"/>
    <n v="4"/>
    <x v="3"/>
  </r>
  <r>
    <n v="97"/>
    <d v="2025-04-05T00:00:00"/>
    <n v="25"/>
    <s v="Female"/>
    <s v="East"/>
    <x v="0"/>
    <m/>
    <n v="545.5"/>
    <n v="5"/>
    <n v="1"/>
    <x v="275"/>
    <n v="4"/>
    <n v="5"/>
    <n v="3"/>
    <x v="3"/>
  </r>
  <r>
    <n v="934"/>
    <d v="2025-04-05T00:00:00"/>
    <n v="20"/>
    <s v="Female"/>
    <s v="East"/>
    <x v="0"/>
    <m/>
    <n v="315.39999999999998"/>
    <n v="4"/>
    <n v="1"/>
    <x v="276"/>
    <n v="5"/>
    <n v="4"/>
    <n v="4"/>
    <x v="3"/>
  </r>
  <r>
    <n v="4973"/>
    <d v="2025-04-05T00:00:00"/>
    <n v="48"/>
    <s v="Male"/>
    <s v="West"/>
    <x v="1"/>
    <s v="CAMP3"/>
    <n v="709.2"/>
    <n v="5"/>
    <n v="1"/>
    <x v="277"/>
    <n v="2"/>
    <n v="15"/>
    <n v="5"/>
    <x v="3"/>
  </r>
  <r>
    <n v="480"/>
    <d v="2025-04-05T00:00:00"/>
    <n v="20"/>
    <s v="Male"/>
    <s v="East"/>
    <x v="0"/>
    <m/>
    <n v="66.900000000000006"/>
    <n v="5"/>
    <n v="1"/>
    <x v="278"/>
    <n v="2"/>
    <n v="14"/>
    <n v="5"/>
    <x v="3"/>
  </r>
  <r>
    <n v="18"/>
    <d v="2025-04-05T00:00:00"/>
    <n v="26"/>
    <s v="Male"/>
    <s v="South"/>
    <x v="1"/>
    <s v="CAMP5"/>
    <n v="760.2"/>
    <n v="4"/>
    <n v="1"/>
    <x v="279"/>
    <n v="2"/>
    <n v="14"/>
    <n v="4"/>
    <x v="3"/>
  </r>
  <r>
    <n v="3442"/>
    <d v="2025-04-05T00:00:00"/>
    <n v="29"/>
    <s v="Male"/>
    <s v="South"/>
    <x v="0"/>
    <m/>
    <n v="240.6"/>
    <n v="2"/>
    <n v="1"/>
    <x v="280"/>
    <n v="4"/>
    <n v="3"/>
    <n v="3"/>
    <x v="3"/>
  </r>
  <r>
    <n v="734"/>
    <d v="2025-04-05T00:00:00"/>
    <n v="20"/>
    <s v="Female"/>
    <s v="North"/>
    <x v="0"/>
    <m/>
    <n v="568"/>
    <n v="10"/>
    <n v="0"/>
    <x v="11"/>
    <n v="0"/>
    <n v="0"/>
    <m/>
    <x v="3"/>
  </r>
  <r>
    <n v="296"/>
    <d v="2025-04-05T00:00:00"/>
    <n v="23"/>
    <s v="Male"/>
    <s v="South"/>
    <x v="0"/>
    <m/>
    <n v="360.9"/>
    <n v="7"/>
    <n v="0"/>
    <x v="11"/>
    <n v="0"/>
    <n v="0"/>
    <m/>
    <x v="3"/>
  </r>
  <r>
    <n v="4122"/>
    <d v="2025-04-05T00:00:00"/>
    <n v="60"/>
    <s v="Female"/>
    <s v="East"/>
    <x v="0"/>
    <m/>
    <n v="324.7"/>
    <n v="5"/>
    <n v="0"/>
    <x v="11"/>
    <n v="0"/>
    <n v="0"/>
    <m/>
    <x v="3"/>
  </r>
  <r>
    <n v="3692"/>
    <d v="2025-04-05T00:00:00"/>
    <n v="41"/>
    <s v="Male"/>
    <s v="South"/>
    <x v="0"/>
    <m/>
    <n v="299.5"/>
    <n v="6"/>
    <n v="0"/>
    <x v="11"/>
    <n v="0"/>
    <n v="0"/>
    <m/>
    <x v="3"/>
  </r>
  <r>
    <n v="674"/>
    <d v="2025-04-05T00:00:00"/>
    <n v="23"/>
    <s v="Male"/>
    <s v="South"/>
    <x v="1"/>
    <s v="CAMP4"/>
    <n v="261.39999999999998"/>
    <n v="12"/>
    <n v="0"/>
    <x v="11"/>
    <n v="0"/>
    <n v="0"/>
    <m/>
    <x v="3"/>
  </r>
  <r>
    <n v="4364"/>
    <d v="2025-04-05T00:00:00"/>
    <n v="58"/>
    <s v="Female"/>
    <s v="East"/>
    <x v="0"/>
    <m/>
    <n v="249.5"/>
    <n v="4"/>
    <n v="0"/>
    <x v="11"/>
    <n v="0"/>
    <n v="0"/>
    <m/>
    <x v="3"/>
  </r>
  <r>
    <n v="2043"/>
    <d v="2025-04-05T00:00:00"/>
    <n v="48"/>
    <s v="Male"/>
    <s v="South"/>
    <x v="3"/>
    <m/>
    <n v="224.2"/>
    <n v="6"/>
    <n v="0"/>
    <x v="11"/>
    <n v="0"/>
    <n v="0"/>
    <m/>
    <x v="3"/>
  </r>
  <r>
    <n v="863"/>
    <d v="2025-04-05T00:00:00"/>
    <n v="24"/>
    <s v="Male"/>
    <s v="North"/>
    <x v="3"/>
    <m/>
    <n v="219.9"/>
    <n v="9"/>
    <n v="0"/>
    <x v="11"/>
    <n v="0"/>
    <n v="0"/>
    <m/>
    <x v="3"/>
  </r>
  <r>
    <n v="1733"/>
    <d v="2025-04-05T00:00:00"/>
    <n v="18"/>
    <s v="Male"/>
    <s v="North"/>
    <x v="0"/>
    <m/>
    <n v="189.6"/>
    <n v="4"/>
    <n v="0"/>
    <x v="11"/>
    <n v="0"/>
    <n v="0"/>
    <m/>
    <x v="3"/>
  </r>
  <r>
    <n v="2557"/>
    <d v="2025-04-05T00:00:00"/>
    <n v="34"/>
    <s v="Female"/>
    <s v="South"/>
    <x v="1"/>
    <s v="CAMP7"/>
    <n v="157.4"/>
    <n v="6"/>
    <n v="0"/>
    <x v="11"/>
    <n v="0"/>
    <n v="0"/>
    <m/>
    <x v="3"/>
  </r>
  <r>
    <n v="2134"/>
    <d v="2025-04-05T00:00:00"/>
    <n v="29"/>
    <s v="Female"/>
    <s v="North"/>
    <x v="0"/>
    <m/>
    <n v="146.1"/>
    <n v="3"/>
    <n v="0"/>
    <x v="11"/>
    <n v="0"/>
    <n v="0"/>
    <m/>
    <x v="3"/>
  </r>
  <r>
    <n v="475"/>
    <d v="2025-04-05T00:00:00"/>
    <n v="26"/>
    <s v="Male"/>
    <s v="North"/>
    <x v="0"/>
    <m/>
    <n v="145.80000000000001"/>
    <n v="7"/>
    <n v="0"/>
    <x v="11"/>
    <n v="0"/>
    <n v="0"/>
    <m/>
    <x v="3"/>
  </r>
  <r>
    <n v="1540"/>
    <d v="2025-04-05T00:00:00"/>
    <n v="27"/>
    <s v="Female"/>
    <s v="North"/>
    <x v="0"/>
    <m/>
    <n v="142.19999999999999"/>
    <n v="6"/>
    <n v="0"/>
    <x v="11"/>
    <n v="0"/>
    <n v="0"/>
    <m/>
    <x v="3"/>
  </r>
  <r>
    <n v="781"/>
    <d v="2025-05-05T00:00:00"/>
    <n v="25"/>
    <s v="Female"/>
    <s v="East"/>
    <x v="0"/>
    <m/>
    <n v="593.5"/>
    <n v="6"/>
    <n v="1"/>
    <x v="281"/>
    <n v="2"/>
    <n v="11"/>
    <n v="4"/>
    <x v="4"/>
  </r>
  <r>
    <n v="3257"/>
    <d v="2025-05-05T00:00:00"/>
    <n v="49"/>
    <s v="Male"/>
    <s v="South"/>
    <x v="0"/>
    <m/>
    <n v="141.80000000000001"/>
    <n v="4"/>
    <n v="1"/>
    <x v="282"/>
    <n v="2"/>
    <n v="7"/>
    <n v="4"/>
    <x v="4"/>
  </r>
  <r>
    <n v="1725"/>
    <d v="2025-05-05T00:00:00"/>
    <n v="28"/>
    <s v="Male"/>
    <s v="West"/>
    <x v="1"/>
    <s v="CAMP5"/>
    <n v="544.1"/>
    <n v="6"/>
    <n v="1"/>
    <x v="283"/>
    <n v="1"/>
    <n v="5"/>
    <n v="4"/>
    <x v="4"/>
  </r>
  <r>
    <n v="3214"/>
    <d v="2025-05-05T00:00:00"/>
    <n v="18"/>
    <s v="Male"/>
    <s v="East"/>
    <x v="0"/>
    <m/>
    <n v="650.29999999999995"/>
    <n v="10"/>
    <n v="1"/>
    <x v="284"/>
    <n v="2"/>
    <n v="10"/>
    <n v="4"/>
    <x v="4"/>
  </r>
  <r>
    <n v="4890"/>
    <d v="2025-05-05T00:00:00"/>
    <n v="44"/>
    <s v="Male"/>
    <s v="East"/>
    <x v="0"/>
    <m/>
    <n v="591.4"/>
    <n v="5"/>
    <n v="1"/>
    <x v="285"/>
    <n v="3"/>
    <n v="4"/>
    <n v="5"/>
    <x v="4"/>
  </r>
  <r>
    <n v="3754"/>
    <d v="2025-05-05T00:00:00"/>
    <n v="65"/>
    <s v="Female"/>
    <s v="South"/>
    <x v="0"/>
    <m/>
    <n v="478.5"/>
    <n v="6"/>
    <n v="1"/>
    <x v="286"/>
    <n v="2"/>
    <n v="8"/>
    <n v="5"/>
    <x v="4"/>
  </r>
  <r>
    <n v="1215"/>
    <d v="2025-05-05T00:00:00"/>
    <n v="26"/>
    <s v="Female"/>
    <s v="North"/>
    <x v="0"/>
    <m/>
    <n v="270.60000000000002"/>
    <n v="7"/>
    <n v="1"/>
    <x v="287"/>
    <n v="2"/>
    <n v="4"/>
    <n v="4"/>
    <x v="4"/>
  </r>
  <r>
    <n v="4624"/>
    <d v="2025-05-05T00:00:00"/>
    <n v="50"/>
    <s v="Female"/>
    <s v="South"/>
    <x v="3"/>
    <m/>
    <n v="537.1"/>
    <n v="7"/>
    <n v="1"/>
    <x v="288"/>
    <n v="3"/>
    <n v="1"/>
    <n v="4"/>
    <x v="4"/>
  </r>
  <r>
    <n v="1626"/>
    <d v="2025-05-05T00:00:00"/>
    <n v="28"/>
    <s v="Male"/>
    <s v="East"/>
    <x v="0"/>
    <m/>
    <n v="726.6"/>
    <n v="7"/>
    <n v="1"/>
    <x v="289"/>
    <n v="4"/>
    <n v="8"/>
    <n v="4"/>
    <x v="4"/>
  </r>
  <r>
    <n v="2892"/>
    <d v="2025-05-05T00:00:00"/>
    <n v="36"/>
    <s v="Female"/>
    <s v="North"/>
    <x v="0"/>
    <m/>
    <n v="722.4"/>
    <n v="6"/>
    <n v="1"/>
    <x v="290"/>
    <n v="3"/>
    <n v="14"/>
    <n v="5"/>
    <x v="4"/>
  </r>
  <r>
    <n v="4081"/>
    <d v="2025-05-05T00:00:00"/>
    <n v="32"/>
    <s v="Female"/>
    <s v="West"/>
    <x v="0"/>
    <m/>
    <n v="1003.9"/>
    <n v="9"/>
    <n v="1"/>
    <x v="164"/>
    <n v="1"/>
    <n v="3"/>
    <n v="4"/>
    <x v="4"/>
  </r>
  <r>
    <n v="3458"/>
    <d v="2025-05-05T00:00:00"/>
    <n v="46"/>
    <s v="Female"/>
    <s v="East"/>
    <x v="1"/>
    <s v="CAMP6"/>
    <n v="861.5"/>
    <n v="3"/>
    <n v="0"/>
    <x v="11"/>
    <n v="0"/>
    <n v="0"/>
    <m/>
    <x v="4"/>
  </r>
  <r>
    <n v="4827"/>
    <d v="2025-05-05T00:00:00"/>
    <n v="51"/>
    <s v="Male"/>
    <s v="West"/>
    <x v="0"/>
    <m/>
    <n v="545.70000000000005"/>
    <n v="4"/>
    <n v="0"/>
    <x v="11"/>
    <n v="0"/>
    <n v="0"/>
    <m/>
    <x v="4"/>
  </r>
  <r>
    <n v="1457"/>
    <d v="2025-05-05T00:00:00"/>
    <n v="18"/>
    <s v="Female"/>
    <s v="South"/>
    <x v="3"/>
    <m/>
    <n v="504.2"/>
    <n v="3"/>
    <n v="0"/>
    <x v="11"/>
    <n v="0"/>
    <n v="0"/>
    <m/>
    <x v="4"/>
  </r>
  <r>
    <n v="2373"/>
    <d v="2025-05-05T00:00:00"/>
    <n v="44"/>
    <s v="Female"/>
    <s v="South"/>
    <x v="1"/>
    <s v="CAMP4"/>
    <n v="433.1"/>
    <n v="6"/>
    <n v="0"/>
    <x v="11"/>
    <n v="0"/>
    <n v="0"/>
    <m/>
    <x v="4"/>
  </r>
  <r>
    <n v="610"/>
    <d v="2025-05-05T00:00:00"/>
    <n v="29"/>
    <s v="Female"/>
    <s v="South"/>
    <x v="3"/>
    <m/>
    <n v="358.7"/>
    <n v="6"/>
    <n v="0"/>
    <x v="11"/>
    <n v="0"/>
    <n v="0"/>
    <m/>
    <x v="4"/>
  </r>
  <r>
    <n v="2179"/>
    <d v="2025-05-05T00:00:00"/>
    <n v="34"/>
    <s v="Male"/>
    <s v="East"/>
    <x v="3"/>
    <m/>
    <n v="355.5"/>
    <n v="7"/>
    <n v="0"/>
    <x v="11"/>
    <n v="0"/>
    <n v="0"/>
    <m/>
    <x v="4"/>
  </r>
  <r>
    <n v="4189"/>
    <d v="2025-05-05T00:00:00"/>
    <n v="47"/>
    <s v="Male"/>
    <s v="North"/>
    <x v="0"/>
    <m/>
    <n v="337.4"/>
    <n v="5"/>
    <n v="0"/>
    <x v="11"/>
    <n v="0"/>
    <n v="0"/>
    <m/>
    <x v="4"/>
  </r>
  <r>
    <n v="1007"/>
    <d v="2025-05-05T00:00:00"/>
    <n v="23"/>
    <s v="Female"/>
    <s v="East"/>
    <x v="0"/>
    <m/>
    <n v="323.60000000000002"/>
    <n v="7"/>
    <n v="0"/>
    <x v="11"/>
    <n v="0"/>
    <n v="0"/>
    <m/>
    <x v="4"/>
  </r>
  <r>
    <n v="4457"/>
    <d v="2025-05-05T00:00:00"/>
    <n v="57"/>
    <s v="Male"/>
    <s v="East"/>
    <x v="1"/>
    <s v="CAMP5"/>
    <n v="320.89999999999998"/>
    <n v="8"/>
    <n v="0"/>
    <x v="11"/>
    <n v="0"/>
    <n v="0"/>
    <m/>
    <x v="4"/>
  </r>
  <r>
    <n v="3363"/>
    <d v="2025-05-05T00:00:00"/>
    <n v="39"/>
    <s v="Female"/>
    <s v="North"/>
    <x v="0"/>
    <m/>
    <n v="287.5"/>
    <n v="6"/>
    <n v="0"/>
    <x v="11"/>
    <n v="0"/>
    <n v="0"/>
    <m/>
    <x v="4"/>
  </r>
  <r>
    <n v="3811"/>
    <d v="2025-05-05T00:00:00"/>
    <n v="58"/>
    <s v="Female"/>
    <s v="West"/>
    <x v="1"/>
    <s v="CAMP1"/>
    <n v="275.39999999999998"/>
    <n v="4"/>
    <n v="0"/>
    <x v="11"/>
    <n v="0"/>
    <n v="0"/>
    <m/>
    <x v="4"/>
  </r>
  <r>
    <n v="4052"/>
    <d v="2025-05-05T00:00:00"/>
    <n v="59"/>
    <s v="Female"/>
    <s v="South"/>
    <x v="1"/>
    <s v="CAMP7"/>
    <n v="270.5"/>
    <n v="7"/>
    <n v="0"/>
    <x v="11"/>
    <n v="0"/>
    <n v="0"/>
    <m/>
    <x v="4"/>
  </r>
  <r>
    <n v="1591"/>
    <d v="2025-05-05T00:00:00"/>
    <n v="32"/>
    <s v="Other"/>
    <s v="East"/>
    <x v="3"/>
    <m/>
    <n v="244.1"/>
    <n v="4"/>
    <n v="0"/>
    <x v="11"/>
    <n v="0"/>
    <n v="0"/>
    <m/>
    <x v="4"/>
  </r>
  <r>
    <n v="1447"/>
    <d v="2025-05-05T00:00:00"/>
    <n v="18"/>
    <s v="Male"/>
    <s v="South"/>
    <x v="1"/>
    <s v="CAMP3"/>
    <n v="184.7"/>
    <n v="7"/>
    <n v="0"/>
    <x v="11"/>
    <n v="0"/>
    <n v="0"/>
    <m/>
    <x v="4"/>
  </r>
  <r>
    <n v="212"/>
    <d v="2025-05-05T00:00:00"/>
    <n v="21"/>
    <s v="Male"/>
    <s v="North"/>
    <x v="2"/>
    <m/>
    <n v="179.1"/>
    <n v="9"/>
    <n v="0"/>
    <x v="11"/>
    <n v="0"/>
    <n v="0"/>
    <m/>
    <x v="4"/>
  </r>
  <r>
    <n v="1294"/>
    <d v="2025-05-05T00:00:00"/>
    <n v="35"/>
    <s v="Female"/>
    <s v="South"/>
    <x v="0"/>
    <m/>
    <n v="131.4"/>
    <n v="8"/>
    <n v="0"/>
    <x v="11"/>
    <n v="0"/>
    <n v="0"/>
    <m/>
    <x v="4"/>
  </r>
  <r>
    <n v="177"/>
    <d v="2025-05-05T00:00:00"/>
    <n v="23"/>
    <s v="Male"/>
    <s v="South"/>
    <x v="0"/>
    <m/>
    <n v="129.5"/>
    <n v="5"/>
    <n v="0"/>
    <x v="11"/>
    <n v="0"/>
    <n v="0"/>
    <m/>
    <x v="4"/>
  </r>
  <r>
    <n v="2521"/>
    <d v="2025-05-05T00:00:00"/>
    <n v="34"/>
    <s v="Male"/>
    <s v="West"/>
    <x v="3"/>
    <m/>
    <n v="116.8"/>
    <n v="4"/>
    <n v="0"/>
    <x v="11"/>
    <n v="0"/>
    <n v="0"/>
    <m/>
    <x v="4"/>
  </r>
  <r>
    <n v="4219"/>
    <d v="2025-05-05T00:00:00"/>
    <n v="49"/>
    <s v="Male"/>
    <s v="East"/>
    <x v="1"/>
    <s v="CAMP7"/>
    <n v="113.9"/>
    <n v="9"/>
    <n v="0"/>
    <x v="11"/>
    <n v="0"/>
    <n v="0"/>
    <m/>
    <x v="4"/>
  </r>
  <r>
    <n v="4585"/>
    <d v="2025-05-05T00:00:00"/>
    <n v="47"/>
    <s v="Female"/>
    <s v="East"/>
    <x v="3"/>
    <m/>
    <n v="44.2"/>
    <n v="5"/>
    <n v="0"/>
    <x v="11"/>
    <n v="0"/>
    <n v="0"/>
    <m/>
    <x v="4"/>
  </r>
  <r>
    <n v="4065"/>
    <d v="2025-06-05T00:00:00"/>
    <n v="51"/>
    <s v="Male"/>
    <s v="West"/>
    <x v="1"/>
    <s v="CAMP5"/>
    <n v="543.29999999999995"/>
    <n v="5"/>
    <n v="1"/>
    <x v="291"/>
    <n v="3"/>
    <n v="11"/>
    <n v="3"/>
    <x v="5"/>
  </r>
  <r>
    <n v="869"/>
    <d v="2025-06-05T00:00:00"/>
    <n v="29"/>
    <s v="Female"/>
    <s v="North"/>
    <x v="0"/>
    <m/>
    <n v="464.1"/>
    <n v="5"/>
    <n v="1"/>
    <x v="292"/>
    <n v="2"/>
    <n v="2"/>
    <n v="5"/>
    <x v="5"/>
  </r>
  <r>
    <n v="1574"/>
    <d v="2025-06-05T00:00:00"/>
    <n v="18"/>
    <s v="Male"/>
    <s v="East"/>
    <x v="0"/>
    <m/>
    <n v="440.4"/>
    <n v="8"/>
    <n v="1"/>
    <x v="293"/>
    <n v="4"/>
    <n v="7"/>
    <n v="3"/>
    <x v="5"/>
  </r>
  <r>
    <n v="81"/>
    <d v="2025-06-05T00:00:00"/>
    <n v="18"/>
    <s v="Female"/>
    <s v="South"/>
    <x v="0"/>
    <m/>
    <n v="70.599999999999994"/>
    <n v="4"/>
    <n v="1"/>
    <x v="294"/>
    <n v="2"/>
    <n v="8"/>
    <n v="4"/>
    <x v="5"/>
  </r>
  <r>
    <n v="2990"/>
    <d v="2025-06-05T00:00:00"/>
    <n v="42"/>
    <s v="Male"/>
    <s v="East"/>
    <x v="1"/>
    <s v="CAMP5"/>
    <n v="174"/>
    <n v="5"/>
    <n v="1"/>
    <x v="295"/>
    <n v="2"/>
    <n v="6"/>
    <n v="5"/>
    <x v="5"/>
  </r>
  <r>
    <n v="3429"/>
    <d v="2025-06-05T00:00:00"/>
    <n v="37"/>
    <s v="Male"/>
    <s v="West"/>
    <x v="1"/>
    <s v="CAMP2"/>
    <n v="541"/>
    <n v="7"/>
    <n v="1"/>
    <x v="296"/>
    <n v="3"/>
    <n v="4"/>
    <n v="4"/>
    <x v="5"/>
  </r>
  <r>
    <n v="8"/>
    <d v="2025-06-05T00:00:00"/>
    <n v="19"/>
    <s v="Male"/>
    <s v="West"/>
    <x v="2"/>
    <m/>
    <n v="321"/>
    <n v="6"/>
    <n v="1"/>
    <x v="297"/>
    <n v="6"/>
    <n v="10"/>
    <n v="4"/>
    <x v="5"/>
  </r>
  <r>
    <n v="2996"/>
    <d v="2025-06-05T00:00:00"/>
    <n v="31"/>
    <s v="Male"/>
    <s v="West"/>
    <x v="0"/>
    <m/>
    <n v="385.2"/>
    <n v="9"/>
    <n v="1"/>
    <x v="298"/>
    <n v="3"/>
    <n v="5"/>
    <n v="4"/>
    <x v="5"/>
  </r>
  <r>
    <n v="2498"/>
    <d v="2025-06-05T00:00:00"/>
    <n v="39"/>
    <s v="Male"/>
    <s v="North"/>
    <x v="3"/>
    <m/>
    <n v="79.3"/>
    <n v="7"/>
    <n v="1"/>
    <x v="299"/>
    <n v="2"/>
    <n v="11"/>
    <n v="5"/>
    <x v="5"/>
  </r>
  <r>
    <n v="1853"/>
    <d v="2025-06-05T00:00:00"/>
    <n v="33"/>
    <s v="Male"/>
    <s v="West"/>
    <x v="3"/>
    <m/>
    <n v="458.3"/>
    <n v="5"/>
    <n v="1"/>
    <x v="300"/>
    <n v="2"/>
    <n v="9"/>
    <n v="4"/>
    <x v="5"/>
  </r>
  <r>
    <n v="1686"/>
    <d v="2025-06-05T00:00:00"/>
    <n v="30"/>
    <s v="Female"/>
    <s v="West"/>
    <x v="2"/>
    <m/>
    <n v="946.9"/>
    <n v="9"/>
    <n v="1"/>
    <x v="301"/>
    <n v="4"/>
    <n v="10"/>
    <n v="4"/>
    <x v="5"/>
  </r>
  <r>
    <n v="2198"/>
    <d v="2025-06-05T00:00:00"/>
    <n v="43"/>
    <s v="Male"/>
    <s v="South"/>
    <x v="2"/>
    <m/>
    <n v="303.10000000000002"/>
    <n v="9"/>
    <n v="1"/>
    <x v="302"/>
    <n v="2"/>
    <n v="9"/>
    <n v="5"/>
    <x v="5"/>
  </r>
  <r>
    <n v="1500"/>
    <d v="2025-06-05T00:00:00"/>
    <n v="22"/>
    <s v="Female"/>
    <s v="North"/>
    <x v="1"/>
    <s v="CAMP6"/>
    <n v="657"/>
    <n v="6"/>
    <n v="1"/>
    <x v="303"/>
    <n v="2"/>
    <n v="3"/>
    <n v="4"/>
    <x v="5"/>
  </r>
  <r>
    <n v="1123"/>
    <d v="2025-06-05T00:00:00"/>
    <n v="29"/>
    <s v="Male"/>
    <s v="North"/>
    <x v="2"/>
    <m/>
    <n v="261"/>
    <n v="6"/>
    <n v="1"/>
    <x v="304"/>
    <n v="2"/>
    <n v="4"/>
    <n v="4"/>
    <x v="5"/>
  </r>
  <r>
    <n v="2958"/>
    <d v="2025-06-05T00:00:00"/>
    <n v="23"/>
    <s v="Female"/>
    <s v="South"/>
    <x v="0"/>
    <m/>
    <n v="206.3"/>
    <n v="7"/>
    <n v="1"/>
    <x v="305"/>
    <n v="2"/>
    <n v="11"/>
    <n v="3"/>
    <x v="5"/>
  </r>
  <r>
    <n v="575"/>
    <d v="2025-06-05T00:00:00"/>
    <n v="23"/>
    <s v="Male"/>
    <s v="North"/>
    <x v="0"/>
    <m/>
    <n v="92.1"/>
    <n v="11"/>
    <n v="1"/>
    <x v="306"/>
    <n v="2"/>
    <n v="7"/>
    <n v="4"/>
    <x v="5"/>
  </r>
  <r>
    <n v="530"/>
    <d v="2025-06-05T00:00:00"/>
    <n v="31"/>
    <s v="Female"/>
    <s v="North"/>
    <x v="0"/>
    <m/>
    <n v="950.3"/>
    <n v="9"/>
    <n v="1"/>
    <x v="307"/>
    <n v="3"/>
    <n v="3"/>
    <n v="4"/>
    <x v="5"/>
  </r>
  <r>
    <n v="4041"/>
    <d v="2025-06-05T00:00:00"/>
    <n v="49"/>
    <s v="Male"/>
    <s v="South"/>
    <x v="0"/>
    <m/>
    <n v="695.5"/>
    <n v="7"/>
    <n v="0"/>
    <x v="11"/>
    <n v="0"/>
    <n v="0"/>
    <m/>
    <x v="5"/>
  </r>
  <r>
    <n v="514"/>
    <d v="2025-06-05T00:00:00"/>
    <n v="26"/>
    <s v="Male"/>
    <s v="North"/>
    <x v="2"/>
    <m/>
    <n v="464.6"/>
    <n v="7"/>
    <n v="0"/>
    <x v="11"/>
    <n v="0"/>
    <n v="0"/>
    <m/>
    <x v="5"/>
  </r>
  <r>
    <n v="3545"/>
    <d v="2025-06-05T00:00:00"/>
    <n v="45"/>
    <s v="Female"/>
    <s v="South"/>
    <x v="1"/>
    <s v="CAMP2"/>
    <n v="387.6"/>
    <n v="8"/>
    <n v="0"/>
    <x v="11"/>
    <n v="0"/>
    <n v="0"/>
    <m/>
    <x v="5"/>
  </r>
  <r>
    <n v="4455"/>
    <d v="2025-06-05T00:00:00"/>
    <n v="59"/>
    <s v="Female"/>
    <s v="South"/>
    <x v="3"/>
    <m/>
    <n v="387.4"/>
    <n v="6"/>
    <n v="0"/>
    <x v="11"/>
    <n v="0"/>
    <n v="0"/>
    <m/>
    <x v="5"/>
  </r>
  <r>
    <n v="4756"/>
    <d v="2025-06-05T00:00:00"/>
    <n v="36"/>
    <s v="Male"/>
    <s v="East"/>
    <x v="0"/>
    <m/>
    <n v="375.2"/>
    <n v="8"/>
    <n v="0"/>
    <x v="11"/>
    <n v="0"/>
    <n v="0"/>
    <m/>
    <x v="5"/>
  </r>
  <r>
    <n v="1237"/>
    <d v="2025-06-05T00:00:00"/>
    <n v="24"/>
    <s v="Female"/>
    <s v="East"/>
    <x v="0"/>
    <m/>
    <n v="293.39999999999998"/>
    <n v="7"/>
    <n v="0"/>
    <x v="11"/>
    <n v="0"/>
    <n v="0"/>
    <m/>
    <x v="5"/>
  </r>
  <r>
    <n v="2488"/>
    <d v="2025-06-05T00:00:00"/>
    <n v="31"/>
    <s v="Male"/>
    <s v="West"/>
    <x v="0"/>
    <m/>
    <n v="235.2"/>
    <n v="6"/>
    <n v="0"/>
    <x v="11"/>
    <n v="0"/>
    <n v="0"/>
    <m/>
    <x v="5"/>
  </r>
  <r>
    <n v="680"/>
    <d v="2025-06-05T00:00:00"/>
    <n v="34"/>
    <s v="Male"/>
    <s v="East"/>
    <x v="0"/>
    <m/>
    <n v="223.6"/>
    <n v="5"/>
    <n v="0"/>
    <x v="11"/>
    <n v="0"/>
    <n v="0"/>
    <m/>
    <x v="5"/>
  </r>
  <r>
    <n v="4634"/>
    <d v="2025-06-05T00:00:00"/>
    <n v="54"/>
    <s v="Female"/>
    <s v="West"/>
    <x v="0"/>
    <m/>
    <n v="208.5"/>
    <n v="9"/>
    <n v="0"/>
    <x v="11"/>
    <n v="0"/>
    <n v="0"/>
    <m/>
    <x v="5"/>
  </r>
  <r>
    <n v="3076"/>
    <d v="2025-06-05T00:00:00"/>
    <n v="28"/>
    <s v="Male"/>
    <s v="East"/>
    <x v="0"/>
    <m/>
    <n v="194.9"/>
    <n v="5"/>
    <n v="0"/>
    <x v="11"/>
    <n v="0"/>
    <n v="0"/>
    <m/>
    <x v="5"/>
  </r>
  <r>
    <n v="4755"/>
    <d v="2025-06-05T00:00:00"/>
    <n v="73"/>
    <s v="Male"/>
    <s v="North"/>
    <x v="1"/>
    <s v="CAMP3"/>
    <n v="161.19999999999999"/>
    <n v="7"/>
    <n v="0"/>
    <x v="11"/>
    <n v="0"/>
    <n v="0"/>
    <m/>
    <x v="5"/>
  </r>
  <r>
    <n v="4521"/>
    <d v="2025-06-05T00:00:00"/>
    <n v="55"/>
    <s v="Male"/>
    <s v="South"/>
    <x v="2"/>
    <m/>
    <n v="112.9"/>
    <n v="5"/>
    <n v="0"/>
    <x v="11"/>
    <n v="0"/>
    <n v="0"/>
    <m/>
    <x v="5"/>
  </r>
  <r>
    <n v="3570"/>
    <d v="2025-06-05T00:00:00"/>
    <n v="54"/>
    <s v="Male"/>
    <s v="North"/>
    <x v="1"/>
    <s v="CAMP7"/>
    <n v="105.7"/>
    <n v="6"/>
    <n v="0"/>
    <x v="11"/>
    <n v="0"/>
    <n v="0"/>
    <m/>
    <x v="5"/>
  </r>
  <r>
    <n v="1027"/>
    <d v="2025-06-05T00:00:00"/>
    <n v="24"/>
    <s v="Male"/>
    <s v="East"/>
    <x v="0"/>
    <m/>
    <n v="20"/>
    <n v="5"/>
    <n v="0"/>
    <x v="11"/>
    <n v="0"/>
    <n v="0"/>
    <m/>
    <x v="5"/>
  </r>
  <r>
    <n v="3497"/>
    <d v="2025-06-05T00:00:00"/>
    <n v="23"/>
    <s v="Male"/>
    <s v="South"/>
    <x v="1"/>
    <s v="CAMP3"/>
    <n v="9"/>
    <n v="3"/>
    <n v="0"/>
    <x v="11"/>
    <n v="0"/>
    <n v="0"/>
    <m/>
    <x v="5"/>
  </r>
  <r>
    <n v="1234"/>
    <d v="2025-01-06T00:00:00"/>
    <n v="34"/>
    <s v="Female"/>
    <s v="South"/>
    <x v="1"/>
    <s v="CAMP1"/>
    <n v="505.1"/>
    <n v="7"/>
    <n v="1"/>
    <x v="308"/>
    <n v="5"/>
    <n v="2"/>
    <n v="4"/>
    <x v="0"/>
  </r>
  <r>
    <n v="4100"/>
    <d v="2025-01-06T00:00:00"/>
    <n v="48"/>
    <s v="Female"/>
    <s v="West"/>
    <x v="2"/>
    <m/>
    <n v="608"/>
    <n v="5"/>
    <n v="1"/>
    <x v="309"/>
    <n v="3"/>
    <n v="11"/>
    <n v="3"/>
    <x v="0"/>
  </r>
  <r>
    <n v="1301"/>
    <d v="2025-01-06T00:00:00"/>
    <n v="29"/>
    <s v="Female"/>
    <s v="West"/>
    <x v="0"/>
    <m/>
    <n v="327.9"/>
    <n v="8"/>
    <n v="1"/>
    <x v="310"/>
    <n v="3"/>
    <n v="2"/>
    <n v="4"/>
    <x v="0"/>
  </r>
  <r>
    <n v="1160"/>
    <d v="2025-01-06T00:00:00"/>
    <n v="28"/>
    <s v="Female"/>
    <s v="West"/>
    <x v="0"/>
    <m/>
    <n v="428"/>
    <n v="4"/>
    <n v="1"/>
    <x v="311"/>
    <n v="1"/>
    <n v="6"/>
    <n v="5"/>
    <x v="0"/>
  </r>
  <r>
    <n v="3504"/>
    <d v="2025-01-06T00:00:00"/>
    <n v="47"/>
    <s v="Male"/>
    <s v="East"/>
    <x v="0"/>
    <m/>
    <n v="158.69999999999999"/>
    <n v="5"/>
    <n v="1"/>
    <x v="312"/>
    <n v="4"/>
    <n v="7"/>
    <n v="5"/>
    <x v="0"/>
  </r>
  <r>
    <n v="3795"/>
    <d v="2025-01-06T00:00:00"/>
    <n v="77"/>
    <s v="Female"/>
    <s v="South"/>
    <x v="0"/>
    <m/>
    <n v="219.1"/>
    <n v="4"/>
    <n v="1"/>
    <x v="313"/>
    <n v="3"/>
    <n v="2"/>
    <n v="4"/>
    <x v="0"/>
  </r>
  <r>
    <n v="3489"/>
    <d v="2025-01-06T00:00:00"/>
    <n v="35"/>
    <s v="Male"/>
    <s v="North"/>
    <x v="0"/>
    <m/>
    <n v="600.5"/>
    <n v="7"/>
    <n v="1"/>
    <x v="314"/>
    <n v="4"/>
    <n v="2"/>
    <n v="4"/>
    <x v="0"/>
  </r>
  <r>
    <n v="3696"/>
    <d v="2025-01-06T00:00:00"/>
    <n v="32"/>
    <s v="Female"/>
    <s v="West"/>
    <x v="1"/>
    <s v="CAMP4"/>
    <n v="314"/>
    <n v="4"/>
    <n v="1"/>
    <x v="315"/>
    <n v="4"/>
    <n v="4"/>
    <n v="4"/>
    <x v="0"/>
  </r>
  <r>
    <n v="3842"/>
    <d v="2025-01-06T00:00:00"/>
    <n v="76"/>
    <s v="Female"/>
    <s v="East"/>
    <x v="0"/>
    <m/>
    <n v="462"/>
    <n v="6"/>
    <n v="0"/>
    <x v="11"/>
    <n v="0"/>
    <n v="0"/>
    <m/>
    <x v="0"/>
  </r>
  <r>
    <n v="3963"/>
    <d v="2025-01-06T00:00:00"/>
    <n v="61"/>
    <s v="Female"/>
    <s v="North"/>
    <x v="0"/>
    <m/>
    <n v="438.4"/>
    <n v="3"/>
    <n v="0"/>
    <x v="11"/>
    <n v="0"/>
    <n v="0"/>
    <m/>
    <x v="0"/>
  </r>
  <r>
    <n v="101"/>
    <d v="2025-01-06T00:00:00"/>
    <n v="18"/>
    <s v="Female"/>
    <s v="North"/>
    <x v="1"/>
    <s v="CAMP6"/>
    <n v="334.2"/>
    <n v="8"/>
    <n v="0"/>
    <x v="11"/>
    <n v="0"/>
    <n v="0"/>
    <m/>
    <x v="0"/>
  </r>
  <r>
    <n v="1340"/>
    <d v="2025-01-06T00:00:00"/>
    <n v="28"/>
    <s v="Female"/>
    <s v="South"/>
    <x v="1"/>
    <s v="CAMP4"/>
    <n v="303.89999999999998"/>
    <n v="5"/>
    <n v="0"/>
    <x v="11"/>
    <n v="0"/>
    <n v="0"/>
    <m/>
    <x v="0"/>
  </r>
  <r>
    <n v="3383"/>
    <d v="2025-01-06T00:00:00"/>
    <n v="39"/>
    <s v="Female"/>
    <s v="West"/>
    <x v="1"/>
    <s v="CAMP2"/>
    <n v="302.60000000000002"/>
    <n v="6"/>
    <n v="0"/>
    <x v="11"/>
    <n v="0"/>
    <n v="0"/>
    <m/>
    <x v="0"/>
  </r>
  <r>
    <n v="1455"/>
    <d v="2025-01-06T00:00:00"/>
    <n v="26"/>
    <s v="Male"/>
    <s v="West"/>
    <x v="1"/>
    <s v="CAMP6"/>
    <n v="251.8"/>
    <n v="7"/>
    <n v="0"/>
    <x v="11"/>
    <n v="0"/>
    <n v="0"/>
    <m/>
    <x v="0"/>
  </r>
  <r>
    <n v="975"/>
    <d v="2025-01-06T00:00:00"/>
    <n v="30"/>
    <s v="Female"/>
    <s v="West"/>
    <x v="3"/>
    <m/>
    <n v="234.8"/>
    <n v="6"/>
    <n v="0"/>
    <x v="11"/>
    <n v="0"/>
    <n v="0"/>
    <m/>
    <x v="0"/>
  </r>
  <r>
    <n v="2419"/>
    <d v="2025-01-06T00:00:00"/>
    <n v="42"/>
    <s v="Male"/>
    <s v="East"/>
    <x v="1"/>
    <s v="CAMP1"/>
    <n v="227.2"/>
    <n v="8"/>
    <n v="0"/>
    <x v="11"/>
    <n v="0"/>
    <n v="0"/>
    <m/>
    <x v="0"/>
  </r>
  <r>
    <n v="1436"/>
    <d v="2025-01-06T00:00:00"/>
    <n v="18"/>
    <s v="Female"/>
    <s v="East"/>
    <x v="2"/>
    <m/>
    <n v="225.5"/>
    <n v="7"/>
    <n v="0"/>
    <x v="11"/>
    <n v="0"/>
    <n v="0"/>
    <m/>
    <x v="0"/>
  </r>
  <r>
    <n v="3655"/>
    <d v="2025-01-06T00:00:00"/>
    <n v="22"/>
    <s v="Female"/>
    <s v="North"/>
    <x v="0"/>
    <m/>
    <n v="215.1"/>
    <n v="8"/>
    <n v="0"/>
    <x v="11"/>
    <n v="0"/>
    <n v="0"/>
    <m/>
    <x v="0"/>
  </r>
  <r>
    <n v="2830"/>
    <d v="2025-01-06T00:00:00"/>
    <n v="35"/>
    <s v="Female"/>
    <s v="East"/>
    <x v="0"/>
    <m/>
    <n v="185.8"/>
    <n v="8"/>
    <n v="0"/>
    <x v="11"/>
    <n v="0"/>
    <n v="0"/>
    <m/>
    <x v="0"/>
  </r>
  <r>
    <n v="291"/>
    <d v="2025-01-06T00:00:00"/>
    <n v="22"/>
    <s v="Male"/>
    <s v="North"/>
    <x v="0"/>
    <m/>
    <n v="112.8"/>
    <n v="9"/>
    <n v="0"/>
    <x v="11"/>
    <n v="0"/>
    <n v="0"/>
    <m/>
    <x v="0"/>
  </r>
  <r>
    <n v="1289"/>
    <d v="2025-01-06T00:00:00"/>
    <n v="34"/>
    <s v="Male"/>
    <s v="North"/>
    <x v="1"/>
    <s v="CAMP3"/>
    <n v="100"/>
    <n v="5"/>
    <n v="0"/>
    <x v="11"/>
    <n v="0"/>
    <n v="0"/>
    <m/>
    <x v="0"/>
  </r>
  <r>
    <n v="1248"/>
    <d v="2025-01-06T00:00:00"/>
    <n v="34"/>
    <s v="Male"/>
    <s v="East"/>
    <x v="0"/>
    <m/>
    <n v="95.8"/>
    <n v="8"/>
    <n v="0"/>
    <x v="11"/>
    <n v="0"/>
    <n v="0"/>
    <m/>
    <x v="0"/>
  </r>
  <r>
    <n v="2183"/>
    <d v="2025-01-06T00:00:00"/>
    <n v="47"/>
    <s v="Male"/>
    <s v="East"/>
    <x v="0"/>
    <m/>
    <n v="67.3"/>
    <n v="11"/>
    <n v="0"/>
    <x v="11"/>
    <n v="0"/>
    <n v="0"/>
    <m/>
    <x v="0"/>
  </r>
  <r>
    <n v="558"/>
    <d v="2025-01-06T00:00:00"/>
    <n v="19"/>
    <s v="Female"/>
    <s v="South"/>
    <x v="0"/>
    <m/>
    <n v="45"/>
    <n v="4"/>
    <n v="0"/>
    <x v="11"/>
    <n v="0"/>
    <n v="0"/>
    <m/>
    <x v="0"/>
  </r>
  <r>
    <n v="4371"/>
    <d v="2025-02-06T00:00:00"/>
    <n v="52"/>
    <s v="Female"/>
    <s v="West"/>
    <x v="2"/>
    <m/>
    <n v="583.20000000000005"/>
    <n v="4"/>
    <n v="1"/>
    <x v="316"/>
    <n v="3"/>
    <n v="14"/>
    <n v="3"/>
    <x v="1"/>
  </r>
  <r>
    <n v="2505"/>
    <d v="2025-02-06T00:00:00"/>
    <n v="29"/>
    <s v="Female"/>
    <s v="East"/>
    <x v="3"/>
    <m/>
    <n v="549.29999999999995"/>
    <n v="5"/>
    <n v="1"/>
    <x v="317"/>
    <n v="1"/>
    <n v="11"/>
    <n v="4"/>
    <x v="1"/>
  </r>
  <r>
    <n v="2492"/>
    <d v="2025-02-06T00:00:00"/>
    <n v="24"/>
    <s v="Male"/>
    <s v="North"/>
    <x v="3"/>
    <m/>
    <n v="365.6"/>
    <n v="12"/>
    <n v="1"/>
    <x v="318"/>
    <n v="2"/>
    <n v="14"/>
    <n v="4"/>
    <x v="1"/>
  </r>
  <r>
    <n v="2466"/>
    <d v="2025-02-06T00:00:00"/>
    <n v="37"/>
    <s v="Male"/>
    <s v="West"/>
    <x v="1"/>
    <s v="CAMP5"/>
    <n v="604.1"/>
    <n v="4"/>
    <n v="1"/>
    <x v="319"/>
    <n v="2"/>
    <n v="6"/>
    <n v="5"/>
    <x v="1"/>
  </r>
  <r>
    <n v="1439"/>
    <d v="2025-02-06T00:00:00"/>
    <n v="22"/>
    <s v="Male"/>
    <s v="East"/>
    <x v="1"/>
    <s v="CAMP6"/>
    <n v="437.5"/>
    <n v="3"/>
    <n v="1"/>
    <x v="320"/>
    <n v="1"/>
    <n v="5"/>
    <n v="5"/>
    <x v="1"/>
  </r>
  <r>
    <n v="3051"/>
    <d v="2025-02-06T00:00:00"/>
    <n v="43"/>
    <s v="Female"/>
    <s v="South"/>
    <x v="0"/>
    <m/>
    <n v="1153.8"/>
    <n v="6"/>
    <n v="1"/>
    <x v="321"/>
    <n v="1"/>
    <n v="8"/>
    <n v="3"/>
    <x v="1"/>
  </r>
  <r>
    <n v="4881"/>
    <d v="2025-02-06T00:00:00"/>
    <n v="53"/>
    <s v="Male"/>
    <s v="West"/>
    <x v="3"/>
    <m/>
    <n v="969.9"/>
    <n v="7"/>
    <n v="1"/>
    <x v="322"/>
    <n v="1"/>
    <n v="2"/>
    <n v="4"/>
    <x v="1"/>
  </r>
  <r>
    <n v="896"/>
    <d v="2025-02-06T00:00:00"/>
    <n v="21"/>
    <s v="Female"/>
    <s v="West"/>
    <x v="1"/>
    <s v="CAMP6"/>
    <n v="284.8"/>
    <n v="8"/>
    <n v="1"/>
    <x v="323"/>
    <n v="2"/>
    <n v="8"/>
    <n v="4"/>
    <x v="1"/>
  </r>
  <r>
    <n v="3135"/>
    <d v="2025-02-06T00:00:00"/>
    <n v="41"/>
    <s v="Male"/>
    <s v="North"/>
    <x v="1"/>
    <s v="CAMP6"/>
    <n v="250.7"/>
    <n v="4"/>
    <n v="1"/>
    <x v="324"/>
    <n v="4"/>
    <n v="14"/>
    <n v="4"/>
    <x v="1"/>
  </r>
  <r>
    <n v="1627"/>
    <d v="2025-02-06T00:00:00"/>
    <n v="26"/>
    <s v="Female"/>
    <s v="South"/>
    <x v="0"/>
    <m/>
    <n v="388.2"/>
    <n v="10"/>
    <n v="1"/>
    <x v="325"/>
    <n v="1"/>
    <n v="3"/>
    <n v="4"/>
    <x v="1"/>
  </r>
  <r>
    <n v="1894"/>
    <d v="2025-02-06T00:00:00"/>
    <n v="32"/>
    <s v="Male"/>
    <s v="South"/>
    <x v="0"/>
    <m/>
    <n v="364.6"/>
    <n v="5"/>
    <n v="1"/>
    <x v="326"/>
    <n v="5"/>
    <n v="1"/>
    <n v="4"/>
    <x v="1"/>
  </r>
  <r>
    <n v="4962"/>
    <d v="2025-02-06T00:00:00"/>
    <n v="52"/>
    <s v="Male"/>
    <s v="West"/>
    <x v="0"/>
    <m/>
    <n v="545.6"/>
    <n v="6"/>
    <n v="0"/>
    <x v="11"/>
    <n v="0"/>
    <n v="0"/>
    <m/>
    <x v="1"/>
  </r>
  <r>
    <n v="3083"/>
    <d v="2025-02-06T00:00:00"/>
    <n v="44"/>
    <s v="Female"/>
    <s v="East"/>
    <x v="3"/>
    <m/>
    <n v="441.4"/>
    <n v="4"/>
    <n v="0"/>
    <x v="11"/>
    <n v="0"/>
    <n v="0"/>
    <m/>
    <x v="1"/>
  </r>
  <r>
    <n v="4723"/>
    <d v="2025-02-06T00:00:00"/>
    <n v="47"/>
    <s v="Male"/>
    <s v="West"/>
    <x v="0"/>
    <m/>
    <n v="334.7"/>
    <n v="6"/>
    <n v="0"/>
    <x v="11"/>
    <n v="0"/>
    <n v="0"/>
    <m/>
    <x v="1"/>
  </r>
  <r>
    <n v="3261"/>
    <d v="2025-02-06T00:00:00"/>
    <n v="42"/>
    <s v="Male"/>
    <s v="East"/>
    <x v="0"/>
    <m/>
    <n v="326.60000000000002"/>
    <n v="3"/>
    <n v="0"/>
    <x v="11"/>
    <n v="0"/>
    <n v="0"/>
    <m/>
    <x v="1"/>
  </r>
  <r>
    <n v="1296"/>
    <d v="2025-02-06T00:00:00"/>
    <n v="31"/>
    <s v="Male"/>
    <s v="East"/>
    <x v="0"/>
    <m/>
    <n v="273.2"/>
    <n v="10"/>
    <n v="0"/>
    <x v="11"/>
    <n v="0"/>
    <n v="0"/>
    <m/>
    <x v="1"/>
  </r>
  <r>
    <n v="2878"/>
    <d v="2025-02-06T00:00:00"/>
    <n v="31"/>
    <s v="Female"/>
    <s v="North"/>
    <x v="2"/>
    <m/>
    <n v="268.3"/>
    <n v="4"/>
    <n v="0"/>
    <x v="11"/>
    <n v="0"/>
    <n v="0"/>
    <m/>
    <x v="1"/>
  </r>
  <r>
    <n v="3656"/>
    <d v="2025-02-06T00:00:00"/>
    <n v="27"/>
    <s v="Male"/>
    <s v="North"/>
    <x v="1"/>
    <s v="CAMP6"/>
    <n v="255.5"/>
    <n v="7"/>
    <n v="0"/>
    <x v="11"/>
    <n v="0"/>
    <n v="0"/>
    <m/>
    <x v="1"/>
  </r>
  <r>
    <n v="4050"/>
    <d v="2025-02-06T00:00:00"/>
    <n v="50"/>
    <s v="Female"/>
    <s v="South"/>
    <x v="3"/>
    <m/>
    <n v="254"/>
    <n v="7"/>
    <n v="0"/>
    <x v="11"/>
    <n v="0"/>
    <n v="0"/>
    <m/>
    <x v="1"/>
  </r>
  <r>
    <n v="2093"/>
    <d v="2025-02-06T00:00:00"/>
    <n v="24"/>
    <s v="Female"/>
    <s v="West"/>
    <x v="1"/>
    <s v="CAMP2"/>
    <n v="242.7"/>
    <n v="6"/>
    <n v="0"/>
    <x v="11"/>
    <n v="0"/>
    <n v="0"/>
    <m/>
    <x v="1"/>
  </r>
  <r>
    <n v="729"/>
    <d v="2025-02-06T00:00:00"/>
    <n v="28"/>
    <s v="Male"/>
    <s v="East"/>
    <x v="3"/>
    <m/>
    <n v="188.4"/>
    <n v="6"/>
    <n v="0"/>
    <x v="11"/>
    <n v="0"/>
    <n v="0"/>
    <m/>
    <x v="1"/>
  </r>
  <r>
    <n v="2073"/>
    <d v="2025-02-06T00:00:00"/>
    <n v="39"/>
    <s v="Male"/>
    <s v="North"/>
    <x v="3"/>
    <m/>
    <n v="172"/>
    <n v="3"/>
    <n v="0"/>
    <x v="11"/>
    <n v="0"/>
    <n v="0"/>
    <m/>
    <x v="1"/>
  </r>
  <r>
    <n v="3348"/>
    <d v="2025-02-06T00:00:00"/>
    <n v="35"/>
    <s v="Male"/>
    <s v="West"/>
    <x v="3"/>
    <m/>
    <n v="141.80000000000001"/>
    <n v="9"/>
    <n v="0"/>
    <x v="11"/>
    <n v="0"/>
    <n v="0"/>
    <m/>
    <x v="1"/>
  </r>
  <r>
    <n v="1257"/>
    <d v="2025-02-06T00:00:00"/>
    <n v="21"/>
    <s v="Male"/>
    <s v="North"/>
    <x v="1"/>
    <s v="CAMP5"/>
    <n v="107.3"/>
    <n v="7"/>
    <n v="0"/>
    <x v="11"/>
    <n v="0"/>
    <n v="0"/>
    <m/>
    <x v="1"/>
  </r>
  <r>
    <n v="2067"/>
    <d v="2025-02-06T00:00:00"/>
    <n v="44"/>
    <s v="Female"/>
    <s v="East"/>
    <x v="1"/>
    <s v="CAMP3"/>
    <n v="101.6"/>
    <n v="5"/>
    <n v="0"/>
    <x v="11"/>
    <n v="0"/>
    <n v="0"/>
    <m/>
    <x v="1"/>
  </r>
  <r>
    <n v="2112"/>
    <d v="2025-02-06T00:00:00"/>
    <n v="42"/>
    <s v="Female"/>
    <s v="East"/>
    <x v="0"/>
    <m/>
    <n v="69.3"/>
    <n v="7"/>
    <n v="0"/>
    <x v="11"/>
    <n v="0"/>
    <n v="0"/>
    <m/>
    <x v="1"/>
  </r>
  <r>
    <n v="855"/>
    <d v="2025-02-06T00:00:00"/>
    <n v="27"/>
    <s v="Male"/>
    <s v="South"/>
    <x v="0"/>
    <m/>
    <n v="64"/>
    <n v="5"/>
    <n v="0"/>
    <x v="11"/>
    <n v="0"/>
    <n v="0"/>
    <m/>
    <x v="1"/>
  </r>
  <r>
    <n v="3290"/>
    <d v="2025-02-06T00:00:00"/>
    <n v="49"/>
    <s v="Female"/>
    <s v="North"/>
    <x v="0"/>
    <m/>
    <n v="63.8"/>
    <n v="4"/>
    <n v="0"/>
    <x v="11"/>
    <n v="0"/>
    <n v="0"/>
    <m/>
    <x v="1"/>
  </r>
  <r>
    <n v="1906"/>
    <d v="2025-02-06T00:00:00"/>
    <n v="27"/>
    <s v="Female"/>
    <s v="East"/>
    <x v="0"/>
    <m/>
    <n v="61.5"/>
    <n v="7"/>
    <n v="0"/>
    <x v="11"/>
    <n v="0"/>
    <n v="0"/>
    <m/>
    <x v="1"/>
  </r>
  <r>
    <n v="661"/>
    <d v="2025-03-06T00:00:00"/>
    <n v="33"/>
    <s v="Female"/>
    <s v="West"/>
    <x v="1"/>
    <s v="CAMP3"/>
    <n v="216.3"/>
    <n v="1"/>
    <n v="1"/>
    <x v="327"/>
    <n v="5"/>
    <n v="11"/>
    <n v="3"/>
    <x v="2"/>
  </r>
  <r>
    <n v="4007"/>
    <d v="2025-03-06T00:00:00"/>
    <n v="60"/>
    <s v="Female"/>
    <s v="East"/>
    <x v="0"/>
    <m/>
    <n v="425.5"/>
    <n v="7"/>
    <n v="1"/>
    <x v="328"/>
    <n v="3"/>
    <n v="5"/>
    <n v="4"/>
    <x v="2"/>
  </r>
  <r>
    <n v="3414"/>
    <d v="2025-03-06T00:00:00"/>
    <n v="42"/>
    <s v="Male"/>
    <s v="South"/>
    <x v="0"/>
    <m/>
    <n v="988.6"/>
    <n v="5"/>
    <n v="1"/>
    <x v="329"/>
    <n v="1"/>
    <n v="2"/>
    <n v="4"/>
    <x v="2"/>
  </r>
  <r>
    <n v="4404"/>
    <d v="2025-03-06T00:00:00"/>
    <n v="53"/>
    <s v="Male"/>
    <s v="West"/>
    <x v="0"/>
    <m/>
    <n v="679.5"/>
    <n v="8"/>
    <n v="1"/>
    <x v="330"/>
    <n v="1"/>
    <n v="14"/>
    <n v="3"/>
    <x v="2"/>
  </r>
  <r>
    <n v="4957"/>
    <d v="2025-03-06T00:00:00"/>
    <n v="39"/>
    <s v="Male"/>
    <s v="North"/>
    <x v="3"/>
    <m/>
    <n v="190.2"/>
    <n v="5"/>
    <n v="1"/>
    <x v="331"/>
    <n v="3"/>
    <n v="7"/>
    <n v="4"/>
    <x v="2"/>
  </r>
  <r>
    <n v="2820"/>
    <d v="2025-03-06T00:00:00"/>
    <n v="33"/>
    <s v="Female"/>
    <s v="East"/>
    <x v="2"/>
    <m/>
    <n v="396.7"/>
    <n v="6"/>
    <n v="1"/>
    <x v="332"/>
    <n v="2"/>
    <n v="10"/>
    <n v="3"/>
    <x v="2"/>
  </r>
  <r>
    <n v="3817"/>
    <d v="2025-03-06T00:00:00"/>
    <n v="36"/>
    <s v="Male"/>
    <s v="East"/>
    <x v="0"/>
    <m/>
    <n v="521.1"/>
    <n v="5"/>
    <n v="1"/>
    <x v="333"/>
    <n v="1"/>
    <n v="12"/>
    <n v="5"/>
    <x v="2"/>
  </r>
  <r>
    <n v="64"/>
    <d v="2025-03-06T00:00:00"/>
    <n v="28"/>
    <s v="Female"/>
    <s v="North"/>
    <x v="0"/>
    <m/>
    <n v="321"/>
    <n v="3"/>
    <n v="1"/>
    <x v="334"/>
    <n v="3"/>
    <n v="13"/>
    <n v="4"/>
    <x v="2"/>
  </r>
  <r>
    <n v="735"/>
    <d v="2025-03-06T00:00:00"/>
    <n v="28"/>
    <s v="Female"/>
    <s v="South"/>
    <x v="0"/>
    <m/>
    <n v="271.3"/>
    <n v="8"/>
    <n v="1"/>
    <x v="335"/>
    <n v="3"/>
    <n v="7"/>
    <n v="3"/>
    <x v="2"/>
  </r>
  <r>
    <n v="966"/>
    <d v="2025-03-06T00:00:00"/>
    <n v="19"/>
    <s v="Male"/>
    <s v="North"/>
    <x v="1"/>
    <s v="CAMP1"/>
    <n v="626.70000000000005"/>
    <n v="4"/>
    <n v="1"/>
    <x v="336"/>
    <n v="3"/>
    <n v="9"/>
    <n v="5"/>
    <x v="2"/>
  </r>
  <r>
    <n v="1654"/>
    <d v="2025-03-06T00:00:00"/>
    <n v="18"/>
    <s v="Female"/>
    <s v="North"/>
    <x v="2"/>
    <m/>
    <n v="367.2"/>
    <n v="4"/>
    <n v="1"/>
    <x v="337"/>
    <n v="2"/>
    <n v="7"/>
    <n v="5"/>
    <x v="2"/>
  </r>
  <r>
    <n v="294"/>
    <d v="2025-03-06T00:00:00"/>
    <n v="19"/>
    <s v="Female"/>
    <s v="South"/>
    <x v="0"/>
    <m/>
    <n v="242.8"/>
    <n v="8"/>
    <n v="1"/>
    <x v="338"/>
    <n v="2"/>
    <n v="9"/>
    <n v="5"/>
    <x v="2"/>
  </r>
  <r>
    <n v="79"/>
    <d v="2025-03-06T00:00:00"/>
    <n v="36"/>
    <s v="Male"/>
    <s v="East"/>
    <x v="1"/>
    <s v="CAMP7"/>
    <n v="790.6"/>
    <n v="6"/>
    <n v="0"/>
    <x v="11"/>
    <n v="0"/>
    <n v="0"/>
    <m/>
    <x v="2"/>
  </r>
  <r>
    <n v="995"/>
    <d v="2025-03-06T00:00:00"/>
    <n v="25"/>
    <s v="Male"/>
    <s v="South"/>
    <x v="1"/>
    <s v="CAMP1"/>
    <n v="746.1"/>
    <n v="10"/>
    <n v="0"/>
    <x v="11"/>
    <n v="0"/>
    <n v="0"/>
    <m/>
    <x v="2"/>
  </r>
  <r>
    <n v="2617"/>
    <d v="2025-03-06T00:00:00"/>
    <n v="40"/>
    <s v="Male"/>
    <s v="North"/>
    <x v="0"/>
    <m/>
    <n v="636.4"/>
    <n v="6"/>
    <n v="0"/>
    <x v="11"/>
    <n v="0"/>
    <n v="0"/>
    <m/>
    <x v="2"/>
  </r>
  <r>
    <n v="4030"/>
    <d v="2025-03-06T00:00:00"/>
    <n v="56"/>
    <s v="Female"/>
    <s v="South"/>
    <x v="3"/>
    <m/>
    <n v="459.4"/>
    <n v="8"/>
    <n v="0"/>
    <x v="11"/>
    <n v="0"/>
    <n v="0"/>
    <m/>
    <x v="2"/>
  </r>
  <r>
    <n v="2646"/>
    <d v="2025-03-06T00:00:00"/>
    <n v="33"/>
    <s v="Female"/>
    <s v="North"/>
    <x v="0"/>
    <m/>
    <n v="455"/>
    <n v="3"/>
    <n v="0"/>
    <x v="11"/>
    <n v="0"/>
    <n v="0"/>
    <m/>
    <x v="2"/>
  </r>
  <r>
    <n v="4154"/>
    <d v="2025-03-06T00:00:00"/>
    <n v="76"/>
    <s v="Male"/>
    <s v="West"/>
    <x v="3"/>
    <m/>
    <n v="410.1"/>
    <n v="9"/>
    <n v="0"/>
    <x v="11"/>
    <n v="0"/>
    <n v="0"/>
    <m/>
    <x v="2"/>
  </r>
  <r>
    <n v="331"/>
    <d v="2025-03-06T00:00:00"/>
    <n v="18"/>
    <s v="Male"/>
    <s v="South"/>
    <x v="1"/>
    <s v="CAMP7"/>
    <n v="378.3"/>
    <n v="3"/>
    <n v="0"/>
    <x v="11"/>
    <n v="0"/>
    <n v="0"/>
    <m/>
    <x v="2"/>
  </r>
  <r>
    <n v="4233"/>
    <d v="2025-03-06T00:00:00"/>
    <n v="45"/>
    <s v="Male"/>
    <s v="South"/>
    <x v="0"/>
    <m/>
    <n v="361.6"/>
    <n v="5"/>
    <n v="0"/>
    <x v="11"/>
    <n v="0"/>
    <n v="0"/>
    <m/>
    <x v="2"/>
  </r>
  <r>
    <n v="4867"/>
    <d v="2025-03-06T00:00:00"/>
    <n v="55"/>
    <s v="Female"/>
    <s v="South"/>
    <x v="3"/>
    <m/>
    <n v="278.39999999999998"/>
    <n v="9"/>
    <n v="0"/>
    <x v="11"/>
    <n v="0"/>
    <n v="0"/>
    <m/>
    <x v="2"/>
  </r>
  <r>
    <n v="546"/>
    <d v="2025-03-06T00:00:00"/>
    <n v="22"/>
    <s v="Male"/>
    <s v="South"/>
    <x v="0"/>
    <m/>
    <n v="277.60000000000002"/>
    <n v="10"/>
    <n v="0"/>
    <x v="11"/>
    <n v="0"/>
    <n v="0"/>
    <m/>
    <x v="2"/>
  </r>
  <r>
    <n v="2579"/>
    <d v="2025-03-06T00:00:00"/>
    <n v="32"/>
    <s v="Male"/>
    <s v="South"/>
    <x v="1"/>
    <s v="CAMP3"/>
    <n v="259.89999999999998"/>
    <n v="10"/>
    <n v="0"/>
    <x v="11"/>
    <n v="0"/>
    <n v="0"/>
    <m/>
    <x v="2"/>
  </r>
  <r>
    <n v="1379"/>
    <d v="2025-03-06T00:00:00"/>
    <n v="26"/>
    <s v="Female"/>
    <s v="East"/>
    <x v="0"/>
    <m/>
    <n v="224.6"/>
    <n v="6"/>
    <n v="0"/>
    <x v="11"/>
    <n v="0"/>
    <n v="0"/>
    <m/>
    <x v="2"/>
  </r>
  <r>
    <n v="269"/>
    <d v="2025-03-06T00:00:00"/>
    <n v="24"/>
    <s v="Male"/>
    <s v="South"/>
    <x v="1"/>
    <s v="CAMP2"/>
    <n v="207.4"/>
    <n v="12"/>
    <n v="0"/>
    <x v="11"/>
    <n v="0"/>
    <n v="0"/>
    <m/>
    <x v="2"/>
  </r>
  <r>
    <n v="2148"/>
    <d v="2025-03-06T00:00:00"/>
    <n v="35"/>
    <s v="Male"/>
    <s v="North"/>
    <x v="0"/>
    <m/>
    <n v="178.6"/>
    <n v="6"/>
    <n v="0"/>
    <x v="11"/>
    <n v="0"/>
    <n v="0"/>
    <m/>
    <x v="2"/>
  </r>
  <r>
    <n v="2846"/>
    <d v="2025-03-06T00:00:00"/>
    <n v="26"/>
    <s v="Female"/>
    <s v="South"/>
    <x v="3"/>
    <m/>
    <n v="158.30000000000001"/>
    <n v="7"/>
    <n v="0"/>
    <x v="11"/>
    <n v="0"/>
    <n v="0"/>
    <m/>
    <x v="2"/>
  </r>
  <r>
    <n v="4478"/>
    <d v="2025-03-06T00:00:00"/>
    <n v="45"/>
    <s v="Male"/>
    <s v="East"/>
    <x v="3"/>
    <m/>
    <n v="129.1"/>
    <n v="10"/>
    <n v="0"/>
    <x v="11"/>
    <n v="0"/>
    <n v="0"/>
    <m/>
    <x v="2"/>
  </r>
  <r>
    <n v="4692"/>
    <d v="2025-03-06T00:00:00"/>
    <n v="61"/>
    <s v="Other"/>
    <s v="North"/>
    <x v="1"/>
    <s v="CAMP2"/>
    <n v="118.2"/>
    <n v="9"/>
    <n v="0"/>
    <x v="11"/>
    <n v="0"/>
    <n v="0"/>
    <m/>
    <x v="2"/>
  </r>
  <r>
    <n v="2850"/>
    <d v="2025-03-06T00:00:00"/>
    <n v="31"/>
    <s v="Male"/>
    <s v="West"/>
    <x v="1"/>
    <s v="CAMP7"/>
    <n v="107.9"/>
    <n v="7"/>
    <n v="0"/>
    <x v="11"/>
    <n v="0"/>
    <n v="0"/>
    <m/>
    <x v="2"/>
  </r>
  <r>
    <n v="3187"/>
    <d v="2025-03-06T00:00:00"/>
    <n v="37"/>
    <s v="Female"/>
    <s v="West"/>
    <x v="3"/>
    <m/>
    <n v="104.3"/>
    <n v="15"/>
    <n v="0"/>
    <x v="11"/>
    <n v="0"/>
    <n v="0"/>
    <m/>
    <x v="2"/>
  </r>
  <r>
    <n v="2524"/>
    <d v="2025-03-06T00:00:00"/>
    <n v="41"/>
    <s v="Male"/>
    <s v="West"/>
    <x v="0"/>
    <m/>
    <n v="63.3"/>
    <n v="6"/>
    <n v="0"/>
    <x v="11"/>
    <n v="0"/>
    <n v="0"/>
    <m/>
    <x v="2"/>
  </r>
  <r>
    <n v="2767"/>
    <d v="2025-04-06T00:00:00"/>
    <n v="47"/>
    <s v="Male"/>
    <s v="East"/>
    <x v="0"/>
    <m/>
    <n v="406"/>
    <n v="2"/>
    <n v="1"/>
    <x v="339"/>
    <n v="4"/>
    <n v="12"/>
    <n v="5"/>
    <x v="3"/>
  </r>
  <r>
    <n v="1613"/>
    <d v="2025-04-06T00:00:00"/>
    <n v="25"/>
    <s v="Female"/>
    <s v="West"/>
    <x v="1"/>
    <s v="CAMP5"/>
    <n v="161.5"/>
    <n v="6"/>
    <n v="1"/>
    <x v="340"/>
    <n v="2"/>
    <n v="3"/>
    <n v="4"/>
    <x v="3"/>
  </r>
  <r>
    <n v="3841"/>
    <d v="2025-04-06T00:00:00"/>
    <n v="51"/>
    <s v="Male"/>
    <s v="East"/>
    <x v="0"/>
    <m/>
    <n v="549.20000000000005"/>
    <n v="5"/>
    <n v="1"/>
    <x v="341"/>
    <n v="5"/>
    <n v="11"/>
    <n v="4"/>
    <x v="3"/>
  </r>
  <r>
    <n v="189"/>
    <d v="2025-04-06T00:00:00"/>
    <n v="24"/>
    <s v="Male"/>
    <s v="West"/>
    <x v="0"/>
    <m/>
    <n v="243.1"/>
    <n v="2"/>
    <n v="1"/>
    <x v="342"/>
    <n v="5"/>
    <n v="9"/>
    <n v="4"/>
    <x v="3"/>
  </r>
  <r>
    <n v="302"/>
    <d v="2025-04-06T00:00:00"/>
    <n v="28"/>
    <s v="Male"/>
    <s v="West"/>
    <x v="1"/>
    <s v="CAMP2"/>
    <n v="844.7"/>
    <n v="7"/>
    <n v="1"/>
    <x v="343"/>
    <n v="1"/>
    <n v="8"/>
    <n v="5"/>
    <x v="3"/>
  </r>
  <r>
    <n v="701"/>
    <d v="2025-04-06T00:00:00"/>
    <n v="24"/>
    <s v="Female"/>
    <s v="South"/>
    <x v="1"/>
    <s v="CAMP4"/>
    <n v="373.8"/>
    <n v="5"/>
    <n v="1"/>
    <x v="344"/>
    <n v="5"/>
    <n v="3"/>
    <n v="4"/>
    <x v="3"/>
  </r>
  <r>
    <n v="1052"/>
    <d v="2025-04-06T00:00:00"/>
    <n v="28"/>
    <s v="Male"/>
    <s v="East"/>
    <x v="3"/>
    <m/>
    <n v="854.2"/>
    <n v="7"/>
    <n v="0"/>
    <x v="11"/>
    <n v="0"/>
    <n v="0"/>
    <m/>
    <x v="3"/>
  </r>
  <r>
    <n v="3797"/>
    <d v="2025-04-06T00:00:00"/>
    <n v="52"/>
    <s v="Male"/>
    <s v="North"/>
    <x v="1"/>
    <s v="CAMP4"/>
    <n v="540.9"/>
    <n v="9"/>
    <n v="0"/>
    <x v="11"/>
    <n v="0"/>
    <n v="0"/>
    <m/>
    <x v="3"/>
  </r>
  <r>
    <n v="1415"/>
    <d v="2025-04-06T00:00:00"/>
    <n v="18"/>
    <s v="Male"/>
    <s v="East"/>
    <x v="1"/>
    <s v="CAMP6"/>
    <n v="440"/>
    <n v="5"/>
    <n v="0"/>
    <x v="11"/>
    <n v="0"/>
    <n v="0"/>
    <m/>
    <x v="3"/>
  </r>
  <r>
    <n v="1826"/>
    <d v="2025-04-06T00:00:00"/>
    <n v="34"/>
    <s v="Female"/>
    <s v="South"/>
    <x v="0"/>
    <m/>
    <n v="359.1"/>
    <n v="8"/>
    <n v="0"/>
    <x v="11"/>
    <n v="0"/>
    <n v="0"/>
    <m/>
    <x v="3"/>
  </r>
  <r>
    <n v="4174"/>
    <d v="2025-04-06T00:00:00"/>
    <n v="48"/>
    <s v="Female"/>
    <s v="West"/>
    <x v="1"/>
    <s v="CAMP4"/>
    <n v="338.1"/>
    <n v="4"/>
    <n v="0"/>
    <x v="11"/>
    <n v="0"/>
    <n v="0"/>
    <m/>
    <x v="3"/>
  </r>
  <r>
    <n v="3251"/>
    <d v="2025-04-06T00:00:00"/>
    <n v="34"/>
    <s v="Female"/>
    <s v="West"/>
    <x v="0"/>
    <m/>
    <n v="303"/>
    <n v="2"/>
    <n v="0"/>
    <x v="11"/>
    <n v="0"/>
    <n v="0"/>
    <m/>
    <x v="3"/>
  </r>
  <r>
    <n v="637"/>
    <d v="2025-04-06T00:00:00"/>
    <n v="22"/>
    <s v="Female"/>
    <s v="West"/>
    <x v="1"/>
    <s v="CAMP1"/>
    <n v="264.89999999999998"/>
    <n v="7"/>
    <n v="0"/>
    <x v="11"/>
    <n v="0"/>
    <n v="0"/>
    <m/>
    <x v="3"/>
  </r>
  <r>
    <n v="2015"/>
    <d v="2025-04-06T00:00:00"/>
    <n v="34"/>
    <s v="Female"/>
    <s v="East"/>
    <x v="0"/>
    <m/>
    <n v="260"/>
    <n v="1"/>
    <n v="0"/>
    <x v="11"/>
    <n v="0"/>
    <n v="0"/>
    <m/>
    <x v="3"/>
  </r>
  <r>
    <n v="2691"/>
    <d v="2025-04-06T00:00:00"/>
    <n v="32"/>
    <s v="Male"/>
    <s v="South"/>
    <x v="0"/>
    <m/>
    <n v="221.8"/>
    <n v="3"/>
    <n v="0"/>
    <x v="11"/>
    <n v="0"/>
    <n v="0"/>
    <m/>
    <x v="3"/>
  </r>
  <r>
    <n v="3999"/>
    <d v="2025-04-06T00:00:00"/>
    <n v="30"/>
    <s v="Female"/>
    <s v="East"/>
    <x v="0"/>
    <m/>
    <n v="153.4"/>
    <n v="7"/>
    <n v="0"/>
    <x v="11"/>
    <n v="0"/>
    <n v="0"/>
    <m/>
    <x v="3"/>
  </r>
  <r>
    <n v="634"/>
    <d v="2025-04-06T00:00:00"/>
    <n v="24"/>
    <s v="Female"/>
    <s v="South"/>
    <x v="0"/>
    <m/>
    <n v="130.19999999999999"/>
    <n v="5"/>
    <n v="0"/>
    <x v="11"/>
    <n v="0"/>
    <n v="0"/>
    <m/>
    <x v="3"/>
  </r>
  <r>
    <n v="3892"/>
    <d v="2025-04-06T00:00:00"/>
    <n v="47"/>
    <s v="Male"/>
    <s v="South"/>
    <x v="1"/>
    <s v="CAMP6"/>
    <n v="107.3"/>
    <n v="5"/>
    <n v="0"/>
    <x v="11"/>
    <n v="0"/>
    <n v="0"/>
    <m/>
    <x v="3"/>
  </r>
  <r>
    <n v="2102"/>
    <d v="2025-04-06T00:00:00"/>
    <n v="32"/>
    <s v="Female"/>
    <s v="East"/>
    <x v="3"/>
    <m/>
    <n v="48.5"/>
    <n v="4"/>
    <n v="0"/>
    <x v="11"/>
    <n v="0"/>
    <n v="0"/>
    <m/>
    <x v="3"/>
  </r>
  <r>
    <n v="3763"/>
    <d v="2025-04-06T00:00:00"/>
    <n v="42"/>
    <s v="Male"/>
    <s v="North"/>
    <x v="1"/>
    <s v="CAMP7"/>
    <n v="35"/>
    <n v="3"/>
    <n v="0"/>
    <x v="11"/>
    <n v="0"/>
    <n v="0"/>
    <m/>
    <x v="3"/>
  </r>
  <r>
    <n v="4123"/>
    <d v="2025-05-06T00:00:00"/>
    <n v="41"/>
    <s v="Male"/>
    <s v="North"/>
    <x v="2"/>
    <m/>
    <n v="624.70000000000005"/>
    <n v="5"/>
    <n v="1"/>
    <x v="345"/>
    <n v="1"/>
    <n v="1"/>
    <n v="4"/>
    <x v="4"/>
  </r>
  <r>
    <n v="992"/>
    <d v="2025-05-06T00:00:00"/>
    <n v="31"/>
    <s v="Male"/>
    <s v="East"/>
    <x v="1"/>
    <s v="CAMP3"/>
    <n v="401.5"/>
    <n v="2"/>
    <n v="1"/>
    <x v="346"/>
    <n v="2"/>
    <n v="4"/>
    <n v="5"/>
    <x v="4"/>
  </r>
  <r>
    <n v="2952"/>
    <d v="2025-05-06T00:00:00"/>
    <n v="39"/>
    <s v="Male"/>
    <s v="North"/>
    <x v="0"/>
    <m/>
    <n v="471.6"/>
    <n v="8"/>
    <n v="1"/>
    <x v="347"/>
    <n v="2"/>
    <n v="8"/>
    <n v="4"/>
    <x v="4"/>
  </r>
  <r>
    <n v="4878"/>
    <d v="2025-05-06T00:00:00"/>
    <n v="53"/>
    <s v="Female"/>
    <s v="North"/>
    <x v="0"/>
    <m/>
    <n v="931"/>
    <n v="8"/>
    <n v="1"/>
    <x v="348"/>
    <n v="4"/>
    <n v="6"/>
    <n v="5"/>
    <x v="4"/>
  </r>
  <r>
    <n v="799"/>
    <d v="2025-05-06T00:00:00"/>
    <n v="28"/>
    <s v="Male"/>
    <s v="North"/>
    <x v="3"/>
    <m/>
    <n v="127.9"/>
    <n v="7"/>
    <n v="1"/>
    <x v="349"/>
    <n v="3"/>
    <n v="1"/>
    <n v="4"/>
    <x v="4"/>
  </r>
  <r>
    <n v="382"/>
    <d v="2025-05-06T00:00:00"/>
    <n v="20"/>
    <s v="Male"/>
    <s v="East"/>
    <x v="0"/>
    <m/>
    <n v="778.6"/>
    <n v="4"/>
    <n v="1"/>
    <x v="350"/>
    <n v="4"/>
    <n v="9"/>
    <n v="4"/>
    <x v="4"/>
  </r>
  <r>
    <n v="4492"/>
    <d v="2025-05-06T00:00:00"/>
    <n v="57"/>
    <s v="Female"/>
    <s v="South"/>
    <x v="0"/>
    <m/>
    <n v="787"/>
    <n v="2"/>
    <n v="1"/>
    <x v="219"/>
    <n v="3"/>
    <n v="15"/>
    <n v="3"/>
    <x v="4"/>
  </r>
  <r>
    <n v="3474"/>
    <d v="2025-05-06T00:00:00"/>
    <n v="21"/>
    <s v="Female"/>
    <s v="West"/>
    <x v="0"/>
    <m/>
    <n v="467.2"/>
    <n v="8"/>
    <n v="1"/>
    <x v="351"/>
    <n v="2"/>
    <n v="2"/>
    <n v="5"/>
    <x v="4"/>
  </r>
  <r>
    <n v="3357"/>
    <d v="2025-05-06T00:00:00"/>
    <n v="29"/>
    <s v="Male"/>
    <s v="North"/>
    <x v="3"/>
    <m/>
    <n v="237.5"/>
    <n v="7"/>
    <n v="1"/>
    <x v="352"/>
    <n v="2"/>
    <n v="14"/>
    <n v="5"/>
    <x v="4"/>
  </r>
  <r>
    <n v="1488"/>
    <d v="2025-05-06T00:00:00"/>
    <n v="18"/>
    <s v="Female"/>
    <s v="South"/>
    <x v="3"/>
    <m/>
    <n v="447"/>
    <n v="3"/>
    <n v="1"/>
    <x v="353"/>
    <n v="4"/>
    <n v="6"/>
    <n v="4"/>
    <x v="4"/>
  </r>
  <r>
    <n v="1921"/>
    <d v="2025-05-06T00:00:00"/>
    <n v="32"/>
    <s v="Male"/>
    <s v="North"/>
    <x v="1"/>
    <s v="CAMP7"/>
    <n v="188.5"/>
    <n v="8"/>
    <n v="1"/>
    <x v="354"/>
    <n v="2"/>
    <n v="4"/>
    <n v="5"/>
    <x v="4"/>
  </r>
  <r>
    <n v="3380"/>
    <d v="2025-05-06T00:00:00"/>
    <n v="34"/>
    <s v="Male"/>
    <s v="South"/>
    <x v="2"/>
    <m/>
    <n v="467.9"/>
    <n v="7"/>
    <n v="1"/>
    <x v="355"/>
    <n v="3"/>
    <n v="4"/>
    <n v="5"/>
    <x v="4"/>
  </r>
  <r>
    <n v="4670"/>
    <d v="2025-05-06T00:00:00"/>
    <n v="56"/>
    <s v="Male"/>
    <s v="North"/>
    <x v="0"/>
    <m/>
    <n v="621.29999999999995"/>
    <n v="4"/>
    <n v="1"/>
    <x v="356"/>
    <n v="4"/>
    <n v="10"/>
    <n v="4"/>
    <x v="4"/>
  </r>
  <r>
    <n v="1680"/>
    <d v="2025-05-06T00:00:00"/>
    <n v="18"/>
    <s v="Male"/>
    <s v="South"/>
    <x v="0"/>
    <m/>
    <n v="82"/>
    <n v="4"/>
    <n v="1"/>
    <x v="357"/>
    <n v="5"/>
    <n v="15"/>
    <n v="4"/>
    <x v="4"/>
  </r>
  <r>
    <n v="3244"/>
    <d v="2025-05-06T00:00:00"/>
    <n v="40"/>
    <s v="Male"/>
    <s v="West"/>
    <x v="0"/>
    <m/>
    <n v="619.1"/>
    <n v="7"/>
    <n v="0"/>
    <x v="11"/>
    <n v="0"/>
    <n v="0"/>
    <m/>
    <x v="4"/>
  </r>
  <r>
    <n v="2104"/>
    <d v="2025-05-06T00:00:00"/>
    <n v="32"/>
    <s v="Female"/>
    <s v="South"/>
    <x v="3"/>
    <m/>
    <n v="610.6"/>
    <n v="5"/>
    <n v="0"/>
    <x v="11"/>
    <n v="0"/>
    <n v="0"/>
    <m/>
    <x v="4"/>
  </r>
  <r>
    <n v="1109"/>
    <d v="2025-05-06T00:00:00"/>
    <n v="29"/>
    <s v="Other"/>
    <s v="West"/>
    <x v="1"/>
    <s v="CAMP3"/>
    <n v="573.20000000000005"/>
    <n v="6"/>
    <n v="0"/>
    <x v="11"/>
    <n v="0"/>
    <n v="0"/>
    <m/>
    <x v="4"/>
  </r>
  <r>
    <n v="2956"/>
    <d v="2025-05-06T00:00:00"/>
    <n v="26"/>
    <s v="Female"/>
    <s v="East"/>
    <x v="0"/>
    <m/>
    <n v="429.1"/>
    <n v="5"/>
    <n v="0"/>
    <x v="11"/>
    <n v="0"/>
    <n v="0"/>
    <m/>
    <x v="4"/>
  </r>
  <r>
    <n v="1153"/>
    <d v="2025-05-06T00:00:00"/>
    <n v="24"/>
    <s v="Female"/>
    <s v="South"/>
    <x v="3"/>
    <m/>
    <n v="424.1"/>
    <n v="9"/>
    <n v="0"/>
    <x v="11"/>
    <n v="0"/>
    <n v="0"/>
    <m/>
    <x v="4"/>
  </r>
  <r>
    <n v="1021"/>
    <d v="2025-05-06T00:00:00"/>
    <n v="24"/>
    <s v="Male"/>
    <s v="East"/>
    <x v="1"/>
    <s v="CAMP1"/>
    <n v="407.1"/>
    <n v="5"/>
    <n v="0"/>
    <x v="11"/>
    <n v="0"/>
    <n v="0"/>
    <m/>
    <x v="4"/>
  </r>
  <r>
    <n v="1271"/>
    <d v="2025-05-06T00:00:00"/>
    <n v="24"/>
    <s v="Male"/>
    <s v="North"/>
    <x v="1"/>
    <s v="CAMP5"/>
    <n v="406.8"/>
    <n v="3"/>
    <n v="0"/>
    <x v="11"/>
    <n v="0"/>
    <n v="0"/>
    <m/>
    <x v="4"/>
  </r>
  <r>
    <n v="501"/>
    <d v="2025-05-06T00:00:00"/>
    <n v="28"/>
    <s v="Male"/>
    <s v="North"/>
    <x v="0"/>
    <m/>
    <n v="310.39999999999998"/>
    <n v="5"/>
    <n v="0"/>
    <x v="11"/>
    <n v="0"/>
    <n v="0"/>
    <m/>
    <x v="4"/>
  </r>
  <r>
    <n v="1587"/>
    <d v="2025-05-06T00:00:00"/>
    <n v="24"/>
    <s v="Female"/>
    <s v="East"/>
    <x v="3"/>
    <m/>
    <n v="255.5"/>
    <n v="5"/>
    <n v="0"/>
    <x v="11"/>
    <n v="0"/>
    <n v="0"/>
    <m/>
    <x v="4"/>
  </r>
  <r>
    <n v="482"/>
    <d v="2025-05-06T00:00:00"/>
    <n v="30"/>
    <s v="Other"/>
    <s v="East"/>
    <x v="3"/>
    <m/>
    <n v="230.5"/>
    <n v="4"/>
    <n v="0"/>
    <x v="11"/>
    <n v="0"/>
    <n v="0"/>
    <m/>
    <x v="4"/>
  </r>
  <r>
    <n v="316"/>
    <d v="2025-05-06T00:00:00"/>
    <n v="32"/>
    <s v="Female"/>
    <s v="North"/>
    <x v="0"/>
    <m/>
    <n v="228.6"/>
    <n v="5"/>
    <n v="0"/>
    <x v="11"/>
    <n v="0"/>
    <n v="0"/>
    <m/>
    <x v="4"/>
  </r>
  <r>
    <n v="3370"/>
    <d v="2025-05-06T00:00:00"/>
    <n v="29"/>
    <s v="Male"/>
    <s v="North"/>
    <x v="1"/>
    <s v="CAMP2"/>
    <n v="209.3"/>
    <n v="8"/>
    <n v="0"/>
    <x v="11"/>
    <n v="0"/>
    <n v="0"/>
    <m/>
    <x v="4"/>
  </r>
  <r>
    <n v="4013"/>
    <d v="2025-05-06T00:00:00"/>
    <n v="64"/>
    <s v="Female"/>
    <s v="West"/>
    <x v="1"/>
    <s v="CAMP2"/>
    <n v="189.1"/>
    <n v="3"/>
    <n v="0"/>
    <x v="11"/>
    <n v="0"/>
    <n v="0"/>
    <m/>
    <x v="4"/>
  </r>
  <r>
    <n v="267"/>
    <d v="2025-05-06T00:00:00"/>
    <n v="21"/>
    <s v="Female"/>
    <s v="North"/>
    <x v="1"/>
    <s v="CAMP2"/>
    <n v="167.7"/>
    <n v="3"/>
    <n v="0"/>
    <x v="11"/>
    <n v="0"/>
    <n v="0"/>
    <m/>
    <x v="4"/>
  </r>
  <r>
    <n v="3459"/>
    <d v="2025-05-06T00:00:00"/>
    <n v="30"/>
    <s v="Female"/>
    <s v="North"/>
    <x v="1"/>
    <s v="CAMP7"/>
    <n v="166.5"/>
    <n v="4"/>
    <n v="0"/>
    <x v="11"/>
    <n v="0"/>
    <n v="0"/>
    <m/>
    <x v="4"/>
  </r>
  <r>
    <n v="258"/>
    <d v="2025-05-06T00:00:00"/>
    <n v="28"/>
    <s v="Female"/>
    <s v="East"/>
    <x v="0"/>
    <m/>
    <n v="131.19999999999999"/>
    <n v="6"/>
    <n v="0"/>
    <x v="11"/>
    <n v="0"/>
    <n v="0"/>
    <m/>
    <x v="4"/>
  </r>
  <r>
    <n v="1718"/>
    <d v="2025-05-06T00:00:00"/>
    <n v="22"/>
    <s v="Female"/>
    <s v="East"/>
    <x v="3"/>
    <m/>
    <n v="80.7"/>
    <n v="5"/>
    <n v="0"/>
    <x v="11"/>
    <n v="0"/>
    <n v="0"/>
    <m/>
    <x v="4"/>
  </r>
  <r>
    <n v="1036"/>
    <d v="2025-05-06T00:00:00"/>
    <n v="26"/>
    <s v="Female"/>
    <s v="North"/>
    <x v="0"/>
    <m/>
    <n v="75.8"/>
    <n v="8"/>
    <n v="0"/>
    <x v="11"/>
    <n v="0"/>
    <n v="0"/>
    <m/>
    <x v="4"/>
  </r>
  <r>
    <n v="3628"/>
    <d v="2025-06-06T00:00:00"/>
    <n v="30"/>
    <s v="Male"/>
    <s v="South"/>
    <x v="2"/>
    <m/>
    <n v="342.4"/>
    <n v="7"/>
    <n v="1"/>
    <x v="358"/>
    <n v="3"/>
    <n v="7"/>
    <n v="3"/>
    <x v="5"/>
  </r>
  <r>
    <n v="1323"/>
    <d v="2025-06-06T00:00:00"/>
    <n v="31"/>
    <s v="Male"/>
    <s v="West"/>
    <x v="1"/>
    <s v="CAMP7"/>
    <n v="529.5"/>
    <n v="5"/>
    <n v="1"/>
    <x v="359"/>
    <n v="5"/>
    <n v="5"/>
    <n v="5"/>
    <x v="5"/>
  </r>
  <r>
    <n v="921"/>
    <d v="2025-06-06T00:00:00"/>
    <n v="22"/>
    <s v="Female"/>
    <s v="South"/>
    <x v="2"/>
    <m/>
    <n v="948.9"/>
    <n v="8"/>
    <n v="1"/>
    <x v="360"/>
    <n v="3"/>
    <n v="9"/>
    <n v="4"/>
    <x v="5"/>
  </r>
  <r>
    <n v="468"/>
    <d v="2025-06-06T00:00:00"/>
    <n v="29"/>
    <s v="Female"/>
    <s v="West"/>
    <x v="0"/>
    <m/>
    <n v="335.9"/>
    <n v="8"/>
    <n v="1"/>
    <x v="361"/>
    <n v="1"/>
    <n v="8"/>
    <n v="4"/>
    <x v="5"/>
  </r>
  <r>
    <n v="1343"/>
    <d v="2025-06-06T00:00:00"/>
    <n v="33"/>
    <s v="Male"/>
    <s v="East"/>
    <x v="3"/>
    <m/>
    <n v="224"/>
    <n v="4"/>
    <n v="1"/>
    <x v="362"/>
    <n v="3"/>
    <n v="13"/>
    <n v="4"/>
    <x v="5"/>
  </r>
  <r>
    <n v="273"/>
    <d v="2025-06-06T00:00:00"/>
    <n v="25"/>
    <s v="Female"/>
    <s v="East"/>
    <x v="1"/>
    <s v="CAMP4"/>
    <n v="304.10000000000002"/>
    <n v="6"/>
    <n v="1"/>
    <x v="363"/>
    <n v="4"/>
    <n v="7"/>
    <n v="3"/>
    <x v="5"/>
  </r>
  <r>
    <n v="3000"/>
    <d v="2025-06-06T00:00:00"/>
    <n v="43"/>
    <s v="Male"/>
    <s v="West"/>
    <x v="0"/>
    <m/>
    <n v="554"/>
    <n v="7"/>
    <n v="1"/>
    <x v="364"/>
    <n v="4"/>
    <n v="15"/>
    <n v="3"/>
    <x v="5"/>
  </r>
  <r>
    <n v="3956"/>
    <d v="2025-06-06T00:00:00"/>
    <n v="49"/>
    <s v="Female"/>
    <s v="South"/>
    <x v="1"/>
    <s v="CAMP6"/>
    <n v="498.1"/>
    <n v="7"/>
    <n v="1"/>
    <x v="365"/>
    <n v="5"/>
    <n v="15"/>
    <n v="4"/>
    <x v="5"/>
  </r>
  <r>
    <n v="1159"/>
    <d v="2025-06-06T00:00:00"/>
    <n v="30"/>
    <s v="Female"/>
    <s v="East"/>
    <x v="1"/>
    <s v="CAMP5"/>
    <n v="447.3"/>
    <n v="7"/>
    <n v="1"/>
    <x v="366"/>
    <n v="6"/>
    <n v="12"/>
    <n v="4"/>
    <x v="5"/>
  </r>
  <r>
    <n v="1351"/>
    <d v="2025-06-06T00:00:00"/>
    <n v="18"/>
    <s v="Female"/>
    <s v="East"/>
    <x v="0"/>
    <m/>
    <n v="620.6"/>
    <n v="2"/>
    <n v="1"/>
    <x v="223"/>
    <n v="2"/>
    <n v="9"/>
    <n v="5"/>
    <x v="5"/>
  </r>
  <r>
    <n v="1196"/>
    <d v="2025-06-06T00:00:00"/>
    <n v="29"/>
    <s v="Other"/>
    <s v="East"/>
    <x v="3"/>
    <m/>
    <n v="352.9"/>
    <n v="7"/>
    <n v="1"/>
    <x v="367"/>
    <n v="2"/>
    <n v="9"/>
    <n v="4"/>
    <x v="5"/>
  </r>
  <r>
    <n v="2476"/>
    <d v="2025-06-06T00:00:00"/>
    <n v="47"/>
    <s v="Female"/>
    <s v="West"/>
    <x v="0"/>
    <m/>
    <n v="443.2"/>
    <n v="6"/>
    <n v="1"/>
    <x v="368"/>
    <n v="3"/>
    <n v="6"/>
    <n v="5"/>
    <x v="5"/>
  </r>
  <r>
    <n v="1445"/>
    <d v="2025-06-06T00:00:00"/>
    <n v="32"/>
    <s v="Female"/>
    <s v="North"/>
    <x v="0"/>
    <m/>
    <n v="485.6"/>
    <n v="7"/>
    <n v="1"/>
    <x v="369"/>
    <n v="1"/>
    <n v="8"/>
    <n v="3"/>
    <x v="5"/>
  </r>
  <r>
    <n v="4287"/>
    <d v="2025-06-06T00:00:00"/>
    <n v="48"/>
    <s v="Female"/>
    <s v="West"/>
    <x v="3"/>
    <m/>
    <n v="445.1"/>
    <n v="12"/>
    <n v="0"/>
    <x v="11"/>
    <n v="0"/>
    <n v="0"/>
    <m/>
    <x v="5"/>
  </r>
  <r>
    <n v="1049"/>
    <d v="2025-06-06T00:00:00"/>
    <n v="18"/>
    <s v="Male"/>
    <s v="North"/>
    <x v="0"/>
    <m/>
    <n v="433"/>
    <n v="9"/>
    <n v="0"/>
    <x v="11"/>
    <n v="0"/>
    <n v="0"/>
    <m/>
    <x v="5"/>
  </r>
  <r>
    <n v="1376"/>
    <d v="2025-06-06T00:00:00"/>
    <n v="24"/>
    <s v="Female"/>
    <s v="East"/>
    <x v="2"/>
    <m/>
    <n v="393.4"/>
    <n v="5"/>
    <n v="0"/>
    <x v="11"/>
    <n v="0"/>
    <n v="0"/>
    <m/>
    <x v="5"/>
  </r>
  <r>
    <n v="2861"/>
    <d v="2025-06-06T00:00:00"/>
    <n v="18"/>
    <s v="Female"/>
    <s v="West"/>
    <x v="0"/>
    <m/>
    <n v="383.6"/>
    <n v="6"/>
    <n v="0"/>
    <x v="11"/>
    <n v="0"/>
    <n v="0"/>
    <m/>
    <x v="5"/>
  </r>
  <r>
    <n v="815"/>
    <d v="2025-06-06T00:00:00"/>
    <n v="18"/>
    <s v="Female"/>
    <s v="East"/>
    <x v="0"/>
    <m/>
    <n v="360.8"/>
    <n v="8"/>
    <n v="0"/>
    <x v="11"/>
    <n v="0"/>
    <n v="0"/>
    <m/>
    <x v="5"/>
  </r>
  <r>
    <n v="1150"/>
    <d v="2025-06-06T00:00:00"/>
    <n v="21"/>
    <s v="Female"/>
    <s v="South"/>
    <x v="3"/>
    <m/>
    <n v="352.3"/>
    <n v="15"/>
    <n v="0"/>
    <x v="11"/>
    <n v="0"/>
    <n v="0"/>
    <m/>
    <x v="5"/>
  </r>
  <r>
    <n v="1673"/>
    <d v="2025-06-06T00:00:00"/>
    <n v="22"/>
    <s v="Male"/>
    <s v="East"/>
    <x v="0"/>
    <m/>
    <n v="319.3"/>
    <n v="6"/>
    <n v="0"/>
    <x v="11"/>
    <n v="0"/>
    <n v="0"/>
    <m/>
    <x v="5"/>
  </r>
  <r>
    <n v="3249"/>
    <d v="2025-06-06T00:00:00"/>
    <n v="36"/>
    <s v="Male"/>
    <s v="South"/>
    <x v="0"/>
    <m/>
    <n v="309.5"/>
    <n v="4"/>
    <n v="0"/>
    <x v="11"/>
    <n v="0"/>
    <n v="0"/>
    <m/>
    <x v="5"/>
  </r>
  <r>
    <n v="3990"/>
    <d v="2025-06-06T00:00:00"/>
    <n v="63"/>
    <s v="Female"/>
    <s v="South"/>
    <x v="0"/>
    <m/>
    <n v="258.8"/>
    <n v="13"/>
    <n v="0"/>
    <x v="11"/>
    <n v="0"/>
    <n v="0"/>
    <m/>
    <x v="5"/>
  </r>
  <r>
    <n v="116"/>
    <d v="2025-06-06T00:00:00"/>
    <n v="27"/>
    <s v="Female"/>
    <s v="East"/>
    <x v="3"/>
    <m/>
    <n v="214.1"/>
    <n v="5"/>
    <n v="0"/>
    <x v="11"/>
    <n v="0"/>
    <n v="0"/>
    <m/>
    <x v="5"/>
  </r>
  <r>
    <n v="1469"/>
    <d v="2025-06-06T00:00:00"/>
    <n v="22"/>
    <s v="Male"/>
    <s v="West"/>
    <x v="3"/>
    <m/>
    <n v="200.3"/>
    <n v="8"/>
    <n v="0"/>
    <x v="11"/>
    <n v="0"/>
    <n v="0"/>
    <m/>
    <x v="5"/>
  </r>
  <r>
    <n v="796"/>
    <d v="2025-06-06T00:00:00"/>
    <n v="25"/>
    <s v="Female"/>
    <s v="South"/>
    <x v="0"/>
    <m/>
    <n v="191.4"/>
    <n v="9"/>
    <n v="0"/>
    <x v="11"/>
    <n v="0"/>
    <n v="0"/>
    <m/>
    <x v="5"/>
  </r>
  <r>
    <n v="2076"/>
    <d v="2025-06-06T00:00:00"/>
    <n v="37"/>
    <s v="Female"/>
    <s v="South"/>
    <x v="0"/>
    <m/>
    <n v="178.4"/>
    <n v="4"/>
    <n v="0"/>
    <x v="11"/>
    <n v="0"/>
    <n v="0"/>
    <m/>
    <x v="5"/>
  </r>
  <r>
    <n v="2187"/>
    <d v="2025-06-06T00:00:00"/>
    <n v="28"/>
    <s v="Male"/>
    <s v="North"/>
    <x v="1"/>
    <s v="CAMP5"/>
    <n v="141.9"/>
    <n v="2"/>
    <n v="0"/>
    <x v="11"/>
    <n v="0"/>
    <n v="0"/>
    <m/>
    <x v="5"/>
  </r>
  <r>
    <n v="1453"/>
    <d v="2025-06-06T00:00:00"/>
    <n v="18"/>
    <s v="Male"/>
    <s v="West"/>
    <x v="3"/>
    <m/>
    <n v="124.1"/>
    <n v="6"/>
    <n v="0"/>
    <x v="11"/>
    <n v="0"/>
    <n v="0"/>
    <m/>
    <x v="5"/>
  </r>
  <r>
    <n v="1430"/>
    <d v="2025-06-06T00:00:00"/>
    <n v="19"/>
    <s v="Male"/>
    <s v="South"/>
    <x v="2"/>
    <m/>
    <n v="86.7"/>
    <n v="9"/>
    <n v="0"/>
    <x v="11"/>
    <n v="0"/>
    <n v="0"/>
    <m/>
    <x v="5"/>
  </r>
  <r>
    <n v="1241"/>
    <d v="2025-06-06T00:00:00"/>
    <n v="24"/>
    <s v="Female"/>
    <s v="East"/>
    <x v="3"/>
    <m/>
    <n v="85.7"/>
    <n v="9"/>
    <n v="0"/>
    <x v="11"/>
    <n v="0"/>
    <n v="0"/>
    <m/>
    <x v="5"/>
  </r>
  <r>
    <n v="1410"/>
    <d v="2025-06-06T00:00:00"/>
    <n v="27"/>
    <s v="Male"/>
    <s v="East"/>
    <x v="0"/>
    <m/>
    <n v="75.7"/>
    <n v="4"/>
    <n v="0"/>
    <x v="11"/>
    <n v="0"/>
    <n v="0"/>
    <m/>
    <x v="5"/>
  </r>
  <r>
    <n v="1306"/>
    <d v="2025-06-06T00:00:00"/>
    <n v="18"/>
    <s v="Female"/>
    <s v="East"/>
    <x v="0"/>
    <m/>
    <n v="58.5"/>
    <n v="12"/>
    <n v="0"/>
    <x v="11"/>
    <n v="0"/>
    <n v="0"/>
    <m/>
    <x v="5"/>
  </r>
  <r>
    <n v="2859"/>
    <d v="2025-01-07T00:00:00"/>
    <n v="27"/>
    <s v="Male"/>
    <s v="West"/>
    <x v="0"/>
    <m/>
    <n v="482.2"/>
    <n v="8"/>
    <n v="1"/>
    <x v="370"/>
    <n v="3"/>
    <n v="6"/>
    <n v="4"/>
    <x v="0"/>
  </r>
  <r>
    <n v="765"/>
    <d v="2025-01-07T00:00:00"/>
    <n v="32"/>
    <s v="Female"/>
    <s v="East"/>
    <x v="0"/>
    <m/>
    <n v="564.1"/>
    <n v="8"/>
    <n v="1"/>
    <x v="371"/>
    <n v="2"/>
    <n v="3"/>
    <n v="3"/>
    <x v="0"/>
  </r>
  <r>
    <n v="2011"/>
    <d v="2025-01-07T00:00:00"/>
    <n v="29"/>
    <s v="Female"/>
    <s v="South"/>
    <x v="1"/>
    <s v="CAMP1"/>
    <n v="434.4"/>
    <n v="10"/>
    <n v="1"/>
    <x v="372"/>
    <n v="4"/>
    <n v="13"/>
    <n v="4"/>
    <x v="0"/>
  </r>
  <r>
    <n v="3664"/>
    <d v="2025-01-07T00:00:00"/>
    <n v="29"/>
    <s v="Male"/>
    <s v="West"/>
    <x v="3"/>
    <m/>
    <n v="585.1"/>
    <n v="9"/>
    <n v="1"/>
    <x v="373"/>
    <n v="3"/>
    <n v="2"/>
    <n v="4"/>
    <x v="0"/>
  </r>
  <r>
    <n v="2900"/>
    <d v="2025-01-07T00:00:00"/>
    <n v="30"/>
    <s v="Other"/>
    <s v="West"/>
    <x v="2"/>
    <m/>
    <n v="1456.7"/>
    <n v="6"/>
    <n v="1"/>
    <x v="374"/>
    <n v="2"/>
    <n v="5"/>
    <n v="5"/>
    <x v="0"/>
  </r>
  <r>
    <n v="629"/>
    <d v="2025-01-07T00:00:00"/>
    <n v="22"/>
    <s v="Other"/>
    <s v="West"/>
    <x v="1"/>
    <s v="CAMP4"/>
    <n v="445.5"/>
    <n v="11"/>
    <n v="1"/>
    <x v="375"/>
    <n v="2"/>
    <n v="5"/>
    <n v="5"/>
    <x v="0"/>
  </r>
  <r>
    <n v="146"/>
    <d v="2025-01-07T00:00:00"/>
    <n v="25"/>
    <s v="Female"/>
    <s v="North"/>
    <x v="0"/>
    <m/>
    <n v="624"/>
    <n v="7"/>
    <n v="1"/>
    <x v="376"/>
    <n v="4"/>
    <n v="10"/>
    <n v="4"/>
    <x v="0"/>
  </r>
  <r>
    <n v="2298"/>
    <d v="2025-01-07T00:00:00"/>
    <n v="38"/>
    <s v="Male"/>
    <s v="North"/>
    <x v="3"/>
    <m/>
    <n v="618.5"/>
    <n v="7"/>
    <n v="0"/>
    <x v="11"/>
    <n v="0"/>
    <n v="0"/>
    <m/>
    <x v="0"/>
  </r>
  <r>
    <n v="43"/>
    <d v="2025-01-07T00:00:00"/>
    <n v="26"/>
    <s v="Male"/>
    <s v="North"/>
    <x v="1"/>
    <s v="CAMP4"/>
    <n v="479.4"/>
    <n v="7"/>
    <n v="0"/>
    <x v="11"/>
    <n v="0"/>
    <n v="0"/>
    <m/>
    <x v="0"/>
  </r>
  <r>
    <n v="1904"/>
    <d v="2025-01-07T00:00:00"/>
    <n v="31"/>
    <s v="Male"/>
    <s v="South"/>
    <x v="2"/>
    <m/>
    <n v="450"/>
    <n v="5"/>
    <n v="0"/>
    <x v="11"/>
    <n v="0"/>
    <n v="0"/>
    <m/>
    <x v="0"/>
  </r>
  <r>
    <n v="1020"/>
    <d v="2025-01-07T00:00:00"/>
    <n v="20"/>
    <s v="Male"/>
    <s v="East"/>
    <x v="0"/>
    <m/>
    <n v="414.3"/>
    <n v="7"/>
    <n v="0"/>
    <x v="11"/>
    <n v="0"/>
    <n v="0"/>
    <m/>
    <x v="0"/>
  </r>
  <r>
    <n v="1403"/>
    <d v="2025-01-07T00:00:00"/>
    <n v="23"/>
    <s v="Female"/>
    <s v="East"/>
    <x v="1"/>
    <s v="CAMP6"/>
    <n v="356.4"/>
    <n v="4"/>
    <n v="0"/>
    <x v="11"/>
    <n v="0"/>
    <n v="0"/>
    <m/>
    <x v="0"/>
  </r>
  <r>
    <n v="3385"/>
    <d v="2025-01-07T00:00:00"/>
    <n v="44"/>
    <s v="Female"/>
    <s v="South"/>
    <x v="1"/>
    <s v="CAMP4"/>
    <n v="300.5"/>
    <n v="8"/>
    <n v="0"/>
    <x v="11"/>
    <n v="0"/>
    <n v="0"/>
    <m/>
    <x v="0"/>
  </r>
  <r>
    <n v="286"/>
    <d v="2025-01-07T00:00:00"/>
    <n v="27"/>
    <s v="Male"/>
    <s v="West"/>
    <x v="3"/>
    <m/>
    <n v="251.9"/>
    <n v="2"/>
    <n v="0"/>
    <x v="11"/>
    <n v="0"/>
    <n v="0"/>
    <m/>
    <x v="0"/>
  </r>
  <r>
    <n v="292"/>
    <d v="2025-01-07T00:00:00"/>
    <n v="28"/>
    <s v="Female"/>
    <s v="North"/>
    <x v="3"/>
    <m/>
    <n v="211.9"/>
    <n v="5"/>
    <n v="0"/>
    <x v="11"/>
    <n v="0"/>
    <n v="0"/>
    <m/>
    <x v="0"/>
  </r>
  <r>
    <n v="1781"/>
    <d v="2025-01-07T00:00:00"/>
    <n v="29"/>
    <s v="Male"/>
    <s v="North"/>
    <x v="3"/>
    <m/>
    <n v="169.8"/>
    <n v="3"/>
    <n v="0"/>
    <x v="11"/>
    <n v="0"/>
    <n v="0"/>
    <m/>
    <x v="0"/>
  </r>
  <r>
    <n v="4743"/>
    <d v="2025-01-07T00:00:00"/>
    <n v="59"/>
    <s v="Male"/>
    <s v="East"/>
    <x v="3"/>
    <m/>
    <n v="154"/>
    <n v="10"/>
    <n v="0"/>
    <x v="11"/>
    <n v="0"/>
    <n v="0"/>
    <m/>
    <x v="0"/>
  </r>
  <r>
    <n v="2242"/>
    <d v="2025-01-07T00:00:00"/>
    <n v="51"/>
    <s v="Female"/>
    <s v="South"/>
    <x v="2"/>
    <m/>
    <n v="110.5"/>
    <n v="4"/>
    <n v="0"/>
    <x v="11"/>
    <n v="0"/>
    <n v="0"/>
    <m/>
    <x v="0"/>
  </r>
  <r>
    <n v="4011"/>
    <d v="2025-01-07T00:00:00"/>
    <n v="47"/>
    <s v="Female"/>
    <s v="East"/>
    <x v="0"/>
    <m/>
    <n v="98.5"/>
    <n v="1"/>
    <n v="0"/>
    <x v="11"/>
    <n v="0"/>
    <n v="0"/>
    <m/>
    <x v="0"/>
  </r>
  <r>
    <n v="1031"/>
    <d v="2025-01-07T00:00:00"/>
    <n v="20"/>
    <s v="Male"/>
    <s v="East"/>
    <x v="3"/>
    <m/>
    <n v="95.4"/>
    <n v="5"/>
    <n v="0"/>
    <x v="11"/>
    <n v="0"/>
    <n v="0"/>
    <m/>
    <x v="0"/>
  </r>
  <r>
    <n v="1651"/>
    <d v="2025-01-07T00:00:00"/>
    <n v="21"/>
    <s v="Female"/>
    <s v="North"/>
    <x v="0"/>
    <m/>
    <n v="93.3"/>
    <n v="4"/>
    <n v="0"/>
    <x v="11"/>
    <n v="0"/>
    <n v="0"/>
    <m/>
    <x v="0"/>
  </r>
  <r>
    <n v="857"/>
    <d v="2025-01-07T00:00:00"/>
    <n v="18"/>
    <s v="Female"/>
    <s v="East"/>
    <x v="3"/>
    <m/>
    <n v="63.4"/>
    <n v="4"/>
    <n v="0"/>
    <x v="11"/>
    <n v="0"/>
    <n v="0"/>
    <m/>
    <x v="0"/>
  </r>
  <r>
    <n v="4283"/>
    <d v="2025-02-07T00:00:00"/>
    <n v="59"/>
    <s v="Male"/>
    <s v="South"/>
    <x v="1"/>
    <s v="CAMP7"/>
    <n v="332.3"/>
    <n v="5"/>
    <n v="1"/>
    <x v="377"/>
    <n v="1"/>
    <n v="3"/>
    <n v="4"/>
    <x v="1"/>
  </r>
  <r>
    <n v="2527"/>
    <d v="2025-02-07T00:00:00"/>
    <n v="39"/>
    <s v="Female"/>
    <s v="West"/>
    <x v="3"/>
    <m/>
    <n v="242.4"/>
    <n v="5"/>
    <n v="1"/>
    <x v="378"/>
    <n v="3"/>
    <n v="10"/>
    <n v="4"/>
    <x v="1"/>
  </r>
  <r>
    <n v="4908"/>
    <d v="2025-02-07T00:00:00"/>
    <n v="57"/>
    <s v="Female"/>
    <s v="East"/>
    <x v="0"/>
    <m/>
    <n v="440.6"/>
    <n v="4"/>
    <n v="1"/>
    <x v="379"/>
    <n v="2"/>
    <n v="10"/>
    <n v="4"/>
    <x v="1"/>
  </r>
  <r>
    <n v="3541"/>
    <d v="2025-02-07T00:00:00"/>
    <n v="31"/>
    <s v="Male"/>
    <s v="North"/>
    <x v="1"/>
    <s v="CAMP7"/>
    <n v="319"/>
    <n v="5"/>
    <n v="1"/>
    <x v="380"/>
    <n v="3"/>
    <n v="1"/>
    <n v="4"/>
    <x v="1"/>
  </r>
  <r>
    <n v="3258"/>
    <d v="2025-02-07T00:00:00"/>
    <n v="23"/>
    <s v="Male"/>
    <s v="North"/>
    <x v="0"/>
    <m/>
    <n v="921.5"/>
    <n v="7"/>
    <n v="1"/>
    <x v="381"/>
    <n v="2"/>
    <n v="11"/>
    <n v="4"/>
    <x v="1"/>
  </r>
  <r>
    <n v="3825"/>
    <d v="2025-02-07T00:00:00"/>
    <n v="76"/>
    <s v="Female"/>
    <s v="West"/>
    <x v="0"/>
    <m/>
    <n v="507.1"/>
    <n v="6"/>
    <n v="1"/>
    <x v="382"/>
    <n v="2"/>
    <n v="14"/>
    <n v="4"/>
    <x v="1"/>
  </r>
  <r>
    <n v="4062"/>
    <d v="2025-02-07T00:00:00"/>
    <n v="57"/>
    <s v="Female"/>
    <s v="South"/>
    <x v="0"/>
    <m/>
    <n v="567.20000000000005"/>
    <n v="6"/>
    <n v="1"/>
    <x v="383"/>
    <n v="6"/>
    <n v="4"/>
    <n v="3"/>
    <x v="1"/>
  </r>
  <r>
    <n v="1362"/>
    <d v="2025-02-07T00:00:00"/>
    <n v="28"/>
    <s v="Male"/>
    <s v="North"/>
    <x v="0"/>
    <m/>
    <n v="864.8"/>
    <n v="9"/>
    <n v="1"/>
    <x v="384"/>
    <n v="3"/>
    <n v="5"/>
    <n v="4"/>
    <x v="1"/>
  </r>
  <r>
    <n v="945"/>
    <d v="2025-02-07T00:00:00"/>
    <n v="21"/>
    <s v="Male"/>
    <s v="South"/>
    <x v="1"/>
    <s v="CAMP5"/>
    <n v="782.9"/>
    <n v="5"/>
    <n v="0"/>
    <x v="11"/>
    <n v="0"/>
    <n v="0"/>
    <m/>
    <x v="1"/>
  </r>
  <r>
    <n v="4473"/>
    <d v="2025-02-07T00:00:00"/>
    <n v="44"/>
    <s v="Male"/>
    <s v="East"/>
    <x v="0"/>
    <m/>
    <n v="651.20000000000005"/>
    <n v="4"/>
    <n v="0"/>
    <x v="11"/>
    <n v="0"/>
    <n v="0"/>
    <m/>
    <x v="1"/>
  </r>
  <r>
    <n v="2883"/>
    <d v="2025-02-07T00:00:00"/>
    <n v="41"/>
    <s v="Female"/>
    <s v="South"/>
    <x v="1"/>
    <s v="CAMP1"/>
    <n v="447.6"/>
    <n v="11"/>
    <n v="0"/>
    <x v="11"/>
    <n v="0"/>
    <n v="0"/>
    <m/>
    <x v="1"/>
  </r>
  <r>
    <n v="2293"/>
    <d v="2025-02-07T00:00:00"/>
    <n v="33"/>
    <s v="Female"/>
    <s v="East"/>
    <x v="1"/>
    <s v="CAMP3"/>
    <n v="412.6"/>
    <n v="7"/>
    <n v="0"/>
    <x v="11"/>
    <n v="0"/>
    <n v="0"/>
    <m/>
    <x v="1"/>
  </r>
  <r>
    <n v="4978"/>
    <d v="2025-02-07T00:00:00"/>
    <n v="58"/>
    <s v="Female"/>
    <s v="South"/>
    <x v="1"/>
    <s v="CAMP7"/>
    <n v="360.2"/>
    <n v="10"/>
    <n v="0"/>
    <x v="11"/>
    <n v="0"/>
    <n v="0"/>
    <m/>
    <x v="1"/>
  </r>
  <r>
    <n v="901"/>
    <d v="2025-02-07T00:00:00"/>
    <n v="28"/>
    <s v="Male"/>
    <s v="West"/>
    <x v="0"/>
    <m/>
    <n v="342.8"/>
    <n v="5"/>
    <n v="0"/>
    <x v="11"/>
    <n v="0"/>
    <n v="0"/>
    <m/>
    <x v="1"/>
  </r>
  <r>
    <n v="4578"/>
    <d v="2025-02-07T00:00:00"/>
    <n v="61"/>
    <s v="Male"/>
    <s v="East"/>
    <x v="0"/>
    <m/>
    <n v="319.39999999999998"/>
    <n v="9"/>
    <n v="0"/>
    <x v="11"/>
    <n v="0"/>
    <n v="0"/>
    <m/>
    <x v="1"/>
  </r>
  <r>
    <n v="4592"/>
    <d v="2025-02-07T00:00:00"/>
    <n v="64"/>
    <s v="Male"/>
    <s v="North"/>
    <x v="1"/>
    <s v="CAMP3"/>
    <n v="317.2"/>
    <n v="5"/>
    <n v="0"/>
    <x v="11"/>
    <n v="0"/>
    <n v="0"/>
    <m/>
    <x v="1"/>
  </r>
  <r>
    <n v="2651"/>
    <d v="2025-02-07T00:00:00"/>
    <n v="47"/>
    <s v="Female"/>
    <s v="East"/>
    <x v="0"/>
    <m/>
    <n v="309.2"/>
    <n v="3"/>
    <n v="0"/>
    <x v="11"/>
    <n v="0"/>
    <n v="0"/>
    <m/>
    <x v="1"/>
  </r>
  <r>
    <n v="607"/>
    <d v="2025-02-07T00:00:00"/>
    <n v="27"/>
    <s v="Male"/>
    <s v="North"/>
    <x v="1"/>
    <s v="CAMP7"/>
    <n v="264.7"/>
    <n v="5"/>
    <n v="0"/>
    <x v="11"/>
    <n v="0"/>
    <n v="0"/>
    <m/>
    <x v="1"/>
  </r>
  <r>
    <n v="4485"/>
    <d v="2025-02-07T00:00:00"/>
    <n v="58"/>
    <s v="Male"/>
    <s v="West"/>
    <x v="2"/>
    <m/>
    <n v="201.4"/>
    <n v="4"/>
    <n v="0"/>
    <x v="11"/>
    <n v="0"/>
    <n v="0"/>
    <m/>
    <x v="1"/>
  </r>
  <r>
    <n v="1821"/>
    <d v="2025-02-07T00:00:00"/>
    <n v="27"/>
    <s v="Male"/>
    <s v="East"/>
    <x v="1"/>
    <s v="CAMP7"/>
    <n v="192.6"/>
    <n v="7"/>
    <n v="0"/>
    <x v="11"/>
    <n v="0"/>
    <n v="0"/>
    <m/>
    <x v="1"/>
  </r>
  <r>
    <n v="2780"/>
    <d v="2025-02-07T00:00:00"/>
    <n v="44"/>
    <s v="Female"/>
    <s v="North"/>
    <x v="1"/>
    <s v="CAMP2"/>
    <n v="183.6"/>
    <n v="9"/>
    <n v="0"/>
    <x v="11"/>
    <n v="0"/>
    <n v="0"/>
    <m/>
    <x v="1"/>
  </r>
  <r>
    <n v="853"/>
    <d v="2025-02-07T00:00:00"/>
    <n v="24"/>
    <s v="Female"/>
    <s v="North"/>
    <x v="3"/>
    <m/>
    <n v="162.80000000000001"/>
    <n v="7"/>
    <n v="0"/>
    <x v="11"/>
    <n v="0"/>
    <n v="0"/>
    <m/>
    <x v="1"/>
  </r>
  <r>
    <n v="3640"/>
    <d v="2025-02-07T00:00:00"/>
    <n v="40"/>
    <s v="Female"/>
    <s v="North"/>
    <x v="1"/>
    <s v="CAMP7"/>
    <n v="144.4"/>
    <n v="8"/>
    <n v="0"/>
    <x v="11"/>
    <n v="0"/>
    <n v="0"/>
    <m/>
    <x v="1"/>
  </r>
  <r>
    <n v="622"/>
    <d v="2025-02-07T00:00:00"/>
    <n v="26"/>
    <s v="Female"/>
    <s v="South"/>
    <x v="0"/>
    <m/>
    <n v="142.6"/>
    <n v="7"/>
    <n v="0"/>
    <x v="11"/>
    <n v="0"/>
    <n v="0"/>
    <m/>
    <x v="1"/>
  </r>
  <r>
    <n v="1667"/>
    <d v="2025-02-07T00:00:00"/>
    <n v="29"/>
    <s v="Male"/>
    <s v="East"/>
    <x v="0"/>
    <m/>
    <n v="139"/>
    <n v="9"/>
    <n v="0"/>
    <x v="11"/>
    <n v="0"/>
    <n v="0"/>
    <m/>
    <x v="1"/>
  </r>
  <r>
    <n v="3520"/>
    <d v="2025-02-07T00:00:00"/>
    <n v="35"/>
    <s v="Male"/>
    <s v="East"/>
    <x v="0"/>
    <m/>
    <n v="132.1"/>
    <n v="3"/>
    <n v="0"/>
    <x v="11"/>
    <n v="0"/>
    <n v="0"/>
    <m/>
    <x v="1"/>
  </r>
  <r>
    <n v="1411"/>
    <d v="2025-02-07T00:00:00"/>
    <n v="26"/>
    <s v="Female"/>
    <s v="North"/>
    <x v="1"/>
    <s v="CAMP3"/>
    <n v="81"/>
    <n v="5"/>
    <n v="0"/>
    <x v="11"/>
    <n v="0"/>
    <n v="0"/>
    <m/>
    <x v="1"/>
  </r>
  <r>
    <n v="658"/>
    <d v="2025-03-07T00:00:00"/>
    <n v="32"/>
    <s v="Male"/>
    <s v="East"/>
    <x v="0"/>
    <m/>
    <n v="478"/>
    <n v="3"/>
    <n v="1"/>
    <x v="385"/>
    <n v="5"/>
    <n v="11"/>
    <n v="5"/>
    <x v="2"/>
  </r>
  <r>
    <n v="24"/>
    <d v="2025-03-07T00:00:00"/>
    <n v="27"/>
    <s v="Female"/>
    <s v="East"/>
    <x v="1"/>
    <s v="CAMP3"/>
    <n v="92.1"/>
    <n v="3"/>
    <n v="1"/>
    <x v="386"/>
    <n v="3"/>
    <n v="1"/>
    <n v="4"/>
    <x v="2"/>
  </r>
  <r>
    <n v="2348"/>
    <d v="2025-03-07T00:00:00"/>
    <n v="32"/>
    <s v="Female"/>
    <s v="West"/>
    <x v="1"/>
    <s v="CAMP3"/>
    <n v="959.9"/>
    <n v="6"/>
    <n v="1"/>
    <x v="387"/>
    <n v="2"/>
    <n v="8"/>
    <n v="4"/>
    <x v="2"/>
  </r>
  <r>
    <n v="2282"/>
    <d v="2025-03-07T00:00:00"/>
    <n v="50"/>
    <s v="Female"/>
    <s v="East"/>
    <x v="3"/>
    <m/>
    <n v="304.60000000000002"/>
    <n v="11"/>
    <n v="1"/>
    <x v="388"/>
    <n v="2"/>
    <n v="10"/>
    <n v="4"/>
    <x v="2"/>
  </r>
  <r>
    <n v="4671"/>
    <d v="2025-03-07T00:00:00"/>
    <n v="52"/>
    <s v="Female"/>
    <s v="East"/>
    <x v="0"/>
    <m/>
    <n v="457.9"/>
    <n v="4"/>
    <n v="1"/>
    <x v="389"/>
    <n v="3"/>
    <n v="5"/>
    <n v="4"/>
    <x v="2"/>
  </r>
  <r>
    <n v="1968"/>
    <d v="2025-03-07T00:00:00"/>
    <n v="28"/>
    <s v="Male"/>
    <s v="North"/>
    <x v="0"/>
    <m/>
    <n v="208.7"/>
    <n v="6"/>
    <n v="1"/>
    <x v="390"/>
    <n v="4"/>
    <n v="11"/>
    <n v="5"/>
    <x v="2"/>
  </r>
  <r>
    <n v="4944"/>
    <d v="2025-03-07T00:00:00"/>
    <n v="54"/>
    <s v="Female"/>
    <s v="East"/>
    <x v="0"/>
    <m/>
    <n v="902.1"/>
    <n v="2"/>
    <n v="1"/>
    <x v="391"/>
    <n v="3"/>
    <n v="6"/>
    <n v="4"/>
    <x v="2"/>
  </r>
  <r>
    <n v="139"/>
    <d v="2025-03-07T00:00:00"/>
    <n v="28"/>
    <s v="Male"/>
    <s v="North"/>
    <x v="1"/>
    <s v="CAMP6"/>
    <n v="579.6"/>
    <n v="5"/>
    <n v="0"/>
    <x v="11"/>
    <n v="0"/>
    <n v="0"/>
    <m/>
    <x v="2"/>
  </r>
  <r>
    <n v="4227"/>
    <d v="2025-03-07T00:00:00"/>
    <n v="42"/>
    <s v="Male"/>
    <s v="West"/>
    <x v="3"/>
    <m/>
    <n v="568.1"/>
    <n v="6"/>
    <n v="0"/>
    <x v="11"/>
    <n v="0"/>
    <n v="0"/>
    <m/>
    <x v="2"/>
  </r>
  <r>
    <n v="2741"/>
    <d v="2025-03-07T00:00:00"/>
    <n v="41"/>
    <s v="Female"/>
    <s v="West"/>
    <x v="1"/>
    <s v="CAMP2"/>
    <n v="370.8"/>
    <n v="8"/>
    <n v="0"/>
    <x v="11"/>
    <n v="0"/>
    <n v="0"/>
    <m/>
    <x v="2"/>
  </r>
  <r>
    <n v="3583"/>
    <d v="2025-03-07T00:00:00"/>
    <n v="34"/>
    <s v="Female"/>
    <s v="North"/>
    <x v="3"/>
    <m/>
    <n v="359.1"/>
    <n v="6"/>
    <n v="0"/>
    <x v="11"/>
    <n v="0"/>
    <n v="0"/>
    <m/>
    <x v="2"/>
  </r>
  <r>
    <n v="608"/>
    <d v="2025-03-07T00:00:00"/>
    <n v="24"/>
    <s v="Male"/>
    <s v="East"/>
    <x v="0"/>
    <m/>
    <n v="310.10000000000002"/>
    <n v="8"/>
    <n v="0"/>
    <x v="11"/>
    <n v="0"/>
    <n v="0"/>
    <m/>
    <x v="2"/>
  </r>
  <r>
    <n v="838"/>
    <d v="2025-03-07T00:00:00"/>
    <n v="18"/>
    <s v="Male"/>
    <s v="South"/>
    <x v="1"/>
    <s v="CAMP6"/>
    <n v="270.10000000000002"/>
    <n v="6"/>
    <n v="0"/>
    <x v="11"/>
    <n v="0"/>
    <n v="0"/>
    <m/>
    <x v="2"/>
  </r>
  <r>
    <n v="2407"/>
    <d v="2025-03-07T00:00:00"/>
    <n v="26"/>
    <s v="Male"/>
    <s v="North"/>
    <x v="0"/>
    <m/>
    <n v="130.69999999999999"/>
    <n v="6"/>
    <n v="0"/>
    <x v="11"/>
    <n v="0"/>
    <n v="0"/>
    <m/>
    <x v="2"/>
  </r>
  <r>
    <n v="1486"/>
    <d v="2025-03-07T00:00:00"/>
    <n v="25"/>
    <s v="Male"/>
    <s v="East"/>
    <x v="0"/>
    <m/>
    <n v="130.1"/>
    <n v="9"/>
    <n v="0"/>
    <x v="11"/>
    <n v="0"/>
    <n v="0"/>
    <m/>
    <x v="2"/>
  </r>
  <r>
    <n v="4879"/>
    <d v="2025-03-07T00:00:00"/>
    <n v="54"/>
    <s v="Female"/>
    <s v="North"/>
    <x v="0"/>
    <m/>
    <n v="84.3"/>
    <n v="5"/>
    <n v="0"/>
    <x v="11"/>
    <n v="0"/>
    <n v="0"/>
    <m/>
    <x v="2"/>
  </r>
  <r>
    <n v="3822"/>
    <d v="2025-03-07T00:00:00"/>
    <n v="56"/>
    <s v="Male"/>
    <s v="East"/>
    <x v="3"/>
    <m/>
    <n v="56.1"/>
    <n v="3"/>
    <n v="0"/>
    <x v="11"/>
    <n v="0"/>
    <n v="0"/>
    <m/>
    <x v="2"/>
  </r>
  <r>
    <n v="1628"/>
    <d v="2025-04-07T00:00:00"/>
    <n v="20"/>
    <s v="Male"/>
    <s v="South"/>
    <x v="3"/>
    <m/>
    <n v="222.2"/>
    <n v="8"/>
    <n v="1"/>
    <x v="392"/>
    <n v="1"/>
    <n v="10"/>
    <n v="4"/>
    <x v="3"/>
  </r>
  <r>
    <n v="3186"/>
    <d v="2025-04-07T00:00:00"/>
    <n v="40"/>
    <s v="Male"/>
    <s v="West"/>
    <x v="3"/>
    <m/>
    <n v="220.4"/>
    <n v="5"/>
    <n v="1"/>
    <x v="2"/>
    <n v="8"/>
    <n v="8"/>
    <n v="4"/>
    <x v="3"/>
  </r>
  <r>
    <n v="652"/>
    <d v="2025-04-07T00:00:00"/>
    <n v="18"/>
    <s v="Female"/>
    <s v="West"/>
    <x v="2"/>
    <m/>
    <n v="735.5"/>
    <n v="4"/>
    <n v="1"/>
    <x v="393"/>
    <n v="3"/>
    <n v="15"/>
    <n v="4"/>
    <x v="3"/>
  </r>
  <r>
    <n v="2475"/>
    <d v="2025-04-07T00:00:00"/>
    <n v="25"/>
    <s v="Female"/>
    <s v="East"/>
    <x v="0"/>
    <m/>
    <n v="920.1"/>
    <n v="1"/>
    <n v="1"/>
    <x v="394"/>
    <n v="1"/>
    <n v="4"/>
    <n v="5"/>
    <x v="3"/>
  </r>
  <r>
    <n v="2085"/>
    <d v="2025-04-07T00:00:00"/>
    <n v="44"/>
    <s v="Female"/>
    <s v="West"/>
    <x v="1"/>
    <s v="CAMP6"/>
    <n v="358.3"/>
    <n v="1"/>
    <n v="1"/>
    <x v="395"/>
    <n v="2"/>
    <n v="1"/>
    <n v="5"/>
    <x v="3"/>
  </r>
  <r>
    <n v="1114"/>
    <d v="2025-04-07T00:00:00"/>
    <n v="19"/>
    <s v="Female"/>
    <s v="South"/>
    <x v="2"/>
    <m/>
    <n v="414.6"/>
    <n v="4"/>
    <n v="1"/>
    <x v="396"/>
    <n v="2"/>
    <n v="1"/>
    <n v="4"/>
    <x v="3"/>
  </r>
  <r>
    <n v="3572"/>
    <d v="2025-04-07T00:00:00"/>
    <n v="31"/>
    <s v="Female"/>
    <s v="North"/>
    <x v="1"/>
    <s v="CAMP1"/>
    <n v="622.70000000000005"/>
    <n v="4"/>
    <n v="0"/>
    <x v="11"/>
    <n v="0"/>
    <n v="0"/>
    <m/>
    <x v="3"/>
  </r>
  <r>
    <n v="4913"/>
    <d v="2025-04-07T00:00:00"/>
    <n v="48"/>
    <s v="Female"/>
    <s v="East"/>
    <x v="2"/>
    <m/>
    <n v="530.9"/>
    <n v="3"/>
    <n v="0"/>
    <x v="11"/>
    <n v="0"/>
    <n v="0"/>
    <m/>
    <x v="3"/>
  </r>
  <r>
    <n v="164"/>
    <d v="2025-04-07T00:00:00"/>
    <n v="26"/>
    <s v="Male"/>
    <s v="East"/>
    <x v="2"/>
    <m/>
    <n v="488.7"/>
    <n v="5"/>
    <n v="0"/>
    <x v="11"/>
    <n v="0"/>
    <n v="0"/>
    <m/>
    <x v="3"/>
  </r>
  <r>
    <n v="3274"/>
    <d v="2025-04-07T00:00:00"/>
    <n v="40"/>
    <s v="Female"/>
    <s v="South"/>
    <x v="1"/>
    <s v="CAMP5"/>
    <n v="415.8"/>
    <n v="7"/>
    <n v="0"/>
    <x v="11"/>
    <n v="0"/>
    <n v="0"/>
    <m/>
    <x v="3"/>
  </r>
  <r>
    <n v="502"/>
    <d v="2025-04-07T00:00:00"/>
    <n v="28"/>
    <s v="Female"/>
    <s v="North"/>
    <x v="0"/>
    <m/>
    <n v="344.2"/>
    <n v="6"/>
    <n v="0"/>
    <x v="11"/>
    <n v="0"/>
    <n v="0"/>
    <m/>
    <x v="3"/>
  </r>
  <r>
    <n v="758"/>
    <d v="2025-04-07T00:00:00"/>
    <n v="23"/>
    <s v="Female"/>
    <s v="West"/>
    <x v="0"/>
    <m/>
    <n v="336.9"/>
    <n v="8"/>
    <n v="0"/>
    <x v="11"/>
    <n v="0"/>
    <n v="0"/>
    <m/>
    <x v="3"/>
  </r>
  <r>
    <n v="1751"/>
    <d v="2025-04-07T00:00:00"/>
    <n v="38"/>
    <s v="Male"/>
    <s v="West"/>
    <x v="0"/>
    <m/>
    <n v="274.8"/>
    <n v="6"/>
    <n v="0"/>
    <x v="11"/>
    <n v="0"/>
    <n v="0"/>
    <m/>
    <x v="3"/>
  </r>
  <r>
    <n v="1508"/>
    <d v="2025-04-07T00:00:00"/>
    <n v="18"/>
    <s v="Male"/>
    <s v="East"/>
    <x v="1"/>
    <s v="CAMP6"/>
    <n v="262.89999999999998"/>
    <n v="7"/>
    <n v="0"/>
    <x v="11"/>
    <n v="0"/>
    <n v="0"/>
    <m/>
    <x v="3"/>
  </r>
  <r>
    <n v="3478"/>
    <d v="2025-04-07T00:00:00"/>
    <n v="33"/>
    <s v="Female"/>
    <s v="South"/>
    <x v="3"/>
    <m/>
    <n v="203.6"/>
    <n v="5"/>
    <n v="0"/>
    <x v="11"/>
    <n v="0"/>
    <n v="0"/>
    <m/>
    <x v="3"/>
  </r>
  <r>
    <n v="4765"/>
    <d v="2025-04-07T00:00:00"/>
    <n v="52"/>
    <s v="Female"/>
    <s v="West"/>
    <x v="0"/>
    <m/>
    <n v="184.9"/>
    <n v="3"/>
    <n v="0"/>
    <x v="11"/>
    <n v="0"/>
    <n v="0"/>
    <m/>
    <x v="3"/>
  </r>
  <r>
    <n v="3144"/>
    <d v="2025-04-07T00:00:00"/>
    <n v="18"/>
    <s v="Male"/>
    <s v="South"/>
    <x v="1"/>
    <s v="CAMP7"/>
    <n v="176.4"/>
    <n v="5"/>
    <n v="0"/>
    <x v="11"/>
    <n v="0"/>
    <n v="0"/>
    <m/>
    <x v="3"/>
  </r>
  <r>
    <n v="825"/>
    <d v="2025-04-07T00:00:00"/>
    <n v="19"/>
    <s v="Male"/>
    <s v="East"/>
    <x v="0"/>
    <m/>
    <n v="146.6"/>
    <n v="7"/>
    <n v="0"/>
    <x v="11"/>
    <n v="0"/>
    <n v="0"/>
    <m/>
    <x v="3"/>
  </r>
  <r>
    <n v="2359"/>
    <d v="2025-04-07T00:00:00"/>
    <n v="33"/>
    <s v="Female"/>
    <s v="North"/>
    <x v="2"/>
    <m/>
    <n v="111.8"/>
    <n v="5"/>
    <n v="0"/>
    <x v="11"/>
    <n v="0"/>
    <n v="0"/>
    <m/>
    <x v="3"/>
  </r>
  <r>
    <n v="561"/>
    <d v="2025-05-07T00:00:00"/>
    <n v="18"/>
    <s v="Male"/>
    <s v="East"/>
    <x v="2"/>
    <m/>
    <n v="412.7"/>
    <n v="5"/>
    <n v="1"/>
    <x v="397"/>
    <n v="4"/>
    <n v="14"/>
    <n v="5"/>
    <x v="4"/>
  </r>
  <r>
    <n v="4645"/>
    <d v="2025-05-07T00:00:00"/>
    <n v="69"/>
    <s v="Female"/>
    <s v="East"/>
    <x v="0"/>
    <m/>
    <n v="708.6"/>
    <n v="6"/>
    <n v="1"/>
    <x v="398"/>
    <n v="3"/>
    <n v="5"/>
    <n v="4"/>
    <x v="4"/>
  </r>
  <r>
    <n v="2314"/>
    <d v="2025-05-07T00:00:00"/>
    <n v="18"/>
    <s v="Female"/>
    <s v="East"/>
    <x v="0"/>
    <m/>
    <n v="899"/>
    <n v="8"/>
    <n v="1"/>
    <x v="399"/>
    <n v="1"/>
    <n v="3"/>
    <n v="5"/>
    <x v="4"/>
  </r>
  <r>
    <n v="3085"/>
    <d v="2025-05-07T00:00:00"/>
    <n v="37"/>
    <s v="Male"/>
    <s v="North"/>
    <x v="2"/>
    <m/>
    <n v="442"/>
    <n v="5"/>
    <n v="1"/>
    <x v="400"/>
    <n v="4"/>
    <n v="5"/>
    <n v="5"/>
    <x v="4"/>
  </r>
  <r>
    <n v="3245"/>
    <d v="2025-05-07T00:00:00"/>
    <n v="18"/>
    <s v="Other"/>
    <s v="South"/>
    <x v="0"/>
    <m/>
    <n v="915.6"/>
    <n v="8"/>
    <n v="1"/>
    <x v="401"/>
    <n v="2"/>
    <n v="9"/>
    <n v="4"/>
    <x v="4"/>
  </r>
  <r>
    <n v="2632"/>
    <d v="2025-05-07T00:00:00"/>
    <n v="31"/>
    <s v="Female"/>
    <s v="East"/>
    <x v="0"/>
    <m/>
    <n v="284.2"/>
    <n v="10"/>
    <n v="1"/>
    <x v="402"/>
    <n v="3"/>
    <n v="7"/>
    <n v="4"/>
    <x v="4"/>
  </r>
  <r>
    <n v="4231"/>
    <d v="2025-05-07T00:00:00"/>
    <n v="53"/>
    <s v="Male"/>
    <s v="North"/>
    <x v="3"/>
    <m/>
    <n v="319.5"/>
    <n v="4"/>
    <n v="1"/>
    <x v="403"/>
    <n v="2"/>
    <n v="3"/>
    <n v="3"/>
    <x v="4"/>
  </r>
  <r>
    <n v="338"/>
    <d v="2025-05-07T00:00:00"/>
    <n v="27"/>
    <s v="Male"/>
    <s v="North"/>
    <x v="3"/>
    <m/>
    <n v="398.8"/>
    <n v="7"/>
    <n v="1"/>
    <x v="404"/>
    <n v="1"/>
    <n v="12"/>
    <n v="4"/>
    <x v="4"/>
  </r>
  <r>
    <n v="2640"/>
    <d v="2025-05-07T00:00:00"/>
    <n v="37"/>
    <s v="Female"/>
    <s v="North"/>
    <x v="0"/>
    <m/>
    <n v="311.5"/>
    <n v="5"/>
    <n v="1"/>
    <x v="405"/>
    <n v="2"/>
    <n v="2"/>
    <n v="4"/>
    <x v="4"/>
  </r>
  <r>
    <n v="1438"/>
    <d v="2025-05-07T00:00:00"/>
    <n v="22"/>
    <s v="Male"/>
    <s v="North"/>
    <x v="1"/>
    <s v="CAMP3"/>
    <n v="513.20000000000005"/>
    <n v="6"/>
    <n v="1"/>
    <x v="406"/>
    <n v="4"/>
    <n v="6"/>
    <n v="4"/>
    <x v="4"/>
  </r>
  <r>
    <n v="2966"/>
    <d v="2025-05-07T00:00:00"/>
    <n v="32"/>
    <s v="Female"/>
    <s v="North"/>
    <x v="1"/>
    <s v="CAMP3"/>
    <n v="338.6"/>
    <n v="9"/>
    <n v="1"/>
    <x v="407"/>
    <n v="4"/>
    <n v="4"/>
    <n v="3"/>
    <x v="4"/>
  </r>
  <r>
    <n v="2983"/>
    <d v="2025-05-07T00:00:00"/>
    <n v="19"/>
    <s v="Male"/>
    <s v="East"/>
    <x v="1"/>
    <s v="CAMP4"/>
    <n v="454.8"/>
    <n v="1"/>
    <n v="1"/>
    <x v="408"/>
    <n v="2"/>
    <n v="10"/>
    <n v="5"/>
    <x v="4"/>
  </r>
  <r>
    <n v="3153"/>
    <d v="2025-05-07T00:00:00"/>
    <n v="40"/>
    <s v="Male"/>
    <s v="South"/>
    <x v="2"/>
    <m/>
    <n v="1539.7"/>
    <n v="6"/>
    <n v="1"/>
    <x v="409"/>
    <n v="1"/>
    <n v="7"/>
    <n v="4"/>
    <x v="4"/>
  </r>
  <r>
    <n v="2979"/>
    <d v="2025-05-07T00:00:00"/>
    <n v="37"/>
    <s v="Male"/>
    <s v="East"/>
    <x v="2"/>
    <m/>
    <n v="275.5"/>
    <n v="6"/>
    <n v="1"/>
    <x v="410"/>
    <n v="3"/>
    <n v="12"/>
    <n v="5"/>
    <x v="4"/>
  </r>
  <r>
    <n v="2221"/>
    <d v="2025-05-07T00:00:00"/>
    <n v="25"/>
    <s v="Male"/>
    <s v="South"/>
    <x v="0"/>
    <m/>
    <n v="568"/>
    <n v="4"/>
    <n v="0"/>
    <x v="11"/>
    <n v="0"/>
    <n v="0"/>
    <m/>
    <x v="4"/>
  </r>
  <r>
    <n v="3046"/>
    <d v="2025-05-07T00:00:00"/>
    <n v="52"/>
    <s v="Female"/>
    <s v="North"/>
    <x v="1"/>
    <s v="CAMP3"/>
    <n v="559.79999999999995"/>
    <n v="8"/>
    <n v="0"/>
    <x v="11"/>
    <n v="0"/>
    <n v="0"/>
    <m/>
    <x v="4"/>
  </r>
  <r>
    <n v="2268"/>
    <d v="2025-05-07T00:00:00"/>
    <n v="30"/>
    <s v="Male"/>
    <s v="North"/>
    <x v="0"/>
    <m/>
    <n v="442.5"/>
    <n v="2"/>
    <n v="0"/>
    <x v="11"/>
    <n v="0"/>
    <n v="0"/>
    <m/>
    <x v="4"/>
  </r>
  <r>
    <n v="138"/>
    <d v="2025-05-07T00:00:00"/>
    <n v="23"/>
    <s v="Female"/>
    <s v="East"/>
    <x v="1"/>
    <s v="CAMP5"/>
    <n v="194.3"/>
    <n v="7"/>
    <n v="0"/>
    <x v="11"/>
    <n v="0"/>
    <n v="0"/>
    <m/>
    <x v="4"/>
  </r>
  <r>
    <n v="268"/>
    <d v="2025-05-07T00:00:00"/>
    <n v="19"/>
    <s v="Female"/>
    <s v="South"/>
    <x v="0"/>
    <m/>
    <n v="186.2"/>
    <n v="3"/>
    <n v="0"/>
    <x v="11"/>
    <n v="0"/>
    <n v="0"/>
    <m/>
    <x v="4"/>
  </r>
  <r>
    <n v="4190"/>
    <d v="2025-05-07T00:00:00"/>
    <n v="56"/>
    <s v="Female"/>
    <s v="East"/>
    <x v="0"/>
    <m/>
    <n v="122.2"/>
    <n v="4"/>
    <n v="0"/>
    <x v="11"/>
    <n v="0"/>
    <n v="0"/>
    <m/>
    <x v="4"/>
  </r>
  <r>
    <n v="436"/>
    <d v="2025-05-07T00:00:00"/>
    <n v="35"/>
    <s v="Female"/>
    <s v="West"/>
    <x v="3"/>
    <m/>
    <n v="116.3"/>
    <n v="5"/>
    <n v="0"/>
    <x v="11"/>
    <n v="0"/>
    <n v="0"/>
    <m/>
    <x v="4"/>
  </r>
  <r>
    <n v="279"/>
    <d v="2025-05-07T00:00:00"/>
    <n v="18"/>
    <s v="Male"/>
    <s v="South"/>
    <x v="2"/>
    <m/>
    <n v="106"/>
    <n v="4"/>
    <n v="0"/>
    <x v="11"/>
    <n v="0"/>
    <n v="0"/>
    <m/>
    <x v="4"/>
  </r>
  <r>
    <n v="4239"/>
    <d v="2025-05-07T00:00:00"/>
    <n v="18"/>
    <s v="Female"/>
    <s v="North"/>
    <x v="3"/>
    <m/>
    <n v="90.2"/>
    <n v="5"/>
    <n v="0"/>
    <x v="11"/>
    <n v="0"/>
    <n v="0"/>
    <m/>
    <x v="4"/>
  </r>
  <r>
    <n v="3466"/>
    <d v="2025-05-07T00:00:00"/>
    <n v="41"/>
    <s v="Female"/>
    <s v="North"/>
    <x v="3"/>
    <m/>
    <n v="72.900000000000006"/>
    <n v="3"/>
    <n v="0"/>
    <x v="11"/>
    <n v="0"/>
    <n v="0"/>
    <m/>
    <x v="4"/>
  </r>
  <r>
    <n v="1282"/>
    <d v="2025-05-07T00:00:00"/>
    <n v="20"/>
    <s v="Male"/>
    <s v="East"/>
    <x v="3"/>
    <m/>
    <n v="59"/>
    <n v="5"/>
    <n v="0"/>
    <x v="11"/>
    <n v="0"/>
    <n v="0"/>
    <m/>
    <x v="4"/>
  </r>
  <r>
    <n v="1003"/>
    <d v="2025-06-07T00:00:00"/>
    <n v="34"/>
    <s v="Male"/>
    <s v="East"/>
    <x v="1"/>
    <s v="CAMP3"/>
    <n v="759.2"/>
    <n v="4"/>
    <n v="1"/>
    <x v="411"/>
    <n v="3"/>
    <n v="4"/>
    <n v="3"/>
    <x v="5"/>
  </r>
  <r>
    <n v="1979"/>
    <d v="2025-06-07T00:00:00"/>
    <n v="45"/>
    <s v="Female"/>
    <s v="East"/>
    <x v="0"/>
    <m/>
    <n v="1214.7"/>
    <n v="9"/>
    <n v="1"/>
    <x v="412"/>
    <n v="3"/>
    <n v="12"/>
    <n v="4"/>
    <x v="5"/>
  </r>
  <r>
    <n v="4618"/>
    <d v="2025-06-07T00:00:00"/>
    <n v="62"/>
    <s v="Female"/>
    <s v="East"/>
    <x v="0"/>
    <m/>
    <n v="1022.5"/>
    <n v="14"/>
    <n v="1"/>
    <x v="413"/>
    <n v="4"/>
    <n v="12"/>
    <n v="5"/>
    <x v="5"/>
  </r>
  <r>
    <n v="265"/>
    <d v="2025-06-07T00:00:00"/>
    <n v="27"/>
    <s v="Male"/>
    <s v="North"/>
    <x v="1"/>
    <s v="CAMP2"/>
    <n v="459.2"/>
    <n v="3"/>
    <n v="1"/>
    <x v="414"/>
    <n v="1"/>
    <n v="6"/>
    <n v="4"/>
    <x v="5"/>
  </r>
  <r>
    <n v="2482"/>
    <d v="2025-06-07T00:00:00"/>
    <n v="36"/>
    <s v="Male"/>
    <s v="South"/>
    <x v="1"/>
    <s v="CAMP5"/>
    <n v="173"/>
    <n v="4"/>
    <n v="1"/>
    <x v="415"/>
    <n v="3"/>
    <n v="10"/>
    <n v="4"/>
    <x v="5"/>
  </r>
  <r>
    <n v="4192"/>
    <d v="2025-06-07T00:00:00"/>
    <n v="68"/>
    <s v="Female"/>
    <s v="East"/>
    <x v="1"/>
    <s v="CAMP5"/>
    <n v="224.2"/>
    <n v="8"/>
    <n v="1"/>
    <x v="416"/>
    <n v="2"/>
    <n v="14"/>
    <n v="4"/>
    <x v="5"/>
  </r>
  <r>
    <n v="2312"/>
    <d v="2025-06-07T00:00:00"/>
    <n v="37"/>
    <s v="Female"/>
    <s v="East"/>
    <x v="1"/>
    <s v="CAMP6"/>
    <n v="234.2"/>
    <n v="6"/>
    <n v="1"/>
    <x v="417"/>
    <n v="2"/>
    <n v="9"/>
    <n v="3"/>
    <x v="5"/>
  </r>
  <r>
    <n v="949"/>
    <d v="2025-06-07T00:00:00"/>
    <n v="21"/>
    <s v="Female"/>
    <s v="South"/>
    <x v="2"/>
    <m/>
    <n v="213.9"/>
    <n v="9"/>
    <n v="1"/>
    <x v="418"/>
    <n v="3"/>
    <n v="8"/>
    <n v="5"/>
    <x v="5"/>
  </r>
  <r>
    <n v="2896"/>
    <d v="2025-06-07T00:00:00"/>
    <n v="21"/>
    <s v="Male"/>
    <s v="South"/>
    <x v="0"/>
    <m/>
    <n v="492.4"/>
    <n v="6"/>
    <n v="1"/>
    <x v="419"/>
    <n v="2"/>
    <n v="11"/>
    <n v="4"/>
    <x v="5"/>
  </r>
  <r>
    <n v="1118"/>
    <d v="2025-06-07T00:00:00"/>
    <n v="23"/>
    <s v="Male"/>
    <s v="West"/>
    <x v="3"/>
    <m/>
    <n v="1005.1"/>
    <n v="3"/>
    <n v="1"/>
    <x v="420"/>
    <n v="1"/>
    <n v="6"/>
    <n v="4"/>
    <x v="5"/>
  </r>
  <r>
    <n v="615"/>
    <d v="2025-06-07T00:00:00"/>
    <n v="20"/>
    <s v="Female"/>
    <s v="North"/>
    <x v="1"/>
    <s v="CAMP3"/>
    <n v="930.8"/>
    <n v="3"/>
    <n v="0"/>
    <x v="11"/>
    <n v="0"/>
    <n v="0"/>
    <m/>
    <x v="5"/>
  </r>
  <r>
    <n v="3292"/>
    <d v="2025-06-07T00:00:00"/>
    <n v="41"/>
    <s v="Female"/>
    <s v="South"/>
    <x v="1"/>
    <s v="CAMP7"/>
    <n v="566"/>
    <n v="7"/>
    <n v="0"/>
    <x v="11"/>
    <n v="0"/>
    <n v="0"/>
    <m/>
    <x v="5"/>
  </r>
  <r>
    <n v="2354"/>
    <d v="2025-06-07T00:00:00"/>
    <n v="40"/>
    <s v="Female"/>
    <s v="East"/>
    <x v="0"/>
    <m/>
    <n v="526.79999999999995"/>
    <n v="2"/>
    <n v="0"/>
    <x v="11"/>
    <n v="0"/>
    <n v="0"/>
    <m/>
    <x v="5"/>
  </r>
  <r>
    <n v="1912"/>
    <d v="2025-06-07T00:00:00"/>
    <n v="27"/>
    <s v="Male"/>
    <s v="South"/>
    <x v="0"/>
    <m/>
    <n v="468.7"/>
    <n v="8"/>
    <n v="0"/>
    <x v="11"/>
    <n v="0"/>
    <n v="0"/>
    <m/>
    <x v="5"/>
  </r>
  <r>
    <n v="4314"/>
    <d v="2025-06-07T00:00:00"/>
    <n v="64"/>
    <s v="Male"/>
    <s v="South"/>
    <x v="2"/>
    <m/>
    <n v="433.3"/>
    <n v="4"/>
    <n v="0"/>
    <x v="11"/>
    <n v="0"/>
    <n v="0"/>
    <m/>
    <x v="5"/>
  </r>
  <r>
    <n v="3624"/>
    <d v="2025-06-07T00:00:00"/>
    <n v="21"/>
    <s v="Other"/>
    <s v="East"/>
    <x v="2"/>
    <m/>
    <n v="425.1"/>
    <n v="3"/>
    <n v="0"/>
    <x v="11"/>
    <n v="0"/>
    <n v="0"/>
    <m/>
    <x v="5"/>
  </r>
  <r>
    <n v="2219"/>
    <d v="2025-06-07T00:00:00"/>
    <n v="36"/>
    <s v="Male"/>
    <s v="East"/>
    <x v="3"/>
    <m/>
    <n v="317.10000000000002"/>
    <n v="4"/>
    <n v="0"/>
    <x v="11"/>
    <n v="0"/>
    <n v="0"/>
    <m/>
    <x v="5"/>
  </r>
  <r>
    <n v="4441"/>
    <d v="2025-06-07T00:00:00"/>
    <n v="51"/>
    <s v="Female"/>
    <s v="South"/>
    <x v="0"/>
    <m/>
    <n v="301.3"/>
    <n v="8"/>
    <n v="0"/>
    <x v="11"/>
    <n v="0"/>
    <n v="0"/>
    <m/>
    <x v="5"/>
  </r>
  <r>
    <n v="4787"/>
    <d v="2025-06-07T00:00:00"/>
    <n v="54"/>
    <s v="Male"/>
    <s v="North"/>
    <x v="1"/>
    <s v="CAMP2"/>
    <n v="283.5"/>
    <n v="5"/>
    <n v="0"/>
    <x v="11"/>
    <n v="0"/>
    <n v="0"/>
    <m/>
    <x v="5"/>
  </r>
  <r>
    <n v="4649"/>
    <d v="2025-06-07T00:00:00"/>
    <n v="65"/>
    <s v="Female"/>
    <s v="West"/>
    <x v="0"/>
    <m/>
    <n v="282.3"/>
    <n v="6"/>
    <n v="0"/>
    <x v="11"/>
    <n v="0"/>
    <n v="0"/>
    <m/>
    <x v="5"/>
  </r>
  <r>
    <n v="3116"/>
    <d v="2025-06-07T00:00:00"/>
    <n v="35"/>
    <s v="Male"/>
    <s v="North"/>
    <x v="1"/>
    <s v="CAMP5"/>
    <n v="232.1"/>
    <n v="4"/>
    <n v="0"/>
    <x v="11"/>
    <n v="0"/>
    <n v="0"/>
    <m/>
    <x v="5"/>
  </r>
  <r>
    <n v="1882"/>
    <d v="2025-06-07T00:00:00"/>
    <n v="45"/>
    <s v="Female"/>
    <s v="West"/>
    <x v="0"/>
    <m/>
    <n v="202.4"/>
    <n v="10"/>
    <n v="0"/>
    <x v="11"/>
    <n v="0"/>
    <n v="0"/>
    <m/>
    <x v="5"/>
  </r>
  <r>
    <n v="1061"/>
    <d v="2025-06-07T00:00:00"/>
    <n v="18"/>
    <s v="Female"/>
    <s v="North"/>
    <x v="0"/>
    <m/>
    <n v="185.6"/>
    <n v="6"/>
    <n v="0"/>
    <x v="11"/>
    <n v="0"/>
    <n v="0"/>
    <m/>
    <x v="5"/>
  </r>
  <r>
    <n v="4175"/>
    <d v="2025-06-07T00:00:00"/>
    <n v="40"/>
    <s v="Male"/>
    <s v="South"/>
    <x v="1"/>
    <s v="CAMP5"/>
    <n v="182.9"/>
    <n v="12"/>
    <n v="0"/>
    <x v="11"/>
    <n v="0"/>
    <n v="0"/>
    <m/>
    <x v="5"/>
  </r>
  <r>
    <n v="555"/>
    <d v="2025-06-07T00:00:00"/>
    <n v="21"/>
    <s v="Female"/>
    <s v="North"/>
    <x v="1"/>
    <s v="CAMP5"/>
    <n v="167.7"/>
    <n v="8"/>
    <n v="0"/>
    <x v="11"/>
    <n v="0"/>
    <n v="0"/>
    <m/>
    <x v="5"/>
  </r>
  <r>
    <n v="736"/>
    <d v="2025-06-07T00:00:00"/>
    <n v="31"/>
    <s v="Male"/>
    <s v="West"/>
    <x v="2"/>
    <m/>
    <n v="153.1"/>
    <n v="6"/>
    <n v="0"/>
    <x v="11"/>
    <n v="0"/>
    <n v="0"/>
    <m/>
    <x v="5"/>
  </r>
  <r>
    <n v="184"/>
    <d v="2025-06-07T00:00:00"/>
    <n v="20"/>
    <s v="Female"/>
    <s v="South"/>
    <x v="0"/>
    <m/>
    <n v="112.7"/>
    <n v="9"/>
    <n v="0"/>
    <x v="11"/>
    <n v="0"/>
    <n v="0"/>
    <m/>
    <x v="5"/>
  </r>
  <r>
    <n v="384"/>
    <d v="2025-06-07T00:00:00"/>
    <n v="30"/>
    <s v="Female"/>
    <s v="North"/>
    <x v="3"/>
    <m/>
    <n v="89"/>
    <n v="7"/>
    <n v="0"/>
    <x v="11"/>
    <n v="0"/>
    <n v="0"/>
    <m/>
    <x v="5"/>
  </r>
  <r>
    <n v="1051"/>
    <d v="2025-06-07T00:00:00"/>
    <n v="24"/>
    <s v="Male"/>
    <s v="North"/>
    <x v="1"/>
    <s v="CAMP3"/>
    <n v="83.4"/>
    <n v="5"/>
    <n v="0"/>
    <x v="11"/>
    <n v="0"/>
    <n v="0"/>
    <m/>
    <x v="5"/>
  </r>
  <r>
    <n v="768"/>
    <d v="2025-06-07T00:00:00"/>
    <n v="25"/>
    <s v="Female"/>
    <s v="West"/>
    <x v="1"/>
    <s v="CAMP3"/>
    <n v="40"/>
    <n v="7"/>
    <n v="0"/>
    <x v="11"/>
    <n v="0"/>
    <n v="0"/>
    <m/>
    <x v="5"/>
  </r>
  <r>
    <n v="3198"/>
    <d v="2025-06-07T00:00:00"/>
    <n v="46"/>
    <s v="Male"/>
    <s v="East"/>
    <x v="2"/>
    <m/>
    <n v="34.5"/>
    <n v="4"/>
    <n v="0"/>
    <x v="11"/>
    <n v="0"/>
    <n v="0"/>
    <m/>
    <x v="5"/>
  </r>
  <r>
    <n v="1356"/>
    <d v="2025-06-07T00:00:00"/>
    <n v="29"/>
    <s v="Female"/>
    <s v="North"/>
    <x v="0"/>
    <m/>
    <n v="31"/>
    <n v="6"/>
    <n v="0"/>
    <x v="11"/>
    <n v="0"/>
    <n v="0"/>
    <m/>
    <x v="5"/>
  </r>
  <r>
    <n v="2940"/>
    <d v="2025-01-08T00:00:00"/>
    <n v="35"/>
    <s v="Female"/>
    <s v="West"/>
    <x v="0"/>
    <m/>
    <n v="170"/>
    <n v="5"/>
    <n v="1"/>
    <x v="421"/>
    <n v="3"/>
    <n v="1"/>
    <n v="3"/>
    <x v="0"/>
  </r>
  <r>
    <n v="3424"/>
    <d v="2025-01-08T00:00:00"/>
    <n v="41"/>
    <s v="Male"/>
    <s v="East"/>
    <x v="1"/>
    <s v="CAMP1"/>
    <n v="659.9"/>
    <n v="5"/>
    <n v="1"/>
    <x v="422"/>
    <n v="3"/>
    <n v="15"/>
    <n v="5"/>
    <x v="0"/>
  </r>
  <r>
    <n v="4748"/>
    <d v="2025-01-08T00:00:00"/>
    <n v="51"/>
    <s v="Male"/>
    <s v="East"/>
    <x v="3"/>
    <m/>
    <n v="948.1"/>
    <n v="3"/>
    <n v="1"/>
    <x v="423"/>
    <n v="4"/>
    <n v="14"/>
    <n v="5"/>
    <x v="0"/>
  </r>
  <r>
    <n v="4058"/>
    <d v="2025-01-08T00:00:00"/>
    <n v="71"/>
    <s v="Male"/>
    <s v="West"/>
    <x v="0"/>
    <m/>
    <n v="795"/>
    <n v="7"/>
    <n v="1"/>
    <x v="424"/>
    <n v="3"/>
    <n v="2"/>
    <n v="3"/>
    <x v="0"/>
  </r>
  <r>
    <n v="1350"/>
    <d v="2025-01-08T00:00:00"/>
    <n v="27"/>
    <s v="Male"/>
    <s v="East"/>
    <x v="3"/>
    <m/>
    <n v="365.9"/>
    <n v="6"/>
    <n v="1"/>
    <x v="425"/>
    <n v="6"/>
    <n v="3"/>
    <n v="4"/>
    <x v="0"/>
  </r>
  <r>
    <n v="600"/>
    <d v="2025-01-08T00:00:00"/>
    <n v="35"/>
    <s v="Male"/>
    <s v="North"/>
    <x v="3"/>
    <m/>
    <n v="1216.9000000000001"/>
    <n v="5"/>
    <n v="1"/>
    <x v="426"/>
    <n v="3"/>
    <n v="14"/>
    <n v="5"/>
    <x v="0"/>
  </r>
  <r>
    <n v="2418"/>
    <d v="2025-01-08T00:00:00"/>
    <n v="23"/>
    <s v="Female"/>
    <s v="South"/>
    <x v="3"/>
    <m/>
    <n v="518"/>
    <n v="8"/>
    <n v="1"/>
    <x v="427"/>
    <n v="2"/>
    <n v="4"/>
    <n v="3"/>
    <x v="0"/>
  </r>
  <r>
    <n v="1423"/>
    <d v="2025-01-08T00:00:00"/>
    <n v="24"/>
    <s v="Female"/>
    <s v="South"/>
    <x v="1"/>
    <s v="CAMP2"/>
    <n v="409.6"/>
    <n v="5"/>
    <n v="1"/>
    <x v="428"/>
    <n v="2"/>
    <n v="13"/>
    <n v="3"/>
    <x v="0"/>
  </r>
  <r>
    <n v="1274"/>
    <d v="2025-01-08T00:00:00"/>
    <n v="28"/>
    <s v="Male"/>
    <s v="East"/>
    <x v="0"/>
    <m/>
    <n v="65.5"/>
    <n v="3"/>
    <n v="1"/>
    <x v="429"/>
    <n v="2"/>
    <n v="1"/>
    <n v="4"/>
    <x v="0"/>
  </r>
  <r>
    <n v="1795"/>
    <d v="2025-01-08T00:00:00"/>
    <n v="40"/>
    <s v="Male"/>
    <s v="South"/>
    <x v="1"/>
    <s v="CAMP6"/>
    <n v="892.9"/>
    <n v="6"/>
    <n v="1"/>
    <x v="430"/>
    <n v="4"/>
    <n v="2"/>
    <n v="5"/>
    <x v="0"/>
  </r>
  <r>
    <n v="336"/>
    <d v="2025-01-08T00:00:00"/>
    <n v="20"/>
    <s v="Other"/>
    <s v="North"/>
    <x v="0"/>
    <m/>
    <n v="269.8"/>
    <n v="3"/>
    <n v="1"/>
    <x v="431"/>
    <n v="3"/>
    <n v="2"/>
    <n v="4"/>
    <x v="0"/>
  </r>
  <r>
    <n v="1014"/>
    <d v="2025-01-08T00:00:00"/>
    <n v="18"/>
    <s v="Male"/>
    <s v="West"/>
    <x v="2"/>
    <m/>
    <n v="316.89999999999998"/>
    <n v="6"/>
    <n v="1"/>
    <x v="432"/>
    <n v="4"/>
    <n v="3"/>
    <n v="4"/>
    <x v="0"/>
  </r>
  <r>
    <n v="3875"/>
    <d v="2025-01-08T00:00:00"/>
    <n v="44"/>
    <s v="Female"/>
    <s v="East"/>
    <x v="0"/>
    <m/>
    <n v="421.9"/>
    <n v="9"/>
    <n v="1"/>
    <x v="303"/>
    <n v="2"/>
    <n v="11"/>
    <n v="5"/>
    <x v="0"/>
  </r>
  <r>
    <n v="2777"/>
    <d v="2025-01-08T00:00:00"/>
    <n v="49"/>
    <s v="Female"/>
    <s v="North"/>
    <x v="0"/>
    <m/>
    <n v="852.3"/>
    <n v="6"/>
    <n v="1"/>
    <x v="433"/>
    <n v="1"/>
    <n v="5"/>
    <n v="3"/>
    <x v="0"/>
  </r>
  <r>
    <n v="169"/>
    <d v="2025-01-08T00:00:00"/>
    <n v="31"/>
    <s v="Female"/>
    <s v="North"/>
    <x v="1"/>
    <s v="CAMP6"/>
    <n v="160.4"/>
    <n v="5"/>
    <n v="1"/>
    <x v="434"/>
    <n v="3"/>
    <n v="1"/>
    <n v="3"/>
    <x v="0"/>
  </r>
  <r>
    <n v="3389"/>
    <d v="2025-01-08T00:00:00"/>
    <n v="59"/>
    <s v="Male"/>
    <s v="South"/>
    <x v="0"/>
    <m/>
    <n v="425.9"/>
    <n v="7"/>
    <n v="1"/>
    <x v="435"/>
    <n v="3"/>
    <n v="5"/>
    <n v="4"/>
    <x v="0"/>
  </r>
  <r>
    <n v="3960"/>
    <d v="2025-01-08T00:00:00"/>
    <n v="39"/>
    <s v="Female"/>
    <s v="West"/>
    <x v="0"/>
    <m/>
    <n v="554.29999999999995"/>
    <n v="5"/>
    <n v="0"/>
    <x v="11"/>
    <n v="0"/>
    <n v="0"/>
    <m/>
    <x v="0"/>
  </r>
  <r>
    <n v="3968"/>
    <d v="2025-01-08T00:00:00"/>
    <n v="58"/>
    <s v="Other"/>
    <s v="West"/>
    <x v="0"/>
    <m/>
    <n v="437.7"/>
    <n v="7"/>
    <n v="0"/>
    <x v="11"/>
    <n v="0"/>
    <n v="0"/>
    <m/>
    <x v="0"/>
  </r>
  <r>
    <n v="4844"/>
    <d v="2025-01-08T00:00:00"/>
    <n v="52"/>
    <s v="Female"/>
    <s v="South"/>
    <x v="0"/>
    <m/>
    <n v="433.6"/>
    <n v="7"/>
    <n v="0"/>
    <x v="11"/>
    <n v="0"/>
    <n v="0"/>
    <m/>
    <x v="0"/>
  </r>
  <r>
    <n v="3410"/>
    <d v="2025-01-08T00:00:00"/>
    <n v="36"/>
    <s v="Male"/>
    <s v="South"/>
    <x v="0"/>
    <m/>
    <n v="395.7"/>
    <n v="5"/>
    <n v="0"/>
    <x v="11"/>
    <n v="0"/>
    <n v="0"/>
    <m/>
    <x v="0"/>
  </r>
  <r>
    <n v="2468"/>
    <d v="2025-01-08T00:00:00"/>
    <n v="36"/>
    <s v="Female"/>
    <s v="South"/>
    <x v="1"/>
    <s v="CAMP3"/>
    <n v="383.6"/>
    <n v="2"/>
    <n v="0"/>
    <x v="11"/>
    <n v="0"/>
    <n v="0"/>
    <m/>
    <x v="0"/>
  </r>
  <r>
    <n v="1417"/>
    <d v="2025-01-08T00:00:00"/>
    <n v="18"/>
    <s v="Female"/>
    <s v="South"/>
    <x v="0"/>
    <m/>
    <n v="352.5"/>
    <n v="7"/>
    <n v="0"/>
    <x v="11"/>
    <n v="0"/>
    <n v="0"/>
    <m/>
    <x v="0"/>
  </r>
  <r>
    <n v="473"/>
    <d v="2025-01-08T00:00:00"/>
    <n v="26"/>
    <s v="Male"/>
    <s v="South"/>
    <x v="2"/>
    <m/>
    <n v="337.7"/>
    <n v="7"/>
    <n v="0"/>
    <x v="11"/>
    <n v="0"/>
    <n v="0"/>
    <m/>
    <x v="0"/>
  </r>
  <r>
    <n v="3911"/>
    <d v="2025-01-08T00:00:00"/>
    <n v="54"/>
    <s v="Female"/>
    <s v="West"/>
    <x v="0"/>
    <m/>
    <n v="330.6"/>
    <n v="4"/>
    <n v="0"/>
    <x v="11"/>
    <n v="0"/>
    <n v="0"/>
    <m/>
    <x v="0"/>
  </r>
  <r>
    <n v="1549"/>
    <d v="2025-01-08T00:00:00"/>
    <n v="23"/>
    <s v="Female"/>
    <s v="North"/>
    <x v="0"/>
    <m/>
    <n v="310.60000000000002"/>
    <n v="2"/>
    <n v="0"/>
    <x v="11"/>
    <n v="0"/>
    <n v="0"/>
    <m/>
    <x v="0"/>
  </r>
  <r>
    <n v="2204"/>
    <d v="2025-01-08T00:00:00"/>
    <n v="33"/>
    <s v="Female"/>
    <s v="West"/>
    <x v="1"/>
    <s v="CAMP2"/>
    <n v="303"/>
    <n v="8"/>
    <n v="0"/>
    <x v="11"/>
    <n v="0"/>
    <n v="0"/>
    <m/>
    <x v="0"/>
  </r>
  <r>
    <n v="1073"/>
    <d v="2025-01-08T00:00:00"/>
    <n v="25"/>
    <s v="Female"/>
    <s v="South"/>
    <x v="1"/>
    <s v="CAMP3"/>
    <n v="290.10000000000002"/>
    <n v="6"/>
    <n v="0"/>
    <x v="11"/>
    <n v="0"/>
    <n v="0"/>
    <m/>
    <x v="0"/>
  </r>
  <r>
    <n v="4390"/>
    <d v="2025-01-08T00:00:00"/>
    <n v="61"/>
    <s v="Female"/>
    <s v="South"/>
    <x v="0"/>
    <m/>
    <n v="286.60000000000002"/>
    <n v="4"/>
    <n v="0"/>
    <x v="11"/>
    <n v="0"/>
    <n v="0"/>
    <m/>
    <x v="0"/>
  </r>
  <r>
    <n v="1827"/>
    <d v="2025-01-08T00:00:00"/>
    <n v="37"/>
    <s v="Female"/>
    <s v="East"/>
    <x v="2"/>
    <m/>
    <n v="283.8"/>
    <n v="8"/>
    <n v="0"/>
    <x v="11"/>
    <n v="0"/>
    <n v="0"/>
    <m/>
    <x v="0"/>
  </r>
  <r>
    <n v="611"/>
    <d v="2025-01-08T00:00:00"/>
    <n v="29"/>
    <s v="Male"/>
    <s v="North"/>
    <x v="0"/>
    <m/>
    <n v="244.6"/>
    <n v="7"/>
    <n v="0"/>
    <x v="11"/>
    <n v="0"/>
    <n v="0"/>
    <m/>
    <x v="0"/>
  </r>
  <r>
    <n v="2366"/>
    <d v="2025-01-08T00:00:00"/>
    <n v="42"/>
    <s v="Other"/>
    <s v="North"/>
    <x v="1"/>
    <s v="CAMP2"/>
    <n v="189.5"/>
    <n v="10"/>
    <n v="0"/>
    <x v="11"/>
    <n v="0"/>
    <n v="0"/>
    <m/>
    <x v="0"/>
  </r>
  <r>
    <n v="3638"/>
    <d v="2025-01-08T00:00:00"/>
    <n v="24"/>
    <s v="Male"/>
    <s v="East"/>
    <x v="1"/>
    <s v="CAMP2"/>
    <n v="154.9"/>
    <n v="8"/>
    <n v="0"/>
    <x v="11"/>
    <n v="0"/>
    <n v="0"/>
    <m/>
    <x v="0"/>
  </r>
  <r>
    <n v="4318"/>
    <d v="2025-01-08T00:00:00"/>
    <n v="53"/>
    <s v="Female"/>
    <s v="North"/>
    <x v="0"/>
    <m/>
    <n v="131.69999999999999"/>
    <n v="2"/>
    <n v="0"/>
    <x v="11"/>
    <n v="0"/>
    <n v="0"/>
    <m/>
    <x v="0"/>
  </r>
  <r>
    <n v="1867"/>
    <d v="2025-01-08T00:00:00"/>
    <n v="57"/>
    <s v="Female"/>
    <s v="North"/>
    <x v="0"/>
    <m/>
    <n v="121.5"/>
    <n v="5"/>
    <n v="0"/>
    <x v="11"/>
    <n v="0"/>
    <n v="0"/>
    <m/>
    <x v="0"/>
  </r>
  <r>
    <n v="2858"/>
    <d v="2025-01-08T00:00:00"/>
    <n v="45"/>
    <s v="Male"/>
    <s v="East"/>
    <x v="1"/>
    <s v="CAMP1"/>
    <n v="114.3"/>
    <n v="7"/>
    <n v="0"/>
    <x v="11"/>
    <n v="0"/>
    <n v="0"/>
    <m/>
    <x v="0"/>
  </r>
  <r>
    <n v="4217"/>
    <d v="2025-01-08T00:00:00"/>
    <n v="54"/>
    <s v="Female"/>
    <s v="North"/>
    <x v="1"/>
    <s v="CAMP6"/>
    <n v="108.3"/>
    <n v="6"/>
    <n v="0"/>
    <x v="11"/>
    <n v="0"/>
    <n v="0"/>
    <m/>
    <x v="0"/>
  </r>
  <r>
    <n v="4980"/>
    <d v="2025-01-08T00:00:00"/>
    <n v="54"/>
    <s v="Female"/>
    <s v="West"/>
    <x v="3"/>
    <m/>
    <n v="86.4"/>
    <n v="3"/>
    <n v="0"/>
    <x v="11"/>
    <n v="0"/>
    <n v="0"/>
    <m/>
    <x v="0"/>
  </r>
  <r>
    <n v="4839"/>
    <d v="2025-01-08T00:00:00"/>
    <n v="43"/>
    <s v="Female"/>
    <s v="North"/>
    <x v="1"/>
    <s v="CAMP4"/>
    <n v="78.8"/>
    <n v="8"/>
    <n v="0"/>
    <x v="11"/>
    <n v="0"/>
    <n v="0"/>
    <m/>
    <x v="0"/>
  </r>
  <r>
    <n v="1708"/>
    <d v="2025-02-08T00:00:00"/>
    <n v="30"/>
    <s v="Male"/>
    <s v="East"/>
    <x v="0"/>
    <m/>
    <n v="293.60000000000002"/>
    <n v="4"/>
    <n v="1"/>
    <x v="436"/>
    <n v="2"/>
    <n v="1"/>
    <n v="5"/>
    <x v="1"/>
  </r>
  <r>
    <n v="3992"/>
    <d v="2025-02-08T00:00:00"/>
    <n v="64"/>
    <s v="Male"/>
    <s v="West"/>
    <x v="2"/>
    <m/>
    <n v="385.4"/>
    <n v="4"/>
    <n v="1"/>
    <x v="437"/>
    <n v="5"/>
    <n v="7"/>
    <n v="5"/>
    <x v="1"/>
  </r>
  <r>
    <n v="2182"/>
    <d v="2025-02-08T00:00:00"/>
    <n v="37"/>
    <s v="Male"/>
    <s v="South"/>
    <x v="3"/>
    <m/>
    <n v="264.10000000000002"/>
    <n v="4"/>
    <n v="1"/>
    <x v="438"/>
    <n v="1"/>
    <n v="3"/>
    <n v="3"/>
    <x v="1"/>
  </r>
  <r>
    <n v="2663"/>
    <d v="2025-02-08T00:00:00"/>
    <n v="35"/>
    <s v="Female"/>
    <s v="East"/>
    <x v="0"/>
    <m/>
    <n v="391.4"/>
    <n v="5"/>
    <n v="1"/>
    <x v="439"/>
    <n v="2"/>
    <n v="15"/>
    <n v="5"/>
    <x v="1"/>
  </r>
  <r>
    <n v="2659"/>
    <d v="2025-02-08T00:00:00"/>
    <n v="25"/>
    <s v="Male"/>
    <s v="West"/>
    <x v="0"/>
    <m/>
    <n v="198.9"/>
    <n v="3"/>
    <n v="1"/>
    <x v="440"/>
    <n v="2"/>
    <n v="6"/>
    <n v="4"/>
    <x v="1"/>
  </r>
  <r>
    <n v="1556"/>
    <d v="2025-02-08T00:00:00"/>
    <n v="22"/>
    <s v="Female"/>
    <s v="South"/>
    <x v="1"/>
    <s v="CAMP2"/>
    <n v="350.8"/>
    <n v="4"/>
    <n v="1"/>
    <x v="441"/>
    <n v="6"/>
    <n v="9"/>
    <n v="3"/>
    <x v="1"/>
  </r>
  <r>
    <n v="14"/>
    <d v="2025-02-08T00:00:00"/>
    <n v="22"/>
    <s v="Female"/>
    <s v="West"/>
    <x v="1"/>
    <s v="CAMP6"/>
    <n v="1050.3"/>
    <n v="5"/>
    <n v="1"/>
    <x v="442"/>
    <n v="4"/>
    <n v="3"/>
    <n v="5"/>
    <x v="1"/>
  </r>
  <r>
    <n v="1752"/>
    <d v="2025-02-08T00:00:00"/>
    <n v="27"/>
    <s v="Female"/>
    <s v="West"/>
    <x v="3"/>
    <m/>
    <n v="41.4"/>
    <n v="5"/>
    <n v="1"/>
    <x v="420"/>
    <n v="5"/>
    <n v="13"/>
    <n v="3"/>
    <x v="1"/>
  </r>
  <r>
    <n v="1459"/>
    <d v="2025-02-08T00:00:00"/>
    <n v="19"/>
    <s v="Female"/>
    <s v="North"/>
    <x v="0"/>
    <m/>
    <n v="307.8"/>
    <n v="6"/>
    <n v="1"/>
    <x v="443"/>
    <n v="4"/>
    <n v="6"/>
    <n v="4"/>
    <x v="1"/>
  </r>
  <r>
    <n v="3351"/>
    <d v="2025-02-08T00:00:00"/>
    <n v="30"/>
    <s v="Male"/>
    <s v="East"/>
    <x v="1"/>
    <s v="CAMP6"/>
    <n v="383.1"/>
    <n v="6"/>
    <n v="1"/>
    <x v="444"/>
    <n v="2"/>
    <n v="9"/>
    <n v="4"/>
    <x v="1"/>
  </r>
  <r>
    <n v="298"/>
    <d v="2025-02-08T00:00:00"/>
    <n v="25"/>
    <s v="Male"/>
    <s v="West"/>
    <x v="1"/>
    <s v="CAMP6"/>
    <n v="185.6"/>
    <n v="3"/>
    <n v="1"/>
    <x v="445"/>
    <n v="3"/>
    <n v="11"/>
    <n v="4"/>
    <x v="1"/>
  </r>
  <r>
    <n v="4966"/>
    <d v="2025-02-08T00:00:00"/>
    <n v="35"/>
    <s v="Female"/>
    <s v="South"/>
    <x v="1"/>
    <s v="CAMP3"/>
    <n v="290"/>
    <n v="5"/>
    <n v="0"/>
    <x v="11"/>
    <n v="0"/>
    <n v="0"/>
    <m/>
    <x v="1"/>
  </r>
  <r>
    <n v="3791"/>
    <d v="2025-02-08T00:00:00"/>
    <n v="46"/>
    <s v="Female"/>
    <s v="South"/>
    <x v="0"/>
    <m/>
    <n v="180"/>
    <n v="3"/>
    <n v="0"/>
    <x v="11"/>
    <n v="0"/>
    <n v="0"/>
    <m/>
    <x v="1"/>
  </r>
  <r>
    <n v="1872"/>
    <d v="2025-02-08T00:00:00"/>
    <n v="28"/>
    <s v="Female"/>
    <s v="North"/>
    <x v="0"/>
    <m/>
    <n v="609.29999999999995"/>
    <n v="4"/>
    <n v="0"/>
    <x v="11"/>
    <n v="0"/>
    <n v="0"/>
    <m/>
    <x v="1"/>
  </r>
  <r>
    <n v="562"/>
    <d v="2025-02-08T00:00:00"/>
    <n v="27"/>
    <s v="Male"/>
    <s v="East"/>
    <x v="1"/>
    <s v="CAMP3"/>
    <n v="347.7"/>
    <n v="5"/>
    <n v="0"/>
    <x v="11"/>
    <n v="0"/>
    <n v="0"/>
    <m/>
    <x v="1"/>
  </r>
  <r>
    <n v="3496"/>
    <d v="2025-02-08T00:00:00"/>
    <n v="35"/>
    <s v="Male"/>
    <s v="West"/>
    <x v="0"/>
    <m/>
    <n v="337.1"/>
    <n v="6"/>
    <n v="0"/>
    <x v="11"/>
    <n v="0"/>
    <n v="0"/>
    <m/>
    <x v="1"/>
  </r>
  <r>
    <n v="643"/>
    <d v="2025-02-08T00:00:00"/>
    <n v="24"/>
    <s v="Female"/>
    <s v="West"/>
    <x v="3"/>
    <m/>
    <n v="261.7"/>
    <n v="5"/>
    <n v="0"/>
    <x v="11"/>
    <n v="0"/>
    <n v="0"/>
    <m/>
    <x v="1"/>
  </r>
  <r>
    <n v="1233"/>
    <d v="2025-02-08T00:00:00"/>
    <n v="28"/>
    <s v="Female"/>
    <s v="West"/>
    <x v="3"/>
    <m/>
    <n v="257.2"/>
    <n v="7"/>
    <n v="0"/>
    <x v="11"/>
    <n v="0"/>
    <n v="0"/>
    <m/>
    <x v="1"/>
  </r>
  <r>
    <n v="4543"/>
    <d v="2025-02-08T00:00:00"/>
    <n v="70"/>
    <s v="Female"/>
    <s v="North"/>
    <x v="0"/>
    <m/>
    <n v="257.2"/>
    <n v="6"/>
    <n v="0"/>
    <x v="11"/>
    <n v="0"/>
    <n v="0"/>
    <m/>
    <x v="1"/>
  </r>
  <r>
    <n v="3443"/>
    <d v="2025-02-08T00:00:00"/>
    <n v="33"/>
    <s v="Female"/>
    <s v="South"/>
    <x v="1"/>
    <s v="CAMP6"/>
    <n v="247.8"/>
    <n v="6"/>
    <n v="0"/>
    <x v="11"/>
    <n v="0"/>
    <n v="0"/>
    <m/>
    <x v="1"/>
  </r>
  <r>
    <n v="4340"/>
    <d v="2025-02-08T00:00:00"/>
    <n v="64"/>
    <s v="Male"/>
    <s v="East"/>
    <x v="0"/>
    <m/>
    <n v="131.5"/>
    <n v="5"/>
    <n v="0"/>
    <x v="11"/>
    <n v="0"/>
    <n v="0"/>
    <m/>
    <x v="1"/>
  </r>
  <r>
    <n v="974"/>
    <d v="2025-02-08T00:00:00"/>
    <n v="26"/>
    <s v="Female"/>
    <s v="East"/>
    <x v="0"/>
    <m/>
    <n v="109.9"/>
    <n v="4"/>
    <n v="0"/>
    <x v="11"/>
    <n v="0"/>
    <n v="0"/>
    <m/>
    <x v="1"/>
  </r>
  <r>
    <n v="3746"/>
    <d v="2025-02-08T00:00:00"/>
    <n v="39"/>
    <s v="Female"/>
    <s v="East"/>
    <x v="2"/>
    <m/>
    <n v="69.900000000000006"/>
    <n v="8"/>
    <n v="0"/>
    <x v="11"/>
    <n v="0"/>
    <n v="0"/>
    <m/>
    <x v="1"/>
  </r>
  <r>
    <n v="3120"/>
    <d v="2025-02-08T00:00:00"/>
    <n v="40"/>
    <s v="Male"/>
    <s v="East"/>
    <x v="0"/>
    <m/>
    <n v="68.400000000000006"/>
    <n v="3"/>
    <n v="0"/>
    <x v="11"/>
    <n v="0"/>
    <n v="0"/>
    <m/>
    <x v="1"/>
  </r>
  <r>
    <n v="2653"/>
    <d v="2025-03-08T00:00:00"/>
    <n v="20"/>
    <s v="Female"/>
    <s v="South"/>
    <x v="0"/>
    <m/>
    <n v="743.7"/>
    <n v="6"/>
    <n v="1"/>
    <x v="446"/>
    <n v="2"/>
    <n v="3"/>
    <n v="5"/>
    <x v="2"/>
  </r>
  <r>
    <n v="2714"/>
    <d v="2025-03-08T00:00:00"/>
    <n v="50"/>
    <s v="Female"/>
    <s v="South"/>
    <x v="1"/>
    <s v="CAMP6"/>
    <n v="207.2"/>
    <n v="9"/>
    <n v="1"/>
    <x v="447"/>
    <n v="4"/>
    <n v="1"/>
    <n v="4"/>
    <x v="2"/>
  </r>
  <r>
    <n v="244"/>
    <d v="2025-03-08T00:00:00"/>
    <n v="27"/>
    <s v="Male"/>
    <s v="West"/>
    <x v="1"/>
    <s v="CAMP1"/>
    <n v="1001.3"/>
    <n v="8"/>
    <n v="1"/>
    <x v="448"/>
    <n v="2"/>
    <n v="3"/>
    <n v="5"/>
    <x v="2"/>
  </r>
  <r>
    <n v="2652"/>
    <d v="2025-03-08T00:00:00"/>
    <n v="30"/>
    <s v="Female"/>
    <s v="East"/>
    <x v="1"/>
    <s v="CAMP3"/>
    <n v="409.7"/>
    <n v="3"/>
    <n v="1"/>
    <x v="449"/>
    <n v="4"/>
    <n v="7"/>
    <n v="4"/>
    <x v="2"/>
  </r>
  <r>
    <n v="3381"/>
    <d v="2025-03-08T00:00:00"/>
    <n v="31"/>
    <s v="Female"/>
    <s v="South"/>
    <x v="3"/>
    <m/>
    <n v="660.1"/>
    <n v="3"/>
    <n v="1"/>
    <x v="450"/>
    <n v="5"/>
    <n v="3"/>
    <n v="4"/>
    <x v="2"/>
  </r>
  <r>
    <n v="3146"/>
    <d v="2025-03-08T00:00:00"/>
    <n v="20"/>
    <s v="Female"/>
    <s v="South"/>
    <x v="0"/>
    <m/>
    <n v="1157.9000000000001"/>
    <n v="10"/>
    <n v="1"/>
    <x v="451"/>
    <n v="3"/>
    <n v="11"/>
    <n v="4"/>
    <x v="2"/>
  </r>
  <r>
    <n v="224"/>
    <d v="2025-03-08T00:00:00"/>
    <n v="29"/>
    <s v="Male"/>
    <s v="East"/>
    <x v="3"/>
    <m/>
    <n v="934.8"/>
    <n v="9"/>
    <n v="1"/>
    <x v="452"/>
    <n v="1"/>
    <n v="11"/>
    <n v="4"/>
    <x v="2"/>
  </r>
  <r>
    <n v="3309"/>
    <d v="2025-03-08T00:00:00"/>
    <n v="38"/>
    <s v="Female"/>
    <s v="South"/>
    <x v="0"/>
    <m/>
    <n v="716.9"/>
    <n v="6"/>
    <n v="1"/>
    <x v="453"/>
    <n v="1"/>
    <n v="13"/>
    <n v="3"/>
    <x v="2"/>
  </r>
  <r>
    <n v="2387"/>
    <d v="2025-03-08T00:00:00"/>
    <n v="46"/>
    <s v="Female"/>
    <s v="West"/>
    <x v="0"/>
    <m/>
    <n v="81.599999999999994"/>
    <n v="5"/>
    <n v="1"/>
    <x v="306"/>
    <n v="3"/>
    <n v="6"/>
    <n v="4"/>
    <x v="2"/>
  </r>
  <r>
    <n v="626"/>
    <d v="2025-03-08T00:00:00"/>
    <n v="19"/>
    <s v="Male"/>
    <s v="West"/>
    <x v="1"/>
    <s v="CAMP1"/>
    <n v="295.2"/>
    <n v="3"/>
    <n v="1"/>
    <x v="454"/>
    <n v="1"/>
    <n v="3"/>
    <n v="4"/>
    <x v="2"/>
  </r>
  <r>
    <n v="3141"/>
    <d v="2025-03-08T00:00:00"/>
    <n v="29"/>
    <s v="Male"/>
    <s v="East"/>
    <x v="0"/>
    <m/>
    <n v="515.5"/>
    <n v="4"/>
    <n v="1"/>
    <x v="455"/>
    <n v="4"/>
    <n v="12"/>
    <n v="4"/>
    <x v="2"/>
  </r>
  <r>
    <n v="4691"/>
    <d v="2025-03-08T00:00:00"/>
    <n v="65"/>
    <s v="Male"/>
    <s v="West"/>
    <x v="0"/>
    <m/>
    <n v="384.1"/>
    <n v="5"/>
    <n v="1"/>
    <x v="456"/>
    <n v="4"/>
    <n v="1"/>
    <n v="4"/>
    <x v="2"/>
  </r>
  <r>
    <n v="3576"/>
    <d v="2025-03-08T00:00:00"/>
    <n v="33"/>
    <s v="Male"/>
    <s v="East"/>
    <x v="1"/>
    <s v="CAMP1"/>
    <n v="1203.5"/>
    <n v="6"/>
    <n v="1"/>
    <x v="457"/>
    <n v="4"/>
    <n v="12"/>
    <n v="5"/>
    <x v="2"/>
  </r>
  <r>
    <n v="3615"/>
    <d v="2025-03-08T00:00:00"/>
    <n v="46"/>
    <s v="Female"/>
    <s v="East"/>
    <x v="1"/>
    <s v="CAMP5"/>
    <n v="633.79999999999995"/>
    <n v="4"/>
    <n v="0"/>
    <x v="11"/>
    <n v="0"/>
    <n v="0"/>
    <m/>
    <x v="2"/>
  </r>
  <r>
    <n v="1908"/>
    <d v="2025-03-08T00:00:00"/>
    <n v="30"/>
    <s v="Male"/>
    <s v="North"/>
    <x v="0"/>
    <m/>
    <n v="573"/>
    <n v="6"/>
    <n v="0"/>
    <x v="11"/>
    <n v="0"/>
    <n v="0"/>
    <m/>
    <x v="2"/>
  </r>
  <r>
    <n v="444"/>
    <d v="2025-03-08T00:00:00"/>
    <n v="23"/>
    <s v="Female"/>
    <s v="North"/>
    <x v="2"/>
    <m/>
    <n v="493.3"/>
    <n v="6"/>
    <n v="0"/>
    <x v="11"/>
    <n v="0"/>
    <n v="0"/>
    <m/>
    <x v="2"/>
  </r>
  <r>
    <n v="4604"/>
    <d v="2025-03-08T00:00:00"/>
    <n v="69"/>
    <s v="Female"/>
    <s v="West"/>
    <x v="0"/>
    <m/>
    <n v="479.9"/>
    <n v="6"/>
    <n v="0"/>
    <x v="11"/>
    <n v="0"/>
    <n v="0"/>
    <m/>
    <x v="2"/>
  </r>
  <r>
    <n v="3599"/>
    <d v="2025-03-08T00:00:00"/>
    <n v="40"/>
    <s v="Female"/>
    <s v="South"/>
    <x v="2"/>
    <m/>
    <n v="433.9"/>
    <n v="7"/>
    <n v="0"/>
    <x v="11"/>
    <n v="0"/>
    <n v="0"/>
    <m/>
    <x v="2"/>
  </r>
  <r>
    <n v="1841"/>
    <d v="2025-03-08T00:00:00"/>
    <n v="39"/>
    <s v="Female"/>
    <s v="West"/>
    <x v="3"/>
    <m/>
    <n v="352"/>
    <n v="4"/>
    <n v="0"/>
    <x v="11"/>
    <n v="0"/>
    <n v="0"/>
    <m/>
    <x v="2"/>
  </r>
  <r>
    <n v="623"/>
    <d v="2025-03-08T00:00:00"/>
    <n v="29"/>
    <s v="Female"/>
    <s v="North"/>
    <x v="1"/>
    <s v="CAMP3"/>
    <n v="338.5"/>
    <n v="6"/>
    <n v="0"/>
    <x v="11"/>
    <n v="0"/>
    <n v="0"/>
    <m/>
    <x v="2"/>
  </r>
  <r>
    <n v="2840"/>
    <d v="2025-03-08T00:00:00"/>
    <n v="35"/>
    <s v="Male"/>
    <s v="South"/>
    <x v="2"/>
    <m/>
    <n v="336.2"/>
    <n v="3"/>
    <n v="0"/>
    <x v="11"/>
    <n v="0"/>
    <n v="0"/>
    <m/>
    <x v="2"/>
  </r>
  <r>
    <n v="1695"/>
    <d v="2025-03-08T00:00:00"/>
    <n v="35"/>
    <s v="Female"/>
    <s v="East"/>
    <x v="3"/>
    <m/>
    <n v="305.5"/>
    <n v="5"/>
    <n v="0"/>
    <x v="11"/>
    <n v="0"/>
    <n v="0"/>
    <m/>
    <x v="2"/>
  </r>
  <r>
    <n v="1236"/>
    <d v="2025-03-08T00:00:00"/>
    <n v="18"/>
    <s v="Female"/>
    <s v="North"/>
    <x v="1"/>
    <s v="CAMP6"/>
    <n v="304.7"/>
    <n v="6"/>
    <n v="0"/>
    <x v="11"/>
    <n v="0"/>
    <n v="0"/>
    <m/>
    <x v="2"/>
  </r>
  <r>
    <n v="2338"/>
    <d v="2025-03-08T00:00:00"/>
    <n v="35"/>
    <s v="Male"/>
    <s v="West"/>
    <x v="1"/>
    <s v="CAMP7"/>
    <n v="290.10000000000002"/>
    <n v="10"/>
    <n v="0"/>
    <x v="11"/>
    <n v="0"/>
    <n v="0"/>
    <m/>
    <x v="2"/>
  </r>
  <r>
    <n v="2677"/>
    <d v="2025-03-08T00:00:00"/>
    <n v="23"/>
    <s v="Male"/>
    <s v="South"/>
    <x v="0"/>
    <m/>
    <n v="220.9"/>
    <n v="6"/>
    <n v="0"/>
    <x v="11"/>
    <n v="0"/>
    <n v="0"/>
    <m/>
    <x v="2"/>
  </r>
  <r>
    <n v="1348"/>
    <d v="2025-03-08T00:00:00"/>
    <n v="30"/>
    <s v="Male"/>
    <s v="East"/>
    <x v="0"/>
    <m/>
    <n v="183.3"/>
    <n v="4"/>
    <n v="0"/>
    <x v="11"/>
    <n v="0"/>
    <n v="0"/>
    <m/>
    <x v="2"/>
  </r>
  <r>
    <n v="2949"/>
    <d v="2025-03-08T00:00:00"/>
    <n v="43"/>
    <s v="Female"/>
    <s v="South"/>
    <x v="1"/>
    <s v="CAMP6"/>
    <n v="137"/>
    <n v="6"/>
    <n v="0"/>
    <x v="11"/>
    <n v="0"/>
    <n v="0"/>
    <m/>
    <x v="2"/>
  </r>
  <r>
    <n v="1739"/>
    <d v="2025-03-08T00:00:00"/>
    <n v="20"/>
    <s v="Female"/>
    <s v="North"/>
    <x v="1"/>
    <s v="CAMP1"/>
    <n v="112.5"/>
    <n v="6"/>
    <n v="0"/>
    <x v="11"/>
    <n v="0"/>
    <n v="0"/>
    <m/>
    <x v="2"/>
  </r>
  <r>
    <n v="4918"/>
    <d v="2025-03-08T00:00:00"/>
    <n v="32"/>
    <s v="Female"/>
    <s v="South"/>
    <x v="3"/>
    <m/>
    <n v="103.9"/>
    <n v="7"/>
    <n v="0"/>
    <x v="11"/>
    <n v="0"/>
    <n v="0"/>
    <m/>
    <x v="2"/>
  </r>
  <r>
    <n v="161"/>
    <d v="2025-03-08T00:00:00"/>
    <n v="32"/>
    <s v="Female"/>
    <s v="North"/>
    <x v="0"/>
    <m/>
    <n v="103.1"/>
    <n v="13"/>
    <n v="0"/>
    <x v="11"/>
    <n v="0"/>
    <n v="0"/>
    <m/>
    <x v="2"/>
  </r>
  <r>
    <n v="1914"/>
    <d v="2025-03-08T00:00:00"/>
    <n v="21"/>
    <s v="Female"/>
    <s v="East"/>
    <x v="0"/>
    <m/>
    <n v="97"/>
    <n v="2"/>
    <n v="0"/>
    <x v="11"/>
    <n v="0"/>
    <n v="0"/>
    <m/>
    <x v="2"/>
  </r>
  <r>
    <n v="2925"/>
    <d v="2025-03-08T00:00:00"/>
    <n v="44"/>
    <s v="Male"/>
    <s v="West"/>
    <x v="1"/>
    <s v="CAMP1"/>
    <n v="90.9"/>
    <n v="6"/>
    <n v="0"/>
    <x v="11"/>
    <n v="0"/>
    <n v="0"/>
    <m/>
    <x v="2"/>
  </r>
  <r>
    <n v="393"/>
    <d v="2025-03-08T00:00:00"/>
    <n v="27"/>
    <s v="Male"/>
    <s v="West"/>
    <x v="3"/>
    <m/>
    <n v="59.7"/>
    <n v="5"/>
    <n v="0"/>
    <x v="11"/>
    <n v="0"/>
    <n v="0"/>
    <m/>
    <x v="2"/>
  </r>
  <r>
    <n v="2049"/>
    <d v="2025-04-08T00:00:00"/>
    <n v="39"/>
    <s v="Female"/>
    <s v="East"/>
    <x v="0"/>
    <m/>
    <n v="94.8"/>
    <n v="7"/>
    <n v="1"/>
    <x v="458"/>
    <n v="1"/>
    <n v="11"/>
    <n v="4"/>
    <x v="3"/>
  </r>
  <r>
    <n v="3243"/>
    <d v="2025-04-08T00:00:00"/>
    <n v="35"/>
    <s v="Male"/>
    <s v="South"/>
    <x v="3"/>
    <m/>
    <n v="816.2"/>
    <n v="6"/>
    <n v="1"/>
    <x v="459"/>
    <n v="2"/>
    <n v="8"/>
    <n v="4"/>
    <x v="3"/>
  </r>
  <r>
    <n v="2470"/>
    <d v="2025-04-08T00:00:00"/>
    <n v="34"/>
    <s v="Male"/>
    <s v="East"/>
    <x v="0"/>
    <m/>
    <n v="676.6"/>
    <n v="8"/>
    <n v="1"/>
    <x v="460"/>
    <n v="6"/>
    <n v="7"/>
    <n v="4"/>
    <x v="3"/>
  </r>
  <r>
    <n v="1002"/>
    <d v="2025-04-08T00:00:00"/>
    <n v="21"/>
    <s v="Female"/>
    <s v="North"/>
    <x v="1"/>
    <s v="CAMP1"/>
    <n v="720.3"/>
    <n v="6"/>
    <n v="1"/>
    <x v="461"/>
    <n v="3"/>
    <n v="5"/>
    <n v="5"/>
    <x v="3"/>
  </r>
  <r>
    <n v="4157"/>
    <d v="2025-04-08T00:00:00"/>
    <n v="54"/>
    <s v="Female"/>
    <s v="North"/>
    <x v="0"/>
    <m/>
    <n v="496.1"/>
    <n v="4"/>
    <n v="1"/>
    <x v="462"/>
    <n v="4"/>
    <n v="8"/>
    <n v="4"/>
    <x v="3"/>
  </r>
  <r>
    <n v="3294"/>
    <d v="2025-04-08T00:00:00"/>
    <n v="45"/>
    <s v="Female"/>
    <s v="North"/>
    <x v="1"/>
    <s v="CAMP6"/>
    <n v="192.3"/>
    <n v="8"/>
    <n v="1"/>
    <x v="463"/>
    <n v="1"/>
    <n v="13"/>
    <n v="4"/>
    <x v="3"/>
  </r>
  <r>
    <n v="1876"/>
    <d v="2025-04-08T00:00:00"/>
    <n v="36"/>
    <s v="Female"/>
    <s v="East"/>
    <x v="1"/>
    <s v="CAMP2"/>
    <n v="1704.7"/>
    <n v="6"/>
    <n v="1"/>
    <x v="464"/>
    <n v="3"/>
    <n v="5"/>
    <n v="3"/>
    <x v="3"/>
  </r>
  <r>
    <n v="120"/>
    <d v="2025-04-08T00:00:00"/>
    <n v="26"/>
    <s v="Female"/>
    <s v="South"/>
    <x v="0"/>
    <m/>
    <n v="241.1"/>
    <n v="8"/>
    <n v="1"/>
    <x v="171"/>
    <n v="3"/>
    <n v="9"/>
    <n v="3"/>
    <x v="3"/>
  </r>
  <r>
    <n v="4291"/>
    <d v="2025-04-08T00:00:00"/>
    <n v="30"/>
    <s v="Male"/>
    <s v="West"/>
    <x v="1"/>
    <s v="CAMP3"/>
    <n v="381.3"/>
    <n v="5"/>
    <n v="1"/>
    <x v="465"/>
    <n v="4"/>
    <n v="5"/>
    <n v="4"/>
    <x v="3"/>
  </r>
  <r>
    <n v="3972"/>
    <d v="2025-04-08T00:00:00"/>
    <n v="55"/>
    <s v="Female"/>
    <s v="West"/>
    <x v="1"/>
    <s v="CAMP4"/>
    <n v="53"/>
    <n v="3"/>
    <n v="1"/>
    <x v="466"/>
    <n v="2"/>
    <n v="4"/>
    <n v="4"/>
    <x v="3"/>
  </r>
  <r>
    <n v="4689"/>
    <d v="2025-04-08T00:00:00"/>
    <n v="37"/>
    <s v="Male"/>
    <s v="East"/>
    <x v="0"/>
    <m/>
    <n v="1290.9000000000001"/>
    <n v="5"/>
    <n v="0"/>
    <x v="11"/>
    <n v="0"/>
    <n v="0"/>
    <m/>
    <x v="3"/>
  </r>
  <r>
    <n v="4208"/>
    <d v="2025-04-08T00:00:00"/>
    <n v="44"/>
    <s v="Female"/>
    <s v="South"/>
    <x v="1"/>
    <s v="CAMP4"/>
    <n v="700.2"/>
    <n v="4"/>
    <n v="0"/>
    <x v="11"/>
    <n v="0"/>
    <n v="0"/>
    <m/>
    <x v="3"/>
  </r>
  <r>
    <n v="1641"/>
    <d v="2025-04-08T00:00:00"/>
    <n v="33"/>
    <s v="Female"/>
    <s v="South"/>
    <x v="1"/>
    <s v="CAMP3"/>
    <n v="632.79999999999995"/>
    <n v="6"/>
    <n v="0"/>
    <x v="11"/>
    <n v="0"/>
    <n v="0"/>
    <m/>
    <x v="3"/>
  </r>
  <r>
    <n v="2142"/>
    <d v="2025-04-08T00:00:00"/>
    <n v="36"/>
    <s v="Female"/>
    <s v="North"/>
    <x v="0"/>
    <m/>
    <n v="427.8"/>
    <n v="3"/>
    <n v="0"/>
    <x v="11"/>
    <n v="0"/>
    <n v="0"/>
    <m/>
    <x v="3"/>
  </r>
  <r>
    <n v="1530"/>
    <d v="2025-04-08T00:00:00"/>
    <n v="27"/>
    <s v="Male"/>
    <s v="West"/>
    <x v="0"/>
    <m/>
    <n v="396.4"/>
    <n v="7"/>
    <n v="0"/>
    <x v="11"/>
    <n v="0"/>
    <n v="0"/>
    <m/>
    <x v="3"/>
  </r>
  <r>
    <n v="928"/>
    <d v="2025-04-08T00:00:00"/>
    <n v="22"/>
    <s v="Female"/>
    <s v="West"/>
    <x v="0"/>
    <m/>
    <n v="395"/>
    <n v="8"/>
    <n v="0"/>
    <x v="11"/>
    <n v="0"/>
    <n v="0"/>
    <m/>
    <x v="3"/>
  </r>
  <r>
    <n v="3134"/>
    <d v="2025-04-08T00:00:00"/>
    <n v="45"/>
    <s v="Male"/>
    <s v="North"/>
    <x v="0"/>
    <m/>
    <n v="380.2"/>
    <n v="4"/>
    <n v="0"/>
    <x v="11"/>
    <n v="0"/>
    <n v="0"/>
    <m/>
    <x v="3"/>
  </r>
  <r>
    <n v="2897"/>
    <d v="2025-04-08T00:00:00"/>
    <n v="30"/>
    <s v="Male"/>
    <s v="East"/>
    <x v="3"/>
    <m/>
    <n v="330.3"/>
    <n v="9"/>
    <n v="0"/>
    <x v="11"/>
    <n v="0"/>
    <n v="0"/>
    <m/>
    <x v="3"/>
  </r>
  <r>
    <n v="782"/>
    <d v="2025-04-08T00:00:00"/>
    <n v="23"/>
    <s v="Female"/>
    <s v="South"/>
    <x v="1"/>
    <s v="CAMP4"/>
    <n v="306.60000000000002"/>
    <n v="4"/>
    <n v="0"/>
    <x v="11"/>
    <n v="0"/>
    <n v="0"/>
    <m/>
    <x v="3"/>
  </r>
  <r>
    <n v="1304"/>
    <d v="2025-04-08T00:00:00"/>
    <n v="25"/>
    <s v="Male"/>
    <s v="South"/>
    <x v="1"/>
    <s v="CAMP6"/>
    <n v="301.5"/>
    <n v="7"/>
    <n v="0"/>
    <x v="11"/>
    <n v="0"/>
    <n v="0"/>
    <m/>
    <x v="3"/>
  </r>
  <r>
    <n v="2222"/>
    <d v="2025-04-08T00:00:00"/>
    <n v="23"/>
    <s v="Female"/>
    <s v="East"/>
    <x v="2"/>
    <m/>
    <n v="294.10000000000002"/>
    <n v="4"/>
    <n v="0"/>
    <x v="11"/>
    <n v="0"/>
    <n v="0"/>
    <m/>
    <x v="3"/>
  </r>
  <r>
    <n v="288"/>
    <d v="2025-04-08T00:00:00"/>
    <n v="25"/>
    <s v="Male"/>
    <s v="East"/>
    <x v="0"/>
    <m/>
    <n v="263.89999999999998"/>
    <n v="7"/>
    <n v="0"/>
    <x v="11"/>
    <n v="0"/>
    <n v="0"/>
    <m/>
    <x v="3"/>
  </r>
  <r>
    <n v="1041"/>
    <d v="2025-04-08T00:00:00"/>
    <n v="26"/>
    <s v="Female"/>
    <s v="West"/>
    <x v="2"/>
    <m/>
    <n v="258.5"/>
    <n v="4"/>
    <n v="0"/>
    <x v="11"/>
    <n v="0"/>
    <n v="0"/>
    <m/>
    <x v="3"/>
  </r>
  <r>
    <n v="303"/>
    <d v="2025-04-08T00:00:00"/>
    <n v="25"/>
    <s v="Male"/>
    <s v="South"/>
    <x v="1"/>
    <s v="CAMP7"/>
    <n v="190.4"/>
    <n v="4"/>
    <n v="0"/>
    <x v="11"/>
    <n v="0"/>
    <n v="0"/>
    <m/>
    <x v="3"/>
  </r>
  <r>
    <n v="2439"/>
    <d v="2025-04-08T00:00:00"/>
    <n v="51"/>
    <s v="Male"/>
    <s v="North"/>
    <x v="0"/>
    <m/>
    <n v="181.1"/>
    <n v="10"/>
    <n v="0"/>
    <x v="11"/>
    <n v="0"/>
    <n v="0"/>
    <m/>
    <x v="3"/>
  </r>
  <r>
    <n v="1176"/>
    <d v="2025-04-08T00:00:00"/>
    <n v="22"/>
    <s v="Female"/>
    <s v="East"/>
    <x v="2"/>
    <m/>
    <n v="138.1"/>
    <n v="8"/>
    <n v="0"/>
    <x v="11"/>
    <n v="0"/>
    <n v="0"/>
    <m/>
    <x v="3"/>
  </r>
  <r>
    <n v="748"/>
    <d v="2025-04-08T00:00:00"/>
    <n v="23"/>
    <s v="Male"/>
    <s v="West"/>
    <x v="0"/>
    <m/>
    <n v="131.30000000000001"/>
    <n v="7"/>
    <n v="0"/>
    <x v="11"/>
    <n v="0"/>
    <n v="0"/>
    <m/>
    <x v="3"/>
  </r>
  <r>
    <n v="4392"/>
    <d v="2025-04-08T00:00:00"/>
    <n v="57"/>
    <s v="Female"/>
    <s v="East"/>
    <x v="0"/>
    <m/>
    <n v="127.8"/>
    <n v="8"/>
    <n v="0"/>
    <x v="11"/>
    <n v="0"/>
    <n v="0"/>
    <m/>
    <x v="3"/>
  </r>
  <r>
    <n v="4213"/>
    <d v="2025-04-08T00:00:00"/>
    <n v="59"/>
    <s v="Male"/>
    <s v="South"/>
    <x v="1"/>
    <s v="CAMP5"/>
    <n v="105.8"/>
    <n v="7"/>
    <n v="0"/>
    <x v="11"/>
    <n v="0"/>
    <n v="0"/>
    <m/>
    <x v="3"/>
  </r>
  <r>
    <n v="4355"/>
    <d v="2025-04-08T00:00:00"/>
    <n v="70"/>
    <s v="Male"/>
    <s v="South"/>
    <x v="0"/>
    <m/>
    <n v="96.1"/>
    <n v="5"/>
    <n v="0"/>
    <x v="11"/>
    <n v="0"/>
    <n v="0"/>
    <m/>
    <x v="3"/>
  </r>
  <r>
    <n v="1610"/>
    <d v="2025-04-08T00:00:00"/>
    <n v="27"/>
    <s v="Female"/>
    <s v="East"/>
    <x v="0"/>
    <m/>
    <n v="91.6"/>
    <n v="7"/>
    <n v="0"/>
    <x v="11"/>
    <n v="0"/>
    <n v="0"/>
    <m/>
    <x v="3"/>
  </r>
  <r>
    <n v="1180"/>
    <d v="2025-04-08T00:00:00"/>
    <n v="23"/>
    <s v="Male"/>
    <s v="South"/>
    <x v="0"/>
    <m/>
    <n v="78.8"/>
    <n v="6"/>
    <n v="0"/>
    <x v="11"/>
    <n v="0"/>
    <n v="0"/>
    <m/>
    <x v="3"/>
  </r>
  <r>
    <n v="2442"/>
    <d v="2025-04-08T00:00:00"/>
    <n v="34"/>
    <s v="Female"/>
    <s v="South"/>
    <x v="0"/>
    <m/>
    <n v="73.099999999999994"/>
    <n v="4"/>
    <n v="0"/>
    <x v="11"/>
    <n v="0"/>
    <n v="0"/>
    <m/>
    <x v="3"/>
  </r>
  <r>
    <n v="66"/>
    <d v="2025-04-08T00:00:00"/>
    <n v="22"/>
    <s v="Female"/>
    <s v="East"/>
    <x v="0"/>
    <m/>
    <n v="59"/>
    <n v="10"/>
    <n v="0"/>
    <x v="11"/>
    <n v="0"/>
    <n v="0"/>
    <m/>
    <x v="3"/>
  </r>
  <r>
    <n v="3899"/>
    <d v="2025-04-08T00:00:00"/>
    <n v="49"/>
    <s v="Female"/>
    <s v="North"/>
    <x v="2"/>
    <m/>
    <n v="50.2"/>
    <n v="6"/>
    <n v="0"/>
    <x v="11"/>
    <n v="0"/>
    <n v="0"/>
    <m/>
    <x v="3"/>
  </r>
  <r>
    <n v="1015"/>
    <d v="2025-05-08T00:00:00"/>
    <n v="24"/>
    <s v="Male"/>
    <s v="North"/>
    <x v="3"/>
    <m/>
    <n v="828.3"/>
    <n v="6"/>
    <n v="1"/>
    <x v="467"/>
    <n v="1"/>
    <n v="10"/>
    <n v="5"/>
    <x v="4"/>
  </r>
  <r>
    <n v="439"/>
    <d v="2025-05-08T00:00:00"/>
    <n v="26"/>
    <s v="Female"/>
    <s v="North"/>
    <x v="2"/>
    <m/>
    <n v="48.6"/>
    <n v="2"/>
    <n v="1"/>
    <x v="468"/>
    <n v="1"/>
    <n v="10"/>
    <n v="4"/>
    <x v="4"/>
  </r>
  <r>
    <n v="1300"/>
    <d v="2025-05-08T00:00:00"/>
    <n v="21"/>
    <s v="Female"/>
    <s v="East"/>
    <x v="2"/>
    <m/>
    <n v="1155.5999999999999"/>
    <n v="9"/>
    <n v="1"/>
    <x v="469"/>
    <n v="2"/>
    <n v="11"/>
    <n v="4"/>
    <x v="4"/>
  </r>
  <r>
    <n v="2759"/>
    <d v="2025-05-08T00:00:00"/>
    <n v="45"/>
    <s v="Male"/>
    <s v="East"/>
    <x v="3"/>
    <m/>
    <n v="880.2"/>
    <n v="7"/>
    <n v="1"/>
    <x v="470"/>
    <n v="3"/>
    <n v="11"/>
    <n v="4"/>
    <x v="4"/>
  </r>
  <r>
    <n v="1400"/>
    <d v="2025-05-08T00:00:00"/>
    <n v="27"/>
    <s v="Male"/>
    <s v="South"/>
    <x v="1"/>
    <s v="CAMP5"/>
    <n v="993.1"/>
    <n v="7"/>
    <n v="1"/>
    <x v="471"/>
    <n v="3"/>
    <n v="10"/>
    <n v="4"/>
    <x v="4"/>
  </r>
  <r>
    <n v="3974"/>
    <d v="2025-05-08T00:00:00"/>
    <n v="50"/>
    <s v="Female"/>
    <s v="North"/>
    <x v="0"/>
    <m/>
    <n v="485.6"/>
    <n v="8"/>
    <n v="1"/>
    <x v="472"/>
    <n v="2"/>
    <n v="8"/>
    <n v="5"/>
    <x v="4"/>
  </r>
  <r>
    <n v="2935"/>
    <d v="2025-05-08T00:00:00"/>
    <n v="39"/>
    <s v="Male"/>
    <s v="West"/>
    <x v="1"/>
    <s v="CAMP2"/>
    <n v="626.4"/>
    <n v="3"/>
    <n v="1"/>
    <x v="473"/>
    <n v="2"/>
    <n v="4"/>
    <n v="4"/>
    <x v="4"/>
  </r>
  <r>
    <n v="1541"/>
    <d v="2025-05-08T00:00:00"/>
    <n v="25"/>
    <s v="Female"/>
    <s v="South"/>
    <x v="0"/>
    <m/>
    <n v="811.8"/>
    <n v="2"/>
    <n v="1"/>
    <x v="474"/>
    <n v="4"/>
    <n v="2"/>
    <n v="3"/>
    <x v="4"/>
  </r>
  <r>
    <n v="1305"/>
    <d v="2025-05-08T00:00:00"/>
    <n v="22"/>
    <s v="Male"/>
    <s v="East"/>
    <x v="1"/>
    <s v="CAMP3"/>
    <n v="214.5"/>
    <n v="3"/>
    <n v="1"/>
    <x v="475"/>
    <n v="2"/>
    <n v="5"/>
    <n v="5"/>
    <x v="4"/>
  </r>
  <r>
    <n v="1151"/>
    <d v="2025-05-08T00:00:00"/>
    <n v="18"/>
    <s v="Male"/>
    <s v="South"/>
    <x v="3"/>
    <m/>
    <n v="280.10000000000002"/>
    <n v="6"/>
    <n v="1"/>
    <x v="476"/>
    <n v="2"/>
    <n v="11"/>
    <n v="4"/>
    <x v="4"/>
  </r>
  <r>
    <n v="3071"/>
    <d v="2025-05-08T00:00:00"/>
    <n v="42"/>
    <s v="Male"/>
    <s v="North"/>
    <x v="1"/>
    <s v="CAMP1"/>
    <n v="219.6"/>
    <n v="7"/>
    <n v="1"/>
    <x v="477"/>
    <n v="2"/>
    <n v="13"/>
    <n v="5"/>
    <x v="4"/>
  </r>
  <r>
    <n v="2048"/>
    <d v="2025-05-08T00:00:00"/>
    <n v="32"/>
    <s v="Male"/>
    <s v="West"/>
    <x v="1"/>
    <s v="CAMP2"/>
    <n v="894.2"/>
    <n v="7"/>
    <n v="0"/>
    <x v="11"/>
    <n v="0"/>
    <n v="0"/>
    <m/>
    <x v="4"/>
  </r>
  <r>
    <n v="2389"/>
    <d v="2025-05-08T00:00:00"/>
    <n v="46"/>
    <s v="Male"/>
    <s v="West"/>
    <x v="0"/>
    <m/>
    <n v="721"/>
    <n v="6"/>
    <n v="0"/>
    <x v="11"/>
    <n v="0"/>
    <n v="0"/>
    <m/>
    <x v="4"/>
  </r>
  <r>
    <n v="4769"/>
    <d v="2025-05-08T00:00:00"/>
    <n v="49"/>
    <s v="Male"/>
    <s v="East"/>
    <x v="0"/>
    <m/>
    <n v="520.20000000000005"/>
    <n v="3"/>
    <n v="0"/>
    <x v="11"/>
    <n v="0"/>
    <n v="0"/>
    <m/>
    <x v="4"/>
  </r>
  <r>
    <n v="3713"/>
    <d v="2025-05-08T00:00:00"/>
    <n v="44"/>
    <s v="Female"/>
    <s v="North"/>
    <x v="3"/>
    <m/>
    <n v="389.7"/>
    <n v="6"/>
    <n v="0"/>
    <x v="11"/>
    <n v="0"/>
    <n v="0"/>
    <m/>
    <x v="4"/>
  </r>
  <r>
    <n v="10"/>
    <d v="2025-05-08T00:00:00"/>
    <n v="21"/>
    <s v="Male"/>
    <s v="East"/>
    <x v="0"/>
    <m/>
    <n v="374.3"/>
    <n v="4"/>
    <n v="0"/>
    <x v="11"/>
    <n v="0"/>
    <n v="0"/>
    <m/>
    <x v="4"/>
  </r>
  <r>
    <n v="3313"/>
    <d v="2025-05-08T00:00:00"/>
    <n v="41"/>
    <s v="Female"/>
    <s v="South"/>
    <x v="0"/>
    <m/>
    <n v="350.2"/>
    <n v="5"/>
    <n v="0"/>
    <x v="11"/>
    <n v="0"/>
    <n v="0"/>
    <m/>
    <x v="4"/>
  </r>
  <r>
    <n v="801"/>
    <d v="2025-05-08T00:00:00"/>
    <n v="25"/>
    <s v="Female"/>
    <s v="North"/>
    <x v="2"/>
    <m/>
    <n v="329.8"/>
    <n v="1"/>
    <n v="0"/>
    <x v="11"/>
    <n v="0"/>
    <n v="0"/>
    <m/>
    <x v="4"/>
  </r>
  <r>
    <n v="1650"/>
    <d v="2025-05-08T00:00:00"/>
    <n v="24"/>
    <s v="Female"/>
    <s v="East"/>
    <x v="3"/>
    <m/>
    <n v="209.1"/>
    <n v="6"/>
    <n v="0"/>
    <x v="11"/>
    <n v="0"/>
    <n v="0"/>
    <m/>
    <x v="4"/>
  </r>
  <r>
    <n v="3435"/>
    <d v="2025-05-08T00:00:00"/>
    <n v="39"/>
    <s v="Female"/>
    <s v="North"/>
    <x v="0"/>
    <m/>
    <n v="208.9"/>
    <n v="6"/>
    <n v="0"/>
    <x v="11"/>
    <n v="0"/>
    <n v="0"/>
    <m/>
    <x v="4"/>
  </r>
  <r>
    <n v="1190"/>
    <d v="2025-05-08T00:00:00"/>
    <n v="29"/>
    <s v="Other"/>
    <s v="South"/>
    <x v="0"/>
    <m/>
    <n v="206.5"/>
    <n v="4"/>
    <n v="0"/>
    <x v="11"/>
    <n v="0"/>
    <n v="0"/>
    <m/>
    <x v="4"/>
  </r>
  <r>
    <n v="2562"/>
    <d v="2025-05-08T00:00:00"/>
    <n v="24"/>
    <s v="Male"/>
    <s v="South"/>
    <x v="3"/>
    <m/>
    <n v="182"/>
    <n v="6"/>
    <n v="0"/>
    <x v="11"/>
    <n v="0"/>
    <n v="0"/>
    <m/>
    <x v="4"/>
  </r>
  <r>
    <n v="2609"/>
    <d v="2025-05-08T00:00:00"/>
    <n v="35"/>
    <s v="Male"/>
    <s v="South"/>
    <x v="0"/>
    <m/>
    <n v="148.30000000000001"/>
    <n v="6"/>
    <n v="0"/>
    <x v="11"/>
    <n v="0"/>
    <n v="0"/>
    <m/>
    <x v="4"/>
  </r>
  <r>
    <n v="4666"/>
    <d v="2025-05-08T00:00:00"/>
    <n v="68"/>
    <s v="Male"/>
    <s v="East"/>
    <x v="0"/>
    <m/>
    <n v="127.2"/>
    <n v="4"/>
    <n v="0"/>
    <x v="11"/>
    <n v="0"/>
    <n v="0"/>
    <m/>
    <x v="4"/>
  </r>
  <r>
    <n v="2143"/>
    <d v="2025-05-08T00:00:00"/>
    <n v="34"/>
    <s v="Female"/>
    <s v="South"/>
    <x v="0"/>
    <m/>
    <n v="121.7"/>
    <n v="8"/>
    <n v="0"/>
    <x v="11"/>
    <n v="0"/>
    <n v="0"/>
    <m/>
    <x v="4"/>
  </r>
  <r>
    <n v="4974"/>
    <d v="2025-05-08T00:00:00"/>
    <n v="54"/>
    <s v="Male"/>
    <s v="South"/>
    <x v="1"/>
    <s v="CAMP4"/>
    <n v="54.5"/>
    <n v="6"/>
    <n v="0"/>
    <x v="11"/>
    <n v="0"/>
    <n v="0"/>
    <m/>
    <x v="4"/>
  </r>
  <r>
    <n v="1944"/>
    <d v="2025-05-08T00:00:00"/>
    <n v="48"/>
    <s v="Female"/>
    <s v="East"/>
    <x v="0"/>
    <m/>
    <n v="35.1"/>
    <n v="3"/>
    <n v="0"/>
    <x v="11"/>
    <n v="0"/>
    <n v="0"/>
    <m/>
    <x v="4"/>
  </r>
  <r>
    <n v="75"/>
    <d v="2025-05-08T00:00:00"/>
    <n v="23"/>
    <s v="Female"/>
    <s v="South"/>
    <x v="1"/>
    <s v="CAMP7"/>
    <n v="18"/>
    <n v="4"/>
    <n v="0"/>
    <x v="11"/>
    <n v="0"/>
    <n v="0"/>
    <m/>
    <x v="4"/>
  </r>
  <r>
    <n v="1158"/>
    <d v="2025-06-08T00:00:00"/>
    <n v="25"/>
    <s v="Male"/>
    <s v="North"/>
    <x v="0"/>
    <m/>
    <n v="471.2"/>
    <n v="4"/>
    <n v="1"/>
    <x v="478"/>
    <n v="4"/>
    <n v="14"/>
    <n v="4"/>
    <x v="5"/>
  </r>
  <r>
    <n v="1473"/>
    <d v="2025-06-08T00:00:00"/>
    <n v="21"/>
    <s v="Male"/>
    <s v="West"/>
    <x v="3"/>
    <m/>
    <n v="574.1"/>
    <n v="6"/>
    <n v="1"/>
    <x v="479"/>
    <n v="3"/>
    <n v="5"/>
    <n v="4"/>
    <x v="5"/>
  </r>
  <r>
    <n v="4672"/>
    <d v="2025-06-08T00:00:00"/>
    <n v="48"/>
    <s v="Female"/>
    <s v="North"/>
    <x v="3"/>
    <m/>
    <n v="508.5"/>
    <n v="7"/>
    <n v="1"/>
    <x v="480"/>
    <n v="4"/>
    <n v="10"/>
    <n v="3"/>
    <x v="5"/>
  </r>
  <r>
    <n v="4696"/>
    <d v="2025-06-08T00:00:00"/>
    <n v="39"/>
    <s v="Female"/>
    <s v="East"/>
    <x v="2"/>
    <m/>
    <n v="597.6"/>
    <n v="5"/>
    <n v="1"/>
    <x v="481"/>
    <n v="2"/>
    <n v="1"/>
    <n v="3"/>
    <x v="5"/>
  </r>
  <r>
    <n v="1672"/>
    <d v="2025-06-08T00:00:00"/>
    <n v="25"/>
    <s v="Male"/>
    <s v="East"/>
    <x v="0"/>
    <m/>
    <n v="435.3"/>
    <n v="5"/>
    <n v="1"/>
    <x v="482"/>
    <n v="1"/>
    <n v="11"/>
    <n v="4"/>
    <x v="5"/>
  </r>
  <r>
    <n v="4924"/>
    <d v="2025-06-08T00:00:00"/>
    <n v="63"/>
    <s v="Male"/>
    <s v="West"/>
    <x v="0"/>
    <m/>
    <n v="423.8"/>
    <n v="6"/>
    <n v="1"/>
    <x v="483"/>
    <n v="2"/>
    <n v="14"/>
    <n v="5"/>
    <x v="5"/>
  </r>
  <r>
    <n v="3878"/>
    <d v="2025-06-08T00:00:00"/>
    <n v="52"/>
    <s v="Female"/>
    <s v="West"/>
    <x v="3"/>
    <m/>
    <n v="1132.0999999999999"/>
    <n v="6"/>
    <n v="1"/>
    <x v="484"/>
    <n v="1"/>
    <n v="14"/>
    <n v="4"/>
    <x v="5"/>
  </r>
  <r>
    <n v="1611"/>
    <d v="2025-06-08T00:00:00"/>
    <n v="24"/>
    <s v="Female"/>
    <s v="East"/>
    <x v="3"/>
    <m/>
    <n v="589.5"/>
    <n v="6"/>
    <n v="1"/>
    <x v="485"/>
    <n v="2"/>
    <n v="7"/>
    <n v="5"/>
    <x v="5"/>
  </r>
  <r>
    <n v="4470"/>
    <d v="2025-06-08T00:00:00"/>
    <n v="60"/>
    <s v="Male"/>
    <s v="East"/>
    <x v="1"/>
    <s v="CAMP2"/>
    <n v="495.7"/>
    <n v="10"/>
    <n v="0"/>
    <x v="11"/>
    <n v="0"/>
    <n v="0"/>
    <m/>
    <x v="5"/>
  </r>
  <r>
    <n v="3386"/>
    <d v="2025-06-08T00:00:00"/>
    <n v="38"/>
    <s v="Male"/>
    <s v="South"/>
    <x v="1"/>
    <s v="CAMP1"/>
    <n v="422.2"/>
    <n v="6"/>
    <n v="0"/>
    <x v="11"/>
    <n v="0"/>
    <n v="0"/>
    <m/>
    <x v="5"/>
  </r>
  <r>
    <n v="1084"/>
    <d v="2025-06-08T00:00:00"/>
    <n v="19"/>
    <s v="Male"/>
    <s v="East"/>
    <x v="0"/>
    <m/>
    <n v="411.7"/>
    <n v="4"/>
    <n v="0"/>
    <x v="11"/>
    <n v="0"/>
    <n v="0"/>
    <m/>
    <x v="5"/>
  </r>
  <r>
    <n v="2662"/>
    <d v="2025-06-08T00:00:00"/>
    <n v="38"/>
    <s v="Male"/>
    <s v="South"/>
    <x v="1"/>
    <s v="CAMP4"/>
    <n v="405.3"/>
    <n v="4"/>
    <n v="0"/>
    <x v="11"/>
    <n v="0"/>
    <n v="0"/>
    <m/>
    <x v="5"/>
  </r>
  <r>
    <n v="2120"/>
    <d v="2025-06-08T00:00:00"/>
    <n v="41"/>
    <s v="Female"/>
    <s v="North"/>
    <x v="3"/>
    <m/>
    <n v="397.7"/>
    <n v="6"/>
    <n v="0"/>
    <x v="11"/>
    <n v="0"/>
    <n v="0"/>
    <m/>
    <x v="5"/>
  </r>
  <r>
    <n v="2129"/>
    <d v="2025-06-08T00:00:00"/>
    <n v="40"/>
    <s v="Female"/>
    <s v="North"/>
    <x v="0"/>
    <m/>
    <n v="387.6"/>
    <n v="5"/>
    <n v="0"/>
    <x v="11"/>
    <n v="0"/>
    <n v="0"/>
    <m/>
    <x v="5"/>
  </r>
  <r>
    <n v="3494"/>
    <d v="2025-06-08T00:00:00"/>
    <n v="37"/>
    <s v="Male"/>
    <s v="South"/>
    <x v="3"/>
    <m/>
    <n v="342.9"/>
    <n v="8"/>
    <n v="0"/>
    <x v="11"/>
    <n v="0"/>
    <n v="0"/>
    <m/>
    <x v="5"/>
  </r>
  <r>
    <n v="1146"/>
    <d v="2025-06-08T00:00:00"/>
    <n v="28"/>
    <s v="Male"/>
    <s v="North"/>
    <x v="2"/>
    <m/>
    <n v="327.60000000000002"/>
    <n v="6"/>
    <n v="0"/>
    <x v="11"/>
    <n v="0"/>
    <n v="0"/>
    <m/>
    <x v="5"/>
  </r>
  <r>
    <n v="2462"/>
    <d v="2025-06-08T00:00:00"/>
    <n v="39"/>
    <s v="Male"/>
    <s v="East"/>
    <x v="1"/>
    <s v="CAMP6"/>
    <n v="285.8"/>
    <n v="4"/>
    <n v="0"/>
    <x v="11"/>
    <n v="0"/>
    <n v="0"/>
    <m/>
    <x v="5"/>
  </r>
  <r>
    <n v="2255"/>
    <d v="2025-06-08T00:00:00"/>
    <n v="24"/>
    <s v="Male"/>
    <s v="East"/>
    <x v="0"/>
    <m/>
    <n v="269.89999999999998"/>
    <n v="4"/>
    <n v="0"/>
    <x v="11"/>
    <n v="0"/>
    <n v="0"/>
    <m/>
    <x v="5"/>
  </r>
  <r>
    <n v="4563"/>
    <d v="2025-06-08T00:00:00"/>
    <n v="36"/>
    <s v="Female"/>
    <s v="West"/>
    <x v="1"/>
    <s v="CAMP7"/>
    <n v="190.8"/>
    <n v="7"/>
    <n v="0"/>
    <x v="11"/>
    <n v="0"/>
    <n v="0"/>
    <m/>
    <x v="5"/>
  </r>
  <r>
    <n v="3082"/>
    <d v="2025-06-08T00:00:00"/>
    <n v="35"/>
    <s v="Female"/>
    <s v="East"/>
    <x v="3"/>
    <m/>
    <n v="151.6"/>
    <n v="8"/>
    <n v="0"/>
    <x v="11"/>
    <n v="0"/>
    <n v="0"/>
    <m/>
    <x v="5"/>
  </r>
  <r>
    <n v="4262"/>
    <d v="2025-06-08T00:00:00"/>
    <n v="42"/>
    <s v="Female"/>
    <s v="North"/>
    <x v="1"/>
    <s v="CAMP7"/>
    <n v="128.4"/>
    <n v="7"/>
    <n v="0"/>
    <x v="11"/>
    <n v="0"/>
    <n v="0"/>
    <m/>
    <x v="5"/>
  </r>
  <r>
    <n v="4385"/>
    <d v="2025-06-08T00:00:00"/>
    <n v="48"/>
    <s v="Male"/>
    <s v="East"/>
    <x v="1"/>
    <s v="CAMP4"/>
    <n v="101.3"/>
    <n v="8"/>
    <n v="0"/>
    <x v="11"/>
    <n v="0"/>
    <n v="0"/>
    <m/>
    <x v="5"/>
  </r>
  <r>
    <n v="2075"/>
    <d v="2025-06-08T00:00:00"/>
    <n v="52"/>
    <s v="Female"/>
    <s v="South"/>
    <x v="0"/>
    <m/>
    <n v="59.9"/>
    <n v="3"/>
    <n v="0"/>
    <x v="11"/>
    <n v="0"/>
    <n v="0"/>
    <m/>
    <x v="5"/>
  </r>
  <r>
    <n v="3178"/>
    <d v="2025-06-08T00:00:00"/>
    <n v="40"/>
    <s v="Male"/>
    <s v="East"/>
    <x v="1"/>
    <s v="CAMP7"/>
    <n v="54"/>
    <n v="6"/>
    <n v="0"/>
    <x v="11"/>
    <n v="0"/>
    <n v="0"/>
    <m/>
    <x v="5"/>
  </r>
  <r>
    <n v="3284"/>
    <d v="2025-06-08T00:00:00"/>
    <n v="26"/>
    <s v="Female"/>
    <s v="South"/>
    <x v="1"/>
    <s v="CAMP3"/>
    <n v="37.9"/>
    <n v="6"/>
    <n v="0"/>
    <x v="11"/>
    <n v="0"/>
    <n v="0"/>
    <m/>
    <x v="5"/>
  </r>
  <r>
    <n v="2074"/>
    <d v="2025-06-08T00:00:00"/>
    <n v="28"/>
    <s v="Male"/>
    <s v="East"/>
    <x v="0"/>
    <m/>
    <n v="37.200000000000003"/>
    <n v="2"/>
    <n v="0"/>
    <x v="11"/>
    <n v="0"/>
    <n v="0"/>
    <m/>
    <x v="5"/>
  </r>
  <r>
    <n v="3493"/>
    <d v="2025-06-08T00:00:00"/>
    <n v="31"/>
    <s v="Female"/>
    <s v="East"/>
    <x v="3"/>
    <m/>
    <n v="16"/>
    <n v="5"/>
    <n v="0"/>
    <x v="11"/>
    <n v="0"/>
    <n v="0"/>
    <m/>
    <x v="5"/>
  </r>
  <r>
    <n v="1466"/>
    <d v="2025-01-09T00:00:00"/>
    <n v="31"/>
    <s v="Other"/>
    <s v="East"/>
    <x v="2"/>
    <m/>
    <n v="320.7"/>
    <n v="9"/>
    <n v="1"/>
    <x v="486"/>
    <n v="4"/>
    <n v="1"/>
    <n v="3"/>
    <x v="0"/>
  </r>
  <r>
    <n v="4394"/>
    <d v="2025-01-09T00:00:00"/>
    <n v="54"/>
    <s v="Female"/>
    <s v="East"/>
    <x v="3"/>
    <m/>
    <n v="509.4"/>
    <n v="4"/>
    <n v="1"/>
    <x v="487"/>
    <n v="3"/>
    <n v="9"/>
    <n v="4"/>
    <x v="0"/>
  </r>
  <r>
    <n v="3672"/>
    <d v="2025-01-09T00:00:00"/>
    <n v="32"/>
    <s v="Male"/>
    <s v="South"/>
    <x v="0"/>
    <m/>
    <n v="238"/>
    <n v="5"/>
    <n v="1"/>
    <x v="488"/>
    <n v="3"/>
    <n v="14"/>
    <n v="4"/>
    <x v="0"/>
  </r>
  <r>
    <n v="2781"/>
    <d v="2025-01-09T00:00:00"/>
    <n v="38"/>
    <s v="Male"/>
    <s v="East"/>
    <x v="0"/>
    <m/>
    <n v="777.7"/>
    <n v="5"/>
    <n v="1"/>
    <x v="489"/>
    <n v="2"/>
    <n v="2"/>
    <n v="4"/>
    <x v="0"/>
  </r>
  <r>
    <n v="2232"/>
    <d v="2025-01-09T00:00:00"/>
    <n v="24"/>
    <s v="Male"/>
    <s v="South"/>
    <x v="0"/>
    <m/>
    <n v="142.19999999999999"/>
    <n v="3"/>
    <n v="1"/>
    <x v="490"/>
    <n v="3"/>
    <n v="1"/>
    <n v="4"/>
    <x v="0"/>
  </r>
  <r>
    <n v="4090"/>
    <d v="2025-01-09T00:00:00"/>
    <n v="65"/>
    <s v="Female"/>
    <s v="East"/>
    <x v="0"/>
    <m/>
    <n v="142.1"/>
    <n v="6"/>
    <n v="1"/>
    <x v="491"/>
    <n v="4"/>
    <n v="2"/>
    <n v="4"/>
    <x v="0"/>
  </r>
  <r>
    <n v="2645"/>
    <d v="2025-01-09T00:00:00"/>
    <n v="46"/>
    <s v="Female"/>
    <s v="North"/>
    <x v="0"/>
    <m/>
    <n v="196.1"/>
    <n v="2"/>
    <n v="1"/>
    <x v="492"/>
    <n v="3"/>
    <n v="4"/>
    <n v="4"/>
    <x v="0"/>
  </r>
  <r>
    <n v="1195"/>
    <d v="2025-01-09T00:00:00"/>
    <n v="27"/>
    <s v="Male"/>
    <s v="East"/>
    <x v="0"/>
    <m/>
    <n v="667"/>
    <n v="5"/>
    <n v="0"/>
    <x v="11"/>
    <n v="0"/>
    <n v="0"/>
    <m/>
    <x v="0"/>
  </r>
  <r>
    <n v="59"/>
    <d v="2025-01-09T00:00:00"/>
    <n v="21"/>
    <s v="Male"/>
    <s v="North"/>
    <x v="0"/>
    <m/>
    <n v="517.29999999999995"/>
    <n v="6"/>
    <n v="0"/>
    <x v="11"/>
    <n v="0"/>
    <n v="0"/>
    <m/>
    <x v="0"/>
  </r>
  <r>
    <n v="2607"/>
    <d v="2025-01-09T00:00:00"/>
    <n v="38"/>
    <s v="Female"/>
    <s v="North"/>
    <x v="0"/>
    <m/>
    <n v="446.9"/>
    <n v="5"/>
    <n v="0"/>
    <x v="11"/>
    <n v="0"/>
    <n v="0"/>
    <m/>
    <x v="0"/>
  </r>
  <r>
    <n v="348"/>
    <d v="2025-01-09T00:00:00"/>
    <n v="28"/>
    <s v="Male"/>
    <s v="South"/>
    <x v="0"/>
    <m/>
    <n v="345.9"/>
    <n v="7"/>
    <n v="0"/>
    <x v="11"/>
    <n v="0"/>
    <n v="0"/>
    <m/>
    <x v="0"/>
  </r>
  <r>
    <n v="4564"/>
    <d v="2025-01-09T00:00:00"/>
    <n v="47"/>
    <s v="Male"/>
    <s v="North"/>
    <x v="1"/>
    <s v="CAMP3"/>
    <n v="323.89999999999998"/>
    <n v="9"/>
    <n v="0"/>
    <x v="11"/>
    <n v="0"/>
    <n v="0"/>
    <m/>
    <x v="0"/>
  </r>
  <r>
    <n v="2284"/>
    <d v="2025-01-09T00:00:00"/>
    <n v="32"/>
    <s v="Male"/>
    <s v="East"/>
    <x v="1"/>
    <s v="CAMP2"/>
    <n v="287.8"/>
    <n v="8"/>
    <n v="0"/>
    <x v="11"/>
    <n v="0"/>
    <n v="0"/>
    <m/>
    <x v="0"/>
  </r>
  <r>
    <n v="487"/>
    <d v="2025-01-09T00:00:00"/>
    <n v="26"/>
    <s v="Male"/>
    <s v="East"/>
    <x v="0"/>
    <m/>
    <n v="225.2"/>
    <n v="6"/>
    <n v="0"/>
    <x v="11"/>
    <n v="0"/>
    <n v="0"/>
    <m/>
    <x v="0"/>
  </r>
  <r>
    <n v="4342"/>
    <d v="2025-01-09T00:00:00"/>
    <n v="21"/>
    <s v="Male"/>
    <s v="South"/>
    <x v="0"/>
    <m/>
    <n v="198.1"/>
    <n v="8"/>
    <n v="0"/>
    <x v="11"/>
    <n v="0"/>
    <n v="0"/>
    <m/>
    <x v="0"/>
  </r>
  <r>
    <n v="30"/>
    <d v="2025-01-09T00:00:00"/>
    <n v="19"/>
    <s v="Male"/>
    <s v="East"/>
    <x v="1"/>
    <s v="CAMP2"/>
    <n v="197.2"/>
    <n v="5"/>
    <n v="0"/>
    <x v="11"/>
    <n v="0"/>
    <n v="0"/>
    <m/>
    <x v="0"/>
  </r>
  <r>
    <n v="4925"/>
    <d v="2025-01-09T00:00:00"/>
    <n v="53"/>
    <s v="Male"/>
    <s v="West"/>
    <x v="3"/>
    <m/>
    <n v="193.2"/>
    <n v="6"/>
    <n v="0"/>
    <x v="11"/>
    <n v="0"/>
    <n v="0"/>
    <m/>
    <x v="0"/>
  </r>
  <r>
    <n v="4677"/>
    <d v="2025-01-09T00:00:00"/>
    <n v="57"/>
    <s v="Female"/>
    <s v="South"/>
    <x v="3"/>
    <m/>
    <n v="185.4"/>
    <n v="7"/>
    <n v="0"/>
    <x v="11"/>
    <n v="0"/>
    <n v="0"/>
    <m/>
    <x v="0"/>
  </r>
  <r>
    <n v="2838"/>
    <d v="2025-01-09T00:00:00"/>
    <n v="34"/>
    <s v="Male"/>
    <s v="North"/>
    <x v="0"/>
    <m/>
    <n v="143.30000000000001"/>
    <n v="6"/>
    <n v="0"/>
    <x v="11"/>
    <n v="0"/>
    <n v="0"/>
    <m/>
    <x v="0"/>
  </r>
  <r>
    <n v="335"/>
    <d v="2025-01-09T00:00:00"/>
    <n v="22"/>
    <s v="Female"/>
    <s v="East"/>
    <x v="1"/>
    <s v="CAMP7"/>
    <n v="116.4"/>
    <n v="6"/>
    <n v="0"/>
    <x v="11"/>
    <n v="0"/>
    <n v="0"/>
    <m/>
    <x v="0"/>
  </r>
  <r>
    <n v="515"/>
    <d v="2025-01-09T00:00:00"/>
    <n v="19"/>
    <s v="Female"/>
    <s v="East"/>
    <x v="1"/>
    <s v="CAMP4"/>
    <n v="99.3"/>
    <n v="9"/>
    <n v="0"/>
    <x v="11"/>
    <n v="0"/>
    <n v="0"/>
    <m/>
    <x v="0"/>
  </r>
  <r>
    <n v="4388"/>
    <d v="2025-01-09T00:00:00"/>
    <n v="49"/>
    <s v="Female"/>
    <s v="West"/>
    <x v="0"/>
    <m/>
    <n v="76.7"/>
    <n v="6"/>
    <n v="0"/>
    <x v="11"/>
    <n v="0"/>
    <n v="0"/>
    <m/>
    <x v="0"/>
  </r>
  <r>
    <n v="958"/>
    <d v="2025-01-09T00:00:00"/>
    <n v="28"/>
    <s v="Male"/>
    <s v="North"/>
    <x v="0"/>
    <m/>
    <n v="32.700000000000003"/>
    <n v="7"/>
    <n v="0"/>
    <x v="11"/>
    <n v="0"/>
    <n v="0"/>
    <m/>
    <x v="0"/>
  </r>
  <r>
    <n v="2857"/>
    <d v="2025-02-09T00:00:00"/>
    <n v="33"/>
    <s v="Male"/>
    <s v="East"/>
    <x v="3"/>
    <m/>
    <n v="159.9"/>
    <n v="6"/>
    <n v="1"/>
    <x v="493"/>
    <n v="4"/>
    <n v="14"/>
    <n v="4"/>
    <x v="1"/>
  </r>
  <r>
    <n v="4085"/>
    <d v="2025-02-09T00:00:00"/>
    <n v="39"/>
    <s v="Female"/>
    <s v="West"/>
    <x v="0"/>
    <m/>
    <n v="200.7"/>
    <n v="7"/>
    <n v="1"/>
    <x v="494"/>
    <n v="3"/>
    <n v="9"/>
    <n v="4"/>
    <x v="1"/>
  </r>
  <r>
    <n v="1097"/>
    <d v="2025-02-09T00:00:00"/>
    <n v="33"/>
    <s v="Female"/>
    <s v="East"/>
    <x v="1"/>
    <s v="CAMP5"/>
    <n v="511.8"/>
    <n v="5"/>
    <n v="1"/>
    <x v="495"/>
    <n v="2"/>
    <n v="14"/>
    <n v="4"/>
    <x v="1"/>
  </r>
  <r>
    <n v="3237"/>
    <d v="2025-02-09T00:00:00"/>
    <n v="32"/>
    <s v="Female"/>
    <s v="East"/>
    <x v="3"/>
    <m/>
    <n v="901.9"/>
    <n v="7"/>
    <n v="1"/>
    <x v="496"/>
    <n v="1"/>
    <n v="5"/>
    <n v="4"/>
    <x v="1"/>
  </r>
  <r>
    <n v="2297"/>
    <d v="2025-02-09T00:00:00"/>
    <n v="29"/>
    <s v="Male"/>
    <s v="South"/>
    <x v="1"/>
    <s v="CAMP7"/>
    <n v="425.2"/>
    <n v="8"/>
    <n v="1"/>
    <x v="497"/>
    <n v="1"/>
    <n v="11"/>
    <n v="3"/>
    <x v="1"/>
  </r>
  <r>
    <n v="3884"/>
    <d v="2025-02-09T00:00:00"/>
    <n v="62"/>
    <s v="Male"/>
    <s v="South"/>
    <x v="0"/>
    <m/>
    <n v="738.6"/>
    <n v="4"/>
    <n v="1"/>
    <x v="498"/>
    <n v="3"/>
    <n v="5"/>
    <n v="4"/>
    <x v="1"/>
  </r>
  <r>
    <n v="1952"/>
    <d v="2025-02-09T00:00:00"/>
    <n v="23"/>
    <s v="Female"/>
    <s v="East"/>
    <x v="3"/>
    <m/>
    <n v="300.89999999999998"/>
    <n v="5"/>
    <n v="1"/>
    <x v="499"/>
    <n v="2"/>
    <n v="7"/>
    <n v="4"/>
    <x v="1"/>
  </r>
  <r>
    <n v="1324"/>
    <d v="2025-02-09T00:00:00"/>
    <n v="21"/>
    <s v="Male"/>
    <s v="West"/>
    <x v="0"/>
    <m/>
    <n v="279.8"/>
    <n v="7"/>
    <n v="1"/>
    <x v="500"/>
    <n v="4"/>
    <n v="8"/>
    <n v="4"/>
    <x v="1"/>
  </r>
  <r>
    <n v="3623"/>
    <d v="2025-02-09T00:00:00"/>
    <n v="38"/>
    <s v="Male"/>
    <s v="South"/>
    <x v="0"/>
    <m/>
    <n v="557.70000000000005"/>
    <n v="7"/>
    <n v="1"/>
    <x v="501"/>
    <n v="5"/>
    <n v="6"/>
    <n v="4"/>
    <x v="1"/>
  </r>
  <r>
    <n v="3371"/>
    <d v="2025-02-09T00:00:00"/>
    <n v="37"/>
    <s v="Female"/>
    <s v="North"/>
    <x v="0"/>
    <m/>
    <n v="483.7"/>
    <n v="4"/>
    <n v="0"/>
    <x v="11"/>
    <n v="0"/>
    <n v="0"/>
    <m/>
    <x v="1"/>
  </r>
  <r>
    <n v="3305"/>
    <d v="2025-02-09T00:00:00"/>
    <n v="34"/>
    <s v="Male"/>
    <s v="North"/>
    <x v="1"/>
    <s v="CAMP3"/>
    <n v="430.1"/>
    <n v="4"/>
    <n v="0"/>
    <x v="11"/>
    <n v="0"/>
    <n v="0"/>
    <m/>
    <x v="1"/>
  </r>
  <r>
    <n v="2408"/>
    <d v="2025-02-09T00:00:00"/>
    <n v="29"/>
    <s v="Male"/>
    <s v="East"/>
    <x v="0"/>
    <m/>
    <n v="315"/>
    <n v="4"/>
    <n v="0"/>
    <x v="11"/>
    <n v="0"/>
    <n v="0"/>
    <m/>
    <x v="1"/>
  </r>
  <r>
    <n v="1575"/>
    <d v="2025-02-09T00:00:00"/>
    <n v="28"/>
    <s v="Female"/>
    <s v="North"/>
    <x v="1"/>
    <s v="CAMP1"/>
    <n v="271.7"/>
    <n v="8"/>
    <n v="0"/>
    <x v="11"/>
    <n v="0"/>
    <n v="0"/>
    <m/>
    <x v="1"/>
  </r>
  <r>
    <n v="4568"/>
    <d v="2025-02-09T00:00:00"/>
    <n v="56"/>
    <s v="Female"/>
    <s v="South"/>
    <x v="0"/>
    <m/>
    <n v="246.4"/>
    <n v="10"/>
    <n v="0"/>
    <x v="11"/>
    <n v="0"/>
    <n v="0"/>
    <m/>
    <x v="1"/>
  </r>
  <r>
    <n v="4132"/>
    <d v="2025-02-09T00:00:00"/>
    <n v="42"/>
    <s v="Female"/>
    <s v="East"/>
    <x v="1"/>
    <s v="CAMP6"/>
    <n v="245"/>
    <n v="7"/>
    <n v="0"/>
    <x v="11"/>
    <n v="0"/>
    <n v="0"/>
    <m/>
    <x v="1"/>
  </r>
  <r>
    <n v="4357"/>
    <d v="2025-02-09T00:00:00"/>
    <n v="48"/>
    <s v="Female"/>
    <s v="South"/>
    <x v="1"/>
    <s v="CAMP6"/>
    <n v="239.8"/>
    <n v="7"/>
    <n v="0"/>
    <x v="11"/>
    <n v="0"/>
    <n v="0"/>
    <m/>
    <x v="1"/>
  </r>
  <r>
    <n v="4725"/>
    <d v="2025-02-09T00:00:00"/>
    <n v="40"/>
    <s v="Female"/>
    <s v="South"/>
    <x v="1"/>
    <s v="CAMP1"/>
    <n v="236.7"/>
    <n v="7"/>
    <n v="0"/>
    <x v="11"/>
    <n v="0"/>
    <n v="0"/>
    <m/>
    <x v="1"/>
  </r>
  <r>
    <n v="3622"/>
    <d v="2025-02-09T00:00:00"/>
    <n v="42"/>
    <s v="Male"/>
    <s v="West"/>
    <x v="2"/>
    <m/>
    <n v="228.7"/>
    <n v="4"/>
    <n v="0"/>
    <x v="11"/>
    <n v="0"/>
    <n v="0"/>
    <m/>
    <x v="1"/>
  </r>
  <r>
    <n v="1216"/>
    <d v="2025-02-09T00:00:00"/>
    <n v="40"/>
    <s v="Female"/>
    <s v="West"/>
    <x v="1"/>
    <s v="CAMP4"/>
    <n v="217.8"/>
    <n v="5"/>
    <n v="0"/>
    <x v="11"/>
    <n v="0"/>
    <n v="0"/>
    <m/>
    <x v="1"/>
  </r>
  <r>
    <n v="132"/>
    <d v="2025-02-09T00:00:00"/>
    <n v="24"/>
    <s v="Male"/>
    <s v="East"/>
    <x v="3"/>
    <m/>
    <n v="213.8"/>
    <n v="10"/>
    <n v="0"/>
    <x v="11"/>
    <n v="0"/>
    <n v="0"/>
    <m/>
    <x v="1"/>
  </r>
  <r>
    <n v="1011"/>
    <d v="2025-02-09T00:00:00"/>
    <n v="29"/>
    <s v="Female"/>
    <s v="North"/>
    <x v="0"/>
    <m/>
    <n v="204.5"/>
    <n v="2"/>
    <n v="0"/>
    <x v="11"/>
    <n v="0"/>
    <n v="0"/>
    <m/>
    <x v="1"/>
  </r>
  <r>
    <n v="1079"/>
    <d v="2025-02-09T00:00:00"/>
    <n v="25"/>
    <s v="Female"/>
    <s v="East"/>
    <x v="0"/>
    <m/>
    <n v="161.5"/>
    <n v="4"/>
    <n v="0"/>
    <x v="11"/>
    <n v="0"/>
    <n v="0"/>
    <m/>
    <x v="1"/>
  </r>
  <r>
    <n v="2824"/>
    <d v="2025-02-09T00:00:00"/>
    <n v="38"/>
    <s v="Female"/>
    <s v="North"/>
    <x v="0"/>
    <m/>
    <n v="132.4"/>
    <n v="8"/>
    <n v="0"/>
    <x v="11"/>
    <n v="0"/>
    <n v="0"/>
    <m/>
    <x v="1"/>
  </r>
  <r>
    <n v="3315"/>
    <d v="2025-02-09T00:00:00"/>
    <n v="34"/>
    <s v="Male"/>
    <s v="North"/>
    <x v="0"/>
    <m/>
    <n v="127.3"/>
    <n v="5"/>
    <n v="0"/>
    <x v="11"/>
    <n v="0"/>
    <n v="0"/>
    <m/>
    <x v="1"/>
  </r>
  <r>
    <n v="3605"/>
    <d v="2025-02-09T00:00:00"/>
    <n v="35"/>
    <s v="Female"/>
    <s v="West"/>
    <x v="0"/>
    <m/>
    <n v="125.5"/>
    <n v="7"/>
    <n v="0"/>
    <x v="11"/>
    <n v="0"/>
    <n v="0"/>
    <m/>
    <x v="1"/>
  </r>
  <r>
    <n v="1134"/>
    <d v="2025-02-09T00:00:00"/>
    <n v="26"/>
    <s v="Male"/>
    <s v="East"/>
    <x v="1"/>
    <s v="CAMP6"/>
    <n v="106.2"/>
    <n v="5"/>
    <n v="0"/>
    <x v="11"/>
    <n v="0"/>
    <n v="0"/>
    <m/>
    <x v="1"/>
  </r>
  <r>
    <n v="880"/>
    <d v="2025-02-09T00:00:00"/>
    <n v="24"/>
    <s v="Female"/>
    <s v="East"/>
    <x v="0"/>
    <m/>
    <n v="99.3"/>
    <n v="6"/>
    <n v="0"/>
    <x v="11"/>
    <n v="0"/>
    <n v="0"/>
    <m/>
    <x v="1"/>
  </r>
  <r>
    <n v="3830"/>
    <d v="2025-02-09T00:00:00"/>
    <n v="48"/>
    <s v="Female"/>
    <s v="North"/>
    <x v="1"/>
    <s v="CAMP1"/>
    <n v="51.8"/>
    <n v="6"/>
    <n v="0"/>
    <x v="11"/>
    <n v="0"/>
    <n v="0"/>
    <m/>
    <x v="1"/>
  </r>
  <r>
    <n v="740"/>
    <d v="2025-03-09T00:00:00"/>
    <n v="22"/>
    <s v="Female"/>
    <s v="East"/>
    <x v="0"/>
    <m/>
    <n v="714.1"/>
    <n v="5"/>
    <n v="1"/>
    <x v="502"/>
    <n v="2"/>
    <n v="6"/>
    <n v="5"/>
    <x v="2"/>
  </r>
  <r>
    <n v="517"/>
    <d v="2025-03-09T00:00:00"/>
    <n v="18"/>
    <s v="Male"/>
    <s v="North"/>
    <x v="0"/>
    <m/>
    <n v="705.5"/>
    <n v="7"/>
    <n v="1"/>
    <x v="503"/>
    <n v="1"/>
    <n v="14"/>
    <n v="4"/>
    <x v="2"/>
  </r>
  <r>
    <n v="1129"/>
    <d v="2025-03-09T00:00:00"/>
    <n v="19"/>
    <s v="Female"/>
    <s v="West"/>
    <x v="0"/>
    <m/>
    <n v="1132.8"/>
    <n v="7"/>
    <n v="1"/>
    <x v="504"/>
    <n v="1"/>
    <n v="7"/>
    <n v="5"/>
    <x v="2"/>
  </r>
  <r>
    <n v="2625"/>
    <d v="2025-03-09T00:00:00"/>
    <n v="47"/>
    <s v="Male"/>
    <s v="North"/>
    <x v="1"/>
    <s v="CAMP7"/>
    <n v="1028.7"/>
    <n v="6"/>
    <n v="1"/>
    <x v="505"/>
    <n v="2"/>
    <n v="3"/>
    <n v="5"/>
    <x v="2"/>
  </r>
  <r>
    <n v="349"/>
    <d v="2025-03-09T00:00:00"/>
    <n v="28"/>
    <s v="Male"/>
    <s v="East"/>
    <x v="1"/>
    <s v="CAMP3"/>
    <n v="434.1"/>
    <n v="5"/>
    <n v="1"/>
    <x v="506"/>
    <n v="2"/>
    <n v="7"/>
    <n v="4"/>
    <x v="2"/>
  </r>
  <r>
    <n v="2490"/>
    <d v="2025-03-09T00:00:00"/>
    <n v="18"/>
    <s v="Male"/>
    <s v="West"/>
    <x v="1"/>
    <s v="CAMP5"/>
    <n v="906.6"/>
    <n v="4"/>
    <n v="1"/>
    <x v="507"/>
    <n v="2"/>
    <n v="1"/>
    <n v="4"/>
    <x v="2"/>
  </r>
  <r>
    <n v="4837"/>
    <d v="2025-03-09T00:00:00"/>
    <n v="62"/>
    <s v="Male"/>
    <s v="West"/>
    <x v="2"/>
    <m/>
    <n v="641.29999999999995"/>
    <n v="6"/>
    <n v="1"/>
    <x v="508"/>
    <n v="4"/>
    <n v="1"/>
    <n v="4"/>
    <x v="2"/>
  </r>
  <r>
    <n v="3863"/>
    <d v="2025-03-09T00:00:00"/>
    <n v="48"/>
    <s v="Male"/>
    <s v="South"/>
    <x v="0"/>
    <m/>
    <n v="375.2"/>
    <n v="4"/>
    <n v="1"/>
    <x v="509"/>
    <n v="4"/>
    <n v="9"/>
    <n v="4"/>
    <x v="2"/>
  </r>
  <r>
    <n v="4610"/>
    <d v="2025-03-09T00:00:00"/>
    <n v="43"/>
    <s v="Male"/>
    <s v="East"/>
    <x v="0"/>
    <m/>
    <n v="277.39999999999998"/>
    <n v="7"/>
    <n v="1"/>
    <x v="510"/>
    <n v="3"/>
    <n v="3"/>
    <n v="5"/>
    <x v="2"/>
  </r>
  <r>
    <n v="3454"/>
    <d v="2025-03-09T00:00:00"/>
    <n v="20"/>
    <s v="Female"/>
    <s v="East"/>
    <x v="1"/>
    <s v="CAMP6"/>
    <n v="672.8"/>
    <n v="5"/>
    <n v="1"/>
    <x v="511"/>
    <n v="6"/>
    <n v="5"/>
    <n v="5"/>
    <x v="2"/>
  </r>
  <r>
    <n v="640"/>
    <d v="2025-03-09T00:00:00"/>
    <n v="20"/>
    <s v="Female"/>
    <s v="East"/>
    <x v="0"/>
    <m/>
    <n v="649.20000000000005"/>
    <n v="10"/>
    <n v="0"/>
    <x v="11"/>
    <n v="0"/>
    <n v="0"/>
    <m/>
    <x v="2"/>
  </r>
  <r>
    <n v="1492"/>
    <d v="2025-03-09T00:00:00"/>
    <n v="23"/>
    <s v="Male"/>
    <s v="South"/>
    <x v="1"/>
    <s v="CAMP5"/>
    <n v="512.29999999999995"/>
    <n v="12"/>
    <n v="0"/>
    <x v="11"/>
    <n v="0"/>
    <n v="0"/>
    <m/>
    <x v="2"/>
  </r>
  <r>
    <n v="3026"/>
    <d v="2025-03-09T00:00:00"/>
    <n v="34"/>
    <s v="Male"/>
    <s v="East"/>
    <x v="0"/>
    <m/>
    <n v="474.7"/>
    <n v="2"/>
    <n v="0"/>
    <x v="11"/>
    <n v="0"/>
    <n v="0"/>
    <m/>
    <x v="2"/>
  </r>
  <r>
    <n v="4823"/>
    <d v="2025-03-09T00:00:00"/>
    <n v="49"/>
    <s v="Male"/>
    <s v="East"/>
    <x v="0"/>
    <m/>
    <n v="411.6"/>
    <n v="4"/>
    <n v="0"/>
    <x v="11"/>
    <n v="0"/>
    <n v="0"/>
    <m/>
    <x v="2"/>
  </r>
  <r>
    <n v="466"/>
    <d v="2025-03-09T00:00:00"/>
    <n v="23"/>
    <s v="Female"/>
    <s v="East"/>
    <x v="1"/>
    <s v="CAMP7"/>
    <n v="326.89999999999998"/>
    <n v="3"/>
    <n v="0"/>
    <x v="11"/>
    <n v="0"/>
    <n v="0"/>
    <m/>
    <x v="2"/>
  </r>
  <r>
    <n v="3299"/>
    <d v="2025-03-09T00:00:00"/>
    <n v="41"/>
    <s v="Female"/>
    <s v="East"/>
    <x v="0"/>
    <m/>
    <n v="315"/>
    <n v="6"/>
    <n v="0"/>
    <x v="11"/>
    <n v="0"/>
    <n v="0"/>
    <m/>
    <x v="2"/>
  </r>
  <r>
    <n v="3613"/>
    <d v="2025-03-09T00:00:00"/>
    <n v="42"/>
    <s v="Male"/>
    <s v="East"/>
    <x v="0"/>
    <m/>
    <n v="301"/>
    <n v="7"/>
    <n v="0"/>
    <x v="11"/>
    <n v="0"/>
    <n v="0"/>
    <m/>
    <x v="2"/>
  </r>
  <r>
    <n v="871"/>
    <d v="2025-03-09T00:00:00"/>
    <n v="28"/>
    <s v="Female"/>
    <s v="South"/>
    <x v="0"/>
    <m/>
    <n v="262.39999999999998"/>
    <n v="7"/>
    <n v="0"/>
    <x v="11"/>
    <n v="0"/>
    <n v="0"/>
    <m/>
    <x v="2"/>
  </r>
  <r>
    <n v="283"/>
    <d v="2025-03-09T00:00:00"/>
    <n v="18"/>
    <s v="Male"/>
    <s v="North"/>
    <x v="0"/>
    <m/>
    <n v="228.2"/>
    <n v="5"/>
    <n v="0"/>
    <x v="11"/>
    <n v="0"/>
    <n v="0"/>
    <m/>
    <x v="2"/>
  </r>
  <r>
    <n v="3977"/>
    <d v="2025-03-09T00:00:00"/>
    <n v="43"/>
    <s v="Female"/>
    <s v="West"/>
    <x v="0"/>
    <m/>
    <n v="202.6"/>
    <n v="6"/>
    <n v="0"/>
    <x v="11"/>
    <n v="0"/>
    <n v="0"/>
    <m/>
    <x v="2"/>
  </r>
  <r>
    <n v="3307"/>
    <d v="2025-03-09T00:00:00"/>
    <n v="20"/>
    <s v="Female"/>
    <s v="East"/>
    <x v="2"/>
    <m/>
    <n v="198.9"/>
    <n v="4"/>
    <n v="0"/>
    <x v="11"/>
    <n v="0"/>
    <n v="0"/>
    <m/>
    <x v="2"/>
  </r>
  <r>
    <n v="443"/>
    <d v="2025-03-09T00:00:00"/>
    <n v="22"/>
    <s v="Male"/>
    <s v="West"/>
    <x v="1"/>
    <s v="CAMP7"/>
    <n v="195.8"/>
    <n v="13"/>
    <n v="0"/>
    <x v="11"/>
    <n v="0"/>
    <n v="0"/>
    <m/>
    <x v="2"/>
  </r>
  <r>
    <n v="1769"/>
    <d v="2025-03-09T00:00:00"/>
    <n v="36"/>
    <s v="Male"/>
    <s v="West"/>
    <x v="1"/>
    <s v="CAMP6"/>
    <n v="174.9"/>
    <n v="6"/>
    <n v="0"/>
    <x v="11"/>
    <n v="0"/>
    <n v="0"/>
    <m/>
    <x v="2"/>
  </r>
  <r>
    <n v="2391"/>
    <d v="2025-03-09T00:00:00"/>
    <n v="31"/>
    <s v="Female"/>
    <s v="West"/>
    <x v="1"/>
    <s v="CAMP3"/>
    <n v="167.9"/>
    <n v="7"/>
    <n v="0"/>
    <x v="11"/>
    <n v="0"/>
    <n v="0"/>
    <m/>
    <x v="2"/>
  </r>
  <r>
    <n v="449"/>
    <d v="2025-03-09T00:00:00"/>
    <n v="28"/>
    <s v="Male"/>
    <s v="West"/>
    <x v="0"/>
    <m/>
    <n v="166"/>
    <n v="2"/>
    <n v="0"/>
    <x v="11"/>
    <n v="0"/>
    <n v="0"/>
    <m/>
    <x v="2"/>
  </r>
  <r>
    <n v="4739"/>
    <d v="2025-03-09T00:00:00"/>
    <n v="39"/>
    <s v="Male"/>
    <s v="South"/>
    <x v="1"/>
    <s v="CAMP5"/>
    <n v="165.1"/>
    <n v="7"/>
    <n v="0"/>
    <x v="11"/>
    <n v="0"/>
    <n v="0"/>
    <m/>
    <x v="2"/>
  </r>
  <r>
    <n v="3725"/>
    <d v="2025-03-09T00:00:00"/>
    <n v="27"/>
    <s v="Male"/>
    <s v="South"/>
    <x v="0"/>
    <m/>
    <n v="119"/>
    <n v="6"/>
    <n v="0"/>
    <x v="11"/>
    <n v="0"/>
    <n v="0"/>
    <m/>
    <x v="2"/>
  </r>
  <r>
    <n v="1"/>
    <d v="2025-03-09T00:00:00"/>
    <n v="22"/>
    <s v="Male"/>
    <s v="West"/>
    <x v="0"/>
    <m/>
    <n v="103"/>
    <n v="6"/>
    <n v="0"/>
    <x v="11"/>
    <n v="0"/>
    <n v="0"/>
    <m/>
    <x v="2"/>
  </r>
  <r>
    <n v="4786"/>
    <d v="2025-03-09T00:00:00"/>
    <n v="59"/>
    <s v="Female"/>
    <s v="East"/>
    <x v="0"/>
    <m/>
    <n v="97.7"/>
    <n v="5"/>
    <n v="0"/>
    <x v="11"/>
    <n v="0"/>
    <n v="0"/>
    <m/>
    <x v="2"/>
  </r>
  <r>
    <n v="4658"/>
    <d v="2025-04-09T00:00:00"/>
    <n v="53"/>
    <s v="Male"/>
    <s v="South"/>
    <x v="3"/>
    <m/>
    <n v="377.8"/>
    <n v="3"/>
    <n v="1"/>
    <x v="512"/>
    <n v="4"/>
    <n v="11"/>
    <n v="4"/>
    <x v="3"/>
  </r>
  <r>
    <n v="4835"/>
    <d v="2025-04-09T00:00:00"/>
    <n v="47"/>
    <s v="Male"/>
    <s v="East"/>
    <x v="3"/>
    <m/>
    <n v="566.9"/>
    <n v="3"/>
    <n v="1"/>
    <x v="513"/>
    <n v="2"/>
    <n v="5"/>
    <n v="4"/>
    <x v="3"/>
  </r>
  <r>
    <n v="49"/>
    <d v="2025-04-09T00:00:00"/>
    <n v="18"/>
    <s v="Female"/>
    <s v="East"/>
    <x v="1"/>
    <s v="CAMP3"/>
    <n v="367.6"/>
    <n v="6"/>
    <n v="1"/>
    <x v="514"/>
    <n v="4"/>
    <n v="4"/>
    <n v="4"/>
    <x v="3"/>
  </r>
  <r>
    <n v="1700"/>
    <d v="2025-04-09T00:00:00"/>
    <n v="22"/>
    <s v="Female"/>
    <s v="South"/>
    <x v="0"/>
    <m/>
    <n v="923.7"/>
    <n v="3"/>
    <n v="1"/>
    <x v="515"/>
    <n v="1"/>
    <n v="11"/>
    <n v="5"/>
    <x v="3"/>
  </r>
  <r>
    <n v="1864"/>
    <d v="2025-04-09T00:00:00"/>
    <n v="36"/>
    <s v="Female"/>
    <s v="North"/>
    <x v="1"/>
    <s v="CAMP6"/>
    <n v="291.60000000000002"/>
    <n v="6"/>
    <n v="1"/>
    <x v="516"/>
    <n v="2"/>
    <n v="14"/>
    <n v="5"/>
    <x v="3"/>
  </r>
  <r>
    <n v="4825"/>
    <d v="2025-04-09T00:00:00"/>
    <n v="60"/>
    <s v="Female"/>
    <s v="South"/>
    <x v="0"/>
    <m/>
    <n v="178.9"/>
    <n v="9"/>
    <n v="1"/>
    <x v="517"/>
    <n v="5"/>
    <n v="11"/>
    <n v="4"/>
    <x v="3"/>
  </r>
  <r>
    <n v="2060"/>
    <d v="2025-04-09T00:00:00"/>
    <n v="30"/>
    <s v="Male"/>
    <s v="North"/>
    <x v="1"/>
    <s v="CAMP6"/>
    <n v="622"/>
    <n v="8"/>
    <n v="0"/>
    <x v="11"/>
    <n v="0"/>
    <n v="0"/>
    <m/>
    <x v="3"/>
  </r>
  <r>
    <n v="211"/>
    <d v="2025-04-09T00:00:00"/>
    <n v="25"/>
    <s v="Female"/>
    <s v="South"/>
    <x v="0"/>
    <m/>
    <n v="394.7"/>
    <n v="5"/>
    <n v="0"/>
    <x v="11"/>
    <n v="0"/>
    <n v="0"/>
    <m/>
    <x v="3"/>
  </r>
  <r>
    <n v="3771"/>
    <d v="2025-04-09T00:00:00"/>
    <n v="48"/>
    <s v="Male"/>
    <s v="East"/>
    <x v="0"/>
    <m/>
    <n v="316.10000000000002"/>
    <n v="2"/>
    <n v="0"/>
    <x v="11"/>
    <n v="0"/>
    <n v="0"/>
    <m/>
    <x v="3"/>
  </r>
  <r>
    <n v="1580"/>
    <d v="2025-04-09T00:00:00"/>
    <n v="22"/>
    <s v="Male"/>
    <s v="South"/>
    <x v="1"/>
    <s v="CAMP7"/>
    <n v="290.3"/>
    <n v="3"/>
    <n v="0"/>
    <x v="11"/>
    <n v="0"/>
    <n v="0"/>
    <m/>
    <x v="3"/>
  </r>
  <r>
    <n v="4460"/>
    <d v="2025-04-09T00:00:00"/>
    <n v="62"/>
    <s v="Female"/>
    <s v="North"/>
    <x v="0"/>
    <m/>
    <n v="288.10000000000002"/>
    <n v="6"/>
    <n v="0"/>
    <x v="11"/>
    <n v="0"/>
    <n v="0"/>
    <m/>
    <x v="3"/>
  </r>
  <r>
    <n v="3936"/>
    <d v="2025-04-09T00:00:00"/>
    <n v="53"/>
    <s v="Male"/>
    <s v="West"/>
    <x v="3"/>
    <m/>
    <n v="285.2"/>
    <n v="7"/>
    <n v="0"/>
    <x v="11"/>
    <n v="0"/>
    <n v="0"/>
    <m/>
    <x v="3"/>
  </r>
  <r>
    <n v="4432"/>
    <d v="2025-04-09T00:00:00"/>
    <n v="26"/>
    <s v="Male"/>
    <s v="East"/>
    <x v="0"/>
    <m/>
    <n v="266.5"/>
    <n v="12"/>
    <n v="0"/>
    <x v="11"/>
    <n v="0"/>
    <n v="0"/>
    <m/>
    <x v="3"/>
  </r>
  <r>
    <n v="3011"/>
    <d v="2025-04-09T00:00:00"/>
    <n v="23"/>
    <s v="Male"/>
    <s v="East"/>
    <x v="3"/>
    <m/>
    <n v="248.8"/>
    <n v="9"/>
    <n v="0"/>
    <x v="11"/>
    <n v="0"/>
    <n v="0"/>
    <m/>
    <x v="3"/>
  </r>
  <r>
    <n v="2985"/>
    <d v="2025-04-09T00:00:00"/>
    <n v="35"/>
    <s v="Male"/>
    <s v="South"/>
    <x v="0"/>
    <m/>
    <n v="246.3"/>
    <n v="5"/>
    <n v="0"/>
    <x v="11"/>
    <n v="0"/>
    <n v="0"/>
    <m/>
    <x v="3"/>
  </r>
  <r>
    <n v="4961"/>
    <d v="2025-04-09T00:00:00"/>
    <n v="40"/>
    <s v="Female"/>
    <s v="East"/>
    <x v="1"/>
    <s v="CAMP1"/>
    <n v="245.1"/>
    <n v="4"/>
    <n v="0"/>
    <x v="11"/>
    <n v="0"/>
    <n v="0"/>
    <m/>
    <x v="3"/>
  </r>
  <r>
    <n v="2775"/>
    <d v="2025-04-09T00:00:00"/>
    <n v="43"/>
    <s v="Female"/>
    <s v="East"/>
    <x v="1"/>
    <s v="CAMP2"/>
    <n v="223.9"/>
    <n v="8"/>
    <n v="0"/>
    <x v="11"/>
    <n v="0"/>
    <n v="0"/>
    <m/>
    <x v="3"/>
  </r>
  <r>
    <n v="4910"/>
    <d v="2025-04-09T00:00:00"/>
    <n v="42"/>
    <s v="Male"/>
    <s v="North"/>
    <x v="1"/>
    <s v="CAMP3"/>
    <n v="195"/>
    <n v="2"/>
    <n v="0"/>
    <x v="11"/>
    <n v="0"/>
    <n v="0"/>
    <m/>
    <x v="3"/>
  </r>
  <r>
    <n v="4103"/>
    <d v="2025-04-09T00:00:00"/>
    <n v="60"/>
    <s v="Female"/>
    <s v="West"/>
    <x v="2"/>
    <m/>
    <n v="168.6"/>
    <n v="7"/>
    <n v="0"/>
    <x v="11"/>
    <n v="0"/>
    <n v="0"/>
    <m/>
    <x v="3"/>
  </r>
  <r>
    <n v="2199"/>
    <d v="2025-04-09T00:00:00"/>
    <n v="31"/>
    <s v="Male"/>
    <s v="North"/>
    <x v="1"/>
    <s v="CAMP6"/>
    <n v="149.4"/>
    <n v="10"/>
    <n v="0"/>
    <x v="11"/>
    <n v="0"/>
    <n v="0"/>
    <m/>
    <x v="3"/>
  </r>
  <r>
    <n v="1760"/>
    <d v="2025-04-09T00:00:00"/>
    <n v="33"/>
    <s v="Male"/>
    <s v="South"/>
    <x v="3"/>
    <m/>
    <n v="142.69999999999999"/>
    <n v="6"/>
    <n v="0"/>
    <x v="11"/>
    <n v="0"/>
    <n v="0"/>
    <m/>
    <x v="3"/>
  </r>
  <r>
    <n v="1483"/>
    <d v="2025-04-09T00:00:00"/>
    <n v="24"/>
    <s v="Female"/>
    <s v="West"/>
    <x v="2"/>
    <m/>
    <n v="138.19999999999999"/>
    <n v="6"/>
    <n v="0"/>
    <x v="11"/>
    <n v="0"/>
    <n v="0"/>
    <m/>
    <x v="3"/>
  </r>
  <r>
    <n v="4163"/>
    <d v="2025-04-09T00:00:00"/>
    <n v="38"/>
    <s v="Female"/>
    <s v="West"/>
    <x v="0"/>
    <m/>
    <n v="131.1"/>
    <n v="4"/>
    <n v="0"/>
    <x v="11"/>
    <n v="0"/>
    <n v="0"/>
    <m/>
    <x v="3"/>
  </r>
  <r>
    <n v="2934"/>
    <d v="2025-04-09T00:00:00"/>
    <n v="28"/>
    <s v="Female"/>
    <s v="South"/>
    <x v="1"/>
    <s v="CAMP4"/>
    <n v="129.80000000000001"/>
    <n v="8"/>
    <n v="0"/>
    <x v="11"/>
    <n v="0"/>
    <n v="0"/>
    <m/>
    <x v="3"/>
  </r>
  <r>
    <n v="3321"/>
    <d v="2025-04-09T00:00:00"/>
    <n v="38"/>
    <s v="Female"/>
    <s v="East"/>
    <x v="0"/>
    <m/>
    <n v="121.5"/>
    <n v="10"/>
    <n v="0"/>
    <x v="11"/>
    <n v="0"/>
    <n v="0"/>
    <m/>
    <x v="3"/>
  </r>
  <r>
    <n v="364"/>
    <d v="2025-04-09T00:00:00"/>
    <n v="18"/>
    <s v="Male"/>
    <s v="North"/>
    <x v="0"/>
    <m/>
    <n v="117.2"/>
    <n v="7"/>
    <n v="0"/>
    <x v="11"/>
    <n v="0"/>
    <n v="0"/>
    <m/>
    <x v="3"/>
  </r>
  <r>
    <n v="426"/>
    <d v="2025-04-09T00:00:00"/>
    <n v="25"/>
    <s v="Male"/>
    <s v="North"/>
    <x v="0"/>
    <m/>
    <n v="113.2"/>
    <n v="3"/>
    <n v="0"/>
    <x v="11"/>
    <n v="0"/>
    <n v="0"/>
    <m/>
    <x v="3"/>
  </r>
  <r>
    <n v="1313"/>
    <d v="2025-04-09T00:00:00"/>
    <n v="21"/>
    <s v="Female"/>
    <s v="South"/>
    <x v="0"/>
    <m/>
    <n v="102.8"/>
    <n v="3"/>
    <n v="0"/>
    <x v="11"/>
    <n v="0"/>
    <n v="0"/>
    <m/>
    <x v="3"/>
  </r>
  <r>
    <n v="2738"/>
    <d v="2025-04-09T00:00:00"/>
    <n v="31"/>
    <s v="Other"/>
    <s v="West"/>
    <x v="0"/>
    <m/>
    <n v="100.6"/>
    <n v="5"/>
    <n v="0"/>
    <x v="11"/>
    <n v="0"/>
    <n v="0"/>
    <m/>
    <x v="3"/>
  </r>
  <r>
    <n v="4806"/>
    <d v="2025-04-09T00:00:00"/>
    <n v="47"/>
    <s v="Male"/>
    <s v="East"/>
    <x v="0"/>
    <m/>
    <n v="93.5"/>
    <n v="7"/>
    <n v="0"/>
    <x v="11"/>
    <n v="0"/>
    <n v="0"/>
    <m/>
    <x v="3"/>
  </r>
  <r>
    <n v="3978"/>
    <d v="2025-04-09T00:00:00"/>
    <n v="55"/>
    <s v="Male"/>
    <s v="North"/>
    <x v="1"/>
    <s v="CAMP6"/>
    <n v="91.6"/>
    <n v="7"/>
    <n v="0"/>
    <x v="11"/>
    <n v="0"/>
    <n v="0"/>
    <m/>
    <x v="3"/>
  </r>
  <r>
    <n v="321"/>
    <d v="2025-04-09T00:00:00"/>
    <n v="29"/>
    <s v="Male"/>
    <s v="West"/>
    <x v="0"/>
    <m/>
    <n v="82.5"/>
    <n v="4"/>
    <n v="0"/>
    <x v="11"/>
    <n v="0"/>
    <n v="0"/>
    <m/>
    <x v="3"/>
  </r>
  <r>
    <n v="322"/>
    <d v="2025-05-09T00:00:00"/>
    <n v="24"/>
    <s v="Female"/>
    <s v="South"/>
    <x v="1"/>
    <s v="CAMP4"/>
    <n v="420.2"/>
    <n v="6"/>
    <n v="1"/>
    <x v="518"/>
    <n v="5"/>
    <n v="11"/>
    <n v="4"/>
    <x v="4"/>
  </r>
  <r>
    <n v="92"/>
    <d v="2025-05-09T00:00:00"/>
    <n v="18"/>
    <s v="Male"/>
    <s v="East"/>
    <x v="1"/>
    <s v="CAMP2"/>
    <n v="115.5"/>
    <n v="6"/>
    <n v="1"/>
    <x v="519"/>
    <n v="4"/>
    <n v="15"/>
    <n v="4"/>
    <x v="4"/>
  </r>
  <r>
    <n v="2953"/>
    <d v="2025-05-09T00:00:00"/>
    <n v="29"/>
    <s v="Male"/>
    <s v="South"/>
    <x v="0"/>
    <m/>
    <n v="599.70000000000005"/>
    <n v="4"/>
    <n v="1"/>
    <x v="520"/>
    <n v="3"/>
    <n v="13"/>
    <n v="3"/>
    <x v="4"/>
  </r>
  <r>
    <n v="1307"/>
    <d v="2025-05-09T00:00:00"/>
    <n v="29"/>
    <s v="Female"/>
    <s v="East"/>
    <x v="1"/>
    <s v="CAMP2"/>
    <n v="699.5"/>
    <n v="5"/>
    <n v="1"/>
    <x v="521"/>
    <n v="5"/>
    <n v="9"/>
    <n v="4"/>
    <x v="4"/>
  </r>
  <r>
    <n v="3346"/>
    <d v="2025-05-09T00:00:00"/>
    <n v="43"/>
    <s v="Female"/>
    <s v="North"/>
    <x v="1"/>
    <s v="CAMP1"/>
    <n v="485.3"/>
    <n v="8"/>
    <n v="1"/>
    <x v="522"/>
    <n v="2"/>
    <n v="7"/>
    <n v="5"/>
    <x v="4"/>
  </r>
  <r>
    <n v="2153"/>
    <d v="2025-05-09T00:00:00"/>
    <n v="36"/>
    <s v="Male"/>
    <s v="West"/>
    <x v="0"/>
    <m/>
    <n v="409.8"/>
    <n v="3"/>
    <n v="1"/>
    <x v="523"/>
    <n v="6"/>
    <n v="6"/>
    <n v="4"/>
    <x v="4"/>
  </r>
  <r>
    <n v="631"/>
    <d v="2025-05-09T00:00:00"/>
    <n v="29"/>
    <s v="Male"/>
    <s v="East"/>
    <x v="1"/>
    <s v="CAMP1"/>
    <n v="547"/>
    <n v="7"/>
    <n v="0"/>
    <x v="11"/>
    <n v="0"/>
    <n v="0"/>
    <m/>
    <x v="4"/>
  </r>
  <r>
    <n v="3712"/>
    <d v="2025-05-09T00:00:00"/>
    <n v="39"/>
    <s v="Female"/>
    <s v="South"/>
    <x v="2"/>
    <m/>
    <n v="537.9"/>
    <n v="4"/>
    <n v="0"/>
    <x v="11"/>
    <n v="0"/>
    <n v="0"/>
    <m/>
    <x v="4"/>
  </r>
  <r>
    <n v="2322"/>
    <d v="2025-05-09T00:00:00"/>
    <n v="37"/>
    <s v="Female"/>
    <s v="South"/>
    <x v="0"/>
    <m/>
    <n v="469.5"/>
    <n v="6"/>
    <n v="0"/>
    <x v="11"/>
    <n v="0"/>
    <n v="0"/>
    <m/>
    <x v="4"/>
  </r>
  <r>
    <n v="1797"/>
    <d v="2025-05-09T00:00:00"/>
    <n v="30"/>
    <s v="Female"/>
    <s v="East"/>
    <x v="1"/>
    <s v="CAMP5"/>
    <n v="430.3"/>
    <n v="10"/>
    <n v="0"/>
    <x v="11"/>
    <n v="0"/>
    <n v="0"/>
    <m/>
    <x v="4"/>
  </r>
  <r>
    <n v="1367"/>
    <d v="2025-05-09T00:00:00"/>
    <n v="21"/>
    <s v="Female"/>
    <s v="East"/>
    <x v="0"/>
    <m/>
    <n v="398.6"/>
    <n v="5"/>
    <n v="0"/>
    <x v="11"/>
    <n v="0"/>
    <n v="0"/>
    <m/>
    <x v="4"/>
  </r>
  <r>
    <n v="3448"/>
    <d v="2025-05-09T00:00:00"/>
    <n v="42"/>
    <s v="Male"/>
    <s v="South"/>
    <x v="2"/>
    <m/>
    <n v="374.7"/>
    <n v="4"/>
    <n v="0"/>
    <x v="11"/>
    <n v="0"/>
    <n v="0"/>
    <m/>
    <x v="4"/>
  </r>
  <r>
    <n v="877"/>
    <d v="2025-05-09T00:00:00"/>
    <n v="28"/>
    <s v="Male"/>
    <s v="North"/>
    <x v="1"/>
    <s v="CAMP7"/>
    <n v="315"/>
    <n v="5"/>
    <n v="0"/>
    <x v="11"/>
    <n v="0"/>
    <n v="0"/>
    <m/>
    <x v="4"/>
  </r>
  <r>
    <n v="1533"/>
    <d v="2025-05-09T00:00:00"/>
    <n v="24"/>
    <s v="Male"/>
    <s v="North"/>
    <x v="0"/>
    <m/>
    <n v="313.7"/>
    <n v="7"/>
    <n v="0"/>
    <x v="11"/>
    <n v="0"/>
    <n v="0"/>
    <m/>
    <x v="4"/>
  </r>
  <r>
    <n v="2673"/>
    <d v="2025-05-09T00:00:00"/>
    <n v="41"/>
    <s v="Female"/>
    <s v="West"/>
    <x v="0"/>
    <m/>
    <n v="268.2"/>
    <n v="3"/>
    <n v="0"/>
    <x v="11"/>
    <n v="0"/>
    <n v="0"/>
    <m/>
    <x v="4"/>
  </r>
  <r>
    <n v="4120"/>
    <d v="2025-05-09T00:00:00"/>
    <n v="52"/>
    <s v="Male"/>
    <s v="South"/>
    <x v="0"/>
    <m/>
    <n v="259.2"/>
    <n v="5"/>
    <n v="0"/>
    <x v="11"/>
    <n v="0"/>
    <n v="0"/>
    <m/>
    <x v="4"/>
  </r>
  <r>
    <n v="4968"/>
    <d v="2025-05-09T00:00:00"/>
    <n v="57"/>
    <s v="Male"/>
    <s v="South"/>
    <x v="3"/>
    <m/>
    <n v="243.1"/>
    <n v="9"/>
    <n v="0"/>
    <x v="11"/>
    <n v="0"/>
    <n v="0"/>
    <m/>
    <x v="4"/>
  </r>
  <r>
    <n v="2922"/>
    <d v="2025-05-09T00:00:00"/>
    <n v="37"/>
    <s v="Male"/>
    <s v="East"/>
    <x v="0"/>
    <m/>
    <n v="221.1"/>
    <n v="3"/>
    <n v="0"/>
    <x v="11"/>
    <n v="0"/>
    <n v="0"/>
    <m/>
    <x v="4"/>
  </r>
  <r>
    <n v="3849"/>
    <d v="2025-05-09T00:00:00"/>
    <n v="51"/>
    <s v="Male"/>
    <s v="West"/>
    <x v="0"/>
    <m/>
    <n v="202.4"/>
    <n v="12"/>
    <n v="0"/>
    <x v="11"/>
    <n v="0"/>
    <n v="0"/>
    <m/>
    <x v="4"/>
  </r>
  <r>
    <n v="4153"/>
    <d v="2025-05-09T00:00:00"/>
    <n v="50"/>
    <s v="Female"/>
    <s v="South"/>
    <x v="0"/>
    <m/>
    <n v="176"/>
    <n v="8"/>
    <n v="0"/>
    <x v="11"/>
    <n v="0"/>
    <n v="0"/>
    <m/>
    <x v="4"/>
  </r>
  <r>
    <n v="2635"/>
    <d v="2025-05-09T00:00:00"/>
    <n v="30"/>
    <s v="Male"/>
    <s v="South"/>
    <x v="1"/>
    <s v="CAMP6"/>
    <n v="153.9"/>
    <n v="4"/>
    <n v="0"/>
    <x v="11"/>
    <n v="0"/>
    <n v="0"/>
    <m/>
    <x v="4"/>
  </r>
  <r>
    <n v="2590"/>
    <d v="2025-05-09T00:00:00"/>
    <n v="39"/>
    <s v="Male"/>
    <s v="East"/>
    <x v="3"/>
    <m/>
    <n v="119.6"/>
    <n v="5"/>
    <n v="0"/>
    <x v="11"/>
    <n v="0"/>
    <n v="0"/>
    <m/>
    <x v="4"/>
  </r>
  <r>
    <n v="2944"/>
    <d v="2025-05-09T00:00:00"/>
    <n v="28"/>
    <s v="Male"/>
    <s v="West"/>
    <x v="1"/>
    <s v="CAMP2"/>
    <n v="111.7"/>
    <n v="10"/>
    <n v="0"/>
    <x v="11"/>
    <n v="0"/>
    <n v="0"/>
    <m/>
    <x v="4"/>
  </r>
  <r>
    <n v="2791"/>
    <d v="2025-05-09T00:00:00"/>
    <n v="36"/>
    <s v="Male"/>
    <s v="East"/>
    <x v="1"/>
    <s v="CAMP4"/>
    <n v="69.5"/>
    <n v="6"/>
    <n v="0"/>
    <x v="11"/>
    <n v="0"/>
    <n v="0"/>
    <m/>
    <x v="4"/>
  </r>
  <r>
    <n v="3113"/>
    <d v="2025-05-09T00:00:00"/>
    <n v="36"/>
    <s v="Female"/>
    <s v="South"/>
    <x v="0"/>
    <m/>
    <n v="56.7"/>
    <n v="9"/>
    <n v="0"/>
    <x v="11"/>
    <n v="0"/>
    <n v="0"/>
    <m/>
    <x v="4"/>
  </r>
  <r>
    <n v="215"/>
    <d v="2025-05-09T00:00:00"/>
    <n v="28"/>
    <s v="Female"/>
    <s v="East"/>
    <x v="1"/>
    <s v="CAMP4"/>
    <n v="45.3"/>
    <n v="4"/>
    <n v="0"/>
    <x v="11"/>
    <n v="0"/>
    <n v="0"/>
    <m/>
    <x v="4"/>
  </r>
  <r>
    <n v="4886"/>
    <d v="2025-06-09T00:00:00"/>
    <n v="53"/>
    <s v="Male"/>
    <s v="East"/>
    <x v="3"/>
    <m/>
    <n v="376.7"/>
    <n v="4"/>
    <n v="1"/>
    <x v="524"/>
    <n v="2"/>
    <n v="13"/>
    <n v="3"/>
    <x v="5"/>
  </r>
  <r>
    <n v="3393"/>
    <d v="2025-06-09T00:00:00"/>
    <n v="37"/>
    <s v="Female"/>
    <s v="South"/>
    <x v="0"/>
    <m/>
    <n v="721.7"/>
    <n v="5"/>
    <n v="1"/>
    <x v="525"/>
    <n v="3"/>
    <n v="3"/>
    <n v="5"/>
    <x v="5"/>
  </r>
  <r>
    <n v="1849"/>
    <d v="2025-06-09T00:00:00"/>
    <n v="22"/>
    <s v="Female"/>
    <s v="East"/>
    <x v="3"/>
    <m/>
    <n v="807.1"/>
    <n v="5"/>
    <n v="1"/>
    <x v="526"/>
    <n v="2"/>
    <n v="2"/>
    <n v="4"/>
    <x v="5"/>
  </r>
  <r>
    <n v="3885"/>
    <d v="2025-06-09T00:00:00"/>
    <n v="49"/>
    <s v="Female"/>
    <s v="East"/>
    <x v="1"/>
    <s v="CAMP2"/>
    <n v="474.3"/>
    <n v="8"/>
    <n v="1"/>
    <x v="527"/>
    <n v="3"/>
    <n v="14"/>
    <n v="4"/>
    <x v="5"/>
  </r>
  <r>
    <n v="4819"/>
    <d v="2025-06-09T00:00:00"/>
    <n v="60"/>
    <s v="Male"/>
    <s v="East"/>
    <x v="0"/>
    <m/>
    <n v="1570.2"/>
    <n v="4"/>
    <n v="1"/>
    <x v="528"/>
    <n v="3"/>
    <n v="9"/>
    <n v="4"/>
    <x v="5"/>
  </r>
  <r>
    <n v="4017"/>
    <d v="2025-06-09T00:00:00"/>
    <n v="51"/>
    <s v="Male"/>
    <s v="East"/>
    <x v="1"/>
    <s v="CAMP4"/>
    <n v="1187.7"/>
    <n v="4"/>
    <n v="1"/>
    <x v="529"/>
    <n v="4"/>
    <n v="10"/>
    <n v="4"/>
    <x v="5"/>
  </r>
  <r>
    <n v="199"/>
    <d v="2025-06-09T00:00:00"/>
    <n v="28"/>
    <s v="Female"/>
    <s v="North"/>
    <x v="0"/>
    <m/>
    <n v="341.4"/>
    <n v="7"/>
    <n v="1"/>
    <x v="530"/>
    <n v="3"/>
    <n v="5"/>
    <n v="5"/>
    <x v="5"/>
  </r>
  <r>
    <n v="1736"/>
    <d v="2025-06-09T00:00:00"/>
    <n v="32"/>
    <s v="Male"/>
    <s v="South"/>
    <x v="1"/>
    <s v="CAMP2"/>
    <n v="343.6"/>
    <n v="3"/>
    <n v="1"/>
    <x v="531"/>
    <n v="4"/>
    <n v="9"/>
    <n v="5"/>
    <x v="5"/>
  </r>
  <r>
    <n v="2430"/>
    <d v="2025-06-09T00:00:00"/>
    <n v="33"/>
    <s v="Male"/>
    <s v="East"/>
    <x v="0"/>
    <m/>
    <n v="187.1"/>
    <n v="6"/>
    <n v="1"/>
    <x v="532"/>
    <n v="3"/>
    <n v="12"/>
    <n v="3"/>
    <x v="5"/>
  </r>
  <r>
    <n v="4676"/>
    <d v="2025-06-09T00:00:00"/>
    <n v="57"/>
    <s v="Female"/>
    <s v="South"/>
    <x v="1"/>
    <s v="CAMP2"/>
    <n v="603.20000000000005"/>
    <n v="8"/>
    <n v="1"/>
    <x v="533"/>
    <n v="1"/>
    <n v="5"/>
    <n v="4"/>
    <x v="5"/>
  </r>
  <r>
    <n v="4860"/>
    <d v="2025-06-09T00:00:00"/>
    <n v="38"/>
    <s v="Female"/>
    <s v="West"/>
    <x v="1"/>
    <s v="CAMP6"/>
    <n v="571.29999999999995"/>
    <n v="7"/>
    <n v="0"/>
    <x v="11"/>
    <n v="0"/>
    <n v="0"/>
    <m/>
    <x v="5"/>
  </r>
  <r>
    <n v="3498"/>
    <d v="2025-06-09T00:00:00"/>
    <n v="40"/>
    <s v="Female"/>
    <s v="West"/>
    <x v="0"/>
    <m/>
    <n v="479.3"/>
    <n v="5"/>
    <n v="0"/>
    <x v="11"/>
    <n v="0"/>
    <n v="0"/>
    <m/>
    <x v="5"/>
  </r>
  <r>
    <n v="2582"/>
    <d v="2025-06-09T00:00:00"/>
    <n v="41"/>
    <s v="Female"/>
    <s v="South"/>
    <x v="0"/>
    <m/>
    <n v="429.4"/>
    <n v="9"/>
    <n v="0"/>
    <x v="11"/>
    <n v="0"/>
    <n v="0"/>
    <m/>
    <x v="5"/>
  </r>
  <r>
    <n v="4554"/>
    <d v="2025-06-09T00:00:00"/>
    <n v="57"/>
    <s v="Female"/>
    <s v="South"/>
    <x v="0"/>
    <m/>
    <n v="373.6"/>
    <n v="5"/>
    <n v="0"/>
    <x v="11"/>
    <n v="0"/>
    <n v="0"/>
    <m/>
    <x v="5"/>
  </r>
  <r>
    <n v="3706"/>
    <d v="2025-06-09T00:00:00"/>
    <n v="51"/>
    <s v="Female"/>
    <s v="North"/>
    <x v="2"/>
    <m/>
    <n v="365.1"/>
    <n v="8"/>
    <n v="0"/>
    <x v="11"/>
    <n v="0"/>
    <n v="0"/>
    <m/>
    <x v="5"/>
  </r>
  <r>
    <n v="2512"/>
    <d v="2025-06-09T00:00:00"/>
    <n v="30"/>
    <s v="Other"/>
    <s v="West"/>
    <x v="0"/>
    <m/>
    <n v="357.4"/>
    <n v="2"/>
    <n v="0"/>
    <x v="11"/>
    <n v="0"/>
    <n v="0"/>
    <m/>
    <x v="5"/>
  </r>
  <r>
    <n v="1554"/>
    <d v="2025-06-09T00:00:00"/>
    <n v="19"/>
    <s v="Male"/>
    <s v="East"/>
    <x v="1"/>
    <s v="CAMP4"/>
    <n v="323.5"/>
    <n v="7"/>
    <n v="0"/>
    <x v="11"/>
    <n v="0"/>
    <n v="0"/>
    <m/>
    <x v="5"/>
  </r>
  <r>
    <n v="428"/>
    <d v="2025-06-09T00:00:00"/>
    <n v="26"/>
    <s v="Male"/>
    <s v="North"/>
    <x v="0"/>
    <m/>
    <n v="314.3"/>
    <n v="15"/>
    <n v="0"/>
    <x v="11"/>
    <n v="0"/>
    <n v="0"/>
    <m/>
    <x v="5"/>
  </r>
  <r>
    <n v="4911"/>
    <d v="2025-06-09T00:00:00"/>
    <n v="33"/>
    <s v="Female"/>
    <s v="East"/>
    <x v="3"/>
    <m/>
    <n v="285.39999999999998"/>
    <n v="5"/>
    <n v="0"/>
    <x v="11"/>
    <n v="0"/>
    <n v="0"/>
    <m/>
    <x v="5"/>
  </r>
  <r>
    <n v="89"/>
    <d v="2025-06-09T00:00:00"/>
    <n v="29"/>
    <s v="Male"/>
    <s v="South"/>
    <x v="2"/>
    <m/>
    <n v="224.6"/>
    <n v="6"/>
    <n v="0"/>
    <x v="11"/>
    <n v="0"/>
    <n v="0"/>
    <m/>
    <x v="5"/>
  </r>
  <r>
    <n v="1917"/>
    <d v="2025-06-09T00:00:00"/>
    <n v="33"/>
    <s v="Female"/>
    <s v="North"/>
    <x v="0"/>
    <m/>
    <n v="181"/>
    <n v="8"/>
    <n v="0"/>
    <x v="11"/>
    <n v="0"/>
    <n v="0"/>
    <m/>
    <x v="5"/>
  </r>
  <r>
    <n v="1045"/>
    <d v="2025-06-09T00:00:00"/>
    <n v="24"/>
    <s v="Female"/>
    <s v="East"/>
    <x v="1"/>
    <s v="CAMP2"/>
    <n v="162.1"/>
    <n v="7"/>
    <n v="0"/>
    <x v="11"/>
    <n v="0"/>
    <n v="0"/>
    <m/>
    <x v="5"/>
  </r>
  <r>
    <n v="3750"/>
    <d v="2025-06-09T00:00:00"/>
    <n v="30"/>
    <s v="Male"/>
    <s v="North"/>
    <x v="0"/>
    <m/>
    <n v="154.69999999999999"/>
    <n v="4"/>
    <n v="0"/>
    <x v="11"/>
    <n v="0"/>
    <n v="0"/>
    <m/>
    <x v="5"/>
  </r>
  <r>
    <n v="1103"/>
    <d v="2025-06-09T00:00:00"/>
    <n v="29"/>
    <s v="Female"/>
    <s v="South"/>
    <x v="0"/>
    <m/>
    <n v="92.5"/>
    <n v="4"/>
    <n v="0"/>
    <x v="11"/>
    <n v="0"/>
    <n v="0"/>
    <m/>
    <x v="5"/>
  </r>
  <r>
    <n v="1121"/>
    <d v="2025-06-09T00:00:00"/>
    <n v="23"/>
    <s v="Female"/>
    <s v="West"/>
    <x v="0"/>
    <m/>
    <n v="59.2"/>
    <n v="4"/>
    <n v="0"/>
    <x v="11"/>
    <n v="0"/>
    <n v="0"/>
    <m/>
    <x v="5"/>
  </r>
  <r>
    <n v="4722"/>
    <d v="2025-01-10T00:00:00"/>
    <n v="67"/>
    <s v="Female"/>
    <s v="West"/>
    <x v="1"/>
    <s v="CAMP4"/>
    <n v="179.3"/>
    <n v="5"/>
    <n v="1"/>
    <x v="534"/>
    <n v="3"/>
    <n v="14"/>
    <n v="5"/>
    <x v="0"/>
  </r>
  <r>
    <n v="301"/>
    <d v="2025-01-10T00:00:00"/>
    <n v="22"/>
    <s v="Male"/>
    <s v="South"/>
    <x v="3"/>
    <m/>
    <n v="486.7"/>
    <n v="7"/>
    <n v="1"/>
    <x v="535"/>
    <n v="3"/>
    <n v="11"/>
    <n v="4"/>
    <x v="0"/>
  </r>
  <r>
    <n v="3663"/>
    <d v="2025-01-10T00:00:00"/>
    <n v="37"/>
    <s v="Female"/>
    <s v="South"/>
    <x v="0"/>
    <m/>
    <n v="461.5"/>
    <n v="4"/>
    <n v="1"/>
    <x v="536"/>
    <n v="4"/>
    <n v="5"/>
    <n v="4"/>
    <x v="0"/>
  </r>
  <r>
    <n v="1303"/>
    <d v="2025-01-10T00:00:00"/>
    <n v="30"/>
    <s v="Male"/>
    <s v="South"/>
    <x v="0"/>
    <m/>
    <n v="316.5"/>
    <n v="4"/>
    <n v="1"/>
    <x v="537"/>
    <n v="2"/>
    <n v="6"/>
    <n v="5"/>
    <x v="0"/>
  </r>
  <r>
    <n v="2602"/>
    <d v="2025-01-10T00:00:00"/>
    <n v="34"/>
    <s v="Male"/>
    <s v="North"/>
    <x v="3"/>
    <m/>
    <n v="468.4"/>
    <n v="3"/>
    <n v="1"/>
    <x v="538"/>
    <n v="3"/>
    <n v="6"/>
    <n v="5"/>
    <x v="0"/>
  </r>
  <r>
    <n v="3810"/>
    <d v="2025-01-10T00:00:00"/>
    <n v="53"/>
    <s v="Other"/>
    <s v="North"/>
    <x v="2"/>
    <m/>
    <n v="105"/>
    <n v="6"/>
    <n v="1"/>
    <x v="539"/>
    <n v="2"/>
    <n v="6"/>
    <n v="3"/>
    <x v="0"/>
  </r>
  <r>
    <n v="3979"/>
    <d v="2025-01-10T00:00:00"/>
    <n v="63"/>
    <s v="Other"/>
    <s v="West"/>
    <x v="1"/>
    <s v="CAMP5"/>
    <n v="122"/>
    <n v="5"/>
    <n v="1"/>
    <x v="540"/>
    <n v="4"/>
    <n v="9"/>
    <n v="3"/>
    <x v="0"/>
  </r>
  <r>
    <n v="2024"/>
    <d v="2025-01-10T00:00:00"/>
    <n v="36"/>
    <s v="Male"/>
    <s v="West"/>
    <x v="0"/>
    <m/>
    <n v="660.8"/>
    <n v="6"/>
    <n v="0"/>
    <x v="11"/>
    <n v="0"/>
    <n v="0"/>
    <m/>
    <x v="0"/>
  </r>
  <r>
    <n v="3488"/>
    <d v="2025-01-10T00:00:00"/>
    <n v="23"/>
    <s v="Female"/>
    <s v="South"/>
    <x v="3"/>
    <m/>
    <n v="603.4"/>
    <n v="3"/>
    <n v="0"/>
    <x v="11"/>
    <n v="0"/>
    <n v="0"/>
    <m/>
    <x v="0"/>
  </r>
  <r>
    <n v="2906"/>
    <d v="2025-01-10T00:00:00"/>
    <n v="39"/>
    <s v="Male"/>
    <s v="South"/>
    <x v="1"/>
    <s v="CAMP3"/>
    <n v="515.79999999999995"/>
    <n v="6"/>
    <n v="0"/>
    <x v="11"/>
    <n v="0"/>
    <n v="0"/>
    <m/>
    <x v="0"/>
  </r>
  <r>
    <n v="4108"/>
    <d v="2025-01-10T00:00:00"/>
    <n v="51"/>
    <s v="Male"/>
    <s v="North"/>
    <x v="1"/>
    <s v="CAMP5"/>
    <n v="515.29999999999995"/>
    <n v="8"/>
    <n v="0"/>
    <x v="11"/>
    <n v="0"/>
    <n v="0"/>
    <m/>
    <x v="0"/>
  </r>
  <r>
    <n v="3994"/>
    <d v="2025-01-10T00:00:00"/>
    <n v="58"/>
    <s v="Female"/>
    <s v="North"/>
    <x v="0"/>
    <m/>
    <n v="513.70000000000005"/>
    <n v="12"/>
    <n v="0"/>
    <x v="11"/>
    <n v="0"/>
    <n v="0"/>
    <m/>
    <x v="0"/>
  </r>
  <r>
    <n v="4651"/>
    <d v="2025-01-10T00:00:00"/>
    <n v="69"/>
    <s v="Female"/>
    <s v="South"/>
    <x v="0"/>
    <m/>
    <n v="503.4"/>
    <n v="5"/>
    <n v="0"/>
    <x v="11"/>
    <n v="0"/>
    <n v="0"/>
    <m/>
    <x v="0"/>
  </r>
  <r>
    <n v="2330"/>
    <d v="2025-01-10T00:00:00"/>
    <n v="41"/>
    <s v="Male"/>
    <s v="South"/>
    <x v="0"/>
    <m/>
    <n v="502.3"/>
    <n v="3"/>
    <n v="0"/>
    <x v="11"/>
    <n v="0"/>
    <n v="0"/>
    <m/>
    <x v="0"/>
  </r>
  <r>
    <n v="4373"/>
    <d v="2025-01-10T00:00:00"/>
    <n v="59"/>
    <s v="Male"/>
    <s v="East"/>
    <x v="0"/>
    <m/>
    <n v="427.5"/>
    <n v="5"/>
    <n v="0"/>
    <x v="11"/>
    <n v="0"/>
    <n v="0"/>
    <m/>
    <x v="0"/>
  </r>
  <r>
    <n v="2654"/>
    <d v="2025-01-10T00:00:00"/>
    <n v="46"/>
    <s v="Male"/>
    <s v="West"/>
    <x v="3"/>
    <m/>
    <n v="393.3"/>
    <n v="4"/>
    <n v="0"/>
    <x v="11"/>
    <n v="0"/>
    <n v="0"/>
    <m/>
    <x v="0"/>
  </r>
  <r>
    <n v="2987"/>
    <d v="2025-01-10T00:00:00"/>
    <n v="34"/>
    <s v="Male"/>
    <s v="West"/>
    <x v="1"/>
    <s v="CAMP3"/>
    <n v="343"/>
    <n v="4"/>
    <n v="0"/>
    <x v="11"/>
    <n v="0"/>
    <n v="0"/>
    <m/>
    <x v="0"/>
  </r>
  <r>
    <n v="4336"/>
    <d v="2025-01-10T00:00:00"/>
    <n v="58"/>
    <s v="Other"/>
    <s v="South"/>
    <x v="1"/>
    <s v="CAMP3"/>
    <n v="292.2"/>
    <n v="4"/>
    <n v="0"/>
    <x v="11"/>
    <n v="0"/>
    <n v="0"/>
    <m/>
    <x v="0"/>
  </r>
  <r>
    <n v="2563"/>
    <d v="2025-01-10T00:00:00"/>
    <n v="44"/>
    <s v="Male"/>
    <s v="West"/>
    <x v="0"/>
    <m/>
    <n v="264.7"/>
    <n v="6"/>
    <n v="0"/>
    <x v="11"/>
    <n v="0"/>
    <n v="0"/>
    <m/>
    <x v="0"/>
  </r>
  <r>
    <n v="149"/>
    <d v="2025-01-10T00:00:00"/>
    <n v="20"/>
    <s v="Male"/>
    <s v="South"/>
    <x v="0"/>
    <m/>
    <n v="242.8"/>
    <n v="8"/>
    <n v="0"/>
    <x v="11"/>
    <n v="0"/>
    <n v="0"/>
    <m/>
    <x v="0"/>
  </r>
  <r>
    <n v="819"/>
    <d v="2025-01-10T00:00:00"/>
    <n v="19"/>
    <s v="Female"/>
    <s v="East"/>
    <x v="1"/>
    <s v="CAMP3"/>
    <n v="231"/>
    <n v="3"/>
    <n v="0"/>
    <x v="11"/>
    <n v="0"/>
    <n v="0"/>
    <m/>
    <x v="0"/>
  </r>
  <r>
    <n v="978"/>
    <d v="2025-01-10T00:00:00"/>
    <n v="31"/>
    <s v="Male"/>
    <s v="East"/>
    <x v="3"/>
    <m/>
    <n v="163.9"/>
    <n v="8"/>
    <n v="0"/>
    <x v="11"/>
    <n v="0"/>
    <n v="0"/>
    <m/>
    <x v="0"/>
  </r>
  <r>
    <n v="4952"/>
    <d v="2025-01-10T00:00:00"/>
    <n v="39"/>
    <s v="Female"/>
    <s v="East"/>
    <x v="0"/>
    <m/>
    <n v="157.9"/>
    <n v="8"/>
    <n v="0"/>
    <x v="11"/>
    <n v="0"/>
    <n v="0"/>
    <m/>
    <x v="0"/>
  </r>
  <r>
    <n v="3809"/>
    <d v="2025-01-10T00:00:00"/>
    <n v="50"/>
    <s v="Male"/>
    <s v="South"/>
    <x v="1"/>
    <s v="CAMP4"/>
    <n v="146.19999999999999"/>
    <n v="6"/>
    <n v="0"/>
    <x v="11"/>
    <n v="0"/>
    <n v="0"/>
    <m/>
    <x v="0"/>
  </r>
  <r>
    <n v="3450"/>
    <d v="2025-01-10T00:00:00"/>
    <n v="36"/>
    <s v="Female"/>
    <s v="West"/>
    <x v="0"/>
    <m/>
    <n v="140"/>
    <n v="5"/>
    <n v="0"/>
    <x v="11"/>
    <n v="0"/>
    <n v="0"/>
    <m/>
    <x v="0"/>
  </r>
  <r>
    <n v="3959"/>
    <d v="2025-01-10T00:00:00"/>
    <n v="35"/>
    <s v="Female"/>
    <s v="North"/>
    <x v="1"/>
    <s v="CAMP1"/>
    <n v="96.3"/>
    <n v="6"/>
    <n v="0"/>
    <x v="11"/>
    <n v="0"/>
    <n v="0"/>
    <m/>
    <x v="0"/>
  </r>
  <r>
    <n v="3010"/>
    <d v="2025-01-10T00:00:00"/>
    <n v="44"/>
    <s v="Male"/>
    <s v="West"/>
    <x v="0"/>
    <m/>
    <n v="93.3"/>
    <n v="4"/>
    <n v="0"/>
    <x v="11"/>
    <n v="0"/>
    <n v="0"/>
    <m/>
    <x v="0"/>
  </r>
  <r>
    <n v="4746"/>
    <d v="2025-01-10T00:00:00"/>
    <n v="64"/>
    <s v="Male"/>
    <s v="South"/>
    <x v="0"/>
    <m/>
    <n v="88.2"/>
    <n v="5"/>
    <n v="0"/>
    <x v="11"/>
    <n v="0"/>
    <n v="0"/>
    <m/>
    <x v="0"/>
  </r>
  <r>
    <n v="2065"/>
    <d v="2025-01-10T00:00:00"/>
    <n v="32"/>
    <s v="Female"/>
    <s v="East"/>
    <x v="0"/>
    <m/>
    <n v="52.7"/>
    <n v="5"/>
    <n v="0"/>
    <x v="11"/>
    <n v="0"/>
    <n v="0"/>
    <m/>
    <x v="0"/>
  </r>
  <r>
    <n v="702"/>
    <d v="2025-01-10T00:00:00"/>
    <n v="32"/>
    <s v="Female"/>
    <s v="North"/>
    <x v="3"/>
    <m/>
    <n v="28"/>
    <n v="5"/>
    <n v="0"/>
    <x v="11"/>
    <n v="0"/>
    <n v="0"/>
    <m/>
    <x v="0"/>
  </r>
  <r>
    <n v="4928"/>
    <d v="2025-02-10T00:00:00"/>
    <n v="36"/>
    <s v="Male"/>
    <s v="North"/>
    <x v="0"/>
    <m/>
    <n v="707.7"/>
    <n v="9"/>
    <n v="1"/>
    <x v="541"/>
    <n v="3"/>
    <n v="12"/>
    <n v="5"/>
    <x v="1"/>
  </r>
  <r>
    <n v="214"/>
    <d v="2025-02-10T00:00:00"/>
    <n v="24"/>
    <s v="Female"/>
    <s v="East"/>
    <x v="3"/>
    <m/>
    <n v="321.89999999999998"/>
    <n v="5"/>
    <n v="1"/>
    <x v="542"/>
    <n v="1"/>
    <n v="13"/>
    <n v="4"/>
    <x v="1"/>
  </r>
  <r>
    <n v="2915"/>
    <d v="2025-02-10T00:00:00"/>
    <n v="36"/>
    <s v="Female"/>
    <s v="East"/>
    <x v="3"/>
    <m/>
    <n v="279.39999999999998"/>
    <n v="5"/>
    <n v="1"/>
    <x v="543"/>
    <n v="2"/>
    <n v="4"/>
    <n v="5"/>
    <x v="1"/>
  </r>
  <r>
    <n v="3983"/>
    <d v="2025-02-10T00:00:00"/>
    <n v="47"/>
    <s v="Female"/>
    <s v="East"/>
    <x v="1"/>
    <s v="CAMP6"/>
    <n v="865.2"/>
    <n v="5"/>
    <n v="1"/>
    <x v="544"/>
    <n v="5"/>
    <n v="1"/>
    <n v="4"/>
    <x v="1"/>
  </r>
  <r>
    <n v="3813"/>
    <d v="2025-02-10T00:00:00"/>
    <n v="51"/>
    <s v="Female"/>
    <s v="North"/>
    <x v="0"/>
    <m/>
    <n v="929"/>
    <n v="5"/>
    <n v="1"/>
    <x v="545"/>
    <n v="6"/>
    <n v="6"/>
    <n v="5"/>
    <x v="1"/>
  </r>
  <r>
    <n v="469"/>
    <d v="2025-02-10T00:00:00"/>
    <n v="22"/>
    <s v="Female"/>
    <s v="East"/>
    <x v="1"/>
    <s v="CAMP6"/>
    <n v="96.2"/>
    <n v="3"/>
    <n v="1"/>
    <x v="183"/>
    <n v="6"/>
    <n v="1"/>
    <n v="3"/>
    <x v="1"/>
  </r>
  <r>
    <n v="2039"/>
    <d v="2025-02-10T00:00:00"/>
    <n v="27"/>
    <s v="Male"/>
    <s v="North"/>
    <x v="1"/>
    <s v="CAMP7"/>
    <n v="480.9"/>
    <n v="4"/>
    <n v="1"/>
    <x v="546"/>
    <n v="2"/>
    <n v="5"/>
    <n v="4"/>
    <x v="1"/>
  </r>
  <r>
    <n v="1112"/>
    <d v="2025-02-10T00:00:00"/>
    <n v="24"/>
    <s v="Female"/>
    <s v="North"/>
    <x v="0"/>
    <m/>
    <n v="650"/>
    <n v="6"/>
    <n v="1"/>
    <x v="547"/>
    <n v="3"/>
    <n v="14"/>
    <n v="5"/>
    <x v="1"/>
  </r>
  <r>
    <n v="1113"/>
    <d v="2025-02-10T00:00:00"/>
    <n v="19"/>
    <s v="Male"/>
    <s v="North"/>
    <x v="0"/>
    <m/>
    <n v="247.4"/>
    <n v="9"/>
    <n v="1"/>
    <x v="548"/>
    <n v="2"/>
    <n v="7"/>
    <n v="4"/>
    <x v="1"/>
  </r>
  <r>
    <n v="174"/>
    <d v="2025-02-10T00:00:00"/>
    <n v="23"/>
    <s v="Female"/>
    <s v="South"/>
    <x v="1"/>
    <s v="CAMP7"/>
    <n v="838.2"/>
    <n v="3"/>
    <n v="0"/>
    <x v="11"/>
    <n v="0"/>
    <n v="0"/>
    <m/>
    <x v="1"/>
  </r>
  <r>
    <n v="2908"/>
    <d v="2025-02-10T00:00:00"/>
    <n v="27"/>
    <s v="Male"/>
    <s v="East"/>
    <x v="0"/>
    <m/>
    <n v="787.4"/>
    <n v="3"/>
    <n v="0"/>
    <x v="11"/>
    <n v="0"/>
    <n v="0"/>
    <m/>
    <x v="1"/>
  </r>
  <r>
    <n v="1840"/>
    <d v="2025-02-10T00:00:00"/>
    <n v="30"/>
    <s v="Female"/>
    <s v="East"/>
    <x v="0"/>
    <m/>
    <n v="641.5"/>
    <n v="7"/>
    <n v="0"/>
    <x v="11"/>
    <n v="0"/>
    <n v="0"/>
    <m/>
    <x v="1"/>
  </r>
  <r>
    <n v="4080"/>
    <d v="2025-02-10T00:00:00"/>
    <n v="44"/>
    <s v="Male"/>
    <s v="South"/>
    <x v="1"/>
    <s v="CAMP4"/>
    <n v="616.4"/>
    <n v="4"/>
    <n v="0"/>
    <x v="11"/>
    <n v="0"/>
    <n v="0"/>
    <m/>
    <x v="1"/>
  </r>
  <r>
    <n v="2471"/>
    <d v="2025-02-10T00:00:00"/>
    <n v="21"/>
    <s v="Female"/>
    <s v="East"/>
    <x v="0"/>
    <m/>
    <n v="425.5"/>
    <n v="7"/>
    <n v="0"/>
    <x v="11"/>
    <n v="0"/>
    <n v="0"/>
    <m/>
    <x v="1"/>
  </r>
  <r>
    <n v="3934"/>
    <d v="2025-02-10T00:00:00"/>
    <n v="46"/>
    <s v="Female"/>
    <s v="East"/>
    <x v="2"/>
    <m/>
    <n v="413.9"/>
    <n v="3"/>
    <n v="0"/>
    <x v="11"/>
    <n v="0"/>
    <n v="0"/>
    <m/>
    <x v="1"/>
  </r>
  <r>
    <n v="831"/>
    <d v="2025-02-10T00:00:00"/>
    <n v="28"/>
    <s v="Male"/>
    <s v="West"/>
    <x v="2"/>
    <m/>
    <n v="322.5"/>
    <n v="8"/>
    <n v="0"/>
    <x v="11"/>
    <n v="0"/>
    <n v="0"/>
    <m/>
    <x v="1"/>
  </r>
  <r>
    <n v="1493"/>
    <d v="2025-02-10T00:00:00"/>
    <n v="28"/>
    <s v="Male"/>
    <s v="East"/>
    <x v="1"/>
    <s v="CAMP1"/>
    <n v="284.2"/>
    <n v="3"/>
    <n v="0"/>
    <x v="11"/>
    <n v="0"/>
    <n v="0"/>
    <m/>
    <x v="1"/>
  </r>
  <r>
    <n v="2175"/>
    <d v="2025-02-10T00:00:00"/>
    <n v="42"/>
    <s v="Female"/>
    <s v="West"/>
    <x v="1"/>
    <s v="CAMP1"/>
    <n v="267.3"/>
    <n v="6"/>
    <n v="0"/>
    <x v="11"/>
    <n v="0"/>
    <n v="0"/>
    <m/>
    <x v="1"/>
  </r>
  <r>
    <n v="2742"/>
    <d v="2025-02-10T00:00:00"/>
    <n v="35"/>
    <s v="Male"/>
    <s v="South"/>
    <x v="1"/>
    <s v="CAMP5"/>
    <n v="260.39999999999998"/>
    <n v="8"/>
    <n v="0"/>
    <x v="11"/>
    <n v="0"/>
    <n v="0"/>
    <m/>
    <x v="1"/>
  </r>
  <r>
    <n v="4443"/>
    <d v="2025-02-10T00:00:00"/>
    <n v="51"/>
    <s v="Male"/>
    <s v="South"/>
    <x v="3"/>
    <m/>
    <n v="184.9"/>
    <n v="5"/>
    <n v="0"/>
    <x v="11"/>
    <n v="0"/>
    <n v="0"/>
    <m/>
    <x v="1"/>
  </r>
  <r>
    <n v="3984"/>
    <d v="2025-02-10T00:00:00"/>
    <n v="56"/>
    <s v="Male"/>
    <s v="East"/>
    <x v="0"/>
    <m/>
    <n v="181.5"/>
    <n v="10"/>
    <n v="0"/>
    <x v="11"/>
    <n v="0"/>
    <n v="0"/>
    <m/>
    <x v="1"/>
  </r>
  <r>
    <n v="1603"/>
    <d v="2025-02-10T00:00:00"/>
    <n v="23"/>
    <s v="Male"/>
    <s v="South"/>
    <x v="0"/>
    <m/>
    <n v="179.8"/>
    <n v="7"/>
    <n v="0"/>
    <x v="11"/>
    <n v="0"/>
    <n v="0"/>
    <m/>
    <x v="1"/>
  </r>
  <r>
    <n v="3230"/>
    <d v="2025-02-10T00:00:00"/>
    <n v="33"/>
    <s v="Male"/>
    <s v="North"/>
    <x v="3"/>
    <m/>
    <n v="146.5"/>
    <n v="6"/>
    <n v="0"/>
    <x v="11"/>
    <n v="0"/>
    <n v="0"/>
    <m/>
    <x v="1"/>
  </r>
  <r>
    <n v="4365"/>
    <d v="2025-02-10T00:00:00"/>
    <n v="36"/>
    <s v="Female"/>
    <s v="East"/>
    <x v="1"/>
    <s v="CAMP3"/>
    <n v="128.6"/>
    <n v="8"/>
    <n v="0"/>
    <x v="11"/>
    <n v="0"/>
    <n v="0"/>
    <m/>
    <x v="1"/>
  </r>
  <r>
    <n v="2575"/>
    <d v="2025-02-10T00:00:00"/>
    <n v="49"/>
    <s v="Female"/>
    <s v="East"/>
    <x v="1"/>
    <s v="CAMP1"/>
    <n v="101.5"/>
    <n v="7"/>
    <n v="0"/>
    <x v="11"/>
    <n v="0"/>
    <n v="0"/>
    <m/>
    <x v="1"/>
  </r>
  <r>
    <n v="2200"/>
    <d v="2025-03-10T00:00:00"/>
    <n v="35"/>
    <s v="Male"/>
    <s v="South"/>
    <x v="3"/>
    <m/>
    <n v="485.8"/>
    <n v="4"/>
    <n v="1"/>
    <x v="549"/>
    <n v="2"/>
    <n v="13"/>
    <n v="5"/>
    <x v="2"/>
  </r>
  <r>
    <n v="956"/>
    <d v="2025-03-10T00:00:00"/>
    <n v="19"/>
    <s v="Female"/>
    <s v="East"/>
    <x v="2"/>
    <m/>
    <n v="132.1"/>
    <n v="5"/>
    <n v="1"/>
    <x v="550"/>
    <n v="1"/>
    <n v="6"/>
    <n v="4"/>
    <x v="2"/>
  </r>
  <r>
    <n v="3358"/>
    <d v="2025-03-10T00:00:00"/>
    <n v="44"/>
    <s v="Female"/>
    <s v="West"/>
    <x v="1"/>
    <s v="CAMP4"/>
    <n v="118"/>
    <n v="5"/>
    <n v="1"/>
    <x v="551"/>
    <n v="3"/>
    <n v="8"/>
    <n v="3"/>
    <x v="2"/>
  </r>
  <r>
    <n v="4871"/>
    <d v="2025-03-10T00:00:00"/>
    <n v="51"/>
    <s v="Female"/>
    <s v="South"/>
    <x v="3"/>
    <m/>
    <n v="319.89999999999998"/>
    <n v="5"/>
    <n v="1"/>
    <x v="552"/>
    <n v="4"/>
    <n v="9"/>
    <n v="4"/>
    <x v="2"/>
  </r>
  <r>
    <n v="522"/>
    <d v="2025-03-10T00:00:00"/>
    <n v="31"/>
    <s v="Female"/>
    <s v="East"/>
    <x v="0"/>
    <m/>
    <n v="591"/>
    <n v="7"/>
    <n v="1"/>
    <x v="553"/>
    <n v="4"/>
    <n v="12"/>
    <n v="5"/>
    <x v="2"/>
  </r>
  <r>
    <n v="1820"/>
    <d v="2025-03-10T00:00:00"/>
    <n v="39"/>
    <s v="Male"/>
    <s v="South"/>
    <x v="0"/>
    <m/>
    <n v="108.7"/>
    <n v="1"/>
    <n v="1"/>
    <x v="554"/>
    <n v="1"/>
    <n v="12"/>
    <n v="5"/>
    <x v="2"/>
  </r>
  <r>
    <n v="4251"/>
    <d v="2025-03-10T00:00:00"/>
    <n v="49"/>
    <s v="Female"/>
    <s v="North"/>
    <x v="0"/>
    <m/>
    <n v="1686.7"/>
    <n v="7"/>
    <n v="1"/>
    <x v="555"/>
    <n v="3"/>
    <n v="11"/>
    <n v="4"/>
    <x v="2"/>
  </r>
  <r>
    <n v="2971"/>
    <d v="2025-03-10T00:00:00"/>
    <n v="30"/>
    <s v="Male"/>
    <s v="West"/>
    <x v="1"/>
    <s v="CAMP3"/>
    <n v="731.3"/>
    <n v="6"/>
    <n v="1"/>
    <x v="556"/>
    <n v="4"/>
    <n v="15"/>
    <n v="4"/>
    <x v="2"/>
  </r>
  <r>
    <n v="3902"/>
    <d v="2025-03-10T00:00:00"/>
    <n v="46"/>
    <s v="Female"/>
    <s v="West"/>
    <x v="3"/>
    <m/>
    <n v="932.6"/>
    <n v="8"/>
    <n v="1"/>
    <x v="557"/>
    <n v="1"/>
    <n v="9"/>
    <n v="4"/>
    <x v="2"/>
  </r>
  <r>
    <n v="2684"/>
    <d v="2025-03-10T00:00:00"/>
    <n v="19"/>
    <s v="Female"/>
    <s v="South"/>
    <x v="0"/>
    <m/>
    <n v="1839.2"/>
    <n v="6"/>
    <n v="1"/>
    <x v="8"/>
    <n v="4"/>
    <n v="8"/>
    <n v="5"/>
    <x v="2"/>
  </r>
  <r>
    <n v="3678"/>
    <d v="2025-03-10T00:00:00"/>
    <n v="38"/>
    <s v="Male"/>
    <s v="North"/>
    <x v="2"/>
    <m/>
    <n v="212.2"/>
    <n v="3"/>
    <n v="1"/>
    <x v="558"/>
    <n v="3"/>
    <n v="7"/>
    <n v="4"/>
    <x v="2"/>
  </r>
  <r>
    <n v="4164"/>
    <d v="2025-03-10T00:00:00"/>
    <n v="30"/>
    <s v="Female"/>
    <s v="South"/>
    <x v="2"/>
    <m/>
    <n v="306.60000000000002"/>
    <n v="10"/>
    <n v="1"/>
    <x v="559"/>
    <n v="3"/>
    <n v="7"/>
    <n v="4"/>
    <x v="2"/>
  </r>
  <r>
    <n v="1499"/>
    <d v="2025-03-10T00:00:00"/>
    <n v="22"/>
    <s v="Male"/>
    <s v="West"/>
    <x v="0"/>
    <m/>
    <n v="291.39999999999998"/>
    <n v="5"/>
    <n v="1"/>
    <x v="560"/>
    <n v="3"/>
    <n v="14"/>
    <n v="4"/>
    <x v="2"/>
  </r>
  <r>
    <n v="4335"/>
    <d v="2025-03-10T00:00:00"/>
    <n v="75"/>
    <s v="Male"/>
    <s v="North"/>
    <x v="2"/>
    <m/>
    <n v="486.2"/>
    <n v="5"/>
    <n v="1"/>
    <x v="561"/>
    <n v="2"/>
    <n v="9"/>
    <n v="4"/>
    <x v="2"/>
  </r>
  <r>
    <n v="2090"/>
    <d v="2025-03-10T00:00:00"/>
    <n v="32"/>
    <s v="Male"/>
    <s v="West"/>
    <x v="0"/>
    <m/>
    <n v="670.2"/>
    <n v="6"/>
    <n v="0"/>
    <x v="11"/>
    <n v="0"/>
    <n v="0"/>
    <m/>
    <x v="2"/>
  </r>
  <r>
    <n v="4339"/>
    <d v="2025-03-10T00:00:00"/>
    <n v="47"/>
    <s v="Male"/>
    <s v="East"/>
    <x v="0"/>
    <m/>
    <n v="454.7"/>
    <n v="7"/>
    <n v="0"/>
    <x v="11"/>
    <n v="0"/>
    <n v="0"/>
    <m/>
    <x v="2"/>
  </r>
  <r>
    <n v="3831"/>
    <d v="2025-03-10T00:00:00"/>
    <n v="47"/>
    <s v="Female"/>
    <s v="North"/>
    <x v="3"/>
    <m/>
    <n v="342"/>
    <n v="3"/>
    <n v="0"/>
    <x v="11"/>
    <n v="0"/>
    <n v="0"/>
    <m/>
    <x v="2"/>
  </r>
  <r>
    <n v="1505"/>
    <d v="2025-03-10T00:00:00"/>
    <n v="18"/>
    <s v="Female"/>
    <s v="North"/>
    <x v="1"/>
    <s v="CAMP5"/>
    <n v="226.1"/>
    <n v="6"/>
    <n v="0"/>
    <x v="11"/>
    <n v="0"/>
    <n v="0"/>
    <m/>
    <x v="2"/>
  </r>
  <r>
    <n v="4852"/>
    <d v="2025-03-10T00:00:00"/>
    <n v="47"/>
    <s v="Female"/>
    <s v="North"/>
    <x v="1"/>
    <s v="CAMP2"/>
    <n v="158.5"/>
    <n v="6"/>
    <n v="0"/>
    <x v="11"/>
    <n v="0"/>
    <n v="0"/>
    <m/>
    <x v="2"/>
  </r>
  <r>
    <n v="4409"/>
    <d v="2025-03-10T00:00:00"/>
    <n v="35"/>
    <s v="Female"/>
    <s v="West"/>
    <x v="1"/>
    <s v="CAMP5"/>
    <n v="148.5"/>
    <n v="5"/>
    <n v="0"/>
    <x v="11"/>
    <n v="0"/>
    <n v="0"/>
    <m/>
    <x v="2"/>
  </r>
  <r>
    <n v="1671"/>
    <d v="2025-03-10T00:00:00"/>
    <n v="30"/>
    <s v="Male"/>
    <s v="North"/>
    <x v="0"/>
    <m/>
    <n v="66.2"/>
    <n v="6"/>
    <n v="0"/>
    <x v="11"/>
    <n v="0"/>
    <n v="0"/>
    <m/>
    <x v="2"/>
  </r>
  <r>
    <n v="4377"/>
    <d v="2025-03-10T00:00:00"/>
    <n v="42"/>
    <s v="Female"/>
    <s v="West"/>
    <x v="1"/>
    <s v="CAMP3"/>
    <n v="59.6"/>
    <n v="3"/>
    <n v="0"/>
    <x v="11"/>
    <n v="0"/>
    <n v="0"/>
    <m/>
    <x v="2"/>
  </r>
  <r>
    <n v="910"/>
    <d v="2025-03-10T00:00:00"/>
    <n v="38"/>
    <s v="Female"/>
    <s v="East"/>
    <x v="0"/>
    <m/>
    <n v="51.4"/>
    <n v="6"/>
    <n v="0"/>
    <x v="11"/>
    <n v="0"/>
    <n v="0"/>
    <m/>
    <x v="2"/>
  </r>
  <r>
    <n v="188"/>
    <d v="2025-04-10T00:00:00"/>
    <n v="33"/>
    <s v="Male"/>
    <s v="North"/>
    <x v="0"/>
    <m/>
    <n v="167.4"/>
    <n v="7"/>
    <n v="1"/>
    <x v="562"/>
    <n v="4"/>
    <n v="14"/>
    <n v="4"/>
    <x v="3"/>
  </r>
  <r>
    <n v="4285"/>
    <d v="2025-04-10T00:00:00"/>
    <n v="46"/>
    <s v="Female"/>
    <s v="North"/>
    <x v="2"/>
    <m/>
    <n v="1002.8"/>
    <n v="7"/>
    <n v="1"/>
    <x v="563"/>
    <n v="1"/>
    <n v="5"/>
    <n v="4"/>
    <x v="3"/>
  </r>
  <r>
    <n v="4483"/>
    <d v="2025-04-10T00:00:00"/>
    <n v="56"/>
    <s v="Male"/>
    <s v="East"/>
    <x v="1"/>
    <s v="CAMP7"/>
    <n v="398.8"/>
    <n v="9"/>
    <n v="1"/>
    <x v="564"/>
    <n v="7"/>
    <n v="9"/>
    <n v="5"/>
    <x v="3"/>
  </r>
  <r>
    <n v="4783"/>
    <d v="2025-04-10T00:00:00"/>
    <n v="49"/>
    <s v="Female"/>
    <s v="North"/>
    <x v="1"/>
    <s v="CAMP7"/>
    <n v="36.6"/>
    <n v="8"/>
    <n v="1"/>
    <x v="554"/>
    <n v="2"/>
    <n v="6"/>
    <n v="4"/>
    <x v="3"/>
  </r>
  <r>
    <n v="915"/>
    <d v="2025-04-10T00:00:00"/>
    <n v="29"/>
    <s v="Female"/>
    <s v="North"/>
    <x v="3"/>
    <m/>
    <n v="550.79999999999995"/>
    <n v="4"/>
    <n v="1"/>
    <x v="565"/>
    <n v="4"/>
    <n v="4"/>
    <n v="5"/>
    <x v="3"/>
  </r>
  <r>
    <n v="3858"/>
    <d v="2025-04-10T00:00:00"/>
    <n v="32"/>
    <s v="Male"/>
    <s v="North"/>
    <x v="1"/>
    <s v="CAMP7"/>
    <n v="659.9"/>
    <n v="8"/>
    <n v="1"/>
    <x v="566"/>
    <n v="3"/>
    <n v="4"/>
    <n v="4"/>
    <x v="3"/>
  </r>
  <r>
    <n v="534"/>
    <d v="2025-04-10T00:00:00"/>
    <n v="28"/>
    <s v="Male"/>
    <s v="West"/>
    <x v="3"/>
    <m/>
    <n v="1236.2"/>
    <n v="5"/>
    <n v="1"/>
    <x v="567"/>
    <n v="2"/>
    <n v="3"/>
    <n v="4"/>
    <x v="3"/>
  </r>
  <r>
    <n v="1901"/>
    <d v="2025-04-10T00:00:00"/>
    <n v="23"/>
    <s v="Female"/>
    <s v="West"/>
    <x v="0"/>
    <m/>
    <n v="279.2"/>
    <n v="4"/>
    <n v="1"/>
    <x v="492"/>
    <n v="5"/>
    <n v="7"/>
    <n v="5"/>
    <x v="3"/>
  </r>
  <r>
    <n v="4535"/>
    <d v="2025-04-10T00:00:00"/>
    <n v="52"/>
    <s v="Female"/>
    <s v="East"/>
    <x v="1"/>
    <s v="CAMP4"/>
    <n v="219.6"/>
    <n v="5"/>
    <n v="1"/>
    <x v="568"/>
    <n v="8"/>
    <n v="3"/>
    <n v="4"/>
    <x v="3"/>
  </r>
  <r>
    <n v="1331"/>
    <d v="2025-04-10T00:00:00"/>
    <n v="19"/>
    <s v="Male"/>
    <s v="East"/>
    <x v="1"/>
    <s v="CAMP3"/>
    <n v="588.20000000000005"/>
    <n v="9"/>
    <n v="0"/>
    <x v="11"/>
    <n v="0"/>
    <n v="0"/>
    <m/>
    <x v="3"/>
  </r>
  <r>
    <n v="553"/>
    <d v="2025-04-10T00:00:00"/>
    <n v="29"/>
    <s v="Female"/>
    <s v="East"/>
    <x v="1"/>
    <s v="CAMP5"/>
    <n v="433.7"/>
    <n v="7"/>
    <n v="0"/>
    <x v="11"/>
    <n v="0"/>
    <n v="0"/>
    <m/>
    <x v="3"/>
  </r>
  <r>
    <n v="1657"/>
    <d v="2025-04-10T00:00:00"/>
    <n v="26"/>
    <s v="Male"/>
    <s v="South"/>
    <x v="1"/>
    <s v="CAMP6"/>
    <n v="417.2"/>
    <n v="7"/>
    <n v="0"/>
    <x v="11"/>
    <n v="0"/>
    <n v="0"/>
    <m/>
    <x v="3"/>
  </r>
  <r>
    <n v="1548"/>
    <d v="2025-04-10T00:00:00"/>
    <n v="23"/>
    <s v="Female"/>
    <s v="South"/>
    <x v="0"/>
    <m/>
    <n v="401.2"/>
    <n v="7"/>
    <n v="0"/>
    <x v="11"/>
    <n v="0"/>
    <n v="0"/>
    <m/>
    <x v="3"/>
  </r>
  <r>
    <n v="3201"/>
    <d v="2025-04-10T00:00:00"/>
    <n v="35"/>
    <s v="Female"/>
    <s v="South"/>
    <x v="3"/>
    <m/>
    <n v="347.7"/>
    <n v="3"/>
    <n v="0"/>
    <x v="11"/>
    <n v="0"/>
    <n v="0"/>
    <m/>
    <x v="3"/>
  </r>
  <r>
    <n v="478"/>
    <d v="2025-04-10T00:00:00"/>
    <n v="18"/>
    <s v="Male"/>
    <s v="West"/>
    <x v="0"/>
    <m/>
    <n v="341.7"/>
    <n v="5"/>
    <n v="0"/>
    <x v="11"/>
    <n v="0"/>
    <n v="0"/>
    <m/>
    <x v="3"/>
  </r>
  <r>
    <n v="327"/>
    <d v="2025-04-10T00:00:00"/>
    <n v="19"/>
    <s v="Male"/>
    <s v="North"/>
    <x v="2"/>
    <m/>
    <n v="319.39999999999998"/>
    <n v="2"/>
    <n v="0"/>
    <x v="11"/>
    <n v="0"/>
    <n v="0"/>
    <m/>
    <x v="3"/>
  </r>
  <r>
    <n v="4912"/>
    <d v="2025-04-10T00:00:00"/>
    <n v="30"/>
    <s v="Male"/>
    <s v="East"/>
    <x v="2"/>
    <m/>
    <n v="244.8"/>
    <n v="6"/>
    <n v="0"/>
    <x v="11"/>
    <n v="0"/>
    <n v="0"/>
    <m/>
    <x v="3"/>
  </r>
  <r>
    <n v="2441"/>
    <d v="2025-04-10T00:00:00"/>
    <n v="31"/>
    <s v="Male"/>
    <s v="South"/>
    <x v="2"/>
    <m/>
    <n v="241.6"/>
    <n v="8"/>
    <n v="0"/>
    <x v="11"/>
    <n v="0"/>
    <n v="0"/>
    <m/>
    <x v="3"/>
  </r>
  <r>
    <n v="2593"/>
    <d v="2025-04-10T00:00:00"/>
    <n v="30"/>
    <s v="Male"/>
    <s v="East"/>
    <x v="0"/>
    <m/>
    <n v="230.4"/>
    <n v="5"/>
    <n v="0"/>
    <x v="11"/>
    <n v="0"/>
    <n v="0"/>
    <m/>
    <x v="3"/>
  </r>
  <r>
    <n v="1126"/>
    <d v="2025-04-10T00:00:00"/>
    <n v="33"/>
    <s v="Other"/>
    <s v="East"/>
    <x v="1"/>
    <s v="CAMP5"/>
    <n v="216.2"/>
    <n v="6"/>
    <n v="0"/>
    <x v="11"/>
    <n v="0"/>
    <n v="0"/>
    <m/>
    <x v="3"/>
  </r>
  <r>
    <n v="3665"/>
    <d v="2025-04-10T00:00:00"/>
    <n v="28"/>
    <s v="Female"/>
    <s v="South"/>
    <x v="1"/>
    <s v="CAMP7"/>
    <n v="194.9"/>
    <n v="1"/>
    <n v="0"/>
    <x v="11"/>
    <n v="0"/>
    <n v="0"/>
    <m/>
    <x v="3"/>
  </r>
  <r>
    <n v="4985"/>
    <d v="2025-04-10T00:00:00"/>
    <n v="36"/>
    <s v="Male"/>
    <s v="North"/>
    <x v="0"/>
    <m/>
    <n v="173.5"/>
    <n v="4"/>
    <n v="0"/>
    <x v="11"/>
    <n v="0"/>
    <n v="0"/>
    <m/>
    <x v="3"/>
  </r>
  <r>
    <n v="1895"/>
    <d v="2025-04-10T00:00:00"/>
    <n v="20"/>
    <s v="Male"/>
    <s v="East"/>
    <x v="1"/>
    <s v="CAMP7"/>
    <n v="144.5"/>
    <n v="6"/>
    <n v="0"/>
    <x v="11"/>
    <n v="0"/>
    <n v="0"/>
    <m/>
    <x v="3"/>
  </r>
  <r>
    <n v="4410"/>
    <d v="2025-04-10T00:00:00"/>
    <n v="44"/>
    <s v="Female"/>
    <s v="East"/>
    <x v="1"/>
    <s v="CAMP7"/>
    <n v="138.30000000000001"/>
    <n v="8"/>
    <n v="0"/>
    <x v="11"/>
    <n v="0"/>
    <n v="0"/>
    <m/>
    <x v="3"/>
  </r>
  <r>
    <n v="2993"/>
    <d v="2025-04-10T00:00:00"/>
    <n v="42"/>
    <s v="Female"/>
    <s v="South"/>
    <x v="0"/>
    <m/>
    <n v="136.69999999999999"/>
    <n v="6"/>
    <n v="0"/>
    <x v="11"/>
    <n v="0"/>
    <n v="0"/>
    <m/>
    <x v="3"/>
  </r>
  <r>
    <n v="4348"/>
    <d v="2025-04-10T00:00:00"/>
    <n v="31"/>
    <s v="Male"/>
    <s v="South"/>
    <x v="1"/>
    <s v="CAMP6"/>
    <n v="103.7"/>
    <n v="4"/>
    <n v="0"/>
    <x v="11"/>
    <n v="0"/>
    <n v="0"/>
    <m/>
    <x v="3"/>
  </r>
  <r>
    <n v="942"/>
    <d v="2025-04-10T00:00:00"/>
    <n v="27"/>
    <s v="Male"/>
    <s v="South"/>
    <x v="0"/>
    <m/>
    <n v="85.1"/>
    <n v="7"/>
    <n v="0"/>
    <x v="11"/>
    <n v="0"/>
    <n v="0"/>
    <m/>
    <x v="3"/>
  </r>
  <r>
    <n v="4515"/>
    <d v="2025-04-10T00:00:00"/>
    <n v="60"/>
    <s v="Female"/>
    <s v="South"/>
    <x v="3"/>
    <m/>
    <n v="78.400000000000006"/>
    <n v="6"/>
    <n v="0"/>
    <x v="11"/>
    <n v="0"/>
    <n v="0"/>
    <m/>
    <x v="3"/>
  </r>
  <r>
    <n v="3598"/>
    <d v="2025-04-10T00:00:00"/>
    <n v="33"/>
    <s v="Female"/>
    <s v="West"/>
    <x v="1"/>
    <s v="CAMP4"/>
    <n v="72.3"/>
    <n v="7"/>
    <n v="0"/>
    <x v="11"/>
    <n v="0"/>
    <n v="0"/>
    <m/>
    <x v="3"/>
  </r>
  <r>
    <n v="1332"/>
    <d v="2025-05-10T00:00:00"/>
    <n v="28"/>
    <s v="Male"/>
    <s v="West"/>
    <x v="3"/>
    <m/>
    <n v="241.9"/>
    <n v="9"/>
    <n v="1"/>
    <x v="469"/>
    <n v="4"/>
    <n v="10"/>
    <n v="4"/>
    <x v="4"/>
  </r>
  <r>
    <n v="2989"/>
    <d v="2025-05-10T00:00:00"/>
    <n v="29"/>
    <s v="Male"/>
    <s v="West"/>
    <x v="1"/>
    <s v="CAMP2"/>
    <n v="683.2"/>
    <n v="6"/>
    <n v="1"/>
    <x v="569"/>
    <n v="1"/>
    <n v="10"/>
    <n v="4"/>
    <x v="4"/>
  </r>
  <r>
    <n v="3219"/>
    <d v="2025-05-10T00:00:00"/>
    <n v="37"/>
    <s v="Male"/>
    <s v="West"/>
    <x v="0"/>
    <m/>
    <n v="278.89999999999998"/>
    <n v="7"/>
    <n v="1"/>
    <x v="570"/>
    <n v="7"/>
    <n v="4"/>
    <n v="4"/>
    <x v="4"/>
  </r>
  <r>
    <n v="4317"/>
    <d v="2025-05-10T00:00:00"/>
    <n v="47"/>
    <s v="Female"/>
    <s v="West"/>
    <x v="0"/>
    <m/>
    <n v="502.4"/>
    <n v="3"/>
    <n v="1"/>
    <x v="571"/>
    <n v="2"/>
    <n v="2"/>
    <n v="4"/>
    <x v="4"/>
  </r>
  <r>
    <n v="2135"/>
    <d v="2025-05-10T00:00:00"/>
    <n v="25"/>
    <s v="Male"/>
    <s v="North"/>
    <x v="1"/>
    <s v="CAMP5"/>
    <n v="410.1"/>
    <n v="6"/>
    <n v="1"/>
    <x v="572"/>
    <n v="4"/>
    <n v="1"/>
    <n v="4"/>
    <x v="4"/>
  </r>
  <r>
    <n v="1590"/>
    <d v="2025-05-10T00:00:00"/>
    <n v="21"/>
    <s v="Female"/>
    <s v="North"/>
    <x v="0"/>
    <m/>
    <n v="659.9"/>
    <n v="5"/>
    <n v="1"/>
    <x v="573"/>
    <n v="2"/>
    <n v="6"/>
    <n v="3"/>
    <x v="4"/>
  </r>
  <r>
    <n v="4652"/>
    <d v="2025-05-10T00:00:00"/>
    <n v="51"/>
    <s v="Female"/>
    <s v="West"/>
    <x v="0"/>
    <m/>
    <n v="640.1"/>
    <n v="9"/>
    <n v="1"/>
    <x v="574"/>
    <n v="2"/>
    <n v="2"/>
    <n v="5"/>
    <x v="4"/>
  </r>
  <r>
    <n v="779"/>
    <d v="2025-05-10T00:00:00"/>
    <n v="30"/>
    <s v="Male"/>
    <s v="West"/>
    <x v="0"/>
    <m/>
    <n v="693.3"/>
    <n v="8"/>
    <n v="1"/>
    <x v="289"/>
    <n v="6"/>
    <n v="9"/>
    <n v="4"/>
    <x v="4"/>
  </r>
  <r>
    <n v="1916"/>
    <d v="2025-05-10T00:00:00"/>
    <n v="31"/>
    <s v="Female"/>
    <s v="North"/>
    <x v="1"/>
    <s v="CAMP7"/>
    <n v="440.1"/>
    <n v="11"/>
    <n v="1"/>
    <x v="326"/>
    <n v="5"/>
    <n v="13"/>
    <n v="4"/>
    <x v="4"/>
  </r>
  <r>
    <n v="4741"/>
    <d v="2025-05-10T00:00:00"/>
    <n v="33"/>
    <s v="Male"/>
    <s v="South"/>
    <x v="1"/>
    <s v="CAMP1"/>
    <n v="267.2"/>
    <n v="7"/>
    <n v="1"/>
    <x v="575"/>
    <n v="4"/>
    <n v="4"/>
    <n v="4"/>
    <x v="4"/>
  </r>
  <r>
    <n v="4660"/>
    <d v="2025-05-10T00:00:00"/>
    <n v="42"/>
    <s v="Female"/>
    <s v="West"/>
    <x v="0"/>
    <m/>
    <n v="600.6"/>
    <n v="5"/>
    <n v="0"/>
    <x v="11"/>
    <n v="0"/>
    <n v="0"/>
    <m/>
    <x v="4"/>
  </r>
  <r>
    <n v="967"/>
    <d v="2025-05-10T00:00:00"/>
    <n v="26"/>
    <s v="Male"/>
    <s v="East"/>
    <x v="3"/>
    <m/>
    <n v="349.3"/>
    <n v="5"/>
    <n v="0"/>
    <x v="11"/>
    <n v="0"/>
    <n v="0"/>
    <m/>
    <x v="4"/>
  </r>
  <r>
    <n v="2810"/>
    <d v="2025-05-10T00:00:00"/>
    <n v="29"/>
    <s v="Male"/>
    <s v="East"/>
    <x v="2"/>
    <m/>
    <n v="344.6"/>
    <n v="2"/>
    <n v="0"/>
    <x v="11"/>
    <n v="0"/>
    <n v="0"/>
    <m/>
    <x v="4"/>
  </r>
  <r>
    <n v="1512"/>
    <d v="2025-05-10T00:00:00"/>
    <n v="19"/>
    <s v="Male"/>
    <s v="South"/>
    <x v="1"/>
    <s v="CAMP1"/>
    <n v="306.60000000000002"/>
    <n v="6"/>
    <n v="0"/>
    <x v="11"/>
    <n v="0"/>
    <n v="0"/>
    <m/>
    <x v="4"/>
  </r>
  <r>
    <n v="4561"/>
    <d v="2025-05-10T00:00:00"/>
    <n v="69"/>
    <s v="Male"/>
    <s v="East"/>
    <x v="1"/>
    <s v="CAMP4"/>
    <n v="183.8"/>
    <n v="5"/>
    <n v="0"/>
    <x v="11"/>
    <n v="0"/>
    <n v="0"/>
    <m/>
    <x v="4"/>
  </r>
  <r>
    <n v="2474"/>
    <d v="2025-05-10T00:00:00"/>
    <n v="30"/>
    <s v="Female"/>
    <s v="East"/>
    <x v="3"/>
    <m/>
    <n v="178.6"/>
    <n v="6"/>
    <n v="0"/>
    <x v="11"/>
    <n v="0"/>
    <n v="0"/>
    <m/>
    <x v="4"/>
  </r>
  <r>
    <n v="646"/>
    <d v="2025-06-10T00:00:00"/>
    <n v="30"/>
    <s v="Male"/>
    <s v="North"/>
    <x v="3"/>
    <m/>
    <n v="254.1"/>
    <n v="6"/>
    <n v="1"/>
    <x v="576"/>
    <n v="3"/>
    <n v="11"/>
    <n v="3"/>
    <x v="5"/>
  </r>
  <r>
    <n v="4059"/>
    <d v="2025-06-10T00:00:00"/>
    <n v="50"/>
    <s v="Female"/>
    <s v="East"/>
    <x v="0"/>
    <m/>
    <n v="791.8"/>
    <n v="3"/>
    <n v="1"/>
    <x v="577"/>
    <n v="5"/>
    <n v="3"/>
    <n v="5"/>
    <x v="5"/>
  </r>
  <r>
    <n v="2136"/>
    <d v="2025-06-10T00:00:00"/>
    <n v="28"/>
    <s v="Male"/>
    <s v="East"/>
    <x v="3"/>
    <m/>
    <n v="274.5"/>
    <n v="3"/>
    <n v="1"/>
    <x v="578"/>
    <n v="2"/>
    <n v="11"/>
    <n v="4"/>
    <x v="5"/>
  </r>
  <r>
    <n v="1773"/>
    <d v="2025-06-10T00:00:00"/>
    <n v="38"/>
    <s v="Female"/>
    <s v="East"/>
    <x v="0"/>
    <m/>
    <n v="375.1"/>
    <n v="3"/>
    <n v="1"/>
    <x v="579"/>
    <n v="4"/>
    <n v="4"/>
    <n v="4"/>
    <x v="5"/>
  </r>
  <r>
    <n v="2871"/>
    <d v="2025-06-10T00:00:00"/>
    <n v="28"/>
    <s v="Female"/>
    <s v="East"/>
    <x v="0"/>
    <m/>
    <n v="688.3"/>
    <n v="6"/>
    <n v="1"/>
    <x v="580"/>
    <n v="4"/>
    <n v="2"/>
    <n v="4"/>
    <x v="5"/>
  </r>
  <r>
    <n v="119"/>
    <d v="2025-06-10T00:00:00"/>
    <n v="29"/>
    <s v="Male"/>
    <s v="South"/>
    <x v="1"/>
    <s v="CAMP7"/>
    <n v="333.8"/>
    <n v="5"/>
    <n v="1"/>
    <x v="581"/>
    <n v="1"/>
    <n v="9"/>
    <n v="5"/>
    <x v="5"/>
  </r>
  <r>
    <n v="759"/>
    <d v="2025-06-10T00:00:00"/>
    <n v="20"/>
    <s v="Female"/>
    <s v="South"/>
    <x v="3"/>
    <m/>
    <n v="847.4"/>
    <n v="1"/>
    <n v="1"/>
    <x v="582"/>
    <n v="3"/>
    <n v="12"/>
    <n v="4"/>
    <x v="5"/>
  </r>
  <r>
    <n v="2237"/>
    <d v="2025-06-10T00:00:00"/>
    <n v="48"/>
    <s v="Male"/>
    <s v="East"/>
    <x v="0"/>
    <m/>
    <n v="572.20000000000005"/>
    <n v="5"/>
    <n v="1"/>
    <x v="583"/>
    <n v="2"/>
    <n v="6"/>
    <n v="4"/>
    <x v="5"/>
  </r>
  <r>
    <n v="2622"/>
    <d v="2025-06-10T00:00:00"/>
    <n v="47"/>
    <s v="Male"/>
    <s v="West"/>
    <x v="0"/>
    <m/>
    <n v="361.5"/>
    <n v="2"/>
    <n v="1"/>
    <x v="584"/>
    <n v="1"/>
    <n v="7"/>
    <n v="5"/>
    <x v="5"/>
  </r>
  <r>
    <n v="2873"/>
    <d v="2025-06-10T00:00:00"/>
    <n v="24"/>
    <s v="Male"/>
    <s v="East"/>
    <x v="2"/>
    <m/>
    <n v="276.7"/>
    <n v="7"/>
    <n v="1"/>
    <x v="585"/>
    <n v="3"/>
    <n v="8"/>
    <n v="5"/>
    <x v="5"/>
  </r>
  <r>
    <n v="474"/>
    <d v="2025-06-10T00:00:00"/>
    <n v="28"/>
    <s v="Female"/>
    <s v="North"/>
    <x v="1"/>
    <s v="CAMP1"/>
    <n v="404.2"/>
    <n v="4"/>
    <n v="1"/>
    <x v="586"/>
    <n v="4"/>
    <n v="12"/>
    <n v="5"/>
    <x v="5"/>
  </r>
  <r>
    <n v="2675"/>
    <d v="2025-06-10T00:00:00"/>
    <n v="44"/>
    <s v="Female"/>
    <s v="North"/>
    <x v="0"/>
    <m/>
    <n v="138"/>
    <n v="8"/>
    <n v="1"/>
    <x v="587"/>
    <n v="3"/>
    <n v="2"/>
    <n v="4"/>
    <x v="5"/>
  </r>
  <r>
    <n v="1600"/>
    <d v="2025-06-10T00:00:00"/>
    <n v="33"/>
    <s v="Male"/>
    <s v="West"/>
    <x v="3"/>
    <m/>
    <n v="808.6"/>
    <n v="4"/>
    <n v="0"/>
    <x v="11"/>
    <n v="0"/>
    <n v="0"/>
    <m/>
    <x v="5"/>
  </r>
  <r>
    <n v="2395"/>
    <d v="2025-06-10T00:00:00"/>
    <n v="41"/>
    <s v="Female"/>
    <s v="East"/>
    <x v="3"/>
    <m/>
    <n v="778.5"/>
    <n v="8"/>
    <n v="0"/>
    <x v="11"/>
    <n v="0"/>
    <n v="0"/>
    <m/>
    <x v="5"/>
  </r>
  <r>
    <n v="229"/>
    <d v="2025-06-10T00:00:00"/>
    <n v="18"/>
    <s v="Male"/>
    <s v="North"/>
    <x v="1"/>
    <s v="CAMP2"/>
    <n v="771.7"/>
    <n v="8"/>
    <n v="0"/>
    <x v="11"/>
    <n v="0"/>
    <n v="0"/>
    <m/>
    <x v="5"/>
  </r>
  <r>
    <n v="4109"/>
    <d v="2025-06-10T00:00:00"/>
    <n v="39"/>
    <s v="Female"/>
    <s v="West"/>
    <x v="0"/>
    <m/>
    <n v="725.8"/>
    <n v="3"/>
    <n v="0"/>
    <x v="11"/>
    <n v="0"/>
    <n v="0"/>
    <m/>
    <x v="5"/>
  </r>
  <r>
    <n v="3226"/>
    <d v="2025-06-10T00:00:00"/>
    <n v="34"/>
    <s v="Female"/>
    <s v="South"/>
    <x v="1"/>
    <s v="CAMP6"/>
    <n v="562.70000000000005"/>
    <n v="8"/>
    <n v="0"/>
    <x v="11"/>
    <n v="0"/>
    <n v="0"/>
    <m/>
    <x v="5"/>
  </r>
  <r>
    <n v="3341"/>
    <d v="2025-06-10T00:00:00"/>
    <n v="51"/>
    <s v="Male"/>
    <s v="North"/>
    <x v="1"/>
    <s v="CAMP3"/>
    <n v="515.20000000000005"/>
    <n v="7"/>
    <n v="0"/>
    <x v="11"/>
    <n v="0"/>
    <n v="0"/>
    <m/>
    <x v="5"/>
  </r>
  <r>
    <n v="281"/>
    <d v="2025-06-10T00:00:00"/>
    <n v="25"/>
    <s v="Female"/>
    <s v="East"/>
    <x v="1"/>
    <s v="CAMP2"/>
    <n v="512"/>
    <n v="2"/>
    <n v="0"/>
    <x v="11"/>
    <n v="0"/>
    <n v="0"/>
    <m/>
    <x v="5"/>
  </r>
  <r>
    <n v="3335"/>
    <d v="2025-06-10T00:00:00"/>
    <n v="27"/>
    <s v="Female"/>
    <s v="South"/>
    <x v="2"/>
    <m/>
    <n v="475.3"/>
    <n v="6"/>
    <n v="0"/>
    <x v="11"/>
    <n v="0"/>
    <n v="0"/>
    <m/>
    <x v="5"/>
  </r>
  <r>
    <n v="2510"/>
    <d v="2025-06-10T00:00:00"/>
    <n v="43"/>
    <s v="Male"/>
    <s v="East"/>
    <x v="0"/>
    <m/>
    <n v="474.9"/>
    <n v="6"/>
    <n v="0"/>
    <x v="11"/>
    <n v="0"/>
    <n v="0"/>
    <m/>
    <x v="5"/>
  </r>
  <r>
    <n v="490"/>
    <d v="2025-06-10T00:00:00"/>
    <n v="18"/>
    <s v="Female"/>
    <s v="East"/>
    <x v="0"/>
    <m/>
    <n v="380.5"/>
    <n v="5"/>
    <n v="0"/>
    <x v="11"/>
    <n v="0"/>
    <n v="0"/>
    <m/>
    <x v="5"/>
  </r>
  <r>
    <n v="4523"/>
    <d v="2025-06-10T00:00:00"/>
    <n v="60"/>
    <s v="Male"/>
    <s v="West"/>
    <x v="1"/>
    <s v="CAMP3"/>
    <n v="204.7"/>
    <n v="10"/>
    <n v="0"/>
    <x v="11"/>
    <n v="0"/>
    <n v="0"/>
    <m/>
    <x v="5"/>
  </r>
  <r>
    <n v="2758"/>
    <d v="2025-06-10T00:00:00"/>
    <n v="28"/>
    <s v="Female"/>
    <s v="West"/>
    <x v="0"/>
    <m/>
    <n v="185"/>
    <n v="9"/>
    <n v="0"/>
    <x v="11"/>
    <n v="0"/>
    <n v="0"/>
    <m/>
    <x v="5"/>
  </r>
  <r>
    <n v="906"/>
    <d v="2025-06-10T00:00:00"/>
    <n v="22"/>
    <s v="Male"/>
    <s v="East"/>
    <x v="0"/>
    <m/>
    <n v="161.9"/>
    <n v="6"/>
    <n v="0"/>
    <x v="11"/>
    <n v="0"/>
    <n v="0"/>
    <m/>
    <x v="5"/>
  </r>
  <r>
    <n v="1231"/>
    <d v="2025-06-10T00:00:00"/>
    <n v="23"/>
    <s v="Male"/>
    <s v="South"/>
    <x v="1"/>
    <s v="CAMP4"/>
    <n v="120"/>
    <n v="6"/>
    <n v="0"/>
    <x v="11"/>
    <n v="0"/>
    <n v="0"/>
    <m/>
    <x v="5"/>
  </r>
  <r>
    <n v="2263"/>
    <d v="2025-06-10T00:00:00"/>
    <n v="26"/>
    <s v="Male"/>
    <s v="East"/>
    <x v="1"/>
    <s v="CAMP5"/>
    <n v="112.3"/>
    <n v="7"/>
    <n v="0"/>
    <x v="11"/>
    <n v="0"/>
    <n v="0"/>
    <m/>
    <x v="5"/>
  </r>
  <r>
    <n v="2114"/>
    <d v="2025-06-10T00:00:00"/>
    <n v="47"/>
    <s v="Female"/>
    <s v="North"/>
    <x v="1"/>
    <s v="CAMP6"/>
    <n v="87.7"/>
    <n v="9"/>
    <n v="0"/>
    <x v="11"/>
    <n v="0"/>
    <n v="0"/>
    <m/>
    <x v="5"/>
  </r>
  <r>
    <n v="3575"/>
    <d v="2025-06-10T00:00:00"/>
    <n v="49"/>
    <s v="Female"/>
    <s v="South"/>
    <x v="1"/>
    <s v="CAMP6"/>
    <n v="75.599999999999994"/>
    <n v="7"/>
    <n v="0"/>
    <x v="11"/>
    <n v="0"/>
    <n v="0"/>
    <m/>
    <x v="5"/>
  </r>
  <r>
    <n v="459"/>
    <d v="2025-01-11T00:00:00"/>
    <n v="27"/>
    <s v="Male"/>
    <s v="South"/>
    <x v="0"/>
    <m/>
    <n v="53.8"/>
    <n v="4"/>
    <n v="1"/>
    <x v="588"/>
    <n v="3"/>
    <n v="3"/>
    <n v="5"/>
    <x v="0"/>
  </r>
  <r>
    <n v="4284"/>
    <d v="2025-01-11T00:00:00"/>
    <n v="45"/>
    <s v="Male"/>
    <s v="East"/>
    <x v="3"/>
    <m/>
    <n v="573.6"/>
    <n v="5"/>
    <n v="1"/>
    <x v="589"/>
    <n v="4"/>
    <n v="13"/>
    <n v="4"/>
    <x v="0"/>
  </r>
  <r>
    <n v="1941"/>
    <d v="2025-01-11T00:00:00"/>
    <n v="40"/>
    <s v="Female"/>
    <s v="North"/>
    <x v="1"/>
    <s v="CAMP5"/>
    <n v="433.7"/>
    <n v="8"/>
    <n v="1"/>
    <x v="590"/>
    <n v="3"/>
    <n v="5"/>
    <n v="5"/>
    <x v="0"/>
  </r>
  <r>
    <n v="2332"/>
    <d v="2025-01-11T00:00:00"/>
    <n v="26"/>
    <s v="Female"/>
    <s v="East"/>
    <x v="1"/>
    <s v="CAMP6"/>
    <n v="167.7"/>
    <n v="6"/>
    <n v="1"/>
    <x v="591"/>
    <n v="5"/>
    <n v="9"/>
    <n v="4"/>
    <x v="0"/>
  </r>
  <r>
    <n v="529"/>
    <d v="2025-01-11T00:00:00"/>
    <n v="27"/>
    <s v="Male"/>
    <s v="West"/>
    <x v="0"/>
    <m/>
    <n v="375.4"/>
    <n v="5"/>
    <n v="1"/>
    <x v="592"/>
    <n v="1"/>
    <n v="13"/>
    <n v="4"/>
    <x v="0"/>
  </r>
  <r>
    <n v="1622"/>
    <d v="2025-01-11T00:00:00"/>
    <n v="29"/>
    <s v="Female"/>
    <s v="East"/>
    <x v="1"/>
    <s v="CAMP1"/>
    <n v="527.79999999999995"/>
    <n v="3"/>
    <n v="1"/>
    <x v="593"/>
    <n v="4"/>
    <n v="4"/>
    <n v="4"/>
    <x v="0"/>
  </r>
  <r>
    <n v="3025"/>
    <d v="2025-01-11T00:00:00"/>
    <n v="30"/>
    <s v="Male"/>
    <s v="North"/>
    <x v="2"/>
    <m/>
    <n v="709.9"/>
    <n v="6"/>
    <n v="1"/>
    <x v="594"/>
    <n v="4"/>
    <n v="7"/>
    <n v="5"/>
    <x v="0"/>
  </r>
  <r>
    <n v="4010"/>
    <d v="2025-01-11T00:00:00"/>
    <n v="60"/>
    <s v="Female"/>
    <s v="East"/>
    <x v="1"/>
    <s v="CAMP5"/>
    <n v="166.1"/>
    <n v="9"/>
    <n v="1"/>
    <x v="595"/>
    <n v="1"/>
    <n v="9"/>
    <n v="4"/>
    <x v="0"/>
  </r>
  <r>
    <n v="3563"/>
    <d v="2025-01-11T00:00:00"/>
    <n v="30"/>
    <s v="Male"/>
    <s v="East"/>
    <x v="3"/>
    <m/>
    <n v="550.79999999999995"/>
    <n v="7"/>
    <n v="1"/>
    <x v="596"/>
    <n v="3"/>
    <n v="14"/>
    <n v="5"/>
    <x v="0"/>
  </r>
  <r>
    <n v="4361"/>
    <d v="2025-01-11T00:00:00"/>
    <n v="43"/>
    <s v="Male"/>
    <s v="South"/>
    <x v="0"/>
    <m/>
    <n v="759.7"/>
    <n v="6"/>
    <n v="1"/>
    <x v="597"/>
    <n v="2"/>
    <n v="7"/>
    <n v="4"/>
    <x v="0"/>
  </r>
  <r>
    <n v="1101"/>
    <d v="2025-01-11T00:00:00"/>
    <n v="24"/>
    <s v="Male"/>
    <s v="South"/>
    <x v="1"/>
    <s v="CAMP3"/>
    <n v="120"/>
    <n v="8"/>
    <n v="1"/>
    <x v="598"/>
    <n v="3"/>
    <n v="14"/>
    <n v="5"/>
    <x v="0"/>
  </r>
  <r>
    <n v="7"/>
    <d v="2025-01-11T00:00:00"/>
    <n v="24"/>
    <s v="Female"/>
    <s v="East"/>
    <x v="1"/>
    <s v="CAMP1"/>
    <n v="734"/>
    <n v="3"/>
    <n v="1"/>
    <x v="599"/>
    <n v="3"/>
    <n v="9"/>
    <n v="4"/>
    <x v="0"/>
  </r>
  <r>
    <n v="4892"/>
    <d v="2025-01-11T00:00:00"/>
    <n v="59"/>
    <s v="Male"/>
    <s v="West"/>
    <x v="0"/>
    <m/>
    <n v="840.5"/>
    <n v="8"/>
    <n v="0"/>
    <x v="11"/>
    <n v="0"/>
    <n v="0"/>
    <m/>
    <x v="0"/>
  </r>
  <r>
    <n v="617"/>
    <d v="2025-01-11T00:00:00"/>
    <n v="22"/>
    <s v="Male"/>
    <s v="West"/>
    <x v="1"/>
    <s v="CAMP4"/>
    <n v="608.79999999999995"/>
    <n v="8"/>
    <n v="0"/>
    <x v="11"/>
    <n v="0"/>
    <n v="0"/>
    <m/>
    <x v="0"/>
  </r>
  <r>
    <n v="1320"/>
    <d v="2025-01-11T00:00:00"/>
    <n v="21"/>
    <s v="Female"/>
    <s v="East"/>
    <x v="1"/>
    <s v="CAMP4"/>
    <n v="472.5"/>
    <n v="8"/>
    <n v="0"/>
    <x v="11"/>
    <n v="0"/>
    <n v="0"/>
    <m/>
    <x v="0"/>
  </r>
  <r>
    <n v="4237"/>
    <d v="2025-01-11T00:00:00"/>
    <n v="58"/>
    <s v="Female"/>
    <s v="North"/>
    <x v="1"/>
    <s v="CAMP2"/>
    <n v="347"/>
    <n v="6"/>
    <n v="0"/>
    <x v="11"/>
    <n v="0"/>
    <n v="0"/>
    <m/>
    <x v="0"/>
  </r>
  <r>
    <n v="4456"/>
    <d v="2025-01-11T00:00:00"/>
    <n v="52"/>
    <s v="Female"/>
    <s v="South"/>
    <x v="0"/>
    <m/>
    <n v="337.6"/>
    <n v="3"/>
    <n v="0"/>
    <x v="11"/>
    <n v="0"/>
    <n v="0"/>
    <m/>
    <x v="0"/>
  </r>
  <r>
    <n v="1414"/>
    <d v="2025-01-11T00:00:00"/>
    <n v="29"/>
    <s v="Male"/>
    <s v="South"/>
    <x v="0"/>
    <m/>
    <n v="324.39999999999998"/>
    <n v="7"/>
    <n v="0"/>
    <x v="11"/>
    <n v="0"/>
    <n v="0"/>
    <m/>
    <x v="0"/>
  </r>
  <r>
    <n v="4210"/>
    <d v="2025-01-11T00:00:00"/>
    <n v="45"/>
    <s v="Female"/>
    <s v="East"/>
    <x v="1"/>
    <s v="CAMP6"/>
    <n v="324"/>
    <n v="5"/>
    <n v="0"/>
    <x v="11"/>
    <n v="0"/>
    <n v="0"/>
    <m/>
    <x v="0"/>
  </r>
  <r>
    <n v="425"/>
    <d v="2025-01-11T00:00:00"/>
    <n v="22"/>
    <s v="Male"/>
    <s v="West"/>
    <x v="0"/>
    <m/>
    <n v="291.39999999999998"/>
    <n v="8"/>
    <n v="0"/>
    <x v="11"/>
    <n v="0"/>
    <n v="0"/>
    <m/>
    <x v="0"/>
  </r>
  <r>
    <n v="4086"/>
    <d v="2025-01-11T00:00:00"/>
    <n v="51"/>
    <s v="Male"/>
    <s v="East"/>
    <x v="2"/>
    <m/>
    <n v="279.10000000000002"/>
    <n v="7"/>
    <n v="0"/>
    <x v="11"/>
    <n v="0"/>
    <n v="0"/>
    <m/>
    <x v="0"/>
  </r>
  <r>
    <n v="2733"/>
    <d v="2025-01-11T00:00:00"/>
    <n v="42"/>
    <s v="Male"/>
    <s v="South"/>
    <x v="0"/>
    <m/>
    <n v="263.7"/>
    <n v="8"/>
    <n v="0"/>
    <x v="11"/>
    <n v="0"/>
    <n v="0"/>
    <m/>
    <x v="0"/>
  </r>
  <r>
    <n v="4793"/>
    <d v="2025-01-11T00:00:00"/>
    <n v="34"/>
    <s v="Female"/>
    <s v="North"/>
    <x v="0"/>
    <m/>
    <n v="210.9"/>
    <n v="7"/>
    <n v="0"/>
    <x v="11"/>
    <n v="0"/>
    <n v="0"/>
    <m/>
    <x v="0"/>
  </r>
  <r>
    <n v="3744"/>
    <d v="2025-01-11T00:00:00"/>
    <n v="42"/>
    <s v="Female"/>
    <s v="South"/>
    <x v="0"/>
    <m/>
    <n v="184.7"/>
    <n v="5"/>
    <n v="0"/>
    <x v="11"/>
    <n v="0"/>
    <n v="0"/>
    <m/>
    <x v="0"/>
  </r>
  <r>
    <n v="1717"/>
    <d v="2025-01-11T00:00:00"/>
    <n v="32"/>
    <s v="Female"/>
    <s v="East"/>
    <x v="0"/>
    <m/>
    <n v="179.3"/>
    <n v="4"/>
    <n v="0"/>
    <x v="11"/>
    <n v="0"/>
    <n v="0"/>
    <m/>
    <x v="0"/>
  </r>
  <r>
    <n v="1521"/>
    <d v="2025-01-11T00:00:00"/>
    <n v="30"/>
    <s v="Male"/>
    <s v="West"/>
    <x v="1"/>
    <s v="CAMP1"/>
    <n v="176.5"/>
    <n v="8"/>
    <n v="0"/>
    <x v="11"/>
    <n v="0"/>
    <n v="0"/>
    <m/>
    <x v="0"/>
  </r>
  <r>
    <n v="2678"/>
    <d v="2025-01-11T00:00:00"/>
    <n v="33"/>
    <s v="Female"/>
    <s v="West"/>
    <x v="1"/>
    <s v="CAMP2"/>
    <n v="170.4"/>
    <n v="6"/>
    <n v="0"/>
    <x v="11"/>
    <n v="0"/>
    <n v="0"/>
    <m/>
    <x v="0"/>
  </r>
  <r>
    <n v="1999"/>
    <d v="2025-01-11T00:00:00"/>
    <n v="24"/>
    <s v="Female"/>
    <s v="North"/>
    <x v="1"/>
    <s v="CAMP4"/>
    <n v="166.8"/>
    <n v="4"/>
    <n v="0"/>
    <x v="11"/>
    <n v="0"/>
    <n v="0"/>
    <m/>
    <x v="0"/>
  </r>
  <r>
    <n v="1715"/>
    <d v="2025-01-11T00:00:00"/>
    <n v="30"/>
    <s v="Female"/>
    <s v="South"/>
    <x v="3"/>
    <m/>
    <n v="164.6"/>
    <n v="5"/>
    <n v="0"/>
    <x v="11"/>
    <n v="0"/>
    <n v="0"/>
    <m/>
    <x v="0"/>
  </r>
  <r>
    <n v="3165"/>
    <d v="2025-01-11T00:00:00"/>
    <n v="20"/>
    <s v="Male"/>
    <s v="West"/>
    <x v="0"/>
    <m/>
    <n v="126.5"/>
    <n v="5"/>
    <n v="0"/>
    <x v="11"/>
    <n v="0"/>
    <n v="0"/>
    <m/>
    <x v="0"/>
  </r>
  <r>
    <n v="2449"/>
    <d v="2025-01-11T00:00:00"/>
    <n v="19"/>
    <s v="Female"/>
    <s v="East"/>
    <x v="0"/>
    <m/>
    <n v="116.7"/>
    <n v="6"/>
    <n v="0"/>
    <x v="11"/>
    <n v="0"/>
    <n v="0"/>
    <m/>
    <x v="0"/>
  </r>
  <r>
    <n v="3234"/>
    <d v="2025-01-11T00:00:00"/>
    <n v="38"/>
    <s v="Male"/>
    <s v="South"/>
    <x v="0"/>
    <m/>
    <n v="46"/>
    <n v="6"/>
    <n v="0"/>
    <x v="11"/>
    <n v="0"/>
    <n v="0"/>
    <m/>
    <x v="0"/>
  </r>
  <r>
    <n v="1232"/>
    <d v="2025-02-11T00:00:00"/>
    <n v="20"/>
    <s v="Female"/>
    <s v="East"/>
    <x v="1"/>
    <s v="CAMP6"/>
    <n v="402"/>
    <n v="7"/>
    <n v="1"/>
    <x v="600"/>
    <n v="3"/>
    <n v="15"/>
    <n v="5"/>
    <x v="1"/>
  </r>
  <r>
    <n v="125"/>
    <d v="2025-02-11T00:00:00"/>
    <n v="26"/>
    <s v="Female"/>
    <s v="West"/>
    <x v="2"/>
    <m/>
    <n v="1345.2"/>
    <n v="4"/>
    <n v="1"/>
    <x v="601"/>
    <n v="1"/>
    <n v="3"/>
    <n v="4"/>
    <x v="1"/>
  </r>
  <r>
    <n v="1033"/>
    <d v="2025-02-11T00:00:00"/>
    <n v="18"/>
    <s v="Female"/>
    <s v="South"/>
    <x v="1"/>
    <s v="CAMP6"/>
    <n v="234.7"/>
    <n v="6"/>
    <n v="1"/>
    <x v="602"/>
    <n v="3"/>
    <n v="3"/>
    <n v="5"/>
    <x v="1"/>
  </r>
  <r>
    <n v="3955"/>
    <d v="2025-02-11T00:00:00"/>
    <n v="63"/>
    <s v="Male"/>
    <s v="South"/>
    <x v="0"/>
    <m/>
    <n v="245.8"/>
    <n v="6"/>
    <n v="1"/>
    <x v="603"/>
    <n v="2"/>
    <n v="8"/>
    <n v="4"/>
    <x v="1"/>
  </r>
  <r>
    <n v="543"/>
    <d v="2025-02-11T00:00:00"/>
    <n v="25"/>
    <s v="Female"/>
    <s v="South"/>
    <x v="1"/>
    <s v="CAMP1"/>
    <n v="110.3"/>
    <n v="4"/>
    <n v="1"/>
    <x v="472"/>
    <n v="2"/>
    <n v="1"/>
    <n v="5"/>
    <x v="1"/>
  </r>
  <r>
    <n v="1095"/>
    <d v="2025-02-11T00:00:00"/>
    <n v="36"/>
    <s v="Male"/>
    <s v="East"/>
    <x v="2"/>
    <m/>
    <n v="204.6"/>
    <n v="8"/>
    <n v="1"/>
    <x v="604"/>
    <n v="2"/>
    <n v="6"/>
    <n v="3"/>
    <x v="1"/>
  </r>
  <r>
    <n v="1555"/>
    <d v="2025-02-11T00:00:00"/>
    <n v="24"/>
    <s v="Female"/>
    <s v="North"/>
    <x v="0"/>
    <m/>
    <n v="558.9"/>
    <n v="4"/>
    <n v="1"/>
    <x v="605"/>
    <n v="1"/>
    <n v="13"/>
    <n v="4"/>
    <x v="1"/>
  </r>
  <r>
    <n v="1333"/>
    <d v="2025-02-11T00:00:00"/>
    <n v="23"/>
    <s v="Male"/>
    <s v="North"/>
    <x v="1"/>
    <s v="CAMP5"/>
    <n v="1675.6"/>
    <n v="4"/>
    <n v="1"/>
    <x v="597"/>
    <n v="6"/>
    <n v="13"/>
    <n v="4"/>
    <x v="1"/>
  </r>
  <r>
    <n v="109"/>
    <d v="2025-02-11T00:00:00"/>
    <n v="21"/>
    <s v="Male"/>
    <s v="South"/>
    <x v="2"/>
    <m/>
    <n v="302.2"/>
    <n v="12"/>
    <n v="1"/>
    <x v="606"/>
    <n v="2"/>
    <n v="5"/>
    <n v="3"/>
    <x v="1"/>
  </r>
  <r>
    <n v="745"/>
    <d v="2025-02-11T00:00:00"/>
    <n v="21"/>
    <s v="Male"/>
    <s v="East"/>
    <x v="3"/>
    <m/>
    <n v="180.8"/>
    <n v="10"/>
    <n v="1"/>
    <x v="607"/>
    <n v="3"/>
    <n v="11"/>
    <n v="3"/>
    <x v="1"/>
  </r>
  <r>
    <n v="3535"/>
    <d v="2025-02-11T00:00:00"/>
    <n v="18"/>
    <s v="Female"/>
    <s v="North"/>
    <x v="3"/>
    <m/>
    <n v="518.29999999999995"/>
    <n v="6"/>
    <n v="1"/>
    <x v="608"/>
    <n v="5"/>
    <n v="8"/>
    <n v="4"/>
    <x v="1"/>
  </r>
  <r>
    <n v="881"/>
    <d v="2025-02-11T00:00:00"/>
    <n v="21"/>
    <s v="Male"/>
    <s v="South"/>
    <x v="0"/>
    <m/>
    <n v="879.8"/>
    <n v="6"/>
    <n v="0"/>
    <x v="11"/>
    <n v="0"/>
    <n v="0"/>
    <m/>
    <x v="1"/>
  </r>
  <r>
    <n v="777"/>
    <d v="2025-02-11T00:00:00"/>
    <n v="29"/>
    <s v="Female"/>
    <s v="South"/>
    <x v="1"/>
    <s v="CAMP5"/>
    <n v="702.5"/>
    <n v="4"/>
    <n v="0"/>
    <x v="11"/>
    <n v="0"/>
    <n v="0"/>
    <m/>
    <x v="1"/>
  </r>
  <r>
    <n v="4082"/>
    <d v="2025-02-11T00:00:00"/>
    <n v="40"/>
    <s v="Male"/>
    <s v="East"/>
    <x v="1"/>
    <s v="CAMP2"/>
    <n v="564.4"/>
    <n v="3"/>
    <n v="0"/>
    <x v="11"/>
    <n v="0"/>
    <n v="0"/>
    <m/>
    <x v="1"/>
  </r>
  <r>
    <n v="3437"/>
    <d v="2025-02-11T00:00:00"/>
    <n v="40"/>
    <s v="Female"/>
    <s v="East"/>
    <x v="0"/>
    <m/>
    <n v="563.20000000000005"/>
    <n v="7"/>
    <n v="0"/>
    <x v="11"/>
    <n v="0"/>
    <n v="0"/>
    <m/>
    <x v="1"/>
  </r>
  <r>
    <n v="2567"/>
    <d v="2025-02-11T00:00:00"/>
    <n v="25"/>
    <s v="Male"/>
    <s v="West"/>
    <x v="1"/>
    <s v="CAMP4"/>
    <n v="550.29999999999995"/>
    <n v="12"/>
    <n v="0"/>
    <x v="11"/>
    <n v="0"/>
    <n v="0"/>
    <m/>
    <x v="1"/>
  </r>
  <r>
    <n v="1581"/>
    <d v="2025-02-11T00:00:00"/>
    <n v="29"/>
    <s v="Male"/>
    <s v="West"/>
    <x v="2"/>
    <m/>
    <n v="506.6"/>
    <n v="8"/>
    <n v="0"/>
    <x v="11"/>
    <n v="0"/>
    <n v="0"/>
    <m/>
    <x v="1"/>
  </r>
  <r>
    <n v="4565"/>
    <d v="2025-02-11T00:00:00"/>
    <n v="60"/>
    <s v="Female"/>
    <s v="West"/>
    <x v="0"/>
    <m/>
    <n v="414.9"/>
    <n v="4"/>
    <n v="0"/>
    <x v="11"/>
    <n v="0"/>
    <n v="0"/>
    <m/>
    <x v="1"/>
  </r>
  <r>
    <n v="3597"/>
    <d v="2025-02-11T00:00:00"/>
    <n v="29"/>
    <s v="Female"/>
    <s v="West"/>
    <x v="1"/>
    <s v="CAMP3"/>
    <n v="394.1"/>
    <n v="6"/>
    <n v="0"/>
    <x v="11"/>
    <n v="0"/>
    <n v="0"/>
    <m/>
    <x v="1"/>
  </r>
  <r>
    <n v="2728"/>
    <d v="2025-02-11T00:00:00"/>
    <n v="41"/>
    <s v="Male"/>
    <s v="South"/>
    <x v="0"/>
    <m/>
    <n v="301.60000000000002"/>
    <n v="3"/>
    <n v="0"/>
    <x v="11"/>
    <n v="0"/>
    <n v="0"/>
    <m/>
    <x v="1"/>
  </r>
  <r>
    <n v="4020"/>
    <d v="2025-02-11T00:00:00"/>
    <n v="66"/>
    <s v="Male"/>
    <s v="South"/>
    <x v="3"/>
    <m/>
    <n v="299.60000000000002"/>
    <n v="9"/>
    <n v="0"/>
    <x v="11"/>
    <n v="0"/>
    <n v="0"/>
    <m/>
    <x v="1"/>
  </r>
  <r>
    <n v="3215"/>
    <d v="2025-02-11T00:00:00"/>
    <n v="44"/>
    <s v="Female"/>
    <s v="South"/>
    <x v="0"/>
    <m/>
    <n v="298.5"/>
    <n v="7"/>
    <n v="0"/>
    <x v="11"/>
    <n v="0"/>
    <n v="0"/>
    <m/>
    <x v="1"/>
  </r>
  <r>
    <n v="3521"/>
    <d v="2025-02-11T00:00:00"/>
    <n v="26"/>
    <s v="Male"/>
    <s v="East"/>
    <x v="3"/>
    <m/>
    <n v="295.10000000000002"/>
    <n v="4"/>
    <n v="0"/>
    <x v="11"/>
    <n v="0"/>
    <n v="0"/>
    <m/>
    <x v="1"/>
  </r>
  <r>
    <n v="3880"/>
    <d v="2025-02-11T00:00:00"/>
    <n v="59"/>
    <s v="Female"/>
    <s v="South"/>
    <x v="1"/>
    <s v="CAMP3"/>
    <n v="288.8"/>
    <n v="7"/>
    <n v="0"/>
    <x v="11"/>
    <n v="0"/>
    <n v="0"/>
    <m/>
    <x v="1"/>
  </r>
  <r>
    <n v="3419"/>
    <d v="2025-02-11T00:00:00"/>
    <n v="29"/>
    <s v="Female"/>
    <s v="South"/>
    <x v="0"/>
    <m/>
    <n v="284.8"/>
    <n v="11"/>
    <n v="0"/>
    <x v="11"/>
    <n v="0"/>
    <n v="0"/>
    <m/>
    <x v="1"/>
  </r>
  <r>
    <n v="1090"/>
    <d v="2025-02-11T00:00:00"/>
    <n v="31"/>
    <s v="Female"/>
    <s v="South"/>
    <x v="0"/>
    <m/>
    <n v="219.3"/>
    <n v="5"/>
    <n v="0"/>
    <x v="11"/>
    <n v="0"/>
    <n v="0"/>
    <m/>
    <x v="1"/>
  </r>
  <r>
    <n v="1047"/>
    <d v="2025-02-11T00:00:00"/>
    <n v="26"/>
    <s v="Male"/>
    <s v="East"/>
    <x v="3"/>
    <m/>
    <n v="204.4"/>
    <n v="10"/>
    <n v="0"/>
    <x v="11"/>
    <n v="0"/>
    <n v="0"/>
    <m/>
    <x v="1"/>
  </r>
  <r>
    <n v="2822"/>
    <d v="2025-02-11T00:00:00"/>
    <n v="48"/>
    <s v="Male"/>
    <s v="East"/>
    <x v="0"/>
    <m/>
    <n v="197.5"/>
    <n v="6"/>
    <n v="0"/>
    <x v="11"/>
    <n v="0"/>
    <n v="0"/>
    <m/>
    <x v="1"/>
  </r>
  <r>
    <n v="2911"/>
    <d v="2025-02-11T00:00:00"/>
    <n v="35"/>
    <s v="Male"/>
    <s v="South"/>
    <x v="0"/>
    <m/>
    <n v="173.5"/>
    <n v="10"/>
    <n v="0"/>
    <x v="11"/>
    <n v="0"/>
    <n v="0"/>
    <m/>
    <x v="1"/>
  </r>
  <r>
    <n v="4598"/>
    <d v="2025-02-11T00:00:00"/>
    <n v="56"/>
    <s v="Female"/>
    <s v="North"/>
    <x v="1"/>
    <s v="CAMP1"/>
    <n v="89.9"/>
    <n v="6"/>
    <n v="0"/>
    <x v="11"/>
    <n v="0"/>
    <n v="0"/>
    <m/>
    <x v="1"/>
  </r>
  <r>
    <n v="4745"/>
    <d v="2025-02-11T00:00:00"/>
    <n v="39"/>
    <s v="Male"/>
    <s v="East"/>
    <x v="2"/>
    <m/>
    <n v="81.8"/>
    <n v="8"/>
    <n v="0"/>
    <x v="11"/>
    <n v="0"/>
    <n v="0"/>
    <m/>
    <x v="1"/>
  </r>
  <r>
    <n v="4372"/>
    <d v="2025-03-11T00:00:00"/>
    <n v="41"/>
    <s v="Male"/>
    <s v="West"/>
    <x v="1"/>
    <s v="CAMP7"/>
    <n v="389.9"/>
    <n v="3"/>
    <n v="1"/>
    <x v="609"/>
    <n v="1"/>
    <n v="12"/>
    <n v="5"/>
    <x v="2"/>
  </r>
  <r>
    <n v="2751"/>
    <d v="2025-03-11T00:00:00"/>
    <n v="33"/>
    <s v="Male"/>
    <s v="South"/>
    <x v="1"/>
    <s v="CAMP6"/>
    <n v="512.1"/>
    <n v="9"/>
    <n v="1"/>
    <x v="610"/>
    <n v="1"/>
    <n v="14"/>
    <n v="4"/>
    <x v="2"/>
  </r>
  <r>
    <n v="4264"/>
    <d v="2025-03-11T00:00:00"/>
    <n v="46"/>
    <s v="Male"/>
    <s v="West"/>
    <x v="2"/>
    <m/>
    <n v="484.7"/>
    <n v="3"/>
    <n v="1"/>
    <x v="611"/>
    <n v="4"/>
    <n v="10"/>
    <n v="4"/>
    <x v="2"/>
  </r>
  <r>
    <n v="3287"/>
    <d v="2025-03-11T00:00:00"/>
    <n v="36"/>
    <s v="Female"/>
    <s v="East"/>
    <x v="1"/>
    <s v="CAMP7"/>
    <n v="755.3"/>
    <n v="5"/>
    <n v="1"/>
    <x v="612"/>
    <n v="2"/>
    <n v="12"/>
    <n v="4"/>
    <x v="2"/>
  </r>
  <r>
    <n v="361"/>
    <d v="2025-03-11T00:00:00"/>
    <n v="20"/>
    <s v="Female"/>
    <s v="North"/>
    <x v="1"/>
    <s v="CAMP2"/>
    <n v="604"/>
    <n v="5"/>
    <n v="1"/>
    <x v="613"/>
    <n v="4"/>
    <n v="2"/>
    <n v="4"/>
    <x v="2"/>
  </r>
  <r>
    <n v="2630"/>
    <d v="2025-03-11T00:00:00"/>
    <n v="24"/>
    <s v="Female"/>
    <s v="North"/>
    <x v="3"/>
    <m/>
    <n v="171.5"/>
    <n v="9"/>
    <n v="1"/>
    <x v="614"/>
    <n v="2"/>
    <n v="8"/>
    <n v="5"/>
    <x v="2"/>
  </r>
  <r>
    <n v="2494"/>
    <d v="2025-03-11T00:00:00"/>
    <n v="32"/>
    <s v="Male"/>
    <s v="North"/>
    <x v="2"/>
    <m/>
    <n v="906.5"/>
    <n v="6"/>
    <n v="1"/>
    <x v="615"/>
    <n v="4"/>
    <n v="4"/>
    <n v="4"/>
    <x v="2"/>
  </r>
  <r>
    <n v="252"/>
    <d v="2025-03-11T00:00:00"/>
    <n v="18"/>
    <s v="Male"/>
    <s v="East"/>
    <x v="0"/>
    <m/>
    <n v="350.8"/>
    <n v="6"/>
    <n v="1"/>
    <x v="616"/>
    <n v="3"/>
    <n v="12"/>
    <n v="4"/>
    <x v="2"/>
  </r>
  <r>
    <n v="3688"/>
    <d v="2025-03-11T00:00:00"/>
    <n v="38"/>
    <s v="Male"/>
    <s v="North"/>
    <x v="0"/>
    <m/>
    <n v="1510"/>
    <n v="8"/>
    <n v="1"/>
    <x v="617"/>
    <n v="3"/>
    <n v="15"/>
    <n v="5"/>
    <x v="2"/>
  </r>
  <r>
    <n v="178"/>
    <d v="2025-03-11T00:00:00"/>
    <n v="20"/>
    <s v="Other"/>
    <s v="West"/>
    <x v="2"/>
    <m/>
    <n v="881.2"/>
    <n v="6"/>
    <n v="1"/>
    <x v="618"/>
    <n v="2"/>
    <n v="5"/>
    <n v="3"/>
    <x v="2"/>
  </r>
  <r>
    <n v="1077"/>
    <d v="2025-03-11T00:00:00"/>
    <n v="26"/>
    <s v="Female"/>
    <s v="North"/>
    <x v="2"/>
    <m/>
    <n v="577.6"/>
    <n v="4"/>
    <n v="1"/>
    <x v="619"/>
    <n v="4"/>
    <n v="3"/>
    <n v="4"/>
    <x v="2"/>
  </r>
  <r>
    <n v="366"/>
    <d v="2025-03-11T00:00:00"/>
    <n v="29"/>
    <s v="Female"/>
    <s v="East"/>
    <x v="2"/>
    <m/>
    <n v="819.7"/>
    <n v="3"/>
    <n v="0"/>
    <x v="11"/>
    <n v="0"/>
    <n v="0"/>
    <m/>
    <x v="2"/>
  </r>
  <r>
    <n v="4895"/>
    <d v="2025-03-11T00:00:00"/>
    <n v="45"/>
    <s v="Male"/>
    <s v="East"/>
    <x v="0"/>
    <m/>
    <n v="404.5"/>
    <n v="4"/>
    <n v="0"/>
    <x v="11"/>
    <n v="0"/>
    <n v="0"/>
    <m/>
    <x v="2"/>
  </r>
  <r>
    <n v="3518"/>
    <d v="2025-03-11T00:00:00"/>
    <n v="24"/>
    <s v="Male"/>
    <s v="West"/>
    <x v="3"/>
    <m/>
    <n v="395.8"/>
    <n v="3"/>
    <n v="0"/>
    <x v="11"/>
    <n v="0"/>
    <n v="0"/>
    <m/>
    <x v="2"/>
  </r>
  <r>
    <n v="61"/>
    <d v="2025-03-11T00:00:00"/>
    <n v="25"/>
    <s v="Female"/>
    <s v="East"/>
    <x v="0"/>
    <m/>
    <n v="380.8"/>
    <n v="6"/>
    <n v="0"/>
    <x v="11"/>
    <n v="0"/>
    <n v="0"/>
    <m/>
    <x v="2"/>
  </r>
  <r>
    <n v="2417"/>
    <d v="2025-03-11T00:00:00"/>
    <n v="19"/>
    <s v="Male"/>
    <s v="West"/>
    <x v="0"/>
    <m/>
    <n v="373.7"/>
    <n v="5"/>
    <n v="0"/>
    <x v="11"/>
    <n v="0"/>
    <n v="0"/>
    <m/>
    <x v="2"/>
  </r>
  <r>
    <n v="2437"/>
    <d v="2025-03-11T00:00:00"/>
    <n v="42"/>
    <s v="Male"/>
    <s v="East"/>
    <x v="0"/>
    <m/>
    <n v="321.39999999999998"/>
    <n v="6"/>
    <n v="0"/>
    <x v="11"/>
    <n v="0"/>
    <n v="0"/>
    <m/>
    <x v="2"/>
  </r>
  <r>
    <n v="2336"/>
    <d v="2025-03-11T00:00:00"/>
    <n v="34"/>
    <s v="Male"/>
    <s v="East"/>
    <x v="0"/>
    <m/>
    <n v="269.8"/>
    <n v="8"/>
    <n v="0"/>
    <x v="11"/>
    <n v="0"/>
    <n v="0"/>
    <m/>
    <x v="2"/>
  </r>
  <r>
    <n v="2272"/>
    <d v="2025-03-11T00:00:00"/>
    <n v="25"/>
    <s v="Female"/>
    <s v="East"/>
    <x v="0"/>
    <m/>
    <n v="216.6"/>
    <n v="4"/>
    <n v="0"/>
    <x v="11"/>
    <n v="0"/>
    <n v="0"/>
    <m/>
    <x v="2"/>
  </r>
  <r>
    <n v="2420"/>
    <d v="2025-03-11T00:00:00"/>
    <n v="44"/>
    <s v="Male"/>
    <s v="South"/>
    <x v="0"/>
    <m/>
    <n v="200"/>
    <n v="6"/>
    <n v="0"/>
    <x v="11"/>
    <n v="0"/>
    <n v="0"/>
    <m/>
    <x v="2"/>
  </r>
  <r>
    <n v="3834"/>
    <d v="2025-03-11T00:00:00"/>
    <n v="56"/>
    <s v="Female"/>
    <s v="North"/>
    <x v="2"/>
    <m/>
    <n v="182.6"/>
    <n v="7"/>
    <n v="0"/>
    <x v="11"/>
    <n v="0"/>
    <n v="0"/>
    <m/>
    <x v="2"/>
  </r>
  <r>
    <n v="4655"/>
    <d v="2025-03-11T00:00:00"/>
    <n v="46"/>
    <s v="Male"/>
    <s v="North"/>
    <x v="1"/>
    <s v="CAMP2"/>
    <n v="166.6"/>
    <n v="6"/>
    <n v="0"/>
    <x v="11"/>
    <n v="0"/>
    <n v="0"/>
    <m/>
    <x v="2"/>
  </r>
  <r>
    <n v="4166"/>
    <d v="2025-03-11T00:00:00"/>
    <n v="58"/>
    <s v="Male"/>
    <s v="East"/>
    <x v="1"/>
    <s v="CAMP3"/>
    <n v="147.30000000000001"/>
    <n v="5"/>
    <n v="0"/>
    <x v="11"/>
    <n v="0"/>
    <n v="0"/>
    <m/>
    <x v="2"/>
  </r>
  <r>
    <n v="2975"/>
    <d v="2025-03-11T00:00:00"/>
    <n v="26"/>
    <s v="Female"/>
    <s v="South"/>
    <x v="1"/>
    <s v="CAMP7"/>
    <n v="115.5"/>
    <n v="13"/>
    <n v="0"/>
    <x v="11"/>
    <n v="0"/>
    <n v="0"/>
    <m/>
    <x v="2"/>
  </r>
  <r>
    <n v="1964"/>
    <d v="2025-03-11T00:00:00"/>
    <n v="32"/>
    <s v="Female"/>
    <s v="East"/>
    <x v="1"/>
    <s v="CAMP2"/>
    <n v="108.5"/>
    <n v="6"/>
    <n v="0"/>
    <x v="11"/>
    <n v="0"/>
    <n v="0"/>
    <m/>
    <x v="2"/>
  </r>
  <r>
    <n v="1489"/>
    <d v="2025-03-11T00:00:00"/>
    <n v="22"/>
    <s v="Male"/>
    <s v="West"/>
    <x v="0"/>
    <m/>
    <n v="103.9"/>
    <n v="3"/>
    <n v="0"/>
    <x v="11"/>
    <n v="0"/>
    <n v="0"/>
    <m/>
    <x v="2"/>
  </r>
  <r>
    <n v="747"/>
    <d v="2025-03-11T00:00:00"/>
    <n v="18"/>
    <s v="Female"/>
    <s v="East"/>
    <x v="2"/>
    <m/>
    <n v="60.5"/>
    <n v="7"/>
    <n v="0"/>
    <x v="11"/>
    <n v="0"/>
    <n v="0"/>
    <m/>
    <x v="2"/>
  </r>
  <r>
    <n v="4054"/>
    <d v="2025-04-11T00:00:00"/>
    <n v="72"/>
    <s v="Female"/>
    <s v="East"/>
    <x v="2"/>
    <m/>
    <n v="179.3"/>
    <n v="6"/>
    <n v="1"/>
    <x v="620"/>
    <n v="2"/>
    <n v="2"/>
    <n v="4"/>
    <x v="3"/>
  </r>
  <r>
    <n v="686"/>
    <d v="2025-04-11T00:00:00"/>
    <n v="21"/>
    <s v="Female"/>
    <s v="South"/>
    <x v="2"/>
    <m/>
    <n v="971.2"/>
    <n v="6"/>
    <n v="1"/>
    <x v="621"/>
    <n v="3"/>
    <n v="15"/>
    <n v="5"/>
    <x v="3"/>
  </r>
  <r>
    <n v="452"/>
    <d v="2025-04-11T00:00:00"/>
    <n v="22"/>
    <s v="Male"/>
    <s v="East"/>
    <x v="0"/>
    <m/>
    <n v="585.4"/>
    <n v="6"/>
    <n v="1"/>
    <x v="622"/>
    <n v="3"/>
    <n v="6"/>
    <n v="4"/>
    <x v="3"/>
  </r>
  <r>
    <n v="3617"/>
    <d v="2025-04-11T00:00:00"/>
    <n v="28"/>
    <s v="Male"/>
    <s v="South"/>
    <x v="0"/>
    <m/>
    <n v="611.5"/>
    <n v="9"/>
    <n v="1"/>
    <x v="623"/>
    <n v="4"/>
    <n v="4"/>
    <n v="2"/>
    <x v="3"/>
  </r>
  <r>
    <n v="2194"/>
    <d v="2025-04-11T00:00:00"/>
    <n v="26"/>
    <s v="Female"/>
    <s v="South"/>
    <x v="1"/>
    <s v="CAMP5"/>
    <n v="598.6"/>
    <n v="4"/>
    <n v="1"/>
    <x v="624"/>
    <n v="4"/>
    <n v="3"/>
    <n v="5"/>
    <x v="3"/>
  </r>
  <r>
    <n v="2453"/>
    <d v="2025-04-11T00:00:00"/>
    <n v="28"/>
    <s v="Female"/>
    <s v="South"/>
    <x v="1"/>
    <s v="CAMP5"/>
    <n v="160.4"/>
    <n v="7"/>
    <n v="1"/>
    <x v="625"/>
    <n v="7"/>
    <n v="9"/>
    <n v="5"/>
    <x v="3"/>
  </r>
  <r>
    <n v="4386"/>
    <d v="2025-04-11T00:00:00"/>
    <n v="48"/>
    <s v="Male"/>
    <s v="South"/>
    <x v="0"/>
    <m/>
    <n v="84.5"/>
    <n v="10"/>
    <n v="1"/>
    <x v="626"/>
    <n v="2"/>
    <n v="8"/>
    <n v="4"/>
    <x v="3"/>
  </r>
  <r>
    <n v="3388"/>
    <d v="2025-04-11T00:00:00"/>
    <n v="31"/>
    <s v="Male"/>
    <s v="East"/>
    <x v="3"/>
    <m/>
    <n v="683.8"/>
    <n v="11"/>
    <n v="0"/>
    <x v="11"/>
    <n v="0"/>
    <n v="0"/>
    <m/>
    <x v="3"/>
  </r>
  <r>
    <n v="3303"/>
    <d v="2025-04-11T00:00:00"/>
    <n v="41"/>
    <s v="Male"/>
    <s v="North"/>
    <x v="0"/>
    <m/>
    <n v="592.20000000000005"/>
    <n v="5"/>
    <n v="0"/>
    <x v="11"/>
    <n v="0"/>
    <n v="0"/>
    <m/>
    <x v="3"/>
  </r>
  <r>
    <n v="256"/>
    <d v="2025-04-11T00:00:00"/>
    <n v="18"/>
    <s v="Female"/>
    <s v="West"/>
    <x v="0"/>
    <m/>
    <n v="459.8"/>
    <n v="7"/>
    <n v="0"/>
    <x v="11"/>
    <n v="0"/>
    <n v="0"/>
    <m/>
    <x v="3"/>
  </r>
  <r>
    <n v="3268"/>
    <d v="2025-04-11T00:00:00"/>
    <n v="44"/>
    <s v="Male"/>
    <s v="East"/>
    <x v="3"/>
    <m/>
    <n v="386.1"/>
    <n v="10"/>
    <n v="0"/>
    <x v="11"/>
    <n v="0"/>
    <n v="0"/>
    <m/>
    <x v="3"/>
  </r>
  <r>
    <n v="2368"/>
    <d v="2025-04-11T00:00:00"/>
    <n v="35"/>
    <s v="Female"/>
    <s v="South"/>
    <x v="1"/>
    <s v="CAMP5"/>
    <n v="335.8"/>
    <n v="9"/>
    <n v="0"/>
    <x v="11"/>
    <n v="0"/>
    <n v="0"/>
    <m/>
    <x v="3"/>
  </r>
  <r>
    <n v="3879"/>
    <d v="2025-04-11T00:00:00"/>
    <n v="56"/>
    <s v="Female"/>
    <s v="North"/>
    <x v="1"/>
    <s v="CAMP5"/>
    <n v="313"/>
    <n v="6"/>
    <n v="0"/>
    <x v="11"/>
    <n v="0"/>
    <n v="0"/>
    <m/>
    <x v="3"/>
  </r>
  <r>
    <n v="1619"/>
    <d v="2025-04-11T00:00:00"/>
    <n v="20"/>
    <s v="Male"/>
    <s v="East"/>
    <x v="0"/>
    <m/>
    <n v="283.8"/>
    <n v="4"/>
    <n v="0"/>
    <x v="11"/>
    <n v="0"/>
    <n v="0"/>
    <m/>
    <x v="3"/>
  </r>
  <r>
    <n v="1933"/>
    <d v="2025-04-11T00:00:00"/>
    <n v="45"/>
    <s v="Male"/>
    <s v="West"/>
    <x v="0"/>
    <m/>
    <n v="275.3"/>
    <n v="5"/>
    <n v="0"/>
    <x v="11"/>
    <n v="0"/>
    <n v="0"/>
    <m/>
    <x v="3"/>
  </r>
  <r>
    <n v="1283"/>
    <d v="2025-04-11T00:00:00"/>
    <n v="40"/>
    <s v="Female"/>
    <s v="North"/>
    <x v="1"/>
    <s v="CAMP7"/>
    <n v="256.10000000000002"/>
    <n v="5"/>
    <n v="0"/>
    <x v="11"/>
    <n v="0"/>
    <n v="0"/>
    <m/>
    <x v="3"/>
  </r>
  <r>
    <n v="866"/>
    <d v="2025-04-11T00:00:00"/>
    <n v="28"/>
    <s v="Female"/>
    <s v="West"/>
    <x v="0"/>
    <m/>
    <n v="243.4"/>
    <n v="3"/>
    <n v="0"/>
    <x v="11"/>
    <n v="0"/>
    <n v="0"/>
    <m/>
    <x v="3"/>
  </r>
  <r>
    <n v="4232"/>
    <d v="2025-04-11T00:00:00"/>
    <n v="42"/>
    <s v="Male"/>
    <s v="East"/>
    <x v="3"/>
    <m/>
    <n v="228.4"/>
    <n v="5"/>
    <n v="0"/>
    <x v="11"/>
    <n v="0"/>
    <n v="0"/>
    <m/>
    <x v="3"/>
  </r>
  <r>
    <n v="2022"/>
    <d v="2025-04-11T00:00:00"/>
    <n v="24"/>
    <s v="Female"/>
    <s v="East"/>
    <x v="3"/>
    <m/>
    <n v="159.30000000000001"/>
    <n v="6"/>
    <n v="0"/>
    <x v="11"/>
    <n v="0"/>
    <n v="0"/>
    <m/>
    <x v="3"/>
  </r>
  <r>
    <n v="3240"/>
    <d v="2025-04-11T00:00:00"/>
    <n v="32"/>
    <s v="Male"/>
    <s v="North"/>
    <x v="3"/>
    <m/>
    <n v="158.4"/>
    <n v="7"/>
    <n v="0"/>
    <x v="11"/>
    <n v="0"/>
    <n v="0"/>
    <m/>
    <x v="3"/>
  </r>
  <r>
    <n v="554"/>
    <d v="2025-04-11T00:00:00"/>
    <n v="33"/>
    <s v="Female"/>
    <s v="East"/>
    <x v="0"/>
    <m/>
    <n v="124"/>
    <n v="8"/>
    <n v="0"/>
    <x v="11"/>
    <n v="0"/>
    <n v="0"/>
    <m/>
    <x v="3"/>
  </r>
  <r>
    <n v="2133"/>
    <d v="2025-04-11T00:00:00"/>
    <n v="49"/>
    <s v="Male"/>
    <s v="West"/>
    <x v="1"/>
    <s v="CAMP4"/>
    <n v="104.6"/>
    <n v="4"/>
    <n v="0"/>
    <x v="11"/>
    <n v="0"/>
    <n v="0"/>
    <m/>
    <x v="3"/>
  </r>
  <r>
    <n v="4140"/>
    <d v="2025-04-11T00:00:00"/>
    <n v="61"/>
    <s v="Female"/>
    <s v="North"/>
    <x v="0"/>
    <m/>
    <n v="95.3"/>
    <n v="12"/>
    <n v="0"/>
    <x v="11"/>
    <n v="0"/>
    <n v="0"/>
    <m/>
    <x v="3"/>
  </r>
  <r>
    <n v="1038"/>
    <d v="2025-05-11T00:00:00"/>
    <n v="18"/>
    <s v="Male"/>
    <s v="East"/>
    <x v="0"/>
    <m/>
    <n v="520.4"/>
    <n v="5"/>
    <n v="1"/>
    <x v="627"/>
    <n v="4"/>
    <n v="11"/>
    <n v="4"/>
    <x v="4"/>
  </r>
  <r>
    <n v="3107"/>
    <d v="2025-05-11T00:00:00"/>
    <n v="25"/>
    <s v="Female"/>
    <s v="South"/>
    <x v="1"/>
    <s v="CAMP1"/>
    <n v="199.3"/>
    <n v="6"/>
    <n v="1"/>
    <x v="628"/>
    <n v="5"/>
    <n v="2"/>
    <n v="4"/>
    <x v="4"/>
  </r>
  <r>
    <n v="510"/>
    <d v="2025-05-11T00:00:00"/>
    <n v="23"/>
    <s v="Female"/>
    <s v="North"/>
    <x v="0"/>
    <m/>
    <n v="283"/>
    <n v="7"/>
    <n v="1"/>
    <x v="629"/>
    <n v="4"/>
    <n v="3"/>
    <n v="4"/>
    <x v="4"/>
  </r>
  <r>
    <n v="3673"/>
    <d v="2025-05-11T00:00:00"/>
    <n v="47"/>
    <s v="Female"/>
    <s v="West"/>
    <x v="0"/>
    <m/>
    <n v="1103.7"/>
    <n v="3"/>
    <n v="1"/>
    <x v="630"/>
    <n v="4"/>
    <n v="5"/>
    <n v="4"/>
    <x v="4"/>
  </r>
  <r>
    <n v="1595"/>
    <d v="2025-05-11T00:00:00"/>
    <n v="20"/>
    <s v="Male"/>
    <s v="South"/>
    <x v="2"/>
    <m/>
    <n v="84.8"/>
    <n v="4"/>
    <n v="1"/>
    <x v="631"/>
    <n v="2"/>
    <n v="10"/>
    <n v="4"/>
    <x v="4"/>
  </r>
  <r>
    <n v="197"/>
    <d v="2025-05-11T00:00:00"/>
    <n v="29"/>
    <s v="Female"/>
    <s v="East"/>
    <x v="0"/>
    <m/>
    <n v="1305.7"/>
    <n v="4"/>
    <n v="1"/>
    <x v="632"/>
    <n v="3"/>
    <n v="12"/>
    <n v="4"/>
    <x v="4"/>
  </r>
  <r>
    <n v="2967"/>
    <d v="2025-05-11T00:00:00"/>
    <n v="28"/>
    <s v="Female"/>
    <s v="West"/>
    <x v="0"/>
    <m/>
    <n v="246.4"/>
    <n v="4"/>
    <n v="1"/>
    <x v="633"/>
    <n v="3"/>
    <n v="15"/>
    <n v="4"/>
    <x v="4"/>
  </r>
  <r>
    <n v="2046"/>
    <d v="2025-05-11T00:00:00"/>
    <n v="35"/>
    <s v="Female"/>
    <s v="South"/>
    <x v="0"/>
    <m/>
    <n v="356.9"/>
    <n v="5"/>
    <n v="1"/>
    <x v="324"/>
    <n v="3"/>
    <n v="8"/>
    <n v="3"/>
    <x v="4"/>
  </r>
  <r>
    <n v="778"/>
    <d v="2025-05-11T00:00:00"/>
    <n v="26"/>
    <s v="Female"/>
    <s v="North"/>
    <x v="0"/>
    <m/>
    <n v="647.6"/>
    <n v="3"/>
    <n v="1"/>
    <x v="29"/>
    <n v="1"/>
    <n v="2"/>
    <n v="4"/>
    <x v="4"/>
  </r>
  <r>
    <n v="236"/>
    <d v="2025-05-11T00:00:00"/>
    <n v="27"/>
    <s v="Female"/>
    <s v="East"/>
    <x v="0"/>
    <m/>
    <n v="669.6"/>
    <n v="7"/>
    <n v="0"/>
    <x v="11"/>
    <n v="0"/>
    <n v="0"/>
    <m/>
    <x v="4"/>
  </r>
  <r>
    <n v="1131"/>
    <d v="2025-05-11T00:00:00"/>
    <n v="28"/>
    <s v="Male"/>
    <s v="East"/>
    <x v="0"/>
    <m/>
    <n v="529.20000000000005"/>
    <n v="6"/>
    <n v="0"/>
    <x v="11"/>
    <n v="0"/>
    <n v="0"/>
    <m/>
    <x v="4"/>
  </r>
  <r>
    <n v="3273"/>
    <d v="2025-05-11T00:00:00"/>
    <n v="35"/>
    <s v="Female"/>
    <s v="South"/>
    <x v="0"/>
    <m/>
    <n v="513"/>
    <n v="7"/>
    <n v="0"/>
    <x v="11"/>
    <n v="0"/>
    <n v="0"/>
    <m/>
    <x v="4"/>
  </r>
  <r>
    <n v="2215"/>
    <d v="2025-05-11T00:00:00"/>
    <n v="34"/>
    <s v="Male"/>
    <s v="North"/>
    <x v="0"/>
    <m/>
    <n v="463.3"/>
    <n v="2"/>
    <n v="0"/>
    <x v="11"/>
    <n v="0"/>
    <n v="0"/>
    <m/>
    <x v="4"/>
  </r>
  <r>
    <n v="1354"/>
    <d v="2025-05-11T00:00:00"/>
    <n v="24"/>
    <s v="Female"/>
    <s v="East"/>
    <x v="1"/>
    <s v="CAMP4"/>
    <n v="379.9"/>
    <n v="4"/>
    <n v="0"/>
    <x v="11"/>
    <n v="0"/>
    <n v="0"/>
    <m/>
    <x v="4"/>
  </r>
  <r>
    <n v="3311"/>
    <d v="2025-05-11T00:00:00"/>
    <n v="43"/>
    <s v="Male"/>
    <s v="West"/>
    <x v="0"/>
    <m/>
    <n v="343.1"/>
    <n v="8"/>
    <n v="0"/>
    <x v="11"/>
    <n v="0"/>
    <n v="0"/>
    <m/>
    <x v="4"/>
  </r>
  <r>
    <n v="4673"/>
    <d v="2025-05-11T00:00:00"/>
    <n v="50"/>
    <s v="Female"/>
    <s v="South"/>
    <x v="0"/>
    <m/>
    <n v="331"/>
    <n v="4"/>
    <n v="0"/>
    <x v="11"/>
    <n v="0"/>
    <n v="0"/>
    <m/>
    <x v="4"/>
  </r>
  <r>
    <n v="2355"/>
    <d v="2025-05-11T00:00:00"/>
    <n v="28"/>
    <s v="Male"/>
    <s v="West"/>
    <x v="0"/>
    <m/>
    <n v="292.7"/>
    <n v="6"/>
    <n v="0"/>
    <x v="11"/>
    <n v="0"/>
    <n v="0"/>
    <m/>
    <x v="4"/>
  </r>
  <r>
    <n v="1870"/>
    <d v="2025-05-11T00:00:00"/>
    <n v="47"/>
    <s v="Male"/>
    <s v="East"/>
    <x v="0"/>
    <m/>
    <n v="189.2"/>
    <n v="6"/>
    <n v="0"/>
    <x v="11"/>
    <n v="0"/>
    <n v="0"/>
    <m/>
    <x v="4"/>
  </r>
  <r>
    <n v="891"/>
    <d v="2025-05-11T00:00:00"/>
    <n v="28"/>
    <s v="Other"/>
    <s v="East"/>
    <x v="0"/>
    <m/>
    <n v="129.1"/>
    <n v="9"/>
    <n v="0"/>
    <x v="11"/>
    <n v="0"/>
    <n v="0"/>
    <m/>
    <x v="4"/>
  </r>
  <r>
    <n v="2520"/>
    <d v="2025-05-11T00:00:00"/>
    <n v="25"/>
    <s v="Female"/>
    <s v="West"/>
    <x v="0"/>
    <m/>
    <n v="126.4"/>
    <n v="6"/>
    <n v="0"/>
    <x v="11"/>
    <n v="0"/>
    <n v="0"/>
    <m/>
    <x v="4"/>
  </r>
  <r>
    <n v="1889"/>
    <d v="2025-05-11T00:00:00"/>
    <n v="33"/>
    <s v="Female"/>
    <s v="South"/>
    <x v="0"/>
    <m/>
    <n v="118.9"/>
    <n v="7"/>
    <n v="0"/>
    <x v="11"/>
    <n v="0"/>
    <n v="0"/>
    <m/>
    <x v="4"/>
  </r>
  <r>
    <n v="4733"/>
    <d v="2025-05-11T00:00:00"/>
    <n v="47"/>
    <s v="Female"/>
    <s v="East"/>
    <x v="0"/>
    <m/>
    <n v="118.3"/>
    <n v="9"/>
    <n v="0"/>
    <x v="11"/>
    <n v="0"/>
    <n v="0"/>
    <m/>
    <x v="4"/>
  </r>
  <r>
    <n v="305"/>
    <d v="2025-05-11T00:00:00"/>
    <n v="26"/>
    <s v="Female"/>
    <s v="South"/>
    <x v="3"/>
    <m/>
    <n v="117.6"/>
    <n v="4"/>
    <n v="0"/>
    <x v="11"/>
    <n v="0"/>
    <n v="0"/>
    <m/>
    <x v="4"/>
  </r>
  <r>
    <n v="1344"/>
    <d v="2025-05-11T00:00:00"/>
    <n v="27"/>
    <s v="Male"/>
    <s v="North"/>
    <x v="0"/>
    <m/>
    <n v="51.4"/>
    <n v="6"/>
    <n v="0"/>
    <x v="11"/>
    <n v="0"/>
    <n v="0"/>
    <m/>
    <x v="4"/>
  </r>
  <r>
    <n v="3566"/>
    <d v="2025-05-11T00:00:00"/>
    <n v="29"/>
    <s v="Male"/>
    <s v="East"/>
    <x v="0"/>
    <m/>
    <n v="13"/>
    <n v="6"/>
    <n v="0"/>
    <x v="11"/>
    <n v="0"/>
    <n v="0"/>
    <m/>
    <x v="4"/>
  </r>
  <r>
    <n v="3942"/>
    <d v="2025-06-11T00:00:00"/>
    <n v="49"/>
    <s v="Male"/>
    <s v="West"/>
    <x v="1"/>
    <s v="CAMP3"/>
    <n v="281.3"/>
    <n v="8"/>
    <n v="1"/>
    <x v="634"/>
    <n v="3"/>
    <n v="8"/>
    <n v="5"/>
    <x v="5"/>
  </r>
  <r>
    <n v="4518"/>
    <d v="2025-06-11T00:00:00"/>
    <n v="66"/>
    <s v="Female"/>
    <s v="East"/>
    <x v="0"/>
    <m/>
    <n v="480.6"/>
    <n v="8"/>
    <n v="1"/>
    <x v="635"/>
    <n v="1"/>
    <n v="14"/>
    <n v="5"/>
    <x v="5"/>
  </r>
  <r>
    <n v="1312"/>
    <d v="2025-06-11T00:00:00"/>
    <n v="18"/>
    <s v="Female"/>
    <s v="East"/>
    <x v="2"/>
    <m/>
    <n v="199.8"/>
    <n v="5"/>
    <n v="1"/>
    <x v="636"/>
    <n v="4"/>
    <n v="9"/>
    <n v="5"/>
    <x v="5"/>
  </r>
  <r>
    <n v="406"/>
    <d v="2025-06-11T00:00:00"/>
    <n v="18"/>
    <s v="Female"/>
    <s v="North"/>
    <x v="2"/>
    <m/>
    <n v="749.6"/>
    <n v="8"/>
    <n v="1"/>
    <x v="637"/>
    <n v="2"/>
    <n v="12"/>
    <n v="4"/>
    <x v="5"/>
  </r>
  <r>
    <n v="595"/>
    <d v="2025-06-11T00:00:00"/>
    <n v="26"/>
    <s v="Female"/>
    <s v="South"/>
    <x v="1"/>
    <s v="CAMP2"/>
    <n v="945.5"/>
    <n v="5"/>
    <n v="1"/>
    <x v="638"/>
    <n v="2"/>
    <n v="4"/>
    <n v="4"/>
    <x v="5"/>
  </r>
  <r>
    <n v="923"/>
    <d v="2025-06-11T00:00:00"/>
    <n v="25"/>
    <s v="Male"/>
    <s v="East"/>
    <x v="3"/>
    <m/>
    <n v="656.1"/>
    <n v="8"/>
    <n v="1"/>
    <x v="639"/>
    <n v="2"/>
    <n v="13"/>
    <n v="4"/>
    <x v="5"/>
  </r>
  <r>
    <n v="4018"/>
    <d v="2025-06-11T00:00:00"/>
    <n v="46"/>
    <s v="Male"/>
    <s v="West"/>
    <x v="2"/>
    <m/>
    <n v="687.3"/>
    <n v="4"/>
    <n v="1"/>
    <x v="640"/>
    <n v="3"/>
    <n v="1"/>
    <n v="4"/>
    <x v="5"/>
  </r>
  <r>
    <n v="1786"/>
    <d v="2025-06-11T00:00:00"/>
    <n v="33"/>
    <s v="Female"/>
    <s v="South"/>
    <x v="3"/>
    <m/>
    <n v="379.3"/>
    <n v="5"/>
    <n v="1"/>
    <x v="641"/>
    <n v="4"/>
    <n v="14"/>
    <n v="4"/>
    <x v="5"/>
  </r>
  <r>
    <n v="4996"/>
    <d v="2025-06-11T00:00:00"/>
    <n v="72"/>
    <s v="Female"/>
    <s v="North"/>
    <x v="0"/>
    <m/>
    <n v="1228.4000000000001"/>
    <n v="10"/>
    <n v="1"/>
    <x v="642"/>
    <n v="4"/>
    <n v="9"/>
    <n v="4"/>
    <x v="5"/>
  </r>
  <r>
    <n v="632"/>
    <d v="2025-06-11T00:00:00"/>
    <n v="22"/>
    <s v="Female"/>
    <s v="West"/>
    <x v="2"/>
    <m/>
    <n v="189.8"/>
    <n v="4"/>
    <n v="1"/>
    <x v="643"/>
    <n v="4"/>
    <n v="11"/>
    <n v="5"/>
    <x v="5"/>
  </r>
  <r>
    <n v="198"/>
    <d v="2025-06-11T00:00:00"/>
    <n v="25"/>
    <s v="Female"/>
    <s v="North"/>
    <x v="3"/>
    <m/>
    <n v="120.5"/>
    <n v="10"/>
    <n v="1"/>
    <x v="644"/>
    <n v="4"/>
    <n v="13"/>
    <n v="3"/>
    <x v="5"/>
  </r>
  <r>
    <n v="1518"/>
    <d v="2025-06-11T00:00:00"/>
    <n v="24"/>
    <s v="Male"/>
    <s v="East"/>
    <x v="0"/>
    <m/>
    <n v="739.6"/>
    <n v="9"/>
    <n v="0"/>
    <x v="11"/>
    <n v="0"/>
    <n v="0"/>
    <m/>
    <x v="5"/>
  </r>
  <r>
    <n v="122"/>
    <d v="2025-06-11T00:00:00"/>
    <n v="27"/>
    <s v="Male"/>
    <s v="East"/>
    <x v="1"/>
    <s v="CAMP1"/>
    <n v="500.1"/>
    <n v="3"/>
    <n v="0"/>
    <x v="11"/>
    <n v="0"/>
    <n v="0"/>
    <m/>
    <x v="5"/>
  </r>
  <r>
    <n v="3392"/>
    <d v="2025-06-11T00:00:00"/>
    <n v="46"/>
    <s v="Male"/>
    <s v="North"/>
    <x v="0"/>
    <m/>
    <n v="478.8"/>
    <n v="4"/>
    <n v="0"/>
    <x v="11"/>
    <n v="0"/>
    <n v="0"/>
    <m/>
    <x v="5"/>
  </r>
  <r>
    <n v="898"/>
    <d v="2025-06-11T00:00:00"/>
    <n v="22"/>
    <s v="Male"/>
    <s v="South"/>
    <x v="2"/>
    <m/>
    <n v="476.7"/>
    <n v="7"/>
    <n v="0"/>
    <x v="11"/>
    <n v="0"/>
    <n v="0"/>
    <m/>
    <x v="5"/>
  </r>
  <r>
    <n v="3751"/>
    <d v="2025-06-11T00:00:00"/>
    <n v="65"/>
    <s v="Female"/>
    <s v="South"/>
    <x v="2"/>
    <m/>
    <n v="395.4"/>
    <n v="7"/>
    <n v="0"/>
    <x v="11"/>
    <n v="0"/>
    <n v="0"/>
    <m/>
    <x v="5"/>
  </r>
  <r>
    <n v="854"/>
    <d v="2025-06-11T00:00:00"/>
    <n v="19"/>
    <s v="Female"/>
    <s v="East"/>
    <x v="1"/>
    <s v="CAMP7"/>
    <n v="374.5"/>
    <n v="8"/>
    <n v="0"/>
    <x v="11"/>
    <n v="0"/>
    <n v="0"/>
    <m/>
    <x v="5"/>
  </r>
  <r>
    <n v="192"/>
    <d v="2025-06-11T00:00:00"/>
    <n v="31"/>
    <s v="Male"/>
    <s v="South"/>
    <x v="0"/>
    <m/>
    <n v="344"/>
    <n v="3"/>
    <n v="0"/>
    <x v="11"/>
    <n v="0"/>
    <n v="0"/>
    <m/>
    <x v="5"/>
  </r>
  <r>
    <n v="3260"/>
    <d v="2025-06-11T00:00:00"/>
    <n v="36"/>
    <s v="Male"/>
    <s v="South"/>
    <x v="0"/>
    <m/>
    <n v="327"/>
    <n v="8"/>
    <n v="0"/>
    <x v="11"/>
    <n v="0"/>
    <n v="0"/>
    <m/>
    <x v="5"/>
  </r>
  <r>
    <n v="672"/>
    <d v="2025-06-11T00:00:00"/>
    <n v="22"/>
    <s v="Male"/>
    <s v="North"/>
    <x v="0"/>
    <m/>
    <n v="299.7"/>
    <n v="7"/>
    <n v="0"/>
    <x v="11"/>
    <n v="0"/>
    <n v="0"/>
    <m/>
    <x v="5"/>
  </r>
  <r>
    <n v="2721"/>
    <d v="2025-06-11T00:00:00"/>
    <n v="42"/>
    <s v="Female"/>
    <s v="North"/>
    <x v="2"/>
    <m/>
    <n v="293.10000000000002"/>
    <n v="6"/>
    <n v="0"/>
    <x v="11"/>
    <n v="0"/>
    <n v="0"/>
    <m/>
    <x v="5"/>
  </r>
  <r>
    <n v="4606"/>
    <d v="2025-06-11T00:00:00"/>
    <n v="62"/>
    <s v="Female"/>
    <s v="North"/>
    <x v="0"/>
    <m/>
    <n v="292.5"/>
    <n v="4"/>
    <n v="0"/>
    <x v="11"/>
    <n v="0"/>
    <n v="0"/>
    <m/>
    <x v="5"/>
  </r>
  <r>
    <n v="4972"/>
    <d v="2025-06-11T00:00:00"/>
    <n v="53"/>
    <s v="Female"/>
    <s v="North"/>
    <x v="1"/>
    <s v="CAMP6"/>
    <n v="292.3"/>
    <n v="11"/>
    <n v="0"/>
    <x v="11"/>
    <n v="0"/>
    <n v="0"/>
    <m/>
    <x v="5"/>
  </r>
  <r>
    <n v="746"/>
    <d v="2025-06-11T00:00:00"/>
    <n v="20"/>
    <s v="Female"/>
    <s v="West"/>
    <x v="3"/>
    <m/>
    <n v="265.3"/>
    <n v="8"/>
    <n v="0"/>
    <x v="11"/>
    <n v="0"/>
    <n v="0"/>
    <m/>
    <x v="5"/>
  </r>
  <r>
    <n v="4223"/>
    <d v="2025-06-11T00:00:00"/>
    <n v="32"/>
    <s v="Female"/>
    <s v="East"/>
    <x v="0"/>
    <m/>
    <n v="239.8"/>
    <n v="4"/>
    <n v="0"/>
    <x v="11"/>
    <n v="0"/>
    <n v="0"/>
    <m/>
    <x v="5"/>
  </r>
  <r>
    <n v="3505"/>
    <d v="2025-06-11T00:00:00"/>
    <n v="41"/>
    <s v="Female"/>
    <s v="South"/>
    <x v="0"/>
    <m/>
    <n v="225.7"/>
    <n v="8"/>
    <n v="0"/>
    <x v="11"/>
    <n v="0"/>
    <n v="0"/>
    <m/>
    <x v="5"/>
  </r>
  <r>
    <n v="2018"/>
    <d v="2025-06-11T00:00:00"/>
    <n v="51"/>
    <s v="Male"/>
    <s v="East"/>
    <x v="1"/>
    <s v="CAMP2"/>
    <n v="224"/>
    <n v="4"/>
    <n v="0"/>
    <x v="11"/>
    <n v="0"/>
    <n v="0"/>
    <m/>
    <x v="5"/>
  </r>
  <r>
    <n v="4566"/>
    <d v="2025-06-11T00:00:00"/>
    <n v="42"/>
    <s v="Male"/>
    <s v="North"/>
    <x v="0"/>
    <m/>
    <n v="197.2"/>
    <n v="5"/>
    <n v="0"/>
    <x v="11"/>
    <n v="0"/>
    <n v="0"/>
    <m/>
    <x v="5"/>
  </r>
  <r>
    <n v="3147"/>
    <d v="2025-06-11T00:00:00"/>
    <n v="35"/>
    <s v="Female"/>
    <s v="South"/>
    <x v="1"/>
    <s v="CAMP3"/>
    <n v="137.4"/>
    <n v="3"/>
    <n v="0"/>
    <x v="11"/>
    <n v="0"/>
    <n v="0"/>
    <m/>
    <x v="5"/>
  </r>
  <r>
    <n v="204"/>
    <d v="2025-06-11T00:00:00"/>
    <n v="18"/>
    <s v="Female"/>
    <s v="East"/>
    <x v="0"/>
    <m/>
    <n v="125.4"/>
    <n v="6"/>
    <n v="0"/>
    <x v="11"/>
    <n v="0"/>
    <n v="0"/>
    <m/>
    <x v="5"/>
  </r>
  <r>
    <n v="54"/>
    <d v="2025-06-11T00:00:00"/>
    <n v="25"/>
    <s v="Male"/>
    <s v="North"/>
    <x v="1"/>
    <s v="CAMP7"/>
    <n v="123.6"/>
    <n v="8"/>
    <n v="0"/>
    <x v="11"/>
    <n v="0"/>
    <n v="0"/>
    <m/>
    <x v="5"/>
  </r>
  <r>
    <n v="3780"/>
    <d v="2025-06-11T00:00:00"/>
    <n v="64"/>
    <s v="Male"/>
    <s v="North"/>
    <x v="2"/>
    <m/>
    <n v="62"/>
    <n v="8"/>
    <n v="0"/>
    <x v="11"/>
    <n v="0"/>
    <n v="0"/>
    <m/>
    <x v="5"/>
  </r>
  <r>
    <n v="723"/>
    <d v="2025-01-12T00:00:00"/>
    <n v="29"/>
    <s v="Female"/>
    <s v="North"/>
    <x v="1"/>
    <s v="CAMP7"/>
    <n v="180.3"/>
    <n v="5"/>
    <n v="1"/>
    <x v="645"/>
    <n v="1"/>
    <n v="12"/>
    <n v="4"/>
    <x v="0"/>
  </r>
  <r>
    <n v="4612"/>
    <d v="2025-01-12T00:00:00"/>
    <n v="50"/>
    <s v="Male"/>
    <s v="East"/>
    <x v="1"/>
    <s v="CAMP5"/>
    <n v="1161.2"/>
    <n v="7"/>
    <n v="1"/>
    <x v="646"/>
    <n v="4"/>
    <n v="6"/>
    <n v="5"/>
    <x v="0"/>
  </r>
  <r>
    <n v="4268"/>
    <d v="2025-01-12T00:00:00"/>
    <n v="53"/>
    <s v="Male"/>
    <s v="East"/>
    <x v="0"/>
    <m/>
    <n v="211.9"/>
    <n v="7"/>
    <n v="1"/>
    <x v="647"/>
    <n v="4"/>
    <n v="6"/>
    <n v="5"/>
    <x v="0"/>
  </r>
  <r>
    <n v="2082"/>
    <d v="2025-01-12T00:00:00"/>
    <n v="33"/>
    <s v="Male"/>
    <s v="East"/>
    <x v="3"/>
    <m/>
    <n v="505.1"/>
    <n v="6"/>
    <n v="1"/>
    <x v="648"/>
    <n v="1"/>
    <n v="6"/>
    <n v="5"/>
    <x v="0"/>
  </r>
  <r>
    <n v="2061"/>
    <d v="2025-01-12T00:00:00"/>
    <n v="27"/>
    <s v="Female"/>
    <s v="West"/>
    <x v="2"/>
    <m/>
    <n v="102.1"/>
    <n v="4"/>
    <n v="1"/>
    <x v="649"/>
    <n v="5"/>
    <n v="13"/>
    <n v="2"/>
    <x v="0"/>
  </r>
  <r>
    <n v="3689"/>
    <d v="2025-01-12T00:00:00"/>
    <n v="44"/>
    <s v="Male"/>
    <s v="South"/>
    <x v="2"/>
    <m/>
    <n v="992.6"/>
    <n v="5"/>
    <n v="1"/>
    <x v="650"/>
    <n v="3"/>
    <n v="5"/>
    <n v="5"/>
    <x v="0"/>
  </r>
  <r>
    <n v="2610"/>
    <d v="2025-01-12T00:00:00"/>
    <n v="44"/>
    <s v="Female"/>
    <s v="West"/>
    <x v="0"/>
    <m/>
    <n v="269.2"/>
    <n v="3"/>
    <n v="1"/>
    <x v="651"/>
    <n v="4"/>
    <n v="7"/>
    <n v="4"/>
    <x v="0"/>
  </r>
  <r>
    <n v="1726"/>
    <d v="2025-01-12T00:00:00"/>
    <n v="29"/>
    <s v="Female"/>
    <s v="North"/>
    <x v="1"/>
    <s v="CAMP6"/>
    <n v="203.3"/>
    <n v="4"/>
    <n v="1"/>
    <x v="652"/>
    <n v="2"/>
    <n v="2"/>
    <n v="4"/>
    <x v="0"/>
  </r>
  <r>
    <n v="2550"/>
    <d v="2025-01-12T00:00:00"/>
    <n v="28"/>
    <s v="Male"/>
    <s v="South"/>
    <x v="3"/>
    <m/>
    <n v="832.6"/>
    <n v="8"/>
    <n v="1"/>
    <x v="653"/>
    <n v="4"/>
    <n v="2"/>
    <n v="5"/>
    <x v="0"/>
  </r>
  <r>
    <n v="84"/>
    <d v="2025-01-12T00:00:00"/>
    <n v="23"/>
    <s v="Female"/>
    <s v="West"/>
    <x v="2"/>
    <m/>
    <n v="220.9"/>
    <n v="5"/>
    <n v="1"/>
    <x v="654"/>
    <n v="5"/>
    <n v="8"/>
    <n v="4"/>
    <x v="0"/>
  </r>
  <r>
    <n v="2727"/>
    <d v="2025-01-12T00:00:00"/>
    <n v="38"/>
    <s v="Female"/>
    <s v="South"/>
    <x v="0"/>
    <m/>
    <n v="134.80000000000001"/>
    <n v="8"/>
    <n v="1"/>
    <x v="655"/>
    <n v="2"/>
    <n v="2"/>
    <n v="4"/>
    <x v="0"/>
  </r>
  <r>
    <n v="3296"/>
    <d v="2025-01-12T00:00:00"/>
    <n v="37"/>
    <s v="Male"/>
    <s v="South"/>
    <x v="0"/>
    <m/>
    <n v="428.5"/>
    <n v="7"/>
    <n v="1"/>
    <x v="656"/>
    <n v="4"/>
    <n v="6"/>
    <n v="4"/>
    <x v="0"/>
  </r>
  <r>
    <n v="4381"/>
    <d v="2025-01-12T00:00:00"/>
    <n v="68"/>
    <s v="Male"/>
    <s v="South"/>
    <x v="3"/>
    <m/>
    <n v="615.20000000000005"/>
    <n v="5"/>
    <n v="0"/>
    <x v="11"/>
    <n v="0"/>
    <n v="0"/>
    <m/>
    <x v="0"/>
  </r>
  <r>
    <n v="4252"/>
    <d v="2025-01-12T00:00:00"/>
    <n v="51"/>
    <s v="Male"/>
    <s v="East"/>
    <x v="0"/>
    <m/>
    <n v="438.8"/>
    <n v="7"/>
    <n v="0"/>
    <x v="11"/>
    <n v="0"/>
    <n v="0"/>
    <m/>
    <x v="0"/>
  </r>
  <r>
    <n v="2511"/>
    <d v="2025-01-12T00:00:00"/>
    <n v="26"/>
    <s v="Female"/>
    <s v="South"/>
    <x v="1"/>
    <s v="CAMP6"/>
    <n v="416.3"/>
    <n v="3"/>
    <n v="0"/>
    <x v="11"/>
    <n v="0"/>
    <n v="0"/>
    <m/>
    <x v="0"/>
  </r>
  <r>
    <n v="2247"/>
    <d v="2025-01-12T00:00:00"/>
    <n v="35"/>
    <s v="Female"/>
    <s v="East"/>
    <x v="1"/>
    <s v="CAMP5"/>
    <n v="368.2"/>
    <n v="4"/>
    <n v="0"/>
    <x v="11"/>
    <n v="0"/>
    <n v="0"/>
    <m/>
    <x v="0"/>
  </r>
  <r>
    <n v="1789"/>
    <d v="2025-01-12T00:00:00"/>
    <n v="34"/>
    <s v="Male"/>
    <s v="East"/>
    <x v="0"/>
    <m/>
    <n v="336.9"/>
    <n v="4"/>
    <n v="0"/>
    <x v="11"/>
    <n v="0"/>
    <n v="0"/>
    <m/>
    <x v="0"/>
  </r>
  <r>
    <n v="3158"/>
    <d v="2025-01-12T00:00:00"/>
    <n v="24"/>
    <s v="Male"/>
    <s v="West"/>
    <x v="0"/>
    <m/>
    <n v="312.8"/>
    <n v="5"/>
    <n v="0"/>
    <x v="11"/>
    <n v="0"/>
    <n v="0"/>
    <m/>
    <x v="0"/>
  </r>
  <r>
    <n v="1712"/>
    <d v="2025-01-12T00:00:00"/>
    <n v="31"/>
    <s v="Male"/>
    <s v="South"/>
    <x v="0"/>
    <m/>
    <n v="288.60000000000002"/>
    <n v="7"/>
    <n v="0"/>
    <x v="11"/>
    <n v="0"/>
    <n v="0"/>
    <m/>
    <x v="0"/>
  </r>
  <r>
    <n v="1259"/>
    <d v="2025-01-12T00:00:00"/>
    <n v="23"/>
    <s v="Female"/>
    <s v="East"/>
    <x v="1"/>
    <s v="CAMP4"/>
    <n v="281.7"/>
    <n v="6"/>
    <n v="0"/>
    <x v="11"/>
    <n v="0"/>
    <n v="0"/>
    <m/>
    <x v="0"/>
  </r>
  <r>
    <n v="3510"/>
    <d v="2025-01-12T00:00:00"/>
    <n v="39"/>
    <s v="Female"/>
    <s v="South"/>
    <x v="1"/>
    <s v="CAMP4"/>
    <n v="226.8"/>
    <n v="5"/>
    <n v="0"/>
    <x v="11"/>
    <n v="0"/>
    <n v="0"/>
    <m/>
    <x v="0"/>
  </r>
  <r>
    <n v="1930"/>
    <d v="2025-01-12T00:00:00"/>
    <n v="37"/>
    <s v="Male"/>
    <s v="North"/>
    <x v="0"/>
    <m/>
    <n v="195.8"/>
    <n v="5"/>
    <n v="0"/>
    <x v="11"/>
    <n v="0"/>
    <n v="0"/>
    <m/>
    <x v="0"/>
  </r>
  <r>
    <n v="3123"/>
    <d v="2025-01-12T00:00:00"/>
    <n v="37"/>
    <s v="Male"/>
    <s v="North"/>
    <x v="0"/>
    <m/>
    <n v="161"/>
    <n v="4"/>
    <n v="0"/>
    <x v="11"/>
    <n v="0"/>
    <n v="0"/>
    <m/>
    <x v="0"/>
  </r>
  <r>
    <n v="1039"/>
    <d v="2025-01-12T00:00:00"/>
    <n v="19"/>
    <s v="Female"/>
    <s v="East"/>
    <x v="1"/>
    <s v="CAMP5"/>
    <n v="144.5"/>
    <n v="5"/>
    <n v="0"/>
    <x v="11"/>
    <n v="0"/>
    <n v="0"/>
    <m/>
    <x v="0"/>
  </r>
  <r>
    <n v="2009"/>
    <d v="2025-01-12T00:00:00"/>
    <n v="36"/>
    <s v="Male"/>
    <s v="East"/>
    <x v="0"/>
    <m/>
    <n v="139.19999999999999"/>
    <n v="4"/>
    <n v="0"/>
    <x v="11"/>
    <n v="0"/>
    <n v="0"/>
    <m/>
    <x v="0"/>
  </r>
  <r>
    <n v="3540"/>
    <d v="2025-01-12T00:00:00"/>
    <n v="37"/>
    <s v="Female"/>
    <s v="West"/>
    <x v="1"/>
    <s v="CAMP5"/>
    <n v="135.19999999999999"/>
    <n v="8"/>
    <n v="0"/>
    <x v="11"/>
    <n v="0"/>
    <n v="0"/>
    <m/>
    <x v="0"/>
  </r>
  <r>
    <n v="860"/>
    <d v="2025-01-12T00:00:00"/>
    <n v="25"/>
    <s v="Female"/>
    <s v="East"/>
    <x v="1"/>
    <s v="CAMP4"/>
    <n v="135"/>
    <n v="8"/>
    <n v="0"/>
    <x v="11"/>
    <n v="0"/>
    <n v="0"/>
    <m/>
    <x v="0"/>
  </r>
  <r>
    <n v="2358"/>
    <d v="2025-01-12T00:00:00"/>
    <n v="30"/>
    <s v="Male"/>
    <s v="East"/>
    <x v="0"/>
    <m/>
    <n v="119.6"/>
    <n v="6"/>
    <n v="0"/>
    <x v="11"/>
    <n v="0"/>
    <n v="0"/>
    <m/>
    <x v="0"/>
  </r>
  <r>
    <n v="3727"/>
    <d v="2025-01-12T00:00:00"/>
    <n v="35"/>
    <s v="Male"/>
    <s v="East"/>
    <x v="0"/>
    <m/>
    <n v="106.2"/>
    <n v="5"/>
    <n v="0"/>
    <x v="11"/>
    <n v="0"/>
    <n v="0"/>
    <m/>
    <x v="0"/>
  </r>
  <r>
    <n v="2760"/>
    <d v="2025-01-12T00:00:00"/>
    <n v="34"/>
    <s v="Female"/>
    <s v="East"/>
    <x v="0"/>
    <m/>
    <n v="97.7"/>
    <n v="4"/>
    <n v="0"/>
    <x v="11"/>
    <n v="0"/>
    <n v="0"/>
    <m/>
    <x v="0"/>
  </r>
  <r>
    <n v="705"/>
    <d v="2025-01-12T00:00:00"/>
    <n v="18"/>
    <s v="Female"/>
    <s v="West"/>
    <x v="1"/>
    <s v="CAMP4"/>
    <n v="80.400000000000006"/>
    <n v="4"/>
    <n v="0"/>
    <x v="11"/>
    <n v="0"/>
    <n v="0"/>
    <m/>
    <x v="0"/>
  </r>
  <r>
    <n v="3322"/>
    <d v="2025-01-12T00:00:00"/>
    <n v="46"/>
    <s v="Female"/>
    <s v="South"/>
    <x v="1"/>
    <s v="CAMP4"/>
    <n v="77.5"/>
    <n v="7"/>
    <n v="0"/>
    <x v="11"/>
    <n v="0"/>
    <n v="0"/>
    <m/>
    <x v="0"/>
  </r>
  <r>
    <n v="2012"/>
    <d v="2025-01-12T00:00:00"/>
    <n v="41"/>
    <s v="Female"/>
    <s v="South"/>
    <x v="1"/>
    <s v="CAMP2"/>
    <n v="13"/>
    <n v="7"/>
    <n v="0"/>
    <x v="11"/>
    <n v="0"/>
    <n v="0"/>
    <m/>
    <x v="0"/>
  </r>
  <r>
    <n v="33"/>
    <d v="2025-01-12T00:00:00"/>
    <n v="27"/>
    <s v="Female"/>
    <s v="East"/>
    <x v="0"/>
    <m/>
    <n v="10"/>
    <n v="6"/>
    <n v="0"/>
    <x v="11"/>
    <n v="0"/>
    <n v="0"/>
    <m/>
    <x v="0"/>
  </r>
  <r>
    <n v="3684"/>
    <d v="2025-02-12T00:00:00"/>
    <n v="42"/>
    <s v="Male"/>
    <s v="East"/>
    <x v="0"/>
    <m/>
    <n v="595.4"/>
    <n v="3"/>
    <n v="1"/>
    <x v="657"/>
    <n v="3"/>
    <n v="3"/>
    <n v="5"/>
    <x v="1"/>
  </r>
  <r>
    <n v="216"/>
    <d v="2025-02-12T00:00:00"/>
    <n v="23"/>
    <s v="Female"/>
    <s v="South"/>
    <x v="0"/>
    <m/>
    <n v="815.6"/>
    <n v="8"/>
    <n v="1"/>
    <x v="658"/>
    <n v="2"/>
    <n v="2"/>
    <n v="3"/>
    <x v="1"/>
  </r>
  <r>
    <n v="4874"/>
    <d v="2025-02-12T00:00:00"/>
    <n v="51"/>
    <s v="Female"/>
    <s v="North"/>
    <x v="3"/>
    <m/>
    <n v="884.6"/>
    <n v="7"/>
    <n v="1"/>
    <x v="142"/>
    <n v="1"/>
    <n v="7"/>
    <n v="4"/>
    <x v="1"/>
  </r>
  <r>
    <n v="3671"/>
    <d v="2025-02-12T00:00:00"/>
    <n v="29"/>
    <s v="Male"/>
    <s v="North"/>
    <x v="2"/>
    <m/>
    <n v="32.9"/>
    <n v="4"/>
    <n v="1"/>
    <x v="659"/>
    <n v="3"/>
    <n v="15"/>
    <n v="5"/>
    <x v="1"/>
  </r>
  <r>
    <n v="1562"/>
    <d v="2025-02-12T00:00:00"/>
    <n v="18"/>
    <s v="Female"/>
    <s v="East"/>
    <x v="3"/>
    <m/>
    <n v="200.6"/>
    <n v="5"/>
    <n v="1"/>
    <x v="660"/>
    <n v="2"/>
    <n v="5"/>
    <n v="4"/>
    <x v="1"/>
  </r>
  <r>
    <n v="2269"/>
    <d v="2025-02-12T00:00:00"/>
    <n v="43"/>
    <s v="Male"/>
    <s v="North"/>
    <x v="1"/>
    <s v="CAMP5"/>
    <n v="764.3"/>
    <n v="6"/>
    <n v="1"/>
    <x v="661"/>
    <n v="4"/>
    <n v="1"/>
    <n v="3"/>
    <x v="1"/>
  </r>
  <r>
    <n v="664"/>
    <d v="2025-02-12T00:00:00"/>
    <n v="24"/>
    <s v="Female"/>
    <s v="North"/>
    <x v="2"/>
    <m/>
    <n v="519.9"/>
    <n v="5"/>
    <n v="1"/>
    <x v="662"/>
    <n v="2"/>
    <n v="13"/>
    <n v="4"/>
    <x v="1"/>
  </r>
  <r>
    <n v="1072"/>
    <d v="2025-02-12T00:00:00"/>
    <n v="24"/>
    <s v="Female"/>
    <s v="East"/>
    <x v="0"/>
    <m/>
    <n v="662.7"/>
    <n v="3"/>
    <n v="0"/>
    <x v="11"/>
    <n v="0"/>
    <n v="0"/>
    <m/>
    <x v="1"/>
  </r>
  <r>
    <n v="4780"/>
    <d v="2025-02-12T00:00:00"/>
    <n v="52"/>
    <s v="Male"/>
    <s v="North"/>
    <x v="3"/>
    <m/>
    <n v="638.1"/>
    <n v="7"/>
    <n v="0"/>
    <x v="11"/>
    <n v="0"/>
    <n v="0"/>
    <m/>
    <x v="1"/>
  </r>
  <r>
    <n v="159"/>
    <d v="2025-02-12T00:00:00"/>
    <n v="18"/>
    <s v="Female"/>
    <s v="South"/>
    <x v="0"/>
    <m/>
    <n v="486.7"/>
    <n v="7"/>
    <n v="0"/>
    <x v="11"/>
    <n v="0"/>
    <n v="0"/>
    <m/>
    <x v="1"/>
  </r>
  <r>
    <n v="3694"/>
    <d v="2025-02-12T00:00:00"/>
    <n v="32"/>
    <s v="Female"/>
    <s v="West"/>
    <x v="1"/>
    <s v="CAMP5"/>
    <n v="430.8"/>
    <n v="7"/>
    <n v="0"/>
    <x v="11"/>
    <n v="0"/>
    <n v="0"/>
    <m/>
    <x v="1"/>
  </r>
  <r>
    <n v="1391"/>
    <d v="2025-02-12T00:00:00"/>
    <n v="26"/>
    <s v="Female"/>
    <s v="West"/>
    <x v="2"/>
    <m/>
    <n v="414.4"/>
    <n v="5"/>
    <n v="0"/>
    <x v="11"/>
    <n v="0"/>
    <n v="0"/>
    <m/>
    <x v="1"/>
  </r>
  <r>
    <n v="4773"/>
    <d v="2025-02-12T00:00:00"/>
    <n v="61"/>
    <s v="Female"/>
    <s v="West"/>
    <x v="1"/>
    <s v="CAMP5"/>
    <n v="390.9"/>
    <n v="4"/>
    <n v="0"/>
    <x v="11"/>
    <n v="0"/>
    <n v="0"/>
    <m/>
    <x v="1"/>
  </r>
  <r>
    <n v="2077"/>
    <d v="2025-02-12T00:00:00"/>
    <n v="34"/>
    <s v="Male"/>
    <s v="West"/>
    <x v="1"/>
    <s v="CAMP4"/>
    <n v="340.4"/>
    <n v="3"/>
    <n v="0"/>
    <x v="11"/>
    <n v="0"/>
    <n v="0"/>
    <m/>
    <x v="1"/>
  </r>
  <r>
    <n v="1491"/>
    <d v="2025-02-12T00:00:00"/>
    <n v="26"/>
    <s v="Male"/>
    <s v="North"/>
    <x v="0"/>
    <m/>
    <n v="338.8"/>
    <n v="9"/>
    <n v="0"/>
    <x v="11"/>
    <n v="0"/>
    <n v="0"/>
    <m/>
    <x v="1"/>
  </r>
  <r>
    <n v="3641"/>
    <d v="2025-02-12T00:00:00"/>
    <n v="35"/>
    <s v="Female"/>
    <s v="East"/>
    <x v="1"/>
    <s v="CAMP4"/>
    <n v="307.2"/>
    <n v="5"/>
    <n v="0"/>
    <x v="11"/>
    <n v="0"/>
    <n v="0"/>
    <m/>
    <x v="1"/>
  </r>
  <r>
    <n v="1370"/>
    <d v="2025-02-12T00:00:00"/>
    <n v="31"/>
    <s v="Female"/>
    <s v="South"/>
    <x v="2"/>
    <m/>
    <n v="294.7"/>
    <n v="4"/>
    <n v="0"/>
    <x v="11"/>
    <n v="0"/>
    <n v="0"/>
    <m/>
    <x v="1"/>
  </r>
  <r>
    <n v="4214"/>
    <d v="2025-02-12T00:00:00"/>
    <n v="46"/>
    <s v="Female"/>
    <s v="East"/>
    <x v="1"/>
    <s v="CAMP1"/>
    <n v="249.8"/>
    <n v="4"/>
    <n v="0"/>
    <x v="11"/>
    <n v="0"/>
    <n v="0"/>
    <m/>
    <x v="1"/>
  </r>
  <r>
    <n v="2982"/>
    <d v="2025-02-12T00:00:00"/>
    <n v="29"/>
    <s v="Male"/>
    <s v="South"/>
    <x v="0"/>
    <m/>
    <n v="247.8"/>
    <n v="6"/>
    <n v="0"/>
    <x v="11"/>
    <n v="0"/>
    <n v="0"/>
    <m/>
    <x v="1"/>
  </r>
  <r>
    <n v="1636"/>
    <d v="2025-02-12T00:00:00"/>
    <n v="26"/>
    <s v="Female"/>
    <s v="West"/>
    <x v="0"/>
    <m/>
    <n v="223.4"/>
    <n v="3"/>
    <n v="0"/>
    <x v="11"/>
    <n v="0"/>
    <n v="0"/>
    <m/>
    <x v="1"/>
  </r>
  <r>
    <n v="3236"/>
    <d v="2025-02-12T00:00:00"/>
    <n v="27"/>
    <s v="Female"/>
    <s v="North"/>
    <x v="0"/>
    <m/>
    <n v="208.1"/>
    <n v="11"/>
    <n v="0"/>
    <x v="11"/>
    <n v="0"/>
    <n v="0"/>
    <m/>
    <x v="1"/>
  </r>
  <r>
    <n v="1609"/>
    <d v="2025-02-12T00:00:00"/>
    <n v="20"/>
    <s v="Male"/>
    <s v="East"/>
    <x v="1"/>
    <s v="CAMP7"/>
    <n v="207.6"/>
    <n v="7"/>
    <n v="0"/>
    <x v="11"/>
    <n v="0"/>
    <n v="0"/>
    <m/>
    <x v="1"/>
  </r>
  <r>
    <n v="4427"/>
    <d v="2025-02-12T00:00:00"/>
    <n v="66"/>
    <s v="Male"/>
    <s v="South"/>
    <x v="2"/>
    <m/>
    <n v="167"/>
    <n v="6"/>
    <n v="0"/>
    <x v="11"/>
    <n v="0"/>
    <n v="0"/>
    <m/>
    <x v="1"/>
  </r>
  <r>
    <n v="3950"/>
    <d v="2025-02-12T00:00:00"/>
    <n v="61"/>
    <s v="Female"/>
    <s v="West"/>
    <x v="0"/>
    <m/>
    <n v="127.8"/>
    <n v="8"/>
    <n v="0"/>
    <x v="11"/>
    <n v="0"/>
    <n v="0"/>
    <m/>
    <x v="1"/>
  </r>
  <r>
    <n v="1067"/>
    <d v="2025-02-12T00:00:00"/>
    <n v="21"/>
    <s v="Female"/>
    <s v="East"/>
    <x v="2"/>
    <m/>
    <n v="89.5"/>
    <n v="6"/>
    <n v="0"/>
    <x v="11"/>
    <n v="0"/>
    <n v="0"/>
    <m/>
    <x v="1"/>
  </r>
  <r>
    <n v="888"/>
    <d v="2025-02-12T00:00:00"/>
    <n v="20"/>
    <s v="Male"/>
    <s v="West"/>
    <x v="1"/>
    <s v="CAMP1"/>
    <n v="1"/>
    <n v="7"/>
    <n v="0"/>
    <x v="11"/>
    <n v="0"/>
    <n v="0"/>
    <m/>
    <x v="1"/>
  </r>
  <r>
    <n v="3259"/>
    <d v="2025-03-12T00:00:00"/>
    <n v="36"/>
    <s v="Female"/>
    <s v="East"/>
    <x v="1"/>
    <s v="CAMP6"/>
    <n v="614.4"/>
    <n v="5"/>
    <n v="1"/>
    <x v="663"/>
    <n v="2"/>
    <n v="10"/>
    <n v="5"/>
    <x v="2"/>
  </r>
  <r>
    <n v="1461"/>
    <d v="2025-03-12T00:00:00"/>
    <n v="28"/>
    <s v="Male"/>
    <s v="South"/>
    <x v="0"/>
    <m/>
    <n v="225.1"/>
    <n v="3"/>
    <n v="1"/>
    <x v="179"/>
    <n v="2"/>
    <n v="4"/>
    <n v="3"/>
    <x v="2"/>
  </r>
  <r>
    <n v="4587"/>
    <d v="2025-03-12T00:00:00"/>
    <n v="60"/>
    <s v="Male"/>
    <s v="South"/>
    <x v="1"/>
    <s v="CAMP6"/>
    <n v="511"/>
    <n v="5"/>
    <n v="1"/>
    <x v="664"/>
    <n v="2"/>
    <n v="1"/>
    <n v="3"/>
    <x v="2"/>
  </r>
  <r>
    <n v="4280"/>
    <d v="2025-03-12T00:00:00"/>
    <n v="60"/>
    <s v="Female"/>
    <s v="South"/>
    <x v="1"/>
    <s v="CAMP5"/>
    <n v="277.3"/>
    <n v="8"/>
    <n v="1"/>
    <x v="665"/>
    <n v="3"/>
    <n v="5"/>
    <n v="5"/>
    <x v="2"/>
  </r>
  <r>
    <n v="3235"/>
    <d v="2025-03-12T00:00:00"/>
    <n v="44"/>
    <s v="Female"/>
    <s v="East"/>
    <x v="0"/>
    <m/>
    <n v="630.5"/>
    <n v="8"/>
    <n v="1"/>
    <x v="666"/>
    <n v="5"/>
    <n v="8"/>
    <n v="4"/>
    <x v="2"/>
  </r>
  <r>
    <n v="3293"/>
    <d v="2025-03-12T00:00:00"/>
    <n v="30"/>
    <s v="Female"/>
    <s v="East"/>
    <x v="1"/>
    <s v="CAMP5"/>
    <n v="598.29999999999995"/>
    <n v="4"/>
    <n v="1"/>
    <x v="667"/>
    <n v="4"/>
    <n v="1"/>
    <n v="5"/>
    <x v="2"/>
  </r>
  <r>
    <n v="4749"/>
    <d v="2025-03-12T00:00:00"/>
    <n v="55"/>
    <s v="Male"/>
    <s v="North"/>
    <x v="1"/>
    <s v="CAMP3"/>
    <n v="797.7"/>
    <n v="4"/>
    <n v="1"/>
    <x v="668"/>
    <n v="3"/>
    <n v="5"/>
    <n v="4"/>
    <x v="2"/>
  </r>
  <r>
    <n v="3944"/>
    <d v="2025-03-12T00:00:00"/>
    <n v="55"/>
    <s v="Male"/>
    <s v="North"/>
    <x v="0"/>
    <m/>
    <n v="816.5"/>
    <n v="3"/>
    <n v="0"/>
    <x v="11"/>
    <n v="0"/>
    <n v="0"/>
    <m/>
    <x v="2"/>
  </r>
  <r>
    <n v="1582"/>
    <d v="2025-03-12T00:00:00"/>
    <n v="22"/>
    <s v="Female"/>
    <s v="North"/>
    <x v="2"/>
    <m/>
    <n v="637.1"/>
    <n v="7"/>
    <n v="0"/>
    <x v="11"/>
    <n v="0"/>
    <n v="0"/>
    <m/>
    <x v="2"/>
  </r>
  <r>
    <n v="4686"/>
    <d v="2025-03-12T00:00:00"/>
    <n v="60"/>
    <s v="Male"/>
    <s v="North"/>
    <x v="1"/>
    <s v="CAMP5"/>
    <n v="505.4"/>
    <n v="5"/>
    <n v="0"/>
    <x v="11"/>
    <n v="0"/>
    <n v="0"/>
    <m/>
    <x v="2"/>
  </r>
  <r>
    <n v="3200"/>
    <d v="2025-03-12T00:00:00"/>
    <n v="38"/>
    <s v="Female"/>
    <s v="East"/>
    <x v="0"/>
    <m/>
    <n v="446.6"/>
    <n v="10"/>
    <n v="0"/>
    <x v="11"/>
    <n v="0"/>
    <n v="0"/>
    <m/>
    <x v="2"/>
  </r>
  <r>
    <n v="4426"/>
    <d v="2025-03-12T00:00:00"/>
    <n v="54"/>
    <s v="Male"/>
    <s v="North"/>
    <x v="3"/>
    <m/>
    <n v="435.9"/>
    <n v="7"/>
    <n v="0"/>
    <x v="11"/>
    <n v="0"/>
    <n v="0"/>
    <m/>
    <x v="2"/>
  </r>
  <r>
    <n v="228"/>
    <d v="2025-03-12T00:00:00"/>
    <n v="21"/>
    <s v="Female"/>
    <s v="North"/>
    <x v="1"/>
    <s v="CAMP2"/>
    <n v="431.8"/>
    <n v="4"/>
    <n v="0"/>
    <x v="11"/>
    <n v="0"/>
    <n v="0"/>
    <m/>
    <x v="2"/>
  </r>
  <r>
    <n v="407"/>
    <d v="2025-03-12T00:00:00"/>
    <n v="20"/>
    <s v="Male"/>
    <s v="East"/>
    <x v="1"/>
    <s v="CAMP3"/>
    <n v="421.2"/>
    <n v="6"/>
    <n v="0"/>
    <x v="11"/>
    <n v="0"/>
    <n v="0"/>
    <m/>
    <x v="2"/>
  </r>
  <r>
    <n v="964"/>
    <d v="2025-03-12T00:00:00"/>
    <n v="30"/>
    <s v="Female"/>
    <s v="East"/>
    <x v="3"/>
    <m/>
    <n v="390"/>
    <n v="4"/>
    <n v="0"/>
    <x v="11"/>
    <n v="0"/>
    <n v="0"/>
    <m/>
    <x v="2"/>
  </r>
  <r>
    <n v="4846"/>
    <d v="2025-03-12T00:00:00"/>
    <n v="47"/>
    <s v="Other"/>
    <s v="North"/>
    <x v="0"/>
    <m/>
    <n v="321"/>
    <n v="3"/>
    <n v="0"/>
    <x v="11"/>
    <n v="0"/>
    <n v="0"/>
    <m/>
    <x v="2"/>
  </r>
  <r>
    <n v="1382"/>
    <d v="2025-03-12T00:00:00"/>
    <n v="26"/>
    <s v="Female"/>
    <s v="East"/>
    <x v="2"/>
    <m/>
    <n v="314.3"/>
    <n v="8"/>
    <n v="0"/>
    <x v="11"/>
    <n v="0"/>
    <n v="0"/>
    <m/>
    <x v="2"/>
  </r>
  <r>
    <n v="3436"/>
    <d v="2025-03-12T00:00:00"/>
    <n v="40"/>
    <s v="Female"/>
    <s v="East"/>
    <x v="0"/>
    <m/>
    <n v="270.7"/>
    <n v="8"/>
    <n v="0"/>
    <x v="11"/>
    <n v="0"/>
    <n v="0"/>
    <m/>
    <x v="2"/>
  </r>
  <r>
    <n v="567"/>
    <d v="2025-03-12T00:00:00"/>
    <n v="28"/>
    <s v="Female"/>
    <s v="South"/>
    <x v="3"/>
    <m/>
    <n v="269.10000000000002"/>
    <n v="5"/>
    <n v="0"/>
    <x v="11"/>
    <n v="0"/>
    <n v="0"/>
    <m/>
    <x v="2"/>
  </r>
  <r>
    <n v="1267"/>
    <d v="2025-03-12T00:00:00"/>
    <n v="20"/>
    <s v="Female"/>
    <s v="South"/>
    <x v="0"/>
    <m/>
    <n v="239"/>
    <n v="3"/>
    <n v="0"/>
    <x v="11"/>
    <n v="0"/>
    <n v="0"/>
    <m/>
    <x v="2"/>
  </r>
  <r>
    <n v="2436"/>
    <d v="2025-03-12T00:00:00"/>
    <n v="36"/>
    <s v="Female"/>
    <s v="South"/>
    <x v="0"/>
    <m/>
    <n v="191"/>
    <n v="3"/>
    <n v="0"/>
    <x v="11"/>
    <n v="0"/>
    <n v="0"/>
    <m/>
    <x v="2"/>
  </r>
  <r>
    <n v="3680"/>
    <d v="2025-03-12T00:00:00"/>
    <n v="31"/>
    <s v="Female"/>
    <s v="North"/>
    <x v="0"/>
    <m/>
    <n v="175"/>
    <n v="7"/>
    <n v="0"/>
    <x v="11"/>
    <n v="0"/>
    <n v="0"/>
    <m/>
    <x v="2"/>
  </r>
  <r>
    <n v="4012"/>
    <d v="2025-03-12T00:00:00"/>
    <n v="36"/>
    <s v="Female"/>
    <s v="South"/>
    <x v="2"/>
    <m/>
    <n v="158.4"/>
    <n v="7"/>
    <n v="0"/>
    <x v="11"/>
    <n v="0"/>
    <n v="0"/>
    <m/>
    <x v="2"/>
  </r>
  <r>
    <n v="4824"/>
    <d v="2025-03-12T00:00:00"/>
    <n v="45"/>
    <s v="Male"/>
    <s v="East"/>
    <x v="0"/>
    <m/>
    <n v="150.1"/>
    <n v="5"/>
    <n v="0"/>
    <x v="11"/>
    <n v="0"/>
    <n v="0"/>
    <m/>
    <x v="2"/>
  </r>
  <r>
    <n v="2930"/>
    <d v="2025-03-12T00:00:00"/>
    <n v="40"/>
    <s v="Female"/>
    <s v="South"/>
    <x v="2"/>
    <m/>
    <n v="122.6"/>
    <n v="8"/>
    <n v="0"/>
    <x v="11"/>
    <n v="0"/>
    <n v="0"/>
    <m/>
    <x v="2"/>
  </r>
  <r>
    <n v="737"/>
    <d v="2025-03-12T00:00:00"/>
    <n v="29"/>
    <s v="Male"/>
    <s v="East"/>
    <x v="0"/>
    <m/>
    <n v="105.5"/>
    <n v="7"/>
    <n v="0"/>
    <x v="11"/>
    <n v="0"/>
    <n v="0"/>
    <m/>
    <x v="2"/>
  </r>
  <r>
    <n v="2841"/>
    <d v="2025-03-12T00:00:00"/>
    <n v="35"/>
    <s v="Female"/>
    <s v="East"/>
    <x v="3"/>
    <m/>
    <n v="102.6"/>
    <n v="5"/>
    <n v="0"/>
    <x v="11"/>
    <n v="0"/>
    <n v="0"/>
    <m/>
    <x v="2"/>
  </r>
  <r>
    <n v="3962"/>
    <d v="2025-03-12T00:00:00"/>
    <n v="38"/>
    <s v="Male"/>
    <s v="North"/>
    <x v="0"/>
    <m/>
    <n v="94.3"/>
    <n v="4"/>
    <n v="0"/>
    <x v="11"/>
    <n v="0"/>
    <n v="0"/>
    <m/>
    <x v="2"/>
  </r>
  <r>
    <n v="1919"/>
    <d v="2025-03-12T00:00:00"/>
    <n v="45"/>
    <s v="Male"/>
    <s v="East"/>
    <x v="1"/>
    <s v="CAMP2"/>
    <n v="74.400000000000006"/>
    <n v="6"/>
    <n v="0"/>
    <x v="11"/>
    <n v="0"/>
    <n v="0"/>
    <m/>
    <x v="2"/>
  </r>
  <r>
    <n v="4160"/>
    <d v="2025-04-12T00:00:00"/>
    <n v="43"/>
    <s v="Male"/>
    <s v="North"/>
    <x v="0"/>
    <m/>
    <n v="869.4"/>
    <n v="8"/>
    <n v="1"/>
    <x v="669"/>
    <n v="2"/>
    <n v="4"/>
    <n v="4"/>
    <x v="3"/>
  </r>
  <r>
    <n v="3686"/>
    <d v="2025-04-12T00:00:00"/>
    <n v="39"/>
    <s v="Female"/>
    <s v="North"/>
    <x v="0"/>
    <m/>
    <n v="535.20000000000005"/>
    <n v="7"/>
    <n v="1"/>
    <x v="670"/>
    <n v="3"/>
    <n v="8"/>
    <n v="4"/>
    <x v="3"/>
  </r>
  <r>
    <n v="2032"/>
    <d v="2025-04-12T00:00:00"/>
    <n v="18"/>
    <s v="Female"/>
    <s v="West"/>
    <x v="0"/>
    <m/>
    <n v="349.3"/>
    <n v="5"/>
    <n v="1"/>
    <x v="671"/>
    <n v="2"/>
    <n v="2"/>
    <n v="4"/>
    <x v="3"/>
  </r>
  <r>
    <n v="4293"/>
    <d v="2025-04-12T00:00:00"/>
    <n v="61"/>
    <s v="Female"/>
    <s v="South"/>
    <x v="0"/>
    <m/>
    <n v="699.7"/>
    <n v="6"/>
    <n v="1"/>
    <x v="672"/>
    <n v="4"/>
    <n v="8"/>
    <n v="4"/>
    <x v="3"/>
  </r>
  <r>
    <n v="3848"/>
    <d v="2025-04-12T00:00:00"/>
    <n v="61"/>
    <s v="Female"/>
    <s v="West"/>
    <x v="0"/>
    <m/>
    <n v="339.7"/>
    <n v="10"/>
    <n v="1"/>
    <x v="673"/>
    <n v="3"/>
    <n v="11"/>
    <n v="4"/>
    <x v="3"/>
  </r>
  <r>
    <n v="3778"/>
    <d v="2025-04-12T00:00:00"/>
    <n v="38"/>
    <s v="Male"/>
    <s v="North"/>
    <x v="3"/>
    <m/>
    <n v="160.1"/>
    <n v="8"/>
    <n v="1"/>
    <x v="674"/>
    <n v="7"/>
    <n v="10"/>
    <n v="4"/>
    <x v="3"/>
  </r>
  <r>
    <n v="94"/>
    <d v="2025-04-12T00:00:00"/>
    <n v="30"/>
    <s v="Male"/>
    <s v="South"/>
    <x v="0"/>
    <m/>
    <n v="485.1"/>
    <n v="2"/>
    <n v="1"/>
    <x v="675"/>
    <n v="3"/>
    <n v="7"/>
    <n v="5"/>
    <x v="3"/>
  </r>
  <r>
    <n v="1623"/>
    <d v="2025-04-12T00:00:00"/>
    <n v="25"/>
    <s v="Male"/>
    <s v="South"/>
    <x v="0"/>
    <m/>
    <n v="338.4"/>
    <n v="3"/>
    <n v="1"/>
    <x v="676"/>
    <n v="2"/>
    <n v="8"/>
    <n v="4"/>
    <x v="3"/>
  </r>
  <r>
    <n v="1144"/>
    <d v="2025-04-12T00:00:00"/>
    <n v="37"/>
    <s v="Male"/>
    <s v="East"/>
    <x v="0"/>
    <m/>
    <n v="531.6"/>
    <n v="4"/>
    <n v="1"/>
    <x v="677"/>
    <n v="3"/>
    <n v="7"/>
    <n v="4"/>
    <x v="3"/>
  </r>
  <r>
    <n v="3550"/>
    <d v="2025-04-12T00:00:00"/>
    <n v="29"/>
    <s v="Male"/>
    <s v="North"/>
    <x v="3"/>
    <m/>
    <n v="865"/>
    <n v="5"/>
    <n v="0"/>
    <x v="11"/>
    <n v="0"/>
    <n v="0"/>
    <m/>
    <x v="3"/>
  </r>
  <r>
    <n v="3427"/>
    <d v="2025-04-12T00:00:00"/>
    <n v="25"/>
    <s v="Male"/>
    <s v="West"/>
    <x v="1"/>
    <s v="CAMP7"/>
    <n v="548.4"/>
    <n v="5"/>
    <n v="0"/>
    <x v="11"/>
    <n v="0"/>
    <n v="0"/>
    <m/>
    <x v="3"/>
  </r>
  <r>
    <n v="2042"/>
    <d v="2025-04-12T00:00:00"/>
    <n v="38"/>
    <s v="Male"/>
    <s v="North"/>
    <x v="2"/>
    <m/>
    <n v="411.6"/>
    <n v="7"/>
    <n v="0"/>
    <x v="11"/>
    <n v="0"/>
    <n v="0"/>
    <m/>
    <x v="3"/>
  </r>
  <r>
    <n v="4048"/>
    <d v="2025-04-12T00:00:00"/>
    <n v="56"/>
    <s v="Male"/>
    <s v="South"/>
    <x v="3"/>
    <m/>
    <n v="345.2"/>
    <n v="4"/>
    <n v="0"/>
    <x v="11"/>
    <n v="0"/>
    <n v="0"/>
    <m/>
    <x v="3"/>
  </r>
  <r>
    <n v="1932"/>
    <d v="2025-04-12T00:00:00"/>
    <n v="28"/>
    <s v="Male"/>
    <s v="South"/>
    <x v="0"/>
    <m/>
    <n v="336.6"/>
    <n v="10"/>
    <n v="0"/>
    <x v="11"/>
    <n v="0"/>
    <n v="0"/>
    <m/>
    <x v="3"/>
  </r>
  <r>
    <n v="2968"/>
    <d v="2025-04-12T00:00:00"/>
    <n v="28"/>
    <s v="Male"/>
    <s v="East"/>
    <x v="0"/>
    <m/>
    <n v="334.1"/>
    <n v="6"/>
    <n v="0"/>
    <x v="11"/>
    <n v="0"/>
    <n v="0"/>
    <m/>
    <x v="3"/>
  </r>
  <r>
    <n v="4490"/>
    <d v="2025-04-12T00:00:00"/>
    <n v="49"/>
    <s v="Male"/>
    <s v="East"/>
    <x v="3"/>
    <m/>
    <n v="315"/>
    <n v="8"/>
    <n v="0"/>
    <x v="11"/>
    <n v="0"/>
    <n v="0"/>
    <m/>
    <x v="3"/>
  </r>
  <r>
    <n v="2815"/>
    <d v="2025-04-12T00:00:00"/>
    <n v="38"/>
    <s v="Male"/>
    <s v="South"/>
    <x v="1"/>
    <s v="CAMP2"/>
    <n v="287.5"/>
    <n v="5"/>
    <n v="0"/>
    <x v="11"/>
    <n v="0"/>
    <n v="0"/>
    <m/>
    <x v="3"/>
  </r>
  <r>
    <n v="4384"/>
    <d v="2025-04-12T00:00:00"/>
    <n v="67"/>
    <s v="Male"/>
    <s v="West"/>
    <x v="1"/>
    <s v="CAMP5"/>
    <n v="219.4"/>
    <n v="6"/>
    <n v="0"/>
    <x v="11"/>
    <n v="0"/>
    <n v="0"/>
    <m/>
    <x v="3"/>
  </r>
  <r>
    <n v="859"/>
    <d v="2025-04-12T00:00:00"/>
    <n v="28"/>
    <s v="Male"/>
    <s v="West"/>
    <x v="2"/>
    <m/>
    <n v="213.7"/>
    <n v="3"/>
    <n v="0"/>
    <x v="11"/>
    <n v="0"/>
    <n v="0"/>
    <m/>
    <x v="3"/>
  </r>
  <r>
    <n v="4111"/>
    <d v="2025-04-12T00:00:00"/>
    <n v="46"/>
    <s v="Female"/>
    <s v="South"/>
    <x v="1"/>
    <s v="CAMP6"/>
    <n v="162.5"/>
    <n v="9"/>
    <n v="0"/>
    <x v="11"/>
    <n v="0"/>
    <n v="0"/>
    <m/>
    <x v="3"/>
  </r>
  <r>
    <n v="1880"/>
    <d v="2025-04-12T00:00:00"/>
    <n v="37"/>
    <s v="Female"/>
    <s v="East"/>
    <x v="1"/>
    <s v="CAMP3"/>
    <n v="137.1"/>
    <n v="9"/>
    <n v="0"/>
    <x v="11"/>
    <n v="0"/>
    <n v="0"/>
    <m/>
    <x v="3"/>
  </r>
  <r>
    <n v="798"/>
    <d v="2025-04-12T00:00:00"/>
    <n v="29"/>
    <s v="Female"/>
    <s v="South"/>
    <x v="3"/>
    <m/>
    <n v="126.6"/>
    <n v="6"/>
    <n v="0"/>
    <x v="11"/>
    <n v="0"/>
    <n v="0"/>
    <m/>
    <x v="3"/>
  </r>
  <r>
    <n v="4556"/>
    <d v="2025-04-12T00:00:00"/>
    <n v="62"/>
    <s v="Male"/>
    <s v="South"/>
    <x v="0"/>
    <m/>
    <n v="72.7"/>
    <n v="6"/>
    <n v="0"/>
    <x v="11"/>
    <n v="0"/>
    <n v="0"/>
    <m/>
    <x v="3"/>
  </r>
  <r>
    <n v="2849"/>
    <d v="2025-04-12T00:00:00"/>
    <n v="34"/>
    <s v="Female"/>
    <s v="East"/>
    <x v="1"/>
    <s v="CAMP3"/>
    <n v="69.900000000000006"/>
    <n v="5"/>
    <n v="0"/>
    <x v="11"/>
    <n v="0"/>
    <n v="0"/>
    <m/>
    <x v="3"/>
  </r>
  <r>
    <n v="3416"/>
    <d v="2025-04-12T00:00:00"/>
    <n v="33"/>
    <s v="Female"/>
    <s v="East"/>
    <x v="1"/>
    <s v="CAMP1"/>
    <n v="54.9"/>
    <n v="7"/>
    <n v="0"/>
    <x v="11"/>
    <n v="0"/>
    <n v="0"/>
    <m/>
    <x v="3"/>
  </r>
  <r>
    <n v="969"/>
    <d v="2025-04-12T00:00:00"/>
    <n v="22"/>
    <s v="Male"/>
    <s v="South"/>
    <x v="0"/>
    <m/>
    <n v="39.299999999999997"/>
    <n v="6"/>
    <n v="0"/>
    <x v="11"/>
    <n v="0"/>
    <n v="0"/>
    <m/>
    <x v="3"/>
  </r>
  <r>
    <n v="4194"/>
    <d v="2025-05-12T00:00:00"/>
    <n v="49"/>
    <s v="Male"/>
    <s v="South"/>
    <x v="0"/>
    <m/>
    <n v="228.8"/>
    <n v="6"/>
    <n v="1"/>
    <x v="678"/>
    <n v="2"/>
    <n v="5"/>
    <n v="3"/>
    <x v="4"/>
  </r>
  <r>
    <n v="4590"/>
    <d v="2025-05-12T00:00:00"/>
    <n v="36"/>
    <s v="Female"/>
    <s v="West"/>
    <x v="0"/>
    <m/>
    <n v="606.29999999999995"/>
    <n v="7"/>
    <n v="1"/>
    <x v="679"/>
    <n v="2"/>
    <n v="10"/>
    <n v="4"/>
    <x v="4"/>
  </r>
  <r>
    <n v="1875"/>
    <d v="2025-05-12T00:00:00"/>
    <n v="28"/>
    <s v="Other"/>
    <s v="East"/>
    <x v="0"/>
    <m/>
    <n v="870.6"/>
    <n v="7"/>
    <n v="1"/>
    <x v="680"/>
    <n v="2"/>
    <n v="13"/>
    <n v="5"/>
    <x v="4"/>
  </r>
  <r>
    <n v="4989"/>
    <d v="2025-05-12T00:00:00"/>
    <n v="46"/>
    <s v="Female"/>
    <s v="East"/>
    <x v="0"/>
    <m/>
    <n v="852.6"/>
    <n v="8"/>
    <n v="1"/>
    <x v="681"/>
    <n v="2"/>
    <n v="6"/>
    <n v="4"/>
    <x v="4"/>
  </r>
  <r>
    <n v="3917"/>
    <d v="2025-05-12T00:00:00"/>
    <n v="21"/>
    <s v="Male"/>
    <s v="West"/>
    <x v="0"/>
    <m/>
    <n v="521.4"/>
    <n v="7"/>
    <n v="1"/>
    <x v="334"/>
    <n v="5"/>
    <n v="8"/>
    <n v="4"/>
    <x v="4"/>
  </r>
  <r>
    <n v="4226"/>
    <d v="2025-05-12T00:00:00"/>
    <n v="57"/>
    <s v="Male"/>
    <s v="North"/>
    <x v="2"/>
    <m/>
    <n v="348.9"/>
    <n v="8"/>
    <n v="1"/>
    <x v="682"/>
    <n v="3"/>
    <n v="13"/>
    <n v="4"/>
    <x v="4"/>
  </r>
  <r>
    <n v="4137"/>
    <d v="2025-05-12T00:00:00"/>
    <n v="54"/>
    <s v="Female"/>
    <s v="South"/>
    <x v="0"/>
    <m/>
    <n v="418.2"/>
    <n v="7"/>
    <n v="1"/>
    <x v="683"/>
    <n v="3"/>
    <n v="12"/>
    <n v="5"/>
    <x v="4"/>
  </r>
  <r>
    <n v="1004"/>
    <d v="2025-05-12T00:00:00"/>
    <n v="30"/>
    <s v="Female"/>
    <s v="West"/>
    <x v="1"/>
    <s v="CAMP5"/>
    <n v="577.6"/>
    <n v="8"/>
    <n v="1"/>
    <x v="118"/>
    <n v="3"/>
    <n v="13"/>
    <n v="4"/>
    <x v="4"/>
  </r>
  <r>
    <n v="1620"/>
    <d v="2025-05-12T00:00:00"/>
    <n v="25"/>
    <s v="Female"/>
    <s v="South"/>
    <x v="1"/>
    <s v="CAMP5"/>
    <n v="664.4"/>
    <n v="5"/>
    <n v="1"/>
    <x v="684"/>
    <n v="2"/>
    <n v="11"/>
    <n v="4"/>
    <x v="4"/>
  </r>
  <r>
    <n v="1318"/>
    <d v="2025-05-12T00:00:00"/>
    <n v="35"/>
    <s v="Female"/>
    <s v="West"/>
    <x v="0"/>
    <m/>
    <n v="628.6"/>
    <n v="5"/>
    <n v="0"/>
    <x v="11"/>
    <n v="0"/>
    <n v="0"/>
    <m/>
    <x v="4"/>
  </r>
  <r>
    <n v="3"/>
    <d v="2025-05-12T00:00:00"/>
    <n v="23"/>
    <s v="Female"/>
    <s v="West"/>
    <x v="1"/>
    <s v="CAMP4"/>
    <n v="620"/>
    <n v="8"/>
    <n v="0"/>
    <x v="11"/>
    <n v="0"/>
    <n v="0"/>
    <m/>
    <x v="4"/>
  </r>
  <r>
    <n v="2913"/>
    <d v="2025-05-12T00:00:00"/>
    <n v="35"/>
    <s v="Female"/>
    <s v="East"/>
    <x v="0"/>
    <m/>
    <n v="473.1"/>
    <n v="5"/>
    <n v="0"/>
    <x v="11"/>
    <n v="0"/>
    <n v="0"/>
    <m/>
    <x v="4"/>
  </r>
  <r>
    <n v="3017"/>
    <d v="2025-05-12T00:00:00"/>
    <n v="56"/>
    <s v="Male"/>
    <s v="East"/>
    <x v="1"/>
    <s v="CAMP5"/>
    <n v="455.3"/>
    <n v="5"/>
    <n v="0"/>
    <x v="11"/>
    <n v="0"/>
    <n v="0"/>
    <m/>
    <x v="4"/>
  </r>
  <r>
    <n v="973"/>
    <d v="2025-05-12T00:00:00"/>
    <n v="19"/>
    <s v="Male"/>
    <s v="East"/>
    <x v="0"/>
    <m/>
    <n v="445.8"/>
    <n v="5"/>
    <n v="0"/>
    <x v="11"/>
    <n v="0"/>
    <n v="0"/>
    <m/>
    <x v="4"/>
  </r>
  <r>
    <n v="76"/>
    <d v="2025-05-12T00:00:00"/>
    <n v="28"/>
    <s v="Female"/>
    <s v="West"/>
    <x v="0"/>
    <m/>
    <n v="426.3"/>
    <n v="7"/>
    <n v="0"/>
    <x v="11"/>
    <n v="0"/>
    <n v="0"/>
    <m/>
    <x v="4"/>
  </r>
  <r>
    <n v="4424"/>
    <d v="2025-05-12T00:00:00"/>
    <n v="54"/>
    <s v="Female"/>
    <s v="West"/>
    <x v="1"/>
    <s v="CAMP4"/>
    <n v="384.1"/>
    <n v="4"/>
    <n v="0"/>
    <x v="11"/>
    <n v="0"/>
    <n v="0"/>
    <m/>
    <x v="4"/>
  </r>
  <r>
    <n v="1987"/>
    <d v="2025-05-12T00:00:00"/>
    <n v="44"/>
    <s v="Female"/>
    <s v="South"/>
    <x v="1"/>
    <s v="CAMP1"/>
    <n v="378"/>
    <n v="6"/>
    <n v="0"/>
    <x v="11"/>
    <n v="0"/>
    <n v="0"/>
    <m/>
    <x v="4"/>
  </r>
  <r>
    <n v="3895"/>
    <d v="2025-05-12T00:00:00"/>
    <n v="57"/>
    <s v="Female"/>
    <s v="East"/>
    <x v="1"/>
    <s v="CAMP2"/>
    <n v="313.7"/>
    <n v="4"/>
    <n v="0"/>
    <x v="11"/>
    <n v="0"/>
    <n v="0"/>
    <m/>
    <x v="4"/>
  </r>
  <r>
    <n v="3125"/>
    <d v="2025-05-12T00:00:00"/>
    <n v="32"/>
    <s v="Female"/>
    <s v="West"/>
    <x v="0"/>
    <m/>
    <n v="289"/>
    <n v="7"/>
    <n v="0"/>
    <x v="11"/>
    <n v="0"/>
    <n v="0"/>
    <m/>
    <x v="4"/>
  </r>
  <r>
    <n v="3220"/>
    <d v="2025-05-12T00:00:00"/>
    <n v="35"/>
    <s v="Female"/>
    <s v="East"/>
    <x v="3"/>
    <m/>
    <n v="288.39999999999998"/>
    <n v="7"/>
    <n v="0"/>
    <x v="11"/>
    <n v="0"/>
    <n v="0"/>
    <m/>
    <x v="4"/>
  </r>
  <r>
    <n v="3774"/>
    <d v="2025-05-12T00:00:00"/>
    <n v="57"/>
    <s v="Female"/>
    <s v="East"/>
    <x v="0"/>
    <m/>
    <n v="283.3"/>
    <n v="7"/>
    <n v="0"/>
    <x v="11"/>
    <n v="0"/>
    <n v="0"/>
    <m/>
    <x v="4"/>
  </r>
  <r>
    <n v="720"/>
    <d v="2025-05-12T00:00:00"/>
    <n v="24"/>
    <s v="Male"/>
    <s v="East"/>
    <x v="1"/>
    <s v="CAMP6"/>
    <n v="259.60000000000002"/>
    <n v="4"/>
    <n v="0"/>
    <x v="11"/>
    <n v="0"/>
    <n v="0"/>
    <m/>
    <x v="4"/>
  </r>
  <r>
    <n v="87"/>
    <d v="2025-05-12T00:00:00"/>
    <n v="33"/>
    <s v="Female"/>
    <s v="South"/>
    <x v="2"/>
    <m/>
    <n v="245.2"/>
    <n v="4"/>
    <n v="0"/>
    <x v="11"/>
    <n v="0"/>
    <n v="0"/>
    <m/>
    <x v="4"/>
  </r>
  <r>
    <n v="2370"/>
    <d v="2025-05-12T00:00:00"/>
    <n v="45"/>
    <s v="Male"/>
    <s v="East"/>
    <x v="0"/>
    <m/>
    <n v="236.1"/>
    <n v="11"/>
    <n v="0"/>
    <x v="11"/>
    <n v="0"/>
    <n v="0"/>
    <m/>
    <x v="4"/>
  </r>
  <r>
    <n v="2138"/>
    <d v="2025-05-12T00:00:00"/>
    <n v="46"/>
    <s v="Male"/>
    <s v="South"/>
    <x v="3"/>
    <m/>
    <n v="220.7"/>
    <n v="10"/>
    <n v="0"/>
    <x v="11"/>
    <n v="0"/>
    <n v="0"/>
    <m/>
    <x v="4"/>
  </r>
  <r>
    <n v="1860"/>
    <d v="2025-05-12T00:00:00"/>
    <n v="33"/>
    <s v="Male"/>
    <s v="North"/>
    <x v="0"/>
    <m/>
    <n v="185.4"/>
    <n v="5"/>
    <n v="0"/>
    <x v="11"/>
    <n v="0"/>
    <n v="0"/>
    <m/>
    <x v="4"/>
  </r>
  <r>
    <n v="2827"/>
    <d v="2025-05-12T00:00:00"/>
    <n v="48"/>
    <s v="Male"/>
    <s v="North"/>
    <x v="0"/>
    <m/>
    <n v="179.9"/>
    <n v="6"/>
    <n v="0"/>
    <x v="11"/>
    <n v="0"/>
    <n v="0"/>
    <m/>
    <x v="4"/>
  </r>
  <r>
    <n v="4987"/>
    <d v="2025-05-12T00:00:00"/>
    <n v="40"/>
    <s v="Male"/>
    <s v="West"/>
    <x v="0"/>
    <m/>
    <n v="165.3"/>
    <n v="2"/>
    <n v="0"/>
    <x v="11"/>
    <n v="0"/>
    <n v="0"/>
    <m/>
    <x v="4"/>
  </r>
  <r>
    <n v="4450"/>
    <d v="2025-05-12T00:00:00"/>
    <n v="49"/>
    <s v="Male"/>
    <s v="North"/>
    <x v="3"/>
    <m/>
    <n v="163.5"/>
    <n v="5"/>
    <n v="0"/>
    <x v="11"/>
    <n v="0"/>
    <n v="0"/>
    <m/>
    <x v="4"/>
  </r>
  <r>
    <n v="1896"/>
    <d v="2025-05-12T00:00:00"/>
    <n v="47"/>
    <s v="Female"/>
    <s v="North"/>
    <x v="1"/>
    <s v="CAMP6"/>
    <n v="148"/>
    <n v="6"/>
    <n v="0"/>
    <x v="11"/>
    <n v="0"/>
    <n v="0"/>
    <m/>
    <x v="4"/>
  </r>
  <r>
    <n v="4149"/>
    <d v="2025-05-12T00:00:00"/>
    <n v="39"/>
    <s v="Male"/>
    <s v="South"/>
    <x v="0"/>
    <m/>
    <n v="142"/>
    <n v="7"/>
    <n v="0"/>
    <x v="11"/>
    <n v="0"/>
    <n v="0"/>
    <m/>
    <x v="4"/>
  </r>
  <r>
    <n v="2027"/>
    <d v="2025-05-12T00:00:00"/>
    <n v="38"/>
    <s v="Male"/>
    <s v="West"/>
    <x v="0"/>
    <m/>
    <n v="114.6"/>
    <n v="4"/>
    <n v="0"/>
    <x v="11"/>
    <n v="0"/>
    <n v="0"/>
    <m/>
    <x v="4"/>
  </r>
  <r>
    <n v="160"/>
    <d v="2025-05-12T00:00:00"/>
    <n v="21"/>
    <s v="Male"/>
    <s v="East"/>
    <x v="0"/>
    <m/>
    <n v="108.9"/>
    <n v="7"/>
    <n v="0"/>
    <x v="11"/>
    <n v="0"/>
    <n v="0"/>
    <m/>
    <x v="4"/>
  </r>
  <r>
    <n v="1365"/>
    <d v="2025-05-12T00:00:00"/>
    <n v="24"/>
    <s v="Female"/>
    <s v="North"/>
    <x v="1"/>
    <s v="CAMP2"/>
    <n v="90.9"/>
    <n v="5"/>
    <n v="0"/>
    <x v="11"/>
    <n v="0"/>
    <n v="0"/>
    <m/>
    <x v="4"/>
  </r>
  <r>
    <n v="985"/>
    <d v="2025-05-12T00:00:00"/>
    <n v="23"/>
    <s v="Female"/>
    <s v="North"/>
    <x v="3"/>
    <m/>
    <n v="81.099999999999994"/>
    <n v="7"/>
    <n v="0"/>
    <x v="11"/>
    <n v="0"/>
    <n v="0"/>
    <m/>
    <x v="4"/>
  </r>
  <r>
    <n v="1990"/>
    <d v="2025-05-12T00:00:00"/>
    <n v="29"/>
    <s v="Male"/>
    <s v="West"/>
    <x v="1"/>
    <s v="CAMP2"/>
    <n v="63.1"/>
    <n v="3"/>
    <n v="0"/>
    <x v="11"/>
    <n v="0"/>
    <n v="0"/>
    <m/>
    <x v="4"/>
  </r>
  <r>
    <n v="3882"/>
    <d v="2025-05-12T00:00:00"/>
    <n v="53"/>
    <s v="Male"/>
    <s v="North"/>
    <x v="0"/>
    <m/>
    <n v="55.4"/>
    <n v="4"/>
    <n v="0"/>
    <x v="11"/>
    <n v="0"/>
    <n v="0"/>
    <m/>
    <x v="4"/>
  </r>
  <r>
    <n v="2957"/>
    <d v="2025-05-12T00:00:00"/>
    <n v="35"/>
    <s v="Female"/>
    <s v="North"/>
    <x v="0"/>
    <m/>
    <n v="43.7"/>
    <n v="6"/>
    <n v="0"/>
    <x v="11"/>
    <n v="0"/>
    <n v="0"/>
    <m/>
    <x v="4"/>
  </r>
  <r>
    <n v="2926"/>
    <d v="2025-06-12T00:00:00"/>
    <n v="29"/>
    <s v="Female"/>
    <s v="North"/>
    <x v="3"/>
    <m/>
    <n v="478"/>
    <n v="7"/>
    <n v="1"/>
    <x v="685"/>
    <n v="2"/>
    <n v="11"/>
    <n v="4"/>
    <x v="5"/>
  </r>
  <r>
    <n v="948"/>
    <d v="2025-06-12T00:00:00"/>
    <n v="28"/>
    <s v="Male"/>
    <s v="South"/>
    <x v="0"/>
    <m/>
    <n v="366.8"/>
    <n v="6"/>
    <n v="1"/>
    <x v="686"/>
    <n v="3"/>
    <n v="12"/>
    <n v="3"/>
    <x v="5"/>
  </r>
  <r>
    <n v="569"/>
    <d v="2025-06-12T00:00:00"/>
    <n v="19"/>
    <s v="Female"/>
    <s v="East"/>
    <x v="2"/>
    <m/>
    <n v="305.89999999999998"/>
    <n v="3"/>
    <n v="1"/>
    <x v="687"/>
    <n v="5"/>
    <n v="2"/>
    <n v="4"/>
    <x v="5"/>
  </r>
  <r>
    <n v="193"/>
    <d v="2025-06-12T00:00:00"/>
    <n v="24"/>
    <s v="Female"/>
    <s v="West"/>
    <x v="1"/>
    <s v="CAMP5"/>
    <n v="438.1"/>
    <n v="7"/>
    <n v="1"/>
    <x v="688"/>
    <n v="3"/>
    <n v="9"/>
    <n v="5"/>
    <x v="5"/>
  </r>
  <r>
    <n v="4338"/>
    <d v="2025-06-12T00:00:00"/>
    <n v="61"/>
    <s v="Male"/>
    <s v="North"/>
    <x v="0"/>
    <m/>
    <n v="369.8"/>
    <n v="7"/>
    <n v="1"/>
    <x v="689"/>
    <n v="2"/>
    <n v="14"/>
    <n v="5"/>
    <x v="5"/>
  </r>
  <r>
    <n v="3289"/>
    <d v="2025-06-12T00:00:00"/>
    <n v="27"/>
    <s v="Male"/>
    <s v="North"/>
    <x v="1"/>
    <s v="CAMP1"/>
    <n v="924.7"/>
    <n v="6"/>
    <n v="1"/>
    <x v="690"/>
    <n v="4"/>
    <n v="3"/>
    <n v="4"/>
    <x v="5"/>
  </r>
  <r>
    <n v="3741"/>
    <d v="2025-06-12T00:00:00"/>
    <n v="33"/>
    <s v="Male"/>
    <s v="East"/>
    <x v="1"/>
    <s v="CAMP5"/>
    <n v="357.8"/>
    <n v="4"/>
    <n v="1"/>
    <x v="691"/>
    <n v="3"/>
    <n v="12"/>
    <n v="5"/>
    <x v="5"/>
  </r>
  <r>
    <n v="1782"/>
    <d v="2025-06-12T00:00:00"/>
    <n v="30"/>
    <s v="Female"/>
    <s v="North"/>
    <x v="0"/>
    <m/>
    <n v="651.5"/>
    <n v="4"/>
    <n v="1"/>
    <x v="692"/>
    <n v="4"/>
    <n v="2"/>
    <n v="5"/>
    <x v="5"/>
  </r>
  <r>
    <n v="402"/>
    <d v="2025-06-12T00:00:00"/>
    <n v="30"/>
    <s v="Female"/>
    <s v="East"/>
    <x v="3"/>
    <m/>
    <n v="48"/>
    <n v="1"/>
    <n v="1"/>
    <x v="693"/>
    <n v="1"/>
    <n v="13"/>
    <n v="5"/>
    <x v="5"/>
  </r>
  <r>
    <n v="3772"/>
    <d v="2025-06-12T00:00:00"/>
    <n v="53"/>
    <s v="Male"/>
    <s v="South"/>
    <x v="0"/>
    <m/>
    <n v="585.9"/>
    <n v="10"/>
    <n v="1"/>
    <x v="694"/>
    <n v="4"/>
    <n v="12"/>
    <n v="5"/>
    <x v="5"/>
  </r>
  <r>
    <n v="2426"/>
    <d v="2025-06-12T00:00:00"/>
    <n v="18"/>
    <s v="Female"/>
    <s v="South"/>
    <x v="3"/>
    <m/>
    <n v="460.7"/>
    <n v="6"/>
    <n v="1"/>
    <x v="695"/>
    <n v="2"/>
    <n v="9"/>
    <n v="3"/>
    <x v="5"/>
  </r>
  <r>
    <n v="2233"/>
    <d v="2025-06-12T00:00:00"/>
    <n v="38"/>
    <s v="Female"/>
    <s v="South"/>
    <x v="0"/>
    <m/>
    <n v="638.20000000000005"/>
    <n v="6"/>
    <n v="0"/>
    <x v="11"/>
    <n v="0"/>
    <n v="0"/>
    <m/>
    <x v="5"/>
  </r>
  <r>
    <n v="486"/>
    <d v="2025-06-12T00:00:00"/>
    <n v="21"/>
    <s v="Male"/>
    <s v="West"/>
    <x v="0"/>
    <m/>
    <n v="573.4"/>
    <n v="4"/>
    <n v="0"/>
    <x v="11"/>
    <n v="0"/>
    <n v="0"/>
    <m/>
    <x v="5"/>
  </r>
  <r>
    <n v="368"/>
    <d v="2025-06-12T00:00:00"/>
    <n v="23"/>
    <s v="Female"/>
    <s v="South"/>
    <x v="0"/>
    <m/>
    <n v="525.29999999999995"/>
    <n v="8"/>
    <n v="0"/>
    <x v="11"/>
    <n v="0"/>
    <n v="0"/>
    <m/>
    <x v="5"/>
  </r>
  <r>
    <n v="4788"/>
    <d v="2025-06-12T00:00:00"/>
    <n v="48"/>
    <s v="Male"/>
    <s v="East"/>
    <x v="1"/>
    <s v="CAMP3"/>
    <n v="494.4"/>
    <n v="7"/>
    <n v="0"/>
    <x v="11"/>
    <n v="0"/>
    <n v="0"/>
    <m/>
    <x v="5"/>
  </r>
  <r>
    <n v="2357"/>
    <d v="2025-06-12T00:00:00"/>
    <n v="32"/>
    <s v="Male"/>
    <s v="East"/>
    <x v="3"/>
    <m/>
    <n v="247.9"/>
    <n v="5"/>
    <n v="0"/>
    <x v="11"/>
    <n v="0"/>
    <n v="0"/>
    <m/>
    <x v="5"/>
  </r>
  <r>
    <n v="3395"/>
    <d v="2025-06-12T00:00:00"/>
    <n v="35"/>
    <s v="Female"/>
    <s v="North"/>
    <x v="0"/>
    <m/>
    <n v="219.2"/>
    <n v="8"/>
    <n v="0"/>
    <x v="11"/>
    <n v="0"/>
    <n v="0"/>
    <m/>
    <x v="5"/>
  </r>
  <r>
    <n v="1357"/>
    <d v="2025-06-12T00:00:00"/>
    <n v="28"/>
    <s v="Female"/>
    <s v="East"/>
    <x v="1"/>
    <s v="CAMP6"/>
    <n v="161.5"/>
    <n v="5"/>
    <n v="0"/>
    <x v="11"/>
    <n v="0"/>
    <n v="0"/>
    <m/>
    <x v="5"/>
  </r>
  <r>
    <n v="4124"/>
    <d v="2025-06-12T00:00:00"/>
    <n v="51"/>
    <s v="Male"/>
    <s v="East"/>
    <x v="0"/>
    <m/>
    <n v="160.9"/>
    <n v="7"/>
    <n v="0"/>
    <x v="11"/>
    <n v="0"/>
    <n v="0"/>
    <m/>
    <x v="5"/>
  </r>
  <r>
    <n v="1560"/>
    <d v="2025-06-12T00:00:00"/>
    <n v="28"/>
    <s v="Female"/>
    <s v="West"/>
    <x v="1"/>
    <s v="CAMP7"/>
    <n v="160.1"/>
    <n v="6"/>
    <n v="0"/>
    <x v="11"/>
    <n v="0"/>
    <n v="0"/>
    <m/>
    <x v="5"/>
  </r>
  <r>
    <n v="3976"/>
    <d v="2025-06-12T00:00:00"/>
    <n v="45"/>
    <s v="Male"/>
    <s v="East"/>
    <x v="0"/>
    <m/>
    <n v="143.6"/>
    <n v="5"/>
    <n v="0"/>
    <x v="11"/>
    <n v="0"/>
    <n v="0"/>
    <m/>
    <x v="5"/>
  </r>
  <r>
    <n v="409"/>
    <d v="2025-06-12T00:00:00"/>
    <n v="18"/>
    <s v="Female"/>
    <s v="East"/>
    <x v="3"/>
    <m/>
    <n v="116"/>
    <n v="7"/>
    <n v="0"/>
    <x v="11"/>
    <n v="0"/>
    <n v="0"/>
    <m/>
    <x v="5"/>
  </r>
  <r>
    <n v="1605"/>
    <d v="2025-01-13T00:00:00"/>
    <n v="35"/>
    <s v="Male"/>
    <s v="North"/>
    <x v="0"/>
    <m/>
    <n v="503.9"/>
    <n v="6"/>
    <n v="1"/>
    <x v="696"/>
    <n v="4"/>
    <n v="4"/>
    <n v="4"/>
    <x v="0"/>
  </r>
  <r>
    <n v="2172"/>
    <d v="2025-01-13T00:00:00"/>
    <n v="28"/>
    <s v="Male"/>
    <s v="East"/>
    <x v="0"/>
    <m/>
    <n v="719.8"/>
    <n v="2"/>
    <n v="1"/>
    <x v="697"/>
    <n v="3"/>
    <n v="10"/>
    <n v="5"/>
    <x v="0"/>
  </r>
  <r>
    <n v="4382"/>
    <d v="2025-01-13T00:00:00"/>
    <n v="66"/>
    <s v="Male"/>
    <s v="West"/>
    <x v="1"/>
    <s v="CAMP4"/>
    <n v="1051.9000000000001"/>
    <n v="2"/>
    <n v="1"/>
    <x v="698"/>
    <n v="6"/>
    <n v="6"/>
    <n v="3"/>
    <x v="0"/>
  </r>
  <r>
    <n v="2402"/>
    <d v="2025-01-13T00:00:00"/>
    <n v="34"/>
    <s v="Male"/>
    <s v="West"/>
    <x v="3"/>
    <m/>
    <n v="182.7"/>
    <n v="10"/>
    <n v="1"/>
    <x v="699"/>
    <n v="3"/>
    <n v="8"/>
    <n v="3"/>
    <x v="0"/>
  </r>
  <r>
    <n v="355"/>
    <d v="2025-01-13T00:00:00"/>
    <n v="20"/>
    <s v="Male"/>
    <s v="East"/>
    <x v="0"/>
    <m/>
    <n v="336.1"/>
    <n v="8"/>
    <n v="1"/>
    <x v="345"/>
    <n v="4"/>
    <n v="7"/>
    <n v="5"/>
    <x v="0"/>
  </r>
  <r>
    <n v="2884"/>
    <d v="2025-01-13T00:00:00"/>
    <n v="30"/>
    <s v="Female"/>
    <s v="East"/>
    <x v="1"/>
    <s v="CAMP1"/>
    <n v="709.2"/>
    <n v="3"/>
    <n v="1"/>
    <x v="700"/>
    <n v="2"/>
    <n v="15"/>
    <n v="3"/>
    <x v="0"/>
  </r>
  <r>
    <n v="3291"/>
    <d v="2025-01-13T00:00:00"/>
    <n v="37"/>
    <s v="Female"/>
    <s v="North"/>
    <x v="1"/>
    <s v="CAMP2"/>
    <n v="1006"/>
    <n v="4"/>
    <n v="1"/>
    <x v="701"/>
    <n v="2"/>
    <n v="9"/>
    <n v="5"/>
    <x v="0"/>
  </r>
  <r>
    <n v="3308"/>
    <d v="2025-01-13T00:00:00"/>
    <n v="23"/>
    <s v="Male"/>
    <s v="East"/>
    <x v="0"/>
    <m/>
    <n v="588.6"/>
    <n v="3"/>
    <n v="1"/>
    <x v="702"/>
    <n v="1"/>
    <n v="1"/>
    <n v="4"/>
    <x v="0"/>
  </r>
  <r>
    <n v="4802"/>
    <d v="2025-01-13T00:00:00"/>
    <n v="59"/>
    <s v="Male"/>
    <s v="East"/>
    <x v="0"/>
    <m/>
    <n v="719.9"/>
    <n v="2"/>
    <n v="1"/>
    <x v="703"/>
    <n v="1"/>
    <n v="9"/>
    <n v="5"/>
    <x v="0"/>
  </r>
  <r>
    <n v="3870"/>
    <d v="2025-01-13T00:00:00"/>
    <n v="48"/>
    <s v="Male"/>
    <s v="East"/>
    <x v="2"/>
    <m/>
    <n v="159.19999999999999"/>
    <n v="4"/>
    <n v="1"/>
    <x v="704"/>
    <n v="6"/>
    <n v="8"/>
    <n v="4"/>
    <x v="0"/>
  </r>
  <r>
    <n v="3175"/>
    <d v="2025-01-13T00:00:00"/>
    <n v="49"/>
    <s v="Female"/>
    <s v="West"/>
    <x v="0"/>
    <m/>
    <n v="1056"/>
    <n v="5"/>
    <n v="1"/>
    <x v="705"/>
    <n v="3"/>
    <n v="11"/>
    <n v="4"/>
    <x v="0"/>
  </r>
  <r>
    <n v="375"/>
    <d v="2025-01-13T00:00:00"/>
    <n v="19"/>
    <s v="Male"/>
    <s v="East"/>
    <x v="1"/>
    <s v="CAMP5"/>
    <n v="720"/>
    <n v="6"/>
    <n v="1"/>
    <x v="706"/>
    <n v="3"/>
    <n v="14"/>
    <n v="4"/>
    <x v="0"/>
  </r>
  <r>
    <n v="3792"/>
    <d v="2025-01-13T00:00:00"/>
    <n v="50"/>
    <s v="Male"/>
    <s v="East"/>
    <x v="1"/>
    <s v="CAMP4"/>
    <n v="273.39999999999998"/>
    <n v="10"/>
    <n v="1"/>
    <x v="707"/>
    <n v="2"/>
    <n v="13"/>
    <n v="3"/>
    <x v="0"/>
  </r>
  <r>
    <n v="2885"/>
    <d v="2025-01-13T00:00:00"/>
    <n v="23"/>
    <s v="Male"/>
    <s v="West"/>
    <x v="0"/>
    <m/>
    <n v="313.39999999999998"/>
    <n v="13"/>
    <n v="1"/>
    <x v="27"/>
    <n v="2"/>
    <n v="6"/>
    <n v="4"/>
    <x v="0"/>
  </r>
  <r>
    <n v="370"/>
    <d v="2025-01-13T00:00:00"/>
    <n v="18"/>
    <s v="Female"/>
    <s v="South"/>
    <x v="1"/>
    <s v="CAMP3"/>
    <n v="317.39999999999998"/>
    <n v="7"/>
    <n v="1"/>
    <x v="236"/>
    <n v="3"/>
    <n v="9"/>
    <n v="4"/>
    <x v="0"/>
  </r>
  <r>
    <n v="1799"/>
    <d v="2025-01-13T00:00:00"/>
    <n v="38"/>
    <s v="Female"/>
    <s v="West"/>
    <x v="3"/>
    <m/>
    <n v="193.7"/>
    <n v="4"/>
    <n v="1"/>
    <x v="708"/>
    <n v="2"/>
    <n v="11"/>
    <n v="3"/>
    <x v="0"/>
  </r>
  <r>
    <n v="2047"/>
    <d v="2025-01-13T00:00:00"/>
    <n v="38"/>
    <s v="Female"/>
    <s v="South"/>
    <x v="0"/>
    <m/>
    <n v="338.9"/>
    <n v="7"/>
    <n v="1"/>
    <x v="709"/>
    <n v="1"/>
    <n v="2"/>
    <n v="4"/>
    <x v="0"/>
  </r>
  <r>
    <n v="1607"/>
    <d v="2025-01-13T00:00:00"/>
    <n v="23"/>
    <s v="Female"/>
    <s v="South"/>
    <x v="1"/>
    <s v="CAMP7"/>
    <n v="626.20000000000005"/>
    <n v="6"/>
    <n v="0"/>
    <x v="11"/>
    <n v="0"/>
    <n v="0"/>
    <m/>
    <x v="0"/>
  </r>
  <r>
    <n v="1188"/>
    <d v="2025-01-13T00:00:00"/>
    <n v="25"/>
    <s v="Female"/>
    <s v="West"/>
    <x v="0"/>
    <m/>
    <n v="513.5"/>
    <n v="9"/>
    <n v="0"/>
    <x v="11"/>
    <n v="0"/>
    <n v="0"/>
    <m/>
    <x v="0"/>
  </r>
  <r>
    <n v="2280"/>
    <d v="2025-01-13T00:00:00"/>
    <n v="35"/>
    <s v="Male"/>
    <s v="East"/>
    <x v="0"/>
    <m/>
    <n v="512.9"/>
    <n v="9"/>
    <n v="0"/>
    <x v="11"/>
    <n v="0"/>
    <n v="0"/>
    <m/>
    <x v="0"/>
  </r>
  <r>
    <n v="3519"/>
    <d v="2025-01-13T00:00:00"/>
    <n v="30"/>
    <s v="Male"/>
    <s v="West"/>
    <x v="0"/>
    <m/>
    <n v="512.5"/>
    <n v="5"/>
    <n v="0"/>
    <x v="11"/>
    <n v="0"/>
    <n v="0"/>
    <m/>
    <x v="0"/>
  </r>
  <r>
    <n v="2587"/>
    <d v="2025-01-13T00:00:00"/>
    <n v="35"/>
    <s v="Female"/>
    <s v="East"/>
    <x v="1"/>
    <s v="CAMP4"/>
    <n v="507.3"/>
    <n v="4"/>
    <n v="0"/>
    <x v="11"/>
    <n v="0"/>
    <n v="0"/>
    <m/>
    <x v="0"/>
  </r>
  <r>
    <n v="3039"/>
    <d v="2025-01-13T00:00:00"/>
    <n v="24"/>
    <s v="Female"/>
    <s v="North"/>
    <x v="3"/>
    <m/>
    <n v="465.7"/>
    <n v="2"/>
    <n v="0"/>
    <x v="11"/>
    <n v="0"/>
    <n v="0"/>
    <m/>
    <x v="0"/>
  </r>
  <r>
    <n v="3850"/>
    <d v="2025-01-13T00:00:00"/>
    <n v="42"/>
    <s v="Male"/>
    <s v="North"/>
    <x v="0"/>
    <m/>
    <n v="367.1"/>
    <n v="7"/>
    <n v="0"/>
    <x v="11"/>
    <n v="0"/>
    <n v="0"/>
    <m/>
    <x v="0"/>
  </r>
  <r>
    <n v="4781"/>
    <d v="2025-01-13T00:00:00"/>
    <n v="53"/>
    <s v="Female"/>
    <s v="South"/>
    <x v="1"/>
    <s v="CAMP5"/>
    <n v="345.5"/>
    <n v="7"/>
    <n v="0"/>
    <x v="11"/>
    <n v="0"/>
    <n v="0"/>
    <m/>
    <x v="0"/>
  </r>
  <r>
    <n v="1191"/>
    <d v="2025-01-13T00:00:00"/>
    <n v="27"/>
    <s v="Male"/>
    <s v="North"/>
    <x v="2"/>
    <m/>
    <n v="314.89999999999998"/>
    <n v="6"/>
    <n v="0"/>
    <x v="11"/>
    <n v="0"/>
    <n v="0"/>
    <m/>
    <x v="0"/>
  </r>
  <r>
    <n v="3266"/>
    <d v="2025-01-13T00:00:00"/>
    <n v="47"/>
    <s v="Male"/>
    <s v="West"/>
    <x v="0"/>
    <m/>
    <n v="275.89999999999998"/>
    <n v="9"/>
    <n v="0"/>
    <x v="11"/>
    <n v="0"/>
    <n v="0"/>
    <m/>
    <x v="0"/>
  </r>
  <r>
    <n v="1339"/>
    <d v="2025-01-13T00:00:00"/>
    <n v="22"/>
    <s v="Male"/>
    <s v="South"/>
    <x v="2"/>
    <m/>
    <n v="271.5"/>
    <n v="3"/>
    <n v="0"/>
    <x v="11"/>
    <n v="0"/>
    <n v="0"/>
    <m/>
    <x v="0"/>
  </r>
  <r>
    <n v="4113"/>
    <d v="2025-01-13T00:00:00"/>
    <n v="45"/>
    <s v="Male"/>
    <s v="East"/>
    <x v="3"/>
    <m/>
    <n v="234.5"/>
    <n v="3"/>
    <n v="0"/>
    <x v="11"/>
    <n v="0"/>
    <n v="0"/>
    <m/>
    <x v="0"/>
  </r>
  <r>
    <n v="4863"/>
    <d v="2025-01-13T00:00:00"/>
    <n v="54"/>
    <s v="Male"/>
    <s v="South"/>
    <x v="1"/>
    <s v="CAMP5"/>
    <n v="175.2"/>
    <n v="4"/>
    <n v="0"/>
    <x v="11"/>
    <n v="0"/>
    <n v="0"/>
    <m/>
    <x v="0"/>
  </r>
  <r>
    <n v="2342"/>
    <d v="2025-01-13T00:00:00"/>
    <n v="43"/>
    <s v="Female"/>
    <s v="East"/>
    <x v="2"/>
    <m/>
    <n v="170.6"/>
    <n v="3"/>
    <n v="0"/>
    <x v="11"/>
    <n v="0"/>
    <n v="0"/>
    <m/>
    <x v="0"/>
  </r>
  <r>
    <n v="3512"/>
    <d v="2025-01-13T00:00:00"/>
    <n v="43"/>
    <s v="Male"/>
    <s v="West"/>
    <x v="3"/>
    <m/>
    <n v="170.5"/>
    <n v="7"/>
    <n v="0"/>
    <x v="11"/>
    <n v="0"/>
    <n v="0"/>
    <m/>
    <x v="0"/>
  </r>
  <r>
    <n v="3140"/>
    <d v="2025-01-13T00:00:00"/>
    <n v="45"/>
    <s v="Female"/>
    <s v="East"/>
    <x v="1"/>
    <s v="CAMP3"/>
    <n v="170"/>
    <n v="6"/>
    <n v="0"/>
    <x v="11"/>
    <n v="0"/>
    <n v="0"/>
    <m/>
    <x v="0"/>
  </r>
  <r>
    <n v="1696"/>
    <d v="2025-01-13T00:00:00"/>
    <n v="20"/>
    <s v="Female"/>
    <s v="West"/>
    <x v="0"/>
    <m/>
    <n v="138.6"/>
    <n v="7"/>
    <n v="0"/>
    <x v="11"/>
    <n v="0"/>
    <n v="0"/>
    <m/>
    <x v="0"/>
  </r>
  <r>
    <n v="1998"/>
    <d v="2025-01-13T00:00:00"/>
    <n v="53"/>
    <s v="Female"/>
    <s v="North"/>
    <x v="0"/>
    <m/>
    <n v="132.9"/>
    <n v="2"/>
    <n v="0"/>
    <x v="11"/>
    <n v="0"/>
    <n v="0"/>
    <m/>
    <x v="0"/>
  </r>
  <r>
    <n v="4995"/>
    <d v="2025-01-13T00:00:00"/>
    <n v="40"/>
    <s v="Male"/>
    <s v="North"/>
    <x v="1"/>
    <s v="CAMP4"/>
    <n v="119.7"/>
    <n v="5"/>
    <n v="0"/>
    <x v="11"/>
    <n v="0"/>
    <n v="0"/>
    <m/>
    <x v="0"/>
  </r>
  <r>
    <n v="3401"/>
    <d v="2025-01-13T00:00:00"/>
    <n v="42"/>
    <s v="Male"/>
    <s v="South"/>
    <x v="1"/>
    <s v="CAMP2"/>
    <n v="92.5"/>
    <n v="5"/>
    <n v="0"/>
    <x v="11"/>
    <n v="0"/>
    <n v="0"/>
    <m/>
    <x v="0"/>
  </r>
  <r>
    <n v="4732"/>
    <d v="2025-01-13T00:00:00"/>
    <n v="62"/>
    <s v="Female"/>
    <s v="South"/>
    <x v="0"/>
    <m/>
    <n v="86.4"/>
    <n v="9"/>
    <n v="0"/>
    <x v="11"/>
    <n v="0"/>
    <n v="0"/>
    <m/>
    <x v="0"/>
  </r>
  <r>
    <n v="851"/>
    <d v="2025-01-13T00:00:00"/>
    <n v="24"/>
    <s v="Male"/>
    <s v="North"/>
    <x v="0"/>
    <m/>
    <n v="72.5"/>
    <n v="4"/>
    <n v="0"/>
    <x v="11"/>
    <n v="0"/>
    <n v="0"/>
    <m/>
    <x v="0"/>
  </r>
  <r>
    <n v="3019"/>
    <d v="2025-01-13T00:00:00"/>
    <n v="44"/>
    <s v="Male"/>
    <s v="West"/>
    <x v="3"/>
    <m/>
    <n v="51.2"/>
    <n v="6"/>
    <n v="0"/>
    <x v="11"/>
    <n v="0"/>
    <n v="0"/>
    <m/>
    <x v="0"/>
  </r>
  <r>
    <n v="1798"/>
    <d v="2025-01-13T00:00:00"/>
    <n v="36"/>
    <s v="Male"/>
    <s v="West"/>
    <x v="1"/>
    <s v="CAMP6"/>
    <n v="47.9"/>
    <n v="7"/>
    <n v="0"/>
    <x v="11"/>
    <n v="0"/>
    <n v="0"/>
    <m/>
    <x v="0"/>
  </r>
  <r>
    <n v="190"/>
    <d v="2025-02-13T00:00:00"/>
    <n v="25"/>
    <s v="Female"/>
    <s v="South"/>
    <x v="3"/>
    <m/>
    <n v="1006.6"/>
    <n v="7"/>
    <n v="1"/>
    <x v="710"/>
    <n v="1"/>
    <n v="9"/>
    <n v="4"/>
    <x v="1"/>
  </r>
  <r>
    <n v="4573"/>
    <d v="2025-02-13T00:00:00"/>
    <n v="46"/>
    <s v="Male"/>
    <s v="North"/>
    <x v="0"/>
    <m/>
    <n v="1265.4000000000001"/>
    <n v="3"/>
    <n v="1"/>
    <x v="711"/>
    <n v="1"/>
    <n v="6"/>
    <n v="4"/>
    <x v="1"/>
  </r>
  <r>
    <n v="638"/>
    <d v="2025-02-13T00:00:00"/>
    <n v="29"/>
    <s v="Female"/>
    <s v="West"/>
    <x v="2"/>
    <m/>
    <n v="840.8"/>
    <n v="3"/>
    <n v="1"/>
    <x v="712"/>
    <n v="2"/>
    <n v="1"/>
    <n v="4"/>
    <x v="1"/>
  </r>
  <r>
    <n v="1277"/>
    <d v="2025-02-13T00:00:00"/>
    <n v="22"/>
    <s v="Female"/>
    <s v="West"/>
    <x v="1"/>
    <s v="CAMP7"/>
    <n v="248.4"/>
    <n v="8"/>
    <n v="1"/>
    <x v="713"/>
    <n v="1"/>
    <n v="3"/>
    <n v="4"/>
    <x v="1"/>
  </r>
  <r>
    <n v="2589"/>
    <d v="2025-02-13T00:00:00"/>
    <n v="40"/>
    <s v="Female"/>
    <s v="South"/>
    <x v="2"/>
    <m/>
    <n v="410.3"/>
    <n v="8"/>
    <n v="1"/>
    <x v="714"/>
    <n v="5"/>
    <n v="2"/>
    <n v="4"/>
    <x v="1"/>
  </r>
  <r>
    <n v="3227"/>
    <d v="2025-02-13T00:00:00"/>
    <n v="44"/>
    <s v="Female"/>
    <s v="West"/>
    <x v="2"/>
    <m/>
    <n v="345.3"/>
    <n v="7"/>
    <n v="1"/>
    <x v="715"/>
    <n v="4"/>
    <n v="3"/>
    <n v="3"/>
    <x v="1"/>
  </r>
  <r>
    <n v="2240"/>
    <d v="2025-02-13T00:00:00"/>
    <n v="33"/>
    <s v="Male"/>
    <s v="East"/>
    <x v="3"/>
    <m/>
    <n v="725.4"/>
    <n v="9"/>
    <n v="1"/>
    <x v="716"/>
    <n v="2"/>
    <n v="13"/>
    <n v="5"/>
    <x v="1"/>
  </r>
  <r>
    <n v="1754"/>
    <d v="2025-02-13T00:00:00"/>
    <n v="39"/>
    <s v="Female"/>
    <s v="West"/>
    <x v="1"/>
    <s v="CAMP1"/>
    <n v="1016.5"/>
    <n v="6"/>
    <n v="1"/>
    <x v="717"/>
    <n v="1"/>
    <n v="9"/>
    <n v="5"/>
    <x v="1"/>
  </r>
  <r>
    <n v="4894"/>
    <d v="2025-02-13T00:00:00"/>
    <n v="50"/>
    <s v="Female"/>
    <s v="North"/>
    <x v="0"/>
    <m/>
    <n v="1131.9000000000001"/>
    <n v="7"/>
    <n v="1"/>
    <x v="27"/>
    <n v="1"/>
    <n v="7"/>
    <n v="5"/>
    <x v="1"/>
  </r>
  <r>
    <n v="2156"/>
    <d v="2025-02-13T00:00:00"/>
    <n v="36"/>
    <s v="Female"/>
    <s v="South"/>
    <x v="0"/>
    <m/>
    <n v="563.20000000000005"/>
    <n v="7"/>
    <n v="1"/>
    <x v="718"/>
    <n v="3"/>
    <n v="6"/>
    <n v="3"/>
    <x v="1"/>
  </r>
  <r>
    <n v="3112"/>
    <d v="2025-02-13T00:00:00"/>
    <n v="38"/>
    <s v="Female"/>
    <s v="South"/>
    <x v="1"/>
    <s v="CAMP1"/>
    <n v="872.4"/>
    <n v="6"/>
    <n v="1"/>
    <x v="719"/>
    <n v="4"/>
    <n v="3"/>
    <n v="4"/>
    <x v="1"/>
  </r>
  <r>
    <n v="4440"/>
    <d v="2025-02-13T00:00:00"/>
    <n v="53"/>
    <s v="Male"/>
    <s v="North"/>
    <x v="1"/>
    <s v="CAMP4"/>
    <n v="806"/>
    <n v="5"/>
    <n v="0"/>
    <x v="11"/>
    <n v="0"/>
    <n v="0"/>
    <m/>
    <x v="1"/>
  </r>
  <r>
    <n v="3350"/>
    <d v="2025-02-13T00:00:00"/>
    <n v="30"/>
    <s v="Female"/>
    <s v="East"/>
    <x v="0"/>
    <m/>
    <n v="716.9"/>
    <n v="3"/>
    <n v="0"/>
    <x v="11"/>
    <n v="0"/>
    <n v="0"/>
    <m/>
    <x v="1"/>
  </r>
  <r>
    <n v="2852"/>
    <d v="2025-02-13T00:00:00"/>
    <n v="30"/>
    <s v="Female"/>
    <s v="South"/>
    <x v="1"/>
    <s v="CAMP1"/>
    <n v="529.5"/>
    <n v="7"/>
    <n v="0"/>
    <x v="11"/>
    <n v="0"/>
    <n v="0"/>
    <m/>
    <x v="1"/>
  </r>
  <r>
    <n v="4982"/>
    <d v="2025-02-13T00:00:00"/>
    <n v="49"/>
    <s v="Male"/>
    <s v="East"/>
    <x v="0"/>
    <m/>
    <n v="486.6"/>
    <n v="5"/>
    <n v="0"/>
    <x v="11"/>
    <n v="0"/>
    <n v="0"/>
    <m/>
    <x v="1"/>
  </r>
  <r>
    <n v="226"/>
    <d v="2025-02-13T00:00:00"/>
    <n v="24"/>
    <s v="Female"/>
    <s v="North"/>
    <x v="3"/>
    <m/>
    <n v="465.9"/>
    <n v="4"/>
    <n v="0"/>
    <x v="11"/>
    <n v="0"/>
    <n v="0"/>
    <m/>
    <x v="1"/>
  </r>
  <r>
    <n v="2786"/>
    <d v="2025-02-13T00:00:00"/>
    <n v="33"/>
    <s v="Male"/>
    <s v="North"/>
    <x v="1"/>
    <s v="CAMP7"/>
    <n v="351.8"/>
    <n v="6"/>
    <n v="0"/>
    <x v="11"/>
    <n v="0"/>
    <n v="0"/>
    <m/>
    <x v="1"/>
  </r>
  <r>
    <n v="4779"/>
    <d v="2025-02-13T00:00:00"/>
    <n v="47"/>
    <s v="Female"/>
    <s v="East"/>
    <x v="0"/>
    <m/>
    <n v="343.3"/>
    <n v="9"/>
    <n v="0"/>
    <x v="11"/>
    <n v="0"/>
    <n v="0"/>
    <m/>
    <x v="1"/>
  </r>
  <r>
    <n v="1720"/>
    <d v="2025-02-13T00:00:00"/>
    <n v="20"/>
    <s v="Female"/>
    <s v="West"/>
    <x v="0"/>
    <m/>
    <n v="287.2"/>
    <n v="8"/>
    <n v="0"/>
    <x v="11"/>
    <n v="0"/>
    <n v="0"/>
    <m/>
    <x v="1"/>
  </r>
  <r>
    <n v="4167"/>
    <d v="2025-02-13T00:00:00"/>
    <n v="61"/>
    <s v="Male"/>
    <s v="East"/>
    <x v="0"/>
    <m/>
    <n v="281.3"/>
    <n v="6"/>
    <n v="0"/>
    <x v="11"/>
    <n v="0"/>
    <n v="0"/>
    <m/>
    <x v="1"/>
  </r>
  <r>
    <n v="156"/>
    <d v="2025-02-13T00:00:00"/>
    <n v="22"/>
    <s v="Female"/>
    <s v="South"/>
    <x v="0"/>
    <m/>
    <n v="280.8"/>
    <n v="9"/>
    <n v="0"/>
    <x v="11"/>
    <n v="0"/>
    <n v="0"/>
    <m/>
    <x v="1"/>
  </r>
  <r>
    <n v="4022"/>
    <d v="2025-02-13T00:00:00"/>
    <n v="57"/>
    <s v="Male"/>
    <s v="North"/>
    <x v="3"/>
    <m/>
    <n v="262.7"/>
    <n v="2"/>
    <n v="0"/>
    <x v="11"/>
    <n v="0"/>
    <n v="0"/>
    <m/>
    <x v="1"/>
  </r>
  <r>
    <n v="2768"/>
    <d v="2025-02-13T00:00:00"/>
    <n v="33"/>
    <s v="Female"/>
    <s v="East"/>
    <x v="1"/>
    <s v="CAMP4"/>
    <n v="253.4"/>
    <n v="4"/>
    <n v="0"/>
    <x v="11"/>
    <n v="0"/>
    <n v="0"/>
    <m/>
    <x v="1"/>
  </r>
  <r>
    <n v="3409"/>
    <d v="2025-02-13T00:00:00"/>
    <n v="28"/>
    <s v="Female"/>
    <s v="South"/>
    <x v="1"/>
    <s v="CAMP5"/>
    <n v="216.4"/>
    <n v="8"/>
    <n v="0"/>
    <x v="11"/>
    <n v="0"/>
    <n v="0"/>
    <m/>
    <x v="1"/>
  </r>
  <r>
    <n v="3387"/>
    <d v="2025-02-13T00:00:00"/>
    <n v="24"/>
    <s v="Male"/>
    <s v="North"/>
    <x v="1"/>
    <s v="CAMP5"/>
    <n v="209.5"/>
    <n v="7"/>
    <n v="0"/>
    <x v="11"/>
    <n v="0"/>
    <n v="0"/>
    <m/>
    <x v="1"/>
  </r>
  <r>
    <n v="694"/>
    <d v="2025-02-13T00:00:00"/>
    <n v="18"/>
    <s v="Female"/>
    <s v="West"/>
    <x v="1"/>
    <s v="CAMP2"/>
    <n v="182.4"/>
    <n v="8"/>
    <n v="0"/>
    <x v="11"/>
    <n v="0"/>
    <n v="0"/>
    <m/>
    <x v="1"/>
  </r>
  <r>
    <n v="586"/>
    <d v="2025-02-13T00:00:00"/>
    <n v="29"/>
    <s v="Male"/>
    <s v="North"/>
    <x v="0"/>
    <m/>
    <n v="151.9"/>
    <n v="5"/>
    <n v="0"/>
    <x v="11"/>
    <n v="0"/>
    <n v="0"/>
    <m/>
    <x v="1"/>
  </r>
  <r>
    <n v="152"/>
    <d v="2025-02-13T00:00:00"/>
    <n v="26"/>
    <s v="Male"/>
    <s v="South"/>
    <x v="2"/>
    <m/>
    <n v="138.6"/>
    <n v="4"/>
    <n v="0"/>
    <x v="11"/>
    <n v="0"/>
    <n v="0"/>
    <m/>
    <x v="1"/>
  </r>
  <r>
    <n v="890"/>
    <d v="2025-02-13T00:00:00"/>
    <n v="19"/>
    <s v="Female"/>
    <s v="North"/>
    <x v="0"/>
    <m/>
    <n v="121.5"/>
    <n v="6"/>
    <n v="0"/>
    <x v="11"/>
    <n v="0"/>
    <n v="0"/>
    <m/>
    <x v="1"/>
  </r>
  <r>
    <n v="1519"/>
    <d v="2025-02-13T00:00:00"/>
    <n v="25"/>
    <s v="Female"/>
    <s v="West"/>
    <x v="2"/>
    <m/>
    <n v="110.8"/>
    <n v="4"/>
    <n v="0"/>
    <x v="11"/>
    <n v="0"/>
    <n v="0"/>
    <m/>
    <x v="1"/>
  </r>
  <r>
    <n v="1846"/>
    <d v="2025-02-13T00:00:00"/>
    <n v="51"/>
    <s v="Male"/>
    <s v="East"/>
    <x v="3"/>
    <m/>
    <n v="103.6"/>
    <n v="3"/>
    <n v="0"/>
    <x v="11"/>
    <n v="0"/>
    <n v="0"/>
    <m/>
    <x v="1"/>
  </r>
  <r>
    <n v="2224"/>
    <d v="2025-02-13T00:00:00"/>
    <n v="30"/>
    <s v="Female"/>
    <s v="East"/>
    <x v="0"/>
    <m/>
    <n v="69"/>
    <n v="5"/>
    <n v="0"/>
    <x v="11"/>
    <n v="0"/>
    <n v="0"/>
    <m/>
    <x v="1"/>
  </r>
  <r>
    <n v="1487"/>
    <d v="2025-03-13T00:00:00"/>
    <n v="21"/>
    <s v="Female"/>
    <s v="South"/>
    <x v="0"/>
    <m/>
    <n v="597.20000000000005"/>
    <n v="3"/>
    <n v="1"/>
    <x v="720"/>
    <n v="2"/>
    <n v="4"/>
    <n v="4"/>
    <x v="2"/>
  </r>
  <r>
    <n v="2994"/>
    <d v="2025-03-13T00:00:00"/>
    <n v="39"/>
    <s v="Female"/>
    <s v="West"/>
    <x v="0"/>
    <m/>
    <n v="847.5"/>
    <n v="4"/>
    <n v="1"/>
    <x v="165"/>
    <n v="4"/>
    <n v="4"/>
    <n v="5"/>
    <x v="2"/>
  </r>
  <r>
    <n v="4444"/>
    <d v="2025-03-13T00:00:00"/>
    <n v="35"/>
    <s v="Male"/>
    <s v="North"/>
    <x v="0"/>
    <m/>
    <n v="410.8"/>
    <n v="4"/>
    <n v="1"/>
    <x v="721"/>
    <n v="1"/>
    <n v="6"/>
    <n v="4"/>
    <x v="2"/>
  </r>
  <r>
    <n v="4242"/>
    <d v="2025-03-13T00:00:00"/>
    <n v="51"/>
    <s v="Male"/>
    <s v="East"/>
    <x v="0"/>
    <m/>
    <n v="202.7"/>
    <n v="8"/>
    <n v="1"/>
    <x v="310"/>
    <n v="5"/>
    <n v="12"/>
    <n v="4"/>
    <x v="2"/>
  </r>
  <r>
    <n v="3998"/>
    <d v="2025-03-13T00:00:00"/>
    <n v="47"/>
    <s v="Female"/>
    <s v="West"/>
    <x v="1"/>
    <s v="CAMP5"/>
    <n v="411.7"/>
    <n v="8"/>
    <n v="1"/>
    <x v="722"/>
    <n v="2"/>
    <n v="2"/>
    <n v="4"/>
    <x v="2"/>
  </r>
  <r>
    <n v="4374"/>
    <d v="2025-03-13T00:00:00"/>
    <n v="58"/>
    <s v="Female"/>
    <s v="South"/>
    <x v="0"/>
    <m/>
    <n v="118"/>
    <n v="5"/>
    <n v="1"/>
    <x v="723"/>
    <n v="3"/>
    <n v="3"/>
    <n v="4"/>
    <x v="2"/>
  </r>
  <r>
    <n v="1659"/>
    <d v="2025-03-13T00:00:00"/>
    <n v="24"/>
    <s v="Male"/>
    <s v="South"/>
    <x v="1"/>
    <s v="CAMP4"/>
    <n v="396"/>
    <n v="8"/>
    <n v="1"/>
    <x v="724"/>
    <n v="1"/>
    <n v="2"/>
    <n v="4"/>
    <x v="2"/>
  </r>
  <r>
    <n v="1291"/>
    <d v="2025-03-13T00:00:00"/>
    <n v="20"/>
    <s v="Male"/>
    <s v="East"/>
    <x v="3"/>
    <m/>
    <n v="1035.5"/>
    <n v="7"/>
    <n v="1"/>
    <x v="725"/>
    <n v="2"/>
    <n v="15"/>
    <n v="4"/>
    <x v="2"/>
  </r>
  <r>
    <n v="1506"/>
    <d v="2025-03-13T00:00:00"/>
    <n v="34"/>
    <s v="Male"/>
    <s v="North"/>
    <x v="3"/>
    <m/>
    <n v="239.9"/>
    <n v="6"/>
    <n v="1"/>
    <x v="726"/>
    <n v="3"/>
    <n v="9"/>
    <n v="4"/>
    <x v="2"/>
  </r>
  <r>
    <n v="1227"/>
    <d v="2025-03-13T00:00:00"/>
    <n v="21"/>
    <s v="Female"/>
    <s v="West"/>
    <x v="1"/>
    <s v="CAMP2"/>
    <n v="689.6"/>
    <n v="10"/>
    <n v="1"/>
    <x v="335"/>
    <n v="3"/>
    <n v="2"/>
    <n v="4"/>
    <x v="2"/>
  </r>
  <r>
    <n v="2306"/>
    <d v="2025-03-13T00:00:00"/>
    <n v="40"/>
    <s v="Male"/>
    <s v="North"/>
    <x v="2"/>
    <m/>
    <n v="1080.9000000000001"/>
    <n v="3"/>
    <n v="1"/>
    <x v="727"/>
    <n v="3"/>
    <n v="7"/>
    <n v="4"/>
    <x v="2"/>
  </r>
  <r>
    <n v="1637"/>
    <d v="2025-03-13T00:00:00"/>
    <n v="18"/>
    <s v="Male"/>
    <s v="North"/>
    <x v="0"/>
    <m/>
    <n v="820.8"/>
    <n v="5"/>
    <n v="1"/>
    <x v="728"/>
    <n v="1"/>
    <n v="13"/>
    <n v="4"/>
    <x v="2"/>
  </r>
  <r>
    <n v="345"/>
    <d v="2025-03-13T00:00:00"/>
    <n v="23"/>
    <s v="Female"/>
    <s v="East"/>
    <x v="2"/>
    <m/>
    <n v="233.4"/>
    <n v="3"/>
    <n v="1"/>
    <x v="729"/>
    <n v="3"/>
    <n v="12"/>
    <n v="3"/>
    <x v="2"/>
  </r>
  <r>
    <n v="3652"/>
    <d v="2025-03-13T00:00:00"/>
    <n v="34"/>
    <s v="Male"/>
    <s v="West"/>
    <x v="0"/>
    <m/>
    <n v="411.3"/>
    <n v="7"/>
    <n v="1"/>
    <x v="730"/>
    <n v="2"/>
    <n v="6"/>
    <n v="4"/>
    <x v="2"/>
  </r>
  <r>
    <n v="678"/>
    <d v="2025-03-13T00:00:00"/>
    <n v="24"/>
    <s v="Male"/>
    <s v="North"/>
    <x v="0"/>
    <m/>
    <n v="862.6"/>
    <n v="5"/>
    <n v="0"/>
    <x v="11"/>
    <n v="0"/>
    <n v="0"/>
    <m/>
    <x v="2"/>
  </r>
  <r>
    <n v="3093"/>
    <d v="2025-03-13T00:00:00"/>
    <n v="48"/>
    <s v="Female"/>
    <s v="East"/>
    <x v="3"/>
    <m/>
    <n v="598.79999999999995"/>
    <n v="5"/>
    <n v="0"/>
    <x v="11"/>
    <n v="0"/>
    <n v="0"/>
    <m/>
    <x v="2"/>
  </r>
  <r>
    <n v="1693"/>
    <d v="2025-03-13T00:00:00"/>
    <n v="21"/>
    <s v="Female"/>
    <s v="North"/>
    <x v="0"/>
    <m/>
    <n v="541.79999999999995"/>
    <n v="3"/>
    <n v="0"/>
    <x v="11"/>
    <n v="0"/>
    <n v="0"/>
    <m/>
    <x v="2"/>
  </r>
  <r>
    <n v="4295"/>
    <d v="2025-03-13T00:00:00"/>
    <n v="59"/>
    <s v="Female"/>
    <s v="South"/>
    <x v="0"/>
    <m/>
    <n v="420.1"/>
    <n v="4"/>
    <n v="0"/>
    <x v="11"/>
    <n v="0"/>
    <n v="0"/>
    <m/>
    <x v="2"/>
  </r>
  <r>
    <n v="2672"/>
    <d v="2025-03-13T00:00:00"/>
    <n v="53"/>
    <s v="Male"/>
    <s v="East"/>
    <x v="2"/>
    <m/>
    <n v="409.4"/>
    <n v="7"/>
    <n v="0"/>
    <x v="11"/>
    <n v="0"/>
    <n v="0"/>
    <m/>
    <x v="2"/>
  </r>
  <r>
    <n v="3970"/>
    <d v="2025-03-13T00:00:00"/>
    <n v="56"/>
    <s v="Female"/>
    <s v="West"/>
    <x v="0"/>
    <m/>
    <n v="329.2"/>
    <n v="5"/>
    <n v="0"/>
    <x v="11"/>
    <n v="0"/>
    <n v="0"/>
    <m/>
    <x v="2"/>
  </r>
  <r>
    <n v="894"/>
    <d v="2025-03-13T00:00:00"/>
    <n v="25"/>
    <s v="Male"/>
    <s v="South"/>
    <x v="2"/>
    <m/>
    <n v="311.8"/>
    <n v="6"/>
    <n v="0"/>
    <x v="11"/>
    <n v="0"/>
    <n v="0"/>
    <m/>
    <x v="2"/>
  </r>
  <r>
    <n v="4466"/>
    <d v="2025-03-13T00:00:00"/>
    <n v="33"/>
    <s v="Male"/>
    <s v="East"/>
    <x v="0"/>
    <m/>
    <n v="287.60000000000002"/>
    <n v="8"/>
    <n v="0"/>
    <x v="11"/>
    <n v="0"/>
    <n v="0"/>
    <m/>
    <x v="2"/>
  </r>
  <r>
    <n v="2835"/>
    <d v="2025-03-13T00:00:00"/>
    <n v="42"/>
    <s v="Female"/>
    <s v="South"/>
    <x v="1"/>
    <s v="CAMP6"/>
    <n v="283.8"/>
    <n v="7"/>
    <n v="0"/>
    <x v="11"/>
    <n v="0"/>
    <n v="0"/>
    <m/>
    <x v="2"/>
  </r>
  <r>
    <n v="1107"/>
    <d v="2025-03-13T00:00:00"/>
    <n v="31"/>
    <s v="Male"/>
    <s v="West"/>
    <x v="1"/>
    <s v="CAMP6"/>
    <n v="269.2"/>
    <n v="2"/>
    <n v="0"/>
    <x v="11"/>
    <n v="0"/>
    <n v="0"/>
    <m/>
    <x v="2"/>
  </r>
  <r>
    <n v="3049"/>
    <d v="2025-03-13T00:00:00"/>
    <n v="40"/>
    <s v="Female"/>
    <s v="North"/>
    <x v="3"/>
    <m/>
    <n v="239.2"/>
    <n v="7"/>
    <n v="0"/>
    <x v="11"/>
    <n v="0"/>
    <n v="0"/>
    <m/>
    <x v="2"/>
  </r>
  <r>
    <n v="2318"/>
    <d v="2025-03-13T00:00:00"/>
    <n v="32"/>
    <s v="Female"/>
    <s v="West"/>
    <x v="0"/>
    <m/>
    <n v="228.8"/>
    <n v="3"/>
    <n v="0"/>
    <x v="11"/>
    <n v="0"/>
    <n v="0"/>
    <m/>
    <x v="2"/>
  </r>
  <r>
    <n v="3871"/>
    <d v="2025-03-13T00:00:00"/>
    <n v="52"/>
    <s v="Male"/>
    <s v="East"/>
    <x v="0"/>
    <m/>
    <n v="215.2"/>
    <n v="4"/>
    <n v="0"/>
    <x v="11"/>
    <n v="0"/>
    <n v="0"/>
    <m/>
    <x v="2"/>
  </r>
  <r>
    <n v="2467"/>
    <d v="2025-03-13T00:00:00"/>
    <n v="31"/>
    <s v="Female"/>
    <s v="West"/>
    <x v="0"/>
    <m/>
    <n v="210"/>
    <n v="8"/>
    <n v="0"/>
    <x v="11"/>
    <n v="0"/>
    <n v="0"/>
    <m/>
    <x v="2"/>
  </r>
  <r>
    <n v="774"/>
    <d v="2025-03-13T00:00:00"/>
    <n v="25"/>
    <s v="Male"/>
    <s v="West"/>
    <x v="1"/>
    <s v="CAMP7"/>
    <n v="207.4"/>
    <n v="6"/>
    <n v="0"/>
    <x v="11"/>
    <n v="0"/>
    <n v="0"/>
    <m/>
    <x v="2"/>
  </r>
  <r>
    <n v="818"/>
    <d v="2025-03-13T00:00:00"/>
    <n v="29"/>
    <s v="Female"/>
    <s v="East"/>
    <x v="2"/>
    <m/>
    <n v="164.7"/>
    <n v="3"/>
    <n v="0"/>
    <x v="11"/>
    <n v="0"/>
    <n v="0"/>
    <m/>
    <x v="2"/>
  </r>
  <r>
    <n v="3781"/>
    <d v="2025-03-13T00:00:00"/>
    <n v="52"/>
    <s v="Male"/>
    <s v="South"/>
    <x v="1"/>
    <s v="CAMP1"/>
    <n v="154.69999999999999"/>
    <n v="9"/>
    <n v="0"/>
    <x v="11"/>
    <n v="0"/>
    <n v="0"/>
    <m/>
    <x v="2"/>
  </r>
  <r>
    <n v="2100"/>
    <d v="2025-03-13T00:00:00"/>
    <n v="45"/>
    <s v="Male"/>
    <s v="North"/>
    <x v="0"/>
    <m/>
    <n v="151.69999999999999"/>
    <n v="11"/>
    <n v="0"/>
    <x v="11"/>
    <n v="0"/>
    <n v="0"/>
    <m/>
    <x v="2"/>
  </r>
  <r>
    <n v="573"/>
    <d v="2025-03-13T00:00:00"/>
    <n v="24"/>
    <s v="Male"/>
    <s v="East"/>
    <x v="1"/>
    <s v="CAMP4"/>
    <n v="116.7"/>
    <n v="7"/>
    <n v="0"/>
    <x v="11"/>
    <n v="0"/>
    <n v="0"/>
    <m/>
    <x v="2"/>
  </r>
  <r>
    <n v="4027"/>
    <d v="2025-03-13T00:00:00"/>
    <n v="46"/>
    <s v="Male"/>
    <s v="West"/>
    <x v="0"/>
    <m/>
    <n v="101.3"/>
    <n v="5"/>
    <n v="0"/>
    <x v="11"/>
    <n v="0"/>
    <n v="0"/>
    <m/>
    <x v="2"/>
  </r>
  <r>
    <n v="3916"/>
    <d v="2025-03-13T00:00:00"/>
    <n v="41"/>
    <s v="Female"/>
    <s v="West"/>
    <x v="1"/>
    <s v="CAMP2"/>
    <n v="96.6"/>
    <n v="6"/>
    <n v="0"/>
    <x v="11"/>
    <n v="0"/>
    <n v="0"/>
    <m/>
    <x v="2"/>
  </r>
  <r>
    <n v="2725"/>
    <d v="2025-03-13T00:00:00"/>
    <n v="25"/>
    <s v="Male"/>
    <s v="North"/>
    <x v="0"/>
    <m/>
    <n v="95.2"/>
    <n v="10"/>
    <n v="0"/>
    <x v="11"/>
    <n v="0"/>
    <n v="0"/>
    <m/>
    <x v="2"/>
  </r>
  <r>
    <n v="1770"/>
    <d v="2025-03-13T00:00:00"/>
    <n v="27"/>
    <s v="Male"/>
    <s v="East"/>
    <x v="0"/>
    <m/>
    <n v="81.7"/>
    <n v="6"/>
    <n v="0"/>
    <x v="11"/>
    <n v="0"/>
    <n v="0"/>
    <m/>
    <x v="2"/>
  </r>
  <r>
    <n v="824"/>
    <d v="2025-03-13T00:00:00"/>
    <n v="26"/>
    <s v="Female"/>
    <s v="East"/>
    <x v="0"/>
    <m/>
    <n v="60.3"/>
    <n v="5"/>
    <n v="0"/>
    <x v="11"/>
    <n v="0"/>
    <n v="0"/>
    <m/>
    <x v="2"/>
  </r>
  <r>
    <n v="4951"/>
    <d v="2025-03-13T00:00:00"/>
    <n v="41"/>
    <s v="Female"/>
    <s v="East"/>
    <x v="0"/>
    <m/>
    <n v="48.9"/>
    <n v="6"/>
    <n v="0"/>
    <x v="11"/>
    <n v="0"/>
    <n v="0"/>
    <m/>
    <x v="2"/>
  </r>
  <r>
    <n v="4938"/>
    <d v="2025-04-13T00:00:00"/>
    <n v="44"/>
    <s v="Female"/>
    <s v="West"/>
    <x v="0"/>
    <m/>
    <n v="365.3"/>
    <n v="6"/>
    <n v="1"/>
    <x v="657"/>
    <n v="2"/>
    <n v="8"/>
    <n v="4"/>
    <x v="3"/>
  </r>
  <r>
    <n v="1293"/>
    <d v="2025-04-13T00:00:00"/>
    <n v="27"/>
    <s v="Female"/>
    <s v="East"/>
    <x v="1"/>
    <s v="CAMP7"/>
    <n v="266.3"/>
    <n v="4"/>
    <n v="1"/>
    <x v="731"/>
    <n v="3"/>
    <n v="4"/>
    <n v="5"/>
    <x v="3"/>
  </r>
  <r>
    <n v="4359"/>
    <d v="2025-04-13T00:00:00"/>
    <n v="65"/>
    <s v="Female"/>
    <s v="South"/>
    <x v="0"/>
    <m/>
    <n v="367.8"/>
    <n v="11"/>
    <n v="1"/>
    <x v="732"/>
    <n v="3"/>
    <n v="9"/>
    <n v="5"/>
    <x v="3"/>
  </r>
  <r>
    <n v="687"/>
    <d v="2025-04-13T00:00:00"/>
    <n v="30"/>
    <s v="Male"/>
    <s v="West"/>
    <x v="1"/>
    <s v="CAMP2"/>
    <n v="513.6"/>
    <n v="3"/>
    <n v="1"/>
    <x v="733"/>
    <n v="2"/>
    <n v="4"/>
    <n v="5"/>
    <x v="3"/>
  </r>
  <r>
    <n v="1018"/>
    <d v="2025-04-13T00:00:00"/>
    <n v="28"/>
    <s v="Male"/>
    <s v="North"/>
    <x v="3"/>
    <m/>
    <n v="196.9"/>
    <n v="7"/>
    <n v="1"/>
    <x v="734"/>
    <n v="2"/>
    <n v="12"/>
    <n v="4"/>
    <x v="3"/>
  </r>
  <r>
    <n v="1454"/>
    <d v="2025-04-13T00:00:00"/>
    <n v="29"/>
    <s v="Male"/>
    <s v="East"/>
    <x v="2"/>
    <m/>
    <n v="135.5"/>
    <n v="7"/>
    <n v="1"/>
    <x v="735"/>
    <n v="4"/>
    <n v="5"/>
    <n v="3"/>
    <x v="3"/>
  </r>
  <r>
    <n v="4001"/>
    <d v="2025-04-13T00:00:00"/>
    <n v="36"/>
    <s v="Male"/>
    <s v="South"/>
    <x v="0"/>
    <m/>
    <n v="220.4"/>
    <n v="11"/>
    <n v="1"/>
    <x v="408"/>
    <n v="3"/>
    <n v="8"/>
    <n v="4"/>
    <x v="3"/>
  </r>
  <r>
    <n v="2302"/>
    <d v="2025-04-13T00:00:00"/>
    <n v="42"/>
    <s v="Female"/>
    <s v="South"/>
    <x v="0"/>
    <m/>
    <n v="100.8"/>
    <n v="1"/>
    <n v="1"/>
    <x v="736"/>
    <n v="4"/>
    <n v="15"/>
    <n v="4"/>
    <x v="3"/>
  </r>
  <r>
    <n v="1471"/>
    <d v="2025-04-13T00:00:00"/>
    <n v="21"/>
    <s v="Female"/>
    <s v="South"/>
    <x v="0"/>
    <m/>
    <n v="986.9"/>
    <n v="2"/>
    <n v="1"/>
    <x v="737"/>
    <n v="2"/>
    <n v="14"/>
    <n v="5"/>
    <x v="3"/>
  </r>
  <r>
    <n v="2464"/>
    <d v="2025-04-13T00:00:00"/>
    <n v="46"/>
    <s v="Male"/>
    <s v="East"/>
    <x v="2"/>
    <m/>
    <n v="761.4"/>
    <n v="5"/>
    <n v="0"/>
    <x v="11"/>
    <n v="0"/>
    <n v="0"/>
    <m/>
    <x v="3"/>
  </r>
  <r>
    <n v="3593"/>
    <d v="2025-04-13T00:00:00"/>
    <n v="31"/>
    <s v="Male"/>
    <s v="North"/>
    <x v="1"/>
    <s v="CAMP7"/>
    <n v="548.70000000000005"/>
    <n v="5"/>
    <n v="0"/>
    <x v="11"/>
    <n v="0"/>
    <n v="0"/>
    <m/>
    <x v="3"/>
  </r>
  <r>
    <n v="4484"/>
    <d v="2025-04-13T00:00:00"/>
    <n v="50"/>
    <s v="Male"/>
    <s v="North"/>
    <x v="0"/>
    <m/>
    <n v="427.2"/>
    <n v="4"/>
    <n v="0"/>
    <x v="11"/>
    <n v="0"/>
    <n v="0"/>
    <m/>
    <x v="3"/>
  </r>
  <r>
    <n v="660"/>
    <d v="2025-04-13T00:00:00"/>
    <n v="30"/>
    <s v="Male"/>
    <s v="South"/>
    <x v="0"/>
    <m/>
    <n v="398.1"/>
    <n v="6"/>
    <n v="0"/>
    <x v="11"/>
    <n v="0"/>
    <n v="0"/>
    <m/>
    <x v="3"/>
  </r>
  <r>
    <n v="4493"/>
    <d v="2025-04-13T00:00:00"/>
    <n v="47"/>
    <s v="Male"/>
    <s v="North"/>
    <x v="3"/>
    <m/>
    <n v="372.5"/>
    <n v="9"/>
    <n v="0"/>
    <x v="11"/>
    <n v="0"/>
    <n v="0"/>
    <m/>
    <x v="3"/>
  </r>
  <r>
    <n v="766"/>
    <d v="2025-04-13T00:00:00"/>
    <n v="23"/>
    <s v="Female"/>
    <s v="South"/>
    <x v="2"/>
    <m/>
    <n v="337.1"/>
    <n v="6"/>
    <n v="0"/>
    <x v="11"/>
    <n v="0"/>
    <n v="0"/>
    <m/>
    <x v="3"/>
  </r>
  <r>
    <n v="3005"/>
    <d v="2025-04-13T00:00:00"/>
    <n v="20"/>
    <s v="Male"/>
    <s v="North"/>
    <x v="1"/>
    <s v="CAMP5"/>
    <n v="272"/>
    <n v="7"/>
    <n v="0"/>
    <x v="11"/>
    <n v="0"/>
    <n v="0"/>
    <m/>
    <x v="3"/>
  </r>
  <r>
    <n v="222"/>
    <d v="2025-04-13T00:00:00"/>
    <n v="18"/>
    <s v="Female"/>
    <s v="East"/>
    <x v="0"/>
    <m/>
    <n v="209.8"/>
    <n v="4"/>
    <n v="0"/>
    <x v="11"/>
    <n v="0"/>
    <n v="0"/>
    <m/>
    <x v="3"/>
  </r>
  <r>
    <n v="2256"/>
    <d v="2025-04-13T00:00:00"/>
    <n v="31"/>
    <s v="Female"/>
    <s v="South"/>
    <x v="0"/>
    <m/>
    <n v="187.9"/>
    <n v="9"/>
    <n v="0"/>
    <x v="11"/>
    <n v="0"/>
    <n v="0"/>
    <m/>
    <x v="3"/>
  </r>
  <r>
    <n v="3611"/>
    <d v="2025-04-13T00:00:00"/>
    <n v="23"/>
    <s v="Female"/>
    <s v="North"/>
    <x v="0"/>
    <m/>
    <n v="167.5"/>
    <n v="6"/>
    <n v="0"/>
    <x v="11"/>
    <n v="0"/>
    <n v="0"/>
    <m/>
    <x v="3"/>
  </r>
  <r>
    <n v="1543"/>
    <d v="2025-04-13T00:00:00"/>
    <n v="18"/>
    <s v="Female"/>
    <s v="East"/>
    <x v="0"/>
    <m/>
    <n v="158.69999999999999"/>
    <n v="4"/>
    <n v="0"/>
    <x v="11"/>
    <n v="0"/>
    <n v="0"/>
    <m/>
    <x v="3"/>
  </r>
  <r>
    <n v="4529"/>
    <d v="2025-04-13T00:00:00"/>
    <n v="49"/>
    <s v="Male"/>
    <s v="South"/>
    <x v="0"/>
    <m/>
    <n v="133.69999999999999"/>
    <n v="10"/>
    <n v="0"/>
    <x v="11"/>
    <n v="0"/>
    <n v="0"/>
    <m/>
    <x v="3"/>
  </r>
  <r>
    <n v="259"/>
    <d v="2025-04-13T00:00:00"/>
    <n v="26"/>
    <s v="Male"/>
    <s v="East"/>
    <x v="2"/>
    <m/>
    <n v="117"/>
    <n v="9"/>
    <n v="0"/>
    <x v="11"/>
    <n v="0"/>
    <n v="0"/>
    <m/>
    <x v="3"/>
  </r>
  <r>
    <n v="1965"/>
    <d v="2025-04-13T00:00:00"/>
    <n v="34"/>
    <s v="Female"/>
    <s v="North"/>
    <x v="0"/>
    <m/>
    <n v="115"/>
    <n v="6"/>
    <n v="0"/>
    <x v="11"/>
    <n v="0"/>
    <n v="0"/>
    <m/>
    <x v="3"/>
  </r>
  <r>
    <n v="2793"/>
    <d v="2025-04-13T00:00:00"/>
    <n v="40"/>
    <s v="Male"/>
    <s v="South"/>
    <x v="0"/>
    <m/>
    <n v="108.3"/>
    <n v="4"/>
    <n v="0"/>
    <x v="11"/>
    <n v="0"/>
    <n v="0"/>
    <m/>
    <x v="3"/>
  </r>
  <r>
    <n v="3602"/>
    <d v="2025-04-13T00:00:00"/>
    <n v="46"/>
    <s v="Female"/>
    <s v="East"/>
    <x v="2"/>
    <m/>
    <n v="80"/>
    <n v="5"/>
    <n v="0"/>
    <x v="11"/>
    <n v="0"/>
    <n v="0"/>
    <m/>
    <x v="3"/>
  </r>
  <r>
    <n v="3800"/>
    <d v="2025-04-13T00:00:00"/>
    <n v="49"/>
    <s v="Male"/>
    <s v="West"/>
    <x v="3"/>
    <m/>
    <n v="31.2"/>
    <n v="7"/>
    <n v="0"/>
    <x v="11"/>
    <n v="0"/>
    <n v="0"/>
    <m/>
    <x v="3"/>
  </r>
  <r>
    <n v="3045"/>
    <d v="2025-05-13T00:00:00"/>
    <n v="24"/>
    <s v="Other"/>
    <s v="West"/>
    <x v="0"/>
    <m/>
    <n v="533.70000000000005"/>
    <n v="6"/>
    <n v="1"/>
    <x v="738"/>
    <n v="4"/>
    <n v="13"/>
    <n v="5"/>
    <x v="4"/>
  </r>
  <r>
    <n v="3138"/>
    <d v="2025-05-13T00:00:00"/>
    <n v="34"/>
    <s v="Female"/>
    <s v="North"/>
    <x v="1"/>
    <s v="CAMP4"/>
    <n v="744"/>
    <n v="3"/>
    <n v="1"/>
    <x v="739"/>
    <n v="4"/>
    <n v="9"/>
    <n v="4"/>
    <x v="4"/>
  </r>
  <r>
    <n v="385"/>
    <d v="2025-05-13T00:00:00"/>
    <n v="22"/>
    <s v="Female"/>
    <s v="West"/>
    <x v="2"/>
    <m/>
    <n v="675.7"/>
    <n v="6"/>
    <n v="1"/>
    <x v="740"/>
    <n v="4"/>
    <n v="3"/>
    <n v="4"/>
    <x v="4"/>
  </r>
  <r>
    <n v="1802"/>
    <d v="2025-05-13T00:00:00"/>
    <n v="23"/>
    <s v="Female"/>
    <s v="East"/>
    <x v="0"/>
    <m/>
    <n v="301.7"/>
    <n v="5"/>
    <n v="1"/>
    <x v="741"/>
    <n v="5"/>
    <n v="8"/>
    <n v="4"/>
    <x v="4"/>
  </r>
  <r>
    <n v="960"/>
    <d v="2025-05-13T00:00:00"/>
    <n v="20"/>
    <s v="Other"/>
    <s v="South"/>
    <x v="0"/>
    <m/>
    <n v="303.3"/>
    <n v="4"/>
    <n v="1"/>
    <x v="742"/>
    <n v="2"/>
    <n v="9"/>
    <n v="4"/>
    <x v="4"/>
  </r>
  <r>
    <n v="2669"/>
    <d v="2025-05-13T00:00:00"/>
    <n v="40"/>
    <s v="Male"/>
    <s v="South"/>
    <x v="0"/>
    <m/>
    <n v="667.2"/>
    <n v="7"/>
    <n v="1"/>
    <x v="743"/>
    <n v="3"/>
    <n v="10"/>
    <n v="4"/>
    <x v="4"/>
  </r>
  <r>
    <n v="1767"/>
    <d v="2025-05-13T00:00:00"/>
    <n v="29"/>
    <s v="Female"/>
    <s v="South"/>
    <x v="3"/>
    <m/>
    <n v="636"/>
    <n v="5"/>
    <n v="1"/>
    <x v="744"/>
    <n v="3"/>
    <n v="9"/>
    <n v="4"/>
    <x v="4"/>
  </r>
  <r>
    <n v="1792"/>
    <d v="2025-05-13T00:00:00"/>
    <n v="33"/>
    <s v="Male"/>
    <s v="East"/>
    <x v="3"/>
    <m/>
    <n v="728.5"/>
    <n v="5"/>
    <n v="1"/>
    <x v="745"/>
    <n v="3"/>
    <n v="10"/>
    <n v="4"/>
    <x v="4"/>
  </r>
  <r>
    <n v="1066"/>
    <d v="2025-05-13T00:00:00"/>
    <n v="27"/>
    <s v="Male"/>
    <s v="South"/>
    <x v="0"/>
    <m/>
    <n v="419.1"/>
    <n v="6"/>
    <n v="1"/>
    <x v="746"/>
    <n v="2"/>
    <n v="7"/>
    <n v="5"/>
    <x v="4"/>
  </r>
  <r>
    <n v="326"/>
    <d v="2025-05-13T00:00:00"/>
    <n v="18"/>
    <s v="Male"/>
    <s v="South"/>
    <x v="0"/>
    <m/>
    <n v="233.8"/>
    <n v="5"/>
    <n v="1"/>
    <x v="747"/>
    <n v="2"/>
    <n v="5"/>
    <n v="4"/>
    <x v="4"/>
  </r>
  <r>
    <n v="806"/>
    <d v="2025-05-13T00:00:00"/>
    <n v="20"/>
    <s v="Other"/>
    <s v="South"/>
    <x v="2"/>
    <m/>
    <n v="552.79999999999995"/>
    <n v="5"/>
    <n v="1"/>
    <x v="748"/>
    <n v="4"/>
    <n v="3"/>
    <n v="5"/>
    <x v="4"/>
  </r>
  <r>
    <n v="4922"/>
    <d v="2025-05-13T00:00:00"/>
    <n v="33"/>
    <s v="Male"/>
    <s v="South"/>
    <x v="3"/>
    <m/>
    <n v="306.10000000000002"/>
    <n v="7"/>
    <n v="1"/>
    <x v="749"/>
    <n v="5"/>
    <n v="7"/>
    <n v="4"/>
    <x v="4"/>
  </r>
  <r>
    <n v="4507"/>
    <d v="2025-05-13T00:00:00"/>
    <n v="42"/>
    <s v="Male"/>
    <s v="East"/>
    <x v="0"/>
    <m/>
    <n v="231.5"/>
    <n v="5"/>
    <n v="1"/>
    <x v="750"/>
    <n v="2"/>
    <n v="4"/>
    <n v="4"/>
    <x v="4"/>
  </r>
  <r>
    <n v="3500"/>
    <d v="2025-05-13T00:00:00"/>
    <n v="57"/>
    <s v="Male"/>
    <s v="South"/>
    <x v="0"/>
    <m/>
    <n v="104.4"/>
    <n v="5"/>
    <n v="1"/>
    <x v="751"/>
    <n v="3"/>
    <n v="14"/>
    <n v="4"/>
    <x v="4"/>
  </r>
  <r>
    <n v="2974"/>
    <d v="2025-05-13T00:00:00"/>
    <n v="25"/>
    <s v="Female"/>
    <s v="North"/>
    <x v="1"/>
    <s v="CAMP5"/>
    <n v="902.9"/>
    <n v="5"/>
    <n v="1"/>
    <x v="752"/>
    <n v="4"/>
    <n v="5"/>
    <n v="4"/>
    <x v="4"/>
  </r>
  <r>
    <n v="4282"/>
    <d v="2025-05-13T00:00:00"/>
    <n v="54"/>
    <s v="Female"/>
    <s v="East"/>
    <x v="0"/>
    <m/>
    <n v="62.6"/>
    <n v="6"/>
    <n v="1"/>
    <x v="753"/>
    <n v="6"/>
    <n v="10"/>
    <n v="4"/>
    <x v="4"/>
  </r>
  <r>
    <n v="2535"/>
    <d v="2025-05-13T00:00:00"/>
    <n v="43"/>
    <s v="Male"/>
    <s v="North"/>
    <x v="3"/>
    <m/>
    <n v="581"/>
    <n v="9"/>
    <n v="0"/>
    <x v="11"/>
    <n v="0"/>
    <n v="0"/>
    <m/>
    <x v="4"/>
  </r>
  <r>
    <n v="4091"/>
    <d v="2025-05-13T00:00:00"/>
    <n v="64"/>
    <s v="Female"/>
    <s v="East"/>
    <x v="3"/>
    <m/>
    <n v="574.6"/>
    <n v="3"/>
    <n v="0"/>
    <x v="11"/>
    <n v="0"/>
    <n v="0"/>
    <m/>
    <x v="4"/>
  </r>
  <r>
    <n v="4029"/>
    <d v="2025-05-13T00:00:00"/>
    <n v="66"/>
    <s v="Male"/>
    <s v="South"/>
    <x v="1"/>
    <s v="CAMP5"/>
    <n v="446.5"/>
    <n v="7"/>
    <n v="0"/>
    <x v="11"/>
    <n v="0"/>
    <n v="0"/>
    <m/>
    <x v="4"/>
  </r>
  <r>
    <n v="1742"/>
    <d v="2025-05-13T00:00:00"/>
    <n v="25"/>
    <s v="Female"/>
    <s v="West"/>
    <x v="1"/>
    <s v="CAMP2"/>
    <n v="414.6"/>
    <n v="6"/>
    <n v="0"/>
    <x v="11"/>
    <n v="0"/>
    <n v="0"/>
    <m/>
    <x v="4"/>
  </r>
  <r>
    <n v="3117"/>
    <d v="2025-05-13T00:00:00"/>
    <n v="51"/>
    <s v="Female"/>
    <s v="East"/>
    <x v="0"/>
    <m/>
    <n v="326.3"/>
    <n v="7"/>
    <n v="0"/>
    <x v="11"/>
    <n v="0"/>
    <n v="0"/>
    <m/>
    <x v="4"/>
  </r>
  <r>
    <n v="1573"/>
    <d v="2025-05-13T00:00:00"/>
    <n v="31"/>
    <s v="Male"/>
    <s v="North"/>
    <x v="3"/>
    <m/>
    <n v="253.8"/>
    <n v="4"/>
    <n v="0"/>
    <x v="11"/>
    <n v="0"/>
    <n v="0"/>
    <m/>
    <x v="4"/>
  </r>
  <r>
    <n v="3794"/>
    <d v="2025-05-13T00:00:00"/>
    <n v="33"/>
    <s v="Female"/>
    <s v="East"/>
    <x v="3"/>
    <m/>
    <n v="200.1"/>
    <n v="5"/>
    <n v="0"/>
    <x v="11"/>
    <n v="0"/>
    <n v="0"/>
    <m/>
    <x v="4"/>
  </r>
  <r>
    <n v="1954"/>
    <d v="2025-05-13T00:00:00"/>
    <n v="43"/>
    <s v="Male"/>
    <s v="East"/>
    <x v="0"/>
    <m/>
    <n v="155.69999999999999"/>
    <n v="8"/>
    <n v="0"/>
    <x v="11"/>
    <n v="0"/>
    <n v="0"/>
    <m/>
    <x v="4"/>
  </r>
  <r>
    <n v="3081"/>
    <d v="2025-05-13T00:00:00"/>
    <n v="31"/>
    <s v="Male"/>
    <s v="East"/>
    <x v="0"/>
    <m/>
    <n v="155.4"/>
    <n v="5"/>
    <n v="0"/>
    <x v="11"/>
    <n v="0"/>
    <n v="0"/>
    <m/>
    <x v="4"/>
  </r>
  <r>
    <n v="4495"/>
    <d v="2025-05-13T00:00:00"/>
    <n v="52"/>
    <s v="Female"/>
    <s v="South"/>
    <x v="1"/>
    <s v="CAMP3"/>
    <n v="147.1"/>
    <n v="5"/>
    <n v="0"/>
    <x v="11"/>
    <n v="0"/>
    <n v="0"/>
    <m/>
    <x v="4"/>
  </r>
  <r>
    <n v="1472"/>
    <d v="2025-05-13T00:00:00"/>
    <n v="29"/>
    <s v="Female"/>
    <s v="East"/>
    <x v="0"/>
    <m/>
    <n v="101.2"/>
    <n v="5"/>
    <n v="0"/>
    <x v="11"/>
    <n v="0"/>
    <n v="0"/>
    <m/>
    <x v="4"/>
  </r>
  <r>
    <n v="3762"/>
    <d v="2025-05-13T00:00:00"/>
    <n v="60"/>
    <s v="Male"/>
    <s v="East"/>
    <x v="3"/>
    <m/>
    <n v="76.3"/>
    <n v="2"/>
    <n v="0"/>
    <x v="11"/>
    <n v="0"/>
    <n v="0"/>
    <m/>
    <x v="4"/>
  </r>
  <r>
    <n v="829"/>
    <d v="2025-05-13T00:00:00"/>
    <n v="25"/>
    <s v="Male"/>
    <s v="East"/>
    <x v="1"/>
    <s v="CAMP3"/>
    <n v="73.7"/>
    <n v="6"/>
    <n v="0"/>
    <x v="11"/>
    <n v="0"/>
    <n v="0"/>
    <m/>
    <x v="4"/>
  </r>
  <r>
    <n v="1404"/>
    <d v="2025-05-13T00:00:00"/>
    <n v="33"/>
    <s v="Female"/>
    <s v="West"/>
    <x v="3"/>
    <m/>
    <n v="72.2"/>
    <n v="5"/>
    <n v="0"/>
    <x v="11"/>
    <n v="0"/>
    <n v="0"/>
    <m/>
    <x v="4"/>
  </r>
  <r>
    <n v="2013"/>
    <d v="2025-06-13T00:00:00"/>
    <n v="39"/>
    <s v="Male"/>
    <s v="South"/>
    <x v="2"/>
    <m/>
    <n v="302.39999999999998"/>
    <n v="5"/>
    <n v="1"/>
    <x v="754"/>
    <n v="2"/>
    <n v="14"/>
    <n v="5"/>
    <x v="5"/>
  </r>
  <r>
    <n v="749"/>
    <d v="2025-06-13T00:00:00"/>
    <n v="25"/>
    <s v="Male"/>
    <s v="South"/>
    <x v="0"/>
    <m/>
    <n v="681"/>
    <n v="8"/>
    <n v="1"/>
    <x v="755"/>
    <n v="3"/>
    <n v="11"/>
    <n v="3"/>
    <x v="5"/>
  </r>
  <r>
    <n v="3642"/>
    <d v="2025-06-13T00:00:00"/>
    <n v="46"/>
    <s v="Male"/>
    <s v="West"/>
    <x v="3"/>
    <m/>
    <n v="794.8"/>
    <n v="5"/>
    <n v="1"/>
    <x v="756"/>
    <n v="2"/>
    <n v="7"/>
    <n v="4"/>
    <x v="5"/>
  </r>
  <r>
    <n v="4603"/>
    <d v="2025-06-13T00:00:00"/>
    <n v="51"/>
    <s v="Male"/>
    <s v="West"/>
    <x v="1"/>
    <s v="CAMP2"/>
    <n v="881.9"/>
    <n v="6"/>
    <n v="1"/>
    <x v="757"/>
    <n v="4"/>
    <n v="8"/>
    <n v="5"/>
    <x v="5"/>
  </r>
  <r>
    <n v="2572"/>
    <d v="2025-06-13T00:00:00"/>
    <n v="33"/>
    <s v="Female"/>
    <s v="East"/>
    <x v="0"/>
    <m/>
    <n v="545.1"/>
    <n v="6"/>
    <n v="1"/>
    <x v="758"/>
    <n v="4"/>
    <n v="7"/>
    <n v="4"/>
    <x v="5"/>
  </r>
  <r>
    <n v="4803"/>
    <d v="2025-06-13T00:00:00"/>
    <n v="71"/>
    <s v="Female"/>
    <s v="West"/>
    <x v="0"/>
    <m/>
    <n v="353.1"/>
    <n v="4"/>
    <n v="1"/>
    <x v="570"/>
    <n v="1"/>
    <n v="1"/>
    <n v="4"/>
    <x v="5"/>
  </r>
  <r>
    <n v="2192"/>
    <d v="2025-06-13T00:00:00"/>
    <n v="35"/>
    <s v="Female"/>
    <s v="West"/>
    <x v="0"/>
    <m/>
    <n v="143.30000000000001"/>
    <n v="7"/>
    <n v="1"/>
    <x v="462"/>
    <n v="6"/>
    <n v="7"/>
    <n v="5"/>
    <x v="5"/>
  </r>
  <r>
    <n v="2084"/>
    <d v="2025-06-13T00:00:00"/>
    <n v="36"/>
    <s v="Male"/>
    <s v="North"/>
    <x v="0"/>
    <m/>
    <n v="679.6"/>
    <n v="4"/>
    <n v="1"/>
    <x v="265"/>
    <n v="1"/>
    <n v="2"/>
    <n v="4"/>
    <x v="5"/>
  </r>
  <r>
    <n v="151"/>
    <d v="2025-06-13T00:00:00"/>
    <n v="24"/>
    <s v="Other"/>
    <s v="South"/>
    <x v="1"/>
    <s v="CAMP5"/>
    <n v="335.7"/>
    <n v="8"/>
    <n v="1"/>
    <x v="759"/>
    <n v="4"/>
    <n v="7"/>
    <n v="3"/>
    <x v="5"/>
  </r>
  <r>
    <n v="105"/>
    <d v="2025-06-13T00:00:00"/>
    <n v="29"/>
    <s v="Male"/>
    <s v="South"/>
    <x v="0"/>
    <m/>
    <n v="87.1"/>
    <n v="4"/>
    <n v="1"/>
    <x v="760"/>
    <n v="4"/>
    <n v="15"/>
    <n v="4"/>
    <x v="5"/>
  </r>
  <r>
    <n v="3660"/>
    <d v="2025-06-13T00:00:00"/>
    <n v="31"/>
    <s v="Male"/>
    <s v="South"/>
    <x v="0"/>
    <m/>
    <n v="232.4"/>
    <n v="4"/>
    <n v="1"/>
    <x v="761"/>
    <n v="5"/>
    <n v="8"/>
    <n v="5"/>
    <x v="5"/>
  </r>
  <r>
    <n v="2003"/>
    <d v="2025-06-13T00:00:00"/>
    <n v="39"/>
    <s v="Female"/>
    <s v="South"/>
    <x v="0"/>
    <m/>
    <n v="514.70000000000005"/>
    <n v="2"/>
    <n v="1"/>
    <x v="762"/>
    <n v="4"/>
    <n v="15"/>
    <n v="4"/>
    <x v="5"/>
  </r>
  <r>
    <n v="2108"/>
    <d v="2025-06-13T00:00:00"/>
    <n v="28"/>
    <s v="Male"/>
    <s v="North"/>
    <x v="0"/>
    <m/>
    <n v="277.89999999999998"/>
    <n v="7"/>
    <n v="1"/>
    <x v="763"/>
    <n v="4"/>
    <n v="15"/>
    <n v="4"/>
    <x v="5"/>
  </r>
  <r>
    <n v="454"/>
    <d v="2025-06-13T00:00:00"/>
    <n v="18"/>
    <s v="Male"/>
    <s v="South"/>
    <x v="1"/>
    <s v="CAMP7"/>
    <n v="610.20000000000005"/>
    <n v="7"/>
    <n v="0"/>
    <x v="11"/>
    <n v="0"/>
    <n v="0"/>
    <m/>
    <x v="5"/>
  </r>
  <r>
    <n v="4817"/>
    <d v="2025-06-13T00:00:00"/>
    <n v="52"/>
    <s v="Female"/>
    <s v="North"/>
    <x v="1"/>
    <s v="CAMP7"/>
    <n v="487.5"/>
    <n v="5"/>
    <n v="0"/>
    <x v="11"/>
    <n v="0"/>
    <n v="0"/>
    <m/>
    <x v="5"/>
  </r>
  <r>
    <n v="2473"/>
    <d v="2025-06-13T00:00:00"/>
    <n v="38"/>
    <s v="Female"/>
    <s v="North"/>
    <x v="0"/>
    <m/>
    <n v="483.5"/>
    <n v="2"/>
    <n v="0"/>
    <x v="11"/>
    <n v="0"/>
    <n v="0"/>
    <m/>
    <x v="5"/>
  </r>
  <r>
    <n v="4937"/>
    <d v="2025-06-13T00:00:00"/>
    <n v="56"/>
    <s v="Male"/>
    <s v="East"/>
    <x v="1"/>
    <s v="CAMP1"/>
    <n v="367.2"/>
    <n v="4"/>
    <n v="0"/>
    <x v="11"/>
    <n v="0"/>
    <n v="0"/>
    <m/>
    <x v="5"/>
  </r>
  <r>
    <n v="2802"/>
    <d v="2025-06-13T00:00:00"/>
    <n v="23"/>
    <s v="Male"/>
    <s v="West"/>
    <x v="1"/>
    <s v="CAMP2"/>
    <n v="339.7"/>
    <n v="6"/>
    <n v="0"/>
    <x v="11"/>
    <n v="0"/>
    <n v="0"/>
    <m/>
    <x v="5"/>
  </r>
  <r>
    <n v="4471"/>
    <d v="2025-06-13T00:00:00"/>
    <n v="39"/>
    <s v="Male"/>
    <s v="East"/>
    <x v="0"/>
    <m/>
    <n v="331.5"/>
    <n v="5"/>
    <n v="0"/>
    <x v="11"/>
    <n v="0"/>
    <n v="0"/>
    <m/>
    <x v="5"/>
  </r>
  <r>
    <n v="4900"/>
    <d v="2025-06-13T00:00:00"/>
    <n v="57"/>
    <s v="Male"/>
    <s v="East"/>
    <x v="0"/>
    <m/>
    <n v="325.7"/>
    <n v="8"/>
    <n v="0"/>
    <x v="11"/>
    <n v="0"/>
    <n v="0"/>
    <m/>
    <x v="5"/>
  </r>
  <r>
    <n v="507"/>
    <d v="2025-06-13T00:00:00"/>
    <n v="27"/>
    <s v="Male"/>
    <s v="North"/>
    <x v="1"/>
    <s v="CAMP6"/>
    <n v="305.39999999999998"/>
    <n v="6"/>
    <n v="0"/>
    <x v="11"/>
    <n v="0"/>
    <n v="0"/>
    <m/>
    <x v="5"/>
  </r>
  <r>
    <n v="3752"/>
    <d v="2025-06-13T00:00:00"/>
    <n v="48"/>
    <s v="Male"/>
    <s v="East"/>
    <x v="0"/>
    <m/>
    <n v="290.60000000000002"/>
    <n v="3"/>
    <n v="0"/>
    <x v="11"/>
    <n v="0"/>
    <n v="0"/>
    <m/>
    <x v="5"/>
  </r>
  <r>
    <n v="2624"/>
    <d v="2025-06-13T00:00:00"/>
    <n v="41"/>
    <s v="Female"/>
    <s v="West"/>
    <x v="3"/>
    <m/>
    <n v="248.7"/>
    <n v="7"/>
    <n v="0"/>
    <x v="11"/>
    <n v="0"/>
    <n v="0"/>
    <m/>
    <x v="5"/>
  </r>
  <r>
    <n v="2210"/>
    <d v="2025-06-13T00:00:00"/>
    <n v="28"/>
    <s v="Male"/>
    <s v="North"/>
    <x v="2"/>
    <m/>
    <n v="233.3"/>
    <n v="7"/>
    <n v="0"/>
    <x v="11"/>
    <n v="0"/>
    <n v="0"/>
    <m/>
    <x v="5"/>
  </r>
  <r>
    <n v="3007"/>
    <d v="2025-06-13T00:00:00"/>
    <n v="32"/>
    <s v="Male"/>
    <s v="North"/>
    <x v="1"/>
    <s v="CAMP3"/>
    <n v="188"/>
    <n v="7"/>
    <n v="0"/>
    <x v="11"/>
    <n v="0"/>
    <n v="0"/>
    <m/>
    <x v="5"/>
  </r>
  <r>
    <n v="2321"/>
    <d v="2025-06-13T00:00:00"/>
    <n v="34"/>
    <s v="Female"/>
    <s v="South"/>
    <x v="0"/>
    <m/>
    <n v="180.1"/>
    <n v="10"/>
    <n v="0"/>
    <x v="11"/>
    <n v="0"/>
    <n v="0"/>
    <m/>
    <x v="5"/>
  </r>
  <r>
    <n v="4294"/>
    <d v="2025-06-13T00:00:00"/>
    <n v="58"/>
    <s v="Male"/>
    <s v="North"/>
    <x v="1"/>
    <s v="CAMP6"/>
    <n v="157.4"/>
    <n v="6"/>
    <n v="0"/>
    <x v="11"/>
    <n v="0"/>
    <n v="0"/>
    <m/>
    <x v="5"/>
  </r>
  <r>
    <n v="1368"/>
    <d v="2025-06-13T00:00:00"/>
    <n v="20"/>
    <s v="Male"/>
    <s v="East"/>
    <x v="1"/>
    <s v="CAMP5"/>
    <n v="121.6"/>
    <n v="5"/>
    <n v="0"/>
    <x v="11"/>
    <n v="0"/>
    <n v="0"/>
    <m/>
    <x v="5"/>
  </r>
  <r>
    <n v="3353"/>
    <d v="2025-06-13T00:00:00"/>
    <n v="36"/>
    <s v="Male"/>
    <s v="North"/>
    <x v="0"/>
    <m/>
    <n v="116.3"/>
    <n v="5"/>
    <n v="0"/>
    <x v="11"/>
    <n v="0"/>
    <n v="0"/>
    <m/>
    <x v="5"/>
  </r>
  <r>
    <n v="3337"/>
    <d v="2025-06-13T00:00:00"/>
    <n v="34"/>
    <s v="Male"/>
    <s v="West"/>
    <x v="0"/>
    <m/>
    <n v="107.7"/>
    <n v="9"/>
    <n v="0"/>
    <x v="11"/>
    <n v="0"/>
    <n v="0"/>
    <m/>
    <x v="5"/>
  </r>
  <r>
    <n v="786"/>
    <d v="2025-06-13T00:00:00"/>
    <n v="23"/>
    <s v="Male"/>
    <s v="West"/>
    <x v="1"/>
    <s v="CAMP4"/>
    <n v="81.2"/>
    <n v="8"/>
    <n v="0"/>
    <x v="11"/>
    <n v="0"/>
    <n v="0"/>
    <m/>
    <x v="5"/>
  </r>
  <r>
    <n v="44"/>
    <d v="2025-06-13T00:00:00"/>
    <n v="18"/>
    <s v="Female"/>
    <s v="South"/>
    <x v="0"/>
    <m/>
    <n v="77.8"/>
    <n v="5"/>
    <n v="0"/>
    <x v="11"/>
    <n v="0"/>
    <n v="0"/>
    <m/>
    <x v="5"/>
  </r>
  <r>
    <n v="2252"/>
    <d v="2025-06-13T00:00:00"/>
    <n v="43"/>
    <s v="Female"/>
    <s v="East"/>
    <x v="1"/>
    <s v="CAMP3"/>
    <n v="56.6"/>
    <n v="5"/>
    <n v="0"/>
    <x v="11"/>
    <n v="0"/>
    <n v="0"/>
    <m/>
    <x v="5"/>
  </r>
  <r>
    <n v="2797"/>
    <d v="2025-01-14T00:00:00"/>
    <n v="58"/>
    <s v="Other"/>
    <s v="East"/>
    <x v="2"/>
    <m/>
    <n v="475.8"/>
    <n v="7"/>
    <n v="1"/>
    <x v="764"/>
    <n v="4"/>
    <n v="6"/>
    <n v="3"/>
    <x v="0"/>
  </r>
  <r>
    <n v="1392"/>
    <d v="2025-01-14T00:00:00"/>
    <n v="31"/>
    <s v="Female"/>
    <s v="East"/>
    <x v="2"/>
    <m/>
    <n v="486.2"/>
    <n v="8"/>
    <n v="1"/>
    <x v="765"/>
    <n v="4"/>
    <n v="1"/>
    <n v="3"/>
    <x v="0"/>
  </r>
  <r>
    <n v="3286"/>
    <d v="2025-01-14T00:00:00"/>
    <n v="35"/>
    <s v="Female"/>
    <s v="South"/>
    <x v="1"/>
    <s v="CAMP1"/>
    <n v="422.6"/>
    <n v="11"/>
    <n v="1"/>
    <x v="191"/>
    <n v="1"/>
    <n v="9"/>
    <n v="4"/>
    <x v="0"/>
  </r>
  <r>
    <n v="3298"/>
    <d v="2025-01-14T00:00:00"/>
    <n v="27"/>
    <s v="Female"/>
    <s v="East"/>
    <x v="0"/>
    <m/>
    <n v="506.9"/>
    <n v="6"/>
    <n v="1"/>
    <x v="766"/>
    <n v="3"/>
    <n v="1"/>
    <n v="5"/>
    <x v="0"/>
  </r>
  <r>
    <n v="4398"/>
    <d v="2025-01-14T00:00:00"/>
    <n v="48"/>
    <s v="Female"/>
    <s v="South"/>
    <x v="3"/>
    <m/>
    <n v="200.1"/>
    <n v="5"/>
    <n v="1"/>
    <x v="767"/>
    <n v="4"/>
    <n v="4"/>
    <n v="5"/>
    <x v="0"/>
  </r>
  <r>
    <n v="3856"/>
    <d v="2025-01-14T00:00:00"/>
    <n v="47"/>
    <s v="Male"/>
    <s v="North"/>
    <x v="3"/>
    <m/>
    <n v="421"/>
    <n v="4"/>
    <n v="1"/>
    <x v="768"/>
    <n v="2"/>
    <n v="11"/>
    <n v="5"/>
    <x v="0"/>
  </r>
  <r>
    <n v="1136"/>
    <d v="2025-01-14T00:00:00"/>
    <n v="30"/>
    <s v="Male"/>
    <s v="South"/>
    <x v="2"/>
    <m/>
    <n v="901.8"/>
    <n v="7"/>
    <n v="1"/>
    <x v="769"/>
    <n v="3"/>
    <n v="4"/>
    <n v="4"/>
    <x v="0"/>
  </r>
  <r>
    <n v="78"/>
    <d v="2025-01-14T00:00:00"/>
    <n v="25"/>
    <s v="Female"/>
    <s v="West"/>
    <x v="1"/>
    <s v="CAMP5"/>
    <n v="522.29999999999995"/>
    <n v="6"/>
    <n v="1"/>
    <x v="770"/>
    <n v="6"/>
    <n v="8"/>
    <n v="5"/>
    <x v="0"/>
  </r>
  <r>
    <n v="2771"/>
    <d v="2025-01-14T00:00:00"/>
    <n v="46"/>
    <s v="Male"/>
    <s v="North"/>
    <x v="0"/>
    <m/>
    <n v="445.4"/>
    <n v="4"/>
    <n v="1"/>
    <x v="771"/>
    <n v="3"/>
    <n v="11"/>
    <n v="4"/>
    <x v="0"/>
  </r>
  <r>
    <n v="984"/>
    <d v="2025-01-14T00:00:00"/>
    <n v="22"/>
    <s v="Male"/>
    <s v="North"/>
    <x v="0"/>
    <m/>
    <n v="1306.5"/>
    <n v="8"/>
    <n v="0"/>
    <x v="11"/>
    <n v="0"/>
    <n v="0"/>
    <m/>
    <x v="0"/>
  </r>
  <r>
    <n v="498"/>
    <d v="2025-01-14T00:00:00"/>
    <n v="28"/>
    <s v="Male"/>
    <s v="West"/>
    <x v="2"/>
    <m/>
    <n v="728.5"/>
    <n v="3"/>
    <n v="0"/>
    <x v="11"/>
    <n v="0"/>
    <n v="0"/>
    <m/>
    <x v="0"/>
  </r>
  <r>
    <n v="2555"/>
    <d v="2025-01-14T00:00:00"/>
    <n v="43"/>
    <s v="Female"/>
    <s v="North"/>
    <x v="0"/>
    <m/>
    <n v="531.6"/>
    <n v="8"/>
    <n v="0"/>
    <x v="11"/>
    <n v="0"/>
    <n v="0"/>
    <m/>
    <x v="0"/>
  </r>
  <r>
    <n v="4411"/>
    <d v="2025-01-14T00:00:00"/>
    <n v="54"/>
    <s v="Female"/>
    <s v="South"/>
    <x v="0"/>
    <m/>
    <n v="518.9"/>
    <n v="12"/>
    <n v="0"/>
    <x v="11"/>
    <n v="0"/>
    <n v="0"/>
    <m/>
    <x v="0"/>
  </r>
  <r>
    <n v="1494"/>
    <d v="2025-01-14T00:00:00"/>
    <n v="22"/>
    <s v="Male"/>
    <s v="North"/>
    <x v="1"/>
    <s v="CAMP2"/>
    <n v="492.1"/>
    <n v="4"/>
    <n v="0"/>
    <x v="11"/>
    <n v="0"/>
    <n v="0"/>
    <m/>
    <x v="0"/>
  </r>
  <r>
    <n v="69"/>
    <d v="2025-01-14T00:00:00"/>
    <n v="25"/>
    <s v="Male"/>
    <s v="South"/>
    <x v="1"/>
    <s v="CAMP6"/>
    <n v="474.3"/>
    <n v="3"/>
    <n v="0"/>
    <x v="11"/>
    <n v="0"/>
    <n v="0"/>
    <m/>
    <x v="0"/>
  </r>
  <r>
    <n v="477"/>
    <d v="2025-01-14T00:00:00"/>
    <n v="23"/>
    <s v="Male"/>
    <s v="North"/>
    <x v="1"/>
    <s v="CAMP3"/>
    <n v="446.9"/>
    <n v="4"/>
    <n v="0"/>
    <x v="11"/>
    <n v="0"/>
    <n v="0"/>
    <m/>
    <x v="0"/>
  </r>
  <r>
    <n v="4435"/>
    <d v="2025-01-14T00:00:00"/>
    <n v="36"/>
    <s v="Female"/>
    <s v="East"/>
    <x v="3"/>
    <m/>
    <n v="425"/>
    <n v="8"/>
    <n v="0"/>
    <x v="11"/>
    <n v="0"/>
    <n v="0"/>
    <m/>
    <x v="0"/>
  </r>
  <r>
    <n v="2740"/>
    <d v="2025-01-14T00:00:00"/>
    <n v="37"/>
    <s v="Female"/>
    <s v="West"/>
    <x v="1"/>
    <s v="CAMP4"/>
    <n v="411.5"/>
    <n v="6"/>
    <n v="0"/>
    <x v="11"/>
    <n v="0"/>
    <n v="0"/>
    <m/>
    <x v="0"/>
  </r>
  <r>
    <n v="3058"/>
    <d v="2025-01-14T00:00:00"/>
    <n v="38"/>
    <s v="Male"/>
    <s v="East"/>
    <x v="1"/>
    <s v="CAMP4"/>
    <n v="409.2"/>
    <n v="5"/>
    <n v="0"/>
    <x v="11"/>
    <n v="0"/>
    <n v="0"/>
    <m/>
    <x v="0"/>
  </r>
  <r>
    <n v="1035"/>
    <d v="2025-01-14T00:00:00"/>
    <n v="32"/>
    <s v="Female"/>
    <s v="South"/>
    <x v="0"/>
    <m/>
    <n v="352.8"/>
    <n v="3"/>
    <n v="0"/>
    <x v="11"/>
    <n v="0"/>
    <n v="0"/>
    <m/>
    <x v="0"/>
  </r>
  <r>
    <n v="1266"/>
    <d v="2025-01-14T00:00:00"/>
    <n v="22"/>
    <s v="Female"/>
    <s v="East"/>
    <x v="0"/>
    <m/>
    <n v="352.1"/>
    <n v="5"/>
    <n v="0"/>
    <x v="11"/>
    <n v="0"/>
    <n v="0"/>
    <m/>
    <x v="0"/>
  </r>
  <r>
    <n v="2564"/>
    <d v="2025-01-14T00:00:00"/>
    <n v="33"/>
    <s v="Female"/>
    <s v="East"/>
    <x v="3"/>
    <m/>
    <n v="350"/>
    <n v="6"/>
    <n v="0"/>
    <x v="11"/>
    <n v="0"/>
    <n v="0"/>
    <m/>
    <x v="0"/>
  </r>
  <r>
    <n v="3356"/>
    <d v="2025-01-14T00:00:00"/>
    <n v="27"/>
    <s v="Female"/>
    <s v="East"/>
    <x v="1"/>
    <s v="CAMP1"/>
    <n v="269.8"/>
    <n v="5"/>
    <n v="0"/>
    <x v="11"/>
    <n v="0"/>
    <n v="0"/>
    <m/>
    <x v="0"/>
  </r>
  <r>
    <n v="2547"/>
    <d v="2025-01-14T00:00:00"/>
    <n v="38"/>
    <s v="Female"/>
    <s v="North"/>
    <x v="0"/>
    <m/>
    <n v="263.5"/>
    <n v="3"/>
    <n v="0"/>
    <x v="11"/>
    <n v="0"/>
    <n v="0"/>
    <m/>
    <x v="0"/>
  </r>
  <r>
    <n v="4702"/>
    <d v="2025-01-14T00:00:00"/>
    <n v="52"/>
    <s v="Male"/>
    <s v="North"/>
    <x v="0"/>
    <m/>
    <n v="221.2"/>
    <n v="7"/>
    <n v="0"/>
    <x v="11"/>
    <n v="0"/>
    <n v="0"/>
    <m/>
    <x v="0"/>
  </r>
  <r>
    <n v="437"/>
    <d v="2025-01-14T00:00:00"/>
    <n v="26"/>
    <s v="Female"/>
    <s v="East"/>
    <x v="0"/>
    <m/>
    <n v="189.2"/>
    <n v="8"/>
    <n v="0"/>
    <x v="11"/>
    <n v="0"/>
    <n v="0"/>
    <m/>
    <x v="0"/>
  </r>
  <r>
    <n v="1940"/>
    <d v="2025-01-14T00:00:00"/>
    <n v="46"/>
    <s v="Male"/>
    <s v="South"/>
    <x v="0"/>
    <m/>
    <n v="181.8"/>
    <n v="6"/>
    <n v="0"/>
    <x v="11"/>
    <n v="0"/>
    <n v="0"/>
    <m/>
    <x v="0"/>
  </r>
  <r>
    <n v="110"/>
    <d v="2025-01-14T00:00:00"/>
    <n v="26"/>
    <s v="Female"/>
    <s v="East"/>
    <x v="3"/>
    <m/>
    <n v="156.9"/>
    <n v="5"/>
    <n v="0"/>
    <x v="11"/>
    <n v="0"/>
    <n v="0"/>
    <m/>
    <x v="0"/>
  </r>
  <r>
    <n v="587"/>
    <d v="2025-01-14T00:00:00"/>
    <n v="25"/>
    <s v="Male"/>
    <s v="West"/>
    <x v="0"/>
    <m/>
    <n v="105.4"/>
    <n v="3"/>
    <n v="0"/>
    <x v="11"/>
    <n v="0"/>
    <n v="0"/>
    <m/>
    <x v="0"/>
  </r>
  <r>
    <n v="3059"/>
    <d v="2025-01-14T00:00:00"/>
    <n v="41"/>
    <s v="Female"/>
    <s v="East"/>
    <x v="0"/>
    <m/>
    <n v="73.099999999999994"/>
    <n v="4"/>
    <n v="0"/>
    <x v="11"/>
    <n v="0"/>
    <n v="0"/>
    <m/>
    <x v="0"/>
  </r>
  <r>
    <n v="2559"/>
    <d v="2025-01-14T00:00:00"/>
    <n v="45"/>
    <s v="Female"/>
    <s v="North"/>
    <x v="1"/>
    <s v="CAMP4"/>
    <n v="52.5"/>
    <n v="7"/>
    <n v="0"/>
    <x v="11"/>
    <n v="0"/>
    <n v="0"/>
    <m/>
    <x v="0"/>
  </r>
  <r>
    <n v="1321"/>
    <d v="2025-02-14T00:00:00"/>
    <n v="26"/>
    <s v="Female"/>
    <s v="South"/>
    <x v="0"/>
    <m/>
    <n v="327.3"/>
    <n v="7"/>
    <n v="1"/>
    <x v="772"/>
    <n v="2"/>
    <n v="4"/>
    <n v="5"/>
    <x v="1"/>
  </r>
  <r>
    <n v="989"/>
    <d v="2025-02-14T00:00:00"/>
    <n v="30"/>
    <s v="Female"/>
    <s v="East"/>
    <x v="0"/>
    <m/>
    <n v="354.9"/>
    <n v="8"/>
    <n v="1"/>
    <x v="773"/>
    <n v="3"/>
    <n v="15"/>
    <n v="5"/>
    <x v="1"/>
  </r>
  <r>
    <n v="4701"/>
    <d v="2025-02-14T00:00:00"/>
    <n v="61"/>
    <s v="Male"/>
    <s v="East"/>
    <x v="0"/>
    <m/>
    <n v="297"/>
    <n v="2"/>
    <n v="1"/>
    <x v="685"/>
    <n v="2"/>
    <n v="2"/>
    <n v="4"/>
    <x v="1"/>
  </r>
  <r>
    <n v="963"/>
    <d v="2025-02-14T00:00:00"/>
    <n v="28"/>
    <s v="Male"/>
    <s v="South"/>
    <x v="3"/>
    <m/>
    <n v="267.60000000000002"/>
    <n v="6"/>
    <n v="1"/>
    <x v="774"/>
    <n v="3"/>
    <n v="13"/>
    <n v="5"/>
    <x v="1"/>
  </r>
  <r>
    <n v="4809"/>
    <d v="2025-02-14T00:00:00"/>
    <n v="59"/>
    <s v="Female"/>
    <s v="West"/>
    <x v="0"/>
    <m/>
    <n v="110.2"/>
    <n v="11"/>
    <n v="1"/>
    <x v="775"/>
    <n v="1"/>
    <n v="5"/>
    <n v="5"/>
    <x v="1"/>
  </r>
  <r>
    <n v="667"/>
    <d v="2025-02-14T00:00:00"/>
    <n v="28"/>
    <s v="Female"/>
    <s v="West"/>
    <x v="0"/>
    <m/>
    <n v="633.79999999999995"/>
    <n v="3"/>
    <n v="1"/>
    <x v="776"/>
    <n v="2"/>
    <n v="6"/>
    <n v="5"/>
    <x v="1"/>
  </r>
  <r>
    <n v="2004"/>
    <d v="2025-02-14T00:00:00"/>
    <n v="42"/>
    <s v="Male"/>
    <s v="South"/>
    <x v="0"/>
    <m/>
    <n v="684.1"/>
    <n v="3"/>
    <n v="1"/>
    <x v="777"/>
    <n v="4"/>
    <n v="9"/>
    <n v="5"/>
    <x v="1"/>
  </r>
  <r>
    <n v="1009"/>
    <d v="2025-02-14T00:00:00"/>
    <n v="26"/>
    <s v="Female"/>
    <s v="East"/>
    <x v="3"/>
    <m/>
    <n v="579.4"/>
    <n v="3"/>
    <n v="1"/>
    <x v="778"/>
    <n v="3"/>
    <n v="13"/>
    <n v="4"/>
    <x v="1"/>
  </r>
  <r>
    <n v="4615"/>
    <d v="2025-02-14T00:00:00"/>
    <n v="46"/>
    <s v="Male"/>
    <s v="South"/>
    <x v="0"/>
    <m/>
    <n v="366.6"/>
    <n v="7"/>
    <n v="1"/>
    <x v="779"/>
    <n v="5"/>
    <n v="15"/>
    <n v="4"/>
    <x v="1"/>
  </r>
  <r>
    <n v="1398"/>
    <d v="2025-02-14T00:00:00"/>
    <n v="29"/>
    <s v="Male"/>
    <s v="East"/>
    <x v="0"/>
    <m/>
    <n v="233.9"/>
    <n v="8"/>
    <n v="1"/>
    <x v="780"/>
    <n v="2"/>
    <n v="1"/>
    <n v="4"/>
    <x v="1"/>
  </r>
  <r>
    <n v="3184"/>
    <d v="2025-02-14T00:00:00"/>
    <n v="20"/>
    <s v="Male"/>
    <s v="North"/>
    <x v="0"/>
    <m/>
    <n v="568.20000000000005"/>
    <n v="3"/>
    <n v="1"/>
    <x v="781"/>
    <n v="4"/>
    <n v="1"/>
    <n v="3"/>
    <x v="1"/>
  </r>
  <r>
    <n v="330"/>
    <d v="2025-02-14T00:00:00"/>
    <n v="22"/>
    <s v="Female"/>
    <s v="North"/>
    <x v="1"/>
    <s v="CAMP6"/>
    <n v="211.4"/>
    <n v="11"/>
    <n v="1"/>
    <x v="782"/>
    <n v="4"/>
    <n v="9"/>
    <n v="3"/>
    <x v="1"/>
  </r>
  <r>
    <n v="2613"/>
    <d v="2025-02-14T00:00:00"/>
    <n v="33"/>
    <s v="Female"/>
    <s v="North"/>
    <x v="0"/>
    <m/>
    <n v="571.4"/>
    <n v="6"/>
    <n v="1"/>
    <x v="783"/>
    <n v="2"/>
    <n v="5"/>
    <n v="5"/>
    <x v="1"/>
  </r>
  <r>
    <n v="3152"/>
    <d v="2025-02-14T00:00:00"/>
    <n v="45"/>
    <s v="Female"/>
    <s v="South"/>
    <x v="0"/>
    <m/>
    <n v="267.89999999999998"/>
    <n v="5"/>
    <n v="1"/>
    <x v="784"/>
    <n v="2"/>
    <n v="3"/>
    <n v="4"/>
    <x v="1"/>
  </r>
  <r>
    <n v="2002"/>
    <d v="2025-02-14T00:00:00"/>
    <n v="23"/>
    <s v="Male"/>
    <s v="North"/>
    <x v="1"/>
    <s v="CAMP6"/>
    <n v="492.6"/>
    <n v="7"/>
    <n v="1"/>
    <x v="16"/>
    <n v="3"/>
    <n v="11"/>
    <n v="4"/>
    <x v="1"/>
  </r>
  <r>
    <n v="1375"/>
    <d v="2025-02-14T00:00:00"/>
    <n v="18"/>
    <s v="Male"/>
    <s v="North"/>
    <x v="0"/>
    <m/>
    <n v="421.1"/>
    <n v="9"/>
    <n v="1"/>
    <x v="785"/>
    <n v="3"/>
    <n v="6"/>
    <n v="4"/>
    <x v="1"/>
  </r>
  <r>
    <n v="106"/>
    <d v="2025-02-14T00:00:00"/>
    <n v="39"/>
    <s v="Female"/>
    <s v="East"/>
    <x v="0"/>
    <m/>
    <n v="740.7"/>
    <n v="6"/>
    <n v="1"/>
    <x v="9"/>
    <n v="1"/>
    <n v="2"/>
    <n v="5"/>
    <x v="1"/>
  </r>
  <r>
    <n v="4403"/>
    <d v="2025-02-14T00:00:00"/>
    <n v="30"/>
    <s v="Female"/>
    <s v="North"/>
    <x v="1"/>
    <s v="CAMP7"/>
    <n v="1489.3"/>
    <n v="2"/>
    <n v="1"/>
    <x v="540"/>
    <n v="2"/>
    <n v="5"/>
    <n v="5"/>
    <x v="1"/>
  </r>
  <r>
    <n v="3735"/>
    <d v="2025-02-14T00:00:00"/>
    <n v="33"/>
    <s v="Male"/>
    <s v="North"/>
    <x v="2"/>
    <m/>
    <n v="331.3"/>
    <n v="6"/>
    <n v="1"/>
    <x v="786"/>
    <n v="3"/>
    <n v="10"/>
    <n v="4"/>
    <x v="1"/>
  </r>
  <r>
    <n v="3399"/>
    <d v="2025-02-14T00:00:00"/>
    <n v="30"/>
    <s v="Female"/>
    <s v="East"/>
    <x v="1"/>
    <s v="CAMP5"/>
    <n v="461.1"/>
    <n v="4"/>
    <n v="0"/>
    <x v="11"/>
    <n v="0"/>
    <n v="0"/>
    <m/>
    <x v="1"/>
  </r>
  <r>
    <n v="2811"/>
    <d v="2025-02-14T00:00:00"/>
    <n v="33"/>
    <s v="Male"/>
    <s v="South"/>
    <x v="0"/>
    <m/>
    <n v="361.8"/>
    <n v="6"/>
    <n v="0"/>
    <x v="11"/>
    <n v="0"/>
    <n v="0"/>
    <m/>
    <x v="1"/>
  </r>
  <r>
    <n v="2729"/>
    <d v="2025-02-14T00:00:00"/>
    <n v="37"/>
    <s v="Female"/>
    <s v="North"/>
    <x v="0"/>
    <m/>
    <n v="346.6"/>
    <n v="7"/>
    <n v="0"/>
    <x v="11"/>
    <n v="0"/>
    <n v="0"/>
    <m/>
    <x v="1"/>
  </r>
  <r>
    <n v="3625"/>
    <d v="2025-02-14T00:00:00"/>
    <n v="32"/>
    <s v="Male"/>
    <s v="South"/>
    <x v="0"/>
    <m/>
    <n v="334.9"/>
    <n v="4"/>
    <n v="0"/>
    <x v="11"/>
    <n v="0"/>
    <n v="0"/>
    <m/>
    <x v="1"/>
  </r>
  <r>
    <n v="3122"/>
    <d v="2025-02-14T00:00:00"/>
    <n v="36"/>
    <s v="Female"/>
    <s v="North"/>
    <x v="0"/>
    <m/>
    <n v="211.4"/>
    <n v="7"/>
    <n v="0"/>
    <x v="11"/>
    <n v="0"/>
    <n v="0"/>
    <m/>
    <x v="1"/>
  </r>
  <r>
    <n v="763"/>
    <d v="2025-02-14T00:00:00"/>
    <n v="28"/>
    <s v="Male"/>
    <s v="East"/>
    <x v="0"/>
    <m/>
    <n v="173.2"/>
    <n v="5"/>
    <n v="0"/>
    <x v="11"/>
    <n v="0"/>
    <n v="0"/>
    <m/>
    <x v="1"/>
  </r>
  <r>
    <n v="4682"/>
    <d v="2025-02-14T00:00:00"/>
    <n v="62"/>
    <s v="Male"/>
    <s v="North"/>
    <x v="0"/>
    <m/>
    <n v="171.7"/>
    <n v="8"/>
    <n v="0"/>
    <x v="11"/>
    <n v="0"/>
    <n v="0"/>
    <m/>
    <x v="1"/>
  </r>
  <r>
    <n v="4764"/>
    <d v="2025-02-14T00:00:00"/>
    <n v="57"/>
    <s v="Female"/>
    <s v="North"/>
    <x v="0"/>
    <m/>
    <n v="167.4"/>
    <n v="4"/>
    <n v="0"/>
    <x v="11"/>
    <n v="0"/>
    <n v="0"/>
    <m/>
    <x v="1"/>
  </r>
  <r>
    <n v="3233"/>
    <d v="2025-02-14T00:00:00"/>
    <n v="46"/>
    <s v="Male"/>
    <s v="West"/>
    <x v="1"/>
    <s v="CAMP3"/>
    <n v="149.1"/>
    <n v="6"/>
    <n v="0"/>
    <x v="11"/>
    <n v="0"/>
    <n v="0"/>
    <m/>
    <x v="1"/>
  </r>
  <r>
    <n v="1888"/>
    <d v="2025-02-14T00:00:00"/>
    <n v="46"/>
    <s v="Female"/>
    <s v="East"/>
    <x v="1"/>
    <s v="CAMP4"/>
    <n v="145.1"/>
    <n v="8"/>
    <n v="0"/>
    <x v="11"/>
    <n v="0"/>
    <n v="0"/>
    <m/>
    <x v="1"/>
  </r>
  <r>
    <n v="538"/>
    <d v="2025-02-14T00:00:00"/>
    <n v="30"/>
    <s v="Female"/>
    <s v="South"/>
    <x v="0"/>
    <m/>
    <n v="122"/>
    <n v="8"/>
    <n v="0"/>
    <x v="11"/>
    <n v="0"/>
    <n v="0"/>
    <m/>
    <x v="1"/>
  </r>
  <r>
    <n v="4533"/>
    <d v="2025-02-14T00:00:00"/>
    <n v="55"/>
    <s v="Male"/>
    <s v="West"/>
    <x v="0"/>
    <m/>
    <n v="98.3"/>
    <n v="6"/>
    <n v="0"/>
    <x v="11"/>
    <n v="0"/>
    <n v="0"/>
    <m/>
    <x v="1"/>
  </r>
  <r>
    <n v="3119"/>
    <d v="2025-02-14T00:00:00"/>
    <n v="47"/>
    <s v="Male"/>
    <s v="East"/>
    <x v="0"/>
    <m/>
    <n v="33.9"/>
    <n v="5"/>
    <n v="0"/>
    <x v="11"/>
    <n v="0"/>
    <n v="0"/>
    <m/>
    <x v="1"/>
  </r>
  <r>
    <n v="1588"/>
    <d v="2025-03-14T00:00:00"/>
    <n v="24"/>
    <s v="Female"/>
    <s v="South"/>
    <x v="0"/>
    <m/>
    <n v="516.6"/>
    <n v="6"/>
    <n v="1"/>
    <x v="787"/>
    <n v="4"/>
    <n v="13"/>
    <n v="4"/>
    <x v="2"/>
  </r>
  <r>
    <n v="2565"/>
    <d v="2025-03-14T00:00:00"/>
    <n v="45"/>
    <s v="Female"/>
    <s v="South"/>
    <x v="0"/>
    <m/>
    <n v="263"/>
    <n v="6"/>
    <n v="1"/>
    <x v="788"/>
    <n v="2"/>
    <n v="7"/>
    <n v="5"/>
    <x v="2"/>
  </r>
  <r>
    <n v="2690"/>
    <d v="2025-03-14T00:00:00"/>
    <n v="39"/>
    <s v="Female"/>
    <s v="East"/>
    <x v="3"/>
    <m/>
    <n v="1094.7"/>
    <n v="3"/>
    <n v="1"/>
    <x v="789"/>
    <n v="5"/>
    <n v="14"/>
    <n v="4"/>
    <x v="2"/>
  </r>
  <r>
    <n v="2460"/>
    <d v="2025-03-14T00:00:00"/>
    <n v="28"/>
    <s v="Male"/>
    <s v="North"/>
    <x v="0"/>
    <m/>
    <n v="131.30000000000001"/>
    <n v="3"/>
    <n v="1"/>
    <x v="790"/>
    <n v="1"/>
    <n v="14"/>
    <n v="5"/>
    <x v="2"/>
  </r>
  <r>
    <n v="4260"/>
    <d v="2025-03-14T00:00:00"/>
    <n v="62"/>
    <s v="Male"/>
    <s v="North"/>
    <x v="3"/>
    <m/>
    <n v="485.9"/>
    <n v="8"/>
    <n v="1"/>
    <x v="791"/>
    <n v="3"/>
    <n v="7"/>
    <n v="3"/>
    <x v="2"/>
  </r>
  <r>
    <n v="556"/>
    <d v="2025-03-14T00:00:00"/>
    <n v="30"/>
    <s v="Male"/>
    <s v="South"/>
    <x v="3"/>
    <m/>
    <n v="710.8"/>
    <n v="4"/>
    <n v="1"/>
    <x v="792"/>
    <n v="1"/>
    <n v="4"/>
    <n v="5"/>
    <x v="2"/>
  </r>
  <r>
    <n v="4319"/>
    <d v="2025-03-14T00:00:00"/>
    <n v="45"/>
    <s v="Male"/>
    <s v="South"/>
    <x v="0"/>
    <m/>
    <n v="557.70000000000005"/>
    <n v="5"/>
    <n v="0"/>
    <x v="11"/>
    <n v="0"/>
    <n v="0"/>
    <m/>
    <x v="2"/>
  </r>
  <r>
    <n v="4953"/>
    <d v="2025-03-14T00:00:00"/>
    <n v="39"/>
    <s v="Female"/>
    <s v="East"/>
    <x v="1"/>
    <s v="CAMP4"/>
    <n v="443.5"/>
    <n v="7"/>
    <n v="0"/>
    <x v="11"/>
    <n v="0"/>
    <n v="0"/>
    <m/>
    <x v="2"/>
  </r>
  <r>
    <n v="4599"/>
    <d v="2025-03-14T00:00:00"/>
    <n v="47"/>
    <s v="Female"/>
    <s v="West"/>
    <x v="0"/>
    <m/>
    <n v="440.2"/>
    <n v="8"/>
    <n v="0"/>
    <x v="11"/>
    <n v="0"/>
    <n v="0"/>
    <m/>
    <x v="2"/>
  </r>
  <r>
    <n v="1678"/>
    <d v="2025-03-14T00:00:00"/>
    <n v="24"/>
    <s v="Male"/>
    <s v="West"/>
    <x v="0"/>
    <m/>
    <n v="439.2"/>
    <n v="8"/>
    <n v="0"/>
    <x v="11"/>
    <n v="0"/>
    <n v="0"/>
    <m/>
    <x v="2"/>
  </r>
  <r>
    <n v="2571"/>
    <d v="2025-03-14T00:00:00"/>
    <n v="29"/>
    <s v="Male"/>
    <s v="South"/>
    <x v="1"/>
    <s v="CAMP3"/>
    <n v="431.9"/>
    <n v="6"/>
    <n v="0"/>
    <x v="11"/>
    <n v="0"/>
    <n v="0"/>
    <m/>
    <x v="2"/>
  </r>
  <r>
    <n v="1892"/>
    <d v="2025-03-14T00:00:00"/>
    <n v="42"/>
    <s v="Female"/>
    <s v="East"/>
    <x v="0"/>
    <m/>
    <n v="396"/>
    <n v="6"/>
    <n v="0"/>
    <x v="11"/>
    <n v="0"/>
    <n v="0"/>
    <m/>
    <x v="2"/>
  </r>
  <r>
    <n v="4277"/>
    <d v="2025-03-14T00:00:00"/>
    <n v="48"/>
    <s v="Female"/>
    <s v="West"/>
    <x v="0"/>
    <m/>
    <n v="385.1"/>
    <n v="8"/>
    <n v="0"/>
    <x v="11"/>
    <n v="0"/>
    <n v="0"/>
    <m/>
    <x v="2"/>
  </r>
  <r>
    <n v="1058"/>
    <d v="2025-03-14T00:00:00"/>
    <n v="21"/>
    <s v="Female"/>
    <s v="North"/>
    <x v="3"/>
    <m/>
    <n v="322.3"/>
    <n v="5"/>
    <n v="0"/>
    <x v="11"/>
    <n v="0"/>
    <n v="0"/>
    <m/>
    <x v="2"/>
  </r>
  <r>
    <n v="4148"/>
    <d v="2025-03-14T00:00:00"/>
    <n v="45"/>
    <s v="Female"/>
    <s v="North"/>
    <x v="3"/>
    <m/>
    <n v="317.89999999999998"/>
    <n v="4"/>
    <n v="0"/>
    <x v="11"/>
    <n v="0"/>
    <n v="0"/>
    <m/>
    <x v="2"/>
  </r>
  <r>
    <n v="865"/>
    <d v="2025-03-14T00:00:00"/>
    <n v="21"/>
    <s v="Female"/>
    <s v="South"/>
    <x v="0"/>
    <m/>
    <n v="312.10000000000002"/>
    <n v="2"/>
    <n v="0"/>
    <x v="11"/>
    <n v="0"/>
    <n v="0"/>
    <m/>
    <x v="2"/>
  </r>
  <r>
    <n v="3044"/>
    <d v="2025-03-14T00:00:00"/>
    <n v="31"/>
    <s v="Male"/>
    <s v="South"/>
    <x v="0"/>
    <m/>
    <n v="305.8"/>
    <n v="6"/>
    <n v="0"/>
    <x v="11"/>
    <n v="0"/>
    <n v="0"/>
    <m/>
    <x v="2"/>
  </r>
  <r>
    <n v="3749"/>
    <d v="2025-03-14T00:00:00"/>
    <n v="38"/>
    <s v="Female"/>
    <s v="South"/>
    <x v="0"/>
    <m/>
    <n v="298.39999999999998"/>
    <n v="7"/>
    <n v="0"/>
    <x v="11"/>
    <n v="0"/>
    <n v="0"/>
    <m/>
    <x v="2"/>
  </r>
  <r>
    <n v="1474"/>
    <d v="2025-03-14T00:00:00"/>
    <n v="28"/>
    <s v="Female"/>
    <s v="North"/>
    <x v="2"/>
    <m/>
    <n v="290.5"/>
    <n v="2"/>
    <n v="0"/>
    <x v="11"/>
    <n v="0"/>
    <n v="0"/>
    <m/>
    <x v="2"/>
  </r>
  <r>
    <n v="788"/>
    <d v="2025-03-14T00:00:00"/>
    <n v="25"/>
    <s v="Male"/>
    <s v="West"/>
    <x v="0"/>
    <m/>
    <n v="287.5"/>
    <n v="9"/>
    <n v="0"/>
    <x v="11"/>
    <n v="0"/>
    <n v="0"/>
    <m/>
    <x v="2"/>
  </r>
  <r>
    <n v="3859"/>
    <d v="2025-03-14T00:00:00"/>
    <n v="42"/>
    <s v="Male"/>
    <s v="West"/>
    <x v="3"/>
    <m/>
    <n v="232"/>
    <n v="2"/>
    <n v="0"/>
    <x v="11"/>
    <n v="0"/>
    <n v="0"/>
    <m/>
    <x v="2"/>
  </r>
  <r>
    <n v="3480"/>
    <d v="2025-03-14T00:00:00"/>
    <n v="35"/>
    <s v="Female"/>
    <s v="North"/>
    <x v="2"/>
    <m/>
    <n v="206.9"/>
    <n v="8"/>
    <n v="0"/>
    <x v="11"/>
    <n v="0"/>
    <n v="0"/>
    <m/>
    <x v="2"/>
  </r>
  <r>
    <n v="3018"/>
    <d v="2025-03-14T00:00:00"/>
    <n v="36"/>
    <s v="Male"/>
    <s v="South"/>
    <x v="1"/>
    <s v="CAMP4"/>
    <n v="180.1"/>
    <n v="4"/>
    <n v="0"/>
    <x v="11"/>
    <n v="0"/>
    <n v="0"/>
    <m/>
    <x v="2"/>
  </r>
  <r>
    <n v="4772"/>
    <d v="2025-03-14T00:00:00"/>
    <n v="47"/>
    <s v="Male"/>
    <s v="South"/>
    <x v="2"/>
    <m/>
    <n v="179.9"/>
    <n v="6"/>
    <n v="0"/>
    <x v="11"/>
    <n v="0"/>
    <n v="0"/>
    <m/>
    <x v="2"/>
  </r>
  <r>
    <n v="3922"/>
    <d v="2025-03-14T00:00:00"/>
    <n v="44"/>
    <s v="Female"/>
    <s v="East"/>
    <x v="0"/>
    <m/>
    <n v="141.1"/>
    <n v="10"/>
    <n v="0"/>
    <x v="11"/>
    <n v="0"/>
    <n v="0"/>
    <m/>
    <x v="2"/>
  </r>
  <r>
    <n v="4181"/>
    <d v="2025-03-14T00:00:00"/>
    <n v="54"/>
    <s v="Male"/>
    <s v="North"/>
    <x v="2"/>
    <m/>
    <n v="135.1"/>
    <n v="8"/>
    <n v="0"/>
    <x v="11"/>
    <n v="0"/>
    <n v="0"/>
    <m/>
    <x v="2"/>
  </r>
  <r>
    <n v="4545"/>
    <d v="2025-03-14T00:00:00"/>
    <n v="54"/>
    <s v="Female"/>
    <s v="West"/>
    <x v="0"/>
    <m/>
    <n v="111.7"/>
    <n v="8"/>
    <n v="0"/>
    <x v="11"/>
    <n v="0"/>
    <n v="0"/>
    <m/>
    <x v="2"/>
  </r>
  <r>
    <n v="3890"/>
    <d v="2025-03-14T00:00:00"/>
    <n v="57"/>
    <s v="Female"/>
    <s v="North"/>
    <x v="0"/>
    <m/>
    <n v="104.3"/>
    <n v="4"/>
    <n v="0"/>
    <x v="11"/>
    <n v="0"/>
    <n v="0"/>
    <m/>
    <x v="2"/>
  </r>
  <r>
    <n v="4461"/>
    <d v="2025-03-14T00:00:00"/>
    <n v="56"/>
    <s v="Male"/>
    <s v="North"/>
    <x v="0"/>
    <m/>
    <n v="52.6"/>
    <n v="5"/>
    <n v="0"/>
    <x v="11"/>
    <n v="0"/>
    <n v="0"/>
    <m/>
    <x v="2"/>
  </r>
  <r>
    <n v="414"/>
    <d v="2025-04-14T00:00:00"/>
    <n v="29"/>
    <s v="Female"/>
    <s v="West"/>
    <x v="1"/>
    <s v="CAMP7"/>
    <n v="343.6"/>
    <n v="12"/>
    <n v="1"/>
    <x v="436"/>
    <n v="1"/>
    <n v="5"/>
    <n v="4"/>
    <x v="3"/>
  </r>
  <r>
    <n v="3787"/>
    <d v="2025-04-14T00:00:00"/>
    <n v="54"/>
    <s v="Female"/>
    <s v="East"/>
    <x v="2"/>
    <m/>
    <n v="325.5"/>
    <n v="4"/>
    <n v="1"/>
    <x v="793"/>
    <n v="4"/>
    <n v="9"/>
    <n v="4"/>
    <x v="3"/>
  </r>
  <r>
    <n v="4591"/>
    <d v="2025-04-14T00:00:00"/>
    <n v="55"/>
    <s v="Female"/>
    <s v="East"/>
    <x v="0"/>
    <m/>
    <n v="487.3"/>
    <n v="6"/>
    <n v="1"/>
    <x v="794"/>
    <n v="3"/>
    <n v="5"/>
    <n v="4"/>
    <x v="3"/>
  </r>
  <r>
    <n v="4383"/>
    <d v="2025-04-14T00:00:00"/>
    <n v="51"/>
    <s v="Male"/>
    <s v="East"/>
    <x v="0"/>
    <m/>
    <n v="328.5"/>
    <n v="4"/>
    <n v="1"/>
    <x v="795"/>
    <n v="4"/>
    <n v="12"/>
    <n v="5"/>
    <x v="3"/>
  </r>
  <r>
    <n v="3567"/>
    <d v="2025-04-14T00:00:00"/>
    <n v="29"/>
    <s v="Female"/>
    <s v="East"/>
    <x v="2"/>
    <m/>
    <n v="754"/>
    <n v="10"/>
    <n v="1"/>
    <x v="796"/>
    <n v="2"/>
    <n v="8"/>
    <n v="4"/>
    <x v="3"/>
  </r>
  <r>
    <n v="2845"/>
    <d v="2025-04-14T00:00:00"/>
    <n v="43"/>
    <s v="Male"/>
    <s v="North"/>
    <x v="3"/>
    <m/>
    <n v="366.7"/>
    <n v="5"/>
    <n v="1"/>
    <x v="797"/>
    <n v="2"/>
    <n v="11"/>
    <n v="4"/>
    <x v="3"/>
  </r>
  <r>
    <n v="4992"/>
    <d v="2025-04-14T00:00:00"/>
    <n v="40"/>
    <s v="Male"/>
    <s v="East"/>
    <x v="0"/>
    <m/>
    <n v="136.30000000000001"/>
    <n v="5"/>
    <n v="1"/>
    <x v="798"/>
    <n v="2"/>
    <n v="1"/>
    <n v="5"/>
    <x v="3"/>
  </r>
  <r>
    <n v="725"/>
    <d v="2025-04-14T00:00:00"/>
    <n v="22"/>
    <s v="Male"/>
    <s v="East"/>
    <x v="0"/>
    <m/>
    <n v="141.69999999999999"/>
    <n v="5"/>
    <n v="1"/>
    <x v="799"/>
    <n v="2"/>
    <n v="8"/>
    <n v="4"/>
    <x v="3"/>
  </r>
  <r>
    <n v="2097"/>
    <d v="2025-04-14T00:00:00"/>
    <n v="42"/>
    <s v="Female"/>
    <s v="East"/>
    <x v="1"/>
    <s v="CAMP2"/>
    <n v="427.1"/>
    <n v="5"/>
    <n v="1"/>
    <x v="800"/>
    <n v="2"/>
    <n v="8"/>
    <n v="4"/>
    <x v="3"/>
  </r>
  <r>
    <n v="2503"/>
    <d v="2025-04-14T00:00:00"/>
    <n v="41"/>
    <s v="Female"/>
    <s v="East"/>
    <x v="0"/>
    <m/>
    <n v="466.8"/>
    <n v="6"/>
    <n v="0"/>
    <x v="11"/>
    <n v="0"/>
    <n v="0"/>
    <m/>
    <x v="3"/>
  </r>
  <r>
    <n v="4288"/>
    <d v="2025-04-14T00:00:00"/>
    <n v="57"/>
    <s v="Female"/>
    <s v="East"/>
    <x v="3"/>
    <m/>
    <n v="413.5"/>
    <n v="6"/>
    <n v="0"/>
    <x v="11"/>
    <n v="0"/>
    <n v="0"/>
    <m/>
    <x v="3"/>
  </r>
  <r>
    <n v="3909"/>
    <d v="2025-04-14T00:00:00"/>
    <n v="70"/>
    <s v="Male"/>
    <s v="East"/>
    <x v="3"/>
    <m/>
    <n v="406.5"/>
    <n v="6"/>
    <n v="0"/>
    <x v="11"/>
    <n v="0"/>
    <n v="0"/>
    <m/>
    <x v="3"/>
  </r>
  <r>
    <n v="233"/>
    <d v="2025-04-14T00:00:00"/>
    <n v="24"/>
    <s v="Female"/>
    <s v="West"/>
    <x v="0"/>
    <m/>
    <n v="382.9"/>
    <n v="6"/>
    <n v="0"/>
    <x v="11"/>
    <n v="0"/>
    <n v="0"/>
    <m/>
    <x v="3"/>
  </r>
  <r>
    <n v="4480"/>
    <d v="2025-04-14T00:00:00"/>
    <n v="59"/>
    <s v="Male"/>
    <s v="West"/>
    <x v="1"/>
    <s v="CAMP7"/>
    <n v="354.4"/>
    <n v="6"/>
    <n v="0"/>
    <x v="11"/>
    <n v="0"/>
    <n v="0"/>
    <m/>
    <x v="3"/>
  </r>
  <r>
    <n v="2365"/>
    <d v="2025-04-14T00:00:00"/>
    <n v="29"/>
    <s v="Female"/>
    <s v="East"/>
    <x v="0"/>
    <m/>
    <n v="317.89999999999998"/>
    <n v="6"/>
    <n v="0"/>
    <x v="11"/>
    <n v="0"/>
    <n v="0"/>
    <m/>
    <x v="3"/>
  </r>
  <r>
    <n v="3482"/>
    <d v="2025-04-14T00:00:00"/>
    <n v="43"/>
    <s v="Male"/>
    <s v="East"/>
    <x v="2"/>
    <m/>
    <n v="268.5"/>
    <n v="9"/>
    <n v="0"/>
    <x v="11"/>
    <n v="0"/>
    <n v="0"/>
    <m/>
    <x v="3"/>
  </r>
  <r>
    <n v="2497"/>
    <d v="2025-04-14T00:00:00"/>
    <n v="39"/>
    <s v="Female"/>
    <s v="North"/>
    <x v="1"/>
    <s v="CAMP5"/>
    <n v="259.7"/>
    <n v="2"/>
    <n v="0"/>
    <x v="11"/>
    <n v="0"/>
    <n v="0"/>
    <m/>
    <x v="3"/>
  </r>
  <r>
    <n v="4522"/>
    <d v="2025-04-14T00:00:00"/>
    <n v="39"/>
    <s v="Male"/>
    <s v="West"/>
    <x v="0"/>
    <m/>
    <n v="255.8"/>
    <n v="6"/>
    <n v="0"/>
    <x v="11"/>
    <n v="0"/>
    <n v="0"/>
    <m/>
    <x v="3"/>
  </r>
  <r>
    <n v="803"/>
    <d v="2025-04-14T00:00:00"/>
    <n v="33"/>
    <s v="Male"/>
    <s v="South"/>
    <x v="3"/>
    <m/>
    <n v="211.9"/>
    <n v="8"/>
    <n v="0"/>
    <x v="11"/>
    <n v="0"/>
    <n v="0"/>
    <m/>
    <x v="3"/>
  </r>
  <r>
    <n v="3961"/>
    <d v="2025-04-14T00:00:00"/>
    <n v="54"/>
    <s v="Female"/>
    <s v="East"/>
    <x v="1"/>
    <s v="CAMP1"/>
    <n v="154.4"/>
    <n v="6"/>
    <n v="0"/>
    <x v="11"/>
    <n v="0"/>
    <n v="0"/>
    <m/>
    <x v="3"/>
  </r>
  <r>
    <n v="4076"/>
    <d v="2025-04-14T00:00:00"/>
    <n v="43"/>
    <s v="Female"/>
    <s v="South"/>
    <x v="0"/>
    <m/>
    <n v="151.5"/>
    <n v="4"/>
    <n v="0"/>
    <x v="11"/>
    <n v="0"/>
    <n v="0"/>
    <m/>
    <x v="3"/>
  </r>
  <r>
    <n v="940"/>
    <d v="2025-04-14T00:00:00"/>
    <n v="32"/>
    <s v="Male"/>
    <s v="South"/>
    <x v="1"/>
    <s v="CAMP1"/>
    <n v="150.80000000000001"/>
    <n v="6"/>
    <n v="0"/>
    <x v="11"/>
    <n v="0"/>
    <n v="0"/>
    <m/>
    <x v="3"/>
  </r>
  <r>
    <n v="4110"/>
    <d v="2025-04-14T00:00:00"/>
    <n v="38"/>
    <s v="Female"/>
    <s v="South"/>
    <x v="0"/>
    <m/>
    <n v="121.6"/>
    <n v="8"/>
    <n v="0"/>
    <x v="11"/>
    <n v="0"/>
    <n v="0"/>
    <m/>
    <x v="3"/>
  </r>
  <r>
    <n v="360"/>
    <d v="2025-04-14T00:00:00"/>
    <n v="18"/>
    <s v="Male"/>
    <s v="East"/>
    <x v="3"/>
    <m/>
    <n v="116.6"/>
    <n v="4"/>
    <n v="0"/>
    <x v="11"/>
    <n v="0"/>
    <n v="0"/>
    <m/>
    <x v="3"/>
  </r>
  <r>
    <n v="3816"/>
    <d v="2025-04-14T00:00:00"/>
    <n v="73"/>
    <s v="Male"/>
    <s v="North"/>
    <x v="2"/>
    <m/>
    <n v="101.6"/>
    <n v="5"/>
    <n v="0"/>
    <x v="11"/>
    <n v="0"/>
    <n v="0"/>
    <m/>
    <x v="3"/>
  </r>
  <r>
    <n v="3400"/>
    <d v="2025-04-14T00:00:00"/>
    <n v="38"/>
    <s v="Male"/>
    <s v="South"/>
    <x v="0"/>
    <m/>
    <n v="48.8"/>
    <n v="5"/>
    <n v="0"/>
    <x v="11"/>
    <n v="0"/>
    <n v="0"/>
    <m/>
    <x v="3"/>
  </r>
  <r>
    <n v="3332"/>
    <d v="2025-05-14T00:00:00"/>
    <n v="33"/>
    <s v="Female"/>
    <s v="North"/>
    <x v="1"/>
    <s v="CAMP2"/>
    <n v="230.2"/>
    <n v="7"/>
    <n v="1"/>
    <x v="801"/>
    <n v="4"/>
    <n v="11"/>
    <n v="4"/>
    <x v="4"/>
  </r>
  <r>
    <n v="764"/>
    <d v="2025-05-14T00:00:00"/>
    <n v="24"/>
    <s v="Male"/>
    <s v="East"/>
    <x v="1"/>
    <s v="CAMP3"/>
    <n v="424.9"/>
    <n v="5"/>
    <n v="1"/>
    <x v="802"/>
    <n v="2"/>
    <n v="6"/>
    <n v="5"/>
    <x v="4"/>
  </r>
  <r>
    <n v="1345"/>
    <d v="2025-05-14T00:00:00"/>
    <n v="19"/>
    <s v="Female"/>
    <s v="East"/>
    <x v="3"/>
    <m/>
    <n v="328"/>
    <n v="6"/>
    <n v="1"/>
    <x v="803"/>
    <n v="6"/>
    <n v="13"/>
    <n v="4"/>
    <x v="4"/>
  </r>
  <r>
    <n v="2231"/>
    <d v="2025-05-14T00:00:00"/>
    <n v="32"/>
    <s v="Female"/>
    <s v="East"/>
    <x v="0"/>
    <m/>
    <n v="299.7"/>
    <n v="4"/>
    <n v="1"/>
    <x v="804"/>
    <n v="4"/>
    <n v="12"/>
    <n v="5"/>
    <x v="4"/>
  </r>
  <r>
    <n v="2614"/>
    <d v="2025-05-14T00:00:00"/>
    <n v="24"/>
    <s v="Male"/>
    <s v="East"/>
    <x v="0"/>
    <m/>
    <n v="743.2"/>
    <n v="6"/>
    <n v="1"/>
    <x v="805"/>
    <n v="3"/>
    <n v="14"/>
    <n v="4"/>
    <x v="4"/>
  </r>
  <r>
    <n v="2205"/>
    <d v="2025-05-14T00:00:00"/>
    <n v="36"/>
    <s v="Female"/>
    <s v="North"/>
    <x v="1"/>
    <s v="CAMP1"/>
    <n v="314.60000000000002"/>
    <n v="7"/>
    <n v="1"/>
    <x v="806"/>
    <n v="3"/>
    <n v="10"/>
    <n v="5"/>
    <x v="4"/>
  </r>
  <r>
    <n v="1164"/>
    <d v="2025-05-14T00:00:00"/>
    <n v="26"/>
    <s v="Male"/>
    <s v="South"/>
    <x v="1"/>
    <s v="CAMP7"/>
    <n v="115.2"/>
    <n v="5"/>
    <n v="1"/>
    <x v="807"/>
    <n v="1"/>
    <n v="8"/>
    <n v="4"/>
    <x v="4"/>
  </r>
  <r>
    <n v="4729"/>
    <d v="2025-05-14T00:00:00"/>
    <n v="61"/>
    <s v="Female"/>
    <s v="East"/>
    <x v="0"/>
    <m/>
    <n v="327.10000000000002"/>
    <n v="5"/>
    <n v="1"/>
    <x v="808"/>
    <n v="3"/>
    <n v="1"/>
    <n v="4"/>
    <x v="4"/>
  </r>
  <r>
    <n v="3579"/>
    <d v="2025-05-14T00:00:00"/>
    <n v="43"/>
    <s v="Male"/>
    <s v="North"/>
    <x v="3"/>
    <m/>
    <n v="755"/>
    <n v="8"/>
    <n v="0"/>
    <x v="11"/>
    <n v="0"/>
    <n v="0"/>
    <m/>
    <x v="4"/>
  </r>
  <r>
    <n v="724"/>
    <d v="2025-05-14T00:00:00"/>
    <n v="24"/>
    <s v="Male"/>
    <s v="East"/>
    <x v="0"/>
    <m/>
    <n v="548.79999999999995"/>
    <n v="9"/>
    <n v="0"/>
    <x v="11"/>
    <n v="0"/>
    <n v="0"/>
    <m/>
    <x v="4"/>
  </r>
  <r>
    <n v="3707"/>
    <d v="2025-05-14T00:00:00"/>
    <n v="27"/>
    <s v="Female"/>
    <s v="North"/>
    <x v="0"/>
    <m/>
    <n v="519.29999999999995"/>
    <n v="7"/>
    <n v="0"/>
    <x v="11"/>
    <n v="0"/>
    <n v="0"/>
    <m/>
    <x v="4"/>
  </r>
  <r>
    <n v="4909"/>
    <d v="2025-05-14T00:00:00"/>
    <n v="69"/>
    <s v="Male"/>
    <s v="South"/>
    <x v="3"/>
    <m/>
    <n v="496.1"/>
    <n v="10"/>
    <n v="0"/>
    <x v="11"/>
    <n v="0"/>
    <n v="0"/>
    <m/>
    <x v="4"/>
  </r>
  <r>
    <n v="2537"/>
    <d v="2025-05-14T00:00:00"/>
    <n v="33"/>
    <s v="Female"/>
    <s v="South"/>
    <x v="0"/>
    <m/>
    <n v="484.7"/>
    <n v="3"/>
    <n v="0"/>
    <x v="11"/>
    <n v="0"/>
    <n v="0"/>
    <m/>
    <x v="4"/>
  </r>
  <r>
    <n v="4832"/>
    <d v="2025-05-14T00:00:00"/>
    <n v="57"/>
    <s v="Male"/>
    <s v="East"/>
    <x v="0"/>
    <m/>
    <n v="403.9"/>
    <n v="3"/>
    <n v="0"/>
    <x v="11"/>
    <n v="0"/>
    <n v="0"/>
    <m/>
    <x v="4"/>
  </r>
  <r>
    <n v="4929"/>
    <d v="2025-05-14T00:00:00"/>
    <n v="61"/>
    <s v="Male"/>
    <s v="East"/>
    <x v="0"/>
    <m/>
    <n v="318"/>
    <n v="4"/>
    <n v="0"/>
    <x v="11"/>
    <n v="0"/>
    <n v="0"/>
    <m/>
    <x v="4"/>
  </r>
  <r>
    <n v="4948"/>
    <d v="2025-05-14T00:00:00"/>
    <n v="47"/>
    <s v="Male"/>
    <s v="East"/>
    <x v="3"/>
    <m/>
    <n v="302.8"/>
    <n v="10"/>
    <n v="0"/>
    <x v="11"/>
    <n v="0"/>
    <n v="0"/>
    <m/>
    <x v="4"/>
  </r>
  <r>
    <n v="4486"/>
    <d v="2025-05-14T00:00:00"/>
    <n v="41"/>
    <s v="Female"/>
    <s v="East"/>
    <x v="0"/>
    <m/>
    <n v="300.39999999999998"/>
    <n v="3"/>
    <n v="0"/>
    <x v="11"/>
    <n v="0"/>
    <n v="0"/>
    <m/>
    <x v="4"/>
  </r>
  <r>
    <n v="2917"/>
    <d v="2025-05-14T00:00:00"/>
    <n v="30"/>
    <s v="Female"/>
    <s v="West"/>
    <x v="2"/>
    <m/>
    <n v="229.7"/>
    <n v="4"/>
    <n v="0"/>
    <x v="11"/>
    <n v="0"/>
    <n v="0"/>
    <m/>
    <x v="4"/>
  </r>
  <r>
    <n v="266"/>
    <d v="2025-05-14T00:00:00"/>
    <n v="18"/>
    <s v="Male"/>
    <s v="South"/>
    <x v="1"/>
    <s v="CAMP4"/>
    <n v="195.9"/>
    <n v="3"/>
    <n v="0"/>
    <x v="11"/>
    <n v="0"/>
    <n v="0"/>
    <m/>
    <x v="4"/>
  </r>
  <r>
    <n v="2277"/>
    <d v="2025-05-14T00:00:00"/>
    <n v="33"/>
    <s v="Male"/>
    <s v="East"/>
    <x v="0"/>
    <m/>
    <n v="163"/>
    <n v="7"/>
    <n v="0"/>
    <x v="11"/>
    <n v="0"/>
    <n v="0"/>
    <m/>
    <x v="4"/>
  </r>
  <r>
    <n v="3137"/>
    <d v="2025-05-14T00:00:00"/>
    <n v="39"/>
    <s v="Female"/>
    <s v="South"/>
    <x v="0"/>
    <m/>
    <n v="135.5"/>
    <n v="10"/>
    <n v="0"/>
    <x v="11"/>
    <n v="0"/>
    <n v="0"/>
    <m/>
    <x v="4"/>
  </r>
  <r>
    <n v="4646"/>
    <d v="2025-05-14T00:00:00"/>
    <n v="29"/>
    <s v="Female"/>
    <s v="South"/>
    <x v="1"/>
    <s v="CAMP2"/>
    <n v="57.5"/>
    <n v="7"/>
    <n v="0"/>
    <x v="11"/>
    <n v="0"/>
    <n v="0"/>
    <m/>
    <x v="4"/>
  </r>
  <r>
    <n v="938"/>
    <d v="2025-06-14T00:00:00"/>
    <n v="30"/>
    <s v="Female"/>
    <s v="East"/>
    <x v="3"/>
    <m/>
    <n v="341.4"/>
    <n v="5"/>
    <n v="1"/>
    <x v="809"/>
    <n v="1"/>
    <n v="10"/>
    <n v="4"/>
    <x v="5"/>
  </r>
  <r>
    <n v="2383"/>
    <d v="2025-06-14T00:00:00"/>
    <n v="31"/>
    <s v="Male"/>
    <s v="North"/>
    <x v="2"/>
    <m/>
    <n v="513.1"/>
    <n v="3"/>
    <n v="1"/>
    <x v="810"/>
    <n v="1"/>
    <n v="1"/>
    <n v="5"/>
    <x v="5"/>
  </r>
  <r>
    <n v="1361"/>
    <d v="2025-06-14T00:00:00"/>
    <n v="29"/>
    <s v="Male"/>
    <s v="East"/>
    <x v="3"/>
    <m/>
    <n v="573.9"/>
    <n v="8"/>
    <n v="1"/>
    <x v="811"/>
    <n v="6"/>
    <n v="9"/>
    <n v="5"/>
    <x v="5"/>
  </r>
  <r>
    <n v="4727"/>
    <d v="2025-06-14T00:00:00"/>
    <n v="54"/>
    <s v="Female"/>
    <s v="West"/>
    <x v="0"/>
    <m/>
    <n v="630.29999999999995"/>
    <n v="7"/>
    <n v="1"/>
    <x v="812"/>
    <n v="5"/>
    <n v="11"/>
    <n v="4"/>
    <x v="5"/>
  </r>
  <r>
    <n v="1019"/>
    <d v="2025-06-14T00:00:00"/>
    <n v="23"/>
    <s v="Female"/>
    <s v="East"/>
    <x v="0"/>
    <m/>
    <n v="396.1"/>
    <n v="4"/>
    <n v="1"/>
    <x v="813"/>
    <n v="2"/>
    <n v="11"/>
    <n v="5"/>
    <x v="5"/>
  </r>
  <r>
    <n v="3103"/>
    <d v="2025-06-14T00:00:00"/>
    <n v="41"/>
    <s v="Male"/>
    <s v="South"/>
    <x v="1"/>
    <s v="CAMP4"/>
    <n v="345.6"/>
    <n v="2"/>
    <n v="1"/>
    <x v="814"/>
    <n v="3"/>
    <n v="7"/>
    <n v="4"/>
    <x v="5"/>
  </r>
  <r>
    <n v="3192"/>
    <d v="2025-06-14T00:00:00"/>
    <n v="36"/>
    <s v="Male"/>
    <s v="East"/>
    <x v="0"/>
    <m/>
    <n v="913.8"/>
    <n v="8"/>
    <n v="0"/>
    <x v="11"/>
    <n v="0"/>
    <n v="0"/>
    <m/>
    <x v="5"/>
  </r>
  <r>
    <n v="3903"/>
    <d v="2025-06-14T00:00:00"/>
    <n v="66"/>
    <s v="Male"/>
    <s v="East"/>
    <x v="1"/>
    <s v="CAMP1"/>
    <n v="368"/>
    <n v="1"/>
    <n v="0"/>
    <x v="11"/>
    <n v="0"/>
    <n v="0"/>
    <m/>
    <x v="5"/>
  </r>
  <r>
    <n v="243"/>
    <d v="2025-06-14T00:00:00"/>
    <n v="23"/>
    <s v="Female"/>
    <s v="West"/>
    <x v="0"/>
    <m/>
    <n v="359.4"/>
    <n v="5"/>
    <n v="0"/>
    <x v="11"/>
    <n v="0"/>
    <n v="0"/>
    <m/>
    <x v="5"/>
  </r>
  <r>
    <n v="2352"/>
    <d v="2025-06-14T00:00:00"/>
    <n v="38"/>
    <s v="Male"/>
    <s v="West"/>
    <x v="2"/>
    <m/>
    <n v="351"/>
    <n v="6"/>
    <n v="0"/>
    <x v="11"/>
    <n v="0"/>
    <n v="0"/>
    <m/>
    <x v="5"/>
  </r>
  <r>
    <n v="954"/>
    <d v="2025-06-14T00:00:00"/>
    <n v="25"/>
    <s v="Male"/>
    <s v="South"/>
    <x v="1"/>
    <s v="CAMP5"/>
    <n v="334.6"/>
    <n v="4"/>
    <n v="0"/>
    <x v="11"/>
    <n v="0"/>
    <n v="0"/>
    <m/>
    <x v="5"/>
  </r>
  <r>
    <n v="274"/>
    <d v="2025-06-14T00:00:00"/>
    <n v="28"/>
    <s v="Female"/>
    <s v="North"/>
    <x v="3"/>
    <m/>
    <n v="314.8"/>
    <n v="6"/>
    <n v="0"/>
    <x v="11"/>
    <n v="0"/>
    <n v="0"/>
    <m/>
    <x v="5"/>
  </r>
  <r>
    <n v="2101"/>
    <d v="2025-06-14T00:00:00"/>
    <n v="53"/>
    <s v="Female"/>
    <s v="East"/>
    <x v="0"/>
    <m/>
    <n v="237.1"/>
    <n v="7"/>
    <n v="0"/>
    <x v="11"/>
    <n v="0"/>
    <n v="0"/>
    <m/>
    <x v="5"/>
  </r>
  <r>
    <n v="4528"/>
    <d v="2025-06-14T00:00:00"/>
    <n v="44"/>
    <s v="Male"/>
    <s v="North"/>
    <x v="0"/>
    <m/>
    <n v="223.8"/>
    <n v="3"/>
    <n v="0"/>
    <x v="11"/>
    <n v="0"/>
    <n v="0"/>
    <m/>
    <x v="5"/>
  </r>
  <r>
    <n v="837"/>
    <d v="2025-06-14T00:00:00"/>
    <n v="20"/>
    <s v="Male"/>
    <s v="East"/>
    <x v="1"/>
    <s v="CAMP3"/>
    <n v="115.7"/>
    <n v="5"/>
    <n v="0"/>
    <x v="11"/>
    <n v="0"/>
    <n v="0"/>
    <m/>
    <x v="5"/>
  </r>
  <r>
    <n v="4234"/>
    <d v="2025-06-14T00:00:00"/>
    <n v="61"/>
    <s v="Female"/>
    <s v="East"/>
    <x v="3"/>
    <m/>
    <n v="79"/>
    <n v="6"/>
    <n v="0"/>
    <x v="11"/>
    <n v="0"/>
    <n v="0"/>
    <m/>
    <x v="5"/>
  </r>
  <r>
    <n v="3887"/>
    <d v="2025-06-14T00:00:00"/>
    <n v="52"/>
    <s v="Male"/>
    <s v="East"/>
    <x v="1"/>
    <s v="CAMP5"/>
    <n v="41.2"/>
    <n v="4"/>
    <n v="0"/>
    <x v="11"/>
    <n v="0"/>
    <n v="0"/>
    <m/>
    <x v="5"/>
  </r>
  <r>
    <n v="4916"/>
    <d v="2025-06-14T00:00:00"/>
    <n v="51"/>
    <s v="Female"/>
    <s v="North"/>
    <x v="3"/>
    <m/>
    <n v="35.799999999999997"/>
    <n v="3"/>
    <n v="0"/>
    <x v="11"/>
    <n v="0"/>
    <n v="0"/>
    <m/>
    <x v="5"/>
  </r>
  <r>
    <n v="1319"/>
    <d v="2025-01-15T00:00:00"/>
    <n v="31"/>
    <s v="Male"/>
    <s v="South"/>
    <x v="1"/>
    <s v="CAMP1"/>
    <n v="525"/>
    <n v="3"/>
    <n v="1"/>
    <x v="815"/>
    <n v="4"/>
    <n v="5"/>
    <n v="5"/>
    <x v="0"/>
  </r>
  <r>
    <n v="1815"/>
    <d v="2025-01-15T00:00:00"/>
    <n v="40"/>
    <s v="Female"/>
    <s v="West"/>
    <x v="0"/>
    <m/>
    <n v="667.6"/>
    <n v="12"/>
    <n v="1"/>
    <x v="816"/>
    <n v="2"/>
    <n v="12"/>
    <n v="4"/>
    <x v="0"/>
  </r>
  <r>
    <n v="4539"/>
    <d v="2025-01-15T00:00:00"/>
    <n v="47"/>
    <s v="Male"/>
    <s v="South"/>
    <x v="1"/>
    <s v="CAMP4"/>
    <n v="428.7"/>
    <n v="4"/>
    <n v="1"/>
    <x v="817"/>
    <n v="2"/>
    <n v="13"/>
    <n v="3"/>
    <x v="0"/>
  </r>
  <r>
    <n v="2933"/>
    <d v="2025-01-15T00:00:00"/>
    <n v="24"/>
    <s v="Female"/>
    <s v="North"/>
    <x v="3"/>
    <m/>
    <n v="569.5"/>
    <n v="4"/>
    <n v="1"/>
    <x v="818"/>
    <n v="2"/>
    <n v="12"/>
    <n v="5"/>
    <x v="0"/>
  </r>
  <r>
    <n v="4301"/>
    <d v="2025-01-15T00:00:00"/>
    <n v="48"/>
    <s v="Female"/>
    <s v="East"/>
    <x v="1"/>
    <s v="CAMP5"/>
    <n v="1348.6"/>
    <n v="13"/>
    <n v="1"/>
    <x v="819"/>
    <n v="4"/>
    <n v="9"/>
    <n v="4"/>
    <x v="0"/>
  </r>
  <r>
    <n v="3128"/>
    <d v="2025-01-15T00:00:00"/>
    <n v="18"/>
    <s v="Female"/>
    <s v="South"/>
    <x v="0"/>
    <m/>
    <n v="1009.9"/>
    <n v="6"/>
    <n v="1"/>
    <x v="820"/>
    <n v="2"/>
    <n v="13"/>
    <n v="4"/>
    <x v="0"/>
  </r>
  <r>
    <n v="614"/>
    <d v="2025-01-15T00:00:00"/>
    <n v="23"/>
    <s v="Male"/>
    <s v="South"/>
    <x v="0"/>
    <m/>
    <n v="109.2"/>
    <n v="6"/>
    <n v="1"/>
    <x v="821"/>
    <n v="5"/>
    <n v="3"/>
    <n v="5"/>
    <x v="0"/>
  </r>
  <r>
    <n v="1217"/>
    <d v="2025-01-15T00:00:00"/>
    <n v="24"/>
    <s v="Male"/>
    <s v="West"/>
    <x v="2"/>
    <m/>
    <n v="227.2"/>
    <n v="4"/>
    <n v="1"/>
    <x v="822"/>
    <n v="3"/>
    <n v="3"/>
    <n v="4"/>
    <x v="0"/>
  </r>
  <r>
    <n v="4306"/>
    <d v="2025-01-15T00:00:00"/>
    <n v="46"/>
    <s v="Female"/>
    <s v="West"/>
    <x v="1"/>
    <s v="CAMP3"/>
    <n v="401.8"/>
    <n v="3"/>
    <n v="1"/>
    <x v="823"/>
    <n v="3"/>
    <n v="7"/>
    <n v="3"/>
    <x v="0"/>
  </r>
  <r>
    <n v="1598"/>
    <d v="2025-01-15T00:00:00"/>
    <n v="30"/>
    <s v="Female"/>
    <s v="West"/>
    <x v="1"/>
    <s v="CAMP1"/>
    <n v="157.9"/>
    <n v="9"/>
    <n v="1"/>
    <x v="824"/>
    <n v="3"/>
    <n v="15"/>
    <n v="4"/>
    <x v="0"/>
  </r>
  <r>
    <n v="3559"/>
    <d v="2025-01-15T00:00:00"/>
    <n v="49"/>
    <s v="Female"/>
    <s v="West"/>
    <x v="1"/>
    <s v="CAMP7"/>
    <n v="621.9"/>
    <n v="6"/>
    <n v="1"/>
    <x v="825"/>
    <n v="1"/>
    <n v="11"/>
    <n v="4"/>
    <x v="0"/>
  </r>
  <r>
    <n v="4292"/>
    <d v="2025-01-15T00:00:00"/>
    <n v="44"/>
    <s v="Male"/>
    <s v="East"/>
    <x v="0"/>
    <m/>
    <n v="246.5"/>
    <n v="3"/>
    <n v="1"/>
    <x v="826"/>
    <n v="5"/>
    <n v="2"/>
    <n v="4"/>
    <x v="0"/>
  </r>
  <r>
    <n v="1290"/>
    <d v="2025-01-15T00:00:00"/>
    <n v="28"/>
    <s v="Male"/>
    <s v="South"/>
    <x v="1"/>
    <s v="CAMP6"/>
    <n v="506.1"/>
    <n v="3"/>
    <n v="0"/>
    <x v="11"/>
    <n v="0"/>
    <n v="0"/>
    <m/>
    <x v="0"/>
  </r>
  <r>
    <n v="4367"/>
    <d v="2025-01-15T00:00:00"/>
    <n v="44"/>
    <s v="Male"/>
    <s v="West"/>
    <x v="0"/>
    <m/>
    <n v="490.8"/>
    <n v="3"/>
    <n v="0"/>
    <x v="11"/>
    <n v="0"/>
    <n v="0"/>
    <m/>
    <x v="0"/>
  </r>
  <r>
    <n v="2137"/>
    <d v="2025-01-15T00:00:00"/>
    <n v="24"/>
    <s v="Other"/>
    <s v="South"/>
    <x v="0"/>
    <m/>
    <n v="489.7"/>
    <n v="6"/>
    <n v="0"/>
    <x v="11"/>
    <n v="0"/>
    <n v="0"/>
    <m/>
    <x v="0"/>
  </r>
  <r>
    <n v="440"/>
    <d v="2025-01-15T00:00:00"/>
    <n v="26"/>
    <s v="Male"/>
    <s v="West"/>
    <x v="0"/>
    <m/>
    <n v="433.3"/>
    <n v="7"/>
    <n v="0"/>
    <x v="11"/>
    <n v="0"/>
    <n v="0"/>
    <m/>
    <x v="0"/>
  </r>
  <r>
    <n v="312"/>
    <d v="2025-01-15T00:00:00"/>
    <n v="20"/>
    <s v="Female"/>
    <s v="North"/>
    <x v="0"/>
    <m/>
    <n v="361.6"/>
    <n v="9"/>
    <n v="0"/>
    <x v="11"/>
    <n v="0"/>
    <n v="0"/>
    <m/>
    <x v="0"/>
  </r>
  <r>
    <n v="3718"/>
    <d v="2025-01-15T00:00:00"/>
    <n v="28"/>
    <s v="Male"/>
    <s v="North"/>
    <x v="3"/>
    <m/>
    <n v="352.6"/>
    <n v="4"/>
    <n v="0"/>
    <x v="11"/>
    <n v="0"/>
    <n v="0"/>
    <m/>
    <x v="0"/>
  </r>
  <r>
    <n v="1986"/>
    <d v="2025-01-15T00:00:00"/>
    <n v="36"/>
    <s v="Female"/>
    <s v="East"/>
    <x v="0"/>
    <m/>
    <n v="350.2"/>
    <n v="5"/>
    <n v="0"/>
    <x v="11"/>
    <n v="0"/>
    <n v="0"/>
    <m/>
    <x v="0"/>
  </r>
  <r>
    <n v="1677"/>
    <d v="2025-01-15T00:00:00"/>
    <n v="27"/>
    <s v="Male"/>
    <s v="East"/>
    <x v="3"/>
    <m/>
    <n v="285.3"/>
    <n v="2"/>
    <n v="0"/>
    <x v="11"/>
    <n v="0"/>
    <n v="0"/>
    <m/>
    <x v="0"/>
  </r>
  <r>
    <n v="2239"/>
    <d v="2025-01-15T00:00:00"/>
    <n v="43"/>
    <s v="Male"/>
    <s v="East"/>
    <x v="2"/>
    <m/>
    <n v="258.39999999999998"/>
    <n v="3"/>
    <n v="0"/>
    <x v="11"/>
    <n v="0"/>
    <n v="0"/>
    <m/>
    <x v="0"/>
  </r>
  <r>
    <n v="1133"/>
    <d v="2025-01-15T00:00:00"/>
    <n v="26"/>
    <s v="Male"/>
    <s v="South"/>
    <x v="3"/>
    <m/>
    <n v="243.1"/>
    <n v="4"/>
    <n v="0"/>
    <x v="11"/>
    <n v="0"/>
    <n v="0"/>
    <m/>
    <x v="0"/>
  </r>
  <r>
    <n v="4033"/>
    <d v="2025-01-15T00:00:00"/>
    <n v="51"/>
    <s v="Male"/>
    <s v="West"/>
    <x v="1"/>
    <s v="CAMP3"/>
    <n v="225.5"/>
    <n v="9"/>
    <n v="0"/>
    <x v="11"/>
    <n v="0"/>
    <n v="0"/>
    <m/>
    <x v="0"/>
  </r>
  <r>
    <n v="4896"/>
    <d v="2025-01-15T00:00:00"/>
    <n v="37"/>
    <s v="Female"/>
    <s v="West"/>
    <x v="0"/>
    <m/>
    <n v="220.6"/>
    <n v="5"/>
    <n v="0"/>
    <x v="11"/>
    <n v="0"/>
    <n v="0"/>
    <m/>
    <x v="0"/>
  </r>
  <r>
    <n v="4098"/>
    <d v="2025-01-15T00:00:00"/>
    <n v="73"/>
    <s v="Male"/>
    <s v="South"/>
    <x v="2"/>
    <m/>
    <n v="193.5"/>
    <n v="7"/>
    <n v="0"/>
    <x v="11"/>
    <n v="0"/>
    <n v="0"/>
    <m/>
    <x v="0"/>
  </r>
  <r>
    <n v="961"/>
    <d v="2025-01-15T00:00:00"/>
    <n v="20"/>
    <s v="Male"/>
    <s v="South"/>
    <x v="3"/>
    <m/>
    <n v="165"/>
    <n v="3"/>
    <n v="0"/>
    <x v="11"/>
    <n v="0"/>
    <n v="0"/>
    <m/>
    <x v="0"/>
  </r>
  <r>
    <n v="1311"/>
    <d v="2025-01-15T00:00:00"/>
    <n v="23"/>
    <s v="Male"/>
    <s v="South"/>
    <x v="2"/>
    <m/>
    <n v="151.1"/>
    <n v="8"/>
    <n v="0"/>
    <x v="11"/>
    <n v="0"/>
    <n v="0"/>
    <m/>
    <x v="0"/>
  </r>
  <r>
    <n v="4807"/>
    <d v="2025-01-15T00:00:00"/>
    <n v="30"/>
    <s v="Female"/>
    <s v="North"/>
    <x v="1"/>
    <s v="CAMP3"/>
    <n v="135.6"/>
    <n v="7"/>
    <n v="0"/>
    <x v="11"/>
    <n v="0"/>
    <n v="0"/>
    <m/>
    <x v="0"/>
  </r>
  <r>
    <n v="673"/>
    <d v="2025-01-15T00:00:00"/>
    <n v="25"/>
    <s v="Female"/>
    <s v="South"/>
    <x v="0"/>
    <m/>
    <n v="135"/>
    <n v="11"/>
    <n v="0"/>
    <x v="11"/>
    <n v="0"/>
    <n v="0"/>
    <m/>
    <x v="0"/>
  </r>
  <r>
    <n v="3547"/>
    <d v="2025-01-15T00:00:00"/>
    <n v="37"/>
    <s v="Male"/>
    <s v="East"/>
    <x v="0"/>
    <m/>
    <n v="123.8"/>
    <n v="1"/>
    <n v="0"/>
    <x v="11"/>
    <n v="0"/>
    <n v="0"/>
    <m/>
    <x v="0"/>
  </r>
  <r>
    <n v="2343"/>
    <d v="2025-01-15T00:00:00"/>
    <n v="30"/>
    <s v="Male"/>
    <s v="North"/>
    <x v="1"/>
    <s v="CAMP6"/>
    <n v="77.599999999999994"/>
    <n v="8"/>
    <n v="0"/>
    <x v="11"/>
    <n v="0"/>
    <n v="0"/>
    <m/>
    <x v="0"/>
  </r>
  <r>
    <n v="2050"/>
    <d v="2025-01-15T00:00:00"/>
    <n v="37"/>
    <s v="Male"/>
    <s v="East"/>
    <x v="2"/>
    <m/>
    <n v="32"/>
    <n v="7"/>
    <n v="0"/>
    <x v="11"/>
    <n v="0"/>
    <n v="0"/>
    <m/>
    <x v="0"/>
  </r>
  <r>
    <n v="1856"/>
    <d v="2025-02-15T00:00:00"/>
    <n v="33"/>
    <s v="Male"/>
    <s v="South"/>
    <x v="0"/>
    <m/>
    <n v="519.4"/>
    <n v="7"/>
    <n v="1"/>
    <x v="827"/>
    <n v="2"/>
    <n v="9"/>
    <n v="4"/>
    <x v="1"/>
  </r>
  <r>
    <n v="2848"/>
    <d v="2025-02-15T00:00:00"/>
    <n v="40"/>
    <s v="Male"/>
    <s v="East"/>
    <x v="1"/>
    <s v="CAMP2"/>
    <n v="382.7"/>
    <n v="4"/>
    <n v="1"/>
    <x v="828"/>
    <n v="4"/>
    <n v="7"/>
    <n v="5"/>
    <x v="1"/>
  </r>
  <r>
    <n v="2040"/>
    <d v="2025-02-15T00:00:00"/>
    <n v="48"/>
    <s v="Male"/>
    <s v="East"/>
    <x v="0"/>
    <m/>
    <n v="645.4"/>
    <n v="9"/>
    <n v="1"/>
    <x v="829"/>
    <n v="3"/>
    <n v="15"/>
    <n v="4"/>
    <x v="1"/>
  </r>
  <r>
    <n v="320"/>
    <d v="2025-02-15T00:00:00"/>
    <n v="24"/>
    <s v="Female"/>
    <s v="South"/>
    <x v="1"/>
    <s v="CAMP3"/>
    <n v="121.4"/>
    <n v="2"/>
    <n v="1"/>
    <x v="830"/>
    <n v="5"/>
    <n v="14"/>
    <n v="4"/>
    <x v="1"/>
  </r>
  <r>
    <n v="3864"/>
    <d v="2025-02-15T00:00:00"/>
    <n v="44"/>
    <s v="Female"/>
    <s v="North"/>
    <x v="1"/>
    <s v="CAMP3"/>
    <n v="541.79999999999995"/>
    <n v="5"/>
    <n v="1"/>
    <x v="831"/>
    <n v="5"/>
    <n v="13"/>
    <n v="4"/>
    <x v="1"/>
  </r>
  <r>
    <n v="3271"/>
    <d v="2025-02-15T00:00:00"/>
    <n v="25"/>
    <s v="Female"/>
    <s v="North"/>
    <x v="2"/>
    <m/>
    <n v="621.9"/>
    <n v="5"/>
    <n v="1"/>
    <x v="832"/>
    <n v="6"/>
    <n v="9"/>
    <n v="5"/>
    <x v="1"/>
  </r>
  <r>
    <n v="3090"/>
    <d v="2025-02-15T00:00:00"/>
    <n v="31"/>
    <s v="Female"/>
    <s v="North"/>
    <x v="0"/>
    <m/>
    <n v="530.9"/>
    <n v="4"/>
    <n v="1"/>
    <x v="116"/>
    <n v="5"/>
    <n v="5"/>
    <n v="3"/>
    <x v="1"/>
  </r>
  <r>
    <n v="3815"/>
    <d v="2025-02-15T00:00:00"/>
    <n v="40"/>
    <s v="Male"/>
    <s v="South"/>
    <x v="1"/>
    <s v="CAMP2"/>
    <n v="819.2"/>
    <n v="8"/>
    <n v="1"/>
    <x v="833"/>
    <n v="5"/>
    <n v="2"/>
    <n v="3"/>
    <x v="1"/>
  </r>
  <r>
    <n v="630"/>
    <d v="2025-02-15T00:00:00"/>
    <n v="24"/>
    <s v="Male"/>
    <s v="North"/>
    <x v="3"/>
    <m/>
    <n v="436.9"/>
    <n v="3"/>
    <n v="0"/>
    <x v="11"/>
    <n v="0"/>
    <n v="0"/>
    <m/>
    <x v="1"/>
  </r>
  <r>
    <n v="709"/>
    <d v="2025-02-15T00:00:00"/>
    <n v="24"/>
    <s v="Female"/>
    <s v="East"/>
    <x v="0"/>
    <m/>
    <n v="403.2"/>
    <n v="4"/>
    <n v="0"/>
    <x v="11"/>
    <n v="0"/>
    <n v="0"/>
    <m/>
    <x v="1"/>
  </r>
  <r>
    <n v="4220"/>
    <d v="2025-02-15T00:00:00"/>
    <n v="59"/>
    <s v="Male"/>
    <s v="North"/>
    <x v="1"/>
    <s v="CAMP2"/>
    <n v="390"/>
    <n v="8"/>
    <n v="0"/>
    <x v="11"/>
    <n v="0"/>
    <n v="0"/>
    <m/>
    <x v="1"/>
  </r>
  <r>
    <n v="3069"/>
    <d v="2025-02-15T00:00:00"/>
    <n v="37"/>
    <s v="Male"/>
    <s v="West"/>
    <x v="3"/>
    <m/>
    <n v="285"/>
    <n v="3"/>
    <n v="0"/>
    <x v="11"/>
    <n v="0"/>
    <n v="0"/>
    <m/>
    <x v="1"/>
  </r>
  <r>
    <n v="142"/>
    <d v="2025-02-15T00:00:00"/>
    <n v="18"/>
    <s v="Male"/>
    <s v="East"/>
    <x v="1"/>
    <s v="CAMP4"/>
    <n v="261.7"/>
    <n v="6"/>
    <n v="0"/>
    <x v="11"/>
    <n v="0"/>
    <n v="0"/>
    <m/>
    <x v="1"/>
  </r>
  <r>
    <n v="4155"/>
    <d v="2025-02-15T00:00:00"/>
    <n v="62"/>
    <s v="Female"/>
    <s v="East"/>
    <x v="0"/>
    <m/>
    <n v="241.9"/>
    <n v="6"/>
    <n v="0"/>
    <x v="11"/>
    <n v="0"/>
    <n v="0"/>
    <m/>
    <x v="1"/>
  </r>
  <r>
    <n v="4648"/>
    <d v="2025-02-15T00:00:00"/>
    <n v="48"/>
    <s v="Female"/>
    <s v="East"/>
    <x v="2"/>
    <m/>
    <n v="240.5"/>
    <n v="9"/>
    <n v="0"/>
    <x v="11"/>
    <n v="0"/>
    <n v="0"/>
    <m/>
    <x v="1"/>
  </r>
  <r>
    <n v="4064"/>
    <d v="2025-02-15T00:00:00"/>
    <n v="56"/>
    <s v="Female"/>
    <s v="North"/>
    <x v="0"/>
    <m/>
    <n v="219.2"/>
    <n v="8"/>
    <n v="0"/>
    <x v="11"/>
    <n v="0"/>
    <n v="0"/>
    <m/>
    <x v="1"/>
  </r>
  <r>
    <n v="1779"/>
    <d v="2025-02-15T00:00:00"/>
    <n v="32"/>
    <s v="Male"/>
    <s v="North"/>
    <x v="1"/>
    <s v="CAMP7"/>
    <n v="162.80000000000001"/>
    <n v="6"/>
    <n v="0"/>
    <x v="11"/>
    <n v="0"/>
    <n v="0"/>
    <m/>
    <x v="1"/>
  </r>
  <r>
    <n v="4975"/>
    <d v="2025-02-15T00:00:00"/>
    <n v="68"/>
    <s v="Male"/>
    <s v="South"/>
    <x v="1"/>
    <s v="CAMP5"/>
    <n v="144.9"/>
    <n v="6"/>
    <n v="0"/>
    <x v="11"/>
    <n v="0"/>
    <n v="0"/>
    <m/>
    <x v="1"/>
  </r>
  <r>
    <n v="3003"/>
    <d v="2025-02-15T00:00:00"/>
    <n v="21"/>
    <s v="Other"/>
    <s v="North"/>
    <x v="3"/>
    <m/>
    <n v="139.5"/>
    <n v="4"/>
    <n v="0"/>
    <x v="11"/>
    <n v="0"/>
    <n v="0"/>
    <m/>
    <x v="1"/>
  </r>
  <r>
    <n v="783"/>
    <d v="2025-02-15T00:00:00"/>
    <n v="25"/>
    <s v="Male"/>
    <s v="North"/>
    <x v="0"/>
    <m/>
    <n v="114.8"/>
    <n v="7"/>
    <n v="0"/>
    <x v="11"/>
    <n v="0"/>
    <n v="0"/>
    <m/>
    <x v="1"/>
  </r>
  <r>
    <n v="2281"/>
    <d v="2025-02-15T00:00:00"/>
    <n v="34"/>
    <s v="Male"/>
    <s v="North"/>
    <x v="0"/>
    <m/>
    <n v="93.4"/>
    <n v="9"/>
    <n v="0"/>
    <x v="11"/>
    <n v="0"/>
    <n v="0"/>
    <m/>
    <x v="1"/>
  </r>
  <r>
    <n v="3904"/>
    <d v="2025-02-15T00:00:00"/>
    <n v="65"/>
    <s v="Male"/>
    <s v="South"/>
    <x v="2"/>
    <m/>
    <n v="68.3"/>
    <n v="11"/>
    <n v="0"/>
    <x v="11"/>
    <n v="0"/>
    <n v="0"/>
    <m/>
    <x v="1"/>
  </r>
  <r>
    <n v="4247"/>
    <d v="2025-02-15T00:00:00"/>
    <n v="57"/>
    <s v="Male"/>
    <s v="South"/>
    <x v="0"/>
    <m/>
    <n v="42.3"/>
    <n v="7"/>
    <n v="0"/>
    <x v="11"/>
    <n v="0"/>
    <n v="0"/>
    <m/>
    <x v="1"/>
  </r>
  <r>
    <n v="317"/>
    <d v="2025-03-15T00:00:00"/>
    <n v="25"/>
    <s v="Female"/>
    <s v="South"/>
    <x v="3"/>
    <m/>
    <n v="91.2"/>
    <n v="5"/>
    <n v="1"/>
    <x v="834"/>
    <n v="3"/>
    <n v="7"/>
    <n v="4"/>
    <x v="2"/>
  </r>
  <r>
    <n v="1962"/>
    <d v="2025-03-15T00:00:00"/>
    <n v="43"/>
    <s v="Male"/>
    <s v="South"/>
    <x v="0"/>
    <m/>
    <n v="579.70000000000005"/>
    <n v="7"/>
    <n v="1"/>
    <x v="835"/>
    <n v="1"/>
    <n v="9"/>
    <n v="4"/>
    <x v="2"/>
  </r>
  <r>
    <n v="4118"/>
    <d v="2025-03-15T00:00:00"/>
    <n v="40"/>
    <s v="Male"/>
    <s v="North"/>
    <x v="1"/>
    <s v="CAMP4"/>
    <n v="992.4"/>
    <n v="6"/>
    <n v="1"/>
    <x v="836"/>
    <n v="3"/>
    <n v="13"/>
    <n v="4"/>
    <x v="2"/>
  </r>
  <r>
    <n v="4675"/>
    <d v="2025-03-15T00:00:00"/>
    <n v="35"/>
    <s v="Female"/>
    <s v="West"/>
    <x v="2"/>
    <m/>
    <n v="902.2"/>
    <n v="8"/>
    <n v="1"/>
    <x v="837"/>
    <n v="3"/>
    <n v="10"/>
    <n v="4"/>
    <x v="2"/>
  </r>
  <r>
    <n v="3585"/>
    <d v="2025-03-15T00:00:00"/>
    <n v="43"/>
    <s v="Male"/>
    <s v="South"/>
    <x v="2"/>
    <m/>
    <n v="757.5"/>
    <n v="6"/>
    <n v="1"/>
    <x v="838"/>
    <n v="3"/>
    <n v="9"/>
    <n v="4"/>
    <x v="2"/>
  </r>
  <r>
    <n v="4516"/>
    <d v="2025-03-15T00:00:00"/>
    <n v="50"/>
    <s v="Female"/>
    <s v="South"/>
    <x v="0"/>
    <m/>
    <n v="709.2"/>
    <n v="8"/>
    <n v="1"/>
    <x v="839"/>
    <n v="6"/>
    <n v="14"/>
    <n v="5"/>
    <x v="2"/>
  </r>
  <r>
    <n v="4445"/>
    <d v="2025-03-15T00:00:00"/>
    <n v="66"/>
    <s v="Female"/>
    <s v="West"/>
    <x v="0"/>
    <m/>
    <n v="461.5"/>
    <n v="3"/>
    <n v="1"/>
    <x v="840"/>
    <n v="4"/>
    <n v="2"/>
    <n v="4"/>
    <x v="2"/>
  </r>
  <r>
    <n v="3170"/>
    <d v="2025-03-15T00:00:00"/>
    <n v="36"/>
    <s v="Female"/>
    <s v="West"/>
    <x v="0"/>
    <m/>
    <n v="187.3"/>
    <n v="5"/>
    <n v="1"/>
    <x v="407"/>
    <n v="1"/>
    <n v="15"/>
    <n v="4"/>
    <x v="2"/>
  </r>
  <r>
    <n v="4415"/>
    <d v="2025-03-15T00:00:00"/>
    <n v="49"/>
    <s v="Male"/>
    <s v="South"/>
    <x v="1"/>
    <s v="CAMP7"/>
    <n v="593.6"/>
    <n v="4"/>
    <n v="1"/>
    <x v="208"/>
    <n v="3"/>
    <n v="13"/>
    <n v="4"/>
    <x v="2"/>
  </r>
  <r>
    <n v="2016"/>
    <d v="2025-03-15T00:00:00"/>
    <n v="40"/>
    <s v="Male"/>
    <s v="North"/>
    <x v="3"/>
    <m/>
    <n v="583.6"/>
    <n v="10"/>
    <n v="1"/>
    <x v="841"/>
    <n v="4"/>
    <n v="10"/>
    <n v="4"/>
    <x v="2"/>
  </r>
  <r>
    <n v="1558"/>
    <d v="2025-03-15T00:00:00"/>
    <n v="33"/>
    <s v="Male"/>
    <s v="South"/>
    <x v="2"/>
    <m/>
    <n v="541.70000000000005"/>
    <n v="5"/>
    <n v="1"/>
    <x v="842"/>
    <n v="3"/>
    <n v="14"/>
    <n v="4"/>
    <x v="2"/>
  </r>
  <r>
    <n v="2320"/>
    <d v="2025-03-15T00:00:00"/>
    <n v="41"/>
    <s v="Male"/>
    <s v="West"/>
    <x v="1"/>
    <s v="CAMP3"/>
    <n v="439.6"/>
    <n v="6"/>
    <n v="1"/>
    <x v="843"/>
    <n v="1"/>
    <n v="15"/>
    <n v="4"/>
    <x v="2"/>
  </r>
  <r>
    <n v="1230"/>
    <d v="2025-03-15T00:00:00"/>
    <n v="19"/>
    <s v="Male"/>
    <s v="North"/>
    <x v="0"/>
    <m/>
    <n v="541.29999999999995"/>
    <n v="7"/>
    <n v="1"/>
    <x v="844"/>
    <n v="3"/>
    <n v="9"/>
    <n v="4"/>
    <x v="2"/>
  </r>
  <r>
    <n v="2548"/>
    <d v="2025-03-15T00:00:00"/>
    <n v="46"/>
    <s v="Male"/>
    <s v="South"/>
    <x v="0"/>
    <m/>
    <n v="210.2"/>
    <n v="4"/>
    <n v="1"/>
    <x v="845"/>
    <n v="3"/>
    <n v="8"/>
    <n v="4"/>
    <x v="2"/>
  </r>
  <r>
    <n v="1468"/>
    <d v="2025-03-15T00:00:00"/>
    <n v="31"/>
    <s v="Male"/>
    <s v="South"/>
    <x v="2"/>
    <m/>
    <n v="574.6"/>
    <n v="6"/>
    <n v="0"/>
    <x v="11"/>
    <n v="0"/>
    <n v="0"/>
    <m/>
    <x v="2"/>
  </r>
  <r>
    <n v="2403"/>
    <d v="2025-03-15T00:00:00"/>
    <n v="35"/>
    <s v="Female"/>
    <s v="North"/>
    <x v="0"/>
    <m/>
    <n v="494.1"/>
    <n v="3"/>
    <n v="0"/>
    <x v="11"/>
    <n v="0"/>
    <n v="0"/>
    <m/>
    <x v="2"/>
  </r>
  <r>
    <n v="2888"/>
    <d v="2025-03-15T00:00:00"/>
    <n v="32"/>
    <s v="Male"/>
    <s v="West"/>
    <x v="1"/>
    <s v="CAMP5"/>
    <n v="492.6"/>
    <n v="9"/>
    <n v="0"/>
    <x v="11"/>
    <n v="0"/>
    <n v="0"/>
    <m/>
    <x v="2"/>
  </r>
  <r>
    <n v="3844"/>
    <d v="2025-03-15T00:00:00"/>
    <n v="51"/>
    <s v="Male"/>
    <s v="South"/>
    <x v="3"/>
    <m/>
    <n v="404.2"/>
    <n v="5"/>
    <n v="0"/>
    <x v="11"/>
    <n v="0"/>
    <n v="0"/>
    <m/>
    <x v="2"/>
  </r>
  <r>
    <n v="107"/>
    <d v="2025-03-15T00:00:00"/>
    <n v="24"/>
    <s v="Male"/>
    <s v="South"/>
    <x v="1"/>
    <s v="CAMP2"/>
    <n v="257.2"/>
    <n v="8"/>
    <n v="0"/>
    <x v="11"/>
    <n v="0"/>
    <n v="0"/>
    <m/>
    <x v="2"/>
  </r>
  <r>
    <n v="4577"/>
    <d v="2025-03-15T00:00:00"/>
    <n v="44"/>
    <s v="Male"/>
    <s v="North"/>
    <x v="0"/>
    <m/>
    <n v="247"/>
    <n v="10"/>
    <n v="0"/>
    <x v="11"/>
    <n v="0"/>
    <n v="0"/>
    <m/>
    <x v="2"/>
  </r>
  <r>
    <n v="675"/>
    <d v="2025-03-15T00:00:00"/>
    <n v="31"/>
    <s v="Female"/>
    <s v="East"/>
    <x v="1"/>
    <s v="CAMP2"/>
    <n v="202"/>
    <n v="5"/>
    <n v="0"/>
    <x v="11"/>
    <n v="0"/>
    <n v="0"/>
    <m/>
    <x v="2"/>
  </r>
  <r>
    <n v="2500"/>
    <d v="2025-03-15T00:00:00"/>
    <n v="34"/>
    <s v="Male"/>
    <s v="South"/>
    <x v="1"/>
    <s v="CAMP1"/>
    <n v="166.4"/>
    <n v="7"/>
    <n v="0"/>
    <x v="11"/>
    <n v="0"/>
    <n v="0"/>
    <m/>
    <x v="2"/>
  </r>
  <r>
    <n v="1128"/>
    <d v="2025-03-15T00:00:00"/>
    <n v="26"/>
    <s v="Male"/>
    <s v="South"/>
    <x v="1"/>
    <s v="CAMP5"/>
    <n v="129.5"/>
    <n v="8"/>
    <n v="0"/>
    <x v="11"/>
    <n v="0"/>
    <n v="0"/>
    <m/>
    <x v="2"/>
  </r>
  <r>
    <n v="3087"/>
    <d v="2025-03-15T00:00:00"/>
    <n v="26"/>
    <s v="Female"/>
    <s v="East"/>
    <x v="0"/>
    <m/>
    <n v="111.5"/>
    <n v="7"/>
    <n v="0"/>
    <x v="11"/>
    <n v="0"/>
    <n v="0"/>
    <m/>
    <x v="2"/>
  </r>
  <r>
    <n v="2549"/>
    <d v="2025-03-15T00:00:00"/>
    <n v="36"/>
    <s v="Female"/>
    <s v="North"/>
    <x v="0"/>
    <m/>
    <n v="105.8"/>
    <n v="6"/>
    <n v="0"/>
    <x v="11"/>
    <n v="0"/>
    <n v="0"/>
    <m/>
    <x v="2"/>
  </r>
  <r>
    <n v="874"/>
    <d v="2025-03-15T00:00:00"/>
    <n v="24"/>
    <s v="Male"/>
    <s v="South"/>
    <x v="1"/>
    <s v="CAMP2"/>
    <n v="81.3"/>
    <n v="4"/>
    <n v="0"/>
    <x v="11"/>
    <n v="0"/>
    <n v="0"/>
    <m/>
    <x v="2"/>
  </r>
  <r>
    <n v="4008"/>
    <d v="2025-03-15T00:00:00"/>
    <n v="50"/>
    <s v="Female"/>
    <s v="East"/>
    <x v="0"/>
    <m/>
    <n v="56.6"/>
    <n v="3"/>
    <n v="0"/>
    <x v="11"/>
    <n v="0"/>
    <n v="0"/>
    <m/>
    <x v="2"/>
  </r>
  <r>
    <n v="914"/>
    <d v="2025-03-15T00:00:00"/>
    <n v="37"/>
    <s v="Female"/>
    <s v="East"/>
    <x v="1"/>
    <s v="CAMP5"/>
    <n v="28"/>
    <n v="7"/>
    <n v="0"/>
    <x v="11"/>
    <n v="0"/>
    <n v="0"/>
    <m/>
    <x v="2"/>
  </r>
  <r>
    <n v="3740"/>
    <d v="2025-04-15T00:00:00"/>
    <n v="29"/>
    <s v="Male"/>
    <s v="East"/>
    <x v="0"/>
    <m/>
    <n v="466.6"/>
    <n v="7"/>
    <n v="1"/>
    <x v="846"/>
    <n v="1"/>
    <n v="15"/>
    <n v="5"/>
    <x v="3"/>
  </r>
  <r>
    <n v="2866"/>
    <d v="2025-04-15T00:00:00"/>
    <n v="41"/>
    <s v="Female"/>
    <s v="East"/>
    <x v="1"/>
    <s v="CAMP7"/>
    <n v="648"/>
    <n v="4"/>
    <n v="1"/>
    <x v="847"/>
    <n v="2"/>
    <n v="2"/>
    <n v="5"/>
    <x v="3"/>
  </r>
  <r>
    <n v="1260"/>
    <d v="2025-04-15T00:00:00"/>
    <n v="22"/>
    <s v="Female"/>
    <s v="South"/>
    <x v="3"/>
    <m/>
    <n v="187.7"/>
    <n v="3"/>
    <n v="1"/>
    <x v="848"/>
    <n v="2"/>
    <n v="7"/>
    <n v="4"/>
    <x v="3"/>
  </r>
  <r>
    <n v="3431"/>
    <d v="2025-04-15T00:00:00"/>
    <n v="32"/>
    <s v="Female"/>
    <s v="North"/>
    <x v="0"/>
    <m/>
    <n v="516.6"/>
    <n v="11"/>
    <n v="1"/>
    <x v="849"/>
    <n v="1"/>
    <n v="2"/>
    <n v="3"/>
    <x v="3"/>
  </r>
  <r>
    <n v="3089"/>
    <d v="2025-04-15T00:00:00"/>
    <n v="24"/>
    <s v="Female"/>
    <s v="East"/>
    <x v="3"/>
    <m/>
    <n v="387"/>
    <n v="7"/>
    <n v="1"/>
    <x v="850"/>
    <n v="3"/>
    <n v="7"/>
    <n v="5"/>
    <x v="3"/>
  </r>
  <r>
    <n v="1116"/>
    <d v="2025-04-15T00:00:00"/>
    <n v="25"/>
    <s v="Male"/>
    <s v="East"/>
    <x v="2"/>
    <m/>
    <n v="219.3"/>
    <n v="3"/>
    <n v="1"/>
    <x v="851"/>
    <n v="4"/>
    <n v="15"/>
    <n v="4"/>
    <x v="3"/>
  </r>
  <r>
    <n v="3553"/>
    <d v="2025-04-15T00:00:00"/>
    <n v="27"/>
    <s v="Female"/>
    <s v="South"/>
    <x v="0"/>
    <m/>
    <n v="601"/>
    <n v="5"/>
    <n v="1"/>
    <x v="852"/>
    <n v="2"/>
    <n v="4"/>
    <n v="4"/>
    <x v="3"/>
  </r>
  <r>
    <n v="4276"/>
    <d v="2025-04-15T00:00:00"/>
    <n v="30"/>
    <s v="Female"/>
    <s v="South"/>
    <x v="3"/>
    <m/>
    <n v="279.10000000000002"/>
    <n v="5"/>
    <n v="1"/>
    <x v="853"/>
    <n v="1"/>
    <n v="7"/>
    <n v="4"/>
    <x v="3"/>
  </r>
  <r>
    <n v="3594"/>
    <d v="2025-04-15T00:00:00"/>
    <n v="26"/>
    <s v="Male"/>
    <s v="West"/>
    <x v="1"/>
    <s v="CAMP6"/>
    <n v="584.6"/>
    <n v="6"/>
    <n v="1"/>
    <x v="854"/>
    <n v="2"/>
    <n v="11"/>
    <n v="5"/>
    <x v="3"/>
  </r>
  <r>
    <n v="2243"/>
    <d v="2025-04-15T00:00:00"/>
    <n v="35"/>
    <s v="Male"/>
    <s v="North"/>
    <x v="0"/>
    <m/>
    <n v="529.29999999999995"/>
    <n v="7"/>
    <n v="1"/>
    <x v="855"/>
    <n v="2"/>
    <n v="6"/>
    <n v="4"/>
    <x v="3"/>
  </r>
  <r>
    <n v="4225"/>
    <d v="2025-04-15T00:00:00"/>
    <n v="67"/>
    <s v="Female"/>
    <s v="East"/>
    <x v="0"/>
    <m/>
    <n v="285.39999999999998"/>
    <n v="8"/>
    <n v="1"/>
    <x v="856"/>
    <n v="2"/>
    <n v="12"/>
    <n v="3"/>
    <x v="3"/>
  </r>
  <r>
    <n v="1507"/>
    <d v="2025-04-15T00:00:00"/>
    <n v="27"/>
    <s v="Male"/>
    <s v="South"/>
    <x v="0"/>
    <m/>
    <n v="905.4"/>
    <n v="3"/>
    <n v="1"/>
    <x v="857"/>
    <n v="3"/>
    <n v="14"/>
    <n v="4"/>
    <x v="3"/>
  </r>
  <r>
    <n v="1596"/>
    <d v="2025-04-15T00:00:00"/>
    <n v="23"/>
    <s v="Female"/>
    <s v="West"/>
    <x v="2"/>
    <m/>
    <n v="412.8"/>
    <n v="4"/>
    <n v="1"/>
    <x v="858"/>
    <n v="5"/>
    <n v="14"/>
    <n v="4"/>
    <x v="3"/>
  </r>
  <r>
    <n v="698"/>
    <d v="2025-04-15T00:00:00"/>
    <n v="18"/>
    <s v="Male"/>
    <s v="East"/>
    <x v="0"/>
    <m/>
    <n v="830.2"/>
    <n v="4"/>
    <n v="1"/>
    <x v="859"/>
    <n v="3"/>
    <n v="4"/>
    <n v="3"/>
    <x v="3"/>
  </r>
  <r>
    <n v="3342"/>
    <d v="2025-04-15T00:00:00"/>
    <n v="35"/>
    <s v="Female"/>
    <s v="South"/>
    <x v="2"/>
    <m/>
    <n v="490.9"/>
    <n v="8"/>
    <n v="0"/>
    <x v="11"/>
    <n v="0"/>
    <n v="0"/>
    <m/>
    <x v="3"/>
  </r>
  <r>
    <n v="1931"/>
    <d v="2025-04-15T00:00:00"/>
    <n v="38"/>
    <s v="Male"/>
    <s v="East"/>
    <x v="2"/>
    <m/>
    <n v="443.5"/>
    <n v="7"/>
    <n v="0"/>
    <x v="11"/>
    <n v="0"/>
    <n v="0"/>
    <m/>
    <x v="3"/>
  </r>
  <r>
    <n v="2386"/>
    <d v="2025-04-15T00:00:00"/>
    <n v="40"/>
    <s v="Male"/>
    <s v="West"/>
    <x v="2"/>
    <m/>
    <n v="433.4"/>
    <n v="6"/>
    <n v="0"/>
    <x v="11"/>
    <n v="0"/>
    <n v="0"/>
    <m/>
    <x v="3"/>
  </r>
  <r>
    <n v="4452"/>
    <d v="2025-04-15T00:00:00"/>
    <n v="47"/>
    <s v="Female"/>
    <s v="North"/>
    <x v="1"/>
    <s v="CAMP1"/>
    <n v="338.1"/>
    <n v="5"/>
    <n v="0"/>
    <x v="11"/>
    <n v="0"/>
    <n v="0"/>
    <m/>
    <x v="3"/>
  </r>
  <r>
    <n v="1352"/>
    <d v="2025-04-15T00:00:00"/>
    <n v="20"/>
    <s v="Male"/>
    <s v="North"/>
    <x v="1"/>
    <s v="CAMP4"/>
    <n v="325.8"/>
    <n v="6"/>
    <n v="0"/>
    <x v="11"/>
    <n v="0"/>
    <n v="0"/>
    <m/>
    <x v="3"/>
  </r>
  <r>
    <n v="4177"/>
    <d v="2025-04-15T00:00:00"/>
    <n v="48"/>
    <s v="Male"/>
    <s v="East"/>
    <x v="3"/>
    <m/>
    <n v="314.60000000000002"/>
    <n v="6"/>
    <n v="0"/>
    <x v="11"/>
    <n v="0"/>
    <n v="0"/>
    <m/>
    <x v="3"/>
  </r>
  <r>
    <n v="1833"/>
    <d v="2025-04-15T00:00:00"/>
    <n v="37"/>
    <s v="Male"/>
    <s v="South"/>
    <x v="1"/>
    <s v="CAMP6"/>
    <n v="302"/>
    <n v="6"/>
    <n v="0"/>
    <x v="11"/>
    <n v="0"/>
    <n v="0"/>
    <m/>
    <x v="3"/>
  </r>
  <r>
    <n v="3964"/>
    <d v="2025-04-15T00:00:00"/>
    <n v="49"/>
    <s v="Female"/>
    <s v="West"/>
    <x v="0"/>
    <m/>
    <n v="292.10000000000002"/>
    <n v="4"/>
    <n v="0"/>
    <x v="11"/>
    <n v="0"/>
    <n v="0"/>
    <m/>
    <x v="3"/>
  </r>
  <r>
    <n v="2864"/>
    <d v="2025-04-15T00:00:00"/>
    <n v="34"/>
    <s v="Male"/>
    <s v="East"/>
    <x v="2"/>
    <m/>
    <n v="283.39999999999998"/>
    <n v="8"/>
    <n v="0"/>
    <x v="11"/>
    <n v="0"/>
    <n v="0"/>
    <m/>
    <x v="3"/>
  </r>
  <r>
    <n v="839"/>
    <d v="2025-04-15T00:00:00"/>
    <n v="26"/>
    <s v="Male"/>
    <s v="East"/>
    <x v="0"/>
    <m/>
    <n v="280"/>
    <n v="11"/>
    <n v="0"/>
    <x v="11"/>
    <n v="0"/>
    <n v="0"/>
    <m/>
    <x v="3"/>
  </r>
  <r>
    <n v="2455"/>
    <d v="2025-04-15T00:00:00"/>
    <n v="36"/>
    <s v="Male"/>
    <s v="North"/>
    <x v="1"/>
    <s v="CAMP4"/>
    <n v="252.3"/>
    <n v="4"/>
    <n v="0"/>
    <x v="11"/>
    <n v="0"/>
    <n v="0"/>
    <m/>
    <x v="3"/>
  </r>
  <r>
    <n v="3485"/>
    <d v="2025-04-15T00:00:00"/>
    <n v="32"/>
    <s v="Male"/>
    <s v="East"/>
    <x v="1"/>
    <s v="CAMP2"/>
    <n v="241.1"/>
    <n v="3"/>
    <n v="0"/>
    <x v="11"/>
    <n v="0"/>
    <n v="0"/>
    <m/>
    <x v="3"/>
  </r>
  <r>
    <n v="4188"/>
    <d v="2025-04-15T00:00:00"/>
    <n v="53"/>
    <s v="Male"/>
    <s v="South"/>
    <x v="3"/>
    <m/>
    <n v="212.7"/>
    <n v="4"/>
    <n v="0"/>
    <x v="11"/>
    <n v="0"/>
    <n v="0"/>
    <m/>
    <x v="3"/>
  </r>
  <r>
    <n v="285"/>
    <d v="2025-04-15T00:00:00"/>
    <n v="34"/>
    <s v="Male"/>
    <s v="East"/>
    <x v="1"/>
    <s v="CAMP3"/>
    <n v="212.5"/>
    <n v="5"/>
    <n v="0"/>
    <x v="11"/>
    <n v="0"/>
    <n v="0"/>
    <m/>
    <x v="3"/>
  </r>
  <r>
    <n v="4321"/>
    <d v="2025-04-15T00:00:00"/>
    <n v="48"/>
    <s v="Female"/>
    <s v="North"/>
    <x v="0"/>
    <m/>
    <n v="179.2"/>
    <n v="5"/>
    <n v="0"/>
    <x v="11"/>
    <n v="0"/>
    <n v="0"/>
    <m/>
    <x v="3"/>
  </r>
  <r>
    <n v="4040"/>
    <d v="2025-04-15T00:00:00"/>
    <n v="45"/>
    <s v="Male"/>
    <s v="South"/>
    <x v="1"/>
    <s v="CAMP3"/>
    <n v="127.3"/>
    <n v="5"/>
    <n v="0"/>
    <x v="11"/>
    <n v="0"/>
    <n v="0"/>
    <m/>
    <x v="3"/>
  </r>
  <r>
    <n v="1192"/>
    <d v="2025-04-15T00:00:00"/>
    <n v="27"/>
    <s v="Female"/>
    <s v="East"/>
    <x v="3"/>
    <m/>
    <n v="101.7"/>
    <n v="4"/>
    <n v="0"/>
    <x v="11"/>
    <n v="0"/>
    <n v="0"/>
    <m/>
    <x v="3"/>
  </r>
  <r>
    <n v="2747"/>
    <d v="2025-04-15T00:00:00"/>
    <n v="21"/>
    <s v="Female"/>
    <s v="South"/>
    <x v="2"/>
    <m/>
    <n v="45.9"/>
    <n v="2"/>
    <n v="0"/>
    <x v="11"/>
    <n v="0"/>
    <n v="0"/>
    <m/>
    <x v="3"/>
  </r>
  <r>
    <n v="904"/>
    <d v="2025-04-15T00:00:00"/>
    <n v="28"/>
    <s v="Female"/>
    <s v="North"/>
    <x v="3"/>
    <m/>
    <n v="43.6"/>
    <n v="7"/>
    <n v="0"/>
    <x v="11"/>
    <n v="0"/>
    <n v="0"/>
    <m/>
    <x v="3"/>
  </r>
  <r>
    <n v="628"/>
    <d v="2025-05-15T00:00:00"/>
    <n v="25"/>
    <s v="Female"/>
    <s v="South"/>
    <x v="1"/>
    <s v="CAMP5"/>
    <n v="570"/>
    <n v="3"/>
    <n v="1"/>
    <x v="860"/>
    <n v="4"/>
    <n v="6"/>
    <n v="2"/>
    <x v="4"/>
  </r>
  <r>
    <n v="4960"/>
    <d v="2025-05-15T00:00:00"/>
    <n v="52"/>
    <s v="Female"/>
    <s v="East"/>
    <x v="0"/>
    <m/>
    <n v="427.9"/>
    <n v="6"/>
    <n v="1"/>
    <x v="861"/>
    <n v="1"/>
    <n v="7"/>
    <n v="4"/>
    <x v="4"/>
  </r>
  <r>
    <n v="4956"/>
    <d v="2025-05-15T00:00:00"/>
    <n v="53"/>
    <s v="Female"/>
    <s v="East"/>
    <x v="2"/>
    <m/>
    <n v="247"/>
    <n v="8"/>
    <n v="1"/>
    <x v="862"/>
    <n v="3"/>
    <n v="3"/>
    <n v="4"/>
    <x v="4"/>
  </r>
  <r>
    <n v="4527"/>
    <d v="2025-05-15T00:00:00"/>
    <n v="38"/>
    <s v="Male"/>
    <s v="East"/>
    <x v="2"/>
    <m/>
    <n v="502.4"/>
    <n v="5"/>
    <n v="1"/>
    <x v="863"/>
    <n v="3"/>
    <n v="13"/>
    <n v="4"/>
    <x v="4"/>
  </r>
  <r>
    <n v="3102"/>
    <d v="2025-05-15T00:00:00"/>
    <n v="23"/>
    <s v="Male"/>
    <s v="North"/>
    <x v="3"/>
    <m/>
    <n v="935.1"/>
    <n v="7"/>
    <n v="1"/>
    <x v="864"/>
    <n v="5"/>
    <n v="8"/>
    <n v="4"/>
    <x v="4"/>
  </r>
  <r>
    <n v="2160"/>
    <d v="2025-05-15T00:00:00"/>
    <n v="37"/>
    <s v="Male"/>
    <s v="West"/>
    <x v="1"/>
    <s v="CAMP5"/>
    <n v="609.1"/>
    <n v="7"/>
    <n v="1"/>
    <x v="767"/>
    <n v="3"/>
    <n v="7"/>
    <n v="4"/>
    <x v="4"/>
  </r>
  <r>
    <n v="2603"/>
    <d v="2025-05-15T00:00:00"/>
    <n v="36"/>
    <s v="Female"/>
    <s v="South"/>
    <x v="1"/>
    <s v="CAMP5"/>
    <n v="569.5"/>
    <n v="7"/>
    <n v="1"/>
    <x v="865"/>
    <n v="3"/>
    <n v="10"/>
    <n v="5"/>
    <x v="4"/>
  </r>
  <r>
    <n v="3336"/>
    <d v="2025-05-15T00:00:00"/>
    <n v="34"/>
    <s v="Female"/>
    <s v="West"/>
    <x v="0"/>
    <m/>
    <n v="301.5"/>
    <n v="4"/>
    <n v="1"/>
    <x v="357"/>
    <n v="3"/>
    <n v="10"/>
    <n v="4"/>
    <x v="4"/>
  </r>
  <r>
    <n v="620"/>
    <d v="2025-05-15T00:00:00"/>
    <n v="34"/>
    <s v="Male"/>
    <s v="North"/>
    <x v="3"/>
    <m/>
    <n v="1509"/>
    <n v="6"/>
    <n v="0"/>
    <x v="11"/>
    <n v="0"/>
    <n v="0"/>
    <m/>
    <x v="4"/>
  </r>
  <r>
    <n v="4964"/>
    <d v="2025-05-15T00:00:00"/>
    <n v="42"/>
    <s v="Female"/>
    <s v="West"/>
    <x v="3"/>
    <m/>
    <n v="699.8"/>
    <n v="5"/>
    <n v="0"/>
    <x v="11"/>
    <n v="0"/>
    <n v="0"/>
    <m/>
    <x v="4"/>
  </r>
  <r>
    <n v="654"/>
    <d v="2025-05-15T00:00:00"/>
    <n v="26"/>
    <s v="Female"/>
    <s v="East"/>
    <x v="3"/>
    <m/>
    <n v="605.4"/>
    <n v="6"/>
    <n v="0"/>
    <x v="11"/>
    <n v="0"/>
    <n v="0"/>
    <m/>
    <x v="4"/>
  </r>
  <r>
    <n v="3208"/>
    <d v="2025-05-15T00:00:00"/>
    <n v="29"/>
    <s v="Male"/>
    <s v="East"/>
    <x v="2"/>
    <m/>
    <n v="438.8"/>
    <n v="6"/>
    <n v="0"/>
    <x v="11"/>
    <n v="0"/>
    <n v="0"/>
    <m/>
    <x v="4"/>
  </r>
  <r>
    <n v="463"/>
    <d v="2025-05-15T00:00:00"/>
    <n v="24"/>
    <s v="Female"/>
    <s v="South"/>
    <x v="1"/>
    <s v="CAMP7"/>
    <n v="399"/>
    <n v="2"/>
    <n v="0"/>
    <x v="11"/>
    <n v="0"/>
    <n v="0"/>
    <m/>
    <x v="4"/>
  </r>
  <r>
    <n v="2731"/>
    <d v="2025-05-15T00:00:00"/>
    <n v="38"/>
    <s v="Female"/>
    <s v="West"/>
    <x v="1"/>
    <s v="CAMP2"/>
    <n v="291"/>
    <n v="5"/>
    <n v="0"/>
    <x v="11"/>
    <n v="0"/>
    <n v="0"/>
    <m/>
    <x v="4"/>
  </r>
  <r>
    <n v="1199"/>
    <d v="2025-05-15T00:00:00"/>
    <n v="22"/>
    <s v="Male"/>
    <s v="East"/>
    <x v="1"/>
    <s v="CAMP7"/>
    <n v="267.39999999999998"/>
    <n v="8"/>
    <n v="0"/>
    <x v="11"/>
    <n v="0"/>
    <n v="0"/>
    <m/>
    <x v="4"/>
  </r>
  <r>
    <n v="218"/>
    <d v="2025-05-15T00:00:00"/>
    <n v="25"/>
    <s v="Female"/>
    <s v="West"/>
    <x v="3"/>
    <m/>
    <n v="248.7"/>
    <n v="10"/>
    <n v="0"/>
    <x v="11"/>
    <n v="0"/>
    <n v="0"/>
    <m/>
    <x v="4"/>
  </r>
  <r>
    <n v="852"/>
    <d v="2025-05-15T00:00:00"/>
    <n v="26"/>
    <s v="Other"/>
    <s v="North"/>
    <x v="0"/>
    <m/>
    <n v="240.4"/>
    <n v="10"/>
    <n v="0"/>
    <x v="11"/>
    <n v="0"/>
    <n v="0"/>
    <m/>
    <x v="4"/>
  </r>
  <r>
    <n v="4084"/>
    <d v="2025-05-15T00:00:00"/>
    <n v="49"/>
    <s v="Male"/>
    <s v="South"/>
    <x v="0"/>
    <m/>
    <n v="221.4"/>
    <n v="8"/>
    <n v="0"/>
    <x v="11"/>
    <n v="0"/>
    <n v="0"/>
    <m/>
    <x v="4"/>
  </r>
  <r>
    <n v="3405"/>
    <d v="2025-05-15T00:00:00"/>
    <n v="28"/>
    <s v="Female"/>
    <s v="North"/>
    <x v="1"/>
    <s v="CAMP7"/>
    <n v="209.7"/>
    <n v="4"/>
    <n v="0"/>
    <x v="11"/>
    <n v="0"/>
    <n v="0"/>
    <m/>
    <x v="4"/>
  </r>
  <r>
    <n v="743"/>
    <d v="2025-05-15T00:00:00"/>
    <n v="20"/>
    <s v="Female"/>
    <s v="West"/>
    <x v="1"/>
    <s v="CAMP3"/>
    <n v="167.9"/>
    <n v="12"/>
    <n v="0"/>
    <x v="11"/>
    <n v="0"/>
    <n v="0"/>
    <m/>
    <x v="4"/>
  </r>
  <r>
    <n v="1905"/>
    <d v="2025-05-15T00:00:00"/>
    <n v="58"/>
    <s v="Male"/>
    <s v="East"/>
    <x v="0"/>
    <m/>
    <n v="112.6"/>
    <n v="10"/>
    <n v="0"/>
    <x v="11"/>
    <n v="0"/>
    <n v="0"/>
    <m/>
    <x v="4"/>
  </r>
  <r>
    <n v="4597"/>
    <d v="2025-05-15T00:00:00"/>
    <n v="53"/>
    <s v="Female"/>
    <s v="East"/>
    <x v="2"/>
    <m/>
    <n v="103.7"/>
    <n v="5"/>
    <n v="0"/>
    <x v="11"/>
    <n v="0"/>
    <n v="0"/>
    <m/>
    <x v="4"/>
  </r>
  <r>
    <n v="1834"/>
    <d v="2025-05-15T00:00:00"/>
    <n v="25"/>
    <s v="Male"/>
    <s v="South"/>
    <x v="3"/>
    <m/>
    <n v="48.8"/>
    <n v="9"/>
    <n v="0"/>
    <x v="11"/>
    <n v="0"/>
    <n v="0"/>
    <m/>
    <x v="4"/>
  </r>
  <r>
    <n v="997"/>
    <d v="2025-06-15T00:00:00"/>
    <n v="30"/>
    <s v="Male"/>
    <s v="West"/>
    <x v="1"/>
    <s v="CAMP1"/>
    <n v="282.10000000000002"/>
    <n v="4"/>
    <n v="1"/>
    <x v="815"/>
    <n v="4"/>
    <n v="14"/>
    <n v="3"/>
    <x v="5"/>
  </r>
  <r>
    <n v="1249"/>
    <d v="2025-06-15T00:00:00"/>
    <n v="22"/>
    <s v="Female"/>
    <s v="West"/>
    <x v="0"/>
    <m/>
    <n v="903.5"/>
    <n v="6"/>
    <n v="1"/>
    <x v="866"/>
    <n v="2"/>
    <n v="2"/>
    <n v="3"/>
    <x v="5"/>
  </r>
  <r>
    <n v="4720"/>
    <d v="2025-06-15T00:00:00"/>
    <n v="36"/>
    <s v="Female"/>
    <s v="East"/>
    <x v="0"/>
    <m/>
    <n v="531.1"/>
    <n v="9"/>
    <n v="1"/>
    <x v="867"/>
    <n v="2"/>
    <n v="7"/>
    <n v="4"/>
    <x v="5"/>
  </r>
  <r>
    <n v="56"/>
    <d v="2025-06-15T00:00:00"/>
    <n v="23"/>
    <s v="Male"/>
    <s v="South"/>
    <x v="1"/>
    <s v="CAMP2"/>
    <n v="437.2"/>
    <n v="7"/>
    <n v="1"/>
    <x v="868"/>
    <n v="3"/>
    <n v="15"/>
    <n v="4"/>
    <x v="5"/>
  </r>
  <r>
    <n v="826"/>
    <d v="2025-06-15T00:00:00"/>
    <n v="24"/>
    <s v="Male"/>
    <s v="North"/>
    <x v="1"/>
    <s v="CAMP7"/>
    <n v="931.8"/>
    <n v="7"/>
    <n v="1"/>
    <x v="869"/>
    <n v="2"/>
    <n v="8"/>
    <n v="4"/>
    <x v="5"/>
  </r>
  <r>
    <n v="814"/>
    <d v="2025-06-15T00:00:00"/>
    <n v="26"/>
    <s v="Male"/>
    <s v="West"/>
    <x v="0"/>
    <m/>
    <n v="641.5"/>
    <n v="6"/>
    <n v="1"/>
    <x v="642"/>
    <n v="4"/>
    <n v="14"/>
    <n v="5"/>
    <x v="5"/>
  </r>
  <r>
    <n v="2955"/>
    <d v="2025-06-15T00:00:00"/>
    <n v="29"/>
    <s v="Male"/>
    <s v="West"/>
    <x v="1"/>
    <s v="CAMP2"/>
    <n v="263.5"/>
    <n v="7"/>
    <n v="1"/>
    <x v="870"/>
    <n v="4"/>
    <n v="12"/>
    <n v="3"/>
    <x v="5"/>
  </r>
  <r>
    <n v="2843"/>
    <d v="2025-06-15T00:00:00"/>
    <n v="40"/>
    <s v="Female"/>
    <s v="West"/>
    <x v="1"/>
    <s v="CAMP1"/>
    <n v="736.6"/>
    <n v="8"/>
    <n v="1"/>
    <x v="871"/>
    <n v="4"/>
    <n v="2"/>
    <n v="4"/>
    <x v="5"/>
  </r>
  <r>
    <n v="2854"/>
    <d v="2025-06-15T00:00:00"/>
    <n v="46"/>
    <s v="Female"/>
    <s v="South"/>
    <x v="2"/>
    <m/>
    <n v="953.8"/>
    <n v="6"/>
    <n v="1"/>
    <x v="872"/>
    <n v="4"/>
    <n v="7"/>
    <n v="4"/>
    <x v="5"/>
  </r>
  <r>
    <n v="4145"/>
    <d v="2025-06-15T00:00:00"/>
    <n v="30"/>
    <s v="Female"/>
    <s v="South"/>
    <x v="0"/>
    <m/>
    <n v="433.5"/>
    <n v="7"/>
    <n v="1"/>
    <x v="873"/>
    <n v="5"/>
    <n v="5"/>
    <n v="4"/>
    <x v="5"/>
  </r>
  <r>
    <n v="616"/>
    <d v="2025-06-15T00:00:00"/>
    <n v="27"/>
    <s v="Male"/>
    <s v="South"/>
    <x v="0"/>
    <m/>
    <n v="508.5"/>
    <n v="6"/>
    <n v="0"/>
    <x v="11"/>
    <n v="0"/>
    <n v="0"/>
    <m/>
    <x v="5"/>
  </r>
  <r>
    <n v="4930"/>
    <d v="2025-06-15T00:00:00"/>
    <n v="51"/>
    <s v="Male"/>
    <s v="North"/>
    <x v="1"/>
    <s v="CAMP6"/>
    <n v="480.8"/>
    <n v="4"/>
    <n v="0"/>
    <x v="11"/>
    <n v="0"/>
    <n v="0"/>
    <m/>
    <x v="5"/>
  </r>
  <r>
    <n v="4117"/>
    <d v="2025-06-15T00:00:00"/>
    <n v="52"/>
    <s v="Female"/>
    <s v="North"/>
    <x v="0"/>
    <m/>
    <n v="379"/>
    <n v="4"/>
    <n v="0"/>
    <x v="11"/>
    <n v="0"/>
    <n v="0"/>
    <m/>
    <x v="5"/>
  </r>
  <r>
    <n v="4859"/>
    <d v="2025-06-15T00:00:00"/>
    <n v="42"/>
    <s v="Female"/>
    <s v="North"/>
    <x v="1"/>
    <s v="CAMP7"/>
    <n v="327"/>
    <n v="3"/>
    <n v="0"/>
    <x v="11"/>
    <n v="0"/>
    <n v="0"/>
    <m/>
    <x v="5"/>
  </r>
  <r>
    <n v="3484"/>
    <d v="2025-06-15T00:00:00"/>
    <n v="39"/>
    <s v="Female"/>
    <s v="East"/>
    <x v="3"/>
    <m/>
    <n v="317.60000000000002"/>
    <n v="4"/>
    <n v="0"/>
    <x v="11"/>
    <n v="0"/>
    <n v="0"/>
    <m/>
    <x v="5"/>
  </r>
  <r>
    <n v="1855"/>
    <d v="2025-06-15T00:00:00"/>
    <n v="60"/>
    <s v="Female"/>
    <s v="South"/>
    <x v="1"/>
    <s v="CAMP3"/>
    <n v="292.2"/>
    <n v="4"/>
    <n v="0"/>
    <x v="11"/>
    <n v="0"/>
    <n v="0"/>
    <m/>
    <x v="5"/>
  </r>
  <r>
    <n v="3142"/>
    <d v="2025-06-15T00:00:00"/>
    <n v="30"/>
    <s v="Male"/>
    <s v="East"/>
    <x v="1"/>
    <s v="CAMP2"/>
    <n v="209.8"/>
    <n v="8"/>
    <n v="0"/>
    <x v="11"/>
    <n v="0"/>
    <n v="0"/>
    <m/>
    <x v="5"/>
  </r>
  <r>
    <n v="2836"/>
    <d v="2025-06-15T00:00:00"/>
    <n v="38"/>
    <s v="Female"/>
    <s v="North"/>
    <x v="0"/>
    <m/>
    <n v="157"/>
    <n v="6"/>
    <n v="0"/>
    <x v="11"/>
    <n v="0"/>
    <n v="0"/>
    <m/>
    <x v="5"/>
  </r>
  <r>
    <n v="2755"/>
    <d v="2025-06-15T00:00:00"/>
    <n v="43"/>
    <s v="Female"/>
    <s v="West"/>
    <x v="0"/>
    <m/>
    <n v="138.9"/>
    <n v="6"/>
    <n v="0"/>
    <x v="11"/>
    <n v="0"/>
    <n v="0"/>
    <m/>
    <x v="5"/>
  </r>
  <r>
    <n v="2206"/>
    <d v="2025-06-15T00:00:00"/>
    <n v="32"/>
    <s v="Male"/>
    <s v="North"/>
    <x v="0"/>
    <m/>
    <n v="109.7"/>
    <n v="5"/>
    <n v="0"/>
    <x v="11"/>
    <n v="0"/>
    <n v="0"/>
    <m/>
    <x v="5"/>
  </r>
  <r>
    <n v="3637"/>
    <d v="2025-06-15T00:00:00"/>
    <n v="31"/>
    <s v="Female"/>
    <s v="South"/>
    <x v="1"/>
    <s v="CAMP4"/>
    <n v="81.599999999999994"/>
    <n v="7"/>
    <n v="0"/>
    <x v="11"/>
    <n v="0"/>
    <n v="0"/>
    <m/>
    <x v="5"/>
  </r>
  <r>
    <n v="1663"/>
    <d v="2025-06-15T00:00:00"/>
    <n v="27"/>
    <s v="Male"/>
    <s v="East"/>
    <x v="0"/>
    <m/>
    <n v="48"/>
    <n v="8"/>
    <n v="0"/>
    <x v="11"/>
    <n v="0"/>
    <n v="0"/>
    <m/>
    <x v="5"/>
  </r>
  <r>
    <n v="3491"/>
    <d v="2025-01-16T00:00:00"/>
    <n v="39"/>
    <s v="Female"/>
    <s v="West"/>
    <x v="0"/>
    <m/>
    <n v="439"/>
    <n v="6"/>
    <n v="1"/>
    <x v="874"/>
    <n v="1"/>
    <n v="9"/>
    <n v="4"/>
    <x v="0"/>
  </r>
  <r>
    <n v="4209"/>
    <d v="2025-01-16T00:00:00"/>
    <n v="55"/>
    <s v="Male"/>
    <s v="North"/>
    <x v="0"/>
    <m/>
    <n v="179.3"/>
    <n v="6"/>
    <n v="1"/>
    <x v="875"/>
    <n v="4"/>
    <n v="10"/>
    <n v="5"/>
    <x v="0"/>
  </r>
  <r>
    <n v="2119"/>
    <d v="2025-01-16T00:00:00"/>
    <n v="35"/>
    <s v="Male"/>
    <s v="South"/>
    <x v="2"/>
    <m/>
    <n v="671.8"/>
    <n v="6"/>
    <n v="1"/>
    <x v="876"/>
    <n v="5"/>
    <n v="14"/>
    <n v="4"/>
    <x v="0"/>
  </r>
  <r>
    <n v="1287"/>
    <d v="2025-01-16T00:00:00"/>
    <n v="28"/>
    <s v="Female"/>
    <s v="South"/>
    <x v="1"/>
    <s v="CAMP2"/>
    <n v="823.6"/>
    <n v="6"/>
    <n v="1"/>
    <x v="877"/>
    <n v="4"/>
    <n v="6"/>
    <n v="5"/>
    <x v="0"/>
  </r>
  <r>
    <n v="1655"/>
    <d v="2025-01-16T00:00:00"/>
    <n v="27"/>
    <s v="Male"/>
    <s v="East"/>
    <x v="3"/>
    <m/>
    <n v="377.3"/>
    <n v="8"/>
    <n v="1"/>
    <x v="878"/>
    <n v="3"/>
    <n v="5"/>
    <n v="5"/>
    <x v="0"/>
  </r>
  <r>
    <n v="4836"/>
    <d v="2025-01-16T00:00:00"/>
    <n v="61"/>
    <s v="Male"/>
    <s v="East"/>
    <x v="0"/>
    <m/>
    <n v="1343.4"/>
    <n v="5"/>
    <n v="1"/>
    <x v="6"/>
    <n v="3"/>
    <n v="6"/>
    <n v="4"/>
    <x v="0"/>
  </r>
  <r>
    <n v="3826"/>
    <d v="2025-01-16T00:00:00"/>
    <n v="33"/>
    <s v="Female"/>
    <s v="North"/>
    <x v="2"/>
    <m/>
    <n v="350.3"/>
    <n v="7"/>
    <n v="1"/>
    <x v="879"/>
    <n v="3"/>
    <n v="11"/>
    <n v="4"/>
    <x v="0"/>
  </r>
  <r>
    <n v="604"/>
    <d v="2025-01-16T00:00:00"/>
    <n v="28"/>
    <s v="Female"/>
    <s v="West"/>
    <x v="0"/>
    <m/>
    <n v="488"/>
    <n v="5"/>
    <n v="1"/>
    <x v="880"/>
    <n v="5"/>
    <n v="6"/>
    <n v="4"/>
    <x v="0"/>
  </r>
  <r>
    <n v="3223"/>
    <d v="2025-01-16T00:00:00"/>
    <n v="29"/>
    <s v="Male"/>
    <s v="West"/>
    <x v="0"/>
    <m/>
    <n v="430.2"/>
    <n v="2"/>
    <n v="1"/>
    <x v="881"/>
    <n v="4"/>
    <n v="13"/>
    <n v="5"/>
    <x v="0"/>
  </r>
  <r>
    <n v="450"/>
    <d v="2025-01-16T00:00:00"/>
    <n v="29"/>
    <s v="Male"/>
    <s v="West"/>
    <x v="2"/>
    <m/>
    <n v="424.5"/>
    <n v="5"/>
    <n v="1"/>
    <x v="882"/>
    <n v="2"/>
    <n v="14"/>
    <n v="3"/>
    <x v="0"/>
  </r>
  <r>
    <n v="1796"/>
    <d v="2025-01-16T00:00:00"/>
    <n v="46"/>
    <s v="Female"/>
    <s v="West"/>
    <x v="1"/>
    <s v="CAMP2"/>
    <n v="636.79999999999995"/>
    <n v="6"/>
    <n v="0"/>
    <x v="11"/>
    <n v="0"/>
    <n v="0"/>
    <m/>
    <x v="0"/>
  </r>
  <r>
    <n v="2545"/>
    <d v="2025-01-16T00:00:00"/>
    <n v="33"/>
    <s v="Female"/>
    <s v="North"/>
    <x v="0"/>
    <m/>
    <n v="539.9"/>
    <n v="2"/>
    <n v="0"/>
    <x v="11"/>
    <n v="0"/>
    <n v="0"/>
    <m/>
    <x v="0"/>
  </r>
  <r>
    <n v="4162"/>
    <d v="2025-01-16T00:00:00"/>
    <n v="31"/>
    <s v="Female"/>
    <s v="South"/>
    <x v="1"/>
    <s v="CAMP2"/>
    <n v="510.8"/>
    <n v="7"/>
    <n v="0"/>
    <x v="11"/>
    <n v="0"/>
    <n v="0"/>
    <m/>
    <x v="0"/>
  </r>
  <r>
    <n v="3517"/>
    <d v="2025-01-16T00:00:00"/>
    <n v="30"/>
    <s v="Male"/>
    <s v="North"/>
    <x v="1"/>
    <s v="CAMP4"/>
    <n v="509.1"/>
    <n v="10"/>
    <n v="0"/>
    <x v="11"/>
    <n v="0"/>
    <n v="0"/>
    <m/>
    <x v="0"/>
  </r>
  <r>
    <n v="900"/>
    <d v="2025-01-16T00:00:00"/>
    <n v="25"/>
    <s v="Male"/>
    <s v="East"/>
    <x v="1"/>
    <s v="CAMP7"/>
    <n v="485.6"/>
    <n v="9"/>
    <n v="0"/>
    <x v="11"/>
    <n v="0"/>
    <n v="0"/>
    <m/>
    <x v="0"/>
  </r>
  <r>
    <n v="2307"/>
    <d v="2025-01-16T00:00:00"/>
    <n v="21"/>
    <s v="Female"/>
    <s v="West"/>
    <x v="1"/>
    <s v="CAMP2"/>
    <n v="482.2"/>
    <n v="9"/>
    <n v="0"/>
    <x v="11"/>
    <n v="0"/>
    <n v="0"/>
    <m/>
    <x v="0"/>
  </r>
  <r>
    <n v="651"/>
    <d v="2025-01-16T00:00:00"/>
    <n v="28"/>
    <s v="Male"/>
    <s v="East"/>
    <x v="2"/>
    <m/>
    <n v="398.6"/>
    <n v="4"/>
    <n v="0"/>
    <x v="11"/>
    <n v="0"/>
    <n v="0"/>
    <m/>
    <x v="0"/>
  </r>
  <r>
    <n v="1599"/>
    <d v="2025-01-16T00:00:00"/>
    <n v="33"/>
    <s v="Female"/>
    <s v="North"/>
    <x v="3"/>
    <m/>
    <n v="357.8"/>
    <n v="6"/>
    <n v="0"/>
    <x v="11"/>
    <n v="0"/>
    <n v="0"/>
    <m/>
    <x v="0"/>
  </r>
  <r>
    <n v="202"/>
    <d v="2025-01-16T00:00:00"/>
    <n v="27"/>
    <s v="Male"/>
    <s v="East"/>
    <x v="0"/>
    <m/>
    <n v="338.5"/>
    <n v="7"/>
    <n v="0"/>
    <x v="11"/>
    <n v="0"/>
    <n v="0"/>
    <m/>
    <x v="0"/>
  </r>
  <r>
    <n v="4540"/>
    <d v="2025-01-16T00:00:00"/>
    <n v="50"/>
    <s v="Other"/>
    <s v="South"/>
    <x v="0"/>
    <m/>
    <n v="307.7"/>
    <n v="8"/>
    <n v="0"/>
    <x v="11"/>
    <n v="0"/>
    <n v="0"/>
    <m/>
    <x v="0"/>
  </r>
  <r>
    <n v="435"/>
    <d v="2025-01-16T00:00:00"/>
    <n v="18"/>
    <s v="Female"/>
    <s v="South"/>
    <x v="3"/>
    <m/>
    <n v="294.10000000000002"/>
    <n v="2"/>
    <n v="0"/>
    <x v="11"/>
    <n v="0"/>
    <n v="0"/>
    <m/>
    <x v="0"/>
  </r>
  <r>
    <n v="3379"/>
    <d v="2025-01-16T00:00:00"/>
    <n v="40"/>
    <s v="Other"/>
    <s v="East"/>
    <x v="3"/>
    <m/>
    <n v="272.60000000000002"/>
    <n v="10"/>
    <n v="0"/>
    <x v="11"/>
    <n v="0"/>
    <n v="0"/>
    <m/>
    <x v="0"/>
  </r>
  <r>
    <n v="300"/>
    <d v="2025-01-16T00:00:00"/>
    <n v="29"/>
    <s v="Male"/>
    <s v="West"/>
    <x v="0"/>
    <m/>
    <n v="259.10000000000002"/>
    <n v="4"/>
    <n v="0"/>
    <x v="11"/>
    <n v="0"/>
    <n v="0"/>
    <m/>
    <x v="0"/>
  </r>
  <r>
    <n v="3991"/>
    <d v="2025-01-16T00:00:00"/>
    <n v="48"/>
    <s v="Male"/>
    <s v="South"/>
    <x v="1"/>
    <s v="CAMP1"/>
    <n v="245.9"/>
    <n v="7"/>
    <n v="0"/>
    <x v="11"/>
    <n v="0"/>
    <n v="0"/>
    <m/>
    <x v="0"/>
  </r>
  <r>
    <n v="3616"/>
    <d v="2025-01-16T00:00:00"/>
    <n v="35"/>
    <s v="Female"/>
    <s v="West"/>
    <x v="3"/>
    <m/>
    <n v="233.1"/>
    <n v="5"/>
    <n v="0"/>
    <x v="11"/>
    <n v="0"/>
    <n v="0"/>
    <m/>
    <x v="0"/>
  </r>
  <r>
    <n v="4329"/>
    <d v="2025-01-16T00:00:00"/>
    <n v="35"/>
    <s v="Male"/>
    <s v="East"/>
    <x v="1"/>
    <s v="CAMP2"/>
    <n v="170"/>
    <n v="9"/>
    <n v="0"/>
    <x v="11"/>
    <n v="0"/>
    <n v="0"/>
    <m/>
    <x v="0"/>
  </r>
  <r>
    <n v="441"/>
    <d v="2025-01-16T00:00:00"/>
    <n v="22"/>
    <s v="Female"/>
    <s v="North"/>
    <x v="1"/>
    <s v="CAMP6"/>
    <n v="168.8"/>
    <n v="3"/>
    <n v="0"/>
    <x v="11"/>
    <n v="0"/>
    <n v="0"/>
    <m/>
    <x v="0"/>
  </r>
  <r>
    <n v="1951"/>
    <d v="2025-01-16T00:00:00"/>
    <n v="24"/>
    <s v="Male"/>
    <s v="East"/>
    <x v="1"/>
    <s v="CAMP6"/>
    <n v="145.9"/>
    <n v="7"/>
    <n v="0"/>
    <x v="11"/>
    <n v="0"/>
    <n v="0"/>
    <m/>
    <x v="0"/>
  </r>
  <r>
    <n v="1127"/>
    <d v="2025-01-16T00:00:00"/>
    <n v="25"/>
    <s v="Female"/>
    <s v="South"/>
    <x v="2"/>
    <m/>
    <n v="130.80000000000001"/>
    <n v="5"/>
    <n v="0"/>
    <x v="11"/>
    <n v="0"/>
    <n v="0"/>
    <m/>
    <x v="0"/>
  </r>
  <r>
    <n v="847"/>
    <d v="2025-01-16T00:00:00"/>
    <n v="18"/>
    <s v="Female"/>
    <s v="West"/>
    <x v="0"/>
    <m/>
    <n v="121.6"/>
    <n v="6"/>
    <n v="0"/>
    <x v="11"/>
    <n v="0"/>
    <n v="0"/>
    <m/>
    <x v="0"/>
  </r>
  <r>
    <n v="57"/>
    <d v="2025-01-16T00:00:00"/>
    <n v="33"/>
    <s v="Male"/>
    <s v="East"/>
    <x v="1"/>
    <s v="CAMP1"/>
    <n v="83.8"/>
    <n v="8"/>
    <n v="0"/>
    <x v="11"/>
    <n v="0"/>
    <n v="0"/>
    <m/>
    <x v="0"/>
  </r>
  <r>
    <n v="3943"/>
    <d v="2025-01-16T00:00:00"/>
    <n v="51"/>
    <s v="Female"/>
    <s v="North"/>
    <x v="1"/>
    <s v="CAMP5"/>
    <n v="75.2"/>
    <n v="4"/>
    <n v="0"/>
    <x v="11"/>
    <n v="0"/>
    <n v="0"/>
    <m/>
    <x v="0"/>
  </r>
  <r>
    <n v="45"/>
    <d v="2025-02-16T00:00:00"/>
    <n v="28"/>
    <s v="Male"/>
    <s v="East"/>
    <x v="1"/>
    <s v="CAMP7"/>
    <n v="373.3"/>
    <n v="12"/>
    <n v="1"/>
    <x v="252"/>
    <n v="3"/>
    <n v="15"/>
    <n v="4"/>
    <x v="1"/>
  </r>
  <r>
    <n v="3384"/>
    <d v="2025-02-16T00:00:00"/>
    <n v="41"/>
    <s v="Female"/>
    <s v="South"/>
    <x v="0"/>
    <m/>
    <n v="91.9"/>
    <n v="7"/>
    <n v="1"/>
    <x v="883"/>
    <n v="3"/>
    <n v="10"/>
    <n v="5"/>
    <x v="1"/>
  </r>
  <r>
    <n v="580"/>
    <d v="2025-02-16T00:00:00"/>
    <n v="30"/>
    <s v="Female"/>
    <s v="North"/>
    <x v="0"/>
    <m/>
    <n v="234.4"/>
    <n v="6"/>
    <n v="1"/>
    <x v="884"/>
    <n v="2"/>
    <n v="12"/>
    <n v="4"/>
    <x v="1"/>
  </r>
  <r>
    <n v="2794"/>
    <d v="2025-02-16T00:00:00"/>
    <n v="39"/>
    <s v="Male"/>
    <s v="South"/>
    <x v="0"/>
    <m/>
    <n v="479.4"/>
    <n v="7"/>
    <n v="1"/>
    <x v="885"/>
    <n v="4"/>
    <n v="5"/>
    <n v="3"/>
    <x v="1"/>
  </r>
  <r>
    <n v="185"/>
    <d v="2025-02-16T00:00:00"/>
    <n v="21"/>
    <s v="Female"/>
    <s v="East"/>
    <x v="3"/>
    <m/>
    <n v="805.5"/>
    <n v="5"/>
    <n v="1"/>
    <x v="886"/>
    <n v="3"/>
    <n v="3"/>
    <n v="5"/>
    <x v="1"/>
  </r>
  <r>
    <n v="682"/>
    <d v="2025-02-16T00:00:00"/>
    <n v="29"/>
    <s v="Female"/>
    <s v="South"/>
    <x v="3"/>
    <m/>
    <n v="367.5"/>
    <n v="8"/>
    <n v="1"/>
    <x v="887"/>
    <n v="2"/>
    <n v="5"/>
    <n v="4"/>
    <x v="1"/>
  </r>
  <r>
    <n v="1748"/>
    <d v="2025-02-16T00:00:00"/>
    <n v="24"/>
    <s v="Female"/>
    <s v="West"/>
    <x v="0"/>
    <m/>
    <n v="355.2"/>
    <n v="6"/>
    <n v="1"/>
    <x v="888"/>
    <n v="2"/>
    <n v="3"/>
    <n v="4"/>
    <x v="1"/>
  </r>
  <r>
    <n v="930"/>
    <d v="2025-02-16T00:00:00"/>
    <n v="32"/>
    <s v="Female"/>
    <s v="East"/>
    <x v="0"/>
    <m/>
    <n v="605.5"/>
    <n v="5"/>
    <n v="1"/>
    <x v="889"/>
    <n v="2"/>
    <n v="9"/>
    <n v="3"/>
    <x v="1"/>
  </r>
  <r>
    <n v="3105"/>
    <d v="2025-02-16T00:00:00"/>
    <n v="35"/>
    <s v="Female"/>
    <s v="North"/>
    <x v="0"/>
    <m/>
    <n v="332.1"/>
    <n v="6"/>
    <n v="1"/>
    <x v="890"/>
    <n v="4"/>
    <n v="6"/>
    <n v="5"/>
    <x v="1"/>
  </r>
  <r>
    <n v="4099"/>
    <d v="2025-02-16T00:00:00"/>
    <n v="48"/>
    <s v="Male"/>
    <s v="South"/>
    <x v="2"/>
    <m/>
    <n v="628.6"/>
    <n v="7"/>
    <n v="1"/>
    <x v="891"/>
    <n v="2"/>
    <n v="5"/>
    <n v="4"/>
    <x v="1"/>
  </r>
  <r>
    <n v="909"/>
    <d v="2025-02-16T00:00:00"/>
    <n v="18"/>
    <s v="Female"/>
    <s v="East"/>
    <x v="0"/>
    <m/>
    <n v="229.1"/>
    <n v="5"/>
    <n v="1"/>
    <x v="892"/>
    <n v="2"/>
    <n v="7"/>
    <n v="3"/>
    <x v="1"/>
  </r>
  <r>
    <n v="4016"/>
    <d v="2025-02-16T00:00:00"/>
    <n v="72"/>
    <s v="Male"/>
    <s v="North"/>
    <x v="1"/>
    <s v="CAMP1"/>
    <n v="411.6"/>
    <n v="6"/>
    <n v="1"/>
    <x v="893"/>
    <n v="1"/>
    <n v="12"/>
    <n v="4"/>
    <x v="1"/>
  </r>
  <r>
    <n v="2029"/>
    <d v="2025-02-16T00:00:00"/>
    <n v="43"/>
    <s v="Female"/>
    <s v="South"/>
    <x v="0"/>
    <m/>
    <n v="259.7"/>
    <n v="2"/>
    <n v="1"/>
    <x v="894"/>
    <n v="4"/>
    <n v="11"/>
    <n v="4"/>
    <x v="1"/>
  </r>
  <r>
    <n v="4926"/>
    <d v="2025-02-16T00:00:00"/>
    <n v="42"/>
    <s v="Female"/>
    <s v="North"/>
    <x v="1"/>
    <s v="CAMP4"/>
    <n v="581.5"/>
    <n v="7"/>
    <n v="1"/>
    <x v="895"/>
    <n v="5"/>
    <n v="13"/>
    <n v="4"/>
    <x v="1"/>
  </r>
  <r>
    <n v="2191"/>
    <d v="2025-02-16T00:00:00"/>
    <n v="50"/>
    <s v="Female"/>
    <s v="West"/>
    <x v="1"/>
    <s v="CAMP7"/>
    <n v="389.7"/>
    <n v="6"/>
    <n v="1"/>
    <x v="896"/>
    <n v="5"/>
    <n v="10"/>
    <n v="4"/>
    <x v="1"/>
  </r>
  <r>
    <n v="4567"/>
    <d v="2025-02-16T00:00:00"/>
    <n v="44"/>
    <s v="Female"/>
    <s v="West"/>
    <x v="0"/>
    <m/>
    <n v="439.7"/>
    <n v="6"/>
    <n v="1"/>
    <x v="897"/>
    <n v="2"/>
    <n v="2"/>
    <n v="4"/>
    <x v="1"/>
  </r>
  <r>
    <n v="2068"/>
    <d v="2025-02-16T00:00:00"/>
    <n v="28"/>
    <s v="Male"/>
    <s v="East"/>
    <x v="0"/>
    <m/>
    <n v="417.7"/>
    <n v="6"/>
    <n v="1"/>
    <x v="898"/>
    <n v="1"/>
    <n v="10"/>
    <n v="4"/>
    <x v="1"/>
  </r>
  <r>
    <n v="2753"/>
    <d v="2025-02-16T00:00:00"/>
    <n v="39"/>
    <s v="Male"/>
    <s v="South"/>
    <x v="1"/>
    <s v="CAMP5"/>
    <n v="782.6"/>
    <n v="7"/>
    <n v="1"/>
    <x v="315"/>
    <n v="2"/>
    <n v="5"/>
    <n v="3"/>
    <x v="1"/>
  </r>
  <r>
    <n v="1977"/>
    <d v="2025-02-16T00:00:00"/>
    <n v="40"/>
    <s v="Male"/>
    <s v="North"/>
    <x v="0"/>
    <m/>
    <n v="817.3"/>
    <n v="5"/>
    <n v="1"/>
    <x v="899"/>
    <n v="3"/>
    <n v="13"/>
    <n v="4"/>
    <x v="1"/>
  </r>
  <r>
    <n v="1544"/>
    <d v="2025-02-16T00:00:00"/>
    <n v="29"/>
    <s v="Female"/>
    <s v="North"/>
    <x v="1"/>
    <s v="CAMP2"/>
    <n v="305.8"/>
    <n v="6"/>
    <n v="1"/>
    <x v="900"/>
    <n v="6"/>
    <n v="4"/>
    <n v="4"/>
    <x v="1"/>
  </r>
  <r>
    <n v="3720"/>
    <d v="2025-02-16T00:00:00"/>
    <n v="36"/>
    <s v="Male"/>
    <s v="East"/>
    <x v="1"/>
    <s v="CAMP7"/>
    <n v="224.9"/>
    <n v="7"/>
    <n v="1"/>
    <x v="901"/>
    <n v="2"/>
    <n v="14"/>
    <n v="5"/>
    <x v="1"/>
  </r>
  <r>
    <n v="3172"/>
    <d v="2025-02-16T00:00:00"/>
    <n v="27"/>
    <s v="Male"/>
    <s v="South"/>
    <x v="0"/>
    <m/>
    <n v="611"/>
    <n v="10"/>
    <n v="0"/>
    <x v="11"/>
    <n v="0"/>
    <n v="0"/>
    <m/>
    <x v="1"/>
  </r>
  <r>
    <n v="3805"/>
    <d v="2025-02-16T00:00:00"/>
    <n v="64"/>
    <s v="Female"/>
    <s v="East"/>
    <x v="2"/>
    <m/>
    <n v="555.1"/>
    <n v="8"/>
    <n v="0"/>
    <x v="11"/>
    <n v="0"/>
    <n v="0"/>
    <m/>
    <x v="1"/>
  </r>
  <r>
    <n v="2026"/>
    <d v="2025-02-16T00:00:00"/>
    <n v="45"/>
    <s v="Male"/>
    <s v="East"/>
    <x v="0"/>
    <m/>
    <n v="521.6"/>
    <n v="7"/>
    <n v="0"/>
    <x v="11"/>
    <n v="0"/>
    <n v="0"/>
    <m/>
    <x v="1"/>
  </r>
  <r>
    <n v="1526"/>
    <d v="2025-02-16T00:00:00"/>
    <n v="26"/>
    <s v="Female"/>
    <s v="South"/>
    <x v="0"/>
    <m/>
    <n v="405.7"/>
    <n v="6"/>
    <n v="0"/>
    <x v="11"/>
    <n v="0"/>
    <n v="0"/>
    <m/>
    <x v="1"/>
  </r>
  <r>
    <n v="3537"/>
    <d v="2025-02-16T00:00:00"/>
    <n v="50"/>
    <s v="Female"/>
    <s v="West"/>
    <x v="1"/>
    <s v="CAMP1"/>
    <n v="303.7"/>
    <n v="5"/>
    <n v="0"/>
    <x v="11"/>
    <n v="0"/>
    <n v="0"/>
    <m/>
    <x v="1"/>
  </r>
  <r>
    <n v="1384"/>
    <d v="2025-02-16T00:00:00"/>
    <n v="25"/>
    <s v="Female"/>
    <s v="West"/>
    <x v="0"/>
    <m/>
    <n v="270.89999999999998"/>
    <n v="4"/>
    <n v="0"/>
    <x v="11"/>
    <n v="0"/>
    <n v="0"/>
    <m/>
    <x v="1"/>
  </r>
  <r>
    <n v="1341"/>
    <d v="2025-02-16T00:00:00"/>
    <n v="30"/>
    <s v="Female"/>
    <s v="West"/>
    <x v="1"/>
    <s v="CAMP4"/>
    <n v="157.9"/>
    <n v="5"/>
    <n v="0"/>
    <x v="11"/>
    <n v="0"/>
    <n v="0"/>
    <m/>
    <x v="1"/>
  </r>
  <r>
    <n v="1174"/>
    <d v="2025-02-16T00:00:00"/>
    <n v="28"/>
    <s v="Other"/>
    <s v="East"/>
    <x v="1"/>
    <s v="CAMP2"/>
    <n v="135.4"/>
    <n v="7"/>
    <n v="0"/>
    <x v="11"/>
    <n v="0"/>
    <n v="0"/>
    <m/>
    <x v="1"/>
  </r>
  <r>
    <n v="1130"/>
    <d v="2025-02-16T00:00:00"/>
    <n v="24"/>
    <s v="Female"/>
    <s v="North"/>
    <x v="0"/>
    <m/>
    <n v="115.2"/>
    <n v="5"/>
    <n v="0"/>
    <x v="11"/>
    <n v="0"/>
    <n v="0"/>
    <m/>
    <x v="1"/>
  </r>
  <r>
    <n v="2331"/>
    <d v="2025-02-16T00:00:00"/>
    <n v="34"/>
    <s v="Male"/>
    <s v="West"/>
    <x v="1"/>
    <s v="CAMP7"/>
    <n v="112.9"/>
    <n v="4"/>
    <n v="0"/>
    <x v="11"/>
    <n v="0"/>
    <n v="0"/>
    <m/>
    <x v="1"/>
  </r>
  <r>
    <n v="4713"/>
    <d v="2025-02-16T00:00:00"/>
    <n v="58"/>
    <s v="Female"/>
    <s v="South"/>
    <x v="1"/>
    <s v="CAMP2"/>
    <n v="49.7"/>
    <n v="2"/>
    <n v="0"/>
    <x v="11"/>
    <n v="0"/>
    <n v="0"/>
    <m/>
    <x v="1"/>
  </r>
  <r>
    <n v="2447"/>
    <d v="2025-02-16T00:00:00"/>
    <n v="42"/>
    <s v="Female"/>
    <s v="East"/>
    <x v="3"/>
    <m/>
    <n v="37.799999999999997"/>
    <n v="6"/>
    <n v="0"/>
    <x v="11"/>
    <n v="0"/>
    <n v="0"/>
    <m/>
    <x v="1"/>
  </r>
  <r>
    <n v="4263"/>
    <d v="2025-03-16T00:00:00"/>
    <n v="46"/>
    <s v="Male"/>
    <s v="South"/>
    <x v="1"/>
    <s v="CAMP1"/>
    <n v="444"/>
    <n v="8"/>
    <n v="1"/>
    <x v="902"/>
    <n v="2"/>
    <n v="3"/>
    <n v="4"/>
    <x v="2"/>
  </r>
  <r>
    <n v="527"/>
    <d v="2025-03-16T00:00:00"/>
    <n v="26"/>
    <s v="Male"/>
    <s v="South"/>
    <x v="0"/>
    <m/>
    <n v="520.29999999999995"/>
    <n v="8"/>
    <n v="1"/>
    <x v="903"/>
    <n v="5"/>
    <n v="2"/>
    <n v="4"/>
    <x v="2"/>
  </r>
  <r>
    <n v="1920"/>
    <d v="2025-03-16T00:00:00"/>
    <n v="45"/>
    <s v="Male"/>
    <s v="South"/>
    <x v="0"/>
    <m/>
    <n v="396.3"/>
    <n v="9"/>
    <n v="1"/>
    <x v="904"/>
    <n v="3"/>
    <n v="5"/>
    <n v="4"/>
    <x v="2"/>
  </r>
  <r>
    <n v="4245"/>
    <d v="2025-03-16T00:00:00"/>
    <n v="56"/>
    <s v="Female"/>
    <s v="East"/>
    <x v="0"/>
    <m/>
    <n v="275.5"/>
    <n v="6"/>
    <n v="1"/>
    <x v="905"/>
    <n v="3"/>
    <n v="5"/>
    <n v="3"/>
    <x v="2"/>
  </r>
  <r>
    <n v="714"/>
    <d v="2025-03-16T00:00:00"/>
    <n v="36"/>
    <s v="Female"/>
    <s v="West"/>
    <x v="1"/>
    <s v="CAMP7"/>
    <n v="530.5"/>
    <n v="9"/>
    <n v="1"/>
    <x v="906"/>
    <n v="1"/>
    <n v="3"/>
    <n v="5"/>
    <x v="2"/>
  </r>
  <r>
    <n v="2058"/>
    <d v="2025-03-16T00:00:00"/>
    <n v="26"/>
    <s v="Female"/>
    <s v="East"/>
    <x v="0"/>
    <m/>
    <n v="280"/>
    <n v="8"/>
    <n v="1"/>
    <x v="907"/>
    <n v="4"/>
    <n v="12"/>
    <n v="4"/>
    <x v="2"/>
  </r>
  <r>
    <n v="3411"/>
    <d v="2025-03-16T00:00:00"/>
    <n v="31"/>
    <s v="Male"/>
    <s v="South"/>
    <x v="1"/>
    <s v="CAMP4"/>
    <n v="717.4"/>
    <n v="5"/>
    <n v="1"/>
    <x v="444"/>
    <n v="4"/>
    <n v="5"/>
    <n v="4"/>
    <x v="2"/>
  </r>
  <r>
    <n v="2904"/>
    <d v="2025-03-16T00:00:00"/>
    <n v="38"/>
    <s v="Female"/>
    <s v="North"/>
    <x v="0"/>
    <m/>
    <n v="225.7"/>
    <n v="6"/>
    <n v="1"/>
    <x v="908"/>
    <n v="2"/>
    <n v="12"/>
    <n v="5"/>
    <x v="2"/>
  </r>
  <r>
    <n v="3241"/>
    <d v="2025-03-16T00:00:00"/>
    <n v="41"/>
    <s v="Male"/>
    <s v="North"/>
    <x v="0"/>
    <m/>
    <n v="324.10000000000002"/>
    <n v="6"/>
    <n v="1"/>
    <x v="909"/>
    <n v="2"/>
    <n v="12"/>
    <n v="4"/>
    <x v="2"/>
  </r>
  <r>
    <n v="4838"/>
    <d v="2025-03-16T00:00:00"/>
    <n v="48"/>
    <s v="Male"/>
    <s v="North"/>
    <x v="1"/>
    <s v="CAMP1"/>
    <n v="900"/>
    <n v="6"/>
    <n v="0"/>
    <x v="11"/>
    <n v="0"/>
    <n v="0"/>
    <m/>
    <x v="2"/>
  </r>
  <r>
    <n v="3248"/>
    <d v="2025-03-16T00:00:00"/>
    <n v="19"/>
    <s v="Male"/>
    <s v="East"/>
    <x v="0"/>
    <m/>
    <n v="651.70000000000005"/>
    <n v="6"/>
    <n v="0"/>
    <x v="11"/>
    <n v="0"/>
    <n v="0"/>
    <m/>
    <x v="2"/>
  </r>
  <r>
    <n v="2656"/>
    <d v="2025-03-16T00:00:00"/>
    <n v="30"/>
    <s v="Male"/>
    <s v="East"/>
    <x v="2"/>
    <m/>
    <n v="547.20000000000005"/>
    <n v="7"/>
    <n v="0"/>
    <x v="11"/>
    <n v="0"/>
    <n v="0"/>
    <m/>
    <x v="2"/>
  </r>
  <r>
    <n v="4021"/>
    <d v="2025-03-16T00:00:00"/>
    <n v="42"/>
    <s v="Male"/>
    <s v="South"/>
    <x v="0"/>
    <m/>
    <n v="439.6"/>
    <n v="6"/>
    <n v="0"/>
    <x v="11"/>
    <n v="0"/>
    <n v="0"/>
    <m/>
    <x v="2"/>
  </r>
  <r>
    <n v="3867"/>
    <d v="2025-03-16T00:00:00"/>
    <n v="66"/>
    <s v="Male"/>
    <s v="East"/>
    <x v="0"/>
    <m/>
    <n v="433.9"/>
    <n v="4"/>
    <n v="0"/>
    <x v="11"/>
    <n v="0"/>
    <n v="0"/>
    <m/>
    <x v="2"/>
  </r>
  <r>
    <n v="846"/>
    <d v="2025-03-16T00:00:00"/>
    <n v="22"/>
    <s v="Female"/>
    <s v="West"/>
    <x v="0"/>
    <m/>
    <n v="425"/>
    <n v="6"/>
    <n v="0"/>
    <x v="11"/>
    <n v="0"/>
    <n v="0"/>
    <m/>
    <x v="2"/>
  </r>
  <r>
    <n v="3748"/>
    <d v="2025-03-16T00:00:00"/>
    <n v="33"/>
    <s v="Female"/>
    <s v="East"/>
    <x v="1"/>
    <s v="CAMP5"/>
    <n v="381.3"/>
    <n v="5"/>
    <n v="0"/>
    <x v="11"/>
    <n v="0"/>
    <n v="0"/>
    <m/>
    <x v="2"/>
  </r>
  <r>
    <n v="1740"/>
    <d v="2025-03-16T00:00:00"/>
    <n v="23"/>
    <s v="Male"/>
    <s v="West"/>
    <x v="1"/>
    <s v="CAMP1"/>
    <n v="379.2"/>
    <n v="7"/>
    <n v="0"/>
    <x v="11"/>
    <n v="0"/>
    <n v="0"/>
    <m/>
    <x v="2"/>
  </r>
  <r>
    <n v="1535"/>
    <d v="2025-03-16T00:00:00"/>
    <n v="24"/>
    <s v="Female"/>
    <s v="East"/>
    <x v="1"/>
    <s v="CAMP7"/>
    <n v="298.39999999999998"/>
    <n v="5"/>
    <n v="0"/>
    <x v="11"/>
    <n v="0"/>
    <n v="0"/>
    <m/>
    <x v="2"/>
  </r>
  <r>
    <n v="4417"/>
    <d v="2025-03-16T00:00:00"/>
    <n v="44"/>
    <s v="Male"/>
    <s v="South"/>
    <x v="1"/>
    <s v="CAMP6"/>
    <n v="255.3"/>
    <n v="5"/>
    <n v="0"/>
    <x v="11"/>
    <n v="0"/>
    <n v="0"/>
    <m/>
    <x v="2"/>
  </r>
  <r>
    <n v="4705"/>
    <d v="2025-03-16T00:00:00"/>
    <n v="28"/>
    <s v="Female"/>
    <s v="South"/>
    <x v="0"/>
    <m/>
    <n v="216"/>
    <n v="3"/>
    <n v="0"/>
    <x v="11"/>
    <n v="0"/>
    <n v="0"/>
    <m/>
    <x v="2"/>
  </r>
  <r>
    <n v="2688"/>
    <d v="2025-03-16T00:00:00"/>
    <n v="39"/>
    <s v="Other"/>
    <s v="North"/>
    <x v="0"/>
    <m/>
    <n v="214.9"/>
    <n v="7"/>
    <n v="0"/>
    <x v="11"/>
    <n v="0"/>
    <n v="0"/>
    <m/>
    <x v="2"/>
  </r>
  <r>
    <n v="1745"/>
    <d v="2025-03-16T00:00:00"/>
    <n v="31"/>
    <s v="Female"/>
    <s v="North"/>
    <x v="1"/>
    <s v="CAMP3"/>
    <n v="147.6"/>
    <n v="8"/>
    <n v="0"/>
    <x v="11"/>
    <n v="0"/>
    <n v="0"/>
    <m/>
    <x v="2"/>
  </r>
  <r>
    <n v="392"/>
    <d v="2025-03-16T00:00:00"/>
    <n v="26"/>
    <s v="Male"/>
    <s v="West"/>
    <x v="0"/>
    <m/>
    <n v="126.6"/>
    <n v="6"/>
    <n v="0"/>
    <x v="11"/>
    <n v="0"/>
    <n v="0"/>
    <m/>
    <x v="2"/>
  </r>
  <r>
    <n v="4045"/>
    <d v="2025-03-16T00:00:00"/>
    <n v="52"/>
    <s v="Female"/>
    <s v="West"/>
    <x v="2"/>
    <m/>
    <n v="113.1"/>
    <n v="5"/>
    <n v="0"/>
    <x v="11"/>
    <n v="0"/>
    <n v="0"/>
    <m/>
    <x v="2"/>
  </r>
  <r>
    <n v="4353"/>
    <d v="2025-03-16T00:00:00"/>
    <n v="59"/>
    <s v="Female"/>
    <s v="West"/>
    <x v="3"/>
    <m/>
    <n v="108"/>
    <n v="8"/>
    <n v="0"/>
    <x v="11"/>
    <n v="0"/>
    <n v="0"/>
    <m/>
    <x v="2"/>
  </r>
  <r>
    <n v="4459"/>
    <d v="2025-03-16T00:00:00"/>
    <n v="52"/>
    <s v="Male"/>
    <s v="West"/>
    <x v="1"/>
    <s v="CAMP4"/>
    <n v="80.2"/>
    <n v="7"/>
    <n v="0"/>
    <x v="11"/>
    <n v="0"/>
    <n v="0"/>
    <m/>
    <x v="2"/>
  </r>
  <r>
    <n v="653"/>
    <d v="2025-04-16T00:00:00"/>
    <n v="25"/>
    <s v="Male"/>
    <s v="North"/>
    <x v="1"/>
    <s v="CAMP3"/>
    <n v="128.1"/>
    <n v="4"/>
    <n v="1"/>
    <x v="910"/>
    <n v="2"/>
    <n v="8"/>
    <n v="4"/>
    <x v="3"/>
  </r>
  <r>
    <n v="358"/>
    <d v="2025-04-16T00:00:00"/>
    <n v="21"/>
    <s v="Male"/>
    <s v="South"/>
    <x v="0"/>
    <m/>
    <n v="596.6"/>
    <n v="6"/>
    <n v="1"/>
    <x v="308"/>
    <n v="4"/>
    <n v="3"/>
    <n v="4"/>
    <x v="3"/>
  </r>
  <r>
    <n v="3430"/>
    <d v="2025-04-16T00:00:00"/>
    <n v="35"/>
    <s v="Male"/>
    <s v="North"/>
    <x v="0"/>
    <m/>
    <n v="266.39999999999998"/>
    <n v="6"/>
    <n v="1"/>
    <x v="911"/>
    <n v="3"/>
    <n v="12"/>
    <n v="4"/>
    <x v="3"/>
  </r>
  <r>
    <n v="4345"/>
    <d v="2025-04-16T00:00:00"/>
    <n v="52"/>
    <s v="Female"/>
    <s v="West"/>
    <x v="0"/>
    <m/>
    <n v="210"/>
    <n v="7"/>
    <n v="1"/>
    <x v="912"/>
    <n v="4"/>
    <n v="14"/>
    <n v="4"/>
    <x v="3"/>
  </r>
  <r>
    <n v="4249"/>
    <d v="2025-04-16T00:00:00"/>
    <n v="56"/>
    <s v="Female"/>
    <s v="East"/>
    <x v="1"/>
    <s v="CAMP2"/>
    <n v="38.700000000000003"/>
    <n v="3"/>
    <n v="1"/>
    <x v="913"/>
    <n v="2"/>
    <n v="9"/>
    <n v="5"/>
    <x v="3"/>
  </r>
  <r>
    <n v="2585"/>
    <d v="2025-04-16T00:00:00"/>
    <n v="32"/>
    <s v="Female"/>
    <s v="West"/>
    <x v="1"/>
    <s v="CAMP4"/>
    <n v="115.9"/>
    <n v="7"/>
    <n v="1"/>
    <x v="914"/>
    <n v="3"/>
    <n v="12"/>
    <n v="4"/>
    <x v="3"/>
  </r>
  <r>
    <n v="4536"/>
    <d v="2025-04-16T00:00:00"/>
    <n v="34"/>
    <s v="Male"/>
    <s v="South"/>
    <x v="0"/>
    <m/>
    <n v="71.099999999999994"/>
    <n v="6"/>
    <n v="1"/>
    <x v="915"/>
    <n v="2"/>
    <n v="1"/>
    <n v="4"/>
    <x v="3"/>
  </r>
  <r>
    <n v="1409"/>
    <d v="2025-04-16T00:00:00"/>
    <n v="28"/>
    <s v="Male"/>
    <s v="South"/>
    <x v="1"/>
    <s v="CAMP6"/>
    <n v="555.29999999999995"/>
    <n v="8"/>
    <n v="1"/>
    <x v="916"/>
    <n v="3"/>
    <n v="11"/>
    <n v="4"/>
    <x v="3"/>
  </r>
  <r>
    <n v="3084"/>
    <d v="2025-04-16T00:00:00"/>
    <n v="38"/>
    <s v="Male"/>
    <s v="South"/>
    <x v="2"/>
    <m/>
    <n v="236.3"/>
    <n v="3"/>
    <n v="1"/>
    <x v="917"/>
    <n v="2"/>
    <n v="8"/>
    <n v="5"/>
    <x v="3"/>
  </r>
  <r>
    <n v="3143"/>
    <d v="2025-04-16T00:00:00"/>
    <n v="33"/>
    <s v="Other"/>
    <s v="West"/>
    <x v="0"/>
    <m/>
    <n v="257.7"/>
    <n v="9"/>
    <n v="1"/>
    <x v="918"/>
    <n v="5"/>
    <n v="5"/>
    <n v="3"/>
    <x v="3"/>
  </r>
  <r>
    <n v="787"/>
    <d v="2025-04-16T00:00:00"/>
    <n v="33"/>
    <s v="Male"/>
    <s v="East"/>
    <x v="1"/>
    <s v="CAMP7"/>
    <n v="458.8"/>
    <n v="5"/>
    <n v="0"/>
    <x v="11"/>
    <n v="0"/>
    <n v="0"/>
    <m/>
    <x v="3"/>
  </r>
  <r>
    <n v="1571"/>
    <d v="2025-04-16T00:00:00"/>
    <n v="28"/>
    <s v="Male"/>
    <s v="West"/>
    <x v="1"/>
    <s v="CAMP2"/>
    <n v="346.6"/>
    <n v="4"/>
    <n v="0"/>
    <x v="11"/>
    <n v="0"/>
    <n v="0"/>
    <m/>
    <x v="3"/>
  </r>
  <r>
    <n v="4304"/>
    <d v="2025-04-16T00:00:00"/>
    <n v="37"/>
    <s v="Male"/>
    <s v="North"/>
    <x v="0"/>
    <m/>
    <n v="324.10000000000002"/>
    <n v="5"/>
    <n v="0"/>
    <x v="11"/>
    <n v="0"/>
    <n v="0"/>
    <m/>
    <x v="3"/>
  </r>
  <r>
    <n v="3969"/>
    <d v="2025-04-16T00:00:00"/>
    <n v="53"/>
    <s v="Male"/>
    <s v="East"/>
    <x v="0"/>
    <m/>
    <n v="280.8"/>
    <n v="7"/>
    <n v="0"/>
    <x v="11"/>
    <n v="0"/>
    <n v="0"/>
    <m/>
    <x v="3"/>
  </r>
  <r>
    <n v="1966"/>
    <d v="2025-04-16T00:00:00"/>
    <n v="18"/>
    <s v="Male"/>
    <s v="West"/>
    <x v="1"/>
    <s v="CAMP1"/>
    <n v="264.3"/>
    <n v="3"/>
    <n v="0"/>
    <x v="11"/>
    <n v="0"/>
    <n v="0"/>
    <m/>
    <x v="3"/>
  </r>
  <r>
    <n v="2938"/>
    <d v="2025-04-16T00:00:00"/>
    <n v="22"/>
    <s v="Male"/>
    <s v="North"/>
    <x v="0"/>
    <m/>
    <n v="205.9"/>
    <n v="6"/>
    <n v="0"/>
    <x v="11"/>
    <n v="0"/>
    <n v="0"/>
    <m/>
    <x v="3"/>
  </r>
  <r>
    <n v="792"/>
    <d v="2025-04-16T00:00:00"/>
    <n v="27"/>
    <s v="Female"/>
    <s v="West"/>
    <x v="3"/>
    <m/>
    <n v="200.9"/>
    <n v="5"/>
    <n v="0"/>
    <x v="11"/>
    <n v="0"/>
    <n v="0"/>
    <m/>
    <x v="3"/>
  </r>
  <r>
    <n v="485"/>
    <d v="2025-04-16T00:00:00"/>
    <n v="27"/>
    <s v="Female"/>
    <s v="South"/>
    <x v="0"/>
    <m/>
    <n v="190.8"/>
    <n v="7"/>
    <n v="0"/>
    <x v="11"/>
    <n v="0"/>
    <n v="0"/>
    <m/>
    <x v="3"/>
  </r>
  <r>
    <n v="464"/>
    <d v="2025-04-16T00:00:00"/>
    <n v="29"/>
    <s v="Female"/>
    <s v="East"/>
    <x v="1"/>
    <s v="CAMP7"/>
    <n v="190"/>
    <n v="2"/>
    <n v="0"/>
    <x v="11"/>
    <n v="0"/>
    <n v="0"/>
    <m/>
    <x v="3"/>
  </r>
  <r>
    <n v="4212"/>
    <d v="2025-04-16T00:00:00"/>
    <n v="35"/>
    <s v="Male"/>
    <s v="North"/>
    <x v="0"/>
    <m/>
    <n v="147.19999999999999"/>
    <n v="10"/>
    <n v="0"/>
    <x v="11"/>
    <n v="0"/>
    <n v="0"/>
    <m/>
    <x v="3"/>
  </r>
  <r>
    <n v="4207"/>
    <d v="2025-04-16T00:00:00"/>
    <n v="53"/>
    <s v="Female"/>
    <s v="West"/>
    <x v="0"/>
    <m/>
    <n v="146.69999999999999"/>
    <n v="4"/>
    <n v="0"/>
    <x v="11"/>
    <n v="0"/>
    <n v="0"/>
    <m/>
    <x v="3"/>
  </r>
  <r>
    <n v="2489"/>
    <d v="2025-04-16T00:00:00"/>
    <n v="30"/>
    <s v="Female"/>
    <s v="East"/>
    <x v="0"/>
    <m/>
    <n v="140.5"/>
    <n v="6"/>
    <n v="0"/>
    <x v="11"/>
    <n v="0"/>
    <n v="0"/>
    <m/>
    <x v="3"/>
  </r>
  <r>
    <n v="4509"/>
    <d v="2025-04-16T00:00:00"/>
    <n v="32"/>
    <s v="Female"/>
    <s v="West"/>
    <x v="1"/>
    <s v="CAMP7"/>
    <n v="139.1"/>
    <n v="5"/>
    <n v="0"/>
    <x v="11"/>
    <n v="0"/>
    <n v="0"/>
    <m/>
    <x v="3"/>
  </r>
  <r>
    <n v="1927"/>
    <d v="2025-04-16T00:00:00"/>
    <n v="30"/>
    <s v="Female"/>
    <s v="North"/>
    <x v="2"/>
    <m/>
    <n v="133.19999999999999"/>
    <n v="5"/>
    <n v="0"/>
    <x v="11"/>
    <n v="0"/>
    <n v="0"/>
    <m/>
    <x v="3"/>
  </r>
  <r>
    <n v="497"/>
    <d v="2025-04-16T00:00:00"/>
    <n v="23"/>
    <s v="Female"/>
    <s v="East"/>
    <x v="2"/>
    <m/>
    <n v="69.8"/>
    <n v="6"/>
    <n v="0"/>
    <x v="11"/>
    <n v="0"/>
    <n v="0"/>
    <m/>
    <x v="3"/>
  </r>
  <r>
    <n v="3324"/>
    <d v="2025-04-16T00:00:00"/>
    <n v="30"/>
    <s v="Male"/>
    <s v="West"/>
    <x v="3"/>
    <m/>
    <n v="22"/>
    <n v="3"/>
    <n v="0"/>
    <x v="11"/>
    <n v="0"/>
    <n v="0"/>
    <m/>
    <x v="3"/>
  </r>
  <r>
    <n v="3681"/>
    <d v="2025-05-16T00:00:00"/>
    <n v="29"/>
    <s v="Female"/>
    <s v="South"/>
    <x v="1"/>
    <s v="CAMP2"/>
    <n v="647.5"/>
    <n v="3"/>
    <n v="1"/>
    <x v="919"/>
    <n v="4"/>
    <n v="14"/>
    <n v="4"/>
    <x v="4"/>
  </r>
  <r>
    <n v="2929"/>
    <d v="2025-05-16T00:00:00"/>
    <n v="38"/>
    <s v="Male"/>
    <s v="West"/>
    <x v="1"/>
    <s v="CAMP7"/>
    <n v="640.20000000000005"/>
    <n v="7"/>
    <n v="1"/>
    <x v="920"/>
    <n v="5"/>
    <n v="12"/>
    <n v="5"/>
    <x v="4"/>
  </r>
  <r>
    <n v="4763"/>
    <d v="2025-05-16T00:00:00"/>
    <n v="67"/>
    <s v="Female"/>
    <s v="South"/>
    <x v="1"/>
    <s v="CAMP2"/>
    <n v="614.20000000000005"/>
    <n v="9"/>
    <n v="1"/>
    <x v="921"/>
    <n v="2"/>
    <n v="4"/>
    <n v="4"/>
    <x v="4"/>
  </r>
  <r>
    <n v="1857"/>
    <d v="2025-05-16T00:00:00"/>
    <n v="39"/>
    <s v="Male"/>
    <s v="East"/>
    <x v="1"/>
    <s v="CAMP3"/>
    <n v="447.2"/>
    <n v="5"/>
    <n v="1"/>
    <x v="922"/>
    <n v="6"/>
    <n v="1"/>
    <n v="5"/>
    <x v="4"/>
  </r>
  <r>
    <n v="3739"/>
    <d v="2025-05-16T00:00:00"/>
    <n v="39"/>
    <s v="Male"/>
    <s v="South"/>
    <x v="0"/>
    <m/>
    <n v="289.2"/>
    <n v="8"/>
    <n v="1"/>
    <x v="923"/>
    <n v="1"/>
    <n v="14"/>
    <n v="5"/>
    <x v="4"/>
  </r>
  <r>
    <n v="420"/>
    <d v="2025-05-16T00:00:00"/>
    <n v="21"/>
    <s v="Male"/>
    <s v="West"/>
    <x v="0"/>
    <m/>
    <n v="372.5"/>
    <n v="4"/>
    <n v="1"/>
    <x v="924"/>
    <n v="4"/>
    <n v="6"/>
    <n v="4"/>
    <x v="4"/>
  </r>
  <r>
    <n v="2842"/>
    <d v="2025-05-16T00:00:00"/>
    <n v="33"/>
    <s v="Male"/>
    <s v="North"/>
    <x v="0"/>
    <m/>
    <n v="542.20000000000005"/>
    <n v="6"/>
    <n v="1"/>
    <x v="925"/>
    <n v="4"/>
    <n v="2"/>
    <n v="5"/>
    <x v="4"/>
  </r>
  <r>
    <n v="1995"/>
    <d v="2025-05-16T00:00:00"/>
    <n v="45"/>
    <s v="Male"/>
    <s v="North"/>
    <x v="1"/>
    <s v="CAMP5"/>
    <n v="308.2"/>
    <n v="4"/>
    <n v="1"/>
    <x v="926"/>
    <n v="3"/>
    <n v="14"/>
    <n v="4"/>
    <x v="4"/>
  </r>
  <r>
    <n v="2341"/>
    <d v="2025-05-16T00:00:00"/>
    <n v="42"/>
    <s v="Female"/>
    <s v="South"/>
    <x v="3"/>
    <m/>
    <n v="234.4"/>
    <n v="6"/>
    <n v="1"/>
    <x v="927"/>
    <n v="3"/>
    <n v="13"/>
    <n v="4"/>
    <x v="4"/>
  </r>
  <r>
    <n v="4639"/>
    <d v="2025-05-16T00:00:00"/>
    <n v="52"/>
    <s v="Female"/>
    <s v="West"/>
    <x v="3"/>
    <m/>
    <n v="183.4"/>
    <n v="7"/>
    <n v="1"/>
    <x v="928"/>
    <n v="2"/>
    <n v="15"/>
    <n v="4"/>
    <x v="4"/>
  </r>
  <r>
    <n v="389"/>
    <d v="2025-05-16T00:00:00"/>
    <n v="28"/>
    <s v="Female"/>
    <s v="East"/>
    <x v="3"/>
    <m/>
    <n v="252.2"/>
    <n v="7"/>
    <n v="1"/>
    <x v="457"/>
    <n v="2"/>
    <n v="10"/>
    <n v="5"/>
    <x v="4"/>
  </r>
  <r>
    <n v="3631"/>
    <d v="2025-05-16T00:00:00"/>
    <n v="30"/>
    <s v="Female"/>
    <s v="East"/>
    <x v="0"/>
    <m/>
    <n v="450.9"/>
    <n v="4"/>
    <n v="1"/>
    <x v="587"/>
    <n v="3"/>
    <n v="2"/>
    <n v="4"/>
    <x v="4"/>
  </r>
  <r>
    <n v="108"/>
    <d v="2025-05-16T00:00:00"/>
    <n v="27"/>
    <s v="Male"/>
    <s v="East"/>
    <x v="0"/>
    <m/>
    <n v="999.7"/>
    <n v="7"/>
    <n v="0"/>
    <x v="11"/>
    <n v="0"/>
    <n v="0"/>
    <m/>
    <x v="4"/>
  </r>
  <r>
    <n v="3738"/>
    <d v="2025-05-16T00:00:00"/>
    <n v="28"/>
    <s v="Male"/>
    <s v="East"/>
    <x v="0"/>
    <m/>
    <n v="559.20000000000005"/>
    <n v="5"/>
    <n v="0"/>
    <x v="11"/>
    <n v="0"/>
    <n v="0"/>
    <m/>
    <x v="4"/>
  </r>
  <r>
    <n v="3326"/>
    <d v="2025-05-16T00:00:00"/>
    <n v="36"/>
    <s v="Female"/>
    <s v="West"/>
    <x v="0"/>
    <m/>
    <n v="497.2"/>
    <n v="5"/>
    <n v="0"/>
    <x v="11"/>
    <n v="0"/>
    <n v="0"/>
    <m/>
    <x v="4"/>
  </r>
  <r>
    <n v="559"/>
    <d v="2025-05-16T00:00:00"/>
    <n v="20"/>
    <s v="Female"/>
    <s v="East"/>
    <x v="1"/>
    <s v="CAMP6"/>
    <n v="492.5"/>
    <n v="6"/>
    <n v="0"/>
    <x v="11"/>
    <n v="0"/>
    <n v="0"/>
    <m/>
    <x v="4"/>
  </r>
  <r>
    <n v="3993"/>
    <d v="2025-05-16T00:00:00"/>
    <n v="48"/>
    <s v="Male"/>
    <s v="South"/>
    <x v="1"/>
    <s v="CAMP4"/>
    <n v="475.2"/>
    <n v="5"/>
    <n v="0"/>
    <x v="11"/>
    <n v="0"/>
    <n v="0"/>
    <m/>
    <x v="4"/>
  </r>
  <r>
    <n v="3033"/>
    <d v="2025-05-16T00:00:00"/>
    <n v="46"/>
    <s v="Male"/>
    <s v="West"/>
    <x v="0"/>
    <m/>
    <n v="474"/>
    <n v="8"/>
    <n v="0"/>
    <x v="11"/>
    <n v="0"/>
    <n v="0"/>
    <m/>
    <x v="4"/>
  </r>
  <r>
    <n v="2539"/>
    <d v="2025-05-16T00:00:00"/>
    <n v="41"/>
    <s v="Male"/>
    <s v="South"/>
    <x v="0"/>
    <m/>
    <n v="426.2"/>
    <n v="5"/>
    <n v="0"/>
    <x v="11"/>
    <n v="0"/>
    <n v="0"/>
    <m/>
    <x v="4"/>
  </r>
  <r>
    <n v="3891"/>
    <d v="2025-05-16T00:00:00"/>
    <n v="56"/>
    <s v="Female"/>
    <s v="North"/>
    <x v="0"/>
    <m/>
    <n v="407.7"/>
    <n v="8"/>
    <n v="0"/>
    <x v="11"/>
    <n v="0"/>
    <n v="0"/>
    <m/>
    <x v="4"/>
  </r>
  <r>
    <n v="2211"/>
    <d v="2025-05-16T00:00:00"/>
    <n v="29"/>
    <s v="Male"/>
    <s v="South"/>
    <x v="0"/>
    <m/>
    <n v="299"/>
    <n v="6"/>
    <n v="0"/>
    <x v="11"/>
    <n v="0"/>
    <n v="0"/>
    <m/>
    <x v="4"/>
  </r>
  <r>
    <n v="400"/>
    <d v="2025-05-16T00:00:00"/>
    <n v="26"/>
    <s v="Female"/>
    <s v="South"/>
    <x v="0"/>
    <m/>
    <n v="277.10000000000002"/>
    <n v="6"/>
    <n v="0"/>
    <x v="11"/>
    <n v="0"/>
    <n v="0"/>
    <m/>
    <x v="4"/>
  </r>
  <r>
    <n v="448"/>
    <d v="2025-05-16T00:00:00"/>
    <n v="28"/>
    <s v="Male"/>
    <s v="East"/>
    <x v="1"/>
    <s v="CAMP3"/>
    <n v="259.5"/>
    <n v="4"/>
    <n v="0"/>
    <x v="11"/>
    <n v="0"/>
    <n v="0"/>
    <m/>
    <x v="4"/>
  </r>
  <r>
    <n v="4605"/>
    <d v="2025-05-16T00:00:00"/>
    <n v="51"/>
    <s v="Male"/>
    <s v="South"/>
    <x v="0"/>
    <m/>
    <n v="228.6"/>
    <n v="5"/>
    <n v="0"/>
    <x v="11"/>
    <n v="0"/>
    <n v="0"/>
    <m/>
    <x v="4"/>
  </r>
  <r>
    <n v="4303"/>
    <d v="2025-05-16T00:00:00"/>
    <n v="43"/>
    <s v="Male"/>
    <s v="South"/>
    <x v="0"/>
    <m/>
    <n v="220.3"/>
    <n v="4"/>
    <n v="0"/>
    <x v="11"/>
    <n v="0"/>
    <n v="0"/>
    <m/>
    <x v="4"/>
  </r>
  <r>
    <n v="399"/>
    <d v="2025-05-16T00:00:00"/>
    <n v="30"/>
    <s v="Male"/>
    <s v="South"/>
    <x v="1"/>
    <s v="CAMP3"/>
    <n v="219"/>
    <n v="5"/>
    <n v="0"/>
    <x v="11"/>
    <n v="0"/>
    <n v="0"/>
    <m/>
    <x v="4"/>
  </r>
  <r>
    <n v="1156"/>
    <d v="2025-05-16T00:00:00"/>
    <n v="19"/>
    <s v="Male"/>
    <s v="West"/>
    <x v="0"/>
    <m/>
    <n v="156.5"/>
    <n v="5"/>
    <n v="0"/>
    <x v="11"/>
    <n v="0"/>
    <n v="0"/>
    <m/>
    <x v="4"/>
  </r>
  <r>
    <n v="4191"/>
    <d v="2025-05-16T00:00:00"/>
    <n v="53"/>
    <s v="Female"/>
    <s v="West"/>
    <x v="1"/>
    <s v="CAMP1"/>
    <n v="121.4"/>
    <n v="7"/>
    <n v="0"/>
    <x v="11"/>
    <n v="0"/>
    <n v="0"/>
    <m/>
    <x v="4"/>
  </r>
  <r>
    <n v="4714"/>
    <d v="2025-05-16T00:00:00"/>
    <n v="38"/>
    <s v="Female"/>
    <s v="North"/>
    <x v="3"/>
    <m/>
    <n v="108.7"/>
    <n v="4"/>
    <n v="0"/>
    <x v="11"/>
    <n v="0"/>
    <n v="0"/>
    <m/>
    <x v="4"/>
  </r>
  <r>
    <n v="1646"/>
    <d v="2025-05-16T00:00:00"/>
    <n v="18"/>
    <s v="Female"/>
    <s v="South"/>
    <x v="1"/>
    <s v="CAMP6"/>
    <n v="89.9"/>
    <n v="9"/>
    <n v="0"/>
    <x v="11"/>
    <n v="0"/>
    <n v="0"/>
    <m/>
    <x v="4"/>
  </r>
  <r>
    <n v="1023"/>
    <d v="2025-06-16T00:00:00"/>
    <n v="22"/>
    <s v="Male"/>
    <s v="South"/>
    <x v="0"/>
    <m/>
    <n v="153.4"/>
    <n v="5"/>
    <n v="1"/>
    <x v="929"/>
    <n v="3"/>
    <n v="13"/>
    <n v="4"/>
    <x v="5"/>
  </r>
  <r>
    <n v="3957"/>
    <d v="2025-06-16T00:00:00"/>
    <n v="37"/>
    <s v="Male"/>
    <s v="West"/>
    <x v="0"/>
    <m/>
    <n v="294.8"/>
    <n v="8"/>
    <n v="1"/>
    <x v="308"/>
    <n v="2"/>
    <n v="7"/>
    <n v="4"/>
    <x v="5"/>
  </r>
  <r>
    <n v="1104"/>
    <d v="2025-06-16T00:00:00"/>
    <n v="30"/>
    <s v="Female"/>
    <s v="North"/>
    <x v="0"/>
    <m/>
    <n v="136.6"/>
    <n v="9"/>
    <n v="1"/>
    <x v="930"/>
    <n v="4"/>
    <n v="12"/>
    <n v="4"/>
    <x v="5"/>
  </r>
  <r>
    <n v="578"/>
    <d v="2025-06-16T00:00:00"/>
    <n v="21"/>
    <s v="Male"/>
    <s v="West"/>
    <x v="0"/>
    <m/>
    <n v="562.79999999999995"/>
    <n v="3"/>
    <n v="1"/>
    <x v="931"/>
    <n v="1"/>
    <n v="9"/>
    <n v="4"/>
    <x v="5"/>
  </r>
  <r>
    <n v="4905"/>
    <d v="2025-06-16T00:00:00"/>
    <n v="47"/>
    <s v="Male"/>
    <s v="South"/>
    <x v="3"/>
    <m/>
    <n v="1118.8"/>
    <n v="4"/>
    <n v="1"/>
    <x v="880"/>
    <n v="1"/>
    <n v="6"/>
    <n v="5"/>
    <x v="5"/>
  </r>
  <r>
    <n v="1016"/>
    <d v="2025-06-16T00:00:00"/>
    <n v="30"/>
    <s v="Female"/>
    <s v="South"/>
    <x v="0"/>
    <m/>
    <n v="553.5"/>
    <n v="3"/>
    <n v="0"/>
    <x v="11"/>
    <n v="0"/>
    <n v="0"/>
    <m/>
    <x v="5"/>
  </r>
  <r>
    <n v="1640"/>
    <d v="2025-06-16T00:00:00"/>
    <n v="30"/>
    <s v="Male"/>
    <s v="North"/>
    <x v="2"/>
    <m/>
    <n v="519.5"/>
    <n v="11"/>
    <n v="0"/>
    <x v="11"/>
    <n v="0"/>
    <n v="0"/>
    <m/>
    <x v="5"/>
  </r>
  <r>
    <n v="800"/>
    <d v="2025-06-16T00:00:00"/>
    <n v="27"/>
    <s v="Male"/>
    <s v="East"/>
    <x v="0"/>
    <m/>
    <n v="427.1"/>
    <n v="7"/>
    <n v="0"/>
    <x v="11"/>
    <n v="0"/>
    <n v="0"/>
    <m/>
    <x v="5"/>
  </r>
  <r>
    <n v="1635"/>
    <d v="2025-06-16T00:00:00"/>
    <n v="22"/>
    <s v="Female"/>
    <s v="South"/>
    <x v="0"/>
    <m/>
    <n v="407.3"/>
    <n v="6"/>
    <n v="0"/>
    <x v="11"/>
    <n v="0"/>
    <n v="0"/>
    <m/>
    <x v="5"/>
  </r>
  <r>
    <n v="1687"/>
    <d v="2025-06-16T00:00:00"/>
    <n v="21"/>
    <s v="Male"/>
    <s v="East"/>
    <x v="0"/>
    <m/>
    <n v="343.4"/>
    <n v="8"/>
    <n v="0"/>
    <x v="11"/>
    <n v="0"/>
    <n v="0"/>
    <m/>
    <x v="5"/>
  </r>
  <r>
    <n v="2821"/>
    <d v="2025-06-16T00:00:00"/>
    <n v="37"/>
    <s v="Female"/>
    <s v="East"/>
    <x v="1"/>
    <s v="CAMP5"/>
    <n v="332.8"/>
    <n v="5"/>
    <n v="0"/>
    <x v="11"/>
    <n v="0"/>
    <n v="0"/>
    <m/>
    <x v="5"/>
  </r>
  <r>
    <n v="2516"/>
    <d v="2025-06-16T00:00:00"/>
    <n v="43"/>
    <s v="Female"/>
    <s v="South"/>
    <x v="1"/>
    <s v="CAMP4"/>
    <n v="288.10000000000002"/>
    <n v="7"/>
    <n v="0"/>
    <x v="11"/>
    <n v="0"/>
    <n v="0"/>
    <m/>
    <x v="5"/>
  </r>
  <r>
    <n v="4434"/>
    <d v="2025-06-16T00:00:00"/>
    <n v="48"/>
    <s v="Female"/>
    <s v="North"/>
    <x v="0"/>
    <m/>
    <n v="280.89999999999998"/>
    <n v="7"/>
    <n v="0"/>
    <x v="11"/>
    <n v="0"/>
    <n v="0"/>
    <m/>
    <x v="5"/>
  </r>
  <r>
    <n v="3609"/>
    <d v="2025-06-16T00:00:00"/>
    <n v="38"/>
    <s v="Male"/>
    <s v="South"/>
    <x v="1"/>
    <s v="CAMP7"/>
    <n v="240.3"/>
    <n v="6"/>
    <n v="0"/>
    <x v="11"/>
    <n v="0"/>
    <n v="0"/>
    <m/>
    <x v="5"/>
  </r>
  <r>
    <n v="808"/>
    <d v="2025-06-16T00:00:00"/>
    <n v="25"/>
    <s v="Male"/>
    <s v="West"/>
    <x v="0"/>
    <m/>
    <n v="214.2"/>
    <n v="5"/>
    <n v="0"/>
    <x v="11"/>
    <n v="0"/>
    <n v="0"/>
    <m/>
    <x v="5"/>
  </r>
  <r>
    <n v="3167"/>
    <d v="2025-06-16T00:00:00"/>
    <n v="18"/>
    <s v="Male"/>
    <s v="East"/>
    <x v="0"/>
    <m/>
    <n v="205.7"/>
    <n v="3"/>
    <n v="0"/>
    <x v="11"/>
    <n v="0"/>
    <n v="0"/>
    <m/>
    <x v="5"/>
  </r>
  <r>
    <n v="183"/>
    <d v="2025-06-16T00:00:00"/>
    <n v="27"/>
    <s v="Female"/>
    <s v="North"/>
    <x v="3"/>
    <m/>
    <n v="190.6"/>
    <n v="5"/>
    <n v="0"/>
    <x v="11"/>
    <n v="0"/>
    <n v="0"/>
    <m/>
    <x v="5"/>
  </r>
  <r>
    <n v="1520"/>
    <d v="2025-06-16T00:00:00"/>
    <n v="28"/>
    <s v="Female"/>
    <s v="North"/>
    <x v="3"/>
    <m/>
    <n v="84"/>
    <n v="4"/>
    <n v="0"/>
    <x v="11"/>
    <n v="0"/>
    <n v="0"/>
    <m/>
    <x v="5"/>
  </r>
  <r>
    <n v="1082"/>
    <d v="2025-01-17T00:00:00"/>
    <n v="18"/>
    <s v="Male"/>
    <s v="East"/>
    <x v="0"/>
    <m/>
    <n v="485.4"/>
    <n v="6"/>
    <n v="1"/>
    <x v="932"/>
    <n v="2"/>
    <n v="13"/>
    <n v="3"/>
    <x v="0"/>
  </r>
  <r>
    <n v="3062"/>
    <d v="2025-01-17T00:00:00"/>
    <n v="33"/>
    <s v="Male"/>
    <s v="East"/>
    <x v="1"/>
    <s v="CAMP7"/>
    <n v="845.5"/>
    <n v="8"/>
    <n v="1"/>
    <x v="933"/>
    <n v="2"/>
    <n v="9"/>
    <n v="4"/>
    <x v="0"/>
  </r>
  <r>
    <n v="165"/>
    <d v="2025-01-17T00:00:00"/>
    <n v="24"/>
    <s v="Male"/>
    <s v="West"/>
    <x v="1"/>
    <s v="CAMP5"/>
    <n v="154.6"/>
    <n v="7"/>
    <n v="1"/>
    <x v="934"/>
    <n v="4"/>
    <n v="14"/>
    <n v="4"/>
    <x v="0"/>
  </r>
  <r>
    <n v="2627"/>
    <d v="2025-01-17T00:00:00"/>
    <n v="37"/>
    <s v="Female"/>
    <s v="East"/>
    <x v="1"/>
    <s v="CAMP6"/>
    <n v="663.8"/>
    <n v="9"/>
    <n v="1"/>
    <x v="935"/>
    <n v="2"/>
    <n v="11"/>
    <n v="4"/>
    <x v="0"/>
  </r>
  <r>
    <n v="1645"/>
    <d v="2025-01-17T00:00:00"/>
    <n v="22"/>
    <s v="Male"/>
    <s v="West"/>
    <x v="3"/>
    <m/>
    <n v="517.70000000000005"/>
    <n v="3"/>
    <n v="1"/>
    <x v="936"/>
    <n v="3"/>
    <n v="2"/>
    <n v="4"/>
    <x v="0"/>
  </r>
  <r>
    <n v="1117"/>
    <d v="2025-01-17T00:00:00"/>
    <n v="24"/>
    <s v="Male"/>
    <s v="South"/>
    <x v="0"/>
    <m/>
    <n v="439.8"/>
    <n v="6"/>
    <n v="1"/>
    <x v="937"/>
    <n v="4"/>
    <n v="3"/>
    <n v="4"/>
    <x v="0"/>
  </r>
  <r>
    <n v="3114"/>
    <d v="2025-01-17T00:00:00"/>
    <n v="21"/>
    <s v="Male"/>
    <s v="East"/>
    <x v="0"/>
    <m/>
    <n v="193.3"/>
    <n v="9"/>
    <n v="1"/>
    <x v="938"/>
    <n v="3"/>
    <n v="8"/>
    <n v="4"/>
    <x v="0"/>
  </r>
  <r>
    <n v="191"/>
    <d v="2025-01-17T00:00:00"/>
    <n v="30"/>
    <s v="Female"/>
    <s v="East"/>
    <x v="0"/>
    <m/>
    <n v="523.20000000000005"/>
    <n v="7"/>
    <n v="1"/>
    <x v="939"/>
    <n v="1"/>
    <n v="3"/>
    <n v="5"/>
    <x v="0"/>
  </r>
  <r>
    <n v="1926"/>
    <d v="2025-01-17T00:00:00"/>
    <n v="29"/>
    <s v="Male"/>
    <s v="East"/>
    <x v="1"/>
    <s v="CAMP1"/>
    <n v="924.5"/>
    <n v="6"/>
    <n v="0"/>
    <x v="11"/>
    <n v="0"/>
    <n v="0"/>
    <m/>
    <x v="0"/>
  </r>
  <r>
    <n v="423"/>
    <d v="2025-01-17T00:00:00"/>
    <n v="22"/>
    <s v="Female"/>
    <s v="North"/>
    <x v="0"/>
    <m/>
    <n v="462.5"/>
    <n v="5"/>
    <n v="0"/>
    <x v="11"/>
    <n v="0"/>
    <n v="0"/>
    <m/>
    <x v="0"/>
  </r>
  <r>
    <n v="3635"/>
    <d v="2025-01-17T00:00:00"/>
    <n v="18"/>
    <s v="Female"/>
    <s v="East"/>
    <x v="1"/>
    <s v="CAMP3"/>
    <n v="384.7"/>
    <n v="9"/>
    <n v="0"/>
    <x v="11"/>
    <n v="0"/>
    <n v="0"/>
    <m/>
    <x v="0"/>
  </r>
  <r>
    <n v="996"/>
    <d v="2025-01-17T00:00:00"/>
    <n v="31"/>
    <s v="Male"/>
    <s v="East"/>
    <x v="0"/>
    <m/>
    <n v="347.1"/>
    <n v="4"/>
    <n v="0"/>
    <x v="11"/>
    <n v="0"/>
    <n v="0"/>
    <m/>
    <x v="0"/>
  </r>
  <r>
    <n v="4899"/>
    <d v="2025-01-17T00:00:00"/>
    <n v="43"/>
    <s v="Female"/>
    <s v="South"/>
    <x v="3"/>
    <m/>
    <n v="338.2"/>
    <n v="6"/>
    <n v="0"/>
    <x v="11"/>
    <n v="0"/>
    <n v="0"/>
    <m/>
    <x v="0"/>
  </r>
  <r>
    <n v="284"/>
    <d v="2025-01-17T00:00:00"/>
    <n v="28"/>
    <s v="Female"/>
    <s v="East"/>
    <x v="3"/>
    <m/>
    <n v="334"/>
    <n v="6"/>
    <n v="0"/>
    <x v="11"/>
    <n v="0"/>
    <n v="0"/>
    <m/>
    <x v="0"/>
  </r>
  <r>
    <n v="373"/>
    <d v="2025-01-17T00:00:00"/>
    <n v="23"/>
    <s v="Male"/>
    <s v="East"/>
    <x v="0"/>
    <m/>
    <n v="274.39999999999998"/>
    <n v="6"/>
    <n v="0"/>
    <x v="11"/>
    <n v="0"/>
    <n v="0"/>
    <m/>
    <x v="0"/>
  </r>
  <r>
    <n v="4114"/>
    <d v="2025-01-17T00:00:00"/>
    <n v="55"/>
    <s v="Male"/>
    <s v="East"/>
    <x v="0"/>
    <m/>
    <n v="260.10000000000002"/>
    <n v="11"/>
    <n v="0"/>
    <x v="11"/>
    <n v="0"/>
    <n v="0"/>
    <m/>
    <x v="0"/>
  </r>
  <r>
    <n v="223"/>
    <d v="2025-01-17T00:00:00"/>
    <n v="23"/>
    <s v="Male"/>
    <s v="East"/>
    <x v="2"/>
    <m/>
    <n v="254.4"/>
    <n v="7"/>
    <n v="0"/>
    <x v="11"/>
    <n v="0"/>
    <n v="0"/>
    <m/>
    <x v="0"/>
  </r>
  <r>
    <n v="4143"/>
    <d v="2025-01-17T00:00:00"/>
    <n v="35"/>
    <s v="Female"/>
    <s v="West"/>
    <x v="3"/>
    <m/>
    <n v="253.9"/>
    <n v="3"/>
    <n v="0"/>
    <x v="11"/>
    <n v="0"/>
    <n v="0"/>
    <m/>
    <x v="0"/>
  </r>
  <r>
    <n v="2251"/>
    <d v="2025-01-17T00:00:00"/>
    <n v="30"/>
    <s v="Female"/>
    <s v="North"/>
    <x v="2"/>
    <m/>
    <n v="239.8"/>
    <n v="5"/>
    <n v="0"/>
    <x v="11"/>
    <n v="0"/>
    <n v="0"/>
    <m/>
    <x v="0"/>
  </r>
  <r>
    <n v="410"/>
    <d v="2025-01-17T00:00:00"/>
    <n v="25"/>
    <s v="Male"/>
    <s v="North"/>
    <x v="2"/>
    <m/>
    <n v="220.2"/>
    <n v="4"/>
    <n v="0"/>
    <x v="11"/>
    <n v="0"/>
    <n v="0"/>
    <m/>
    <x v="0"/>
  </r>
  <r>
    <n v="3728"/>
    <d v="2025-01-17T00:00:00"/>
    <n v="35"/>
    <s v="Female"/>
    <s v="West"/>
    <x v="1"/>
    <s v="CAMP1"/>
    <n v="216.6"/>
    <n v="5"/>
    <n v="0"/>
    <x v="11"/>
    <n v="0"/>
    <n v="0"/>
    <m/>
    <x v="0"/>
  </r>
  <r>
    <n v="3101"/>
    <d v="2025-01-17T00:00:00"/>
    <n v="39"/>
    <s v="Female"/>
    <s v="West"/>
    <x v="1"/>
    <s v="CAMP3"/>
    <n v="157.1"/>
    <n v="7"/>
    <n v="0"/>
    <x v="11"/>
    <n v="0"/>
    <n v="0"/>
    <m/>
    <x v="0"/>
  </r>
  <r>
    <n v="4513"/>
    <d v="2025-01-17T00:00:00"/>
    <n v="39"/>
    <s v="Female"/>
    <s v="North"/>
    <x v="0"/>
    <m/>
    <n v="126.4"/>
    <n v="3"/>
    <n v="0"/>
    <x v="11"/>
    <n v="0"/>
    <n v="0"/>
    <m/>
    <x v="0"/>
  </r>
  <r>
    <n v="1442"/>
    <d v="2025-01-17T00:00:00"/>
    <n v="33"/>
    <s v="Female"/>
    <s v="East"/>
    <x v="3"/>
    <m/>
    <n v="68.8"/>
    <n v="3"/>
    <n v="0"/>
    <x v="11"/>
    <n v="0"/>
    <n v="0"/>
    <m/>
    <x v="0"/>
  </r>
  <r>
    <n v="1119"/>
    <d v="2025-02-17T00:00:00"/>
    <n v="23"/>
    <s v="Female"/>
    <s v="East"/>
    <x v="1"/>
    <s v="CAMP7"/>
    <n v="476.4"/>
    <n v="7"/>
    <n v="1"/>
    <x v="940"/>
    <n v="4"/>
    <n v="3"/>
    <n v="4"/>
    <x v="1"/>
  </r>
  <r>
    <n v="2708"/>
    <d v="2025-02-17T00:00:00"/>
    <n v="37"/>
    <s v="Male"/>
    <s v="North"/>
    <x v="2"/>
    <m/>
    <n v="924.7"/>
    <n v="5"/>
    <n v="1"/>
    <x v="941"/>
    <n v="3"/>
    <n v="13"/>
    <n v="5"/>
    <x v="1"/>
  </r>
  <r>
    <n v="3626"/>
    <d v="2025-02-17T00:00:00"/>
    <n v="25"/>
    <s v="Male"/>
    <s v="North"/>
    <x v="2"/>
    <m/>
    <n v="234.1"/>
    <n v="2"/>
    <n v="1"/>
    <x v="942"/>
    <n v="1"/>
    <n v="14"/>
    <n v="4"/>
    <x v="1"/>
  </r>
  <r>
    <n v="1813"/>
    <d v="2025-02-17T00:00:00"/>
    <n v="33"/>
    <s v="Female"/>
    <s v="South"/>
    <x v="2"/>
    <m/>
    <n v="372.4"/>
    <n v="5"/>
    <n v="1"/>
    <x v="943"/>
    <n v="2"/>
    <n v="3"/>
    <n v="5"/>
    <x v="1"/>
  </r>
  <r>
    <n v="3050"/>
    <d v="2025-02-17T00:00:00"/>
    <n v="43"/>
    <s v="Female"/>
    <s v="East"/>
    <x v="0"/>
    <m/>
    <n v="878.1"/>
    <n v="12"/>
    <n v="1"/>
    <x v="944"/>
    <n v="1"/>
    <n v="5"/>
    <n v="4"/>
    <x v="1"/>
  </r>
  <r>
    <n v="2941"/>
    <d v="2025-02-17T00:00:00"/>
    <n v="29"/>
    <s v="Male"/>
    <s v="North"/>
    <x v="0"/>
    <m/>
    <n v="715.5"/>
    <n v="8"/>
    <n v="1"/>
    <x v="945"/>
    <n v="7"/>
    <n v="6"/>
    <n v="3"/>
    <x v="1"/>
  </r>
  <r>
    <n v="4491"/>
    <d v="2025-02-17T00:00:00"/>
    <n v="44"/>
    <s v="Female"/>
    <s v="North"/>
    <x v="0"/>
    <m/>
    <n v="395.5"/>
    <n v="10"/>
    <n v="1"/>
    <x v="946"/>
    <n v="1"/>
    <n v="9"/>
    <n v="3"/>
    <x v="1"/>
  </r>
  <r>
    <n v="2001"/>
    <d v="2025-02-17T00:00:00"/>
    <n v="35"/>
    <s v="Female"/>
    <s v="East"/>
    <x v="0"/>
    <m/>
    <n v="857.2"/>
    <n v="8"/>
    <n v="0"/>
    <x v="11"/>
    <n v="0"/>
    <n v="0"/>
    <m/>
    <x v="1"/>
  </r>
  <r>
    <n v="3364"/>
    <d v="2025-02-17T00:00:00"/>
    <n v="18"/>
    <s v="Male"/>
    <s v="East"/>
    <x v="0"/>
    <m/>
    <n v="700.6"/>
    <n v="5"/>
    <n v="0"/>
    <x v="11"/>
    <n v="0"/>
    <n v="0"/>
    <m/>
    <x v="1"/>
  </r>
  <r>
    <n v="976"/>
    <d v="2025-02-17T00:00:00"/>
    <n v="23"/>
    <s v="Female"/>
    <s v="West"/>
    <x v="1"/>
    <s v="CAMP7"/>
    <n v="663.3"/>
    <n v="5"/>
    <n v="0"/>
    <x v="11"/>
    <n v="0"/>
    <n v="0"/>
    <m/>
    <x v="1"/>
  </r>
  <r>
    <n v="3373"/>
    <d v="2025-02-17T00:00:00"/>
    <n v="26"/>
    <s v="Male"/>
    <s v="East"/>
    <x v="1"/>
    <s v="CAMP7"/>
    <n v="516.79999999999995"/>
    <n v="3"/>
    <n v="0"/>
    <x v="11"/>
    <n v="0"/>
    <n v="0"/>
    <m/>
    <x v="1"/>
  </r>
  <r>
    <n v="3924"/>
    <d v="2025-02-17T00:00:00"/>
    <n v="40"/>
    <s v="Male"/>
    <s v="North"/>
    <x v="0"/>
    <m/>
    <n v="199.6"/>
    <n v="8"/>
    <n v="0"/>
    <x v="11"/>
    <n v="0"/>
    <n v="0"/>
    <m/>
    <x v="1"/>
  </r>
  <r>
    <n v="4499"/>
    <d v="2025-02-17T00:00:00"/>
    <n v="42"/>
    <s v="Male"/>
    <s v="West"/>
    <x v="0"/>
    <m/>
    <n v="189.9"/>
    <n v="4"/>
    <n v="0"/>
    <x v="11"/>
    <n v="0"/>
    <n v="0"/>
    <m/>
    <x v="1"/>
  </r>
  <r>
    <n v="3700"/>
    <d v="2025-02-17T00:00:00"/>
    <n v="36"/>
    <s v="Female"/>
    <s v="South"/>
    <x v="0"/>
    <m/>
    <n v="165.2"/>
    <n v="4"/>
    <n v="0"/>
    <x v="11"/>
    <n v="0"/>
    <n v="0"/>
    <m/>
    <x v="1"/>
  </r>
  <r>
    <n v="225"/>
    <d v="2025-02-17T00:00:00"/>
    <n v="24"/>
    <s v="Female"/>
    <s v="West"/>
    <x v="1"/>
    <s v="CAMP6"/>
    <n v="136.19999999999999"/>
    <n v="1"/>
    <n v="0"/>
    <x v="11"/>
    <n v="0"/>
    <n v="0"/>
    <m/>
    <x v="1"/>
  </r>
  <r>
    <n v="1653"/>
    <d v="2025-02-17T00:00:00"/>
    <n v="31"/>
    <s v="Other"/>
    <s v="East"/>
    <x v="1"/>
    <s v="CAMP2"/>
    <n v="101.2"/>
    <n v="4"/>
    <n v="0"/>
    <x v="11"/>
    <n v="0"/>
    <n v="0"/>
    <m/>
    <x v="1"/>
  </r>
  <r>
    <n v="1064"/>
    <d v="2025-03-17T00:00:00"/>
    <n v="19"/>
    <s v="Male"/>
    <s v="East"/>
    <x v="0"/>
    <m/>
    <n v="450.9"/>
    <n v="5"/>
    <n v="1"/>
    <x v="828"/>
    <n v="2"/>
    <n v="8"/>
    <n v="5"/>
    <x v="2"/>
  </r>
  <r>
    <n v="3851"/>
    <d v="2025-03-17T00:00:00"/>
    <n v="41"/>
    <s v="Female"/>
    <s v="North"/>
    <x v="0"/>
    <m/>
    <n v="413.1"/>
    <n v="10"/>
    <n v="1"/>
    <x v="947"/>
    <n v="4"/>
    <n v="7"/>
    <n v="4"/>
    <x v="2"/>
  </r>
  <r>
    <n v="3263"/>
    <d v="2025-03-17T00:00:00"/>
    <n v="21"/>
    <s v="Female"/>
    <s v="North"/>
    <x v="0"/>
    <m/>
    <n v="723"/>
    <n v="7"/>
    <n v="1"/>
    <x v="948"/>
    <n v="4"/>
    <n v="6"/>
    <n v="4"/>
    <x v="2"/>
  </r>
  <r>
    <n v="1083"/>
    <d v="2025-03-17T00:00:00"/>
    <n v="36"/>
    <s v="Other"/>
    <s v="East"/>
    <x v="0"/>
    <m/>
    <n v="196.4"/>
    <n v="6"/>
    <n v="1"/>
    <x v="949"/>
    <n v="3"/>
    <n v="6"/>
    <n v="5"/>
    <x v="2"/>
  </r>
  <r>
    <n v="836"/>
    <d v="2025-03-17T00:00:00"/>
    <n v="31"/>
    <s v="Male"/>
    <s v="East"/>
    <x v="1"/>
    <s v="CAMP7"/>
    <n v="102.9"/>
    <n v="10"/>
    <n v="1"/>
    <x v="950"/>
    <n v="4"/>
    <n v="1"/>
    <n v="5"/>
    <x v="2"/>
  </r>
  <r>
    <n v="1065"/>
    <d v="2025-03-17T00:00:00"/>
    <n v="30"/>
    <s v="Female"/>
    <s v="East"/>
    <x v="1"/>
    <s v="CAMP5"/>
    <n v="470.2"/>
    <n v="6"/>
    <n v="1"/>
    <x v="951"/>
    <n v="1"/>
    <n v="9"/>
    <n v="4"/>
    <x v="2"/>
  </r>
  <r>
    <n v="1958"/>
    <d v="2025-03-17T00:00:00"/>
    <n v="44"/>
    <s v="Female"/>
    <s v="East"/>
    <x v="1"/>
    <s v="CAMP5"/>
    <n v="829"/>
    <n v="6"/>
    <n v="1"/>
    <x v="952"/>
    <n v="1"/>
    <n v="6"/>
    <n v="5"/>
    <x v="2"/>
  </r>
  <r>
    <n v="3876"/>
    <d v="2025-03-17T00:00:00"/>
    <n v="41"/>
    <s v="Female"/>
    <s v="North"/>
    <x v="0"/>
    <m/>
    <n v="75.099999999999994"/>
    <n v="4"/>
    <n v="1"/>
    <x v="953"/>
    <n v="2"/>
    <n v="1"/>
    <n v="5"/>
    <x v="2"/>
  </r>
  <r>
    <n v="512"/>
    <d v="2025-03-17T00:00:00"/>
    <n v="26"/>
    <s v="Female"/>
    <s v="West"/>
    <x v="2"/>
    <m/>
    <n v="258.7"/>
    <n v="6"/>
    <n v="1"/>
    <x v="954"/>
    <n v="3"/>
    <n v="12"/>
    <n v="3"/>
    <x v="2"/>
  </r>
  <r>
    <n v="4500"/>
    <d v="2025-03-17T00:00:00"/>
    <n v="64"/>
    <s v="Female"/>
    <s v="North"/>
    <x v="1"/>
    <s v="CAMP2"/>
    <n v="1010.8"/>
    <n v="6"/>
    <n v="1"/>
    <x v="955"/>
    <n v="4"/>
    <n v="8"/>
    <n v="5"/>
    <x v="2"/>
  </r>
  <r>
    <n v="2362"/>
    <d v="2025-03-17T00:00:00"/>
    <n v="44"/>
    <s v="Female"/>
    <s v="North"/>
    <x v="0"/>
    <m/>
    <n v="410.7"/>
    <n v="6"/>
    <n v="1"/>
    <x v="956"/>
    <n v="2"/>
    <n v="3"/>
    <n v="5"/>
    <x v="2"/>
  </r>
  <r>
    <n v="1358"/>
    <d v="2025-03-17T00:00:00"/>
    <n v="26"/>
    <s v="Male"/>
    <s v="South"/>
    <x v="3"/>
    <m/>
    <n v="648.4"/>
    <n v="9"/>
    <n v="1"/>
    <x v="957"/>
    <n v="4"/>
    <n v="10"/>
    <n v="3"/>
    <x v="2"/>
  </r>
  <r>
    <n v="2124"/>
    <d v="2025-03-17T00:00:00"/>
    <n v="33"/>
    <s v="Female"/>
    <s v="North"/>
    <x v="1"/>
    <s v="CAMP6"/>
    <n v="659"/>
    <n v="6"/>
    <n v="0"/>
    <x v="11"/>
    <n v="0"/>
    <n v="0"/>
    <m/>
    <x v="2"/>
  </r>
  <r>
    <n v="2025"/>
    <d v="2025-03-17T00:00:00"/>
    <n v="42"/>
    <s v="Female"/>
    <s v="East"/>
    <x v="0"/>
    <m/>
    <n v="564.70000000000005"/>
    <n v="6"/>
    <n v="0"/>
    <x v="11"/>
    <n v="0"/>
    <n v="0"/>
    <m/>
    <x v="2"/>
  </r>
  <r>
    <n v="3937"/>
    <d v="2025-03-17T00:00:00"/>
    <n v="44"/>
    <s v="Female"/>
    <s v="East"/>
    <x v="0"/>
    <m/>
    <n v="534.20000000000005"/>
    <n v="5"/>
    <n v="0"/>
    <x v="11"/>
    <n v="0"/>
    <n v="0"/>
    <m/>
    <x v="2"/>
  </r>
  <r>
    <n v="2340"/>
    <d v="2025-03-17T00:00:00"/>
    <n v="36"/>
    <s v="Male"/>
    <s v="West"/>
    <x v="0"/>
    <m/>
    <n v="499.8"/>
    <n v="1"/>
    <n v="0"/>
    <x v="11"/>
    <n v="0"/>
    <n v="0"/>
    <m/>
    <x v="2"/>
  </r>
  <r>
    <n v="4711"/>
    <d v="2025-03-17T00:00:00"/>
    <n v="56"/>
    <s v="Female"/>
    <s v="North"/>
    <x v="1"/>
    <s v="CAMP1"/>
    <n v="496"/>
    <n v="9"/>
    <n v="0"/>
    <x v="11"/>
    <n v="0"/>
    <n v="0"/>
    <m/>
    <x v="2"/>
  </r>
  <r>
    <n v="4706"/>
    <d v="2025-03-17T00:00:00"/>
    <n v="48"/>
    <s v="Female"/>
    <s v="East"/>
    <x v="1"/>
    <s v="CAMP2"/>
    <n v="458.1"/>
    <n v="8"/>
    <n v="0"/>
    <x v="11"/>
    <n v="0"/>
    <n v="0"/>
    <m/>
    <x v="2"/>
  </r>
  <r>
    <n v="3032"/>
    <d v="2025-03-17T00:00:00"/>
    <n v="44"/>
    <s v="Male"/>
    <s v="South"/>
    <x v="0"/>
    <m/>
    <n v="413.9"/>
    <n v="7"/>
    <n v="0"/>
    <x v="11"/>
    <n v="0"/>
    <n v="0"/>
    <m/>
    <x v="2"/>
  </r>
  <r>
    <n v="4477"/>
    <d v="2025-03-17T00:00:00"/>
    <n v="45"/>
    <s v="Male"/>
    <s v="East"/>
    <x v="0"/>
    <m/>
    <n v="403.5"/>
    <n v="6"/>
    <n v="0"/>
    <x v="11"/>
    <n v="0"/>
    <n v="0"/>
    <m/>
    <x v="2"/>
  </r>
  <r>
    <n v="2874"/>
    <d v="2025-03-17T00:00:00"/>
    <n v="36"/>
    <s v="Male"/>
    <s v="West"/>
    <x v="0"/>
    <m/>
    <n v="336.4"/>
    <n v="6"/>
    <n v="0"/>
    <x v="11"/>
    <n v="0"/>
    <n v="0"/>
    <m/>
    <x v="2"/>
  </r>
  <r>
    <n v="3940"/>
    <d v="2025-03-17T00:00:00"/>
    <n v="48"/>
    <s v="Female"/>
    <s v="West"/>
    <x v="0"/>
    <m/>
    <n v="297.60000000000002"/>
    <n v="4"/>
    <n v="0"/>
    <x v="11"/>
    <n v="0"/>
    <n v="0"/>
    <m/>
    <x v="2"/>
  </r>
  <r>
    <n v="3958"/>
    <d v="2025-03-17T00:00:00"/>
    <n v="45"/>
    <s v="Female"/>
    <s v="North"/>
    <x v="1"/>
    <s v="CAMP2"/>
    <n v="235.8"/>
    <n v="5"/>
    <n v="0"/>
    <x v="11"/>
    <n v="0"/>
    <n v="0"/>
    <m/>
    <x v="2"/>
  </r>
  <r>
    <n v="4451"/>
    <d v="2025-03-17T00:00:00"/>
    <n v="66"/>
    <s v="Male"/>
    <s v="East"/>
    <x v="0"/>
    <m/>
    <n v="194.2"/>
    <n v="7"/>
    <n v="0"/>
    <x v="11"/>
    <n v="0"/>
    <n v="0"/>
    <m/>
    <x v="2"/>
  </r>
  <r>
    <n v="2319"/>
    <d v="2025-03-17T00:00:00"/>
    <n v="46"/>
    <s v="Female"/>
    <s v="West"/>
    <x v="0"/>
    <m/>
    <n v="147.9"/>
    <n v="4"/>
    <n v="0"/>
    <x v="11"/>
    <n v="0"/>
    <n v="0"/>
    <m/>
    <x v="2"/>
  </r>
  <r>
    <n v="4785"/>
    <d v="2025-03-17T00:00:00"/>
    <n v="82"/>
    <s v="Male"/>
    <s v="East"/>
    <x v="0"/>
    <m/>
    <n v="132.6"/>
    <n v="2"/>
    <n v="0"/>
    <x v="11"/>
    <n v="0"/>
    <n v="0"/>
    <m/>
    <x v="2"/>
  </r>
  <r>
    <n v="4724"/>
    <d v="2025-03-17T00:00:00"/>
    <n v="59"/>
    <s v="Female"/>
    <s v="East"/>
    <x v="1"/>
    <s v="CAMP3"/>
    <n v="93.2"/>
    <n v="5"/>
    <n v="0"/>
    <x v="11"/>
    <n v="0"/>
    <n v="0"/>
    <m/>
    <x v="2"/>
  </r>
  <r>
    <n v="1225"/>
    <d v="2025-03-17T00:00:00"/>
    <n v="22"/>
    <s v="Female"/>
    <s v="East"/>
    <x v="2"/>
    <m/>
    <n v="92.2"/>
    <n v="7"/>
    <n v="0"/>
    <x v="11"/>
    <n v="0"/>
    <n v="0"/>
    <m/>
    <x v="2"/>
  </r>
  <r>
    <n v="131"/>
    <d v="2025-03-17T00:00:00"/>
    <n v="18"/>
    <s v="Male"/>
    <s v="North"/>
    <x v="0"/>
    <m/>
    <n v="88.7"/>
    <n v="4"/>
    <n v="0"/>
    <x v="11"/>
    <n v="0"/>
    <n v="0"/>
    <m/>
    <x v="2"/>
  </r>
  <r>
    <n v="905"/>
    <d v="2025-03-17T00:00:00"/>
    <n v="18"/>
    <s v="Male"/>
    <s v="East"/>
    <x v="3"/>
    <m/>
    <n v="48"/>
    <n v="5"/>
    <n v="0"/>
    <x v="11"/>
    <n v="0"/>
    <n v="0"/>
    <m/>
    <x v="2"/>
  </r>
  <r>
    <n v="329"/>
    <d v="2025-03-17T00:00:00"/>
    <n v="24"/>
    <s v="Male"/>
    <s v="North"/>
    <x v="0"/>
    <m/>
    <n v="45.1"/>
    <n v="4"/>
    <n v="0"/>
    <x v="11"/>
    <n v="0"/>
    <n v="0"/>
    <m/>
    <x v="2"/>
  </r>
  <r>
    <n v="3564"/>
    <d v="2025-03-17T00:00:00"/>
    <n v="18"/>
    <s v="Female"/>
    <s v="East"/>
    <x v="0"/>
    <m/>
    <n v="42.4"/>
    <n v="8"/>
    <n v="0"/>
    <x v="11"/>
    <n v="0"/>
    <n v="0"/>
    <m/>
    <x v="2"/>
  </r>
  <r>
    <n v="955"/>
    <d v="2025-03-17T00:00:00"/>
    <n v="18"/>
    <s v="Female"/>
    <s v="East"/>
    <x v="0"/>
    <m/>
    <n v="42"/>
    <n v="6"/>
    <n v="0"/>
    <x v="11"/>
    <n v="0"/>
    <n v="0"/>
    <m/>
    <x v="2"/>
  </r>
  <r>
    <n v="2267"/>
    <d v="2025-04-17T00:00:00"/>
    <n v="34"/>
    <s v="Male"/>
    <s v="East"/>
    <x v="3"/>
    <m/>
    <n v="575.20000000000005"/>
    <n v="7"/>
    <n v="1"/>
    <x v="569"/>
    <n v="2"/>
    <n v="15"/>
    <n v="4"/>
    <x v="3"/>
  </r>
  <r>
    <n v="1140"/>
    <d v="2025-04-17T00:00:00"/>
    <n v="26"/>
    <s v="Female"/>
    <s v="North"/>
    <x v="3"/>
    <m/>
    <n v="863.5"/>
    <n v="2"/>
    <n v="1"/>
    <x v="958"/>
    <n v="2"/>
    <n v="10"/>
    <n v="3"/>
    <x v="3"/>
  </r>
  <r>
    <n v="2349"/>
    <d v="2025-04-17T00:00:00"/>
    <n v="33"/>
    <s v="Male"/>
    <s v="South"/>
    <x v="1"/>
    <s v="CAMP1"/>
    <n v="937.8"/>
    <n v="5"/>
    <n v="1"/>
    <x v="959"/>
    <n v="5"/>
    <n v="2"/>
    <n v="4"/>
    <x v="3"/>
  </r>
  <r>
    <n v="3449"/>
    <d v="2025-04-17T00:00:00"/>
    <n v="45"/>
    <s v="Female"/>
    <s v="West"/>
    <x v="0"/>
    <m/>
    <n v="302.89999999999998"/>
    <n v="4"/>
    <n v="1"/>
    <x v="960"/>
    <n v="3"/>
    <n v="2"/>
    <n v="4"/>
    <x v="3"/>
  </r>
  <r>
    <n v="1115"/>
    <d v="2025-04-17T00:00:00"/>
    <n v="29"/>
    <s v="Female"/>
    <s v="South"/>
    <x v="1"/>
    <s v="CAMP7"/>
    <n v="840.9"/>
    <n v="6"/>
    <n v="1"/>
    <x v="217"/>
    <n v="5"/>
    <n v="7"/>
    <n v="2"/>
    <x v="3"/>
  </r>
  <r>
    <n v="170"/>
    <d v="2025-04-17T00:00:00"/>
    <n v="21"/>
    <s v="Male"/>
    <s v="North"/>
    <x v="3"/>
    <m/>
    <n v="937.5"/>
    <n v="5"/>
    <n v="1"/>
    <x v="313"/>
    <n v="2"/>
    <n v="13"/>
    <n v="5"/>
    <x v="3"/>
  </r>
  <r>
    <n v="647"/>
    <d v="2025-04-17T00:00:00"/>
    <n v="23"/>
    <s v="Male"/>
    <s v="East"/>
    <x v="2"/>
    <m/>
    <n v="229.5"/>
    <n v="5"/>
    <n v="1"/>
    <x v="961"/>
    <n v="2"/>
    <n v="10"/>
    <n v="4"/>
    <x v="3"/>
  </r>
  <r>
    <n v="29"/>
    <d v="2025-04-17T00:00:00"/>
    <n v="23"/>
    <s v="Male"/>
    <s v="North"/>
    <x v="0"/>
    <m/>
    <n v="836.1"/>
    <n v="4"/>
    <n v="1"/>
    <x v="962"/>
    <n v="2"/>
    <n v="13"/>
    <n v="3"/>
    <x v="3"/>
  </r>
  <r>
    <n v="4135"/>
    <d v="2025-04-17T00:00:00"/>
    <n v="49"/>
    <s v="Female"/>
    <s v="North"/>
    <x v="3"/>
    <m/>
    <n v="605.29999999999995"/>
    <n v="12"/>
    <n v="1"/>
    <x v="963"/>
    <n v="2"/>
    <n v="1"/>
    <n v="4"/>
    <x v="3"/>
  </r>
  <r>
    <n v="4073"/>
    <d v="2025-04-17T00:00:00"/>
    <n v="46"/>
    <s v="Female"/>
    <s v="North"/>
    <x v="0"/>
    <m/>
    <n v="193.4"/>
    <n v="6"/>
    <n v="1"/>
    <x v="224"/>
    <n v="4"/>
    <n v="3"/>
    <n v="3"/>
    <x v="3"/>
  </r>
  <r>
    <n v="911"/>
    <d v="2025-04-17T00:00:00"/>
    <n v="28"/>
    <s v="Male"/>
    <s v="East"/>
    <x v="0"/>
    <m/>
    <n v="475.4"/>
    <n v="7"/>
    <n v="1"/>
    <x v="964"/>
    <n v="1"/>
    <n v="11"/>
    <n v="5"/>
    <x v="3"/>
  </r>
  <r>
    <n v="817"/>
    <d v="2025-04-17T00:00:00"/>
    <n v="22"/>
    <s v="Male"/>
    <s v="West"/>
    <x v="1"/>
    <s v="CAMP6"/>
    <n v="184.5"/>
    <n v="7"/>
    <n v="1"/>
    <x v="965"/>
    <n v="3"/>
    <n v="3"/>
    <n v="4"/>
    <x v="3"/>
  </r>
  <r>
    <n v="521"/>
    <d v="2025-04-17T00:00:00"/>
    <n v="29"/>
    <s v="Female"/>
    <s v="West"/>
    <x v="1"/>
    <s v="CAMP7"/>
    <n v="443.4"/>
    <n v="10"/>
    <n v="0"/>
    <x v="11"/>
    <n v="0"/>
    <n v="0"/>
    <m/>
    <x v="3"/>
  </r>
  <r>
    <n v="2236"/>
    <d v="2025-04-17T00:00:00"/>
    <n v="25"/>
    <s v="Female"/>
    <s v="East"/>
    <x v="0"/>
    <m/>
    <n v="312.60000000000002"/>
    <n v="5"/>
    <n v="0"/>
    <x v="11"/>
    <n v="0"/>
    <n v="0"/>
    <m/>
    <x v="3"/>
  </r>
  <r>
    <n v="1877"/>
    <d v="2025-04-17T00:00:00"/>
    <n v="25"/>
    <s v="Male"/>
    <s v="East"/>
    <x v="1"/>
    <s v="CAMP4"/>
    <n v="265.10000000000002"/>
    <n v="7"/>
    <n v="0"/>
    <x v="11"/>
    <n v="0"/>
    <n v="0"/>
    <m/>
    <x v="3"/>
  </r>
  <r>
    <n v="3486"/>
    <d v="2025-04-17T00:00:00"/>
    <n v="26"/>
    <s v="Female"/>
    <s v="North"/>
    <x v="0"/>
    <m/>
    <n v="223.8"/>
    <n v="10"/>
    <n v="0"/>
    <x v="11"/>
    <n v="0"/>
    <n v="0"/>
    <m/>
    <x v="3"/>
  </r>
  <r>
    <n v="4479"/>
    <d v="2025-04-17T00:00:00"/>
    <n v="53"/>
    <s v="Female"/>
    <s v="East"/>
    <x v="3"/>
    <m/>
    <n v="203.8"/>
    <n v="11"/>
    <n v="0"/>
    <x v="11"/>
    <n v="0"/>
    <n v="0"/>
    <m/>
    <x v="3"/>
  </r>
  <r>
    <n v="2796"/>
    <d v="2025-04-17T00:00:00"/>
    <n v="38"/>
    <s v="Male"/>
    <s v="North"/>
    <x v="1"/>
    <s v="CAMP5"/>
    <n v="196.4"/>
    <n v="6"/>
    <n v="0"/>
    <x v="11"/>
    <n v="0"/>
    <n v="0"/>
    <m/>
    <x v="3"/>
  </r>
  <r>
    <n v="566"/>
    <d v="2025-04-17T00:00:00"/>
    <n v="26"/>
    <s v="Male"/>
    <s v="East"/>
    <x v="1"/>
    <s v="CAMP6"/>
    <n v="190"/>
    <n v="3"/>
    <n v="0"/>
    <x v="11"/>
    <n v="0"/>
    <n v="0"/>
    <m/>
    <x v="3"/>
  </r>
  <r>
    <n v="994"/>
    <d v="2025-04-17T00:00:00"/>
    <n v="28"/>
    <s v="Male"/>
    <s v="East"/>
    <x v="0"/>
    <m/>
    <n v="153.19999999999999"/>
    <n v="9"/>
    <n v="0"/>
    <x v="11"/>
    <n v="0"/>
    <n v="0"/>
    <m/>
    <x v="3"/>
  </r>
  <r>
    <n v="2879"/>
    <d v="2025-04-17T00:00:00"/>
    <n v="51"/>
    <s v="Male"/>
    <s v="North"/>
    <x v="3"/>
    <m/>
    <n v="100.6"/>
    <n v="9"/>
    <n v="0"/>
    <x v="11"/>
    <n v="0"/>
    <n v="0"/>
    <m/>
    <x v="3"/>
  </r>
  <r>
    <n v="1380"/>
    <d v="2025-04-17T00:00:00"/>
    <n v="19"/>
    <s v="Male"/>
    <s v="North"/>
    <x v="1"/>
    <s v="CAMP6"/>
    <n v="85.6"/>
    <n v="5"/>
    <n v="0"/>
    <x v="11"/>
    <n v="0"/>
    <n v="0"/>
    <m/>
    <x v="3"/>
  </r>
  <r>
    <n v="2931"/>
    <d v="2025-04-17T00:00:00"/>
    <n v="24"/>
    <s v="Male"/>
    <s v="South"/>
    <x v="0"/>
    <m/>
    <n v="82.7"/>
    <n v="4"/>
    <n v="0"/>
    <x v="11"/>
    <n v="0"/>
    <n v="0"/>
    <m/>
    <x v="3"/>
  </r>
  <r>
    <n v="1918"/>
    <d v="2025-04-17T00:00:00"/>
    <n v="30"/>
    <s v="Female"/>
    <s v="South"/>
    <x v="3"/>
    <m/>
    <n v="75.7"/>
    <n v="6"/>
    <n v="0"/>
    <x v="11"/>
    <n v="0"/>
    <n v="0"/>
    <m/>
    <x v="3"/>
  </r>
  <r>
    <n v="290"/>
    <d v="2025-04-17T00:00:00"/>
    <n v="32"/>
    <s v="Male"/>
    <s v="East"/>
    <x v="2"/>
    <m/>
    <n v="67.400000000000006"/>
    <n v="7"/>
    <n v="0"/>
    <x v="11"/>
    <n v="0"/>
    <n v="0"/>
    <m/>
    <x v="3"/>
  </r>
  <r>
    <n v="1360"/>
    <d v="2025-04-17T00:00:00"/>
    <n v="23"/>
    <s v="Female"/>
    <s v="East"/>
    <x v="0"/>
    <m/>
    <n v="66.2"/>
    <n v="6"/>
    <n v="0"/>
    <x v="11"/>
    <n v="0"/>
    <n v="0"/>
    <m/>
    <x v="3"/>
  </r>
  <r>
    <n v="3109"/>
    <d v="2025-04-17T00:00:00"/>
    <n v="43"/>
    <s v="Other"/>
    <s v="West"/>
    <x v="1"/>
    <s v="CAMP2"/>
    <n v="66"/>
    <n v="4"/>
    <n v="0"/>
    <x v="11"/>
    <n v="0"/>
    <n v="0"/>
    <m/>
    <x v="3"/>
  </r>
  <r>
    <n v="2868"/>
    <d v="2025-05-17T00:00:00"/>
    <n v="25"/>
    <s v="Female"/>
    <s v="East"/>
    <x v="1"/>
    <s v="CAMP5"/>
    <n v="91.7"/>
    <n v="8"/>
    <n v="1"/>
    <x v="966"/>
    <n v="1"/>
    <n v="10"/>
    <n v="5"/>
    <x v="4"/>
  </r>
  <r>
    <n v="2071"/>
    <d v="2025-05-17T00:00:00"/>
    <n v="37"/>
    <s v="Male"/>
    <s v="North"/>
    <x v="1"/>
    <s v="CAMP2"/>
    <n v="528.9"/>
    <n v="4"/>
    <n v="1"/>
    <x v="130"/>
    <n v="4"/>
    <n v="6"/>
    <n v="4"/>
    <x v="4"/>
  </r>
  <r>
    <n v="3645"/>
    <d v="2025-05-17T00:00:00"/>
    <n v="27"/>
    <s v="Male"/>
    <s v="East"/>
    <x v="0"/>
    <m/>
    <n v="99.2"/>
    <n v="6"/>
    <n v="1"/>
    <x v="967"/>
    <n v="4"/>
    <n v="7"/>
    <n v="5"/>
    <x v="4"/>
  </r>
  <r>
    <n v="1903"/>
    <d v="2025-05-17T00:00:00"/>
    <n v="41"/>
    <s v="Male"/>
    <s v="North"/>
    <x v="0"/>
    <m/>
    <n v="344.4"/>
    <n v="7"/>
    <n v="1"/>
    <x v="968"/>
    <n v="2"/>
    <n v="2"/>
    <n v="4"/>
    <x v="4"/>
  </r>
  <r>
    <n v="3528"/>
    <d v="2025-05-17T00:00:00"/>
    <n v="40"/>
    <s v="Male"/>
    <s v="South"/>
    <x v="0"/>
    <m/>
    <n v="1010.8"/>
    <n v="6"/>
    <n v="1"/>
    <x v="310"/>
    <n v="5"/>
    <n v="10"/>
    <n v="4"/>
    <x v="4"/>
  </r>
  <r>
    <n v="1108"/>
    <d v="2025-05-17T00:00:00"/>
    <n v="24"/>
    <s v="Female"/>
    <s v="South"/>
    <x v="0"/>
    <m/>
    <n v="372.4"/>
    <n v="4"/>
    <n v="1"/>
    <x v="969"/>
    <n v="2"/>
    <n v="6"/>
    <n v="4"/>
    <x v="4"/>
  </r>
  <r>
    <n v="2839"/>
    <d v="2025-05-17T00:00:00"/>
    <n v="45"/>
    <s v="Male"/>
    <s v="East"/>
    <x v="2"/>
    <m/>
    <n v="766.2"/>
    <n v="5"/>
    <n v="1"/>
    <x v="970"/>
    <n v="5"/>
    <n v="3"/>
    <n v="4"/>
    <x v="4"/>
  </r>
  <r>
    <n v="2638"/>
    <d v="2025-05-17T00:00:00"/>
    <n v="21"/>
    <s v="Male"/>
    <s v="West"/>
    <x v="1"/>
    <s v="CAMP4"/>
    <n v="394"/>
    <n v="8"/>
    <n v="1"/>
    <x v="971"/>
    <n v="4"/>
    <n v="10"/>
    <n v="4"/>
    <x v="4"/>
  </r>
  <r>
    <n v="3338"/>
    <d v="2025-05-17T00:00:00"/>
    <n v="41"/>
    <s v="Other"/>
    <s v="South"/>
    <x v="0"/>
    <m/>
    <n v="67.7"/>
    <n v="9"/>
    <n v="1"/>
    <x v="972"/>
    <n v="3"/>
    <n v="2"/>
    <n v="5"/>
    <x v="4"/>
  </r>
  <r>
    <n v="3941"/>
    <d v="2025-05-17T00:00:00"/>
    <n v="63"/>
    <s v="Female"/>
    <s v="East"/>
    <x v="0"/>
    <m/>
    <n v="325.3"/>
    <n v="5"/>
    <n v="1"/>
    <x v="973"/>
    <n v="2"/>
    <n v="2"/>
    <n v="5"/>
    <x v="4"/>
  </r>
  <r>
    <n v="4575"/>
    <d v="2025-05-17T00:00:00"/>
    <n v="41"/>
    <s v="Female"/>
    <s v="West"/>
    <x v="0"/>
    <m/>
    <n v="273.7"/>
    <n v="3"/>
    <n v="1"/>
    <x v="974"/>
    <n v="2"/>
    <n v="5"/>
    <n v="3"/>
    <x v="4"/>
  </r>
  <r>
    <n v="3433"/>
    <d v="2025-05-17T00:00:00"/>
    <n v="39"/>
    <s v="Male"/>
    <s v="West"/>
    <x v="1"/>
    <s v="CAMP6"/>
    <n v="262.60000000000002"/>
    <n v="10"/>
    <n v="1"/>
    <x v="975"/>
    <n v="5"/>
    <n v="4"/>
    <n v="4"/>
    <x v="4"/>
  </r>
  <r>
    <n v="93"/>
    <d v="2025-05-17T00:00:00"/>
    <n v="21"/>
    <s v="Male"/>
    <s v="East"/>
    <x v="0"/>
    <m/>
    <n v="517.1"/>
    <n v="3"/>
    <n v="0"/>
    <x v="11"/>
    <n v="0"/>
    <n v="0"/>
    <m/>
    <x v="4"/>
  </r>
  <r>
    <n v="1201"/>
    <d v="2025-05-17T00:00:00"/>
    <n v="30"/>
    <s v="Female"/>
    <s v="South"/>
    <x v="0"/>
    <m/>
    <n v="506.8"/>
    <n v="5"/>
    <n v="0"/>
    <x v="11"/>
    <n v="0"/>
    <n v="0"/>
    <m/>
    <x v="4"/>
  </r>
  <r>
    <n v="2006"/>
    <d v="2025-05-17T00:00:00"/>
    <n v="44"/>
    <s v="Male"/>
    <s v="North"/>
    <x v="1"/>
    <s v="CAMP1"/>
    <n v="476.7"/>
    <n v="5"/>
    <n v="0"/>
    <x v="11"/>
    <n v="0"/>
    <n v="0"/>
    <m/>
    <x v="4"/>
  </r>
  <r>
    <n v="332"/>
    <d v="2025-05-17T00:00:00"/>
    <n v="20"/>
    <s v="Male"/>
    <s v="West"/>
    <x v="0"/>
    <m/>
    <n v="435.6"/>
    <n v="3"/>
    <n v="0"/>
    <x v="11"/>
    <n v="0"/>
    <n v="0"/>
    <m/>
    <x v="4"/>
  </r>
  <r>
    <n v="3743"/>
    <d v="2025-05-17T00:00:00"/>
    <n v="43"/>
    <s v="Male"/>
    <s v="West"/>
    <x v="1"/>
    <s v="CAMP1"/>
    <n v="402.1"/>
    <n v="5"/>
    <n v="0"/>
    <x v="11"/>
    <n v="0"/>
    <n v="0"/>
    <m/>
    <x v="4"/>
  </r>
  <r>
    <n v="711"/>
    <d v="2025-05-17T00:00:00"/>
    <n v="25"/>
    <s v="Female"/>
    <s v="South"/>
    <x v="1"/>
    <s v="CAMP7"/>
    <n v="354"/>
    <n v="7"/>
    <n v="0"/>
    <x v="11"/>
    <n v="0"/>
    <n v="0"/>
    <m/>
    <x v="4"/>
  </r>
  <r>
    <n v="1245"/>
    <d v="2025-05-17T00:00:00"/>
    <n v="23"/>
    <s v="Female"/>
    <s v="East"/>
    <x v="0"/>
    <m/>
    <n v="324.8"/>
    <n v="7"/>
    <n v="0"/>
    <x v="11"/>
    <n v="0"/>
    <n v="0"/>
    <m/>
    <x v="4"/>
  </r>
  <r>
    <n v="4919"/>
    <d v="2025-05-17T00:00:00"/>
    <n v="53"/>
    <s v="Female"/>
    <s v="West"/>
    <x v="0"/>
    <m/>
    <n v="314"/>
    <n v="10"/>
    <n v="0"/>
    <x v="11"/>
    <n v="0"/>
    <n v="0"/>
    <m/>
    <x v="4"/>
  </r>
  <r>
    <n v="4003"/>
    <d v="2025-05-17T00:00:00"/>
    <n v="54"/>
    <s v="Male"/>
    <s v="North"/>
    <x v="1"/>
    <s v="CAMP1"/>
    <n v="305.60000000000002"/>
    <n v="4"/>
    <n v="0"/>
    <x v="11"/>
    <n v="0"/>
    <n v="0"/>
    <m/>
    <x v="4"/>
  </r>
  <r>
    <n v="4243"/>
    <d v="2025-05-17T00:00:00"/>
    <n v="51"/>
    <s v="Male"/>
    <s v="East"/>
    <x v="0"/>
    <m/>
    <n v="241.1"/>
    <n v="2"/>
    <n v="0"/>
    <x v="11"/>
    <n v="0"/>
    <n v="0"/>
    <m/>
    <x v="4"/>
  </r>
  <r>
    <n v="1179"/>
    <d v="2025-05-17T00:00:00"/>
    <n v="18"/>
    <s v="Female"/>
    <s v="North"/>
    <x v="0"/>
    <m/>
    <n v="210.9"/>
    <n v="5"/>
    <n v="0"/>
    <x v="11"/>
    <n v="0"/>
    <n v="0"/>
    <m/>
    <x v="4"/>
  </r>
  <r>
    <n v="2945"/>
    <d v="2025-05-17T00:00:00"/>
    <n v="23"/>
    <s v="Female"/>
    <s v="North"/>
    <x v="2"/>
    <m/>
    <n v="207.8"/>
    <n v="6"/>
    <n v="0"/>
    <x v="11"/>
    <n v="0"/>
    <n v="0"/>
    <m/>
    <x v="4"/>
  </r>
  <r>
    <n v="1749"/>
    <d v="2025-05-17T00:00:00"/>
    <n v="25"/>
    <s v="Male"/>
    <s v="West"/>
    <x v="1"/>
    <s v="CAMP1"/>
    <n v="206.8"/>
    <n v="5"/>
    <n v="0"/>
    <x v="11"/>
    <n v="0"/>
    <n v="0"/>
    <m/>
    <x v="4"/>
  </r>
  <r>
    <n v="1631"/>
    <d v="2025-05-17T00:00:00"/>
    <n v="23"/>
    <s v="Female"/>
    <s v="North"/>
    <x v="1"/>
    <s v="CAMP1"/>
    <n v="168.6"/>
    <n v="7"/>
    <n v="0"/>
    <x v="11"/>
    <n v="0"/>
    <n v="0"/>
    <m/>
    <x v="4"/>
  </r>
  <r>
    <n v="4574"/>
    <d v="2025-05-17T00:00:00"/>
    <n v="52"/>
    <s v="Male"/>
    <s v="North"/>
    <x v="2"/>
    <m/>
    <n v="145"/>
    <n v="4"/>
    <n v="0"/>
    <x v="11"/>
    <n v="0"/>
    <n v="0"/>
    <m/>
    <x v="4"/>
  </r>
  <r>
    <n v="2423"/>
    <d v="2025-05-17T00:00:00"/>
    <n v="46"/>
    <s v="Male"/>
    <s v="North"/>
    <x v="0"/>
    <m/>
    <n v="132.1"/>
    <n v="5"/>
    <n v="0"/>
    <x v="11"/>
    <n v="0"/>
    <n v="0"/>
    <m/>
    <x v="4"/>
  </r>
  <r>
    <n v="3377"/>
    <d v="2025-05-17T00:00:00"/>
    <n v="38"/>
    <s v="Male"/>
    <s v="South"/>
    <x v="3"/>
    <m/>
    <n v="108"/>
    <n v="6"/>
    <n v="0"/>
    <x v="11"/>
    <n v="0"/>
    <n v="0"/>
    <m/>
    <x v="4"/>
  </r>
  <r>
    <n v="2807"/>
    <d v="2025-05-17T00:00:00"/>
    <n v="31"/>
    <s v="Female"/>
    <s v="West"/>
    <x v="1"/>
    <s v="CAMP5"/>
    <n v="91.7"/>
    <n v="1"/>
    <n v="0"/>
    <x v="11"/>
    <n v="0"/>
    <n v="0"/>
    <m/>
    <x v="4"/>
  </r>
  <r>
    <n v="1668"/>
    <d v="2025-06-17T00:00:00"/>
    <n v="25"/>
    <s v="Male"/>
    <s v="North"/>
    <x v="3"/>
    <m/>
    <n v="447.4"/>
    <n v="12"/>
    <n v="1"/>
    <x v="976"/>
    <n v="5"/>
    <n v="10"/>
    <n v="5"/>
    <x v="5"/>
  </r>
  <r>
    <n v="685"/>
    <d v="2025-06-17T00:00:00"/>
    <n v="22"/>
    <s v="Male"/>
    <s v="South"/>
    <x v="1"/>
    <s v="CAMP4"/>
    <n v="660.9"/>
    <n v="5"/>
    <n v="1"/>
    <x v="977"/>
    <n v="1"/>
    <n v="4"/>
    <n v="3"/>
    <x v="5"/>
  </r>
  <r>
    <n v="396"/>
    <d v="2025-06-17T00:00:00"/>
    <n v="28"/>
    <s v="Female"/>
    <s v="North"/>
    <x v="1"/>
    <s v="CAMP3"/>
    <n v="370.2"/>
    <n v="8"/>
    <n v="1"/>
    <x v="978"/>
    <n v="1"/>
    <n v="2"/>
    <n v="5"/>
    <x v="5"/>
  </r>
  <r>
    <n v="2570"/>
    <d v="2025-06-17T00:00:00"/>
    <n v="42"/>
    <s v="Female"/>
    <s v="South"/>
    <x v="0"/>
    <m/>
    <n v="348.9"/>
    <n v="5"/>
    <n v="1"/>
    <x v="979"/>
    <n v="3"/>
    <n v="6"/>
    <n v="3"/>
    <x v="5"/>
  </r>
  <r>
    <n v="4551"/>
    <d v="2025-06-17T00:00:00"/>
    <n v="49"/>
    <s v="Female"/>
    <s v="North"/>
    <x v="2"/>
    <m/>
    <n v="1194.9000000000001"/>
    <n v="6"/>
    <n v="1"/>
    <x v="980"/>
    <n v="4"/>
    <n v="2"/>
    <n v="3"/>
    <x v="5"/>
  </r>
  <r>
    <n v="4559"/>
    <d v="2025-06-17T00:00:00"/>
    <n v="75"/>
    <s v="Male"/>
    <s v="South"/>
    <x v="1"/>
    <s v="CAMP2"/>
    <n v="686.6"/>
    <n v="2"/>
    <n v="1"/>
    <x v="980"/>
    <n v="4"/>
    <n v="9"/>
    <n v="4"/>
    <x v="5"/>
  </r>
  <r>
    <n v="3837"/>
    <d v="2025-06-17T00:00:00"/>
    <n v="48"/>
    <s v="Male"/>
    <s v="North"/>
    <x v="2"/>
    <m/>
    <n v="274"/>
    <n v="6"/>
    <n v="1"/>
    <x v="981"/>
    <n v="2"/>
    <n v="7"/>
    <n v="4"/>
    <x v="5"/>
  </r>
  <r>
    <n v="716"/>
    <d v="2025-06-17T00:00:00"/>
    <n v="20"/>
    <s v="Female"/>
    <s v="North"/>
    <x v="0"/>
    <m/>
    <n v="800.1"/>
    <n v="2"/>
    <n v="1"/>
    <x v="668"/>
    <n v="2"/>
    <n v="10"/>
    <n v="4"/>
    <x v="5"/>
  </r>
  <r>
    <n v="3440"/>
    <d v="2025-06-17T00:00:00"/>
    <n v="38"/>
    <s v="Female"/>
    <s v="West"/>
    <x v="0"/>
    <m/>
    <n v="742.9"/>
    <n v="10"/>
    <n v="0"/>
    <x v="11"/>
    <n v="0"/>
    <n v="0"/>
    <m/>
    <x v="5"/>
  </r>
  <r>
    <n v="3776"/>
    <d v="2025-06-17T00:00:00"/>
    <n v="62"/>
    <s v="Female"/>
    <s v="East"/>
    <x v="2"/>
    <m/>
    <n v="659.1"/>
    <n v="8"/>
    <n v="0"/>
    <x v="11"/>
    <n v="0"/>
    <n v="0"/>
    <m/>
    <x v="5"/>
  </r>
  <r>
    <n v="4094"/>
    <d v="2025-06-17T00:00:00"/>
    <n v="70"/>
    <s v="Female"/>
    <s v="North"/>
    <x v="0"/>
    <m/>
    <n v="645.79999999999995"/>
    <n v="7"/>
    <n v="0"/>
    <x v="11"/>
    <n v="0"/>
    <n v="0"/>
    <m/>
    <x v="5"/>
  </r>
  <r>
    <n v="1456"/>
    <d v="2025-06-17T00:00:00"/>
    <n v="29"/>
    <s v="Female"/>
    <s v="North"/>
    <x v="0"/>
    <m/>
    <n v="480.4"/>
    <n v="5"/>
    <n v="0"/>
    <x v="11"/>
    <n v="0"/>
    <n v="0"/>
    <m/>
    <x v="5"/>
  </r>
  <r>
    <n v="113"/>
    <d v="2025-06-17T00:00:00"/>
    <n v="20"/>
    <s v="Female"/>
    <s v="South"/>
    <x v="0"/>
    <m/>
    <n v="461.9"/>
    <n v="8"/>
    <n v="0"/>
    <x v="11"/>
    <n v="0"/>
    <n v="0"/>
    <m/>
    <x v="5"/>
  </r>
  <r>
    <n v="3439"/>
    <d v="2025-06-17T00:00:00"/>
    <n v="42"/>
    <s v="Female"/>
    <s v="East"/>
    <x v="0"/>
    <m/>
    <n v="366.6"/>
    <n v="4"/>
    <n v="0"/>
    <x v="11"/>
    <n v="0"/>
    <n v="0"/>
    <m/>
    <x v="5"/>
  </r>
  <r>
    <n v="4734"/>
    <d v="2025-06-17T00:00:00"/>
    <n v="59"/>
    <s v="Female"/>
    <s v="East"/>
    <x v="0"/>
    <m/>
    <n v="321.8"/>
    <n v="5"/>
    <n v="0"/>
    <x v="11"/>
    <n v="0"/>
    <n v="0"/>
    <m/>
    <x v="5"/>
  </r>
  <r>
    <n v="2950"/>
    <d v="2025-06-17T00:00:00"/>
    <n v="63"/>
    <s v="Male"/>
    <s v="West"/>
    <x v="0"/>
    <m/>
    <n v="311"/>
    <n v="11"/>
    <n v="0"/>
    <x v="11"/>
    <n v="0"/>
    <n v="0"/>
    <m/>
    <x v="5"/>
  </r>
  <r>
    <n v="2305"/>
    <d v="2025-06-17T00:00:00"/>
    <n v="39"/>
    <s v="Female"/>
    <s v="North"/>
    <x v="1"/>
    <s v="CAMP5"/>
    <n v="268"/>
    <n v="10"/>
    <n v="0"/>
    <x v="11"/>
    <n v="0"/>
    <n v="0"/>
    <m/>
    <x v="5"/>
  </r>
  <r>
    <n v="1184"/>
    <d v="2025-06-17T00:00:00"/>
    <n v="22"/>
    <s v="Other"/>
    <s v="East"/>
    <x v="1"/>
    <s v="CAMP2"/>
    <n v="261.60000000000002"/>
    <n v="7"/>
    <n v="0"/>
    <x v="11"/>
    <n v="0"/>
    <n v="0"/>
    <m/>
    <x v="5"/>
  </r>
  <r>
    <n v="3687"/>
    <d v="2025-06-17T00:00:00"/>
    <n v="22"/>
    <s v="Female"/>
    <s v="East"/>
    <x v="0"/>
    <m/>
    <n v="249.5"/>
    <n v="6"/>
    <n v="0"/>
    <x v="11"/>
    <n v="0"/>
    <n v="0"/>
    <m/>
    <x v="5"/>
  </r>
  <r>
    <n v="797"/>
    <d v="2025-06-17T00:00:00"/>
    <n v="18"/>
    <s v="Female"/>
    <s v="East"/>
    <x v="2"/>
    <m/>
    <n v="218"/>
    <n v="6"/>
    <n v="0"/>
    <x v="11"/>
    <n v="0"/>
    <n v="0"/>
    <m/>
    <x v="5"/>
  </r>
  <r>
    <n v="1839"/>
    <d v="2025-06-17T00:00:00"/>
    <n v="25"/>
    <s v="Female"/>
    <s v="East"/>
    <x v="2"/>
    <m/>
    <n v="213.8"/>
    <n v="8"/>
    <n v="0"/>
    <x v="11"/>
    <n v="0"/>
    <n v="0"/>
    <m/>
    <x v="5"/>
  </r>
  <r>
    <n v="3726"/>
    <d v="2025-06-17T00:00:00"/>
    <n v="31"/>
    <s v="Male"/>
    <s v="North"/>
    <x v="0"/>
    <m/>
    <n v="157"/>
    <n v="9"/>
    <n v="0"/>
    <x v="11"/>
    <n v="0"/>
    <n v="0"/>
    <m/>
    <x v="5"/>
  </r>
  <r>
    <n v="3986"/>
    <d v="2025-06-17T00:00:00"/>
    <n v="51"/>
    <s v="Female"/>
    <s v="North"/>
    <x v="3"/>
    <m/>
    <n v="151.19999999999999"/>
    <n v="9"/>
    <n v="0"/>
    <x v="11"/>
    <n v="0"/>
    <n v="0"/>
    <m/>
    <x v="5"/>
  </r>
  <r>
    <n v="3699"/>
    <d v="2025-06-17T00:00:00"/>
    <n v="18"/>
    <s v="Male"/>
    <s v="South"/>
    <x v="0"/>
    <m/>
    <n v="144.19999999999999"/>
    <n v="6"/>
    <n v="0"/>
    <x v="11"/>
    <n v="0"/>
    <n v="0"/>
    <m/>
    <x v="5"/>
  </r>
  <r>
    <n v="513"/>
    <d v="2025-06-17T00:00:00"/>
    <n v="31"/>
    <s v="Female"/>
    <s v="East"/>
    <x v="3"/>
    <m/>
    <n v="142.5"/>
    <n v="4"/>
    <n v="0"/>
    <x v="11"/>
    <n v="0"/>
    <n v="0"/>
    <m/>
    <x v="5"/>
  </r>
  <r>
    <n v="3133"/>
    <d v="2025-06-17T00:00:00"/>
    <n v="41"/>
    <s v="Male"/>
    <s v="East"/>
    <x v="1"/>
    <s v="CAMP5"/>
    <n v="138.80000000000001"/>
    <n v="6"/>
    <n v="0"/>
    <x v="11"/>
    <n v="0"/>
    <n v="0"/>
    <m/>
    <x v="5"/>
  </r>
  <r>
    <n v="246"/>
    <d v="2025-06-17T00:00:00"/>
    <n v="21"/>
    <s v="Female"/>
    <s v="East"/>
    <x v="0"/>
    <m/>
    <n v="97.7"/>
    <n v="8"/>
    <n v="0"/>
    <x v="11"/>
    <n v="0"/>
    <n v="0"/>
    <m/>
    <x v="5"/>
  </r>
  <r>
    <n v="1956"/>
    <d v="2025-06-17T00:00:00"/>
    <n v="44"/>
    <s v="Female"/>
    <s v="South"/>
    <x v="1"/>
    <s v="CAMP2"/>
    <n v="86.1"/>
    <n v="4"/>
    <n v="0"/>
    <x v="11"/>
    <n v="0"/>
    <n v="0"/>
    <m/>
    <x v="5"/>
  </r>
  <r>
    <n v="1576"/>
    <d v="2025-01-18T00:00:00"/>
    <n v="28"/>
    <s v="Female"/>
    <s v="West"/>
    <x v="0"/>
    <m/>
    <n v="216.7"/>
    <n v="4"/>
    <n v="1"/>
    <x v="982"/>
    <n v="3"/>
    <n v="4"/>
    <n v="5"/>
    <x v="0"/>
  </r>
  <r>
    <n v="1629"/>
    <d v="2025-01-18T00:00:00"/>
    <n v="25"/>
    <s v="Male"/>
    <s v="East"/>
    <x v="0"/>
    <m/>
    <n v="339.3"/>
    <n v="8"/>
    <n v="1"/>
    <x v="983"/>
    <n v="2"/>
    <n v="6"/>
    <n v="4"/>
    <x v="0"/>
  </r>
  <r>
    <n v="2828"/>
    <d v="2025-01-18T00:00:00"/>
    <n v="30"/>
    <s v="Male"/>
    <s v="West"/>
    <x v="0"/>
    <m/>
    <n v="322.39999999999998"/>
    <n v="8"/>
    <n v="1"/>
    <x v="984"/>
    <n v="3"/>
    <n v="13"/>
    <n v="4"/>
    <x v="0"/>
  </r>
  <r>
    <n v="4768"/>
    <d v="2025-01-18T00:00:00"/>
    <n v="41"/>
    <s v="Female"/>
    <s v="East"/>
    <x v="0"/>
    <m/>
    <n v="479.1"/>
    <n v="3"/>
    <n v="1"/>
    <x v="985"/>
    <n v="2"/>
    <n v="6"/>
    <n v="4"/>
    <x v="0"/>
  </r>
  <r>
    <n v="3987"/>
    <d v="2025-01-18T00:00:00"/>
    <n v="53"/>
    <s v="Female"/>
    <s v="East"/>
    <x v="1"/>
    <s v="CAMP4"/>
    <n v="381.5"/>
    <n v="8"/>
    <n v="1"/>
    <x v="986"/>
    <n v="2"/>
    <n v="6"/>
    <n v="5"/>
    <x v="0"/>
  </r>
  <r>
    <n v="1763"/>
    <d v="2025-01-18T00:00:00"/>
    <n v="32"/>
    <s v="Male"/>
    <s v="West"/>
    <x v="1"/>
    <s v="CAMP7"/>
    <n v="243.1"/>
    <n v="6"/>
    <n v="1"/>
    <x v="987"/>
    <n v="1"/>
    <n v="4"/>
    <n v="4"/>
    <x v="0"/>
  </r>
  <r>
    <n v="1810"/>
    <d v="2025-01-18T00:00:00"/>
    <n v="25"/>
    <s v="Male"/>
    <s v="South"/>
    <x v="0"/>
    <m/>
    <n v="433.4"/>
    <n v="8"/>
    <n v="1"/>
    <x v="988"/>
    <n v="1"/>
    <n v="12"/>
    <n v="4"/>
    <x v="0"/>
  </r>
  <r>
    <n v="340"/>
    <d v="2025-01-18T00:00:00"/>
    <n v="18"/>
    <s v="Other"/>
    <s v="North"/>
    <x v="0"/>
    <m/>
    <n v="1151.4000000000001"/>
    <n v="5"/>
    <n v="1"/>
    <x v="989"/>
    <n v="5"/>
    <n v="13"/>
    <n v="5"/>
    <x v="0"/>
  </r>
  <r>
    <n v="38"/>
    <d v="2025-01-18T00:00:00"/>
    <n v="20"/>
    <s v="Female"/>
    <s v="West"/>
    <x v="3"/>
    <m/>
    <n v="658.4"/>
    <n v="6"/>
    <n v="0"/>
    <x v="11"/>
    <n v="0"/>
    <n v="0"/>
    <m/>
    <x v="0"/>
  </r>
  <r>
    <n v="889"/>
    <d v="2025-01-18T00:00:00"/>
    <n v="29"/>
    <s v="Female"/>
    <s v="East"/>
    <x v="1"/>
    <s v="CAMP6"/>
    <n v="657.1"/>
    <n v="11"/>
    <n v="0"/>
    <x v="11"/>
    <n v="0"/>
    <n v="0"/>
    <m/>
    <x v="0"/>
  </r>
  <r>
    <n v="4421"/>
    <d v="2025-01-18T00:00:00"/>
    <n v="37"/>
    <s v="Female"/>
    <s v="East"/>
    <x v="0"/>
    <m/>
    <n v="523.70000000000005"/>
    <n v="6"/>
    <n v="0"/>
    <x v="11"/>
    <n v="0"/>
    <n v="0"/>
    <m/>
    <x v="0"/>
  </r>
  <r>
    <n v="4168"/>
    <d v="2025-01-18T00:00:00"/>
    <n v="54"/>
    <s v="Female"/>
    <s v="North"/>
    <x v="1"/>
    <s v="CAMP1"/>
    <n v="299.8"/>
    <n v="5"/>
    <n v="0"/>
    <x v="11"/>
    <n v="0"/>
    <n v="0"/>
    <m/>
    <x v="0"/>
  </r>
  <r>
    <n v="4428"/>
    <d v="2025-01-18T00:00:00"/>
    <n v="52"/>
    <s v="Male"/>
    <s v="South"/>
    <x v="0"/>
    <m/>
    <n v="192.8"/>
    <n v="3"/>
    <n v="0"/>
    <x v="11"/>
    <n v="0"/>
    <n v="0"/>
    <m/>
    <x v="0"/>
  </r>
  <r>
    <n v="4170"/>
    <d v="2025-01-18T00:00:00"/>
    <n v="31"/>
    <s v="Male"/>
    <s v="North"/>
    <x v="0"/>
    <m/>
    <n v="176.9"/>
    <n v="4"/>
    <n v="0"/>
    <x v="11"/>
    <n v="0"/>
    <n v="0"/>
    <m/>
    <x v="0"/>
  </r>
  <r>
    <n v="1891"/>
    <d v="2025-01-18T00:00:00"/>
    <n v="26"/>
    <s v="Male"/>
    <s v="North"/>
    <x v="1"/>
    <s v="CAMP4"/>
    <n v="162.9"/>
    <n v="5"/>
    <n v="0"/>
    <x v="11"/>
    <n v="0"/>
    <n v="0"/>
    <m/>
    <x v="0"/>
  </r>
  <r>
    <n v="260"/>
    <d v="2025-01-18T00:00:00"/>
    <n v="20"/>
    <s v="Male"/>
    <s v="East"/>
    <x v="1"/>
    <s v="CAMP5"/>
    <n v="101.1"/>
    <n v="5"/>
    <n v="0"/>
    <x v="11"/>
    <n v="0"/>
    <n v="0"/>
    <m/>
    <x v="0"/>
  </r>
  <r>
    <n v="4389"/>
    <d v="2025-01-18T00:00:00"/>
    <n v="48"/>
    <s v="Male"/>
    <s v="East"/>
    <x v="0"/>
    <m/>
    <n v="91.5"/>
    <n v="5"/>
    <n v="0"/>
    <x v="11"/>
    <n v="0"/>
    <n v="0"/>
    <m/>
    <x v="0"/>
  </r>
  <r>
    <n v="2223"/>
    <d v="2025-01-18T00:00:00"/>
    <n v="48"/>
    <s v="Male"/>
    <s v="South"/>
    <x v="3"/>
    <m/>
    <n v="90.2"/>
    <n v="12"/>
    <n v="0"/>
    <x v="11"/>
    <n v="0"/>
    <n v="0"/>
    <m/>
    <x v="0"/>
  </r>
  <r>
    <n v="1568"/>
    <d v="2025-01-18T00:00:00"/>
    <n v="24"/>
    <s v="Female"/>
    <s v="East"/>
    <x v="1"/>
    <s v="CAMP5"/>
    <n v="56.4"/>
    <n v="9"/>
    <n v="0"/>
    <x v="11"/>
    <n v="0"/>
    <n v="0"/>
    <m/>
    <x v="0"/>
  </r>
  <r>
    <n v="3402"/>
    <d v="2025-01-18T00:00:00"/>
    <n v="28"/>
    <s v="Male"/>
    <s v="South"/>
    <x v="0"/>
    <m/>
    <n v="36.200000000000003"/>
    <n v="4"/>
    <n v="0"/>
    <x v="11"/>
    <n v="0"/>
    <n v="0"/>
    <m/>
    <x v="0"/>
  </r>
  <r>
    <n v="912"/>
    <d v="2025-02-18T00:00:00"/>
    <n v="26"/>
    <s v="Male"/>
    <s v="East"/>
    <x v="3"/>
    <m/>
    <n v="54.8"/>
    <n v="3"/>
    <n v="1"/>
    <x v="990"/>
    <n v="5"/>
    <n v="4"/>
    <n v="4"/>
    <x v="1"/>
  </r>
  <r>
    <n v="4531"/>
    <d v="2025-02-18T00:00:00"/>
    <n v="43"/>
    <s v="Male"/>
    <s v="North"/>
    <x v="1"/>
    <s v="CAMP2"/>
    <n v="89.5"/>
    <n v="8"/>
    <n v="1"/>
    <x v="991"/>
    <n v="3"/>
    <n v="12"/>
    <n v="5"/>
    <x v="1"/>
  </r>
  <r>
    <n v="4681"/>
    <d v="2025-02-18T00:00:00"/>
    <n v="47"/>
    <s v="Male"/>
    <s v="East"/>
    <x v="1"/>
    <s v="CAMP7"/>
    <n v="237.9"/>
    <n v="8"/>
    <n v="1"/>
    <x v="992"/>
    <n v="2"/>
    <n v="5"/>
    <n v="4"/>
    <x v="1"/>
  </r>
  <r>
    <n v="1413"/>
    <d v="2025-02-18T00:00:00"/>
    <n v="22"/>
    <s v="Male"/>
    <s v="East"/>
    <x v="1"/>
    <s v="CAMP7"/>
    <n v="639.6"/>
    <n v="8"/>
    <n v="1"/>
    <x v="993"/>
    <n v="4"/>
    <n v="6"/>
    <n v="4"/>
    <x v="1"/>
  </r>
  <r>
    <n v="310"/>
    <d v="2025-02-18T00:00:00"/>
    <n v="26"/>
    <s v="Female"/>
    <s v="East"/>
    <x v="1"/>
    <s v="CAMP2"/>
    <n v="572.70000000000005"/>
    <n v="7"/>
    <n v="1"/>
    <x v="994"/>
    <n v="2"/>
    <n v="5"/>
    <n v="5"/>
    <x v="1"/>
  </r>
  <r>
    <n v="993"/>
    <d v="2025-02-18T00:00:00"/>
    <n v="23"/>
    <s v="Female"/>
    <s v="East"/>
    <x v="2"/>
    <m/>
    <n v="522.70000000000005"/>
    <n v="6"/>
    <n v="1"/>
    <x v="995"/>
    <n v="5"/>
    <n v="2"/>
    <n v="4"/>
    <x v="1"/>
  </r>
  <r>
    <n v="639"/>
    <d v="2025-02-18T00:00:00"/>
    <n v="26"/>
    <s v="Female"/>
    <s v="East"/>
    <x v="0"/>
    <m/>
    <n v="185.1"/>
    <n v="6"/>
    <n v="1"/>
    <x v="996"/>
    <n v="6"/>
    <n v="1"/>
    <n v="5"/>
    <x v="1"/>
  </r>
  <r>
    <n v="1937"/>
    <d v="2025-02-18T00:00:00"/>
    <n v="28"/>
    <s v="Male"/>
    <s v="East"/>
    <x v="0"/>
    <m/>
    <n v="142"/>
    <n v="3"/>
    <n v="1"/>
    <x v="997"/>
    <n v="3"/>
    <n v="3"/>
    <n v="4"/>
    <x v="1"/>
  </r>
  <r>
    <n v="4006"/>
    <d v="2025-02-18T00:00:00"/>
    <n v="58"/>
    <s v="Male"/>
    <s v="East"/>
    <x v="0"/>
    <m/>
    <n v="878.7"/>
    <n v="7"/>
    <n v="1"/>
    <x v="998"/>
    <n v="1"/>
    <n v="5"/>
    <n v="4"/>
    <x v="1"/>
  </r>
  <r>
    <n v="927"/>
    <d v="2025-02-18T00:00:00"/>
    <n v="26"/>
    <s v="Male"/>
    <s v="West"/>
    <x v="3"/>
    <m/>
    <n v="87.5"/>
    <n v="6"/>
    <n v="1"/>
    <x v="999"/>
    <n v="2"/>
    <n v="15"/>
    <n v="4"/>
    <x v="1"/>
  </r>
  <r>
    <n v="2597"/>
    <d v="2025-02-18T00:00:00"/>
    <n v="31"/>
    <s v="Female"/>
    <s v="South"/>
    <x v="0"/>
    <m/>
    <n v="1050.3"/>
    <n v="3"/>
    <n v="1"/>
    <x v="1000"/>
    <n v="3"/>
    <n v="1"/>
    <n v="3"/>
    <x v="1"/>
  </r>
  <r>
    <n v="4032"/>
    <d v="2025-02-18T00:00:00"/>
    <n v="45"/>
    <s v="Female"/>
    <s v="East"/>
    <x v="3"/>
    <m/>
    <n v="788.3"/>
    <n v="7"/>
    <n v="1"/>
    <x v="1001"/>
    <n v="6"/>
    <n v="5"/>
    <n v="3"/>
    <x v="1"/>
  </r>
  <r>
    <n v="3755"/>
    <d v="2025-02-18T00:00:00"/>
    <n v="60"/>
    <s v="Male"/>
    <s v="North"/>
    <x v="2"/>
    <m/>
    <n v="404.8"/>
    <n v="3"/>
    <n v="1"/>
    <x v="1002"/>
    <n v="2"/>
    <n v="8"/>
    <n v="4"/>
    <x v="1"/>
  </r>
  <r>
    <n v="3053"/>
    <d v="2025-02-18T00:00:00"/>
    <n v="30"/>
    <s v="Female"/>
    <s v="East"/>
    <x v="2"/>
    <m/>
    <n v="302.2"/>
    <n v="10"/>
    <n v="1"/>
    <x v="251"/>
    <n v="4"/>
    <n v="8"/>
    <n v="4"/>
    <x v="1"/>
  </r>
  <r>
    <n v="3145"/>
    <d v="2025-02-18T00:00:00"/>
    <n v="36"/>
    <s v="Male"/>
    <s v="West"/>
    <x v="1"/>
    <s v="CAMP4"/>
    <n v="618.29999999999995"/>
    <n v="3"/>
    <n v="1"/>
    <x v="1003"/>
    <n v="1"/>
    <n v="2"/>
    <n v="4"/>
    <x v="1"/>
  </r>
  <r>
    <n v="2005"/>
    <d v="2025-02-18T00:00:00"/>
    <n v="30"/>
    <s v="Female"/>
    <s v="East"/>
    <x v="3"/>
    <m/>
    <n v="573.5"/>
    <n v="3"/>
    <n v="0"/>
    <x v="11"/>
    <n v="0"/>
    <n v="0"/>
    <m/>
    <x v="1"/>
  </r>
  <r>
    <n v="2618"/>
    <d v="2025-02-18T00:00:00"/>
    <n v="46"/>
    <s v="Female"/>
    <s v="South"/>
    <x v="0"/>
    <m/>
    <n v="550"/>
    <n v="4"/>
    <n v="0"/>
    <x v="11"/>
    <n v="0"/>
    <n v="0"/>
    <m/>
    <x v="1"/>
  </r>
  <r>
    <n v="3347"/>
    <d v="2025-02-18T00:00:00"/>
    <n v="42"/>
    <s v="Female"/>
    <s v="North"/>
    <x v="0"/>
    <m/>
    <n v="337.9"/>
    <n v="5"/>
    <n v="0"/>
    <x v="11"/>
    <n v="0"/>
    <n v="0"/>
    <m/>
    <x v="1"/>
  </r>
  <r>
    <n v="3066"/>
    <d v="2025-02-18T00:00:00"/>
    <n v="46"/>
    <s v="Female"/>
    <s v="East"/>
    <x v="2"/>
    <m/>
    <n v="336.7"/>
    <n v="8"/>
    <n v="0"/>
    <x v="11"/>
    <n v="0"/>
    <n v="0"/>
    <m/>
    <x v="1"/>
  </r>
  <r>
    <n v="2681"/>
    <d v="2025-02-18T00:00:00"/>
    <n v="38"/>
    <s v="Female"/>
    <s v="North"/>
    <x v="0"/>
    <m/>
    <n v="335.9"/>
    <n v="9"/>
    <n v="0"/>
    <x v="11"/>
    <n v="0"/>
    <n v="0"/>
    <m/>
    <x v="1"/>
  </r>
  <r>
    <n v="3368"/>
    <d v="2025-02-18T00:00:00"/>
    <n v="27"/>
    <s v="Male"/>
    <s v="South"/>
    <x v="3"/>
    <m/>
    <n v="324.5"/>
    <n v="11"/>
    <n v="0"/>
    <x v="11"/>
    <n v="0"/>
    <n v="0"/>
    <m/>
    <x v="1"/>
  </r>
  <r>
    <n v="1261"/>
    <d v="2025-02-18T00:00:00"/>
    <n v="26"/>
    <s v="Female"/>
    <s v="North"/>
    <x v="0"/>
    <m/>
    <n v="276.7"/>
    <n v="6"/>
    <n v="0"/>
    <x v="11"/>
    <n v="0"/>
    <n v="0"/>
    <m/>
    <x v="1"/>
  </r>
  <r>
    <n v="3362"/>
    <d v="2025-02-18T00:00:00"/>
    <n v="38"/>
    <s v="Male"/>
    <s v="West"/>
    <x v="0"/>
    <m/>
    <n v="271.3"/>
    <n v="5"/>
    <n v="0"/>
    <x v="11"/>
    <n v="0"/>
    <n v="0"/>
    <m/>
    <x v="1"/>
  </r>
  <r>
    <n v="3523"/>
    <d v="2025-02-18T00:00:00"/>
    <n v="52"/>
    <s v="Female"/>
    <s v="East"/>
    <x v="0"/>
    <m/>
    <n v="254.4"/>
    <n v="3"/>
    <n v="0"/>
    <x v="11"/>
    <n v="0"/>
    <n v="0"/>
    <m/>
    <x v="1"/>
  </r>
  <r>
    <n v="3074"/>
    <d v="2025-02-18T00:00:00"/>
    <n v="38"/>
    <s v="Female"/>
    <s v="East"/>
    <x v="0"/>
    <m/>
    <n v="228.7"/>
    <n v="6"/>
    <n v="0"/>
    <x v="11"/>
    <n v="0"/>
    <n v="0"/>
    <m/>
    <x v="1"/>
  </r>
  <r>
    <n v="4131"/>
    <d v="2025-02-18T00:00:00"/>
    <n v="44"/>
    <s v="Other"/>
    <s v="East"/>
    <x v="0"/>
    <m/>
    <n v="227.8"/>
    <n v="5"/>
    <n v="0"/>
    <x v="11"/>
    <n v="0"/>
    <n v="0"/>
    <m/>
    <x v="1"/>
  </r>
  <r>
    <n v="3912"/>
    <d v="2025-02-18T00:00:00"/>
    <n v="55"/>
    <s v="Male"/>
    <s v="East"/>
    <x v="0"/>
    <m/>
    <n v="195.7"/>
    <n v="9"/>
    <n v="0"/>
    <x v="11"/>
    <n v="0"/>
    <n v="0"/>
    <m/>
    <x v="1"/>
  </r>
  <r>
    <n v="2451"/>
    <d v="2025-02-18T00:00:00"/>
    <n v="22"/>
    <s v="Female"/>
    <s v="East"/>
    <x v="1"/>
    <s v="CAMP2"/>
    <n v="186.6"/>
    <n v="5"/>
    <n v="0"/>
    <x v="11"/>
    <n v="0"/>
    <n v="0"/>
    <m/>
    <x v="1"/>
  </r>
  <r>
    <n v="1145"/>
    <d v="2025-02-18T00:00:00"/>
    <n v="25"/>
    <s v="Male"/>
    <s v="South"/>
    <x v="3"/>
    <m/>
    <n v="179.5"/>
    <n v="4"/>
    <n v="0"/>
    <x v="11"/>
    <n v="0"/>
    <n v="0"/>
    <m/>
    <x v="1"/>
  </r>
  <r>
    <n v="4600"/>
    <d v="2025-02-18T00:00:00"/>
    <n v="36"/>
    <s v="Female"/>
    <s v="East"/>
    <x v="2"/>
    <m/>
    <n v="163.30000000000001"/>
    <n v="5"/>
    <n v="0"/>
    <x v="11"/>
    <n v="0"/>
    <n v="0"/>
    <m/>
    <x v="1"/>
  </r>
  <r>
    <n v="872"/>
    <d v="2025-02-18T00:00:00"/>
    <n v="21"/>
    <s v="Female"/>
    <s v="South"/>
    <x v="0"/>
    <m/>
    <n v="139.30000000000001"/>
    <n v="3"/>
    <n v="0"/>
    <x v="11"/>
    <n v="0"/>
    <n v="0"/>
    <m/>
    <x v="1"/>
  </r>
  <r>
    <n v="3975"/>
    <d v="2025-02-18T00:00:00"/>
    <n v="47"/>
    <s v="Female"/>
    <s v="East"/>
    <x v="3"/>
    <m/>
    <n v="136"/>
    <n v="5"/>
    <n v="0"/>
    <x v="11"/>
    <n v="0"/>
    <n v="0"/>
    <m/>
    <x v="1"/>
  </r>
  <r>
    <n v="62"/>
    <d v="2025-02-18T00:00:00"/>
    <n v="27"/>
    <s v="Female"/>
    <s v="East"/>
    <x v="1"/>
    <s v="CAMP6"/>
    <n v="113.3"/>
    <n v="6"/>
    <n v="0"/>
    <x v="11"/>
    <n v="0"/>
    <n v="0"/>
    <m/>
    <x v="1"/>
  </r>
  <r>
    <n v="3121"/>
    <d v="2025-02-18T00:00:00"/>
    <n v="29"/>
    <s v="Male"/>
    <s v="North"/>
    <x v="0"/>
    <m/>
    <n v="111.3"/>
    <n v="9"/>
    <n v="0"/>
    <x v="11"/>
    <n v="0"/>
    <n v="0"/>
    <m/>
    <x v="1"/>
  </r>
  <r>
    <n v="126"/>
    <d v="2025-03-18T00:00:00"/>
    <n v="26"/>
    <s v="Male"/>
    <s v="West"/>
    <x v="0"/>
    <m/>
    <n v="670.6"/>
    <n v="5"/>
    <n v="1"/>
    <x v="774"/>
    <n v="5"/>
    <n v="12"/>
    <n v="4"/>
    <x v="2"/>
  </r>
  <r>
    <n v="2899"/>
    <d v="2025-03-18T00:00:00"/>
    <n v="30"/>
    <s v="Female"/>
    <s v="North"/>
    <x v="3"/>
    <m/>
    <n v="1392.7"/>
    <n v="5"/>
    <n v="1"/>
    <x v="1004"/>
    <n v="4"/>
    <n v="4"/>
    <n v="3"/>
    <x v="2"/>
  </r>
  <r>
    <n v="3352"/>
    <d v="2025-03-18T00:00:00"/>
    <n v="27"/>
    <s v="Female"/>
    <s v="East"/>
    <x v="1"/>
    <s v="CAMP6"/>
    <n v="419.9"/>
    <n v="5"/>
    <n v="1"/>
    <x v="1005"/>
    <n v="6"/>
    <n v="6"/>
    <n v="5"/>
    <x v="2"/>
  </r>
  <r>
    <n v="1566"/>
    <d v="2025-03-18T00:00:00"/>
    <n v="18"/>
    <s v="Male"/>
    <s v="East"/>
    <x v="0"/>
    <m/>
    <n v="84.9"/>
    <n v="9"/>
    <n v="1"/>
    <x v="1006"/>
    <n v="6"/>
    <n v="10"/>
    <n v="4"/>
    <x v="2"/>
  </r>
  <r>
    <n v="2203"/>
    <d v="2025-03-18T00:00:00"/>
    <n v="40"/>
    <s v="Female"/>
    <s v="South"/>
    <x v="0"/>
    <m/>
    <n v="380"/>
    <n v="7"/>
    <n v="1"/>
    <x v="1007"/>
    <n v="3"/>
    <n v="11"/>
    <n v="4"/>
    <x v="2"/>
  </r>
  <r>
    <n v="2919"/>
    <d v="2025-03-18T00:00:00"/>
    <n v="28"/>
    <s v="Female"/>
    <s v="East"/>
    <x v="1"/>
    <s v="CAMP4"/>
    <n v="149"/>
    <n v="3"/>
    <n v="1"/>
    <x v="1008"/>
    <n v="3"/>
    <n v="11"/>
    <n v="3"/>
    <x v="2"/>
  </r>
  <r>
    <n v="3047"/>
    <d v="2025-03-18T00:00:00"/>
    <n v="35"/>
    <s v="Female"/>
    <s v="East"/>
    <x v="0"/>
    <m/>
    <n v="695.7"/>
    <n v="4"/>
    <n v="1"/>
    <x v="1009"/>
    <n v="3"/>
    <n v="13"/>
    <n v="4"/>
    <x v="2"/>
  </r>
  <r>
    <n v="1211"/>
    <d v="2025-03-18T00:00:00"/>
    <n v="28"/>
    <s v="Male"/>
    <s v="South"/>
    <x v="2"/>
    <m/>
    <n v="431.4"/>
    <n v="6"/>
    <n v="1"/>
    <x v="1010"/>
    <n v="2"/>
    <n v="3"/>
    <n v="3"/>
    <x v="2"/>
  </r>
  <r>
    <n v="925"/>
    <d v="2025-03-18T00:00:00"/>
    <n v="26"/>
    <s v="Male"/>
    <s v="North"/>
    <x v="1"/>
    <s v="CAMP1"/>
    <n v="925.4"/>
    <n v="3"/>
    <n v="1"/>
    <x v="1011"/>
    <n v="3"/>
    <n v="14"/>
    <n v="4"/>
    <x v="2"/>
  </r>
  <r>
    <n v="453"/>
    <d v="2025-03-18T00:00:00"/>
    <n v="29"/>
    <s v="Other"/>
    <s v="East"/>
    <x v="0"/>
    <m/>
    <n v="803.8"/>
    <n v="5"/>
    <n v="0"/>
    <x v="11"/>
    <n v="0"/>
    <n v="0"/>
    <m/>
    <x v="2"/>
  </r>
  <r>
    <n v="98"/>
    <d v="2025-03-18T00:00:00"/>
    <n v="22"/>
    <s v="Female"/>
    <s v="South"/>
    <x v="1"/>
    <s v="CAMP7"/>
    <n v="562.5"/>
    <n v="8"/>
    <n v="0"/>
    <x v="11"/>
    <n v="0"/>
    <n v="0"/>
    <m/>
    <x v="2"/>
  </r>
  <r>
    <n v="1076"/>
    <d v="2025-03-18T00:00:00"/>
    <n v="35"/>
    <s v="Male"/>
    <s v="East"/>
    <x v="0"/>
    <m/>
    <n v="531.6"/>
    <n v="11"/>
    <n v="0"/>
    <x v="11"/>
    <n v="0"/>
    <n v="0"/>
    <m/>
    <x v="2"/>
  </r>
  <r>
    <n v="3490"/>
    <d v="2025-03-18T00:00:00"/>
    <n v="24"/>
    <s v="Female"/>
    <s v="West"/>
    <x v="1"/>
    <s v="CAMP6"/>
    <n v="413.1"/>
    <n v="8"/>
    <n v="0"/>
    <x v="11"/>
    <n v="0"/>
    <n v="0"/>
    <m/>
    <x v="2"/>
  </r>
  <r>
    <n v="4595"/>
    <d v="2025-03-18T00:00:00"/>
    <n v="56"/>
    <s v="Male"/>
    <s v="East"/>
    <x v="1"/>
    <s v="CAMP7"/>
    <n v="359.7"/>
    <n v="8"/>
    <n v="0"/>
    <x v="11"/>
    <n v="0"/>
    <n v="0"/>
    <m/>
    <x v="2"/>
  </r>
  <r>
    <n v="3154"/>
    <d v="2025-03-18T00:00:00"/>
    <n v="21"/>
    <s v="Female"/>
    <s v="North"/>
    <x v="0"/>
    <m/>
    <n v="352.2"/>
    <n v="5"/>
    <n v="0"/>
    <x v="11"/>
    <n v="0"/>
    <n v="0"/>
    <m/>
    <x v="2"/>
  </r>
  <r>
    <n v="4931"/>
    <d v="2025-03-18T00:00:00"/>
    <n v="32"/>
    <s v="Male"/>
    <s v="North"/>
    <x v="2"/>
    <m/>
    <n v="317.10000000000002"/>
    <n v="6"/>
    <n v="0"/>
    <x v="11"/>
    <n v="0"/>
    <n v="0"/>
    <m/>
    <x v="2"/>
  </r>
  <r>
    <n v="3980"/>
    <d v="2025-03-18T00:00:00"/>
    <n v="62"/>
    <s v="Male"/>
    <s v="South"/>
    <x v="1"/>
    <s v="CAMP4"/>
    <n v="304.39999999999998"/>
    <n v="6"/>
    <n v="0"/>
    <x v="11"/>
    <n v="0"/>
    <n v="0"/>
    <m/>
    <x v="2"/>
  </r>
  <r>
    <n v="692"/>
    <d v="2025-03-18T00:00:00"/>
    <n v="29"/>
    <s v="Female"/>
    <s v="North"/>
    <x v="0"/>
    <m/>
    <n v="271.5"/>
    <n v="10"/>
    <n v="0"/>
    <x v="11"/>
    <n v="0"/>
    <n v="0"/>
    <m/>
    <x v="2"/>
  </r>
  <r>
    <n v="1346"/>
    <d v="2025-03-18T00:00:00"/>
    <n v="32"/>
    <s v="Female"/>
    <s v="East"/>
    <x v="3"/>
    <m/>
    <n v="254.7"/>
    <n v="6"/>
    <n v="0"/>
    <x v="11"/>
    <n v="0"/>
    <n v="0"/>
    <m/>
    <x v="2"/>
  </r>
  <r>
    <n v="4046"/>
    <d v="2025-03-18T00:00:00"/>
    <n v="46"/>
    <s v="Male"/>
    <s v="East"/>
    <x v="0"/>
    <m/>
    <n v="147.80000000000001"/>
    <n v="6"/>
    <n v="0"/>
    <x v="11"/>
    <n v="0"/>
    <n v="0"/>
    <m/>
    <x v="2"/>
  </r>
  <r>
    <n v="4537"/>
    <d v="2025-03-18T00:00:00"/>
    <n v="72"/>
    <s v="Male"/>
    <s v="West"/>
    <x v="2"/>
    <m/>
    <n v="139.19999999999999"/>
    <n v="4"/>
    <n v="0"/>
    <x v="11"/>
    <n v="0"/>
    <n v="0"/>
    <m/>
    <x v="2"/>
  </r>
  <r>
    <n v="4970"/>
    <d v="2025-03-18T00:00:00"/>
    <n v="42"/>
    <s v="Male"/>
    <s v="South"/>
    <x v="0"/>
    <m/>
    <n v="138.5"/>
    <n v="5"/>
    <n v="0"/>
    <x v="11"/>
    <n v="0"/>
    <n v="0"/>
    <m/>
    <x v="2"/>
  </r>
  <r>
    <n v="805"/>
    <d v="2025-03-18T00:00:00"/>
    <n v="26"/>
    <s v="Male"/>
    <s v="North"/>
    <x v="0"/>
    <m/>
    <n v="104.7"/>
    <n v="4"/>
    <n v="0"/>
    <x v="11"/>
    <n v="0"/>
    <n v="0"/>
    <m/>
    <x v="2"/>
  </r>
  <r>
    <n v="1734"/>
    <d v="2025-03-18T00:00:00"/>
    <n v="25"/>
    <s v="Female"/>
    <s v="East"/>
    <x v="0"/>
    <m/>
    <n v="78.8"/>
    <n v="2"/>
    <n v="0"/>
    <x v="11"/>
    <n v="0"/>
    <n v="0"/>
    <m/>
    <x v="2"/>
  </r>
  <r>
    <n v="2130"/>
    <d v="2025-03-18T00:00:00"/>
    <n v="23"/>
    <s v="Female"/>
    <s v="East"/>
    <x v="2"/>
    <m/>
    <n v="52.6"/>
    <n v="4"/>
    <n v="0"/>
    <x v="11"/>
    <n v="0"/>
    <n v="0"/>
    <m/>
    <x v="2"/>
  </r>
  <r>
    <n v="4102"/>
    <d v="2025-03-18T00:00:00"/>
    <n v="59"/>
    <s v="Female"/>
    <s v="East"/>
    <x v="0"/>
    <m/>
    <n v="43.6"/>
    <n v="7"/>
    <n v="0"/>
    <x v="11"/>
    <n v="0"/>
    <n v="0"/>
    <m/>
    <x v="2"/>
  </r>
  <r>
    <n v="3438"/>
    <d v="2025-04-18T00:00:00"/>
    <n v="38"/>
    <s v="Male"/>
    <s v="South"/>
    <x v="2"/>
    <m/>
    <n v="575.6"/>
    <n v="6"/>
    <n v="1"/>
    <x v="1012"/>
    <n v="3"/>
    <n v="6"/>
    <n v="4"/>
    <x v="3"/>
  </r>
  <r>
    <n v="2228"/>
    <d v="2025-04-18T00:00:00"/>
    <n v="39"/>
    <s v="Male"/>
    <s v="North"/>
    <x v="0"/>
    <m/>
    <n v="595.29999999999995"/>
    <n v="9"/>
    <n v="1"/>
    <x v="1013"/>
    <n v="2"/>
    <n v="9"/>
    <n v="4"/>
    <x v="3"/>
  </r>
  <r>
    <n v="4923"/>
    <d v="2025-04-18T00:00:00"/>
    <n v="55"/>
    <s v="Female"/>
    <s v="South"/>
    <x v="0"/>
    <m/>
    <n v="203.2"/>
    <n v="4"/>
    <n v="1"/>
    <x v="1014"/>
    <n v="2"/>
    <n v="6"/>
    <n v="4"/>
    <x v="3"/>
  </r>
  <r>
    <n v="3730"/>
    <d v="2025-04-18T00:00:00"/>
    <n v="19"/>
    <s v="Female"/>
    <s v="East"/>
    <x v="1"/>
    <s v="CAMP2"/>
    <n v="601.20000000000005"/>
    <n v="7"/>
    <n v="1"/>
    <x v="1015"/>
    <n v="6"/>
    <n v="4"/>
    <n v="4"/>
    <x v="3"/>
  </r>
  <r>
    <n v="4524"/>
    <d v="2025-04-18T00:00:00"/>
    <n v="46"/>
    <s v="Female"/>
    <s v="West"/>
    <x v="3"/>
    <m/>
    <n v="582"/>
    <n v="5"/>
    <n v="1"/>
    <x v="1016"/>
    <n v="2"/>
    <n v="8"/>
    <n v="3"/>
    <x v="3"/>
  </r>
  <r>
    <n v="4337"/>
    <d v="2025-04-18T00:00:00"/>
    <n v="41"/>
    <s v="Male"/>
    <s v="North"/>
    <x v="0"/>
    <m/>
    <n v="109.6"/>
    <n v="7"/>
    <n v="1"/>
    <x v="1017"/>
    <n v="3"/>
    <n v="1"/>
    <n v="4"/>
    <x v="3"/>
  </r>
  <r>
    <n v="850"/>
    <d v="2025-04-18T00:00:00"/>
    <n v="23"/>
    <s v="Female"/>
    <s v="North"/>
    <x v="1"/>
    <s v="CAMP2"/>
    <n v="1255.5"/>
    <n v="8"/>
    <n v="1"/>
    <x v="1018"/>
    <n v="2"/>
    <n v="14"/>
    <n v="5"/>
    <x v="3"/>
  </r>
  <r>
    <n v="1032"/>
    <d v="2025-04-18T00:00:00"/>
    <n v="18"/>
    <s v="Male"/>
    <s v="North"/>
    <x v="2"/>
    <m/>
    <n v="254.1"/>
    <n v="6"/>
    <n v="1"/>
    <x v="1019"/>
    <n v="1"/>
    <n v="7"/>
    <n v="3"/>
    <x v="3"/>
  </r>
  <r>
    <n v="977"/>
    <d v="2025-04-18T00:00:00"/>
    <n v="32"/>
    <s v="Male"/>
    <s v="East"/>
    <x v="0"/>
    <m/>
    <n v="780.9"/>
    <n v="8"/>
    <n v="1"/>
    <x v="1020"/>
    <n v="2"/>
    <n v="2"/>
    <n v="4"/>
    <x v="3"/>
  </r>
  <r>
    <n v="950"/>
    <d v="2025-04-18T00:00:00"/>
    <n v="19"/>
    <s v="Male"/>
    <s v="West"/>
    <x v="1"/>
    <s v="CAMP6"/>
    <n v="236"/>
    <n v="5"/>
    <n v="1"/>
    <x v="1021"/>
    <n v="4"/>
    <n v="14"/>
    <n v="4"/>
    <x v="3"/>
  </r>
  <r>
    <n v="4352"/>
    <d v="2025-04-18T00:00:00"/>
    <n v="72"/>
    <s v="Female"/>
    <s v="South"/>
    <x v="1"/>
    <s v="CAMP1"/>
    <n v="219.4"/>
    <n v="8"/>
    <n v="1"/>
    <x v="1022"/>
    <n v="2"/>
    <n v="4"/>
    <n v="5"/>
    <x v="3"/>
  </r>
  <r>
    <n v="3767"/>
    <d v="2025-04-18T00:00:00"/>
    <n v="43"/>
    <s v="Female"/>
    <s v="East"/>
    <x v="1"/>
    <s v="CAMP6"/>
    <n v="890.9"/>
    <n v="7"/>
    <n v="1"/>
    <x v="1023"/>
    <n v="7"/>
    <n v="14"/>
    <n v="3"/>
    <x v="3"/>
  </r>
  <r>
    <n v="4501"/>
    <d v="2025-04-18T00:00:00"/>
    <n v="48"/>
    <s v="Female"/>
    <s v="West"/>
    <x v="1"/>
    <s v="CAMP5"/>
    <n v="854.1"/>
    <n v="6"/>
    <n v="1"/>
    <x v="1024"/>
    <n v="4"/>
    <n v="9"/>
    <n v="3"/>
    <x v="3"/>
  </r>
  <r>
    <n v="3339"/>
    <d v="2025-04-18T00:00:00"/>
    <n v="29"/>
    <s v="Female"/>
    <s v="West"/>
    <x v="1"/>
    <s v="CAMP1"/>
    <n v="575.1"/>
    <n v="5"/>
    <n v="1"/>
    <x v="1025"/>
    <n v="5"/>
    <n v="11"/>
    <n v="4"/>
    <x v="3"/>
  </r>
  <r>
    <n v="3793"/>
    <d v="2025-04-18T00:00:00"/>
    <n v="51"/>
    <s v="Male"/>
    <s v="East"/>
    <x v="0"/>
    <m/>
    <n v="510.9"/>
    <n v="7"/>
    <n v="1"/>
    <x v="1026"/>
    <n v="4"/>
    <n v="5"/>
    <n v="4"/>
    <x v="3"/>
  </r>
  <r>
    <n v="3063"/>
    <d v="2025-04-18T00:00:00"/>
    <n v="41"/>
    <s v="Female"/>
    <s v="West"/>
    <x v="3"/>
    <m/>
    <n v="52.9"/>
    <n v="6"/>
    <n v="1"/>
    <x v="1027"/>
    <n v="1"/>
    <n v="15"/>
    <n v="4"/>
    <x v="3"/>
  </r>
  <r>
    <n v="3075"/>
    <d v="2025-04-18T00:00:00"/>
    <n v="35"/>
    <s v="Female"/>
    <s v="East"/>
    <x v="0"/>
    <m/>
    <n v="498.6"/>
    <n v="7"/>
    <n v="0"/>
    <x v="11"/>
    <n v="0"/>
    <n v="0"/>
    <m/>
    <x v="3"/>
  </r>
  <r>
    <n v="1953"/>
    <d v="2025-04-18T00:00:00"/>
    <n v="39"/>
    <s v="Female"/>
    <s v="East"/>
    <x v="0"/>
    <m/>
    <n v="434.6"/>
    <n v="4"/>
    <n v="0"/>
    <x v="11"/>
    <n v="0"/>
    <n v="0"/>
    <m/>
    <x v="3"/>
  </r>
  <r>
    <n v="4286"/>
    <d v="2025-04-18T00:00:00"/>
    <n v="72"/>
    <s v="Female"/>
    <s v="North"/>
    <x v="1"/>
    <s v="CAMP1"/>
    <n v="358.6"/>
    <n v="8"/>
    <n v="0"/>
    <x v="11"/>
    <n v="0"/>
    <n v="0"/>
    <m/>
    <x v="3"/>
  </r>
  <r>
    <n v="2692"/>
    <d v="2025-04-18T00:00:00"/>
    <n v="29"/>
    <s v="Female"/>
    <s v="North"/>
    <x v="1"/>
    <s v="CAMP2"/>
    <n v="341.1"/>
    <n v="5"/>
    <n v="0"/>
    <x v="11"/>
    <n v="0"/>
    <n v="0"/>
    <m/>
    <x v="3"/>
  </r>
  <r>
    <n v="712"/>
    <d v="2025-04-18T00:00:00"/>
    <n v="28"/>
    <s v="Female"/>
    <s v="West"/>
    <x v="2"/>
    <m/>
    <n v="331.7"/>
    <n v="5"/>
    <n v="0"/>
    <x v="11"/>
    <n v="0"/>
    <n v="0"/>
    <m/>
    <x v="3"/>
  </r>
  <r>
    <n v="3464"/>
    <d v="2025-04-18T00:00:00"/>
    <n v="48"/>
    <s v="Female"/>
    <s v="East"/>
    <x v="0"/>
    <m/>
    <n v="290.60000000000002"/>
    <n v="5"/>
    <n v="0"/>
    <x v="11"/>
    <n v="0"/>
    <n v="0"/>
    <m/>
    <x v="3"/>
  </r>
  <r>
    <n v="4300"/>
    <d v="2025-04-18T00:00:00"/>
    <n v="50"/>
    <s v="Female"/>
    <s v="West"/>
    <x v="1"/>
    <s v="CAMP1"/>
    <n v="271.3"/>
    <n v="3"/>
    <n v="0"/>
    <x v="11"/>
    <n v="0"/>
    <n v="0"/>
    <m/>
    <x v="3"/>
  </r>
  <r>
    <n v="4717"/>
    <d v="2025-04-18T00:00:00"/>
    <n v="51"/>
    <s v="Female"/>
    <s v="East"/>
    <x v="0"/>
    <m/>
    <n v="226.1"/>
    <n v="5"/>
    <n v="0"/>
    <x v="11"/>
    <n v="0"/>
    <n v="0"/>
    <m/>
    <x v="3"/>
  </r>
  <r>
    <n v="3649"/>
    <d v="2025-04-18T00:00:00"/>
    <n v="28"/>
    <s v="Other"/>
    <s v="South"/>
    <x v="0"/>
    <m/>
    <n v="212.9"/>
    <n v="5"/>
    <n v="0"/>
    <x v="11"/>
    <n v="0"/>
    <n v="0"/>
    <m/>
    <x v="3"/>
  </r>
  <r>
    <n v="980"/>
    <d v="2025-04-18T00:00:00"/>
    <n v="27"/>
    <s v="Female"/>
    <s v="East"/>
    <x v="3"/>
    <m/>
    <n v="197.1"/>
    <n v="7"/>
    <n v="0"/>
    <x v="11"/>
    <n v="0"/>
    <n v="0"/>
    <m/>
    <x v="3"/>
  </r>
  <r>
    <n v="1583"/>
    <d v="2025-04-18T00:00:00"/>
    <n v="21"/>
    <s v="Female"/>
    <s v="South"/>
    <x v="0"/>
    <m/>
    <n v="192.8"/>
    <n v="6"/>
    <n v="0"/>
    <x v="11"/>
    <n v="0"/>
    <n v="0"/>
    <m/>
    <x v="3"/>
  </r>
  <r>
    <n v="3372"/>
    <d v="2025-04-18T00:00:00"/>
    <n v="19"/>
    <s v="Female"/>
    <s v="South"/>
    <x v="0"/>
    <m/>
    <n v="160.6"/>
    <n v="5"/>
    <n v="0"/>
    <x v="11"/>
    <n v="0"/>
    <n v="0"/>
    <m/>
    <x v="3"/>
  </r>
  <r>
    <n v="4704"/>
    <d v="2025-04-18T00:00:00"/>
    <n v="30"/>
    <s v="Female"/>
    <s v="West"/>
    <x v="0"/>
    <m/>
    <n v="150.6"/>
    <n v="8"/>
    <n v="0"/>
    <x v="11"/>
    <n v="0"/>
    <n v="0"/>
    <m/>
    <x v="3"/>
  </r>
  <r>
    <n v="55"/>
    <d v="2025-04-18T00:00:00"/>
    <n v="18"/>
    <s v="Female"/>
    <s v="North"/>
    <x v="0"/>
    <m/>
    <n v="104.4"/>
    <n v="3"/>
    <n v="0"/>
    <x v="11"/>
    <n v="0"/>
    <n v="0"/>
    <m/>
    <x v="3"/>
  </r>
  <r>
    <n v="2249"/>
    <d v="2025-04-18T00:00:00"/>
    <n v="44"/>
    <s v="Male"/>
    <s v="North"/>
    <x v="0"/>
    <m/>
    <n v="86.6"/>
    <n v="7"/>
    <n v="0"/>
    <x v="11"/>
    <n v="0"/>
    <n v="0"/>
    <m/>
    <x v="3"/>
  </r>
  <r>
    <n v="4423"/>
    <d v="2025-04-18T00:00:00"/>
    <n v="59"/>
    <s v="Male"/>
    <s v="East"/>
    <x v="1"/>
    <s v="CAMP5"/>
    <n v="69.5"/>
    <n v="7"/>
    <n v="0"/>
    <x v="11"/>
    <n v="0"/>
    <n v="0"/>
    <m/>
    <x v="3"/>
  </r>
  <r>
    <n v="4869"/>
    <d v="2025-04-18T00:00:00"/>
    <n v="51"/>
    <s v="Female"/>
    <s v="South"/>
    <x v="1"/>
    <s v="CAMP1"/>
    <n v="62.4"/>
    <n v="8"/>
    <n v="0"/>
    <x v="11"/>
    <n v="0"/>
    <n v="0"/>
    <m/>
    <x v="3"/>
  </r>
  <r>
    <n v="4"/>
    <d v="2025-04-18T00:00:00"/>
    <n v="30"/>
    <s v="Male"/>
    <s v="North"/>
    <x v="1"/>
    <s v="CAMP6"/>
    <n v="56.8"/>
    <n v="7"/>
    <n v="0"/>
    <x v="11"/>
    <n v="0"/>
    <n v="0"/>
    <m/>
    <x v="3"/>
  </r>
  <r>
    <n v="5000"/>
    <d v="2025-04-18T00:00:00"/>
    <n v="68"/>
    <s v="Female"/>
    <s v="South"/>
    <x v="1"/>
    <s v="CAMP7"/>
    <n v="50.1"/>
    <n v="6"/>
    <n v="0"/>
    <x v="11"/>
    <n v="0"/>
    <n v="0"/>
    <m/>
    <x v="3"/>
  </r>
  <r>
    <n v="4584"/>
    <d v="2025-05-18T00:00:00"/>
    <n v="39"/>
    <s v="Male"/>
    <s v="West"/>
    <x v="0"/>
    <m/>
    <n v="997.3"/>
    <n v="6"/>
    <n v="1"/>
    <x v="1028"/>
    <n v="4"/>
    <n v="15"/>
    <n v="4"/>
    <x v="4"/>
  </r>
  <r>
    <n v="1884"/>
    <d v="2025-05-18T00:00:00"/>
    <n v="22"/>
    <s v="Female"/>
    <s v="South"/>
    <x v="1"/>
    <s v="CAMP6"/>
    <n v="848.1"/>
    <n v="4"/>
    <n v="1"/>
    <x v="1029"/>
    <n v="3"/>
    <n v="3"/>
    <n v="4"/>
    <x v="4"/>
  </r>
  <r>
    <n v="1478"/>
    <d v="2025-05-18T00:00:00"/>
    <n v="19"/>
    <s v="Male"/>
    <s v="East"/>
    <x v="0"/>
    <m/>
    <n v="1321"/>
    <n v="4"/>
    <n v="1"/>
    <x v="1030"/>
    <n v="1"/>
    <n v="4"/>
    <n v="5"/>
    <x v="4"/>
  </r>
  <r>
    <n v="2188"/>
    <d v="2025-05-18T00:00:00"/>
    <n v="23"/>
    <s v="Female"/>
    <s v="South"/>
    <x v="0"/>
    <m/>
    <n v="329.3"/>
    <n v="3"/>
    <n v="1"/>
    <x v="970"/>
    <n v="4"/>
    <n v="5"/>
    <n v="5"/>
    <x v="4"/>
  </r>
  <r>
    <n v="2443"/>
    <d v="2025-05-18T00:00:00"/>
    <n v="39"/>
    <s v="Female"/>
    <s v="West"/>
    <x v="0"/>
    <m/>
    <n v="758.3"/>
    <n v="4"/>
    <n v="1"/>
    <x v="1031"/>
    <n v="3"/>
    <n v="4"/>
    <n v="4"/>
    <x v="4"/>
  </r>
  <r>
    <n v="432"/>
    <d v="2025-05-18T00:00:00"/>
    <n v="26"/>
    <s v="Male"/>
    <s v="South"/>
    <x v="0"/>
    <m/>
    <n v="775.7"/>
    <n v="6"/>
    <n v="1"/>
    <x v="1032"/>
    <n v="5"/>
    <n v="2"/>
    <n v="3"/>
    <x v="4"/>
  </r>
  <r>
    <n v="1991"/>
    <d v="2025-05-18T00:00:00"/>
    <n v="36"/>
    <s v="Male"/>
    <s v="South"/>
    <x v="0"/>
    <m/>
    <n v="819"/>
    <n v="8"/>
    <n v="0"/>
    <x v="11"/>
    <n v="0"/>
    <n v="0"/>
    <m/>
    <x v="4"/>
  </r>
  <r>
    <n v="4363"/>
    <d v="2025-05-18T00:00:00"/>
    <n v="58"/>
    <s v="Female"/>
    <s v="South"/>
    <x v="0"/>
    <m/>
    <n v="779.7"/>
    <n v="5"/>
    <n v="0"/>
    <x v="11"/>
    <n v="0"/>
    <n v="0"/>
    <m/>
    <x v="4"/>
  </r>
  <r>
    <n v="2902"/>
    <d v="2025-05-18T00:00:00"/>
    <n v="28"/>
    <s v="Female"/>
    <s v="West"/>
    <x v="3"/>
    <m/>
    <n v="677.5"/>
    <n v="5"/>
    <n v="0"/>
    <x v="11"/>
    <n v="0"/>
    <n v="0"/>
    <m/>
    <x v="4"/>
  </r>
  <r>
    <n v="1690"/>
    <d v="2025-05-18T00:00:00"/>
    <n v="29"/>
    <s v="Female"/>
    <s v="West"/>
    <x v="1"/>
    <s v="CAMP4"/>
    <n v="577.4"/>
    <n v="6"/>
    <n v="0"/>
    <x v="11"/>
    <n v="0"/>
    <n v="0"/>
    <m/>
    <x v="4"/>
  </r>
  <r>
    <n v="919"/>
    <d v="2025-05-18T00:00:00"/>
    <n v="23"/>
    <s v="Male"/>
    <s v="North"/>
    <x v="3"/>
    <m/>
    <n v="426.4"/>
    <n v="4"/>
    <n v="0"/>
    <x v="11"/>
    <n v="0"/>
    <n v="0"/>
    <m/>
    <x v="4"/>
  </r>
  <r>
    <n v="1812"/>
    <d v="2025-05-18T00:00:00"/>
    <n v="24"/>
    <s v="Male"/>
    <s v="East"/>
    <x v="0"/>
    <m/>
    <n v="367.8"/>
    <n v="4"/>
    <n v="0"/>
    <x v="11"/>
    <n v="0"/>
    <n v="0"/>
    <m/>
    <x v="4"/>
  </r>
  <r>
    <n v="2542"/>
    <d v="2025-05-18T00:00:00"/>
    <n v="32"/>
    <s v="Female"/>
    <s v="North"/>
    <x v="0"/>
    <m/>
    <n v="349.6"/>
    <n v="5"/>
    <n v="0"/>
    <x v="11"/>
    <n v="0"/>
    <n v="0"/>
    <m/>
    <x v="4"/>
  </r>
  <r>
    <n v="3169"/>
    <d v="2025-05-18T00:00:00"/>
    <n v="27"/>
    <s v="Female"/>
    <s v="West"/>
    <x v="1"/>
    <s v="CAMP7"/>
    <n v="329.1"/>
    <n v="8"/>
    <n v="0"/>
    <x v="11"/>
    <n v="0"/>
    <n v="0"/>
    <m/>
    <x v="4"/>
  </r>
  <r>
    <n v="3421"/>
    <d v="2025-05-18T00:00:00"/>
    <n v="43"/>
    <s v="Female"/>
    <s v="East"/>
    <x v="0"/>
    <m/>
    <n v="327.7"/>
    <n v="8"/>
    <n v="0"/>
    <x v="11"/>
    <n v="0"/>
    <n v="0"/>
    <m/>
    <x v="4"/>
  </r>
  <r>
    <n v="4063"/>
    <d v="2025-05-18T00:00:00"/>
    <n v="63"/>
    <s v="Female"/>
    <s v="East"/>
    <x v="1"/>
    <s v="CAMP2"/>
    <n v="286.2"/>
    <n v="3"/>
    <n v="0"/>
    <x v="11"/>
    <n v="0"/>
    <n v="0"/>
    <m/>
    <x v="4"/>
  </r>
  <r>
    <n v="1510"/>
    <d v="2025-05-18T00:00:00"/>
    <n v="26"/>
    <s v="Male"/>
    <s v="North"/>
    <x v="0"/>
    <m/>
    <n v="268.7"/>
    <n v="6"/>
    <n v="0"/>
    <x v="11"/>
    <n v="0"/>
    <n v="0"/>
    <m/>
    <x v="4"/>
  </r>
  <r>
    <n v="4622"/>
    <d v="2025-05-18T00:00:00"/>
    <n v="52"/>
    <s v="Male"/>
    <s v="East"/>
    <x v="3"/>
    <m/>
    <n v="260.89999999999998"/>
    <n v="3"/>
    <n v="0"/>
    <x v="11"/>
    <n v="0"/>
    <n v="0"/>
    <m/>
    <x v="4"/>
  </r>
  <r>
    <n v="4849"/>
    <d v="2025-05-18T00:00:00"/>
    <n v="29"/>
    <s v="Male"/>
    <s v="West"/>
    <x v="0"/>
    <m/>
    <n v="251"/>
    <n v="5"/>
    <n v="0"/>
    <x v="11"/>
    <n v="0"/>
    <n v="0"/>
    <m/>
    <x v="4"/>
  </r>
  <r>
    <n v="4939"/>
    <d v="2025-05-18T00:00:00"/>
    <n v="28"/>
    <s v="Male"/>
    <s v="North"/>
    <x v="3"/>
    <m/>
    <n v="187.9"/>
    <n v="6"/>
    <n v="0"/>
    <x v="11"/>
    <n v="0"/>
    <n v="0"/>
    <m/>
    <x v="4"/>
  </r>
  <r>
    <n v="3323"/>
    <d v="2025-05-18T00:00:00"/>
    <n v="34"/>
    <s v="Female"/>
    <s v="East"/>
    <x v="0"/>
    <m/>
    <n v="168.4"/>
    <n v="10"/>
    <n v="0"/>
    <x v="11"/>
    <n v="0"/>
    <n v="0"/>
    <m/>
    <x v="4"/>
  </r>
  <r>
    <n v="3588"/>
    <d v="2025-05-18T00:00:00"/>
    <n v="19"/>
    <s v="Male"/>
    <s v="East"/>
    <x v="0"/>
    <m/>
    <n v="155.5"/>
    <n v="9"/>
    <n v="0"/>
    <x v="11"/>
    <n v="0"/>
    <n v="0"/>
    <m/>
    <x v="4"/>
  </r>
  <r>
    <n v="3423"/>
    <d v="2025-05-18T00:00:00"/>
    <n v="43"/>
    <s v="Male"/>
    <s v="West"/>
    <x v="1"/>
    <s v="CAMP5"/>
    <n v="152.19999999999999"/>
    <n v="9"/>
    <n v="0"/>
    <x v="11"/>
    <n v="0"/>
    <n v="0"/>
    <m/>
    <x v="4"/>
  </r>
  <r>
    <n v="2493"/>
    <d v="2025-05-18T00:00:00"/>
    <n v="36"/>
    <s v="Female"/>
    <s v="South"/>
    <x v="0"/>
    <m/>
    <n v="146.19999999999999"/>
    <n v="3"/>
    <n v="0"/>
    <x v="11"/>
    <n v="0"/>
    <n v="0"/>
    <m/>
    <x v="4"/>
  </r>
  <r>
    <n v="158"/>
    <d v="2025-05-18T00:00:00"/>
    <n v="25"/>
    <s v="Female"/>
    <s v="East"/>
    <x v="0"/>
    <m/>
    <n v="102"/>
    <n v="7"/>
    <n v="0"/>
    <x v="11"/>
    <n v="0"/>
    <n v="0"/>
    <m/>
    <x v="4"/>
  </r>
  <r>
    <n v="767"/>
    <d v="2025-05-18T00:00:00"/>
    <n v="30"/>
    <s v="Female"/>
    <s v="East"/>
    <x v="1"/>
    <s v="CAMP4"/>
    <n v="98.7"/>
    <n v="9"/>
    <n v="0"/>
    <x v="11"/>
    <n v="0"/>
    <n v="0"/>
    <m/>
    <x v="4"/>
  </r>
  <r>
    <n v="2502"/>
    <d v="2025-05-18T00:00:00"/>
    <n v="42"/>
    <s v="Male"/>
    <s v="West"/>
    <x v="3"/>
    <m/>
    <n v="96.4"/>
    <n v="7"/>
    <n v="0"/>
    <x v="11"/>
    <n v="0"/>
    <n v="0"/>
    <m/>
    <x v="4"/>
  </r>
  <r>
    <n v="4238"/>
    <d v="2025-05-18T00:00:00"/>
    <n v="47"/>
    <s v="Female"/>
    <s v="North"/>
    <x v="1"/>
    <s v="CAMP4"/>
    <n v="43.6"/>
    <n v="8"/>
    <n v="0"/>
    <x v="11"/>
    <n v="0"/>
    <n v="0"/>
    <m/>
    <x v="4"/>
  </r>
  <r>
    <n v="257"/>
    <d v="2025-06-18T00:00:00"/>
    <n v="18"/>
    <s v="Female"/>
    <s v="North"/>
    <x v="1"/>
    <s v="CAMP6"/>
    <n v="495.1"/>
    <n v="10"/>
    <n v="1"/>
    <x v="1033"/>
    <n v="1"/>
    <n v="11"/>
    <n v="4"/>
    <x v="5"/>
  </r>
  <r>
    <n v="4816"/>
    <d v="2025-06-18T00:00:00"/>
    <n v="53"/>
    <s v="Female"/>
    <s v="East"/>
    <x v="1"/>
    <s v="CAMP6"/>
    <n v="300.39999999999998"/>
    <n v="3"/>
    <n v="1"/>
    <x v="1034"/>
    <n v="4"/>
    <n v="3"/>
    <n v="4"/>
    <x v="5"/>
  </r>
  <r>
    <n v="3802"/>
    <d v="2025-06-18T00:00:00"/>
    <n v="56"/>
    <s v="Female"/>
    <s v="East"/>
    <x v="3"/>
    <m/>
    <n v="288.39999999999998"/>
    <n v="4"/>
    <n v="1"/>
    <x v="1035"/>
    <n v="3"/>
    <n v="10"/>
    <n v="4"/>
    <x v="5"/>
  </r>
  <r>
    <n v="1656"/>
    <d v="2025-06-18T00:00:00"/>
    <n v="24"/>
    <s v="Male"/>
    <s v="North"/>
    <x v="0"/>
    <m/>
    <n v="208.5"/>
    <n v="6"/>
    <n v="1"/>
    <x v="1036"/>
    <n v="4"/>
    <n v="13"/>
    <n v="5"/>
    <x v="5"/>
  </r>
  <r>
    <n v="2023"/>
    <d v="2025-06-18T00:00:00"/>
    <n v="46"/>
    <s v="Female"/>
    <s v="East"/>
    <x v="3"/>
    <m/>
    <n v="544.79999999999995"/>
    <n v="5"/>
    <n v="1"/>
    <x v="1037"/>
    <n v="4"/>
    <n v="3"/>
    <n v="4"/>
    <x v="5"/>
  </r>
  <r>
    <n v="3157"/>
    <d v="2025-06-18T00:00:00"/>
    <n v="28"/>
    <s v="Male"/>
    <s v="South"/>
    <x v="1"/>
    <s v="CAMP5"/>
    <n v="855.6"/>
    <n v="8"/>
    <n v="1"/>
    <x v="1038"/>
    <n v="2"/>
    <n v="8"/>
    <n v="4"/>
    <x v="5"/>
  </r>
  <r>
    <n v="3516"/>
    <d v="2025-06-18T00:00:00"/>
    <n v="41"/>
    <s v="Female"/>
    <s v="South"/>
    <x v="3"/>
    <m/>
    <n v="271.3"/>
    <n v="7"/>
    <n v="1"/>
    <x v="1039"/>
    <n v="3"/>
    <n v="4"/>
    <n v="4"/>
    <x v="5"/>
  </r>
  <r>
    <n v="4246"/>
    <d v="2025-06-18T00:00:00"/>
    <n v="56"/>
    <s v="Male"/>
    <s v="South"/>
    <x v="0"/>
    <m/>
    <n v="220.8"/>
    <n v="6"/>
    <n v="1"/>
    <x v="1040"/>
    <n v="2"/>
    <n v="5"/>
    <n v="3"/>
    <x v="5"/>
  </r>
  <r>
    <n v="4858"/>
    <d v="2025-06-18T00:00:00"/>
    <n v="62"/>
    <s v="Male"/>
    <s v="South"/>
    <x v="1"/>
    <s v="CAMP7"/>
    <n v="1061.9000000000001"/>
    <n v="5"/>
    <n v="1"/>
    <x v="1041"/>
    <n v="4"/>
    <n v="4"/>
    <n v="3"/>
    <x v="5"/>
  </r>
  <r>
    <n v="3886"/>
    <d v="2025-06-18T00:00:00"/>
    <n v="48"/>
    <s v="Female"/>
    <s v="East"/>
    <x v="0"/>
    <m/>
    <n v="462.4"/>
    <n v="2"/>
    <n v="1"/>
    <x v="1042"/>
    <n v="3"/>
    <n v="5"/>
    <n v="4"/>
    <x v="5"/>
  </r>
  <r>
    <n v="3723"/>
    <d v="2025-06-18T00:00:00"/>
    <n v="42"/>
    <s v="Female"/>
    <s v="North"/>
    <x v="0"/>
    <m/>
    <n v="80.2"/>
    <n v="4"/>
    <n v="1"/>
    <x v="1043"/>
    <n v="2"/>
    <n v="9"/>
    <n v="5"/>
    <x v="5"/>
  </r>
  <r>
    <n v="3931"/>
    <d v="2025-06-18T00:00:00"/>
    <n v="79"/>
    <s v="Male"/>
    <s v="West"/>
    <x v="0"/>
    <m/>
    <n v="578.5"/>
    <n v="4"/>
    <n v="0"/>
    <x v="11"/>
    <n v="0"/>
    <n v="0"/>
    <m/>
    <x v="5"/>
  </r>
  <r>
    <n v="1420"/>
    <d v="2025-06-18T00:00:00"/>
    <n v="26"/>
    <s v="Female"/>
    <s v="North"/>
    <x v="0"/>
    <m/>
    <n v="574.70000000000005"/>
    <n v="7"/>
    <n v="0"/>
    <x v="11"/>
    <n v="0"/>
    <n v="0"/>
    <m/>
    <x v="5"/>
  </r>
  <r>
    <n v="4322"/>
    <d v="2025-06-18T00:00:00"/>
    <n v="49"/>
    <s v="Male"/>
    <s v="North"/>
    <x v="1"/>
    <s v="CAMP6"/>
    <n v="470.1"/>
    <n v="4"/>
    <n v="0"/>
    <x v="11"/>
    <n v="0"/>
    <n v="0"/>
    <m/>
    <x v="5"/>
  </r>
  <r>
    <n v="3854"/>
    <d v="2025-06-18T00:00:00"/>
    <n v="62"/>
    <s v="Female"/>
    <s v="North"/>
    <x v="3"/>
    <m/>
    <n v="443.2"/>
    <n v="4"/>
    <n v="0"/>
    <x v="11"/>
    <n v="0"/>
    <n v="0"/>
    <m/>
    <x v="5"/>
  </r>
  <r>
    <n v="972"/>
    <d v="2025-06-18T00:00:00"/>
    <n v="26"/>
    <s v="Male"/>
    <s v="West"/>
    <x v="0"/>
    <m/>
    <n v="321.10000000000002"/>
    <n v="8"/>
    <n v="0"/>
    <x v="11"/>
    <n v="0"/>
    <n v="0"/>
    <m/>
    <x v="5"/>
  </r>
  <r>
    <n v="3839"/>
    <d v="2025-06-18T00:00:00"/>
    <n v="46"/>
    <s v="Male"/>
    <s v="East"/>
    <x v="0"/>
    <m/>
    <n v="293.10000000000002"/>
    <n v="8"/>
    <n v="0"/>
    <x v="11"/>
    <n v="0"/>
    <n v="0"/>
    <m/>
    <x v="5"/>
  </r>
  <r>
    <n v="807"/>
    <d v="2025-06-18T00:00:00"/>
    <n v="21"/>
    <s v="Female"/>
    <s v="South"/>
    <x v="1"/>
    <s v="CAMP1"/>
    <n v="257.39999999999998"/>
    <n v="7"/>
    <n v="0"/>
    <x v="11"/>
    <n v="0"/>
    <n v="0"/>
    <m/>
    <x v="5"/>
  </r>
  <r>
    <n v="179"/>
    <d v="2025-06-18T00:00:00"/>
    <n v="22"/>
    <s v="Male"/>
    <s v="South"/>
    <x v="0"/>
    <m/>
    <n v="250.7"/>
    <n v="9"/>
    <n v="0"/>
    <x v="11"/>
    <n v="0"/>
    <n v="0"/>
    <m/>
    <x v="5"/>
  </r>
  <r>
    <n v="1302"/>
    <d v="2025-06-18T00:00:00"/>
    <n v="28"/>
    <s v="Male"/>
    <s v="West"/>
    <x v="0"/>
    <m/>
    <n v="249.3"/>
    <n v="6"/>
    <n v="0"/>
    <x v="11"/>
    <n v="0"/>
    <n v="0"/>
    <m/>
    <x v="5"/>
  </r>
  <r>
    <n v="2186"/>
    <d v="2025-06-18T00:00:00"/>
    <n v="47"/>
    <s v="Female"/>
    <s v="East"/>
    <x v="1"/>
    <s v="CAMP3"/>
    <n v="217.3"/>
    <n v="6"/>
    <n v="0"/>
    <x v="11"/>
    <n v="0"/>
    <n v="0"/>
    <m/>
    <x v="5"/>
  </r>
  <r>
    <n v="1186"/>
    <d v="2025-06-18T00:00:00"/>
    <n v="25"/>
    <s v="Female"/>
    <s v="East"/>
    <x v="3"/>
    <m/>
    <n v="213.2"/>
    <n v="7"/>
    <n v="0"/>
    <x v="11"/>
    <n v="0"/>
    <n v="0"/>
    <m/>
    <x v="5"/>
  </r>
  <r>
    <n v="721"/>
    <d v="2025-06-18T00:00:00"/>
    <n v="22"/>
    <s v="Female"/>
    <s v="North"/>
    <x v="1"/>
    <s v="CAMP2"/>
    <n v="198.1"/>
    <n v="5"/>
    <n v="0"/>
    <x v="11"/>
    <n v="0"/>
    <n v="0"/>
    <m/>
    <x v="5"/>
  </r>
  <r>
    <n v="1866"/>
    <d v="2025-06-18T00:00:00"/>
    <n v="32"/>
    <s v="Female"/>
    <s v="East"/>
    <x v="0"/>
    <m/>
    <n v="184.9"/>
    <n v="7"/>
    <n v="0"/>
    <x v="11"/>
    <n v="0"/>
    <n v="0"/>
    <m/>
    <x v="5"/>
  </r>
  <r>
    <n v="1416"/>
    <d v="2025-06-18T00:00:00"/>
    <n v="20"/>
    <s v="Female"/>
    <s v="South"/>
    <x v="0"/>
    <m/>
    <n v="136.19999999999999"/>
    <n v="5"/>
    <n v="0"/>
    <x v="11"/>
    <n v="0"/>
    <n v="0"/>
    <m/>
    <x v="5"/>
  </r>
  <r>
    <n v="1522"/>
    <d v="2025-06-18T00:00:00"/>
    <n v="21"/>
    <s v="Male"/>
    <s v="South"/>
    <x v="3"/>
    <m/>
    <n v="129.19999999999999"/>
    <n v="7"/>
    <n v="0"/>
    <x v="11"/>
    <n v="0"/>
    <n v="0"/>
    <m/>
    <x v="5"/>
  </r>
  <r>
    <n v="4581"/>
    <d v="2025-06-18T00:00:00"/>
    <n v="45"/>
    <s v="Male"/>
    <s v="East"/>
    <x v="3"/>
    <m/>
    <n v="127.9"/>
    <n v="4"/>
    <n v="0"/>
    <x v="11"/>
    <n v="0"/>
    <n v="0"/>
    <m/>
    <x v="5"/>
  </r>
  <r>
    <n v="4051"/>
    <d v="2025-06-18T00:00:00"/>
    <n v="66"/>
    <s v="Female"/>
    <s v="East"/>
    <x v="0"/>
    <m/>
    <n v="62.9"/>
    <n v="5"/>
    <n v="0"/>
    <x v="11"/>
    <n v="0"/>
    <n v="0"/>
    <m/>
    <x v="5"/>
  </r>
  <r>
    <n v="3786"/>
    <d v="2025-01-19T00:00:00"/>
    <n v="34"/>
    <s v="Male"/>
    <s v="West"/>
    <x v="1"/>
    <s v="CAMP5"/>
    <n v="207"/>
    <n v="3"/>
    <n v="1"/>
    <x v="1044"/>
    <n v="4"/>
    <n v="12"/>
    <n v="5"/>
    <x v="0"/>
  </r>
  <r>
    <n v="4667"/>
    <d v="2025-01-19T00:00:00"/>
    <n v="25"/>
    <s v="Female"/>
    <s v="East"/>
    <x v="2"/>
    <m/>
    <n v="1577.6"/>
    <n v="6"/>
    <n v="1"/>
    <x v="1045"/>
    <n v="5"/>
    <n v="15"/>
    <n v="3"/>
    <x v="0"/>
  </r>
  <r>
    <n v="3034"/>
    <d v="2025-01-19T00:00:00"/>
    <n v="35"/>
    <s v="Male"/>
    <s v="West"/>
    <x v="2"/>
    <m/>
    <n v="354.3"/>
    <n v="10"/>
    <n v="1"/>
    <x v="1046"/>
    <n v="2"/>
    <n v="12"/>
    <n v="4"/>
    <x v="0"/>
  </r>
  <r>
    <n v="2616"/>
    <d v="2025-01-19T00:00:00"/>
    <n v="44"/>
    <s v="Female"/>
    <s v="West"/>
    <x v="0"/>
    <m/>
    <n v="378.6"/>
    <n v="8"/>
    <n v="1"/>
    <x v="313"/>
    <n v="4"/>
    <n v="5"/>
    <n v="3"/>
    <x v="0"/>
  </r>
  <r>
    <n v="2855"/>
    <d v="2025-01-19T00:00:00"/>
    <n v="47"/>
    <s v="Male"/>
    <s v="East"/>
    <x v="1"/>
    <s v="CAMP7"/>
    <n v="412.1"/>
    <n v="7"/>
    <n v="1"/>
    <x v="1047"/>
    <n v="3"/>
    <n v="9"/>
    <n v="5"/>
    <x v="0"/>
  </r>
  <r>
    <n v="3945"/>
    <d v="2025-01-19T00:00:00"/>
    <n v="62"/>
    <s v="Male"/>
    <s v="East"/>
    <x v="1"/>
    <s v="CAMP5"/>
    <n v="1128.9000000000001"/>
    <n v="4"/>
    <n v="1"/>
    <x v="1048"/>
    <n v="4"/>
    <n v="8"/>
    <n v="5"/>
    <x v="0"/>
  </r>
  <r>
    <n v="3098"/>
    <d v="2025-01-19T00:00:00"/>
    <n v="29"/>
    <s v="Male"/>
    <s v="East"/>
    <x v="0"/>
    <m/>
    <n v="1229.5999999999999"/>
    <n v="4"/>
    <n v="1"/>
    <x v="1049"/>
    <n v="1"/>
    <n v="2"/>
    <n v="4"/>
    <x v="0"/>
  </r>
  <r>
    <n v="2087"/>
    <d v="2025-01-19T00:00:00"/>
    <n v="19"/>
    <s v="Male"/>
    <s v="South"/>
    <x v="0"/>
    <m/>
    <n v="474.8"/>
    <n v="5"/>
    <n v="1"/>
    <x v="1050"/>
    <n v="4"/>
    <n v="2"/>
    <n v="5"/>
    <x v="0"/>
  </r>
  <r>
    <n v="4147"/>
    <d v="2025-01-19T00:00:00"/>
    <n v="54"/>
    <s v="Female"/>
    <s v="South"/>
    <x v="3"/>
    <m/>
    <n v="227.6"/>
    <n v="11"/>
    <n v="1"/>
    <x v="988"/>
    <n v="3"/>
    <n v="3"/>
    <n v="4"/>
    <x v="0"/>
  </r>
  <r>
    <n v="3168"/>
    <d v="2025-01-19T00:00:00"/>
    <n v="38"/>
    <s v="Male"/>
    <s v="North"/>
    <x v="2"/>
    <m/>
    <n v="443.5"/>
    <n v="6"/>
    <n v="1"/>
    <x v="1051"/>
    <n v="2"/>
    <n v="13"/>
    <n v="4"/>
    <x v="0"/>
  </r>
  <r>
    <n v="1524"/>
    <d v="2025-01-19T00:00:00"/>
    <n v="25"/>
    <s v="Male"/>
    <s v="South"/>
    <x v="0"/>
    <m/>
    <n v="47.4"/>
    <n v="9"/>
    <n v="1"/>
    <x v="1052"/>
    <n v="5"/>
    <n v="7"/>
    <n v="4"/>
    <x v="0"/>
  </r>
  <r>
    <n v="2642"/>
    <d v="2025-01-19T00:00:00"/>
    <n v="23"/>
    <s v="Male"/>
    <s v="North"/>
    <x v="0"/>
    <m/>
    <n v="989.2"/>
    <n v="5"/>
    <n v="0"/>
    <x v="11"/>
    <n v="0"/>
    <n v="0"/>
    <m/>
    <x v="0"/>
  </r>
  <r>
    <n v="434"/>
    <d v="2025-01-19T00:00:00"/>
    <n v="28"/>
    <s v="Female"/>
    <s v="East"/>
    <x v="0"/>
    <m/>
    <n v="535.9"/>
    <n v="6"/>
    <n v="0"/>
    <x v="11"/>
    <n v="0"/>
    <n v="0"/>
    <m/>
    <x v="0"/>
  </r>
  <r>
    <n v="1276"/>
    <d v="2025-01-19T00:00:00"/>
    <n v="22"/>
    <s v="Male"/>
    <s v="North"/>
    <x v="3"/>
    <m/>
    <n v="513.5"/>
    <n v="3"/>
    <n v="0"/>
    <x v="11"/>
    <n v="0"/>
    <n v="0"/>
    <m/>
    <x v="0"/>
  </r>
  <r>
    <n v="1298"/>
    <d v="2025-01-19T00:00:00"/>
    <n v="29"/>
    <s v="Female"/>
    <s v="North"/>
    <x v="0"/>
    <m/>
    <n v="484"/>
    <n v="4"/>
    <n v="0"/>
    <x v="11"/>
    <n v="0"/>
    <n v="0"/>
    <m/>
    <x v="0"/>
  </r>
  <r>
    <n v="1594"/>
    <d v="2025-01-19T00:00:00"/>
    <n v="38"/>
    <s v="Female"/>
    <s v="North"/>
    <x v="1"/>
    <s v="CAMP5"/>
    <n v="483.8"/>
    <n v="6"/>
    <n v="0"/>
    <x v="11"/>
    <n v="0"/>
    <n v="0"/>
    <m/>
    <x v="0"/>
  </r>
  <r>
    <n v="2155"/>
    <d v="2025-01-19T00:00:00"/>
    <n v="26"/>
    <s v="Male"/>
    <s v="East"/>
    <x v="0"/>
    <m/>
    <n v="429.9"/>
    <n v="4"/>
    <n v="0"/>
    <x v="11"/>
    <n v="0"/>
    <n v="0"/>
    <m/>
    <x v="0"/>
  </r>
  <r>
    <n v="207"/>
    <d v="2025-01-19T00:00:00"/>
    <n v="22"/>
    <s v="Female"/>
    <s v="North"/>
    <x v="0"/>
    <m/>
    <n v="429"/>
    <n v="6"/>
    <n v="0"/>
    <x v="11"/>
    <n v="0"/>
    <n v="0"/>
    <m/>
    <x v="0"/>
  </r>
  <r>
    <n v="4211"/>
    <d v="2025-01-19T00:00:00"/>
    <n v="45"/>
    <s v="Female"/>
    <s v="South"/>
    <x v="0"/>
    <m/>
    <n v="397.7"/>
    <n v="6"/>
    <n v="0"/>
    <x v="11"/>
    <n v="0"/>
    <n v="0"/>
    <m/>
    <x v="0"/>
  </r>
  <r>
    <n v="3798"/>
    <d v="2025-01-19T00:00:00"/>
    <n v="56"/>
    <s v="Female"/>
    <s v="South"/>
    <x v="0"/>
    <m/>
    <n v="349.3"/>
    <n v="12"/>
    <n v="0"/>
    <x v="11"/>
    <n v="0"/>
    <n v="0"/>
    <m/>
    <x v="0"/>
  </r>
  <r>
    <n v="4066"/>
    <d v="2025-01-19T00:00:00"/>
    <n v="65"/>
    <s v="Male"/>
    <s v="East"/>
    <x v="1"/>
    <s v="CAMP2"/>
    <n v="314.5"/>
    <n v="7"/>
    <n v="0"/>
    <x v="11"/>
    <n v="0"/>
    <n v="0"/>
    <m/>
    <x v="0"/>
  </r>
  <r>
    <n v="665"/>
    <d v="2025-01-19T00:00:00"/>
    <n v="23"/>
    <s v="Male"/>
    <s v="South"/>
    <x v="2"/>
    <m/>
    <n v="294.10000000000002"/>
    <n v="5"/>
    <n v="0"/>
    <x v="11"/>
    <n v="0"/>
    <n v="0"/>
    <m/>
    <x v="0"/>
  </r>
  <r>
    <n v="401"/>
    <d v="2025-01-19T00:00:00"/>
    <n v="35"/>
    <s v="Female"/>
    <s v="East"/>
    <x v="0"/>
    <m/>
    <n v="264.10000000000002"/>
    <n v="4"/>
    <n v="0"/>
    <x v="11"/>
    <n v="0"/>
    <n v="0"/>
    <m/>
    <x v="0"/>
  </r>
  <r>
    <n v="2946"/>
    <d v="2025-01-19T00:00:00"/>
    <n v="49"/>
    <s v="Male"/>
    <s v="East"/>
    <x v="1"/>
    <s v="CAMP3"/>
    <n v="255.5"/>
    <n v="6"/>
    <n v="0"/>
    <x v="11"/>
    <n v="0"/>
    <n v="0"/>
    <m/>
    <x v="0"/>
  </r>
  <r>
    <n v="1185"/>
    <d v="2025-01-19T00:00:00"/>
    <n v="24"/>
    <s v="Female"/>
    <s v="East"/>
    <x v="1"/>
    <s v="CAMP1"/>
    <n v="249.4"/>
    <n v="5"/>
    <n v="0"/>
    <x v="11"/>
    <n v="0"/>
    <n v="0"/>
    <m/>
    <x v="0"/>
  </r>
  <r>
    <n v="3524"/>
    <d v="2025-01-19T00:00:00"/>
    <n v="28"/>
    <s v="Female"/>
    <s v="North"/>
    <x v="0"/>
    <m/>
    <n v="218.3"/>
    <n v="7"/>
    <n v="0"/>
    <x v="11"/>
    <n v="0"/>
    <n v="0"/>
    <m/>
    <x v="0"/>
  </r>
  <r>
    <n v="884"/>
    <d v="2025-01-19T00:00:00"/>
    <n v="26"/>
    <s v="Male"/>
    <s v="East"/>
    <x v="0"/>
    <m/>
    <n v="207.1"/>
    <n v="5"/>
    <n v="0"/>
    <x v="11"/>
    <n v="0"/>
    <n v="0"/>
    <m/>
    <x v="0"/>
  </r>
  <r>
    <n v="371"/>
    <d v="2025-01-19T00:00:00"/>
    <n v="27"/>
    <s v="Female"/>
    <s v="East"/>
    <x v="0"/>
    <m/>
    <n v="152.1"/>
    <n v="6"/>
    <n v="0"/>
    <x v="11"/>
    <n v="0"/>
    <n v="0"/>
    <m/>
    <x v="0"/>
  </r>
  <r>
    <n v="3199"/>
    <d v="2025-01-19T00:00:00"/>
    <n v="18"/>
    <s v="Female"/>
    <s v="West"/>
    <x v="3"/>
    <m/>
    <n v="137.69999999999999"/>
    <n v="3"/>
    <n v="0"/>
    <x v="11"/>
    <n v="0"/>
    <n v="0"/>
    <m/>
    <x v="0"/>
  </r>
  <r>
    <n v="3229"/>
    <d v="2025-01-19T00:00:00"/>
    <n v="31"/>
    <s v="Male"/>
    <s v="East"/>
    <x v="0"/>
    <m/>
    <n v="130.69999999999999"/>
    <n v="9"/>
    <n v="0"/>
    <x v="11"/>
    <n v="0"/>
    <n v="0"/>
    <m/>
    <x v="0"/>
  </r>
  <r>
    <n v="2271"/>
    <d v="2025-01-19T00:00:00"/>
    <n v="31"/>
    <s v="Female"/>
    <s v="South"/>
    <x v="0"/>
    <m/>
    <n v="89.3"/>
    <n v="5"/>
    <n v="0"/>
    <x v="11"/>
    <n v="0"/>
    <n v="0"/>
    <m/>
    <x v="0"/>
  </r>
  <r>
    <n v="1724"/>
    <d v="2025-01-19T00:00:00"/>
    <n v="18"/>
    <s v="Female"/>
    <s v="East"/>
    <x v="0"/>
    <m/>
    <n v="42.7"/>
    <n v="4"/>
    <n v="0"/>
    <x v="11"/>
    <n v="0"/>
    <n v="0"/>
    <m/>
    <x v="0"/>
  </r>
  <r>
    <n v="2376"/>
    <d v="2025-02-19T00:00:00"/>
    <n v="31"/>
    <s v="Male"/>
    <s v="South"/>
    <x v="1"/>
    <s v="CAMP6"/>
    <n v="366.4"/>
    <n v="7"/>
    <n v="1"/>
    <x v="1053"/>
    <n v="2"/>
    <n v="15"/>
    <n v="3"/>
    <x v="1"/>
  </r>
  <r>
    <n v="2608"/>
    <d v="2025-02-19T00:00:00"/>
    <n v="40"/>
    <s v="Female"/>
    <s v="East"/>
    <x v="3"/>
    <m/>
    <n v="801.3"/>
    <n v="5"/>
    <n v="1"/>
    <x v="1054"/>
    <n v="3"/>
    <n v="10"/>
    <n v="5"/>
    <x v="1"/>
  </r>
  <r>
    <n v="618"/>
    <d v="2025-02-19T00:00:00"/>
    <n v="28"/>
    <s v="Female"/>
    <s v="East"/>
    <x v="3"/>
    <m/>
    <n v="369.3"/>
    <n v="4"/>
    <n v="1"/>
    <x v="1055"/>
    <n v="3"/>
    <n v="6"/>
    <n v="3"/>
    <x v="1"/>
  </r>
  <r>
    <n v="941"/>
    <d v="2025-02-19T00:00:00"/>
    <n v="21"/>
    <s v="Female"/>
    <s v="East"/>
    <x v="0"/>
    <m/>
    <n v="269.39999999999998"/>
    <n v="9"/>
    <n v="1"/>
    <x v="1056"/>
    <n v="2"/>
    <n v="10"/>
    <n v="4"/>
    <x v="1"/>
  </r>
  <r>
    <n v="936"/>
    <d v="2025-02-19T00:00:00"/>
    <n v="27"/>
    <s v="Female"/>
    <s v="West"/>
    <x v="0"/>
    <m/>
    <n v="262.3"/>
    <n v="7"/>
    <n v="1"/>
    <x v="228"/>
    <n v="3"/>
    <n v="14"/>
    <n v="4"/>
    <x v="1"/>
  </r>
  <r>
    <n v="1220"/>
    <d v="2025-02-19T00:00:00"/>
    <n v="18"/>
    <s v="Male"/>
    <s v="East"/>
    <x v="0"/>
    <m/>
    <n v="463.9"/>
    <n v="9"/>
    <n v="1"/>
    <x v="223"/>
    <n v="3"/>
    <n v="1"/>
    <n v="5"/>
    <x v="1"/>
  </r>
  <r>
    <n v="1359"/>
    <d v="2025-02-19T00:00:00"/>
    <n v="24"/>
    <s v="Female"/>
    <s v="East"/>
    <x v="3"/>
    <m/>
    <n v="970.2"/>
    <n v="4"/>
    <n v="1"/>
    <x v="1057"/>
    <n v="6"/>
    <n v="13"/>
    <n v="5"/>
    <x v="1"/>
  </r>
  <r>
    <n v="1228"/>
    <d v="2025-02-19T00:00:00"/>
    <n v="19"/>
    <s v="Female"/>
    <s v="East"/>
    <x v="0"/>
    <m/>
    <n v="1156"/>
    <n v="6"/>
    <n v="1"/>
    <x v="376"/>
    <n v="3"/>
    <n v="1"/>
    <n v="4"/>
    <x v="1"/>
  </r>
  <r>
    <n v="2286"/>
    <d v="2025-02-19T00:00:00"/>
    <n v="38"/>
    <s v="Female"/>
    <s v="North"/>
    <x v="1"/>
    <s v="CAMP1"/>
    <n v="754.3"/>
    <n v="3"/>
    <n v="0"/>
    <x v="11"/>
    <n v="0"/>
    <n v="0"/>
    <m/>
    <x v="1"/>
  </r>
  <r>
    <n v="4840"/>
    <d v="2025-02-19T00:00:00"/>
    <n v="60"/>
    <s v="Female"/>
    <s v="North"/>
    <x v="0"/>
    <m/>
    <n v="669.5"/>
    <n v="8"/>
    <n v="0"/>
    <x v="11"/>
    <n v="0"/>
    <n v="0"/>
    <m/>
    <x v="1"/>
  </r>
  <r>
    <n v="2772"/>
    <d v="2025-02-19T00:00:00"/>
    <n v="37"/>
    <s v="Female"/>
    <s v="North"/>
    <x v="1"/>
    <s v="CAMP2"/>
    <n v="525.4"/>
    <n v="5"/>
    <n v="0"/>
    <x v="11"/>
    <n v="0"/>
    <n v="0"/>
    <m/>
    <x v="1"/>
  </r>
  <r>
    <n v="1209"/>
    <d v="2025-02-19T00:00:00"/>
    <n v="36"/>
    <s v="Male"/>
    <s v="East"/>
    <x v="0"/>
    <m/>
    <n v="478.9"/>
    <n v="6"/>
    <n v="0"/>
    <x v="11"/>
    <n v="0"/>
    <n v="0"/>
    <m/>
    <x v="1"/>
  </r>
  <r>
    <n v="1597"/>
    <d v="2025-02-19T00:00:00"/>
    <n v="19"/>
    <s v="Male"/>
    <s v="South"/>
    <x v="0"/>
    <m/>
    <n v="477.4"/>
    <n v="6"/>
    <n v="0"/>
    <x v="11"/>
    <n v="0"/>
    <n v="0"/>
    <m/>
    <x v="1"/>
  </r>
  <r>
    <n v="1973"/>
    <d v="2025-02-19T00:00:00"/>
    <n v="33"/>
    <s v="Male"/>
    <s v="West"/>
    <x v="2"/>
    <m/>
    <n v="373"/>
    <n v="7"/>
    <n v="0"/>
    <x v="11"/>
    <n v="0"/>
    <n v="0"/>
    <m/>
    <x v="1"/>
  </r>
  <r>
    <n v="3708"/>
    <d v="2025-02-19T00:00:00"/>
    <n v="27"/>
    <s v="Male"/>
    <s v="North"/>
    <x v="0"/>
    <m/>
    <n v="352.8"/>
    <n v="7"/>
    <n v="0"/>
    <x v="11"/>
    <n v="0"/>
    <n v="0"/>
    <m/>
    <x v="1"/>
  </r>
  <r>
    <n v="3973"/>
    <d v="2025-02-19T00:00:00"/>
    <n v="47"/>
    <s v="Male"/>
    <s v="South"/>
    <x v="0"/>
    <m/>
    <n v="344.9"/>
    <n v="8"/>
    <n v="0"/>
    <x v="11"/>
    <n v="0"/>
    <n v="0"/>
    <m/>
    <x v="1"/>
  </r>
  <r>
    <n v="2317"/>
    <d v="2025-02-19T00:00:00"/>
    <n v="27"/>
    <s v="Female"/>
    <s v="West"/>
    <x v="0"/>
    <m/>
    <n v="342.3"/>
    <n v="5"/>
    <n v="0"/>
    <x v="11"/>
    <n v="0"/>
    <n v="0"/>
    <m/>
    <x v="1"/>
  </r>
  <r>
    <n v="4311"/>
    <d v="2025-02-19T00:00:00"/>
    <n v="31"/>
    <s v="Female"/>
    <s v="West"/>
    <x v="0"/>
    <m/>
    <n v="336.2"/>
    <n v="5"/>
    <n v="0"/>
    <x v="11"/>
    <n v="0"/>
    <n v="0"/>
    <m/>
    <x v="1"/>
  </r>
  <r>
    <n v="2481"/>
    <d v="2025-02-19T00:00:00"/>
    <n v="45"/>
    <s v="Female"/>
    <s v="South"/>
    <x v="0"/>
    <m/>
    <n v="229.8"/>
    <n v="4"/>
    <n v="0"/>
    <x v="11"/>
    <n v="0"/>
    <n v="0"/>
    <m/>
    <x v="1"/>
  </r>
  <r>
    <n v="2109"/>
    <d v="2025-02-19T00:00:00"/>
    <n v="46"/>
    <s v="Male"/>
    <s v="West"/>
    <x v="2"/>
    <m/>
    <n v="223.2"/>
    <n v="7"/>
    <n v="0"/>
    <x v="11"/>
    <n v="0"/>
    <n v="0"/>
    <m/>
    <x v="1"/>
  </r>
  <r>
    <n v="528"/>
    <d v="2025-02-19T00:00:00"/>
    <n v="27"/>
    <s v="Female"/>
    <s v="South"/>
    <x v="1"/>
    <s v="CAMP4"/>
    <n v="189"/>
    <n v="3"/>
    <n v="0"/>
    <x v="11"/>
    <n v="0"/>
    <n v="0"/>
    <m/>
    <x v="1"/>
  </r>
  <r>
    <n v="3461"/>
    <d v="2025-02-19T00:00:00"/>
    <n v="34"/>
    <s v="Female"/>
    <s v="South"/>
    <x v="1"/>
    <s v="CAMP7"/>
    <n v="183.2"/>
    <n v="5"/>
    <n v="0"/>
    <x v="11"/>
    <n v="0"/>
    <n v="0"/>
    <m/>
    <x v="1"/>
  </r>
  <r>
    <n v="1534"/>
    <d v="2025-02-19T00:00:00"/>
    <n v="33"/>
    <s v="Male"/>
    <s v="West"/>
    <x v="3"/>
    <m/>
    <n v="165.3"/>
    <n v="7"/>
    <n v="0"/>
    <x v="11"/>
    <n v="0"/>
    <n v="0"/>
    <m/>
    <x v="1"/>
  </r>
  <r>
    <n v="3483"/>
    <d v="2025-02-19T00:00:00"/>
    <n v="21"/>
    <s v="Male"/>
    <s v="North"/>
    <x v="1"/>
    <s v="CAMP5"/>
    <n v="153.5"/>
    <n v="8"/>
    <n v="0"/>
    <x v="11"/>
    <n v="0"/>
    <n v="0"/>
    <m/>
    <x v="1"/>
  </r>
  <r>
    <n v="1564"/>
    <d v="2025-02-19T00:00:00"/>
    <n v="29"/>
    <s v="Male"/>
    <s v="East"/>
    <x v="3"/>
    <m/>
    <n v="144"/>
    <n v="4"/>
    <n v="0"/>
    <x v="11"/>
    <n v="0"/>
    <n v="0"/>
    <m/>
    <x v="1"/>
  </r>
  <r>
    <n v="2959"/>
    <d v="2025-02-19T00:00:00"/>
    <n v="43"/>
    <s v="Female"/>
    <s v="South"/>
    <x v="0"/>
    <m/>
    <n v="138.5"/>
    <n v="5"/>
    <n v="0"/>
    <x v="11"/>
    <n v="0"/>
    <n v="0"/>
    <m/>
    <x v="1"/>
  </r>
  <r>
    <n v="3036"/>
    <d v="2025-02-19T00:00:00"/>
    <n v="43"/>
    <s v="Male"/>
    <s v="West"/>
    <x v="0"/>
    <m/>
    <n v="138.4"/>
    <n v="7"/>
    <n v="0"/>
    <x v="11"/>
    <n v="0"/>
    <n v="0"/>
    <m/>
    <x v="1"/>
  </r>
  <r>
    <n v="3557"/>
    <d v="2025-02-19T00:00:00"/>
    <n v="18"/>
    <s v="Female"/>
    <s v="South"/>
    <x v="1"/>
    <s v="CAMP7"/>
    <n v="116.5"/>
    <n v="6"/>
    <n v="0"/>
    <x v="11"/>
    <n v="0"/>
    <n v="0"/>
    <m/>
    <x v="1"/>
  </r>
  <r>
    <n v="493"/>
    <d v="2025-02-19T00:00:00"/>
    <n v="22"/>
    <s v="Male"/>
    <s v="East"/>
    <x v="1"/>
    <s v="CAMP2"/>
    <n v="81.599999999999994"/>
    <n v="8"/>
    <n v="0"/>
    <x v="11"/>
    <n v="0"/>
    <n v="0"/>
    <m/>
    <x v="1"/>
  </r>
  <r>
    <n v="4078"/>
    <d v="2025-02-19T00:00:00"/>
    <n v="60"/>
    <s v="Female"/>
    <s v="East"/>
    <x v="3"/>
    <m/>
    <n v="52.6"/>
    <n v="8"/>
    <n v="0"/>
    <x v="11"/>
    <n v="0"/>
    <n v="0"/>
    <m/>
    <x v="1"/>
  </r>
  <r>
    <n v="1256"/>
    <d v="2025-03-19T00:00:00"/>
    <n v="23"/>
    <s v="Female"/>
    <s v="North"/>
    <x v="1"/>
    <s v="CAMP1"/>
    <n v="606.29999999999995"/>
    <n v="5"/>
    <n v="1"/>
    <x v="1058"/>
    <n v="2"/>
    <n v="9"/>
    <n v="4"/>
    <x v="2"/>
  </r>
  <r>
    <n v="4735"/>
    <d v="2025-03-19T00:00:00"/>
    <n v="52"/>
    <s v="Male"/>
    <s v="West"/>
    <x v="0"/>
    <m/>
    <n v="334.7"/>
    <n v="8"/>
    <n v="1"/>
    <x v="640"/>
    <n v="3"/>
    <n v="10"/>
    <n v="4"/>
    <x v="2"/>
  </r>
  <r>
    <n v="398"/>
    <d v="2025-03-19T00:00:00"/>
    <n v="23"/>
    <s v="Male"/>
    <s v="South"/>
    <x v="1"/>
    <s v="CAMP4"/>
    <n v="766.7"/>
    <n v="10"/>
    <n v="1"/>
    <x v="1059"/>
    <n v="5"/>
    <n v="5"/>
    <n v="3"/>
    <x v="2"/>
  </r>
  <r>
    <n v="2649"/>
    <d v="2025-03-19T00:00:00"/>
    <n v="33"/>
    <s v="Male"/>
    <s v="East"/>
    <x v="2"/>
    <m/>
    <n v="855.9"/>
    <n v="5"/>
    <n v="1"/>
    <x v="1060"/>
    <n v="1"/>
    <n v="13"/>
    <n v="4"/>
    <x v="2"/>
  </r>
  <r>
    <n v="1397"/>
    <d v="2025-03-19T00:00:00"/>
    <n v="23"/>
    <s v="Female"/>
    <s v="North"/>
    <x v="0"/>
    <m/>
    <n v="742.5"/>
    <n v="9"/>
    <n v="1"/>
    <x v="952"/>
    <n v="2"/>
    <n v="5"/>
    <n v="5"/>
    <x v="2"/>
  </r>
  <r>
    <n v="3901"/>
    <d v="2025-03-19T00:00:00"/>
    <n v="57"/>
    <s v="Other"/>
    <s v="East"/>
    <x v="0"/>
    <m/>
    <n v="709"/>
    <n v="13"/>
    <n v="1"/>
    <x v="1061"/>
    <n v="7"/>
    <n v="3"/>
    <n v="4"/>
    <x v="2"/>
  </r>
  <r>
    <n v="2374"/>
    <d v="2025-03-19T00:00:00"/>
    <n v="41"/>
    <s v="Male"/>
    <s v="South"/>
    <x v="1"/>
    <s v="CAMP5"/>
    <n v="199"/>
    <n v="2"/>
    <n v="1"/>
    <x v="197"/>
    <n v="3"/>
    <n v="13"/>
    <n v="5"/>
    <x v="2"/>
  </r>
  <r>
    <n v="2776"/>
    <d v="2025-03-19T00:00:00"/>
    <n v="34"/>
    <s v="Female"/>
    <s v="East"/>
    <x v="2"/>
    <m/>
    <n v="116.5"/>
    <n v="6"/>
    <n v="1"/>
    <x v="1062"/>
    <n v="2"/>
    <n v="5"/>
    <n v="4"/>
    <x v="2"/>
  </r>
  <r>
    <n v="1978"/>
    <d v="2025-03-19T00:00:00"/>
    <n v="26"/>
    <s v="Male"/>
    <s v="East"/>
    <x v="0"/>
    <m/>
    <n v="526.1"/>
    <n v="5"/>
    <n v="1"/>
    <x v="1063"/>
    <n v="3"/>
    <n v="3"/>
    <n v="4"/>
    <x v="2"/>
  </r>
  <r>
    <n v="655"/>
    <d v="2025-03-19T00:00:00"/>
    <n v="24"/>
    <s v="Male"/>
    <s v="North"/>
    <x v="0"/>
    <m/>
    <n v="601.9"/>
    <n v="6"/>
    <n v="1"/>
    <x v="1064"/>
    <n v="2"/>
    <n v="11"/>
    <n v="4"/>
    <x v="2"/>
  </r>
  <r>
    <n v="3242"/>
    <d v="2025-03-19T00:00:00"/>
    <n v="28"/>
    <s v="Female"/>
    <s v="North"/>
    <x v="1"/>
    <s v="CAMP4"/>
    <n v="1325.8"/>
    <n v="3"/>
    <n v="1"/>
    <x v="1065"/>
    <n v="4"/>
    <n v="9"/>
    <n v="4"/>
    <x v="2"/>
  </r>
  <r>
    <n v="4077"/>
    <d v="2025-03-19T00:00:00"/>
    <n v="71"/>
    <s v="Female"/>
    <s v="West"/>
    <x v="2"/>
    <m/>
    <n v="714.7"/>
    <n v="6"/>
    <n v="0"/>
    <x v="11"/>
    <n v="0"/>
    <n v="0"/>
    <m/>
    <x v="2"/>
  </r>
  <r>
    <n v="2258"/>
    <d v="2025-03-19T00:00:00"/>
    <n v="32"/>
    <s v="Female"/>
    <s v="South"/>
    <x v="1"/>
    <s v="CAMP6"/>
    <n v="699"/>
    <n v="5"/>
    <n v="0"/>
    <x v="11"/>
    <n v="0"/>
    <n v="0"/>
    <m/>
    <x v="2"/>
  </r>
  <r>
    <n v="1223"/>
    <d v="2025-03-19T00:00:00"/>
    <n v="29"/>
    <s v="Male"/>
    <s v="South"/>
    <x v="3"/>
    <m/>
    <n v="575.4"/>
    <n v="10"/>
    <n v="0"/>
    <x v="11"/>
    <n v="0"/>
    <n v="0"/>
    <m/>
    <x v="2"/>
  </r>
  <r>
    <n v="3037"/>
    <d v="2025-03-19T00:00:00"/>
    <n v="47"/>
    <s v="Female"/>
    <s v="South"/>
    <x v="1"/>
    <s v="CAMP5"/>
    <n v="440.4"/>
    <n v="10"/>
    <n v="0"/>
    <x v="11"/>
    <n v="0"/>
    <n v="0"/>
    <m/>
    <x v="2"/>
  </r>
  <r>
    <n v="3022"/>
    <d v="2025-03-19T00:00:00"/>
    <n v="32"/>
    <s v="Female"/>
    <s v="East"/>
    <x v="0"/>
    <m/>
    <n v="439.7"/>
    <n v="6"/>
    <n v="0"/>
    <x v="11"/>
    <n v="0"/>
    <n v="0"/>
    <m/>
    <x v="2"/>
  </r>
  <r>
    <n v="3894"/>
    <d v="2025-03-19T00:00:00"/>
    <n v="42"/>
    <s v="Female"/>
    <s v="South"/>
    <x v="0"/>
    <m/>
    <n v="419.7"/>
    <n v="9"/>
    <n v="0"/>
    <x v="11"/>
    <n v="0"/>
    <n v="0"/>
    <m/>
    <x v="2"/>
  </r>
  <r>
    <n v="4299"/>
    <d v="2025-03-19T00:00:00"/>
    <n v="52"/>
    <s v="Male"/>
    <s v="South"/>
    <x v="3"/>
    <m/>
    <n v="332.6"/>
    <n v="6"/>
    <n v="0"/>
    <x v="11"/>
    <n v="0"/>
    <n v="0"/>
    <m/>
    <x v="2"/>
  </r>
  <r>
    <n v="1702"/>
    <d v="2025-03-19T00:00:00"/>
    <n v="32"/>
    <s v="Female"/>
    <s v="West"/>
    <x v="0"/>
    <m/>
    <n v="313.7"/>
    <n v="4"/>
    <n v="0"/>
    <x v="11"/>
    <n v="0"/>
    <n v="0"/>
    <m/>
    <x v="2"/>
  </r>
  <r>
    <n v="1842"/>
    <d v="2025-03-19T00:00:00"/>
    <n v="52"/>
    <s v="Male"/>
    <s v="East"/>
    <x v="1"/>
    <s v="CAMP4"/>
    <n v="295.89999999999998"/>
    <n v="3"/>
    <n v="0"/>
    <x v="11"/>
    <n v="0"/>
    <n v="0"/>
    <m/>
    <x v="2"/>
  </r>
  <r>
    <n v="3648"/>
    <d v="2025-03-19T00:00:00"/>
    <n v="36"/>
    <s v="Female"/>
    <s v="East"/>
    <x v="0"/>
    <m/>
    <n v="230.7"/>
    <n v="7"/>
    <n v="0"/>
    <x v="11"/>
    <n v="0"/>
    <n v="0"/>
    <m/>
    <x v="2"/>
  </r>
  <r>
    <n v="19"/>
    <d v="2025-03-19T00:00:00"/>
    <n v="21"/>
    <s v="Male"/>
    <s v="North"/>
    <x v="0"/>
    <m/>
    <n v="210.1"/>
    <n v="10"/>
    <n v="0"/>
    <x v="11"/>
    <n v="0"/>
    <n v="0"/>
    <m/>
    <x v="2"/>
  </r>
  <r>
    <n v="1589"/>
    <d v="2025-03-19T00:00:00"/>
    <n v="31"/>
    <s v="Female"/>
    <s v="North"/>
    <x v="0"/>
    <m/>
    <n v="205.6"/>
    <n v="11"/>
    <n v="0"/>
    <x v="11"/>
    <n v="0"/>
    <n v="0"/>
    <m/>
    <x v="2"/>
  </r>
  <r>
    <n v="2393"/>
    <d v="2025-03-19T00:00:00"/>
    <n v="34"/>
    <s v="Male"/>
    <s v="North"/>
    <x v="1"/>
    <s v="CAMP1"/>
    <n v="193.4"/>
    <n v="8"/>
    <n v="0"/>
    <x v="11"/>
    <n v="0"/>
    <n v="0"/>
    <m/>
    <x v="2"/>
  </r>
  <r>
    <n v="3807"/>
    <d v="2025-03-19T00:00:00"/>
    <n v="57"/>
    <s v="Female"/>
    <s v="South"/>
    <x v="0"/>
    <m/>
    <n v="176.9"/>
    <n v="6"/>
    <n v="0"/>
    <x v="11"/>
    <n v="0"/>
    <n v="0"/>
    <m/>
    <x v="2"/>
  </r>
  <r>
    <n v="247"/>
    <d v="2025-03-19T00:00:00"/>
    <n v="23"/>
    <s v="Male"/>
    <s v="West"/>
    <x v="1"/>
    <s v="CAMP6"/>
    <n v="170.6"/>
    <n v="4"/>
    <n v="0"/>
    <x v="11"/>
    <n v="0"/>
    <n v="0"/>
    <m/>
    <x v="2"/>
  </r>
  <r>
    <n v="2829"/>
    <d v="2025-03-19T00:00:00"/>
    <n v="35"/>
    <s v="Female"/>
    <s v="East"/>
    <x v="1"/>
    <s v="CAMP2"/>
    <n v="162.4"/>
    <n v="6"/>
    <n v="0"/>
    <x v="11"/>
    <n v="0"/>
    <n v="0"/>
    <m/>
    <x v="2"/>
  </r>
  <r>
    <n v="4526"/>
    <d v="2025-03-19T00:00:00"/>
    <n v="64"/>
    <s v="Female"/>
    <s v="North"/>
    <x v="0"/>
    <m/>
    <n v="136.80000000000001"/>
    <n v="5"/>
    <n v="0"/>
    <x v="11"/>
    <n v="0"/>
    <n v="0"/>
    <m/>
    <x v="2"/>
  </r>
  <r>
    <n v="3382"/>
    <d v="2025-03-19T00:00:00"/>
    <n v="37"/>
    <s v="Female"/>
    <s v="East"/>
    <x v="3"/>
    <m/>
    <n v="99.3"/>
    <n v="3"/>
    <n v="0"/>
    <x v="11"/>
    <n v="0"/>
    <n v="0"/>
    <m/>
    <x v="2"/>
  </r>
  <r>
    <n v="3759"/>
    <d v="2025-03-19T00:00:00"/>
    <n v="59"/>
    <s v="Female"/>
    <s v="East"/>
    <x v="2"/>
    <m/>
    <n v="99.3"/>
    <n v="6"/>
    <n v="0"/>
    <x v="11"/>
    <n v="0"/>
    <n v="0"/>
    <m/>
    <x v="2"/>
  </r>
  <r>
    <n v="2384"/>
    <d v="2025-03-19T00:00:00"/>
    <n v="24"/>
    <s v="Male"/>
    <s v="South"/>
    <x v="2"/>
    <m/>
    <n v="48.3"/>
    <n v="5"/>
    <n v="0"/>
    <x v="11"/>
    <n v="0"/>
    <n v="0"/>
    <m/>
    <x v="2"/>
  </r>
  <r>
    <n v="4362"/>
    <d v="2025-04-19T00:00:00"/>
    <n v="51"/>
    <s v="Female"/>
    <s v="East"/>
    <x v="0"/>
    <m/>
    <n v="497.5"/>
    <n v="6"/>
    <n v="1"/>
    <x v="1066"/>
    <n v="6"/>
    <n v="8"/>
    <n v="4"/>
    <x v="3"/>
  </r>
  <r>
    <n v="9"/>
    <d v="2025-04-19T00:00:00"/>
    <n v="28"/>
    <s v="Female"/>
    <s v="North"/>
    <x v="0"/>
    <m/>
    <n v="619.5"/>
    <n v="3"/>
    <n v="1"/>
    <x v="1067"/>
    <n v="3"/>
    <n v="5"/>
    <n v="5"/>
    <x v="3"/>
  </r>
  <r>
    <n v="4662"/>
    <d v="2025-04-19T00:00:00"/>
    <n v="54"/>
    <s v="Female"/>
    <s v="East"/>
    <x v="2"/>
    <m/>
    <n v="646.5"/>
    <n v="7"/>
    <n v="1"/>
    <x v="1068"/>
    <n v="3"/>
    <n v="12"/>
    <n v="5"/>
    <x v="3"/>
  </r>
  <r>
    <n v="2388"/>
    <d v="2025-04-19T00:00:00"/>
    <n v="36"/>
    <s v="Female"/>
    <s v="South"/>
    <x v="0"/>
    <m/>
    <n v="323.8"/>
    <n v="7"/>
    <n v="1"/>
    <x v="1069"/>
    <n v="3"/>
    <n v="13"/>
    <n v="5"/>
    <x v="3"/>
  </r>
  <r>
    <n v="4074"/>
    <d v="2025-04-19T00:00:00"/>
    <n v="63"/>
    <s v="Male"/>
    <s v="South"/>
    <x v="0"/>
    <m/>
    <n v="349.6"/>
    <n v="6"/>
    <n v="1"/>
    <x v="1070"/>
    <n v="3"/>
    <n v="3"/>
    <n v="4"/>
    <x v="3"/>
  </r>
  <r>
    <n v="2262"/>
    <d v="2025-04-19T00:00:00"/>
    <n v="50"/>
    <s v="Female"/>
    <s v="West"/>
    <x v="0"/>
    <m/>
    <n v="1279.3"/>
    <n v="3"/>
    <n v="0"/>
    <x v="11"/>
    <n v="0"/>
    <n v="0"/>
    <m/>
    <x v="3"/>
  </r>
  <r>
    <n v="2942"/>
    <d v="2025-04-19T00:00:00"/>
    <n v="33"/>
    <s v="Female"/>
    <s v="North"/>
    <x v="1"/>
    <s v="CAMP7"/>
    <n v="744.4"/>
    <n v="7"/>
    <n v="0"/>
    <x v="11"/>
    <n v="0"/>
    <n v="0"/>
    <m/>
    <x v="3"/>
  </r>
  <r>
    <n v="1661"/>
    <d v="2025-04-19T00:00:00"/>
    <n v="24"/>
    <s v="Male"/>
    <s v="East"/>
    <x v="2"/>
    <m/>
    <n v="531.6"/>
    <n v="9"/>
    <n v="0"/>
    <x v="11"/>
    <n v="0"/>
    <n v="0"/>
    <m/>
    <x v="3"/>
  </r>
  <r>
    <n v="3927"/>
    <d v="2025-04-19T00:00:00"/>
    <n v="38"/>
    <s v="Female"/>
    <s v="West"/>
    <x v="0"/>
    <m/>
    <n v="484.4"/>
    <n v="8"/>
    <n v="0"/>
    <x v="11"/>
    <n v="0"/>
    <n v="0"/>
    <m/>
    <x v="3"/>
  </r>
  <r>
    <n v="1832"/>
    <d v="2025-04-19T00:00:00"/>
    <n v="28"/>
    <s v="Male"/>
    <s v="North"/>
    <x v="0"/>
    <m/>
    <n v="397.2"/>
    <n v="7"/>
    <n v="0"/>
    <x v="11"/>
    <n v="0"/>
    <n v="0"/>
    <m/>
    <x v="3"/>
  </r>
  <r>
    <n v="1495"/>
    <d v="2025-04-19T00:00:00"/>
    <n v="25"/>
    <s v="Female"/>
    <s v="South"/>
    <x v="1"/>
    <s v="CAMP3"/>
    <n v="391.9"/>
    <n v="3"/>
    <n v="0"/>
    <x v="11"/>
    <n v="0"/>
    <n v="0"/>
    <m/>
    <x v="3"/>
  </r>
  <r>
    <n v="2276"/>
    <d v="2025-04-19T00:00:00"/>
    <n v="25"/>
    <s v="Male"/>
    <s v="North"/>
    <x v="0"/>
    <m/>
    <n v="367"/>
    <n v="4"/>
    <n v="0"/>
    <x v="11"/>
    <n v="0"/>
    <n v="0"/>
    <m/>
    <x v="3"/>
  </r>
  <r>
    <n v="2578"/>
    <d v="2025-04-19T00:00:00"/>
    <n v="38"/>
    <s v="Male"/>
    <s v="South"/>
    <x v="2"/>
    <m/>
    <n v="366.1"/>
    <n v="6"/>
    <n v="0"/>
    <x v="11"/>
    <n v="0"/>
    <n v="0"/>
    <m/>
    <x v="3"/>
  </r>
  <r>
    <n v="4275"/>
    <d v="2025-04-19T00:00:00"/>
    <n v="65"/>
    <s v="Male"/>
    <s v="South"/>
    <x v="0"/>
    <m/>
    <n v="334.3"/>
    <n v="7"/>
    <n v="0"/>
    <x v="11"/>
    <n v="0"/>
    <n v="0"/>
    <m/>
    <x v="3"/>
  </r>
  <r>
    <n v="1269"/>
    <d v="2025-04-19T00:00:00"/>
    <n v="26"/>
    <s v="Female"/>
    <s v="South"/>
    <x v="1"/>
    <s v="CAMP1"/>
    <n v="324"/>
    <n v="5"/>
    <n v="0"/>
    <x v="11"/>
    <n v="0"/>
    <n v="0"/>
    <m/>
    <x v="3"/>
  </r>
  <r>
    <n v="3948"/>
    <d v="2025-04-19T00:00:00"/>
    <n v="47"/>
    <s v="Male"/>
    <s v="South"/>
    <x v="1"/>
    <s v="CAMP2"/>
    <n v="299.89999999999998"/>
    <n v="5"/>
    <n v="0"/>
    <x v="11"/>
    <n v="0"/>
    <n v="0"/>
    <m/>
    <x v="3"/>
  </r>
  <r>
    <n v="3057"/>
    <d v="2025-04-19T00:00:00"/>
    <n v="35"/>
    <s v="Male"/>
    <s v="South"/>
    <x v="0"/>
    <m/>
    <n v="289.10000000000002"/>
    <n v="5"/>
    <n v="0"/>
    <x v="11"/>
    <n v="0"/>
    <n v="0"/>
    <m/>
    <x v="3"/>
  </r>
  <r>
    <n v="1552"/>
    <d v="2025-04-19T00:00:00"/>
    <n v="35"/>
    <s v="Male"/>
    <s v="South"/>
    <x v="1"/>
    <s v="CAMP2"/>
    <n v="278.10000000000002"/>
    <n v="6"/>
    <n v="0"/>
    <x v="11"/>
    <n v="0"/>
    <n v="0"/>
    <m/>
    <x v="3"/>
  </r>
  <r>
    <n v="951"/>
    <d v="2025-04-19T00:00:00"/>
    <n v="22"/>
    <s v="Female"/>
    <s v="East"/>
    <x v="1"/>
    <s v="CAMP6"/>
    <n v="277.8"/>
    <n v="8"/>
    <n v="0"/>
    <x v="11"/>
    <n v="0"/>
    <n v="0"/>
    <m/>
    <x v="3"/>
  </r>
  <r>
    <n v="4115"/>
    <d v="2025-04-19T00:00:00"/>
    <n v="51"/>
    <s v="Female"/>
    <s v="South"/>
    <x v="0"/>
    <m/>
    <n v="250.4"/>
    <n v="6"/>
    <n v="0"/>
    <x v="11"/>
    <n v="0"/>
    <n v="0"/>
    <m/>
    <x v="3"/>
  </r>
  <r>
    <n v="1934"/>
    <d v="2025-04-19T00:00:00"/>
    <n v="27"/>
    <s v="Male"/>
    <s v="North"/>
    <x v="3"/>
    <m/>
    <n v="229.5"/>
    <n v="7"/>
    <n v="0"/>
    <x v="11"/>
    <n v="0"/>
    <n v="0"/>
    <m/>
    <x v="3"/>
  </r>
  <r>
    <n v="2431"/>
    <d v="2025-04-19T00:00:00"/>
    <n v="44"/>
    <s v="Male"/>
    <s v="South"/>
    <x v="2"/>
    <m/>
    <n v="215.8"/>
    <n v="4"/>
    <n v="0"/>
    <x v="11"/>
    <n v="0"/>
    <n v="0"/>
    <m/>
    <x v="3"/>
  </r>
  <r>
    <n v="962"/>
    <d v="2025-04-19T00:00:00"/>
    <n v="23"/>
    <s v="Male"/>
    <s v="East"/>
    <x v="1"/>
    <s v="CAMP3"/>
    <n v="200.6"/>
    <n v="6"/>
    <n v="0"/>
    <x v="11"/>
    <n v="0"/>
    <n v="0"/>
    <m/>
    <x v="3"/>
  </r>
  <r>
    <n v="4988"/>
    <d v="2025-04-19T00:00:00"/>
    <n v="51"/>
    <s v="Male"/>
    <s v="West"/>
    <x v="1"/>
    <s v="CAMP4"/>
    <n v="175.2"/>
    <n v="5"/>
    <n v="0"/>
    <x v="11"/>
    <n v="0"/>
    <n v="0"/>
    <m/>
    <x v="3"/>
  </r>
  <r>
    <n v="4877"/>
    <d v="2025-04-19T00:00:00"/>
    <n v="55"/>
    <s v="Female"/>
    <s v="East"/>
    <x v="2"/>
    <m/>
    <n v="166.3"/>
    <n v="1"/>
    <n v="0"/>
    <x v="11"/>
    <n v="0"/>
    <n v="0"/>
    <m/>
    <x v="3"/>
  </r>
  <r>
    <n v="2333"/>
    <d v="2025-04-19T00:00:00"/>
    <n v="32"/>
    <s v="Female"/>
    <s v="East"/>
    <x v="1"/>
    <s v="CAMP5"/>
    <n v="70.3"/>
    <n v="3"/>
    <n v="0"/>
    <x v="11"/>
    <n v="0"/>
    <n v="0"/>
    <m/>
    <x v="3"/>
  </r>
  <r>
    <n v="4356"/>
    <d v="2025-04-19T00:00:00"/>
    <n v="54"/>
    <s v="Female"/>
    <s v="North"/>
    <x v="0"/>
    <m/>
    <n v="53.1"/>
    <n v="6"/>
    <n v="0"/>
    <x v="11"/>
    <n v="0"/>
    <n v="0"/>
    <m/>
    <x v="3"/>
  </r>
  <r>
    <n v="4990"/>
    <d v="2025-05-19T00:00:00"/>
    <n v="52"/>
    <s v="Female"/>
    <s v="West"/>
    <x v="1"/>
    <s v="CAMP7"/>
    <n v="503.8"/>
    <n v="4"/>
    <n v="1"/>
    <x v="1071"/>
    <n v="6"/>
    <n v="8"/>
    <n v="4"/>
    <x v="4"/>
  </r>
  <r>
    <n v="2080"/>
    <d v="2025-05-19T00:00:00"/>
    <n v="38"/>
    <s v="Female"/>
    <s v="East"/>
    <x v="1"/>
    <s v="CAMP7"/>
    <n v="637"/>
    <n v="8"/>
    <n v="1"/>
    <x v="1072"/>
    <n v="3"/>
    <n v="9"/>
    <n v="3"/>
    <x v="4"/>
  </r>
  <r>
    <n v="1243"/>
    <d v="2025-05-19T00:00:00"/>
    <n v="30"/>
    <s v="Male"/>
    <s v="East"/>
    <x v="1"/>
    <s v="CAMP7"/>
    <n v="406.9"/>
    <n v="2"/>
    <n v="1"/>
    <x v="1073"/>
    <n v="3"/>
    <n v="11"/>
    <n v="4"/>
    <x v="4"/>
  </r>
  <r>
    <n v="2893"/>
    <d v="2025-05-19T00:00:00"/>
    <n v="38"/>
    <s v="Male"/>
    <s v="East"/>
    <x v="3"/>
    <m/>
    <n v="387"/>
    <n v="4"/>
    <n v="1"/>
    <x v="1074"/>
    <n v="3"/>
    <n v="14"/>
    <n v="5"/>
    <x v="4"/>
  </r>
  <r>
    <n v="4079"/>
    <d v="2025-05-19T00:00:00"/>
    <n v="26"/>
    <s v="Female"/>
    <s v="East"/>
    <x v="1"/>
    <s v="CAMP4"/>
    <n v="655.6"/>
    <n v="5"/>
    <n v="1"/>
    <x v="1075"/>
    <n v="2"/>
    <n v="6"/>
    <n v="4"/>
    <x v="4"/>
  </r>
  <r>
    <n v="535"/>
    <d v="2025-05-19T00:00:00"/>
    <n v="23"/>
    <s v="Female"/>
    <s v="East"/>
    <x v="0"/>
    <m/>
    <n v="391.1"/>
    <n v="9"/>
    <n v="1"/>
    <x v="1076"/>
    <n v="3"/>
    <n v="12"/>
    <n v="4"/>
    <x v="4"/>
  </r>
  <r>
    <n v="1206"/>
    <d v="2025-05-19T00:00:00"/>
    <n v="24"/>
    <s v="Male"/>
    <s v="West"/>
    <x v="1"/>
    <s v="CAMP7"/>
    <n v="498.9"/>
    <n v="4"/>
    <n v="1"/>
    <x v="1077"/>
    <n v="3"/>
    <n v="12"/>
    <n v="5"/>
    <x v="4"/>
  </r>
  <r>
    <n v="982"/>
    <d v="2025-05-19T00:00:00"/>
    <n v="32"/>
    <s v="Female"/>
    <s v="North"/>
    <x v="1"/>
    <s v="CAMP7"/>
    <n v="745.3"/>
    <n v="10"/>
    <n v="1"/>
    <x v="1078"/>
    <n v="3"/>
    <n v="6"/>
    <n v="4"/>
    <x v="4"/>
  </r>
  <r>
    <n v="2816"/>
    <d v="2025-05-19T00:00:00"/>
    <n v="39"/>
    <s v="Male"/>
    <s v="North"/>
    <x v="1"/>
    <s v="CAMP5"/>
    <n v="780.8"/>
    <n v="5"/>
    <n v="0"/>
    <x v="11"/>
    <n v="0"/>
    <n v="0"/>
    <m/>
    <x v="4"/>
  </r>
  <r>
    <n v="95"/>
    <d v="2025-05-19T00:00:00"/>
    <n v="28"/>
    <s v="Female"/>
    <s v="West"/>
    <x v="0"/>
    <m/>
    <n v="474.2"/>
    <n v="2"/>
    <n v="0"/>
    <x v="11"/>
    <n v="0"/>
    <n v="0"/>
    <m/>
    <x v="4"/>
  </r>
  <r>
    <n v="77"/>
    <d v="2025-05-19T00:00:00"/>
    <n v="22"/>
    <s v="Male"/>
    <s v="North"/>
    <x v="3"/>
    <m/>
    <n v="402.1"/>
    <n v="9"/>
    <n v="0"/>
    <x v="11"/>
    <n v="0"/>
    <n v="0"/>
    <m/>
    <x v="4"/>
  </r>
  <r>
    <n v="297"/>
    <d v="2025-05-19T00:00:00"/>
    <n v="32"/>
    <s v="Female"/>
    <s v="North"/>
    <x v="0"/>
    <m/>
    <n v="401.8"/>
    <n v="8"/>
    <n v="0"/>
    <x v="11"/>
    <n v="0"/>
    <n v="0"/>
    <m/>
    <x v="4"/>
  </r>
  <r>
    <n v="1057"/>
    <d v="2025-05-19T00:00:00"/>
    <n v="29"/>
    <s v="Female"/>
    <s v="West"/>
    <x v="3"/>
    <m/>
    <n v="315.89999999999998"/>
    <n v="10"/>
    <n v="0"/>
    <x v="11"/>
    <n v="0"/>
    <n v="0"/>
    <m/>
    <x v="4"/>
  </r>
  <r>
    <n v="2540"/>
    <d v="2025-05-19T00:00:00"/>
    <n v="19"/>
    <s v="Male"/>
    <s v="East"/>
    <x v="1"/>
    <s v="CAMP6"/>
    <n v="293.89999999999998"/>
    <n v="6"/>
    <n v="0"/>
    <x v="11"/>
    <n v="0"/>
    <n v="0"/>
    <m/>
    <x v="4"/>
  </r>
  <r>
    <n v="1743"/>
    <d v="2025-05-19T00:00:00"/>
    <n v="22"/>
    <s v="Male"/>
    <s v="East"/>
    <x v="0"/>
    <m/>
    <n v="244.6"/>
    <n v="4"/>
    <n v="0"/>
    <x v="11"/>
    <n v="0"/>
    <n v="0"/>
    <m/>
    <x v="4"/>
  </r>
  <r>
    <n v="3651"/>
    <d v="2025-05-19T00:00:00"/>
    <n v="29"/>
    <s v="Male"/>
    <s v="East"/>
    <x v="3"/>
    <m/>
    <n v="219.4"/>
    <n v="6"/>
    <n v="0"/>
    <x v="11"/>
    <n v="0"/>
    <n v="0"/>
    <m/>
    <x v="4"/>
  </r>
  <r>
    <n v="1818"/>
    <d v="2025-05-19T00:00:00"/>
    <n v="42"/>
    <s v="Male"/>
    <s v="West"/>
    <x v="3"/>
    <m/>
    <n v="167.6"/>
    <n v="10"/>
    <n v="0"/>
    <x v="11"/>
    <n v="0"/>
    <n v="0"/>
    <m/>
    <x v="4"/>
  </r>
  <r>
    <n v="2705"/>
    <d v="2025-05-19T00:00:00"/>
    <n v="39"/>
    <s v="Female"/>
    <s v="North"/>
    <x v="2"/>
    <m/>
    <n v="162.9"/>
    <n v="5"/>
    <n v="0"/>
    <x v="11"/>
    <n v="0"/>
    <n v="0"/>
    <m/>
    <x v="4"/>
  </r>
  <r>
    <n v="689"/>
    <d v="2025-05-19T00:00:00"/>
    <n v="18"/>
    <s v="Female"/>
    <s v="West"/>
    <x v="2"/>
    <m/>
    <n v="123.1"/>
    <n v="5"/>
    <n v="0"/>
    <x v="11"/>
    <n v="0"/>
    <n v="0"/>
    <m/>
    <x v="4"/>
  </r>
  <r>
    <n v="2655"/>
    <d v="2025-05-19T00:00:00"/>
    <n v="31"/>
    <s v="Female"/>
    <s v="East"/>
    <x v="0"/>
    <m/>
    <n v="90.8"/>
    <n v="5"/>
    <n v="0"/>
    <x v="11"/>
    <n v="0"/>
    <n v="0"/>
    <m/>
    <x v="4"/>
  </r>
  <r>
    <n v="1063"/>
    <d v="2025-05-19T00:00:00"/>
    <n v="29"/>
    <s v="Male"/>
    <s v="South"/>
    <x v="0"/>
    <m/>
    <n v="84.5"/>
    <n v="1"/>
    <n v="0"/>
    <x v="11"/>
    <n v="0"/>
    <n v="0"/>
    <m/>
    <x v="4"/>
  </r>
  <r>
    <n v="4815"/>
    <d v="2025-05-19T00:00:00"/>
    <n v="45"/>
    <s v="Male"/>
    <s v="West"/>
    <x v="1"/>
    <s v="CAMP1"/>
    <n v="64.3"/>
    <n v="7"/>
    <n v="0"/>
    <x v="11"/>
    <n v="0"/>
    <n v="0"/>
    <m/>
    <x v="4"/>
  </r>
  <r>
    <n v="1053"/>
    <d v="2025-06-19T00:00:00"/>
    <n v="22"/>
    <s v="Female"/>
    <s v="South"/>
    <x v="3"/>
    <m/>
    <n v="440.9"/>
    <n v="10"/>
    <n v="1"/>
    <x v="1079"/>
    <n v="1"/>
    <n v="4"/>
    <n v="3"/>
    <x v="5"/>
  </r>
  <r>
    <n v="4302"/>
    <d v="2025-06-19T00:00:00"/>
    <n v="63"/>
    <s v="Female"/>
    <s v="East"/>
    <x v="0"/>
    <m/>
    <n v="330.4"/>
    <n v="8"/>
    <n v="1"/>
    <x v="1080"/>
    <n v="2"/>
    <n v="4"/>
    <n v="4"/>
    <x v="5"/>
  </r>
  <r>
    <n v="1224"/>
    <d v="2025-06-19T00:00:00"/>
    <n v="30"/>
    <s v="Male"/>
    <s v="East"/>
    <x v="3"/>
    <m/>
    <n v="838.1"/>
    <n v="5"/>
    <n v="1"/>
    <x v="1081"/>
    <n v="3"/>
    <n v="5"/>
    <n v="5"/>
    <x v="5"/>
  </r>
  <r>
    <n v="4946"/>
    <d v="2025-06-19T00:00:00"/>
    <n v="49"/>
    <s v="Female"/>
    <s v="East"/>
    <x v="1"/>
    <s v="CAMP1"/>
    <n v="267.2"/>
    <n v="3"/>
    <n v="1"/>
    <x v="1082"/>
    <n v="2"/>
    <n v="1"/>
    <n v="4"/>
    <x v="5"/>
  </r>
  <r>
    <n v="4683"/>
    <d v="2025-06-19T00:00:00"/>
    <n v="60"/>
    <s v="Female"/>
    <s v="North"/>
    <x v="0"/>
    <m/>
    <n v="326.3"/>
    <n v="2"/>
    <n v="1"/>
    <x v="1083"/>
    <n v="1"/>
    <n v="9"/>
    <n v="3"/>
    <x v="5"/>
  </r>
  <r>
    <n v="2886"/>
    <d v="2025-06-19T00:00:00"/>
    <n v="35"/>
    <s v="Female"/>
    <s v="West"/>
    <x v="1"/>
    <s v="CAMP4"/>
    <n v="835.6"/>
    <n v="5"/>
    <n v="1"/>
    <x v="1084"/>
    <n v="3"/>
    <n v="6"/>
    <n v="4"/>
    <x v="5"/>
  </r>
  <r>
    <n v="4312"/>
    <d v="2025-06-19T00:00:00"/>
    <n v="40"/>
    <s v="Female"/>
    <s v="East"/>
    <x v="0"/>
    <m/>
    <n v="592.20000000000005"/>
    <n v="4"/>
    <n v="1"/>
    <x v="63"/>
    <n v="2"/>
    <n v="11"/>
    <n v="5"/>
    <x v="5"/>
  </r>
  <r>
    <n v="53"/>
    <d v="2025-06-19T00:00:00"/>
    <n v="18"/>
    <s v="Female"/>
    <s v="North"/>
    <x v="1"/>
    <s v="CAMP4"/>
    <n v="684.2"/>
    <n v="8"/>
    <n v="0"/>
    <x v="11"/>
    <n v="0"/>
    <n v="0"/>
    <m/>
    <x v="5"/>
  </r>
  <r>
    <n v="241"/>
    <d v="2025-06-19T00:00:00"/>
    <n v="21"/>
    <s v="Female"/>
    <s v="East"/>
    <x v="0"/>
    <m/>
    <n v="660.7"/>
    <n v="3"/>
    <n v="0"/>
    <x v="11"/>
    <n v="0"/>
    <n v="0"/>
    <m/>
    <x v="5"/>
  </r>
  <r>
    <n v="2483"/>
    <d v="2025-06-19T00:00:00"/>
    <n v="31"/>
    <s v="Female"/>
    <s v="South"/>
    <x v="0"/>
    <m/>
    <n v="408.8"/>
    <n v="9"/>
    <n v="0"/>
    <x v="11"/>
    <n v="0"/>
    <n v="0"/>
    <m/>
    <x v="5"/>
  </r>
  <r>
    <n v="359"/>
    <d v="2025-06-19T00:00:00"/>
    <n v="23"/>
    <s v="Male"/>
    <s v="West"/>
    <x v="1"/>
    <s v="CAMP1"/>
    <n v="356"/>
    <n v="5"/>
    <n v="0"/>
    <x v="11"/>
    <n v="0"/>
    <n v="0"/>
    <m/>
    <x v="5"/>
  </r>
  <r>
    <n v="2803"/>
    <d v="2025-06-19T00:00:00"/>
    <n v="27"/>
    <s v="Female"/>
    <s v="West"/>
    <x v="0"/>
    <m/>
    <n v="355.6"/>
    <n v="1"/>
    <n v="0"/>
    <x v="11"/>
    <n v="0"/>
    <n v="0"/>
    <m/>
    <x v="5"/>
  </r>
  <r>
    <n v="135"/>
    <d v="2025-06-19T00:00:00"/>
    <n v="23"/>
    <s v="Male"/>
    <s v="East"/>
    <x v="0"/>
    <m/>
    <n v="351.1"/>
    <n v="4"/>
    <n v="0"/>
    <x v="11"/>
    <n v="0"/>
    <n v="0"/>
    <m/>
    <x v="5"/>
  </r>
  <r>
    <n v="365"/>
    <d v="2025-06-19T00:00:00"/>
    <n v="22"/>
    <s v="Male"/>
    <s v="South"/>
    <x v="0"/>
    <m/>
    <n v="332.1"/>
    <n v="8"/>
    <n v="0"/>
    <x v="11"/>
    <n v="0"/>
    <n v="0"/>
    <m/>
    <x v="5"/>
  </r>
  <r>
    <n v="1091"/>
    <d v="2025-06-19T00:00:00"/>
    <n v="29"/>
    <s v="Male"/>
    <s v="North"/>
    <x v="3"/>
    <m/>
    <n v="330.8"/>
    <n v="5"/>
    <n v="0"/>
    <x v="11"/>
    <n v="0"/>
    <n v="0"/>
    <m/>
    <x v="5"/>
  </r>
  <r>
    <n v="4510"/>
    <d v="2025-06-19T00:00:00"/>
    <n v="55"/>
    <s v="Male"/>
    <s v="East"/>
    <x v="1"/>
    <s v="CAMP1"/>
    <n v="322.10000000000002"/>
    <n v="7"/>
    <n v="0"/>
    <x v="11"/>
    <n v="0"/>
    <n v="0"/>
    <m/>
    <x v="5"/>
  </r>
  <r>
    <n v="1013"/>
    <d v="2025-06-19T00:00:00"/>
    <n v="27"/>
    <s v="Male"/>
    <s v="North"/>
    <x v="2"/>
    <m/>
    <n v="274.3"/>
    <n v="8"/>
    <n v="0"/>
    <x v="11"/>
    <n v="0"/>
    <n v="0"/>
    <m/>
    <x v="5"/>
  </r>
  <r>
    <n v="1976"/>
    <d v="2025-06-19T00:00:00"/>
    <n v="20"/>
    <s v="Female"/>
    <s v="West"/>
    <x v="0"/>
    <m/>
    <n v="263.2"/>
    <n v="4"/>
    <n v="0"/>
    <x v="11"/>
    <n v="0"/>
    <n v="0"/>
    <m/>
    <x v="5"/>
  </r>
  <r>
    <n v="1845"/>
    <d v="2025-06-19T00:00:00"/>
    <n v="34"/>
    <s v="Male"/>
    <s v="West"/>
    <x v="1"/>
    <s v="CAMP4"/>
    <n v="240.8"/>
    <n v="5"/>
    <n v="0"/>
    <x v="11"/>
    <n v="0"/>
    <n v="0"/>
    <m/>
    <x v="5"/>
  </r>
  <r>
    <n v="3455"/>
    <d v="2025-06-19T00:00:00"/>
    <n v="46"/>
    <s v="Male"/>
    <s v="South"/>
    <x v="1"/>
    <s v="CAMP1"/>
    <n v="223"/>
    <n v="7"/>
    <n v="0"/>
    <x v="11"/>
    <n v="0"/>
    <n v="0"/>
    <m/>
    <x v="5"/>
  </r>
  <r>
    <n v="1025"/>
    <d v="2025-06-19T00:00:00"/>
    <n v="20"/>
    <s v="Male"/>
    <s v="South"/>
    <x v="0"/>
    <m/>
    <n v="190.1"/>
    <n v="12"/>
    <n v="0"/>
    <x v="11"/>
    <n v="0"/>
    <n v="0"/>
    <m/>
    <x v="5"/>
  </r>
  <r>
    <n v="2345"/>
    <d v="2025-06-19T00:00:00"/>
    <n v="27"/>
    <s v="Male"/>
    <s v="East"/>
    <x v="1"/>
    <s v="CAMP5"/>
    <n v="188.3"/>
    <n v="3"/>
    <n v="0"/>
    <x v="11"/>
    <n v="0"/>
    <n v="0"/>
    <m/>
    <x v="5"/>
  </r>
  <r>
    <n v="2735"/>
    <d v="2025-06-19T00:00:00"/>
    <n v="35"/>
    <s v="Female"/>
    <s v="East"/>
    <x v="1"/>
    <s v="CAMP6"/>
    <n v="136.4"/>
    <n v="10"/>
    <n v="0"/>
    <x v="11"/>
    <n v="0"/>
    <n v="0"/>
    <m/>
    <x v="5"/>
  </r>
  <r>
    <n v="4270"/>
    <d v="2025-06-19T00:00:00"/>
    <n v="56"/>
    <s v="Female"/>
    <s v="West"/>
    <x v="3"/>
    <m/>
    <n v="93.6"/>
    <n v="3"/>
    <n v="0"/>
    <x v="11"/>
    <n v="0"/>
    <n v="0"/>
    <m/>
    <x v="5"/>
  </r>
  <r>
    <n v="752"/>
    <d v="2025-06-19T00:00:00"/>
    <n v="28"/>
    <s v="Female"/>
    <s v="South"/>
    <x v="0"/>
    <m/>
    <n v="67.8"/>
    <n v="7"/>
    <n v="0"/>
    <x v="11"/>
    <n v="0"/>
    <n v="0"/>
    <m/>
    <x v="5"/>
  </r>
  <r>
    <n v="3197"/>
    <d v="2025-06-19T00:00:00"/>
    <n v="31"/>
    <s v="Female"/>
    <s v="North"/>
    <x v="3"/>
    <m/>
    <n v="56.3"/>
    <n v="9"/>
    <n v="0"/>
    <x v="11"/>
    <n v="0"/>
    <n v="0"/>
    <m/>
    <x v="5"/>
  </r>
  <r>
    <n v="3365"/>
    <d v="2025-06-19T00:00:00"/>
    <n v="43"/>
    <s v="Male"/>
    <s v="South"/>
    <x v="1"/>
    <s v="CAMP5"/>
    <n v="33.299999999999997"/>
    <n v="5"/>
    <n v="0"/>
    <x v="11"/>
    <n v="0"/>
    <n v="0"/>
    <m/>
    <x v="5"/>
  </r>
  <r>
    <n v="635"/>
    <d v="2025-01-20T00:00:00"/>
    <n v="19"/>
    <s v="Female"/>
    <s v="North"/>
    <x v="2"/>
    <m/>
    <n v="196.9"/>
    <n v="6"/>
    <n v="1"/>
    <x v="1085"/>
    <n v="4"/>
    <n v="12"/>
    <n v="5"/>
    <x v="0"/>
  </r>
  <r>
    <n v="100"/>
    <d v="2025-01-20T00:00:00"/>
    <n v="29"/>
    <s v="Male"/>
    <s v="South"/>
    <x v="0"/>
    <m/>
    <n v="265"/>
    <n v="3"/>
    <n v="1"/>
    <x v="1086"/>
    <n v="1"/>
    <n v="12"/>
    <n v="5"/>
    <x v="0"/>
  </r>
  <r>
    <n v="3181"/>
    <d v="2025-01-20T00:00:00"/>
    <n v="31"/>
    <s v="Male"/>
    <s v="East"/>
    <x v="1"/>
    <s v="CAMP6"/>
    <n v="248.5"/>
    <n v="9"/>
    <n v="1"/>
    <x v="1087"/>
    <n v="4"/>
    <n v="9"/>
    <n v="5"/>
    <x v="0"/>
  </r>
  <r>
    <n v="1542"/>
    <d v="2025-01-20T00:00:00"/>
    <n v="25"/>
    <s v="Male"/>
    <s v="North"/>
    <x v="0"/>
    <m/>
    <n v="161.30000000000001"/>
    <n v="6"/>
    <n v="1"/>
    <x v="1088"/>
    <n v="1"/>
    <n v="13"/>
    <n v="4"/>
    <x v="0"/>
  </r>
  <r>
    <n v="4742"/>
    <d v="2025-01-20T00:00:00"/>
    <n v="58"/>
    <s v="Male"/>
    <s v="South"/>
    <x v="2"/>
    <m/>
    <n v="174.5"/>
    <n v="7"/>
    <n v="1"/>
    <x v="1089"/>
    <n v="3"/>
    <n v="3"/>
    <n v="4"/>
    <x v="0"/>
  </r>
  <r>
    <n v="1178"/>
    <d v="2025-01-20T00:00:00"/>
    <n v="29"/>
    <s v="Female"/>
    <s v="West"/>
    <x v="0"/>
    <m/>
    <n v="1106.5"/>
    <n v="7"/>
    <n v="1"/>
    <x v="1090"/>
    <n v="1"/>
    <n v="5"/>
    <n v="3"/>
    <x v="0"/>
  </r>
  <r>
    <n v="1759"/>
    <d v="2025-01-20T00:00:00"/>
    <n v="35"/>
    <s v="Male"/>
    <s v="South"/>
    <x v="1"/>
    <s v="CAMP2"/>
    <n v="252.5"/>
    <n v="5"/>
    <n v="1"/>
    <x v="1091"/>
    <n v="2"/>
    <n v="8"/>
    <n v="4"/>
    <x v="0"/>
  </r>
  <r>
    <n v="4205"/>
    <d v="2025-01-20T00:00:00"/>
    <n v="56"/>
    <s v="Female"/>
    <s v="West"/>
    <x v="0"/>
    <m/>
    <n v="689.4"/>
    <n v="9"/>
    <n v="0"/>
    <x v="11"/>
    <n v="0"/>
    <n v="0"/>
    <m/>
    <x v="0"/>
  </r>
  <r>
    <n v="4885"/>
    <d v="2025-01-20T00:00:00"/>
    <n v="39"/>
    <s v="Female"/>
    <s v="East"/>
    <x v="1"/>
    <s v="CAMP4"/>
    <n v="518.70000000000005"/>
    <n v="4"/>
    <n v="0"/>
    <x v="11"/>
    <n v="0"/>
    <n v="0"/>
    <m/>
    <x v="0"/>
  </r>
  <r>
    <n v="4791"/>
    <d v="2025-01-20T00:00:00"/>
    <n v="53"/>
    <s v="Male"/>
    <s v="East"/>
    <x v="0"/>
    <m/>
    <n v="488.4"/>
    <n v="6"/>
    <n v="0"/>
    <x v="11"/>
    <n v="0"/>
    <n v="0"/>
    <m/>
    <x v="0"/>
  </r>
  <r>
    <n v="1706"/>
    <d v="2025-01-20T00:00:00"/>
    <n v="33"/>
    <s v="Male"/>
    <s v="East"/>
    <x v="1"/>
    <s v="CAMP6"/>
    <n v="457.9"/>
    <n v="7"/>
    <n v="0"/>
    <x v="11"/>
    <n v="0"/>
    <n v="0"/>
    <m/>
    <x v="0"/>
  </r>
  <r>
    <n v="4850"/>
    <d v="2025-01-20T00:00:00"/>
    <n v="46"/>
    <s v="Female"/>
    <s v="East"/>
    <x v="0"/>
    <m/>
    <n v="396.1"/>
    <n v="4"/>
    <n v="0"/>
    <x v="11"/>
    <n v="0"/>
    <n v="0"/>
    <m/>
    <x v="0"/>
  </r>
  <r>
    <n v="124"/>
    <d v="2025-01-20T00:00:00"/>
    <n v="22"/>
    <s v="Female"/>
    <s v="West"/>
    <x v="0"/>
    <m/>
    <n v="364.6"/>
    <n v="6"/>
    <n v="0"/>
    <x v="11"/>
    <n v="0"/>
    <n v="0"/>
    <m/>
    <x v="0"/>
  </r>
  <r>
    <n v="2506"/>
    <d v="2025-01-20T00:00:00"/>
    <n v="31"/>
    <s v="Male"/>
    <s v="West"/>
    <x v="1"/>
    <s v="CAMP5"/>
    <n v="252.2"/>
    <n v="8"/>
    <n v="0"/>
    <x v="11"/>
    <n v="0"/>
    <n v="0"/>
    <m/>
    <x v="0"/>
  </r>
  <r>
    <n v="2202"/>
    <d v="2025-01-20T00:00:00"/>
    <n v="40"/>
    <s v="Female"/>
    <s v="West"/>
    <x v="0"/>
    <m/>
    <n v="214"/>
    <n v="9"/>
    <n v="0"/>
    <x v="11"/>
    <n v="0"/>
    <n v="0"/>
    <m/>
    <x v="0"/>
  </r>
  <r>
    <n v="1068"/>
    <d v="2025-01-20T00:00:00"/>
    <n v="24"/>
    <s v="Male"/>
    <s v="North"/>
    <x v="0"/>
    <m/>
    <n v="183.3"/>
    <n v="6"/>
    <n v="0"/>
    <x v="11"/>
    <n v="0"/>
    <n v="0"/>
    <m/>
    <x v="0"/>
  </r>
  <r>
    <n v="771"/>
    <d v="2025-01-20T00:00:00"/>
    <n v="27"/>
    <s v="Male"/>
    <s v="West"/>
    <x v="0"/>
    <m/>
    <n v="164.8"/>
    <n v="5"/>
    <n v="0"/>
    <x v="11"/>
    <n v="0"/>
    <n v="0"/>
    <m/>
    <x v="0"/>
  </r>
  <r>
    <n v="2195"/>
    <d v="2025-01-20T00:00:00"/>
    <n v="44"/>
    <s v="Male"/>
    <s v="East"/>
    <x v="1"/>
    <s v="CAMP5"/>
    <n v="160.9"/>
    <n v="3"/>
    <n v="0"/>
    <x v="11"/>
    <n v="0"/>
    <n v="0"/>
    <m/>
    <x v="0"/>
  </r>
  <r>
    <n v="2299"/>
    <d v="2025-01-20T00:00:00"/>
    <n v="33"/>
    <s v="Female"/>
    <s v="East"/>
    <x v="3"/>
    <m/>
    <n v="159.4"/>
    <n v="3"/>
    <n v="0"/>
    <x v="11"/>
    <n v="0"/>
    <n v="0"/>
    <m/>
    <x v="0"/>
  </r>
  <r>
    <n v="1463"/>
    <d v="2025-01-20T00:00:00"/>
    <n v="21"/>
    <s v="Female"/>
    <s v="North"/>
    <x v="0"/>
    <m/>
    <n v="155.1"/>
    <n v="5"/>
    <n v="0"/>
    <x v="11"/>
    <n v="0"/>
    <n v="0"/>
    <m/>
    <x v="0"/>
  </r>
  <r>
    <n v="4614"/>
    <d v="2025-01-20T00:00:00"/>
    <n v="52"/>
    <s v="Male"/>
    <s v="North"/>
    <x v="1"/>
    <s v="CAMP3"/>
    <n v="139.69999999999999"/>
    <n v="4"/>
    <n v="0"/>
    <x v="11"/>
    <n v="0"/>
    <n v="0"/>
    <m/>
    <x v="0"/>
  </r>
  <r>
    <n v="2552"/>
    <d v="2025-01-20T00:00:00"/>
    <n v="40"/>
    <s v="Female"/>
    <s v="North"/>
    <x v="0"/>
    <m/>
    <n v="126.6"/>
    <n v="4"/>
    <n v="0"/>
    <x v="11"/>
    <n v="0"/>
    <n v="0"/>
    <m/>
    <x v="0"/>
  </r>
  <r>
    <n v="983"/>
    <d v="2025-01-20T00:00:00"/>
    <n v="27"/>
    <s v="Female"/>
    <s v="West"/>
    <x v="0"/>
    <m/>
    <n v="109.7"/>
    <n v="5"/>
    <n v="0"/>
    <x v="11"/>
    <n v="0"/>
    <n v="0"/>
    <m/>
    <x v="0"/>
  </r>
  <r>
    <n v="3865"/>
    <d v="2025-01-20T00:00:00"/>
    <n v="54"/>
    <s v="Male"/>
    <s v="North"/>
    <x v="1"/>
    <s v="CAMP2"/>
    <n v="93.3"/>
    <n v="6"/>
    <n v="0"/>
    <x v="11"/>
    <n v="0"/>
    <n v="0"/>
    <m/>
    <x v="0"/>
  </r>
  <r>
    <n v="3078"/>
    <d v="2025-01-20T00:00:00"/>
    <n v="35"/>
    <s v="Male"/>
    <s v="South"/>
    <x v="2"/>
    <m/>
    <n v="63.4"/>
    <n v="8"/>
    <n v="0"/>
    <x v="11"/>
    <n v="0"/>
    <n v="0"/>
    <m/>
    <x v="0"/>
  </r>
  <r>
    <n v="2862"/>
    <d v="2025-02-20T00:00:00"/>
    <n v="48"/>
    <s v="Male"/>
    <s v="West"/>
    <x v="0"/>
    <m/>
    <n v="88.2"/>
    <n v="3"/>
    <n v="1"/>
    <x v="1092"/>
    <n v="2"/>
    <n v="3"/>
    <n v="4"/>
    <x v="1"/>
  </r>
  <r>
    <n v="2207"/>
    <d v="2025-02-20T00:00:00"/>
    <n v="23"/>
    <s v="Female"/>
    <s v="East"/>
    <x v="0"/>
    <m/>
    <n v="266"/>
    <n v="4"/>
    <n v="1"/>
    <x v="1093"/>
    <n v="4"/>
    <n v="10"/>
    <n v="4"/>
    <x v="1"/>
  </r>
  <r>
    <n v="2218"/>
    <d v="2025-02-20T00:00:00"/>
    <n v="22"/>
    <s v="Male"/>
    <s v="East"/>
    <x v="1"/>
    <s v="CAMP6"/>
    <n v="620.20000000000005"/>
    <n v="9"/>
    <n v="1"/>
    <x v="1094"/>
    <n v="4"/>
    <n v="11"/>
    <n v="4"/>
    <x v="1"/>
  </r>
  <r>
    <n v="2177"/>
    <d v="2025-02-20T00:00:00"/>
    <n v="39"/>
    <s v="Male"/>
    <s v="North"/>
    <x v="3"/>
    <m/>
    <n v="637.1"/>
    <n v="11"/>
    <n v="1"/>
    <x v="1095"/>
    <n v="4"/>
    <n v="1"/>
    <n v="5"/>
    <x v="1"/>
  </r>
  <r>
    <n v="324"/>
    <d v="2025-02-20T00:00:00"/>
    <n v="27"/>
    <s v="Male"/>
    <s v="West"/>
    <x v="2"/>
    <m/>
    <n v="1085.7"/>
    <n v="5"/>
    <n v="1"/>
    <x v="1096"/>
    <n v="3"/>
    <n v="12"/>
    <n v="4"/>
    <x v="1"/>
  </r>
  <r>
    <n v="380"/>
    <d v="2025-02-20T00:00:00"/>
    <n v="24"/>
    <s v="Female"/>
    <s v="North"/>
    <x v="2"/>
    <m/>
    <n v="830.8"/>
    <n v="5"/>
    <n v="1"/>
    <x v="1097"/>
    <n v="3"/>
    <n v="12"/>
    <n v="4"/>
    <x v="1"/>
  </r>
  <r>
    <n v="488"/>
    <d v="2025-02-20T00:00:00"/>
    <n v="23"/>
    <s v="Male"/>
    <s v="North"/>
    <x v="0"/>
    <m/>
    <n v="628"/>
    <n v="3"/>
    <n v="1"/>
    <x v="1098"/>
    <n v="5"/>
    <n v="6"/>
    <n v="4"/>
    <x v="1"/>
  </r>
  <r>
    <n v="602"/>
    <d v="2025-02-20T00:00:00"/>
    <n v="22"/>
    <s v="Female"/>
    <s v="East"/>
    <x v="0"/>
    <m/>
    <n v="177.1"/>
    <n v="6"/>
    <n v="1"/>
    <x v="1099"/>
    <n v="2"/>
    <n v="7"/>
    <n v="5"/>
    <x v="1"/>
  </r>
  <r>
    <n v="3035"/>
    <d v="2025-02-20T00:00:00"/>
    <n v="38"/>
    <s v="Other"/>
    <s v="East"/>
    <x v="1"/>
    <s v="CAMP5"/>
    <n v="300"/>
    <n v="5"/>
    <n v="1"/>
    <x v="1100"/>
    <n v="2"/>
    <n v="10"/>
    <n v="4"/>
    <x v="1"/>
  </r>
  <r>
    <n v="4331"/>
    <d v="2025-02-20T00:00:00"/>
    <n v="45"/>
    <s v="Female"/>
    <s v="South"/>
    <x v="0"/>
    <m/>
    <n v="569.20000000000005"/>
    <n v="8"/>
    <n v="1"/>
    <x v="962"/>
    <n v="3"/>
    <n v="9"/>
    <n v="3"/>
    <x v="1"/>
  </r>
  <r>
    <n v="2898"/>
    <d v="2025-02-20T00:00:00"/>
    <n v="33"/>
    <s v="Female"/>
    <s v="North"/>
    <x v="2"/>
    <m/>
    <n v="635.5"/>
    <n v="12"/>
    <n v="1"/>
    <x v="1101"/>
    <n v="5"/>
    <n v="2"/>
    <n v="5"/>
    <x v="1"/>
  </r>
  <r>
    <n v="2568"/>
    <d v="2025-02-20T00:00:00"/>
    <n v="46"/>
    <s v="Female"/>
    <s v="North"/>
    <x v="0"/>
    <m/>
    <n v="151"/>
    <n v="5"/>
    <n v="1"/>
    <x v="1102"/>
    <n v="3"/>
    <n v="3"/>
    <n v="4"/>
    <x v="1"/>
  </r>
  <r>
    <n v="150"/>
    <d v="2025-02-20T00:00:00"/>
    <n v="32"/>
    <s v="Male"/>
    <s v="East"/>
    <x v="0"/>
    <m/>
    <n v="324.89999999999998"/>
    <n v="7"/>
    <n v="1"/>
    <x v="954"/>
    <n v="4"/>
    <n v="10"/>
    <n v="4"/>
    <x v="1"/>
  </r>
  <r>
    <n v="3676"/>
    <d v="2025-02-20T00:00:00"/>
    <n v="47"/>
    <s v="Male"/>
    <s v="South"/>
    <x v="2"/>
    <m/>
    <n v="341.4"/>
    <n v="3"/>
    <n v="1"/>
    <x v="1103"/>
    <n v="2"/>
    <n v="13"/>
    <n v="4"/>
    <x v="1"/>
  </r>
  <r>
    <n v="3709"/>
    <d v="2025-02-20T00:00:00"/>
    <n v="44"/>
    <s v="Female"/>
    <s v="East"/>
    <x v="1"/>
    <s v="CAMP5"/>
    <n v="1060.0999999999999"/>
    <n v="6"/>
    <n v="0"/>
    <x v="11"/>
    <n v="0"/>
    <n v="0"/>
    <m/>
    <x v="1"/>
  </r>
  <r>
    <n v="237"/>
    <d v="2025-02-20T00:00:00"/>
    <n v="34"/>
    <s v="Male"/>
    <s v="West"/>
    <x v="3"/>
    <m/>
    <n v="875.9"/>
    <n v="8"/>
    <n v="0"/>
    <x v="11"/>
    <n v="0"/>
    <n v="0"/>
    <m/>
    <x v="1"/>
  </r>
  <r>
    <n v="2869"/>
    <d v="2025-02-20T00:00:00"/>
    <n v="39"/>
    <s v="Male"/>
    <s v="East"/>
    <x v="1"/>
    <s v="CAMP6"/>
    <n v="683.2"/>
    <n v="5"/>
    <n v="0"/>
    <x v="11"/>
    <n v="0"/>
    <n v="0"/>
    <m/>
    <x v="1"/>
  </r>
  <r>
    <n v="688"/>
    <d v="2025-02-20T00:00:00"/>
    <n v="27"/>
    <s v="Female"/>
    <s v="East"/>
    <x v="3"/>
    <m/>
    <n v="470.3"/>
    <n v="4"/>
    <n v="0"/>
    <x v="11"/>
    <n v="0"/>
    <n v="0"/>
    <m/>
    <x v="1"/>
  </r>
  <r>
    <n v="3604"/>
    <d v="2025-02-20T00:00:00"/>
    <n v="39"/>
    <s v="Male"/>
    <s v="East"/>
    <x v="1"/>
    <s v="CAMP5"/>
    <n v="373.4"/>
    <n v="5"/>
    <n v="0"/>
    <x v="11"/>
    <n v="0"/>
    <n v="0"/>
    <m/>
    <x v="1"/>
  </r>
  <r>
    <n v="2292"/>
    <d v="2025-02-20T00:00:00"/>
    <n v="18"/>
    <s v="Male"/>
    <s v="South"/>
    <x v="0"/>
    <m/>
    <n v="368.7"/>
    <n v="11"/>
    <n v="0"/>
    <x v="11"/>
    <n v="0"/>
    <n v="0"/>
    <m/>
    <x v="1"/>
  </r>
  <r>
    <n v="2000"/>
    <d v="2025-02-20T00:00:00"/>
    <n v="41"/>
    <s v="Male"/>
    <s v="East"/>
    <x v="0"/>
    <m/>
    <n v="319.10000000000002"/>
    <n v="6"/>
    <n v="0"/>
    <x v="11"/>
    <n v="0"/>
    <n v="0"/>
    <m/>
    <x v="1"/>
  </r>
  <r>
    <n v="4436"/>
    <d v="2025-02-20T00:00:00"/>
    <n v="41"/>
    <s v="Male"/>
    <s v="West"/>
    <x v="1"/>
    <s v="CAMP1"/>
    <n v="239.1"/>
    <n v="6"/>
    <n v="0"/>
    <x v="11"/>
    <n v="0"/>
    <n v="0"/>
    <m/>
    <x v="1"/>
  </r>
  <r>
    <n v="65"/>
    <d v="2025-02-20T00:00:00"/>
    <n v="18"/>
    <s v="Male"/>
    <s v="North"/>
    <x v="3"/>
    <m/>
    <n v="157.69999999999999"/>
    <n v="10"/>
    <n v="0"/>
    <x v="11"/>
    <n v="0"/>
    <n v="0"/>
    <m/>
    <x v="1"/>
  </r>
  <r>
    <n v="4544"/>
    <d v="2025-02-20T00:00:00"/>
    <n v="58"/>
    <s v="Male"/>
    <s v="North"/>
    <x v="0"/>
    <m/>
    <n v="153.30000000000001"/>
    <n v="8"/>
    <n v="0"/>
    <x v="11"/>
    <n v="0"/>
    <n v="0"/>
    <m/>
    <x v="1"/>
  </r>
  <r>
    <n v="387"/>
    <d v="2025-02-20T00:00:00"/>
    <n v="33"/>
    <s v="Male"/>
    <s v="East"/>
    <x v="1"/>
    <s v="CAMP2"/>
    <n v="68.5"/>
    <n v="6"/>
    <n v="0"/>
    <x v="11"/>
    <n v="0"/>
    <n v="0"/>
    <m/>
    <x v="1"/>
  </r>
  <r>
    <n v="2526"/>
    <d v="2025-02-20T00:00:00"/>
    <n v="31"/>
    <s v="Male"/>
    <s v="East"/>
    <x v="3"/>
    <m/>
    <n v="41.6"/>
    <n v="3"/>
    <n v="0"/>
    <x v="11"/>
    <n v="0"/>
    <n v="0"/>
    <m/>
    <x v="1"/>
  </r>
  <r>
    <n v="3531"/>
    <d v="2025-02-20T00:00:00"/>
    <n v="25"/>
    <s v="Female"/>
    <s v="North"/>
    <x v="1"/>
    <s v="CAMP2"/>
    <n v="29.2"/>
    <n v="6"/>
    <n v="0"/>
    <x v="11"/>
    <n v="0"/>
    <n v="0"/>
    <m/>
    <x v="1"/>
  </r>
  <r>
    <n v="4942"/>
    <d v="2025-03-20T00:00:00"/>
    <n v="46"/>
    <s v="Female"/>
    <s v="West"/>
    <x v="1"/>
    <s v="CAMP2"/>
    <n v="207.5"/>
    <n v="6"/>
    <n v="1"/>
    <x v="1104"/>
    <n v="4"/>
    <n v="5"/>
    <n v="4"/>
    <x v="2"/>
  </r>
  <r>
    <n v="3104"/>
    <d v="2025-03-20T00:00:00"/>
    <n v="31"/>
    <s v="Female"/>
    <s v="South"/>
    <x v="0"/>
    <m/>
    <n v="246.5"/>
    <n v="6"/>
    <n v="1"/>
    <x v="1105"/>
    <n v="2"/>
    <n v="12"/>
    <n v="4"/>
    <x v="2"/>
  </r>
  <r>
    <n v="4719"/>
    <d v="2025-03-20T00:00:00"/>
    <n v="73"/>
    <s v="Male"/>
    <s v="East"/>
    <x v="0"/>
    <m/>
    <n v="598.20000000000005"/>
    <n v="5"/>
    <n v="1"/>
    <x v="1106"/>
    <n v="4"/>
    <n v="4"/>
    <n v="3"/>
    <x v="2"/>
  </r>
  <r>
    <n v="3768"/>
    <d v="2025-03-20T00:00:00"/>
    <n v="41"/>
    <s v="Male"/>
    <s v="South"/>
    <x v="1"/>
    <s v="CAMP4"/>
    <n v="532.20000000000005"/>
    <n v="7"/>
    <n v="1"/>
    <x v="1107"/>
    <n v="5"/>
    <n v="1"/>
    <n v="4"/>
    <x v="2"/>
  </r>
  <r>
    <n v="3301"/>
    <d v="2025-03-20T00:00:00"/>
    <n v="28"/>
    <s v="Male"/>
    <s v="South"/>
    <x v="0"/>
    <m/>
    <n v="341.4"/>
    <n v="9"/>
    <n v="1"/>
    <x v="226"/>
    <n v="5"/>
    <n v="5"/>
    <n v="5"/>
    <x v="2"/>
  </r>
  <r>
    <n v="3100"/>
    <d v="2025-03-20T00:00:00"/>
    <n v="32"/>
    <s v="Female"/>
    <s v="East"/>
    <x v="3"/>
    <m/>
    <n v="443.2"/>
    <n v="5"/>
    <n v="1"/>
    <x v="1108"/>
    <n v="4"/>
    <n v="7"/>
    <n v="4"/>
    <x v="2"/>
  </r>
  <r>
    <n v="1989"/>
    <d v="2025-03-20T00:00:00"/>
    <n v="27"/>
    <s v="Male"/>
    <s v="South"/>
    <x v="0"/>
    <m/>
    <n v="442.3"/>
    <n v="6"/>
    <n v="1"/>
    <x v="1109"/>
    <n v="3"/>
    <n v="11"/>
    <n v="5"/>
    <x v="2"/>
  </r>
  <r>
    <n v="568"/>
    <d v="2025-03-20T00:00:00"/>
    <n v="25"/>
    <s v="Male"/>
    <s v="North"/>
    <x v="0"/>
    <m/>
    <n v="151.9"/>
    <n v="8"/>
    <n v="1"/>
    <x v="1110"/>
    <n v="5"/>
    <n v="12"/>
    <n v="4"/>
    <x v="2"/>
  </r>
  <r>
    <n v="2865"/>
    <d v="2025-03-20T00:00:00"/>
    <n v="28"/>
    <s v="Male"/>
    <s v="West"/>
    <x v="0"/>
    <m/>
    <n v="108.9"/>
    <n v="1"/>
    <n v="1"/>
    <x v="1111"/>
    <n v="4"/>
    <n v="2"/>
    <n v="4"/>
    <x v="2"/>
  </r>
  <r>
    <n v="2623"/>
    <d v="2025-03-20T00:00:00"/>
    <n v="35"/>
    <s v="Male"/>
    <s v="South"/>
    <x v="0"/>
    <m/>
    <n v="419.7"/>
    <n v="5"/>
    <n v="1"/>
    <x v="1112"/>
    <n v="4"/>
    <n v="12"/>
    <n v="4"/>
    <x v="2"/>
  </r>
  <r>
    <n v="2260"/>
    <d v="2025-03-20T00:00:00"/>
    <n v="26"/>
    <s v="Male"/>
    <s v="East"/>
    <x v="2"/>
    <m/>
    <n v="214.7"/>
    <n v="8"/>
    <n v="1"/>
    <x v="567"/>
    <n v="2"/>
    <n v="14"/>
    <n v="3"/>
    <x v="2"/>
  </r>
  <r>
    <n v="2981"/>
    <d v="2025-03-20T00:00:00"/>
    <n v="38"/>
    <s v="Male"/>
    <s v="West"/>
    <x v="3"/>
    <m/>
    <n v="240.3"/>
    <n v="5"/>
    <n v="1"/>
    <x v="1113"/>
    <n v="4"/>
    <n v="8"/>
    <n v="4"/>
    <x v="2"/>
  </r>
  <r>
    <n v="3106"/>
    <d v="2025-03-20T00:00:00"/>
    <n v="34"/>
    <s v="Male"/>
    <s v="South"/>
    <x v="3"/>
    <m/>
    <n v="481.1"/>
    <n v="9"/>
    <n v="0"/>
    <x v="11"/>
    <n v="0"/>
    <n v="0"/>
    <m/>
    <x v="2"/>
  </r>
  <r>
    <n v="2795"/>
    <d v="2025-03-20T00:00:00"/>
    <n v="41"/>
    <s v="Male"/>
    <s v="South"/>
    <x v="0"/>
    <m/>
    <n v="416.1"/>
    <n v="6"/>
    <n v="0"/>
    <x v="11"/>
    <n v="0"/>
    <n v="0"/>
    <m/>
    <x v="2"/>
  </r>
  <r>
    <n v="3666"/>
    <d v="2025-03-20T00:00:00"/>
    <n v="30"/>
    <s v="Female"/>
    <s v="East"/>
    <x v="0"/>
    <m/>
    <n v="363.1"/>
    <n v="7"/>
    <n v="0"/>
    <x v="11"/>
    <n v="0"/>
    <n v="0"/>
    <m/>
    <x v="2"/>
  </r>
  <r>
    <n v="1480"/>
    <d v="2025-03-20T00:00:00"/>
    <n v="19"/>
    <s v="Male"/>
    <s v="West"/>
    <x v="3"/>
    <m/>
    <n v="320.39999999999998"/>
    <n v="5"/>
    <n v="0"/>
    <x v="11"/>
    <n v="0"/>
    <n v="0"/>
    <m/>
    <x v="2"/>
  </r>
  <r>
    <n v="1950"/>
    <d v="2025-03-20T00:00:00"/>
    <n v="41"/>
    <s v="Male"/>
    <s v="South"/>
    <x v="0"/>
    <m/>
    <n v="238.5"/>
    <n v="8"/>
    <n v="0"/>
    <x v="11"/>
    <n v="0"/>
    <n v="0"/>
    <m/>
    <x v="2"/>
  </r>
  <r>
    <n v="988"/>
    <d v="2025-03-20T00:00:00"/>
    <n v="24"/>
    <s v="Female"/>
    <s v="South"/>
    <x v="1"/>
    <s v="CAMP6"/>
    <n v="198.6"/>
    <n v="6"/>
    <n v="0"/>
    <x v="11"/>
    <n v="0"/>
    <n v="0"/>
    <m/>
    <x v="2"/>
  </r>
  <r>
    <n v="1778"/>
    <d v="2025-03-20T00:00:00"/>
    <n v="20"/>
    <s v="Male"/>
    <s v="North"/>
    <x v="1"/>
    <s v="CAMP6"/>
    <n v="169.5"/>
    <n v="9"/>
    <n v="0"/>
    <x v="11"/>
    <n v="0"/>
    <n v="0"/>
    <m/>
    <x v="2"/>
  </r>
  <r>
    <n v="1353"/>
    <d v="2025-03-20T00:00:00"/>
    <n v="32"/>
    <s v="Male"/>
    <s v="East"/>
    <x v="0"/>
    <m/>
    <n v="150.80000000000001"/>
    <n v="6"/>
    <n v="0"/>
    <x v="11"/>
    <n v="0"/>
    <n v="0"/>
    <m/>
    <x v="2"/>
  </r>
  <r>
    <n v="344"/>
    <d v="2025-03-20T00:00:00"/>
    <n v="26"/>
    <s v="Male"/>
    <s v="North"/>
    <x v="3"/>
    <m/>
    <n v="106"/>
    <n v="5"/>
    <n v="0"/>
    <x v="11"/>
    <n v="0"/>
    <n v="0"/>
    <m/>
    <x v="2"/>
  </r>
  <r>
    <n v="916"/>
    <d v="2025-03-20T00:00:00"/>
    <n v="30"/>
    <s v="Female"/>
    <s v="South"/>
    <x v="2"/>
    <m/>
    <n v="49.8"/>
    <n v="6"/>
    <n v="0"/>
    <x v="11"/>
    <n v="0"/>
    <n v="0"/>
    <m/>
    <x v="2"/>
  </r>
  <r>
    <n v="1557"/>
    <d v="2025-04-20T00:00:00"/>
    <n v="18"/>
    <s v="Female"/>
    <s v="South"/>
    <x v="1"/>
    <s v="CAMP6"/>
    <n v="235.2"/>
    <n v="8"/>
    <n v="1"/>
    <x v="1114"/>
    <n v="4"/>
    <n v="2"/>
    <n v="4"/>
    <x v="3"/>
  </r>
  <r>
    <n v="1509"/>
    <d v="2025-04-20T00:00:00"/>
    <n v="23"/>
    <s v="Male"/>
    <s v="North"/>
    <x v="3"/>
    <m/>
    <n v="861.1"/>
    <n v="9"/>
    <n v="1"/>
    <x v="1115"/>
    <n v="2"/>
    <n v="4"/>
    <n v="4"/>
    <x v="3"/>
  </r>
  <r>
    <n v="3675"/>
    <d v="2025-04-20T00:00:00"/>
    <n v="36"/>
    <s v="Male"/>
    <s v="North"/>
    <x v="1"/>
    <s v="CAMP7"/>
    <n v="1123.7"/>
    <n v="4"/>
    <n v="1"/>
    <x v="1116"/>
    <n v="1"/>
    <n v="12"/>
    <n v="4"/>
    <x v="3"/>
  </r>
  <r>
    <n v="542"/>
    <d v="2025-04-20T00:00:00"/>
    <n v="28"/>
    <s v="Female"/>
    <s v="South"/>
    <x v="2"/>
    <m/>
    <n v="653.1"/>
    <n v="3"/>
    <n v="1"/>
    <x v="1117"/>
    <n v="1"/>
    <n v="3"/>
    <n v="4"/>
    <x v="3"/>
  </r>
  <r>
    <n v="2291"/>
    <d v="2025-04-20T00:00:00"/>
    <n v="34"/>
    <s v="Male"/>
    <s v="East"/>
    <x v="1"/>
    <s v="CAMP1"/>
    <n v="361.6"/>
    <n v="4"/>
    <n v="1"/>
    <x v="1118"/>
    <n v="3"/>
    <n v="13"/>
    <n v="5"/>
    <x v="3"/>
  </r>
  <r>
    <n v="2665"/>
    <d v="2025-04-20T00:00:00"/>
    <n v="29"/>
    <s v="Male"/>
    <s v="West"/>
    <x v="0"/>
    <m/>
    <n v="652.5"/>
    <n v="4"/>
    <n v="1"/>
    <x v="1119"/>
    <n v="2"/>
    <n v="7"/>
    <n v="5"/>
    <x v="3"/>
  </r>
  <r>
    <n v="3126"/>
    <d v="2025-04-20T00:00:00"/>
    <n v="33"/>
    <s v="Female"/>
    <s v="East"/>
    <x v="0"/>
    <m/>
    <n v="243.2"/>
    <n v="3"/>
    <n v="1"/>
    <x v="1120"/>
    <n v="1"/>
    <n v="14"/>
    <n v="5"/>
    <x v="3"/>
  </r>
  <r>
    <n v="1689"/>
    <d v="2025-04-20T00:00:00"/>
    <n v="21"/>
    <s v="Female"/>
    <s v="East"/>
    <x v="2"/>
    <m/>
    <n v="543.4"/>
    <n v="5"/>
    <n v="1"/>
    <x v="545"/>
    <n v="5"/>
    <n v="12"/>
    <n v="4"/>
    <x v="3"/>
  </r>
  <r>
    <n v="4893"/>
    <d v="2025-04-20T00:00:00"/>
    <n v="57"/>
    <s v="Male"/>
    <s v="East"/>
    <x v="3"/>
    <m/>
    <n v="281.89999999999998"/>
    <n v="4"/>
    <n v="1"/>
    <x v="1121"/>
    <n v="7"/>
    <n v="10"/>
    <n v="4"/>
    <x v="3"/>
  </r>
  <r>
    <n v="205"/>
    <d v="2025-04-20T00:00:00"/>
    <n v="27"/>
    <s v="Male"/>
    <s v="South"/>
    <x v="1"/>
    <s v="CAMP1"/>
    <n v="276.89999999999998"/>
    <n v="5"/>
    <n v="1"/>
    <x v="1122"/>
    <n v="4"/>
    <n v="14"/>
    <n v="4"/>
    <x v="3"/>
  </r>
  <r>
    <n v="2035"/>
    <d v="2025-04-20T00:00:00"/>
    <n v="48"/>
    <s v="Male"/>
    <s v="North"/>
    <x v="0"/>
    <m/>
    <n v="765.1"/>
    <n v="7"/>
    <n v="0"/>
    <x v="11"/>
    <n v="0"/>
    <n v="0"/>
    <m/>
    <x v="3"/>
  </r>
  <r>
    <n v="3072"/>
    <d v="2025-04-20T00:00:00"/>
    <n v="41"/>
    <s v="Female"/>
    <s v="East"/>
    <x v="0"/>
    <m/>
    <n v="677.2"/>
    <n v="5"/>
    <n v="0"/>
    <x v="11"/>
    <n v="0"/>
    <n v="0"/>
    <m/>
    <x v="3"/>
  </r>
  <r>
    <n v="4496"/>
    <d v="2025-04-20T00:00:00"/>
    <n v="52"/>
    <s v="Female"/>
    <s v="South"/>
    <x v="0"/>
    <m/>
    <n v="569.79999999999995"/>
    <n v="6"/>
    <n v="0"/>
    <x v="11"/>
    <n v="0"/>
    <n v="0"/>
    <m/>
    <x v="3"/>
  </r>
  <r>
    <n v="696"/>
    <d v="2025-04-20T00:00:00"/>
    <n v="19"/>
    <s v="Female"/>
    <s v="North"/>
    <x v="0"/>
    <m/>
    <n v="543.70000000000005"/>
    <n v="5"/>
    <n v="0"/>
    <x v="11"/>
    <n v="0"/>
    <n v="0"/>
    <m/>
    <x v="3"/>
  </r>
  <r>
    <n v="4165"/>
    <d v="2025-04-20T00:00:00"/>
    <n v="50"/>
    <s v="Female"/>
    <s v="South"/>
    <x v="1"/>
    <s v="CAMP1"/>
    <n v="513.20000000000005"/>
    <n v="9"/>
    <n v="0"/>
    <x v="11"/>
    <n v="0"/>
    <n v="0"/>
    <m/>
    <x v="3"/>
  </r>
  <r>
    <n v="804"/>
    <d v="2025-04-20T00:00:00"/>
    <n v="24"/>
    <s v="Female"/>
    <s v="East"/>
    <x v="0"/>
    <m/>
    <n v="504.9"/>
    <n v="6"/>
    <n v="0"/>
    <x v="11"/>
    <n v="0"/>
    <n v="0"/>
    <m/>
    <x v="3"/>
  </r>
  <r>
    <n v="4088"/>
    <d v="2025-04-20T00:00:00"/>
    <n v="51"/>
    <s v="Male"/>
    <s v="South"/>
    <x v="1"/>
    <s v="CAMP2"/>
    <n v="467.9"/>
    <n v="4"/>
    <n v="0"/>
    <x v="11"/>
    <n v="0"/>
    <n v="0"/>
    <m/>
    <x v="3"/>
  </r>
  <r>
    <n v="3253"/>
    <d v="2025-04-20T00:00:00"/>
    <n v="41"/>
    <s v="Male"/>
    <s v="East"/>
    <x v="1"/>
    <s v="CAMP3"/>
    <n v="454.5"/>
    <n v="6"/>
    <n v="0"/>
    <x v="11"/>
    <n v="0"/>
    <n v="0"/>
    <m/>
    <x v="3"/>
  </r>
  <r>
    <n v="2265"/>
    <d v="2025-04-20T00:00:00"/>
    <n v="32"/>
    <s v="Female"/>
    <s v="East"/>
    <x v="1"/>
    <s v="CAMP1"/>
    <n v="401.1"/>
    <n v="3"/>
    <n v="0"/>
    <x v="11"/>
    <n v="0"/>
    <n v="0"/>
    <m/>
    <x v="3"/>
  </r>
  <r>
    <n v="1579"/>
    <d v="2025-04-20T00:00:00"/>
    <n v="21"/>
    <s v="Female"/>
    <s v="North"/>
    <x v="0"/>
    <m/>
    <n v="380.2"/>
    <n v="6"/>
    <n v="0"/>
    <x v="11"/>
    <n v="0"/>
    <n v="0"/>
    <m/>
    <x v="3"/>
  </r>
  <r>
    <n v="147"/>
    <d v="2025-04-20T00:00:00"/>
    <n v="31"/>
    <s v="Male"/>
    <s v="East"/>
    <x v="1"/>
    <s v="CAMP3"/>
    <n v="374.4"/>
    <n v="4"/>
    <n v="0"/>
    <x v="11"/>
    <n v="0"/>
    <n v="0"/>
    <m/>
    <x v="3"/>
  </r>
  <r>
    <n v="31"/>
    <d v="2025-04-20T00:00:00"/>
    <n v="27"/>
    <s v="Male"/>
    <s v="North"/>
    <x v="2"/>
    <m/>
    <n v="342"/>
    <n v="8"/>
    <n v="0"/>
    <x v="11"/>
    <n v="0"/>
    <n v="0"/>
    <m/>
    <x v="3"/>
  </r>
  <r>
    <n v="3210"/>
    <d v="2025-04-20T00:00:00"/>
    <n v="41"/>
    <s v="Other"/>
    <s v="North"/>
    <x v="3"/>
    <m/>
    <n v="314.89999999999998"/>
    <n v="4"/>
    <n v="0"/>
    <x v="11"/>
    <n v="0"/>
    <n v="0"/>
    <m/>
    <x v="3"/>
  </r>
  <r>
    <n v="1093"/>
    <d v="2025-04-20T00:00:00"/>
    <n v="29"/>
    <s v="Male"/>
    <s v="North"/>
    <x v="2"/>
    <m/>
    <n v="305.5"/>
    <n v="3"/>
    <n v="0"/>
    <x v="11"/>
    <n v="0"/>
    <n v="0"/>
    <m/>
    <x v="3"/>
  </r>
  <r>
    <n v="2323"/>
    <d v="2025-04-20T00:00:00"/>
    <n v="30"/>
    <s v="Female"/>
    <s v="West"/>
    <x v="2"/>
    <m/>
    <n v="303.60000000000002"/>
    <n v="7"/>
    <n v="0"/>
    <x v="11"/>
    <n v="0"/>
    <n v="0"/>
    <m/>
    <x v="3"/>
  </r>
  <r>
    <n v="663"/>
    <d v="2025-04-20T00:00:00"/>
    <n v="20"/>
    <s v="Male"/>
    <s v="South"/>
    <x v="0"/>
    <m/>
    <n v="287.5"/>
    <n v="6"/>
    <n v="0"/>
    <x v="11"/>
    <n v="0"/>
    <n v="0"/>
    <m/>
    <x v="3"/>
  </r>
  <r>
    <n v="2406"/>
    <d v="2025-04-20T00:00:00"/>
    <n v="45"/>
    <s v="Female"/>
    <s v="North"/>
    <x v="0"/>
    <m/>
    <n v="264.7"/>
    <n v="5"/>
    <n v="0"/>
    <x v="11"/>
    <n v="0"/>
    <n v="0"/>
    <m/>
    <x v="3"/>
  </r>
  <r>
    <n v="1993"/>
    <d v="2025-04-20T00:00:00"/>
    <n v="48"/>
    <s v="Female"/>
    <s v="West"/>
    <x v="0"/>
    <m/>
    <n v="221.1"/>
    <n v="5"/>
    <n v="0"/>
    <x v="11"/>
    <n v="0"/>
    <n v="0"/>
    <m/>
    <x v="3"/>
  </r>
  <r>
    <n v="3232"/>
    <d v="2025-04-20T00:00:00"/>
    <n v="40"/>
    <s v="Female"/>
    <s v="South"/>
    <x v="0"/>
    <m/>
    <n v="187.4"/>
    <n v="8"/>
    <n v="0"/>
    <x v="11"/>
    <n v="0"/>
    <n v="0"/>
    <m/>
    <x v="3"/>
  </r>
  <r>
    <n v="3492"/>
    <d v="2025-04-20T00:00:00"/>
    <n v="28"/>
    <s v="Male"/>
    <s v="South"/>
    <x v="0"/>
    <m/>
    <n v="130.5"/>
    <n v="9"/>
    <n v="0"/>
    <x v="11"/>
    <n v="0"/>
    <n v="0"/>
    <m/>
    <x v="3"/>
  </r>
  <r>
    <n v="3473"/>
    <d v="2025-04-20T00:00:00"/>
    <n v="53"/>
    <s v="Male"/>
    <s v="East"/>
    <x v="1"/>
    <s v="CAMP7"/>
    <n v="88.9"/>
    <n v="7"/>
    <n v="0"/>
    <x v="11"/>
    <n v="0"/>
    <n v="0"/>
    <m/>
    <x v="3"/>
  </r>
  <r>
    <n v="1532"/>
    <d v="2025-04-20T00:00:00"/>
    <n v="22"/>
    <s v="Female"/>
    <s v="South"/>
    <x v="1"/>
    <s v="CAMP5"/>
    <n v="49.6"/>
    <n v="6"/>
    <n v="0"/>
    <x v="11"/>
    <n v="0"/>
    <n v="0"/>
    <m/>
    <x v="3"/>
  </r>
  <r>
    <n v="1387"/>
    <d v="2025-05-20T00:00:00"/>
    <n v="27"/>
    <s v="Male"/>
    <s v="West"/>
    <x v="0"/>
    <m/>
    <n v="814.2"/>
    <n v="6"/>
    <n v="1"/>
    <x v="1123"/>
    <n v="1"/>
    <n v="14"/>
    <n v="4"/>
    <x v="4"/>
  </r>
  <r>
    <n v="1824"/>
    <d v="2025-05-20T00:00:00"/>
    <n v="32"/>
    <s v="Female"/>
    <s v="South"/>
    <x v="1"/>
    <s v="CAMP5"/>
    <n v="807"/>
    <n v="9"/>
    <n v="1"/>
    <x v="1124"/>
    <n v="3"/>
    <n v="6"/>
    <n v="3"/>
    <x v="4"/>
  </r>
  <r>
    <n v="2700"/>
    <d v="2025-05-20T00:00:00"/>
    <n v="49"/>
    <s v="Male"/>
    <s v="West"/>
    <x v="0"/>
    <m/>
    <n v="964.6"/>
    <n v="8"/>
    <n v="1"/>
    <x v="1125"/>
    <n v="4"/>
    <n v="2"/>
    <n v="4"/>
    <x v="4"/>
  </r>
  <r>
    <n v="2091"/>
    <d v="2025-05-20T00:00:00"/>
    <n v="39"/>
    <s v="Male"/>
    <s v="West"/>
    <x v="2"/>
    <m/>
    <n v="842.5"/>
    <n v="4"/>
    <n v="1"/>
    <x v="1126"/>
    <n v="2"/>
    <n v="10"/>
    <n v="5"/>
    <x v="4"/>
  </r>
  <r>
    <n v="1861"/>
    <d v="2025-05-20T00:00:00"/>
    <n v="32"/>
    <s v="Male"/>
    <s v="North"/>
    <x v="0"/>
    <m/>
    <n v="682.4"/>
    <n v="3"/>
    <n v="1"/>
    <x v="1127"/>
    <n v="3"/>
    <n v="11"/>
    <n v="5"/>
    <x v="4"/>
  </r>
  <r>
    <n v="4685"/>
    <d v="2025-05-20T00:00:00"/>
    <n v="47"/>
    <s v="Male"/>
    <s v="West"/>
    <x v="0"/>
    <m/>
    <n v="424.3"/>
    <n v="4"/>
    <n v="1"/>
    <x v="1128"/>
    <n v="3"/>
    <n v="12"/>
    <n v="4"/>
    <x v="4"/>
  </r>
  <r>
    <n v="394"/>
    <d v="2025-05-20T00:00:00"/>
    <n v="22"/>
    <s v="Male"/>
    <s v="West"/>
    <x v="0"/>
    <m/>
    <n v="57.2"/>
    <n v="3"/>
    <n v="1"/>
    <x v="171"/>
    <n v="6"/>
    <n v="5"/>
    <n v="4"/>
    <x v="4"/>
  </r>
  <r>
    <n v="550"/>
    <d v="2025-05-20T00:00:00"/>
    <n v="20"/>
    <s v="Male"/>
    <s v="West"/>
    <x v="1"/>
    <s v="CAMP4"/>
    <n v="959.8"/>
    <n v="7"/>
    <n v="0"/>
    <x v="11"/>
    <n v="0"/>
    <n v="0"/>
    <m/>
    <x v="4"/>
  </r>
  <r>
    <n v="4853"/>
    <d v="2025-05-20T00:00:00"/>
    <n v="38"/>
    <s v="Other"/>
    <s v="West"/>
    <x v="0"/>
    <m/>
    <n v="679.3"/>
    <n v="7"/>
    <n v="0"/>
    <x v="11"/>
    <n v="0"/>
    <n v="0"/>
    <m/>
    <x v="4"/>
  </r>
  <r>
    <n v="451"/>
    <d v="2025-05-20T00:00:00"/>
    <n v="27"/>
    <s v="Male"/>
    <s v="East"/>
    <x v="1"/>
    <s v="CAMP3"/>
    <n v="600.20000000000005"/>
    <n v="7"/>
    <n v="0"/>
    <x v="11"/>
    <n v="0"/>
    <n v="0"/>
    <m/>
    <x v="4"/>
  </r>
  <r>
    <n v="52"/>
    <d v="2025-05-20T00:00:00"/>
    <n v="29"/>
    <s v="Male"/>
    <s v="South"/>
    <x v="0"/>
    <m/>
    <n v="525.29999999999995"/>
    <n v="9"/>
    <n v="0"/>
    <x v="11"/>
    <n v="0"/>
    <n v="0"/>
    <m/>
    <x v="4"/>
  </r>
  <r>
    <n v="2596"/>
    <d v="2025-05-20T00:00:00"/>
    <n v="41"/>
    <s v="Female"/>
    <s v="West"/>
    <x v="1"/>
    <s v="CAMP2"/>
    <n v="469.1"/>
    <n v="7"/>
    <n v="0"/>
    <x v="11"/>
    <n v="0"/>
    <n v="0"/>
    <m/>
    <x v="4"/>
  </r>
  <r>
    <n v="2261"/>
    <d v="2025-05-20T00:00:00"/>
    <n v="53"/>
    <s v="Male"/>
    <s v="North"/>
    <x v="3"/>
    <m/>
    <n v="294.7"/>
    <n v="13"/>
    <n v="0"/>
    <x v="11"/>
    <n v="0"/>
    <n v="0"/>
    <m/>
    <x v="4"/>
  </r>
  <r>
    <n v="71"/>
    <d v="2025-05-20T00:00:00"/>
    <n v="20"/>
    <s v="Female"/>
    <s v="East"/>
    <x v="3"/>
    <m/>
    <n v="244.2"/>
    <n v="11"/>
    <n v="0"/>
    <x v="11"/>
    <n v="0"/>
    <n v="0"/>
    <m/>
    <x v="4"/>
  </r>
  <r>
    <n v="3320"/>
    <d v="2025-05-20T00:00:00"/>
    <n v="35"/>
    <s v="Female"/>
    <s v="West"/>
    <x v="0"/>
    <m/>
    <n v="138"/>
    <n v="7"/>
    <n v="0"/>
    <x v="11"/>
    <n v="0"/>
    <n v="0"/>
    <m/>
    <x v="4"/>
  </r>
  <r>
    <n v="2008"/>
    <d v="2025-05-20T00:00:00"/>
    <n v="23"/>
    <s v="Female"/>
    <s v="East"/>
    <x v="0"/>
    <m/>
    <n v="123.6"/>
    <n v="13"/>
    <n v="0"/>
    <x v="11"/>
    <n v="0"/>
    <n v="0"/>
    <m/>
    <x v="4"/>
  </r>
  <r>
    <n v="3569"/>
    <d v="2025-05-20T00:00:00"/>
    <n v="49"/>
    <s v="Female"/>
    <s v="North"/>
    <x v="1"/>
    <s v="CAMP1"/>
    <n v="117.1"/>
    <n v="7"/>
    <n v="0"/>
    <x v="11"/>
    <n v="0"/>
    <n v="0"/>
    <m/>
    <x v="4"/>
  </r>
  <r>
    <n v="2699"/>
    <d v="2025-05-20T00:00:00"/>
    <n v="26"/>
    <s v="Female"/>
    <s v="North"/>
    <x v="0"/>
    <m/>
    <n v="105.1"/>
    <n v="5"/>
    <n v="0"/>
    <x v="11"/>
    <n v="0"/>
    <n v="0"/>
    <m/>
    <x v="4"/>
  </r>
  <r>
    <n v="861"/>
    <d v="2025-05-20T00:00:00"/>
    <n v="18"/>
    <s v="Female"/>
    <s v="South"/>
    <x v="0"/>
    <m/>
    <n v="104"/>
    <n v="6"/>
    <n v="0"/>
    <x v="11"/>
    <n v="0"/>
    <n v="0"/>
    <m/>
    <x v="4"/>
  </r>
  <r>
    <n v="1242"/>
    <d v="2025-05-20T00:00:00"/>
    <n v="27"/>
    <s v="Female"/>
    <s v="North"/>
    <x v="1"/>
    <s v="CAMP7"/>
    <n v="95.3"/>
    <n v="9"/>
    <n v="0"/>
    <x v="11"/>
    <n v="0"/>
    <n v="0"/>
    <m/>
    <x v="4"/>
  </r>
  <r>
    <n v="2711"/>
    <d v="2025-05-20T00:00:00"/>
    <n v="29"/>
    <s v="Female"/>
    <s v="West"/>
    <x v="0"/>
    <m/>
    <n v="72.599999999999994"/>
    <n v="4"/>
    <n v="0"/>
    <x v="11"/>
    <n v="0"/>
    <n v="0"/>
    <m/>
    <x v="4"/>
  </r>
  <r>
    <n v="3683"/>
    <d v="2025-05-20T00:00:00"/>
    <n v="57"/>
    <s v="Male"/>
    <s v="South"/>
    <x v="1"/>
    <s v="CAMP3"/>
    <n v="50.7"/>
    <n v="6"/>
    <n v="0"/>
    <x v="11"/>
    <n v="0"/>
    <n v="0"/>
    <m/>
    <x v="4"/>
  </r>
  <r>
    <n v="3693"/>
    <d v="2025-05-20T00:00:00"/>
    <n v="50"/>
    <s v="Female"/>
    <s v="South"/>
    <x v="0"/>
    <m/>
    <n v="50.2"/>
    <n v="7"/>
    <n v="0"/>
    <x v="11"/>
    <n v="0"/>
    <n v="0"/>
    <m/>
    <x v="4"/>
  </r>
  <r>
    <n v="1806"/>
    <d v="2025-05-20T00:00:00"/>
    <n v="37"/>
    <s v="Female"/>
    <s v="West"/>
    <x v="0"/>
    <m/>
    <n v="37.799999999999997"/>
    <n v="4"/>
    <n v="0"/>
    <x v="11"/>
    <n v="0"/>
    <n v="0"/>
    <m/>
    <x v="4"/>
  </r>
  <r>
    <n v="4407"/>
    <d v="2025-06-20T00:00:00"/>
    <n v="56"/>
    <s v="Male"/>
    <s v="West"/>
    <x v="0"/>
    <m/>
    <n v="855.4"/>
    <n v="4"/>
    <n v="1"/>
    <x v="1129"/>
    <n v="1"/>
    <n v="4"/>
    <n v="4"/>
    <x v="5"/>
  </r>
  <r>
    <n v="3705"/>
    <d v="2025-06-20T00:00:00"/>
    <n v="20"/>
    <s v="Male"/>
    <s v="North"/>
    <x v="0"/>
    <m/>
    <n v="385"/>
    <n v="6"/>
    <n v="1"/>
    <x v="1130"/>
    <n v="5"/>
    <n v="4"/>
    <n v="5"/>
    <x v="5"/>
  </r>
  <r>
    <n v="3921"/>
    <d v="2025-06-20T00:00:00"/>
    <n v="36"/>
    <s v="Male"/>
    <s v="West"/>
    <x v="0"/>
    <m/>
    <n v="96.4"/>
    <n v="5"/>
    <n v="1"/>
    <x v="1131"/>
    <n v="3"/>
    <n v="12"/>
    <n v="4"/>
    <x v="5"/>
  </r>
  <r>
    <n v="2054"/>
    <d v="2025-06-20T00:00:00"/>
    <n v="36"/>
    <s v="Female"/>
    <s v="West"/>
    <x v="1"/>
    <s v="CAMP4"/>
    <n v="470.1"/>
    <n v="6"/>
    <n v="1"/>
    <x v="1132"/>
    <n v="3"/>
    <n v="13"/>
    <n v="4"/>
    <x v="5"/>
  </r>
  <r>
    <n v="4469"/>
    <d v="2025-06-20T00:00:00"/>
    <n v="49"/>
    <s v="Female"/>
    <s v="North"/>
    <x v="3"/>
    <m/>
    <n v="691.6"/>
    <n v="12"/>
    <n v="1"/>
    <x v="1133"/>
    <n v="7"/>
    <n v="12"/>
    <n v="5"/>
    <x v="5"/>
  </r>
  <r>
    <n v="4395"/>
    <d v="2025-06-20T00:00:00"/>
    <n v="40"/>
    <s v="Male"/>
    <s v="North"/>
    <x v="0"/>
    <m/>
    <n v="390.8"/>
    <n v="7"/>
    <n v="1"/>
    <x v="1134"/>
    <n v="2"/>
    <n v="14"/>
    <n v="5"/>
    <x v="5"/>
  </r>
  <r>
    <n v="509"/>
    <d v="2025-06-20T00:00:00"/>
    <n v="23"/>
    <s v="Male"/>
    <s v="East"/>
    <x v="0"/>
    <m/>
    <n v="93"/>
    <n v="4"/>
    <n v="1"/>
    <x v="1135"/>
    <n v="3"/>
    <n v="8"/>
    <n v="4"/>
    <x v="5"/>
  </r>
  <r>
    <n v="446"/>
    <d v="2025-06-20T00:00:00"/>
    <n v="18"/>
    <s v="Male"/>
    <s v="North"/>
    <x v="3"/>
    <m/>
    <n v="480.6"/>
    <n v="4"/>
    <n v="0"/>
    <x v="11"/>
    <n v="0"/>
    <n v="0"/>
    <m/>
    <x v="5"/>
  </r>
  <r>
    <n v="2554"/>
    <d v="2025-06-20T00:00:00"/>
    <n v="38"/>
    <s v="Male"/>
    <s v="West"/>
    <x v="1"/>
    <s v="CAMP5"/>
    <n v="416.9"/>
    <n v="6"/>
    <n v="0"/>
    <x v="11"/>
    <n v="0"/>
    <n v="0"/>
    <m/>
    <x v="5"/>
  </r>
  <r>
    <n v="1080"/>
    <d v="2025-06-20T00:00:00"/>
    <n v="21"/>
    <s v="Female"/>
    <s v="East"/>
    <x v="0"/>
    <m/>
    <n v="414.6"/>
    <n v="4"/>
    <n v="0"/>
    <x v="11"/>
    <n v="0"/>
    <n v="0"/>
    <m/>
    <x v="5"/>
  </r>
  <r>
    <n v="1449"/>
    <d v="2025-06-20T00:00:00"/>
    <n v="22"/>
    <s v="Female"/>
    <s v="East"/>
    <x v="1"/>
    <s v="CAMP7"/>
    <n v="380.5"/>
    <n v="6"/>
    <n v="0"/>
    <x v="11"/>
    <n v="0"/>
    <n v="0"/>
    <m/>
    <x v="5"/>
  </r>
  <r>
    <n v="3080"/>
    <d v="2025-06-20T00:00:00"/>
    <n v="22"/>
    <s v="Male"/>
    <s v="South"/>
    <x v="0"/>
    <m/>
    <n v="368.6"/>
    <n v="7"/>
    <n v="0"/>
    <x v="11"/>
    <n v="0"/>
    <n v="0"/>
    <m/>
    <x v="5"/>
  </r>
  <r>
    <n v="790"/>
    <d v="2025-06-20T00:00:00"/>
    <n v="25"/>
    <s v="Female"/>
    <s v="East"/>
    <x v="2"/>
    <m/>
    <n v="213.6"/>
    <n v="9"/>
    <n v="0"/>
    <x v="11"/>
    <n v="0"/>
    <n v="0"/>
    <m/>
    <x v="5"/>
  </r>
  <r>
    <n v="4625"/>
    <d v="2025-06-20T00:00:00"/>
    <n v="62"/>
    <s v="Male"/>
    <s v="West"/>
    <x v="1"/>
    <s v="CAMP4"/>
    <n v="206.3"/>
    <n v="7"/>
    <n v="0"/>
    <x v="11"/>
    <n v="0"/>
    <n v="0"/>
    <m/>
    <x v="5"/>
  </r>
  <r>
    <n v="3077"/>
    <d v="2025-06-20T00:00:00"/>
    <n v="45"/>
    <s v="Female"/>
    <s v="South"/>
    <x v="0"/>
    <m/>
    <n v="199.4"/>
    <n v="8"/>
    <n v="0"/>
    <x v="11"/>
    <n v="0"/>
    <n v="0"/>
    <m/>
    <x v="5"/>
  </r>
  <r>
    <n v="536"/>
    <d v="2025-06-20T00:00:00"/>
    <n v="29"/>
    <s v="Male"/>
    <s v="North"/>
    <x v="1"/>
    <s v="CAMP3"/>
    <n v="191.2"/>
    <n v="7"/>
    <n v="0"/>
    <x v="11"/>
    <n v="0"/>
    <n v="0"/>
    <m/>
    <x v="5"/>
  </r>
  <r>
    <n v="576"/>
    <d v="2025-06-20T00:00:00"/>
    <n v="27"/>
    <s v="Female"/>
    <s v="South"/>
    <x v="0"/>
    <m/>
    <n v="179.8"/>
    <n v="2"/>
    <n v="0"/>
    <x v="11"/>
    <n v="0"/>
    <n v="0"/>
    <m/>
    <x v="5"/>
  </r>
  <r>
    <n v="870"/>
    <d v="2025-06-20T00:00:00"/>
    <n v="18"/>
    <s v="Male"/>
    <s v="East"/>
    <x v="0"/>
    <m/>
    <n v="178.7"/>
    <n v="3"/>
    <n v="0"/>
    <x v="11"/>
    <n v="0"/>
    <n v="0"/>
    <m/>
    <x v="5"/>
  </r>
  <r>
    <n v="4847"/>
    <d v="2025-06-20T00:00:00"/>
    <n v="57"/>
    <s v="Male"/>
    <s v="West"/>
    <x v="0"/>
    <m/>
    <n v="171.3"/>
    <n v="5"/>
    <n v="0"/>
    <x v="11"/>
    <n v="0"/>
    <n v="0"/>
    <m/>
    <x v="5"/>
  </r>
  <r>
    <n v="918"/>
    <d v="2025-06-20T00:00:00"/>
    <n v="24"/>
    <s v="Other"/>
    <s v="West"/>
    <x v="0"/>
    <m/>
    <n v="164.5"/>
    <n v="3"/>
    <n v="0"/>
    <x v="11"/>
    <n v="0"/>
    <n v="0"/>
    <m/>
    <x v="5"/>
  </r>
  <r>
    <n v="3027"/>
    <d v="2025-06-20T00:00:00"/>
    <n v="35"/>
    <s v="Male"/>
    <s v="East"/>
    <x v="1"/>
    <s v="CAMP7"/>
    <n v="148.1"/>
    <n v="3"/>
    <n v="0"/>
    <x v="11"/>
    <n v="0"/>
    <n v="0"/>
    <m/>
    <x v="5"/>
  </r>
  <r>
    <n v="4128"/>
    <d v="2025-06-20T00:00:00"/>
    <n v="46"/>
    <s v="Male"/>
    <s v="West"/>
    <x v="2"/>
    <m/>
    <n v="142.4"/>
    <n v="15"/>
    <n v="0"/>
    <x v="11"/>
    <n v="0"/>
    <n v="0"/>
    <m/>
    <x v="5"/>
  </r>
  <r>
    <n v="2969"/>
    <d v="2025-06-20T00:00:00"/>
    <n v="18"/>
    <s v="Female"/>
    <s v="East"/>
    <x v="3"/>
    <m/>
    <n v="128.5"/>
    <n v="6"/>
    <n v="0"/>
    <x v="11"/>
    <n v="0"/>
    <n v="0"/>
    <m/>
    <x v="5"/>
  </r>
  <r>
    <n v="2872"/>
    <d v="2025-06-20T00:00:00"/>
    <n v="18"/>
    <s v="Female"/>
    <s v="South"/>
    <x v="0"/>
    <m/>
    <n v="120.8"/>
    <n v="6"/>
    <n v="0"/>
    <x v="11"/>
    <n v="0"/>
    <n v="0"/>
    <m/>
    <x v="5"/>
  </r>
  <r>
    <n v="34"/>
    <d v="2025-06-20T00:00:00"/>
    <n v="26"/>
    <s v="Male"/>
    <s v="West"/>
    <x v="0"/>
    <m/>
    <n v="94.7"/>
    <n v="3"/>
    <n v="0"/>
    <x v="11"/>
    <n v="0"/>
    <n v="0"/>
    <m/>
    <x v="5"/>
  </r>
  <r>
    <n v="4641"/>
    <d v="2025-06-20T00:00:00"/>
    <n v="34"/>
    <s v="Female"/>
    <s v="West"/>
    <x v="0"/>
    <m/>
    <n v="74.900000000000006"/>
    <n v="9"/>
    <n v="0"/>
    <x v="11"/>
    <n v="0"/>
    <n v="0"/>
    <m/>
    <x v="5"/>
  </r>
  <r>
    <n v="1085"/>
    <d v="2025-06-20T00:00:00"/>
    <n v="20"/>
    <s v="Male"/>
    <s v="South"/>
    <x v="1"/>
    <s v="CAMP2"/>
    <n v="71.099999999999994"/>
    <n v="5"/>
    <n v="0"/>
    <x v="11"/>
    <n v="0"/>
    <n v="0"/>
    <m/>
    <x v="5"/>
  </r>
  <r>
    <n v="182"/>
    <d v="2025-01-21T00:00:00"/>
    <n v="26"/>
    <s v="Male"/>
    <s v="South"/>
    <x v="0"/>
    <m/>
    <n v="748.1"/>
    <n v="7"/>
    <n v="1"/>
    <x v="1136"/>
    <n v="3"/>
    <n v="13"/>
    <n v="5"/>
    <x v="0"/>
  </r>
  <r>
    <n v="2309"/>
    <d v="2025-01-21T00:00:00"/>
    <n v="30"/>
    <s v="Male"/>
    <s v="West"/>
    <x v="1"/>
    <s v="CAMP6"/>
    <n v="149.80000000000001"/>
    <n v="9"/>
    <n v="1"/>
    <x v="1137"/>
    <n v="3"/>
    <n v="9"/>
    <n v="4"/>
    <x v="0"/>
  </r>
  <r>
    <n v="547"/>
    <d v="2025-01-21T00:00:00"/>
    <n v="29"/>
    <s v="Female"/>
    <s v="North"/>
    <x v="1"/>
    <s v="CAMP2"/>
    <n v="427"/>
    <n v="6"/>
    <n v="1"/>
    <x v="1138"/>
    <n v="2"/>
    <n v="6"/>
    <n v="4"/>
    <x v="0"/>
  </r>
  <r>
    <n v="1412"/>
    <d v="2025-01-21T00:00:00"/>
    <n v="31"/>
    <s v="Male"/>
    <s v="South"/>
    <x v="0"/>
    <m/>
    <n v="1027"/>
    <n v="6"/>
    <n v="1"/>
    <x v="1139"/>
    <n v="1"/>
    <n v="10"/>
    <n v="4"/>
    <x v="0"/>
  </r>
  <r>
    <n v="2044"/>
    <d v="2025-01-21T00:00:00"/>
    <n v="30"/>
    <s v="Female"/>
    <s v="North"/>
    <x v="1"/>
    <s v="CAMP5"/>
    <n v="500.4"/>
    <n v="3"/>
    <n v="1"/>
    <x v="1140"/>
    <n v="2"/>
    <n v="8"/>
    <n v="5"/>
    <x v="0"/>
  </r>
  <r>
    <n v="2220"/>
    <d v="2025-01-21T00:00:00"/>
    <n v="42"/>
    <s v="Female"/>
    <s v="West"/>
    <x v="1"/>
    <s v="CAMP4"/>
    <n v="177.9"/>
    <n v="6"/>
    <n v="1"/>
    <x v="1141"/>
    <n v="3"/>
    <n v="3"/>
    <n v="4"/>
    <x v="0"/>
  </r>
  <r>
    <n v="695"/>
    <d v="2025-01-21T00:00:00"/>
    <n v="28"/>
    <s v="Male"/>
    <s v="South"/>
    <x v="3"/>
    <m/>
    <n v="148.4"/>
    <n v="5"/>
    <n v="1"/>
    <x v="1142"/>
    <n v="4"/>
    <n v="9"/>
    <n v="4"/>
    <x v="0"/>
  </r>
  <r>
    <n v="2427"/>
    <d v="2025-01-21T00:00:00"/>
    <n v="28"/>
    <s v="Female"/>
    <s v="North"/>
    <x v="2"/>
    <m/>
    <n v="113.7"/>
    <n v="9"/>
    <n v="1"/>
    <x v="1143"/>
    <n v="4"/>
    <n v="5"/>
    <n v="5"/>
    <x v="0"/>
  </r>
  <r>
    <n v="810"/>
    <d v="2025-01-21T00:00:00"/>
    <n v="24"/>
    <s v="Male"/>
    <s v="North"/>
    <x v="0"/>
    <m/>
    <n v="1378.1"/>
    <n v="7"/>
    <n v="0"/>
    <x v="11"/>
    <n v="0"/>
    <n v="0"/>
    <m/>
    <x v="0"/>
  </r>
  <r>
    <n v="3852"/>
    <d v="2025-01-21T00:00:00"/>
    <n v="45"/>
    <s v="Male"/>
    <s v="North"/>
    <x v="0"/>
    <m/>
    <n v="501.9"/>
    <n v="6"/>
    <n v="0"/>
    <x v="11"/>
    <n v="0"/>
    <n v="0"/>
    <m/>
    <x v="0"/>
  </r>
  <r>
    <n v="1669"/>
    <d v="2025-01-21T00:00:00"/>
    <n v="28"/>
    <s v="Female"/>
    <s v="South"/>
    <x v="0"/>
    <m/>
    <n v="455.7"/>
    <n v="5"/>
    <n v="0"/>
    <x v="11"/>
    <n v="0"/>
    <n v="0"/>
    <m/>
    <x v="0"/>
  </r>
  <r>
    <n v="3674"/>
    <d v="2025-01-21T00:00:00"/>
    <n v="26"/>
    <s v="Female"/>
    <s v="West"/>
    <x v="0"/>
    <m/>
    <n v="398.1"/>
    <n v="4"/>
    <n v="0"/>
    <x v="11"/>
    <n v="0"/>
    <n v="0"/>
    <m/>
    <x v="0"/>
  </r>
  <r>
    <n v="2250"/>
    <d v="2025-01-21T00:00:00"/>
    <n v="26"/>
    <s v="Male"/>
    <s v="South"/>
    <x v="1"/>
    <s v="CAMP6"/>
    <n v="357.7"/>
    <n v="6"/>
    <n v="0"/>
    <x v="11"/>
    <n v="0"/>
    <n v="0"/>
    <m/>
    <x v="0"/>
  </r>
  <r>
    <n v="3770"/>
    <d v="2025-01-21T00:00:00"/>
    <n v="37"/>
    <s v="Female"/>
    <s v="East"/>
    <x v="3"/>
    <m/>
    <n v="345.2"/>
    <n v="2"/>
    <n v="0"/>
    <x v="11"/>
    <n v="0"/>
    <n v="0"/>
    <m/>
    <x v="0"/>
  </r>
  <r>
    <n v="334"/>
    <d v="2025-01-21T00:00:00"/>
    <n v="24"/>
    <s v="Female"/>
    <s v="East"/>
    <x v="0"/>
    <m/>
    <n v="310.8"/>
    <n v="8"/>
    <n v="0"/>
    <x v="11"/>
    <n v="0"/>
    <n v="0"/>
    <m/>
    <x v="0"/>
  </r>
  <r>
    <n v="2679"/>
    <d v="2025-01-21T00:00:00"/>
    <n v="18"/>
    <s v="Male"/>
    <s v="South"/>
    <x v="1"/>
    <s v="CAMP5"/>
    <n v="274.3"/>
    <n v="9"/>
    <n v="0"/>
    <x v="11"/>
    <n v="0"/>
    <n v="0"/>
    <m/>
    <x v="0"/>
  </r>
  <r>
    <n v="2037"/>
    <d v="2025-01-21T00:00:00"/>
    <n v="37"/>
    <s v="Female"/>
    <s v="North"/>
    <x v="3"/>
    <m/>
    <n v="273.2"/>
    <n v="1"/>
    <n v="0"/>
    <x v="11"/>
    <n v="0"/>
    <n v="0"/>
    <m/>
    <x v="0"/>
  </r>
  <r>
    <n v="4261"/>
    <d v="2025-01-21T00:00:00"/>
    <n v="45"/>
    <s v="Male"/>
    <s v="South"/>
    <x v="0"/>
    <m/>
    <n v="270.39999999999998"/>
    <n v="5"/>
    <n v="0"/>
    <x v="11"/>
    <n v="0"/>
    <n v="0"/>
    <m/>
    <x v="0"/>
  </r>
  <r>
    <n v="455"/>
    <d v="2025-01-21T00:00:00"/>
    <n v="20"/>
    <s v="Male"/>
    <s v="East"/>
    <x v="2"/>
    <m/>
    <n v="257.5"/>
    <n v="5"/>
    <n v="0"/>
    <x v="11"/>
    <n v="0"/>
    <n v="0"/>
    <m/>
    <x v="0"/>
  </r>
  <r>
    <n v="3043"/>
    <d v="2025-01-21T00:00:00"/>
    <n v="25"/>
    <s v="Male"/>
    <s v="South"/>
    <x v="1"/>
    <s v="CAMP4"/>
    <n v="229.3"/>
    <n v="8"/>
    <n v="0"/>
    <x v="11"/>
    <n v="0"/>
    <n v="0"/>
    <m/>
    <x v="0"/>
  </r>
  <r>
    <n v="80"/>
    <d v="2025-01-21T00:00:00"/>
    <n v="18"/>
    <s v="Male"/>
    <s v="East"/>
    <x v="1"/>
    <s v="CAMP1"/>
    <n v="161.6"/>
    <n v="3"/>
    <n v="0"/>
    <x v="11"/>
    <n v="0"/>
    <n v="0"/>
    <m/>
    <x v="0"/>
  </r>
  <r>
    <n v="3252"/>
    <d v="2025-01-21T00:00:00"/>
    <n v="43"/>
    <s v="Female"/>
    <s v="South"/>
    <x v="0"/>
    <m/>
    <n v="138.19999999999999"/>
    <n v="5"/>
    <n v="0"/>
    <x v="11"/>
    <n v="0"/>
    <n v="0"/>
    <m/>
    <x v="0"/>
  </r>
  <r>
    <n v="4674"/>
    <d v="2025-01-21T00:00:00"/>
    <n v="40"/>
    <s v="Male"/>
    <s v="North"/>
    <x v="0"/>
    <m/>
    <n v="133.30000000000001"/>
    <n v="7"/>
    <n v="0"/>
    <x v="11"/>
    <n v="0"/>
    <n v="0"/>
    <m/>
    <x v="0"/>
  </r>
  <r>
    <n v="2335"/>
    <d v="2025-01-21T00:00:00"/>
    <n v="42"/>
    <s v="Male"/>
    <s v="West"/>
    <x v="0"/>
    <m/>
    <n v="129.5"/>
    <n v="4"/>
    <n v="0"/>
    <x v="11"/>
    <n v="0"/>
    <n v="0"/>
    <m/>
    <x v="0"/>
  </r>
  <r>
    <n v="677"/>
    <d v="2025-01-21T00:00:00"/>
    <n v="25"/>
    <s v="Female"/>
    <s v="East"/>
    <x v="3"/>
    <m/>
    <n v="127.7"/>
    <n v="6"/>
    <n v="0"/>
    <x v="11"/>
    <n v="0"/>
    <n v="0"/>
    <m/>
    <x v="0"/>
  </r>
  <r>
    <n v="467"/>
    <d v="2025-02-21T00:00:00"/>
    <n v="28"/>
    <s v="Male"/>
    <s v="West"/>
    <x v="1"/>
    <s v="CAMP4"/>
    <n v="806"/>
    <n v="3"/>
    <n v="1"/>
    <x v="1144"/>
    <n v="2"/>
    <n v="6"/>
    <n v="3"/>
    <x v="1"/>
  </r>
  <r>
    <n v="965"/>
    <d v="2025-02-21T00:00:00"/>
    <n v="23"/>
    <s v="Female"/>
    <s v="East"/>
    <x v="3"/>
    <m/>
    <n v="364.9"/>
    <n v="3"/>
    <n v="1"/>
    <x v="274"/>
    <n v="1"/>
    <n v="2"/>
    <n v="4"/>
    <x v="1"/>
  </r>
  <r>
    <n v="3608"/>
    <d v="2025-02-21T00:00:00"/>
    <n v="48"/>
    <s v="Male"/>
    <s v="West"/>
    <x v="0"/>
    <m/>
    <n v="574.79999999999995"/>
    <n v="5"/>
    <n v="1"/>
    <x v="1145"/>
    <n v="1"/>
    <n v="1"/>
    <n v="4"/>
    <x v="1"/>
  </r>
  <r>
    <n v="145"/>
    <d v="2025-02-21T00:00:00"/>
    <n v="29"/>
    <s v="Male"/>
    <s v="South"/>
    <x v="0"/>
    <m/>
    <n v="880.2"/>
    <n v="7"/>
    <n v="1"/>
    <x v="1146"/>
    <n v="3"/>
    <n v="5"/>
    <n v="3"/>
    <x v="1"/>
  </r>
  <r>
    <n v="4198"/>
    <d v="2025-02-21T00:00:00"/>
    <n v="53"/>
    <s v="Female"/>
    <s v="South"/>
    <x v="3"/>
    <m/>
    <n v="848.3"/>
    <n v="5"/>
    <n v="1"/>
    <x v="1147"/>
    <n v="2"/>
    <n v="14"/>
    <n v="4"/>
    <x v="1"/>
  </r>
  <r>
    <n v="3021"/>
    <d v="2025-02-21T00:00:00"/>
    <n v="39"/>
    <s v="Male"/>
    <s v="West"/>
    <x v="3"/>
    <m/>
    <n v="630.4"/>
    <n v="2"/>
    <n v="1"/>
    <x v="1148"/>
    <n v="3"/>
    <n v="11"/>
    <n v="3"/>
    <x v="1"/>
  </r>
  <r>
    <n v="4506"/>
    <d v="2025-02-21T00:00:00"/>
    <n v="72"/>
    <s v="Female"/>
    <s v="South"/>
    <x v="3"/>
    <m/>
    <n v="223.1"/>
    <n v="9"/>
    <n v="1"/>
    <x v="1149"/>
    <n v="4"/>
    <n v="15"/>
    <n v="4"/>
    <x v="1"/>
  </r>
  <r>
    <n v="3054"/>
    <d v="2025-02-21T00:00:00"/>
    <n v="33"/>
    <s v="Female"/>
    <s v="East"/>
    <x v="1"/>
    <s v="CAMP5"/>
    <n v="1150.0999999999999"/>
    <n v="11"/>
    <n v="1"/>
    <x v="1150"/>
    <n v="4"/>
    <n v="13"/>
    <n v="4"/>
    <x v="1"/>
  </r>
  <r>
    <n v="3501"/>
    <d v="2025-02-21T00:00:00"/>
    <n v="36"/>
    <s v="Male"/>
    <s v="West"/>
    <x v="1"/>
    <s v="CAMP5"/>
    <n v="923.1"/>
    <n v="7"/>
    <n v="1"/>
    <x v="1151"/>
    <n v="2"/>
    <n v="3"/>
    <n v="4"/>
    <x v="1"/>
  </r>
  <r>
    <n v="1170"/>
    <d v="2025-02-21T00:00:00"/>
    <n v="38"/>
    <s v="Male"/>
    <s v="North"/>
    <x v="0"/>
    <m/>
    <n v="618"/>
    <n v="6"/>
    <n v="1"/>
    <x v="1152"/>
    <n v="2"/>
    <n v="13"/>
    <n v="5"/>
    <x v="1"/>
  </r>
  <r>
    <n v="2095"/>
    <d v="2025-02-21T00:00:00"/>
    <n v="42"/>
    <s v="Male"/>
    <s v="North"/>
    <x v="3"/>
    <m/>
    <n v="501.3"/>
    <n v="5"/>
    <n v="1"/>
    <x v="1153"/>
    <n v="3"/>
    <n v="5"/>
    <n v="4"/>
    <x v="1"/>
  </r>
  <r>
    <n v="3012"/>
    <d v="2025-02-21T00:00:00"/>
    <n v="30"/>
    <s v="Male"/>
    <s v="West"/>
    <x v="1"/>
    <s v="CAMP2"/>
    <n v="513"/>
    <n v="3"/>
    <n v="0"/>
    <x v="11"/>
    <n v="0"/>
    <n v="0"/>
    <m/>
    <x v="1"/>
  </r>
  <r>
    <n v="4821"/>
    <d v="2025-02-21T00:00:00"/>
    <n v="38"/>
    <s v="Female"/>
    <s v="North"/>
    <x v="3"/>
    <m/>
    <n v="503.8"/>
    <n v="7"/>
    <n v="0"/>
    <x v="11"/>
    <n v="0"/>
    <n v="0"/>
    <m/>
    <x v="1"/>
  </r>
  <r>
    <n v="657"/>
    <d v="2025-02-21T00:00:00"/>
    <n v="27"/>
    <s v="Male"/>
    <s v="North"/>
    <x v="2"/>
    <m/>
    <n v="496.1"/>
    <n v="2"/>
    <n v="0"/>
    <x v="11"/>
    <n v="0"/>
    <n v="0"/>
    <m/>
    <x v="1"/>
  </r>
  <r>
    <n v="2491"/>
    <d v="2025-02-21T00:00:00"/>
    <n v="23"/>
    <s v="Male"/>
    <s v="South"/>
    <x v="1"/>
    <s v="CAMP3"/>
    <n v="435.9"/>
    <n v="10"/>
    <n v="0"/>
    <x v="11"/>
    <n v="0"/>
    <n v="0"/>
    <m/>
    <x v="1"/>
  </r>
  <r>
    <n v="2676"/>
    <d v="2025-02-21T00:00:00"/>
    <n v="54"/>
    <s v="Female"/>
    <s v="South"/>
    <x v="0"/>
    <m/>
    <n v="419.4"/>
    <n v="9"/>
    <n v="0"/>
    <x v="11"/>
    <n v="0"/>
    <n v="0"/>
    <m/>
    <x v="1"/>
  </r>
  <r>
    <n v="4562"/>
    <d v="2025-02-21T00:00:00"/>
    <n v="47"/>
    <s v="Male"/>
    <s v="East"/>
    <x v="0"/>
    <m/>
    <n v="419.4"/>
    <n v="5"/>
    <n v="0"/>
    <x v="11"/>
    <n v="0"/>
    <n v="0"/>
    <m/>
    <x v="1"/>
  </r>
  <r>
    <n v="1070"/>
    <d v="2025-02-21T00:00:00"/>
    <n v="29"/>
    <s v="Female"/>
    <s v="West"/>
    <x v="1"/>
    <s v="CAMP5"/>
    <n v="341.2"/>
    <n v="9"/>
    <n v="0"/>
    <x v="11"/>
    <n v="0"/>
    <n v="0"/>
    <m/>
    <x v="1"/>
  </r>
  <r>
    <n v="289"/>
    <d v="2025-02-21T00:00:00"/>
    <n v="18"/>
    <s v="Female"/>
    <s v="South"/>
    <x v="1"/>
    <s v="CAMP7"/>
    <n v="313.10000000000002"/>
    <n v="8"/>
    <n v="0"/>
    <x v="11"/>
    <n v="0"/>
    <n v="0"/>
    <m/>
    <x v="1"/>
  </r>
  <r>
    <n v="1851"/>
    <d v="2025-02-21T00:00:00"/>
    <n v="37"/>
    <s v="Male"/>
    <s v="North"/>
    <x v="1"/>
    <s v="CAMP7"/>
    <n v="263.3"/>
    <n v="7"/>
    <n v="0"/>
    <x v="11"/>
    <n v="0"/>
    <n v="0"/>
    <m/>
    <x v="1"/>
  </r>
  <r>
    <n v="1527"/>
    <d v="2025-02-21T00:00:00"/>
    <n v="23"/>
    <s v="Male"/>
    <s v="South"/>
    <x v="0"/>
    <m/>
    <n v="261.89999999999998"/>
    <n v="7"/>
    <n v="0"/>
    <x v="11"/>
    <n v="0"/>
    <n v="0"/>
    <m/>
    <x v="1"/>
  </r>
  <r>
    <n v="3764"/>
    <d v="2025-02-21T00:00:00"/>
    <n v="47"/>
    <s v="Male"/>
    <s v="East"/>
    <x v="3"/>
    <m/>
    <n v="244.8"/>
    <n v="8"/>
    <n v="0"/>
    <x v="11"/>
    <n v="0"/>
    <n v="0"/>
    <m/>
    <x v="1"/>
  </r>
  <r>
    <n v="4503"/>
    <d v="2025-02-21T00:00:00"/>
    <n v="52"/>
    <s v="Male"/>
    <s v="East"/>
    <x v="1"/>
    <s v="CAMP6"/>
    <n v="192.9"/>
    <n v="8"/>
    <n v="0"/>
    <x v="11"/>
    <n v="0"/>
    <n v="0"/>
    <m/>
    <x v="1"/>
  </r>
  <r>
    <n v="697"/>
    <d v="2025-02-21T00:00:00"/>
    <n v="18"/>
    <s v="Male"/>
    <s v="East"/>
    <x v="2"/>
    <m/>
    <n v="149.69999999999999"/>
    <n v="8"/>
    <n v="0"/>
    <x v="11"/>
    <n v="0"/>
    <n v="0"/>
    <m/>
    <x v="1"/>
  </r>
  <r>
    <n v="670"/>
    <d v="2025-02-21T00:00:00"/>
    <n v="18"/>
    <s v="Male"/>
    <s v="South"/>
    <x v="0"/>
    <m/>
    <n v="130.30000000000001"/>
    <n v="7"/>
    <n v="0"/>
    <x v="11"/>
    <n v="0"/>
    <n v="0"/>
    <m/>
    <x v="1"/>
  </r>
  <r>
    <n v="2599"/>
    <d v="2025-02-21T00:00:00"/>
    <n v="37"/>
    <s v="Male"/>
    <s v="South"/>
    <x v="1"/>
    <s v="CAMP3"/>
    <n v="122.1"/>
    <n v="7"/>
    <n v="0"/>
    <x v="11"/>
    <n v="0"/>
    <n v="0"/>
    <m/>
    <x v="1"/>
  </r>
  <r>
    <n v="2434"/>
    <d v="2025-02-21T00:00:00"/>
    <n v="44"/>
    <s v="Female"/>
    <s v="North"/>
    <x v="0"/>
    <m/>
    <n v="117.7"/>
    <n v="7"/>
    <n v="0"/>
    <x v="11"/>
    <n v="0"/>
    <n v="0"/>
    <m/>
    <x v="1"/>
  </r>
  <r>
    <n v="2834"/>
    <d v="2025-02-21T00:00:00"/>
    <n v="42"/>
    <s v="Female"/>
    <s v="South"/>
    <x v="0"/>
    <m/>
    <n v="72.3"/>
    <n v="5"/>
    <n v="0"/>
    <x v="11"/>
    <n v="0"/>
    <n v="0"/>
    <m/>
    <x v="1"/>
  </r>
  <r>
    <n v="2508"/>
    <d v="2025-03-21T00:00:00"/>
    <n v="38"/>
    <s v="Male"/>
    <s v="East"/>
    <x v="2"/>
    <m/>
    <n v="800.7"/>
    <n v="3"/>
    <n v="1"/>
    <x v="1154"/>
    <n v="5"/>
    <n v="3"/>
    <n v="4"/>
    <x v="2"/>
  </r>
  <r>
    <n v="4333"/>
    <d v="2025-03-21T00:00:00"/>
    <n v="39"/>
    <s v="Female"/>
    <s v="East"/>
    <x v="1"/>
    <s v="CAMP1"/>
    <n v="634.5"/>
    <n v="4"/>
    <n v="1"/>
    <x v="1155"/>
    <n v="2"/>
    <n v="3"/>
    <n v="4"/>
    <x v="2"/>
  </r>
  <r>
    <n v="4695"/>
    <d v="2025-03-21T00:00:00"/>
    <n v="63"/>
    <s v="Other"/>
    <s v="East"/>
    <x v="1"/>
    <s v="CAMP4"/>
    <n v="355.3"/>
    <n v="5"/>
    <n v="1"/>
    <x v="1156"/>
    <n v="3"/>
    <n v="13"/>
    <n v="3"/>
    <x v="2"/>
  </r>
  <r>
    <n v="3161"/>
    <d v="2025-03-21T00:00:00"/>
    <n v="36"/>
    <s v="Male"/>
    <s v="East"/>
    <x v="0"/>
    <m/>
    <n v="346.6"/>
    <n v="6"/>
    <n v="1"/>
    <x v="1157"/>
    <n v="2"/>
    <n v="4"/>
    <n v="5"/>
    <x v="2"/>
  </r>
  <r>
    <n v="3155"/>
    <d v="2025-03-21T00:00:00"/>
    <n v="57"/>
    <s v="Female"/>
    <s v="North"/>
    <x v="1"/>
    <s v="CAMP7"/>
    <n v="579"/>
    <n v="10"/>
    <n v="1"/>
    <x v="1158"/>
    <n v="3"/>
    <n v="8"/>
    <n v="4"/>
    <x v="2"/>
  </r>
  <r>
    <n v="3719"/>
    <d v="2025-03-21T00:00:00"/>
    <n v="46"/>
    <s v="Female"/>
    <s v="North"/>
    <x v="2"/>
    <m/>
    <n v="77.3"/>
    <n v="4"/>
    <n v="1"/>
    <x v="1159"/>
    <n v="2"/>
    <n v="3"/>
    <n v="3"/>
    <x v="2"/>
  </r>
  <r>
    <n v="864"/>
    <d v="2025-03-21T00:00:00"/>
    <n v="18"/>
    <s v="Female"/>
    <s v="North"/>
    <x v="0"/>
    <m/>
    <n v="283.5"/>
    <n v="8"/>
    <n v="1"/>
    <x v="1160"/>
    <n v="4"/>
    <n v="8"/>
    <n v="4"/>
    <x v="2"/>
  </r>
  <r>
    <n v="4199"/>
    <d v="2025-03-21T00:00:00"/>
    <n v="44"/>
    <s v="Male"/>
    <s v="South"/>
    <x v="1"/>
    <s v="CAMP1"/>
    <n v="138.6"/>
    <n v="9"/>
    <n v="1"/>
    <x v="1161"/>
    <n v="4"/>
    <n v="15"/>
    <n v="4"/>
    <x v="2"/>
  </r>
  <r>
    <n v="427"/>
    <d v="2025-03-21T00:00:00"/>
    <n v="22"/>
    <s v="Male"/>
    <s v="East"/>
    <x v="0"/>
    <m/>
    <n v="605.1"/>
    <n v="9"/>
    <n v="1"/>
    <x v="1162"/>
    <n v="2"/>
    <n v="11"/>
    <n v="3"/>
    <x v="2"/>
  </r>
  <r>
    <n v="2457"/>
    <d v="2025-03-21T00:00:00"/>
    <n v="42"/>
    <s v="Female"/>
    <s v="West"/>
    <x v="1"/>
    <s v="CAMP3"/>
    <n v="451.1"/>
    <n v="5"/>
    <n v="1"/>
    <x v="1163"/>
    <n v="3"/>
    <n v="15"/>
    <n v="3"/>
    <x v="2"/>
  </r>
  <r>
    <n v="311"/>
    <d v="2025-03-21T00:00:00"/>
    <n v="26"/>
    <s v="Female"/>
    <s v="South"/>
    <x v="1"/>
    <s v="CAMP7"/>
    <n v="535.29999999999995"/>
    <n v="5"/>
    <n v="0"/>
    <x v="11"/>
    <n v="0"/>
    <n v="0"/>
    <m/>
    <x v="2"/>
  </r>
  <r>
    <n v="3209"/>
    <d v="2025-03-21T00:00:00"/>
    <n v="40"/>
    <s v="Female"/>
    <s v="East"/>
    <x v="1"/>
    <s v="CAMP4"/>
    <n v="523.1"/>
    <n v="9"/>
    <n v="0"/>
    <x v="11"/>
    <n v="0"/>
    <n v="0"/>
    <m/>
    <x v="2"/>
  </r>
  <r>
    <n v="4752"/>
    <d v="2025-03-21T00:00:00"/>
    <n v="49"/>
    <s v="Female"/>
    <s v="North"/>
    <x v="0"/>
    <m/>
    <n v="507.4"/>
    <n v="4"/>
    <n v="0"/>
    <x v="11"/>
    <n v="0"/>
    <n v="0"/>
    <m/>
    <x v="2"/>
  </r>
  <r>
    <n v="2445"/>
    <d v="2025-03-21T00:00:00"/>
    <n v="35"/>
    <s v="Male"/>
    <s v="East"/>
    <x v="3"/>
    <m/>
    <n v="478.3"/>
    <n v="4"/>
    <n v="0"/>
    <x v="11"/>
    <n v="0"/>
    <n v="0"/>
    <m/>
    <x v="2"/>
  </r>
  <r>
    <n v="3996"/>
    <d v="2025-03-21T00:00:00"/>
    <n v="74"/>
    <s v="Male"/>
    <s v="East"/>
    <x v="0"/>
    <m/>
    <n v="374.7"/>
    <n v="5"/>
    <n v="0"/>
    <x v="11"/>
    <n v="0"/>
    <n v="0"/>
    <m/>
    <x v="2"/>
  </r>
  <r>
    <n v="3434"/>
    <d v="2025-03-21T00:00:00"/>
    <n v="51"/>
    <s v="Female"/>
    <s v="South"/>
    <x v="1"/>
    <s v="CAMP3"/>
    <n v="368"/>
    <n v="6"/>
    <n v="0"/>
    <x v="11"/>
    <n v="0"/>
    <n v="0"/>
    <m/>
    <x v="2"/>
  </r>
  <r>
    <n v="1843"/>
    <d v="2025-03-21T00:00:00"/>
    <n v="34"/>
    <s v="Male"/>
    <s v="East"/>
    <x v="3"/>
    <m/>
    <n v="299.60000000000002"/>
    <n v="4"/>
    <n v="0"/>
    <x v="11"/>
    <n v="0"/>
    <n v="0"/>
    <m/>
    <x v="2"/>
  </r>
  <r>
    <n v="739"/>
    <d v="2025-03-21T00:00:00"/>
    <n v="24"/>
    <s v="Female"/>
    <s v="North"/>
    <x v="1"/>
    <s v="CAMP2"/>
    <n v="297.89999999999998"/>
    <n v="7"/>
    <n v="0"/>
    <x v="11"/>
    <n v="0"/>
    <n v="0"/>
    <m/>
    <x v="2"/>
  </r>
  <r>
    <n v="40"/>
    <d v="2025-03-21T00:00:00"/>
    <n v="33"/>
    <s v="Male"/>
    <s v="South"/>
    <x v="0"/>
    <m/>
    <n v="249.5"/>
    <n v="4"/>
    <n v="0"/>
    <x v="11"/>
    <n v="0"/>
    <n v="0"/>
    <m/>
    <x v="2"/>
  </r>
  <r>
    <n v="1444"/>
    <d v="2025-03-21T00:00:00"/>
    <n v="25"/>
    <s v="Female"/>
    <s v="South"/>
    <x v="1"/>
    <s v="CAMP5"/>
    <n v="239.3"/>
    <n v="6"/>
    <n v="0"/>
    <x v="11"/>
    <n v="0"/>
    <n v="0"/>
    <m/>
    <x v="2"/>
  </r>
  <r>
    <n v="4368"/>
    <d v="2025-03-21T00:00:00"/>
    <n v="47"/>
    <s v="Female"/>
    <s v="East"/>
    <x v="0"/>
    <m/>
    <n v="234.6"/>
    <n v="2"/>
    <n v="0"/>
    <x v="11"/>
    <n v="0"/>
    <n v="0"/>
    <m/>
    <x v="2"/>
  </r>
  <r>
    <n v="1705"/>
    <d v="2025-03-21T00:00:00"/>
    <n v="22"/>
    <s v="Male"/>
    <s v="South"/>
    <x v="1"/>
    <s v="CAMP2"/>
    <n v="232.9"/>
    <n v="3"/>
    <n v="0"/>
    <x v="11"/>
    <n v="0"/>
    <n v="0"/>
    <m/>
    <x v="2"/>
  </r>
  <r>
    <n v="2264"/>
    <d v="2025-03-21T00:00:00"/>
    <n v="48"/>
    <s v="Male"/>
    <s v="North"/>
    <x v="0"/>
    <m/>
    <n v="178.4"/>
    <n v="9"/>
    <n v="0"/>
    <x v="11"/>
    <n v="0"/>
    <n v="0"/>
    <m/>
    <x v="2"/>
  </r>
  <r>
    <n v="4173"/>
    <d v="2025-03-21T00:00:00"/>
    <n v="41"/>
    <s v="Male"/>
    <s v="East"/>
    <x v="0"/>
    <m/>
    <n v="133.69999999999999"/>
    <n v="7"/>
    <n v="0"/>
    <x v="11"/>
    <n v="0"/>
    <n v="0"/>
    <m/>
    <x v="2"/>
  </r>
  <r>
    <n v="2117"/>
    <d v="2025-03-21T00:00:00"/>
    <n v="56"/>
    <s v="Female"/>
    <s v="South"/>
    <x v="0"/>
    <m/>
    <n v="116.6"/>
    <n v="2"/>
    <n v="0"/>
    <x v="11"/>
    <n v="0"/>
    <n v="0"/>
    <m/>
    <x v="2"/>
  </r>
  <r>
    <n v="4266"/>
    <d v="2025-03-21T00:00:00"/>
    <n v="34"/>
    <s v="Male"/>
    <s v="South"/>
    <x v="0"/>
    <m/>
    <n v="110.7"/>
    <n v="7"/>
    <n v="0"/>
    <x v="11"/>
    <n v="0"/>
    <n v="0"/>
    <m/>
    <x v="2"/>
  </r>
  <r>
    <n v="1947"/>
    <d v="2025-03-21T00:00:00"/>
    <n v="18"/>
    <s v="Female"/>
    <s v="North"/>
    <x v="1"/>
    <s v="CAMP3"/>
    <n v="82.2"/>
    <n v="4"/>
    <n v="0"/>
    <x v="11"/>
    <n v="0"/>
    <n v="0"/>
    <m/>
    <x v="2"/>
  </r>
  <r>
    <n v="4341"/>
    <d v="2025-03-21T00:00:00"/>
    <n v="58"/>
    <s v="Female"/>
    <s v="North"/>
    <x v="3"/>
    <m/>
    <n v="81"/>
    <n v="7"/>
    <n v="0"/>
    <x v="11"/>
    <n v="0"/>
    <n v="0"/>
    <m/>
    <x v="2"/>
  </r>
  <r>
    <n v="3530"/>
    <d v="2025-03-21T00:00:00"/>
    <n v="33"/>
    <s v="Female"/>
    <s v="North"/>
    <x v="2"/>
    <m/>
    <n v="74"/>
    <n v="8"/>
    <n v="0"/>
    <x v="11"/>
    <n v="0"/>
    <n v="0"/>
    <m/>
    <x v="2"/>
  </r>
  <r>
    <n v="3659"/>
    <d v="2025-04-21T00:00:00"/>
    <n v="34"/>
    <s v="Male"/>
    <s v="West"/>
    <x v="1"/>
    <s v="CAMP1"/>
    <n v="996.6"/>
    <n v="6"/>
    <n v="1"/>
    <x v="1164"/>
    <n v="4"/>
    <n v="3"/>
    <n v="3"/>
    <x v="3"/>
  </r>
  <r>
    <n v="1788"/>
    <d v="2025-04-21T00:00:00"/>
    <n v="35"/>
    <s v="Male"/>
    <s v="North"/>
    <x v="0"/>
    <m/>
    <n v="228.9"/>
    <n v="6"/>
    <n v="1"/>
    <x v="1165"/>
    <n v="2"/>
    <n v="3"/>
    <n v="4"/>
    <x v="3"/>
  </r>
  <r>
    <n v="1730"/>
    <d v="2025-04-21T00:00:00"/>
    <n v="25"/>
    <s v="Male"/>
    <s v="West"/>
    <x v="0"/>
    <m/>
    <n v="221.4"/>
    <n v="3"/>
    <n v="1"/>
    <x v="816"/>
    <n v="2"/>
    <n v="15"/>
    <n v="5"/>
    <x v="3"/>
  </r>
  <r>
    <n v="1897"/>
    <d v="2025-04-21T00:00:00"/>
    <n v="25"/>
    <s v="Female"/>
    <s v="North"/>
    <x v="0"/>
    <m/>
    <n v="281.60000000000002"/>
    <n v="11"/>
    <n v="1"/>
    <x v="1166"/>
    <n v="4"/>
    <n v="9"/>
    <n v="4"/>
    <x v="3"/>
  </r>
  <r>
    <n v="4222"/>
    <d v="2025-04-21T00:00:00"/>
    <n v="50"/>
    <s v="Female"/>
    <s v="North"/>
    <x v="1"/>
    <s v="CAMP5"/>
    <n v="205.5"/>
    <n v="4"/>
    <n v="1"/>
    <x v="1167"/>
    <n v="2"/>
    <n v="8"/>
    <n v="4"/>
    <x v="3"/>
  </r>
  <r>
    <n v="1046"/>
    <d v="2025-04-21T00:00:00"/>
    <n v="25"/>
    <s v="Male"/>
    <s v="West"/>
    <x v="0"/>
    <m/>
    <n v="221.1"/>
    <n v="6"/>
    <n v="1"/>
    <x v="1168"/>
    <n v="1"/>
    <n v="14"/>
    <n v="5"/>
    <x v="3"/>
  </r>
  <r>
    <n v="3701"/>
    <d v="2025-04-21T00:00:00"/>
    <n v="31"/>
    <s v="Male"/>
    <s v="South"/>
    <x v="1"/>
    <s v="CAMP7"/>
    <n v="785.8"/>
    <n v="8"/>
    <n v="1"/>
    <x v="1169"/>
    <n v="3"/>
    <n v="11"/>
    <n v="4"/>
    <x v="3"/>
  </r>
  <r>
    <n v="4538"/>
    <d v="2025-04-21T00:00:00"/>
    <n v="37"/>
    <s v="Female"/>
    <s v="East"/>
    <x v="3"/>
    <m/>
    <n v="455.3"/>
    <n v="4"/>
    <n v="1"/>
    <x v="1170"/>
    <n v="2"/>
    <n v="2"/>
    <n v="4"/>
    <x v="3"/>
  </r>
  <r>
    <n v="511"/>
    <d v="2025-04-21T00:00:00"/>
    <n v="31"/>
    <s v="Female"/>
    <s v="East"/>
    <x v="0"/>
    <m/>
    <n v="179"/>
    <n v="5"/>
    <n v="1"/>
    <x v="1171"/>
    <n v="4"/>
    <n v="8"/>
    <n v="3"/>
    <x v="3"/>
  </r>
  <r>
    <n v="328"/>
    <d v="2025-04-21T00:00:00"/>
    <n v="30"/>
    <s v="Female"/>
    <s v="South"/>
    <x v="1"/>
    <s v="CAMP5"/>
    <n v="314.10000000000002"/>
    <n v="10"/>
    <n v="1"/>
    <x v="1172"/>
    <n v="5"/>
    <n v="7"/>
    <n v="3"/>
    <x v="3"/>
  </r>
  <r>
    <n v="1844"/>
    <d v="2025-04-21T00:00:00"/>
    <n v="40"/>
    <s v="Male"/>
    <s v="South"/>
    <x v="2"/>
    <m/>
    <n v="247.9"/>
    <n v="10"/>
    <n v="1"/>
    <x v="1173"/>
    <n v="2"/>
    <n v="2"/>
    <n v="4"/>
    <x v="3"/>
  </r>
  <r>
    <n v="3853"/>
    <d v="2025-04-21T00:00:00"/>
    <n v="51"/>
    <s v="Female"/>
    <s v="South"/>
    <x v="1"/>
    <s v="CAMP1"/>
    <n v="434.3"/>
    <n v="8"/>
    <n v="1"/>
    <x v="1174"/>
    <n v="2"/>
    <n v="2"/>
    <n v="5"/>
    <x v="3"/>
  </r>
  <r>
    <n v="1823"/>
    <d v="2025-04-21T00:00:00"/>
    <n v="36"/>
    <s v="Male"/>
    <s v="North"/>
    <x v="3"/>
    <m/>
    <n v="765.9"/>
    <n v="4"/>
    <n v="1"/>
    <x v="1175"/>
    <n v="2"/>
    <n v="12"/>
    <n v="4"/>
    <x v="3"/>
  </r>
  <r>
    <n v="2118"/>
    <d v="2025-04-21T00:00:00"/>
    <n v="40"/>
    <s v="Male"/>
    <s v="East"/>
    <x v="1"/>
    <s v="CAMP4"/>
    <n v="379.6"/>
    <n v="4"/>
    <n v="0"/>
    <x v="11"/>
    <n v="0"/>
    <n v="0"/>
    <m/>
    <x v="3"/>
  </r>
  <r>
    <n v="1087"/>
    <d v="2025-04-21T00:00:00"/>
    <n v="31"/>
    <s v="Female"/>
    <s v="North"/>
    <x v="0"/>
    <m/>
    <n v="328.3"/>
    <n v="8"/>
    <n v="0"/>
    <x v="11"/>
    <n v="0"/>
    <n v="0"/>
    <m/>
    <x v="3"/>
  </r>
  <r>
    <n v="3814"/>
    <d v="2025-04-21T00:00:00"/>
    <n v="51"/>
    <s v="Male"/>
    <s v="North"/>
    <x v="0"/>
    <m/>
    <n v="288.5"/>
    <n v="8"/>
    <n v="0"/>
    <x v="11"/>
    <n v="0"/>
    <n v="0"/>
    <m/>
    <x v="3"/>
  </r>
  <r>
    <n v="346"/>
    <d v="2025-04-21T00:00:00"/>
    <n v="26"/>
    <s v="Female"/>
    <s v="West"/>
    <x v="1"/>
    <s v="CAMP6"/>
    <n v="271.2"/>
    <n v="3"/>
    <n v="0"/>
    <x v="11"/>
    <n v="0"/>
    <n v="0"/>
    <m/>
    <x v="3"/>
  </r>
  <r>
    <n v="21"/>
    <d v="2025-04-21T00:00:00"/>
    <n v="25"/>
    <s v="Male"/>
    <s v="East"/>
    <x v="1"/>
    <s v="CAMP3"/>
    <n v="248.8"/>
    <n v="6"/>
    <n v="0"/>
    <x v="11"/>
    <n v="0"/>
    <n v="0"/>
    <m/>
    <x v="3"/>
  </r>
  <r>
    <n v="2353"/>
    <d v="2025-04-21T00:00:00"/>
    <n v="25"/>
    <s v="Female"/>
    <s v="North"/>
    <x v="1"/>
    <s v="CAMP1"/>
    <n v="232.4"/>
    <n v="8"/>
    <n v="0"/>
    <x v="11"/>
    <n v="0"/>
    <n v="0"/>
    <m/>
    <x v="3"/>
  </r>
  <r>
    <n v="261"/>
    <d v="2025-04-21T00:00:00"/>
    <n v="20"/>
    <s v="Female"/>
    <s v="East"/>
    <x v="0"/>
    <m/>
    <n v="211.7"/>
    <n v="6"/>
    <n v="0"/>
    <x v="11"/>
    <n v="0"/>
    <n v="0"/>
    <m/>
    <x v="3"/>
  </r>
  <r>
    <n v="1250"/>
    <d v="2025-04-21T00:00:00"/>
    <n v="25"/>
    <s v="Female"/>
    <s v="West"/>
    <x v="2"/>
    <m/>
    <n v="136.1"/>
    <n v="5"/>
    <n v="0"/>
    <x v="11"/>
    <n v="0"/>
    <n v="0"/>
    <m/>
    <x v="3"/>
  </r>
  <r>
    <n v="2544"/>
    <d v="2025-04-21T00:00:00"/>
    <n v="55"/>
    <s v="Female"/>
    <s v="North"/>
    <x v="0"/>
    <m/>
    <n v="120"/>
    <n v="7"/>
    <n v="0"/>
    <x v="11"/>
    <n v="0"/>
    <n v="0"/>
    <m/>
    <x v="3"/>
  </r>
  <r>
    <n v="794"/>
    <d v="2025-04-21T00:00:00"/>
    <n v="30"/>
    <s v="Male"/>
    <s v="South"/>
    <x v="2"/>
    <m/>
    <n v="109.3"/>
    <n v="12"/>
    <n v="0"/>
    <x v="11"/>
    <n v="0"/>
    <n v="0"/>
    <m/>
    <x v="3"/>
  </r>
  <r>
    <n v="3862"/>
    <d v="2025-04-21T00:00:00"/>
    <n v="52"/>
    <s v="Female"/>
    <s v="West"/>
    <x v="1"/>
    <s v="CAMP3"/>
    <n v="106.6"/>
    <n v="5"/>
    <n v="0"/>
    <x v="11"/>
    <n v="0"/>
    <n v="0"/>
    <m/>
    <x v="3"/>
  </r>
  <r>
    <n v="3239"/>
    <d v="2025-04-21T00:00:00"/>
    <n v="38"/>
    <s v="Female"/>
    <s v="South"/>
    <x v="1"/>
    <s v="CAMP1"/>
    <n v="95.1"/>
    <n v="6"/>
    <n v="0"/>
    <x v="11"/>
    <n v="0"/>
    <n v="0"/>
    <m/>
    <x v="3"/>
  </r>
  <r>
    <n v="3110"/>
    <d v="2025-04-21T00:00:00"/>
    <n v="38"/>
    <s v="Female"/>
    <s v="North"/>
    <x v="0"/>
    <m/>
    <n v="93.7"/>
    <n v="5"/>
    <n v="0"/>
    <x v="11"/>
    <n v="0"/>
    <n v="0"/>
    <m/>
    <x v="3"/>
  </r>
  <r>
    <n v="2875"/>
    <d v="2025-05-21T00:00:00"/>
    <n v="19"/>
    <s v="Male"/>
    <s v="North"/>
    <x v="1"/>
    <s v="CAMP1"/>
    <n v="233.2"/>
    <n v="10"/>
    <n v="1"/>
    <x v="1176"/>
    <n v="6"/>
    <n v="15"/>
    <n v="5"/>
    <x v="4"/>
  </r>
  <r>
    <n v="4055"/>
    <d v="2025-05-21T00:00:00"/>
    <n v="53"/>
    <s v="Female"/>
    <s v="East"/>
    <x v="3"/>
    <m/>
    <n v="273.7"/>
    <n v="9"/>
    <n v="1"/>
    <x v="835"/>
    <n v="2"/>
    <n v="4"/>
    <n v="5"/>
    <x v="4"/>
  </r>
  <r>
    <n v="4438"/>
    <d v="2025-05-21T00:00:00"/>
    <n v="52"/>
    <s v="Male"/>
    <s v="East"/>
    <x v="0"/>
    <m/>
    <n v="262"/>
    <n v="6"/>
    <n v="1"/>
    <x v="1177"/>
    <n v="5"/>
    <n v="6"/>
    <n v="4"/>
    <x v="4"/>
  </r>
  <r>
    <n v="3376"/>
    <d v="2025-05-21T00:00:00"/>
    <n v="45"/>
    <s v="Male"/>
    <s v="East"/>
    <x v="1"/>
    <s v="CAMP1"/>
    <n v="484.4"/>
    <n v="7"/>
    <n v="1"/>
    <x v="1178"/>
    <n v="5"/>
    <n v="7"/>
    <n v="4"/>
    <x v="4"/>
  </r>
  <r>
    <n v="1177"/>
    <d v="2025-05-21T00:00:00"/>
    <n v="18"/>
    <s v="Female"/>
    <s v="South"/>
    <x v="2"/>
    <m/>
    <n v="41"/>
    <n v="5"/>
    <n v="1"/>
    <x v="1179"/>
    <n v="4"/>
    <n v="6"/>
    <n v="3"/>
    <x v="4"/>
  </r>
  <r>
    <n v="1099"/>
    <d v="2025-05-21T00:00:00"/>
    <n v="27"/>
    <s v="Female"/>
    <s v="West"/>
    <x v="0"/>
    <m/>
    <n v="534.1"/>
    <n v="5"/>
    <n v="1"/>
    <x v="1180"/>
    <n v="3"/>
    <n v="4"/>
    <n v="4"/>
    <x v="4"/>
  </r>
  <r>
    <n v="4758"/>
    <d v="2025-05-21T00:00:00"/>
    <n v="38"/>
    <s v="Male"/>
    <s v="South"/>
    <x v="2"/>
    <m/>
    <n v="656.8"/>
    <n v="7"/>
    <n v="0"/>
    <x v="11"/>
    <n v="0"/>
    <n v="0"/>
    <m/>
    <x v="4"/>
  </r>
  <r>
    <n v="3472"/>
    <d v="2025-05-21T00:00:00"/>
    <n v="38"/>
    <s v="Female"/>
    <s v="North"/>
    <x v="1"/>
    <s v="CAMP7"/>
    <n v="586.79999999999995"/>
    <n v="7"/>
    <n v="0"/>
    <x v="11"/>
    <n v="0"/>
    <n v="0"/>
    <m/>
    <x v="4"/>
  </r>
  <r>
    <n v="1470"/>
    <d v="2025-05-21T00:00:00"/>
    <n v="22"/>
    <s v="Male"/>
    <s v="South"/>
    <x v="1"/>
    <s v="CAMP1"/>
    <n v="533.5"/>
    <n v="9"/>
    <n v="0"/>
    <x v="11"/>
    <n v="0"/>
    <n v="0"/>
    <m/>
    <x v="4"/>
  </r>
  <r>
    <n v="2746"/>
    <d v="2025-05-21T00:00:00"/>
    <n v="28"/>
    <s v="Male"/>
    <s v="North"/>
    <x v="0"/>
    <m/>
    <n v="432.7"/>
    <n v="5"/>
    <n v="0"/>
    <x v="11"/>
    <n v="0"/>
    <n v="0"/>
    <m/>
    <x v="4"/>
  </r>
  <r>
    <n v="1649"/>
    <d v="2025-05-21T00:00:00"/>
    <n v="22"/>
    <s v="Female"/>
    <s v="North"/>
    <x v="1"/>
    <s v="CAMP2"/>
    <n v="360.2"/>
    <n v="5"/>
    <n v="0"/>
    <x v="11"/>
    <n v="0"/>
    <n v="0"/>
    <m/>
    <x v="4"/>
  </r>
  <r>
    <n v="1273"/>
    <d v="2025-05-21T00:00:00"/>
    <n v="27"/>
    <s v="Male"/>
    <s v="East"/>
    <x v="1"/>
    <s v="CAMP4"/>
    <n v="300.7"/>
    <n v="8"/>
    <n v="0"/>
    <x v="11"/>
    <n v="0"/>
    <n v="0"/>
    <m/>
    <x v="4"/>
  </r>
  <r>
    <n v="4583"/>
    <d v="2025-05-21T00:00:00"/>
    <n v="33"/>
    <s v="Male"/>
    <s v="West"/>
    <x v="1"/>
    <s v="CAMP1"/>
    <n v="299.3"/>
    <n v="6"/>
    <n v="0"/>
    <x v="11"/>
    <n v="0"/>
    <n v="0"/>
    <m/>
    <x v="4"/>
  </r>
  <r>
    <n v="4798"/>
    <d v="2025-05-21T00:00:00"/>
    <n v="35"/>
    <s v="Male"/>
    <s v="East"/>
    <x v="0"/>
    <m/>
    <n v="277.39999999999998"/>
    <n v="4"/>
    <n v="0"/>
    <x v="11"/>
    <n v="0"/>
    <n v="0"/>
    <m/>
    <x v="4"/>
  </r>
  <r>
    <n v="2643"/>
    <d v="2025-05-21T00:00:00"/>
    <n v="48"/>
    <s v="Female"/>
    <s v="South"/>
    <x v="3"/>
    <m/>
    <n v="202.4"/>
    <n v="7"/>
    <n v="0"/>
    <x v="11"/>
    <n v="0"/>
    <n v="0"/>
    <m/>
    <x v="4"/>
  </r>
  <r>
    <n v="200"/>
    <d v="2025-05-21T00:00:00"/>
    <n v="33"/>
    <s v="Male"/>
    <s v="East"/>
    <x v="2"/>
    <m/>
    <n v="201.7"/>
    <n v="6"/>
    <n v="0"/>
    <x v="11"/>
    <n v="0"/>
    <n v="0"/>
    <m/>
    <x v="4"/>
  </r>
  <r>
    <n v="4489"/>
    <d v="2025-05-21T00:00:00"/>
    <n v="42"/>
    <s v="Male"/>
    <s v="South"/>
    <x v="1"/>
    <s v="CAMP7"/>
    <n v="195.3"/>
    <n v="3"/>
    <n v="0"/>
    <x v="11"/>
    <n v="0"/>
    <n v="0"/>
    <m/>
    <x v="4"/>
  </r>
  <r>
    <n v="3923"/>
    <d v="2025-05-21T00:00:00"/>
    <n v="45"/>
    <s v="Male"/>
    <s v="East"/>
    <x v="0"/>
    <m/>
    <n v="185.9"/>
    <n v="6"/>
    <n v="0"/>
    <x v="11"/>
    <n v="0"/>
    <n v="0"/>
    <m/>
    <x v="4"/>
  </r>
  <r>
    <n v="2723"/>
    <d v="2025-05-21T00:00:00"/>
    <n v="29"/>
    <s v="Male"/>
    <s v="East"/>
    <x v="0"/>
    <m/>
    <n v="182.6"/>
    <n v="7"/>
    <n v="0"/>
    <x v="11"/>
    <n v="0"/>
    <n v="0"/>
    <m/>
    <x v="4"/>
  </r>
  <r>
    <n v="1713"/>
    <d v="2025-05-21T00:00:00"/>
    <n v="21"/>
    <s v="Male"/>
    <s v="West"/>
    <x v="0"/>
    <m/>
    <n v="146.80000000000001"/>
    <n v="7"/>
    <n v="0"/>
    <x v="11"/>
    <n v="0"/>
    <n v="0"/>
    <m/>
    <x v="4"/>
  </r>
  <r>
    <n v="3325"/>
    <d v="2025-05-21T00:00:00"/>
    <n v="42"/>
    <s v="Female"/>
    <s v="North"/>
    <x v="1"/>
    <s v="CAMP6"/>
    <n v="137.80000000000001"/>
    <n v="5"/>
    <n v="0"/>
    <x v="11"/>
    <n v="0"/>
    <n v="0"/>
    <m/>
    <x v="4"/>
  </r>
  <r>
    <n v="1563"/>
    <d v="2025-05-21T00:00:00"/>
    <n v="23"/>
    <s v="Male"/>
    <s v="North"/>
    <x v="2"/>
    <m/>
    <n v="115.9"/>
    <n v="7"/>
    <n v="0"/>
    <x v="11"/>
    <n v="0"/>
    <n v="0"/>
    <m/>
    <x v="4"/>
  </r>
  <r>
    <n v="4150"/>
    <d v="2025-05-21T00:00:00"/>
    <n v="58"/>
    <s v="Female"/>
    <s v="North"/>
    <x v="1"/>
    <s v="CAMP1"/>
    <n v="103.7"/>
    <n v="6"/>
    <n v="0"/>
    <x v="11"/>
    <n v="0"/>
    <n v="0"/>
    <m/>
    <x v="4"/>
  </r>
  <r>
    <n v="2722"/>
    <d v="2025-05-21T00:00:00"/>
    <n v="18"/>
    <s v="Male"/>
    <s v="East"/>
    <x v="1"/>
    <s v="CAMP7"/>
    <n v="73.7"/>
    <n v="8"/>
    <n v="0"/>
    <x v="11"/>
    <n v="0"/>
    <n v="0"/>
    <m/>
    <x v="4"/>
  </r>
  <r>
    <n v="2937"/>
    <d v="2025-05-21T00:00:00"/>
    <n v="33"/>
    <s v="Male"/>
    <s v="North"/>
    <x v="2"/>
    <m/>
    <n v="34"/>
    <n v="3"/>
    <n v="0"/>
    <x v="11"/>
    <n v="0"/>
    <n v="0"/>
    <m/>
    <x v="4"/>
  </r>
  <r>
    <n v="999"/>
    <d v="2025-06-21T00:00:00"/>
    <n v="28"/>
    <s v="Male"/>
    <s v="South"/>
    <x v="1"/>
    <s v="CAMP2"/>
    <n v="731.5"/>
    <n v="4"/>
    <n v="1"/>
    <x v="1181"/>
    <n v="3"/>
    <n v="2"/>
    <n v="4"/>
    <x v="5"/>
  </r>
  <r>
    <n v="2789"/>
    <d v="2025-06-21T00:00:00"/>
    <n v="48"/>
    <s v="Female"/>
    <s v="East"/>
    <x v="1"/>
    <s v="CAMP4"/>
    <n v="1645.1"/>
    <n v="7"/>
    <n v="1"/>
    <x v="1182"/>
    <n v="5"/>
    <n v="6"/>
    <n v="4"/>
    <x v="5"/>
  </r>
  <r>
    <n v="3591"/>
    <d v="2025-06-21T00:00:00"/>
    <n v="36"/>
    <s v="Female"/>
    <s v="East"/>
    <x v="0"/>
    <m/>
    <n v="400.7"/>
    <n v="5"/>
    <n v="1"/>
    <x v="1183"/>
    <n v="3"/>
    <n v="2"/>
    <n v="4"/>
    <x v="5"/>
  </r>
  <r>
    <n v="2"/>
    <d v="2025-06-21T00:00:00"/>
    <n v="18"/>
    <s v="Male"/>
    <s v="East"/>
    <x v="2"/>
    <m/>
    <n v="126.4"/>
    <n v="5"/>
    <n v="1"/>
    <x v="1184"/>
    <n v="2"/>
    <n v="10"/>
    <n v="4"/>
    <x v="5"/>
  </r>
  <r>
    <n v="325"/>
    <d v="2025-06-21T00:00:00"/>
    <n v="26"/>
    <s v="Male"/>
    <s v="West"/>
    <x v="3"/>
    <m/>
    <n v="275.3"/>
    <n v="6"/>
    <n v="1"/>
    <x v="1185"/>
    <n v="3"/>
    <n v="15"/>
    <n v="3"/>
    <x v="5"/>
  </r>
  <r>
    <n v="413"/>
    <d v="2025-06-21T00:00:00"/>
    <n v="27"/>
    <s v="Male"/>
    <s v="West"/>
    <x v="1"/>
    <s v="CAMP6"/>
    <n v="737.6"/>
    <n v="4"/>
    <n v="1"/>
    <x v="538"/>
    <n v="3"/>
    <n v="5"/>
    <n v="4"/>
    <x v="5"/>
  </r>
  <r>
    <n v="2326"/>
    <d v="2025-06-21T00:00:00"/>
    <n v="43"/>
    <s v="Female"/>
    <s v="East"/>
    <x v="0"/>
    <m/>
    <n v="429.1"/>
    <n v="11"/>
    <n v="1"/>
    <x v="1186"/>
    <n v="3"/>
    <n v="5"/>
    <n v="4"/>
    <x v="5"/>
  </r>
  <r>
    <n v="1428"/>
    <d v="2025-06-21T00:00:00"/>
    <n v="33"/>
    <s v="Male"/>
    <s v="South"/>
    <x v="0"/>
    <m/>
    <n v="831.3"/>
    <n v="10"/>
    <n v="1"/>
    <x v="1187"/>
    <n v="5"/>
    <n v="13"/>
    <n v="4"/>
    <x v="5"/>
  </r>
  <r>
    <n v="2939"/>
    <d v="2025-06-21T00:00:00"/>
    <n v="36"/>
    <s v="Male"/>
    <s v="South"/>
    <x v="1"/>
    <s v="CAMP2"/>
    <n v="221.7"/>
    <n v="8"/>
    <n v="1"/>
    <x v="1188"/>
    <n v="5"/>
    <n v="1"/>
    <n v="3"/>
    <x v="5"/>
  </r>
  <r>
    <n v="2844"/>
    <d v="2025-06-21T00:00:00"/>
    <n v="32"/>
    <s v="Male"/>
    <s v="East"/>
    <x v="0"/>
    <m/>
    <n v="966.8"/>
    <n v="6"/>
    <n v="0"/>
    <x v="11"/>
    <n v="0"/>
    <n v="0"/>
    <m/>
    <x v="5"/>
  </r>
  <r>
    <n v="1513"/>
    <d v="2025-06-21T00:00:00"/>
    <n v="30"/>
    <s v="Male"/>
    <s v="South"/>
    <x v="0"/>
    <m/>
    <n v="894.5"/>
    <n v="10"/>
    <n v="0"/>
    <x v="11"/>
    <n v="0"/>
    <n v="0"/>
    <m/>
    <x v="5"/>
  </r>
  <r>
    <n v="1774"/>
    <d v="2025-06-21T00:00:00"/>
    <n v="32"/>
    <s v="Other"/>
    <s v="East"/>
    <x v="0"/>
    <m/>
    <n v="640.6"/>
    <n v="2"/>
    <n v="0"/>
    <x v="11"/>
    <n v="0"/>
    <n v="0"/>
    <m/>
    <x v="5"/>
  </r>
  <r>
    <n v="3060"/>
    <d v="2025-06-21T00:00:00"/>
    <n v="21"/>
    <s v="Female"/>
    <s v="North"/>
    <x v="3"/>
    <m/>
    <n v="602.6"/>
    <n v="5"/>
    <n v="0"/>
    <x v="11"/>
    <n v="0"/>
    <n v="0"/>
    <m/>
    <x v="5"/>
  </r>
  <r>
    <n v="4842"/>
    <d v="2025-06-21T00:00:00"/>
    <n v="38"/>
    <s v="Male"/>
    <s v="North"/>
    <x v="1"/>
    <s v="CAMP5"/>
    <n v="386"/>
    <n v="11"/>
    <n v="0"/>
    <x v="11"/>
    <n v="0"/>
    <n v="0"/>
    <m/>
    <x v="5"/>
  </r>
  <r>
    <n v="2275"/>
    <d v="2025-06-21T00:00:00"/>
    <n v="35"/>
    <s v="Female"/>
    <s v="North"/>
    <x v="0"/>
    <m/>
    <n v="362.9"/>
    <n v="8"/>
    <n v="0"/>
    <x v="11"/>
    <n v="0"/>
    <n v="0"/>
    <m/>
    <x v="5"/>
  </r>
  <r>
    <n v="3129"/>
    <d v="2025-06-21T00:00:00"/>
    <n v="45"/>
    <s v="Female"/>
    <s v="South"/>
    <x v="3"/>
    <m/>
    <n v="333.6"/>
    <n v="8"/>
    <n v="0"/>
    <x v="11"/>
    <n v="0"/>
    <n v="0"/>
    <m/>
    <x v="5"/>
  </r>
  <r>
    <n v="4921"/>
    <d v="2025-06-21T00:00:00"/>
    <n v="46"/>
    <s v="Male"/>
    <s v="North"/>
    <x v="0"/>
    <m/>
    <n v="320.7"/>
    <n v="8"/>
    <n v="0"/>
    <x v="11"/>
    <n v="0"/>
    <n v="0"/>
    <m/>
    <x v="5"/>
  </r>
  <r>
    <n v="541"/>
    <d v="2025-06-21T00:00:00"/>
    <n v="21"/>
    <s v="Female"/>
    <s v="South"/>
    <x v="1"/>
    <s v="CAMP3"/>
    <n v="306"/>
    <n v="9"/>
    <n v="0"/>
    <x v="11"/>
    <n v="0"/>
    <n v="0"/>
    <m/>
    <x v="5"/>
  </r>
  <r>
    <n v="1551"/>
    <d v="2025-06-21T00:00:00"/>
    <n v="23"/>
    <s v="Male"/>
    <s v="West"/>
    <x v="1"/>
    <s v="CAMP1"/>
    <n v="290.8"/>
    <n v="7"/>
    <n v="0"/>
    <x v="11"/>
    <n v="0"/>
    <n v="0"/>
    <m/>
    <x v="5"/>
  </r>
  <r>
    <n v="2556"/>
    <d v="2025-06-21T00:00:00"/>
    <n v="44"/>
    <s v="Male"/>
    <s v="West"/>
    <x v="1"/>
    <s v="CAMP7"/>
    <n v="283.8"/>
    <n v="8"/>
    <n v="0"/>
    <x v="11"/>
    <n v="0"/>
    <n v="0"/>
    <m/>
    <x v="5"/>
  </r>
  <r>
    <n v="1221"/>
    <d v="2025-06-21T00:00:00"/>
    <n v="25"/>
    <s v="Female"/>
    <s v="East"/>
    <x v="1"/>
    <s v="CAMP1"/>
    <n v="264.7"/>
    <n v="7"/>
    <n v="0"/>
    <x v="11"/>
    <n v="0"/>
    <n v="0"/>
    <m/>
    <x v="5"/>
  </r>
  <r>
    <n v="4808"/>
    <d v="2025-06-21T00:00:00"/>
    <n v="47"/>
    <s v="Male"/>
    <s v="East"/>
    <x v="3"/>
    <m/>
    <n v="219.2"/>
    <n v="6"/>
    <n v="0"/>
    <x v="11"/>
    <n v="0"/>
    <n v="0"/>
    <m/>
    <x v="5"/>
  </r>
  <r>
    <n v="412"/>
    <d v="2025-06-21T00:00:00"/>
    <n v="18"/>
    <s v="Male"/>
    <s v="East"/>
    <x v="2"/>
    <m/>
    <n v="196.3"/>
    <n v="3"/>
    <n v="0"/>
    <x v="11"/>
    <n v="0"/>
    <n v="0"/>
    <m/>
    <x v="5"/>
  </r>
  <r>
    <n v="4792"/>
    <d v="2025-06-21T00:00:00"/>
    <n v="31"/>
    <s v="Other"/>
    <s v="North"/>
    <x v="1"/>
    <s v="CAMP2"/>
    <n v="189"/>
    <n v="7"/>
    <n v="0"/>
    <x v="11"/>
    <n v="0"/>
    <n v="0"/>
    <m/>
    <x v="5"/>
  </r>
  <r>
    <n v="4272"/>
    <d v="2025-06-21T00:00:00"/>
    <n v="40"/>
    <s v="Female"/>
    <s v="East"/>
    <x v="1"/>
    <s v="CAMP5"/>
    <n v="186.7"/>
    <n v="6"/>
    <n v="0"/>
    <x v="11"/>
    <n v="0"/>
    <n v="0"/>
    <m/>
    <x v="5"/>
  </r>
  <r>
    <n v="3193"/>
    <d v="2025-06-21T00:00:00"/>
    <n v="32"/>
    <s v="Male"/>
    <s v="East"/>
    <x v="1"/>
    <s v="CAMP6"/>
    <n v="179.8"/>
    <n v="5"/>
    <n v="0"/>
    <x v="11"/>
    <n v="0"/>
    <n v="0"/>
    <m/>
    <x v="5"/>
  </r>
  <r>
    <n v="4636"/>
    <d v="2025-06-21T00:00:00"/>
    <n v="40"/>
    <s v="Female"/>
    <s v="West"/>
    <x v="1"/>
    <s v="CAMP2"/>
    <n v="139.69999999999999"/>
    <n v="10"/>
    <n v="0"/>
    <x v="11"/>
    <n v="0"/>
    <n v="0"/>
    <m/>
    <x v="5"/>
  </r>
  <r>
    <n v="489"/>
    <d v="2025-06-21T00:00:00"/>
    <n v="18"/>
    <s v="Female"/>
    <s v="East"/>
    <x v="0"/>
    <m/>
    <n v="123.7"/>
    <n v="6"/>
    <n v="0"/>
    <x v="11"/>
    <n v="0"/>
    <n v="0"/>
    <m/>
    <x v="5"/>
  </r>
  <r>
    <n v="2863"/>
    <d v="2025-06-21T00:00:00"/>
    <n v="28"/>
    <s v="Female"/>
    <s v="West"/>
    <x v="0"/>
    <m/>
    <n v="107.7"/>
    <n v="3"/>
    <n v="0"/>
    <x v="11"/>
    <n v="0"/>
    <n v="0"/>
    <m/>
    <x v="5"/>
  </r>
  <r>
    <n v="4326"/>
    <d v="2025-06-21T00:00:00"/>
    <n v="39"/>
    <s v="Female"/>
    <s v="South"/>
    <x v="0"/>
    <m/>
    <n v="64.7"/>
    <n v="6"/>
    <n v="0"/>
    <x v="11"/>
    <n v="0"/>
    <n v="0"/>
    <m/>
    <x v="5"/>
  </r>
  <r>
    <n v="2639"/>
    <d v="2025-06-21T00:00:00"/>
    <n v="33"/>
    <s v="Male"/>
    <s v="East"/>
    <x v="1"/>
    <s v="CAMP5"/>
    <n v="64.599999999999994"/>
    <n v="3"/>
    <n v="0"/>
    <x v="11"/>
    <n v="0"/>
    <n v="0"/>
    <m/>
    <x v="5"/>
  </r>
  <r>
    <n v="242"/>
    <d v="2025-06-21T00:00:00"/>
    <n v="22"/>
    <s v="Male"/>
    <s v="East"/>
    <x v="0"/>
    <m/>
    <n v="53.9"/>
    <n v="9"/>
    <n v="0"/>
    <x v="11"/>
    <n v="0"/>
    <n v="0"/>
    <m/>
    <x v="5"/>
  </r>
  <r>
    <n v="133"/>
    <d v="2025-01-22T00:00:00"/>
    <n v="23"/>
    <s v="Other"/>
    <s v="North"/>
    <x v="1"/>
    <s v="CAMP7"/>
    <n v="156.80000000000001"/>
    <n v="4"/>
    <n v="1"/>
    <x v="1189"/>
    <n v="3"/>
    <n v="1"/>
    <n v="5"/>
    <x v="0"/>
  </r>
  <r>
    <n v="41"/>
    <d v="2025-01-22T00:00:00"/>
    <n v="41"/>
    <s v="Female"/>
    <s v="West"/>
    <x v="0"/>
    <m/>
    <n v="732.5"/>
    <n v="6"/>
    <n v="1"/>
    <x v="1190"/>
    <n v="2"/>
    <n v="3"/>
    <n v="5"/>
    <x v="0"/>
  </r>
  <r>
    <n v="1482"/>
    <d v="2025-01-22T00:00:00"/>
    <n v="25"/>
    <s v="Male"/>
    <s v="North"/>
    <x v="1"/>
    <s v="CAMP6"/>
    <n v="179.4"/>
    <n v="2"/>
    <n v="1"/>
    <x v="1191"/>
    <n v="3"/>
    <n v="11"/>
    <n v="3"/>
    <x v="0"/>
  </r>
  <r>
    <n v="1536"/>
    <d v="2025-01-22T00:00:00"/>
    <n v="25"/>
    <s v="Female"/>
    <s v="East"/>
    <x v="0"/>
    <m/>
    <n v="88.1"/>
    <n v="10"/>
    <n v="1"/>
    <x v="293"/>
    <n v="2"/>
    <n v="6"/>
    <n v="4"/>
    <x v="0"/>
  </r>
  <r>
    <n v="1961"/>
    <d v="2025-01-22T00:00:00"/>
    <n v="34"/>
    <s v="Female"/>
    <s v="North"/>
    <x v="2"/>
    <m/>
    <n v="586.70000000000005"/>
    <n v="11"/>
    <n v="1"/>
    <x v="1192"/>
    <n v="3"/>
    <n v="12"/>
    <n v="4"/>
    <x v="0"/>
  </r>
  <r>
    <n v="1847"/>
    <d v="2025-01-22T00:00:00"/>
    <n v="21"/>
    <s v="Female"/>
    <s v="North"/>
    <x v="0"/>
    <m/>
    <n v="735.3"/>
    <n v="9"/>
    <n v="1"/>
    <x v="1193"/>
    <n v="4"/>
    <n v="14"/>
    <n v="3"/>
    <x v="0"/>
  </r>
  <r>
    <n v="2356"/>
    <d v="2025-01-22T00:00:00"/>
    <n v="26"/>
    <s v="Female"/>
    <s v="West"/>
    <x v="1"/>
    <s v="CAMP5"/>
    <n v="115"/>
    <n v="3"/>
    <n v="1"/>
    <x v="1194"/>
    <n v="3"/>
    <n v="8"/>
    <n v="4"/>
    <x v="0"/>
  </r>
  <r>
    <n v="3930"/>
    <d v="2025-01-22T00:00:00"/>
    <n v="69"/>
    <s v="Female"/>
    <s v="South"/>
    <x v="2"/>
    <m/>
    <n v="436.9"/>
    <n v="6"/>
    <n v="1"/>
    <x v="1195"/>
    <n v="3"/>
    <n v="15"/>
    <n v="3"/>
    <x v="0"/>
  </r>
  <r>
    <n v="4731"/>
    <d v="2025-01-22T00:00:00"/>
    <n v="49"/>
    <s v="Female"/>
    <s v="East"/>
    <x v="1"/>
    <s v="CAMP6"/>
    <n v="685.2"/>
    <n v="2"/>
    <n v="1"/>
    <x v="1196"/>
    <n v="1"/>
    <n v="3"/>
    <n v="3"/>
    <x v="0"/>
  </r>
  <r>
    <n v="1034"/>
    <d v="2025-01-22T00:00:00"/>
    <n v="18"/>
    <s v="Male"/>
    <s v="South"/>
    <x v="0"/>
    <m/>
    <n v="131.69999999999999"/>
    <n v="4"/>
    <n v="1"/>
    <x v="1197"/>
    <n v="6"/>
    <n v="4"/>
    <n v="4"/>
    <x v="0"/>
  </r>
  <r>
    <n v="4151"/>
    <d v="2025-01-22T00:00:00"/>
    <n v="49"/>
    <s v="Female"/>
    <s v="North"/>
    <x v="3"/>
    <m/>
    <n v="482.1"/>
    <n v="6"/>
    <n v="1"/>
    <x v="1198"/>
    <n v="4"/>
    <n v="9"/>
    <n v="3"/>
    <x v="0"/>
  </r>
  <r>
    <n v="2833"/>
    <d v="2025-01-22T00:00:00"/>
    <n v="26"/>
    <s v="Female"/>
    <s v="West"/>
    <x v="3"/>
    <m/>
    <n v="305"/>
    <n v="3"/>
    <n v="1"/>
    <x v="1199"/>
    <n v="5"/>
    <n v="13"/>
    <n v="4"/>
    <x v="0"/>
  </r>
  <r>
    <n v="1418"/>
    <d v="2025-01-22T00:00:00"/>
    <n v="24"/>
    <s v="Female"/>
    <s v="South"/>
    <x v="3"/>
    <m/>
    <n v="114.1"/>
    <n v="3"/>
    <n v="1"/>
    <x v="1200"/>
    <n v="2"/>
    <n v="13"/>
    <n v="5"/>
    <x v="0"/>
  </r>
  <r>
    <n v="4631"/>
    <d v="2025-01-22T00:00:00"/>
    <n v="54"/>
    <s v="Male"/>
    <s v="East"/>
    <x v="0"/>
    <m/>
    <n v="126.9"/>
    <n v="6"/>
    <n v="1"/>
    <x v="1201"/>
    <n v="2"/>
    <n v="6"/>
    <n v="4"/>
    <x v="0"/>
  </r>
  <r>
    <n v="3216"/>
    <d v="2025-01-22T00:00:00"/>
    <n v="29"/>
    <s v="Male"/>
    <s v="East"/>
    <x v="1"/>
    <s v="CAMP1"/>
    <n v="394.5"/>
    <n v="3"/>
    <n v="1"/>
    <x v="1202"/>
    <n v="2"/>
    <n v="14"/>
    <n v="3"/>
    <x v="0"/>
  </r>
  <r>
    <n v="3789"/>
    <d v="2025-01-22T00:00:00"/>
    <n v="65"/>
    <s v="Female"/>
    <s v="West"/>
    <x v="1"/>
    <s v="CAMP7"/>
    <n v="814.5"/>
    <n v="3"/>
    <n v="0"/>
    <x v="11"/>
    <n v="0"/>
    <n v="0"/>
    <m/>
    <x v="0"/>
  </r>
  <r>
    <n v="4736"/>
    <d v="2025-01-22T00:00:00"/>
    <n v="54"/>
    <s v="Other"/>
    <s v="East"/>
    <x v="0"/>
    <m/>
    <n v="635"/>
    <n v="8"/>
    <n v="0"/>
    <x v="11"/>
    <n v="0"/>
    <n v="0"/>
    <m/>
    <x v="0"/>
  </r>
  <r>
    <n v="605"/>
    <d v="2025-01-22T00:00:00"/>
    <n v="24"/>
    <s v="Male"/>
    <s v="North"/>
    <x v="0"/>
    <m/>
    <n v="631.9"/>
    <n v="10"/>
    <n v="0"/>
    <x v="11"/>
    <n v="0"/>
    <n v="0"/>
    <m/>
    <x v="0"/>
  </r>
  <r>
    <n v="645"/>
    <d v="2025-01-22T00:00:00"/>
    <n v="30"/>
    <s v="Female"/>
    <s v="East"/>
    <x v="1"/>
    <s v="CAMP2"/>
    <n v="596.6"/>
    <n v="5"/>
    <n v="0"/>
    <x v="11"/>
    <n v="0"/>
    <n v="0"/>
    <m/>
    <x v="0"/>
  </r>
  <r>
    <n v="3761"/>
    <d v="2025-01-22T00:00:00"/>
    <n v="43"/>
    <s v="Male"/>
    <s v="North"/>
    <x v="1"/>
    <s v="CAMP7"/>
    <n v="522.6"/>
    <n v="7"/>
    <n v="0"/>
    <x v="11"/>
    <n v="0"/>
    <n v="0"/>
    <m/>
    <x v="0"/>
  </r>
  <r>
    <n v="381"/>
    <d v="2025-01-22T00:00:00"/>
    <n v="31"/>
    <s v="Male"/>
    <s v="North"/>
    <x v="2"/>
    <m/>
    <n v="468.6"/>
    <n v="11"/>
    <n v="0"/>
    <x v="11"/>
    <n v="0"/>
    <n v="0"/>
    <m/>
    <x v="0"/>
  </r>
  <r>
    <n v="4997"/>
    <d v="2025-01-22T00:00:00"/>
    <n v="55"/>
    <s v="Male"/>
    <s v="East"/>
    <x v="1"/>
    <s v="CAMP5"/>
    <n v="413"/>
    <n v="5"/>
    <n v="0"/>
    <x v="11"/>
    <n v="0"/>
    <n v="0"/>
    <m/>
    <x v="0"/>
  </r>
  <r>
    <n v="1822"/>
    <d v="2025-01-22T00:00:00"/>
    <n v="24"/>
    <s v="Male"/>
    <s v="South"/>
    <x v="3"/>
    <m/>
    <n v="407.8"/>
    <n v="7"/>
    <n v="0"/>
    <x v="11"/>
    <n v="0"/>
    <n v="0"/>
    <m/>
    <x v="0"/>
  </r>
  <r>
    <n v="2707"/>
    <d v="2025-01-22T00:00:00"/>
    <n v="44"/>
    <s v="Male"/>
    <s v="North"/>
    <x v="0"/>
    <m/>
    <n v="397.7"/>
    <n v="7"/>
    <n v="0"/>
    <x v="11"/>
    <n v="0"/>
    <n v="0"/>
    <m/>
    <x v="0"/>
  </r>
  <r>
    <n v="4248"/>
    <d v="2025-01-22T00:00:00"/>
    <n v="59"/>
    <s v="Male"/>
    <s v="South"/>
    <x v="1"/>
    <s v="CAMP2"/>
    <n v="391"/>
    <n v="6"/>
    <n v="0"/>
    <x v="11"/>
    <n v="0"/>
    <n v="0"/>
    <m/>
    <x v="0"/>
  </r>
  <r>
    <n v="461"/>
    <d v="2025-01-22T00:00:00"/>
    <n v="21"/>
    <s v="Female"/>
    <s v="North"/>
    <x v="2"/>
    <m/>
    <n v="364"/>
    <n v="5"/>
    <n v="0"/>
    <x v="11"/>
    <n v="0"/>
    <n v="0"/>
    <m/>
    <x v="0"/>
  </r>
  <r>
    <n v="1722"/>
    <d v="2025-01-22T00:00:00"/>
    <n v="18"/>
    <s v="Female"/>
    <s v="North"/>
    <x v="3"/>
    <m/>
    <n v="266.60000000000002"/>
    <n v="9"/>
    <n v="0"/>
    <x v="11"/>
    <n v="0"/>
    <n v="0"/>
    <m/>
    <x v="0"/>
  </r>
  <r>
    <n v="91"/>
    <d v="2025-01-22T00:00:00"/>
    <n v="19"/>
    <s v="Male"/>
    <s v="East"/>
    <x v="1"/>
    <s v="CAMP2"/>
    <n v="225.9"/>
    <n v="6"/>
    <n v="0"/>
    <x v="11"/>
    <n v="0"/>
    <n v="0"/>
    <m/>
    <x v="0"/>
  </r>
  <r>
    <n v="939"/>
    <d v="2025-01-22T00:00:00"/>
    <n v="30"/>
    <s v="Other"/>
    <s v="East"/>
    <x v="3"/>
    <m/>
    <n v="203.8"/>
    <n v="3"/>
    <n v="0"/>
    <x v="11"/>
    <n v="0"/>
    <n v="0"/>
    <m/>
    <x v="0"/>
  </r>
  <r>
    <n v="2339"/>
    <d v="2025-01-22T00:00:00"/>
    <n v="36"/>
    <s v="Female"/>
    <s v="North"/>
    <x v="0"/>
    <m/>
    <n v="194.9"/>
    <n v="5"/>
    <n v="0"/>
    <x v="11"/>
    <n v="0"/>
    <n v="0"/>
    <m/>
    <x v="0"/>
  </r>
  <r>
    <n v="751"/>
    <d v="2025-01-22T00:00:00"/>
    <n v="30"/>
    <s v="Male"/>
    <s v="East"/>
    <x v="0"/>
    <m/>
    <n v="192.8"/>
    <n v="7"/>
    <n v="0"/>
    <x v="11"/>
    <n v="0"/>
    <n v="0"/>
    <m/>
    <x v="0"/>
  </r>
  <r>
    <n v="430"/>
    <d v="2025-01-22T00:00:00"/>
    <n v="22"/>
    <s v="Female"/>
    <s v="East"/>
    <x v="1"/>
    <s v="CAMP1"/>
    <n v="190.7"/>
    <n v="3"/>
    <n v="0"/>
    <x v="11"/>
    <n v="0"/>
    <n v="0"/>
    <m/>
    <x v="0"/>
  </r>
  <r>
    <n v="3838"/>
    <d v="2025-01-22T00:00:00"/>
    <n v="41"/>
    <s v="Male"/>
    <s v="South"/>
    <x v="1"/>
    <s v="CAMP2"/>
    <n v="172.4"/>
    <n v="1"/>
    <n v="0"/>
    <x v="11"/>
    <n v="0"/>
    <n v="0"/>
    <m/>
    <x v="0"/>
  </r>
  <r>
    <n v="3254"/>
    <d v="2025-01-22T00:00:00"/>
    <n v="37"/>
    <s v="Male"/>
    <s v="North"/>
    <x v="3"/>
    <m/>
    <n v="153.19999999999999"/>
    <n v="9"/>
    <n v="0"/>
    <x v="11"/>
    <n v="0"/>
    <n v="0"/>
    <m/>
    <x v="0"/>
  </r>
  <r>
    <n v="1253"/>
    <d v="2025-01-22T00:00:00"/>
    <n v="18"/>
    <s v="Female"/>
    <s v="South"/>
    <x v="0"/>
    <m/>
    <n v="117.8"/>
    <n v="2"/>
    <n v="0"/>
    <x v="11"/>
    <n v="0"/>
    <n v="0"/>
    <m/>
    <x v="0"/>
  </r>
  <r>
    <n v="460"/>
    <d v="2025-01-22T00:00:00"/>
    <n v="30"/>
    <s v="Female"/>
    <s v="South"/>
    <x v="2"/>
    <m/>
    <n v="92"/>
    <n v="5"/>
    <n v="0"/>
    <x v="11"/>
    <n v="0"/>
    <n v="0"/>
    <m/>
    <x v="0"/>
  </r>
  <r>
    <n v="1830"/>
    <d v="2025-02-22T00:00:00"/>
    <n v="34"/>
    <s v="Male"/>
    <s v="West"/>
    <x v="0"/>
    <m/>
    <n v="282.3"/>
    <n v="7"/>
    <n v="1"/>
    <x v="1203"/>
    <n v="5"/>
    <n v="11"/>
    <n v="4"/>
    <x v="1"/>
  </r>
  <r>
    <n v="2710"/>
    <d v="2025-02-22T00:00:00"/>
    <n v="32"/>
    <s v="Female"/>
    <s v="East"/>
    <x v="0"/>
    <m/>
    <n v="373.8"/>
    <n v="7"/>
    <n v="1"/>
    <x v="1204"/>
    <n v="4"/>
    <n v="13"/>
    <n v="4"/>
    <x v="1"/>
  </r>
  <r>
    <n v="3639"/>
    <d v="2025-02-22T00:00:00"/>
    <n v="45"/>
    <s v="Female"/>
    <s v="East"/>
    <x v="0"/>
    <m/>
    <n v="724"/>
    <n v="5"/>
    <n v="1"/>
    <x v="1205"/>
    <n v="2"/>
    <n v="9"/>
    <n v="4"/>
    <x v="1"/>
  </r>
  <r>
    <n v="4963"/>
    <d v="2025-02-22T00:00:00"/>
    <n v="46"/>
    <s v="Male"/>
    <s v="South"/>
    <x v="0"/>
    <m/>
    <n v="112.8"/>
    <n v="3"/>
    <n v="1"/>
    <x v="1206"/>
    <n v="1"/>
    <n v="2"/>
    <n v="4"/>
    <x v="1"/>
  </r>
  <r>
    <n v="4822"/>
    <d v="2025-02-22T00:00:00"/>
    <n v="56"/>
    <s v="Female"/>
    <s v="East"/>
    <x v="3"/>
    <m/>
    <n v="1327.2"/>
    <n v="6"/>
    <n v="1"/>
    <x v="1207"/>
    <n v="2"/>
    <n v="9"/>
    <n v="4"/>
    <x v="1"/>
  </r>
  <r>
    <n v="417"/>
    <d v="2025-02-22T00:00:00"/>
    <n v="28"/>
    <s v="Female"/>
    <s v="West"/>
    <x v="0"/>
    <m/>
    <n v="352.1"/>
    <n v="9"/>
    <n v="1"/>
    <x v="1208"/>
    <n v="4"/>
    <n v="10"/>
    <n v="3"/>
    <x v="1"/>
  </r>
  <r>
    <n v="2209"/>
    <d v="2025-02-22T00:00:00"/>
    <n v="50"/>
    <s v="Female"/>
    <s v="North"/>
    <x v="0"/>
    <m/>
    <n v="468.4"/>
    <n v="7"/>
    <n v="1"/>
    <x v="38"/>
    <n v="2"/>
    <n v="2"/>
    <n v="4"/>
    <x v="1"/>
  </r>
  <r>
    <n v="23"/>
    <d v="2025-02-22T00:00:00"/>
    <n v="22"/>
    <s v="Male"/>
    <s v="South"/>
    <x v="0"/>
    <m/>
    <n v="236.4"/>
    <n v="3"/>
    <n v="1"/>
    <x v="1209"/>
    <n v="3"/>
    <n v="5"/>
    <n v="4"/>
    <x v="1"/>
  </r>
  <r>
    <n v="3182"/>
    <d v="2025-02-22T00:00:00"/>
    <n v="35"/>
    <s v="Female"/>
    <s v="South"/>
    <x v="3"/>
    <m/>
    <n v="424.1"/>
    <n v="4"/>
    <n v="1"/>
    <x v="1210"/>
    <n v="1"/>
    <n v="7"/>
    <n v="4"/>
    <x v="1"/>
  </r>
  <r>
    <n v="20"/>
    <d v="2025-02-22T00:00:00"/>
    <n v="34"/>
    <s v="Male"/>
    <s v="East"/>
    <x v="1"/>
    <s v="CAMP6"/>
    <n v="452.1"/>
    <n v="3"/>
    <n v="1"/>
    <x v="1211"/>
    <n v="5"/>
    <n v="4"/>
    <n v="3"/>
    <x v="1"/>
  </r>
  <r>
    <n v="3160"/>
    <d v="2025-02-22T00:00:00"/>
    <n v="34"/>
    <s v="Female"/>
    <s v="North"/>
    <x v="0"/>
    <m/>
    <n v="228.5"/>
    <n v="5"/>
    <n v="1"/>
    <x v="1212"/>
    <n v="4"/>
    <n v="12"/>
    <n v="5"/>
    <x v="1"/>
  </r>
  <r>
    <n v="4061"/>
    <d v="2025-02-22T00:00:00"/>
    <n v="48"/>
    <s v="Male"/>
    <s v="South"/>
    <x v="0"/>
    <m/>
    <n v="545.9"/>
    <n v="8"/>
    <n v="0"/>
    <x v="11"/>
    <n v="0"/>
    <n v="0"/>
    <m/>
    <x v="1"/>
  </r>
  <r>
    <n v="111"/>
    <d v="2025-02-22T00:00:00"/>
    <n v="27"/>
    <s v="Female"/>
    <s v="West"/>
    <x v="1"/>
    <s v="CAMP3"/>
    <n v="530.5"/>
    <n v="10"/>
    <n v="0"/>
    <x v="11"/>
    <n v="0"/>
    <n v="0"/>
    <m/>
    <x v="1"/>
  </r>
  <r>
    <n v="2999"/>
    <d v="2025-02-22T00:00:00"/>
    <n v="32"/>
    <s v="Male"/>
    <s v="South"/>
    <x v="1"/>
    <s v="CAMP4"/>
    <n v="327.3"/>
    <n v="4"/>
    <n v="0"/>
    <x v="11"/>
    <n v="0"/>
    <n v="0"/>
    <m/>
    <x v="1"/>
  </r>
  <r>
    <n v="4042"/>
    <d v="2025-02-22T00:00:00"/>
    <n v="69"/>
    <s v="Male"/>
    <s v="West"/>
    <x v="3"/>
    <m/>
    <n v="301.60000000000002"/>
    <n v="10"/>
    <n v="0"/>
    <x v="11"/>
    <n v="0"/>
    <n v="0"/>
    <m/>
    <x v="1"/>
  </r>
  <r>
    <n v="4784"/>
    <d v="2025-02-22T00:00:00"/>
    <n v="46"/>
    <s v="Male"/>
    <s v="North"/>
    <x v="0"/>
    <m/>
    <n v="247.9"/>
    <n v="8"/>
    <n v="0"/>
    <x v="11"/>
    <n v="0"/>
    <n v="0"/>
    <m/>
    <x v="1"/>
  </r>
  <r>
    <n v="2756"/>
    <d v="2025-02-22T00:00:00"/>
    <n v="44"/>
    <s v="Male"/>
    <s v="North"/>
    <x v="0"/>
    <m/>
    <n v="208.8"/>
    <n v="4"/>
    <n v="0"/>
    <x v="11"/>
    <n v="0"/>
    <n v="0"/>
    <m/>
    <x v="1"/>
  </r>
  <r>
    <n v="1270"/>
    <d v="2025-02-22T00:00:00"/>
    <n v="20"/>
    <s v="Female"/>
    <s v="East"/>
    <x v="2"/>
    <m/>
    <n v="146"/>
    <n v="7"/>
    <n v="0"/>
    <x v="11"/>
    <n v="0"/>
    <n v="0"/>
    <m/>
    <x v="1"/>
  </r>
  <r>
    <n v="2425"/>
    <d v="2025-02-22T00:00:00"/>
    <n v="33"/>
    <s v="Other"/>
    <s v="North"/>
    <x v="0"/>
    <m/>
    <n v="131.9"/>
    <n v="7"/>
    <n v="0"/>
    <x v="11"/>
    <n v="0"/>
    <n v="0"/>
    <m/>
    <x v="1"/>
  </r>
  <r>
    <n v="897"/>
    <d v="2025-02-22T00:00:00"/>
    <n v="32"/>
    <s v="Male"/>
    <s v="East"/>
    <x v="1"/>
    <s v="CAMP2"/>
    <n v="121.9"/>
    <n v="5"/>
    <n v="0"/>
    <x v="11"/>
    <n v="0"/>
    <n v="0"/>
    <m/>
    <x v="1"/>
  </r>
  <r>
    <n v="4121"/>
    <d v="2025-02-22T00:00:00"/>
    <n v="35"/>
    <s v="Female"/>
    <s v="South"/>
    <x v="0"/>
    <m/>
    <n v="111.1"/>
    <n v="3"/>
    <n v="0"/>
    <x v="11"/>
    <n v="0"/>
    <n v="0"/>
    <m/>
    <x v="1"/>
  </r>
  <r>
    <n v="270"/>
    <d v="2025-02-22T00:00:00"/>
    <n v="22"/>
    <s v="Female"/>
    <s v="West"/>
    <x v="0"/>
    <m/>
    <n v="76.900000000000006"/>
    <n v="7"/>
    <n v="0"/>
    <x v="11"/>
    <n v="0"/>
    <n v="0"/>
    <m/>
    <x v="1"/>
  </r>
  <r>
    <n v="2304"/>
    <d v="2025-02-22T00:00:00"/>
    <n v="39"/>
    <s v="Male"/>
    <s v="East"/>
    <x v="1"/>
    <s v="CAMP4"/>
    <n v="74.099999999999994"/>
    <n v="7"/>
    <n v="0"/>
    <x v="11"/>
    <n v="0"/>
    <n v="0"/>
    <m/>
    <x v="1"/>
  </r>
  <r>
    <n v="636"/>
    <d v="2025-03-22T00:00:00"/>
    <n v="34"/>
    <s v="Female"/>
    <s v="North"/>
    <x v="1"/>
    <s v="CAMP4"/>
    <n v="829.2"/>
    <n v="6"/>
    <n v="1"/>
    <x v="1213"/>
    <n v="5"/>
    <n v="6"/>
    <n v="4"/>
    <x v="2"/>
  </r>
  <r>
    <n v="2584"/>
    <d v="2025-03-22T00:00:00"/>
    <n v="37"/>
    <s v="Male"/>
    <s v="South"/>
    <x v="0"/>
    <m/>
    <n v="166.9"/>
    <n v="4"/>
    <n v="1"/>
    <x v="1214"/>
    <n v="3"/>
    <n v="14"/>
    <n v="4"/>
    <x v="2"/>
  </r>
  <r>
    <n v="3670"/>
    <d v="2025-03-22T00:00:00"/>
    <n v="18"/>
    <s v="Female"/>
    <s v="East"/>
    <x v="0"/>
    <m/>
    <n v="416.6"/>
    <n v="10"/>
    <n v="1"/>
    <x v="1215"/>
    <n v="4"/>
    <n v="3"/>
    <n v="4"/>
    <x v="2"/>
  </r>
  <r>
    <n v="1737"/>
    <d v="2025-03-22T00:00:00"/>
    <n v="27"/>
    <s v="Female"/>
    <s v="South"/>
    <x v="0"/>
    <m/>
    <n v="173.1"/>
    <n v="4"/>
    <n v="1"/>
    <x v="1216"/>
    <n v="4"/>
    <n v="4"/>
    <n v="4"/>
    <x v="2"/>
  </r>
  <r>
    <n v="1377"/>
    <d v="2025-03-22T00:00:00"/>
    <n v="24"/>
    <s v="Female"/>
    <s v="East"/>
    <x v="0"/>
    <m/>
    <n v="425.7"/>
    <n v="3"/>
    <n v="1"/>
    <x v="1217"/>
    <n v="8"/>
    <n v="6"/>
    <n v="4"/>
    <x v="2"/>
  </r>
  <r>
    <n v="2764"/>
    <d v="2025-03-22T00:00:00"/>
    <n v="26"/>
    <s v="Male"/>
    <s v="East"/>
    <x v="0"/>
    <m/>
    <n v="461.9"/>
    <n v="3"/>
    <n v="1"/>
    <x v="1218"/>
    <n v="3"/>
    <n v="12"/>
    <n v="5"/>
    <x v="2"/>
  </r>
  <r>
    <n v="2007"/>
    <d v="2025-03-22T00:00:00"/>
    <n v="22"/>
    <s v="Male"/>
    <s v="North"/>
    <x v="1"/>
    <s v="CAMP4"/>
    <n v="261"/>
    <n v="5"/>
    <n v="1"/>
    <x v="1219"/>
    <n v="6"/>
    <n v="10"/>
    <n v="5"/>
    <x v="2"/>
  </r>
  <r>
    <n v="416"/>
    <d v="2025-03-22T00:00:00"/>
    <n v="23"/>
    <s v="Female"/>
    <s v="East"/>
    <x v="1"/>
    <s v="CAMP3"/>
    <n v="705.6"/>
    <n v="2"/>
    <n v="0"/>
    <x v="11"/>
    <n v="0"/>
    <n v="0"/>
    <m/>
    <x v="2"/>
  </r>
  <r>
    <n v="3733"/>
    <d v="2025-03-22T00:00:00"/>
    <n v="28"/>
    <s v="Male"/>
    <s v="East"/>
    <x v="2"/>
    <m/>
    <n v="456.5"/>
    <n v="9"/>
    <n v="0"/>
    <x v="11"/>
    <n v="0"/>
    <n v="0"/>
    <m/>
    <x v="2"/>
  </r>
  <r>
    <n v="2513"/>
    <d v="2025-03-22T00:00:00"/>
    <n v="23"/>
    <s v="Male"/>
    <s v="East"/>
    <x v="0"/>
    <m/>
    <n v="433.5"/>
    <n v="7"/>
    <n v="0"/>
    <x v="11"/>
    <n v="0"/>
    <n v="0"/>
    <m/>
    <x v="2"/>
  </r>
  <r>
    <n v="4934"/>
    <d v="2025-03-22T00:00:00"/>
    <n v="47"/>
    <s v="Other"/>
    <s v="North"/>
    <x v="0"/>
    <m/>
    <n v="355.6"/>
    <n v="6"/>
    <n v="0"/>
    <x v="11"/>
    <n v="0"/>
    <n v="0"/>
    <m/>
    <x v="2"/>
  </r>
  <r>
    <n v="1208"/>
    <d v="2025-03-22T00:00:00"/>
    <n v="27"/>
    <s v="Male"/>
    <s v="East"/>
    <x v="3"/>
    <m/>
    <n v="303.3"/>
    <n v="2"/>
    <n v="0"/>
    <x v="11"/>
    <n v="0"/>
    <n v="0"/>
    <m/>
    <x v="2"/>
  </r>
  <r>
    <n v="1660"/>
    <d v="2025-03-22T00:00:00"/>
    <n v="24"/>
    <s v="Female"/>
    <s v="North"/>
    <x v="3"/>
    <m/>
    <n v="298.3"/>
    <n v="7"/>
    <n v="0"/>
    <x v="11"/>
    <n v="0"/>
    <n v="0"/>
    <m/>
    <x v="2"/>
  </r>
  <r>
    <n v="2379"/>
    <d v="2025-03-22T00:00:00"/>
    <n v="45"/>
    <s v="Female"/>
    <s v="South"/>
    <x v="3"/>
    <m/>
    <n v="244.3"/>
    <n v="6"/>
    <n v="0"/>
    <x v="11"/>
    <n v="0"/>
    <n v="0"/>
    <m/>
    <x v="2"/>
  </r>
  <r>
    <n v="2196"/>
    <d v="2025-03-22T00:00:00"/>
    <n v="30"/>
    <s v="Female"/>
    <s v="South"/>
    <x v="0"/>
    <m/>
    <n v="230.1"/>
    <n v="3"/>
    <n v="0"/>
    <x v="11"/>
    <n v="0"/>
    <n v="0"/>
    <m/>
    <x v="2"/>
  </r>
  <r>
    <n v="1000"/>
    <d v="2025-03-22T00:00:00"/>
    <n v="24"/>
    <s v="Female"/>
    <s v="North"/>
    <x v="2"/>
    <m/>
    <n v="221.4"/>
    <n v="8"/>
    <n v="0"/>
    <x v="11"/>
    <n v="0"/>
    <n v="0"/>
    <m/>
    <x v="2"/>
  </r>
  <r>
    <n v="1490"/>
    <d v="2025-03-22T00:00:00"/>
    <n v="22"/>
    <s v="Female"/>
    <s v="North"/>
    <x v="0"/>
    <m/>
    <n v="217.8"/>
    <n v="2"/>
    <n v="0"/>
    <x v="11"/>
    <n v="0"/>
    <n v="0"/>
    <m/>
    <x v="2"/>
  </r>
  <r>
    <n v="4976"/>
    <d v="2025-03-22T00:00:00"/>
    <n v="45"/>
    <s v="Female"/>
    <s v="South"/>
    <x v="0"/>
    <m/>
    <n v="113.3"/>
    <n v="6"/>
    <n v="0"/>
    <x v="11"/>
    <n v="0"/>
    <n v="0"/>
    <m/>
    <x v="2"/>
  </r>
  <r>
    <n v="1915"/>
    <d v="2025-03-22T00:00:00"/>
    <n v="18"/>
    <s v="Male"/>
    <s v="South"/>
    <x v="1"/>
    <s v="CAMP3"/>
    <n v="96.2"/>
    <n v="3"/>
    <n v="0"/>
    <x v="11"/>
    <n v="0"/>
    <n v="0"/>
    <m/>
    <x v="2"/>
  </r>
  <r>
    <n v="2779"/>
    <d v="2025-03-22T00:00:00"/>
    <n v="40"/>
    <s v="Female"/>
    <s v="West"/>
    <x v="1"/>
    <s v="CAMP5"/>
    <n v="89"/>
    <n v="9"/>
    <n v="0"/>
    <x v="11"/>
    <n v="0"/>
    <n v="0"/>
    <m/>
    <x v="2"/>
  </r>
  <r>
    <n v="4195"/>
    <d v="2025-04-22T00:00:00"/>
    <n v="41"/>
    <s v="Male"/>
    <s v="South"/>
    <x v="2"/>
    <m/>
    <n v="1084.8"/>
    <n v="7"/>
    <n v="1"/>
    <x v="1220"/>
    <n v="4"/>
    <n v="13"/>
    <n v="4"/>
    <x v="3"/>
  </r>
  <r>
    <n v="2465"/>
    <d v="2025-04-22T00:00:00"/>
    <n v="34"/>
    <s v="Female"/>
    <s v="North"/>
    <x v="1"/>
    <s v="CAMP2"/>
    <n v="446.2"/>
    <n v="4"/>
    <n v="1"/>
    <x v="1221"/>
    <n v="2"/>
    <n v="9"/>
    <n v="4"/>
    <x v="3"/>
  </r>
  <r>
    <n v="625"/>
    <d v="2025-04-22T00:00:00"/>
    <n v="29"/>
    <s v="Male"/>
    <s v="West"/>
    <x v="2"/>
    <m/>
    <n v="480.3"/>
    <n v="5"/>
    <n v="1"/>
    <x v="658"/>
    <n v="2"/>
    <n v="12"/>
    <n v="5"/>
    <x v="3"/>
  </r>
  <r>
    <n v="1452"/>
    <d v="2025-04-22T00:00:00"/>
    <n v="26"/>
    <s v="Male"/>
    <s v="North"/>
    <x v="0"/>
    <m/>
    <n v="173.4"/>
    <n v="3"/>
    <n v="1"/>
    <x v="1222"/>
    <n v="3"/>
    <n v="9"/>
    <n v="3"/>
    <x v="3"/>
  </r>
  <r>
    <n v="574"/>
    <d v="2025-04-22T00:00:00"/>
    <n v="20"/>
    <s v="Male"/>
    <s v="East"/>
    <x v="1"/>
    <s v="CAMP7"/>
    <n v="488.8"/>
    <n v="4"/>
    <n v="1"/>
    <x v="1223"/>
    <n v="2"/>
    <n v="2"/>
    <n v="4"/>
    <x v="3"/>
  </r>
  <r>
    <n v="1171"/>
    <d v="2025-04-22T00:00:00"/>
    <n v="25"/>
    <s v="Male"/>
    <s v="West"/>
    <x v="3"/>
    <m/>
    <n v="1302.3"/>
    <n v="7"/>
    <n v="1"/>
    <x v="1224"/>
    <n v="4"/>
    <n v="5"/>
    <n v="4"/>
    <x v="3"/>
  </r>
  <r>
    <n v="3136"/>
    <d v="2025-04-22T00:00:00"/>
    <n v="51"/>
    <s v="Male"/>
    <s v="North"/>
    <x v="0"/>
    <m/>
    <n v="897.5"/>
    <n v="8"/>
    <n v="1"/>
    <x v="1225"/>
    <n v="3"/>
    <n v="3"/>
    <n v="4"/>
    <x v="3"/>
  </r>
  <r>
    <n v="4740"/>
    <d v="2025-04-22T00:00:00"/>
    <n v="51"/>
    <s v="Male"/>
    <s v="South"/>
    <x v="1"/>
    <s v="CAMP4"/>
    <n v="687.9"/>
    <n v="5"/>
    <n v="0"/>
    <x v="11"/>
    <n v="0"/>
    <n v="0"/>
    <m/>
    <x v="3"/>
  </r>
  <r>
    <n v="1281"/>
    <d v="2025-04-22T00:00:00"/>
    <n v="24"/>
    <s v="Male"/>
    <s v="North"/>
    <x v="0"/>
    <m/>
    <n v="577"/>
    <n v="8"/>
    <n v="0"/>
    <x v="11"/>
    <n v="0"/>
    <n v="0"/>
    <m/>
    <x v="3"/>
  </r>
  <r>
    <n v="492"/>
    <d v="2025-04-22T00:00:00"/>
    <n v="22"/>
    <s v="Male"/>
    <s v="South"/>
    <x v="0"/>
    <m/>
    <n v="390.8"/>
    <n v="6"/>
    <n v="0"/>
    <x v="11"/>
    <n v="0"/>
    <n v="0"/>
    <m/>
    <x v="3"/>
  </r>
  <r>
    <n v="1709"/>
    <d v="2025-04-22T00:00:00"/>
    <n v="24"/>
    <s v="Male"/>
    <s v="East"/>
    <x v="0"/>
    <m/>
    <n v="376.1"/>
    <n v="6"/>
    <n v="0"/>
    <x v="11"/>
    <n v="0"/>
    <n v="0"/>
    <m/>
    <x v="3"/>
  </r>
  <r>
    <n v="1923"/>
    <d v="2025-04-22T00:00:00"/>
    <n v="30"/>
    <s v="Female"/>
    <s v="South"/>
    <x v="1"/>
    <s v="CAMP1"/>
    <n v="309.8"/>
    <n v="8"/>
    <n v="0"/>
    <x v="11"/>
    <n v="0"/>
    <n v="0"/>
    <m/>
    <x v="3"/>
  </r>
  <r>
    <n v="4200"/>
    <d v="2025-04-22T00:00:00"/>
    <n v="43"/>
    <s v="Other"/>
    <s v="East"/>
    <x v="0"/>
    <m/>
    <n v="304.8"/>
    <n v="6"/>
    <n v="0"/>
    <x v="11"/>
    <n v="0"/>
    <n v="0"/>
    <m/>
    <x v="3"/>
  </r>
  <r>
    <n v="3426"/>
    <d v="2025-04-22T00:00:00"/>
    <n v="31"/>
    <s v="Female"/>
    <s v="East"/>
    <x v="3"/>
    <m/>
    <n v="298.10000000000002"/>
    <n v="6"/>
    <n v="0"/>
    <x v="11"/>
    <n v="0"/>
    <n v="0"/>
    <m/>
    <x v="3"/>
  </r>
  <r>
    <n v="1399"/>
    <d v="2025-04-22T00:00:00"/>
    <n v="20"/>
    <s v="Female"/>
    <s v="West"/>
    <x v="1"/>
    <s v="CAMP1"/>
    <n v="288.3"/>
    <n v="7"/>
    <n v="0"/>
    <x v="11"/>
    <n v="0"/>
    <n v="0"/>
    <m/>
    <x v="3"/>
  </r>
  <r>
    <n v="433"/>
    <d v="2025-04-22T00:00:00"/>
    <n v="30"/>
    <s v="Male"/>
    <s v="East"/>
    <x v="0"/>
    <m/>
    <n v="283.60000000000002"/>
    <n v="9"/>
    <n v="0"/>
    <x v="11"/>
    <n v="0"/>
    <n v="0"/>
    <m/>
    <x v="3"/>
  </r>
  <r>
    <n v="560"/>
    <d v="2025-04-22T00:00:00"/>
    <n v="18"/>
    <s v="Male"/>
    <s v="West"/>
    <x v="1"/>
    <s v="CAMP5"/>
    <n v="273.7"/>
    <n v="6"/>
    <n v="0"/>
    <x v="11"/>
    <n v="0"/>
    <n v="0"/>
    <m/>
    <x v="3"/>
  </r>
  <r>
    <n v="3331"/>
    <d v="2025-04-22T00:00:00"/>
    <n v="42"/>
    <s v="Male"/>
    <s v="East"/>
    <x v="0"/>
    <m/>
    <n v="246.7"/>
    <n v="4"/>
    <n v="0"/>
    <x v="11"/>
    <n v="0"/>
    <n v="0"/>
    <m/>
    <x v="3"/>
  </r>
  <r>
    <n v="1194"/>
    <d v="2025-04-22T00:00:00"/>
    <n v="25"/>
    <s v="Male"/>
    <s v="West"/>
    <x v="3"/>
    <m/>
    <n v="239.4"/>
    <n v="4"/>
    <n v="0"/>
    <x v="11"/>
    <n v="0"/>
    <n v="0"/>
    <m/>
    <x v="3"/>
  </r>
  <r>
    <n v="4044"/>
    <d v="2025-04-22T00:00:00"/>
    <n v="42"/>
    <s v="Male"/>
    <s v="East"/>
    <x v="1"/>
    <s v="CAMP1"/>
    <n v="237.9"/>
    <n v="3"/>
    <n v="0"/>
    <x v="11"/>
    <n v="0"/>
    <n v="0"/>
    <m/>
    <x v="3"/>
  </r>
  <r>
    <n v="3015"/>
    <d v="2025-04-22T00:00:00"/>
    <n v="36"/>
    <s v="Female"/>
    <s v="East"/>
    <x v="0"/>
    <m/>
    <n v="223.6"/>
    <n v="6"/>
    <n v="0"/>
    <x v="11"/>
    <n v="0"/>
    <n v="0"/>
    <m/>
    <x v="3"/>
  </r>
  <r>
    <n v="757"/>
    <d v="2025-04-22T00:00:00"/>
    <n v="26"/>
    <s v="Male"/>
    <s v="East"/>
    <x v="3"/>
    <m/>
    <n v="200.4"/>
    <n v="5"/>
    <n v="0"/>
    <x v="11"/>
    <n v="0"/>
    <n v="0"/>
    <m/>
    <x v="3"/>
  </r>
  <r>
    <n v="2308"/>
    <d v="2025-04-22T00:00:00"/>
    <n v="43"/>
    <s v="Other"/>
    <s v="East"/>
    <x v="1"/>
    <s v="CAMP7"/>
    <n v="194.4"/>
    <n v="3"/>
    <n v="0"/>
    <x v="11"/>
    <n v="0"/>
    <n v="0"/>
    <m/>
    <x v="3"/>
  </r>
  <r>
    <n v="1155"/>
    <d v="2025-04-22T00:00:00"/>
    <n v="29"/>
    <s v="Male"/>
    <s v="South"/>
    <x v="0"/>
    <m/>
    <n v="165.4"/>
    <n v="5"/>
    <n v="0"/>
    <x v="11"/>
    <n v="0"/>
    <n v="0"/>
    <m/>
    <x v="3"/>
  </r>
  <r>
    <n v="1497"/>
    <d v="2025-04-22T00:00:00"/>
    <n v="27"/>
    <s v="Male"/>
    <s v="West"/>
    <x v="1"/>
    <s v="CAMP1"/>
    <n v="160.4"/>
    <n v="10"/>
    <n v="0"/>
    <x v="11"/>
    <n v="0"/>
    <n v="0"/>
    <m/>
    <x v="3"/>
  </r>
  <r>
    <n v="2162"/>
    <d v="2025-04-22T00:00:00"/>
    <n v="38"/>
    <s v="Male"/>
    <s v="East"/>
    <x v="2"/>
    <m/>
    <n v="77.900000000000006"/>
    <n v="5"/>
    <n v="0"/>
    <x v="11"/>
    <n v="0"/>
    <n v="0"/>
    <m/>
    <x v="3"/>
  </r>
  <r>
    <n v="545"/>
    <d v="2025-04-22T00:00:00"/>
    <n v="27"/>
    <s v="Male"/>
    <s v="West"/>
    <x v="1"/>
    <s v="CAMP4"/>
    <n v="76.900000000000006"/>
    <n v="5"/>
    <n v="0"/>
    <x v="11"/>
    <n v="0"/>
    <n v="0"/>
    <m/>
    <x v="3"/>
  </r>
  <r>
    <n v="2736"/>
    <d v="2025-05-22T00:00:00"/>
    <n v="28"/>
    <s v="Female"/>
    <s v="North"/>
    <x v="0"/>
    <m/>
    <n v="779.2"/>
    <n v="10"/>
    <n v="1"/>
    <x v="1226"/>
    <n v="5"/>
    <n v="9"/>
    <n v="4"/>
    <x v="4"/>
  </r>
  <r>
    <n v="2847"/>
    <d v="2025-05-22T00:00:00"/>
    <n v="26"/>
    <s v="Male"/>
    <s v="North"/>
    <x v="2"/>
    <m/>
    <n v="154.9"/>
    <n v="7"/>
    <n v="1"/>
    <x v="1227"/>
    <n v="4"/>
    <n v="15"/>
    <n v="4"/>
    <x v="4"/>
  </r>
  <r>
    <n v="1772"/>
    <d v="2025-05-22T00:00:00"/>
    <n v="38"/>
    <s v="Male"/>
    <s v="South"/>
    <x v="2"/>
    <m/>
    <n v="497.3"/>
    <n v="7"/>
    <n v="1"/>
    <x v="1228"/>
    <n v="3"/>
    <n v="8"/>
    <n v="3"/>
    <x v="4"/>
  </r>
  <r>
    <n v="572"/>
    <d v="2025-05-22T00:00:00"/>
    <n v="20"/>
    <s v="Female"/>
    <s v="West"/>
    <x v="3"/>
    <m/>
    <n v="600.1"/>
    <n v="10"/>
    <n v="1"/>
    <x v="1229"/>
    <n v="2"/>
    <n v="5"/>
    <n v="5"/>
    <x v="4"/>
  </r>
  <r>
    <n v="2066"/>
    <d v="2025-05-22T00:00:00"/>
    <n v="22"/>
    <s v="Male"/>
    <s v="North"/>
    <x v="2"/>
    <m/>
    <n v="362"/>
    <n v="7"/>
    <n v="1"/>
    <x v="1079"/>
    <n v="2"/>
    <n v="9"/>
    <n v="3"/>
    <x v="4"/>
  </r>
  <r>
    <n v="1943"/>
    <d v="2025-05-22T00:00:00"/>
    <n v="23"/>
    <s v="Female"/>
    <s v="East"/>
    <x v="1"/>
    <s v="CAMP5"/>
    <n v="1142.9000000000001"/>
    <n v="12"/>
    <n v="1"/>
    <x v="1230"/>
    <n v="2"/>
    <n v="4"/>
    <n v="4"/>
    <x v="4"/>
  </r>
  <r>
    <n v="1775"/>
    <d v="2025-05-22T00:00:00"/>
    <n v="39"/>
    <s v="Male"/>
    <s v="North"/>
    <x v="0"/>
    <m/>
    <n v="403.4"/>
    <n v="5"/>
    <n v="1"/>
    <x v="1231"/>
    <n v="3"/>
    <n v="2"/>
    <n v="4"/>
    <x v="4"/>
  </r>
  <r>
    <n v="1900"/>
    <d v="2025-05-22T00:00:00"/>
    <n v="25"/>
    <s v="Other"/>
    <s v="East"/>
    <x v="0"/>
    <m/>
    <n v="387"/>
    <n v="3"/>
    <n v="1"/>
    <x v="1232"/>
    <n v="3"/>
    <n v="13"/>
    <n v="3"/>
    <x v="4"/>
  </r>
  <r>
    <n v="4707"/>
    <d v="2025-05-22T00:00:00"/>
    <n v="52"/>
    <s v="Male"/>
    <s v="South"/>
    <x v="0"/>
    <m/>
    <n v="253.8"/>
    <n v="7"/>
    <n v="1"/>
    <x v="1172"/>
    <n v="5"/>
    <n v="4"/>
    <n v="4"/>
    <x v="4"/>
  </r>
  <r>
    <n v="3149"/>
    <d v="2025-05-22T00:00:00"/>
    <n v="31"/>
    <s v="Female"/>
    <s v="North"/>
    <x v="0"/>
    <m/>
    <n v="323.60000000000002"/>
    <n v="3"/>
    <n v="1"/>
    <x v="1233"/>
    <n v="1"/>
    <n v="6"/>
    <n v="4"/>
    <x v="4"/>
  </r>
  <r>
    <n v="760"/>
    <d v="2025-05-22T00:00:00"/>
    <n v="18"/>
    <s v="Female"/>
    <s v="East"/>
    <x v="1"/>
    <s v="CAMP3"/>
    <n v="472.8"/>
    <n v="6"/>
    <n v="0"/>
    <x v="11"/>
    <n v="0"/>
    <n v="0"/>
    <m/>
    <x v="4"/>
  </r>
  <r>
    <n v="1081"/>
    <d v="2025-05-22T00:00:00"/>
    <n v="24"/>
    <s v="Male"/>
    <s v="North"/>
    <x v="1"/>
    <s v="CAMP2"/>
    <n v="428"/>
    <n v="7"/>
    <n v="0"/>
    <x v="11"/>
    <n v="0"/>
    <n v="0"/>
    <m/>
    <x v="4"/>
  </r>
  <r>
    <n v="4602"/>
    <d v="2025-05-22T00:00:00"/>
    <n v="50"/>
    <s v="Male"/>
    <s v="South"/>
    <x v="0"/>
    <m/>
    <n v="344.1"/>
    <n v="8"/>
    <n v="0"/>
    <x v="11"/>
    <n v="0"/>
    <n v="0"/>
    <m/>
    <x v="4"/>
  </r>
  <r>
    <n v="4310"/>
    <d v="2025-05-22T00:00:00"/>
    <n v="39"/>
    <s v="Male"/>
    <s v="East"/>
    <x v="1"/>
    <s v="CAMP1"/>
    <n v="333.1"/>
    <n v="6"/>
    <n v="0"/>
    <x v="11"/>
    <n v="0"/>
    <n v="0"/>
    <m/>
    <x v="4"/>
  </r>
  <r>
    <n v="2189"/>
    <d v="2025-05-22T00:00:00"/>
    <n v="37"/>
    <s v="Female"/>
    <s v="East"/>
    <x v="0"/>
    <m/>
    <n v="312.8"/>
    <n v="7"/>
    <n v="0"/>
    <x v="11"/>
    <n v="0"/>
    <n v="0"/>
    <m/>
    <x v="4"/>
  </r>
  <r>
    <n v="3415"/>
    <d v="2025-05-22T00:00:00"/>
    <n v="37"/>
    <s v="Male"/>
    <s v="East"/>
    <x v="1"/>
    <s v="CAMP5"/>
    <n v="281.8"/>
    <n v="4"/>
    <n v="0"/>
    <x v="11"/>
    <n v="0"/>
    <n v="0"/>
    <m/>
    <x v="4"/>
  </r>
  <r>
    <n v="1945"/>
    <d v="2025-05-22T00:00:00"/>
    <n v="29"/>
    <s v="Male"/>
    <s v="East"/>
    <x v="0"/>
    <m/>
    <n v="225.8"/>
    <n v="7"/>
    <n v="0"/>
    <x v="11"/>
    <n v="0"/>
    <n v="0"/>
    <m/>
    <x v="4"/>
  </r>
  <r>
    <n v="1960"/>
    <d v="2025-05-22T00:00:00"/>
    <n v="18"/>
    <s v="Male"/>
    <s v="South"/>
    <x v="0"/>
    <m/>
    <n v="171"/>
    <n v="9"/>
    <n v="0"/>
    <x v="11"/>
    <n v="0"/>
    <n v="0"/>
    <m/>
    <x v="4"/>
  </r>
  <r>
    <n v="3020"/>
    <d v="2025-05-22T00:00:00"/>
    <n v="37"/>
    <s v="Male"/>
    <s v="East"/>
    <x v="0"/>
    <m/>
    <n v="169.5"/>
    <n v="4"/>
    <n v="0"/>
    <x v="11"/>
    <n v="0"/>
    <n v="0"/>
    <m/>
    <x v="4"/>
  </r>
  <r>
    <n v="26"/>
    <d v="2025-05-22T00:00:00"/>
    <n v="18"/>
    <s v="Male"/>
    <s v="North"/>
    <x v="2"/>
    <m/>
    <n v="154.6"/>
    <n v="10"/>
    <n v="0"/>
    <x v="11"/>
    <n v="0"/>
    <n v="0"/>
    <m/>
    <x v="4"/>
  </r>
  <r>
    <n v="3966"/>
    <d v="2025-05-22T00:00:00"/>
    <n v="47"/>
    <s v="Female"/>
    <s v="South"/>
    <x v="3"/>
    <m/>
    <n v="82.1"/>
    <n v="8"/>
    <n v="0"/>
    <x v="11"/>
    <n v="0"/>
    <n v="0"/>
    <m/>
    <x v="4"/>
  </r>
  <r>
    <n v="2973"/>
    <d v="2025-05-22T00:00:00"/>
    <n v="44"/>
    <s v="Female"/>
    <s v="West"/>
    <x v="0"/>
    <m/>
    <n v="77.8"/>
    <n v="6"/>
    <n v="0"/>
    <x v="11"/>
    <n v="0"/>
    <n v="0"/>
    <m/>
    <x v="4"/>
  </r>
  <r>
    <n v="4351"/>
    <d v="2025-05-22T00:00:00"/>
    <n v="58"/>
    <s v="Male"/>
    <s v="East"/>
    <x v="1"/>
    <s v="CAMP3"/>
    <n v="14"/>
    <n v="8"/>
    <n v="0"/>
    <x v="11"/>
    <n v="0"/>
    <n v="0"/>
    <m/>
    <x v="4"/>
  </r>
  <r>
    <n v="4841"/>
    <d v="2025-06-22T00:00:00"/>
    <n v="62"/>
    <s v="Female"/>
    <s v="East"/>
    <x v="1"/>
    <s v="CAMP1"/>
    <n v="531.5"/>
    <n v="8"/>
    <n v="1"/>
    <x v="1234"/>
    <n v="3"/>
    <n v="8"/>
    <n v="5"/>
    <x v="5"/>
  </r>
  <r>
    <n v="1997"/>
    <d v="2025-06-22T00:00:00"/>
    <n v="45"/>
    <s v="Female"/>
    <s v="East"/>
    <x v="1"/>
    <s v="CAMP7"/>
    <n v="410.3"/>
    <n v="6"/>
    <n v="1"/>
    <x v="1235"/>
    <n v="3"/>
    <n v="10"/>
    <n v="5"/>
    <x v="5"/>
  </r>
  <r>
    <n v="2647"/>
    <d v="2025-06-22T00:00:00"/>
    <n v="28"/>
    <s v="Female"/>
    <s v="East"/>
    <x v="1"/>
    <s v="CAMP1"/>
    <n v="890.3"/>
    <n v="3"/>
    <n v="0"/>
    <x v="11"/>
    <n v="0"/>
    <n v="0"/>
    <m/>
    <x v="5"/>
  </r>
  <r>
    <n v="844"/>
    <d v="2025-06-22T00:00:00"/>
    <n v="23"/>
    <s v="Female"/>
    <s v="West"/>
    <x v="2"/>
    <m/>
    <n v="691.3"/>
    <n v="8"/>
    <n v="0"/>
    <x v="11"/>
    <n v="0"/>
    <n v="0"/>
    <m/>
    <x v="5"/>
  </r>
  <r>
    <n v="1757"/>
    <d v="2025-06-22T00:00:00"/>
    <n v="34"/>
    <s v="Female"/>
    <s v="North"/>
    <x v="3"/>
    <m/>
    <n v="631.1"/>
    <n v="8"/>
    <n v="0"/>
    <x v="11"/>
    <n v="0"/>
    <n v="0"/>
    <m/>
    <x v="5"/>
  </r>
  <r>
    <n v="4609"/>
    <d v="2025-06-22T00:00:00"/>
    <n v="37"/>
    <s v="Male"/>
    <s v="East"/>
    <x v="0"/>
    <m/>
    <n v="601"/>
    <n v="5"/>
    <n v="0"/>
    <x v="11"/>
    <n v="0"/>
    <n v="0"/>
    <m/>
    <x v="5"/>
  </r>
  <r>
    <n v="1624"/>
    <d v="2025-06-22T00:00:00"/>
    <n v="28"/>
    <s v="Male"/>
    <s v="South"/>
    <x v="3"/>
    <m/>
    <n v="404.2"/>
    <n v="5"/>
    <n v="0"/>
    <x v="11"/>
    <n v="0"/>
    <n v="0"/>
    <m/>
    <x v="5"/>
  </r>
  <r>
    <n v="4354"/>
    <d v="2025-06-22T00:00:00"/>
    <n v="60"/>
    <s v="Female"/>
    <s v="North"/>
    <x v="3"/>
    <m/>
    <n v="358.9"/>
    <n v="4"/>
    <n v="0"/>
    <x v="11"/>
    <n v="0"/>
    <n v="0"/>
    <m/>
    <x v="5"/>
  </r>
  <r>
    <n v="2804"/>
    <d v="2025-06-22T00:00:00"/>
    <n v="28"/>
    <s v="Female"/>
    <s v="East"/>
    <x v="1"/>
    <s v="CAMP1"/>
    <n v="348.3"/>
    <n v="8"/>
    <n v="0"/>
    <x v="11"/>
    <n v="0"/>
    <n v="0"/>
    <m/>
    <x v="5"/>
  </r>
  <r>
    <n v="1801"/>
    <d v="2025-06-22T00:00:00"/>
    <n v="35"/>
    <s v="Male"/>
    <s v="East"/>
    <x v="0"/>
    <m/>
    <n v="338.2"/>
    <n v="7"/>
    <n v="0"/>
    <x v="11"/>
    <n v="0"/>
    <n v="0"/>
    <m/>
    <x v="5"/>
  </r>
  <r>
    <n v="3477"/>
    <d v="2025-06-22T00:00:00"/>
    <n v="35"/>
    <s v="Male"/>
    <s v="West"/>
    <x v="1"/>
    <s v="CAMP2"/>
    <n v="333"/>
    <n v="6"/>
    <n v="0"/>
    <x v="11"/>
    <n v="0"/>
    <n v="0"/>
    <m/>
    <x v="5"/>
  </r>
  <r>
    <n v="4159"/>
    <d v="2025-06-22T00:00:00"/>
    <n v="26"/>
    <s v="Female"/>
    <s v="West"/>
    <x v="0"/>
    <m/>
    <n v="312.2"/>
    <n v="4"/>
    <n v="0"/>
    <x v="11"/>
    <n v="0"/>
    <n v="0"/>
    <m/>
    <x v="5"/>
  </r>
  <r>
    <n v="2504"/>
    <d v="2025-06-22T00:00:00"/>
    <n v="28"/>
    <s v="Male"/>
    <s v="East"/>
    <x v="3"/>
    <m/>
    <n v="311.3"/>
    <n v="6"/>
    <n v="0"/>
    <x v="11"/>
    <n v="0"/>
    <n v="0"/>
    <m/>
    <x v="5"/>
  </r>
  <r>
    <n v="4387"/>
    <d v="2025-06-22T00:00:00"/>
    <n v="51"/>
    <s v="Female"/>
    <s v="East"/>
    <x v="0"/>
    <m/>
    <n v="278.8"/>
    <n v="3"/>
    <n v="0"/>
    <x v="11"/>
    <n v="0"/>
    <n v="0"/>
    <m/>
    <x v="5"/>
  </r>
  <r>
    <n v="2734"/>
    <d v="2025-06-22T00:00:00"/>
    <n v="41"/>
    <s v="Female"/>
    <s v="West"/>
    <x v="2"/>
    <m/>
    <n v="259.60000000000002"/>
    <n v="5"/>
    <n v="0"/>
    <x v="11"/>
    <n v="0"/>
    <n v="0"/>
    <m/>
    <x v="5"/>
  </r>
  <r>
    <n v="2528"/>
    <d v="2025-06-22T00:00:00"/>
    <n v="30"/>
    <s v="Male"/>
    <s v="East"/>
    <x v="0"/>
    <m/>
    <n v="258.3"/>
    <n v="11"/>
    <n v="0"/>
    <x v="11"/>
    <n v="0"/>
    <n v="0"/>
    <m/>
    <x v="5"/>
  </r>
  <r>
    <n v="4969"/>
    <d v="2025-06-22T00:00:00"/>
    <n v="41"/>
    <s v="Male"/>
    <s v="West"/>
    <x v="3"/>
    <m/>
    <n v="236.3"/>
    <n v="3"/>
    <n v="0"/>
    <x v="11"/>
    <n v="0"/>
    <n v="0"/>
    <m/>
    <x v="5"/>
  </r>
  <r>
    <n v="2428"/>
    <d v="2025-06-22T00:00:00"/>
    <n v="32"/>
    <s v="Male"/>
    <s v="East"/>
    <x v="1"/>
    <s v="CAMP1"/>
    <n v="193.4"/>
    <n v="11"/>
    <n v="0"/>
    <x v="11"/>
    <n v="0"/>
    <n v="0"/>
    <m/>
    <x v="5"/>
  </r>
  <r>
    <n v="3238"/>
    <d v="2025-06-22T00:00:00"/>
    <n v="29"/>
    <s v="Male"/>
    <s v="South"/>
    <x v="1"/>
    <s v="CAMP5"/>
    <n v="171.8"/>
    <n v="2"/>
    <n v="0"/>
    <x v="11"/>
    <n v="0"/>
    <n v="0"/>
    <m/>
    <x v="5"/>
  </r>
  <r>
    <n v="3092"/>
    <d v="2025-06-22T00:00:00"/>
    <n v="27"/>
    <s v="Male"/>
    <s v="South"/>
    <x v="1"/>
    <s v="CAMP4"/>
    <n v="169.9"/>
    <n v="6"/>
    <n v="0"/>
    <x v="11"/>
    <n v="0"/>
    <n v="0"/>
    <m/>
    <x v="5"/>
  </r>
  <r>
    <n v="2787"/>
    <d v="2025-06-22T00:00:00"/>
    <n v="27"/>
    <s v="Female"/>
    <s v="West"/>
    <x v="0"/>
    <m/>
    <n v="167.1"/>
    <n v="4"/>
    <n v="0"/>
    <x v="11"/>
    <n v="0"/>
    <n v="0"/>
    <m/>
    <x v="5"/>
  </r>
  <r>
    <n v="1122"/>
    <d v="2025-06-22T00:00:00"/>
    <n v="18"/>
    <s v="Male"/>
    <s v="North"/>
    <x v="1"/>
    <s v="CAMP4"/>
    <n v="148"/>
    <n v="5"/>
    <n v="0"/>
    <x v="11"/>
    <n v="0"/>
    <n v="0"/>
    <m/>
    <x v="5"/>
  </r>
  <r>
    <n v="1907"/>
    <d v="2025-06-22T00:00:00"/>
    <n v="28"/>
    <s v="Male"/>
    <s v="East"/>
    <x v="0"/>
    <m/>
    <n v="140.5"/>
    <n v="7"/>
    <n v="0"/>
    <x v="11"/>
    <n v="0"/>
    <n v="0"/>
    <m/>
    <x v="5"/>
  </r>
  <r>
    <n v="4422"/>
    <d v="2025-06-22T00:00:00"/>
    <n v="46"/>
    <s v="Female"/>
    <s v="West"/>
    <x v="0"/>
    <m/>
    <n v="107.4"/>
    <n v="8"/>
    <n v="0"/>
    <x v="11"/>
    <n v="0"/>
    <n v="0"/>
    <m/>
    <x v="5"/>
  </r>
  <r>
    <n v="3883"/>
    <d v="2025-06-22T00:00:00"/>
    <n v="60"/>
    <s v="Female"/>
    <s v="West"/>
    <x v="1"/>
    <s v="CAMP5"/>
    <n v="79.5"/>
    <n v="5"/>
    <n v="0"/>
    <x v="11"/>
    <n v="0"/>
    <n v="0"/>
    <m/>
    <x v="5"/>
  </r>
  <r>
    <n v="2766"/>
    <d v="2025-06-22T00:00:00"/>
    <n v="35"/>
    <s v="Male"/>
    <s v="West"/>
    <x v="3"/>
    <m/>
    <n v="79.2"/>
    <n v="9"/>
    <n v="0"/>
    <x v="11"/>
    <n v="0"/>
    <n v="0"/>
    <m/>
    <x v="5"/>
  </r>
  <r>
    <n v="719"/>
    <d v="2025-01-23T00:00:00"/>
    <n v="32"/>
    <s v="Female"/>
    <s v="East"/>
    <x v="1"/>
    <s v="CAMP4"/>
    <n v="729.6"/>
    <n v="4"/>
    <n v="1"/>
    <x v="1236"/>
    <n v="2"/>
    <n v="6"/>
    <n v="4"/>
    <x v="0"/>
  </r>
  <r>
    <n v="4799"/>
    <d v="2025-01-23T00:00:00"/>
    <n v="42"/>
    <s v="Female"/>
    <s v="South"/>
    <x v="1"/>
    <s v="CAMP7"/>
    <n v="848.4"/>
    <n v="9"/>
    <n v="1"/>
    <x v="1237"/>
    <n v="4"/>
    <n v="6"/>
    <n v="5"/>
    <x v="0"/>
  </r>
  <r>
    <n v="2703"/>
    <d v="2025-01-23T00:00:00"/>
    <n v="27"/>
    <s v="Female"/>
    <s v="South"/>
    <x v="0"/>
    <m/>
    <n v="179.9"/>
    <n v="7"/>
    <n v="1"/>
    <x v="1238"/>
    <n v="3"/>
    <n v="12"/>
    <n v="4"/>
    <x v="0"/>
  </r>
  <r>
    <n v="295"/>
    <d v="2025-01-23T00:00:00"/>
    <n v="32"/>
    <s v="Male"/>
    <s v="North"/>
    <x v="0"/>
    <m/>
    <n v="449.2"/>
    <n v="9"/>
    <n v="1"/>
    <x v="1239"/>
    <n v="3"/>
    <n v="10"/>
    <n v="4"/>
    <x v="0"/>
  </r>
  <r>
    <n v="4313"/>
    <d v="2025-01-23T00:00:00"/>
    <n v="51"/>
    <s v="Male"/>
    <s v="North"/>
    <x v="1"/>
    <s v="CAMP1"/>
    <n v="41.6"/>
    <n v="6"/>
    <n v="1"/>
    <x v="1240"/>
    <n v="2"/>
    <n v="13"/>
    <n v="3"/>
    <x v="0"/>
  </r>
  <r>
    <n v="813"/>
    <d v="2025-01-23T00:00:00"/>
    <n v="22"/>
    <s v="Male"/>
    <s v="West"/>
    <x v="0"/>
    <m/>
    <n v="343"/>
    <n v="4"/>
    <n v="1"/>
    <x v="1241"/>
    <n v="4"/>
    <n v="12"/>
    <n v="5"/>
    <x v="0"/>
  </r>
  <r>
    <n v="1647"/>
    <d v="2025-01-23T00:00:00"/>
    <n v="31"/>
    <s v="Female"/>
    <s v="South"/>
    <x v="0"/>
    <m/>
    <n v="284.60000000000002"/>
    <n v="5"/>
    <n v="1"/>
    <x v="1242"/>
    <n v="2"/>
    <n v="9"/>
    <n v="3"/>
    <x v="0"/>
  </r>
  <r>
    <n v="656"/>
    <d v="2025-01-23T00:00:00"/>
    <n v="31"/>
    <s v="Female"/>
    <s v="West"/>
    <x v="0"/>
    <m/>
    <n v="637.6"/>
    <n v="2"/>
    <n v="1"/>
    <x v="1243"/>
    <n v="1"/>
    <n v="4"/>
    <n v="5"/>
    <x v="0"/>
  </r>
  <r>
    <n v="4067"/>
    <d v="2025-01-23T00:00:00"/>
    <n v="47"/>
    <s v="Male"/>
    <s v="West"/>
    <x v="1"/>
    <s v="CAMP4"/>
    <n v="147.1"/>
    <n v="5"/>
    <n v="1"/>
    <x v="1244"/>
    <n v="2"/>
    <n v="7"/>
    <n v="4"/>
    <x v="0"/>
  </r>
  <r>
    <n v="2367"/>
    <d v="2025-01-23T00:00:00"/>
    <n v="34"/>
    <s v="Male"/>
    <s v="South"/>
    <x v="0"/>
    <m/>
    <n v="427.7"/>
    <n v="9"/>
    <n v="0"/>
    <x v="11"/>
    <n v="0"/>
    <n v="0"/>
    <m/>
    <x v="0"/>
  </r>
  <r>
    <n v="4903"/>
    <d v="2025-01-23T00:00:00"/>
    <n v="54"/>
    <s v="Male"/>
    <s v="South"/>
    <x v="0"/>
    <m/>
    <n v="379.2"/>
    <n v="9"/>
    <n v="0"/>
    <x v="11"/>
    <n v="0"/>
    <n v="0"/>
    <m/>
    <x v="0"/>
  </r>
  <r>
    <n v="2687"/>
    <d v="2025-01-23T00:00:00"/>
    <n v="30"/>
    <s v="Female"/>
    <s v="North"/>
    <x v="0"/>
    <m/>
    <n v="340.9"/>
    <n v="8"/>
    <n v="0"/>
    <x v="11"/>
    <n v="0"/>
    <n v="0"/>
    <m/>
    <x v="0"/>
  </r>
  <r>
    <n v="4801"/>
    <d v="2025-01-23T00:00:00"/>
    <n v="51"/>
    <s v="Male"/>
    <s v="East"/>
    <x v="1"/>
    <s v="CAMP1"/>
    <n v="306.60000000000002"/>
    <n v="8"/>
    <n v="0"/>
    <x v="11"/>
    <n v="0"/>
    <n v="0"/>
    <m/>
    <x v="0"/>
  </r>
  <r>
    <n v="2479"/>
    <d v="2025-01-23T00:00:00"/>
    <n v="26"/>
    <s v="Female"/>
    <s v="East"/>
    <x v="0"/>
    <m/>
    <n v="265.7"/>
    <n v="10"/>
    <n v="0"/>
    <x v="11"/>
    <n v="0"/>
    <n v="0"/>
    <m/>
    <x v="0"/>
  </r>
  <r>
    <n v="4401"/>
    <d v="2025-01-23T00:00:00"/>
    <n v="76"/>
    <s v="Female"/>
    <s v="West"/>
    <x v="0"/>
    <m/>
    <n v="234.3"/>
    <n v="3"/>
    <n v="0"/>
    <x v="11"/>
    <n v="0"/>
    <n v="0"/>
    <m/>
    <x v="0"/>
  </r>
  <r>
    <n v="2581"/>
    <d v="2025-01-23T00:00:00"/>
    <n v="32"/>
    <s v="Female"/>
    <s v="West"/>
    <x v="0"/>
    <m/>
    <n v="230.7"/>
    <n v="4"/>
    <n v="0"/>
    <x v="11"/>
    <n v="0"/>
    <n v="0"/>
    <m/>
    <x v="0"/>
  </r>
  <r>
    <n v="3589"/>
    <d v="2025-01-23T00:00:00"/>
    <n v="45"/>
    <s v="Male"/>
    <s v="East"/>
    <x v="1"/>
    <s v="CAMP7"/>
    <n v="207.1"/>
    <n v="4"/>
    <n v="0"/>
    <x v="11"/>
    <n v="0"/>
    <n v="0"/>
    <m/>
    <x v="0"/>
  </r>
  <r>
    <n v="1254"/>
    <d v="2025-01-23T00:00:00"/>
    <n v="23"/>
    <s v="Male"/>
    <s v="East"/>
    <x v="0"/>
    <m/>
    <n v="196.8"/>
    <n v="8"/>
    <n v="0"/>
    <x v="11"/>
    <n v="0"/>
    <n v="0"/>
    <m/>
    <x v="0"/>
  </r>
  <r>
    <n v="2168"/>
    <d v="2025-01-23T00:00:00"/>
    <n v="29"/>
    <s v="Male"/>
    <s v="South"/>
    <x v="1"/>
    <s v="CAMP6"/>
    <n v="176.9"/>
    <n v="12"/>
    <n v="0"/>
    <x v="11"/>
    <n v="0"/>
    <n v="0"/>
    <m/>
    <x v="0"/>
  </r>
  <r>
    <n v="3682"/>
    <d v="2025-01-23T00:00:00"/>
    <n v="29"/>
    <s v="Male"/>
    <s v="East"/>
    <x v="2"/>
    <m/>
    <n v="138.6"/>
    <n v="9"/>
    <n v="0"/>
    <x v="11"/>
    <n v="0"/>
    <n v="0"/>
    <m/>
    <x v="0"/>
  </r>
  <r>
    <n v="4400"/>
    <d v="2025-01-23T00:00:00"/>
    <n v="50"/>
    <s v="Male"/>
    <s v="South"/>
    <x v="0"/>
    <m/>
    <n v="93.4"/>
    <n v="7"/>
    <n v="0"/>
    <x v="11"/>
    <n v="0"/>
    <n v="0"/>
    <m/>
    <x v="0"/>
  </r>
  <r>
    <n v="773"/>
    <d v="2025-01-23T00:00:00"/>
    <n v="25"/>
    <s v="Female"/>
    <s v="West"/>
    <x v="3"/>
    <m/>
    <n v="81.5"/>
    <n v="6"/>
    <n v="0"/>
    <x v="11"/>
    <n v="0"/>
    <n v="0"/>
    <m/>
    <x v="0"/>
  </r>
  <r>
    <n v="4203"/>
    <d v="2025-01-23T00:00:00"/>
    <n v="61"/>
    <s v="Female"/>
    <s v="West"/>
    <x v="3"/>
    <m/>
    <n v="79.7"/>
    <n v="6"/>
    <n v="0"/>
    <x v="11"/>
    <n v="0"/>
    <n v="0"/>
    <m/>
    <x v="0"/>
  </r>
  <r>
    <n v="4977"/>
    <d v="2025-01-23T00:00:00"/>
    <n v="33"/>
    <s v="Female"/>
    <s v="South"/>
    <x v="1"/>
    <s v="CAMP6"/>
    <n v="43.5"/>
    <n v="6"/>
    <n v="0"/>
    <x v="11"/>
    <n v="0"/>
    <n v="0"/>
    <m/>
    <x v="0"/>
  </r>
  <r>
    <n v="4279"/>
    <d v="2025-01-23T00:00:00"/>
    <n v="33"/>
    <s v="Male"/>
    <s v="West"/>
    <x v="0"/>
    <m/>
    <n v="13.2"/>
    <n v="5"/>
    <n v="0"/>
    <x v="11"/>
    <n v="0"/>
    <n v="0"/>
    <m/>
    <x v="0"/>
  </r>
  <r>
    <n v="4684"/>
    <d v="2025-02-23T00:00:00"/>
    <n v="52"/>
    <s v="Male"/>
    <s v="East"/>
    <x v="3"/>
    <m/>
    <n v="606.6"/>
    <n v="8"/>
    <n v="1"/>
    <x v="1245"/>
    <n v="2"/>
    <n v="4"/>
    <n v="3"/>
    <x v="1"/>
  </r>
  <r>
    <n v="1975"/>
    <d v="2025-02-23T00:00:00"/>
    <n v="41"/>
    <s v="Female"/>
    <s v="North"/>
    <x v="1"/>
    <s v="CAMP6"/>
    <n v="347.1"/>
    <n v="8"/>
    <n v="1"/>
    <x v="1246"/>
    <n v="2"/>
    <n v="15"/>
    <n v="5"/>
    <x v="1"/>
  </r>
  <r>
    <n v="1071"/>
    <d v="2025-02-23T00:00:00"/>
    <n v="25"/>
    <s v="Female"/>
    <s v="West"/>
    <x v="1"/>
    <s v="CAMP2"/>
    <n v="732.6"/>
    <n v="7"/>
    <n v="1"/>
    <x v="1247"/>
    <n v="2"/>
    <n v="7"/>
    <n v="4"/>
    <x v="1"/>
  </r>
  <r>
    <n v="2716"/>
    <d v="2025-02-23T00:00:00"/>
    <n v="47"/>
    <s v="Male"/>
    <s v="East"/>
    <x v="0"/>
    <m/>
    <n v="982.2"/>
    <n v="8"/>
    <n v="1"/>
    <x v="1248"/>
    <n v="3"/>
    <n v="10"/>
    <n v="4"/>
    <x v="1"/>
  </r>
  <r>
    <n v="3766"/>
    <d v="2025-02-23T00:00:00"/>
    <n v="50"/>
    <s v="Male"/>
    <s v="North"/>
    <x v="1"/>
    <s v="CAMP6"/>
    <n v="285"/>
    <n v="7"/>
    <n v="1"/>
    <x v="1249"/>
    <n v="3"/>
    <n v="6"/>
    <n v="5"/>
    <x v="1"/>
  </r>
  <r>
    <n v="3801"/>
    <d v="2025-02-23T00:00:00"/>
    <n v="44"/>
    <s v="Female"/>
    <s v="West"/>
    <x v="2"/>
    <m/>
    <n v="698.7"/>
    <n v="5"/>
    <n v="1"/>
    <x v="1250"/>
    <n v="2"/>
    <n v="1"/>
    <n v="3"/>
    <x v="1"/>
  </r>
  <r>
    <n v="2363"/>
    <d v="2025-02-23T00:00:00"/>
    <n v="19"/>
    <s v="Female"/>
    <s v="North"/>
    <x v="0"/>
    <m/>
    <n v="248.5"/>
    <n v="9"/>
    <n v="1"/>
    <x v="1251"/>
    <n v="3"/>
    <n v="8"/>
    <n v="4"/>
    <x v="1"/>
  </r>
  <r>
    <n v="2641"/>
    <d v="2025-02-23T00:00:00"/>
    <n v="33"/>
    <s v="Female"/>
    <s v="East"/>
    <x v="0"/>
    <m/>
    <n v="211.7"/>
    <n v="5"/>
    <n v="1"/>
    <x v="573"/>
    <n v="1"/>
    <n v="3"/>
    <n v="3"/>
    <x v="1"/>
  </r>
  <r>
    <n v="4795"/>
    <d v="2025-02-23T00:00:00"/>
    <n v="52"/>
    <s v="Female"/>
    <s v="South"/>
    <x v="0"/>
    <m/>
    <n v="1082.3"/>
    <n v="7"/>
    <n v="1"/>
    <x v="1252"/>
    <n v="1"/>
    <n v="7"/>
    <n v="4"/>
    <x v="1"/>
  </r>
  <r>
    <n v="4898"/>
    <d v="2025-02-23T00:00:00"/>
    <n v="56"/>
    <s v="Female"/>
    <s v="West"/>
    <x v="1"/>
    <s v="CAMP3"/>
    <n v="1042.8"/>
    <n v="4"/>
    <n v="0"/>
    <x v="11"/>
    <n v="0"/>
    <n v="0"/>
    <m/>
    <x v="1"/>
  </r>
  <r>
    <n v="2943"/>
    <d v="2025-02-23T00:00:00"/>
    <n v="36"/>
    <s v="Female"/>
    <s v="West"/>
    <x v="2"/>
    <m/>
    <n v="831.4"/>
    <n v="10"/>
    <n v="0"/>
    <x v="11"/>
    <n v="0"/>
    <n v="0"/>
    <m/>
    <x v="1"/>
  </r>
  <r>
    <n v="968"/>
    <d v="2025-02-23T00:00:00"/>
    <n v="21"/>
    <s v="Male"/>
    <s v="East"/>
    <x v="0"/>
    <m/>
    <n v="709.4"/>
    <n v="9"/>
    <n v="0"/>
    <x v="11"/>
    <n v="0"/>
    <n v="0"/>
    <m/>
    <x v="1"/>
  </r>
  <r>
    <n v="2229"/>
    <d v="2025-02-23T00:00:00"/>
    <n v="28"/>
    <s v="Male"/>
    <s v="West"/>
    <x v="3"/>
    <m/>
    <n v="670.6"/>
    <n v="4"/>
    <n v="0"/>
    <x v="11"/>
    <n v="0"/>
    <n v="0"/>
    <m/>
    <x v="1"/>
  </r>
  <r>
    <n v="2230"/>
    <d v="2025-02-23T00:00:00"/>
    <n v="36"/>
    <s v="Female"/>
    <s v="West"/>
    <x v="0"/>
    <m/>
    <n v="595.6"/>
    <n v="8"/>
    <n v="0"/>
    <x v="11"/>
    <n v="0"/>
    <n v="0"/>
    <m/>
    <x v="1"/>
  </r>
  <r>
    <n v="4105"/>
    <d v="2025-02-23T00:00:00"/>
    <n v="44"/>
    <s v="Female"/>
    <s v="East"/>
    <x v="0"/>
    <m/>
    <n v="531.1"/>
    <n v="5"/>
    <n v="0"/>
    <x v="11"/>
    <n v="0"/>
    <n v="0"/>
    <m/>
    <x v="1"/>
  </r>
  <r>
    <n v="4875"/>
    <d v="2025-02-23T00:00:00"/>
    <n v="47"/>
    <s v="Female"/>
    <s v="West"/>
    <x v="1"/>
    <s v="CAMP3"/>
    <n v="500.1"/>
    <n v="5"/>
    <n v="0"/>
    <x v="11"/>
    <n v="0"/>
    <n v="0"/>
    <m/>
    <x v="1"/>
  </r>
  <r>
    <n v="1879"/>
    <d v="2025-02-23T00:00:00"/>
    <n v="35"/>
    <s v="Male"/>
    <s v="West"/>
    <x v="1"/>
    <s v="CAMP4"/>
    <n v="371.2"/>
    <n v="6"/>
    <n v="0"/>
    <x v="11"/>
    <n v="0"/>
    <n v="0"/>
    <m/>
    <x v="1"/>
  </r>
  <r>
    <n v="2566"/>
    <d v="2025-02-23T00:00:00"/>
    <n v="39"/>
    <s v="Male"/>
    <s v="East"/>
    <x v="0"/>
    <m/>
    <n v="359.8"/>
    <n v="5"/>
    <n v="0"/>
    <x v="11"/>
    <n v="0"/>
    <n v="0"/>
    <m/>
    <x v="1"/>
  </r>
  <r>
    <n v="4129"/>
    <d v="2025-02-23T00:00:00"/>
    <n v="59"/>
    <s v="Female"/>
    <s v="West"/>
    <x v="3"/>
    <m/>
    <n v="337.7"/>
    <n v="7"/>
    <n v="0"/>
    <x v="11"/>
    <n v="0"/>
    <n v="0"/>
    <m/>
    <x v="1"/>
  </r>
  <r>
    <n v="2533"/>
    <d v="2025-02-23T00:00:00"/>
    <n v="20"/>
    <s v="Male"/>
    <s v="South"/>
    <x v="0"/>
    <m/>
    <n v="282.10000000000002"/>
    <n v="5"/>
    <n v="0"/>
    <x v="11"/>
    <n v="0"/>
    <n v="0"/>
    <m/>
    <x v="1"/>
  </r>
  <r>
    <n v="2523"/>
    <d v="2025-02-23T00:00:00"/>
    <n v="25"/>
    <s v="Male"/>
    <s v="East"/>
    <x v="0"/>
    <m/>
    <n v="281.3"/>
    <n v="9"/>
    <n v="0"/>
    <x v="11"/>
    <n v="0"/>
    <n v="0"/>
    <m/>
    <x v="1"/>
  </r>
  <r>
    <n v="1022"/>
    <d v="2025-02-23T00:00:00"/>
    <n v="27"/>
    <s v="Female"/>
    <s v="South"/>
    <x v="1"/>
    <s v="CAMP6"/>
    <n v="281"/>
    <n v="6"/>
    <n v="0"/>
    <x v="11"/>
    <n v="0"/>
    <n v="0"/>
    <m/>
    <x v="1"/>
  </r>
  <r>
    <n v="4397"/>
    <d v="2025-02-23T00:00:00"/>
    <n v="51"/>
    <s v="Male"/>
    <s v="West"/>
    <x v="0"/>
    <m/>
    <n v="250"/>
    <n v="7"/>
    <n v="0"/>
    <x v="11"/>
    <n v="0"/>
    <n v="0"/>
    <m/>
    <x v="1"/>
  </r>
  <r>
    <n v="4019"/>
    <d v="2025-02-23T00:00:00"/>
    <n v="44"/>
    <s v="Female"/>
    <s v="West"/>
    <x v="0"/>
    <m/>
    <n v="248"/>
    <n v="6"/>
    <n v="0"/>
    <x v="11"/>
    <n v="0"/>
    <n v="0"/>
    <m/>
    <x v="1"/>
  </r>
  <r>
    <n v="2558"/>
    <d v="2025-02-23T00:00:00"/>
    <n v="32"/>
    <s v="Female"/>
    <s v="North"/>
    <x v="1"/>
    <s v="CAMP4"/>
    <n v="245.1"/>
    <n v="7"/>
    <n v="0"/>
    <x v="11"/>
    <n v="0"/>
    <n v="0"/>
    <m/>
    <x v="1"/>
  </r>
  <r>
    <n v="1804"/>
    <d v="2025-02-23T00:00:00"/>
    <n v="38"/>
    <s v="Male"/>
    <s v="North"/>
    <x v="0"/>
    <m/>
    <n v="237.6"/>
    <n v="1"/>
    <n v="0"/>
    <x v="11"/>
    <n v="0"/>
    <n v="0"/>
    <m/>
    <x v="1"/>
  </r>
  <r>
    <n v="4296"/>
    <d v="2025-02-23T00:00:00"/>
    <n v="40"/>
    <s v="Female"/>
    <s v="West"/>
    <x v="0"/>
    <m/>
    <n v="228.4"/>
    <n v="10"/>
    <n v="0"/>
    <x v="11"/>
    <n v="0"/>
    <n v="0"/>
    <m/>
    <x v="1"/>
  </r>
  <r>
    <n v="2666"/>
    <d v="2025-02-23T00:00:00"/>
    <n v="37"/>
    <s v="Male"/>
    <s v="North"/>
    <x v="1"/>
    <s v="CAMP7"/>
    <n v="226.5"/>
    <n v="10"/>
    <n v="0"/>
    <x v="11"/>
    <n v="0"/>
    <n v="0"/>
    <m/>
    <x v="1"/>
  </r>
  <r>
    <n v="917"/>
    <d v="2025-02-23T00:00:00"/>
    <n v="26"/>
    <s v="Male"/>
    <s v="East"/>
    <x v="3"/>
    <m/>
    <n v="196.5"/>
    <n v="9"/>
    <n v="0"/>
    <x v="11"/>
    <n v="0"/>
    <n v="0"/>
    <m/>
    <x v="1"/>
  </r>
  <r>
    <n v="3061"/>
    <d v="2025-02-23T00:00:00"/>
    <n v="41"/>
    <s v="Male"/>
    <s v="West"/>
    <x v="1"/>
    <s v="CAMP7"/>
    <n v="189.5"/>
    <n v="6"/>
    <n v="0"/>
    <x v="11"/>
    <n v="0"/>
    <n v="0"/>
    <m/>
    <x v="1"/>
  </r>
  <r>
    <n v="1817"/>
    <d v="2025-02-23T00:00:00"/>
    <n v="31"/>
    <s v="Female"/>
    <s v="North"/>
    <x v="0"/>
    <m/>
    <n v="172.8"/>
    <n v="7"/>
    <n v="0"/>
    <x v="11"/>
    <n v="0"/>
    <n v="0"/>
    <m/>
    <x v="1"/>
  </r>
  <r>
    <n v="3534"/>
    <d v="2025-02-23T00:00:00"/>
    <n v="49"/>
    <s v="Female"/>
    <s v="East"/>
    <x v="0"/>
    <m/>
    <n v="113.6"/>
    <n v="6"/>
    <n v="0"/>
    <x v="11"/>
    <n v="0"/>
    <n v="0"/>
    <m/>
    <x v="1"/>
  </r>
  <r>
    <n v="251"/>
    <d v="2025-02-23T00:00:00"/>
    <n v="31"/>
    <s v="Male"/>
    <s v="West"/>
    <x v="1"/>
    <s v="CAMP2"/>
    <n v="58.8"/>
    <n v="8"/>
    <n v="0"/>
    <x v="11"/>
    <n v="0"/>
    <n v="0"/>
    <m/>
    <x v="1"/>
  </r>
  <r>
    <n v="4794"/>
    <d v="2025-02-23T00:00:00"/>
    <n v="44"/>
    <s v="Female"/>
    <s v="North"/>
    <x v="0"/>
    <m/>
    <n v="50.4"/>
    <n v="4"/>
    <n v="0"/>
    <x v="11"/>
    <n v="0"/>
    <n v="0"/>
    <m/>
    <x v="1"/>
  </r>
  <r>
    <n v="1390"/>
    <d v="2025-03-23T00:00:00"/>
    <n v="24"/>
    <s v="Male"/>
    <s v="East"/>
    <x v="1"/>
    <s v="CAMP4"/>
    <n v="627.6"/>
    <n v="6"/>
    <n v="1"/>
    <x v="1253"/>
    <n v="2"/>
    <n v="7"/>
    <n v="4"/>
    <x v="2"/>
  </r>
  <r>
    <n v="1761"/>
    <d v="2025-03-23T00:00:00"/>
    <n v="35"/>
    <s v="Female"/>
    <s v="East"/>
    <x v="2"/>
    <m/>
    <n v="451.3"/>
    <n v="6"/>
    <n v="1"/>
    <x v="1254"/>
    <n v="3"/>
    <n v="7"/>
    <n v="4"/>
    <x v="2"/>
  </r>
  <r>
    <n v="4244"/>
    <d v="2025-03-23T00:00:00"/>
    <n v="37"/>
    <s v="Male"/>
    <s v="East"/>
    <x v="1"/>
    <s v="CAMP3"/>
    <n v="390.5"/>
    <n v="5"/>
    <n v="1"/>
    <x v="1255"/>
    <n v="3"/>
    <n v="8"/>
    <n v="5"/>
    <x v="2"/>
  </r>
  <r>
    <n v="830"/>
    <d v="2025-03-23T00:00:00"/>
    <n v="20"/>
    <s v="Female"/>
    <s v="South"/>
    <x v="1"/>
    <s v="CAMP5"/>
    <n v="269.89999999999998"/>
    <n v="6"/>
    <n v="1"/>
    <x v="1256"/>
    <n v="2"/>
    <n v="12"/>
    <n v="4"/>
    <x v="2"/>
  </r>
  <r>
    <n v="3281"/>
    <d v="2025-03-23T00:00:00"/>
    <n v="33"/>
    <s v="Male"/>
    <s v="East"/>
    <x v="1"/>
    <s v="CAMP5"/>
    <n v="528.29999999999995"/>
    <n v="8"/>
    <n v="1"/>
    <x v="1257"/>
    <n v="4"/>
    <n v="3"/>
    <n v="5"/>
    <x v="2"/>
  </r>
  <r>
    <n v="862"/>
    <d v="2025-03-23T00:00:00"/>
    <n v="21"/>
    <s v="Male"/>
    <s v="South"/>
    <x v="1"/>
    <s v="CAMP3"/>
    <n v="161.19999999999999"/>
    <n v="2"/>
    <n v="1"/>
    <x v="1258"/>
    <n v="3"/>
    <n v="9"/>
    <n v="4"/>
    <x v="2"/>
  </r>
  <r>
    <n v="1570"/>
    <d v="2025-03-23T00:00:00"/>
    <n v="29"/>
    <s v="Female"/>
    <s v="East"/>
    <x v="0"/>
    <m/>
    <n v="363.8"/>
    <n v="8"/>
    <n v="1"/>
    <x v="1259"/>
    <n v="1"/>
    <n v="12"/>
    <n v="4"/>
    <x v="2"/>
  </r>
  <r>
    <n v="539"/>
    <d v="2025-03-23T00:00:00"/>
    <n v="19"/>
    <s v="Female"/>
    <s v="South"/>
    <x v="1"/>
    <s v="CAMP2"/>
    <n v="496.4"/>
    <n v="6"/>
    <n v="1"/>
    <x v="1260"/>
    <n v="5"/>
    <n v="5"/>
    <n v="5"/>
    <x v="2"/>
  </r>
  <r>
    <n v="1212"/>
    <d v="2025-03-23T00:00:00"/>
    <n v="22"/>
    <s v="Male"/>
    <s v="West"/>
    <x v="1"/>
    <s v="CAMP1"/>
    <n v="307.10000000000002"/>
    <n v="2"/>
    <n v="1"/>
    <x v="1261"/>
    <n v="4"/>
    <n v="14"/>
    <n v="3"/>
    <x v="2"/>
  </r>
  <r>
    <n v="3988"/>
    <d v="2025-03-23T00:00:00"/>
    <n v="35"/>
    <s v="Male"/>
    <s v="West"/>
    <x v="1"/>
    <s v="CAMP5"/>
    <n v="788.9"/>
    <n v="7"/>
    <n v="0"/>
    <x v="11"/>
    <n v="0"/>
    <n v="0"/>
    <m/>
    <x v="2"/>
  </r>
  <r>
    <n v="3150"/>
    <d v="2025-03-23T00:00:00"/>
    <n v="48"/>
    <s v="Other"/>
    <s v="West"/>
    <x v="3"/>
    <m/>
    <n v="545.5"/>
    <n v="10"/>
    <n v="0"/>
    <x v="11"/>
    <n v="0"/>
    <n v="0"/>
    <m/>
    <x v="2"/>
  </r>
  <r>
    <n v="4955"/>
    <d v="2025-03-23T00:00:00"/>
    <n v="55"/>
    <s v="Male"/>
    <s v="East"/>
    <x v="1"/>
    <s v="CAMP4"/>
    <n v="386.5"/>
    <n v="6"/>
    <n v="0"/>
    <x v="11"/>
    <n v="0"/>
    <n v="0"/>
    <m/>
    <x v="2"/>
  </r>
  <r>
    <n v="3587"/>
    <d v="2025-03-23T00:00:00"/>
    <n v="23"/>
    <s v="Male"/>
    <s v="West"/>
    <x v="1"/>
    <s v="CAMP4"/>
    <n v="306.8"/>
    <n v="4"/>
    <n v="0"/>
    <x v="11"/>
    <n v="0"/>
    <n v="0"/>
    <m/>
    <x v="2"/>
  </r>
  <r>
    <n v="2078"/>
    <d v="2025-03-23T00:00:00"/>
    <n v="43"/>
    <s v="Male"/>
    <s v="North"/>
    <x v="0"/>
    <m/>
    <n v="288.3"/>
    <n v="9"/>
    <n v="0"/>
    <x v="11"/>
    <n v="0"/>
    <n v="0"/>
    <m/>
    <x v="2"/>
  </r>
  <r>
    <n v="3467"/>
    <d v="2025-03-23T00:00:00"/>
    <n v="20"/>
    <s v="Male"/>
    <s v="West"/>
    <x v="0"/>
    <m/>
    <n v="283"/>
    <n v="10"/>
    <n v="0"/>
    <x v="11"/>
    <n v="0"/>
    <n v="0"/>
    <m/>
    <x v="2"/>
  </r>
  <r>
    <n v="1315"/>
    <d v="2025-03-23T00:00:00"/>
    <n v="23"/>
    <s v="Female"/>
    <s v="North"/>
    <x v="1"/>
    <s v="CAMP1"/>
    <n v="241.3"/>
    <n v="6"/>
    <n v="0"/>
    <x v="11"/>
    <n v="0"/>
    <n v="0"/>
    <m/>
    <x v="2"/>
  </r>
  <r>
    <n v="3091"/>
    <d v="2025-03-23T00:00:00"/>
    <n v="39"/>
    <s v="Female"/>
    <s v="East"/>
    <x v="3"/>
    <m/>
    <n v="236.8"/>
    <n v="5"/>
    <n v="0"/>
    <x v="11"/>
    <n v="0"/>
    <n v="0"/>
    <m/>
    <x v="2"/>
  </r>
  <r>
    <n v="1630"/>
    <d v="2025-03-23T00:00:00"/>
    <n v="22"/>
    <s v="Female"/>
    <s v="East"/>
    <x v="1"/>
    <s v="CAMP3"/>
    <n v="212.6"/>
    <n v="4"/>
    <n v="0"/>
    <x v="11"/>
    <n v="0"/>
    <n v="0"/>
    <m/>
    <x v="2"/>
  </r>
  <r>
    <n v="832"/>
    <d v="2025-03-23T00:00:00"/>
    <n v="25"/>
    <s v="Female"/>
    <s v="East"/>
    <x v="0"/>
    <m/>
    <n v="178.6"/>
    <n v="7"/>
    <n v="0"/>
    <x v="11"/>
    <n v="0"/>
    <n v="0"/>
    <m/>
    <x v="2"/>
  </r>
  <r>
    <n v="483"/>
    <d v="2025-03-23T00:00:00"/>
    <n v="20"/>
    <s v="Other"/>
    <s v="West"/>
    <x v="0"/>
    <m/>
    <n v="164.6"/>
    <n v="4"/>
    <n v="0"/>
    <x v="11"/>
    <n v="0"/>
    <n v="0"/>
    <m/>
    <x v="2"/>
  </r>
  <r>
    <n v="2159"/>
    <d v="2025-03-23T00:00:00"/>
    <n v="30"/>
    <s v="Female"/>
    <s v="South"/>
    <x v="0"/>
    <m/>
    <n v="157.69999999999999"/>
    <n v="12"/>
    <n v="0"/>
    <x v="11"/>
    <n v="0"/>
    <n v="0"/>
    <m/>
    <x v="2"/>
  </r>
  <r>
    <n v="3451"/>
    <d v="2025-03-23T00:00:00"/>
    <n v="25"/>
    <s v="Male"/>
    <s v="North"/>
    <x v="1"/>
    <s v="CAMP7"/>
    <n v="149.5"/>
    <n v="2"/>
    <n v="0"/>
    <x v="11"/>
    <n v="0"/>
    <n v="0"/>
    <m/>
    <x v="2"/>
  </r>
  <r>
    <n v="4258"/>
    <d v="2025-03-23T00:00:00"/>
    <n v="51"/>
    <s v="Female"/>
    <s v="East"/>
    <x v="2"/>
    <m/>
    <n v="138"/>
    <n v="6"/>
    <n v="0"/>
    <x v="11"/>
    <n v="0"/>
    <n v="0"/>
    <m/>
    <x v="2"/>
  </r>
  <r>
    <n v="1419"/>
    <d v="2025-03-23T00:00:00"/>
    <n v="25"/>
    <s v="Female"/>
    <s v="South"/>
    <x v="1"/>
    <s v="CAMP1"/>
    <n v="110.7"/>
    <n v="4"/>
    <n v="0"/>
    <x v="11"/>
    <n v="0"/>
    <n v="0"/>
    <m/>
    <x v="2"/>
  </r>
  <r>
    <n v="1431"/>
    <d v="2025-03-23T00:00:00"/>
    <n v="20"/>
    <s v="Male"/>
    <s v="East"/>
    <x v="3"/>
    <m/>
    <n v="100.2"/>
    <n v="8"/>
    <n v="0"/>
    <x v="11"/>
    <n v="0"/>
    <n v="0"/>
    <m/>
    <x v="2"/>
  </r>
  <r>
    <n v="809"/>
    <d v="2025-03-23T00:00:00"/>
    <n v="31"/>
    <s v="Female"/>
    <s v="East"/>
    <x v="3"/>
    <m/>
    <n v="85.7"/>
    <n v="5"/>
    <n v="0"/>
    <x v="11"/>
    <n v="0"/>
    <n v="0"/>
    <m/>
    <x v="2"/>
  </r>
  <r>
    <n v="1264"/>
    <d v="2025-03-23T00:00:00"/>
    <n v="29"/>
    <s v="Male"/>
    <s v="South"/>
    <x v="1"/>
    <s v="CAMP1"/>
    <n v="48.2"/>
    <n v="8"/>
    <n v="0"/>
    <x v="11"/>
    <n v="0"/>
    <n v="0"/>
    <m/>
    <x v="2"/>
  </r>
  <r>
    <n v="2410"/>
    <d v="2025-03-23T00:00:00"/>
    <n v="27"/>
    <s v="Male"/>
    <s v="West"/>
    <x v="0"/>
    <m/>
    <n v="47.9"/>
    <n v="5"/>
    <n v="0"/>
    <x v="11"/>
    <n v="0"/>
    <n v="0"/>
    <m/>
    <x v="2"/>
  </r>
  <r>
    <n v="2586"/>
    <d v="2025-04-23T00:00:00"/>
    <n v="35"/>
    <s v="Male"/>
    <s v="East"/>
    <x v="1"/>
    <s v="CAMP3"/>
    <n v="791.7"/>
    <n v="7"/>
    <n v="1"/>
    <x v="1262"/>
    <n v="1"/>
    <n v="11"/>
    <n v="4"/>
    <x v="3"/>
  </r>
  <r>
    <n v="484"/>
    <d v="2025-04-23T00:00:00"/>
    <n v="19"/>
    <s v="Male"/>
    <s v="West"/>
    <x v="0"/>
    <m/>
    <n v="423.9"/>
    <n v="5"/>
    <n v="1"/>
    <x v="1263"/>
    <n v="4"/>
    <n v="8"/>
    <n v="3"/>
    <x v="3"/>
  </r>
  <r>
    <n v="913"/>
    <d v="2025-04-23T00:00:00"/>
    <n v="31"/>
    <s v="Male"/>
    <s v="East"/>
    <x v="0"/>
    <m/>
    <n v="208"/>
    <n v="4"/>
    <n v="1"/>
    <x v="1264"/>
    <n v="4"/>
    <n v="2"/>
    <n v="4"/>
    <x v="3"/>
  </r>
  <r>
    <n v="1363"/>
    <d v="2025-04-23T00:00:00"/>
    <n v="24"/>
    <s v="Female"/>
    <s v="East"/>
    <x v="0"/>
    <m/>
    <n v="112.5"/>
    <n v="6"/>
    <n v="1"/>
    <x v="1265"/>
    <n v="3"/>
    <n v="7"/>
    <n v="4"/>
    <x v="3"/>
  </r>
  <r>
    <n v="1732"/>
    <d v="2025-04-23T00:00:00"/>
    <n v="39"/>
    <s v="Female"/>
    <s v="East"/>
    <x v="1"/>
    <s v="CAMP5"/>
    <n v="404.2"/>
    <n v="5"/>
    <n v="1"/>
    <x v="1266"/>
    <n v="4"/>
    <n v="10"/>
    <n v="4"/>
    <x v="3"/>
  </r>
  <r>
    <n v="750"/>
    <d v="2025-04-23T00:00:00"/>
    <n v="26"/>
    <s v="Male"/>
    <s v="East"/>
    <x v="3"/>
    <m/>
    <n v="368.7"/>
    <n v="6"/>
    <n v="1"/>
    <x v="1267"/>
    <n v="3"/>
    <n v="1"/>
    <n v="4"/>
    <x v="3"/>
  </r>
  <r>
    <n v="1246"/>
    <d v="2025-04-23T00:00:00"/>
    <n v="26"/>
    <s v="Male"/>
    <s v="West"/>
    <x v="0"/>
    <m/>
    <n v="1069.2"/>
    <n v="4"/>
    <n v="1"/>
    <x v="1268"/>
    <n v="2"/>
    <n v="5"/>
    <n v="4"/>
    <x v="3"/>
  </r>
  <r>
    <n v="3556"/>
    <d v="2025-04-23T00:00:00"/>
    <n v="52"/>
    <s v="Female"/>
    <s v="South"/>
    <x v="0"/>
    <m/>
    <n v="594.1"/>
    <n v="7"/>
    <n v="1"/>
    <x v="1269"/>
    <n v="2"/>
    <n v="4"/>
    <n v="4"/>
    <x v="3"/>
  </r>
  <r>
    <n v="3064"/>
    <d v="2025-04-23T00:00:00"/>
    <n v="41"/>
    <s v="Female"/>
    <s v="West"/>
    <x v="3"/>
    <m/>
    <n v="196.5"/>
    <n v="4"/>
    <n v="1"/>
    <x v="1270"/>
    <n v="5"/>
    <n v="12"/>
    <n v="4"/>
    <x v="3"/>
  </r>
  <r>
    <n v="3506"/>
    <d v="2025-04-23T00:00:00"/>
    <n v="31"/>
    <s v="Female"/>
    <s v="South"/>
    <x v="0"/>
    <m/>
    <n v="714.5"/>
    <n v="7"/>
    <n v="1"/>
    <x v="1271"/>
    <n v="2"/>
    <n v="7"/>
    <n v="4"/>
    <x v="3"/>
  </r>
  <r>
    <n v="1819"/>
    <d v="2025-04-23T00:00:00"/>
    <n v="35"/>
    <s v="Female"/>
    <s v="South"/>
    <x v="0"/>
    <m/>
    <n v="663"/>
    <n v="5"/>
    <n v="1"/>
    <x v="1272"/>
    <n v="3"/>
    <n v="6"/>
    <n v="5"/>
    <x v="3"/>
  </r>
  <r>
    <n v="1044"/>
    <d v="2025-04-23T00:00:00"/>
    <n v="33"/>
    <s v="Male"/>
    <s v="West"/>
    <x v="1"/>
    <s v="CAMP2"/>
    <n v="697.5"/>
    <n v="1"/>
    <n v="0"/>
    <x v="11"/>
    <n v="0"/>
    <n v="0"/>
    <m/>
    <x v="3"/>
  </r>
  <r>
    <n v="3630"/>
    <d v="2025-04-23T00:00:00"/>
    <n v="35"/>
    <s v="Male"/>
    <s v="West"/>
    <x v="2"/>
    <m/>
    <n v="544.9"/>
    <n v="6"/>
    <n v="0"/>
    <x v="11"/>
    <n v="0"/>
    <n v="0"/>
    <m/>
    <x v="3"/>
  </r>
  <r>
    <n v="1569"/>
    <d v="2025-04-23T00:00:00"/>
    <n v="26"/>
    <s v="Female"/>
    <s v="South"/>
    <x v="3"/>
    <m/>
    <n v="439"/>
    <n v="5"/>
    <n v="0"/>
    <x v="11"/>
    <n v="0"/>
    <n v="0"/>
    <m/>
    <x v="3"/>
  </r>
  <r>
    <n v="4855"/>
    <d v="2025-04-23T00:00:00"/>
    <n v="45"/>
    <s v="Female"/>
    <s v="North"/>
    <x v="1"/>
    <s v="CAMP1"/>
    <n v="430.5"/>
    <n v="8"/>
    <n v="0"/>
    <x v="11"/>
    <n v="0"/>
    <n v="0"/>
    <m/>
    <x v="3"/>
  </r>
  <r>
    <n v="3428"/>
    <d v="2025-04-23T00:00:00"/>
    <n v="31"/>
    <s v="Other"/>
    <s v="East"/>
    <x v="2"/>
    <m/>
    <n v="389.9"/>
    <n v="7"/>
    <n v="0"/>
    <x v="11"/>
    <n v="0"/>
    <n v="0"/>
    <m/>
    <x v="3"/>
  </r>
  <r>
    <n v="2458"/>
    <d v="2025-04-23T00:00:00"/>
    <n v="24"/>
    <s v="Female"/>
    <s v="West"/>
    <x v="1"/>
    <s v="CAMP3"/>
    <n v="389.2"/>
    <n v="7"/>
    <n v="0"/>
    <x v="11"/>
    <n v="0"/>
    <n v="0"/>
    <m/>
    <x v="3"/>
  </r>
  <r>
    <n v="4083"/>
    <d v="2025-04-23T00:00:00"/>
    <n v="19"/>
    <s v="Female"/>
    <s v="South"/>
    <x v="1"/>
    <s v="CAMP7"/>
    <n v="372.4"/>
    <n v="5"/>
    <n v="0"/>
    <x v="11"/>
    <n v="0"/>
    <n v="0"/>
    <m/>
    <x v="3"/>
  </r>
  <r>
    <n v="753"/>
    <d v="2025-04-23T00:00:00"/>
    <n v="24"/>
    <s v="Male"/>
    <s v="East"/>
    <x v="3"/>
    <m/>
    <n v="362.6"/>
    <n v="7"/>
    <n v="0"/>
    <x v="11"/>
    <n v="0"/>
    <n v="0"/>
    <m/>
    <x v="3"/>
  </r>
  <r>
    <n v="82"/>
    <d v="2025-04-23T00:00:00"/>
    <n v="29"/>
    <s v="Male"/>
    <s v="South"/>
    <x v="1"/>
    <s v="CAMP7"/>
    <n v="338.1"/>
    <n v="9"/>
    <n v="0"/>
    <x v="11"/>
    <n v="0"/>
    <n v="0"/>
    <m/>
    <x v="3"/>
  </r>
  <r>
    <n v="2798"/>
    <d v="2025-04-23T00:00:00"/>
    <n v="27"/>
    <s v="Male"/>
    <s v="West"/>
    <x v="1"/>
    <s v="CAMP6"/>
    <n v="260.8"/>
    <n v="8"/>
    <n v="0"/>
    <x v="11"/>
    <n v="0"/>
    <n v="0"/>
    <m/>
    <x v="3"/>
  </r>
  <r>
    <n v="4514"/>
    <d v="2025-04-23T00:00:00"/>
    <n v="57"/>
    <s v="Female"/>
    <s v="South"/>
    <x v="0"/>
    <m/>
    <n v="252.5"/>
    <n v="5"/>
    <n v="0"/>
    <x v="11"/>
    <n v="0"/>
    <n v="0"/>
    <m/>
    <x v="3"/>
  </r>
  <r>
    <n v="4947"/>
    <d v="2025-04-23T00:00:00"/>
    <n v="49"/>
    <s v="Female"/>
    <s v="West"/>
    <x v="0"/>
    <m/>
    <n v="245"/>
    <n v="9"/>
    <n v="0"/>
    <x v="11"/>
    <n v="0"/>
    <n v="0"/>
    <m/>
    <x v="3"/>
  </r>
  <r>
    <n v="4358"/>
    <d v="2025-04-23T00:00:00"/>
    <n v="60"/>
    <s v="Male"/>
    <s v="North"/>
    <x v="2"/>
    <m/>
    <n v="222.4"/>
    <n v="9"/>
    <n v="0"/>
    <x v="11"/>
    <n v="0"/>
    <n v="0"/>
    <m/>
    <x v="3"/>
  </r>
  <r>
    <n v="3004"/>
    <d v="2025-04-23T00:00:00"/>
    <n v="44"/>
    <s v="Female"/>
    <s v="West"/>
    <x v="3"/>
    <m/>
    <n v="214.4"/>
    <n v="5"/>
    <n v="0"/>
    <x v="11"/>
    <n v="0"/>
    <n v="0"/>
    <m/>
    <x v="3"/>
  </r>
  <r>
    <n v="350"/>
    <d v="2025-04-23T00:00:00"/>
    <n v="23"/>
    <s v="Male"/>
    <s v="South"/>
    <x v="1"/>
    <s v="CAMP2"/>
    <n v="194.9"/>
    <n v="5"/>
    <n v="0"/>
    <x v="11"/>
    <n v="0"/>
    <n v="0"/>
    <m/>
    <x v="3"/>
  </r>
  <r>
    <n v="2745"/>
    <d v="2025-04-23T00:00:00"/>
    <n v="31"/>
    <s v="Female"/>
    <s v="North"/>
    <x v="0"/>
    <m/>
    <n v="178.6"/>
    <n v="3"/>
    <n v="0"/>
    <x v="11"/>
    <n v="0"/>
    <n v="0"/>
    <m/>
    <x v="3"/>
  </r>
  <r>
    <n v="4861"/>
    <d v="2025-04-23T00:00:00"/>
    <n v="55"/>
    <s v="Male"/>
    <s v="North"/>
    <x v="1"/>
    <s v="CAMP6"/>
    <n v="173.2"/>
    <n v="3"/>
    <n v="0"/>
    <x v="11"/>
    <n v="0"/>
    <n v="0"/>
    <m/>
    <x v="3"/>
  </r>
  <r>
    <n v="2463"/>
    <d v="2025-04-23T00:00:00"/>
    <n v="39"/>
    <s v="Male"/>
    <s v="West"/>
    <x v="0"/>
    <m/>
    <n v="161.5"/>
    <n v="9"/>
    <n v="0"/>
    <x v="11"/>
    <n v="0"/>
    <n v="0"/>
    <m/>
    <x v="3"/>
  </r>
  <r>
    <n v="3422"/>
    <d v="2025-04-23T00:00:00"/>
    <n v="31"/>
    <s v="Male"/>
    <s v="South"/>
    <x v="3"/>
    <m/>
    <n v="153.4"/>
    <n v="10"/>
    <n v="0"/>
    <x v="11"/>
    <n v="0"/>
    <n v="0"/>
    <m/>
    <x v="3"/>
  </r>
  <r>
    <n v="1644"/>
    <d v="2025-04-23T00:00:00"/>
    <n v="21"/>
    <s v="Male"/>
    <s v="East"/>
    <x v="0"/>
    <m/>
    <n v="149.4"/>
    <n v="7"/>
    <n v="0"/>
    <x v="11"/>
    <n v="0"/>
    <n v="0"/>
    <m/>
    <x v="3"/>
  </r>
  <r>
    <n v="3714"/>
    <d v="2025-04-23T00:00:00"/>
    <n v="32"/>
    <s v="Female"/>
    <s v="West"/>
    <x v="1"/>
    <s v="CAMP5"/>
    <n v="139.69999999999999"/>
    <n v="7"/>
    <n v="0"/>
    <x v="11"/>
    <n v="0"/>
    <n v="0"/>
    <m/>
    <x v="3"/>
  </r>
  <r>
    <n v="299"/>
    <d v="2025-04-23T00:00:00"/>
    <n v="18"/>
    <s v="Female"/>
    <s v="East"/>
    <x v="0"/>
    <m/>
    <n v="130.1"/>
    <n v="7"/>
    <n v="0"/>
    <x v="11"/>
    <n v="0"/>
    <n v="0"/>
    <m/>
    <x v="3"/>
  </r>
  <r>
    <n v="1060"/>
    <d v="2025-04-23T00:00:00"/>
    <n v="23"/>
    <s v="Female"/>
    <s v="East"/>
    <x v="0"/>
    <m/>
    <n v="95.9"/>
    <n v="3"/>
    <n v="0"/>
    <x v="11"/>
    <n v="0"/>
    <n v="0"/>
    <m/>
    <x v="3"/>
  </r>
  <r>
    <n v="2515"/>
    <d v="2025-04-23T00:00:00"/>
    <n v="26"/>
    <s v="Female"/>
    <s v="North"/>
    <x v="0"/>
    <m/>
    <n v="94.6"/>
    <n v="8"/>
    <n v="0"/>
    <x v="11"/>
    <n v="0"/>
    <n v="0"/>
    <m/>
    <x v="3"/>
  </r>
  <r>
    <n v="3933"/>
    <d v="2025-04-23T00:00:00"/>
    <n v="78"/>
    <s v="Female"/>
    <s v="South"/>
    <x v="0"/>
    <m/>
    <n v="94.1"/>
    <n v="5"/>
    <n v="0"/>
    <x v="11"/>
    <n v="0"/>
    <n v="0"/>
    <m/>
    <x v="3"/>
  </r>
  <r>
    <n v="2480"/>
    <d v="2025-05-23T00:00:00"/>
    <n v="28"/>
    <s v="Male"/>
    <s v="West"/>
    <x v="0"/>
    <m/>
    <n v="654.70000000000005"/>
    <n v="9"/>
    <n v="1"/>
    <x v="1273"/>
    <n v="4"/>
    <n v="3"/>
    <n v="4"/>
    <x v="4"/>
  </r>
  <r>
    <n v="756"/>
    <d v="2025-05-23T00:00:00"/>
    <n v="31"/>
    <s v="Female"/>
    <s v="South"/>
    <x v="0"/>
    <m/>
    <n v="491.2"/>
    <n v="5"/>
    <n v="1"/>
    <x v="1274"/>
    <n v="4"/>
    <n v="8"/>
    <n v="4"/>
    <x v="4"/>
  </r>
  <r>
    <n v="2621"/>
    <d v="2025-05-23T00:00:00"/>
    <n v="33"/>
    <s v="Male"/>
    <s v="South"/>
    <x v="0"/>
    <m/>
    <n v="383.7"/>
    <n v="11"/>
    <n v="1"/>
    <x v="1275"/>
    <n v="5"/>
    <n v="10"/>
    <n v="5"/>
    <x v="4"/>
  </r>
  <r>
    <n v="3280"/>
    <d v="2025-05-23T00:00:00"/>
    <n v="18"/>
    <s v="Male"/>
    <s v="North"/>
    <x v="1"/>
    <s v="CAMP1"/>
    <n v="777.5"/>
    <n v="5"/>
    <n v="1"/>
    <x v="1276"/>
    <n v="3"/>
    <n v="11"/>
    <n v="4"/>
    <x v="4"/>
  </r>
  <r>
    <n v="4945"/>
    <d v="2025-05-23T00:00:00"/>
    <n v="53"/>
    <s v="Female"/>
    <s v="North"/>
    <x v="0"/>
    <m/>
    <n v="1378.8"/>
    <n v="10"/>
    <n v="1"/>
    <x v="1277"/>
    <n v="1"/>
    <n v="13"/>
    <n v="4"/>
    <x v="4"/>
  </r>
  <r>
    <n v="4125"/>
    <d v="2025-05-23T00:00:00"/>
    <n v="62"/>
    <s v="Male"/>
    <s v="North"/>
    <x v="3"/>
    <m/>
    <n v="141.30000000000001"/>
    <n v="7"/>
    <n v="1"/>
    <x v="1278"/>
    <n v="3"/>
    <n v="11"/>
    <n v="3"/>
    <x v="4"/>
  </r>
  <r>
    <n v="2096"/>
    <d v="2025-05-23T00:00:00"/>
    <n v="21"/>
    <s v="Female"/>
    <s v="West"/>
    <x v="2"/>
    <m/>
    <n v="1007"/>
    <n v="5"/>
    <n v="1"/>
    <x v="536"/>
    <n v="7"/>
    <n v="14"/>
    <n v="5"/>
    <x v="4"/>
  </r>
  <r>
    <n v="2105"/>
    <d v="2025-05-23T00:00:00"/>
    <n v="35"/>
    <s v="Male"/>
    <s v="East"/>
    <x v="0"/>
    <m/>
    <n v="1074.3"/>
    <n v="3"/>
    <n v="1"/>
    <x v="172"/>
    <n v="3"/>
    <n v="10"/>
    <n v="5"/>
    <x v="4"/>
  </r>
  <r>
    <n v="649"/>
    <d v="2025-05-23T00:00:00"/>
    <n v="22"/>
    <s v="Male"/>
    <s v="South"/>
    <x v="0"/>
    <m/>
    <n v="481.6"/>
    <n v="5"/>
    <n v="1"/>
    <x v="1279"/>
    <n v="2"/>
    <n v="1"/>
    <n v="3"/>
    <x v="4"/>
  </r>
  <r>
    <n v="2378"/>
    <d v="2025-05-23T00:00:00"/>
    <n v="34"/>
    <s v="Male"/>
    <s v="East"/>
    <x v="0"/>
    <m/>
    <n v="371.2"/>
    <n v="8"/>
    <n v="1"/>
    <x v="1280"/>
    <n v="2"/>
    <n v="4"/>
    <n v="5"/>
    <x v="4"/>
  </r>
  <r>
    <n v="1675"/>
    <d v="2025-05-23T00:00:00"/>
    <n v="24"/>
    <s v="Female"/>
    <s v="East"/>
    <x v="3"/>
    <m/>
    <n v="570.6"/>
    <n v="13"/>
    <n v="0"/>
    <x v="11"/>
    <n v="0"/>
    <n v="0"/>
    <m/>
    <x v="4"/>
  </r>
  <r>
    <n v="422"/>
    <d v="2025-05-23T00:00:00"/>
    <n v="31"/>
    <s v="Other"/>
    <s v="West"/>
    <x v="1"/>
    <s v="CAMP2"/>
    <n v="357.9"/>
    <n v="8"/>
    <n v="0"/>
    <x v="11"/>
    <n v="0"/>
    <n v="0"/>
    <m/>
    <x v="4"/>
  </r>
  <r>
    <n v="1925"/>
    <d v="2025-05-23T00:00:00"/>
    <n v="30"/>
    <s v="Male"/>
    <s v="North"/>
    <x v="0"/>
    <m/>
    <n v="296.39999999999998"/>
    <n v="5"/>
    <n v="0"/>
    <x v="11"/>
    <n v="0"/>
    <n v="0"/>
    <m/>
    <x v="4"/>
  </r>
  <r>
    <n v="3265"/>
    <d v="2025-05-23T00:00:00"/>
    <n v="37"/>
    <s v="Other"/>
    <s v="West"/>
    <x v="0"/>
    <m/>
    <n v="280.89999999999998"/>
    <n v="8"/>
    <n v="0"/>
    <x v="11"/>
    <n v="0"/>
    <n v="0"/>
    <m/>
    <x v="4"/>
  </r>
  <r>
    <n v="2478"/>
    <d v="2025-05-23T00:00:00"/>
    <n v="33"/>
    <s v="Female"/>
    <s v="West"/>
    <x v="1"/>
    <s v="CAMP2"/>
    <n v="195.3"/>
    <n v="6"/>
    <n v="0"/>
    <x v="11"/>
    <n v="0"/>
    <n v="0"/>
    <m/>
    <x v="4"/>
  </r>
  <r>
    <n v="4038"/>
    <d v="2025-05-23T00:00:00"/>
    <n v="33"/>
    <s v="Male"/>
    <s v="South"/>
    <x v="0"/>
    <m/>
    <n v="182.7"/>
    <n v="5"/>
    <n v="0"/>
    <x v="11"/>
    <n v="0"/>
    <n v="0"/>
    <m/>
    <x v="4"/>
  </r>
  <r>
    <n v="3629"/>
    <d v="2025-05-23T00:00:00"/>
    <n v="26"/>
    <s v="Female"/>
    <s v="East"/>
    <x v="0"/>
    <m/>
    <n v="169.8"/>
    <n v="7"/>
    <n v="0"/>
    <x v="11"/>
    <n v="0"/>
    <n v="0"/>
    <m/>
    <x v="4"/>
  </r>
  <r>
    <n v="3190"/>
    <d v="2025-05-23T00:00:00"/>
    <n v="34"/>
    <s v="Female"/>
    <s v="South"/>
    <x v="1"/>
    <s v="CAMP2"/>
    <n v="162"/>
    <n v="9"/>
    <n v="0"/>
    <x v="11"/>
    <n v="0"/>
    <n v="0"/>
    <m/>
    <x v="4"/>
  </r>
  <r>
    <n v="421"/>
    <d v="2025-05-23T00:00:00"/>
    <n v="26"/>
    <s v="Male"/>
    <s v="East"/>
    <x v="0"/>
    <m/>
    <n v="148.80000000000001"/>
    <n v="9"/>
    <n v="0"/>
    <x v="11"/>
    <n v="0"/>
    <n v="0"/>
    <m/>
    <x v="4"/>
  </r>
  <r>
    <n v="2784"/>
    <d v="2025-05-23T00:00:00"/>
    <n v="45"/>
    <s v="Male"/>
    <s v="South"/>
    <x v="1"/>
    <s v="CAMP1"/>
    <n v="141.80000000000001"/>
    <n v="8"/>
    <n v="0"/>
    <x v="11"/>
    <n v="0"/>
    <n v="0"/>
    <m/>
    <x v="4"/>
  </r>
  <r>
    <n v="1042"/>
    <d v="2025-05-23T00:00:00"/>
    <n v="24"/>
    <s v="Male"/>
    <s v="North"/>
    <x v="3"/>
    <m/>
    <n v="120.3"/>
    <n v="6"/>
    <n v="0"/>
    <x v="11"/>
    <n v="0"/>
    <n v="0"/>
    <m/>
    <x v="4"/>
  </r>
  <r>
    <n v="2801"/>
    <d v="2025-05-23T00:00:00"/>
    <n v="22"/>
    <s v="Female"/>
    <s v="North"/>
    <x v="1"/>
    <s v="CAMP3"/>
    <n v="102.7"/>
    <n v="5"/>
    <n v="0"/>
    <x v="11"/>
    <n v="0"/>
    <n v="0"/>
    <m/>
    <x v="4"/>
  </r>
  <r>
    <n v="1328"/>
    <d v="2025-05-23T00:00:00"/>
    <n v="29"/>
    <s v="Female"/>
    <s v="West"/>
    <x v="0"/>
    <m/>
    <n v="67.3"/>
    <n v="5"/>
    <n v="0"/>
    <x v="11"/>
    <n v="0"/>
    <n v="0"/>
    <m/>
    <x v="4"/>
  </r>
  <r>
    <n v="4678"/>
    <d v="2025-06-23T00:00:00"/>
    <n v="66"/>
    <s v="Female"/>
    <s v="South"/>
    <x v="3"/>
    <m/>
    <n v="566.70000000000005"/>
    <n v="6"/>
    <n v="1"/>
    <x v="1281"/>
    <n v="5"/>
    <n v="6"/>
    <n v="4"/>
    <x v="5"/>
  </r>
  <r>
    <n v="2435"/>
    <d v="2025-06-23T00:00:00"/>
    <n v="38"/>
    <s v="Male"/>
    <s v="North"/>
    <x v="0"/>
    <m/>
    <n v="273.39999999999998"/>
    <n v="9"/>
    <n v="1"/>
    <x v="1282"/>
    <n v="1"/>
    <n v="7"/>
    <n v="5"/>
    <x v="5"/>
  </r>
  <r>
    <n v="1181"/>
    <d v="2025-06-23T00:00:00"/>
    <n v="24"/>
    <s v="Male"/>
    <s v="West"/>
    <x v="0"/>
    <m/>
    <n v="352.5"/>
    <n v="11"/>
    <n v="1"/>
    <x v="1283"/>
    <n v="2"/>
    <n v="5"/>
    <n v="4"/>
    <x v="5"/>
  </r>
  <r>
    <n v="2739"/>
    <d v="2025-06-23T00:00:00"/>
    <n v="32"/>
    <s v="Female"/>
    <s v="East"/>
    <x v="1"/>
    <s v="CAMP1"/>
    <n v="438.4"/>
    <n v="8"/>
    <n v="1"/>
    <x v="1284"/>
    <n v="4"/>
    <n v="1"/>
    <n v="4"/>
    <x v="5"/>
  </r>
  <r>
    <n v="465"/>
    <d v="2025-06-23T00:00:00"/>
    <n v="24"/>
    <s v="Female"/>
    <s v="South"/>
    <x v="1"/>
    <s v="CAMP5"/>
    <n v="320.60000000000002"/>
    <n v="6"/>
    <n v="1"/>
    <x v="1285"/>
    <n v="6"/>
    <n v="13"/>
    <n v="4"/>
    <x v="5"/>
  </r>
  <r>
    <n v="3915"/>
    <d v="2025-06-23T00:00:00"/>
    <n v="38"/>
    <s v="Male"/>
    <s v="North"/>
    <x v="1"/>
    <s v="CAMP6"/>
    <n v="201.7"/>
    <n v="10"/>
    <n v="1"/>
    <x v="1286"/>
    <n v="4"/>
    <n v="5"/>
    <n v="5"/>
    <x v="5"/>
  </r>
  <r>
    <n v="1426"/>
    <d v="2025-06-23T00:00:00"/>
    <n v="23"/>
    <s v="Female"/>
    <s v="South"/>
    <x v="0"/>
    <m/>
    <n v="929.1"/>
    <n v="5"/>
    <n v="1"/>
    <x v="1287"/>
    <n v="1"/>
    <n v="11"/>
    <n v="5"/>
    <x v="5"/>
  </r>
  <r>
    <n v="35"/>
    <d v="2025-06-23T00:00:00"/>
    <n v="28"/>
    <s v="Male"/>
    <s v="North"/>
    <x v="1"/>
    <s v="CAMP1"/>
    <n v="594"/>
    <n v="6"/>
    <n v="1"/>
    <x v="1288"/>
    <n v="2"/>
    <n v="4"/>
    <n v="4"/>
    <x v="5"/>
  </r>
  <r>
    <n v="4907"/>
    <d v="2025-06-23T00:00:00"/>
    <n v="45"/>
    <s v="Male"/>
    <s v="North"/>
    <x v="1"/>
    <s v="CAMP5"/>
    <n v="915.1"/>
    <n v="7"/>
    <n v="1"/>
    <x v="228"/>
    <n v="4"/>
    <n v="14"/>
    <n v="4"/>
    <x v="5"/>
  </r>
  <r>
    <n v="4933"/>
    <d v="2025-06-23T00:00:00"/>
    <n v="55"/>
    <s v="Male"/>
    <s v="North"/>
    <x v="0"/>
    <m/>
    <n v="329.7"/>
    <n v="6"/>
    <n v="1"/>
    <x v="1289"/>
    <n v="9"/>
    <n v="2"/>
    <n v="5"/>
    <x v="5"/>
  </r>
  <r>
    <n v="3697"/>
    <d v="2025-06-23T00:00:00"/>
    <n v="46"/>
    <s v="Male"/>
    <s v="East"/>
    <x v="3"/>
    <m/>
    <n v="1200"/>
    <n v="6"/>
    <n v="0"/>
    <x v="11"/>
    <n v="0"/>
    <n v="0"/>
    <m/>
    <x v="5"/>
  </r>
  <r>
    <n v="4107"/>
    <d v="2025-06-23T00:00:00"/>
    <n v="37"/>
    <s v="Female"/>
    <s v="North"/>
    <x v="0"/>
    <m/>
    <n v="225"/>
    <n v="5"/>
    <n v="0"/>
    <x v="11"/>
    <n v="0"/>
    <n v="0"/>
    <m/>
    <x v="5"/>
  </r>
  <r>
    <n v="2472"/>
    <d v="2025-06-23T00:00:00"/>
    <n v="38"/>
    <s v="Female"/>
    <s v="West"/>
    <x v="1"/>
    <s v="CAMP1"/>
    <n v="467.6"/>
    <n v="7"/>
    <n v="0"/>
    <x v="11"/>
    <n v="0"/>
    <n v="0"/>
    <m/>
    <x v="5"/>
  </r>
  <r>
    <n v="2092"/>
    <d v="2025-06-23T00:00:00"/>
    <n v="28"/>
    <s v="Male"/>
    <s v="West"/>
    <x v="2"/>
    <m/>
    <n v="437.6"/>
    <n v="6"/>
    <n v="0"/>
    <x v="11"/>
    <n v="0"/>
    <n v="0"/>
    <m/>
    <x v="5"/>
  </r>
  <r>
    <n v="1699"/>
    <d v="2025-06-23T00:00:00"/>
    <n v="29"/>
    <s v="Female"/>
    <s v="South"/>
    <x v="1"/>
    <s v="CAMP6"/>
    <n v="380.4"/>
    <n v="2"/>
    <n v="0"/>
    <x v="11"/>
    <n v="0"/>
    <n v="0"/>
    <m/>
    <x v="5"/>
  </r>
  <r>
    <n v="367"/>
    <d v="2025-06-23T00:00:00"/>
    <n v="24"/>
    <s v="Male"/>
    <s v="East"/>
    <x v="1"/>
    <s v="CAMP5"/>
    <n v="361.8"/>
    <n v="5"/>
    <n v="0"/>
    <x v="11"/>
    <n v="0"/>
    <n v="0"/>
    <m/>
    <x v="5"/>
  </r>
  <r>
    <n v="141"/>
    <d v="2025-06-23T00:00:00"/>
    <n v="33"/>
    <s v="Female"/>
    <s v="North"/>
    <x v="3"/>
    <m/>
    <n v="355.3"/>
    <n v="11"/>
    <n v="0"/>
    <x v="11"/>
    <n v="0"/>
    <n v="0"/>
    <m/>
    <x v="5"/>
  </r>
  <r>
    <n v="3068"/>
    <d v="2025-06-23T00:00:00"/>
    <n v="47"/>
    <s v="Male"/>
    <s v="South"/>
    <x v="2"/>
    <m/>
    <n v="347.7"/>
    <n v="7"/>
    <n v="0"/>
    <x v="11"/>
    <n v="0"/>
    <n v="0"/>
    <m/>
    <x v="5"/>
  </r>
  <r>
    <n v="4204"/>
    <d v="2025-06-23T00:00:00"/>
    <n v="50"/>
    <s v="Male"/>
    <s v="North"/>
    <x v="0"/>
    <m/>
    <n v="332.2"/>
    <n v="5"/>
    <n v="0"/>
    <x v="11"/>
    <n v="0"/>
    <n v="0"/>
    <m/>
    <x v="5"/>
  </r>
  <r>
    <n v="1545"/>
    <d v="2025-06-23T00:00:00"/>
    <n v="26"/>
    <s v="Male"/>
    <s v="North"/>
    <x v="3"/>
    <m/>
    <n v="276.89999999999998"/>
    <n v="8"/>
    <n v="0"/>
    <x v="11"/>
    <n v="0"/>
    <n v="0"/>
    <m/>
    <x v="5"/>
  </r>
  <r>
    <n v="2637"/>
    <d v="2025-06-23T00:00:00"/>
    <n v="37"/>
    <s v="Female"/>
    <s v="South"/>
    <x v="1"/>
    <s v="CAMP1"/>
    <n v="259.3"/>
    <n v="3"/>
    <n v="0"/>
    <x v="11"/>
    <n v="0"/>
    <n v="0"/>
    <m/>
    <x v="5"/>
  </r>
  <r>
    <n v="2695"/>
    <d v="2025-06-23T00:00:00"/>
    <n v="38"/>
    <s v="Female"/>
    <s v="North"/>
    <x v="0"/>
    <m/>
    <n v="233.7"/>
    <n v="12"/>
    <n v="0"/>
    <x v="11"/>
    <n v="0"/>
    <n v="0"/>
    <m/>
    <x v="5"/>
  </r>
  <r>
    <n v="3710"/>
    <d v="2025-06-23T00:00:00"/>
    <n v="32"/>
    <s v="Female"/>
    <s v="North"/>
    <x v="1"/>
    <s v="CAMP5"/>
    <n v="230.8"/>
    <n v="4"/>
    <n v="0"/>
    <x v="11"/>
    <n v="0"/>
    <n v="0"/>
    <m/>
    <x v="5"/>
  </r>
  <r>
    <n v="248"/>
    <d v="2025-06-23T00:00:00"/>
    <n v="25"/>
    <s v="Female"/>
    <s v="South"/>
    <x v="3"/>
    <m/>
    <n v="212.3"/>
    <n v="6"/>
    <n v="0"/>
    <x v="11"/>
    <n v="0"/>
    <n v="0"/>
    <m/>
    <x v="5"/>
  </r>
  <r>
    <n v="2214"/>
    <d v="2025-06-23T00:00:00"/>
    <n v="39"/>
    <s v="Male"/>
    <s v="East"/>
    <x v="0"/>
    <m/>
    <n v="204"/>
    <n v="9"/>
    <n v="0"/>
    <x v="11"/>
    <n v="0"/>
    <n v="0"/>
    <m/>
    <x v="5"/>
  </r>
  <r>
    <n v="2416"/>
    <d v="2025-06-23T00:00:00"/>
    <n v="23"/>
    <s v="Female"/>
    <s v="South"/>
    <x v="3"/>
    <m/>
    <n v="203.3"/>
    <n v="5"/>
    <n v="0"/>
    <x v="11"/>
    <n v="0"/>
    <n v="0"/>
    <m/>
    <x v="5"/>
  </r>
  <r>
    <n v="1701"/>
    <d v="2025-06-23T00:00:00"/>
    <n v="18"/>
    <s v="Female"/>
    <s v="East"/>
    <x v="0"/>
    <m/>
    <n v="173.5"/>
    <n v="8"/>
    <n v="0"/>
    <x v="11"/>
    <n v="0"/>
    <n v="0"/>
    <m/>
    <x v="5"/>
  </r>
  <r>
    <n v="314"/>
    <d v="2025-06-23T00:00:00"/>
    <n v="30"/>
    <s v="Male"/>
    <s v="East"/>
    <x v="0"/>
    <m/>
    <n v="164"/>
    <n v="7"/>
    <n v="0"/>
    <x v="11"/>
    <n v="0"/>
    <n v="0"/>
    <m/>
    <x v="5"/>
  </r>
  <r>
    <n v="2626"/>
    <d v="2025-06-23T00:00:00"/>
    <n v="33"/>
    <s v="Male"/>
    <s v="East"/>
    <x v="3"/>
    <m/>
    <n v="147.1"/>
    <n v="8"/>
    <n v="0"/>
    <x v="11"/>
    <n v="0"/>
    <n v="0"/>
    <m/>
    <x v="5"/>
  </r>
  <r>
    <n v="470"/>
    <d v="2025-06-23T00:00:00"/>
    <n v="25"/>
    <s v="Male"/>
    <s v="North"/>
    <x v="0"/>
    <m/>
    <n v="140.9"/>
    <n v="6"/>
    <n v="0"/>
    <x v="11"/>
    <n v="0"/>
    <n v="0"/>
    <m/>
    <x v="5"/>
  </r>
  <r>
    <n v="2021"/>
    <d v="2025-06-23T00:00:00"/>
    <n v="35"/>
    <s v="Male"/>
    <s v="West"/>
    <x v="2"/>
    <m/>
    <n v="94"/>
    <n v="7"/>
    <n v="0"/>
    <x v="11"/>
    <n v="0"/>
    <n v="0"/>
    <m/>
    <x v="5"/>
  </r>
  <r>
    <n v="718"/>
    <d v="2025-06-23T00:00:00"/>
    <n v="21"/>
    <s v="Male"/>
    <s v="East"/>
    <x v="1"/>
    <s v="CAMP2"/>
    <n v="88.6"/>
    <n v="6"/>
    <n v="0"/>
    <x v="11"/>
    <n v="0"/>
    <n v="0"/>
    <m/>
    <x v="5"/>
  </r>
  <r>
    <n v="4586"/>
    <d v="2025-06-23T00:00:00"/>
    <n v="52"/>
    <s v="Male"/>
    <s v="East"/>
    <x v="3"/>
    <m/>
    <n v="84.8"/>
    <n v="4"/>
    <n v="0"/>
    <x v="11"/>
    <n v="0"/>
    <n v="0"/>
    <m/>
    <x v="5"/>
  </r>
  <r>
    <n v="249"/>
    <d v="2025-06-23T00:00:00"/>
    <n v="27"/>
    <s v="Male"/>
    <s v="South"/>
    <x v="0"/>
    <m/>
    <n v="64.900000000000006"/>
    <n v="7"/>
    <n v="0"/>
    <x v="11"/>
    <n v="0"/>
    <n v="0"/>
    <m/>
    <x v="5"/>
  </r>
  <r>
    <n v="2452"/>
    <d v="2025-06-23T00:00:00"/>
    <n v="30"/>
    <s v="Female"/>
    <s v="East"/>
    <x v="0"/>
    <m/>
    <n v="41.7"/>
    <n v="6"/>
    <n v="0"/>
    <x v="11"/>
    <n v="0"/>
    <n v="0"/>
    <m/>
    <x v="5"/>
  </r>
  <r>
    <n v="4644"/>
    <d v="2025-01-24T00:00:00"/>
    <n v="56"/>
    <s v="Male"/>
    <s v="South"/>
    <x v="2"/>
    <m/>
    <n v="1129.8"/>
    <n v="6"/>
    <n v="1"/>
    <x v="1290"/>
    <n v="2"/>
    <n v="12"/>
    <n v="5"/>
    <x v="0"/>
  </r>
  <r>
    <n v="4872"/>
    <d v="2025-01-24T00:00:00"/>
    <n v="57"/>
    <s v="Female"/>
    <s v="East"/>
    <x v="1"/>
    <s v="CAMP6"/>
    <n v="114.3"/>
    <n v="4"/>
    <n v="1"/>
    <x v="1291"/>
    <n v="3"/>
    <n v="2"/>
    <n v="4"/>
    <x v="0"/>
  </r>
  <r>
    <n v="4332"/>
    <d v="2025-01-24T00:00:00"/>
    <n v="46"/>
    <s v="Male"/>
    <s v="North"/>
    <x v="3"/>
    <m/>
    <n v="908.9"/>
    <n v="8"/>
    <n v="1"/>
    <x v="1292"/>
    <n v="2"/>
    <n v="15"/>
    <n v="4"/>
    <x v="0"/>
  </r>
  <r>
    <n v="1247"/>
    <d v="2025-01-24T00:00:00"/>
    <n v="20"/>
    <s v="Female"/>
    <s v="East"/>
    <x v="0"/>
    <m/>
    <n v="226.3"/>
    <n v="10"/>
    <n v="1"/>
    <x v="1293"/>
    <n v="4"/>
    <n v="13"/>
    <n v="4"/>
    <x v="0"/>
  </r>
  <r>
    <n v="4185"/>
    <d v="2025-01-24T00:00:00"/>
    <n v="59"/>
    <s v="Female"/>
    <s v="East"/>
    <x v="1"/>
    <s v="CAMP7"/>
    <n v="94.9"/>
    <n v="10"/>
    <n v="1"/>
    <x v="1294"/>
    <n v="5"/>
    <n v="14"/>
    <n v="5"/>
    <x v="0"/>
  </r>
  <r>
    <n v="1837"/>
    <d v="2025-01-24T00:00:00"/>
    <n v="35"/>
    <s v="Female"/>
    <s v="South"/>
    <x v="0"/>
    <m/>
    <n v="347.4"/>
    <n v="9"/>
    <n v="1"/>
    <x v="1295"/>
    <n v="1"/>
    <n v="12"/>
    <n v="4"/>
    <x v="0"/>
  </r>
  <r>
    <n v="2477"/>
    <d v="2025-01-24T00:00:00"/>
    <n v="39"/>
    <s v="Female"/>
    <s v="West"/>
    <x v="3"/>
    <m/>
    <n v="332.1"/>
    <n v="6"/>
    <n v="1"/>
    <x v="1296"/>
    <n v="2"/>
    <n v="5"/>
    <n v="4"/>
    <x v="0"/>
  </r>
  <r>
    <n v="1685"/>
    <d v="2025-01-24T00:00:00"/>
    <n v="27"/>
    <s v="Other"/>
    <s v="South"/>
    <x v="0"/>
    <m/>
    <n v="372"/>
    <n v="7"/>
    <n v="1"/>
    <x v="1148"/>
    <n v="3"/>
    <n v="13"/>
    <n v="4"/>
    <x v="0"/>
  </r>
  <r>
    <n v="1735"/>
    <d v="2025-01-24T00:00:00"/>
    <n v="26"/>
    <s v="Male"/>
    <s v="West"/>
    <x v="2"/>
    <m/>
    <n v="174.2"/>
    <n v="5"/>
    <n v="1"/>
    <x v="1297"/>
    <n v="2"/>
    <n v="1"/>
    <n v="3"/>
    <x v="0"/>
  </r>
  <r>
    <n v="2995"/>
    <d v="2025-01-24T00:00:00"/>
    <n v="47"/>
    <s v="Male"/>
    <s v="North"/>
    <x v="1"/>
    <s v="CAMP4"/>
    <n v="1007.7"/>
    <n v="6"/>
    <n v="1"/>
    <x v="1298"/>
    <n v="4"/>
    <n v="3"/>
    <n v="4"/>
    <x v="0"/>
  </r>
  <r>
    <n v="1292"/>
    <d v="2025-01-24T00:00:00"/>
    <n v="24"/>
    <s v="Male"/>
    <s v="South"/>
    <x v="0"/>
    <m/>
    <n v="312.10000000000002"/>
    <n v="5"/>
    <n v="1"/>
    <x v="1299"/>
    <n v="2"/>
    <n v="5"/>
    <n v="4"/>
    <x v="0"/>
  </r>
  <r>
    <n v="3412"/>
    <d v="2025-01-24T00:00:00"/>
    <n v="44"/>
    <s v="Female"/>
    <s v="South"/>
    <x v="0"/>
    <m/>
    <n v="1084.2"/>
    <n v="7"/>
    <n v="1"/>
    <x v="1300"/>
    <n v="2"/>
    <n v="14"/>
    <n v="3"/>
    <x v="0"/>
  </r>
  <r>
    <n v="2316"/>
    <d v="2025-01-24T00:00:00"/>
    <n v="24"/>
    <s v="Male"/>
    <s v="South"/>
    <x v="1"/>
    <s v="CAMP4"/>
    <n v="928.4"/>
    <n v="7"/>
    <n v="0"/>
    <x v="11"/>
    <n v="0"/>
    <n v="0"/>
    <m/>
    <x v="0"/>
  </r>
  <r>
    <n v="1162"/>
    <d v="2025-01-24T00:00:00"/>
    <n v="25"/>
    <s v="Male"/>
    <s v="North"/>
    <x v="0"/>
    <m/>
    <n v="607.1"/>
    <n v="4"/>
    <n v="0"/>
    <x v="11"/>
    <n v="0"/>
    <n v="0"/>
    <m/>
    <x v="0"/>
  </r>
  <r>
    <n v="589"/>
    <d v="2025-01-24T00:00:00"/>
    <n v="26"/>
    <s v="Female"/>
    <s v="West"/>
    <x v="1"/>
    <s v="CAMP2"/>
    <n v="545.79999999999995"/>
    <n v="6"/>
    <n v="0"/>
    <x v="11"/>
    <n v="0"/>
    <n v="0"/>
    <m/>
    <x v="0"/>
  </r>
  <r>
    <n v="1869"/>
    <d v="2025-01-24T00:00:00"/>
    <n v="44"/>
    <s v="Female"/>
    <s v="South"/>
    <x v="1"/>
    <s v="CAMP2"/>
    <n v="472.1"/>
    <n v="4"/>
    <n v="0"/>
    <x v="11"/>
    <n v="0"/>
    <n v="0"/>
    <m/>
    <x v="0"/>
  </r>
  <r>
    <n v="1388"/>
    <d v="2025-01-24T00:00:00"/>
    <n v="18"/>
    <s v="Male"/>
    <s v="North"/>
    <x v="0"/>
    <m/>
    <n v="418"/>
    <n v="5"/>
    <n v="0"/>
    <x v="11"/>
    <n v="0"/>
    <n v="0"/>
    <m/>
    <x v="0"/>
  </r>
  <r>
    <n v="2901"/>
    <d v="2025-01-24T00:00:00"/>
    <n v="50"/>
    <s v="Male"/>
    <s v="East"/>
    <x v="0"/>
    <m/>
    <n v="410.5"/>
    <n v="6"/>
    <n v="0"/>
    <x v="11"/>
    <n v="0"/>
    <n v="0"/>
    <m/>
    <x v="0"/>
  </r>
  <r>
    <n v="4467"/>
    <d v="2025-01-24T00:00:00"/>
    <n v="44"/>
    <s v="Male"/>
    <s v="North"/>
    <x v="3"/>
    <m/>
    <n v="385.7"/>
    <n v="4"/>
    <n v="0"/>
    <x v="11"/>
    <n v="0"/>
    <n v="0"/>
    <m/>
    <x v="0"/>
  </r>
  <r>
    <n v="1366"/>
    <d v="2025-01-24T00:00:00"/>
    <n v="21"/>
    <s v="Male"/>
    <s v="West"/>
    <x v="0"/>
    <m/>
    <n v="272.5"/>
    <n v="4"/>
    <n v="0"/>
    <x v="11"/>
    <n v="0"/>
    <n v="0"/>
    <m/>
    <x v="0"/>
  </r>
  <r>
    <n v="540"/>
    <d v="2025-01-24T00:00:00"/>
    <n v="26"/>
    <s v="Male"/>
    <s v="South"/>
    <x v="1"/>
    <s v="CAMP1"/>
    <n v="219.9"/>
    <n v="5"/>
    <n v="0"/>
    <x v="11"/>
    <n v="0"/>
    <n v="0"/>
    <m/>
    <x v="0"/>
  </r>
  <r>
    <n v="4187"/>
    <d v="2025-01-24T00:00:00"/>
    <n v="48"/>
    <s v="Male"/>
    <s v="North"/>
    <x v="0"/>
    <m/>
    <n v="217.1"/>
    <n v="4"/>
    <n v="0"/>
    <x v="11"/>
    <n v="0"/>
    <n v="0"/>
    <m/>
    <x v="0"/>
  </r>
  <r>
    <n v="4087"/>
    <d v="2025-01-24T00:00:00"/>
    <n v="34"/>
    <s v="Male"/>
    <s v="East"/>
    <x v="0"/>
    <m/>
    <n v="209.3"/>
    <n v="5"/>
    <n v="0"/>
    <x v="11"/>
    <n v="0"/>
    <n v="0"/>
    <m/>
    <x v="0"/>
  </r>
  <r>
    <n v="3536"/>
    <d v="2025-01-24T00:00:00"/>
    <n v="37"/>
    <s v="Female"/>
    <s v="West"/>
    <x v="0"/>
    <m/>
    <n v="148.30000000000001"/>
    <n v="8"/>
    <n v="0"/>
    <x v="11"/>
    <n v="0"/>
    <n v="0"/>
    <m/>
    <x v="0"/>
  </r>
  <r>
    <n v="4588"/>
    <d v="2025-01-24T00:00:00"/>
    <n v="46"/>
    <s v="Male"/>
    <s v="North"/>
    <x v="0"/>
    <m/>
    <n v="144.4"/>
    <n v="9"/>
    <n v="0"/>
    <x v="11"/>
    <n v="0"/>
    <n v="0"/>
    <m/>
    <x v="0"/>
  </r>
  <r>
    <n v="1120"/>
    <d v="2025-01-24T00:00:00"/>
    <n v="30"/>
    <s v="Female"/>
    <s v="East"/>
    <x v="1"/>
    <s v="CAMP3"/>
    <n v="124.5"/>
    <n v="8"/>
    <n v="0"/>
    <x v="11"/>
    <n v="0"/>
    <n v="0"/>
    <m/>
    <x v="0"/>
  </r>
  <r>
    <n v="4498"/>
    <d v="2025-01-24T00:00:00"/>
    <n v="55"/>
    <s v="Male"/>
    <s v="North"/>
    <x v="1"/>
    <s v="CAMP7"/>
    <n v="122.4"/>
    <n v="2"/>
    <n v="0"/>
    <x v="11"/>
    <n v="0"/>
    <n v="0"/>
    <m/>
    <x v="0"/>
  </r>
  <r>
    <n v="1200"/>
    <d v="2025-01-24T00:00:00"/>
    <n v="28"/>
    <s v="Female"/>
    <s v="East"/>
    <x v="0"/>
    <m/>
    <n v="121.7"/>
    <n v="5"/>
    <n v="0"/>
    <x v="11"/>
    <n v="0"/>
    <n v="0"/>
    <m/>
    <x v="0"/>
  </r>
  <r>
    <n v="1593"/>
    <d v="2025-01-24T00:00:00"/>
    <n v="24"/>
    <s v="Female"/>
    <s v="North"/>
    <x v="1"/>
    <s v="CAMP3"/>
    <n v="62.8"/>
    <n v="11"/>
    <n v="0"/>
    <x v="11"/>
    <n v="0"/>
    <n v="0"/>
    <m/>
    <x v="0"/>
  </r>
  <r>
    <n v="588"/>
    <d v="2025-01-24T00:00:00"/>
    <n v="22"/>
    <s v="Male"/>
    <s v="North"/>
    <x v="3"/>
    <m/>
    <n v="51.3"/>
    <n v="4"/>
    <n v="0"/>
    <x v="11"/>
    <n v="0"/>
    <n v="0"/>
    <m/>
    <x v="0"/>
  </r>
  <r>
    <n v="1652"/>
    <d v="2025-02-24T00:00:00"/>
    <n v="27"/>
    <s v="Male"/>
    <s v="East"/>
    <x v="1"/>
    <s v="CAMP5"/>
    <n v="85.2"/>
    <n v="5"/>
    <n v="1"/>
    <x v="1301"/>
    <n v="6"/>
    <n v="8"/>
    <n v="4"/>
    <x v="1"/>
  </r>
  <r>
    <n v="742"/>
    <d v="2025-02-24T00:00:00"/>
    <n v="22"/>
    <s v="Female"/>
    <s v="North"/>
    <x v="1"/>
    <s v="CAMP2"/>
    <n v="853.4"/>
    <n v="6"/>
    <n v="1"/>
    <x v="1302"/>
    <n v="3"/>
    <n v="14"/>
    <n v="4"/>
    <x v="1"/>
  </r>
  <r>
    <n v="3549"/>
    <d v="2025-02-24T00:00:00"/>
    <n v="33"/>
    <s v="Male"/>
    <s v="East"/>
    <x v="1"/>
    <s v="CAMP4"/>
    <n v="564.1"/>
    <n v="6"/>
    <n v="1"/>
    <x v="1303"/>
    <n v="4"/>
    <n v="10"/>
    <n v="4"/>
    <x v="1"/>
  </r>
  <r>
    <n v="37"/>
    <d v="2025-02-24T00:00:00"/>
    <n v="28"/>
    <s v="Female"/>
    <s v="South"/>
    <x v="0"/>
    <m/>
    <n v="894.8"/>
    <n v="6"/>
    <n v="1"/>
    <x v="1304"/>
    <n v="3"/>
    <n v="2"/>
    <n v="5"/>
    <x v="1"/>
  </r>
  <r>
    <n v="4619"/>
    <d v="2025-02-24T00:00:00"/>
    <n v="46"/>
    <s v="Male"/>
    <s v="West"/>
    <x v="0"/>
    <m/>
    <n v="810.9"/>
    <n v="6"/>
    <n v="1"/>
    <x v="1305"/>
    <n v="1"/>
    <n v="7"/>
    <n v="4"/>
    <x v="1"/>
  </r>
  <r>
    <n v="1658"/>
    <d v="2025-02-24T00:00:00"/>
    <n v="27"/>
    <s v="Female"/>
    <s v="East"/>
    <x v="3"/>
    <m/>
    <n v="263.39999999999998"/>
    <n v="10"/>
    <n v="1"/>
    <x v="1306"/>
    <n v="3"/>
    <n v="6"/>
    <n v="4"/>
    <x v="1"/>
  </r>
  <r>
    <n v="3836"/>
    <d v="2025-02-24T00:00:00"/>
    <n v="40"/>
    <s v="Female"/>
    <s v="East"/>
    <x v="0"/>
    <m/>
    <n v="271.10000000000002"/>
    <n v="9"/>
    <n v="1"/>
    <x v="1307"/>
    <n v="2"/>
    <n v="11"/>
    <n v="5"/>
    <x v="1"/>
  </r>
  <r>
    <n v="1676"/>
    <d v="2025-02-24T00:00:00"/>
    <n v="23"/>
    <s v="Female"/>
    <s v="East"/>
    <x v="3"/>
    <m/>
    <n v="235"/>
    <n v="5"/>
    <n v="0"/>
    <x v="11"/>
    <n v="0"/>
    <n v="0"/>
    <m/>
    <x v="1"/>
  </r>
  <r>
    <n v="144"/>
    <d v="2025-02-24T00:00:00"/>
    <n v="24"/>
    <s v="Male"/>
    <s v="North"/>
    <x v="2"/>
    <m/>
    <n v="552.6"/>
    <n v="4"/>
    <n v="0"/>
    <x v="11"/>
    <n v="0"/>
    <n v="0"/>
    <m/>
    <x v="1"/>
  </r>
  <r>
    <n v="1189"/>
    <d v="2025-02-24T00:00:00"/>
    <n v="27"/>
    <s v="Male"/>
    <s v="North"/>
    <x v="0"/>
    <m/>
    <n v="394.6"/>
    <n v="8"/>
    <n v="0"/>
    <x v="11"/>
    <n v="0"/>
    <n v="0"/>
    <m/>
    <x v="1"/>
  </r>
  <r>
    <n v="2910"/>
    <d v="2025-02-24T00:00:00"/>
    <n v="29"/>
    <s v="Female"/>
    <s v="North"/>
    <x v="0"/>
    <m/>
    <n v="363.4"/>
    <n v="5"/>
    <n v="0"/>
    <x v="11"/>
    <n v="0"/>
    <n v="0"/>
    <m/>
    <x v="1"/>
  </r>
  <r>
    <n v="2184"/>
    <d v="2025-02-24T00:00:00"/>
    <n v="29"/>
    <s v="Female"/>
    <s v="East"/>
    <x v="0"/>
    <m/>
    <n v="360.3"/>
    <n v="6"/>
    <n v="0"/>
    <x v="11"/>
    <n v="0"/>
    <n v="0"/>
    <m/>
    <x v="1"/>
  </r>
  <r>
    <n v="2181"/>
    <d v="2025-02-24T00:00:00"/>
    <n v="29"/>
    <s v="Male"/>
    <s v="East"/>
    <x v="1"/>
    <s v="CAMP4"/>
    <n v="335.4"/>
    <n v="4"/>
    <n v="0"/>
    <x v="11"/>
    <n v="0"/>
    <n v="0"/>
    <m/>
    <x v="1"/>
  </r>
  <r>
    <n v="2909"/>
    <d v="2025-02-24T00:00:00"/>
    <n v="26"/>
    <s v="Male"/>
    <s v="South"/>
    <x v="0"/>
    <m/>
    <n v="329.5"/>
    <n v="12"/>
    <n v="0"/>
    <x v="11"/>
    <n v="0"/>
    <n v="0"/>
    <m/>
    <x v="1"/>
  </r>
  <r>
    <n v="2216"/>
    <d v="2025-02-24T00:00:00"/>
    <n v="28"/>
    <s v="Female"/>
    <s v="West"/>
    <x v="2"/>
    <m/>
    <n v="302.5"/>
    <n v="9"/>
    <n v="0"/>
    <x v="11"/>
    <n v="0"/>
    <n v="0"/>
    <m/>
    <x v="1"/>
  </r>
  <r>
    <n v="3163"/>
    <d v="2025-02-24T00:00:00"/>
    <n v="40"/>
    <s v="Male"/>
    <s v="North"/>
    <x v="3"/>
    <m/>
    <n v="285.60000000000002"/>
    <n v="7"/>
    <n v="0"/>
    <x v="11"/>
    <n v="0"/>
    <n v="0"/>
    <m/>
    <x v="1"/>
  </r>
  <r>
    <n v="2227"/>
    <d v="2025-02-24T00:00:00"/>
    <n v="34"/>
    <s v="Female"/>
    <s v="West"/>
    <x v="2"/>
    <m/>
    <n v="195"/>
    <n v="6"/>
    <n v="0"/>
    <x v="11"/>
    <n v="0"/>
    <n v="0"/>
    <m/>
    <x v="1"/>
  </r>
  <r>
    <n v="1723"/>
    <d v="2025-02-24T00:00:00"/>
    <n v="23"/>
    <s v="Male"/>
    <s v="West"/>
    <x v="1"/>
    <s v="CAMP4"/>
    <n v="188.7"/>
    <n v="6"/>
    <n v="0"/>
    <x v="11"/>
    <n v="0"/>
    <n v="0"/>
    <m/>
    <x v="1"/>
  </r>
  <r>
    <n v="17"/>
    <d v="2025-02-24T00:00:00"/>
    <n v="31"/>
    <s v="Female"/>
    <s v="East"/>
    <x v="0"/>
    <m/>
    <n v="182.9"/>
    <n v="4"/>
    <n v="0"/>
    <x v="11"/>
    <n v="0"/>
    <n v="0"/>
    <m/>
    <x v="1"/>
  </r>
  <r>
    <n v="2726"/>
    <d v="2025-02-24T00:00:00"/>
    <n v="33"/>
    <s v="Male"/>
    <s v="South"/>
    <x v="1"/>
    <s v="CAMP1"/>
    <n v="126.8"/>
    <n v="8"/>
    <n v="0"/>
    <x v="11"/>
    <n v="0"/>
    <n v="0"/>
    <m/>
    <x v="1"/>
  </r>
  <r>
    <n v="2920"/>
    <d v="2025-02-24T00:00:00"/>
    <n v="50"/>
    <s v="Female"/>
    <s v="North"/>
    <x v="1"/>
    <s v="CAMP2"/>
    <n v="75.2"/>
    <n v="11"/>
    <n v="0"/>
    <x v="11"/>
    <n v="0"/>
    <n v="0"/>
    <m/>
    <x v="1"/>
  </r>
  <r>
    <n v="4582"/>
    <d v="2025-02-24T00:00:00"/>
    <n v="40"/>
    <s v="Male"/>
    <s v="East"/>
    <x v="0"/>
    <m/>
    <n v="63.6"/>
    <n v="3"/>
    <n v="0"/>
    <x v="11"/>
    <n v="0"/>
    <n v="0"/>
    <m/>
    <x v="1"/>
  </r>
  <r>
    <n v="2446"/>
    <d v="2025-02-24T00:00:00"/>
    <n v="24"/>
    <s v="Female"/>
    <s v="South"/>
    <x v="0"/>
    <m/>
    <n v="61"/>
    <n v="11"/>
    <n v="0"/>
    <x v="11"/>
    <n v="0"/>
    <n v="0"/>
    <m/>
    <x v="1"/>
  </r>
  <r>
    <n v="4663"/>
    <d v="2025-03-24T00:00:00"/>
    <n v="56"/>
    <s v="Female"/>
    <s v="West"/>
    <x v="2"/>
    <m/>
    <n v="324.8"/>
    <n v="6"/>
    <n v="1"/>
    <x v="1308"/>
    <n v="1"/>
    <n v="15"/>
    <n v="5"/>
    <x v="2"/>
  </r>
  <r>
    <n v="1714"/>
    <d v="2025-03-24T00:00:00"/>
    <n v="21"/>
    <s v="Female"/>
    <s v="West"/>
    <x v="3"/>
    <m/>
    <n v="998.9"/>
    <n v="4"/>
    <n v="1"/>
    <x v="1309"/>
    <n v="4"/>
    <n v="1"/>
    <n v="5"/>
    <x v="2"/>
  </r>
  <r>
    <n v="3633"/>
    <d v="2025-03-24T00:00:00"/>
    <n v="29"/>
    <s v="Female"/>
    <s v="North"/>
    <x v="1"/>
    <s v="CAMP4"/>
    <n v="685.2"/>
    <n v="4"/>
    <n v="1"/>
    <x v="1310"/>
    <n v="4"/>
    <n v="4"/>
    <n v="4"/>
    <x v="2"/>
  </r>
  <r>
    <n v="3812"/>
    <d v="2025-03-24T00:00:00"/>
    <n v="43"/>
    <s v="Male"/>
    <s v="South"/>
    <x v="1"/>
    <s v="CAMP1"/>
    <n v="537.4"/>
    <n v="7"/>
    <n v="1"/>
    <x v="1311"/>
    <n v="2"/>
    <n v="13"/>
    <n v="3"/>
    <x v="2"/>
  </r>
  <r>
    <n v="581"/>
    <d v="2025-03-24T00:00:00"/>
    <n v="27"/>
    <s v="Female"/>
    <s v="South"/>
    <x v="3"/>
    <m/>
    <n v="100"/>
    <n v="10"/>
    <n v="1"/>
    <x v="647"/>
    <n v="4"/>
    <n v="7"/>
    <n v="4"/>
    <x v="2"/>
  </r>
  <r>
    <n v="2051"/>
    <d v="2025-03-24T00:00:00"/>
    <n v="27"/>
    <s v="Male"/>
    <s v="East"/>
    <x v="0"/>
    <m/>
    <n v="485.2"/>
    <n v="6"/>
    <n v="1"/>
    <x v="1312"/>
    <n v="2"/>
    <n v="1"/>
    <n v="5"/>
    <x v="2"/>
  </r>
  <r>
    <n v="1771"/>
    <d v="2025-03-24T00:00:00"/>
    <n v="42"/>
    <s v="Male"/>
    <s v="North"/>
    <x v="1"/>
    <s v="CAMP1"/>
    <n v="130.6"/>
    <n v="3"/>
    <n v="1"/>
    <x v="826"/>
    <n v="1"/>
    <n v="1"/>
    <n v="4"/>
    <x v="2"/>
  </r>
  <r>
    <n v="2064"/>
    <d v="2025-03-24T00:00:00"/>
    <n v="42"/>
    <s v="Male"/>
    <s v="East"/>
    <x v="0"/>
    <m/>
    <n v="744.5"/>
    <n v="5"/>
    <n v="1"/>
    <x v="1313"/>
    <n v="2"/>
    <n v="8"/>
    <n v="4"/>
    <x v="2"/>
  </r>
  <r>
    <n v="363"/>
    <d v="2025-03-24T00:00:00"/>
    <n v="18"/>
    <s v="Female"/>
    <s v="South"/>
    <x v="0"/>
    <m/>
    <n v="862.2"/>
    <n v="3"/>
    <n v="1"/>
    <x v="1314"/>
    <n v="1"/>
    <n v="8"/>
    <n v="4"/>
    <x v="2"/>
  </r>
  <r>
    <n v="2774"/>
    <d v="2025-03-24T00:00:00"/>
    <n v="39"/>
    <s v="Female"/>
    <s v="South"/>
    <x v="3"/>
    <m/>
    <n v="661.2"/>
    <n v="4"/>
    <n v="1"/>
    <x v="1315"/>
    <n v="3"/>
    <n v="15"/>
    <n v="4"/>
    <x v="2"/>
  </r>
  <r>
    <n v="2724"/>
    <d v="2025-03-24T00:00:00"/>
    <n v="28"/>
    <s v="Male"/>
    <s v="North"/>
    <x v="0"/>
    <m/>
    <n v="719.1"/>
    <n v="7"/>
    <n v="0"/>
    <x v="11"/>
    <n v="0"/>
    <n v="0"/>
    <m/>
    <x v="2"/>
  </r>
  <r>
    <n v="1983"/>
    <d v="2025-03-24T00:00:00"/>
    <n v="21"/>
    <s v="Female"/>
    <s v="South"/>
    <x v="1"/>
    <s v="CAMP1"/>
    <n v="555.9"/>
    <n v="6"/>
    <n v="0"/>
    <x v="11"/>
    <n v="0"/>
    <n v="0"/>
    <m/>
    <x v="2"/>
  </r>
  <r>
    <n v="2650"/>
    <d v="2025-03-24T00:00:00"/>
    <n v="26"/>
    <s v="Female"/>
    <s v="North"/>
    <x v="1"/>
    <s v="CAMP5"/>
    <n v="545.9"/>
    <n v="9"/>
    <n v="0"/>
    <x v="11"/>
    <n v="0"/>
    <n v="0"/>
    <m/>
    <x v="2"/>
  </r>
  <r>
    <n v="25"/>
    <d v="2025-03-24T00:00:00"/>
    <n v="27"/>
    <s v="Female"/>
    <s v="South"/>
    <x v="3"/>
    <m/>
    <n v="492.5"/>
    <n v="8"/>
    <n v="0"/>
    <x v="11"/>
    <n v="0"/>
    <n v="0"/>
    <m/>
    <x v="2"/>
  </r>
  <r>
    <n v="1858"/>
    <d v="2025-03-24T00:00:00"/>
    <n v="30"/>
    <s v="Male"/>
    <s v="South"/>
    <x v="1"/>
    <s v="CAMP7"/>
    <n v="461.1"/>
    <n v="6"/>
    <n v="0"/>
    <x v="11"/>
    <n v="0"/>
    <n v="0"/>
    <m/>
    <x v="2"/>
  </r>
  <r>
    <n v="2424"/>
    <d v="2025-03-24T00:00:00"/>
    <n v="49"/>
    <s v="Male"/>
    <s v="West"/>
    <x v="0"/>
    <m/>
    <n v="394.2"/>
    <n v="2"/>
    <n v="0"/>
    <x v="11"/>
    <n v="0"/>
    <n v="0"/>
    <m/>
    <x v="2"/>
  </r>
  <r>
    <n v="4555"/>
    <d v="2025-03-24T00:00:00"/>
    <n v="55"/>
    <s v="Male"/>
    <s v="West"/>
    <x v="3"/>
    <m/>
    <n v="344.6"/>
    <n v="7"/>
    <n v="0"/>
    <x v="11"/>
    <n v="0"/>
    <n v="0"/>
    <m/>
    <x v="2"/>
  </r>
  <r>
    <n v="2147"/>
    <d v="2025-03-24T00:00:00"/>
    <n v="37"/>
    <s v="Male"/>
    <s v="South"/>
    <x v="3"/>
    <m/>
    <n v="312.10000000000002"/>
    <n v="8"/>
    <n v="0"/>
    <x v="11"/>
    <n v="0"/>
    <n v="0"/>
    <m/>
    <x v="2"/>
  </r>
  <r>
    <n v="2337"/>
    <d v="2025-03-24T00:00:00"/>
    <n v="25"/>
    <s v="Male"/>
    <s v="East"/>
    <x v="3"/>
    <m/>
    <n v="277.2"/>
    <n v="9"/>
    <n v="0"/>
    <x v="11"/>
    <n v="0"/>
    <n v="0"/>
    <m/>
    <x v="2"/>
  </r>
  <r>
    <n v="3124"/>
    <d v="2025-03-24T00:00:00"/>
    <n v="27"/>
    <s v="Male"/>
    <s v="South"/>
    <x v="3"/>
    <m/>
    <n v="218.6"/>
    <n v="4"/>
    <n v="0"/>
    <x v="11"/>
    <n v="0"/>
    <n v="0"/>
    <m/>
    <x v="2"/>
  </r>
  <r>
    <n v="3835"/>
    <d v="2025-03-24T00:00:00"/>
    <n v="60"/>
    <s v="Male"/>
    <s v="South"/>
    <x v="1"/>
    <s v="CAMP2"/>
    <n v="216.3"/>
    <n v="5"/>
    <n v="0"/>
    <x v="11"/>
    <n v="0"/>
    <n v="0"/>
    <m/>
    <x v="2"/>
  </r>
  <r>
    <n v="2197"/>
    <d v="2025-03-24T00:00:00"/>
    <n v="35"/>
    <s v="Male"/>
    <s v="North"/>
    <x v="1"/>
    <s v="CAMP7"/>
    <n v="192.1"/>
    <n v="4"/>
    <n v="0"/>
    <x v="11"/>
    <n v="0"/>
    <n v="0"/>
    <m/>
    <x v="2"/>
  </r>
  <r>
    <n v="3565"/>
    <d v="2025-03-24T00:00:00"/>
    <n v="37"/>
    <s v="Male"/>
    <s v="West"/>
    <x v="0"/>
    <m/>
    <n v="174.2"/>
    <n v="7"/>
    <n v="0"/>
    <x v="11"/>
    <n v="0"/>
    <n v="0"/>
    <m/>
    <x v="2"/>
  </r>
  <r>
    <n v="491"/>
    <d v="2025-03-24T00:00:00"/>
    <n v="26"/>
    <s v="Male"/>
    <s v="West"/>
    <x v="0"/>
    <m/>
    <n v="154.19999999999999"/>
    <n v="12"/>
    <n v="0"/>
    <x v="11"/>
    <n v="0"/>
    <n v="0"/>
    <m/>
    <x v="2"/>
  </r>
  <r>
    <n v="606"/>
    <d v="2025-03-24T00:00:00"/>
    <n v="25"/>
    <s v="Male"/>
    <s v="South"/>
    <x v="2"/>
    <m/>
    <n v="115.3"/>
    <n v="10"/>
    <n v="0"/>
    <x v="11"/>
    <n v="0"/>
    <n v="0"/>
    <m/>
    <x v="2"/>
  </r>
  <r>
    <n v="4759"/>
    <d v="2025-03-24T00:00:00"/>
    <n v="66"/>
    <s v="Female"/>
    <s v="West"/>
    <x v="0"/>
    <m/>
    <n v="105.2"/>
    <n v="6"/>
    <n v="0"/>
    <x v="11"/>
    <n v="0"/>
    <n v="0"/>
    <m/>
    <x v="2"/>
  </r>
  <r>
    <n v="3560"/>
    <d v="2025-03-24T00:00:00"/>
    <n v="36"/>
    <s v="Male"/>
    <s v="East"/>
    <x v="0"/>
    <m/>
    <n v="98.4"/>
    <n v="9"/>
    <n v="0"/>
    <x v="11"/>
    <n v="0"/>
    <n v="0"/>
    <m/>
    <x v="2"/>
  </r>
  <r>
    <n v="4712"/>
    <d v="2025-03-24T00:00:00"/>
    <n v="49"/>
    <s v="Male"/>
    <s v="North"/>
    <x v="0"/>
    <m/>
    <n v="94.1"/>
    <n v="7"/>
    <n v="0"/>
    <x v="11"/>
    <n v="0"/>
    <n v="0"/>
    <m/>
    <x v="2"/>
  </r>
  <r>
    <n v="1183"/>
    <d v="2025-04-24T00:00:00"/>
    <n v="28"/>
    <s v="Male"/>
    <s v="East"/>
    <x v="0"/>
    <m/>
    <n v="663.4"/>
    <n v="4"/>
    <n v="1"/>
    <x v="1316"/>
    <n v="3"/>
    <n v="7"/>
    <n v="5"/>
    <x v="3"/>
  </r>
  <r>
    <n v="2601"/>
    <d v="2025-04-24T00:00:00"/>
    <n v="21"/>
    <s v="Male"/>
    <s v="East"/>
    <x v="0"/>
    <m/>
    <n v="297.10000000000002"/>
    <n v="8"/>
    <n v="1"/>
    <x v="1317"/>
    <n v="2"/>
    <n v="10"/>
    <n v="3"/>
    <x v="3"/>
  </r>
  <r>
    <n v="613"/>
    <d v="2025-04-24T00:00:00"/>
    <n v="25"/>
    <s v="Male"/>
    <s v="North"/>
    <x v="3"/>
    <m/>
    <n v="293"/>
    <n v="2"/>
    <n v="1"/>
    <x v="1318"/>
    <n v="6"/>
    <n v="8"/>
    <n v="4"/>
    <x v="3"/>
  </r>
  <r>
    <n v="4308"/>
    <d v="2025-04-24T00:00:00"/>
    <n v="57"/>
    <s v="Male"/>
    <s v="West"/>
    <x v="1"/>
    <s v="CAMP6"/>
    <n v="360.1"/>
    <n v="4"/>
    <n v="1"/>
    <x v="1319"/>
    <n v="2"/>
    <n v="5"/>
    <n v="4"/>
    <x v="3"/>
  </r>
  <r>
    <n v="3151"/>
    <d v="2025-04-24T00:00:00"/>
    <n v="23"/>
    <s v="Male"/>
    <s v="North"/>
    <x v="3"/>
    <m/>
    <n v="369.7"/>
    <n v="4"/>
    <n v="1"/>
    <x v="1320"/>
    <n v="5"/>
    <n v="3"/>
    <n v="5"/>
    <x v="3"/>
  </r>
  <r>
    <n v="1173"/>
    <d v="2025-04-24T00:00:00"/>
    <n v="24"/>
    <s v="Male"/>
    <s v="South"/>
    <x v="0"/>
    <m/>
    <n v="645"/>
    <n v="6"/>
    <n v="1"/>
    <x v="1321"/>
    <n v="4"/>
    <n v="8"/>
    <n v="5"/>
    <x v="3"/>
  </r>
  <r>
    <n v="2763"/>
    <d v="2025-04-24T00:00:00"/>
    <n v="33"/>
    <s v="Male"/>
    <s v="West"/>
    <x v="2"/>
    <m/>
    <n v="569.70000000000005"/>
    <n v="5"/>
    <n v="1"/>
    <x v="1322"/>
    <n v="2"/>
    <n v="15"/>
    <n v="5"/>
    <x v="3"/>
  </r>
  <r>
    <n v="481"/>
    <d v="2025-04-24T00:00:00"/>
    <n v="31"/>
    <s v="Male"/>
    <s v="West"/>
    <x v="1"/>
    <s v="CAMP1"/>
    <n v="891.7"/>
    <n v="10"/>
    <n v="1"/>
    <x v="1323"/>
    <n v="3"/>
    <n v="6"/>
    <n v="4"/>
    <x v="3"/>
  </r>
  <r>
    <n v="3343"/>
    <d v="2025-04-24T00:00:00"/>
    <n v="45"/>
    <s v="Male"/>
    <s v="East"/>
    <x v="0"/>
    <m/>
    <n v="490.6"/>
    <n v="10"/>
    <n v="1"/>
    <x v="1324"/>
    <n v="2"/>
    <n v="11"/>
    <n v="4"/>
    <x v="3"/>
  </r>
  <r>
    <n v="840"/>
    <d v="2025-04-24T00:00:00"/>
    <n v="26"/>
    <s v="Female"/>
    <s v="East"/>
    <x v="0"/>
    <m/>
    <n v="333.6"/>
    <n v="5"/>
    <n v="1"/>
    <x v="1325"/>
    <n v="3"/>
    <n v="8"/>
    <n v="3"/>
    <x v="3"/>
  </r>
  <r>
    <n v="1364"/>
    <d v="2025-04-24T00:00:00"/>
    <n v="30"/>
    <s v="Female"/>
    <s v="West"/>
    <x v="2"/>
    <m/>
    <n v="763.5"/>
    <n v="2"/>
    <n v="0"/>
    <x v="11"/>
    <n v="0"/>
    <n v="0"/>
    <m/>
    <x v="3"/>
  </r>
  <r>
    <n v="194"/>
    <d v="2025-04-24T00:00:00"/>
    <n v="23"/>
    <s v="Female"/>
    <s v="East"/>
    <x v="1"/>
    <s v="CAMP5"/>
    <n v="625.70000000000005"/>
    <n v="7"/>
    <n v="0"/>
    <x v="11"/>
    <n v="0"/>
    <n v="0"/>
    <m/>
    <x v="3"/>
  </r>
  <r>
    <n v="162"/>
    <d v="2025-04-24T00:00:00"/>
    <n v="29"/>
    <s v="Female"/>
    <s v="South"/>
    <x v="1"/>
    <s v="CAMP4"/>
    <n v="465.4"/>
    <n v="6"/>
    <n v="0"/>
    <x v="11"/>
    <n v="0"/>
    <n v="0"/>
    <m/>
    <x v="3"/>
  </r>
  <r>
    <n v="230"/>
    <d v="2025-04-24T00:00:00"/>
    <n v="24"/>
    <s v="Female"/>
    <s v="South"/>
    <x v="0"/>
    <m/>
    <n v="434.7"/>
    <n v="3"/>
    <n v="0"/>
    <x v="11"/>
    <n v="0"/>
    <n v="0"/>
    <m/>
    <x v="3"/>
  </r>
  <r>
    <n v="3889"/>
    <d v="2025-04-24T00:00:00"/>
    <n v="48"/>
    <s v="Female"/>
    <s v="North"/>
    <x v="0"/>
    <m/>
    <n v="431.5"/>
    <n v="5"/>
    <n v="0"/>
    <x v="11"/>
    <n v="0"/>
    <n v="0"/>
    <m/>
    <x v="3"/>
  </r>
  <r>
    <n v="2631"/>
    <d v="2025-04-24T00:00:00"/>
    <n v="52"/>
    <s v="Female"/>
    <s v="West"/>
    <x v="1"/>
    <s v="CAMP4"/>
    <n v="418.2"/>
    <n v="8"/>
    <n v="0"/>
    <x v="11"/>
    <n v="0"/>
    <n v="0"/>
    <m/>
    <x v="3"/>
  </r>
  <r>
    <n v="4186"/>
    <d v="2025-04-24T00:00:00"/>
    <n v="41"/>
    <s v="Male"/>
    <s v="North"/>
    <x v="0"/>
    <m/>
    <n v="368"/>
    <n v="4"/>
    <n v="0"/>
    <x v="11"/>
    <n v="0"/>
    <n v="0"/>
    <m/>
    <x v="3"/>
  </r>
  <r>
    <n v="1550"/>
    <d v="2025-04-24T00:00:00"/>
    <n v="30"/>
    <s v="Female"/>
    <s v="West"/>
    <x v="1"/>
    <s v="CAMP6"/>
    <n v="350.3"/>
    <n v="8"/>
    <n v="0"/>
    <x v="11"/>
    <n v="0"/>
    <n v="0"/>
    <m/>
    <x v="3"/>
  </r>
  <r>
    <n v="2266"/>
    <d v="2025-04-24T00:00:00"/>
    <n v="36"/>
    <s v="Male"/>
    <s v="East"/>
    <x v="2"/>
    <m/>
    <n v="346.8"/>
    <n v="3"/>
    <n v="0"/>
    <x v="11"/>
    <n v="0"/>
    <n v="0"/>
    <m/>
    <x v="3"/>
  </r>
  <r>
    <n v="4101"/>
    <d v="2025-04-24T00:00:00"/>
    <n v="36"/>
    <s v="Male"/>
    <s v="East"/>
    <x v="3"/>
    <m/>
    <n v="303.5"/>
    <n v="9"/>
    <n v="0"/>
    <x v="11"/>
    <n v="0"/>
    <n v="0"/>
    <m/>
    <x v="3"/>
  </r>
  <r>
    <n v="383"/>
    <d v="2025-04-24T00:00:00"/>
    <n v="21"/>
    <s v="Male"/>
    <s v="East"/>
    <x v="3"/>
    <m/>
    <n v="260.5"/>
    <n v="4"/>
    <n v="0"/>
    <x v="11"/>
    <n v="0"/>
    <n v="0"/>
    <m/>
    <x v="3"/>
  </r>
  <r>
    <n v="4350"/>
    <d v="2025-04-24T00:00:00"/>
    <n v="72"/>
    <s v="Female"/>
    <s v="South"/>
    <x v="0"/>
    <m/>
    <n v="257"/>
    <n v="2"/>
    <n v="0"/>
    <x v="11"/>
    <n v="0"/>
    <n v="0"/>
    <m/>
    <x v="3"/>
  </r>
  <r>
    <n v="4680"/>
    <d v="2025-04-24T00:00:00"/>
    <n v="57"/>
    <s v="Male"/>
    <s v="South"/>
    <x v="0"/>
    <m/>
    <n v="223.2"/>
    <n v="4"/>
    <n v="0"/>
    <x v="11"/>
    <n v="0"/>
    <n v="0"/>
    <m/>
    <x v="3"/>
  </r>
  <r>
    <n v="3030"/>
    <d v="2025-04-24T00:00:00"/>
    <n v="35"/>
    <s v="Male"/>
    <s v="North"/>
    <x v="0"/>
    <m/>
    <n v="181.2"/>
    <n v="7"/>
    <n v="0"/>
    <x v="11"/>
    <n v="0"/>
    <n v="0"/>
    <m/>
    <x v="3"/>
  </r>
  <r>
    <n v="415"/>
    <d v="2025-04-24T00:00:00"/>
    <n v="26"/>
    <s v="Female"/>
    <s v="East"/>
    <x v="0"/>
    <m/>
    <n v="155.1"/>
    <n v="7"/>
    <n v="0"/>
    <x v="11"/>
    <n v="0"/>
    <n v="0"/>
    <m/>
    <x v="3"/>
  </r>
  <r>
    <n v="3250"/>
    <d v="2025-04-24T00:00:00"/>
    <n v="35"/>
    <s v="Female"/>
    <s v="West"/>
    <x v="0"/>
    <m/>
    <n v="152.6"/>
    <n v="4"/>
    <n v="0"/>
    <x v="11"/>
    <n v="0"/>
    <n v="0"/>
    <m/>
    <x v="3"/>
  </r>
  <r>
    <n v="3269"/>
    <d v="2025-04-24T00:00:00"/>
    <n v="54"/>
    <s v="Female"/>
    <s v="East"/>
    <x v="0"/>
    <m/>
    <n v="49.8"/>
    <n v="4"/>
    <n v="0"/>
    <x v="11"/>
    <n v="0"/>
    <n v="0"/>
    <m/>
    <x v="3"/>
  </r>
  <r>
    <n v="231"/>
    <d v="2025-05-24T00:00:00"/>
    <n v="23"/>
    <s v="Female"/>
    <s v="North"/>
    <x v="1"/>
    <s v="CAMP2"/>
    <n v="425.5"/>
    <n v="7"/>
    <n v="1"/>
    <x v="1326"/>
    <n v="2"/>
    <n v="4"/>
    <n v="5"/>
    <x v="4"/>
  </r>
  <r>
    <n v="1147"/>
    <d v="2025-05-24T00:00:00"/>
    <n v="25"/>
    <s v="Female"/>
    <s v="West"/>
    <x v="0"/>
    <m/>
    <n v="586.5"/>
    <n v="9"/>
    <n v="1"/>
    <x v="1327"/>
    <n v="3"/>
    <n v="4"/>
    <n v="4"/>
    <x v="4"/>
  </r>
  <r>
    <n v="2241"/>
    <d v="2025-05-24T00:00:00"/>
    <n v="21"/>
    <s v="Female"/>
    <s v="North"/>
    <x v="0"/>
    <m/>
    <n v="298.39999999999998"/>
    <n v="10"/>
    <n v="1"/>
    <x v="1328"/>
    <n v="2"/>
    <n v="1"/>
    <n v="5"/>
    <x v="4"/>
  </r>
  <r>
    <n v="4550"/>
    <d v="2025-05-24T00:00:00"/>
    <n v="40"/>
    <s v="Male"/>
    <s v="East"/>
    <x v="1"/>
    <s v="CAMP2"/>
    <n v="632"/>
    <n v="3"/>
    <n v="1"/>
    <x v="1329"/>
    <n v="3"/>
    <n v="14"/>
    <n v="4"/>
    <x v="4"/>
  </r>
  <r>
    <n v="4831"/>
    <d v="2025-05-24T00:00:00"/>
    <n v="42"/>
    <s v="Female"/>
    <s v="East"/>
    <x v="0"/>
    <m/>
    <n v="515.70000000000005"/>
    <n v="6"/>
    <n v="1"/>
    <x v="1330"/>
    <n v="3"/>
    <n v="15"/>
    <n v="5"/>
    <x v="4"/>
  </r>
  <r>
    <n v="2380"/>
    <d v="2025-05-24T00:00:00"/>
    <n v="35"/>
    <s v="Female"/>
    <s v="West"/>
    <x v="0"/>
    <m/>
    <n v="181.4"/>
    <n v="6"/>
    <n v="1"/>
    <x v="1331"/>
    <n v="3"/>
    <n v="2"/>
    <n v="4"/>
    <x v="4"/>
  </r>
  <r>
    <n v="1054"/>
    <d v="2025-05-24T00:00:00"/>
    <n v="25"/>
    <s v="Female"/>
    <s v="West"/>
    <x v="3"/>
    <m/>
    <n v="448.4"/>
    <n v="8"/>
    <n v="1"/>
    <x v="1332"/>
    <n v="2"/>
    <n v="6"/>
    <n v="4"/>
    <x v="4"/>
  </r>
  <r>
    <n v="280"/>
    <d v="2025-05-24T00:00:00"/>
    <n v="29"/>
    <s v="Female"/>
    <s v="East"/>
    <x v="3"/>
    <m/>
    <n v="869.2"/>
    <n v="7"/>
    <n v="1"/>
    <x v="1216"/>
    <n v="3"/>
    <n v="6"/>
    <n v="5"/>
    <x v="4"/>
  </r>
  <r>
    <n v="4347"/>
    <d v="2025-05-24T00:00:00"/>
    <n v="44"/>
    <s v="Female"/>
    <s v="East"/>
    <x v="1"/>
    <s v="CAMP2"/>
    <n v="290.10000000000002"/>
    <n v="6"/>
    <n v="1"/>
    <x v="1333"/>
    <n v="4"/>
    <n v="11"/>
    <n v="5"/>
    <x v="4"/>
  </r>
  <r>
    <n v="885"/>
    <d v="2025-05-24T00:00:00"/>
    <n v="25"/>
    <s v="Female"/>
    <s v="East"/>
    <x v="0"/>
    <m/>
    <n v="434"/>
    <n v="6"/>
    <n v="1"/>
    <x v="1334"/>
    <n v="2"/>
    <n v="14"/>
    <n v="3"/>
    <x v="4"/>
  </r>
  <r>
    <n v="924"/>
    <d v="2025-05-24T00:00:00"/>
    <n v="18"/>
    <s v="Male"/>
    <s v="East"/>
    <x v="0"/>
    <m/>
    <n v="752"/>
    <n v="4"/>
    <n v="1"/>
    <x v="1335"/>
    <n v="3"/>
    <n v="10"/>
    <n v="3"/>
    <x v="4"/>
  </r>
  <r>
    <n v="3532"/>
    <d v="2025-05-24T00:00:00"/>
    <n v="45"/>
    <s v="Male"/>
    <s v="East"/>
    <x v="1"/>
    <s v="CAMP2"/>
    <n v="627"/>
    <n v="5"/>
    <n v="0"/>
    <x v="11"/>
    <n v="0"/>
    <n v="0"/>
    <m/>
    <x v="4"/>
  </r>
  <r>
    <n v="2561"/>
    <d v="2025-05-24T00:00:00"/>
    <n v="39"/>
    <s v="Female"/>
    <s v="East"/>
    <x v="0"/>
    <m/>
    <n v="563.70000000000005"/>
    <n v="7"/>
    <n v="0"/>
    <x v="11"/>
    <n v="0"/>
    <n v="0"/>
    <m/>
    <x v="4"/>
  </r>
  <r>
    <n v="775"/>
    <d v="2025-05-24T00:00:00"/>
    <n v="37"/>
    <s v="Male"/>
    <s v="East"/>
    <x v="1"/>
    <s v="CAMP5"/>
    <n v="560.9"/>
    <n v="10"/>
    <n v="0"/>
    <x v="11"/>
    <n v="0"/>
    <n v="0"/>
    <m/>
    <x v="4"/>
  </r>
  <r>
    <n v="2099"/>
    <d v="2025-05-24T00:00:00"/>
    <n v="43"/>
    <s v="Female"/>
    <s v="East"/>
    <x v="0"/>
    <m/>
    <n v="327.39999999999998"/>
    <n v="9"/>
    <n v="0"/>
    <x v="11"/>
    <n v="0"/>
    <n v="0"/>
    <m/>
    <x v="4"/>
  </r>
  <r>
    <n v="3002"/>
    <d v="2025-05-24T00:00:00"/>
    <n v="43"/>
    <s v="Female"/>
    <s v="North"/>
    <x v="0"/>
    <m/>
    <n v="323.2"/>
    <n v="9"/>
    <n v="0"/>
    <x v="11"/>
    <n v="0"/>
    <n v="0"/>
    <m/>
    <x v="4"/>
  </r>
  <r>
    <n v="4430"/>
    <d v="2025-05-24T00:00:00"/>
    <n v="41"/>
    <s v="Female"/>
    <s v="East"/>
    <x v="1"/>
    <s v="CAMP1"/>
    <n v="299.8"/>
    <n v="7"/>
    <n v="0"/>
    <x v="11"/>
    <n v="0"/>
    <n v="0"/>
    <m/>
    <x v="4"/>
  </r>
  <r>
    <n v="612"/>
    <d v="2025-05-24T00:00:00"/>
    <n v="20"/>
    <s v="Male"/>
    <s v="North"/>
    <x v="1"/>
    <s v="CAMP5"/>
    <n v="280.89999999999998"/>
    <n v="5"/>
    <n v="0"/>
    <x v="11"/>
    <n v="0"/>
    <n v="0"/>
    <m/>
    <x v="4"/>
  </r>
  <r>
    <n v="4448"/>
    <d v="2025-05-24T00:00:00"/>
    <n v="37"/>
    <s v="Male"/>
    <s v="North"/>
    <x v="0"/>
    <m/>
    <n v="274.7"/>
    <n v="8"/>
    <n v="0"/>
    <x v="11"/>
    <n v="0"/>
    <n v="0"/>
    <m/>
    <x v="4"/>
  </r>
  <r>
    <n v="1262"/>
    <d v="2025-05-24T00:00:00"/>
    <n v="29"/>
    <s v="Female"/>
    <s v="East"/>
    <x v="3"/>
    <m/>
    <n v="214.1"/>
    <n v="6"/>
    <n v="0"/>
    <x v="11"/>
    <n v="0"/>
    <n v="0"/>
    <m/>
    <x v="4"/>
  </r>
  <r>
    <n v="1251"/>
    <d v="2025-05-24T00:00:00"/>
    <n v="28"/>
    <s v="Male"/>
    <s v="East"/>
    <x v="1"/>
    <s v="CAMP1"/>
    <n v="211.5"/>
    <n v="7"/>
    <n v="0"/>
    <x v="11"/>
    <n v="0"/>
    <n v="0"/>
    <m/>
    <x v="4"/>
  </r>
  <r>
    <n v="3361"/>
    <d v="2025-05-24T00:00:00"/>
    <n v="31"/>
    <s v="Female"/>
    <s v="East"/>
    <x v="3"/>
    <m/>
    <n v="199"/>
    <n v="5"/>
    <n v="0"/>
    <x v="11"/>
    <n v="0"/>
    <n v="0"/>
    <m/>
    <x v="4"/>
  </r>
  <r>
    <n v="1479"/>
    <d v="2025-05-24T00:00:00"/>
    <n v="25"/>
    <s v="Female"/>
    <s v="West"/>
    <x v="0"/>
    <m/>
    <n v="180.4"/>
    <n v="10"/>
    <n v="0"/>
    <x v="11"/>
    <n v="0"/>
    <n v="0"/>
    <m/>
    <x v="4"/>
  </r>
  <r>
    <n v="277"/>
    <d v="2025-05-24T00:00:00"/>
    <n v="27"/>
    <s v="Male"/>
    <s v="East"/>
    <x v="2"/>
    <m/>
    <n v="172.3"/>
    <n v="8"/>
    <n v="0"/>
    <x v="11"/>
    <n v="0"/>
    <n v="0"/>
    <m/>
    <x v="4"/>
  </r>
  <r>
    <n v="309"/>
    <d v="2025-05-24T00:00:00"/>
    <n v="30"/>
    <s v="Female"/>
    <s v="North"/>
    <x v="3"/>
    <m/>
    <n v="166.3"/>
    <n v="7"/>
    <n v="0"/>
    <x v="11"/>
    <n v="0"/>
    <n v="0"/>
    <m/>
    <x v="4"/>
  </r>
  <r>
    <n v="1214"/>
    <d v="2025-05-24T00:00:00"/>
    <n v="25"/>
    <s v="Female"/>
    <s v="West"/>
    <x v="1"/>
    <s v="CAMP6"/>
    <n v="157.6"/>
    <n v="4"/>
    <n v="0"/>
    <x v="11"/>
    <n v="0"/>
    <n v="0"/>
    <m/>
    <x v="4"/>
  </r>
  <r>
    <n v="991"/>
    <d v="2025-05-24T00:00:00"/>
    <n v="33"/>
    <s v="Male"/>
    <s v="East"/>
    <x v="0"/>
    <m/>
    <n v="134.30000000000001"/>
    <n v="6"/>
    <n v="0"/>
    <x v="11"/>
    <n v="0"/>
    <n v="0"/>
    <m/>
    <x v="4"/>
  </r>
  <r>
    <n v="728"/>
    <d v="2025-05-24T00:00:00"/>
    <n v="25"/>
    <s v="Male"/>
    <s v="North"/>
    <x v="0"/>
    <m/>
    <n v="125.2"/>
    <n v="3"/>
    <n v="0"/>
    <x v="11"/>
    <n v="0"/>
    <n v="0"/>
    <m/>
    <x v="4"/>
  </r>
  <r>
    <n v="3619"/>
    <d v="2025-05-24T00:00:00"/>
    <n v="23"/>
    <s v="Female"/>
    <s v="North"/>
    <x v="0"/>
    <m/>
    <n v="123.6"/>
    <n v="6"/>
    <n v="0"/>
    <x v="11"/>
    <n v="0"/>
    <n v="0"/>
    <m/>
    <x v="4"/>
  </r>
  <r>
    <n v="4494"/>
    <d v="2025-05-24T00:00:00"/>
    <n v="52"/>
    <s v="Female"/>
    <s v="East"/>
    <x v="0"/>
    <m/>
    <n v="99.5"/>
    <n v="6"/>
    <n v="0"/>
    <x v="11"/>
    <n v="0"/>
    <n v="0"/>
    <m/>
    <x v="4"/>
  </r>
  <r>
    <n v="3614"/>
    <d v="2025-05-24T00:00:00"/>
    <n v="37"/>
    <s v="Female"/>
    <s v="North"/>
    <x v="3"/>
    <m/>
    <n v="96.9"/>
    <n v="9"/>
    <n v="0"/>
    <x v="11"/>
    <n v="0"/>
    <n v="0"/>
    <m/>
    <x v="4"/>
  </r>
  <r>
    <n v="1634"/>
    <d v="2025-05-24T00:00:00"/>
    <n v="18"/>
    <s v="Female"/>
    <s v="East"/>
    <x v="1"/>
    <s v="CAMP3"/>
    <n v="58.6"/>
    <n v="8"/>
    <n v="0"/>
    <x v="11"/>
    <n v="0"/>
    <n v="0"/>
    <m/>
    <x v="4"/>
  </r>
  <r>
    <n v="1829"/>
    <d v="2025-05-24T00:00:00"/>
    <n v="50"/>
    <s v="Male"/>
    <s v="East"/>
    <x v="3"/>
    <m/>
    <n v="36"/>
    <n v="7"/>
    <n v="0"/>
    <x v="11"/>
    <n v="0"/>
    <n v="0"/>
    <m/>
    <x v="4"/>
  </r>
  <r>
    <n v="2034"/>
    <d v="2025-06-24T00:00:00"/>
    <n v="30"/>
    <s v="Female"/>
    <s v="East"/>
    <x v="3"/>
    <m/>
    <n v="234.5"/>
    <n v="4"/>
    <n v="1"/>
    <x v="1336"/>
    <n v="5"/>
    <n v="6"/>
    <n v="5"/>
    <x v="5"/>
  </r>
  <r>
    <n v="140"/>
    <d v="2025-06-24T00:00:00"/>
    <n v="22"/>
    <s v="Male"/>
    <s v="West"/>
    <x v="1"/>
    <s v="CAMP1"/>
    <n v="132.19999999999999"/>
    <n v="10"/>
    <n v="1"/>
    <x v="817"/>
    <n v="3"/>
    <n v="8"/>
    <n v="4"/>
    <x v="5"/>
  </r>
  <r>
    <n v="2986"/>
    <d v="2025-06-24T00:00:00"/>
    <n v="26"/>
    <s v="Male"/>
    <s v="North"/>
    <x v="1"/>
    <s v="CAMP3"/>
    <n v="798.1"/>
    <n v="6"/>
    <n v="1"/>
    <x v="1337"/>
    <n v="4"/>
    <n v="5"/>
    <n v="3"/>
    <x v="5"/>
  </r>
  <r>
    <n v="1383"/>
    <d v="2025-06-24T00:00:00"/>
    <n v="26"/>
    <s v="Male"/>
    <s v="South"/>
    <x v="3"/>
    <m/>
    <n v="882.3"/>
    <n v="6"/>
    <n v="1"/>
    <x v="1338"/>
    <n v="3"/>
    <n v="15"/>
    <n v="3"/>
    <x v="5"/>
  </r>
  <r>
    <n v="2123"/>
    <d v="2025-06-24T00:00:00"/>
    <n v="36"/>
    <s v="Male"/>
    <s v="East"/>
    <x v="3"/>
    <m/>
    <n v="580.79999999999995"/>
    <n v="6"/>
    <n v="1"/>
    <x v="1339"/>
    <n v="1"/>
    <n v="7"/>
    <n v="4"/>
    <x v="5"/>
  </r>
  <r>
    <n v="1828"/>
    <d v="2025-06-24T00:00:00"/>
    <n v="22"/>
    <s v="Female"/>
    <s v="East"/>
    <x v="1"/>
    <s v="CAMP5"/>
    <n v="149.19999999999999"/>
    <n v="7"/>
    <n v="1"/>
    <x v="1340"/>
    <n v="4"/>
    <n v="12"/>
    <n v="4"/>
    <x v="5"/>
  </r>
  <r>
    <n v="2287"/>
    <d v="2025-06-24T00:00:00"/>
    <n v="42"/>
    <s v="Male"/>
    <s v="West"/>
    <x v="1"/>
    <s v="CAMP4"/>
    <n v="333.1"/>
    <n v="6"/>
    <n v="1"/>
    <x v="1341"/>
    <n v="3"/>
    <n v="10"/>
    <n v="4"/>
    <x v="5"/>
  </r>
  <r>
    <n v="3056"/>
    <d v="2025-06-24T00:00:00"/>
    <n v="31"/>
    <s v="Female"/>
    <s v="East"/>
    <x v="0"/>
    <m/>
    <n v="538"/>
    <n v="8"/>
    <n v="1"/>
    <x v="1342"/>
    <n v="5"/>
    <n v="2"/>
    <n v="5"/>
    <x v="5"/>
  </r>
  <r>
    <n v="2914"/>
    <d v="2025-06-24T00:00:00"/>
    <n v="49"/>
    <s v="Female"/>
    <s v="South"/>
    <x v="2"/>
    <m/>
    <n v="437.6"/>
    <n v="5"/>
    <n v="1"/>
    <x v="704"/>
    <n v="2"/>
    <n v="9"/>
    <n v="4"/>
    <x v="5"/>
  </r>
  <r>
    <n v="4967"/>
    <d v="2025-06-24T00:00:00"/>
    <n v="56"/>
    <s v="Male"/>
    <s v="North"/>
    <x v="0"/>
    <m/>
    <n v="204.6"/>
    <n v="3"/>
    <n v="1"/>
    <x v="1343"/>
    <n v="4"/>
    <n v="1"/>
    <n v="4"/>
    <x v="5"/>
  </r>
  <r>
    <n v="479"/>
    <d v="2025-06-24T00:00:00"/>
    <n v="32"/>
    <s v="Male"/>
    <s v="East"/>
    <x v="1"/>
    <s v="CAMP2"/>
    <n v="970"/>
    <n v="4"/>
    <n v="1"/>
    <x v="1344"/>
    <n v="2"/>
    <n v="11"/>
    <n v="4"/>
    <x v="5"/>
  </r>
  <r>
    <n v="1024"/>
    <d v="2025-06-24T00:00:00"/>
    <n v="24"/>
    <s v="Female"/>
    <s v="East"/>
    <x v="0"/>
    <m/>
    <n v="610.5"/>
    <n v="10"/>
    <n v="1"/>
    <x v="1345"/>
    <n v="2"/>
    <n v="11"/>
    <n v="3"/>
    <x v="5"/>
  </r>
  <r>
    <n v="1816"/>
    <d v="2025-06-24T00:00:00"/>
    <n v="32"/>
    <s v="Male"/>
    <s v="West"/>
    <x v="3"/>
    <m/>
    <n v="429.7"/>
    <n v="6"/>
    <n v="1"/>
    <x v="175"/>
    <n v="3"/>
    <n v="3"/>
    <n v="5"/>
    <x v="5"/>
  </r>
  <r>
    <n v="51"/>
    <d v="2025-06-24T00:00:00"/>
    <n v="18"/>
    <s v="Female"/>
    <s v="South"/>
    <x v="0"/>
    <m/>
    <n v="849"/>
    <n v="5"/>
    <n v="1"/>
    <x v="1346"/>
    <n v="2"/>
    <n v="10"/>
    <n v="3"/>
    <x v="5"/>
  </r>
  <r>
    <n v="1441"/>
    <d v="2025-06-24T00:00:00"/>
    <n v="20"/>
    <s v="Male"/>
    <s v="South"/>
    <x v="3"/>
    <m/>
    <n v="530.4"/>
    <n v="10"/>
    <n v="1"/>
    <x v="694"/>
    <n v="2"/>
    <n v="2"/>
    <n v="5"/>
    <x v="5"/>
  </r>
  <r>
    <n v="523"/>
    <d v="2025-06-24T00:00:00"/>
    <n v="22"/>
    <s v="Other"/>
    <s v="East"/>
    <x v="3"/>
    <m/>
    <n v="588.70000000000005"/>
    <n v="8"/>
    <n v="0"/>
    <x v="11"/>
    <n v="0"/>
    <n v="0"/>
    <m/>
    <x v="5"/>
  </r>
  <r>
    <n v="1371"/>
    <d v="2025-06-24T00:00:00"/>
    <n v="21"/>
    <s v="Female"/>
    <s v="West"/>
    <x v="3"/>
    <m/>
    <n v="537.29999999999995"/>
    <n v="11"/>
    <n v="0"/>
    <x v="11"/>
    <n v="0"/>
    <n v="0"/>
    <m/>
    <x v="5"/>
  </r>
  <r>
    <n v="4315"/>
    <d v="2025-06-24T00:00:00"/>
    <n v="61"/>
    <s v="Female"/>
    <s v="West"/>
    <x v="3"/>
    <m/>
    <n v="534.1"/>
    <n v="7"/>
    <n v="0"/>
    <x v="11"/>
    <n v="0"/>
    <n v="0"/>
    <m/>
    <x v="5"/>
  </r>
  <r>
    <n v="3042"/>
    <d v="2025-06-24T00:00:00"/>
    <n v="30"/>
    <s v="Female"/>
    <s v="East"/>
    <x v="0"/>
    <m/>
    <n v="462.8"/>
    <n v="5"/>
    <n v="0"/>
    <x v="11"/>
    <n v="0"/>
    <n v="0"/>
    <m/>
    <x v="5"/>
  </r>
  <r>
    <n v="3295"/>
    <d v="2025-06-24T00:00:00"/>
    <n v="33"/>
    <s v="Male"/>
    <s v="East"/>
    <x v="0"/>
    <m/>
    <n v="452.7"/>
    <n v="4"/>
    <n v="0"/>
    <x v="11"/>
    <n v="0"/>
    <n v="0"/>
    <m/>
    <x v="5"/>
  </r>
  <r>
    <n v="3610"/>
    <d v="2025-06-24T00:00:00"/>
    <n v="50"/>
    <s v="Female"/>
    <s v="East"/>
    <x v="3"/>
    <m/>
    <n v="380"/>
    <n v="5"/>
    <n v="0"/>
    <x v="11"/>
    <n v="0"/>
    <n v="0"/>
    <m/>
    <x v="5"/>
  </r>
  <r>
    <n v="1389"/>
    <d v="2025-06-24T00:00:00"/>
    <n v="22"/>
    <s v="Male"/>
    <s v="North"/>
    <x v="0"/>
    <m/>
    <n v="374.4"/>
    <n v="4"/>
    <n v="0"/>
    <x v="11"/>
    <n v="0"/>
    <n v="0"/>
    <m/>
    <x v="5"/>
  </r>
  <r>
    <n v="4250"/>
    <d v="2025-06-24T00:00:00"/>
    <n v="46"/>
    <s v="Female"/>
    <s v="North"/>
    <x v="1"/>
    <s v="CAMP5"/>
    <n v="335.9"/>
    <n v="6"/>
    <n v="0"/>
    <x v="11"/>
    <n v="0"/>
    <n v="0"/>
    <m/>
    <x v="5"/>
  </r>
  <r>
    <n v="12"/>
    <d v="2025-06-24T00:00:00"/>
    <n v="28"/>
    <s v="Female"/>
    <s v="West"/>
    <x v="1"/>
    <s v="CAMP6"/>
    <n v="327"/>
    <n v="4"/>
    <n v="0"/>
    <x v="11"/>
    <n v="0"/>
    <n v="0"/>
    <m/>
    <x v="5"/>
  </r>
  <r>
    <n v="1198"/>
    <d v="2025-06-24T00:00:00"/>
    <n v="22"/>
    <s v="Female"/>
    <s v="South"/>
    <x v="3"/>
    <m/>
    <n v="299.8"/>
    <n v="9"/>
    <n v="0"/>
    <x v="11"/>
    <n v="0"/>
    <n v="0"/>
    <m/>
    <x v="5"/>
  </r>
  <r>
    <n v="472"/>
    <d v="2025-06-24T00:00:00"/>
    <n v="18"/>
    <s v="Male"/>
    <s v="East"/>
    <x v="3"/>
    <m/>
    <n v="248.3"/>
    <n v="7"/>
    <n v="0"/>
    <x v="11"/>
    <n v="0"/>
    <n v="0"/>
    <m/>
    <x v="5"/>
  </r>
  <r>
    <n v="679"/>
    <d v="2025-06-24T00:00:00"/>
    <n v="23"/>
    <s v="Female"/>
    <s v="West"/>
    <x v="3"/>
    <m/>
    <n v="235.7"/>
    <n v="3"/>
    <n v="0"/>
    <x v="11"/>
    <n v="0"/>
    <n v="0"/>
    <m/>
    <x v="5"/>
  </r>
  <r>
    <n v="2980"/>
    <d v="2025-06-24T00:00:00"/>
    <n v="30"/>
    <s v="Female"/>
    <s v="East"/>
    <x v="1"/>
    <s v="CAMP3"/>
    <n v="232"/>
    <n v="7"/>
    <n v="0"/>
    <x v="11"/>
    <n v="0"/>
    <n v="0"/>
    <m/>
    <x v="5"/>
  </r>
  <r>
    <n v="3806"/>
    <d v="2025-06-24T00:00:00"/>
    <n v="53"/>
    <s v="Male"/>
    <s v="North"/>
    <x v="0"/>
    <m/>
    <n v="213.8"/>
    <n v="5"/>
    <n v="0"/>
    <x v="11"/>
    <n v="0"/>
    <n v="0"/>
    <m/>
    <x v="5"/>
  </r>
  <r>
    <n v="3732"/>
    <d v="2025-06-24T00:00:00"/>
    <n v="33"/>
    <s v="Female"/>
    <s v="South"/>
    <x v="0"/>
    <m/>
    <n v="161.80000000000001"/>
    <n v="5"/>
    <n v="0"/>
    <x v="11"/>
    <n v="0"/>
    <n v="0"/>
    <m/>
    <x v="5"/>
  </r>
  <r>
    <n v="1239"/>
    <d v="2025-06-24T00:00:00"/>
    <n v="26"/>
    <s v="Female"/>
    <s v="East"/>
    <x v="3"/>
    <m/>
    <n v="156"/>
    <n v="3"/>
    <n v="0"/>
    <x v="11"/>
    <n v="0"/>
    <n v="0"/>
    <m/>
    <x v="5"/>
  </r>
  <r>
    <n v="3847"/>
    <d v="2025-06-24T00:00:00"/>
    <n v="49"/>
    <s v="Female"/>
    <s v="South"/>
    <x v="2"/>
    <m/>
    <n v="134.1"/>
    <n v="9"/>
    <n v="0"/>
    <x v="11"/>
    <n v="0"/>
    <n v="0"/>
    <m/>
    <x v="5"/>
  </r>
  <r>
    <n v="3529"/>
    <d v="2025-06-24T00:00:00"/>
    <n v="43"/>
    <s v="Female"/>
    <s v="South"/>
    <x v="2"/>
    <m/>
    <n v="107.3"/>
    <n v="6"/>
    <n v="0"/>
    <x v="11"/>
    <n v="0"/>
    <n v="0"/>
    <m/>
    <x v="5"/>
  </r>
  <r>
    <n v="1102"/>
    <d v="2025-06-24T00:00:00"/>
    <n v="21"/>
    <s v="Male"/>
    <s v="West"/>
    <x v="0"/>
    <m/>
    <n v="56"/>
    <n v="7"/>
    <n v="0"/>
    <x v="11"/>
    <n v="0"/>
    <n v="0"/>
    <m/>
    <x v="5"/>
  </r>
  <r>
    <n v="704"/>
    <d v="2025-01-25T00:00:00"/>
    <n v="33"/>
    <s v="Male"/>
    <s v="South"/>
    <x v="0"/>
    <m/>
    <n v="596.29999999999995"/>
    <n v="6"/>
    <n v="1"/>
    <x v="166"/>
    <n v="3"/>
    <n v="13"/>
    <n v="5"/>
    <x v="0"/>
  </r>
  <r>
    <n v="1586"/>
    <d v="2025-01-25T00:00:00"/>
    <n v="25"/>
    <s v="Female"/>
    <s v="South"/>
    <x v="2"/>
    <m/>
    <n v="306.39999999999998"/>
    <n v="7"/>
    <n v="1"/>
    <x v="1347"/>
    <n v="2"/>
    <n v="6"/>
    <n v="4"/>
    <x v="0"/>
  </r>
  <r>
    <n v="947"/>
    <d v="2025-01-25T00:00:00"/>
    <n v="26"/>
    <s v="Female"/>
    <s v="South"/>
    <x v="0"/>
    <m/>
    <n v="1058.3"/>
    <n v="3"/>
    <n v="1"/>
    <x v="1348"/>
    <n v="1"/>
    <n v="15"/>
    <n v="4"/>
    <x v="0"/>
  </r>
  <r>
    <n v="1985"/>
    <d v="2025-01-25T00:00:00"/>
    <n v="40"/>
    <s v="Female"/>
    <s v="East"/>
    <x v="2"/>
    <m/>
    <n v="464.4"/>
    <n v="7"/>
    <n v="1"/>
    <x v="1349"/>
    <n v="2"/>
    <n v="3"/>
    <n v="4"/>
    <x v="0"/>
  </r>
  <r>
    <n v="4635"/>
    <d v="2025-01-25T00:00:00"/>
    <n v="50"/>
    <s v="Female"/>
    <s v="East"/>
    <x v="0"/>
    <m/>
    <n v="166"/>
    <n v="6"/>
    <n v="1"/>
    <x v="1350"/>
    <n v="2"/>
    <n v="12"/>
    <n v="5"/>
    <x v="0"/>
  </r>
  <r>
    <n v="591"/>
    <d v="2025-01-25T00:00:00"/>
    <n v="28"/>
    <s v="Male"/>
    <s v="West"/>
    <x v="3"/>
    <m/>
    <n v="458"/>
    <n v="3"/>
    <n v="1"/>
    <x v="746"/>
    <n v="3"/>
    <n v="2"/>
    <n v="3"/>
    <x v="0"/>
  </r>
  <r>
    <n v="3552"/>
    <d v="2025-01-25T00:00:00"/>
    <n v="35"/>
    <s v="Female"/>
    <s v="South"/>
    <x v="0"/>
    <m/>
    <n v="306"/>
    <n v="6"/>
    <n v="1"/>
    <x v="149"/>
    <n v="1"/>
    <n v="9"/>
    <n v="4"/>
    <x v="0"/>
  </r>
  <r>
    <n v="2765"/>
    <d v="2025-01-25T00:00:00"/>
    <n v="32"/>
    <s v="Female"/>
    <s v="North"/>
    <x v="0"/>
    <m/>
    <n v="95.1"/>
    <n v="5"/>
    <n v="1"/>
    <x v="1351"/>
    <n v="1"/>
    <n v="3"/>
    <n v="4"/>
    <x v="0"/>
  </r>
  <r>
    <n v="180"/>
    <d v="2025-01-25T00:00:00"/>
    <n v="24"/>
    <s v="Female"/>
    <s v="East"/>
    <x v="0"/>
    <m/>
    <n v="385.5"/>
    <n v="6"/>
    <n v="1"/>
    <x v="1352"/>
    <n v="4"/>
    <n v="14"/>
    <n v="4"/>
    <x v="0"/>
  </r>
  <r>
    <n v="2600"/>
    <d v="2025-01-25T00:00:00"/>
    <n v="18"/>
    <s v="Male"/>
    <s v="North"/>
    <x v="0"/>
    <m/>
    <n v="349.1"/>
    <n v="5"/>
    <n v="1"/>
    <x v="1353"/>
    <n v="2"/>
    <n v="3"/>
    <n v="2"/>
    <x v="0"/>
  </r>
  <r>
    <n v="4142"/>
    <d v="2025-01-25T00:00:00"/>
    <n v="58"/>
    <s v="Male"/>
    <s v="North"/>
    <x v="0"/>
    <m/>
    <n v="880.8"/>
    <n v="5"/>
    <n v="0"/>
    <x v="11"/>
    <n v="0"/>
    <n v="0"/>
    <m/>
    <x v="0"/>
  </r>
  <r>
    <n v="557"/>
    <d v="2025-01-25T00:00:00"/>
    <n v="18"/>
    <s v="Female"/>
    <s v="North"/>
    <x v="2"/>
    <m/>
    <n v="726.4"/>
    <n v="6"/>
    <n v="0"/>
    <x v="11"/>
    <n v="0"/>
    <n v="0"/>
    <m/>
    <x v="0"/>
  </r>
  <r>
    <n v="1994"/>
    <d v="2025-01-25T00:00:00"/>
    <n v="39"/>
    <s v="Male"/>
    <s v="East"/>
    <x v="2"/>
    <m/>
    <n v="644.6"/>
    <n v="5"/>
    <n v="0"/>
    <x v="11"/>
    <n v="0"/>
    <n v="0"/>
    <m/>
    <x v="0"/>
  </r>
  <r>
    <n v="1750"/>
    <d v="2025-01-25T00:00:00"/>
    <n v="18"/>
    <s v="Female"/>
    <s v="West"/>
    <x v="0"/>
    <m/>
    <n v="588.6"/>
    <n v="5"/>
    <n v="0"/>
    <x v="11"/>
    <n v="0"/>
    <n v="0"/>
    <m/>
    <x v="0"/>
  </r>
  <r>
    <n v="2522"/>
    <d v="2025-01-25T00:00:00"/>
    <n v="40"/>
    <s v="Male"/>
    <s v="East"/>
    <x v="3"/>
    <m/>
    <n v="428.8"/>
    <n v="4"/>
    <n v="0"/>
    <x v="11"/>
    <n v="0"/>
    <n v="0"/>
    <m/>
    <x v="0"/>
  </r>
  <r>
    <n v="563"/>
    <d v="2025-01-25T00:00:00"/>
    <n v="24"/>
    <s v="Female"/>
    <s v="East"/>
    <x v="0"/>
    <m/>
    <n v="343.6"/>
    <n v="5"/>
    <n v="0"/>
    <x v="11"/>
    <n v="0"/>
    <n v="0"/>
    <m/>
    <x v="0"/>
  </r>
  <r>
    <n v="998"/>
    <d v="2025-01-25T00:00:00"/>
    <n v="18"/>
    <s v="Female"/>
    <s v="South"/>
    <x v="0"/>
    <m/>
    <n v="288.8"/>
    <n v="4"/>
    <n v="0"/>
    <x v="11"/>
    <n v="0"/>
    <n v="0"/>
    <m/>
    <x v="0"/>
  </r>
  <r>
    <n v="4569"/>
    <d v="2025-01-25T00:00:00"/>
    <n v="50"/>
    <s v="Male"/>
    <s v="West"/>
    <x v="2"/>
    <m/>
    <n v="277.8"/>
    <n v="4"/>
    <n v="0"/>
    <x v="11"/>
    <n v="0"/>
    <n v="0"/>
    <m/>
    <x v="0"/>
  </r>
  <r>
    <n v="1698"/>
    <d v="2025-01-25T00:00:00"/>
    <n v="26"/>
    <s v="Female"/>
    <s v="North"/>
    <x v="1"/>
    <s v="CAMP4"/>
    <n v="262.10000000000002"/>
    <n v="5"/>
    <n v="0"/>
    <x v="11"/>
    <n v="0"/>
    <n v="0"/>
    <m/>
    <x v="0"/>
  </r>
  <r>
    <n v="3954"/>
    <d v="2025-01-25T00:00:00"/>
    <n v="45"/>
    <s v="Female"/>
    <s v="South"/>
    <x v="2"/>
    <m/>
    <n v="251.4"/>
    <n v="5"/>
    <n v="0"/>
    <x v="11"/>
    <n v="0"/>
    <n v="0"/>
    <m/>
    <x v="0"/>
  </r>
  <r>
    <n v="4699"/>
    <d v="2025-01-25T00:00:00"/>
    <n v="66"/>
    <s v="Female"/>
    <s v="South"/>
    <x v="1"/>
    <s v="CAMP5"/>
    <n v="215.8"/>
    <n v="9"/>
    <n v="0"/>
    <x v="11"/>
    <n v="0"/>
    <n v="0"/>
    <m/>
    <x v="0"/>
  </r>
  <r>
    <n v="2667"/>
    <d v="2025-01-25T00:00:00"/>
    <n v="29"/>
    <s v="Male"/>
    <s v="South"/>
    <x v="0"/>
    <m/>
    <n v="141"/>
    <n v="1"/>
    <n v="0"/>
    <x v="11"/>
    <n v="0"/>
    <n v="0"/>
    <m/>
    <x v="0"/>
  </r>
  <r>
    <n v="4464"/>
    <d v="2025-01-25T00:00:00"/>
    <n v="26"/>
    <s v="Male"/>
    <s v="North"/>
    <x v="3"/>
    <m/>
    <n v="135.6"/>
    <n v="9"/>
    <n v="0"/>
    <x v="11"/>
    <n v="0"/>
    <n v="0"/>
    <m/>
    <x v="0"/>
  </r>
  <r>
    <n v="3013"/>
    <d v="2025-02-25T00:00:00"/>
    <n v="27"/>
    <s v="Male"/>
    <s v="East"/>
    <x v="1"/>
    <s v="CAMP6"/>
    <n v="253.8"/>
    <n v="4"/>
    <n v="1"/>
    <x v="1319"/>
    <n v="1"/>
    <n v="6"/>
    <n v="4"/>
    <x v="1"/>
  </r>
  <r>
    <n v="1263"/>
    <d v="2025-02-25T00:00:00"/>
    <n v="37"/>
    <s v="Male"/>
    <s v="South"/>
    <x v="1"/>
    <s v="CAMP3"/>
    <n v="157"/>
    <n v="2"/>
    <n v="1"/>
    <x v="1354"/>
    <n v="1"/>
    <n v="5"/>
    <n v="4"/>
    <x v="1"/>
  </r>
  <r>
    <n v="3183"/>
    <d v="2025-02-25T00:00:00"/>
    <n v="46"/>
    <s v="Male"/>
    <s v="South"/>
    <x v="2"/>
    <m/>
    <n v="433.9"/>
    <n v="4"/>
    <n v="1"/>
    <x v="1355"/>
    <n v="1"/>
    <n v="4"/>
    <n v="5"/>
    <x v="1"/>
  </r>
  <r>
    <n v="3191"/>
    <d v="2025-02-25T00:00:00"/>
    <n v="40"/>
    <s v="Male"/>
    <s v="West"/>
    <x v="0"/>
    <m/>
    <n v="514.4"/>
    <n v="5"/>
    <n v="1"/>
    <x v="1356"/>
    <n v="6"/>
    <n v="1"/>
    <n v="4"/>
    <x v="1"/>
  </r>
  <r>
    <n v="4221"/>
    <d v="2025-02-25T00:00:00"/>
    <n v="58"/>
    <s v="Male"/>
    <s v="West"/>
    <x v="1"/>
    <s v="CAMP2"/>
    <n v="260.2"/>
    <n v="6"/>
    <n v="1"/>
    <x v="1357"/>
    <n v="2"/>
    <n v="12"/>
    <n v="4"/>
    <x v="1"/>
  </r>
  <r>
    <n v="4180"/>
    <d v="2025-02-25T00:00:00"/>
    <n v="38"/>
    <s v="Female"/>
    <s v="South"/>
    <x v="0"/>
    <m/>
    <n v="1070.5"/>
    <n v="2"/>
    <n v="1"/>
    <x v="1358"/>
    <n v="3"/>
    <n v="11"/>
    <n v="4"/>
    <x v="1"/>
  </r>
  <r>
    <n v="4829"/>
    <d v="2025-02-25T00:00:00"/>
    <n v="46"/>
    <s v="Female"/>
    <s v="East"/>
    <x v="2"/>
    <m/>
    <n v="468.3"/>
    <n v="6"/>
    <n v="1"/>
    <x v="1359"/>
    <n v="6"/>
    <n v="10"/>
    <n v="4"/>
    <x v="1"/>
  </r>
  <r>
    <n v="1437"/>
    <d v="2025-02-25T00:00:00"/>
    <n v="28"/>
    <s v="Male"/>
    <s v="North"/>
    <x v="0"/>
    <m/>
    <n v="372.2"/>
    <n v="3"/>
    <n v="1"/>
    <x v="1360"/>
    <n v="3"/>
    <n v="7"/>
    <n v="4"/>
    <x v="1"/>
  </r>
  <r>
    <n v="2377"/>
    <d v="2025-02-25T00:00:00"/>
    <n v="43"/>
    <s v="Male"/>
    <s v="South"/>
    <x v="3"/>
    <m/>
    <n v="937.8"/>
    <n v="2"/>
    <n v="0"/>
    <x v="11"/>
    <n v="0"/>
    <n v="0"/>
    <m/>
    <x v="1"/>
  </r>
  <r>
    <n v="3935"/>
    <d v="2025-02-25T00:00:00"/>
    <n v="44"/>
    <s v="Female"/>
    <s v="North"/>
    <x v="1"/>
    <s v="CAMP7"/>
    <n v="478.1"/>
    <n v="5"/>
    <n v="0"/>
    <x v="11"/>
    <n v="0"/>
    <n v="0"/>
    <m/>
    <x v="1"/>
  </r>
  <r>
    <n v="2998"/>
    <d v="2025-02-25T00:00:00"/>
    <n v="25"/>
    <s v="Male"/>
    <s v="West"/>
    <x v="1"/>
    <s v="CAMP3"/>
    <n v="445.2"/>
    <n v="3"/>
    <n v="0"/>
    <x v="11"/>
    <n v="0"/>
    <n v="0"/>
    <m/>
    <x v="1"/>
  </r>
  <r>
    <n v="4904"/>
    <d v="2025-02-25T00:00:00"/>
    <n v="43"/>
    <s v="Female"/>
    <s v="West"/>
    <x v="0"/>
    <m/>
    <n v="421.7"/>
    <n v="5"/>
    <n v="0"/>
    <x v="11"/>
    <n v="0"/>
    <n v="0"/>
    <m/>
    <x v="1"/>
  </r>
  <r>
    <n v="85"/>
    <d v="2025-02-25T00:00:00"/>
    <n v="21"/>
    <s v="Male"/>
    <s v="North"/>
    <x v="3"/>
    <m/>
    <n v="411.4"/>
    <n v="6"/>
    <n v="0"/>
    <x v="11"/>
    <n v="0"/>
    <n v="0"/>
    <m/>
    <x v="1"/>
  </r>
  <r>
    <n v="3561"/>
    <d v="2025-02-25T00:00:00"/>
    <n v="41"/>
    <s v="Female"/>
    <s v="East"/>
    <x v="0"/>
    <m/>
    <n v="390.4"/>
    <n v="7"/>
    <n v="0"/>
    <x v="11"/>
    <n v="0"/>
    <n v="0"/>
    <m/>
    <x v="1"/>
  </r>
  <r>
    <n v="503"/>
    <d v="2025-02-25T00:00:00"/>
    <n v="18"/>
    <s v="Female"/>
    <s v="East"/>
    <x v="0"/>
    <m/>
    <n v="253.5"/>
    <n v="5"/>
    <n v="0"/>
    <x v="11"/>
    <n v="0"/>
    <n v="0"/>
    <m/>
    <x v="1"/>
  </r>
  <r>
    <n v="4534"/>
    <d v="2025-02-25T00:00:00"/>
    <n v="44"/>
    <s v="Male"/>
    <s v="South"/>
    <x v="0"/>
    <m/>
    <n v="246.9"/>
    <n v="8"/>
    <n v="0"/>
    <x v="11"/>
    <n v="0"/>
    <n v="0"/>
    <m/>
    <x v="1"/>
  </r>
  <r>
    <n v="1731"/>
    <d v="2025-02-25T00:00:00"/>
    <n v="22"/>
    <s v="Other"/>
    <s v="West"/>
    <x v="1"/>
    <s v="CAMP3"/>
    <n v="217.1"/>
    <n v="5"/>
    <n v="0"/>
    <x v="11"/>
    <n v="0"/>
    <n v="0"/>
    <m/>
    <x v="1"/>
  </r>
  <r>
    <n v="2324"/>
    <d v="2025-02-25T00:00:00"/>
    <n v="36"/>
    <s v="Female"/>
    <s v="South"/>
    <x v="1"/>
    <s v="CAMP1"/>
    <n v="210.5"/>
    <n v="8"/>
    <n v="0"/>
    <x v="11"/>
    <n v="0"/>
    <n v="0"/>
    <m/>
    <x v="1"/>
  </r>
  <r>
    <n v="3967"/>
    <d v="2025-02-25T00:00:00"/>
    <n v="58"/>
    <s v="Female"/>
    <s v="South"/>
    <x v="0"/>
    <m/>
    <n v="178.7"/>
    <n v="6"/>
    <n v="0"/>
    <x v="11"/>
    <n v="0"/>
    <n v="0"/>
    <m/>
    <x v="1"/>
  </r>
  <r>
    <n v="1911"/>
    <d v="2025-02-25T00:00:00"/>
    <n v="40"/>
    <s v="Female"/>
    <s v="East"/>
    <x v="1"/>
    <s v="CAMP7"/>
    <n v="165.3"/>
    <n v="5"/>
    <n v="0"/>
    <x v="11"/>
    <n v="0"/>
    <n v="0"/>
    <m/>
    <x v="1"/>
  </r>
  <r>
    <n v="3908"/>
    <d v="2025-02-25T00:00:00"/>
    <n v="47"/>
    <s v="Female"/>
    <s v="West"/>
    <x v="1"/>
    <s v="CAMP7"/>
    <n v="133.30000000000001"/>
    <n v="6"/>
    <n v="0"/>
    <x v="11"/>
    <n v="0"/>
    <n v="0"/>
    <m/>
    <x v="1"/>
  </r>
  <r>
    <n v="4778"/>
    <d v="2025-02-25T00:00:00"/>
    <n v="42"/>
    <s v="Female"/>
    <s v="East"/>
    <x v="0"/>
    <m/>
    <n v="105.1"/>
    <n v="5"/>
    <n v="0"/>
    <x v="11"/>
    <n v="0"/>
    <n v="0"/>
    <m/>
    <x v="1"/>
  </r>
  <r>
    <n v="1528"/>
    <d v="2025-02-25T00:00:00"/>
    <n v="26"/>
    <s v="Female"/>
    <s v="West"/>
    <x v="1"/>
    <s v="CAMP3"/>
    <n v="81.2"/>
    <n v="4"/>
    <n v="0"/>
    <x v="11"/>
    <n v="0"/>
    <n v="0"/>
    <m/>
    <x v="1"/>
  </r>
  <r>
    <n v="2057"/>
    <d v="2025-03-25T00:00:00"/>
    <n v="39"/>
    <s v="Female"/>
    <s v="East"/>
    <x v="1"/>
    <s v="CAMP3"/>
    <n v="728.1"/>
    <n v="8"/>
    <n v="1"/>
    <x v="1154"/>
    <n v="1"/>
    <n v="3"/>
    <n v="3"/>
    <x v="2"/>
  </r>
  <r>
    <n v="1498"/>
    <d v="2025-03-25T00:00:00"/>
    <n v="25"/>
    <s v="Female"/>
    <s v="North"/>
    <x v="2"/>
    <m/>
    <n v="456.9"/>
    <n v="5"/>
    <n v="1"/>
    <x v="817"/>
    <n v="2"/>
    <n v="12"/>
    <n v="4"/>
    <x v="2"/>
  </r>
  <r>
    <n v="3310"/>
    <d v="2025-03-25T00:00:00"/>
    <n v="29"/>
    <s v="Female"/>
    <s v="North"/>
    <x v="2"/>
    <m/>
    <n v="652"/>
    <n v="9"/>
    <n v="1"/>
    <x v="1361"/>
    <n v="1"/>
    <n v="1"/>
    <n v="4"/>
    <x v="2"/>
  </r>
  <r>
    <n v="1886"/>
    <d v="2025-03-25T00:00:00"/>
    <n v="35"/>
    <s v="Female"/>
    <s v="East"/>
    <x v="2"/>
    <m/>
    <n v="71.900000000000006"/>
    <n v="9"/>
    <n v="1"/>
    <x v="1362"/>
    <n v="3"/>
    <n v="5"/>
    <n v="3"/>
    <x v="2"/>
  </r>
  <r>
    <n v="2083"/>
    <d v="2025-03-25T00:00:00"/>
    <n v="32"/>
    <s v="Male"/>
    <s v="North"/>
    <x v="1"/>
    <s v="CAMP7"/>
    <n v="330.9"/>
    <n v="5"/>
    <n v="1"/>
    <x v="1363"/>
    <n v="5"/>
    <n v="1"/>
    <n v="4"/>
    <x v="2"/>
  </r>
  <r>
    <n v="627"/>
    <d v="2025-03-25T00:00:00"/>
    <n v="32"/>
    <s v="Female"/>
    <s v="North"/>
    <x v="1"/>
    <s v="CAMP1"/>
    <n v="864.9"/>
    <n v="7"/>
    <n v="1"/>
    <x v="1364"/>
    <n v="3"/>
    <n v="2"/>
    <n v="3"/>
    <x v="2"/>
  </r>
  <r>
    <n v="741"/>
    <d v="2025-03-25T00:00:00"/>
    <n v="32"/>
    <s v="Female"/>
    <s v="West"/>
    <x v="0"/>
    <m/>
    <n v="855"/>
    <n v="7"/>
    <n v="0"/>
    <x v="11"/>
    <n v="0"/>
    <n v="0"/>
    <m/>
    <x v="2"/>
  </r>
  <r>
    <n v="1342"/>
    <d v="2025-03-25T00:00:00"/>
    <n v="28"/>
    <s v="Female"/>
    <s v="West"/>
    <x v="1"/>
    <s v="CAMP5"/>
    <n v="758.1"/>
    <n v="3"/>
    <n v="0"/>
    <x v="11"/>
    <n v="0"/>
    <n v="0"/>
    <m/>
    <x v="2"/>
  </r>
  <r>
    <n v="4927"/>
    <d v="2025-03-25T00:00:00"/>
    <n v="50"/>
    <s v="Female"/>
    <s v="North"/>
    <x v="0"/>
    <m/>
    <n v="679.5"/>
    <n v="8"/>
    <n v="0"/>
    <x v="11"/>
    <n v="0"/>
    <n v="0"/>
    <m/>
    <x v="2"/>
  </r>
  <r>
    <n v="1783"/>
    <d v="2025-03-25T00:00:00"/>
    <n v="31"/>
    <s v="Female"/>
    <s v="South"/>
    <x v="0"/>
    <m/>
    <n v="441.8"/>
    <n v="4"/>
    <n v="0"/>
    <x v="11"/>
    <n v="0"/>
    <n v="0"/>
    <m/>
    <x v="2"/>
  </r>
  <r>
    <n v="2033"/>
    <d v="2025-03-25T00:00:00"/>
    <n v="39"/>
    <s v="Male"/>
    <s v="North"/>
    <x v="0"/>
    <m/>
    <n v="339.7"/>
    <n v="7"/>
    <n v="0"/>
    <x v="11"/>
    <n v="0"/>
    <n v="0"/>
    <m/>
    <x v="2"/>
  </r>
  <r>
    <n v="287"/>
    <d v="2025-03-25T00:00:00"/>
    <n v="26"/>
    <s v="Male"/>
    <s v="North"/>
    <x v="0"/>
    <m/>
    <n v="316.10000000000002"/>
    <n v="6"/>
    <n v="0"/>
    <x v="11"/>
    <n v="0"/>
    <n v="0"/>
    <m/>
    <x v="2"/>
  </r>
  <r>
    <n v="4229"/>
    <d v="2025-03-25T00:00:00"/>
    <n v="45"/>
    <s v="Female"/>
    <s v="East"/>
    <x v="0"/>
    <m/>
    <n v="293.3"/>
    <n v="7"/>
    <n v="0"/>
    <x v="11"/>
    <n v="0"/>
    <n v="0"/>
    <m/>
    <x v="2"/>
  </r>
  <r>
    <n v="2954"/>
    <d v="2025-03-25T00:00:00"/>
    <n v="31"/>
    <s v="Male"/>
    <s v="South"/>
    <x v="1"/>
    <s v="CAMP5"/>
    <n v="281"/>
    <n v="7"/>
    <n v="0"/>
    <x v="11"/>
    <n v="0"/>
    <n v="0"/>
    <m/>
    <x v="2"/>
  </r>
  <r>
    <n v="2694"/>
    <d v="2025-03-25T00:00:00"/>
    <n v="32"/>
    <s v="Male"/>
    <s v="South"/>
    <x v="0"/>
    <m/>
    <n v="239.5"/>
    <n v="6"/>
    <n v="0"/>
    <x v="11"/>
    <n v="0"/>
    <n v="0"/>
    <m/>
    <x v="2"/>
  </r>
  <r>
    <n v="495"/>
    <d v="2025-03-25T00:00:00"/>
    <n v="31"/>
    <s v="Female"/>
    <s v="South"/>
    <x v="0"/>
    <m/>
    <n v="223.6"/>
    <n v="3"/>
    <n v="0"/>
    <x v="11"/>
    <n v="0"/>
    <n v="0"/>
    <m/>
    <x v="2"/>
  </r>
  <r>
    <n v="789"/>
    <d v="2025-03-25T00:00:00"/>
    <n v="19"/>
    <s v="Male"/>
    <s v="East"/>
    <x v="0"/>
    <m/>
    <n v="220.4"/>
    <n v="9"/>
    <n v="0"/>
    <x v="11"/>
    <n v="0"/>
    <n v="0"/>
    <m/>
    <x v="2"/>
  </r>
  <r>
    <n v="2485"/>
    <d v="2025-03-25T00:00:00"/>
    <n v="28"/>
    <s v="Male"/>
    <s v="West"/>
    <x v="1"/>
    <s v="CAMP3"/>
    <n v="176.6"/>
    <n v="9"/>
    <n v="0"/>
    <x v="11"/>
    <n v="0"/>
    <n v="0"/>
    <m/>
    <x v="2"/>
  </r>
  <r>
    <n v="3788"/>
    <d v="2025-03-25T00:00:00"/>
    <n v="52"/>
    <s v="Male"/>
    <s v="South"/>
    <x v="0"/>
    <m/>
    <n v="149.9"/>
    <n v="4"/>
    <n v="0"/>
    <x v="11"/>
    <n v="0"/>
    <n v="0"/>
    <m/>
    <x v="2"/>
  </r>
  <r>
    <n v="3285"/>
    <d v="2025-03-25T00:00:00"/>
    <n v="35"/>
    <s v="Female"/>
    <s v="West"/>
    <x v="1"/>
    <s v="CAMP2"/>
    <n v="98.8"/>
    <n v="10"/>
    <n v="0"/>
    <x v="11"/>
    <n v="0"/>
    <n v="0"/>
    <m/>
    <x v="2"/>
  </r>
  <r>
    <n v="4096"/>
    <d v="2025-03-25T00:00:00"/>
    <n v="36"/>
    <s v="Male"/>
    <s v="West"/>
    <x v="2"/>
    <m/>
    <n v="96.9"/>
    <n v="6"/>
    <n v="0"/>
    <x v="11"/>
    <n v="0"/>
    <n v="0"/>
    <m/>
    <x v="2"/>
  </r>
  <r>
    <n v="3508"/>
    <d v="2025-03-25T00:00:00"/>
    <n v="33"/>
    <s v="Female"/>
    <s v="East"/>
    <x v="1"/>
    <s v="CAMP1"/>
    <n v="76.3"/>
    <n v="6"/>
    <n v="0"/>
    <x v="11"/>
    <n v="0"/>
    <n v="0"/>
    <m/>
    <x v="2"/>
  </r>
  <r>
    <n v="1621"/>
    <d v="2025-03-25T00:00:00"/>
    <n v="22"/>
    <s v="Male"/>
    <s v="East"/>
    <x v="0"/>
    <m/>
    <n v="75.8"/>
    <n v="3"/>
    <n v="0"/>
    <x v="11"/>
    <n v="0"/>
    <n v="0"/>
    <m/>
    <x v="2"/>
  </r>
  <r>
    <n v="3644"/>
    <d v="2025-03-25T00:00:00"/>
    <n v="28"/>
    <s v="Female"/>
    <s v="North"/>
    <x v="1"/>
    <s v="CAMP4"/>
    <n v="36.1"/>
    <n v="4"/>
    <n v="0"/>
    <x v="11"/>
    <n v="0"/>
    <n v="0"/>
    <m/>
    <x v="2"/>
  </r>
  <r>
    <n v="163"/>
    <d v="2025-04-25T00:00:00"/>
    <n v="25"/>
    <s v="Male"/>
    <s v="South"/>
    <x v="3"/>
    <m/>
    <n v="339.4"/>
    <n v="8"/>
    <n v="1"/>
    <x v="1365"/>
    <n v="4"/>
    <n v="11"/>
    <n v="4"/>
    <x v="3"/>
  </r>
  <r>
    <n v="4134"/>
    <d v="2025-04-25T00:00:00"/>
    <n v="52"/>
    <s v="Male"/>
    <s v="East"/>
    <x v="0"/>
    <m/>
    <n v="448.2"/>
    <n v="7"/>
    <n v="1"/>
    <x v="1366"/>
    <n v="1"/>
    <n v="7"/>
    <n v="4"/>
    <x v="3"/>
  </r>
  <r>
    <n v="1959"/>
    <d v="2025-04-25T00:00:00"/>
    <n v="34"/>
    <s v="Female"/>
    <s v="West"/>
    <x v="0"/>
    <m/>
    <n v="207.8"/>
    <n v="6"/>
    <n v="1"/>
    <x v="1367"/>
    <n v="1"/>
    <n v="15"/>
    <n v="3"/>
    <x v="3"/>
  </r>
  <r>
    <n v="115"/>
    <d v="2025-04-25T00:00:00"/>
    <n v="32"/>
    <s v="Female"/>
    <s v="East"/>
    <x v="1"/>
    <s v="CAMP3"/>
    <n v="426.1"/>
    <n v="4"/>
    <n v="1"/>
    <x v="1368"/>
    <n v="2"/>
    <n v="1"/>
    <n v="5"/>
    <x v="3"/>
  </r>
  <r>
    <n v="304"/>
    <d v="2025-04-25T00:00:00"/>
    <n v="18"/>
    <s v="Male"/>
    <s v="East"/>
    <x v="0"/>
    <m/>
    <n v="843.4"/>
    <n v="10"/>
    <n v="1"/>
    <x v="147"/>
    <n v="5"/>
    <n v="5"/>
    <n v="4"/>
    <x v="3"/>
  </r>
  <r>
    <n v="2823"/>
    <d v="2025-04-25T00:00:00"/>
    <n v="18"/>
    <s v="Female"/>
    <s v="North"/>
    <x v="0"/>
    <m/>
    <n v="412.6"/>
    <n v="4"/>
    <n v="1"/>
    <x v="1369"/>
    <n v="2"/>
    <n v="14"/>
    <n v="5"/>
    <x v="3"/>
  </r>
  <r>
    <n v="4800"/>
    <d v="2025-04-25T00:00:00"/>
    <n v="65"/>
    <s v="Female"/>
    <s v="North"/>
    <x v="0"/>
    <m/>
    <n v="389.3"/>
    <n v="9"/>
    <n v="1"/>
    <x v="1363"/>
    <n v="3"/>
    <n v="11"/>
    <n v="4"/>
    <x v="3"/>
  </r>
  <r>
    <n v="88"/>
    <d v="2025-04-25T00:00:00"/>
    <n v="29"/>
    <s v="Male"/>
    <s v="West"/>
    <x v="0"/>
    <m/>
    <n v="425.3"/>
    <n v="4"/>
    <n v="1"/>
    <x v="1370"/>
    <n v="4"/>
    <n v="14"/>
    <n v="5"/>
    <x v="3"/>
  </r>
  <r>
    <n v="2351"/>
    <d v="2025-04-25T00:00:00"/>
    <n v="39"/>
    <s v="Male"/>
    <s v="South"/>
    <x v="1"/>
    <s v="CAMP2"/>
    <n v="379.8"/>
    <n v="9"/>
    <n v="1"/>
    <x v="1371"/>
    <n v="1"/>
    <n v="14"/>
    <n v="4"/>
    <x v="3"/>
  </r>
  <r>
    <n v="4215"/>
    <d v="2025-04-25T00:00:00"/>
    <n v="52"/>
    <s v="Male"/>
    <s v="North"/>
    <x v="1"/>
    <s v="CAMP4"/>
    <n v="611.4"/>
    <n v="5"/>
    <n v="1"/>
    <x v="1372"/>
    <n v="3"/>
    <n v="5"/>
    <n v="3"/>
    <x v="3"/>
  </r>
  <r>
    <n v="3366"/>
    <d v="2025-04-25T00:00:00"/>
    <n v="46"/>
    <s v="Female"/>
    <s v="South"/>
    <x v="3"/>
    <m/>
    <n v="981.8"/>
    <n v="6"/>
    <n v="1"/>
    <x v="1373"/>
    <n v="6"/>
    <n v="9"/>
    <n v="4"/>
    <x v="3"/>
  </r>
  <r>
    <n v="1787"/>
    <d v="2025-04-25T00:00:00"/>
    <n v="36"/>
    <s v="Female"/>
    <s v="South"/>
    <x v="1"/>
    <s v="CAMP7"/>
    <n v="689.3"/>
    <n v="7"/>
    <n v="0"/>
    <x v="11"/>
    <n v="0"/>
    <n v="0"/>
    <m/>
    <x v="3"/>
  </r>
  <r>
    <n v="4958"/>
    <d v="2025-04-25T00:00:00"/>
    <n v="56"/>
    <s v="Female"/>
    <s v="North"/>
    <x v="0"/>
    <m/>
    <n v="602.4"/>
    <n v="8"/>
    <n v="0"/>
    <x v="11"/>
    <n v="0"/>
    <n v="0"/>
    <m/>
    <x v="3"/>
  </r>
  <r>
    <n v="1883"/>
    <d v="2025-04-25T00:00:00"/>
    <n v="30"/>
    <s v="Female"/>
    <s v="North"/>
    <x v="1"/>
    <s v="CAMP1"/>
    <n v="599.9"/>
    <n v="8"/>
    <n v="0"/>
    <x v="11"/>
    <n v="0"/>
    <n v="0"/>
    <m/>
    <x v="3"/>
  </r>
  <r>
    <n v="1175"/>
    <d v="2025-04-25T00:00:00"/>
    <n v="33"/>
    <s v="Female"/>
    <s v="South"/>
    <x v="3"/>
    <m/>
    <n v="580.20000000000005"/>
    <n v="9"/>
    <n v="0"/>
    <x v="11"/>
    <n v="0"/>
    <n v="0"/>
    <m/>
    <x v="3"/>
  </r>
  <r>
    <n v="2167"/>
    <d v="2025-04-25T00:00:00"/>
    <n v="39"/>
    <s v="Male"/>
    <s v="East"/>
    <x v="1"/>
    <s v="CAMP7"/>
    <n v="428.3"/>
    <n v="7"/>
    <n v="0"/>
    <x v="11"/>
    <n v="0"/>
    <n v="0"/>
    <m/>
    <x v="3"/>
  </r>
  <r>
    <n v="3111"/>
    <d v="2025-04-25T00:00:00"/>
    <n v="43"/>
    <s v="Male"/>
    <s v="South"/>
    <x v="0"/>
    <m/>
    <n v="342"/>
    <n v="6"/>
    <n v="0"/>
    <x v="11"/>
    <n v="0"/>
    <n v="0"/>
    <m/>
    <x v="3"/>
  </r>
  <r>
    <n v="2279"/>
    <d v="2025-04-25T00:00:00"/>
    <n v="45"/>
    <s v="Male"/>
    <s v="South"/>
    <x v="1"/>
    <s v="CAMP4"/>
    <n v="337.1"/>
    <n v="6"/>
    <n v="0"/>
    <x v="11"/>
    <n v="0"/>
    <n v="0"/>
    <m/>
    <x v="3"/>
  </r>
  <r>
    <n v="3463"/>
    <d v="2025-04-25T00:00:00"/>
    <n v="29"/>
    <s v="Male"/>
    <s v="East"/>
    <x v="0"/>
    <m/>
    <n v="314"/>
    <n v="8"/>
    <n v="0"/>
    <x v="11"/>
    <n v="0"/>
    <n v="0"/>
    <m/>
    <x v="3"/>
  </r>
  <r>
    <n v="2400"/>
    <d v="2025-04-25T00:00:00"/>
    <n v="34"/>
    <s v="Female"/>
    <s v="East"/>
    <x v="0"/>
    <m/>
    <n v="309.39999999999998"/>
    <n v="7"/>
    <n v="0"/>
    <x v="11"/>
    <n v="0"/>
    <n v="0"/>
    <m/>
    <x v="3"/>
  </r>
  <r>
    <n v="1226"/>
    <d v="2025-04-25T00:00:00"/>
    <n v="24"/>
    <s v="Female"/>
    <s v="South"/>
    <x v="0"/>
    <m/>
    <n v="278.39999999999998"/>
    <n v="9"/>
    <n v="0"/>
    <x v="11"/>
    <n v="0"/>
    <n v="0"/>
    <m/>
    <x v="3"/>
  </r>
  <r>
    <n v="2098"/>
    <d v="2025-04-25T00:00:00"/>
    <n v="42"/>
    <s v="Female"/>
    <s v="West"/>
    <x v="1"/>
    <s v="CAMP1"/>
    <n v="278"/>
    <n v="8"/>
    <n v="0"/>
    <x v="11"/>
    <n v="0"/>
    <n v="0"/>
    <m/>
    <x v="3"/>
  </r>
  <r>
    <n v="585"/>
    <d v="2025-04-25T00:00:00"/>
    <n v="18"/>
    <s v="Female"/>
    <s v="South"/>
    <x v="0"/>
    <m/>
    <n v="273.8"/>
    <n v="8"/>
    <n v="0"/>
    <x v="11"/>
    <n v="0"/>
    <n v="0"/>
    <m/>
    <x v="3"/>
  </r>
  <r>
    <n v="4866"/>
    <d v="2025-04-25T00:00:00"/>
    <n v="50"/>
    <s v="Female"/>
    <s v="North"/>
    <x v="0"/>
    <m/>
    <n v="267.89999999999998"/>
    <n v="12"/>
    <n v="0"/>
    <x v="11"/>
    <n v="0"/>
    <n v="0"/>
    <m/>
    <x v="3"/>
  </r>
  <r>
    <n v="1784"/>
    <d v="2025-04-25T00:00:00"/>
    <n v="25"/>
    <s v="Female"/>
    <s v="East"/>
    <x v="1"/>
    <s v="CAMP6"/>
    <n v="247.5"/>
    <n v="7"/>
    <n v="0"/>
    <x v="11"/>
    <n v="0"/>
    <n v="0"/>
    <m/>
    <x v="3"/>
  </r>
  <r>
    <n v="2750"/>
    <d v="2025-04-25T00:00:00"/>
    <n v="29"/>
    <s v="Male"/>
    <s v="South"/>
    <x v="0"/>
    <m/>
    <n v="222.3"/>
    <n v="4"/>
    <n v="0"/>
    <x v="11"/>
    <n v="0"/>
    <n v="0"/>
    <m/>
    <x v="3"/>
  </r>
  <r>
    <n v="3888"/>
    <d v="2025-04-25T00:00:00"/>
    <n v="39"/>
    <s v="Male"/>
    <s v="North"/>
    <x v="1"/>
    <s v="CAMP6"/>
    <n v="172.1"/>
    <n v="4"/>
    <n v="0"/>
    <x v="11"/>
    <n v="0"/>
    <n v="0"/>
    <m/>
    <x v="3"/>
  </r>
  <r>
    <n v="2329"/>
    <d v="2025-04-25T00:00:00"/>
    <n v="32"/>
    <s v="Male"/>
    <s v="South"/>
    <x v="3"/>
    <m/>
    <n v="159.69999999999999"/>
    <n v="8"/>
    <n v="0"/>
    <x v="11"/>
    <n v="0"/>
    <n v="0"/>
    <m/>
    <x v="3"/>
  </r>
  <r>
    <n v="102"/>
    <d v="2025-04-25T00:00:00"/>
    <n v="26"/>
    <s v="Female"/>
    <s v="East"/>
    <x v="1"/>
    <s v="CAMP1"/>
    <n v="114.9"/>
    <n v="2"/>
    <n v="0"/>
    <x v="11"/>
    <n v="0"/>
    <n v="0"/>
    <m/>
    <x v="3"/>
  </r>
  <r>
    <n v="1299"/>
    <d v="2025-04-25T00:00:00"/>
    <n v="24"/>
    <s v="Female"/>
    <s v="North"/>
    <x v="0"/>
    <m/>
    <n v="88.7"/>
    <n v="5"/>
    <n v="0"/>
    <x v="11"/>
    <n v="0"/>
    <n v="0"/>
    <m/>
    <x v="3"/>
  </r>
  <r>
    <n v="2127"/>
    <d v="2025-04-25T00:00:00"/>
    <n v="42"/>
    <s v="Female"/>
    <s v="North"/>
    <x v="3"/>
    <m/>
    <n v="83"/>
    <n v="7"/>
    <n v="0"/>
    <x v="11"/>
    <n v="0"/>
    <n v="0"/>
    <m/>
    <x v="3"/>
  </r>
  <r>
    <n v="347"/>
    <d v="2025-04-25T00:00:00"/>
    <n v="33"/>
    <s v="Female"/>
    <s v="East"/>
    <x v="0"/>
    <m/>
    <n v="62.7"/>
    <n v="9"/>
    <n v="0"/>
    <x v="11"/>
    <n v="0"/>
    <n v="0"/>
    <m/>
    <x v="3"/>
  </r>
  <r>
    <n v="929"/>
    <d v="2025-04-25T00:00:00"/>
    <n v="40"/>
    <s v="Female"/>
    <s v="North"/>
    <x v="2"/>
    <m/>
    <n v="59"/>
    <n v="6"/>
    <n v="0"/>
    <x v="11"/>
    <n v="0"/>
    <n v="0"/>
    <m/>
    <x v="3"/>
  </r>
  <r>
    <n v="4290"/>
    <d v="2025-05-25T00:00:00"/>
    <n v="32"/>
    <s v="Female"/>
    <s v="East"/>
    <x v="0"/>
    <m/>
    <n v="1264"/>
    <n v="9"/>
    <n v="1"/>
    <x v="1374"/>
    <n v="2"/>
    <n v="10"/>
    <n v="4"/>
    <x v="4"/>
  </r>
  <r>
    <n v="2569"/>
    <d v="2025-05-25T00:00:00"/>
    <n v="47"/>
    <s v="Female"/>
    <s v="South"/>
    <x v="3"/>
    <m/>
    <n v="571.29999999999995"/>
    <n v="9"/>
    <n v="1"/>
    <x v="1375"/>
    <n v="3"/>
    <n v="10"/>
    <n v="4"/>
    <x v="4"/>
  </r>
  <r>
    <n v="1756"/>
    <d v="2025-05-25T00:00:00"/>
    <n v="29"/>
    <s v="Female"/>
    <s v="South"/>
    <x v="1"/>
    <s v="CAMP1"/>
    <n v="490.8"/>
    <n v="7"/>
    <n v="1"/>
    <x v="1376"/>
    <n v="3"/>
    <n v="1"/>
    <n v="4"/>
    <x v="4"/>
  </r>
  <r>
    <n v="3476"/>
    <d v="2025-05-25T00:00:00"/>
    <n v="28"/>
    <s v="Male"/>
    <s v="North"/>
    <x v="2"/>
    <m/>
    <n v="1156.2"/>
    <n v="3"/>
    <n v="1"/>
    <x v="1377"/>
    <n v="1"/>
    <n v="11"/>
    <n v="4"/>
    <x v="4"/>
  </r>
  <r>
    <n v="1308"/>
    <d v="2025-05-25T00:00:00"/>
    <n v="27"/>
    <s v="Female"/>
    <s v="West"/>
    <x v="0"/>
    <m/>
    <n v="313.10000000000002"/>
    <n v="8"/>
    <n v="1"/>
    <x v="1378"/>
    <n v="1"/>
    <n v="9"/>
    <n v="4"/>
    <x v="4"/>
  </r>
  <r>
    <n v="3502"/>
    <d v="2025-05-25T00:00:00"/>
    <n v="41"/>
    <s v="Male"/>
    <s v="East"/>
    <x v="0"/>
    <m/>
    <n v="776.7"/>
    <n v="8"/>
    <n v="1"/>
    <x v="1379"/>
    <n v="1"/>
    <n v="9"/>
    <n v="5"/>
    <x v="4"/>
  </r>
  <r>
    <n v="4454"/>
    <d v="2025-05-25T00:00:00"/>
    <n v="59"/>
    <s v="Female"/>
    <s v="West"/>
    <x v="0"/>
    <m/>
    <n v="346.6"/>
    <n v="7"/>
    <n v="1"/>
    <x v="1380"/>
    <n v="2"/>
    <n v="4"/>
    <n v="4"/>
    <x v="4"/>
  </r>
  <r>
    <n v="821"/>
    <d v="2025-05-25T00:00:00"/>
    <n v="28"/>
    <s v="Female"/>
    <s v="East"/>
    <x v="0"/>
    <m/>
    <n v="188.1"/>
    <n v="6"/>
    <n v="1"/>
    <x v="1381"/>
    <n v="6"/>
    <n v="3"/>
    <n v="5"/>
    <x v="4"/>
  </r>
  <r>
    <n v="4002"/>
    <d v="2025-05-25T00:00:00"/>
    <n v="54"/>
    <s v="Female"/>
    <s v="West"/>
    <x v="1"/>
    <s v="CAMP6"/>
    <n v="734.6"/>
    <n v="2"/>
    <n v="1"/>
    <x v="1382"/>
    <n v="3"/>
    <n v="2"/>
    <n v="4"/>
    <x v="4"/>
  </r>
  <r>
    <n v="1295"/>
    <d v="2025-05-25T00:00:00"/>
    <n v="18"/>
    <s v="Male"/>
    <s v="South"/>
    <x v="3"/>
    <m/>
    <n v="370.5"/>
    <n v="6"/>
    <n v="1"/>
    <x v="1383"/>
    <n v="6"/>
    <n v="3"/>
    <n v="5"/>
    <x v="4"/>
  </r>
  <r>
    <n v="3319"/>
    <d v="2025-05-25T00:00:00"/>
    <n v="51"/>
    <s v="Female"/>
    <s v="North"/>
    <x v="0"/>
    <m/>
    <n v="355.5"/>
    <n v="3"/>
    <n v="1"/>
    <x v="1384"/>
    <n v="3"/>
    <n v="15"/>
    <n v="4"/>
    <x v="4"/>
  </r>
  <r>
    <n v="3288"/>
    <d v="2025-05-25T00:00:00"/>
    <n v="40"/>
    <s v="Female"/>
    <s v="East"/>
    <x v="2"/>
    <m/>
    <n v="1162.9000000000001"/>
    <n v="10"/>
    <n v="0"/>
    <x v="11"/>
    <n v="0"/>
    <n v="0"/>
    <m/>
    <x v="4"/>
  </r>
  <r>
    <n v="1608"/>
    <d v="2025-05-25T00:00:00"/>
    <n v="32"/>
    <s v="Female"/>
    <s v="West"/>
    <x v="1"/>
    <s v="CAMP2"/>
    <n v="650.20000000000005"/>
    <n v="8"/>
    <n v="0"/>
    <x v="11"/>
    <n v="0"/>
    <n v="0"/>
    <m/>
    <x v="4"/>
  </r>
  <r>
    <n v="117"/>
    <d v="2025-05-25T00:00:00"/>
    <n v="30"/>
    <s v="Female"/>
    <s v="East"/>
    <x v="0"/>
    <m/>
    <n v="506.5"/>
    <n v="7"/>
    <n v="0"/>
    <x v="11"/>
    <n v="0"/>
    <n v="0"/>
    <m/>
    <x v="4"/>
  </r>
  <r>
    <n v="1893"/>
    <d v="2025-05-25T00:00:00"/>
    <n v="36"/>
    <s v="Male"/>
    <s v="East"/>
    <x v="1"/>
    <s v="CAMP7"/>
    <n v="460.1"/>
    <n v="6"/>
    <n v="0"/>
    <x v="11"/>
    <n v="0"/>
    <n v="0"/>
    <m/>
    <x v="4"/>
  </r>
  <r>
    <n v="3327"/>
    <d v="2025-05-25T00:00:00"/>
    <n v="36"/>
    <s v="Female"/>
    <s v="East"/>
    <x v="1"/>
    <s v="CAMP4"/>
    <n v="416.1"/>
    <n v="6"/>
    <n v="0"/>
    <x v="11"/>
    <n v="0"/>
    <n v="0"/>
    <m/>
    <x v="4"/>
  </r>
  <r>
    <n v="4883"/>
    <d v="2025-05-25T00:00:00"/>
    <n v="59"/>
    <s v="Other"/>
    <s v="North"/>
    <x v="1"/>
    <s v="CAMP2"/>
    <n v="413.6"/>
    <n v="5"/>
    <n v="0"/>
    <x v="11"/>
    <n v="0"/>
    <n v="0"/>
    <m/>
    <x v="4"/>
  </r>
  <r>
    <n v="2121"/>
    <d v="2025-05-25T00:00:00"/>
    <n v="32"/>
    <s v="Female"/>
    <s v="West"/>
    <x v="2"/>
    <m/>
    <n v="411.2"/>
    <n v="7"/>
    <n v="0"/>
    <x v="11"/>
    <n v="0"/>
    <n v="0"/>
    <m/>
    <x v="4"/>
  </r>
  <r>
    <n v="2212"/>
    <d v="2025-05-25T00:00:00"/>
    <n v="28"/>
    <s v="Male"/>
    <s v="South"/>
    <x v="2"/>
    <m/>
    <n v="343.1"/>
    <n v="8"/>
    <n v="0"/>
    <x v="11"/>
    <n v="0"/>
    <n v="0"/>
    <m/>
    <x v="4"/>
  </r>
  <r>
    <n v="1936"/>
    <d v="2025-05-25T00:00:00"/>
    <n v="38"/>
    <s v="Male"/>
    <s v="South"/>
    <x v="0"/>
    <m/>
    <n v="303.60000000000002"/>
    <n v="9"/>
    <n v="0"/>
    <x v="11"/>
    <n v="0"/>
    <n v="0"/>
    <m/>
    <x v="4"/>
  </r>
  <r>
    <n v="386"/>
    <d v="2025-05-25T00:00:00"/>
    <n v="30"/>
    <s v="Other"/>
    <s v="West"/>
    <x v="0"/>
    <m/>
    <n v="299.39999999999998"/>
    <n v="7"/>
    <n v="0"/>
    <x v="11"/>
    <n v="0"/>
    <n v="0"/>
    <m/>
    <x v="4"/>
  </r>
  <r>
    <n v="3300"/>
    <d v="2025-05-25T00:00:00"/>
    <n v="31"/>
    <s v="Male"/>
    <s v="East"/>
    <x v="3"/>
    <m/>
    <n v="266.89999999999998"/>
    <n v="5"/>
    <n v="0"/>
    <x v="11"/>
    <n v="0"/>
    <n v="0"/>
    <m/>
    <x v="4"/>
  </r>
  <r>
    <n v="68"/>
    <d v="2025-05-25T00:00:00"/>
    <n v="28"/>
    <s v="Male"/>
    <s v="North"/>
    <x v="0"/>
    <m/>
    <n v="243"/>
    <n v="5"/>
    <n v="0"/>
    <x v="11"/>
    <n v="0"/>
    <n v="0"/>
    <m/>
    <x v="4"/>
  </r>
  <r>
    <n v="3131"/>
    <d v="2025-05-25T00:00:00"/>
    <n v="24"/>
    <s v="Male"/>
    <s v="South"/>
    <x v="0"/>
    <m/>
    <n v="240.6"/>
    <n v="5"/>
    <n v="0"/>
    <x v="11"/>
    <n v="0"/>
    <n v="0"/>
    <m/>
    <x v="4"/>
  </r>
  <r>
    <n v="3679"/>
    <d v="2025-05-25T00:00:00"/>
    <n v="29"/>
    <s v="Female"/>
    <s v="East"/>
    <x v="0"/>
    <m/>
    <n v="238.6"/>
    <n v="3"/>
    <n v="0"/>
    <x v="11"/>
    <n v="0"/>
    <n v="0"/>
    <m/>
    <x v="4"/>
  </r>
  <r>
    <n v="2592"/>
    <d v="2025-05-25T00:00:00"/>
    <n v="45"/>
    <s v="Female"/>
    <s v="East"/>
    <x v="0"/>
    <m/>
    <n v="233.4"/>
    <n v="8"/>
    <n v="0"/>
    <x v="11"/>
    <n v="0"/>
    <n v="0"/>
    <m/>
    <x v="4"/>
  </r>
  <r>
    <n v="1529"/>
    <d v="2025-05-25T00:00:00"/>
    <n v="33"/>
    <s v="Male"/>
    <s v="East"/>
    <x v="1"/>
    <s v="CAMP7"/>
    <n v="177.4"/>
    <n v="5"/>
    <n v="0"/>
    <x v="11"/>
    <n v="0"/>
    <n v="0"/>
    <m/>
    <x v="4"/>
  </r>
  <r>
    <n v="4633"/>
    <d v="2025-05-25T00:00:00"/>
    <n v="49"/>
    <s v="Male"/>
    <s v="East"/>
    <x v="0"/>
    <m/>
    <n v="170.2"/>
    <n v="5"/>
    <n v="0"/>
    <x v="11"/>
    <n v="0"/>
    <n v="0"/>
    <m/>
    <x v="4"/>
  </r>
  <r>
    <n v="3920"/>
    <d v="2025-05-25T00:00:00"/>
    <n v="51"/>
    <s v="Female"/>
    <s v="East"/>
    <x v="2"/>
    <m/>
    <n v="165.1"/>
    <n v="6"/>
    <n v="0"/>
    <x v="11"/>
    <n v="0"/>
    <n v="0"/>
    <m/>
    <x v="4"/>
  </r>
  <r>
    <n v="2992"/>
    <d v="2025-05-25T00:00:00"/>
    <n v="35"/>
    <s v="Male"/>
    <s v="South"/>
    <x v="0"/>
    <m/>
    <n v="152.30000000000001"/>
    <n v="1"/>
    <n v="0"/>
    <x v="11"/>
    <n v="0"/>
    <n v="0"/>
    <m/>
    <x v="4"/>
  </r>
  <r>
    <n v="4750"/>
    <d v="2025-05-25T00:00:00"/>
    <n v="52"/>
    <s v="Female"/>
    <s v="South"/>
    <x v="2"/>
    <m/>
    <n v="142.30000000000001"/>
    <n v="8"/>
    <n v="0"/>
    <x v="11"/>
    <n v="0"/>
    <n v="0"/>
    <m/>
    <x v="4"/>
  </r>
  <r>
    <n v="3785"/>
    <d v="2025-05-25T00:00:00"/>
    <n v="37"/>
    <s v="Male"/>
    <s v="West"/>
    <x v="0"/>
    <m/>
    <n v="88.5"/>
    <n v="6"/>
    <n v="0"/>
    <x v="11"/>
    <n v="0"/>
    <n v="0"/>
    <m/>
    <x v="4"/>
  </r>
  <r>
    <n v="2301"/>
    <d v="2025-05-25T00:00:00"/>
    <n v="46"/>
    <s v="Female"/>
    <s v="South"/>
    <x v="0"/>
    <m/>
    <n v="77.3"/>
    <n v="5"/>
    <n v="0"/>
    <x v="11"/>
    <n v="0"/>
    <n v="0"/>
    <m/>
    <x v="4"/>
  </r>
  <r>
    <n v="4949"/>
    <d v="2025-05-25T00:00:00"/>
    <n v="47"/>
    <s v="Male"/>
    <s v="South"/>
    <x v="0"/>
    <m/>
    <n v="71.599999999999994"/>
    <n v="8"/>
    <n v="0"/>
    <x v="11"/>
    <n v="0"/>
    <n v="0"/>
    <m/>
    <x v="4"/>
  </r>
  <r>
    <n v="3447"/>
    <d v="2025-05-25T00:00:00"/>
    <n v="39"/>
    <s v="Male"/>
    <s v="East"/>
    <x v="0"/>
    <m/>
    <n v="63.6"/>
    <n v="4"/>
    <n v="0"/>
    <x v="11"/>
    <n v="0"/>
    <n v="0"/>
    <m/>
    <x v="4"/>
  </r>
  <r>
    <n v="2525"/>
    <d v="2025-05-25T00:00:00"/>
    <n v="28"/>
    <s v="Female"/>
    <s v="East"/>
    <x v="0"/>
    <m/>
    <n v="61.6"/>
    <n v="5"/>
    <n v="0"/>
    <x v="11"/>
    <n v="0"/>
    <n v="0"/>
    <m/>
    <x v="4"/>
  </r>
  <r>
    <n v="3551"/>
    <d v="2025-05-25T00:00:00"/>
    <n v="30"/>
    <s v="Male"/>
    <s v="South"/>
    <x v="0"/>
    <m/>
    <n v="47.5"/>
    <n v="5"/>
    <n v="0"/>
    <x v="11"/>
    <n v="0"/>
    <n v="0"/>
    <m/>
    <x v="4"/>
  </r>
  <r>
    <n v="1982"/>
    <d v="2025-05-25T00:00:00"/>
    <n v="36"/>
    <s v="Female"/>
    <s v="West"/>
    <x v="2"/>
    <m/>
    <n v="42.8"/>
    <n v="8"/>
    <n v="0"/>
    <x v="11"/>
    <n v="0"/>
    <n v="0"/>
    <m/>
    <x v="4"/>
  </r>
  <r>
    <n v="2806"/>
    <d v="2025-06-25T00:00:00"/>
    <n v="39"/>
    <s v="Male"/>
    <s v="South"/>
    <x v="0"/>
    <m/>
    <n v="421.4"/>
    <n v="4"/>
    <n v="1"/>
    <x v="1385"/>
    <n v="5"/>
    <n v="4"/>
    <n v="4"/>
    <x v="5"/>
  </r>
  <r>
    <n v="1682"/>
    <d v="2025-06-25T00:00:00"/>
    <n v="27"/>
    <s v="Male"/>
    <s v="East"/>
    <x v="1"/>
    <s v="CAMP7"/>
    <n v="451.9"/>
    <n v="4"/>
    <n v="1"/>
    <x v="166"/>
    <n v="3"/>
    <n v="8"/>
    <n v="4"/>
    <x v="5"/>
  </r>
  <r>
    <n v="4991"/>
    <d v="2025-06-25T00:00:00"/>
    <n v="50"/>
    <s v="Male"/>
    <s v="West"/>
    <x v="2"/>
    <m/>
    <n v="560.20000000000005"/>
    <n v="10"/>
    <n v="1"/>
    <x v="1386"/>
    <n v="4"/>
    <n v="4"/>
    <n v="4"/>
    <x v="5"/>
  </r>
  <r>
    <n v="3097"/>
    <d v="2025-06-25T00:00:00"/>
    <n v="18"/>
    <s v="Female"/>
    <s v="North"/>
    <x v="2"/>
    <m/>
    <n v="235.1"/>
    <n v="5"/>
    <n v="1"/>
    <x v="1387"/>
    <n v="7"/>
    <n v="4"/>
    <n v="4"/>
    <x v="5"/>
  </r>
  <r>
    <n v="1467"/>
    <d v="2025-06-25T00:00:00"/>
    <n v="24"/>
    <s v="Male"/>
    <s v="North"/>
    <x v="1"/>
    <s v="CAMP1"/>
    <n v="670.2"/>
    <n v="9"/>
    <n v="1"/>
    <x v="1388"/>
    <n v="2"/>
    <n v="6"/>
    <n v="4"/>
    <x v="5"/>
  </r>
  <r>
    <n v="227"/>
    <d v="2025-06-25T00:00:00"/>
    <n v="30"/>
    <s v="Female"/>
    <s v="South"/>
    <x v="1"/>
    <s v="CAMP3"/>
    <n v="675.5"/>
    <n v="8"/>
    <n v="1"/>
    <x v="1389"/>
    <n v="2"/>
    <n v="9"/>
    <n v="4"/>
    <x v="5"/>
  </r>
  <r>
    <n v="2907"/>
    <d v="2025-06-25T00:00:00"/>
    <n v="55"/>
    <s v="Male"/>
    <s v="North"/>
    <x v="0"/>
    <m/>
    <n v="1348.8"/>
    <n v="10"/>
    <n v="1"/>
    <x v="1390"/>
    <n v="3"/>
    <n v="2"/>
    <n v="4"/>
    <x v="5"/>
  </r>
  <r>
    <n v="1325"/>
    <d v="2025-06-25T00:00:00"/>
    <n v="30"/>
    <s v="Male"/>
    <s v="North"/>
    <x v="2"/>
    <m/>
    <n v="188.1"/>
    <n v="8"/>
    <n v="1"/>
    <x v="653"/>
    <n v="1"/>
    <n v="4"/>
    <n v="4"/>
    <x v="5"/>
  </r>
  <r>
    <n v="2201"/>
    <d v="2025-06-25T00:00:00"/>
    <n v="35"/>
    <s v="Male"/>
    <s v="South"/>
    <x v="2"/>
    <m/>
    <n v="121.8"/>
    <n v="5"/>
    <n v="1"/>
    <x v="1391"/>
    <n v="3"/>
    <n v="10"/>
    <n v="4"/>
    <x v="5"/>
  </r>
  <r>
    <n v="4690"/>
    <d v="2025-06-25T00:00:00"/>
    <n v="47"/>
    <s v="Male"/>
    <s v="South"/>
    <x v="3"/>
    <m/>
    <n v="681.3"/>
    <n v="4"/>
    <n v="0"/>
    <x v="11"/>
    <n v="0"/>
    <n v="0"/>
    <m/>
    <x v="5"/>
  </r>
  <r>
    <n v="3527"/>
    <d v="2025-06-25T00:00:00"/>
    <n v="32"/>
    <s v="Female"/>
    <s v="North"/>
    <x v="0"/>
    <m/>
    <n v="633.4"/>
    <n v="3"/>
    <n v="0"/>
    <x v="11"/>
    <n v="0"/>
    <n v="0"/>
    <m/>
    <x v="5"/>
  </r>
  <r>
    <n v="2702"/>
    <d v="2025-06-25T00:00:00"/>
    <n v="30"/>
    <s v="Male"/>
    <s v="West"/>
    <x v="1"/>
    <s v="CAMP4"/>
    <n v="512.4"/>
    <n v="5"/>
    <n v="0"/>
    <x v="11"/>
    <n v="0"/>
    <n v="0"/>
    <m/>
    <x v="5"/>
  </r>
  <r>
    <n v="3507"/>
    <d v="2025-06-25T00:00:00"/>
    <n v="45"/>
    <s v="Female"/>
    <s v="West"/>
    <x v="2"/>
    <m/>
    <n v="506.8"/>
    <n v="9"/>
    <n v="0"/>
    <x v="11"/>
    <n v="0"/>
    <n v="0"/>
    <m/>
    <x v="5"/>
  </r>
  <r>
    <n v="499"/>
    <d v="2025-06-25T00:00:00"/>
    <n v="18"/>
    <s v="Female"/>
    <s v="North"/>
    <x v="0"/>
    <m/>
    <n v="391.4"/>
    <n v="6"/>
    <n v="0"/>
    <x v="11"/>
    <n v="0"/>
    <n v="0"/>
    <m/>
    <x v="5"/>
  </r>
  <r>
    <n v="1755"/>
    <d v="2025-06-25T00:00:00"/>
    <n v="32"/>
    <s v="Female"/>
    <s v="East"/>
    <x v="1"/>
    <s v="CAMP5"/>
    <n v="378.3"/>
    <n v="4"/>
    <n v="0"/>
    <x v="11"/>
    <n v="0"/>
    <n v="0"/>
    <m/>
    <x v="5"/>
  </r>
  <r>
    <n v="4037"/>
    <d v="2025-06-25T00:00:00"/>
    <n v="51"/>
    <s v="Male"/>
    <s v="South"/>
    <x v="0"/>
    <m/>
    <n v="367.4"/>
    <n v="5"/>
    <n v="0"/>
    <x v="11"/>
    <n v="0"/>
    <n v="0"/>
    <m/>
    <x v="5"/>
  </r>
  <r>
    <n v="3971"/>
    <d v="2025-06-25T00:00:00"/>
    <n v="48"/>
    <s v="Female"/>
    <s v="East"/>
    <x v="3"/>
    <m/>
    <n v="328.4"/>
    <n v="5"/>
    <n v="0"/>
    <x v="11"/>
    <n v="0"/>
    <n v="0"/>
    <m/>
    <x v="5"/>
  </r>
  <r>
    <n v="1335"/>
    <d v="2025-06-25T00:00:00"/>
    <n v="18"/>
    <s v="Female"/>
    <s v="North"/>
    <x v="0"/>
    <m/>
    <n v="315.60000000000002"/>
    <n v="8"/>
    <n v="0"/>
    <x v="11"/>
    <n v="0"/>
    <n v="0"/>
    <m/>
    <x v="5"/>
  </r>
  <r>
    <n v="1197"/>
    <d v="2025-06-25T00:00:00"/>
    <n v="22"/>
    <s v="Male"/>
    <s v="West"/>
    <x v="0"/>
    <m/>
    <n v="270.39999999999998"/>
    <n v="7"/>
    <n v="0"/>
    <x v="11"/>
    <n v="0"/>
    <n v="0"/>
    <m/>
    <x v="5"/>
  </r>
  <r>
    <n v="3953"/>
    <d v="2025-06-25T00:00:00"/>
    <n v="31"/>
    <s v="Male"/>
    <s v="East"/>
    <x v="1"/>
    <s v="CAMP3"/>
    <n v="264.89999999999998"/>
    <n v="2"/>
    <n v="0"/>
    <x v="11"/>
    <n v="0"/>
    <n v="0"/>
    <m/>
    <x v="5"/>
  </r>
  <r>
    <n v="3513"/>
    <d v="2025-06-25T00:00:00"/>
    <n v="27"/>
    <s v="Female"/>
    <s v="South"/>
    <x v="1"/>
    <s v="CAMP2"/>
    <n v="228.1"/>
    <n v="12"/>
    <n v="0"/>
    <x v="11"/>
    <n v="0"/>
    <n v="0"/>
    <m/>
    <x v="5"/>
  </r>
  <r>
    <n v="4981"/>
    <d v="2025-06-25T00:00:00"/>
    <n v="39"/>
    <s v="Male"/>
    <s v="West"/>
    <x v="0"/>
    <m/>
    <n v="157"/>
    <n v="3"/>
    <n v="0"/>
    <x v="11"/>
    <n v="0"/>
    <n v="0"/>
    <m/>
    <x v="5"/>
  </r>
  <r>
    <n v="2718"/>
    <d v="2025-06-25T00:00:00"/>
    <n v="37"/>
    <s v="Male"/>
    <s v="North"/>
    <x v="2"/>
    <m/>
    <n v="141.80000000000001"/>
    <n v="1"/>
    <n v="0"/>
    <x v="11"/>
    <n v="0"/>
    <n v="0"/>
    <m/>
    <x v="5"/>
  </r>
  <r>
    <n v="4579"/>
    <d v="2025-06-25T00:00:00"/>
    <n v="48"/>
    <s v="Male"/>
    <s v="West"/>
    <x v="0"/>
    <m/>
    <n v="122.1"/>
    <n v="8"/>
    <n v="0"/>
    <x v="11"/>
    <n v="0"/>
    <n v="0"/>
    <m/>
    <x v="5"/>
  </r>
  <r>
    <n v="306"/>
    <d v="2025-06-25T00:00:00"/>
    <n v="36"/>
    <s v="Female"/>
    <s v="East"/>
    <x v="3"/>
    <m/>
    <n v="73.599999999999994"/>
    <n v="7"/>
    <n v="0"/>
    <x v="11"/>
    <n v="0"/>
    <n v="0"/>
    <m/>
    <x v="5"/>
  </r>
  <r>
    <n v="431"/>
    <d v="2025-01-26T00:00:00"/>
    <n v="20"/>
    <s v="Female"/>
    <s v="North"/>
    <x v="3"/>
    <m/>
    <n v="214.8"/>
    <n v="4"/>
    <n v="1"/>
    <x v="1392"/>
    <n v="1"/>
    <n v="5"/>
    <n v="4"/>
    <x v="0"/>
  </r>
  <r>
    <n v="833"/>
    <d v="2025-01-26T00:00:00"/>
    <n v="18"/>
    <s v="Female"/>
    <s v="East"/>
    <x v="2"/>
    <m/>
    <n v="704.1"/>
    <n v="7"/>
    <n v="1"/>
    <x v="1393"/>
    <n v="4"/>
    <n v="10"/>
    <n v="5"/>
    <x v="0"/>
  </r>
  <r>
    <n v="2360"/>
    <d v="2025-01-26T00:00:00"/>
    <n v="23"/>
    <s v="Female"/>
    <s v="East"/>
    <x v="2"/>
    <m/>
    <n v="158.6"/>
    <n v="6"/>
    <n v="1"/>
    <x v="1394"/>
    <n v="2"/>
    <n v="15"/>
    <n v="5"/>
    <x v="0"/>
  </r>
  <r>
    <n v="2394"/>
    <d v="2025-01-26T00:00:00"/>
    <n v="36"/>
    <s v="Male"/>
    <s v="East"/>
    <x v="2"/>
    <m/>
    <n v="153.9"/>
    <n v="2"/>
    <n v="1"/>
    <x v="1395"/>
    <n v="3"/>
    <n v="4"/>
    <n v="4"/>
    <x v="0"/>
  </r>
  <r>
    <n v="2456"/>
    <d v="2025-01-26T00:00:00"/>
    <n v="25"/>
    <s v="Female"/>
    <s v="East"/>
    <x v="0"/>
    <m/>
    <n v="857"/>
    <n v="6"/>
    <n v="1"/>
    <x v="1396"/>
    <n v="4"/>
    <n v="9"/>
    <n v="4"/>
    <x v="0"/>
  </r>
  <r>
    <n v="4848"/>
    <d v="2025-01-26T00:00:00"/>
    <n v="43"/>
    <s v="Female"/>
    <s v="East"/>
    <x v="0"/>
    <m/>
    <n v="809.1"/>
    <n v="7"/>
    <n v="1"/>
    <x v="1397"/>
    <n v="2"/>
    <n v="4"/>
    <n v="4"/>
    <x v="0"/>
  </r>
  <r>
    <n v="3612"/>
    <d v="2025-01-26T00:00:00"/>
    <n v="26"/>
    <s v="Male"/>
    <s v="East"/>
    <x v="0"/>
    <m/>
    <n v="1058"/>
    <n v="4"/>
    <n v="1"/>
    <x v="1398"/>
    <n v="3"/>
    <n v="9"/>
    <n v="5"/>
    <x v="0"/>
  </r>
  <r>
    <n v="727"/>
    <d v="2025-01-26T00:00:00"/>
    <n v="21"/>
    <s v="Female"/>
    <s v="East"/>
    <x v="3"/>
    <m/>
    <n v="226.9"/>
    <n v="9"/>
    <n v="1"/>
    <x v="1399"/>
    <n v="2"/>
    <n v="15"/>
    <n v="5"/>
    <x v="0"/>
  </r>
  <r>
    <n v="67"/>
    <d v="2025-01-26T00:00:00"/>
    <n v="23"/>
    <s v="Other"/>
    <s v="South"/>
    <x v="1"/>
    <s v="CAMP2"/>
    <n v="525.70000000000005"/>
    <n v="5"/>
    <n v="1"/>
    <x v="1159"/>
    <n v="3"/>
    <n v="10"/>
    <n v="5"/>
    <x v="0"/>
  </r>
  <r>
    <n v="1435"/>
    <d v="2025-01-26T00:00:00"/>
    <n v="38"/>
    <s v="Male"/>
    <s v="East"/>
    <x v="3"/>
    <m/>
    <n v="729.7"/>
    <n v="5"/>
    <n v="1"/>
    <x v="432"/>
    <n v="3"/>
    <n v="2"/>
    <n v="5"/>
    <x v="0"/>
  </r>
  <r>
    <n v="3329"/>
    <d v="2025-01-26T00:00:00"/>
    <n v="21"/>
    <s v="Male"/>
    <s v="South"/>
    <x v="0"/>
    <m/>
    <n v="442.9"/>
    <n v="7"/>
    <n v="1"/>
    <x v="1400"/>
    <n v="2"/>
    <n v="15"/>
    <n v="4"/>
    <x v="0"/>
  </r>
  <r>
    <n v="2111"/>
    <d v="2025-01-26T00:00:00"/>
    <n v="32"/>
    <s v="Male"/>
    <s v="North"/>
    <x v="3"/>
    <m/>
    <n v="789.9"/>
    <n v="4"/>
    <n v="1"/>
    <x v="1401"/>
    <n v="5"/>
    <n v="7"/>
    <n v="4"/>
    <x v="0"/>
  </r>
  <r>
    <n v="3601"/>
    <d v="2025-01-26T00:00:00"/>
    <n v="41"/>
    <s v="Female"/>
    <s v="East"/>
    <x v="0"/>
    <m/>
    <n v="441.9"/>
    <n v="9"/>
    <n v="1"/>
    <x v="1402"/>
    <n v="3"/>
    <n v="2"/>
    <n v="3"/>
    <x v="0"/>
  </r>
  <r>
    <n v="2595"/>
    <d v="2025-01-26T00:00:00"/>
    <n v="27"/>
    <s v="Female"/>
    <s v="South"/>
    <x v="1"/>
    <s v="CAMP4"/>
    <n v="1298.2"/>
    <n v="5"/>
    <n v="1"/>
    <x v="1403"/>
    <n v="2"/>
    <n v="13"/>
    <n v="5"/>
    <x v="0"/>
  </r>
  <r>
    <n v="2412"/>
    <d v="2025-01-26T00:00:00"/>
    <n v="41"/>
    <s v="Female"/>
    <s v="West"/>
    <x v="3"/>
    <m/>
    <n v="282.5"/>
    <n v="4"/>
    <n v="1"/>
    <x v="1404"/>
    <n v="5"/>
    <n v="3"/>
    <n v="4"/>
    <x v="0"/>
  </r>
  <r>
    <n v="4687"/>
    <d v="2025-01-26T00:00:00"/>
    <n v="56"/>
    <s v="Female"/>
    <s v="North"/>
    <x v="0"/>
    <m/>
    <n v="369.7"/>
    <n v="6"/>
    <n v="1"/>
    <x v="1405"/>
    <n v="2"/>
    <n v="11"/>
    <n v="4"/>
    <x v="0"/>
  </r>
  <r>
    <n v="2285"/>
    <d v="2025-01-26T00:00:00"/>
    <n v="24"/>
    <s v="Male"/>
    <s v="West"/>
    <x v="2"/>
    <m/>
    <n v="410.7"/>
    <n v="5"/>
    <n v="0"/>
    <x v="11"/>
    <n v="0"/>
    <n v="0"/>
    <m/>
    <x v="0"/>
  </r>
  <r>
    <n v="4408"/>
    <d v="2025-01-26T00:00:00"/>
    <n v="63"/>
    <s v="Male"/>
    <s v="East"/>
    <x v="3"/>
    <m/>
    <n v="398.5"/>
    <n v="12"/>
    <n v="0"/>
    <x v="11"/>
    <n v="0"/>
    <n v="0"/>
    <m/>
    <x v="0"/>
  </r>
  <r>
    <n v="3555"/>
    <d v="2025-01-26T00:00:00"/>
    <n v="31"/>
    <s v="Male"/>
    <s v="North"/>
    <x v="2"/>
    <m/>
    <n v="378.6"/>
    <n v="11"/>
    <n v="0"/>
    <x v="11"/>
    <n v="0"/>
    <n v="0"/>
    <m/>
    <x v="0"/>
  </r>
  <r>
    <n v="920"/>
    <d v="2025-01-26T00:00:00"/>
    <n v="21"/>
    <s v="Male"/>
    <s v="East"/>
    <x v="0"/>
    <m/>
    <n v="318"/>
    <n v="4"/>
    <n v="0"/>
    <x v="11"/>
    <n v="0"/>
    <n v="0"/>
    <m/>
    <x v="0"/>
  </r>
  <r>
    <n v="263"/>
    <d v="2025-01-26T00:00:00"/>
    <n v="26"/>
    <s v="Female"/>
    <s v="South"/>
    <x v="0"/>
    <m/>
    <n v="317"/>
    <n v="3"/>
    <n v="0"/>
    <x v="11"/>
    <n v="0"/>
    <n v="0"/>
    <m/>
    <x v="0"/>
  </r>
  <r>
    <n v="2744"/>
    <d v="2025-01-26T00:00:00"/>
    <n v="36"/>
    <s v="Female"/>
    <s v="North"/>
    <x v="1"/>
    <s v="CAMP6"/>
    <n v="270.39999999999998"/>
    <n v="4"/>
    <n v="0"/>
    <x v="11"/>
    <n v="0"/>
    <n v="0"/>
    <m/>
    <x v="0"/>
  </r>
  <r>
    <n v="931"/>
    <d v="2025-01-26T00:00:00"/>
    <n v="19"/>
    <s v="Female"/>
    <s v="South"/>
    <x v="1"/>
    <s v="CAMP3"/>
    <n v="260.39999999999998"/>
    <n v="10"/>
    <n v="0"/>
    <x v="11"/>
    <n v="0"/>
    <n v="0"/>
    <m/>
    <x v="0"/>
  </r>
  <r>
    <n v="1721"/>
    <d v="2025-01-26T00:00:00"/>
    <n v="25"/>
    <s v="Female"/>
    <s v="South"/>
    <x v="1"/>
    <s v="CAMP2"/>
    <n v="243.5"/>
    <n v="7"/>
    <n v="0"/>
    <x v="11"/>
    <n v="0"/>
    <n v="0"/>
    <m/>
    <x v="0"/>
  </r>
  <r>
    <n v="4119"/>
    <d v="2025-01-26T00:00:00"/>
    <n v="51"/>
    <s v="Female"/>
    <s v="North"/>
    <x v="1"/>
    <s v="CAMP3"/>
    <n v="219.8"/>
    <n v="3"/>
    <n v="0"/>
    <x v="11"/>
    <n v="0"/>
    <n v="0"/>
    <m/>
    <x v="0"/>
  </r>
  <r>
    <n v="2157"/>
    <d v="2025-01-26T00:00:00"/>
    <n v="37"/>
    <s v="Male"/>
    <s v="East"/>
    <x v="0"/>
    <m/>
    <n v="203.6"/>
    <n v="7"/>
    <n v="0"/>
    <x v="11"/>
    <n v="0"/>
    <n v="0"/>
    <m/>
    <x v="0"/>
  </r>
  <r>
    <n v="22"/>
    <d v="2025-01-26T00:00:00"/>
    <n v="29"/>
    <s v="Female"/>
    <s v="East"/>
    <x v="1"/>
    <s v="CAMP4"/>
    <n v="186.8"/>
    <n v="5"/>
    <n v="0"/>
    <x v="11"/>
    <n v="0"/>
    <n v="0"/>
    <m/>
    <x v="0"/>
  </r>
  <r>
    <n v="2538"/>
    <d v="2025-01-26T00:00:00"/>
    <n v="37"/>
    <s v="Male"/>
    <s v="South"/>
    <x v="0"/>
    <m/>
    <n v="168.3"/>
    <n v="6"/>
    <n v="0"/>
    <x v="11"/>
    <n v="0"/>
    <n v="0"/>
    <m/>
    <x v="0"/>
  </r>
  <r>
    <n v="4297"/>
    <d v="2025-01-26T00:00:00"/>
    <n v="66"/>
    <s v="Other"/>
    <s v="South"/>
    <x v="1"/>
    <s v="CAMP7"/>
    <n v="152.19999999999999"/>
    <n v="3"/>
    <n v="0"/>
    <x v="11"/>
    <n v="0"/>
    <n v="0"/>
    <m/>
    <x v="0"/>
  </r>
  <r>
    <n v="755"/>
    <d v="2025-01-26T00:00:00"/>
    <n v="28"/>
    <s v="Male"/>
    <s v="North"/>
    <x v="0"/>
    <m/>
    <n v="131.19999999999999"/>
    <n v="8"/>
    <n v="0"/>
    <x v="11"/>
    <n v="0"/>
    <n v="0"/>
    <m/>
    <x v="0"/>
  </r>
  <r>
    <n v="1279"/>
    <d v="2025-01-26T00:00:00"/>
    <n v="34"/>
    <s v="Male"/>
    <s v="South"/>
    <x v="1"/>
    <s v="CAMP1"/>
    <n v="123.4"/>
    <n v="7"/>
    <n v="0"/>
    <x v="11"/>
    <n v="0"/>
    <n v="0"/>
    <m/>
    <x v="0"/>
  </r>
  <r>
    <n v="4458"/>
    <d v="2025-01-26T00:00:00"/>
    <n v="50"/>
    <s v="Other"/>
    <s v="West"/>
    <x v="0"/>
    <m/>
    <n v="113.9"/>
    <n v="8"/>
    <n v="0"/>
    <x v="11"/>
    <n v="0"/>
    <n v="0"/>
    <m/>
    <x v="0"/>
  </r>
  <r>
    <n v="3256"/>
    <d v="2025-01-26T00:00:00"/>
    <n v="34"/>
    <s v="Female"/>
    <s v="North"/>
    <x v="3"/>
    <m/>
    <n v="90.4"/>
    <n v="8"/>
    <n v="0"/>
    <x v="11"/>
    <n v="0"/>
    <n v="0"/>
    <m/>
    <x v="0"/>
  </r>
  <r>
    <n v="2014"/>
    <d v="2025-01-26T00:00:00"/>
    <n v="42"/>
    <s v="Female"/>
    <s v="West"/>
    <x v="2"/>
    <m/>
    <n v="29"/>
    <n v="6"/>
    <n v="0"/>
    <x v="11"/>
    <n v="0"/>
    <n v="0"/>
    <m/>
    <x v="0"/>
  </r>
  <r>
    <n v="3349"/>
    <d v="2025-02-26T00:00:00"/>
    <n v="18"/>
    <s v="Female"/>
    <s v="West"/>
    <x v="0"/>
    <m/>
    <n v="306.10000000000002"/>
    <n v="7"/>
    <n v="1"/>
    <x v="1406"/>
    <n v="1"/>
    <n v="7"/>
    <n v="5"/>
    <x v="1"/>
  </r>
  <r>
    <n v="4632"/>
    <d v="2025-02-26T00:00:00"/>
    <n v="62"/>
    <s v="Male"/>
    <s v="East"/>
    <x v="0"/>
    <m/>
    <n v="618.20000000000005"/>
    <n v="7"/>
    <n v="1"/>
    <x v="1407"/>
    <n v="6"/>
    <n v="1"/>
    <n v="4"/>
    <x v="1"/>
  </r>
  <r>
    <n v="3073"/>
    <d v="2025-02-26T00:00:00"/>
    <n v="33"/>
    <s v="Female"/>
    <s v="West"/>
    <x v="0"/>
    <m/>
    <n v="415.4"/>
    <n v="5"/>
    <n v="1"/>
    <x v="1408"/>
    <n v="4"/>
    <n v="4"/>
    <n v="3"/>
    <x v="1"/>
  </r>
  <r>
    <n v="3716"/>
    <d v="2025-02-26T00:00:00"/>
    <n v="18"/>
    <s v="Male"/>
    <s v="North"/>
    <x v="1"/>
    <s v="CAMP1"/>
    <n v="656.8"/>
    <n v="5"/>
    <n v="1"/>
    <x v="1409"/>
    <n v="2"/>
    <n v="14"/>
    <n v="4"/>
    <x v="1"/>
  </r>
  <r>
    <n v="2404"/>
    <d v="2025-02-26T00:00:00"/>
    <n v="36"/>
    <s v="Female"/>
    <s v="South"/>
    <x v="1"/>
    <s v="CAMP6"/>
    <n v="150.19999999999999"/>
    <n v="4"/>
    <n v="1"/>
    <x v="1410"/>
    <n v="1"/>
    <n v="11"/>
    <n v="4"/>
    <x v="1"/>
  </r>
  <r>
    <n v="4865"/>
    <d v="2025-02-26T00:00:00"/>
    <n v="41"/>
    <s v="Male"/>
    <s v="East"/>
    <x v="1"/>
    <s v="CAMP5"/>
    <n v="150.4"/>
    <n v="9"/>
    <n v="1"/>
    <x v="1411"/>
    <n v="4"/>
    <n v="13"/>
    <n v="3"/>
    <x v="1"/>
  </r>
  <r>
    <n v="3571"/>
    <d v="2025-02-26T00:00:00"/>
    <n v="37"/>
    <s v="Male"/>
    <s v="East"/>
    <x v="0"/>
    <m/>
    <n v="182.4"/>
    <n v="6"/>
    <n v="1"/>
    <x v="1412"/>
    <n v="2"/>
    <n v="4"/>
    <n v="4"/>
    <x v="1"/>
  </r>
  <r>
    <n v="103"/>
    <d v="2025-02-26T00:00:00"/>
    <n v="30"/>
    <s v="Female"/>
    <s v="East"/>
    <x v="0"/>
    <m/>
    <n v="789.6"/>
    <n v="7"/>
    <n v="0"/>
    <x v="11"/>
    <n v="0"/>
    <n v="0"/>
    <m/>
    <x v="1"/>
  </r>
  <r>
    <n v="2698"/>
    <d v="2025-02-26T00:00:00"/>
    <n v="35"/>
    <s v="Male"/>
    <s v="North"/>
    <x v="0"/>
    <m/>
    <n v="770.4"/>
    <n v="4"/>
    <n v="0"/>
    <x v="11"/>
    <n v="0"/>
    <n v="0"/>
    <m/>
    <x v="1"/>
  </r>
  <r>
    <n v="1040"/>
    <d v="2025-02-26T00:00:00"/>
    <n v="29"/>
    <s v="Male"/>
    <s v="North"/>
    <x v="3"/>
    <m/>
    <n v="724.7"/>
    <n v="5"/>
    <n v="0"/>
    <x v="11"/>
    <n v="0"/>
    <n v="0"/>
    <m/>
    <x v="1"/>
  </r>
  <r>
    <n v="1776"/>
    <d v="2025-02-26T00:00:00"/>
    <n v="33"/>
    <s v="Male"/>
    <s v="West"/>
    <x v="1"/>
    <s v="CAMP6"/>
    <n v="483.8"/>
    <n v="6"/>
    <n v="0"/>
    <x v="11"/>
    <n v="0"/>
    <n v="0"/>
    <m/>
    <x v="1"/>
  </r>
  <r>
    <n v="762"/>
    <d v="2025-02-26T00:00:00"/>
    <n v="28"/>
    <s v="Male"/>
    <s v="West"/>
    <x v="0"/>
    <m/>
    <n v="474.2"/>
    <n v="4"/>
    <n v="0"/>
    <x v="11"/>
    <n v="0"/>
    <n v="0"/>
    <m/>
    <x v="1"/>
  </r>
  <r>
    <n v="2670"/>
    <d v="2025-02-26T00:00:00"/>
    <n v="43"/>
    <s v="Female"/>
    <s v="North"/>
    <x v="0"/>
    <m/>
    <n v="464.4"/>
    <n v="4"/>
    <n v="0"/>
    <x v="11"/>
    <n v="0"/>
    <n v="0"/>
    <m/>
    <x v="1"/>
  </r>
  <r>
    <n v="1531"/>
    <d v="2025-02-26T00:00:00"/>
    <n v="23"/>
    <s v="Female"/>
    <s v="East"/>
    <x v="0"/>
    <m/>
    <n v="436.1"/>
    <n v="6"/>
    <n v="0"/>
    <x v="11"/>
    <n v="0"/>
    <n v="0"/>
    <m/>
    <x v="1"/>
  </r>
  <r>
    <n v="4184"/>
    <d v="2025-02-26T00:00:00"/>
    <n v="59"/>
    <s v="Female"/>
    <s v="East"/>
    <x v="0"/>
    <m/>
    <n v="388.7"/>
    <n v="5"/>
    <n v="0"/>
    <x v="11"/>
    <n v="0"/>
    <n v="0"/>
    <m/>
    <x v="1"/>
  </r>
  <r>
    <n v="2620"/>
    <d v="2025-02-26T00:00:00"/>
    <n v="46"/>
    <s v="Male"/>
    <s v="North"/>
    <x v="2"/>
    <m/>
    <n v="376.2"/>
    <n v="2"/>
    <n v="0"/>
    <x v="11"/>
    <n v="0"/>
    <n v="0"/>
    <m/>
    <x v="1"/>
  </r>
  <r>
    <n v="4594"/>
    <d v="2025-02-26T00:00:00"/>
    <n v="57"/>
    <s v="Male"/>
    <s v="East"/>
    <x v="3"/>
    <m/>
    <n v="316.60000000000002"/>
    <n v="2"/>
    <n v="0"/>
    <x v="11"/>
    <n v="0"/>
    <n v="0"/>
    <m/>
    <x v="1"/>
  </r>
  <r>
    <n v="1703"/>
    <d v="2025-02-26T00:00:00"/>
    <n v="29"/>
    <s v="Female"/>
    <s v="East"/>
    <x v="0"/>
    <m/>
    <n v="272.89999999999998"/>
    <n v="7"/>
    <n v="0"/>
    <x v="11"/>
    <n v="0"/>
    <n v="0"/>
    <m/>
    <x v="1"/>
  </r>
  <r>
    <n v="3417"/>
    <d v="2025-02-26T00:00:00"/>
    <n v="25"/>
    <s v="Female"/>
    <s v="East"/>
    <x v="2"/>
    <m/>
    <n v="262.5"/>
    <n v="2"/>
    <n v="0"/>
    <x v="11"/>
    <n v="0"/>
    <n v="0"/>
    <m/>
    <x v="1"/>
  </r>
  <r>
    <n v="4642"/>
    <d v="2025-02-26T00:00:00"/>
    <n v="56"/>
    <s v="Male"/>
    <s v="East"/>
    <x v="0"/>
    <m/>
    <n v="235"/>
    <n v="8"/>
    <n v="0"/>
    <x v="11"/>
    <n v="0"/>
    <n v="0"/>
    <m/>
    <x v="1"/>
  </r>
  <r>
    <n v="1421"/>
    <d v="2025-02-26T00:00:00"/>
    <n v="25"/>
    <s v="Female"/>
    <s v="East"/>
    <x v="1"/>
    <s v="CAMP7"/>
    <n v="211.7"/>
    <n v="3"/>
    <n v="0"/>
    <x v="11"/>
    <n v="0"/>
    <n v="0"/>
    <m/>
    <x v="1"/>
  </r>
  <r>
    <n v="4425"/>
    <d v="2025-02-26T00:00:00"/>
    <n v="56"/>
    <s v="Female"/>
    <s v="South"/>
    <x v="0"/>
    <m/>
    <n v="197.4"/>
    <n v="8"/>
    <n v="0"/>
    <x v="11"/>
    <n v="0"/>
    <n v="0"/>
    <m/>
    <x v="1"/>
  </r>
  <r>
    <n v="2144"/>
    <d v="2025-02-26T00:00:00"/>
    <n v="32"/>
    <s v="Female"/>
    <s v="West"/>
    <x v="0"/>
    <m/>
    <n v="168.8"/>
    <n v="7"/>
    <n v="0"/>
    <x v="11"/>
    <n v="0"/>
    <n v="0"/>
    <m/>
    <x v="1"/>
  </r>
  <r>
    <n v="4169"/>
    <d v="2025-02-26T00:00:00"/>
    <n v="40"/>
    <s v="Female"/>
    <s v="West"/>
    <x v="1"/>
    <s v="CAMP2"/>
    <n v="155.1"/>
    <n v="4"/>
    <n v="0"/>
    <x v="11"/>
    <n v="0"/>
    <n v="0"/>
    <m/>
    <x v="1"/>
  </r>
  <r>
    <n v="4576"/>
    <d v="2025-02-26T00:00:00"/>
    <n v="63"/>
    <s v="Female"/>
    <s v="North"/>
    <x v="3"/>
    <m/>
    <n v="147.69999999999999"/>
    <n v="10"/>
    <n v="0"/>
    <x v="11"/>
    <n v="0"/>
    <n v="0"/>
    <m/>
    <x v="1"/>
  </r>
  <r>
    <n v="47"/>
    <d v="2025-02-26T00:00:00"/>
    <n v="35"/>
    <s v="Male"/>
    <s v="South"/>
    <x v="1"/>
    <s v="CAMP6"/>
    <n v="141.6"/>
    <n v="5"/>
    <n v="0"/>
    <x v="11"/>
    <n v="0"/>
    <n v="0"/>
    <m/>
    <x v="1"/>
  </r>
  <r>
    <n v="4891"/>
    <d v="2025-02-26T00:00:00"/>
    <n v="45"/>
    <s v="Female"/>
    <s v="East"/>
    <x v="0"/>
    <m/>
    <n v="106.1"/>
    <n v="9"/>
    <n v="0"/>
    <x v="11"/>
    <n v="0"/>
    <n v="0"/>
    <m/>
    <x v="1"/>
  </r>
  <r>
    <n v="4236"/>
    <d v="2025-02-26T00:00:00"/>
    <n v="65"/>
    <s v="Female"/>
    <s v="East"/>
    <x v="0"/>
    <m/>
    <n v="100.4"/>
    <n v="2"/>
    <n v="0"/>
    <x v="11"/>
    <n v="0"/>
    <n v="0"/>
    <m/>
    <x v="1"/>
  </r>
  <r>
    <n v="2615"/>
    <d v="2025-02-26T00:00:00"/>
    <n v="34"/>
    <s v="Female"/>
    <s v="East"/>
    <x v="1"/>
    <s v="CAMP6"/>
    <n v="70.3"/>
    <n v="11"/>
    <n v="0"/>
    <x v="11"/>
    <n v="0"/>
    <n v="0"/>
    <m/>
    <x v="1"/>
  </r>
  <r>
    <n v="2429"/>
    <d v="2025-02-26T00:00:00"/>
    <n v="33"/>
    <s v="Male"/>
    <s v="North"/>
    <x v="3"/>
    <m/>
    <n v="62"/>
    <n v="5"/>
    <n v="0"/>
    <x v="11"/>
    <n v="0"/>
    <n v="0"/>
    <m/>
    <x v="1"/>
  </r>
  <r>
    <n v="3753"/>
    <d v="2025-02-26T00:00:00"/>
    <n v="56"/>
    <s v="Female"/>
    <s v="East"/>
    <x v="3"/>
    <m/>
    <n v="60.6"/>
    <n v="5"/>
    <n v="0"/>
    <x v="11"/>
    <n v="0"/>
    <n v="0"/>
    <m/>
    <x v="1"/>
  </r>
  <r>
    <n v="4043"/>
    <d v="2025-03-26T00:00:00"/>
    <n v="52"/>
    <s v="Female"/>
    <s v="North"/>
    <x v="1"/>
    <s v="CAMP2"/>
    <n v="197.4"/>
    <n v="6"/>
    <n v="1"/>
    <x v="1413"/>
    <n v="2"/>
    <n v="7"/>
    <n v="3"/>
    <x v="2"/>
  </r>
  <r>
    <n v="4482"/>
    <d v="2025-03-26T00:00:00"/>
    <n v="41"/>
    <s v="Male"/>
    <s v="South"/>
    <x v="1"/>
    <s v="CAMP4"/>
    <n v="327.9"/>
    <n v="4"/>
    <n v="1"/>
    <x v="1414"/>
    <n v="4"/>
    <n v="6"/>
    <n v="5"/>
    <x v="2"/>
  </r>
  <r>
    <n v="90"/>
    <d v="2025-03-26T00:00:00"/>
    <n v="18"/>
    <s v="Male"/>
    <s v="East"/>
    <x v="0"/>
    <m/>
    <n v="318.39999999999998"/>
    <n v="5"/>
    <n v="1"/>
    <x v="1415"/>
    <n v="3"/>
    <n v="15"/>
    <n v="5"/>
    <x v="2"/>
  </r>
  <r>
    <n v="1086"/>
    <d v="2025-03-26T00:00:00"/>
    <n v="23"/>
    <s v="Male"/>
    <s v="South"/>
    <x v="1"/>
    <s v="CAMP6"/>
    <n v="518.4"/>
    <n v="5"/>
    <n v="1"/>
    <x v="1416"/>
    <n v="3"/>
    <n v="15"/>
    <n v="3"/>
    <x v="2"/>
  </r>
  <r>
    <n v="3827"/>
    <d v="2025-03-26T00:00:00"/>
    <n v="57"/>
    <s v="Female"/>
    <s v="South"/>
    <x v="0"/>
    <m/>
    <n v="524.5"/>
    <n v="7"/>
    <n v="0"/>
    <x v="11"/>
    <n v="0"/>
    <n v="0"/>
    <m/>
    <x v="2"/>
  </r>
  <r>
    <n v="3736"/>
    <d v="2025-03-26T00:00:00"/>
    <n v="18"/>
    <s v="Female"/>
    <s v="North"/>
    <x v="0"/>
    <m/>
    <n v="454.4"/>
    <n v="11"/>
    <n v="0"/>
    <x v="11"/>
    <n v="0"/>
    <n v="0"/>
    <m/>
    <x v="2"/>
  </r>
  <r>
    <n v="858"/>
    <d v="2025-03-26T00:00:00"/>
    <n v="29"/>
    <s v="Male"/>
    <s v="West"/>
    <x v="0"/>
    <m/>
    <n v="379.2"/>
    <n v="7"/>
    <n v="0"/>
    <x v="11"/>
    <n v="0"/>
    <n v="0"/>
    <m/>
    <x v="2"/>
  </r>
  <r>
    <n v="4882"/>
    <d v="2025-03-26T00:00:00"/>
    <n v="44"/>
    <s v="Female"/>
    <s v="East"/>
    <x v="0"/>
    <m/>
    <n v="321.7"/>
    <n v="8"/>
    <n v="0"/>
    <x v="11"/>
    <n v="0"/>
    <n v="0"/>
    <m/>
    <x v="2"/>
  </r>
  <r>
    <n v="3522"/>
    <d v="2025-03-26T00:00:00"/>
    <n v="26"/>
    <s v="Female"/>
    <s v="West"/>
    <x v="1"/>
    <s v="CAMP1"/>
    <n v="287.60000000000002"/>
    <n v="6"/>
    <n v="0"/>
    <x v="11"/>
    <n v="0"/>
    <n v="0"/>
    <m/>
    <x v="2"/>
  </r>
  <r>
    <n v="713"/>
    <d v="2025-03-26T00:00:00"/>
    <n v="29"/>
    <s v="Female"/>
    <s v="South"/>
    <x v="2"/>
    <m/>
    <n v="252.9"/>
    <n v="4"/>
    <n v="0"/>
    <x v="11"/>
    <n v="0"/>
    <n v="0"/>
    <m/>
    <x v="2"/>
  </r>
  <r>
    <n v="2145"/>
    <d v="2025-03-26T00:00:00"/>
    <n v="33"/>
    <s v="Female"/>
    <s v="East"/>
    <x v="1"/>
    <s v="CAMP1"/>
    <n v="195.4"/>
    <n v="6"/>
    <n v="0"/>
    <x v="11"/>
    <n v="0"/>
    <n v="0"/>
    <m/>
    <x v="2"/>
  </r>
  <r>
    <n v="2757"/>
    <d v="2025-03-26T00:00:00"/>
    <n v="26"/>
    <s v="Male"/>
    <s v="North"/>
    <x v="1"/>
    <s v="CAMP2"/>
    <n v="183.4"/>
    <n v="10"/>
    <n v="0"/>
    <x v="11"/>
    <n v="0"/>
    <n v="0"/>
    <m/>
    <x v="2"/>
  </r>
  <r>
    <n v="458"/>
    <d v="2025-03-26T00:00:00"/>
    <n v="30"/>
    <s v="Female"/>
    <s v="South"/>
    <x v="0"/>
    <m/>
    <n v="129.1"/>
    <n v="4"/>
    <n v="0"/>
    <x v="11"/>
    <n v="0"/>
    <n v="0"/>
    <m/>
    <x v="2"/>
  </r>
  <r>
    <n v="526"/>
    <d v="2025-03-26T00:00:00"/>
    <n v="27"/>
    <s v="Female"/>
    <s v="East"/>
    <x v="1"/>
    <s v="CAMP2"/>
    <n v="128.69999999999999"/>
    <n v="5"/>
    <n v="0"/>
    <x v="11"/>
    <n v="0"/>
    <n v="0"/>
    <m/>
    <x v="2"/>
  </r>
  <r>
    <n v="3643"/>
    <d v="2025-03-26T00:00:00"/>
    <n v="40"/>
    <s v="Male"/>
    <s v="North"/>
    <x v="0"/>
    <m/>
    <n v="112.5"/>
    <n v="5"/>
    <n v="0"/>
    <x v="11"/>
    <n v="0"/>
    <n v="0"/>
    <m/>
    <x v="2"/>
  </r>
  <r>
    <n v="2165"/>
    <d v="2025-03-26T00:00:00"/>
    <n v="54"/>
    <s v="Female"/>
    <s v="North"/>
    <x v="0"/>
    <m/>
    <n v="107.2"/>
    <n v="5"/>
    <n v="0"/>
    <x v="11"/>
    <n v="0"/>
    <n v="0"/>
    <m/>
    <x v="2"/>
  </r>
  <r>
    <n v="4512"/>
    <d v="2025-03-26T00:00:00"/>
    <n v="44"/>
    <s v="Male"/>
    <s v="East"/>
    <x v="0"/>
    <m/>
    <n v="96.2"/>
    <n v="6"/>
    <n v="0"/>
    <x v="11"/>
    <n v="0"/>
    <n v="0"/>
    <m/>
    <x v="2"/>
  </r>
  <r>
    <n v="2226"/>
    <d v="2025-03-26T00:00:00"/>
    <n v="34"/>
    <s v="Female"/>
    <s v="South"/>
    <x v="2"/>
    <m/>
    <n v="15"/>
    <n v="5"/>
    <n v="0"/>
    <x v="11"/>
    <n v="0"/>
    <n v="0"/>
    <m/>
    <x v="2"/>
  </r>
  <r>
    <n v="4015"/>
    <d v="2025-04-26T00:00:00"/>
    <n v="50"/>
    <s v="Male"/>
    <s v="East"/>
    <x v="3"/>
    <m/>
    <n v="255.4"/>
    <n v="5"/>
    <n v="1"/>
    <x v="1417"/>
    <n v="4"/>
    <n v="7"/>
    <n v="4"/>
    <x v="3"/>
  </r>
  <r>
    <n v="1429"/>
    <d v="2025-04-26T00:00:00"/>
    <n v="19"/>
    <s v="Male"/>
    <s v="East"/>
    <x v="3"/>
    <m/>
    <n v="1778.6"/>
    <n v="10"/>
    <n v="1"/>
    <x v="1418"/>
    <n v="2"/>
    <n v="10"/>
    <n v="3"/>
    <x v="3"/>
  </r>
  <r>
    <n v="592"/>
    <d v="2025-04-26T00:00:00"/>
    <n v="21"/>
    <s v="Female"/>
    <s v="North"/>
    <x v="0"/>
    <m/>
    <n v="415.9"/>
    <n v="3"/>
    <n v="1"/>
    <x v="1419"/>
    <n v="4"/>
    <n v="14"/>
    <n v="4"/>
    <x v="3"/>
  </r>
  <r>
    <n v="1957"/>
    <d v="2025-04-26T00:00:00"/>
    <n v="35"/>
    <s v="Male"/>
    <s v="North"/>
    <x v="1"/>
    <s v="CAMP7"/>
    <n v="514.4"/>
    <n v="5"/>
    <n v="1"/>
    <x v="1420"/>
    <n v="2"/>
    <n v="2"/>
    <n v="3"/>
    <x v="3"/>
  </r>
  <r>
    <n v="4876"/>
    <d v="2025-04-26T00:00:00"/>
    <n v="51"/>
    <s v="Male"/>
    <s v="East"/>
    <x v="1"/>
    <s v="CAMP7"/>
    <n v="268.8"/>
    <n v="5"/>
    <n v="1"/>
    <x v="1421"/>
    <n v="1"/>
    <n v="9"/>
    <n v="4"/>
    <x v="3"/>
  </r>
  <r>
    <n v="4228"/>
    <d v="2025-04-26T00:00:00"/>
    <n v="49"/>
    <s v="Female"/>
    <s v="West"/>
    <x v="1"/>
    <s v="CAMP3"/>
    <n v="924.9"/>
    <n v="6"/>
    <n v="1"/>
    <x v="1422"/>
    <n v="2"/>
    <n v="12"/>
    <n v="3"/>
    <x v="3"/>
  </r>
  <r>
    <n v="2812"/>
    <d v="2025-04-26T00:00:00"/>
    <n v="38"/>
    <s v="Male"/>
    <s v="East"/>
    <x v="1"/>
    <s v="CAMP6"/>
    <n v="385.1"/>
    <n v="4"/>
    <n v="1"/>
    <x v="1423"/>
    <n v="3"/>
    <n v="8"/>
    <n v="4"/>
    <x v="3"/>
  </r>
  <r>
    <n v="4334"/>
    <d v="2025-04-26T00:00:00"/>
    <n v="54"/>
    <s v="Male"/>
    <s v="West"/>
    <x v="3"/>
    <m/>
    <n v="194.6"/>
    <n v="9"/>
    <n v="1"/>
    <x v="1424"/>
    <n v="2"/>
    <n v="10"/>
    <n v="5"/>
    <x v="3"/>
  </r>
  <r>
    <n v="1929"/>
    <d v="2025-04-26T00:00:00"/>
    <n v="30"/>
    <s v="Female"/>
    <s v="North"/>
    <x v="2"/>
    <m/>
    <n v="443.7"/>
    <n v="7"/>
    <n v="1"/>
    <x v="1425"/>
    <n v="1"/>
    <n v="15"/>
    <n v="4"/>
    <x v="3"/>
  </r>
  <r>
    <n v="2644"/>
    <d v="2025-04-26T00:00:00"/>
    <n v="36"/>
    <s v="Female"/>
    <s v="North"/>
    <x v="1"/>
    <s v="CAMP2"/>
    <n v="999.9"/>
    <n v="9"/>
    <n v="0"/>
    <x v="11"/>
    <n v="0"/>
    <n v="0"/>
    <m/>
    <x v="3"/>
  </r>
  <r>
    <n v="1683"/>
    <d v="2025-04-26T00:00:00"/>
    <n v="34"/>
    <s v="Male"/>
    <s v="West"/>
    <x v="1"/>
    <s v="CAMP2"/>
    <n v="730.1"/>
    <n v="7"/>
    <n v="0"/>
    <x v="11"/>
    <n v="0"/>
    <n v="0"/>
    <m/>
    <x v="3"/>
  </r>
  <r>
    <n v="3028"/>
    <d v="2025-04-26T00:00:00"/>
    <n v="42"/>
    <s v="Male"/>
    <s v="West"/>
    <x v="1"/>
    <s v="CAMP1"/>
    <n v="636.20000000000005"/>
    <n v="6"/>
    <n v="0"/>
    <x v="11"/>
    <n v="0"/>
    <n v="0"/>
    <m/>
    <x v="3"/>
  </r>
  <r>
    <n v="4414"/>
    <d v="2025-04-26T00:00:00"/>
    <n v="60"/>
    <s v="Male"/>
    <s v="East"/>
    <x v="0"/>
    <m/>
    <n v="617.1"/>
    <n v="3"/>
    <n v="0"/>
    <x v="11"/>
    <n v="0"/>
    <n v="0"/>
    <m/>
    <x v="3"/>
  </r>
  <r>
    <n v="2576"/>
    <d v="2025-04-26T00:00:00"/>
    <n v="36"/>
    <s v="Male"/>
    <s v="East"/>
    <x v="1"/>
    <s v="CAMP1"/>
    <n v="554.4"/>
    <n v="10"/>
    <n v="0"/>
    <x v="11"/>
    <n v="0"/>
    <n v="0"/>
    <m/>
    <x v="3"/>
  </r>
  <r>
    <n v="356"/>
    <d v="2025-04-26T00:00:00"/>
    <n v="26"/>
    <s v="Female"/>
    <s v="South"/>
    <x v="1"/>
    <s v="CAMP2"/>
    <n v="467.6"/>
    <n v="8"/>
    <n v="0"/>
    <x v="11"/>
    <n v="0"/>
    <n v="0"/>
    <m/>
    <x v="3"/>
  </r>
  <r>
    <n v="1578"/>
    <d v="2025-04-26T00:00:00"/>
    <n v="18"/>
    <s v="Male"/>
    <s v="South"/>
    <x v="1"/>
    <s v="CAMP4"/>
    <n v="375"/>
    <n v="4"/>
    <n v="0"/>
    <x v="11"/>
    <n v="0"/>
    <n v="0"/>
    <m/>
    <x v="3"/>
  </r>
  <r>
    <n v="1316"/>
    <d v="2025-04-26T00:00:00"/>
    <n v="21"/>
    <s v="Female"/>
    <s v="North"/>
    <x v="0"/>
    <m/>
    <n v="363.1"/>
    <n v="6"/>
    <n v="0"/>
    <x v="11"/>
    <n v="0"/>
    <n v="0"/>
    <m/>
    <x v="3"/>
  </r>
  <r>
    <n v="362"/>
    <d v="2025-04-26T00:00:00"/>
    <n v="29"/>
    <s v="Male"/>
    <s v="West"/>
    <x v="0"/>
    <m/>
    <n v="327.5"/>
    <n v="3"/>
    <n v="0"/>
    <x v="11"/>
    <n v="0"/>
    <n v="0"/>
    <m/>
    <x v="3"/>
  </r>
  <r>
    <n v="873"/>
    <d v="2025-04-26T00:00:00"/>
    <n v="27"/>
    <s v="Male"/>
    <s v="North"/>
    <x v="0"/>
    <m/>
    <n v="220.6"/>
    <n v="8"/>
    <n v="0"/>
    <x v="11"/>
    <n v="0"/>
    <n v="0"/>
    <m/>
    <x v="3"/>
  </r>
  <r>
    <n v="1825"/>
    <d v="2025-04-26T00:00:00"/>
    <n v="40"/>
    <s v="Female"/>
    <s v="East"/>
    <x v="0"/>
    <m/>
    <n v="159"/>
    <n v="5"/>
    <n v="0"/>
    <x v="11"/>
    <n v="0"/>
    <n v="0"/>
    <m/>
    <x v="3"/>
  </r>
  <r>
    <n v="201"/>
    <d v="2025-04-26T00:00:00"/>
    <n v="27"/>
    <s v="Male"/>
    <s v="West"/>
    <x v="0"/>
    <m/>
    <n v="141.19999999999999"/>
    <n v="10"/>
    <n v="0"/>
    <x v="11"/>
    <n v="0"/>
    <n v="0"/>
    <m/>
    <x v="3"/>
  </r>
  <r>
    <n v="1707"/>
    <d v="2025-04-26T00:00:00"/>
    <n v="32"/>
    <s v="Male"/>
    <s v="West"/>
    <x v="0"/>
    <m/>
    <n v="130.69999999999999"/>
    <n v="8"/>
    <n v="0"/>
    <x v="11"/>
    <n v="0"/>
    <n v="0"/>
    <m/>
    <x v="3"/>
  </r>
  <r>
    <n v="2178"/>
    <d v="2025-04-26T00:00:00"/>
    <n v="32"/>
    <s v="Female"/>
    <s v="North"/>
    <x v="1"/>
    <s v="CAMP7"/>
    <n v="129.1"/>
    <n v="6"/>
    <n v="0"/>
    <x v="11"/>
    <n v="0"/>
    <n v="0"/>
    <m/>
    <x v="3"/>
  </r>
  <r>
    <n v="780"/>
    <d v="2025-04-26T00:00:00"/>
    <n v="28"/>
    <s v="Male"/>
    <s v="West"/>
    <x v="3"/>
    <m/>
    <n v="122"/>
    <n v="6"/>
    <n v="0"/>
    <x v="11"/>
    <n v="0"/>
    <n v="0"/>
    <m/>
    <x v="3"/>
  </r>
  <r>
    <n v="272"/>
    <d v="2025-05-26T00:00:00"/>
    <n v="18"/>
    <s v="Male"/>
    <s v="South"/>
    <x v="1"/>
    <s v="CAMP3"/>
    <n v="1005"/>
    <n v="4"/>
    <n v="1"/>
    <x v="1426"/>
    <n v="3"/>
    <n v="5"/>
    <n v="3"/>
    <x v="4"/>
  </r>
  <r>
    <n v="4617"/>
    <d v="2025-05-26T00:00:00"/>
    <n v="49"/>
    <s v="Male"/>
    <s v="North"/>
    <x v="1"/>
    <s v="CAMP2"/>
    <n v="416"/>
    <n v="6"/>
    <n v="1"/>
    <x v="1427"/>
    <n v="2"/>
    <n v="2"/>
    <n v="4"/>
    <x v="4"/>
  </r>
  <r>
    <n v="2773"/>
    <d v="2025-05-26T00:00:00"/>
    <n v="19"/>
    <s v="Female"/>
    <s v="East"/>
    <x v="3"/>
    <m/>
    <n v="531"/>
    <n v="3"/>
    <n v="1"/>
    <x v="1428"/>
    <n v="9"/>
    <n v="15"/>
    <n v="4"/>
    <x v="4"/>
  </r>
  <r>
    <n v="2960"/>
    <d v="2025-05-26T00:00:00"/>
    <n v="35"/>
    <s v="Female"/>
    <s v="West"/>
    <x v="1"/>
    <s v="CAMP1"/>
    <n v="754"/>
    <n v="7"/>
    <n v="1"/>
    <x v="255"/>
    <n v="4"/>
    <n v="9"/>
    <n v="4"/>
    <x v="4"/>
  </r>
  <r>
    <n v="619"/>
    <d v="2025-05-26T00:00:00"/>
    <n v="20"/>
    <s v="Male"/>
    <s v="East"/>
    <x v="0"/>
    <m/>
    <n v="1241.0999999999999"/>
    <n v="5"/>
    <n v="1"/>
    <x v="1429"/>
    <n v="2"/>
    <n v="14"/>
    <n v="4"/>
    <x v="4"/>
  </r>
  <r>
    <n v="3982"/>
    <d v="2025-05-26T00:00:00"/>
    <n v="63"/>
    <s v="Male"/>
    <s v="North"/>
    <x v="0"/>
    <m/>
    <n v="184.1"/>
    <n v="6"/>
    <n v="1"/>
    <x v="1430"/>
    <n v="6"/>
    <n v="7"/>
    <n v="4"/>
    <x v="4"/>
  </r>
  <r>
    <n v="4525"/>
    <d v="2025-05-26T00:00:00"/>
    <n v="56"/>
    <s v="Female"/>
    <s v="West"/>
    <x v="1"/>
    <s v="CAMP2"/>
    <n v="242.2"/>
    <n v="7"/>
    <n v="1"/>
    <x v="706"/>
    <n v="4"/>
    <n v="11"/>
    <n v="4"/>
    <x v="4"/>
  </r>
  <r>
    <n v="3832"/>
    <d v="2025-05-26T00:00:00"/>
    <n v="54"/>
    <s v="Male"/>
    <s v="East"/>
    <x v="2"/>
    <m/>
    <n v="63.6"/>
    <n v="10"/>
    <n v="1"/>
    <x v="1431"/>
    <n v="4"/>
    <n v="12"/>
    <n v="5"/>
    <x v="4"/>
  </r>
  <r>
    <n v="271"/>
    <d v="2025-05-26T00:00:00"/>
    <n v="29"/>
    <s v="Male"/>
    <s v="East"/>
    <x v="1"/>
    <s v="CAMP2"/>
    <n v="376.1"/>
    <n v="4"/>
    <n v="1"/>
    <x v="1432"/>
    <n v="3"/>
    <n v="5"/>
    <n v="4"/>
    <x v="4"/>
  </r>
  <r>
    <n v="1547"/>
    <d v="2025-05-26T00:00:00"/>
    <n v="21"/>
    <s v="Female"/>
    <s v="East"/>
    <x v="3"/>
    <m/>
    <n v="403.4"/>
    <n v="7"/>
    <n v="1"/>
    <x v="1433"/>
    <n v="4"/>
    <n v="3"/>
    <n v="5"/>
    <x v="4"/>
  </r>
  <r>
    <n v="2927"/>
    <d v="2025-05-26T00:00:00"/>
    <n v="31"/>
    <s v="Male"/>
    <s v="West"/>
    <x v="0"/>
    <m/>
    <n v="243.2"/>
    <n v="6"/>
    <n v="1"/>
    <x v="1434"/>
    <n v="4"/>
    <n v="5"/>
    <n v="4"/>
    <x v="4"/>
  </r>
  <r>
    <n v="708"/>
    <d v="2025-05-26T00:00:00"/>
    <n v="24"/>
    <s v="Male"/>
    <s v="South"/>
    <x v="2"/>
    <m/>
    <n v="272.5"/>
    <n v="10"/>
    <n v="1"/>
    <x v="1435"/>
    <n v="4"/>
    <n v="13"/>
    <n v="3"/>
    <x v="4"/>
  </r>
  <r>
    <n v="1124"/>
    <d v="2025-05-26T00:00:00"/>
    <n v="24"/>
    <s v="Male"/>
    <s v="North"/>
    <x v="0"/>
    <m/>
    <n v="949.2"/>
    <n v="7"/>
    <n v="0"/>
    <x v="11"/>
    <n v="0"/>
    <n v="0"/>
    <m/>
    <x v="4"/>
  </r>
  <r>
    <n v="2889"/>
    <d v="2025-05-26T00:00:00"/>
    <n v="39"/>
    <s v="Male"/>
    <s v="North"/>
    <x v="1"/>
    <s v="CAMP2"/>
    <n v="592.29999999999995"/>
    <n v="4"/>
    <n v="0"/>
    <x v="11"/>
    <n v="0"/>
    <n v="0"/>
    <m/>
    <x v="4"/>
  </r>
  <r>
    <n v="518"/>
    <d v="2025-05-26T00:00:00"/>
    <n v="28"/>
    <s v="Male"/>
    <s v="West"/>
    <x v="1"/>
    <s v="CAMP4"/>
    <n v="425.2"/>
    <n v="6"/>
    <n v="0"/>
    <x v="11"/>
    <n v="0"/>
    <n v="0"/>
    <m/>
    <x v="4"/>
  </r>
  <r>
    <n v="1477"/>
    <d v="2025-05-26T00:00:00"/>
    <n v="22"/>
    <s v="Female"/>
    <s v="South"/>
    <x v="3"/>
    <m/>
    <n v="416.6"/>
    <n v="4"/>
    <n v="0"/>
    <x v="11"/>
    <n v="0"/>
    <n v="0"/>
    <m/>
    <x v="4"/>
  </r>
  <r>
    <n v="4325"/>
    <d v="2025-05-26T00:00:00"/>
    <n v="58"/>
    <s v="Female"/>
    <s v="North"/>
    <x v="2"/>
    <m/>
    <n v="383.3"/>
    <n v="7"/>
    <n v="0"/>
    <x v="11"/>
    <n v="0"/>
    <n v="0"/>
    <m/>
    <x v="4"/>
  </r>
  <r>
    <n v="2706"/>
    <d v="2025-05-26T00:00:00"/>
    <n v="28"/>
    <s v="Male"/>
    <s v="East"/>
    <x v="0"/>
    <m/>
    <n v="360.5"/>
    <n v="2"/>
    <n v="0"/>
    <x v="11"/>
    <n v="0"/>
    <n v="0"/>
    <m/>
    <x v="4"/>
  </r>
  <r>
    <n v="36"/>
    <d v="2025-05-26T00:00:00"/>
    <n v="32"/>
    <s v="Female"/>
    <s v="East"/>
    <x v="0"/>
    <m/>
    <n v="325.2"/>
    <n v="6"/>
    <n v="0"/>
    <x v="11"/>
    <n v="0"/>
    <n v="0"/>
    <m/>
    <x v="4"/>
  </r>
  <r>
    <n v="4862"/>
    <d v="2025-05-26T00:00:00"/>
    <n v="56"/>
    <s v="Male"/>
    <s v="South"/>
    <x v="0"/>
    <m/>
    <n v="316.60000000000002"/>
    <n v="4"/>
    <n v="0"/>
    <x v="11"/>
    <n v="0"/>
    <n v="0"/>
    <m/>
    <x v="4"/>
  </r>
  <r>
    <n v="121"/>
    <d v="2025-05-26T00:00:00"/>
    <n v="20"/>
    <s v="Male"/>
    <s v="North"/>
    <x v="1"/>
    <s v="CAMP3"/>
    <n v="284.7"/>
    <n v="3"/>
    <n v="0"/>
    <x v="11"/>
    <n v="0"/>
    <n v="0"/>
    <m/>
    <x v="4"/>
  </r>
  <r>
    <n v="390"/>
    <d v="2025-05-26T00:00:00"/>
    <n v="19"/>
    <s v="Male"/>
    <s v="South"/>
    <x v="0"/>
    <m/>
    <n v="276.3"/>
    <n v="9"/>
    <n v="0"/>
    <x v="11"/>
    <n v="0"/>
    <n v="0"/>
    <m/>
    <x v="4"/>
  </r>
  <r>
    <n v="2063"/>
    <d v="2025-05-26T00:00:00"/>
    <n v="33"/>
    <s v="Male"/>
    <s v="South"/>
    <x v="2"/>
    <m/>
    <n v="275.7"/>
    <n v="12"/>
    <n v="0"/>
    <x v="11"/>
    <n v="0"/>
    <n v="0"/>
    <m/>
    <x v="4"/>
  </r>
  <r>
    <n v="4224"/>
    <d v="2025-05-26T00:00:00"/>
    <n v="80"/>
    <s v="Female"/>
    <s v="East"/>
    <x v="0"/>
    <m/>
    <n v="266.10000000000002"/>
    <n v="10"/>
    <n v="0"/>
    <x v="11"/>
    <n v="0"/>
    <n v="0"/>
    <m/>
    <x v="4"/>
  </r>
  <r>
    <n v="3542"/>
    <d v="2025-05-26T00:00:00"/>
    <n v="33"/>
    <s v="Female"/>
    <s v="West"/>
    <x v="1"/>
    <s v="CAMP2"/>
    <n v="215"/>
    <n v="8"/>
    <n v="0"/>
    <x v="11"/>
    <n v="0"/>
    <n v="0"/>
    <m/>
    <x v="4"/>
  </r>
  <r>
    <n v="3406"/>
    <d v="2025-05-26T00:00:00"/>
    <n v="25"/>
    <s v="Female"/>
    <s v="North"/>
    <x v="3"/>
    <m/>
    <n v="201.6"/>
    <n v="4"/>
    <n v="0"/>
    <x v="11"/>
    <n v="0"/>
    <n v="0"/>
    <m/>
    <x v="4"/>
  </r>
  <r>
    <n v="3823"/>
    <d v="2025-05-26T00:00:00"/>
    <n v="65"/>
    <s v="Female"/>
    <s v="East"/>
    <x v="0"/>
    <m/>
    <n v="195.6"/>
    <n v="5"/>
    <n v="0"/>
    <x v="11"/>
    <n v="0"/>
    <n v="0"/>
    <m/>
    <x v="4"/>
  </r>
  <r>
    <n v="1674"/>
    <d v="2025-05-26T00:00:00"/>
    <n v="18"/>
    <s v="Female"/>
    <s v="East"/>
    <x v="0"/>
    <m/>
    <n v="189.6"/>
    <n v="6"/>
    <n v="0"/>
    <x v="11"/>
    <n v="0"/>
    <n v="0"/>
    <m/>
    <x v="4"/>
  </r>
  <r>
    <n v="114"/>
    <d v="2025-05-26T00:00:00"/>
    <n v="26"/>
    <s v="Female"/>
    <s v="East"/>
    <x v="0"/>
    <m/>
    <n v="165"/>
    <n v="6"/>
    <n v="0"/>
    <x v="11"/>
    <n v="0"/>
    <n v="0"/>
    <m/>
    <x v="4"/>
  </r>
  <r>
    <n v="2553"/>
    <d v="2025-05-26T00:00:00"/>
    <n v="27"/>
    <s v="Male"/>
    <s v="West"/>
    <x v="1"/>
    <s v="CAMP4"/>
    <n v="117.3"/>
    <n v="4"/>
    <n v="0"/>
    <x v="11"/>
    <n v="0"/>
    <n v="0"/>
    <m/>
    <x v="4"/>
  </r>
  <r>
    <n v="1408"/>
    <d v="2025-05-26T00:00:00"/>
    <n v="25"/>
    <s v="Male"/>
    <s v="East"/>
    <x v="0"/>
    <m/>
    <n v="103.4"/>
    <n v="5"/>
    <n v="0"/>
    <x v="11"/>
    <n v="0"/>
    <n v="0"/>
    <m/>
    <x v="4"/>
  </r>
  <r>
    <n v="1005"/>
    <d v="2025-05-26T00:00:00"/>
    <n v="21"/>
    <s v="Female"/>
    <s v="East"/>
    <x v="1"/>
    <s v="CAMP7"/>
    <n v="90.6"/>
    <n v="8"/>
    <n v="0"/>
    <x v="11"/>
    <n v="0"/>
    <n v="0"/>
    <m/>
    <x v="4"/>
  </r>
  <r>
    <n v="2166"/>
    <d v="2025-06-26T00:00:00"/>
    <n v="28"/>
    <s v="Female"/>
    <s v="South"/>
    <x v="0"/>
    <m/>
    <n v="695.6"/>
    <n v="8"/>
    <n v="1"/>
    <x v="550"/>
    <n v="4"/>
    <n v="8"/>
    <n v="3"/>
    <x v="5"/>
  </r>
  <r>
    <n v="3038"/>
    <d v="2025-06-26T00:00:00"/>
    <n v="19"/>
    <s v="Female"/>
    <s v="North"/>
    <x v="1"/>
    <s v="CAMP2"/>
    <n v="361.2"/>
    <n v="8"/>
    <n v="1"/>
    <x v="1436"/>
    <n v="3"/>
    <n v="11"/>
    <n v="4"/>
    <x v="5"/>
  </r>
  <r>
    <n v="3914"/>
    <d v="2025-06-26T00:00:00"/>
    <n v="41"/>
    <s v="Male"/>
    <s v="North"/>
    <x v="1"/>
    <s v="CAMP7"/>
    <n v="354.2"/>
    <n v="8"/>
    <n v="1"/>
    <x v="572"/>
    <n v="2"/>
    <n v="3"/>
    <n v="3"/>
    <x v="5"/>
  </r>
  <r>
    <n v="2799"/>
    <d v="2025-06-26T00:00:00"/>
    <n v="21"/>
    <s v="Female"/>
    <s v="North"/>
    <x v="0"/>
    <m/>
    <n v="524.5"/>
    <n v="6"/>
    <n v="1"/>
    <x v="1437"/>
    <n v="1"/>
    <n v="13"/>
    <n v="4"/>
    <x v="5"/>
  </r>
  <r>
    <n v="2486"/>
    <d v="2025-06-26T00:00:00"/>
    <n v="47"/>
    <s v="Male"/>
    <s v="South"/>
    <x v="0"/>
    <m/>
    <n v="571.29999999999995"/>
    <n v="4"/>
    <n v="1"/>
    <x v="1438"/>
    <n v="2"/>
    <n v="7"/>
    <n v="4"/>
    <x v="5"/>
  </r>
  <r>
    <n v="2028"/>
    <d v="2025-06-26T00:00:00"/>
    <n v="30"/>
    <s v="Female"/>
    <s v="South"/>
    <x v="1"/>
    <s v="CAMP2"/>
    <n v="240.4"/>
    <n v="5"/>
    <n v="1"/>
    <x v="1439"/>
    <n v="3"/>
    <n v="13"/>
    <n v="4"/>
    <x v="5"/>
  </r>
  <r>
    <n v="3445"/>
    <d v="2025-06-26T00:00:00"/>
    <n v="32"/>
    <s v="Male"/>
    <s v="South"/>
    <x v="0"/>
    <m/>
    <n v="426.4"/>
    <n v="6"/>
    <n v="1"/>
    <x v="1002"/>
    <n v="5"/>
    <n v="6"/>
    <n v="4"/>
    <x v="5"/>
  </r>
  <r>
    <n v="2792"/>
    <d v="2025-06-26T00:00:00"/>
    <n v="30"/>
    <s v="Female"/>
    <s v="South"/>
    <x v="2"/>
    <m/>
    <n v="511.3"/>
    <n v="9"/>
    <n v="0"/>
    <x v="11"/>
    <n v="0"/>
    <n v="0"/>
    <m/>
    <x v="5"/>
  </r>
  <r>
    <n v="4068"/>
    <d v="2025-06-26T00:00:00"/>
    <n v="60"/>
    <s v="Female"/>
    <s v="North"/>
    <x v="3"/>
    <m/>
    <n v="468"/>
    <n v="9"/>
    <n v="0"/>
    <x v="11"/>
    <n v="0"/>
    <n v="0"/>
    <m/>
    <x v="5"/>
  </r>
  <r>
    <n v="2499"/>
    <d v="2025-06-26T00:00:00"/>
    <n v="20"/>
    <s v="Male"/>
    <s v="West"/>
    <x v="0"/>
    <m/>
    <n v="306.89999999999998"/>
    <n v="10"/>
    <n v="0"/>
    <x v="11"/>
    <n v="0"/>
    <n v="0"/>
    <m/>
    <x v="5"/>
  </r>
  <r>
    <n v="4328"/>
    <d v="2025-06-26T00:00:00"/>
    <n v="58"/>
    <s v="Male"/>
    <s v="East"/>
    <x v="1"/>
    <s v="CAMP5"/>
    <n v="233.7"/>
    <n v="7"/>
    <n v="0"/>
    <x v="11"/>
    <n v="0"/>
    <n v="0"/>
    <m/>
    <x v="5"/>
  </r>
  <r>
    <n v="582"/>
    <d v="2025-06-26T00:00:00"/>
    <n v="35"/>
    <s v="Male"/>
    <s v="South"/>
    <x v="0"/>
    <m/>
    <n v="205.5"/>
    <n v="10"/>
    <n v="0"/>
    <x v="11"/>
    <n v="0"/>
    <n v="0"/>
    <m/>
    <x v="5"/>
  </r>
  <r>
    <n v="2577"/>
    <d v="2025-06-26T00:00:00"/>
    <n v="18"/>
    <s v="Female"/>
    <s v="North"/>
    <x v="1"/>
    <s v="CAMP6"/>
    <n v="175.6"/>
    <n v="9"/>
    <n v="0"/>
    <x v="11"/>
    <n v="0"/>
    <n v="0"/>
    <m/>
    <x v="5"/>
  </r>
  <r>
    <n v="1172"/>
    <d v="2025-06-26T00:00:00"/>
    <n v="18"/>
    <s v="Male"/>
    <s v="North"/>
    <x v="1"/>
    <s v="CAMP4"/>
    <n v="154.1"/>
    <n v="5"/>
    <n v="0"/>
    <x v="11"/>
    <n v="0"/>
    <n v="0"/>
    <m/>
    <x v="5"/>
  </r>
  <r>
    <n v="4446"/>
    <d v="2025-06-26T00:00:00"/>
    <n v="54"/>
    <s v="Female"/>
    <s v="West"/>
    <x v="2"/>
    <m/>
    <n v="148.9"/>
    <n v="5"/>
    <n v="0"/>
    <x v="11"/>
    <n v="0"/>
    <n v="0"/>
    <m/>
    <x v="5"/>
  </r>
  <r>
    <n v="2964"/>
    <d v="2025-06-26T00:00:00"/>
    <n v="37"/>
    <s v="Female"/>
    <s v="East"/>
    <x v="0"/>
    <m/>
    <n v="111.9"/>
    <n v="7"/>
    <n v="0"/>
    <x v="11"/>
    <n v="0"/>
    <n v="0"/>
    <m/>
    <x v="5"/>
  </r>
  <r>
    <n v="3790"/>
    <d v="2025-06-26T00:00:00"/>
    <n v="52"/>
    <s v="Female"/>
    <s v="West"/>
    <x v="1"/>
    <s v="CAMP3"/>
    <n v="107.9"/>
    <n v="6"/>
    <n v="0"/>
    <x v="11"/>
    <n v="0"/>
    <n v="0"/>
    <m/>
    <x v="5"/>
  </r>
  <r>
    <n v="1831"/>
    <d v="2025-06-26T00:00:00"/>
    <n v="41"/>
    <s v="Male"/>
    <s v="South"/>
    <x v="1"/>
    <s v="CAMP5"/>
    <n v="106.6"/>
    <n v="2"/>
    <n v="0"/>
    <x v="11"/>
    <n v="0"/>
    <n v="0"/>
    <m/>
    <x v="5"/>
  </r>
  <r>
    <n v="2783"/>
    <d v="2025-06-26T00:00:00"/>
    <n v="31"/>
    <s v="Female"/>
    <s v="South"/>
    <x v="0"/>
    <m/>
    <n v="89.9"/>
    <n v="4"/>
    <n v="0"/>
    <x v="11"/>
    <n v="0"/>
    <n v="0"/>
    <m/>
    <x v="5"/>
  </r>
  <r>
    <n v="676"/>
    <d v="2025-06-26T00:00:00"/>
    <n v="18"/>
    <s v="Male"/>
    <s v="East"/>
    <x v="1"/>
    <s v="CAMP4"/>
    <n v="78.099999999999994"/>
    <n v="4"/>
    <n v="0"/>
    <x v="11"/>
    <n v="0"/>
    <n v="0"/>
    <m/>
    <x v="5"/>
  </r>
  <r>
    <n v="4700"/>
    <d v="2025-06-26T00:00:00"/>
    <n v="42"/>
    <s v="Female"/>
    <s v="East"/>
    <x v="1"/>
    <s v="CAMP4"/>
    <n v="70.8"/>
    <n v="3"/>
    <n v="0"/>
    <x v="11"/>
    <n v="0"/>
    <n v="0"/>
    <m/>
    <x v="5"/>
  </r>
  <r>
    <n v="4851"/>
    <d v="2025-06-26T00:00:00"/>
    <n v="51"/>
    <s v="Female"/>
    <s v="North"/>
    <x v="0"/>
    <m/>
    <n v="41.7"/>
    <n v="3"/>
    <n v="0"/>
    <x v="11"/>
    <n v="0"/>
    <n v="0"/>
    <m/>
    <x v="5"/>
  </r>
  <r>
    <n v="1910"/>
    <d v="2025-01-27T00:00:00"/>
    <n v="31"/>
    <s v="Male"/>
    <s v="East"/>
    <x v="0"/>
    <m/>
    <n v="186.4"/>
    <n v="5"/>
    <n v="1"/>
    <x v="1440"/>
    <n v="3"/>
    <n v="14"/>
    <n v="4"/>
    <x v="0"/>
  </r>
  <r>
    <n v="1948"/>
    <d v="2025-01-27T00:00:00"/>
    <n v="32"/>
    <s v="Female"/>
    <s v="East"/>
    <x v="3"/>
    <m/>
    <n v="469"/>
    <n v="6"/>
    <n v="1"/>
    <x v="1441"/>
    <n v="1"/>
    <n v="2"/>
    <n v="4"/>
    <x v="0"/>
  </r>
  <r>
    <n v="4005"/>
    <d v="2025-01-27T00:00:00"/>
    <n v="61"/>
    <s v="Female"/>
    <s v="North"/>
    <x v="0"/>
    <m/>
    <n v="283.5"/>
    <n v="6"/>
    <n v="1"/>
    <x v="1442"/>
    <n v="4"/>
    <n v="6"/>
    <n v="4"/>
    <x v="0"/>
  </r>
  <r>
    <n v="4897"/>
    <d v="2025-01-27T00:00:00"/>
    <n v="64"/>
    <s v="Other"/>
    <s v="West"/>
    <x v="1"/>
    <s v="CAMP7"/>
    <n v="492.7"/>
    <n v="7"/>
    <n v="1"/>
    <x v="1443"/>
    <n v="3"/>
    <n v="8"/>
    <n v="3"/>
    <x v="0"/>
  </r>
  <r>
    <n v="845"/>
    <d v="2025-01-27T00:00:00"/>
    <n v="29"/>
    <s v="Female"/>
    <s v="East"/>
    <x v="0"/>
    <m/>
    <n v="539.29999999999995"/>
    <n v="7"/>
    <n v="1"/>
    <x v="1444"/>
    <n v="2"/>
    <n v="7"/>
    <n v="3"/>
    <x v="0"/>
  </r>
  <r>
    <n v="577"/>
    <d v="2025-01-27T00:00:00"/>
    <n v="27"/>
    <s v="Female"/>
    <s v="West"/>
    <x v="0"/>
    <m/>
    <n v="182.3"/>
    <n v="12"/>
    <n v="1"/>
    <x v="1445"/>
    <n v="5"/>
    <n v="9"/>
    <n v="4"/>
    <x v="0"/>
  </r>
  <r>
    <n v="4623"/>
    <d v="2025-01-27T00:00:00"/>
    <n v="26"/>
    <s v="Male"/>
    <s v="East"/>
    <x v="1"/>
    <s v="CAMP1"/>
    <n v="1071.8"/>
    <n v="7"/>
    <n v="1"/>
    <x v="1446"/>
    <n v="2"/>
    <n v="5"/>
    <n v="4"/>
    <x v="0"/>
  </r>
  <r>
    <n v="2761"/>
    <d v="2025-01-27T00:00:00"/>
    <n v="18"/>
    <s v="Female"/>
    <s v="North"/>
    <x v="0"/>
    <m/>
    <n v="649.20000000000005"/>
    <n v="1"/>
    <n v="0"/>
    <x v="11"/>
    <n v="0"/>
    <n v="0"/>
    <m/>
    <x v="0"/>
  </r>
  <r>
    <n v="153"/>
    <d v="2025-01-27T00:00:00"/>
    <n v="31"/>
    <s v="Female"/>
    <s v="West"/>
    <x v="1"/>
    <s v="CAMP3"/>
    <n v="594.29999999999995"/>
    <n v="8"/>
    <n v="0"/>
    <x v="11"/>
    <n v="0"/>
    <n v="0"/>
    <m/>
    <x v="0"/>
  </r>
  <r>
    <n v="4868"/>
    <d v="2025-01-27T00:00:00"/>
    <n v="58"/>
    <s v="Female"/>
    <s v="West"/>
    <x v="1"/>
    <s v="CAMP6"/>
    <n v="523.79999999999995"/>
    <n v="6"/>
    <n v="0"/>
    <x v="11"/>
    <n v="0"/>
    <n v="0"/>
    <m/>
    <x v="0"/>
  </r>
  <r>
    <n v="2748"/>
    <d v="2025-01-27T00:00:00"/>
    <n v="29"/>
    <s v="Male"/>
    <s v="North"/>
    <x v="1"/>
    <s v="CAMP6"/>
    <n v="523.29999999999995"/>
    <n v="4"/>
    <n v="0"/>
    <x v="11"/>
    <n v="0"/>
    <n v="0"/>
    <m/>
    <x v="0"/>
  </r>
  <r>
    <n v="3543"/>
    <d v="2025-01-27T00:00:00"/>
    <n v="32"/>
    <s v="Female"/>
    <s v="East"/>
    <x v="0"/>
    <m/>
    <n v="513.79999999999995"/>
    <n v="6"/>
    <n v="0"/>
    <x v="11"/>
    <n v="0"/>
    <n v="0"/>
    <m/>
    <x v="0"/>
  </r>
  <r>
    <n v="4379"/>
    <d v="2025-01-27T00:00:00"/>
    <n v="30"/>
    <s v="Male"/>
    <s v="West"/>
    <x v="1"/>
    <s v="CAMP4"/>
    <n v="311.89999999999998"/>
    <n v="6"/>
    <n v="0"/>
    <x v="11"/>
    <n v="0"/>
    <n v="0"/>
    <m/>
    <x v="0"/>
  </r>
  <r>
    <n v="2484"/>
    <d v="2025-01-27T00:00:00"/>
    <n v="39"/>
    <s v="Male"/>
    <s v="West"/>
    <x v="1"/>
    <s v="CAMP4"/>
    <n v="282.60000000000002"/>
    <n v="9"/>
    <n v="0"/>
    <x v="11"/>
    <n v="0"/>
    <n v="0"/>
    <m/>
    <x v="0"/>
  </r>
  <r>
    <n v="3897"/>
    <d v="2025-01-27T00:00:00"/>
    <n v="47"/>
    <s v="Male"/>
    <s v="East"/>
    <x v="0"/>
    <m/>
    <n v="282"/>
    <n v="6"/>
    <n v="0"/>
    <x v="11"/>
    <n v="0"/>
    <n v="0"/>
    <m/>
    <x v="0"/>
  </r>
  <r>
    <n v="3526"/>
    <d v="2025-01-27T00:00:00"/>
    <n v="32"/>
    <s v="Other"/>
    <s v="North"/>
    <x v="0"/>
    <m/>
    <n v="199.6"/>
    <n v="6"/>
    <n v="0"/>
    <x v="11"/>
    <n v="0"/>
    <n v="0"/>
    <m/>
    <x v="0"/>
  </r>
  <r>
    <n v="1694"/>
    <d v="2025-01-27T00:00:00"/>
    <n v="29"/>
    <s v="Female"/>
    <s v="West"/>
    <x v="0"/>
    <m/>
    <n v="186.4"/>
    <n v="5"/>
    <n v="0"/>
    <x v="11"/>
    <n v="0"/>
    <n v="0"/>
    <m/>
    <x v="0"/>
  </r>
  <r>
    <n v="4857"/>
    <d v="2025-01-27T00:00:00"/>
    <n v="63"/>
    <s v="Female"/>
    <s v="South"/>
    <x v="1"/>
    <s v="CAMP6"/>
    <n v="178.3"/>
    <n v="5"/>
    <n v="0"/>
    <x v="11"/>
    <n v="0"/>
    <n v="0"/>
    <m/>
    <x v="0"/>
  </r>
  <r>
    <n v="1424"/>
    <d v="2025-01-27T00:00:00"/>
    <n v="18"/>
    <s v="Male"/>
    <s v="North"/>
    <x v="0"/>
    <m/>
    <n v="178"/>
    <n v="7"/>
    <n v="0"/>
    <x v="11"/>
    <n v="0"/>
    <n v="0"/>
    <m/>
    <x v="0"/>
  </r>
  <r>
    <n v="776"/>
    <d v="2025-01-27T00:00:00"/>
    <n v="31"/>
    <s v="Female"/>
    <s v="North"/>
    <x v="1"/>
    <s v="CAMP2"/>
    <n v="33.4"/>
    <n v="8"/>
    <n v="0"/>
    <x v="11"/>
    <n v="0"/>
    <n v="0"/>
    <m/>
    <x v="0"/>
  </r>
  <r>
    <n v="376"/>
    <d v="2025-02-27T00:00:00"/>
    <n v="31"/>
    <s v="Female"/>
    <s v="South"/>
    <x v="3"/>
    <m/>
    <n v="934.5"/>
    <n v="3"/>
    <n v="1"/>
    <x v="698"/>
    <n v="4"/>
    <n v="15"/>
    <n v="4"/>
    <x v="1"/>
  </r>
  <r>
    <n v="254"/>
    <d v="2025-02-27T00:00:00"/>
    <n v="23"/>
    <s v="Male"/>
    <s v="West"/>
    <x v="1"/>
    <s v="CAMP4"/>
    <n v="775.2"/>
    <n v="7"/>
    <n v="1"/>
    <x v="1447"/>
    <n v="6"/>
    <n v="15"/>
    <n v="3"/>
    <x v="1"/>
  </r>
  <r>
    <n v="4716"/>
    <d v="2025-02-27T00:00:00"/>
    <n v="66"/>
    <s v="Female"/>
    <s v="North"/>
    <x v="0"/>
    <m/>
    <n v="189.9"/>
    <n v="2"/>
    <n v="1"/>
    <x v="1448"/>
    <n v="5"/>
    <n v="5"/>
    <n v="3"/>
    <x v="1"/>
  </r>
  <r>
    <n v="2259"/>
    <d v="2025-02-27T00:00:00"/>
    <n v="31"/>
    <s v="Male"/>
    <s v="South"/>
    <x v="0"/>
    <m/>
    <n v="1298.8"/>
    <n v="5"/>
    <n v="1"/>
    <x v="1449"/>
    <n v="2"/>
    <n v="2"/>
    <n v="4"/>
    <x v="1"/>
  </r>
  <r>
    <n v="405"/>
    <d v="2025-02-27T00:00:00"/>
    <n v="25"/>
    <s v="Male"/>
    <s v="North"/>
    <x v="1"/>
    <s v="CAMP2"/>
    <n v="783.6"/>
    <n v="8"/>
    <n v="1"/>
    <x v="1450"/>
    <n v="2"/>
    <n v="6"/>
    <n v="5"/>
    <x v="1"/>
  </r>
  <r>
    <n v="3304"/>
    <d v="2025-02-27T00:00:00"/>
    <n v="30"/>
    <s v="Female"/>
    <s v="South"/>
    <x v="0"/>
    <m/>
    <n v="670.7"/>
    <n v="5"/>
    <n v="0"/>
    <x v="11"/>
    <n v="0"/>
    <n v="0"/>
    <m/>
    <x v="1"/>
  </r>
  <r>
    <n v="3703"/>
    <d v="2025-02-27T00:00:00"/>
    <n v="43"/>
    <s v="Male"/>
    <s v="East"/>
    <x v="0"/>
    <m/>
    <n v="464"/>
    <n v="4"/>
    <n v="0"/>
    <x v="11"/>
    <n v="0"/>
    <n v="0"/>
    <m/>
    <x v="1"/>
  </r>
  <r>
    <n v="642"/>
    <d v="2025-02-27T00:00:00"/>
    <n v="29"/>
    <s v="Male"/>
    <s v="East"/>
    <x v="1"/>
    <s v="CAMP4"/>
    <n v="343.2"/>
    <n v="6"/>
    <n v="0"/>
    <x v="11"/>
    <n v="0"/>
    <n v="0"/>
    <m/>
    <x v="1"/>
  </r>
  <r>
    <n v="2573"/>
    <d v="2025-02-27T00:00:00"/>
    <n v="36"/>
    <s v="Female"/>
    <s v="South"/>
    <x v="0"/>
    <m/>
    <n v="313.3"/>
    <n v="7"/>
    <n v="0"/>
    <x v="11"/>
    <n v="0"/>
    <n v="0"/>
    <m/>
    <x v="1"/>
  </r>
  <r>
    <n v="411"/>
    <d v="2025-02-27T00:00:00"/>
    <n v="24"/>
    <s v="Male"/>
    <s v="South"/>
    <x v="1"/>
    <s v="CAMP3"/>
    <n v="262.7"/>
    <n v="10"/>
    <n v="0"/>
    <x v="11"/>
    <n v="0"/>
    <n v="0"/>
    <m/>
    <x v="1"/>
  </r>
  <r>
    <n v="2106"/>
    <d v="2025-02-27T00:00:00"/>
    <n v="47"/>
    <s v="Female"/>
    <s v="South"/>
    <x v="1"/>
    <s v="CAMP2"/>
    <n v="226.7"/>
    <n v="5"/>
    <n v="0"/>
    <x v="11"/>
    <n v="0"/>
    <n v="0"/>
    <m/>
    <x v="1"/>
  </r>
  <r>
    <n v="2385"/>
    <d v="2025-02-27T00:00:00"/>
    <n v="31"/>
    <s v="Female"/>
    <s v="South"/>
    <x v="0"/>
    <m/>
    <n v="192.7"/>
    <n v="10"/>
    <n v="0"/>
    <x v="11"/>
    <n v="0"/>
    <n v="0"/>
    <m/>
    <x v="1"/>
  </r>
  <r>
    <n v="4796"/>
    <d v="2025-02-27T00:00:00"/>
    <n v="48"/>
    <s v="Male"/>
    <s v="West"/>
    <x v="0"/>
    <m/>
    <n v="141.9"/>
    <n v="8"/>
    <n v="0"/>
    <x v="11"/>
    <n v="0"/>
    <n v="0"/>
    <m/>
    <x v="1"/>
  </r>
  <r>
    <n v="167"/>
    <d v="2025-02-27T00:00:00"/>
    <n v="24"/>
    <s v="Female"/>
    <s v="West"/>
    <x v="1"/>
    <s v="CAMP7"/>
    <n v="134.6"/>
    <n v="7"/>
    <n v="0"/>
    <x v="11"/>
    <n v="0"/>
    <n v="0"/>
    <m/>
    <x v="1"/>
  </r>
  <r>
    <n v="1029"/>
    <d v="2025-02-27T00:00:00"/>
    <n v="33"/>
    <s v="Female"/>
    <s v="East"/>
    <x v="0"/>
    <m/>
    <n v="130.19999999999999"/>
    <n v="5"/>
    <n v="0"/>
    <x v="11"/>
    <n v="0"/>
    <n v="0"/>
    <m/>
    <x v="1"/>
  </r>
  <r>
    <n v="4616"/>
    <d v="2025-02-27T00:00:00"/>
    <n v="71"/>
    <s v="Male"/>
    <s v="North"/>
    <x v="1"/>
    <s v="CAMP6"/>
    <n v="122.1"/>
    <n v="5"/>
    <n v="0"/>
    <x v="11"/>
    <n v="0"/>
    <n v="0"/>
    <m/>
    <x v="1"/>
  </r>
  <r>
    <n v="123"/>
    <d v="2025-02-27T00:00:00"/>
    <n v="20"/>
    <s v="Female"/>
    <s v="North"/>
    <x v="1"/>
    <s v="CAMP3"/>
    <n v="112.7"/>
    <n v="6"/>
    <n v="0"/>
    <x v="11"/>
    <n v="0"/>
    <n v="0"/>
    <m/>
    <x v="1"/>
  </r>
  <r>
    <n v="2825"/>
    <d v="2025-02-27T00:00:00"/>
    <n v="52"/>
    <s v="Female"/>
    <s v="South"/>
    <x v="1"/>
    <s v="CAMP5"/>
    <n v="73.7"/>
    <n v="7"/>
    <n v="0"/>
    <x v="11"/>
    <n v="0"/>
    <n v="0"/>
    <m/>
    <x v="1"/>
  </r>
  <r>
    <n v="1043"/>
    <d v="2025-02-27T00:00:00"/>
    <n v="28"/>
    <s v="Female"/>
    <s v="East"/>
    <x v="1"/>
    <s v="CAMP4"/>
    <n v="53"/>
    <n v="6"/>
    <n v="0"/>
    <x v="11"/>
    <n v="0"/>
    <n v="0"/>
    <m/>
    <x v="1"/>
  </r>
  <r>
    <n v="2604"/>
    <d v="2025-02-27T00:00:00"/>
    <n v="32"/>
    <s v="Male"/>
    <s v="South"/>
    <x v="0"/>
    <m/>
    <n v="45.1"/>
    <n v="7"/>
    <n v="0"/>
    <x v="11"/>
    <n v="0"/>
    <n v="0"/>
    <m/>
    <x v="1"/>
  </r>
  <r>
    <n v="4653"/>
    <d v="2025-03-27T00:00:00"/>
    <n v="49"/>
    <s v="Female"/>
    <s v="South"/>
    <x v="1"/>
    <s v="CAMP2"/>
    <n v="382.5"/>
    <n v="5"/>
    <n v="1"/>
    <x v="910"/>
    <n v="2"/>
    <n v="4"/>
    <n v="4"/>
    <x v="2"/>
  </r>
  <r>
    <n v="339"/>
    <d v="2025-03-27T00:00:00"/>
    <n v="35"/>
    <s v="Female"/>
    <s v="East"/>
    <x v="0"/>
    <m/>
    <n v="241.5"/>
    <n v="5"/>
    <n v="1"/>
    <x v="1451"/>
    <n v="3"/>
    <n v="7"/>
    <n v="5"/>
    <x v="2"/>
  </r>
  <r>
    <n v="1238"/>
    <d v="2025-03-27T00:00:00"/>
    <n v="25"/>
    <s v="Female"/>
    <s v="West"/>
    <x v="1"/>
    <s v="CAMP2"/>
    <n v="191.6"/>
    <n v="4"/>
    <n v="1"/>
    <x v="1452"/>
    <n v="4"/>
    <n v="8"/>
    <n v="5"/>
    <x v="2"/>
  </r>
  <r>
    <n v="970"/>
    <d v="2025-03-27T00:00:00"/>
    <n v="32"/>
    <s v="Male"/>
    <s v="West"/>
    <x v="3"/>
    <m/>
    <n v="618.4"/>
    <n v="8"/>
    <n v="1"/>
    <x v="1453"/>
    <n v="2"/>
    <n v="3"/>
    <n v="3"/>
    <x v="2"/>
  </r>
  <r>
    <n v="2574"/>
    <d v="2025-03-27T00:00:00"/>
    <n v="29"/>
    <s v="Female"/>
    <s v="East"/>
    <x v="0"/>
    <m/>
    <n v="1331.1"/>
    <n v="3"/>
    <n v="1"/>
    <x v="1454"/>
    <n v="3"/>
    <n v="1"/>
    <n v="4"/>
    <x v="2"/>
  </r>
  <r>
    <n v="4307"/>
    <d v="2025-03-27T00:00:00"/>
    <n v="84"/>
    <s v="Female"/>
    <s v="West"/>
    <x v="3"/>
    <m/>
    <n v="846.1"/>
    <n v="8"/>
    <n v="1"/>
    <x v="1447"/>
    <n v="3"/>
    <n v="6"/>
    <n v="5"/>
    <x v="2"/>
  </r>
  <r>
    <n v="4971"/>
    <d v="2025-03-27T00:00:00"/>
    <n v="48"/>
    <s v="Female"/>
    <s v="South"/>
    <x v="1"/>
    <s v="CAMP4"/>
    <n v="938.2"/>
    <n v="4"/>
    <n v="1"/>
    <x v="1455"/>
    <n v="2"/>
    <n v="5"/>
    <n v="5"/>
    <x v="2"/>
  </r>
  <r>
    <n v="4274"/>
    <d v="2025-03-27T00:00:00"/>
    <n v="52"/>
    <s v="Male"/>
    <s v="North"/>
    <x v="0"/>
    <m/>
    <n v="2235.3000000000002"/>
    <n v="8"/>
    <n v="1"/>
    <x v="1149"/>
    <n v="3"/>
    <n v="13"/>
    <n v="4"/>
    <x v="2"/>
  </r>
  <r>
    <n v="3843"/>
    <d v="2025-03-27T00:00:00"/>
    <n v="52"/>
    <s v="Male"/>
    <s v="South"/>
    <x v="1"/>
    <s v="CAMP2"/>
    <n v="866.9"/>
    <n v="8"/>
    <n v="0"/>
    <x v="11"/>
    <n v="0"/>
    <n v="0"/>
    <m/>
    <x v="2"/>
  </r>
  <r>
    <n v="1406"/>
    <d v="2025-03-27T00:00:00"/>
    <n v="18"/>
    <s v="Female"/>
    <s v="North"/>
    <x v="0"/>
    <m/>
    <n v="714.1"/>
    <n v="11"/>
    <n v="0"/>
    <x v="11"/>
    <n v="0"/>
    <n v="0"/>
    <m/>
    <x v="2"/>
  </r>
  <r>
    <n v="2283"/>
    <d v="2025-03-27T00:00:00"/>
    <n v="39"/>
    <s v="Male"/>
    <s v="South"/>
    <x v="0"/>
    <m/>
    <n v="661.9"/>
    <n v="9"/>
    <n v="0"/>
    <x v="11"/>
    <n v="0"/>
    <n v="0"/>
    <m/>
    <x v="2"/>
  </r>
  <r>
    <n v="1768"/>
    <d v="2025-03-27T00:00:00"/>
    <n v="50"/>
    <s v="Male"/>
    <s v="North"/>
    <x v="1"/>
    <s v="CAMP7"/>
    <n v="476.2"/>
    <n v="8"/>
    <n v="0"/>
    <x v="11"/>
    <n v="0"/>
    <n v="0"/>
    <m/>
    <x v="2"/>
  </r>
  <r>
    <n v="4433"/>
    <d v="2025-03-27T00:00:00"/>
    <n v="48"/>
    <s v="Female"/>
    <s v="East"/>
    <x v="3"/>
    <m/>
    <n v="463.2"/>
    <n v="6"/>
    <n v="0"/>
    <x v="11"/>
    <n v="0"/>
    <n v="0"/>
    <m/>
    <x v="2"/>
  </r>
  <r>
    <n v="2876"/>
    <d v="2025-03-27T00:00:00"/>
    <n v="23"/>
    <s v="Female"/>
    <s v="South"/>
    <x v="1"/>
    <s v="CAMP2"/>
    <n v="446.5"/>
    <n v="7"/>
    <n v="0"/>
    <x v="11"/>
    <n v="0"/>
    <n v="0"/>
    <m/>
    <x v="2"/>
  </r>
  <r>
    <n v="2518"/>
    <d v="2025-03-27T00:00:00"/>
    <n v="36"/>
    <s v="Female"/>
    <s v="North"/>
    <x v="0"/>
    <m/>
    <n v="307"/>
    <n v="6"/>
    <n v="0"/>
    <x v="11"/>
    <n v="0"/>
    <n v="0"/>
    <m/>
    <x v="2"/>
  </r>
  <r>
    <n v="1026"/>
    <d v="2025-03-27T00:00:00"/>
    <n v="31"/>
    <s v="Female"/>
    <s v="East"/>
    <x v="0"/>
    <m/>
    <n v="304.60000000000002"/>
    <n v="6"/>
    <n v="0"/>
    <x v="11"/>
    <n v="0"/>
    <n v="0"/>
    <m/>
    <x v="2"/>
  </r>
  <r>
    <n v="342"/>
    <d v="2025-03-27T00:00:00"/>
    <n v="30"/>
    <s v="Female"/>
    <s v="East"/>
    <x v="3"/>
    <m/>
    <n v="266.5"/>
    <n v="2"/>
    <n v="0"/>
    <x v="11"/>
    <n v="0"/>
    <n v="0"/>
    <m/>
    <x v="2"/>
  </r>
  <r>
    <n v="2809"/>
    <d v="2025-03-27T00:00:00"/>
    <n v="42"/>
    <s v="Male"/>
    <s v="North"/>
    <x v="0"/>
    <m/>
    <n v="237.6"/>
    <n v="7"/>
    <n v="0"/>
    <x v="11"/>
    <n v="0"/>
    <n v="0"/>
    <m/>
    <x v="2"/>
  </r>
  <r>
    <n v="596"/>
    <d v="2025-03-27T00:00:00"/>
    <n v="23"/>
    <s v="Other"/>
    <s v="South"/>
    <x v="2"/>
    <m/>
    <n v="202.1"/>
    <n v="5"/>
    <n v="0"/>
    <x v="11"/>
    <n v="0"/>
    <n v="0"/>
    <m/>
    <x v="2"/>
  </r>
  <r>
    <n v="3267"/>
    <d v="2025-03-27T00:00:00"/>
    <n v="25"/>
    <s v="Female"/>
    <s v="East"/>
    <x v="1"/>
    <s v="CAMP1"/>
    <n v="200.8"/>
    <n v="5"/>
    <n v="0"/>
    <x v="11"/>
    <n v="0"/>
    <n v="0"/>
    <m/>
    <x v="2"/>
  </r>
  <r>
    <n v="3345"/>
    <d v="2025-03-27T00:00:00"/>
    <n v="44"/>
    <s v="Male"/>
    <s v="South"/>
    <x v="1"/>
    <s v="CAMP3"/>
    <n v="186.1"/>
    <n v="6"/>
    <n v="0"/>
    <x v="11"/>
    <n v="0"/>
    <n v="0"/>
    <m/>
    <x v="2"/>
  </r>
  <r>
    <n v="3820"/>
    <d v="2025-03-27T00:00:00"/>
    <n v="57"/>
    <s v="Other"/>
    <s v="North"/>
    <x v="1"/>
    <s v="CAMP1"/>
    <n v="162"/>
    <n v="7"/>
    <n v="0"/>
    <x v="11"/>
    <n v="0"/>
    <n v="0"/>
    <m/>
    <x v="2"/>
  </r>
  <r>
    <n v="2732"/>
    <d v="2025-03-27T00:00:00"/>
    <n v="36"/>
    <s v="Female"/>
    <s v="West"/>
    <x v="0"/>
    <m/>
    <n v="116.1"/>
    <n v="11"/>
    <n v="0"/>
    <x v="11"/>
    <n v="0"/>
    <n v="0"/>
    <m/>
    <x v="2"/>
  </r>
  <r>
    <n v="2661"/>
    <d v="2025-03-27T00:00:00"/>
    <n v="42"/>
    <s v="Male"/>
    <s v="North"/>
    <x v="1"/>
    <s v="CAMP7"/>
    <n v="109.4"/>
    <n v="3"/>
    <n v="0"/>
    <x v="11"/>
    <n v="0"/>
    <n v="0"/>
    <m/>
    <x v="2"/>
  </r>
  <r>
    <n v="2469"/>
    <d v="2025-03-27T00:00:00"/>
    <n v="39"/>
    <s v="Male"/>
    <s v="East"/>
    <x v="0"/>
    <m/>
    <n v="72.2"/>
    <n v="7"/>
    <n v="0"/>
    <x v="11"/>
    <n v="0"/>
    <n v="0"/>
    <m/>
    <x v="2"/>
  </r>
  <r>
    <n v="659"/>
    <d v="2025-04-27T00:00:00"/>
    <n v="24"/>
    <s v="Male"/>
    <s v="East"/>
    <x v="0"/>
    <m/>
    <n v="591.6"/>
    <n v="6"/>
    <n v="1"/>
    <x v="1456"/>
    <n v="5"/>
    <n v="1"/>
    <n v="5"/>
    <x v="3"/>
  </r>
  <r>
    <n v="1517"/>
    <d v="2025-04-27T00:00:00"/>
    <n v="20"/>
    <s v="Male"/>
    <s v="East"/>
    <x v="1"/>
    <s v="CAMP7"/>
    <n v="213.5"/>
    <n v="8"/>
    <n v="1"/>
    <x v="1457"/>
    <n v="3"/>
    <n v="1"/>
    <n v="4"/>
    <x v="3"/>
  </r>
  <r>
    <n v="4596"/>
    <d v="2025-04-27T00:00:00"/>
    <n v="67"/>
    <s v="Female"/>
    <s v="East"/>
    <x v="1"/>
    <s v="CAMP5"/>
    <n v="711.1"/>
    <n v="4"/>
    <n v="1"/>
    <x v="1458"/>
    <n v="2"/>
    <n v="12"/>
    <n v="5"/>
    <x v="3"/>
  </r>
  <r>
    <n v="3446"/>
    <d v="2025-04-27T00:00:00"/>
    <n v="38"/>
    <s v="Other"/>
    <s v="North"/>
    <x v="1"/>
    <s v="CAMP7"/>
    <n v="831.9"/>
    <n v="4"/>
    <n v="1"/>
    <x v="1459"/>
    <n v="2"/>
    <n v="8"/>
    <n v="4"/>
    <x v="3"/>
  </r>
  <r>
    <n v="3596"/>
    <d v="2025-04-27T00:00:00"/>
    <n v="18"/>
    <s v="Male"/>
    <s v="North"/>
    <x v="3"/>
    <m/>
    <n v="415.1"/>
    <n v="4"/>
    <n v="1"/>
    <x v="1460"/>
    <n v="2"/>
    <n v="11"/>
    <n v="4"/>
    <x v="3"/>
  </r>
  <r>
    <n v="3297"/>
    <d v="2025-04-27T00:00:00"/>
    <n v="28"/>
    <s v="Female"/>
    <s v="East"/>
    <x v="0"/>
    <m/>
    <n v="448.3"/>
    <n v="3"/>
    <n v="1"/>
    <x v="1461"/>
    <n v="5"/>
    <n v="7"/>
    <n v="4"/>
    <x v="3"/>
  </r>
  <r>
    <n v="4580"/>
    <d v="2025-04-27T00:00:00"/>
    <n v="52"/>
    <s v="Male"/>
    <s v="North"/>
    <x v="0"/>
    <m/>
    <n v="540.9"/>
    <n v="6"/>
    <n v="1"/>
    <x v="356"/>
    <n v="5"/>
    <n v="7"/>
    <n v="4"/>
    <x v="3"/>
  </r>
  <r>
    <n v="4146"/>
    <d v="2025-04-27T00:00:00"/>
    <n v="47"/>
    <s v="Female"/>
    <s v="West"/>
    <x v="1"/>
    <s v="CAMP1"/>
    <n v="825.3"/>
    <n v="8"/>
    <n v="0"/>
    <x v="11"/>
    <n v="0"/>
    <n v="0"/>
    <m/>
    <x v="3"/>
  </r>
  <r>
    <n v="175"/>
    <d v="2025-04-27T00:00:00"/>
    <n v="24"/>
    <s v="Male"/>
    <s v="South"/>
    <x v="0"/>
    <m/>
    <n v="679"/>
    <n v="6"/>
    <n v="0"/>
    <x v="11"/>
    <n v="0"/>
    <n v="0"/>
    <m/>
    <x v="3"/>
  </r>
  <r>
    <n v="1850"/>
    <d v="2025-04-27T00:00:00"/>
    <n v="18"/>
    <s v="Male"/>
    <s v="West"/>
    <x v="0"/>
    <m/>
    <n v="452.6"/>
    <n v="10"/>
    <n v="0"/>
    <x v="11"/>
    <n v="0"/>
    <n v="0"/>
    <m/>
    <x v="3"/>
  </r>
  <r>
    <n v="2671"/>
    <d v="2025-04-27T00:00:00"/>
    <n v="25"/>
    <s v="Male"/>
    <s v="West"/>
    <x v="0"/>
    <m/>
    <n v="438.5"/>
    <n v="6"/>
    <n v="0"/>
    <x v="11"/>
    <n v="0"/>
    <n v="0"/>
    <m/>
    <x v="3"/>
  </r>
  <r>
    <n v="4548"/>
    <d v="2025-04-27T00:00:00"/>
    <n v="43"/>
    <s v="Male"/>
    <s v="East"/>
    <x v="2"/>
    <m/>
    <n v="360.5"/>
    <n v="6"/>
    <n v="0"/>
    <x v="11"/>
    <n v="0"/>
    <n v="0"/>
    <m/>
    <x v="3"/>
  </r>
  <r>
    <n v="3065"/>
    <d v="2025-04-27T00:00:00"/>
    <n v="48"/>
    <s v="Female"/>
    <s v="South"/>
    <x v="1"/>
    <s v="CAMP2"/>
    <n v="350.5"/>
    <n v="5"/>
    <n v="0"/>
    <x v="11"/>
    <n v="0"/>
    <n v="0"/>
    <m/>
    <x v="3"/>
  </r>
  <r>
    <n v="4629"/>
    <d v="2025-04-27T00:00:00"/>
    <n v="43"/>
    <s v="Female"/>
    <s v="West"/>
    <x v="1"/>
    <s v="CAMP1"/>
    <n v="333.7"/>
    <n v="6"/>
    <n v="0"/>
    <x v="11"/>
    <n v="0"/>
    <n v="0"/>
    <m/>
    <x v="3"/>
  </r>
  <r>
    <n v="4994"/>
    <d v="2025-04-27T00:00:00"/>
    <n v="50"/>
    <s v="Female"/>
    <s v="East"/>
    <x v="2"/>
    <m/>
    <n v="255"/>
    <n v="6"/>
    <n v="0"/>
    <x v="11"/>
    <n v="0"/>
    <n v="0"/>
    <m/>
    <x v="3"/>
  </r>
  <r>
    <n v="4271"/>
    <d v="2025-04-27T00:00:00"/>
    <n v="42"/>
    <s v="Female"/>
    <s v="South"/>
    <x v="1"/>
    <s v="CAMP6"/>
    <n v="253.9"/>
    <n v="8"/>
    <n v="0"/>
    <x v="11"/>
    <n v="0"/>
    <n v="0"/>
    <m/>
    <x v="3"/>
  </r>
  <r>
    <n v="2580"/>
    <d v="2025-04-27T00:00:00"/>
    <n v="34"/>
    <s v="Female"/>
    <s v="South"/>
    <x v="2"/>
    <m/>
    <n v="247.2"/>
    <n v="7"/>
    <n v="0"/>
    <x v="11"/>
    <n v="0"/>
    <n v="0"/>
    <m/>
    <x v="3"/>
  </r>
  <r>
    <n v="4393"/>
    <d v="2025-04-27T00:00:00"/>
    <n v="60"/>
    <s v="Male"/>
    <s v="North"/>
    <x v="0"/>
    <m/>
    <n v="217.8"/>
    <n v="6"/>
    <n v="0"/>
    <x v="11"/>
    <n v="0"/>
    <n v="0"/>
    <m/>
    <x v="3"/>
  </r>
  <r>
    <n v="4267"/>
    <d v="2025-04-27T00:00:00"/>
    <n v="39"/>
    <s v="Male"/>
    <s v="West"/>
    <x v="0"/>
    <m/>
    <n v="198.7"/>
    <n v="5"/>
    <n v="0"/>
    <x v="11"/>
    <n v="0"/>
    <n v="0"/>
    <m/>
    <x v="3"/>
  </r>
  <r>
    <n v="239"/>
    <d v="2025-04-27T00:00:00"/>
    <n v="26"/>
    <s v="Male"/>
    <s v="North"/>
    <x v="1"/>
    <s v="CAMP1"/>
    <n v="198.1"/>
    <n v="3"/>
    <n v="0"/>
    <x v="11"/>
    <n v="0"/>
    <n v="0"/>
    <m/>
    <x v="3"/>
  </r>
  <r>
    <n v="1092"/>
    <d v="2025-04-27T00:00:00"/>
    <n v="28"/>
    <s v="Female"/>
    <s v="North"/>
    <x v="1"/>
    <s v="CAMP3"/>
    <n v="191.6"/>
    <n v="5"/>
    <n v="0"/>
    <x v="11"/>
    <n v="0"/>
    <n v="0"/>
    <m/>
    <x v="3"/>
  </r>
  <r>
    <n v="278"/>
    <d v="2025-04-27T00:00:00"/>
    <n v="18"/>
    <s v="Female"/>
    <s v="East"/>
    <x v="3"/>
    <m/>
    <n v="188.2"/>
    <n v="7"/>
    <n v="0"/>
    <x v="11"/>
    <n v="0"/>
    <n v="0"/>
    <m/>
    <x v="3"/>
  </r>
  <r>
    <n v="3156"/>
    <d v="2025-04-27T00:00:00"/>
    <n v="34"/>
    <s v="Female"/>
    <s v="North"/>
    <x v="3"/>
    <m/>
    <n v="179.2"/>
    <n v="5"/>
    <n v="0"/>
    <x v="11"/>
    <n v="0"/>
    <n v="0"/>
    <m/>
    <x v="3"/>
  </r>
  <r>
    <n v="2717"/>
    <d v="2025-04-27T00:00:00"/>
    <n v="34"/>
    <s v="Female"/>
    <s v="West"/>
    <x v="1"/>
    <s v="CAMP1"/>
    <n v="127.7"/>
    <n v="4"/>
    <n v="0"/>
    <x v="11"/>
    <n v="0"/>
    <n v="0"/>
    <m/>
    <x v="3"/>
  </r>
  <r>
    <n v="4833"/>
    <d v="2025-04-27T00:00:00"/>
    <n v="64"/>
    <s v="Female"/>
    <s v="North"/>
    <x v="0"/>
    <m/>
    <n v="122.1"/>
    <n v="4"/>
    <n v="0"/>
    <x v="11"/>
    <n v="0"/>
    <n v="0"/>
    <m/>
    <x v="3"/>
  </r>
  <r>
    <n v="2399"/>
    <d v="2025-04-27T00:00:00"/>
    <n v="28"/>
    <s v="Male"/>
    <s v="West"/>
    <x v="1"/>
    <s v="CAMP4"/>
    <n v="117.5"/>
    <n v="6"/>
    <n v="0"/>
    <x v="11"/>
    <n v="0"/>
    <n v="0"/>
    <m/>
    <x v="3"/>
  </r>
  <r>
    <n v="4710"/>
    <d v="2025-04-27T00:00:00"/>
    <n v="56"/>
    <s v="Male"/>
    <s v="West"/>
    <x v="3"/>
    <m/>
    <n v="110.5"/>
    <n v="6"/>
    <n v="0"/>
    <x v="11"/>
    <n v="0"/>
    <n v="0"/>
    <m/>
    <x v="3"/>
  </r>
  <r>
    <n v="219"/>
    <d v="2025-04-27T00:00:00"/>
    <n v="25"/>
    <s v="Female"/>
    <s v="North"/>
    <x v="1"/>
    <s v="CAMP3"/>
    <n v="98.9"/>
    <n v="4"/>
    <n v="0"/>
    <x v="11"/>
    <n v="0"/>
    <n v="0"/>
    <m/>
    <x v="3"/>
  </r>
  <r>
    <n v="462"/>
    <d v="2025-04-27T00:00:00"/>
    <n v="27"/>
    <s v="Female"/>
    <s v="South"/>
    <x v="2"/>
    <m/>
    <n v="59.8"/>
    <n v="6"/>
    <n v="0"/>
    <x v="11"/>
    <n v="0"/>
    <n v="0"/>
    <m/>
    <x v="3"/>
  </r>
  <r>
    <n v="3460"/>
    <d v="2025-04-27T00:00:00"/>
    <n v="40"/>
    <s v="Female"/>
    <s v="East"/>
    <x v="1"/>
    <s v="CAMP2"/>
    <n v="4"/>
    <n v="6"/>
    <n v="0"/>
    <x v="11"/>
    <n v="0"/>
    <n v="0"/>
    <m/>
    <x v="3"/>
  </r>
  <r>
    <n v="4640"/>
    <d v="2025-05-27T00:00:00"/>
    <n v="44"/>
    <s v="Female"/>
    <s v="North"/>
    <x v="3"/>
    <m/>
    <n v="641.6"/>
    <n v="5"/>
    <n v="1"/>
    <x v="1462"/>
    <n v="4"/>
    <n v="2"/>
    <n v="4"/>
    <x v="4"/>
  </r>
  <r>
    <n v="1852"/>
    <d v="2025-05-27T00:00:00"/>
    <n v="36"/>
    <s v="Female"/>
    <s v="North"/>
    <x v="3"/>
    <m/>
    <n v="320.10000000000002"/>
    <n v="5"/>
    <n v="1"/>
    <x v="1463"/>
    <n v="2"/>
    <n v="11"/>
    <n v="4"/>
    <x v="4"/>
  </r>
  <r>
    <n v="3179"/>
    <d v="2025-05-27T00:00:00"/>
    <n v="32"/>
    <s v="Female"/>
    <s v="North"/>
    <x v="0"/>
    <m/>
    <n v="323.2"/>
    <n v="9"/>
    <n v="1"/>
    <x v="1464"/>
    <n v="5"/>
    <n v="2"/>
    <n v="3"/>
    <x v="4"/>
  </r>
  <r>
    <n v="4546"/>
    <d v="2025-05-27T00:00:00"/>
    <n v="40"/>
    <s v="Female"/>
    <s v="West"/>
    <x v="3"/>
    <m/>
    <n v="486.1"/>
    <n v="7"/>
    <n v="1"/>
    <x v="1465"/>
    <n v="2"/>
    <n v="13"/>
    <n v="3"/>
    <x v="4"/>
  </r>
  <r>
    <n v="74"/>
    <d v="2025-05-27T00:00:00"/>
    <n v="22"/>
    <s v="Male"/>
    <s v="South"/>
    <x v="0"/>
    <m/>
    <n v="434.8"/>
    <n v="7"/>
    <n v="1"/>
    <x v="1466"/>
    <n v="2"/>
    <n v="11"/>
    <n v="4"/>
    <x v="4"/>
  </r>
  <r>
    <n v="1111"/>
    <d v="2025-05-27T00:00:00"/>
    <n v="27"/>
    <s v="Female"/>
    <s v="East"/>
    <x v="0"/>
    <m/>
    <n v="821.2"/>
    <n v="8"/>
    <n v="1"/>
    <x v="1467"/>
    <n v="3"/>
    <n v="1"/>
    <n v="3"/>
    <x v="4"/>
  </r>
  <r>
    <n v="2749"/>
    <d v="2025-05-27T00:00:00"/>
    <n v="39"/>
    <s v="Female"/>
    <s v="North"/>
    <x v="2"/>
    <m/>
    <n v="313"/>
    <n v="5"/>
    <n v="1"/>
    <x v="1468"/>
    <n v="1"/>
    <n v="11"/>
    <n v="4"/>
    <x v="4"/>
  </r>
  <r>
    <n v="732"/>
    <d v="2025-05-27T00:00:00"/>
    <n v="20"/>
    <s v="Female"/>
    <s v="North"/>
    <x v="2"/>
    <m/>
    <n v="861.6"/>
    <n v="6"/>
    <n v="1"/>
    <x v="1469"/>
    <n v="1"/>
    <n v="2"/>
    <n v="4"/>
    <x v="4"/>
  </r>
  <r>
    <n v="4178"/>
    <d v="2025-05-27T00:00:00"/>
    <n v="50"/>
    <s v="Female"/>
    <s v="South"/>
    <x v="1"/>
    <s v="CAMP5"/>
    <n v="250.7"/>
    <n v="5"/>
    <n v="1"/>
    <x v="173"/>
    <n v="2"/>
    <n v="2"/>
    <n v="5"/>
    <x v="4"/>
  </r>
  <r>
    <n v="4269"/>
    <d v="2025-05-27T00:00:00"/>
    <n v="56"/>
    <s v="Female"/>
    <s v="East"/>
    <x v="2"/>
    <m/>
    <n v="320.89999999999998"/>
    <n v="2"/>
    <n v="1"/>
    <x v="466"/>
    <n v="1"/>
    <n v="9"/>
    <n v="5"/>
    <x v="4"/>
  </r>
  <r>
    <n v="379"/>
    <d v="2025-05-27T00:00:00"/>
    <n v="25"/>
    <s v="Male"/>
    <s v="West"/>
    <x v="0"/>
    <m/>
    <n v="987.1"/>
    <n v="7"/>
    <n v="1"/>
    <x v="1470"/>
    <n v="4"/>
    <n v="2"/>
    <n v="4"/>
    <x v="4"/>
  </r>
  <r>
    <n v="1729"/>
    <d v="2025-05-27T00:00:00"/>
    <n v="37"/>
    <s v="Female"/>
    <s v="North"/>
    <x v="1"/>
    <s v="CAMP3"/>
    <n v="681.5"/>
    <n v="4"/>
    <n v="0"/>
    <x v="11"/>
    <n v="0"/>
    <n v="0"/>
    <m/>
    <x v="4"/>
  </r>
  <r>
    <n v="4999"/>
    <d v="2025-05-27T00:00:00"/>
    <n v="64"/>
    <s v="Female"/>
    <s v="North"/>
    <x v="0"/>
    <m/>
    <n v="647.20000000000005"/>
    <n v="3"/>
    <n v="0"/>
    <x v="11"/>
    <n v="0"/>
    <n v="0"/>
    <m/>
    <x v="4"/>
  </r>
  <r>
    <n v="4940"/>
    <d v="2025-05-27T00:00:00"/>
    <n v="46"/>
    <s v="Female"/>
    <s v="South"/>
    <x v="3"/>
    <m/>
    <n v="471.1"/>
    <n v="9"/>
    <n v="0"/>
    <x v="11"/>
    <n v="0"/>
    <n v="0"/>
    <m/>
    <x v="4"/>
  </r>
  <r>
    <n v="1511"/>
    <d v="2025-05-27T00:00:00"/>
    <n v="34"/>
    <s v="Male"/>
    <s v="North"/>
    <x v="0"/>
    <m/>
    <n v="348"/>
    <n v="4"/>
    <n v="0"/>
    <x v="11"/>
    <n v="0"/>
    <n v="0"/>
    <m/>
    <x v="4"/>
  </r>
  <r>
    <n v="445"/>
    <d v="2025-05-27T00:00:00"/>
    <n v="22"/>
    <s v="Male"/>
    <s v="East"/>
    <x v="2"/>
    <m/>
    <n v="310.3"/>
    <n v="10"/>
    <n v="0"/>
    <x v="11"/>
    <n v="0"/>
    <n v="0"/>
    <m/>
    <x v="4"/>
  </r>
  <r>
    <n v="3375"/>
    <d v="2025-05-27T00:00:00"/>
    <n v="28"/>
    <s v="Male"/>
    <s v="East"/>
    <x v="1"/>
    <s v="CAMP4"/>
    <n v="299.8"/>
    <n v="7"/>
    <n v="0"/>
    <x v="11"/>
    <n v="0"/>
    <n v="0"/>
    <m/>
    <x v="4"/>
  </r>
  <r>
    <n v="1835"/>
    <d v="2025-05-27T00:00:00"/>
    <n v="39"/>
    <s v="Male"/>
    <s v="East"/>
    <x v="1"/>
    <s v="CAMP6"/>
    <n v="248"/>
    <n v="2"/>
    <n v="0"/>
    <x v="11"/>
    <n v="0"/>
    <n v="0"/>
    <m/>
    <x v="4"/>
  </r>
  <r>
    <n v="738"/>
    <d v="2025-05-27T00:00:00"/>
    <n v="26"/>
    <s v="Female"/>
    <s v="North"/>
    <x v="1"/>
    <s v="CAMP2"/>
    <n v="238.9"/>
    <n v="4"/>
    <n v="0"/>
    <x v="11"/>
    <n v="0"/>
    <n v="0"/>
    <m/>
    <x v="4"/>
  </r>
  <r>
    <n v="504"/>
    <d v="2025-05-27T00:00:00"/>
    <n v="21"/>
    <s v="Male"/>
    <s v="North"/>
    <x v="0"/>
    <m/>
    <n v="231.9"/>
    <n v="7"/>
    <n v="0"/>
    <x v="11"/>
    <n v="0"/>
    <n v="0"/>
    <m/>
    <x v="4"/>
  </r>
  <r>
    <n v="531"/>
    <d v="2025-05-27T00:00:00"/>
    <n v="31"/>
    <s v="Female"/>
    <s v="East"/>
    <x v="1"/>
    <s v="CAMP1"/>
    <n v="181.5"/>
    <n v="2"/>
    <n v="0"/>
    <x v="11"/>
    <n v="0"/>
    <n v="0"/>
    <m/>
    <x v="4"/>
  </r>
  <r>
    <n v="3861"/>
    <d v="2025-05-27T00:00:00"/>
    <n v="42"/>
    <s v="Female"/>
    <s v="West"/>
    <x v="3"/>
    <m/>
    <n v="159.1"/>
    <n v="4"/>
    <n v="0"/>
    <x v="11"/>
    <n v="0"/>
    <n v="0"/>
    <m/>
    <x v="4"/>
  </r>
  <r>
    <n v="4330"/>
    <d v="2025-05-27T00:00:00"/>
    <n v="61"/>
    <s v="Male"/>
    <s v="East"/>
    <x v="3"/>
    <m/>
    <n v="110.4"/>
    <n v="5"/>
    <n v="0"/>
    <x v="11"/>
    <n v="0"/>
    <n v="0"/>
    <m/>
    <x v="4"/>
  </r>
  <r>
    <n v="4870"/>
    <d v="2025-05-27T00:00:00"/>
    <n v="53"/>
    <s v="Male"/>
    <s v="South"/>
    <x v="3"/>
    <m/>
    <n v="101.9"/>
    <n v="6"/>
    <n v="0"/>
    <x v="11"/>
    <n v="0"/>
    <n v="0"/>
    <m/>
    <x v="4"/>
  </r>
  <r>
    <n v="1310"/>
    <d v="2025-05-27T00:00:00"/>
    <n v="22"/>
    <s v="Male"/>
    <s v="South"/>
    <x v="3"/>
    <m/>
    <n v="67.900000000000006"/>
    <n v="7"/>
    <n v="0"/>
    <x v="11"/>
    <n v="0"/>
    <n v="0"/>
    <m/>
    <x v="4"/>
  </r>
  <r>
    <n v="811"/>
    <d v="2025-06-27T00:00:00"/>
    <n v="24"/>
    <s v="Male"/>
    <s v="East"/>
    <x v="0"/>
    <m/>
    <n v="399.1"/>
    <n v="4"/>
    <n v="1"/>
    <x v="1471"/>
    <n v="1"/>
    <n v="11"/>
    <n v="4"/>
    <x v="5"/>
  </r>
  <r>
    <n v="500"/>
    <d v="2025-06-27T00:00:00"/>
    <n v="26"/>
    <s v="Female"/>
    <s v="East"/>
    <x v="3"/>
    <m/>
    <n v="613.4"/>
    <n v="5"/>
    <n v="1"/>
    <x v="1472"/>
    <n v="8"/>
    <n v="9"/>
    <n v="4"/>
    <x v="5"/>
  </r>
  <r>
    <n v="933"/>
    <d v="2025-06-27T00:00:00"/>
    <n v="22"/>
    <s v="Female"/>
    <s v="East"/>
    <x v="0"/>
    <m/>
    <n v="923"/>
    <n v="13"/>
    <n v="1"/>
    <x v="1473"/>
    <n v="3"/>
    <n v="14"/>
    <n v="4"/>
    <x v="5"/>
  </r>
  <r>
    <n v="4762"/>
    <d v="2025-06-27T00:00:00"/>
    <n v="56"/>
    <s v="Other"/>
    <s v="West"/>
    <x v="3"/>
    <m/>
    <n v="608"/>
    <n v="7"/>
    <n v="1"/>
    <x v="1474"/>
    <n v="5"/>
    <n v="10"/>
    <n v="4"/>
    <x v="5"/>
  </r>
  <r>
    <n v="1012"/>
    <d v="2025-06-27T00:00:00"/>
    <n v="30"/>
    <s v="Female"/>
    <s v="West"/>
    <x v="3"/>
    <m/>
    <n v="832.9"/>
    <n v="5"/>
    <n v="1"/>
    <x v="1475"/>
    <n v="2"/>
    <n v="11"/>
    <n v="4"/>
    <x v="5"/>
  </r>
  <r>
    <n v="1719"/>
    <d v="2025-06-27T00:00:00"/>
    <n v="25"/>
    <s v="Male"/>
    <s v="East"/>
    <x v="2"/>
    <m/>
    <n v="373.1"/>
    <n v="6"/>
    <n v="1"/>
    <x v="1476"/>
    <n v="1"/>
    <n v="12"/>
    <n v="5"/>
    <x v="5"/>
  </r>
  <r>
    <n v="1425"/>
    <d v="2025-06-27T00:00:00"/>
    <n v="32"/>
    <s v="Male"/>
    <s v="West"/>
    <x v="3"/>
    <m/>
    <n v="253.9"/>
    <n v="6"/>
    <n v="1"/>
    <x v="1477"/>
    <n v="3"/>
    <n v="3"/>
    <n v="3"/>
    <x v="5"/>
  </r>
  <r>
    <n v="2409"/>
    <d v="2025-06-27T00:00:00"/>
    <n v="57"/>
    <s v="Male"/>
    <s v="West"/>
    <x v="3"/>
    <m/>
    <n v="385.4"/>
    <n v="6"/>
    <n v="1"/>
    <x v="1478"/>
    <n v="3"/>
    <n v="11"/>
    <n v="4"/>
    <x v="5"/>
  </r>
  <r>
    <n v="70"/>
    <d v="2025-06-27T00:00:00"/>
    <n v="18"/>
    <s v="Male"/>
    <s v="South"/>
    <x v="0"/>
    <m/>
    <n v="353.4"/>
    <n v="4"/>
    <n v="1"/>
    <x v="1479"/>
    <n v="1"/>
    <n v="11"/>
    <n v="4"/>
    <x v="5"/>
  </r>
  <r>
    <n v="1865"/>
    <d v="2025-06-27T00:00:00"/>
    <n v="18"/>
    <s v="Male"/>
    <s v="North"/>
    <x v="3"/>
    <m/>
    <n v="344.2"/>
    <n v="8"/>
    <n v="1"/>
    <x v="1089"/>
    <n v="3"/>
    <n v="11"/>
    <n v="4"/>
    <x v="5"/>
  </r>
  <r>
    <n v="4036"/>
    <d v="2025-06-27T00:00:00"/>
    <n v="57"/>
    <s v="Female"/>
    <s v="West"/>
    <x v="1"/>
    <s v="CAMP7"/>
    <n v="130.80000000000001"/>
    <n v="6"/>
    <n v="1"/>
    <x v="1480"/>
    <n v="1"/>
    <n v="7"/>
    <n v="4"/>
    <x v="5"/>
  </r>
  <r>
    <n v="2079"/>
    <d v="2025-06-27T00:00:00"/>
    <n v="37"/>
    <s v="Other"/>
    <s v="East"/>
    <x v="1"/>
    <s v="CAMP4"/>
    <n v="348.6"/>
    <n v="3"/>
    <n v="1"/>
    <x v="1481"/>
    <n v="4"/>
    <n v="7"/>
    <n v="4"/>
    <x v="5"/>
  </r>
  <r>
    <n v="155"/>
    <d v="2025-06-27T00:00:00"/>
    <n v="28"/>
    <s v="Female"/>
    <s v="North"/>
    <x v="0"/>
    <m/>
    <n v="264.7"/>
    <n v="9"/>
    <n v="1"/>
    <x v="1225"/>
    <n v="4"/>
    <n v="4"/>
    <n v="3"/>
    <x v="5"/>
  </r>
  <r>
    <n v="519"/>
    <d v="2025-06-27T00:00:00"/>
    <n v="31"/>
    <s v="Male"/>
    <s v="West"/>
    <x v="0"/>
    <m/>
    <n v="86"/>
    <n v="6"/>
    <n v="1"/>
    <x v="1482"/>
    <n v="4"/>
    <n v="6"/>
    <n v="5"/>
    <x v="5"/>
  </r>
  <r>
    <n v="2928"/>
    <d v="2025-06-27T00:00:00"/>
    <n v="24"/>
    <s v="Other"/>
    <s v="East"/>
    <x v="1"/>
    <s v="CAMP2"/>
    <n v="640.4"/>
    <n v="3"/>
    <n v="0"/>
    <x v="11"/>
    <n v="0"/>
    <n v="0"/>
    <m/>
    <x v="5"/>
  </r>
  <r>
    <n v="1278"/>
    <d v="2025-06-27T00:00:00"/>
    <n v="19"/>
    <s v="Female"/>
    <s v="East"/>
    <x v="1"/>
    <s v="CAMP2"/>
    <n v="499.5"/>
    <n v="8"/>
    <n v="0"/>
    <x v="11"/>
    <n v="0"/>
    <n v="0"/>
    <m/>
    <x v="5"/>
  </r>
  <r>
    <n v="1075"/>
    <d v="2025-06-27T00:00:00"/>
    <n v="18"/>
    <s v="Female"/>
    <s v="South"/>
    <x v="3"/>
    <m/>
    <n v="496.5"/>
    <n v="4"/>
    <n v="0"/>
    <x v="11"/>
    <n v="0"/>
    <n v="0"/>
    <m/>
    <x v="5"/>
  </r>
  <r>
    <n v="1349"/>
    <d v="2025-06-27T00:00:00"/>
    <n v="33"/>
    <s v="Male"/>
    <s v="North"/>
    <x v="2"/>
    <m/>
    <n v="486.7"/>
    <n v="4"/>
    <n v="0"/>
    <x v="11"/>
    <n v="0"/>
    <n v="0"/>
    <m/>
    <x v="5"/>
  </r>
  <r>
    <n v="3804"/>
    <d v="2025-06-27T00:00:00"/>
    <n v="42"/>
    <s v="Male"/>
    <s v="North"/>
    <x v="3"/>
    <m/>
    <n v="450.5"/>
    <n v="4"/>
    <n v="0"/>
    <x v="11"/>
    <n v="0"/>
    <n v="0"/>
    <m/>
    <x v="5"/>
  </r>
  <r>
    <n v="1229"/>
    <d v="2025-06-27T00:00:00"/>
    <n v="27"/>
    <s v="Female"/>
    <s v="South"/>
    <x v="0"/>
    <m/>
    <n v="387.1"/>
    <n v="8"/>
    <n v="0"/>
    <x v="11"/>
    <n v="0"/>
    <n v="0"/>
    <m/>
    <x v="5"/>
  </r>
  <r>
    <n v="2125"/>
    <d v="2025-06-27T00:00:00"/>
    <n v="28"/>
    <s v="Male"/>
    <s v="South"/>
    <x v="1"/>
    <s v="CAMP4"/>
    <n v="362.4"/>
    <n v="8"/>
    <n v="0"/>
    <x v="11"/>
    <n v="0"/>
    <n v="0"/>
    <m/>
    <x v="5"/>
  </r>
  <r>
    <n v="4760"/>
    <d v="2025-06-27T00:00:00"/>
    <n v="44"/>
    <s v="Male"/>
    <s v="East"/>
    <x v="0"/>
    <m/>
    <n v="346.3"/>
    <n v="5"/>
    <n v="0"/>
    <x v="11"/>
    <n v="0"/>
    <n v="0"/>
    <m/>
    <x v="5"/>
  </r>
  <r>
    <n v="442"/>
    <d v="2025-06-27T00:00:00"/>
    <n v="26"/>
    <s v="Male"/>
    <s v="East"/>
    <x v="0"/>
    <m/>
    <n v="341.3"/>
    <n v="2"/>
    <n v="0"/>
    <x v="11"/>
    <n v="0"/>
    <n v="0"/>
    <m/>
    <x v="5"/>
  </r>
  <r>
    <n v="2433"/>
    <d v="2025-06-27T00:00:00"/>
    <n v="34"/>
    <s v="Male"/>
    <s v="East"/>
    <x v="0"/>
    <m/>
    <n v="233.5"/>
    <n v="5"/>
    <n v="0"/>
    <x v="11"/>
    <n v="0"/>
    <n v="0"/>
    <m/>
    <x v="5"/>
  </r>
  <r>
    <n v="1062"/>
    <d v="2025-06-27T00:00:00"/>
    <n v="23"/>
    <s v="Female"/>
    <s v="East"/>
    <x v="2"/>
    <m/>
    <n v="230.9"/>
    <n v="3"/>
    <n v="0"/>
    <x v="11"/>
    <n v="0"/>
    <n v="0"/>
    <m/>
    <x v="5"/>
  </r>
  <r>
    <n v="662"/>
    <d v="2025-06-27T00:00:00"/>
    <n v="32"/>
    <s v="Male"/>
    <s v="West"/>
    <x v="1"/>
    <s v="CAMP5"/>
    <n v="212.3"/>
    <n v="4"/>
    <n v="0"/>
    <x v="11"/>
    <n v="0"/>
    <n v="0"/>
    <m/>
    <x v="5"/>
  </r>
  <r>
    <n v="2110"/>
    <d v="2025-06-27T00:00:00"/>
    <n v="43"/>
    <s v="Female"/>
    <s v="East"/>
    <x v="1"/>
    <s v="CAMP2"/>
    <n v="120.3"/>
    <n v="5"/>
    <n v="0"/>
    <x v="11"/>
    <n v="0"/>
    <n v="0"/>
    <m/>
    <x v="5"/>
  </r>
  <r>
    <n v="1585"/>
    <d v="2025-06-27T00:00:00"/>
    <n v="31"/>
    <s v="Female"/>
    <s v="South"/>
    <x v="0"/>
    <m/>
    <n v="93.3"/>
    <n v="10"/>
    <n v="0"/>
    <x v="11"/>
    <n v="0"/>
    <n v="0"/>
    <m/>
    <x v="5"/>
  </r>
  <r>
    <n v="447"/>
    <d v="2025-06-27T00:00:00"/>
    <n v="26"/>
    <s v="Male"/>
    <s v="East"/>
    <x v="0"/>
    <m/>
    <n v="59.9"/>
    <n v="5"/>
    <n v="0"/>
    <x v="11"/>
    <n v="0"/>
    <n v="0"/>
    <m/>
    <x v="5"/>
  </r>
  <r>
    <n v="4172"/>
    <d v="2025-06-27T00:00:00"/>
    <n v="37"/>
    <s v="Male"/>
    <s v="East"/>
    <x v="0"/>
    <m/>
    <n v="36.700000000000003"/>
    <n v="12"/>
    <n v="0"/>
    <x v="11"/>
    <n v="0"/>
    <n v="0"/>
    <m/>
    <x v="5"/>
  </r>
  <r>
    <n v="1765"/>
    <d v="2025-01-28T00:00:00"/>
    <n v="43"/>
    <s v="Male"/>
    <s v="South"/>
    <x v="0"/>
    <m/>
    <n v="447.7"/>
    <n v="6"/>
    <n v="1"/>
    <x v="1483"/>
    <n v="3"/>
    <n v="9"/>
    <n v="4"/>
    <x v="0"/>
  </r>
  <r>
    <n v="4986"/>
    <d v="2025-01-28T00:00:00"/>
    <n v="47"/>
    <s v="Male"/>
    <s v="North"/>
    <x v="2"/>
    <m/>
    <n v="215.9"/>
    <n v="9"/>
    <n v="1"/>
    <x v="1484"/>
    <n v="2"/>
    <n v="5"/>
    <n v="4"/>
    <x v="0"/>
  </r>
  <r>
    <n v="520"/>
    <d v="2025-01-28T00:00:00"/>
    <n v="34"/>
    <s v="Female"/>
    <s v="West"/>
    <x v="3"/>
    <m/>
    <n v="259.10000000000002"/>
    <n v="7"/>
    <n v="1"/>
    <x v="1485"/>
    <n v="3"/>
    <n v="4"/>
    <n v="4"/>
    <x v="0"/>
  </r>
  <r>
    <n v="4553"/>
    <d v="2025-01-28T00:00:00"/>
    <n v="40"/>
    <s v="Male"/>
    <s v="North"/>
    <x v="1"/>
    <s v="CAMP7"/>
    <n v="584.1"/>
    <n v="8"/>
    <n v="1"/>
    <x v="1486"/>
    <n v="2"/>
    <n v="4"/>
    <n v="5"/>
    <x v="0"/>
  </r>
  <r>
    <n v="4273"/>
    <d v="2025-01-28T00:00:00"/>
    <n v="45"/>
    <s v="Male"/>
    <s v="North"/>
    <x v="3"/>
    <m/>
    <n v="447.5"/>
    <n v="7"/>
    <n v="1"/>
    <x v="1487"/>
    <n v="3"/>
    <n v="11"/>
    <n v="5"/>
    <x v="0"/>
  </r>
  <r>
    <n v="791"/>
    <d v="2025-01-28T00:00:00"/>
    <n v="20"/>
    <s v="Male"/>
    <s v="South"/>
    <x v="0"/>
    <m/>
    <n v="380.1"/>
    <n v="4"/>
    <n v="1"/>
    <x v="1488"/>
    <n v="2"/>
    <n v="12"/>
    <n v="3"/>
    <x v="0"/>
  </r>
  <r>
    <n v="1711"/>
    <d v="2025-01-28T00:00:00"/>
    <n v="24"/>
    <s v="Male"/>
    <s v="East"/>
    <x v="0"/>
    <m/>
    <n v="463.9"/>
    <n v="10"/>
    <n v="1"/>
    <x v="1489"/>
    <n v="2"/>
    <n v="14"/>
    <n v="3"/>
    <x v="0"/>
  </r>
  <r>
    <n v="2116"/>
    <d v="2025-01-28T00:00:00"/>
    <n v="43"/>
    <s v="Female"/>
    <s v="East"/>
    <x v="0"/>
    <m/>
    <n v="762.3"/>
    <n v="5"/>
    <n v="1"/>
    <x v="140"/>
    <n v="2"/>
    <n v="7"/>
    <n v="4"/>
    <x v="0"/>
  </r>
  <r>
    <n v="4004"/>
    <d v="2025-01-28T00:00:00"/>
    <n v="41"/>
    <s v="Female"/>
    <s v="South"/>
    <x v="1"/>
    <s v="CAMP5"/>
    <n v="787.5"/>
    <n v="7"/>
    <n v="1"/>
    <x v="1490"/>
    <n v="2"/>
    <n v="7"/>
    <n v="5"/>
    <x v="0"/>
  </r>
  <r>
    <n v="1110"/>
    <d v="2025-01-28T00:00:00"/>
    <n v="27"/>
    <s v="Male"/>
    <s v="West"/>
    <x v="1"/>
    <s v="CAMP7"/>
    <n v="492.6"/>
    <n v="7"/>
    <n v="1"/>
    <x v="1491"/>
    <n v="3"/>
    <n v="15"/>
    <n v="4"/>
    <x v="0"/>
  </r>
  <r>
    <n v="3481"/>
    <d v="2025-01-28T00:00:00"/>
    <n v="26"/>
    <s v="Female"/>
    <s v="South"/>
    <x v="3"/>
    <m/>
    <n v="634.70000000000005"/>
    <n v="4"/>
    <n v="0"/>
    <x v="11"/>
    <n v="0"/>
    <n v="0"/>
    <m/>
    <x v="0"/>
  </r>
  <r>
    <n v="2895"/>
    <d v="2025-01-28T00:00:00"/>
    <n v="42"/>
    <s v="Male"/>
    <s v="West"/>
    <x v="1"/>
    <s v="CAMP5"/>
    <n v="567.20000000000005"/>
    <n v="3"/>
    <n v="0"/>
    <x v="11"/>
    <n v="0"/>
    <n v="0"/>
    <m/>
    <x v="0"/>
  </r>
  <r>
    <n v="1638"/>
    <d v="2025-01-28T00:00:00"/>
    <n v="25"/>
    <s v="Other"/>
    <s v="West"/>
    <x v="0"/>
    <m/>
    <n v="456"/>
    <n v="5"/>
    <n v="0"/>
    <x v="11"/>
    <n v="0"/>
    <n v="0"/>
    <m/>
    <x v="0"/>
  </r>
  <r>
    <n v="3079"/>
    <d v="2025-01-28T00:00:00"/>
    <n v="51"/>
    <s v="Male"/>
    <s v="East"/>
    <x v="3"/>
    <m/>
    <n v="435.4"/>
    <n v="4"/>
    <n v="0"/>
    <x v="11"/>
    <n v="0"/>
    <n v="0"/>
    <m/>
    <x v="0"/>
  </r>
  <r>
    <n v="1222"/>
    <d v="2025-01-28T00:00:00"/>
    <n v="25"/>
    <s v="Male"/>
    <s v="West"/>
    <x v="3"/>
    <m/>
    <n v="413.2"/>
    <n v="3"/>
    <n v="0"/>
    <x v="11"/>
    <n v="0"/>
    <n v="0"/>
    <m/>
    <x v="0"/>
  </r>
  <r>
    <n v="2440"/>
    <d v="2025-01-28T00:00:00"/>
    <n v="23"/>
    <s v="Female"/>
    <s v="North"/>
    <x v="0"/>
    <m/>
    <n v="374.5"/>
    <n v="11"/>
    <n v="0"/>
    <x v="11"/>
    <n v="0"/>
    <n v="0"/>
    <m/>
    <x v="0"/>
  </r>
  <r>
    <n v="590"/>
    <d v="2025-01-28T00:00:00"/>
    <n v="30"/>
    <s v="Female"/>
    <s v="East"/>
    <x v="0"/>
    <m/>
    <n v="345.6"/>
    <n v="5"/>
    <n v="0"/>
    <x v="11"/>
    <n v="0"/>
    <n v="0"/>
    <m/>
    <x v="0"/>
  </r>
  <r>
    <n v="3646"/>
    <d v="2025-01-28T00:00:00"/>
    <n v="42"/>
    <s v="Male"/>
    <s v="South"/>
    <x v="0"/>
    <m/>
    <n v="304"/>
    <n v="6"/>
    <n v="0"/>
    <x v="11"/>
    <n v="0"/>
    <n v="0"/>
    <m/>
    <x v="0"/>
  </r>
  <r>
    <n v="4298"/>
    <d v="2025-01-28T00:00:00"/>
    <n v="40"/>
    <s v="Male"/>
    <s v="South"/>
    <x v="1"/>
    <s v="CAMP6"/>
    <n v="299.3"/>
    <n v="10"/>
    <n v="0"/>
    <x v="11"/>
    <n v="0"/>
    <n v="0"/>
    <m/>
    <x v="0"/>
  </r>
  <r>
    <n v="666"/>
    <d v="2025-01-28T00:00:00"/>
    <n v="27"/>
    <s v="Male"/>
    <s v="South"/>
    <x v="0"/>
    <m/>
    <n v="258.89999999999998"/>
    <n v="2"/>
    <n v="0"/>
    <x v="11"/>
    <n v="0"/>
    <n v="0"/>
    <m/>
    <x v="0"/>
  </r>
  <r>
    <n v="867"/>
    <d v="2025-01-28T00:00:00"/>
    <n v="32"/>
    <s v="Female"/>
    <s v="North"/>
    <x v="2"/>
    <m/>
    <n v="207.6"/>
    <n v="4"/>
    <n v="0"/>
    <x v="11"/>
    <n v="0"/>
    <n v="0"/>
    <m/>
    <x v="0"/>
  </r>
  <r>
    <n v="1791"/>
    <d v="2025-01-28T00:00:00"/>
    <n v="43"/>
    <s v="Male"/>
    <s v="North"/>
    <x v="3"/>
    <m/>
    <n v="168.1"/>
    <n v="10"/>
    <n v="0"/>
    <x v="11"/>
    <n v="0"/>
    <n v="0"/>
    <m/>
    <x v="0"/>
  </r>
  <r>
    <n v="3632"/>
    <d v="2025-01-28T00:00:00"/>
    <n v="47"/>
    <s v="Male"/>
    <s v="East"/>
    <x v="0"/>
    <m/>
    <n v="146.69999999999999"/>
    <n v="7"/>
    <n v="0"/>
    <x v="11"/>
    <n v="0"/>
    <n v="0"/>
    <m/>
    <x v="0"/>
  </r>
  <r>
    <n v="802"/>
    <d v="2025-01-28T00:00:00"/>
    <n v="27"/>
    <s v="Female"/>
    <s v="West"/>
    <x v="3"/>
    <m/>
    <n v="143.80000000000001"/>
    <n v="9"/>
    <n v="0"/>
    <x v="11"/>
    <n v="0"/>
    <n v="0"/>
    <m/>
    <x v="0"/>
  </r>
  <r>
    <n v="2397"/>
    <d v="2025-01-28T00:00:00"/>
    <n v="36"/>
    <s v="Male"/>
    <s v="South"/>
    <x v="0"/>
    <m/>
    <n v="138"/>
    <n v="4"/>
    <n v="0"/>
    <x v="11"/>
    <n v="0"/>
    <n v="0"/>
    <m/>
    <x v="0"/>
  </r>
  <r>
    <n v="3731"/>
    <d v="2025-01-28T00:00:00"/>
    <n v="38"/>
    <s v="Male"/>
    <s v="East"/>
    <x v="1"/>
    <s v="CAMP4"/>
    <n v="135.6"/>
    <n v="5"/>
    <n v="0"/>
    <x v="11"/>
    <n v="0"/>
    <n v="0"/>
    <m/>
    <x v="0"/>
  </r>
  <r>
    <n v="699"/>
    <d v="2025-01-28T00:00:00"/>
    <n v="29"/>
    <s v="Male"/>
    <s v="South"/>
    <x v="1"/>
    <s v="CAMP2"/>
    <n v="132.4"/>
    <n v="9"/>
    <n v="0"/>
    <x v="11"/>
    <n v="0"/>
    <n v="0"/>
    <m/>
    <x v="0"/>
  </r>
  <r>
    <n v="3546"/>
    <d v="2025-01-28T00:00:00"/>
    <n v="39"/>
    <s v="Male"/>
    <s v="East"/>
    <x v="2"/>
    <m/>
    <n v="127.5"/>
    <n v="4"/>
    <n v="0"/>
    <x v="11"/>
    <n v="0"/>
    <n v="0"/>
    <m/>
    <x v="0"/>
  </r>
  <r>
    <n v="761"/>
    <d v="2025-01-28T00:00:00"/>
    <n v="28"/>
    <s v="Male"/>
    <s v="North"/>
    <x v="1"/>
    <s v="CAMP4"/>
    <n v="91.6"/>
    <n v="5"/>
    <n v="0"/>
    <x v="11"/>
    <n v="0"/>
    <n v="0"/>
    <m/>
    <x v="0"/>
  </r>
  <r>
    <n v="2038"/>
    <d v="2025-01-28T00:00:00"/>
    <n v="39"/>
    <s v="Male"/>
    <s v="North"/>
    <x v="2"/>
    <m/>
    <n v="80.7"/>
    <n v="4"/>
    <n v="0"/>
    <x v="11"/>
    <n v="0"/>
    <n v="0"/>
    <m/>
    <x v="0"/>
  </r>
  <r>
    <n v="86"/>
    <d v="2025-02-28T00:00:00"/>
    <n v="24"/>
    <s v="Female"/>
    <s v="North"/>
    <x v="1"/>
    <s v="CAMP7"/>
    <n v="172.3"/>
    <n v="5"/>
    <n v="1"/>
    <x v="503"/>
    <n v="5"/>
    <n v="3"/>
    <n v="4"/>
    <x v="1"/>
  </r>
  <r>
    <n v="3394"/>
    <d v="2025-02-28T00:00:00"/>
    <n v="37"/>
    <s v="Male"/>
    <s v="North"/>
    <x v="0"/>
    <m/>
    <n v="349.3"/>
    <n v="2"/>
    <n v="1"/>
    <x v="1492"/>
    <n v="3"/>
    <n v="5"/>
    <n v="5"/>
    <x v="1"/>
  </r>
  <r>
    <n v="1485"/>
    <d v="2025-02-28T00:00:00"/>
    <n v="30"/>
    <s v="Male"/>
    <s v="North"/>
    <x v="1"/>
    <s v="CAMP2"/>
    <n v="282.5"/>
    <n v="6"/>
    <n v="1"/>
    <x v="1493"/>
    <n v="1"/>
    <n v="7"/>
    <n v="4"/>
    <x v="1"/>
  </r>
  <r>
    <n v="308"/>
    <d v="2025-02-28T00:00:00"/>
    <n v="25"/>
    <s v="Male"/>
    <s v="South"/>
    <x v="2"/>
    <m/>
    <n v="130.6"/>
    <n v="3"/>
    <n v="1"/>
    <x v="1494"/>
    <n v="1"/>
    <n v="8"/>
    <n v="4"/>
    <x v="1"/>
  </r>
  <r>
    <n v="3391"/>
    <d v="2025-02-28T00:00:00"/>
    <n v="54"/>
    <s v="Female"/>
    <s v="South"/>
    <x v="1"/>
    <s v="CAMP6"/>
    <n v="333.4"/>
    <n v="5"/>
    <n v="1"/>
    <x v="1495"/>
    <n v="1"/>
    <n v="2"/>
    <n v="4"/>
    <x v="1"/>
  </r>
  <r>
    <n v="4179"/>
    <d v="2025-02-28T00:00:00"/>
    <n v="61"/>
    <s v="Female"/>
    <s v="South"/>
    <x v="1"/>
    <s v="CAMP5"/>
    <n v="507.7"/>
    <n v="6"/>
    <n v="1"/>
    <x v="1496"/>
    <n v="5"/>
    <n v="9"/>
    <n v="4"/>
    <x v="1"/>
  </r>
  <r>
    <n v="1204"/>
    <d v="2025-02-28T00:00:00"/>
    <n v="26"/>
    <s v="Female"/>
    <s v="East"/>
    <x v="0"/>
    <m/>
    <n v="162.19999999999999"/>
    <n v="8"/>
    <n v="1"/>
    <x v="1497"/>
    <n v="5"/>
    <n v="15"/>
    <n v="4"/>
    <x v="1"/>
  </r>
  <r>
    <n v="3910"/>
    <d v="2025-02-28T00:00:00"/>
    <n v="47"/>
    <s v="Female"/>
    <s v="South"/>
    <x v="0"/>
    <m/>
    <n v="540"/>
    <n v="5"/>
    <n v="1"/>
    <x v="1498"/>
    <n v="4"/>
    <n v="13"/>
    <n v="4"/>
    <x v="1"/>
  </r>
  <r>
    <n v="3533"/>
    <d v="2025-02-28T00:00:00"/>
    <n v="34"/>
    <s v="Male"/>
    <s v="South"/>
    <x v="0"/>
    <m/>
    <n v="638.70000000000005"/>
    <n v="4"/>
    <n v="1"/>
    <x v="1499"/>
    <n v="1"/>
    <n v="10"/>
    <n v="4"/>
    <x v="1"/>
  </r>
  <r>
    <n v="3782"/>
    <d v="2025-02-28T00:00:00"/>
    <n v="50"/>
    <s v="Female"/>
    <s v="South"/>
    <x v="0"/>
    <m/>
    <n v="171.2"/>
    <n v="3"/>
    <n v="1"/>
    <x v="1500"/>
    <n v="2"/>
    <n v="7"/>
    <n v="4"/>
    <x v="1"/>
  </r>
  <r>
    <n v="1766"/>
    <d v="2025-02-28T00:00:00"/>
    <n v="37"/>
    <s v="Female"/>
    <s v="North"/>
    <x v="0"/>
    <m/>
    <n v="318.39999999999998"/>
    <n v="4"/>
    <n v="1"/>
    <x v="1501"/>
    <n v="2"/>
    <n v="1"/>
    <n v="4"/>
    <x v="1"/>
  </r>
  <r>
    <n v="60"/>
    <d v="2025-02-28T00:00:00"/>
    <n v="25"/>
    <s v="Female"/>
    <s v="East"/>
    <x v="3"/>
    <m/>
    <n v="762.9"/>
    <n v="4"/>
    <n v="0"/>
    <x v="11"/>
    <n v="0"/>
    <n v="0"/>
    <m/>
    <x v="1"/>
  </r>
  <r>
    <n v="3194"/>
    <d v="2025-02-28T00:00:00"/>
    <n v="39"/>
    <s v="Male"/>
    <s v="East"/>
    <x v="0"/>
    <m/>
    <n v="625.5"/>
    <n v="4"/>
    <n v="0"/>
    <x v="11"/>
    <n v="0"/>
    <n v="0"/>
    <m/>
    <x v="1"/>
  </r>
  <r>
    <n v="4071"/>
    <d v="2025-02-28T00:00:00"/>
    <n v="49"/>
    <s v="Male"/>
    <s v="South"/>
    <x v="0"/>
    <m/>
    <n v="538.20000000000005"/>
    <n v="3"/>
    <n v="0"/>
    <x v="11"/>
    <n v="0"/>
    <n v="0"/>
    <m/>
    <x v="1"/>
  </r>
  <r>
    <n v="3367"/>
    <d v="2025-02-28T00:00:00"/>
    <n v="27"/>
    <s v="Female"/>
    <s v="West"/>
    <x v="3"/>
    <m/>
    <n v="491.4"/>
    <n v="4"/>
    <n v="0"/>
    <x v="11"/>
    <n v="0"/>
    <n v="0"/>
    <m/>
    <x v="1"/>
  </r>
  <r>
    <n v="2921"/>
    <d v="2025-02-28T00:00:00"/>
    <n v="50"/>
    <s v="Female"/>
    <s v="East"/>
    <x v="0"/>
    <m/>
    <n v="488.4"/>
    <n v="6"/>
    <n v="0"/>
    <x v="11"/>
    <n v="0"/>
    <n v="0"/>
    <m/>
    <x v="1"/>
  </r>
  <r>
    <n v="1614"/>
    <d v="2025-02-28T00:00:00"/>
    <n v="18"/>
    <s v="Female"/>
    <s v="East"/>
    <x v="3"/>
    <m/>
    <n v="483.8"/>
    <n v="5"/>
    <n v="0"/>
    <x v="11"/>
    <n v="0"/>
    <n v="0"/>
    <m/>
    <x v="1"/>
  </r>
  <r>
    <n v="1909"/>
    <d v="2025-02-28T00:00:00"/>
    <n v="37"/>
    <s v="Male"/>
    <s v="North"/>
    <x v="1"/>
    <s v="CAMP3"/>
    <n v="346.1"/>
    <n v="6"/>
    <n v="0"/>
    <x v="11"/>
    <n v="0"/>
    <n v="0"/>
    <m/>
    <x v="1"/>
  </r>
  <r>
    <n v="1386"/>
    <d v="2025-02-28T00:00:00"/>
    <n v="26"/>
    <s v="Female"/>
    <s v="North"/>
    <x v="0"/>
    <m/>
    <n v="280.5"/>
    <n v="5"/>
    <n v="0"/>
    <x v="11"/>
    <n v="0"/>
    <n v="0"/>
    <m/>
    <x v="1"/>
  </r>
  <r>
    <n v="136"/>
    <d v="2025-02-28T00:00:00"/>
    <n v="18"/>
    <s v="Male"/>
    <s v="East"/>
    <x v="1"/>
    <s v="CAMP3"/>
    <n v="220.5"/>
    <n v="3"/>
    <n v="0"/>
    <x v="11"/>
    <n v="0"/>
    <n v="0"/>
    <m/>
    <x v="1"/>
  </r>
  <r>
    <n v="1285"/>
    <d v="2025-02-28T00:00:00"/>
    <n v="23"/>
    <s v="Female"/>
    <s v="North"/>
    <x v="3"/>
    <m/>
    <n v="202.3"/>
    <n v="4"/>
    <n v="0"/>
    <x v="11"/>
    <n v="0"/>
    <n v="0"/>
    <m/>
    <x v="1"/>
  </r>
  <r>
    <n v="1475"/>
    <d v="2025-02-28T00:00:00"/>
    <n v="23"/>
    <s v="Female"/>
    <s v="South"/>
    <x v="1"/>
    <s v="CAMP7"/>
    <n v="174.4"/>
    <n v="8"/>
    <n v="0"/>
    <x v="11"/>
    <n v="0"/>
    <n v="0"/>
    <m/>
    <x v="1"/>
  </r>
  <r>
    <n v="644"/>
    <d v="2025-02-28T00:00:00"/>
    <n v="31"/>
    <s v="Male"/>
    <s v="East"/>
    <x v="2"/>
    <m/>
    <n v="159.5"/>
    <n v="6"/>
    <n v="0"/>
    <x v="11"/>
    <n v="0"/>
    <n v="0"/>
    <m/>
    <x v="1"/>
  </r>
  <r>
    <n v="3404"/>
    <d v="2025-02-28T00:00:00"/>
    <n v="27"/>
    <s v="Female"/>
    <s v="East"/>
    <x v="0"/>
    <m/>
    <n v="128.19999999999999"/>
    <n v="4"/>
    <n v="0"/>
    <x v="11"/>
    <n v="0"/>
    <n v="0"/>
    <m/>
    <x v="1"/>
  </r>
  <r>
    <n v="707"/>
    <d v="2025-02-28T00:00:00"/>
    <n v="18"/>
    <s v="Male"/>
    <s v="East"/>
    <x v="3"/>
    <m/>
    <n v="84"/>
    <n v="6"/>
    <n v="0"/>
    <x v="11"/>
    <n v="0"/>
    <n v="0"/>
    <m/>
    <x v="1"/>
  </r>
  <r>
    <n v="691"/>
    <d v="2025-02-28T00:00:00"/>
    <n v="27"/>
    <s v="Female"/>
    <s v="East"/>
    <x v="1"/>
    <s v="CAMP7"/>
    <n v="82.2"/>
    <n v="5"/>
    <n v="0"/>
    <x v="11"/>
    <n v="0"/>
    <n v="0"/>
    <m/>
    <x v="1"/>
  </r>
  <r>
    <n v="217"/>
    <d v="2025-02-28T00:00:00"/>
    <n v="22"/>
    <s v="Female"/>
    <s v="East"/>
    <x v="1"/>
    <s v="CAMP2"/>
    <n v="82"/>
    <n v="4"/>
    <n v="0"/>
    <x v="11"/>
    <n v="0"/>
    <n v="0"/>
    <m/>
    <x v="1"/>
  </r>
  <r>
    <n v="1602"/>
    <d v="2025-02-28T00:00:00"/>
    <n v="24"/>
    <s v="Female"/>
    <s v="East"/>
    <x v="0"/>
    <m/>
    <n v="70"/>
    <n v="5"/>
    <n v="0"/>
    <x v="11"/>
    <n v="0"/>
    <n v="0"/>
    <m/>
    <x v="1"/>
  </r>
  <r>
    <n v="2170"/>
    <d v="2025-02-28T00:00:00"/>
    <n v="25"/>
    <s v="Male"/>
    <s v="North"/>
    <x v="3"/>
    <m/>
    <n v="60.9"/>
    <n v="5"/>
    <n v="0"/>
    <x v="11"/>
    <n v="0"/>
    <n v="0"/>
    <m/>
    <x v="1"/>
  </r>
  <r>
    <n v="4138"/>
    <d v="2025-02-28T00:00:00"/>
    <n v="63"/>
    <s v="Female"/>
    <s v="South"/>
    <x v="3"/>
    <m/>
    <n v="60.1"/>
    <n v="4"/>
    <n v="0"/>
    <x v="11"/>
    <n v="0"/>
    <n v="0"/>
    <m/>
    <x v="1"/>
  </r>
  <r>
    <n v="3828"/>
    <d v="2025-03-28T00:00:00"/>
    <n v="62"/>
    <s v="Male"/>
    <s v="West"/>
    <x v="0"/>
    <m/>
    <n v="267.5"/>
    <n v="3"/>
    <n v="1"/>
    <x v="1413"/>
    <n v="2"/>
    <n v="6"/>
    <n v="4"/>
    <x v="2"/>
  </r>
  <r>
    <n v="4761"/>
    <d v="2025-03-28T00:00:00"/>
    <n v="36"/>
    <s v="Male"/>
    <s v="South"/>
    <x v="0"/>
    <m/>
    <n v="560.70000000000005"/>
    <n v="11"/>
    <n v="1"/>
    <x v="1502"/>
    <n v="4"/>
    <n v="4"/>
    <n v="3"/>
    <x v="2"/>
  </r>
  <r>
    <n v="4376"/>
    <d v="2025-03-28T00:00:00"/>
    <n v="58"/>
    <s v="Female"/>
    <s v="East"/>
    <x v="1"/>
    <s v="CAMP6"/>
    <n v="336.3"/>
    <n v="4"/>
    <n v="1"/>
    <x v="1503"/>
    <n v="2"/>
    <n v="1"/>
    <n v="4"/>
    <x v="2"/>
  </r>
  <r>
    <n v="700"/>
    <d v="2025-03-28T00:00:00"/>
    <n v="26"/>
    <s v="Female"/>
    <s v="South"/>
    <x v="0"/>
    <m/>
    <n v="573.70000000000005"/>
    <n v="8"/>
    <n v="1"/>
    <x v="1504"/>
    <n v="4"/>
    <n v="2"/>
    <n v="3"/>
    <x v="2"/>
  </r>
  <r>
    <n v="1746"/>
    <d v="2025-03-28T00:00:00"/>
    <n v="23"/>
    <s v="Female"/>
    <s v="East"/>
    <x v="0"/>
    <m/>
    <n v="222.8"/>
    <n v="5"/>
    <n v="1"/>
    <x v="1505"/>
    <n v="2"/>
    <n v="10"/>
    <n v="4"/>
    <x v="2"/>
  </r>
  <r>
    <n v="2289"/>
    <d v="2025-03-28T00:00:00"/>
    <n v="37"/>
    <s v="Female"/>
    <s v="West"/>
    <x v="0"/>
    <m/>
    <n v="219.1"/>
    <n v="7"/>
    <n v="1"/>
    <x v="1506"/>
    <n v="5"/>
    <n v="13"/>
    <n v="3"/>
    <x v="2"/>
  </r>
  <r>
    <n v="1928"/>
    <d v="2025-03-28T00:00:00"/>
    <n v="32"/>
    <s v="Female"/>
    <s v="North"/>
    <x v="0"/>
    <m/>
    <n v="633.5"/>
    <n v="6"/>
    <n v="1"/>
    <x v="690"/>
    <n v="1"/>
    <n v="2"/>
    <n v="5"/>
    <x v="2"/>
  </r>
  <r>
    <n v="1275"/>
    <d v="2025-03-28T00:00:00"/>
    <n v="26"/>
    <s v="Female"/>
    <s v="North"/>
    <x v="2"/>
    <m/>
    <n v="588.6"/>
    <n v="8"/>
    <n v="1"/>
    <x v="1507"/>
    <n v="5"/>
    <n v="12"/>
    <n v="4"/>
    <x v="2"/>
  </r>
  <r>
    <n v="1139"/>
    <d v="2025-03-28T00:00:00"/>
    <n v="20"/>
    <s v="Male"/>
    <s v="North"/>
    <x v="1"/>
    <s v="CAMP2"/>
    <n v="490.4"/>
    <n v="9"/>
    <n v="1"/>
    <x v="1508"/>
    <n v="2"/>
    <n v="2"/>
    <n v="4"/>
    <x v="2"/>
  </r>
  <r>
    <n v="4324"/>
    <d v="2025-03-28T00:00:00"/>
    <n v="48"/>
    <s v="Female"/>
    <s v="West"/>
    <x v="2"/>
    <m/>
    <n v="950"/>
    <n v="5"/>
    <n v="1"/>
    <x v="1509"/>
    <n v="3"/>
    <n v="14"/>
    <n v="5"/>
    <x v="2"/>
  </r>
  <r>
    <n v="4965"/>
    <d v="2025-03-28T00:00:00"/>
    <n v="57"/>
    <s v="Other"/>
    <s v="East"/>
    <x v="0"/>
    <m/>
    <n v="24.3"/>
    <n v="9"/>
    <n v="0"/>
    <x v="11"/>
    <n v="0"/>
    <n v="0"/>
    <m/>
    <x v="2"/>
  </r>
  <r>
    <n v="1252"/>
    <d v="2025-03-28T00:00:00"/>
    <n v="22"/>
    <s v="Male"/>
    <s v="North"/>
    <x v="1"/>
    <s v="CAMP1"/>
    <n v="612.20000000000005"/>
    <n v="7"/>
    <n v="0"/>
    <x v="11"/>
    <n v="0"/>
    <n v="0"/>
    <m/>
    <x v="2"/>
  </r>
  <r>
    <n v="2831"/>
    <d v="2025-03-28T00:00:00"/>
    <n v="18"/>
    <s v="Male"/>
    <s v="North"/>
    <x v="0"/>
    <m/>
    <n v="544.1"/>
    <n v="6"/>
    <n v="0"/>
    <x v="11"/>
    <n v="0"/>
    <n v="0"/>
    <m/>
    <x v="2"/>
  </r>
  <r>
    <n v="1268"/>
    <d v="2025-03-28T00:00:00"/>
    <n v="25"/>
    <s v="Female"/>
    <s v="East"/>
    <x v="2"/>
    <m/>
    <n v="439.9"/>
    <n v="6"/>
    <n v="0"/>
    <x v="11"/>
    <n v="0"/>
    <n v="0"/>
    <m/>
    <x v="2"/>
  </r>
  <r>
    <n v="1502"/>
    <d v="2025-03-28T00:00:00"/>
    <n v="22"/>
    <s v="Female"/>
    <s v="South"/>
    <x v="1"/>
    <s v="CAMP5"/>
    <n v="397.3"/>
    <n v="8"/>
    <n v="0"/>
    <x v="11"/>
    <n v="0"/>
    <n v="0"/>
    <m/>
    <x v="2"/>
  </r>
  <r>
    <n v="3052"/>
    <d v="2025-03-28T00:00:00"/>
    <n v="44"/>
    <s v="Female"/>
    <s v="East"/>
    <x v="1"/>
    <s v="CAMP1"/>
    <n v="387.4"/>
    <n v="10"/>
    <n v="0"/>
    <x v="11"/>
    <n v="0"/>
    <n v="0"/>
    <m/>
    <x v="2"/>
  </r>
  <r>
    <n v="3581"/>
    <d v="2025-03-28T00:00:00"/>
    <n v="36"/>
    <s v="Male"/>
    <s v="North"/>
    <x v="0"/>
    <m/>
    <n v="281.5"/>
    <n v="8"/>
    <n v="0"/>
    <x v="11"/>
    <n v="0"/>
    <n v="0"/>
    <m/>
    <x v="2"/>
  </r>
  <r>
    <n v="4093"/>
    <d v="2025-03-28T00:00:00"/>
    <n v="47"/>
    <s v="Female"/>
    <s v="East"/>
    <x v="1"/>
    <s v="CAMP2"/>
    <n v="234"/>
    <n v="10"/>
    <n v="0"/>
    <x v="11"/>
    <n v="0"/>
    <n v="0"/>
    <m/>
    <x v="2"/>
  </r>
  <r>
    <n v="1059"/>
    <d v="2025-03-28T00:00:00"/>
    <n v="23"/>
    <s v="Male"/>
    <s v="East"/>
    <x v="1"/>
    <s v="CAMP2"/>
    <n v="131.6"/>
    <n v="6"/>
    <n v="0"/>
    <x v="11"/>
    <n v="0"/>
    <n v="0"/>
    <m/>
    <x v="2"/>
  </r>
  <r>
    <n v="1984"/>
    <d v="2025-03-28T00:00:00"/>
    <n v="28"/>
    <s v="Female"/>
    <s v="East"/>
    <x v="0"/>
    <m/>
    <n v="60.2"/>
    <n v="6"/>
    <n v="0"/>
    <x v="11"/>
    <n v="0"/>
    <n v="0"/>
    <m/>
    <x v="2"/>
  </r>
  <r>
    <n v="4206"/>
    <d v="2025-03-28T00:00:00"/>
    <n v="67"/>
    <s v="Female"/>
    <s v="West"/>
    <x v="3"/>
    <m/>
    <n v="32.799999999999997"/>
    <n v="3"/>
    <n v="0"/>
    <x v="11"/>
    <n v="0"/>
    <n v="0"/>
    <m/>
    <x v="2"/>
  </r>
  <r>
    <n v="1710"/>
    <d v="2025-04-28T00:00:00"/>
    <n v="25"/>
    <s v="Male"/>
    <s v="East"/>
    <x v="0"/>
    <m/>
    <n v="600.29999999999995"/>
    <n v="7"/>
    <n v="1"/>
    <x v="1510"/>
    <n v="2"/>
    <n v="7"/>
    <n v="4"/>
    <x v="3"/>
  </r>
  <r>
    <n v="2115"/>
    <d v="2025-04-28T00:00:00"/>
    <n v="36"/>
    <s v="Male"/>
    <s v="South"/>
    <x v="0"/>
    <m/>
    <n v="191.7"/>
    <n v="3"/>
    <n v="1"/>
    <x v="1511"/>
    <n v="3"/>
    <n v="2"/>
    <n v="4"/>
    <x v="3"/>
  </r>
  <r>
    <n v="2371"/>
    <d v="2025-04-28T00:00:00"/>
    <n v="25"/>
    <s v="Female"/>
    <s v="East"/>
    <x v="1"/>
    <s v="CAMP6"/>
    <n v="1091.5999999999999"/>
    <n v="2"/>
    <n v="1"/>
    <x v="142"/>
    <n v="2"/>
    <n v="10"/>
    <n v="3"/>
    <x v="3"/>
  </r>
  <r>
    <n v="1612"/>
    <d v="2025-04-28T00:00:00"/>
    <n v="28"/>
    <s v="Male"/>
    <s v="North"/>
    <x v="2"/>
    <m/>
    <n v="953.3"/>
    <n v="4"/>
    <n v="1"/>
    <x v="1512"/>
    <n v="6"/>
    <n v="9"/>
    <n v="4"/>
    <x v="3"/>
  </r>
  <r>
    <n v="1219"/>
    <d v="2025-04-28T00:00:00"/>
    <n v="26"/>
    <s v="Male"/>
    <s v="East"/>
    <x v="3"/>
    <m/>
    <n v="552"/>
    <n v="5"/>
    <n v="1"/>
    <x v="1513"/>
    <n v="3"/>
    <n v="13"/>
    <n v="4"/>
    <x v="3"/>
  </r>
  <r>
    <n v="3418"/>
    <d v="2025-04-28T00:00:00"/>
    <n v="51"/>
    <s v="Male"/>
    <s v="South"/>
    <x v="1"/>
    <s v="CAMP4"/>
    <n v="117.4"/>
    <n v="7"/>
    <n v="1"/>
    <x v="1514"/>
    <n v="3"/>
    <n v="9"/>
    <n v="4"/>
    <x v="3"/>
  </r>
  <r>
    <n v="213"/>
    <d v="2025-04-28T00:00:00"/>
    <n v="30"/>
    <s v="Male"/>
    <s v="South"/>
    <x v="0"/>
    <m/>
    <n v="356.1"/>
    <n v="4"/>
    <n v="1"/>
    <x v="1515"/>
    <n v="4"/>
    <n v="12"/>
    <n v="5"/>
    <x v="3"/>
  </r>
  <r>
    <n v="1235"/>
    <d v="2025-04-28T00:00:00"/>
    <n v="18"/>
    <s v="Female"/>
    <s v="South"/>
    <x v="0"/>
    <m/>
    <n v="872.4"/>
    <n v="7"/>
    <n v="1"/>
    <x v="1516"/>
    <n v="2"/>
    <n v="14"/>
    <n v="4"/>
    <x v="3"/>
  </r>
  <r>
    <n v="1125"/>
    <d v="2025-04-28T00:00:00"/>
    <n v="25"/>
    <s v="Female"/>
    <s v="North"/>
    <x v="0"/>
    <m/>
    <n v="594.20000000000005"/>
    <n v="7"/>
    <n v="1"/>
    <x v="1517"/>
    <n v="3"/>
    <n v="13"/>
    <n v="4"/>
    <x v="3"/>
  </r>
  <r>
    <n v="2894"/>
    <d v="2025-04-28T00:00:00"/>
    <n v="26"/>
    <s v="Male"/>
    <s v="North"/>
    <x v="1"/>
    <s v="CAMP7"/>
    <n v="509.2"/>
    <n v="10"/>
    <n v="1"/>
    <x v="1518"/>
    <n v="4"/>
    <n v="3"/>
    <n v="4"/>
    <x v="3"/>
  </r>
  <r>
    <n v="3171"/>
    <d v="2025-04-28T00:00:00"/>
    <n v="46"/>
    <s v="Male"/>
    <s v="West"/>
    <x v="0"/>
    <m/>
    <n v="460.5"/>
    <n v="7"/>
    <n v="1"/>
    <x v="882"/>
    <n v="4"/>
    <n v="9"/>
    <n v="4"/>
    <x v="3"/>
  </r>
  <r>
    <n v="887"/>
    <d v="2025-04-28T00:00:00"/>
    <n v="30"/>
    <s v="Male"/>
    <s v="East"/>
    <x v="1"/>
    <s v="CAMP1"/>
    <n v="686.6"/>
    <n v="4"/>
    <n v="0"/>
    <x v="11"/>
    <n v="0"/>
    <n v="0"/>
    <m/>
    <x v="3"/>
  </r>
  <r>
    <n v="1336"/>
    <d v="2025-04-28T00:00:00"/>
    <n v="19"/>
    <s v="Male"/>
    <s v="West"/>
    <x v="0"/>
    <m/>
    <n v="595.70000000000005"/>
    <n v="7"/>
    <n v="0"/>
    <x v="11"/>
    <n v="0"/>
    <n v="0"/>
    <m/>
    <x v="3"/>
  </r>
  <r>
    <n v="2161"/>
    <d v="2025-04-28T00:00:00"/>
    <n v="26"/>
    <s v="Female"/>
    <s v="West"/>
    <x v="1"/>
    <s v="CAMP1"/>
    <n v="553.1"/>
    <n v="7"/>
    <n v="0"/>
    <x v="11"/>
    <n v="0"/>
    <n v="0"/>
    <m/>
    <x v="3"/>
  </r>
  <r>
    <n v="3340"/>
    <d v="2025-04-28T00:00:00"/>
    <n v="46"/>
    <s v="Female"/>
    <s v="North"/>
    <x v="2"/>
    <m/>
    <n v="505.4"/>
    <n v="3"/>
    <n v="0"/>
    <x v="11"/>
    <n v="0"/>
    <n v="0"/>
    <m/>
    <x v="3"/>
  </r>
  <r>
    <n v="2059"/>
    <d v="2025-04-28T00:00:00"/>
    <n v="26"/>
    <s v="Male"/>
    <s v="North"/>
    <x v="3"/>
    <m/>
    <n v="344.4"/>
    <n v="5"/>
    <n v="0"/>
    <x v="11"/>
    <n v="0"/>
    <n v="0"/>
    <m/>
    <x v="3"/>
  </r>
  <r>
    <n v="943"/>
    <d v="2025-04-28T00:00:00"/>
    <n v="28"/>
    <s v="Female"/>
    <s v="West"/>
    <x v="1"/>
    <s v="CAMP7"/>
    <n v="251"/>
    <n v="3"/>
    <n v="0"/>
    <x v="11"/>
    <n v="0"/>
    <n v="0"/>
    <m/>
    <x v="3"/>
  </r>
  <r>
    <n v="2274"/>
    <d v="2025-04-28T00:00:00"/>
    <n v="22"/>
    <s v="Male"/>
    <s v="West"/>
    <x v="1"/>
    <s v="CAMP4"/>
    <n v="251"/>
    <n v="7"/>
    <n v="0"/>
    <x v="11"/>
    <n v="0"/>
    <n v="0"/>
    <m/>
    <x v="3"/>
  </r>
  <r>
    <n v="2030"/>
    <d v="2025-04-28T00:00:00"/>
    <n v="35"/>
    <s v="Male"/>
    <s v="West"/>
    <x v="1"/>
    <s v="CAMP1"/>
    <n v="199.3"/>
    <n v="3"/>
    <n v="0"/>
    <x v="11"/>
    <n v="0"/>
    <n v="0"/>
    <m/>
    <x v="3"/>
  </r>
  <r>
    <n v="2185"/>
    <d v="2025-04-28T00:00:00"/>
    <n v="44"/>
    <s v="Female"/>
    <s v="East"/>
    <x v="2"/>
    <m/>
    <n v="196.1"/>
    <n v="7"/>
    <n v="0"/>
    <x v="11"/>
    <n v="0"/>
    <n v="0"/>
    <m/>
    <x v="3"/>
  </r>
  <r>
    <n v="1462"/>
    <d v="2025-04-28T00:00:00"/>
    <n v="25"/>
    <s v="Male"/>
    <s v="North"/>
    <x v="0"/>
    <m/>
    <n v="191.9"/>
    <n v="7"/>
    <n v="0"/>
    <x v="11"/>
    <n v="0"/>
    <n v="0"/>
    <m/>
    <x v="3"/>
  </r>
  <r>
    <n v="2668"/>
    <d v="2025-04-28T00:00:00"/>
    <n v="37"/>
    <s v="Male"/>
    <s v="North"/>
    <x v="0"/>
    <m/>
    <n v="161.4"/>
    <n v="3"/>
    <n v="0"/>
    <x v="11"/>
    <n v="0"/>
    <n v="0"/>
    <m/>
    <x v="3"/>
  </r>
  <r>
    <n v="187"/>
    <d v="2025-05-28T00:00:00"/>
    <n v="21"/>
    <s v="Male"/>
    <s v="North"/>
    <x v="1"/>
    <s v="CAMP7"/>
    <n v="729.5"/>
    <n v="10"/>
    <n v="1"/>
    <x v="966"/>
    <n v="3"/>
    <n v="3"/>
    <n v="5"/>
    <x v="4"/>
  </r>
  <r>
    <n v="3985"/>
    <d v="2025-05-28T00:00:00"/>
    <n v="41"/>
    <s v="Female"/>
    <s v="South"/>
    <x v="1"/>
    <s v="CAMP6"/>
    <n v="517.29999999999995"/>
    <n v="6"/>
    <n v="1"/>
    <x v="1519"/>
    <n v="3"/>
    <n v="2"/>
    <n v="4"/>
    <x v="4"/>
  </r>
  <r>
    <n v="3514"/>
    <d v="2025-05-28T00:00:00"/>
    <n v="27"/>
    <s v="Male"/>
    <s v="North"/>
    <x v="0"/>
    <m/>
    <n v="468.1"/>
    <n v="6"/>
    <n v="1"/>
    <x v="1520"/>
    <n v="3"/>
    <n v="5"/>
    <n v="4"/>
    <x v="4"/>
  </r>
  <r>
    <n v="4709"/>
    <d v="2025-05-28T00:00:00"/>
    <n v="39"/>
    <s v="Male"/>
    <s v="South"/>
    <x v="1"/>
    <s v="CAMP1"/>
    <n v="153.30000000000001"/>
    <n v="7"/>
    <n v="1"/>
    <x v="1521"/>
    <n v="4"/>
    <n v="7"/>
    <n v="4"/>
    <x v="4"/>
  </r>
  <r>
    <n v="2327"/>
    <d v="2025-05-28T00:00:00"/>
    <n v="43"/>
    <s v="Female"/>
    <s v="North"/>
    <x v="1"/>
    <s v="CAMP7"/>
    <n v="271.60000000000002"/>
    <n v="6"/>
    <n v="1"/>
    <x v="1522"/>
    <n v="3"/>
    <n v="2"/>
    <n v="5"/>
    <x v="4"/>
  </r>
  <r>
    <n v="2089"/>
    <d v="2025-05-28T00:00:00"/>
    <n v="22"/>
    <s v="Male"/>
    <s v="South"/>
    <x v="0"/>
    <m/>
    <n v="180"/>
    <n v="6"/>
    <n v="1"/>
    <x v="1523"/>
    <n v="4"/>
    <n v="2"/>
    <n v="4"/>
    <x v="4"/>
  </r>
  <r>
    <n v="770"/>
    <d v="2025-05-28T00:00:00"/>
    <n v="28"/>
    <s v="Male"/>
    <s v="East"/>
    <x v="3"/>
    <m/>
    <n v="781.3"/>
    <n v="7"/>
    <n v="1"/>
    <x v="1037"/>
    <n v="1"/>
    <n v="10"/>
    <n v="4"/>
    <x v="4"/>
  </r>
  <r>
    <n v="2923"/>
    <d v="2025-05-28T00:00:00"/>
    <n v="35"/>
    <s v="Female"/>
    <s v="West"/>
    <x v="0"/>
    <m/>
    <n v="561.29999999999995"/>
    <n v="9"/>
    <n v="1"/>
    <x v="1524"/>
    <n v="3"/>
    <n v="10"/>
    <n v="5"/>
    <x v="4"/>
  </r>
  <r>
    <n v="3819"/>
    <d v="2025-05-28T00:00:00"/>
    <n v="63"/>
    <s v="Female"/>
    <s v="West"/>
    <x v="0"/>
    <m/>
    <n v="1173.3"/>
    <n v="5"/>
    <n v="1"/>
    <x v="1525"/>
    <n v="4"/>
    <n v="12"/>
    <n v="4"/>
    <x v="4"/>
  </r>
  <r>
    <n v="2657"/>
    <d v="2025-05-28T00:00:00"/>
    <n v="21"/>
    <s v="Male"/>
    <s v="South"/>
    <x v="1"/>
    <s v="CAMP7"/>
    <n v="562"/>
    <n v="8"/>
    <n v="1"/>
    <x v="1526"/>
    <n v="2"/>
    <n v="12"/>
    <n v="4"/>
    <x v="4"/>
  </r>
  <r>
    <n v="4057"/>
    <d v="2025-05-28T00:00:00"/>
    <n v="67"/>
    <s v="Female"/>
    <s v="South"/>
    <x v="1"/>
    <s v="CAMP7"/>
    <n v="654.5"/>
    <n v="3"/>
    <n v="1"/>
    <x v="1527"/>
    <n v="5"/>
    <n v="15"/>
    <n v="3"/>
    <x v="4"/>
  </r>
  <r>
    <n v="4805"/>
    <d v="2025-05-28T00:00:00"/>
    <n v="49"/>
    <s v="Female"/>
    <s v="South"/>
    <x v="0"/>
    <m/>
    <n v="449.1"/>
    <n v="12"/>
    <n v="1"/>
    <x v="1528"/>
    <n v="3"/>
    <n v="4"/>
    <n v="5"/>
    <x v="4"/>
  </r>
  <r>
    <n v="1166"/>
    <d v="2025-05-28T00:00:00"/>
    <n v="25"/>
    <s v="Male"/>
    <s v="East"/>
    <x v="1"/>
    <s v="CAMP2"/>
    <n v="1115.0999999999999"/>
    <n v="6"/>
    <n v="1"/>
    <x v="1529"/>
    <n v="3"/>
    <n v="2"/>
    <n v="4"/>
    <x v="4"/>
  </r>
  <r>
    <n v="2984"/>
    <d v="2025-05-28T00:00:00"/>
    <n v="24"/>
    <s v="Female"/>
    <s v="East"/>
    <x v="0"/>
    <m/>
    <n v="495.9"/>
    <n v="4"/>
    <n v="1"/>
    <x v="1530"/>
    <n v="5"/>
    <n v="7"/>
    <n v="4"/>
    <x v="4"/>
  </r>
  <r>
    <n v="4774"/>
    <d v="2025-05-28T00:00:00"/>
    <n v="56"/>
    <s v="Female"/>
    <s v="North"/>
    <x v="1"/>
    <s v="CAMP4"/>
    <n v="879.5"/>
    <n v="8"/>
    <n v="0"/>
    <x v="11"/>
    <n v="0"/>
    <n v="0"/>
    <m/>
    <x v="4"/>
  </r>
  <r>
    <n v="4343"/>
    <d v="2025-05-28T00:00:00"/>
    <n v="40"/>
    <s v="Female"/>
    <s v="West"/>
    <x v="2"/>
    <m/>
    <n v="702.1"/>
    <n v="5"/>
    <n v="0"/>
    <x v="11"/>
    <n v="0"/>
    <n v="0"/>
    <m/>
    <x v="4"/>
  </r>
  <r>
    <n v="907"/>
    <d v="2025-05-28T00:00:00"/>
    <n v="22"/>
    <s v="Female"/>
    <s v="East"/>
    <x v="1"/>
    <s v="CAMP5"/>
    <n v="489.9"/>
    <n v="8"/>
    <n v="0"/>
    <x v="11"/>
    <n v="0"/>
    <n v="0"/>
    <m/>
    <x v="4"/>
  </r>
  <r>
    <n v="3777"/>
    <d v="2025-05-28T00:00:00"/>
    <n v="47"/>
    <s v="Female"/>
    <s v="West"/>
    <x v="1"/>
    <s v="CAMP2"/>
    <n v="485.5"/>
    <n v="5"/>
    <n v="0"/>
    <x v="11"/>
    <n v="0"/>
    <n v="0"/>
    <m/>
    <x v="4"/>
  </r>
  <r>
    <n v="1314"/>
    <d v="2025-05-28T00:00:00"/>
    <n v="19"/>
    <s v="Male"/>
    <s v="South"/>
    <x v="0"/>
    <m/>
    <n v="483.4"/>
    <n v="9"/>
    <n v="0"/>
    <x v="11"/>
    <n v="0"/>
    <n v="0"/>
    <m/>
    <x v="4"/>
  </r>
  <r>
    <n v="438"/>
    <d v="2025-05-28T00:00:00"/>
    <n v="21"/>
    <s v="Female"/>
    <s v="East"/>
    <x v="0"/>
    <m/>
    <n v="385.1"/>
    <n v="13"/>
    <n v="0"/>
    <x v="11"/>
    <n v="0"/>
    <n v="0"/>
    <m/>
    <x v="4"/>
  </r>
  <r>
    <n v="4216"/>
    <d v="2025-05-28T00:00:00"/>
    <n v="40"/>
    <s v="Female"/>
    <s v="South"/>
    <x v="1"/>
    <s v="CAMP2"/>
    <n v="334.1"/>
    <n v="6"/>
    <n v="0"/>
    <x v="11"/>
    <n v="0"/>
    <n v="0"/>
    <m/>
    <x v="4"/>
  </r>
  <r>
    <n v="3276"/>
    <d v="2025-05-28T00:00:00"/>
    <n v="47"/>
    <s v="Other"/>
    <s v="South"/>
    <x v="1"/>
    <s v="CAMP5"/>
    <n v="319.89999999999998"/>
    <n v="9"/>
    <n v="0"/>
    <x v="11"/>
    <n v="0"/>
    <n v="0"/>
    <m/>
    <x v="4"/>
  </r>
  <r>
    <n v="1481"/>
    <d v="2025-05-28T00:00:00"/>
    <n v="30"/>
    <s v="Female"/>
    <s v="South"/>
    <x v="1"/>
    <s v="CAMP2"/>
    <n v="315.89999999999998"/>
    <n v="4"/>
    <n v="0"/>
    <x v="11"/>
    <n v="0"/>
    <n v="0"/>
    <m/>
    <x v="4"/>
  </r>
  <r>
    <n v="127"/>
    <d v="2025-05-28T00:00:00"/>
    <n v="19"/>
    <s v="Male"/>
    <s v="West"/>
    <x v="3"/>
    <m/>
    <n v="261.10000000000002"/>
    <n v="7"/>
    <n v="0"/>
    <x v="11"/>
    <n v="0"/>
    <n v="0"/>
    <m/>
    <x v="4"/>
  </r>
  <r>
    <n v="1670"/>
    <d v="2025-05-28T00:00:00"/>
    <n v="34"/>
    <s v="Female"/>
    <s v="West"/>
    <x v="1"/>
    <s v="CAMP4"/>
    <n v="256.60000000000002"/>
    <n v="5"/>
    <n v="0"/>
    <x v="11"/>
    <n v="0"/>
    <n v="0"/>
    <m/>
    <x v="4"/>
  </r>
  <r>
    <n v="681"/>
    <d v="2025-05-28T00:00:00"/>
    <n v="21"/>
    <s v="Male"/>
    <s v="West"/>
    <x v="1"/>
    <s v="CAMP6"/>
    <n v="214.8"/>
    <n v="4"/>
    <n v="0"/>
    <x v="11"/>
    <n v="0"/>
    <n v="0"/>
    <m/>
    <x v="4"/>
  </r>
  <r>
    <n v="3742"/>
    <d v="2025-05-28T00:00:00"/>
    <n v="47"/>
    <s v="Male"/>
    <s v="East"/>
    <x v="0"/>
    <m/>
    <n v="210.4"/>
    <n v="6"/>
    <n v="0"/>
    <x v="11"/>
    <n v="0"/>
    <n v="0"/>
    <m/>
    <x v="4"/>
  </r>
  <r>
    <n v="990"/>
    <d v="2025-05-28T00:00:00"/>
    <n v="18"/>
    <s v="Female"/>
    <s v="East"/>
    <x v="1"/>
    <s v="CAMP2"/>
    <n v="203.2"/>
    <n v="7"/>
    <n v="0"/>
    <x v="11"/>
    <n v="0"/>
    <n v="0"/>
    <m/>
    <x v="4"/>
  </r>
  <r>
    <n v="2146"/>
    <d v="2025-05-28T00:00:00"/>
    <n v="23"/>
    <s v="Female"/>
    <s v="North"/>
    <x v="0"/>
    <m/>
    <n v="178.2"/>
    <n v="5"/>
    <n v="0"/>
    <x v="11"/>
    <n v="0"/>
    <n v="0"/>
    <m/>
    <x v="4"/>
  </r>
  <r>
    <n v="2141"/>
    <d v="2025-05-28T00:00:00"/>
    <n v="45"/>
    <s v="Male"/>
    <s v="East"/>
    <x v="0"/>
    <m/>
    <n v="153.4"/>
    <n v="12"/>
    <n v="0"/>
    <x v="11"/>
    <n v="0"/>
    <n v="0"/>
    <m/>
    <x v="4"/>
  </r>
  <r>
    <n v="3359"/>
    <d v="2025-05-28T00:00:00"/>
    <n v="30"/>
    <s v="Female"/>
    <s v="West"/>
    <x v="0"/>
    <m/>
    <n v="147"/>
    <n v="5"/>
    <n v="0"/>
    <x v="11"/>
    <n v="0"/>
    <n v="0"/>
    <m/>
    <x v="4"/>
  </r>
  <r>
    <n v="1553"/>
    <d v="2025-05-28T00:00:00"/>
    <n v="27"/>
    <s v="Female"/>
    <s v="East"/>
    <x v="1"/>
    <s v="CAMP1"/>
    <n v="89.6"/>
    <n v="4"/>
    <n v="0"/>
    <x v="11"/>
    <n v="0"/>
    <n v="0"/>
    <m/>
    <x v="4"/>
  </r>
  <r>
    <n v="4818"/>
    <d v="2025-05-28T00:00:00"/>
    <n v="65"/>
    <s v="Male"/>
    <s v="North"/>
    <x v="0"/>
    <m/>
    <n v="85.5"/>
    <n v="7"/>
    <n v="0"/>
    <x v="11"/>
    <n v="0"/>
    <n v="0"/>
    <m/>
    <x v="4"/>
  </r>
  <r>
    <n v="3803"/>
    <d v="2025-05-28T00:00:00"/>
    <n v="54"/>
    <s v="Male"/>
    <s v="East"/>
    <x v="1"/>
    <s v="CAMP3"/>
    <n v="76.8"/>
    <n v="5"/>
    <n v="0"/>
    <x v="11"/>
    <n v="0"/>
    <n v="0"/>
    <m/>
    <x v="4"/>
  </r>
  <r>
    <n v="1871"/>
    <d v="2025-05-28T00:00:00"/>
    <n v="37"/>
    <s v="Male"/>
    <s v="North"/>
    <x v="0"/>
    <m/>
    <n v="69.599999999999994"/>
    <n v="10"/>
    <n v="0"/>
    <x v="11"/>
    <n v="0"/>
    <n v="0"/>
    <m/>
    <x v="4"/>
  </r>
  <r>
    <n v="1639"/>
    <d v="2025-06-28T00:00:00"/>
    <n v="35"/>
    <s v="Male"/>
    <s v="North"/>
    <x v="0"/>
    <m/>
    <n v="793.9"/>
    <n v="2"/>
    <n v="1"/>
    <x v="1531"/>
    <n v="4"/>
    <n v="2"/>
    <n v="5"/>
    <x v="5"/>
  </r>
  <r>
    <n v="706"/>
    <d v="2025-06-28T00:00:00"/>
    <n v="25"/>
    <s v="Female"/>
    <s v="West"/>
    <x v="1"/>
    <s v="CAMP3"/>
    <n v="225.4"/>
    <n v="8"/>
    <n v="1"/>
    <x v="1532"/>
    <n v="3"/>
    <n v="2"/>
    <n v="3"/>
    <x v="5"/>
  </r>
  <r>
    <n v="2737"/>
    <d v="2025-06-28T00:00:00"/>
    <n v="30"/>
    <s v="Male"/>
    <s v="North"/>
    <x v="1"/>
    <s v="CAMP6"/>
    <n v="679.5"/>
    <n v="4"/>
    <n v="1"/>
    <x v="1533"/>
    <n v="1"/>
    <n v="10"/>
    <n v="4"/>
    <x v="5"/>
  </r>
  <r>
    <n v="2837"/>
    <d v="2025-06-28T00:00:00"/>
    <n v="42"/>
    <s v="Female"/>
    <s v="North"/>
    <x v="2"/>
    <m/>
    <n v="1201.8"/>
    <n v="7"/>
    <n v="1"/>
    <x v="1534"/>
    <n v="3"/>
    <n v="10"/>
    <n v="5"/>
    <x v="5"/>
  </r>
  <r>
    <n v="4405"/>
    <d v="2025-06-28T00:00:00"/>
    <n v="46"/>
    <s v="Male"/>
    <s v="East"/>
    <x v="0"/>
    <m/>
    <n v="464.4"/>
    <n v="5"/>
    <n v="1"/>
    <x v="1535"/>
    <n v="3"/>
    <n v="13"/>
    <n v="4"/>
    <x v="5"/>
  </r>
  <r>
    <n v="3715"/>
    <d v="2025-06-28T00:00:00"/>
    <n v="47"/>
    <s v="Male"/>
    <s v="East"/>
    <x v="0"/>
    <m/>
    <n v="470"/>
    <n v="6"/>
    <n v="1"/>
    <x v="535"/>
    <n v="3"/>
    <n v="14"/>
    <n v="4"/>
    <x v="5"/>
  </r>
  <r>
    <n v="1592"/>
    <d v="2025-06-28T00:00:00"/>
    <n v="26"/>
    <s v="Male"/>
    <s v="West"/>
    <x v="0"/>
    <m/>
    <n v="94.9"/>
    <n v="8"/>
    <n v="1"/>
    <x v="1536"/>
    <n v="4"/>
    <n v="15"/>
    <n v="4"/>
    <x v="5"/>
  </r>
  <r>
    <n v="262"/>
    <d v="2025-06-28T00:00:00"/>
    <n v="20"/>
    <s v="Female"/>
    <s v="West"/>
    <x v="1"/>
    <s v="CAMP4"/>
    <n v="197.4"/>
    <n v="1"/>
    <n v="1"/>
    <x v="980"/>
    <n v="2"/>
    <n v="12"/>
    <n v="5"/>
    <x v="5"/>
  </r>
  <r>
    <n v="4439"/>
    <d v="2025-06-28T00:00:00"/>
    <n v="51"/>
    <s v="Male"/>
    <s v="South"/>
    <x v="3"/>
    <m/>
    <n v="186.6"/>
    <n v="6"/>
    <n v="1"/>
    <x v="1537"/>
    <n v="3"/>
    <n v="14"/>
    <n v="4"/>
    <x v="5"/>
  </r>
  <r>
    <n v="3574"/>
    <d v="2025-06-28T00:00:00"/>
    <n v="39"/>
    <s v="Male"/>
    <s v="East"/>
    <x v="0"/>
    <m/>
    <n v="824.1"/>
    <n v="11"/>
    <n v="0"/>
    <x v="11"/>
    <n v="0"/>
    <n v="0"/>
    <m/>
    <x v="5"/>
  </r>
  <r>
    <n v="1089"/>
    <d v="2025-06-28T00:00:00"/>
    <n v="19"/>
    <s v="Female"/>
    <s v="North"/>
    <x v="3"/>
    <m/>
    <n v="712.8"/>
    <n v="3"/>
    <n v="0"/>
    <x v="11"/>
    <n v="0"/>
    <n v="0"/>
    <m/>
    <x v="5"/>
  </r>
  <r>
    <n v="476"/>
    <d v="2025-06-28T00:00:00"/>
    <n v="18"/>
    <s v="Male"/>
    <s v="North"/>
    <x v="2"/>
    <m/>
    <n v="413"/>
    <n v="10"/>
    <n v="0"/>
    <x v="11"/>
    <n v="0"/>
    <n v="0"/>
    <m/>
    <x v="5"/>
  </r>
  <r>
    <n v="4766"/>
    <d v="2025-06-28T00:00:00"/>
    <n v="54"/>
    <s v="Female"/>
    <s v="West"/>
    <x v="3"/>
    <m/>
    <n v="399.7"/>
    <n v="9"/>
    <n v="0"/>
    <x v="11"/>
    <n v="0"/>
    <n v="0"/>
    <m/>
    <x v="5"/>
  </r>
  <r>
    <n v="1617"/>
    <d v="2025-06-28T00:00:00"/>
    <n v="25"/>
    <s v="Male"/>
    <s v="West"/>
    <x v="0"/>
    <m/>
    <n v="358.6"/>
    <n v="5"/>
    <n v="0"/>
    <x v="11"/>
    <n v="0"/>
    <n v="0"/>
    <m/>
    <x v="5"/>
  </r>
  <r>
    <n v="4744"/>
    <d v="2025-06-28T00:00:00"/>
    <n v="53"/>
    <s v="Female"/>
    <s v="East"/>
    <x v="3"/>
    <m/>
    <n v="329.3"/>
    <n v="7"/>
    <n v="0"/>
    <x v="11"/>
    <n v="0"/>
    <n v="0"/>
    <m/>
    <x v="5"/>
  </r>
  <r>
    <n v="1665"/>
    <d v="2025-06-28T00:00:00"/>
    <n v="19"/>
    <s v="Female"/>
    <s v="South"/>
    <x v="0"/>
    <m/>
    <n v="321.89999999999998"/>
    <n v="11"/>
    <n v="0"/>
    <x v="11"/>
    <n v="0"/>
    <n v="0"/>
    <m/>
    <x v="5"/>
  </r>
  <r>
    <n v="3925"/>
    <d v="2025-06-28T00:00:00"/>
    <n v="59"/>
    <s v="Female"/>
    <s v="East"/>
    <x v="0"/>
    <m/>
    <n v="264.10000000000002"/>
    <n v="6"/>
    <n v="0"/>
    <x v="11"/>
    <n v="0"/>
    <n v="0"/>
    <m/>
    <x v="5"/>
  </r>
  <r>
    <n v="1890"/>
    <d v="2025-06-28T00:00:00"/>
    <n v="34"/>
    <s v="Male"/>
    <s v="North"/>
    <x v="0"/>
    <m/>
    <n v="173.4"/>
    <n v="3"/>
    <n v="0"/>
    <x v="11"/>
    <n v="0"/>
    <n v="0"/>
    <m/>
    <x v="5"/>
  </r>
  <r>
    <n v="2315"/>
    <d v="2025-06-28T00:00:00"/>
    <n v="46"/>
    <s v="Female"/>
    <s v="East"/>
    <x v="2"/>
    <m/>
    <n v="170.4"/>
    <n v="4"/>
    <n v="0"/>
    <x v="11"/>
    <n v="0"/>
    <n v="0"/>
    <m/>
    <x v="5"/>
  </r>
  <r>
    <n v="391"/>
    <d v="2025-06-28T00:00:00"/>
    <n v="29"/>
    <s v="Female"/>
    <s v="South"/>
    <x v="3"/>
    <m/>
    <n v="167.7"/>
    <n v="3"/>
    <n v="0"/>
    <x v="11"/>
    <n v="0"/>
    <n v="0"/>
    <m/>
    <x v="5"/>
  </r>
  <r>
    <n v="2461"/>
    <d v="2025-06-28T00:00:00"/>
    <n v="32"/>
    <s v="Male"/>
    <s v="North"/>
    <x v="3"/>
    <m/>
    <n v="134.69999999999999"/>
    <n v="9"/>
    <n v="0"/>
    <x v="11"/>
    <n v="0"/>
    <n v="0"/>
    <m/>
    <x v="5"/>
  </r>
  <r>
    <n v="4472"/>
    <d v="2025-06-28T00:00:00"/>
    <n v="53"/>
    <s v="Female"/>
    <s v="South"/>
    <x v="1"/>
    <s v="CAMP3"/>
    <n v="125.8"/>
    <n v="5"/>
    <n v="0"/>
    <x v="11"/>
    <n v="0"/>
    <n v="0"/>
    <m/>
    <x v="5"/>
  </r>
  <r>
    <n v="4034"/>
    <d v="2025-06-28T00:00:00"/>
    <n v="53"/>
    <s v="Female"/>
    <s v="West"/>
    <x v="0"/>
    <m/>
    <n v="110.2"/>
    <n v="4"/>
    <n v="0"/>
    <x v="11"/>
    <n v="0"/>
    <n v="0"/>
    <m/>
    <x v="5"/>
  </r>
  <r>
    <n v="4060"/>
    <d v="2025-06-28T00:00:00"/>
    <n v="45"/>
    <s v="Male"/>
    <s v="South"/>
    <x v="3"/>
    <m/>
    <n v="69.5"/>
    <n v="6"/>
    <n v="0"/>
    <x v="11"/>
    <n v="0"/>
    <n v="0"/>
    <m/>
    <x v="5"/>
  </r>
  <r>
    <n v="3432"/>
    <d v="2025-06-28T00:00:00"/>
    <n v="20"/>
    <s v="Female"/>
    <s v="East"/>
    <x v="0"/>
    <m/>
    <n v="59.8"/>
    <n v="5"/>
    <n v="0"/>
    <x v="11"/>
    <n v="0"/>
    <n v="0"/>
    <m/>
    <x v="5"/>
  </r>
  <r>
    <n v="3668"/>
    <d v="2025-01-29T00:00:00"/>
    <n v="35"/>
    <s v="Female"/>
    <s v="West"/>
    <x v="2"/>
    <m/>
    <n v="301.2"/>
    <n v="10"/>
    <n v="1"/>
    <x v="1262"/>
    <n v="4"/>
    <n v="15"/>
    <n v="3"/>
    <x v="0"/>
  </r>
  <r>
    <n v="4826"/>
    <d v="2025-01-29T00:00:00"/>
    <n v="52"/>
    <s v="Female"/>
    <s v="East"/>
    <x v="0"/>
    <m/>
    <n v="616.20000000000005"/>
    <n v="6"/>
    <n v="1"/>
    <x v="1538"/>
    <n v="2"/>
    <n v="14"/>
    <n v="4"/>
    <x v="0"/>
  </r>
  <r>
    <n v="3211"/>
    <d v="2025-01-29T00:00:00"/>
    <n v="28"/>
    <s v="Male"/>
    <s v="South"/>
    <x v="1"/>
    <s v="CAMP7"/>
    <n v="642.9"/>
    <n v="4"/>
    <n v="1"/>
    <x v="1539"/>
    <n v="1"/>
    <n v="11"/>
    <n v="4"/>
    <x v="0"/>
  </r>
  <r>
    <n v="668"/>
    <d v="2025-01-29T00:00:00"/>
    <n v="21"/>
    <s v="Female"/>
    <s v="West"/>
    <x v="1"/>
    <s v="CAMP4"/>
    <n v="350.9"/>
    <n v="7"/>
    <n v="1"/>
    <x v="1540"/>
    <n v="2"/>
    <n v="6"/>
    <n v="4"/>
    <x v="0"/>
  </r>
  <r>
    <n v="1322"/>
    <d v="2025-01-29T00:00:00"/>
    <n v="27"/>
    <s v="Other"/>
    <s v="North"/>
    <x v="0"/>
    <m/>
    <n v="699.8"/>
    <n v="2"/>
    <n v="1"/>
    <x v="1541"/>
    <n v="2"/>
    <n v="10"/>
    <n v="4"/>
    <x v="0"/>
  </r>
  <r>
    <n v="4035"/>
    <d v="2025-01-29T00:00:00"/>
    <n v="40"/>
    <s v="Female"/>
    <s v="South"/>
    <x v="0"/>
    <m/>
    <n v="752.6"/>
    <n v="8"/>
    <n v="1"/>
    <x v="1542"/>
    <n v="2"/>
    <n v="14"/>
    <n v="4"/>
    <x v="0"/>
  </r>
  <r>
    <n v="876"/>
    <d v="2025-01-29T00:00:00"/>
    <n v="21"/>
    <s v="Male"/>
    <s v="East"/>
    <x v="0"/>
    <m/>
    <n v="1014.5"/>
    <n v="7"/>
    <n v="1"/>
    <x v="904"/>
    <n v="4"/>
    <n v="13"/>
    <n v="4"/>
    <x v="0"/>
  </r>
  <r>
    <n v="3344"/>
    <d v="2025-01-29T00:00:00"/>
    <n v="27"/>
    <s v="Female"/>
    <s v="East"/>
    <x v="0"/>
    <m/>
    <n v="451.4"/>
    <n v="8"/>
    <n v="1"/>
    <x v="1543"/>
    <n v="2"/>
    <n v="10"/>
    <n v="4"/>
    <x v="0"/>
  </r>
  <r>
    <n v="6"/>
    <d v="2025-01-29T00:00:00"/>
    <n v="27"/>
    <s v="Male"/>
    <s v="North"/>
    <x v="2"/>
    <m/>
    <n v="451.7"/>
    <n v="11"/>
    <n v="1"/>
    <x v="1544"/>
    <n v="1"/>
    <n v="6"/>
    <n v="4"/>
    <x v="0"/>
  </r>
  <r>
    <n v="3873"/>
    <d v="2025-01-29T00:00:00"/>
    <n v="51"/>
    <s v="Male"/>
    <s v="South"/>
    <x v="1"/>
    <s v="CAMP3"/>
    <n v="758.4"/>
    <n v="6"/>
    <n v="1"/>
    <x v="1545"/>
    <n v="2"/>
    <n v="1"/>
    <n v="5"/>
    <x v="0"/>
  </r>
  <r>
    <n v="4468"/>
    <d v="2025-01-29T00:00:00"/>
    <n v="50"/>
    <s v="Female"/>
    <s v="West"/>
    <x v="0"/>
    <m/>
    <n v="538.79999999999995"/>
    <n v="4"/>
    <n v="0"/>
    <x v="11"/>
    <n v="0"/>
    <n v="0"/>
    <m/>
    <x v="0"/>
  </r>
  <r>
    <n v="2421"/>
    <d v="2025-01-29T00:00:00"/>
    <n v="31"/>
    <s v="Female"/>
    <s v="East"/>
    <x v="0"/>
    <m/>
    <n v="471.4"/>
    <n v="4"/>
    <n v="0"/>
    <x v="11"/>
    <n v="0"/>
    <n v="0"/>
    <m/>
    <x v="0"/>
  </r>
  <r>
    <n v="4028"/>
    <d v="2025-01-29T00:00:00"/>
    <n v="61"/>
    <s v="Female"/>
    <s v="East"/>
    <x v="0"/>
    <m/>
    <n v="431.4"/>
    <n v="5"/>
    <n v="0"/>
    <x v="11"/>
    <n v="0"/>
    <n v="0"/>
    <m/>
    <x v="0"/>
  </r>
  <r>
    <n v="3173"/>
    <d v="2025-01-29T00:00:00"/>
    <n v="43"/>
    <s v="Female"/>
    <s v="South"/>
    <x v="0"/>
    <m/>
    <n v="389.9"/>
    <n v="9"/>
    <n v="0"/>
    <x v="11"/>
    <n v="0"/>
    <n v="0"/>
    <m/>
    <x v="0"/>
  </r>
  <r>
    <n v="3938"/>
    <d v="2025-01-29T00:00:00"/>
    <n v="54"/>
    <s v="Female"/>
    <s v="East"/>
    <x v="1"/>
    <s v="CAMP4"/>
    <n v="301.10000000000002"/>
    <n v="6"/>
    <n v="0"/>
    <x v="11"/>
    <n v="0"/>
    <n v="0"/>
    <m/>
    <x v="0"/>
  </r>
  <r>
    <n v="1157"/>
    <d v="2025-01-29T00:00:00"/>
    <n v="21"/>
    <s v="Male"/>
    <s v="East"/>
    <x v="1"/>
    <s v="CAMP4"/>
    <n v="287"/>
    <n v="7"/>
    <n v="0"/>
    <x v="11"/>
    <n v="0"/>
    <n v="0"/>
    <m/>
    <x v="0"/>
  </r>
  <r>
    <n v="2103"/>
    <d v="2025-01-29T00:00:00"/>
    <n v="36"/>
    <s v="Female"/>
    <s v="North"/>
    <x v="3"/>
    <m/>
    <n v="269.7"/>
    <n v="6"/>
    <n v="0"/>
    <x v="11"/>
    <n v="0"/>
    <n v="0"/>
    <m/>
    <x v="0"/>
  </r>
  <r>
    <n v="319"/>
    <d v="2025-01-29T00:00:00"/>
    <n v="30"/>
    <s v="Other"/>
    <s v="East"/>
    <x v="2"/>
    <m/>
    <n v="233.6"/>
    <n v="6"/>
    <n v="0"/>
    <x v="11"/>
    <n v="0"/>
    <n v="0"/>
    <m/>
    <x v="0"/>
  </r>
  <r>
    <n v="1885"/>
    <d v="2025-01-29T00:00:00"/>
    <n v="34"/>
    <s v="Female"/>
    <s v="East"/>
    <x v="0"/>
    <m/>
    <n v="221.5"/>
    <n v="3"/>
    <n v="0"/>
    <x v="11"/>
    <n v="0"/>
    <n v="0"/>
    <m/>
    <x v="0"/>
  </r>
  <r>
    <n v="2997"/>
    <d v="2025-01-29T00:00:00"/>
    <n v="32"/>
    <s v="Female"/>
    <s v="West"/>
    <x v="0"/>
    <m/>
    <n v="201.3"/>
    <n v="4"/>
    <n v="0"/>
    <x v="11"/>
    <n v="0"/>
    <n v="0"/>
    <m/>
    <x v="0"/>
  </r>
  <r>
    <n v="1165"/>
    <d v="2025-01-29T00:00:00"/>
    <n v="20"/>
    <s v="Male"/>
    <s v="South"/>
    <x v="2"/>
    <m/>
    <n v="190.5"/>
    <n v="8"/>
    <n v="0"/>
    <x v="11"/>
    <n v="0"/>
    <n v="0"/>
    <m/>
    <x v="0"/>
  </r>
  <r>
    <n v="4834"/>
    <d v="2025-01-29T00:00:00"/>
    <n v="36"/>
    <s v="Male"/>
    <s v="East"/>
    <x v="0"/>
    <m/>
    <n v="179.5"/>
    <n v="5"/>
    <n v="0"/>
    <x v="11"/>
    <n v="0"/>
    <n v="0"/>
    <m/>
    <x v="0"/>
  </r>
  <r>
    <n v="1992"/>
    <d v="2025-01-29T00:00:00"/>
    <n v="18"/>
    <s v="Female"/>
    <s v="North"/>
    <x v="0"/>
    <m/>
    <n v="168.7"/>
    <n v="4"/>
    <n v="0"/>
    <x v="11"/>
    <n v="0"/>
    <n v="0"/>
    <m/>
    <x v="0"/>
  </r>
  <r>
    <n v="3174"/>
    <d v="2025-01-29T00:00:00"/>
    <n v="32"/>
    <s v="Male"/>
    <s v="North"/>
    <x v="3"/>
    <m/>
    <n v="158.1"/>
    <n v="2"/>
    <n v="0"/>
    <x v="11"/>
    <n v="0"/>
    <n v="0"/>
    <m/>
    <x v="0"/>
  </r>
  <r>
    <n v="210"/>
    <d v="2025-01-29T00:00:00"/>
    <n v="31"/>
    <s v="Male"/>
    <s v="East"/>
    <x v="0"/>
    <m/>
    <n v="83.2"/>
    <n v="6"/>
    <n v="0"/>
    <x v="11"/>
    <n v="0"/>
    <n v="0"/>
    <m/>
    <x v="0"/>
  </r>
  <r>
    <n v="3462"/>
    <d v="2025-01-29T00:00:00"/>
    <n v="34"/>
    <s v="Female"/>
    <s v="North"/>
    <x v="0"/>
    <m/>
    <n v="61.4"/>
    <n v="5"/>
    <n v="0"/>
    <x v="11"/>
    <n v="0"/>
    <n v="0"/>
    <m/>
    <x v="0"/>
  </r>
  <r>
    <n v="5"/>
    <d v="2025-01-29T00:00:00"/>
    <n v="28"/>
    <s v="Male"/>
    <s v="North"/>
    <x v="2"/>
    <m/>
    <n v="12"/>
    <n v="4"/>
    <n v="0"/>
    <x v="11"/>
    <n v="0"/>
    <n v="0"/>
    <m/>
    <x v="0"/>
  </r>
  <r>
    <n v="1758"/>
    <d v="2025-03-29T00:00:00"/>
    <n v="40"/>
    <s v="Female"/>
    <s v="East"/>
    <x v="1"/>
    <s v="CAMP3"/>
    <n v="136.6"/>
    <n v="4"/>
    <n v="1"/>
    <x v="1546"/>
    <n v="4"/>
    <n v="7"/>
    <n v="4"/>
    <x v="2"/>
  </r>
  <r>
    <n v="624"/>
    <d v="2025-03-29T00:00:00"/>
    <n v="22"/>
    <s v="Female"/>
    <s v="North"/>
    <x v="0"/>
    <m/>
    <n v="808.5"/>
    <n v="12"/>
    <n v="1"/>
    <x v="1547"/>
    <n v="2"/>
    <n v="7"/>
    <n v="5"/>
    <x v="2"/>
  </r>
  <r>
    <n v="4476"/>
    <d v="2025-03-29T00:00:00"/>
    <n v="51"/>
    <s v="Female"/>
    <s v="South"/>
    <x v="0"/>
    <m/>
    <n v="741.6"/>
    <n v="7"/>
    <n v="1"/>
    <x v="1548"/>
    <n v="4"/>
    <n v="6"/>
    <n v="4"/>
    <x v="2"/>
  </r>
  <r>
    <n v="3647"/>
    <d v="2025-03-29T00:00:00"/>
    <n v="38"/>
    <s v="Male"/>
    <s v="East"/>
    <x v="0"/>
    <m/>
    <n v="253"/>
    <n v="10"/>
    <n v="1"/>
    <x v="1549"/>
    <n v="5"/>
    <n v="10"/>
    <n v="5"/>
    <x v="2"/>
  </r>
  <r>
    <n v="1205"/>
    <d v="2025-03-29T00:00:00"/>
    <n v="24"/>
    <s v="Male"/>
    <s v="East"/>
    <x v="1"/>
    <s v="CAMP1"/>
    <n v="213.3"/>
    <n v="9"/>
    <n v="1"/>
    <x v="58"/>
    <n v="2"/>
    <n v="1"/>
    <n v="5"/>
    <x v="2"/>
  </r>
  <r>
    <n v="3278"/>
    <d v="2025-03-29T00:00:00"/>
    <n v="21"/>
    <s v="Other"/>
    <s v="East"/>
    <x v="0"/>
    <m/>
    <n v="266.3"/>
    <n v="8"/>
    <n v="1"/>
    <x v="1550"/>
    <n v="2"/>
    <n v="9"/>
    <n v="4"/>
    <x v="2"/>
  </r>
  <r>
    <n v="4497"/>
    <d v="2025-03-29T00:00:00"/>
    <n v="50"/>
    <s v="Male"/>
    <s v="South"/>
    <x v="3"/>
    <m/>
    <n v="981.7"/>
    <n v="4"/>
    <n v="1"/>
    <x v="1551"/>
    <n v="4"/>
    <n v="11"/>
    <n v="5"/>
    <x v="2"/>
  </r>
  <r>
    <n v="2364"/>
    <d v="2025-03-29T00:00:00"/>
    <n v="43"/>
    <s v="Male"/>
    <s v="North"/>
    <x v="0"/>
    <m/>
    <n v="230.8"/>
    <n v="4"/>
    <n v="1"/>
    <x v="1552"/>
    <n v="3"/>
    <n v="9"/>
    <n v="4"/>
    <x v="2"/>
  </r>
  <r>
    <n v="2010"/>
    <d v="2025-03-29T00:00:00"/>
    <n v="35"/>
    <s v="Male"/>
    <s v="East"/>
    <x v="1"/>
    <s v="CAMP5"/>
    <n v="611.5"/>
    <n v="5"/>
    <n v="1"/>
    <x v="1553"/>
    <n v="3"/>
    <n v="11"/>
    <n v="4"/>
    <x v="2"/>
  </r>
  <r>
    <n v="3548"/>
    <d v="2025-03-29T00:00:00"/>
    <n v="41"/>
    <s v="Male"/>
    <s v="East"/>
    <x v="2"/>
    <m/>
    <n v="335.9"/>
    <n v="9"/>
    <n v="1"/>
    <x v="1554"/>
    <n v="2"/>
    <n v="15"/>
    <n v="5"/>
    <x v="2"/>
  </r>
  <r>
    <n v="3636"/>
    <d v="2025-03-29T00:00:00"/>
    <n v="35"/>
    <s v="Female"/>
    <s v="West"/>
    <x v="2"/>
    <m/>
    <n v="716.2"/>
    <n v="6"/>
    <n v="0"/>
    <x v="11"/>
    <n v="0"/>
    <n v="0"/>
    <m/>
    <x v="2"/>
  </r>
  <r>
    <n v="4613"/>
    <d v="2025-03-29T00:00:00"/>
    <n v="59"/>
    <s v="Male"/>
    <s v="North"/>
    <x v="1"/>
    <s v="CAMP2"/>
    <n v="715.8"/>
    <n v="4"/>
    <n v="0"/>
    <x v="11"/>
    <n v="0"/>
    <n v="0"/>
    <m/>
    <x v="2"/>
  </r>
  <r>
    <n v="2273"/>
    <d v="2025-03-29T00:00:00"/>
    <n v="28"/>
    <s v="Male"/>
    <s v="East"/>
    <x v="1"/>
    <s v="CAMP1"/>
    <n v="529.5"/>
    <n v="5"/>
    <n v="0"/>
    <x v="11"/>
    <n v="0"/>
    <n v="0"/>
    <m/>
    <x v="2"/>
  </r>
  <r>
    <n v="3479"/>
    <d v="2025-03-29T00:00:00"/>
    <n v="32"/>
    <s v="Female"/>
    <s v="West"/>
    <x v="1"/>
    <s v="CAMP7"/>
    <n v="525.29999999999995"/>
    <n v="6"/>
    <n v="0"/>
    <x v="11"/>
    <n v="0"/>
    <n v="0"/>
    <m/>
    <x v="2"/>
  </r>
  <r>
    <n v="3558"/>
    <d v="2025-03-29T00:00:00"/>
    <n v="34"/>
    <s v="Male"/>
    <s v="North"/>
    <x v="0"/>
    <m/>
    <n v="491.1"/>
    <n v="3"/>
    <n v="0"/>
    <x v="11"/>
    <n v="0"/>
    <n v="0"/>
    <m/>
    <x v="2"/>
  </r>
  <r>
    <n v="1764"/>
    <d v="2025-03-29T00:00:00"/>
    <n v="18"/>
    <s v="Male"/>
    <s v="South"/>
    <x v="0"/>
    <m/>
    <n v="478"/>
    <n v="4"/>
    <n v="0"/>
    <x v="11"/>
    <n v="0"/>
    <n v="0"/>
    <m/>
    <x v="2"/>
  </r>
  <r>
    <n v="1525"/>
    <d v="2025-03-29T00:00:00"/>
    <n v="26"/>
    <s v="Female"/>
    <s v="South"/>
    <x v="3"/>
    <m/>
    <n v="352.6"/>
    <n v="5"/>
    <n v="0"/>
    <x v="11"/>
    <n v="0"/>
    <n v="0"/>
    <m/>
    <x v="2"/>
  </r>
  <r>
    <n v="1433"/>
    <d v="2025-03-29T00:00:00"/>
    <n v="27"/>
    <s v="Female"/>
    <s v="North"/>
    <x v="2"/>
    <m/>
    <n v="330.4"/>
    <n v="6"/>
    <n v="0"/>
    <x v="11"/>
    <n v="0"/>
    <n v="0"/>
    <m/>
    <x v="2"/>
  </r>
  <r>
    <n v="3906"/>
    <d v="2025-03-29T00:00:00"/>
    <n v="51"/>
    <s v="Male"/>
    <s v="North"/>
    <x v="3"/>
    <m/>
    <n v="327.8"/>
    <n v="4"/>
    <n v="0"/>
    <x v="11"/>
    <n v="0"/>
    <n v="0"/>
    <m/>
    <x v="2"/>
  </r>
  <r>
    <n v="1688"/>
    <d v="2025-03-29T00:00:00"/>
    <n v="27"/>
    <s v="Male"/>
    <s v="North"/>
    <x v="2"/>
    <m/>
    <n v="268.10000000000002"/>
    <n v="5"/>
    <n v="0"/>
    <x v="11"/>
    <n v="0"/>
    <n v="0"/>
    <m/>
    <x v="2"/>
  </r>
  <r>
    <n v="2730"/>
    <d v="2025-03-29T00:00:00"/>
    <n v="30"/>
    <s v="Male"/>
    <s v="North"/>
    <x v="0"/>
    <m/>
    <n v="266.8"/>
    <n v="8"/>
    <n v="0"/>
    <x v="11"/>
    <n v="0"/>
    <n v="0"/>
    <m/>
    <x v="2"/>
  </r>
  <r>
    <n v="3317"/>
    <d v="2025-03-29T00:00:00"/>
    <n v="30"/>
    <s v="Female"/>
    <s v="South"/>
    <x v="3"/>
    <m/>
    <n v="251.6"/>
    <n v="3"/>
    <n v="0"/>
    <x v="11"/>
    <n v="0"/>
    <n v="0"/>
    <m/>
    <x v="2"/>
  </r>
  <r>
    <n v="4902"/>
    <d v="2025-03-29T00:00:00"/>
    <n v="47"/>
    <s v="Female"/>
    <s v="East"/>
    <x v="1"/>
    <s v="CAMP6"/>
    <n v="217.2"/>
    <n v="4"/>
    <n v="0"/>
    <x v="11"/>
    <n v="0"/>
    <n v="0"/>
    <m/>
    <x v="2"/>
  </r>
  <r>
    <n v="2413"/>
    <d v="2025-03-29T00:00:00"/>
    <n v="18"/>
    <s v="Female"/>
    <s v="East"/>
    <x v="3"/>
    <m/>
    <n v="215.5"/>
    <n v="5"/>
    <n v="0"/>
    <x v="11"/>
    <n v="0"/>
    <n v="0"/>
    <m/>
    <x v="2"/>
  </r>
  <r>
    <n v="1546"/>
    <d v="2025-03-29T00:00:00"/>
    <n v="27"/>
    <s v="Male"/>
    <s v="South"/>
    <x v="1"/>
    <s v="CAMP6"/>
    <n v="161.9"/>
    <n v="8"/>
    <n v="0"/>
    <x v="11"/>
    <n v="0"/>
    <n v="0"/>
    <m/>
    <x v="2"/>
  </r>
  <r>
    <n v="2546"/>
    <d v="2025-03-29T00:00:00"/>
    <n v="24"/>
    <s v="Male"/>
    <s v="East"/>
    <x v="0"/>
    <m/>
    <n v="150"/>
    <n v="3"/>
    <n v="0"/>
    <x v="11"/>
    <n v="0"/>
    <n v="0"/>
    <m/>
    <x v="2"/>
  </r>
  <r>
    <n v="2487"/>
    <d v="2025-03-29T00:00:00"/>
    <n v="46"/>
    <s v="Male"/>
    <s v="North"/>
    <x v="0"/>
    <m/>
    <n v="122.2"/>
    <n v="1"/>
    <n v="0"/>
    <x v="11"/>
    <n v="0"/>
    <n v="0"/>
    <m/>
    <x v="2"/>
  </r>
  <r>
    <n v="1355"/>
    <d v="2025-03-29T00:00:00"/>
    <n v="25"/>
    <s v="Male"/>
    <s v="East"/>
    <x v="0"/>
    <m/>
    <n v="115.7"/>
    <n v="5"/>
    <n v="0"/>
    <x v="11"/>
    <n v="0"/>
    <n v="0"/>
    <m/>
    <x v="2"/>
  </r>
  <r>
    <n v="2052"/>
    <d v="2025-03-29T00:00:00"/>
    <n v="39"/>
    <s v="Female"/>
    <s v="West"/>
    <x v="1"/>
    <s v="CAMP7"/>
    <n v="115.4"/>
    <n v="6"/>
    <n v="0"/>
    <x v="11"/>
    <n v="0"/>
    <n v="0"/>
    <m/>
    <x v="2"/>
  </r>
  <r>
    <n v="922"/>
    <d v="2025-03-29T00:00:00"/>
    <n v="18"/>
    <s v="Female"/>
    <s v="North"/>
    <x v="1"/>
    <s v="CAMP1"/>
    <n v="72.2"/>
    <n v="8"/>
    <n v="0"/>
    <x v="11"/>
    <n v="0"/>
    <n v="0"/>
    <m/>
    <x v="2"/>
  </r>
  <r>
    <n v="1996"/>
    <d v="2025-04-29T00:00:00"/>
    <n v="22"/>
    <s v="Male"/>
    <s v="West"/>
    <x v="1"/>
    <s v="CAMP5"/>
    <n v="312"/>
    <n v="8"/>
    <n v="1"/>
    <x v="1555"/>
    <n v="2"/>
    <n v="11"/>
    <n v="3"/>
    <x v="3"/>
  </r>
  <r>
    <n v="1785"/>
    <d v="2025-04-29T00:00:00"/>
    <n v="18"/>
    <s v="Male"/>
    <s v="North"/>
    <x v="3"/>
    <m/>
    <n v="383.4"/>
    <n v="14"/>
    <n v="1"/>
    <x v="1556"/>
    <n v="2"/>
    <n v="12"/>
    <n v="4"/>
    <x v="3"/>
  </r>
  <r>
    <n v="4256"/>
    <d v="2025-04-29T00:00:00"/>
    <n v="71"/>
    <s v="Female"/>
    <s v="East"/>
    <x v="0"/>
    <m/>
    <n v="616.70000000000005"/>
    <n v="7"/>
    <n v="1"/>
    <x v="1557"/>
    <n v="2"/>
    <n v="10"/>
    <n v="3"/>
    <x v="3"/>
  </r>
  <r>
    <n v="3055"/>
    <d v="2025-04-29T00:00:00"/>
    <n v="41"/>
    <s v="Female"/>
    <s v="East"/>
    <x v="1"/>
    <s v="CAMP5"/>
    <n v="935.8"/>
    <n v="8"/>
    <n v="1"/>
    <x v="1558"/>
    <n v="2"/>
    <n v="14"/>
    <n v="4"/>
    <x v="3"/>
  </r>
  <r>
    <n v="1385"/>
    <d v="2025-04-29T00:00:00"/>
    <n v="22"/>
    <s v="Male"/>
    <s v="East"/>
    <x v="1"/>
    <s v="CAMP3"/>
    <n v="671.5"/>
    <n v="3"/>
    <n v="1"/>
    <x v="1559"/>
    <n v="6"/>
    <n v="15"/>
    <n v="3"/>
    <x v="3"/>
  </r>
  <r>
    <n v="3495"/>
    <d v="2025-04-29T00:00:00"/>
    <n v="29"/>
    <s v="Male"/>
    <s v="East"/>
    <x v="1"/>
    <s v="CAMP2"/>
    <n v="264.60000000000002"/>
    <n v="3"/>
    <n v="1"/>
    <x v="1560"/>
    <n v="3"/>
    <n v="10"/>
    <n v="5"/>
    <x v="3"/>
  </r>
  <r>
    <n v="3869"/>
    <d v="2025-04-29T00:00:00"/>
    <n v="56"/>
    <s v="Female"/>
    <s v="North"/>
    <x v="2"/>
    <m/>
    <n v="612.70000000000005"/>
    <n v="8"/>
    <n v="1"/>
    <x v="1561"/>
    <n v="6"/>
    <n v="3"/>
    <n v="3"/>
    <x v="3"/>
  </r>
  <r>
    <n v="2851"/>
    <d v="2025-04-29T00:00:00"/>
    <n v="42"/>
    <s v="Female"/>
    <s v="North"/>
    <x v="0"/>
    <m/>
    <n v="303.89999999999998"/>
    <n v="4"/>
    <n v="1"/>
    <x v="1562"/>
    <n v="3"/>
    <n v="13"/>
    <n v="4"/>
    <x v="3"/>
  </r>
  <r>
    <n v="2088"/>
    <d v="2025-04-29T00:00:00"/>
    <n v="30"/>
    <s v="Female"/>
    <s v="East"/>
    <x v="1"/>
    <s v="CAMP3"/>
    <n v="589.5"/>
    <n v="7"/>
    <n v="1"/>
    <x v="1109"/>
    <n v="2"/>
    <n v="15"/>
    <n v="4"/>
    <x v="3"/>
  </r>
  <r>
    <n v="4039"/>
    <d v="2025-04-29T00:00:00"/>
    <n v="41"/>
    <s v="Female"/>
    <s v="West"/>
    <x v="1"/>
    <s v="CAMP6"/>
    <n v="72.7"/>
    <n v="2"/>
    <n v="1"/>
    <x v="1563"/>
    <n v="2"/>
    <n v="6"/>
    <n v="4"/>
    <x v="3"/>
  </r>
  <r>
    <n v="2541"/>
    <d v="2025-04-29T00:00:00"/>
    <n v="28"/>
    <s v="Male"/>
    <s v="North"/>
    <x v="1"/>
    <s v="CAMP3"/>
    <n v="1146.5"/>
    <n v="7"/>
    <n v="1"/>
    <x v="432"/>
    <n v="7"/>
    <n v="10"/>
    <n v="5"/>
    <x v="3"/>
  </r>
  <r>
    <n v="3312"/>
    <d v="2025-04-29T00:00:00"/>
    <n v="43"/>
    <s v="Female"/>
    <s v="East"/>
    <x v="0"/>
    <m/>
    <n v="380.9"/>
    <n v="8"/>
    <n v="1"/>
    <x v="1564"/>
    <n v="2"/>
    <n v="11"/>
    <n v="4"/>
    <x v="3"/>
  </r>
  <r>
    <n v="3796"/>
    <d v="2025-04-29T00:00:00"/>
    <n v="55"/>
    <s v="Female"/>
    <s v="South"/>
    <x v="0"/>
    <m/>
    <n v="989.3"/>
    <n v="6"/>
    <n v="1"/>
    <x v="27"/>
    <n v="6"/>
    <n v="9"/>
    <n v="4"/>
    <x v="3"/>
  </r>
  <r>
    <n v="353"/>
    <d v="2025-04-29T00:00:00"/>
    <n v="31"/>
    <s v="Male"/>
    <s v="East"/>
    <x v="0"/>
    <m/>
    <n v="680.3"/>
    <n v="6"/>
    <n v="1"/>
    <x v="1160"/>
    <n v="2"/>
    <n v="8"/>
    <n v="5"/>
    <x v="3"/>
  </r>
  <r>
    <n v="1006"/>
    <d v="2025-04-29T00:00:00"/>
    <n v="18"/>
    <s v="Male"/>
    <s v="South"/>
    <x v="1"/>
    <s v="CAMP2"/>
    <n v="1040.8"/>
    <n v="3"/>
    <n v="1"/>
    <x v="1565"/>
    <n v="1"/>
    <n v="12"/>
    <n v="4"/>
    <x v="3"/>
  </r>
  <r>
    <n v="186"/>
    <d v="2025-04-29T00:00:00"/>
    <n v="34"/>
    <s v="Male"/>
    <s v="South"/>
    <x v="1"/>
    <s v="CAMP3"/>
    <n v="174.9"/>
    <n v="4"/>
    <n v="1"/>
    <x v="559"/>
    <n v="6"/>
    <n v="10"/>
    <n v="5"/>
    <x v="3"/>
  </r>
  <r>
    <n v="323"/>
    <d v="2025-04-29T00:00:00"/>
    <n v="25"/>
    <s v="Male"/>
    <s v="South"/>
    <x v="0"/>
    <m/>
    <n v="891.7"/>
    <n v="4"/>
    <n v="0"/>
    <x v="11"/>
    <n v="0"/>
    <n v="0"/>
    <m/>
    <x v="3"/>
  </r>
  <r>
    <n v="2932"/>
    <d v="2025-04-29T00:00:00"/>
    <n v="31"/>
    <s v="Female"/>
    <s v="South"/>
    <x v="2"/>
    <m/>
    <n v="620.9"/>
    <n v="9"/>
    <n v="0"/>
    <x v="11"/>
    <n v="0"/>
    <n v="0"/>
    <m/>
    <x v="3"/>
  </r>
  <r>
    <n v="1148"/>
    <d v="2025-04-29T00:00:00"/>
    <n v="21"/>
    <s v="Female"/>
    <s v="South"/>
    <x v="1"/>
    <s v="CAMP3"/>
    <n v="615.4"/>
    <n v="7"/>
    <n v="0"/>
    <x v="11"/>
    <n v="0"/>
    <n v="0"/>
    <m/>
    <x v="3"/>
  </r>
  <r>
    <n v="2660"/>
    <d v="2025-04-29T00:00:00"/>
    <n v="35"/>
    <s v="Female"/>
    <s v="West"/>
    <x v="0"/>
    <m/>
    <n v="524.70000000000005"/>
    <n v="8"/>
    <n v="0"/>
    <x v="11"/>
    <n v="0"/>
    <n v="0"/>
    <m/>
    <x v="3"/>
  </r>
  <r>
    <n v="3775"/>
    <d v="2025-04-29T00:00:00"/>
    <n v="43"/>
    <s v="Male"/>
    <s v="South"/>
    <x v="1"/>
    <s v="CAMP3"/>
    <n v="465.1"/>
    <n v="2"/>
    <n v="0"/>
    <x v="11"/>
    <n v="0"/>
    <n v="0"/>
    <m/>
    <x v="3"/>
  </r>
  <r>
    <n v="3928"/>
    <d v="2025-04-29T00:00:00"/>
    <n v="57"/>
    <s v="Male"/>
    <s v="South"/>
    <x v="0"/>
    <m/>
    <n v="457.3"/>
    <n v="4"/>
    <n v="0"/>
    <x v="11"/>
    <n v="0"/>
    <n v="0"/>
    <m/>
    <x v="3"/>
  </r>
  <r>
    <n v="3846"/>
    <d v="2025-04-29T00:00:00"/>
    <n v="44"/>
    <s v="Male"/>
    <s v="West"/>
    <x v="0"/>
    <m/>
    <n v="435.8"/>
    <n v="7"/>
    <n v="0"/>
    <x v="11"/>
    <n v="0"/>
    <n v="0"/>
    <m/>
    <x v="3"/>
  </r>
  <r>
    <n v="1862"/>
    <d v="2025-04-29T00:00:00"/>
    <n v="50"/>
    <s v="Male"/>
    <s v="North"/>
    <x v="0"/>
    <m/>
    <n v="375.7"/>
    <n v="6"/>
    <n v="0"/>
    <x v="11"/>
    <n v="0"/>
    <n v="0"/>
    <m/>
    <x v="3"/>
  </r>
  <r>
    <n v="1464"/>
    <d v="2025-04-29T00:00:00"/>
    <n v="25"/>
    <s v="Female"/>
    <s v="South"/>
    <x v="0"/>
    <m/>
    <n v="333.5"/>
    <n v="2"/>
    <n v="0"/>
    <x v="11"/>
    <n v="0"/>
    <n v="0"/>
    <m/>
    <x v="3"/>
  </r>
  <r>
    <n v="878"/>
    <d v="2025-04-29T00:00:00"/>
    <n v="24"/>
    <s v="Female"/>
    <s v="East"/>
    <x v="0"/>
    <m/>
    <n v="314.10000000000002"/>
    <n v="7"/>
    <n v="0"/>
    <x v="11"/>
    <n v="0"/>
    <n v="0"/>
    <m/>
    <x v="3"/>
  </r>
  <r>
    <n v="4265"/>
    <d v="2025-04-29T00:00:00"/>
    <n v="56"/>
    <s v="Male"/>
    <s v="South"/>
    <x v="0"/>
    <m/>
    <n v="228.8"/>
    <n v="3"/>
    <n v="0"/>
    <x v="11"/>
    <n v="0"/>
    <n v="0"/>
    <m/>
    <x v="3"/>
  </r>
  <r>
    <n v="221"/>
    <d v="2025-04-29T00:00:00"/>
    <n v="24"/>
    <s v="Female"/>
    <s v="East"/>
    <x v="3"/>
    <m/>
    <n v="193.8"/>
    <n v="4"/>
    <n v="0"/>
    <x v="11"/>
    <n v="0"/>
    <n v="0"/>
    <m/>
    <x v="3"/>
  </r>
  <r>
    <n v="3779"/>
    <d v="2025-04-29T00:00:00"/>
    <n v="48"/>
    <s v="Male"/>
    <s v="West"/>
    <x v="0"/>
    <m/>
    <n v="164.1"/>
    <n v="7"/>
    <n v="0"/>
    <x v="11"/>
    <n v="0"/>
    <n v="0"/>
    <m/>
    <x v="3"/>
  </r>
  <r>
    <n v="1329"/>
    <d v="2025-04-29T00:00:00"/>
    <n v="31"/>
    <s v="Male"/>
    <s v="South"/>
    <x v="0"/>
    <m/>
    <n v="145.19999999999999"/>
    <n v="11"/>
    <n v="0"/>
    <x v="11"/>
    <n v="0"/>
    <n v="0"/>
    <m/>
    <x v="3"/>
  </r>
  <r>
    <n v="1811"/>
    <d v="2025-04-29T00:00:00"/>
    <n v="46"/>
    <s v="Female"/>
    <s v="South"/>
    <x v="0"/>
    <m/>
    <n v="133.1"/>
    <n v="3"/>
    <n v="0"/>
    <x v="11"/>
    <n v="0"/>
    <n v="0"/>
    <m/>
    <x v="3"/>
  </r>
  <r>
    <n v="1836"/>
    <d v="2025-04-29T00:00:00"/>
    <n v="32"/>
    <s v="Male"/>
    <s v="North"/>
    <x v="1"/>
    <s v="CAMP7"/>
    <n v="79.400000000000006"/>
    <n v="3"/>
    <n v="0"/>
    <x v="11"/>
    <n v="0"/>
    <n v="0"/>
    <m/>
    <x v="3"/>
  </r>
  <r>
    <n v="1460"/>
    <d v="2025-04-29T00:00:00"/>
    <n v="23"/>
    <s v="Female"/>
    <s v="East"/>
    <x v="0"/>
    <m/>
    <n v="75.900000000000006"/>
    <n v="6"/>
    <n v="0"/>
    <x v="11"/>
    <n v="0"/>
    <n v="0"/>
    <m/>
    <x v="3"/>
  </r>
  <r>
    <n v="3360"/>
    <d v="2025-04-29T00:00:00"/>
    <n v="31"/>
    <s v="Male"/>
    <s v="South"/>
    <x v="2"/>
    <m/>
    <n v="71.900000000000006"/>
    <n v="9"/>
    <n v="0"/>
    <x v="11"/>
    <n v="0"/>
    <n v="0"/>
    <m/>
    <x v="3"/>
  </r>
  <r>
    <n v="3896"/>
    <d v="2025-05-29T00:00:00"/>
    <n v="49"/>
    <s v="Male"/>
    <s v="South"/>
    <x v="3"/>
    <m/>
    <n v="261.60000000000002"/>
    <n v="8"/>
    <n v="1"/>
    <x v="658"/>
    <n v="5"/>
    <n v="4"/>
    <n v="3"/>
    <x v="4"/>
  </r>
  <r>
    <n v="3818"/>
    <d v="2025-05-29T00:00:00"/>
    <n v="37"/>
    <s v="Female"/>
    <s v="South"/>
    <x v="3"/>
    <m/>
    <n v="210.7"/>
    <n v="5"/>
    <n v="1"/>
    <x v="1566"/>
    <n v="2"/>
    <n v="15"/>
    <n v="5"/>
    <x v="4"/>
  </r>
  <r>
    <n v="3653"/>
    <d v="2025-05-29T00:00:00"/>
    <n v="47"/>
    <s v="Male"/>
    <s v="East"/>
    <x v="3"/>
    <m/>
    <n v="511.9"/>
    <n v="3"/>
    <n v="1"/>
    <x v="1567"/>
    <n v="4"/>
    <n v="11"/>
    <n v="5"/>
    <x v="4"/>
  </r>
  <r>
    <n v="1684"/>
    <d v="2025-05-29T00:00:00"/>
    <n v="25"/>
    <s v="Female"/>
    <s v="South"/>
    <x v="0"/>
    <m/>
    <n v="543"/>
    <n v="8"/>
    <n v="1"/>
    <x v="1568"/>
    <n v="4"/>
    <n v="1"/>
    <n v="3"/>
    <x v="4"/>
  </r>
  <r>
    <n v="1741"/>
    <d v="2025-05-29T00:00:00"/>
    <n v="20"/>
    <s v="Male"/>
    <s v="West"/>
    <x v="0"/>
    <m/>
    <n v="336.6"/>
    <n v="9"/>
    <n v="1"/>
    <x v="1569"/>
    <n v="3"/>
    <n v="4"/>
    <n v="4"/>
    <x v="4"/>
  </r>
  <r>
    <n v="2381"/>
    <d v="2025-05-29T00:00:00"/>
    <n v="32"/>
    <s v="Female"/>
    <s v="South"/>
    <x v="2"/>
    <m/>
    <n v="1277.5"/>
    <n v="7"/>
    <n v="1"/>
    <x v="1570"/>
    <n v="1"/>
    <n v="14"/>
    <n v="4"/>
    <x v="4"/>
  </r>
  <r>
    <n v="4053"/>
    <d v="2025-05-29T00:00:00"/>
    <n v="43"/>
    <s v="Male"/>
    <s v="South"/>
    <x v="0"/>
    <m/>
    <n v="516.1"/>
    <n v="8"/>
    <n v="1"/>
    <x v="1571"/>
    <n v="3"/>
    <n v="6"/>
    <n v="5"/>
    <x v="4"/>
  </r>
  <r>
    <n v="2432"/>
    <d v="2025-05-29T00:00:00"/>
    <n v="45"/>
    <s v="Male"/>
    <s v="North"/>
    <x v="1"/>
    <s v="CAMP3"/>
    <n v="281.10000000000002"/>
    <n v="6"/>
    <n v="1"/>
    <x v="746"/>
    <n v="6"/>
    <n v="10"/>
    <n v="4"/>
    <x v="4"/>
  </r>
  <r>
    <n v="404"/>
    <d v="2025-05-29T00:00:00"/>
    <n v="25"/>
    <s v="Male"/>
    <s v="West"/>
    <x v="1"/>
    <s v="CAMP2"/>
    <n v="461.4"/>
    <n v="6"/>
    <n v="1"/>
    <x v="1572"/>
    <n v="4"/>
    <n v="8"/>
    <n v="4"/>
    <x v="4"/>
  </r>
  <r>
    <n v="3132"/>
    <d v="2025-05-29T00:00:00"/>
    <n v="44"/>
    <s v="Female"/>
    <s v="South"/>
    <x v="0"/>
    <m/>
    <n v="375.4"/>
    <n v="3"/>
    <n v="1"/>
    <x v="1573"/>
    <n v="6"/>
    <n v="1"/>
    <n v="4"/>
    <x v="4"/>
  </r>
  <r>
    <n v="3874"/>
    <d v="2025-05-29T00:00:00"/>
    <n v="52"/>
    <s v="Male"/>
    <s v="West"/>
    <x v="0"/>
    <m/>
    <n v="875.9"/>
    <n v="6"/>
    <n v="1"/>
    <x v="176"/>
    <n v="2"/>
    <n v="7"/>
    <n v="4"/>
    <x v="4"/>
  </r>
  <r>
    <n v="4344"/>
    <d v="2025-05-29T00:00:00"/>
    <n v="59"/>
    <s v="Female"/>
    <s v="West"/>
    <x v="1"/>
    <s v="CAMP5"/>
    <n v="517"/>
    <n v="5"/>
    <n v="1"/>
    <x v="1574"/>
    <n v="4"/>
    <n v="4"/>
    <n v="5"/>
    <x v="4"/>
  </r>
  <r>
    <n v="3397"/>
    <d v="2025-05-29T00:00:00"/>
    <n v="35"/>
    <s v="Male"/>
    <s v="West"/>
    <x v="1"/>
    <s v="CAMP1"/>
    <n v="342.6"/>
    <n v="7"/>
    <n v="1"/>
    <x v="1372"/>
    <n v="1"/>
    <n v="15"/>
    <n v="4"/>
    <x v="4"/>
  </r>
  <r>
    <n v="4776"/>
    <d v="2025-05-29T00:00:00"/>
    <n v="51"/>
    <s v="Male"/>
    <s v="North"/>
    <x v="2"/>
    <m/>
    <n v="225.1"/>
    <n v="4"/>
    <n v="1"/>
    <x v="1530"/>
    <n v="5"/>
    <n v="6"/>
    <n v="5"/>
    <x v="4"/>
  </r>
  <r>
    <n v="2501"/>
    <d v="2025-05-29T00:00:00"/>
    <n v="24"/>
    <s v="Female"/>
    <s v="South"/>
    <x v="3"/>
    <m/>
    <n v="724.9"/>
    <n v="5"/>
    <n v="0"/>
    <x v="11"/>
    <n v="0"/>
    <n v="0"/>
    <m/>
    <x v="4"/>
  </r>
  <r>
    <n v="4880"/>
    <d v="2025-05-29T00:00:00"/>
    <n v="63"/>
    <s v="Female"/>
    <s v="East"/>
    <x v="1"/>
    <s v="CAMP3"/>
    <n v="618.6"/>
    <n v="6"/>
    <n v="0"/>
    <x v="11"/>
    <n v="0"/>
    <n v="0"/>
    <m/>
    <x v="4"/>
  </r>
  <r>
    <n v="3562"/>
    <d v="2025-05-29T00:00:00"/>
    <n v="36"/>
    <s v="Male"/>
    <s v="North"/>
    <x v="0"/>
    <m/>
    <n v="517.79999999999995"/>
    <n v="5"/>
    <n v="0"/>
    <x v="11"/>
    <n v="0"/>
    <n v="0"/>
    <m/>
    <x v="4"/>
  </r>
  <r>
    <n v="4349"/>
    <d v="2025-05-29T00:00:00"/>
    <n v="49"/>
    <s v="Female"/>
    <s v="North"/>
    <x v="1"/>
    <s v="CAMP6"/>
    <n v="341.1"/>
    <n v="3"/>
    <n v="0"/>
    <x v="11"/>
    <n v="0"/>
    <n v="0"/>
    <m/>
    <x v="4"/>
  </r>
  <r>
    <n v="1161"/>
    <d v="2025-05-29T00:00:00"/>
    <n v="26"/>
    <s v="Male"/>
    <s v="East"/>
    <x v="3"/>
    <m/>
    <n v="322"/>
    <n v="7"/>
    <n v="0"/>
    <x v="11"/>
    <n v="0"/>
    <n v="0"/>
    <m/>
    <x v="4"/>
  </r>
  <r>
    <n v="4026"/>
    <d v="2025-05-29T00:00:00"/>
    <n v="46"/>
    <s v="Female"/>
    <s v="North"/>
    <x v="0"/>
    <m/>
    <n v="321.10000000000002"/>
    <n v="8"/>
    <n v="0"/>
    <x v="11"/>
    <n v="0"/>
    <n v="0"/>
    <m/>
    <x v="4"/>
  </r>
  <r>
    <n v="3607"/>
    <d v="2025-05-29T00:00:00"/>
    <n v="41"/>
    <s v="Male"/>
    <s v="West"/>
    <x v="1"/>
    <s v="CAMP6"/>
    <n v="310.39999999999998"/>
    <n v="7"/>
    <n v="0"/>
    <x v="11"/>
    <n v="0"/>
    <n v="0"/>
    <m/>
    <x v="4"/>
  </r>
  <r>
    <n v="2325"/>
    <d v="2025-05-29T00:00:00"/>
    <n v="36"/>
    <s v="Female"/>
    <s v="North"/>
    <x v="3"/>
    <m/>
    <n v="299.39999999999998"/>
    <n v="5"/>
    <n v="0"/>
    <x v="11"/>
    <n v="0"/>
    <n v="0"/>
    <m/>
    <x v="4"/>
  </r>
  <r>
    <n v="2591"/>
    <d v="2025-05-29T00:00:00"/>
    <n v="47"/>
    <s v="Female"/>
    <s v="West"/>
    <x v="0"/>
    <m/>
    <n v="297.39999999999998"/>
    <n v="5"/>
    <n v="0"/>
    <x v="11"/>
    <n v="0"/>
    <n v="0"/>
    <m/>
    <x v="4"/>
  </r>
  <r>
    <n v="1938"/>
    <d v="2025-05-29T00:00:00"/>
    <n v="38"/>
    <s v="Male"/>
    <s v="South"/>
    <x v="1"/>
    <s v="CAMP7"/>
    <n v="288.89999999999998"/>
    <n v="4"/>
    <n v="0"/>
    <x v="11"/>
    <n v="0"/>
    <n v="0"/>
    <m/>
    <x v="4"/>
  </r>
  <r>
    <n v="293"/>
    <d v="2025-05-29T00:00:00"/>
    <n v="18"/>
    <s v="Male"/>
    <s v="East"/>
    <x v="3"/>
    <m/>
    <n v="242.8"/>
    <n v="12"/>
    <n v="0"/>
    <x v="11"/>
    <n v="0"/>
    <n v="0"/>
    <m/>
    <x v="4"/>
  </r>
  <r>
    <n v="1648"/>
    <d v="2025-05-29T00:00:00"/>
    <n v="33"/>
    <s v="Male"/>
    <s v="North"/>
    <x v="0"/>
    <m/>
    <n v="186.5"/>
    <n v="4"/>
    <n v="0"/>
    <x v="11"/>
    <n v="0"/>
    <n v="0"/>
    <m/>
    <x v="4"/>
  </r>
  <r>
    <n v="1565"/>
    <d v="2025-05-29T00:00:00"/>
    <n v="20"/>
    <s v="Male"/>
    <s v="South"/>
    <x v="1"/>
    <s v="CAMP3"/>
    <n v="185.6"/>
    <n v="4"/>
    <n v="0"/>
    <x v="11"/>
    <n v="0"/>
    <n v="0"/>
    <m/>
    <x v="4"/>
  </r>
  <r>
    <n v="2951"/>
    <d v="2025-05-29T00:00:00"/>
    <n v="25"/>
    <s v="Male"/>
    <s v="North"/>
    <x v="1"/>
    <s v="CAMP4"/>
    <n v="172.6"/>
    <n v="7"/>
    <n v="0"/>
    <x v="11"/>
    <n v="0"/>
    <n v="0"/>
    <m/>
    <x v="4"/>
  </r>
  <r>
    <n v="4024"/>
    <d v="2025-05-29T00:00:00"/>
    <n v="45"/>
    <s v="Female"/>
    <s v="East"/>
    <x v="0"/>
    <m/>
    <n v="158.30000000000001"/>
    <n v="4"/>
    <n v="0"/>
    <x v="11"/>
    <n v="0"/>
    <n v="0"/>
    <m/>
    <x v="4"/>
  </r>
  <r>
    <n v="3691"/>
    <d v="2025-05-29T00:00:00"/>
    <n v="43"/>
    <s v="Other"/>
    <s v="North"/>
    <x v="1"/>
    <s v="CAMP5"/>
    <n v="112.6"/>
    <n v="6"/>
    <n v="0"/>
    <x v="11"/>
    <n v="0"/>
    <n v="0"/>
    <m/>
    <x v="4"/>
  </r>
  <r>
    <n v="3833"/>
    <d v="2025-05-29T00:00:00"/>
    <n v="58"/>
    <s v="Female"/>
    <s v="South"/>
    <x v="1"/>
    <s v="CAMP3"/>
    <n v="111.6"/>
    <n v="4"/>
    <n v="0"/>
    <x v="11"/>
    <n v="0"/>
    <n v="0"/>
    <m/>
    <x v="4"/>
  </r>
  <r>
    <n v="3784"/>
    <d v="2025-05-29T00:00:00"/>
    <n v="36"/>
    <s v="Female"/>
    <s v="North"/>
    <x v="2"/>
    <m/>
    <n v="110.2"/>
    <n v="2"/>
    <n v="0"/>
    <x v="11"/>
    <n v="0"/>
    <n v="0"/>
    <m/>
    <x v="4"/>
  </r>
  <r>
    <n v="3159"/>
    <d v="2025-05-29T00:00:00"/>
    <n v="33"/>
    <s v="Male"/>
    <s v="South"/>
    <x v="2"/>
    <m/>
    <n v="92.6"/>
    <n v="2"/>
    <n v="0"/>
    <x v="11"/>
    <n v="0"/>
    <n v="0"/>
    <m/>
    <x v="4"/>
  </r>
  <r>
    <n v="508"/>
    <d v="2025-05-29T00:00:00"/>
    <n v="32"/>
    <s v="Male"/>
    <s v="East"/>
    <x v="0"/>
    <m/>
    <n v="68.400000000000006"/>
    <n v="4"/>
    <n v="0"/>
    <x v="11"/>
    <n v="0"/>
    <n v="0"/>
    <m/>
    <x v="4"/>
  </r>
  <r>
    <n v="1141"/>
    <d v="2025-05-29T00:00:00"/>
    <n v="25"/>
    <s v="Other"/>
    <s v="East"/>
    <x v="3"/>
    <m/>
    <n v="44.6"/>
    <n v="8"/>
    <n v="0"/>
    <x v="11"/>
    <n v="0"/>
    <n v="0"/>
    <m/>
    <x v="4"/>
  </r>
  <r>
    <n v="2154"/>
    <d v="2025-05-29T00:00:00"/>
    <n v="41"/>
    <s v="Male"/>
    <s v="East"/>
    <x v="3"/>
    <m/>
    <n v="39.799999999999997"/>
    <n v="8"/>
    <n v="0"/>
    <x v="11"/>
    <n v="0"/>
    <n v="0"/>
    <m/>
    <x v="4"/>
  </r>
  <r>
    <n v="4718"/>
    <d v="2025-06-29T00:00:00"/>
    <n v="51"/>
    <s v="Male"/>
    <s v="North"/>
    <x v="0"/>
    <m/>
    <n v="522.1"/>
    <n v="6"/>
    <n v="1"/>
    <x v="1575"/>
    <n v="2"/>
    <n v="7"/>
    <n v="5"/>
    <x v="5"/>
  </r>
  <r>
    <n v="4560"/>
    <d v="2025-06-29T00:00:00"/>
    <n v="45"/>
    <s v="Female"/>
    <s v="East"/>
    <x v="1"/>
    <s v="CAMP4"/>
    <n v="841"/>
    <n v="4"/>
    <n v="1"/>
    <x v="1576"/>
    <n v="5"/>
    <n v="7"/>
    <n v="4"/>
    <x v="5"/>
  </r>
  <r>
    <n v="533"/>
    <d v="2025-06-29T00:00:00"/>
    <n v="29"/>
    <s v="Female"/>
    <s v="East"/>
    <x v="1"/>
    <s v="CAMP1"/>
    <n v="390.2"/>
    <n v="13"/>
    <n v="1"/>
    <x v="1577"/>
    <n v="2"/>
    <n v="7"/>
    <n v="4"/>
    <x v="5"/>
  </r>
  <r>
    <n v="3302"/>
    <d v="2025-06-29T00:00:00"/>
    <n v="30"/>
    <s v="Female"/>
    <s v="West"/>
    <x v="2"/>
    <m/>
    <n v="696.9"/>
    <n v="8"/>
    <n v="1"/>
    <x v="1578"/>
    <n v="5"/>
    <n v="15"/>
    <n v="3"/>
    <x v="5"/>
  </r>
  <r>
    <n v="3408"/>
    <d v="2025-06-29T00:00:00"/>
    <n v="46"/>
    <s v="Female"/>
    <s v="East"/>
    <x v="0"/>
    <m/>
    <n v="385.8"/>
    <n v="9"/>
    <n v="1"/>
    <x v="1579"/>
    <n v="3"/>
    <n v="3"/>
    <n v="5"/>
    <x v="5"/>
  </r>
  <r>
    <n v="1055"/>
    <d v="2025-06-29T00:00:00"/>
    <n v="29"/>
    <s v="Male"/>
    <s v="South"/>
    <x v="0"/>
    <m/>
    <n v="94.3"/>
    <n v="2"/>
    <n v="1"/>
    <x v="1580"/>
    <n v="2"/>
    <n v="4"/>
    <n v="4"/>
    <x v="5"/>
  </r>
  <r>
    <n v="1334"/>
    <d v="2025-06-29T00:00:00"/>
    <n v="29"/>
    <s v="Male"/>
    <s v="East"/>
    <x v="0"/>
    <m/>
    <n v="508.9"/>
    <n v="7"/>
    <n v="1"/>
    <x v="1581"/>
    <n v="3"/>
    <n v="13"/>
    <n v="4"/>
    <x v="5"/>
  </r>
  <r>
    <n v="3396"/>
    <d v="2025-06-29T00:00:00"/>
    <n v="21"/>
    <s v="Female"/>
    <s v="West"/>
    <x v="3"/>
    <m/>
    <n v="1301.2"/>
    <n v="6"/>
    <n v="1"/>
    <x v="1582"/>
    <n v="2"/>
    <n v="10"/>
    <n v="4"/>
    <x v="5"/>
  </r>
  <r>
    <n v="532"/>
    <d v="2025-06-29T00:00:00"/>
    <n v="28"/>
    <s v="Female"/>
    <s v="West"/>
    <x v="0"/>
    <m/>
    <n v="619.20000000000005"/>
    <n v="5"/>
    <n v="1"/>
    <x v="1583"/>
    <n v="4"/>
    <n v="9"/>
    <n v="4"/>
    <x v="5"/>
  </r>
  <r>
    <n v="1913"/>
    <d v="2025-06-29T00:00:00"/>
    <n v="24"/>
    <s v="Female"/>
    <s v="North"/>
    <x v="3"/>
    <m/>
    <n v="352"/>
    <n v="8"/>
    <n v="1"/>
    <x v="1584"/>
    <n v="4"/>
    <n v="13"/>
    <n v="4"/>
    <x v="5"/>
  </r>
  <r>
    <n v="3444"/>
    <d v="2025-06-29T00:00:00"/>
    <n v="38"/>
    <s v="Male"/>
    <s v="South"/>
    <x v="3"/>
    <m/>
    <n v="695.7"/>
    <n v="4"/>
    <n v="1"/>
    <x v="97"/>
    <n v="3"/>
    <n v="13"/>
    <n v="4"/>
    <x v="5"/>
  </r>
  <r>
    <n v="1465"/>
    <d v="2025-06-29T00:00:00"/>
    <n v="18"/>
    <s v="Male"/>
    <s v="North"/>
    <x v="1"/>
    <s v="CAMP2"/>
    <n v="950.1"/>
    <n v="6"/>
    <n v="1"/>
    <x v="908"/>
    <n v="2"/>
    <n v="3"/>
    <n v="4"/>
    <x v="5"/>
  </r>
  <r>
    <n v="4257"/>
    <d v="2025-06-29T00:00:00"/>
    <n v="72"/>
    <s v="Female"/>
    <s v="South"/>
    <x v="1"/>
    <s v="CAMP5"/>
    <n v="755.7"/>
    <n v="4"/>
    <n v="0"/>
    <x v="11"/>
    <n v="0"/>
    <n v="0"/>
    <m/>
    <x v="5"/>
  </r>
  <r>
    <n v="848"/>
    <d v="2025-06-29T00:00:00"/>
    <n v="24"/>
    <s v="Male"/>
    <s v="South"/>
    <x v="1"/>
    <s v="CAMP3"/>
    <n v="461.9"/>
    <n v="2"/>
    <n v="0"/>
    <x v="11"/>
    <n v="0"/>
    <n v="0"/>
    <m/>
    <x v="5"/>
  </r>
  <r>
    <n v="1210"/>
    <d v="2025-06-29T00:00:00"/>
    <n v="21"/>
    <s v="Female"/>
    <s v="South"/>
    <x v="1"/>
    <s v="CAMP1"/>
    <n v="454.6"/>
    <n v="6"/>
    <n v="0"/>
    <x v="11"/>
    <n v="0"/>
    <n v="0"/>
    <m/>
    <x v="5"/>
  </r>
  <r>
    <n v="2244"/>
    <d v="2025-06-29T00:00:00"/>
    <n v="29"/>
    <s v="Male"/>
    <s v="West"/>
    <x v="1"/>
    <s v="CAMP2"/>
    <n v="434.3"/>
    <n v="6"/>
    <n v="0"/>
    <x v="11"/>
    <n v="0"/>
    <n v="0"/>
    <m/>
    <x v="5"/>
  </r>
  <r>
    <n v="4176"/>
    <d v="2025-06-29T00:00:00"/>
    <n v="53"/>
    <s v="Male"/>
    <s v="North"/>
    <x v="0"/>
    <m/>
    <n v="283.39999999999998"/>
    <n v="7"/>
    <n v="0"/>
    <x v="11"/>
    <n v="0"/>
    <n v="0"/>
    <m/>
    <x v="5"/>
  </r>
  <r>
    <n v="1955"/>
    <d v="2025-06-29T00:00:00"/>
    <n v="22"/>
    <s v="Female"/>
    <s v="North"/>
    <x v="0"/>
    <m/>
    <n v="273.2"/>
    <n v="4"/>
    <n v="0"/>
    <x v="11"/>
    <n v="0"/>
    <n v="0"/>
    <m/>
    <x v="5"/>
  </r>
  <r>
    <n v="4463"/>
    <d v="2025-06-29T00:00:00"/>
    <n v="64"/>
    <s v="Female"/>
    <s v="East"/>
    <x v="0"/>
    <m/>
    <n v="192"/>
    <n v="8"/>
    <n v="0"/>
    <x v="11"/>
    <n v="0"/>
    <n v="0"/>
    <m/>
    <x v="5"/>
  </r>
  <r>
    <n v="2530"/>
    <d v="2025-06-29T00:00:00"/>
    <n v="32"/>
    <s v="Female"/>
    <s v="North"/>
    <x v="0"/>
    <m/>
    <n v="156.19999999999999"/>
    <n v="6"/>
    <n v="0"/>
    <x v="11"/>
    <n v="0"/>
    <n v="0"/>
    <m/>
    <x v="5"/>
  </r>
  <r>
    <n v="3650"/>
    <d v="2025-06-29T00:00:00"/>
    <n v="40"/>
    <s v="Female"/>
    <s v="West"/>
    <x v="0"/>
    <m/>
    <n v="142.5"/>
    <n v="8"/>
    <n v="0"/>
    <x v="11"/>
    <n v="0"/>
    <n v="0"/>
    <m/>
    <x v="5"/>
  </r>
  <r>
    <n v="1105"/>
    <d v="2025-06-29T00:00:00"/>
    <n v="18"/>
    <s v="Male"/>
    <s v="North"/>
    <x v="1"/>
    <s v="CAMP5"/>
    <n v="103.3"/>
    <n v="5"/>
    <n v="0"/>
    <x v="11"/>
    <n v="0"/>
    <n v="0"/>
    <m/>
    <x v="5"/>
  </r>
  <r>
    <n v="1716"/>
    <d v="2025-06-29T00:00:00"/>
    <n v="25"/>
    <s v="Male"/>
    <s v="East"/>
    <x v="1"/>
    <s v="CAMP2"/>
    <n v="98.8"/>
    <n v="7"/>
    <n v="0"/>
    <x v="11"/>
    <n v="0"/>
    <n v="0"/>
    <m/>
    <x v="5"/>
  </r>
  <r>
    <n v="1728"/>
    <d v="2025-06-29T00:00:00"/>
    <n v="32"/>
    <s v="Female"/>
    <s v="West"/>
    <x v="2"/>
    <m/>
    <n v="56.5"/>
    <n v="2"/>
    <n v="0"/>
    <x v="11"/>
    <n v="0"/>
    <n v="0"/>
    <m/>
    <x v="5"/>
  </r>
  <r>
    <n v="3403"/>
    <d v="2025-06-29T00:00:00"/>
    <n v="31"/>
    <s v="Female"/>
    <s v="South"/>
    <x v="2"/>
    <m/>
    <n v="46.5"/>
    <n v="5"/>
    <n v="0"/>
    <x v="11"/>
    <n v="0"/>
    <n v="0"/>
    <m/>
    <x v="5"/>
  </r>
  <r>
    <n v="2790"/>
    <d v="2025-06-29T00:00:00"/>
    <n v="28"/>
    <s v="Female"/>
    <s v="South"/>
    <x v="0"/>
    <m/>
    <n v="37.6"/>
    <n v="6"/>
    <n v="0"/>
    <x v="11"/>
    <n v="0"/>
    <n v="0"/>
    <m/>
    <x v="5"/>
  </r>
  <r>
    <n v="3503"/>
    <d v="2025-06-29T00:00:00"/>
    <n v="21"/>
    <s v="Male"/>
    <s v="South"/>
    <x v="1"/>
    <s v="CAMP1"/>
    <n v="36.700000000000003"/>
    <n v="6"/>
    <n v="0"/>
    <x v="11"/>
    <n v="0"/>
    <n v="0"/>
    <m/>
    <x v="5"/>
  </r>
  <r>
    <n v="3949"/>
    <d v="2025-01-30T00:00:00"/>
    <n v="52"/>
    <s v="Male"/>
    <s v="South"/>
    <x v="0"/>
    <m/>
    <n v="270.10000000000002"/>
    <n v="8"/>
    <n v="1"/>
    <x v="1585"/>
    <n v="3"/>
    <n v="8"/>
    <n v="4"/>
    <x v="0"/>
  </r>
  <r>
    <n v="2053"/>
    <d v="2025-01-30T00:00:00"/>
    <n v="42"/>
    <s v="Male"/>
    <s v="North"/>
    <x v="0"/>
    <m/>
    <n v="508.7"/>
    <n v="8"/>
    <n v="1"/>
    <x v="1586"/>
    <n v="2"/>
    <n v="11"/>
    <n v="4"/>
    <x v="0"/>
  </r>
  <r>
    <n v="1868"/>
    <d v="2025-01-30T00:00:00"/>
    <n v="33"/>
    <s v="Female"/>
    <s v="West"/>
    <x v="1"/>
    <s v="CAMP4"/>
    <n v="255.8"/>
    <n v="1"/>
    <n v="1"/>
    <x v="1587"/>
    <n v="5"/>
    <n v="11"/>
    <n v="4"/>
    <x v="0"/>
  </r>
  <r>
    <n v="730"/>
    <d v="2025-01-30T00:00:00"/>
    <n v="18"/>
    <s v="Male"/>
    <s v="North"/>
    <x v="0"/>
    <m/>
    <n v="422.5"/>
    <n v="4"/>
    <n v="1"/>
    <x v="366"/>
    <n v="2"/>
    <n v="10"/>
    <n v="4"/>
    <x v="0"/>
  </r>
  <r>
    <n v="2128"/>
    <d v="2025-01-30T00:00:00"/>
    <n v="31"/>
    <s v="Male"/>
    <s v="South"/>
    <x v="0"/>
    <m/>
    <n v="155.19999999999999"/>
    <n v="5"/>
    <n v="1"/>
    <x v="1588"/>
    <n v="2"/>
    <n v="14"/>
    <n v="4"/>
    <x v="0"/>
  </r>
  <r>
    <n v="2972"/>
    <d v="2025-01-30T00:00:00"/>
    <n v="44"/>
    <s v="Male"/>
    <s v="West"/>
    <x v="1"/>
    <s v="CAMP6"/>
    <n v="532.79999999999995"/>
    <n v="10"/>
    <n v="1"/>
    <x v="1589"/>
    <n v="3"/>
    <n v="8"/>
    <n v="4"/>
    <x v="0"/>
  </r>
  <r>
    <n v="112"/>
    <d v="2025-01-30T00:00:00"/>
    <n v="26"/>
    <s v="Male"/>
    <s v="South"/>
    <x v="0"/>
    <m/>
    <n v="244.8"/>
    <n v="10"/>
    <n v="1"/>
    <x v="1590"/>
    <n v="3"/>
    <n v="2"/>
    <n v="4"/>
    <x v="0"/>
  </r>
  <r>
    <n v="1213"/>
    <d v="2025-01-30T00:00:00"/>
    <n v="21"/>
    <s v="Male"/>
    <s v="West"/>
    <x v="1"/>
    <s v="CAMP3"/>
    <n v="639.5"/>
    <n v="8"/>
    <n v="1"/>
    <x v="1591"/>
    <n v="3"/>
    <n v="10"/>
    <n v="3"/>
    <x v="0"/>
  </r>
  <r>
    <n v="3729"/>
    <d v="2025-01-30T00:00:00"/>
    <n v="41"/>
    <s v="Female"/>
    <s v="North"/>
    <x v="1"/>
    <s v="CAMP1"/>
    <n v="234.7"/>
    <n v="3"/>
    <n v="1"/>
    <x v="582"/>
    <n v="2"/>
    <n v="6"/>
    <n v="4"/>
    <x v="0"/>
  </r>
  <r>
    <n v="4255"/>
    <d v="2025-01-30T00:00:00"/>
    <n v="56"/>
    <s v="Male"/>
    <s v="East"/>
    <x v="0"/>
    <m/>
    <n v="1025.3"/>
    <n v="5"/>
    <n v="1"/>
    <x v="1592"/>
    <n v="7"/>
    <n v="15"/>
    <n v="4"/>
    <x v="0"/>
  </r>
  <r>
    <n v="731"/>
    <d v="2025-01-30T00:00:00"/>
    <n v="27"/>
    <s v="Female"/>
    <s v="North"/>
    <x v="1"/>
    <s v="CAMP2"/>
    <n v="353.6"/>
    <n v="5"/>
    <n v="1"/>
    <x v="1593"/>
    <n v="3"/>
    <n v="1"/>
    <n v="3"/>
    <x v="0"/>
  </r>
  <r>
    <n v="3222"/>
    <d v="2025-01-30T00:00:00"/>
    <n v="24"/>
    <s v="Male"/>
    <s v="North"/>
    <x v="1"/>
    <s v="CAMP1"/>
    <n v="835.7"/>
    <n v="3"/>
    <n v="1"/>
    <x v="1594"/>
    <n v="3"/>
    <n v="7"/>
    <n v="5"/>
    <x v="0"/>
  </r>
  <r>
    <n v="4369"/>
    <d v="2025-01-30T00:00:00"/>
    <n v="41"/>
    <s v="Male"/>
    <s v="South"/>
    <x v="3"/>
    <m/>
    <n v="281.89999999999998"/>
    <n v="5"/>
    <n v="1"/>
    <x v="1595"/>
    <n v="5"/>
    <n v="1"/>
    <n v="5"/>
    <x v="0"/>
  </r>
  <r>
    <n v="3217"/>
    <d v="2025-01-30T00:00:00"/>
    <n v="28"/>
    <s v="Female"/>
    <s v="South"/>
    <x v="0"/>
    <m/>
    <n v="458"/>
    <n v="6"/>
    <n v="1"/>
    <x v="1596"/>
    <n v="4"/>
    <n v="7"/>
    <n v="3"/>
    <x v="0"/>
  </r>
  <r>
    <n v="4281"/>
    <d v="2025-01-30T00:00:00"/>
    <n v="55"/>
    <s v="Female"/>
    <s v="West"/>
    <x v="1"/>
    <s v="CAMP7"/>
    <n v="536.5"/>
    <n v="4"/>
    <n v="0"/>
    <x v="11"/>
    <n v="0"/>
    <n v="0"/>
    <m/>
    <x v="0"/>
  </r>
  <r>
    <n v="3845"/>
    <d v="2025-01-30T00:00:00"/>
    <n v="51"/>
    <s v="Male"/>
    <s v="South"/>
    <x v="1"/>
    <s v="CAMP5"/>
    <n v="442"/>
    <n v="9"/>
    <n v="0"/>
    <x v="11"/>
    <n v="0"/>
    <n v="0"/>
    <m/>
    <x v="0"/>
  </r>
  <r>
    <n v="2814"/>
    <d v="2025-01-30T00:00:00"/>
    <n v="18"/>
    <s v="Male"/>
    <s v="East"/>
    <x v="0"/>
    <m/>
    <n v="428"/>
    <n v="6"/>
    <n v="0"/>
    <x v="11"/>
    <n v="0"/>
    <n v="0"/>
    <m/>
    <x v="0"/>
  </r>
  <r>
    <n v="959"/>
    <d v="2025-01-30T00:00:00"/>
    <n v="23"/>
    <s v="Female"/>
    <s v="South"/>
    <x v="1"/>
    <s v="CAMP2"/>
    <n v="379.7"/>
    <n v="5"/>
    <n v="0"/>
    <x v="11"/>
    <n v="0"/>
    <n v="0"/>
    <m/>
    <x v="0"/>
  </r>
  <r>
    <n v="4797"/>
    <d v="2025-01-30T00:00:00"/>
    <n v="65"/>
    <s v="Male"/>
    <s v="South"/>
    <x v="0"/>
    <m/>
    <n v="353.1"/>
    <n v="5"/>
    <n v="0"/>
    <x v="11"/>
    <n v="0"/>
    <n v="0"/>
    <m/>
    <x v="0"/>
  </r>
  <r>
    <n v="4000"/>
    <d v="2025-01-30T00:00:00"/>
    <n v="53"/>
    <s v="Female"/>
    <s v="East"/>
    <x v="0"/>
    <m/>
    <n v="332"/>
    <n v="5"/>
    <n v="0"/>
    <x v="11"/>
    <n v="0"/>
    <n v="0"/>
    <m/>
    <x v="0"/>
  </r>
  <r>
    <n v="3225"/>
    <d v="2025-01-30T00:00:00"/>
    <n v="50"/>
    <s v="Female"/>
    <s v="East"/>
    <x v="0"/>
    <m/>
    <n v="326.10000000000002"/>
    <n v="5"/>
    <n v="0"/>
    <x v="11"/>
    <n v="0"/>
    <n v="0"/>
    <m/>
    <x v="0"/>
  </r>
  <r>
    <n v="2069"/>
    <d v="2025-01-30T00:00:00"/>
    <n v="35"/>
    <s v="Male"/>
    <s v="North"/>
    <x v="3"/>
    <m/>
    <n v="309.39999999999998"/>
    <n v="8"/>
    <n v="0"/>
    <x v="11"/>
    <n v="0"/>
    <n v="0"/>
    <m/>
    <x v="0"/>
  </r>
  <r>
    <n v="4906"/>
    <d v="2025-01-30T00:00:00"/>
    <n v="51"/>
    <s v="Female"/>
    <s v="North"/>
    <x v="1"/>
    <s v="CAMP4"/>
    <n v="220.8"/>
    <n v="2"/>
    <n v="0"/>
    <x v="11"/>
    <n v="0"/>
    <n v="0"/>
    <m/>
    <x v="0"/>
  </r>
  <r>
    <n v="3769"/>
    <d v="2025-01-30T00:00:00"/>
    <n v="53"/>
    <s v="Male"/>
    <s v="East"/>
    <x v="1"/>
    <s v="CAMP4"/>
    <n v="163.1"/>
    <n v="7"/>
    <n v="0"/>
    <x v="11"/>
    <n v="0"/>
    <n v="0"/>
    <m/>
    <x v="0"/>
  </r>
  <r>
    <n v="4481"/>
    <d v="2025-01-30T00:00:00"/>
    <n v="44"/>
    <s v="Female"/>
    <s v="North"/>
    <x v="1"/>
    <s v="CAMP5"/>
    <n v="157.30000000000001"/>
    <n v="7"/>
    <n v="0"/>
    <x v="11"/>
    <n v="0"/>
    <n v="0"/>
    <m/>
    <x v="0"/>
  </r>
  <r>
    <n v="203"/>
    <d v="2025-01-30T00:00:00"/>
    <n v="18"/>
    <s v="Female"/>
    <s v="East"/>
    <x v="1"/>
    <s v="CAMP2"/>
    <n v="143.80000000000001"/>
    <n v="6"/>
    <n v="0"/>
    <x v="11"/>
    <n v="0"/>
    <n v="0"/>
    <m/>
    <x v="0"/>
  </r>
  <r>
    <n v="2131"/>
    <d v="2025-01-30T00:00:00"/>
    <n v="36"/>
    <s v="Female"/>
    <s v="East"/>
    <x v="0"/>
    <m/>
    <n v="142.19999999999999"/>
    <n v="5"/>
    <n v="0"/>
    <x v="11"/>
    <n v="0"/>
    <n v="0"/>
    <m/>
    <x v="0"/>
  </r>
  <r>
    <n v="4915"/>
    <d v="2025-01-30T00:00:00"/>
    <n v="52"/>
    <s v="Male"/>
    <s v="East"/>
    <x v="0"/>
    <m/>
    <n v="132"/>
    <n v="6"/>
    <n v="0"/>
    <x v="11"/>
    <n v="0"/>
    <n v="0"/>
    <m/>
    <x v="0"/>
  </r>
  <r>
    <n v="506"/>
    <d v="2025-01-30T00:00:00"/>
    <n v="25"/>
    <s v="Female"/>
    <s v="North"/>
    <x v="1"/>
    <s v="CAMP2"/>
    <n v="124.1"/>
    <n v="7"/>
    <n v="0"/>
    <x v="11"/>
    <n v="0"/>
    <n v="0"/>
    <m/>
    <x v="0"/>
  </r>
  <r>
    <n v="354"/>
    <d v="2025-01-30T00:00:00"/>
    <n v="18"/>
    <s v="Male"/>
    <s v="South"/>
    <x v="3"/>
    <m/>
    <n v="120"/>
    <n v="5"/>
    <n v="0"/>
    <x v="11"/>
    <n v="0"/>
    <n v="0"/>
    <m/>
    <x v="0"/>
  </r>
  <r>
    <n v="2808"/>
    <d v="2025-01-30T00:00:00"/>
    <n v="34"/>
    <s v="Male"/>
    <s v="South"/>
    <x v="2"/>
    <m/>
    <n v="109"/>
    <n v="13"/>
    <n v="0"/>
    <x v="11"/>
    <n v="0"/>
    <n v="0"/>
    <m/>
    <x v="0"/>
  </r>
  <r>
    <n v="1381"/>
    <d v="2025-01-30T00:00:00"/>
    <n v="30"/>
    <s v="Female"/>
    <s v="South"/>
    <x v="1"/>
    <s v="CAMP6"/>
    <n v="89.8"/>
    <n v="5"/>
    <n v="0"/>
    <x v="11"/>
    <n v="0"/>
    <n v="0"/>
    <m/>
    <x v="0"/>
  </r>
  <r>
    <n v="2778"/>
    <d v="2025-01-30T00:00:00"/>
    <n v="42"/>
    <s v="Female"/>
    <s v="East"/>
    <x v="0"/>
    <m/>
    <n v="79"/>
    <n v="6"/>
    <n v="0"/>
    <x v="11"/>
    <n v="0"/>
    <n v="0"/>
    <m/>
    <x v="0"/>
  </r>
  <r>
    <n v="4935"/>
    <d v="2025-03-30T00:00:00"/>
    <n v="47"/>
    <s v="Female"/>
    <s v="South"/>
    <x v="2"/>
    <m/>
    <n v="868.3"/>
    <n v="5"/>
    <n v="1"/>
    <x v="1597"/>
    <n v="4"/>
    <n v="1"/>
    <n v="4"/>
    <x v="2"/>
  </r>
  <r>
    <n v="579"/>
    <d v="2025-03-30T00:00:00"/>
    <n v="23"/>
    <s v="Male"/>
    <s v="South"/>
    <x v="1"/>
    <s v="CAMP3"/>
    <n v="731"/>
    <n v="7"/>
    <n v="1"/>
    <x v="1598"/>
    <n v="1"/>
    <n v="2"/>
    <n v="3"/>
    <x v="2"/>
  </r>
  <r>
    <n v="1258"/>
    <d v="2025-03-30T00:00:00"/>
    <n v="30"/>
    <s v="Male"/>
    <s v="East"/>
    <x v="1"/>
    <s v="CAMP1"/>
    <n v="446.1"/>
    <n v="3"/>
    <n v="1"/>
    <x v="1599"/>
    <n v="3"/>
    <n v="3"/>
    <n v="5"/>
    <x v="2"/>
  </r>
  <r>
    <n v="1010"/>
    <d v="2025-03-30T00:00:00"/>
    <n v="31"/>
    <s v="Other"/>
    <s v="East"/>
    <x v="0"/>
    <m/>
    <n v="381.2"/>
    <n v="6"/>
    <n v="1"/>
    <x v="1600"/>
    <n v="2"/>
    <n v="14"/>
    <n v="4"/>
    <x v="2"/>
  </r>
  <r>
    <n v="154"/>
    <d v="2025-03-30T00:00:00"/>
    <n v="20"/>
    <s v="Male"/>
    <s v="North"/>
    <x v="1"/>
    <s v="CAMP4"/>
    <n v="752.7"/>
    <n v="6"/>
    <n v="1"/>
    <x v="1601"/>
    <n v="3"/>
    <n v="12"/>
    <n v="4"/>
    <x v="2"/>
  </r>
  <r>
    <n v="3578"/>
    <d v="2025-03-30T00:00:00"/>
    <n v="40"/>
    <s v="Male"/>
    <s v="South"/>
    <x v="0"/>
    <m/>
    <n v="837.7"/>
    <n v="10"/>
    <n v="1"/>
    <x v="1428"/>
    <n v="2"/>
    <n v="13"/>
    <n v="4"/>
    <x v="2"/>
  </r>
  <r>
    <n v="234"/>
    <d v="2025-03-30T00:00:00"/>
    <n v="27"/>
    <s v="Female"/>
    <s v="South"/>
    <x v="0"/>
    <m/>
    <n v="677.9"/>
    <n v="4"/>
    <n v="1"/>
    <x v="1602"/>
    <n v="3"/>
    <n v="10"/>
    <n v="4"/>
    <x v="2"/>
  </r>
  <r>
    <n v="96"/>
    <d v="2025-03-30T00:00:00"/>
    <n v="24"/>
    <s v="Male"/>
    <s v="East"/>
    <x v="2"/>
    <m/>
    <n v="261.10000000000002"/>
    <n v="2"/>
    <n v="1"/>
    <x v="689"/>
    <n v="6"/>
    <n v="8"/>
    <n v="4"/>
    <x v="2"/>
  </r>
  <r>
    <n v="4416"/>
    <d v="2025-03-30T00:00:00"/>
    <n v="41"/>
    <s v="Female"/>
    <s v="North"/>
    <x v="0"/>
    <m/>
    <n v="47.6"/>
    <n v="8"/>
    <n v="1"/>
    <x v="1603"/>
    <n v="1"/>
    <n v="3"/>
    <n v="4"/>
    <x v="2"/>
  </r>
  <r>
    <n v="3580"/>
    <d v="2025-03-30T00:00:00"/>
    <n v="22"/>
    <s v="Male"/>
    <s v="North"/>
    <x v="1"/>
    <s v="CAMP7"/>
    <n v="752.8"/>
    <n v="6"/>
    <n v="1"/>
    <x v="1604"/>
    <n v="2"/>
    <n v="14"/>
    <n v="5"/>
    <x v="2"/>
  </r>
  <r>
    <n v="4789"/>
    <d v="2025-03-30T00:00:00"/>
    <n v="45"/>
    <s v="Male"/>
    <s v="West"/>
    <x v="3"/>
    <m/>
    <n v="267.39999999999998"/>
    <n v="5"/>
    <n v="1"/>
    <x v="1605"/>
    <n v="2"/>
    <n v="9"/>
    <n v="4"/>
    <x v="2"/>
  </r>
  <r>
    <n v="1374"/>
    <d v="2025-03-30T00:00:00"/>
    <n v="24"/>
    <s v="Female"/>
    <s v="East"/>
    <x v="3"/>
    <m/>
    <n v="434.3"/>
    <n v="6"/>
    <n v="1"/>
    <x v="1606"/>
    <n v="1"/>
    <n v="14"/>
    <n v="4"/>
    <x v="2"/>
  </r>
  <r>
    <n v="2629"/>
    <d v="2025-03-30T00:00:00"/>
    <n v="34"/>
    <s v="Other"/>
    <s v="West"/>
    <x v="3"/>
    <m/>
    <n v="435.6"/>
    <n v="6"/>
    <n v="1"/>
    <x v="1003"/>
    <n v="3"/>
    <n v="2"/>
    <n v="5"/>
    <x v="2"/>
  </r>
  <r>
    <n v="2313"/>
    <d v="2025-03-30T00:00:00"/>
    <n v="32"/>
    <s v="Female"/>
    <s v="South"/>
    <x v="2"/>
    <m/>
    <n v="482.2"/>
    <n v="3"/>
    <n v="0"/>
    <x v="11"/>
    <n v="0"/>
    <n v="0"/>
    <m/>
    <x v="2"/>
  </r>
  <r>
    <n v="2459"/>
    <d v="2025-03-30T00:00:00"/>
    <n v="38"/>
    <s v="Other"/>
    <s v="South"/>
    <x v="1"/>
    <s v="CAMP4"/>
    <n v="327"/>
    <n v="4"/>
    <n v="0"/>
    <x v="11"/>
    <n v="0"/>
    <n v="0"/>
    <m/>
    <x v="2"/>
  </r>
  <r>
    <n v="341"/>
    <d v="2025-03-30T00:00:00"/>
    <n v="31"/>
    <s v="Female"/>
    <s v="West"/>
    <x v="0"/>
    <m/>
    <n v="323.10000000000002"/>
    <n v="4"/>
    <n v="0"/>
    <x v="11"/>
    <n v="0"/>
    <n v="0"/>
    <m/>
    <x v="2"/>
  </r>
  <r>
    <n v="3166"/>
    <d v="2025-03-30T00:00:00"/>
    <n v="34"/>
    <s v="Female"/>
    <s v="North"/>
    <x v="3"/>
    <m/>
    <n v="315.3"/>
    <n v="10"/>
    <n v="0"/>
    <x v="11"/>
    <n v="0"/>
    <n v="0"/>
    <m/>
    <x v="2"/>
  </r>
  <r>
    <n v="3995"/>
    <d v="2025-03-30T00:00:00"/>
    <n v="28"/>
    <s v="Male"/>
    <s v="East"/>
    <x v="0"/>
    <m/>
    <n v="307.8"/>
    <n v="3"/>
    <n v="0"/>
    <x v="11"/>
    <n v="0"/>
    <n v="0"/>
    <m/>
    <x v="2"/>
  </r>
  <r>
    <n v="2689"/>
    <d v="2025-03-30T00:00:00"/>
    <n v="22"/>
    <s v="Female"/>
    <s v="East"/>
    <x v="1"/>
    <s v="CAMP5"/>
    <n v="260.10000000000002"/>
    <n v="3"/>
    <n v="0"/>
    <x v="11"/>
    <n v="0"/>
    <n v="0"/>
    <m/>
    <x v="2"/>
  </r>
  <r>
    <n v="2149"/>
    <d v="2025-03-30T00:00:00"/>
    <n v="41"/>
    <s v="Male"/>
    <s v="East"/>
    <x v="1"/>
    <s v="CAMP7"/>
    <n v="255.7"/>
    <n v="5"/>
    <n v="0"/>
    <x v="11"/>
    <n v="0"/>
    <n v="0"/>
    <m/>
    <x v="2"/>
  </r>
  <r>
    <n v="2496"/>
    <d v="2025-03-30T00:00:00"/>
    <n v="33"/>
    <s v="Female"/>
    <s v="North"/>
    <x v="0"/>
    <m/>
    <n v="232.5"/>
    <n v="5"/>
    <n v="0"/>
    <x v="11"/>
    <n v="0"/>
    <n v="0"/>
    <m/>
    <x v="2"/>
  </r>
  <r>
    <n v="583"/>
    <d v="2025-03-30T00:00:00"/>
    <n v="31"/>
    <s v="Female"/>
    <s v="East"/>
    <x v="1"/>
    <s v="CAMP6"/>
    <n v="219.3"/>
    <n v="8"/>
    <n v="0"/>
    <x v="11"/>
    <n v="0"/>
    <n v="0"/>
    <m/>
    <x v="2"/>
  </r>
  <r>
    <n v="3765"/>
    <d v="2025-03-30T00:00:00"/>
    <n v="66"/>
    <s v="Female"/>
    <s v="North"/>
    <x v="3"/>
    <m/>
    <n v="190.1"/>
    <n v="6"/>
    <n v="0"/>
    <x v="11"/>
    <n v="0"/>
    <n v="0"/>
    <m/>
    <x v="2"/>
  </r>
  <r>
    <n v="456"/>
    <d v="2025-03-30T00:00:00"/>
    <n v="20"/>
    <s v="Female"/>
    <s v="West"/>
    <x v="1"/>
    <s v="CAMP4"/>
    <n v="134.30000000000001"/>
    <n v="3"/>
    <n v="0"/>
    <x v="11"/>
    <n v="0"/>
    <n v="0"/>
    <m/>
    <x v="2"/>
  </r>
  <r>
    <n v="424"/>
    <d v="2025-03-30T00:00:00"/>
    <n v="35"/>
    <s v="Male"/>
    <s v="East"/>
    <x v="2"/>
    <m/>
    <n v="103.7"/>
    <n v="7"/>
    <n v="0"/>
    <x v="11"/>
    <n v="0"/>
    <n v="0"/>
    <m/>
    <x v="2"/>
  </r>
  <r>
    <n v="3595"/>
    <d v="2025-03-30T00:00:00"/>
    <n v="32"/>
    <s v="Female"/>
    <s v="South"/>
    <x v="1"/>
    <s v="CAMP2"/>
    <n v="102.2"/>
    <n v="7"/>
    <n v="0"/>
    <x v="11"/>
    <n v="0"/>
    <n v="0"/>
    <m/>
    <x v="2"/>
  </r>
  <r>
    <n v="4638"/>
    <d v="2025-04-30T00:00:00"/>
    <n v="54"/>
    <s v="Male"/>
    <s v="South"/>
    <x v="1"/>
    <s v="CAMP5"/>
    <n v="778.6"/>
    <n v="4"/>
    <n v="1"/>
    <x v="1607"/>
    <n v="1"/>
    <n v="6"/>
    <n v="4"/>
    <x v="3"/>
  </r>
  <r>
    <n v="2813"/>
    <d v="2025-04-30T00:00:00"/>
    <n v="19"/>
    <s v="Female"/>
    <s v="South"/>
    <x v="0"/>
    <m/>
    <n v="436.9"/>
    <n v="5"/>
    <n v="1"/>
    <x v="1539"/>
    <n v="3"/>
    <n v="2"/>
    <n v="4"/>
    <x v="3"/>
  </r>
  <r>
    <n v="4366"/>
    <d v="2025-04-30T00:00:00"/>
    <n v="69"/>
    <s v="Male"/>
    <s v="South"/>
    <x v="0"/>
    <m/>
    <n v="910.3"/>
    <n v="7"/>
    <n v="1"/>
    <x v="1608"/>
    <n v="1"/>
    <n v="13"/>
    <n v="5"/>
    <x v="3"/>
  </r>
  <r>
    <n v="2636"/>
    <d v="2025-04-30T00:00:00"/>
    <n v="27"/>
    <s v="Male"/>
    <s v="West"/>
    <x v="0"/>
    <m/>
    <n v="886.1"/>
    <n v="5"/>
    <n v="1"/>
    <x v="1609"/>
    <n v="2"/>
    <n v="14"/>
    <n v="3"/>
    <x v="3"/>
  </r>
  <r>
    <n v="2190"/>
    <d v="2025-04-30T00:00:00"/>
    <n v="31"/>
    <s v="Female"/>
    <s v="South"/>
    <x v="0"/>
    <m/>
    <n v="492.5"/>
    <n v="11"/>
    <n v="1"/>
    <x v="1610"/>
    <n v="5"/>
    <n v="3"/>
    <n v="3"/>
    <x v="3"/>
  </r>
  <r>
    <n v="1633"/>
    <d v="2025-04-30T00:00:00"/>
    <n v="20"/>
    <s v="Male"/>
    <s v="West"/>
    <x v="0"/>
    <m/>
    <n v="213.5"/>
    <n v="10"/>
    <n v="1"/>
    <x v="1611"/>
    <n v="2"/>
    <n v="3"/>
    <n v="4"/>
    <x v="3"/>
  </r>
  <r>
    <n v="2832"/>
    <d v="2025-04-30T00:00:00"/>
    <n v="26"/>
    <s v="Male"/>
    <s v="South"/>
    <x v="1"/>
    <s v="CAMP3"/>
    <n v="301.8"/>
    <n v="5"/>
    <n v="1"/>
    <x v="1612"/>
    <n v="3"/>
    <n v="3"/>
    <n v="4"/>
    <x v="3"/>
  </r>
  <r>
    <n v="4983"/>
    <d v="2025-04-30T00:00:00"/>
    <n v="39"/>
    <s v="Female"/>
    <s v="North"/>
    <x v="0"/>
    <m/>
    <n v="798.4"/>
    <n v="12"/>
    <n v="1"/>
    <x v="1613"/>
    <n v="3"/>
    <n v="13"/>
    <n v="4"/>
    <x v="3"/>
  </r>
  <r>
    <n v="3947"/>
    <d v="2025-04-30T00:00:00"/>
    <n v="56"/>
    <s v="Male"/>
    <s v="South"/>
    <x v="0"/>
    <m/>
    <n v="258.10000000000002"/>
    <n v="5"/>
    <n v="1"/>
    <x v="236"/>
    <n v="2"/>
    <n v="15"/>
    <n v="5"/>
    <x v="3"/>
  </r>
  <r>
    <n v="3600"/>
    <d v="2025-04-30T00:00:00"/>
    <n v="35"/>
    <s v="Female"/>
    <s v="South"/>
    <x v="1"/>
    <s v="CAMP3"/>
    <n v="748.4"/>
    <n v="9"/>
    <n v="1"/>
    <x v="1614"/>
    <n v="2"/>
    <n v="7"/>
    <n v="3"/>
    <x v="3"/>
  </r>
  <r>
    <n v="3374"/>
    <d v="2025-04-30T00:00:00"/>
    <n v="47"/>
    <s v="Male"/>
    <s v="North"/>
    <x v="0"/>
    <m/>
    <n v="300.7"/>
    <n v="11"/>
    <n v="1"/>
    <x v="1615"/>
    <n v="5"/>
    <n v="1"/>
    <n v="4"/>
    <x v="3"/>
  </r>
  <r>
    <n v="1807"/>
    <d v="2025-04-30T00:00:00"/>
    <n v="35"/>
    <s v="Female"/>
    <s v="South"/>
    <x v="1"/>
    <s v="CAMP1"/>
    <n v="428"/>
    <n v="8"/>
    <n v="1"/>
    <x v="1616"/>
    <n v="2"/>
    <n v="6"/>
    <n v="5"/>
    <x v="3"/>
  </r>
  <r>
    <n v="1405"/>
    <d v="2025-04-30T00:00:00"/>
    <n v="24"/>
    <s v="Female"/>
    <s v="North"/>
    <x v="0"/>
    <m/>
    <n v="430.2"/>
    <n v="3"/>
    <n v="1"/>
    <x v="1435"/>
    <n v="4"/>
    <n v="12"/>
    <n v="5"/>
    <x v="3"/>
  </r>
  <r>
    <n v="842"/>
    <d v="2025-04-30T00:00:00"/>
    <n v="20"/>
    <s v="Male"/>
    <s v="West"/>
    <x v="1"/>
    <s v="CAMP5"/>
    <n v="254.5"/>
    <n v="8"/>
    <n v="1"/>
    <x v="1617"/>
    <n v="5"/>
    <n v="14"/>
    <n v="4"/>
    <x v="3"/>
  </r>
  <r>
    <n v="3148"/>
    <d v="2025-04-30T00:00:00"/>
    <n v="42"/>
    <s v="Male"/>
    <s v="South"/>
    <x v="1"/>
    <s v="CAMP1"/>
    <n v="584.70000000000005"/>
    <n v="6"/>
    <n v="0"/>
    <x v="11"/>
    <n v="0"/>
    <n v="0"/>
    <m/>
    <x v="3"/>
  </r>
  <r>
    <n v="4133"/>
    <d v="2025-04-30T00:00:00"/>
    <n v="29"/>
    <s v="Male"/>
    <s v="East"/>
    <x v="0"/>
    <m/>
    <n v="581.1"/>
    <n v="7"/>
    <n v="0"/>
    <x v="11"/>
    <n v="0"/>
    <n v="0"/>
    <m/>
    <x v="3"/>
  </r>
  <r>
    <n v="3747"/>
    <d v="2025-04-30T00:00:00"/>
    <n v="33"/>
    <s v="Male"/>
    <s v="South"/>
    <x v="3"/>
    <m/>
    <n v="549"/>
    <n v="5"/>
    <n v="0"/>
    <x v="11"/>
    <n v="0"/>
    <n v="0"/>
    <m/>
    <x v="3"/>
  </r>
  <r>
    <n v="3316"/>
    <d v="2025-04-30T00:00:00"/>
    <n v="40"/>
    <s v="Male"/>
    <s v="North"/>
    <x v="1"/>
    <s v="CAMP2"/>
    <n v="493.1"/>
    <n v="6"/>
    <n v="0"/>
    <x v="11"/>
    <n v="0"/>
    <n v="0"/>
    <m/>
    <x v="3"/>
  </r>
  <r>
    <n v="4703"/>
    <d v="2025-04-30T00:00:00"/>
    <n v="53"/>
    <s v="Female"/>
    <s v="West"/>
    <x v="0"/>
    <m/>
    <n v="445.3"/>
    <n v="8"/>
    <n v="0"/>
    <x v="11"/>
    <n v="0"/>
    <n v="0"/>
    <m/>
    <x v="3"/>
  </r>
  <r>
    <n v="3177"/>
    <d v="2025-04-30T00:00:00"/>
    <n v="28"/>
    <s v="Male"/>
    <s v="South"/>
    <x v="1"/>
    <s v="CAMP1"/>
    <n v="380.8"/>
    <n v="9"/>
    <n v="0"/>
    <x v="11"/>
    <n v="0"/>
    <n v="0"/>
    <m/>
    <x v="3"/>
  </r>
  <r>
    <n v="46"/>
    <d v="2025-04-30T00:00:00"/>
    <n v="22"/>
    <s v="Other"/>
    <s v="South"/>
    <x v="3"/>
    <m/>
    <n v="283"/>
    <n v="9"/>
    <n v="0"/>
    <x v="11"/>
    <n v="0"/>
    <n v="0"/>
    <m/>
    <x v="3"/>
  </r>
  <r>
    <n v="208"/>
    <d v="2025-04-30T00:00:00"/>
    <n v="26"/>
    <s v="Female"/>
    <s v="West"/>
    <x v="3"/>
    <m/>
    <n v="281.39999999999998"/>
    <n v="4"/>
    <n v="0"/>
    <x v="11"/>
    <n v="0"/>
    <n v="0"/>
    <m/>
    <x v="3"/>
  </r>
  <r>
    <n v="733"/>
    <d v="2025-04-30T00:00:00"/>
    <n v="29"/>
    <s v="Female"/>
    <s v="East"/>
    <x v="1"/>
    <s v="CAMP5"/>
    <n v="236.3"/>
    <n v="2"/>
    <n v="0"/>
    <x v="11"/>
    <n v="0"/>
    <n v="0"/>
    <m/>
    <x v="3"/>
  </r>
  <r>
    <n v="971"/>
    <d v="2025-04-30T00:00:00"/>
    <n v="29"/>
    <s v="Other"/>
    <s v="North"/>
    <x v="1"/>
    <s v="CAMP5"/>
    <n v="215.3"/>
    <n v="3"/>
    <n v="0"/>
    <x v="11"/>
    <n v="0"/>
    <n v="0"/>
    <m/>
    <x v="3"/>
  </r>
  <r>
    <n v="3855"/>
    <d v="2025-04-30T00:00:00"/>
    <n v="37"/>
    <s v="Male"/>
    <s v="West"/>
    <x v="2"/>
    <m/>
    <n v="213.6"/>
    <n v="1"/>
    <n v="0"/>
    <x v="11"/>
    <n v="0"/>
    <n v="0"/>
    <m/>
    <x v="3"/>
  </r>
  <r>
    <n v="952"/>
    <d v="2025-04-30T00:00:00"/>
    <n v="24"/>
    <s v="Female"/>
    <s v="South"/>
    <x v="2"/>
    <m/>
    <n v="194.1"/>
    <n v="3"/>
    <n v="0"/>
    <x v="11"/>
    <n v="0"/>
    <n v="0"/>
    <m/>
    <x v="3"/>
  </r>
  <r>
    <n v="4557"/>
    <d v="2025-04-30T00:00:00"/>
    <n v="32"/>
    <s v="Male"/>
    <s v="West"/>
    <x v="1"/>
    <s v="CAMP6"/>
    <n v="183"/>
    <n v="8"/>
    <n v="0"/>
    <x v="11"/>
    <n v="0"/>
    <n v="0"/>
    <m/>
    <x v="3"/>
  </r>
  <r>
    <n v="2020"/>
    <d v="2025-04-30T00:00:00"/>
    <n v="52"/>
    <s v="Male"/>
    <s v="South"/>
    <x v="1"/>
    <s v="CAMP3"/>
    <n v="169.4"/>
    <n v="10"/>
    <n v="0"/>
    <x v="11"/>
    <n v="0"/>
    <n v="0"/>
    <m/>
    <x v="3"/>
  </r>
  <r>
    <n v="2916"/>
    <d v="2025-04-30T00:00:00"/>
    <n v="33"/>
    <s v="Male"/>
    <s v="North"/>
    <x v="0"/>
    <m/>
    <n v="164.8"/>
    <n v="8"/>
    <n v="0"/>
    <x v="11"/>
    <n v="0"/>
    <n v="0"/>
    <m/>
    <x v="3"/>
  </r>
  <r>
    <n v="1618"/>
    <d v="2025-04-30T00:00:00"/>
    <n v="29"/>
    <s v="Male"/>
    <s v="West"/>
    <x v="0"/>
    <m/>
    <n v="144"/>
    <n v="6"/>
    <n v="0"/>
    <x v="11"/>
    <n v="0"/>
    <n v="0"/>
    <m/>
    <x v="3"/>
  </r>
  <r>
    <n v="4139"/>
    <d v="2025-04-30T00:00:00"/>
    <n v="43"/>
    <s v="Male"/>
    <s v="East"/>
    <x v="1"/>
    <s v="CAMP3"/>
    <n v="137.69999999999999"/>
    <n v="2"/>
    <n v="0"/>
    <x v="11"/>
    <n v="0"/>
    <n v="0"/>
    <m/>
    <x v="3"/>
  </r>
  <r>
    <n v="3737"/>
    <d v="2025-04-30T00:00:00"/>
    <n v="29"/>
    <s v="Male"/>
    <s v="West"/>
    <x v="1"/>
    <s v="CAMP2"/>
    <n v="47.7"/>
    <n v="5"/>
    <n v="0"/>
    <x v="11"/>
    <n v="0"/>
    <n v="0"/>
    <m/>
    <x v="3"/>
  </r>
  <r>
    <n v="4106"/>
    <d v="2025-04-30T00:00:00"/>
    <n v="43"/>
    <s v="Male"/>
    <s v="North"/>
    <x v="0"/>
    <m/>
    <n v="40.1"/>
    <n v="5"/>
    <n v="0"/>
    <x v="11"/>
    <n v="0"/>
    <n v="0"/>
    <m/>
    <x v="3"/>
  </r>
  <r>
    <n v="3981"/>
    <d v="2025-05-30T00:00:00"/>
    <n v="37"/>
    <s v="Male"/>
    <s v="East"/>
    <x v="3"/>
    <m/>
    <n v="668.5"/>
    <n v="7"/>
    <n v="1"/>
    <x v="1609"/>
    <n v="1"/>
    <n v="15"/>
    <n v="5"/>
    <x v="4"/>
  </r>
  <r>
    <n v="1396"/>
    <d v="2025-05-30T00:00:00"/>
    <n v="21"/>
    <s v="Female"/>
    <s v="South"/>
    <x v="0"/>
    <m/>
    <n v="725.9"/>
    <n v="8"/>
    <n v="1"/>
    <x v="1618"/>
    <n v="4"/>
    <n v="4"/>
    <n v="3"/>
    <x v="4"/>
  </r>
  <r>
    <n v="2150"/>
    <d v="2025-05-30T00:00:00"/>
    <n v="36"/>
    <s v="Female"/>
    <s v="West"/>
    <x v="1"/>
    <s v="CAMP7"/>
    <n v="631"/>
    <n v="4"/>
    <n v="1"/>
    <x v="1619"/>
    <n v="1"/>
    <n v="8"/>
    <n v="4"/>
    <x v="4"/>
  </r>
  <r>
    <n v="1030"/>
    <d v="2025-05-30T00:00:00"/>
    <n v="25"/>
    <s v="Female"/>
    <s v="East"/>
    <x v="2"/>
    <m/>
    <n v="414.6"/>
    <n v="7"/>
    <n v="1"/>
    <x v="1620"/>
    <n v="2"/>
    <n v="5"/>
    <n v="5"/>
    <x v="4"/>
  </r>
  <r>
    <n v="3006"/>
    <d v="2025-05-30T00:00:00"/>
    <n v="42"/>
    <s v="Male"/>
    <s v="East"/>
    <x v="0"/>
    <m/>
    <n v="463.5"/>
    <n v="6"/>
    <n v="1"/>
    <x v="1621"/>
    <n v="3"/>
    <n v="4"/>
    <n v="4"/>
    <x v="4"/>
  </r>
  <r>
    <n v="2254"/>
    <d v="2025-05-30T00:00:00"/>
    <n v="34"/>
    <s v="Female"/>
    <s v="East"/>
    <x v="2"/>
    <m/>
    <n v="208.7"/>
    <n v="2"/>
    <n v="1"/>
    <x v="1622"/>
    <n v="4"/>
    <n v="6"/>
    <n v="5"/>
    <x v="4"/>
  </r>
  <r>
    <n v="2532"/>
    <d v="2025-05-30T00:00:00"/>
    <n v="18"/>
    <s v="Male"/>
    <s v="South"/>
    <x v="2"/>
    <m/>
    <n v="247.7"/>
    <n v="4"/>
    <n v="1"/>
    <x v="1020"/>
    <n v="4"/>
    <n v="5"/>
    <n v="4"/>
    <x v="4"/>
  </r>
  <r>
    <n v="4665"/>
    <d v="2025-05-30T00:00:00"/>
    <n v="36"/>
    <s v="Other"/>
    <s v="West"/>
    <x v="0"/>
    <m/>
    <n v="562.29999999999995"/>
    <n v="7"/>
    <n v="1"/>
    <x v="1623"/>
    <n v="3"/>
    <n v="1"/>
    <n v="3"/>
    <x v="4"/>
  </r>
  <r>
    <n v="13"/>
    <d v="2025-05-30T00:00:00"/>
    <n v="22"/>
    <s v="Male"/>
    <s v="East"/>
    <x v="1"/>
    <s v="CAMP3"/>
    <n v="747.6"/>
    <n v="6"/>
    <n v="1"/>
    <x v="1624"/>
    <n v="3"/>
    <n v="11"/>
    <n v="4"/>
    <x v="4"/>
  </r>
  <r>
    <n v="3189"/>
    <d v="2025-05-30T00:00:00"/>
    <n v="34"/>
    <s v="Female"/>
    <s v="East"/>
    <x v="0"/>
    <m/>
    <n v="1008"/>
    <n v="8"/>
    <n v="1"/>
    <x v="1625"/>
    <n v="3"/>
    <n v="1"/>
    <n v="4"/>
    <x v="4"/>
  </r>
  <r>
    <n v="2217"/>
    <d v="2025-05-30T00:00:00"/>
    <n v="36"/>
    <s v="Female"/>
    <s v="South"/>
    <x v="0"/>
    <m/>
    <n v="579.70000000000005"/>
    <n v="9"/>
    <n v="0"/>
    <x v="11"/>
    <n v="0"/>
    <n v="0"/>
    <m/>
    <x v="4"/>
  </r>
  <r>
    <n v="4305"/>
    <d v="2025-05-30T00:00:00"/>
    <n v="50"/>
    <s v="Female"/>
    <s v="West"/>
    <x v="3"/>
    <m/>
    <n v="488.9"/>
    <n v="1"/>
    <n v="0"/>
    <x v="11"/>
    <n v="0"/>
    <n v="0"/>
    <m/>
    <x v="4"/>
  </r>
  <r>
    <n v="2248"/>
    <d v="2025-05-30T00:00:00"/>
    <n v="45"/>
    <s v="Female"/>
    <s v="East"/>
    <x v="0"/>
    <m/>
    <n v="463.5"/>
    <n v="6"/>
    <n v="0"/>
    <x v="11"/>
    <n v="0"/>
    <n v="0"/>
    <m/>
    <x v="4"/>
  </r>
  <r>
    <n v="4144"/>
    <d v="2025-05-30T00:00:00"/>
    <n v="52"/>
    <s v="Female"/>
    <s v="North"/>
    <x v="3"/>
    <m/>
    <n v="441.2"/>
    <n v="6"/>
    <n v="0"/>
    <x v="11"/>
    <n v="0"/>
    <n v="0"/>
    <m/>
    <x v="4"/>
  </r>
  <r>
    <n v="4442"/>
    <d v="2025-05-30T00:00:00"/>
    <n v="62"/>
    <s v="Male"/>
    <s v="East"/>
    <x v="0"/>
    <m/>
    <n v="420.2"/>
    <n v="4"/>
    <n v="0"/>
    <x v="11"/>
    <n v="0"/>
    <n v="0"/>
    <m/>
    <x v="4"/>
  </r>
  <r>
    <n v="944"/>
    <d v="2025-05-30T00:00:00"/>
    <n v="23"/>
    <s v="Male"/>
    <s v="North"/>
    <x v="1"/>
    <s v="CAMP3"/>
    <n v="412.7"/>
    <n v="5"/>
    <n v="0"/>
    <x v="11"/>
    <n v="0"/>
    <n v="0"/>
    <m/>
    <x v="4"/>
  </r>
  <r>
    <n v="3760"/>
    <d v="2025-05-30T00:00:00"/>
    <n v="39"/>
    <s v="Male"/>
    <s v="East"/>
    <x v="2"/>
    <m/>
    <n v="406.2"/>
    <n v="4"/>
    <n v="0"/>
    <x v="11"/>
    <n v="0"/>
    <n v="0"/>
    <m/>
    <x v="4"/>
  </r>
  <r>
    <n v="893"/>
    <d v="2025-05-30T00:00:00"/>
    <n v="18"/>
    <s v="Female"/>
    <s v="East"/>
    <x v="3"/>
    <m/>
    <n v="381.6"/>
    <n v="6"/>
    <n v="0"/>
    <x v="11"/>
    <n v="0"/>
    <n v="0"/>
    <m/>
    <x v="4"/>
  </r>
  <r>
    <n v="717"/>
    <d v="2025-05-30T00:00:00"/>
    <n v="26"/>
    <s v="Female"/>
    <s v="West"/>
    <x v="0"/>
    <m/>
    <n v="342.7"/>
    <n v="5"/>
    <n v="0"/>
    <x v="11"/>
    <n v="0"/>
    <n v="0"/>
    <m/>
    <x v="4"/>
  </r>
  <r>
    <n v="4664"/>
    <d v="2025-05-30T00:00:00"/>
    <n v="61"/>
    <s v="Male"/>
    <s v="North"/>
    <x v="1"/>
    <s v="CAMP5"/>
    <n v="323.2"/>
    <n v="7"/>
    <n v="0"/>
    <x v="11"/>
    <n v="0"/>
    <n v="0"/>
    <m/>
    <x v="4"/>
  </r>
  <r>
    <n v="63"/>
    <d v="2025-05-30T00:00:00"/>
    <n v="18"/>
    <s v="Male"/>
    <s v="West"/>
    <x v="1"/>
    <s v="CAMP2"/>
    <n v="293.5"/>
    <n v="7"/>
    <n v="0"/>
    <x v="11"/>
    <n v="0"/>
    <n v="0"/>
    <m/>
    <x v="4"/>
  </r>
  <r>
    <n v="3898"/>
    <d v="2025-05-30T00:00:00"/>
    <n v="46"/>
    <s v="Male"/>
    <s v="West"/>
    <x v="1"/>
    <s v="CAMP5"/>
    <n v="282.2"/>
    <n v="1"/>
    <n v="0"/>
    <x v="11"/>
    <n v="0"/>
    <n v="0"/>
    <m/>
    <x v="4"/>
  </r>
  <r>
    <n v="1167"/>
    <d v="2025-05-30T00:00:00"/>
    <n v="20"/>
    <s v="Male"/>
    <s v="West"/>
    <x v="3"/>
    <m/>
    <n v="272.89999999999998"/>
    <n v="11"/>
    <n v="0"/>
    <x v="11"/>
    <n v="0"/>
    <n v="0"/>
    <m/>
    <x v="4"/>
  </r>
  <r>
    <n v="1972"/>
    <d v="2025-05-30T00:00:00"/>
    <n v="38"/>
    <s v="Male"/>
    <s v="South"/>
    <x v="3"/>
    <m/>
    <n v="208.1"/>
    <n v="6"/>
    <n v="0"/>
    <x v="11"/>
    <n v="0"/>
    <n v="0"/>
    <m/>
    <x v="4"/>
  </r>
  <r>
    <n v="4309"/>
    <d v="2025-05-30T00:00:00"/>
    <n v="46"/>
    <s v="Male"/>
    <s v="West"/>
    <x v="0"/>
    <m/>
    <n v="180"/>
    <n v="7"/>
    <n v="0"/>
    <x v="11"/>
    <n v="0"/>
    <n v="0"/>
    <m/>
    <x v="4"/>
  </r>
  <r>
    <n v="4453"/>
    <d v="2025-05-30T00:00:00"/>
    <n v="42"/>
    <s v="Female"/>
    <s v="West"/>
    <x v="3"/>
    <m/>
    <n v="138"/>
    <n v="8"/>
    <n v="0"/>
    <x v="11"/>
    <n v="0"/>
    <n v="0"/>
    <m/>
    <x v="4"/>
  </r>
  <r>
    <n v="4399"/>
    <d v="2025-01-31T00:00:00"/>
    <n v="51"/>
    <s v="Male"/>
    <s v="West"/>
    <x v="0"/>
    <m/>
    <n v="322.10000000000002"/>
    <n v="5"/>
    <n v="1"/>
    <x v="252"/>
    <n v="3"/>
    <n v="14"/>
    <n v="4"/>
    <x v="0"/>
  </r>
  <r>
    <n v="935"/>
    <d v="2025-01-31T00:00:00"/>
    <n v="18"/>
    <s v="Male"/>
    <s v="North"/>
    <x v="3"/>
    <m/>
    <n v="88.7"/>
    <n v="5"/>
    <n v="1"/>
    <x v="1626"/>
    <n v="4"/>
    <n v="1"/>
    <n v="5"/>
    <x v="0"/>
  </r>
  <r>
    <n v="601"/>
    <d v="2025-01-31T00:00:00"/>
    <n v="18"/>
    <s v="Male"/>
    <s v="East"/>
    <x v="1"/>
    <s v="CAMP3"/>
    <n v="443.5"/>
    <n v="6"/>
    <n v="1"/>
    <x v="1627"/>
    <n v="3"/>
    <n v="9"/>
    <n v="4"/>
    <x v="0"/>
  </r>
  <r>
    <n v="3525"/>
    <d v="2025-01-31T00:00:00"/>
    <n v="32"/>
    <s v="Male"/>
    <s v="North"/>
    <x v="3"/>
    <m/>
    <n v="758.7"/>
    <n v="6"/>
    <n v="1"/>
    <x v="1628"/>
    <n v="3"/>
    <n v="4"/>
    <n v="4"/>
    <x v="0"/>
  </r>
  <r>
    <n v="1088"/>
    <d v="2025-01-31T00:00:00"/>
    <n v="25"/>
    <s v="Female"/>
    <s v="South"/>
    <x v="1"/>
    <s v="CAMP7"/>
    <n v="174.8"/>
    <n v="4"/>
    <n v="1"/>
    <x v="1629"/>
    <n v="4"/>
    <n v="2"/>
    <n v="4"/>
    <x v="0"/>
  </r>
  <r>
    <n v="3246"/>
    <d v="2025-01-31T00:00:00"/>
    <n v="52"/>
    <s v="Female"/>
    <s v="East"/>
    <x v="2"/>
    <m/>
    <n v="283.60000000000002"/>
    <n v="4"/>
    <n v="1"/>
    <x v="1630"/>
    <n v="4"/>
    <n v="13"/>
    <n v="4"/>
    <x v="0"/>
  </r>
  <r>
    <n v="2392"/>
    <d v="2025-01-31T00:00:00"/>
    <n v="33"/>
    <s v="Male"/>
    <s v="West"/>
    <x v="1"/>
    <s v="CAMP4"/>
    <n v="617.6"/>
    <n v="12"/>
    <n v="1"/>
    <x v="1631"/>
    <n v="2"/>
    <n v="10"/>
    <n v="4"/>
    <x v="0"/>
  </r>
  <r>
    <n v="4811"/>
    <d v="2025-01-31T00:00:00"/>
    <n v="56"/>
    <s v="Female"/>
    <s v="South"/>
    <x v="3"/>
    <m/>
    <n v="298"/>
    <n v="3"/>
    <n v="1"/>
    <x v="1632"/>
    <n v="2"/>
    <n v="4"/>
    <n v="4"/>
    <x v="0"/>
  </r>
  <r>
    <n v="1402"/>
    <d v="2025-01-31T00:00:00"/>
    <n v="22"/>
    <s v="Female"/>
    <s v="West"/>
    <x v="0"/>
    <m/>
    <n v="523.29999999999995"/>
    <n v="4"/>
    <n v="1"/>
    <x v="1633"/>
    <n v="4"/>
    <n v="4"/>
    <n v="4"/>
    <x v="0"/>
  </r>
  <r>
    <n v="4730"/>
    <d v="2025-01-31T00:00:00"/>
    <n v="66"/>
    <s v="Female"/>
    <s v="North"/>
    <x v="0"/>
    <m/>
    <n v="200.9"/>
    <n v="5"/>
    <n v="1"/>
    <x v="325"/>
    <n v="3"/>
    <n v="1"/>
    <n v="3"/>
    <x v="0"/>
  </r>
  <r>
    <n v="1572"/>
    <d v="2025-01-31T00:00:00"/>
    <n v="26"/>
    <s v="Female"/>
    <s v="East"/>
    <x v="0"/>
    <m/>
    <n v="400.4"/>
    <n v="4"/>
    <n v="1"/>
    <x v="1634"/>
    <n v="1"/>
    <n v="12"/>
    <n v="4"/>
    <x v="0"/>
  </r>
  <r>
    <n v="4828"/>
    <d v="2025-01-31T00:00:00"/>
    <n v="58"/>
    <s v="Female"/>
    <s v="South"/>
    <x v="1"/>
    <s v="CAMP3"/>
    <n v="623.79999999999995"/>
    <n v="7"/>
    <n v="0"/>
    <x v="11"/>
    <n v="0"/>
    <n v="0"/>
    <m/>
    <x v="0"/>
  </r>
  <r>
    <n v="3654"/>
    <d v="2025-01-31T00:00:00"/>
    <n v="30"/>
    <s v="Female"/>
    <s v="West"/>
    <x v="0"/>
    <m/>
    <n v="443.1"/>
    <n v="5"/>
    <n v="0"/>
    <x v="11"/>
    <n v="0"/>
    <n v="0"/>
    <m/>
    <x v="0"/>
  </r>
  <r>
    <n v="255"/>
    <d v="2025-01-31T00:00:00"/>
    <n v="30"/>
    <s v="Female"/>
    <s v="East"/>
    <x v="1"/>
    <s v="CAMP6"/>
    <n v="372.2"/>
    <n v="10"/>
    <n v="0"/>
    <x v="11"/>
    <n v="0"/>
    <n v="0"/>
    <m/>
    <x v="0"/>
  </r>
  <r>
    <n v="1393"/>
    <d v="2025-01-31T00:00:00"/>
    <n v="21"/>
    <s v="Male"/>
    <s v="South"/>
    <x v="0"/>
    <m/>
    <n v="309.7"/>
    <n v="9"/>
    <n v="0"/>
    <x v="11"/>
    <n v="0"/>
    <n v="0"/>
    <m/>
    <x v="0"/>
  </r>
  <r>
    <n v="683"/>
    <d v="2025-01-31T00:00:00"/>
    <n v="27"/>
    <s v="Female"/>
    <s v="West"/>
    <x v="1"/>
    <s v="CAMP7"/>
    <n v="306.8"/>
    <n v="7"/>
    <n v="0"/>
    <x v="11"/>
    <n v="0"/>
    <n v="0"/>
    <m/>
    <x v="0"/>
  </r>
  <r>
    <n v="2936"/>
    <d v="2025-01-31T00:00:00"/>
    <n v="29"/>
    <s v="Female"/>
    <s v="North"/>
    <x v="0"/>
    <m/>
    <n v="296.89999999999998"/>
    <n v="5"/>
    <n v="0"/>
    <x v="11"/>
    <n v="0"/>
    <n v="0"/>
    <m/>
    <x v="0"/>
  </r>
  <r>
    <n v="3877"/>
    <d v="2025-01-31T00:00:00"/>
    <n v="46"/>
    <s v="Male"/>
    <s v="East"/>
    <x v="3"/>
    <m/>
    <n v="258.5"/>
    <n v="7"/>
    <n v="0"/>
    <x v="11"/>
    <n v="0"/>
    <n v="0"/>
    <m/>
    <x v="0"/>
  </r>
  <r>
    <n v="1401"/>
    <d v="2025-01-31T00:00:00"/>
    <n v="18"/>
    <s v="Female"/>
    <s v="North"/>
    <x v="1"/>
    <s v="CAMP7"/>
    <n v="239.4"/>
    <n v="2"/>
    <n v="0"/>
    <x v="11"/>
    <n v="0"/>
    <n v="0"/>
    <m/>
    <x v="0"/>
  </r>
  <r>
    <n v="4656"/>
    <d v="2025-01-31T00:00:00"/>
    <n v="60"/>
    <s v="Female"/>
    <s v="West"/>
    <x v="2"/>
    <m/>
    <n v="230.4"/>
    <n v="5"/>
    <n v="0"/>
    <x v="11"/>
    <n v="0"/>
    <n v="0"/>
    <m/>
    <x v="0"/>
  </r>
  <r>
    <n v="1297"/>
    <d v="2025-01-31T00:00:00"/>
    <n v="26"/>
    <s v="Male"/>
    <s v="West"/>
    <x v="1"/>
    <s v="CAMP1"/>
    <n v="210"/>
    <n v="8"/>
    <n v="0"/>
    <x v="11"/>
    <n v="0"/>
    <n v="0"/>
    <m/>
    <x v="0"/>
  </r>
  <r>
    <n v="3470"/>
    <d v="2025-01-31T00:00:00"/>
    <n v="36"/>
    <s v="Male"/>
    <s v="East"/>
    <x v="0"/>
    <m/>
    <n v="200.6"/>
    <n v="7"/>
    <n v="0"/>
    <x v="11"/>
    <n v="0"/>
    <n v="0"/>
    <m/>
    <x v="0"/>
  </r>
  <r>
    <n v="2634"/>
    <d v="2025-01-31T00:00:00"/>
    <n v="44"/>
    <s v="Female"/>
    <s v="West"/>
    <x v="1"/>
    <s v="CAMP2"/>
    <n v="156.5"/>
    <n v="9"/>
    <n v="0"/>
    <x v="11"/>
    <n v="0"/>
    <n v="0"/>
    <m/>
    <x v="0"/>
  </r>
  <r>
    <n v="3939"/>
    <d v="2025-01-31T00:00:00"/>
    <n v="37"/>
    <s v="Female"/>
    <s v="West"/>
    <x v="1"/>
    <s v="CAMP7"/>
    <n v="125"/>
    <n v="10"/>
    <n v="0"/>
    <x v="11"/>
    <n v="0"/>
    <n v="0"/>
    <m/>
    <x v="0"/>
  </r>
  <r>
    <n v="3333"/>
    <d v="2025-01-31T00:00:00"/>
    <n v="46"/>
    <s v="Male"/>
    <s v="East"/>
    <x v="1"/>
    <s v="CAMP6"/>
    <n v="124.7"/>
    <n v="6"/>
    <n v="0"/>
    <x v="11"/>
    <n v="0"/>
    <n v="0"/>
    <m/>
    <x v="0"/>
  </r>
  <r>
    <n v="3456"/>
    <d v="2025-01-31T00:00:00"/>
    <n v="36"/>
    <s v="Male"/>
    <s v="East"/>
    <x v="1"/>
    <s v="CAMP4"/>
    <n v="109.1"/>
    <n v="5"/>
    <n v="0"/>
    <x v="11"/>
    <n v="0"/>
    <n v="0"/>
    <m/>
    <x v="0"/>
  </r>
  <r>
    <n v="4541"/>
    <d v="2025-01-31T00:00:00"/>
    <n v="69"/>
    <s v="Female"/>
    <s v="South"/>
    <x v="2"/>
    <m/>
    <n v="107.7"/>
    <n v="7"/>
    <n v="0"/>
    <x v="11"/>
    <n v="0"/>
    <n v="0"/>
    <m/>
    <x v="0"/>
  </r>
  <r>
    <n v="4650"/>
    <d v="2025-01-31T00:00:00"/>
    <n v="34"/>
    <s v="Male"/>
    <s v="East"/>
    <x v="3"/>
    <m/>
    <n v="90.3"/>
    <n v="3"/>
    <n v="0"/>
    <x v="11"/>
    <n v="0"/>
    <n v="0"/>
    <m/>
    <x v="0"/>
  </r>
  <r>
    <n v="32"/>
    <d v="2025-01-31T00:00:00"/>
    <n v="25"/>
    <s v="Female"/>
    <s v="West"/>
    <x v="0"/>
    <m/>
    <n v="27"/>
    <n v="8"/>
    <n v="0"/>
    <x v="11"/>
    <n v="0"/>
    <n v="0"/>
    <m/>
    <x v="0"/>
  </r>
  <r>
    <n v="2970"/>
    <d v="2025-03-31T00:00:00"/>
    <n v="46"/>
    <s v="Male"/>
    <s v="West"/>
    <x v="0"/>
    <m/>
    <n v="338.9"/>
    <n v="4"/>
    <n v="1"/>
    <x v="1635"/>
    <n v="3"/>
    <n v="3"/>
    <n v="4"/>
    <x v="2"/>
  </r>
  <r>
    <n v="986"/>
    <d v="2025-03-31T00:00:00"/>
    <n v="26"/>
    <s v="Female"/>
    <s v="East"/>
    <x v="0"/>
    <m/>
    <n v="607"/>
    <n v="2"/>
    <n v="1"/>
    <x v="1636"/>
    <n v="2"/>
    <n v="15"/>
    <n v="5"/>
    <x v="2"/>
  </r>
  <r>
    <n v="2086"/>
    <d v="2025-03-31T00:00:00"/>
    <n v="23"/>
    <s v="Female"/>
    <s v="West"/>
    <x v="3"/>
    <m/>
    <n v="833.1"/>
    <n v="3"/>
    <n v="1"/>
    <x v="1637"/>
    <n v="2"/>
    <n v="14"/>
    <n v="4"/>
    <x v="2"/>
  </r>
  <r>
    <n v="650"/>
    <d v="2025-03-31T00:00:00"/>
    <n v="26"/>
    <s v="Male"/>
    <s v="West"/>
    <x v="1"/>
    <s v="CAMP6"/>
    <n v="152.4"/>
    <n v="6"/>
    <n v="1"/>
    <x v="1638"/>
    <n v="4"/>
    <n v="4"/>
    <n v="5"/>
    <x v="2"/>
  </r>
  <r>
    <n v="1664"/>
    <d v="2025-03-31T00:00:00"/>
    <n v="26"/>
    <s v="Female"/>
    <s v="South"/>
    <x v="3"/>
    <m/>
    <n v="265.5"/>
    <n v="6"/>
    <n v="1"/>
    <x v="1639"/>
    <n v="2"/>
    <n v="11"/>
    <n v="4"/>
    <x v="2"/>
  </r>
  <r>
    <n v="1138"/>
    <d v="2025-03-31T00:00:00"/>
    <n v="32"/>
    <s v="Male"/>
    <s v="South"/>
    <x v="2"/>
    <m/>
    <n v="317"/>
    <n v="3"/>
    <n v="1"/>
    <x v="1640"/>
    <n v="2"/>
    <n v="7"/>
    <n v="4"/>
    <x v="2"/>
  </r>
  <r>
    <n v="1584"/>
    <d v="2025-03-31T00:00:00"/>
    <n v="22"/>
    <s v="Female"/>
    <s v="West"/>
    <x v="3"/>
    <m/>
    <n v="451.9"/>
    <n v="5"/>
    <n v="1"/>
    <x v="1641"/>
    <n v="1"/>
    <n v="6"/>
    <n v="3"/>
    <x v="2"/>
  </r>
  <r>
    <n v="1330"/>
    <d v="2025-03-31T00:00:00"/>
    <n v="38"/>
    <s v="Male"/>
    <s v="North"/>
    <x v="1"/>
    <s v="CAMP1"/>
    <n v="692.6"/>
    <n v="6"/>
    <n v="0"/>
    <x v="11"/>
    <n v="0"/>
    <n v="0"/>
    <m/>
    <x v="2"/>
  </r>
  <r>
    <n v="143"/>
    <d v="2025-03-31T00:00:00"/>
    <n v="32"/>
    <s v="Female"/>
    <s v="North"/>
    <x v="0"/>
    <m/>
    <n v="609"/>
    <n v="6"/>
    <n v="0"/>
    <x v="11"/>
    <n v="0"/>
    <n v="0"/>
    <m/>
    <x v="2"/>
  </r>
  <r>
    <n v="2877"/>
    <d v="2025-03-31T00:00:00"/>
    <n v="35"/>
    <s v="Female"/>
    <s v="East"/>
    <x v="0"/>
    <m/>
    <n v="581.70000000000005"/>
    <n v="10"/>
    <n v="0"/>
    <x v="11"/>
    <n v="0"/>
    <n v="0"/>
    <m/>
    <x v="2"/>
  </r>
  <r>
    <n v="4193"/>
    <d v="2025-03-31T00:00:00"/>
    <n v="35"/>
    <s v="Male"/>
    <s v="East"/>
    <x v="0"/>
    <m/>
    <n v="570.1"/>
    <n v="6"/>
    <n v="0"/>
    <x v="11"/>
    <n v="0"/>
    <n v="0"/>
    <m/>
    <x v="2"/>
  </r>
  <r>
    <n v="4218"/>
    <d v="2025-03-31T00:00:00"/>
    <n v="42"/>
    <s v="Female"/>
    <s v="East"/>
    <x v="1"/>
    <s v="CAMP5"/>
    <n v="513.5"/>
    <n v="10"/>
    <n v="0"/>
    <x v="11"/>
    <n v="0"/>
    <n v="0"/>
    <m/>
    <x v="2"/>
  </r>
  <r>
    <n v="1132"/>
    <d v="2025-03-31T00:00:00"/>
    <n v="18"/>
    <s v="Female"/>
    <s v="North"/>
    <x v="3"/>
    <m/>
    <n v="508.9"/>
    <n v="8"/>
    <n v="0"/>
    <x v="11"/>
    <n v="0"/>
    <n v="0"/>
    <m/>
    <x v="2"/>
  </r>
  <r>
    <n v="835"/>
    <d v="2025-03-31T00:00:00"/>
    <n v="25"/>
    <s v="Male"/>
    <s v="West"/>
    <x v="1"/>
    <s v="CAMP6"/>
    <n v="427.9"/>
    <n v="7"/>
    <n v="0"/>
    <x v="11"/>
    <n v="0"/>
    <n v="0"/>
    <m/>
    <x v="2"/>
  </r>
  <r>
    <n v="979"/>
    <d v="2025-03-31T00:00:00"/>
    <n v="33"/>
    <s v="Female"/>
    <s v="South"/>
    <x v="0"/>
    <m/>
    <n v="424.3"/>
    <n v="7"/>
    <n v="0"/>
    <x v="11"/>
    <n v="0"/>
    <n v="0"/>
    <m/>
    <x v="2"/>
  </r>
  <r>
    <n v="1451"/>
    <d v="2025-03-31T00:00:00"/>
    <n v="26"/>
    <s v="Male"/>
    <s v="South"/>
    <x v="2"/>
    <m/>
    <n v="385.5"/>
    <n v="5"/>
    <n v="0"/>
    <x v="11"/>
    <n v="0"/>
    <n v="0"/>
    <m/>
    <x v="2"/>
  </r>
  <r>
    <n v="42"/>
    <d v="2025-03-31T00:00:00"/>
    <n v="19"/>
    <s v="Male"/>
    <s v="South"/>
    <x v="0"/>
    <m/>
    <n v="229.6"/>
    <n v="3"/>
    <n v="0"/>
    <x v="11"/>
    <n v="0"/>
    <n v="0"/>
    <m/>
    <x v="2"/>
  </r>
  <r>
    <n v="2598"/>
    <d v="2025-03-31T00:00:00"/>
    <n v="27"/>
    <s v="Male"/>
    <s v="West"/>
    <x v="1"/>
    <s v="CAMP1"/>
    <n v="193.6"/>
    <n v="7"/>
    <n v="0"/>
    <x v="11"/>
    <n v="0"/>
    <n v="0"/>
    <m/>
    <x v="2"/>
  </r>
  <r>
    <n v="4505"/>
    <d v="2025-03-31T00:00:00"/>
    <n v="57"/>
    <s v="Male"/>
    <s v="West"/>
    <x v="0"/>
    <m/>
    <n v="181.1"/>
    <n v="8"/>
    <n v="0"/>
    <x v="11"/>
    <n v="0"/>
    <n v="0"/>
    <m/>
    <x v="2"/>
  </r>
  <r>
    <n v="1280"/>
    <d v="2025-03-31T00:00:00"/>
    <n v="25"/>
    <s v="Male"/>
    <s v="East"/>
    <x v="2"/>
    <m/>
    <n v="175.6"/>
    <n v="8"/>
    <n v="0"/>
    <x v="11"/>
    <n v="0"/>
    <n v="0"/>
    <m/>
    <x v="2"/>
  </r>
  <r>
    <n v="2817"/>
    <d v="2025-03-31T00:00:00"/>
    <n v="52"/>
    <s v="Female"/>
    <s v="West"/>
    <x v="3"/>
    <m/>
    <n v="82.5"/>
    <n v="8"/>
    <n v="0"/>
    <x v="11"/>
    <n v="0"/>
    <n v="0"/>
    <m/>
    <x v="2"/>
  </r>
  <r>
    <n v="1939"/>
    <d v="2025-03-31T00:00:00"/>
    <n v="18"/>
    <s v="Female"/>
    <s v="South"/>
    <x v="2"/>
    <m/>
    <n v="78.8"/>
    <n v="5"/>
    <n v="0"/>
    <x v="11"/>
    <n v="0"/>
    <n v="0"/>
    <m/>
    <x v="2"/>
  </r>
  <r>
    <n v="1988"/>
    <d v="2025-03-31T00:00:00"/>
    <n v="38"/>
    <s v="Female"/>
    <s v="South"/>
    <x v="1"/>
    <s v="CAMP2"/>
    <n v="36"/>
    <n v="9"/>
    <n v="0"/>
    <x v="11"/>
    <n v="0"/>
    <n v="0"/>
    <m/>
    <x v="2"/>
  </r>
  <r>
    <n v="2682"/>
    <d v="2025-05-31T00:00:00"/>
    <n v="35"/>
    <s v="Female"/>
    <s v="North"/>
    <x v="2"/>
    <m/>
    <n v="971"/>
    <n v="6"/>
    <n v="1"/>
    <x v="1642"/>
    <n v="2"/>
    <n v="7"/>
    <n v="5"/>
    <x v="4"/>
  </r>
  <r>
    <n v="932"/>
    <d v="2025-05-31T00:00:00"/>
    <n v="26"/>
    <s v="Female"/>
    <s v="South"/>
    <x v="1"/>
    <s v="CAMP4"/>
    <n v="362.4"/>
    <n v="7"/>
    <n v="1"/>
    <x v="755"/>
    <n v="2"/>
    <n v="11"/>
    <n v="4"/>
    <x v="4"/>
  </r>
  <r>
    <n v="2176"/>
    <d v="2025-05-31T00:00:00"/>
    <n v="28"/>
    <s v="Male"/>
    <s v="North"/>
    <x v="1"/>
    <s v="CAMP3"/>
    <n v="360.2"/>
    <n v="6"/>
    <n v="1"/>
    <x v="1643"/>
    <n v="1"/>
    <n v="13"/>
    <n v="4"/>
    <x v="4"/>
  </r>
  <r>
    <n v="4657"/>
    <d v="2025-05-31T00:00:00"/>
    <n v="39"/>
    <s v="Male"/>
    <s v="South"/>
    <x v="3"/>
    <m/>
    <n v="349.4"/>
    <n v="5"/>
    <n v="1"/>
    <x v="1644"/>
    <n v="3"/>
    <n v="6"/>
    <n v="4"/>
    <x v="4"/>
  </r>
  <r>
    <n v="166"/>
    <d v="2025-05-31T00:00:00"/>
    <n v="32"/>
    <s v="Male"/>
    <s v="East"/>
    <x v="0"/>
    <m/>
    <n v="955.9"/>
    <n v="7"/>
    <n v="1"/>
    <x v="1645"/>
    <n v="1"/>
    <n v="4"/>
    <n v="5"/>
    <x v="4"/>
  </r>
  <r>
    <n v="2890"/>
    <d v="2025-05-31T00:00:00"/>
    <n v="29"/>
    <s v="Female"/>
    <s v="East"/>
    <x v="3"/>
    <m/>
    <n v="714.3"/>
    <n v="8"/>
    <n v="1"/>
    <x v="1646"/>
    <n v="2"/>
    <n v="12"/>
    <n v="5"/>
    <x v="4"/>
  </r>
  <r>
    <n v="1448"/>
    <d v="2025-05-31T00:00:00"/>
    <n v="18"/>
    <s v="Male"/>
    <s v="West"/>
    <x v="0"/>
    <m/>
    <n v="279.10000000000002"/>
    <n v="5"/>
    <n v="1"/>
    <x v="1647"/>
    <n v="6"/>
    <n v="6"/>
    <n v="3"/>
    <x v="4"/>
  </r>
  <r>
    <n v="1152"/>
    <d v="2025-05-31T00:00:00"/>
    <n v="34"/>
    <s v="Male"/>
    <s v="South"/>
    <x v="1"/>
    <s v="CAMP6"/>
    <n v="646.5"/>
    <n v="3"/>
    <n v="1"/>
    <x v="1482"/>
    <n v="2"/>
    <n v="8"/>
    <n v="3"/>
    <x v="4"/>
  </r>
  <r>
    <n v="3475"/>
    <d v="2025-05-31T00:00:00"/>
    <n v="41"/>
    <s v="Male"/>
    <s v="East"/>
    <x v="3"/>
    <m/>
    <n v="610.9"/>
    <n v="9"/>
    <n v="0"/>
    <x v="11"/>
    <n v="0"/>
    <n v="0"/>
    <m/>
    <x v="4"/>
  </r>
  <r>
    <n v="3952"/>
    <d v="2025-05-31T00:00:00"/>
    <n v="40"/>
    <s v="Female"/>
    <s v="West"/>
    <x v="1"/>
    <s v="CAMP7"/>
    <n v="524.29999999999995"/>
    <n v="6"/>
    <n v="0"/>
    <x v="11"/>
    <n v="0"/>
    <n v="0"/>
    <m/>
    <x v="4"/>
  </r>
  <r>
    <n v="2444"/>
    <d v="2025-05-31T00:00:00"/>
    <n v="45"/>
    <s v="Female"/>
    <s v="East"/>
    <x v="1"/>
    <s v="CAMP7"/>
    <n v="489.8"/>
    <n v="8"/>
    <n v="0"/>
    <x v="11"/>
    <n v="0"/>
    <n v="0"/>
    <m/>
    <x v="4"/>
  </r>
  <r>
    <n v="3722"/>
    <d v="2025-05-31T00:00:00"/>
    <n v="40"/>
    <s v="Female"/>
    <s v="South"/>
    <x v="0"/>
    <m/>
    <n v="479.4"/>
    <n v="6"/>
    <n v="0"/>
    <x v="11"/>
    <n v="0"/>
    <n v="0"/>
    <m/>
    <x v="4"/>
  </r>
  <r>
    <n v="3206"/>
    <d v="2025-05-31T00:00:00"/>
    <n v="18"/>
    <s v="Male"/>
    <s v="South"/>
    <x v="0"/>
    <m/>
    <n v="478.6"/>
    <n v="5"/>
    <n v="0"/>
    <x v="11"/>
    <n v="0"/>
    <n v="0"/>
    <m/>
    <x v="4"/>
  </r>
  <r>
    <n v="3275"/>
    <d v="2025-05-31T00:00:00"/>
    <n v="30"/>
    <s v="Female"/>
    <s v="West"/>
    <x v="1"/>
    <s v="CAMP2"/>
    <n v="365.8"/>
    <n v="5"/>
    <n v="0"/>
    <x v="11"/>
    <n v="0"/>
    <n v="0"/>
    <m/>
    <x v="4"/>
  </r>
  <r>
    <n v="3425"/>
    <d v="2025-05-31T00:00:00"/>
    <n v="49"/>
    <s v="Male"/>
    <s v="West"/>
    <x v="0"/>
    <m/>
    <n v="334.8"/>
    <n v="7"/>
    <n v="0"/>
    <x v="11"/>
    <n v="0"/>
    <n v="0"/>
    <m/>
    <x v="4"/>
  </r>
  <r>
    <n v="3469"/>
    <d v="2025-05-31T00:00:00"/>
    <n v="43"/>
    <s v="Male"/>
    <s v="North"/>
    <x v="0"/>
    <m/>
    <n v="270.89999999999998"/>
    <n v="7"/>
    <n v="0"/>
    <x v="11"/>
    <n v="0"/>
    <n v="0"/>
    <m/>
    <x v="4"/>
  </r>
  <r>
    <n v="315"/>
    <d v="2025-05-31T00:00:00"/>
    <n v="21"/>
    <s v="Female"/>
    <s v="West"/>
    <x v="0"/>
    <m/>
    <n v="261.89999999999998"/>
    <n v="8"/>
    <n v="0"/>
    <x v="11"/>
    <n v="0"/>
    <n v="0"/>
    <m/>
    <x v="4"/>
  </r>
  <r>
    <n v="3130"/>
    <d v="2025-05-31T00:00:00"/>
    <n v="28"/>
    <s v="Male"/>
    <s v="East"/>
    <x v="0"/>
    <m/>
    <n v="179.1"/>
    <n v="8"/>
    <n v="0"/>
    <x v="11"/>
    <n v="0"/>
    <n v="0"/>
    <m/>
    <x v="4"/>
  </r>
  <r>
    <n v="4668"/>
    <d v="2025-05-31T00:00:00"/>
    <n v="42"/>
    <s v="Female"/>
    <s v="South"/>
    <x v="0"/>
    <m/>
    <n v="166"/>
    <n v="7"/>
    <n v="0"/>
    <x v="11"/>
    <n v="0"/>
    <n v="0"/>
    <m/>
    <x v="4"/>
  </r>
  <r>
    <n v="2536"/>
    <d v="2025-05-31T00:00:00"/>
    <n v="28"/>
    <s v="Female"/>
    <s v="West"/>
    <x v="2"/>
    <m/>
    <n v="143"/>
    <n v="4"/>
    <n v="0"/>
    <x v="11"/>
    <n v="0"/>
    <n v="0"/>
    <m/>
    <x v="4"/>
  </r>
  <r>
    <n v="3582"/>
    <d v="2025-05-31T00:00:00"/>
    <n v="39"/>
    <s v="Male"/>
    <s v="North"/>
    <x v="0"/>
    <m/>
    <n v="87.9"/>
    <n v="7"/>
    <n v="0"/>
    <x v="11"/>
    <n v="0"/>
    <n v="0"/>
    <m/>
    <x v="4"/>
  </r>
  <r>
    <n v="3860"/>
    <d v="2025-05-31T00:00:00"/>
    <n v="43"/>
    <s v="Male"/>
    <s v="East"/>
    <x v="1"/>
    <s v="CAMP6"/>
    <n v="67.2"/>
    <n v="2"/>
    <n v="0"/>
    <x v="11"/>
    <n v="0"/>
    <n v="0"/>
    <m/>
    <x v="4"/>
  </r>
  <r>
    <n v="525"/>
    <d v="2025-05-31T00:00:00"/>
    <n v="29"/>
    <s v="Female"/>
    <s v="West"/>
    <x v="0"/>
    <m/>
    <n v="35.700000000000003"/>
    <n v="6"/>
    <n v="0"/>
    <x v="11"/>
    <n v="0"/>
    <n v="0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2" cacheId="6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15:B22" firstHeaderRow="1" firstDataRow="1" firstDataCol="1" rowPageCount="1" colPageCount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Page" dataField="1" multipleItemSelectionAllowed="1" showAll="0">
      <items count="1649">
        <item h="1" x="11"/>
        <item x="1509"/>
        <item x="1412"/>
        <item x="1360"/>
        <item x="1202"/>
        <item x="195"/>
        <item x="130"/>
        <item x="1353"/>
        <item x="677"/>
        <item x="873"/>
        <item x="1065"/>
        <item x="808"/>
        <item x="909"/>
        <item x="599"/>
        <item x="561"/>
        <item x="1446"/>
        <item x="1545"/>
        <item x="1003"/>
        <item x="1233"/>
        <item x="1596"/>
        <item x="181"/>
        <item x="251"/>
        <item x="560"/>
        <item x="695"/>
        <item x="271"/>
        <item x="344"/>
        <item x="694"/>
        <item x="1606"/>
        <item x="1143"/>
        <item x="1043"/>
        <item x="1411"/>
        <item x="1491"/>
        <item x="357"/>
        <item x="1530"/>
        <item x="1617"/>
        <item x="1425"/>
        <item x="1122"/>
        <item x="908"/>
        <item x="946"/>
        <item x="121"/>
        <item x="1373"/>
        <item x="568"/>
        <item x="939"/>
        <item x="1188"/>
        <item x="250"/>
        <item x="369"/>
        <item x="1435"/>
        <item x="97"/>
        <item x="1501"/>
        <item x="1554"/>
        <item x="668"/>
        <item x="1272"/>
        <item x="1052"/>
        <item x="656"/>
        <item x="957"/>
        <item x="559"/>
        <item x="1384"/>
        <item x="1372"/>
        <item x="771"/>
        <item x="517"/>
        <item x="975"/>
        <item x="376"/>
        <item x="901"/>
        <item x="965"/>
        <item x="1307"/>
        <item x="587"/>
        <item x="120"/>
        <item x="119"/>
        <item x="485"/>
        <item x="1445"/>
        <item x="900"/>
        <item x="786"/>
        <item x="187"/>
        <item x="457"/>
        <item x="516"/>
        <item x="1553"/>
        <item x="1261"/>
        <item x="1529"/>
        <item x="1482"/>
        <item x="445"/>
        <item x="54"/>
        <item x="558"/>
        <item x="53"/>
        <item x="29"/>
        <item x="1070"/>
        <item x="859"/>
        <item x="477"/>
        <item x="1042"/>
        <item x="693"/>
        <item x="845"/>
        <item x="1091"/>
        <item x="1187"/>
        <item x="619"/>
        <item x="964"/>
        <item x="18"/>
        <item x="792"/>
        <item x="1027"/>
        <item x="1163"/>
        <item x="1616"/>
        <item x="1405"/>
        <item x="1113"/>
        <item x="270"/>
        <item x="1552"/>
        <item x="28"/>
        <item x="1153"/>
        <item x="763"/>
        <item x="164"/>
        <item x="63"/>
        <item x="1002"/>
        <item x="1352"/>
        <item x="1219"/>
        <item x="1084"/>
        <item x="492"/>
        <item x="52"/>
        <item x="410"/>
        <item x="1551"/>
        <item x="1634"/>
        <item x="1615"/>
        <item x="676"/>
        <item x="956"/>
        <item x="476"/>
        <item x="129"/>
        <item x="1225"/>
        <item x="575"/>
        <item x="384"/>
        <item x="618"/>
        <item x="617"/>
        <item x="540"/>
        <item x="1260"/>
        <item x="899"/>
        <item x="1605"/>
        <item x="1175"/>
        <item x="1259"/>
        <item x="1300"/>
        <item x="1383"/>
        <item x="1224"/>
        <item x="1508"/>
        <item x="1364"/>
        <item x="269"/>
        <item x="41"/>
        <item x="198"/>
        <item x="290"/>
        <item x="1181"/>
        <item x="1424"/>
        <item x="1595"/>
        <item x="268"/>
        <item x="989"/>
        <item x="1026"/>
        <item x="1212"/>
        <item x="1174"/>
        <item x="1565"/>
        <item x="1470"/>
        <item x="51"/>
        <item x="1152"/>
        <item x="1011"/>
        <item x="586"/>
        <item x="1289"/>
        <item x="501"/>
        <item x="882"/>
        <item x="616"/>
        <item x="1271"/>
        <item x="1180"/>
        <item x="858"/>
        <item x="833"/>
        <item x="409"/>
        <item x="10"/>
        <item x="1103"/>
        <item x="770"/>
        <item x="585"/>
        <item x="608"/>
        <item x="1142"/>
        <item x="238"/>
        <item x="684"/>
        <item x="315"/>
        <item x="1594"/>
        <item x="1537"/>
        <item x="898"/>
        <item x="548"/>
        <item x="73"/>
        <item x="396"/>
        <item x="326"/>
        <item x="955"/>
        <item x="857"/>
        <item x="9"/>
        <item x="1201"/>
        <item x="1385"/>
        <item x="762"/>
        <item x="515"/>
        <item x="466"/>
        <item x="500"/>
        <item x="1218"/>
        <item x="1490"/>
        <item x="356"/>
        <item x="709"/>
        <item x="1391"/>
        <item x="675"/>
        <item x="1434"/>
        <item x="761"/>
        <item x="50"/>
        <item x="881"/>
        <item x="753"/>
        <item x="151"/>
        <item x="1450"/>
        <item x="1625"/>
        <item x="752"/>
        <item x="325"/>
        <item x="897"/>
        <item x="1051"/>
        <item x="1346"/>
        <item x="456"/>
        <item x="539"/>
        <item x="1244"/>
        <item x="730"/>
        <item x="1416"/>
        <item x="383"/>
        <item x="1574"/>
        <item x="1584"/>
        <item x="1359"/>
        <item x="455"/>
        <item x="598"/>
        <item x="1382"/>
        <item x="1633"/>
        <item x="674"/>
        <item x="1433"/>
        <item x="212"/>
        <item x="249"/>
        <item x="491"/>
        <item x="355"/>
        <item x="751"/>
        <item x="444"/>
        <item x="443"/>
        <item x="719"/>
        <item x="375"/>
        <item x="1315"/>
        <item x="1314"/>
        <item x="8"/>
        <item x="7"/>
        <item x="1090"/>
        <item x="557"/>
        <item x="1151"/>
        <item x="615"/>
        <item x="324"/>
        <item x="354"/>
        <item x="176"/>
        <item x="128"/>
        <item x="1371"/>
        <item x="718"/>
        <item x="1381"/>
        <item x="1423"/>
        <item x="547"/>
        <item x="511"/>
        <item x="1280"/>
        <item x="1439"/>
        <item x="929"/>
        <item x="435"/>
        <item x="1544"/>
        <item x="434"/>
        <item x="856"/>
        <item x="880"/>
        <item x="1243"/>
        <item x="1573"/>
        <item x="737"/>
        <item x="844"/>
        <item x="150"/>
        <item x="17"/>
        <item x="546"/>
        <item x="1614"/>
        <item x="1351"/>
        <item x="368"/>
        <item x="567"/>
        <item x="1057"/>
        <item x="194"/>
        <item x="420"/>
        <item x="1186"/>
        <item x="118"/>
        <item x="800"/>
        <item x="655"/>
        <item x="538"/>
        <item x="1432"/>
        <item x="1001"/>
        <item x="141"/>
        <item x="1370"/>
        <item x="523"/>
        <item x="938"/>
        <item x="855"/>
        <item x="1150"/>
        <item x="1179"/>
        <item x="1211"/>
        <item x="736"/>
        <item x="814"/>
        <item x="662"/>
        <item x="1270"/>
        <item x="843"/>
        <item x="1083"/>
        <item x="175"/>
        <item x="1335"/>
        <item x="1422"/>
        <item x="1624"/>
        <item x="1313"/>
        <item x="231"/>
        <item x="879"/>
        <item x="237"/>
        <item x="1069"/>
        <item x="826"/>
        <item x="799"/>
        <item x="654"/>
        <item x="661"/>
        <item x="211"/>
        <item x="918"/>
        <item x="367"/>
        <item x="1299"/>
        <item x="210"/>
        <item x="510"/>
        <item x="1572"/>
        <item x="667"/>
        <item x="854"/>
        <item x="163"/>
        <item x="1200"/>
        <item x="1461"/>
        <item x="769"/>
        <item x="1363"/>
        <item x="1162"/>
        <item x="1064"/>
        <item x="289"/>
        <item x="1298"/>
        <item x="1583"/>
        <item x="522"/>
        <item x="1500"/>
        <item x="224"/>
        <item x="785"/>
        <item x="419"/>
        <item x="174"/>
        <item x="418"/>
        <item x="750"/>
        <item x="1444"/>
        <item x="353"/>
        <item x="352"/>
        <item x="872"/>
        <item x="1000"/>
        <item x="626"/>
        <item x="666"/>
        <item x="988"/>
        <item x="1297"/>
        <item x="981"/>
        <item x="1632"/>
        <item x="1063"/>
        <item x="442"/>
        <item x="1078"/>
        <item x="653"/>
        <item x="223"/>
        <item x="395"/>
        <item x="607"/>
        <item x="454"/>
        <item x="556"/>
        <item x="1025"/>
        <item x="127"/>
        <item x="533"/>
        <item x="532"/>
        <item x="343"/>
        <item x="16"/>
        <item x="928"/>
        <item x="1010"/>
        <item x="323"/>
        <item x="749"/>
        <item x="807"/>
        <item x="49"/>
        <item x="230"/>
        <item x="1631"/>
        <item x="665"/>
        <item x="927"/>
        <item x="606"/>
        <item x="126"/>
        <item x="1641"/>
        <item x="945"/>
        <item x="280"/>
        <item x="307"/>
        <item x="1173"/>
        <item x="1141"/>
        <item x="394"/>
        <item x="222"/>
        <item x="108"/>
        <item x="1041"/>
        <item x="465"/>
        <item x="926"/>
        <item x="597"/>
        <item x="980"/>
        <item x="673"/>
        <item x="1077"/>
        <item x="1210"/>
        <item x="267"/>
        <item x="1112"/>
        <item x="825"/>
        <item x="1460"/>
        <item x="784"/>
        <item x="963"/>
        <item x="248"/>
        <item x="1518"/>
        <item x="433"/>
        <item x="1404"/>
        <item x="186"/>
        <item x="107"/>
        <item x="209"/>
        <item x="173"/>
        <item x="842"/>
        <item x="708"/>
        <item x="907"/>
        <item x="683"/>
        <item x="490"/>
        <item x="40"/>
        <item x="692"/>
        <item x="62"/>
        <item x="691"/>
        <item x="596"/>
        <item x="806"/>
        <item x="729"/>
        <item x="999"/>
        <item x="1252"/>
        <item x="6"/>
        <item x="288"/>
        <item x="1223"/>
        <item x="1403"/>
        <item x="1209"/>
        <item x="338"/>
        <item x="1528"/>
        <item x="236"/>
        <item x="633"/>
        <item x="149"/>
        <item x="652"/>
        <item x="1499"/>
        <item x="798"/>
        <item x="140"/>
        <item x="1161"/>
        <item x="797"/>
        <item x="1306"/>
        <item x="1527"/>
        <item x="229"/>
        <item x="1199"/>
        <item x="1526"/>
        <item x="1062"/>
        <item x="48"/>
        <item x="605"/>
        <item x="748"/>
        <item x="106"/>
        <item x="139"/>
        <item x="1024"/>
        <item x="228"/>
        <item x="805"/>
        <item x="1325"/>
        <item x="61"/>
        <item x="1242"/>
        <item x="374"/>
        <item x="1160"/>
        <item x="682"/>
        <item x="1358"/>
        <item x="1593"/>
        <item x="1149"/>
        <item x="813"/>
        <item x="1269"/>
        <item x="555"/>
        <item x="1402"/>
        <item x="783"/>
        <item x="925"/>
        <item x="1148"/>
        <item x="998"/>
        <item x="584"/>
        <item x="1357"/>
        <item x="595"/>
        <item x="306"/>
        <item x="1438"/>
        <item x="509"/>
        <item x="1443"/>
        <item x="747"/>
        <item x="1481"/>
        <item x="342"/>
        <item x="47"/>
        <item x="322"/>
        <item x="1050"/>
        <item x="162"/>
        <item x="88"/>
        <item x="954"/>
        <item x="1613"/>
        <item x="27"/>
        <item x="1076"/>
        <item x="728"/>
        <item x="1459"/>
        <item x="1480"/>
        <item x="1140"/>
        <item x="660"/>
        <item x="1380"/>
        <item x="1612"/>
        <item x="1139"/>
        <item x="408"/>
        <item x="337"/>
        <item x="1121"/>
        <item x="604"/>
        <item x="46"/>
        <item x="441"/>
        <item x="1345"/>
        <item x="1437"/>
        <item x="117"/>
        <item x="1296"/>
        <item x="148"/>
        <item x="896"/>
        <item x="258"/>
        <item x="1469"/>
        <item x="1049"/>
        <item x="305"/>
        <item x="1009"/>
        <item x="475"/>
        <item x="116"/>
        <item x="257"/>
        <item x="1295"/>
        <item x="1390"/>
        <item x="1369"/>
        <item x="1032"/>
        <item x="508"/>
        <item x="1401"/>
        <item x="871"/>
        <item x="1334"/>
        <item x="26"/>
        <item x="760"/>
        <item x="841"/>
        <item x="1333"/>
        <item x="15"/>
        <item x="1023"/>
        <item x="72"/>
        <item x="1294"/>
        <item x="161"/>
        <item x="351"/>
        <item x="782"/>
        <item x="208"/>
        <item x="625"/>
        <item x="644"/>
        <item x="865"/>
        <item x="521"/>
        <item x="1635"/>
        <item x="147"/>
        <item x="651"/>
        <item x="1102"/>
        <item x="707"/>
        <item x="804"/>
        <item x="115"/>
        <item x="1312"/>
        <item x="304"/>
        <item x="791"/>
        <item x="1101"/>
        <item x="735"/>
        <item x="14"/>
        <item x="1507"/>
        <item x="1268"/>
        <item x="1623"/>
        <item x="1324"/>
        <item x="1550"/>
        <item x="1138"/>
        <item x="1449"/>
        <item x="1389"/>
        <item x="1031"/>
        <item x="1517"/>
        <item x="1564"/>
        <item x="1410"/>
        <item x="1344"/>
        <item x="1468"/>
        <item x="1185"/>
        <item x="499"/>
        <item x="1279"/>
        <item x="1458"/>
        <item x="1498"/>
        <item x="160"/>
        <item x="172"/>
        <item x="537"/>
        <item x="197"/>
        <item x="25"/>
        <item x="1647"/>
        <item x="1400"/>
        <item x="574"/>
        <item x="878"/>
        <item x="790"/>
        <item x="962"/>
        <item x="391"/>
        <item x="1135"/>
        <item x="1198"/>
        <item x="997"/>
        <item x="594"/>
        <item x="1040"/>
        <item x="717"/>
        <item x="1640"/>
        <item x="1089"/>
        <item x="303"/>
        <item x="1305"/>
        <item x="1137"/>
        <item x="1323"/>
        <item x="1582"/>
        <item x="1008"/>
        <item x="24"/>
        <item x="789"/>
        <item x="664"/>
        <item x="1379"/>
        <item x="690"/>
        <item x="659"/>
        <item x="974"/>
        <item x="1082"/>
        <item x="1604"/>
        <item x="1048"/>
        <item x="336"/>
        <item x="1111"/>
        <item x="407"/>
        <item x="1075"/>
        <item x="432"/>
        <item x="768"/>
        <item x="474"/>
        <item x="406"/>
        <item x="727"/>
        <item x="405"/>
        <item x="114"/>
        <item x="824"/>
        <item x="247"/>
        <item x="1322"/>
        <item x="1197"/>
        <item x="996"/>
        <item x="279"/>
        <item x="171"/>
        <item x="5"/>
        <item x="246"/>
        <item x="1563"/>
        <item x="335"/>
        <item x="1321"/>
        <item x="507"/>
        <item x="877"/>
        <item x="746"/>
        <item x="1022"/>
        <item x="1442"/>
        <item x="453"/>
        <item x="87"/>
        <item x="113"/>
        <item x="1356"/>
        <item x="734"/>
        <item x="506"/>
        <item x="1172"/>
        <item x="1431"/>
        <item x="1100"/>
        <item x="0"/>
        <item x="1571"/>
        <item x="390"/>
        <item x="583"/>
        <item x="1288"/>
        <item x="823"/>
        <item x="520"/>
        <item x="536"/>
        <item x="39"/>
        <item x="170"/>
        <item x="566"/>
        <item x="953"/>
        <item x="1217"/>
        <item x="1489"/>
        <item x="38"/>
        <item x="193"/>
        <item x="404"/>
        <item x="706"/>
        <item x="610"/>
        <item x="1216"/>
        <item x="245"/>
        <item x="1232"/>
        <item x="389"/>
        <item x="146"/>
        <item x="1592"/>
        <item x="403"/>
        <item x="812"/>
        <item x="632"/>
        <item x="1047"/>
        <item x="1332"/>
        <item x="726"/>
        <item x="1241"/>
        <item x="514"/>
        <item x="1388"/>
        <item x="125"/>
        <item x="60"/>
        <item x="1081"/>
        <item x="1287"/>
        <item x="1068"/>
        <item x="138"/>
        <item x="431"/>
        <item x="23"/>
        <item x="573"/>
        <item x="631"/>
        <item x="302"/>
        <item x="1516"/>
        <item x="192"/>
        <item x="1251"/>
        <item x="1479"/>
        <item x="973"/>
        <item x="987"/>
        <item x="4"/>
        <item x="489"/>
        <item x="1278"/>
        <item x="96"/>
        <item x="1581"/>
        <item x="1258"/>
        <item x="1088"/>
        <item x="185"/>
        <item x="1056"/>
        <item x="906"/>
        <item x="37"/>
        <item x="1196"/>
        <item x="334"/>
        <item x="1147"/>
        <item x="505"/>
        <item x="1267"/>
        <item x="1639"/>
        <item x="95"/>
        <item x="59"/>
        <item x="1039"/>
        <item x="1536"/>
        <item x="1110"/>
        <item x="822"/>
        <item x="124"/>
        <item x="1603"/>
        <item x="870"/>
        <item x="689"/>
        <item x="1355"/>
        <item x="643"/>
        <item x="917"/>
        <item x="853"/>
        <item x="1159"/>
        <item x="1087"/>
        <item x="1109"/>
        <item x="832"/>
        <item x="1134"/>
        <item x="301"/>
        <item x="1562"/>
        <item x="207"/>
        <item x="1561"/>
        <item x="86"/>
        <item x="1061"/>
        <item x="1430"/>
        <item x="876"/>
        <item x="1478"/>
        <item x="1099"/>
        <item x="206"/>
        <item x="895"/>
        <item x="1257"/>
        <item x="393"/>
        <item x="180"/>
        <item x="759"/>
        <item x="1007"/>
        <item x="781"/>
        <item x="484"/>
        <item x="1108"/>
        <item x="642"/>
        <item x="1240"/>
        <item x="1277"/>
        <item x="235"/>
        <item x="681"/>
        <item x="71"/>
        <item x="498"/>
        <item x="1630"/>
        <item x="716"/>
        <item x="952"/>
        <item x="85"/>
        <item x="112"/>
        <item x="767"/>
        <item x="1354"/>
        <item x="278"/>
        <item x="256"/>
        <item x="1497"/>
        <item x="1429"/>
        <item x="1146"/>
        <item x="205"/>
        <item x="1286"/>
        <item x="1158"/>
        <item x="159"/>
        <item x="430"/>
        <item x="869"/>
        <item x="158"/>
        <item x="624"/>
        <item x="94"/>
        <item x="221"/>
        <item x="773"/>
        <item x="1560"/>
        <item x="227"/>
        <item x="937"/>
        <item x="614"/>
        <item x="1060"/>
        <item x="531"/>
        <item x="1195"/>
        <item x="1256"/>
        <item x="572"/>
        <item x="300"/>
        <item x="1455"/>
        <item x="1515"/>
        <item x="1646"/>
        <item x="497"/>
        <item x="565"/>
        <item x="366"/>
        <item x="1293"/>
        <item x="464"/>
        <item x="554"/>
        <item x="780"/>
        <item x="333"/>
        <item x="184"/>
        <item x="1059"/>
        <item x="650"/>
        <item x="1250"/>
        <item x="745"/>
        <item x="513"/>
        <item x="123"/>
        <item x="266"/>
        <item x="766"/>
        <item x="623"/>
        <item x="1192"/>
        <item x="1239"/>
        <item x="277"/>
        <item x="93"/>
        <item x="488"/>
        <item x="1021"/>
        <item x="811"/>
        <item x="220"/>
        <item x="641"/>
        <item x="1436"/>
        <item x="1559"/>
        <item x="1558"/>
        <item x="852"/>
        <item x="1215"/>
        <item x="1602"/>
        <item x="191"/>
        <item x="402"/>
        <item x="137"/>
        <item x="1350"/>
        <item x="995"/>
        <item x="452"/>
        <item x="864"/>
        <item x="1098"/>
        <item x="725"/>
        <item x="1638"/>
        <item x="1378"/>
        <item x="744"/>
        <item x="219"/>
        <item x="961"/>
        <item x="1038"/>
        <item x="1292"/>
        <item x="1304"/>
        <item x="894"/>
        <item x="535"/>
        <item x="1285"/>
        <item x="1349"/>
        <item x="1235"/>
        <item x="179"/>
        <item x="1409"/>
        <item x="145"/>
        <item x="1421"/>
        <item x="226"/>
        <item x="1020"/>
        <item x="234"/>
        <item x="255"/>
        <item x="724"/>
        <item x="183"/>
        <item x="916"/>
        <item x="1107"/>
        <item x="473"/>
        <item x="803"/>
        <item x="1415"/>
        <item x="190"/>
        <item x="1570"/>
        <item x="178"/>
        <item x="472"/>
        <item x="417"/>
        <item x="1171"/>
        <item x="1208"/>
        <item x="45"/>
        <item x="265"/>
        <item x="84"/>
        <item x="429"/>
        <item x="1019"/>
        <item x="401"/>
        <item x="314"/>
        <item x="1157"/>
        <item x="144"/>
        <item x="463"/>
        <item x="545"/>
        <item x="462"/>
        <item x="796"/>
        <item x="136"/>
        <item x="341"/>
        <item x="1097"/>
        <item x="649"/>
        <item x="1214"/>
        <item x="1106"/>
        <item x="1645"/>
        <item x="1448"/>
        <item x="972"/>
        <item x="36"/>
        <item x="1629"/>
        <item x="276"/>
        <item x="1608"/>
        <item x="157"/>
        <item x="461"/>
        <item x="915"/>
        <item x="893"/>
        <item x="487"/>
        <item x="1525"/>
        <item x="613"/>
        <item x="313"/>
        <item x="44"/>
        <item x="1496"/>
        <item x="365"/>
        <item x="92"/>
        <item x="875"/>
        <item x="1238"/>
        <item x="905"/>
        <item x="593"/>
        <item x="705"/>
        <item x="1170"/>
        <item x="1420"/>
        <item x="3"/>
        <item x="571"/>
        <item x="135"/>
        <item x="743"/>
        <item x="350"/>
        <item x="1477"/>
        <item x="1207"/>
        <item x="1488"/>
        <item x="428"/>
        <item x="940"/>
        <item x="91"/>
        <item x="225"/>
        <item x="936"/>
        <item x="1543"/>
        <item x="373"/>
        <item x="723"/>
        <item x="483"/>
        <item x="530"/>
        <item x="892"/>
        <item x="451"/>
        <item x="1447"/>
        <item x="450"/>
        <item x="1046"/>
        <item x="582"/>
        <item x="640"/>
        <item x="831"/>
        <item x="427"/>
        <item x="332"/>
        <item x="58"/>
        <item x="496"/>
        <item x="35"/>
        <item x="388"/>
        <item x="1387"/>
        <item x="70"/>
        <item x="1399"/>
        <item x="299"/>
        <item x="331"/>
        <item x="755"/>
        <item x="570"/>
        <item x="1428"/>
        <item x="1454"/>
        <item x="1074"/>
        <item x="504"/>
        <item x="1457"/>
        <item x="1524"/>
        <item x="1580"/>
        <item x="742"/>
        <item x="1368"/>
        <item x="1495"/>
        <item x="1506"/>
        <item x="1343"/>
        <item x="1255"/>
        <item x="382"/>
        <item x="733"/>
        <item x="512"/>
        <item x="1494"/>
        <item x="1184"/>
        <item x="275"/>
        <item x="648"/>
        <item x="264"/>
        <item x="1096"/>
        <item x="426"/>
        <item x="971"/>
        <item x="1266"/>
        <item x="647"/>
        <item x="1487"/>
        <item x="1331"/>
        <item x="1453"/>
        <item x="1037"/>
        <item x="83"/>
        <item x="218"/>
        <item x="156"/>
        <item x="155"/>
        <item x="1133"/>
        <item x="821"/>
        <item x="440"/>
        <item x="612"/>
        <item x="22"/>
        <item x="449"/>
        <item x="397"/>
        <item x="1231"/>
        <item x="244"/>
        <item x="863"/>
        <item x="891"/>
        <item x="1254"/>
        <item x="217"/>
        <item x="204"/>
        <item x="364"/>
        <item x="1128"/>
        <item x="1265"/>
        <item x="43"/>
        <item x="34"/>
        <item x="1230"/>
        <item x="890"/>
        <item x="840"/>
        <item x="1362"/>
        <item x="1291"/>
        <item x="1486"/>
        <item x="862"/>
        <item x="1569"/>
        <item x="889"/>
        <item x="1080"/>
        <item x="321"/>
        <item x="529"/>
        <item x="482"/>
        <item x="779"/>
        <item x="704"/>
        <item x="1320"/>
        <item x="630"/>
        <item x="243"/>
        <item x="481"/>
        <item x="1311"/>
        <item x="703"/>
        <item x="544"/>
        <item x="64"/>
        <item x="528"/>
        <item x="888"/>
        <item x="1342"/>
        <item x="1408"/>
        <item x="1398"/>
        <item x="1377"/>
        <item x="1058"/>
        <item x="1145"/>
        <item x="732"/>
        <item x="1183"/>
        <item x="904"/>
        <item x="1303"/>
        <item x="688"/>
        <item x="851"/>
        <item x="1249"/>
        <item x="439"/>
        <item x="778"/>
        <item x="1310"/>
        <item x="1493"/>
        <item x="1018"/>
        <item x="543"/>
        <item x="1055"/>
        <item x="1579"/>
        <item x="320"/>
        <item x="960"/>
        <item x="400"/>
        <item x="1127"/>
        <item x="381"/>
        <item x="765"/>
        <item x="569"/>
        <item x="758"/>
        <item x="1568"/>
        <item x="1361"/>
        <item x="1284"/>
        <item x="850"/>
        <item x="1549"/>
        <item x="438"/>
        <item x="994"/>
        <item x="581"/>
        <item x="1601"/>
        <item x="460"/>
        <item x="830"/>
        <item x="1054"/>
        <item x="1414"/>
        <item x="274"/>
        <item x="868"/>
        <item x="263"/>
        <item x="330"/>
        <item x="33"/>
        <item x="680"/>
        <item x="1578"/>
        <item x="1376"/>
        <item x="527"/>
        <item x="363"/>
        <item x="722"/>
        <item x="182"/>
        <item x="1079"/>
        <item x="577"/>
        <item x="1036"/>
        <item x="254"/>
        <item x="1169"/>
        <item x="1341"/>
        <item x="349"/>
        <item x="1467"/>
        <item x="134"/>
        <item x="820"/>
        <item x="458"/>
        <item x="448"/>
        <item x="849"/>
        <item x="1248"/>
        <item x="1397"/>
        <item x="1611"/>
        <item x="471"/>
        <item x="1105"/>
        <item x="951"/>
        <item x="470"/>
        <item x="82"/>
        <item x="1644"/>
        <item x="603"/>
        <item x="1622"/>
        <item x="1628"/>
        <item x="169"/>
        <item x="262"/>
        <item x="1348"/>
        <item x="32"/>
        <item x="380"/>
        <item x="887"/>
        <item x="1330"/>
        <item x="839"/>
        <item x="81"/>
        <item x="1086"/>
        <item x="340"/>
        <item x="2"/>
        <item x="1006"/>
        <item x="1126"/>
        <item x="189"/>
        <item x="580"/>
        <item x="914"/>
        <item x="379"/>
        <item x="1095"/>
        <item x="757"/>
        <item x="1535"/>
        <item x="362"/>
        <item x="1591"/>
        <item x="874"/>
        <item x="1466"/>
        <item x="764"/>
        <item x="534"/>
        <item x="979"/>
        <item x="542"/>
        <item x="168"/>
        <item x="1476"/>
        <item x="710"/>
        <item x="387"/>
        <item x="1367"/>
        <item x="1206"/>
        <item x="802"/>
        <item x="425"/>
        <item x="687"/>
        <item x="424"/>
        <item x="924"/>
        <item x="80"/>
        <item x="777"/>
        <item x="1329"/>
        <item x="602"/>
        <item x="702"/>
        <item x="686"/>
        <item x="1237"/>
        <item x="741"/>
        <item x="216"/>
        <item x="970"/>
        <item x="935"/>
        <item x="1302"/>
        <item x="298"/>
        <item x="1557"/>
        <item x="829"/>
        <item x="740"/>
        <item x="416"/>
        <item x="886"/>
        <item x="622"/>
        <item x="986"/>
        <item x="1542"/>
        <item x="639"/>
        <item x="756"/>
        <item x="774"/>
        <item x="810"/>
        <item x="312"/>
        <item x="21"/>
        <item x="1156"/>
        <item x="969"/>
        <item x="1534"/>
        <item x="1229"/>
        <item x="502"/>
        <item x="1005"/>
        <item x="1168"/>
        <item x="79"/>
        <item x="105"/>
        <item x="311"/>
        <item x="913"/>
        <item x="297"/>
        <item x="601"/>
        <item x="1194"/>
        <item x="57"/>
        <item x="715"/>
        <item x="1567"/>
        <item x="319"/>
        <item x="1132"/>
        <item x="196"/>
        <item x="131"/>
        <item x="215"/>
        <item x="143"/>
        <item x="253"/>
        <item x="1340"/>
        <item x="69"/>
        <item x="1475"/>
        <item x="526"/>
        <item x="232"/>
        <item x="20"/>
        <item x="447"/>
        <item x="1523"/>
        <item x="985"/>
        <item x="272"/>
        <item x="592"/>
        <item x="469"/>
        <item x="1590"/>
        <item x="1522"/>
        <item x="415"/>
        <item x="348"/>
        <item x="1017"/>
        <item x="133"/>
        <item x="931"/>
        <item x="564"/>
        <item x="1577"/>
        <item x="1123"/>
        <item x="923"/>
        <item x="714"/>
        <item x="339"/>
        <item x="525"/>
        <item x="885"/>
        <item x="1030"/>
        <item x="386"/>
        <item x="372"/>
        <item x="233"/>
        <item x="1492"/>
        <item x="1016"/>
        <item x="1167"/>
        <item x="672"/>
        <item x="1474"/>
        <item x="414"/>
        <item x="1319"/>
        <item x="1600"/>
        <item x="1029"/>
        <item x="1015"/>
        <item x="468"/>
        <item x="801"/>
        <item x="459"/>
        <item x="423"/>
        <item x="261"/>
        <item x="1589"/>
        <item x="611"/>
        <item x="739"/>
        <item x="203"/>
        <item x="591"/>
        <item x="78"/>
        <item x="731"/>
        <item x="912"/>
        <item x="437"/>
        <item x="1120"/>
        <item x="671"/>
        <item x="188"/>
        <item x="1247"/>
        <item x="287"/>
        <item x="31"/>
        <item x="104"/>
        <item x="111"/>
        <item x="310"/>
        <item x="68"/>
        <item x="1541"/>
        <item x="347"/>
        <item x="154"/>
        <item x="1621"/>
        <item x="713"/>
        <item x="1556"/>
        <item x="103"/>
        <item x="1318"/>
        <item x="1276"/>
        <item x="296"/>
        <item x="1407"/>
        <item x="663"/>
        <item x="214"/>
        <item x="77"/>
        <item x="1094"/>
        <item x="638"/>
        <item x="867"/>
        <item x="293"/>
        <item x="1317"/>
        <item x="670"/>
        <item x="167"/>
        <item x="1392"/>
        <item x="67"/>
        <item x="399"/>
        <item x="795"/>
        <item x="541"/>
        <item x="202"/>
        <item x="1164"/>
        <item x="213"/>
        <item x="1222"/>
        <item x="1627"/>
        <item x="721"/>
        <item x="1067"/>
        <item x="1275"/>
        <item x="1073"/>
        <item x="1178"/>
        <item x="318"/>
        <item x="884"/>
        <item x="1533"/>
        <item x="370"/>
        <item x="553"/>
        <item x="392"/>
        <item x="385"/>
        <item x="1514"/>
        <item x="165"/>
        <item x="950"/>
        <item x="1610"/>
        <item x="1510"/>
        <item x="993"/>
        <item x="329"/>
        <item x="949"/>
        <item x="1441"/>
        <item x="201"/>
        <item x="102"/>
        <item x="378"/>
        <item x="1636"/>
        <item x="788"/>
        <item x="317"/>
        <item x="776"/>
        <item x="377"/>
        <item x="1473"/>
        <item x="1045"/>
        <item x="1177"/>
        <item x="76"/>
        <item x="75"/>
        <item x="1234"/>
        <item x="637"/>
        <item x="1566"/>
        <item x="110"/>
        <item x="679"/>
        <item x="1114"/>
        <item x="1014"/>
        <item x="1375"/>
        <item x="1220"/>
        <item x="480"/>
        <item x="242"/>
        <item x="1013"/>
        <item x="1609"/>
        <item x="1283"/>
        <item x="629"/>
        <item x="701"/>
        <item x="563"/>
        <item x="524"/>
        <item x="1419"/>
        <item x="295"/>
        <item x="42"/>
        <item x="861"/>
        <item x="1033"/>
        <item x="1274"/>
        <item x="984"/>
        <item x="260"/>
        <item x="199"/>
        <item x="153"/>
        <item x="1505"/>
        <item x="1472"/>
        <item x="361"/>
        <item x="552"/>
        <item x="503"/>
        <item x="1035"/>
        <item x="576"/>
        <item x="978"/>
        <item x="992"/>
        <item x="177"/>
        <item x="1485"/>
        <item x="1548"/>
        <item x="1532"/>
        <item x="1637"/>
        <item x="132"/>
        <item x="1316"/>
        <item x="968"/>
        <item x="90"/>
        <item x="55"/>
        <item x="495"/>
        <item x="1282"/>
        <item x="286"/>
        <item x="101"/>
        <item x="1607"/>
        <item x="1273"/>
        <item x="1547"/>
        <item x="809"/>
        <item x="794"/>
        <item x="1044"/>
        <item x="1396"/>
        <item x="1620"/>
        <item x="1456"/>
        <item x="848"/>
        <item x="89"/>
        <item x="983"/>
        <item x="1395"/>
        <item x="1521"/>
        <item x="1339"/>
        <item x="1246"/>
        <item x="13"/>
        <item x="327"/>
        <item x="19"/>
        <item x="241"/>
        <item x="922"/>
        <item x="860"/>
        <item x="1193"/>
        <item x="669"/>
        <item x="1619"/>
        <item x="1053"/>
        <item x="360"/>
        <item x="562"/>
        <item x="934"/>
        <item x="479"/>
        <item x="1309"/>
        <item x="1119"/>
        <item x="551"/>
        <item x="838"/>
        <item x="478"/>
        <item x="1012"/>
        <item x="1034"/>
        <item x="883"/>
        <item x="775"/>
        <item x="1262"/>
        <item x="285"/>
        <item x="1465"/>
        <item x="359"/>
        <item x="1066"/>
        <item x="413"/>
        <item x="1513"/>
        <item x="579"/>
        <item x="1484"/>
        <item x="1427"/>
        <item x="991"/>
        <item x="486"/>
        <item x="1599"/>
        <item x="600"/>
        <item x="240"/>
        <item x="837"/>
        <item x="1586"/>
        <item x="1191"/>
        <item x="100"/>
        <item x="519"/>
        <item x="1555"/>
        <item x="1394"/>
        <item x="550"/>
        <item x="1338"/>
        <item x="291"/>
        <item x="1072"/>
        <item x="1228"/>
        <item x="1452"/>
        <item x="819"/>
        <item x="328"/>
        <item x="346"/>
        <item x="1221"/>
        <item x="422"/>
        <item x="1585"/>
        <item x="1588"/>
        <item x="316"/>
        <item x="959"/>
        <item x="1104"/>
        <item x="467"/>
        <item x="1512"/>
        <item x="493"/>
        <item x="958"/>
        <item x="284"/>
        <item x="1281"/>
        <item x="1328"/>
        <item x="1155"/>
        <item x="1546"/>
        <item x="1136"/>
        <item x="239"/>
        <item x="1166"/>
        <item x="627"/>
        <item x="967"/>
        <item x="122"/>
        <item x="200"/>
        <item x="948"/>
        <item x="273"/>
        <item x="30"/>
        <item x="1327"/>
        <item x="283"/>
        <item x="700"/>
        <item x="944"/>
        <item x="1326"/>
        <item x="921"/>
        <item x="1483"/>
        <item x="1538"/>
        <item x="1227"/>
        <item x="1290"/>
        <item x="1463"/>
        <item x="920"/>
        <item x="1308"/>
        <item x="658"/>
        <item x="74"/>
        <item x="1440"/>
        <item x="836"/>
        <item x="1028"/>
        <item x="933"/>
        <item x="1144"/>
        <item x="678"/>
        <item x="1154"/>
        <item x="1264"/>
        <item x="738"/>
        <item x="1386"/>
        <item x="1464"/>
        <item x="1203"/>
        <item x="1540"/>
        <item x="620"/>
        <item x="636"/>
        <item x="1503"/>
        <item x="1085"/>
        <item x="1418"/>
        <item x="358"/>
        <item x="621"/>
        <item x="635"/>
        <item x="1643"/>
        <item x="294"/>
        <item x="345"/>
        <item x="371"/>
        <item x="754"/>
        <item x="282"/>
        <item x="815"/>
        <item x="1337"/>
        <item x="411"/>
        <item x="930"/>
        <item x="990"/>
        <item x="1520"/>
        <item x="98"/>
        <item x="911"/>
        <item x="1124"/>
        <item x="446"/>
        <item x="66"/>
        <item x="12"/>
        <item x="941"/>
        <item x="1"/>
        <item x="977"/>
        <item x="634"/>
        <item x="1642"/>
        <item x="99"/>
        <item x="1598"/>
        <item x="1531"/>
        <item x="142"/>
        <item x="281"/>
        <item x="398"/>
        <item x="1263"/>
        <item x="1413"/>
        <item x="1471"/>
        <item x="1226"/>
        <item x="56"/>
        <item x="1131"/>
        <item x="982"/>
        <item x="1504"/>
        <item x="919"/>
        <item x="947"/>
        <item x="1129"/>
        <item x="1190"/>
        <item x="1245"/>
        <item x="1587"/>
        <item x="1417"/>
        <item x="412"/>
        <item x="609"/>
        <item x="1236"/>
        <item x="711"/>
        <item x="942"/>
        <item x="943"/>
        <item x="827"/>
        <item x="696"/>
        <item x="847"/>
        <item x="1462"/>
        <item x="292"/>
        <item x="645"/>
        <item x="698"/>
        <item x="1451"/>
        <item x="166"/>
        <item x="309"/>
        <item x="1004"/>
        <item x="1576"/>
        <item x="866"/>
        <item x="828"/>
        <item x="846"/>
        <item x="1406"/>
        <item x="835"/>
        <item x="834"/>
        <item x="1176"/>
        <item x="1253"/>
        <item x="518"/>
        <item x="436"/>
        <item x="793"/>
        <item x="720"/>
        <item x="308"/>
        <item x="252"/>
        <item x="816"/>
        <item x="818"/>
        <item x="697"/>
        <item x="910"/>
        <item x="1115"/>
        <item x="712"/>
        <item x="817"/>
        <item x="787"/>
        <item x="1301"/>
        <item x="1347"/>
        <item x="1336"/>
        <item x="1213"/>
        <item x="494"/>
        <item x="699"/>
        <item x="1365"/>
        <item x="1117"/>
        <item x="966"/>
        <item x="1426"/>
        <item x="65"/>
        <item x="109"/>
        <item x="152"/>
        <item x="421"/>
        <item x="1189"/>
        <item x="1502"/>
        <item x="976"/>
        <item x="1366"/>
        <item x="1374"/>
        <item x="590"/>
        <item x="1626"/>
        <item x="1539"/>
        <item x="1165"/>
        <item x="903"/>
        <item x="657"/>
        <item x="1575"/>
        <item x="549"/>
        <item x="646"/>
        <item x="1511"/>
        <item x="1182"/>
        <item x="1116"/>
        <item x="588"/>
        <item x="1118"/>
        <item x="1092"/>
        <item x="902"/>
        <item x="259"/>
        <item x="1204"/>
        <item x="1093"/>
        <item x="685"/>
        <item x="772"/>
        <item x="932"/>
        <item x="1071"/>
        <item x="1393"/>
        <item x="1618"/>
        <item x="1130"/>
        <item x="1519"/>
        <item x="1205"/>
        <item x="1125"/>
        <item x="1597"/>
        <item x="628"/>
        <item x="589"/>
        <item x="578"/>
        <item t="default"/>
      </items>
    </pivotField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0" hier="-1"/>
  </pageFields>
  <dataFields count="1">
    <dataField name="Количество по полю purchase_amount" fld="10" subtotal="count" baseField="1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1" cacheId="6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10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dataField="1"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Сумма по полю purchase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3" cacheId="6" applyNumberFormats="0" applyBorderFormats="0" applyFontFormats="0" applyPatternFormats="0" applyAlignmentFormats="0" applyWidthHeightFormats="1" dataCaption="Значения" updatedVersion="5" minRefreshableVersion="3" useAutoFormatting="1" itemPrintTitles="1" createdVersion="5" indent="0" outline="1" outlineData="1" multipleFieldFilters="0">
  <location ref="A3:B8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numFmtId="1"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purchase_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1" cacheId="0" applyNumberFormats="0" applyBorderFormats="0" applyFontFormats="0" applyPatternFormats="0" applyAlignmentFormats="0" applyWidthHeightFormats="1" dataCaption="Значения" updatedVersion="6" minRefreshableVersion="3" preserveFormatting="0" rowGrandTotals="0" colGrandTotals="0" itemPrintTitles="1" createdVersion="5" indent="0" outline="1" outlineData="1" multipleFieldFilters="0" chartFormat="26">
  <location ref="E3:F8" firstHeaderRow="1" firstDataRow="1" firstDataCol="1"/>
  <pivotFields count="14">
    <pivotField showAll="0"/>
    <pivotField numFmtId="14" showAll="0">
      <items count="181">
        <item x="0"/>
        <item x="6"/>
        <item x="12"/>
        <item x="18"/>
        <item x="24"/>
        <item x="30"/>
        <item x="36"/>
        <item x="42"/>
        <item x="48"/>
        <item x="54"/>
        <item x="60"/>
        <item x="66"/>
        <item x="72"/>
        <item x="78"/>
        <item x="84"/>
        <item x="90"/>
        <item x="96"/>
        <item x="102"/>
        <item x="108"/>
        <item x="114"/>
        <item x="120"/>
        <item x="126"/>
        <item x="132"/>
        <item x="138"/>
        <item x="144"/>
        <item x="150"/>
        <item x="156"/>
        <item x="162"/>
        <item x="168"/>
        <item x="173"/>
        <item x="177"/>
        <item x="1"/>
        <item x="7"/>
        <item x="13"/>
        <item x="19"/>
        <item x="25"/>
        <item x="31"/>
        <item x="37"/>
        <item x="43"/>
        <item x="49"/>
        <item x="55"/>
        <item x="61"/>
        <item x="67"/>
        <item x="73"/>
        <item x="79"/>
        <item x="85"/>
        <item x="91"/>
        <item x="97"/>
        <item x="103"/>
        <item x="109"/>
        <item x="115"/>
        <item x="121"/>
        <item x="127"/>
        <item x="133"/>
        <item x="139"/>
        <item x="145"/>
        <item x="151"/>
        <item x="157"/>
        <item x="163"/>
        <item x="2"/>
        <item x="8"/>
        <item x="14"/>
        <item x="20"/>
        <item x="26"/>
        <item x="32"/>
        <item x="38"/>
        <item x="44"/>
        <item x="50"/>
        <item x="56"/>
        <item x="62"/>
        <item x="68"/>
        <item x="74"/>
        <item x="80"/>
        <item x="86"/>
        <item x="92"/>
        <item x="98"/>
        <item x="104"/>
        <item x="110"/>
        <item x="116"/>
        <item x="122"/>
        <item x="128"/>
        <item x="134"/>
        <item x="140"/>
        <item x="146"/>
        <item x="152"/>
        <item x="158"/>
        <item x="164"/>
        <item x="169"/>
        <item x="174"/>
        <item x="178"/>
        <item x="3"/>
        <item x="9"/>
        <item x="15"/>
        <item x="21"/>
        <item x="27"/>
        <item x="33"/>
        <item x="39"/>
        <item x="45"/>
        <item x="51"/>
        <item x="57"/>
        <item x="63"/>
        <item x="69"/>
        <item x="75"/>
        <item x="81"/>
        <item x="87"/>
        <item x="93"/>
        <item x="99"/>
        <item x="105"/>
        <item x="111"/>
        <item x="117"/>
        <item x="123"/>
        <item x="129"/>
        <item x="135"/>
        <item x="141"/>
        <item x="147"/>
        <item x="153"/>
        <item x="159"/>
        <item x="165"/>
        <item x="170"/>
        <item x="175"/>
        <item x="4"/>
        <item x="10"/>
        <item x="16"/>
        <item x="22"/>
        <item x="28"/>
        <item x="34"/>
        <item x="40"/>
        <item x="46"/>
        <item x="52"/>
        <item x="58"/>
        <item x="64"/>
        <item x="70"/>
        <item x="76"/>
        <item x="82"/>
        <item x="88"/>
        <item x="94"/>
        <item x="100"/>
        <item x="106"/>
        <item x="112"/>
        <item x="118"/>
        <item x="124"/>
        <item x="130"/>
        <item x="136"/>
        <item x="142"/>
        <item x="148"/>
        <item x="154"/>
        <item x="160"/>
        <item x="166"/>
        <item x="171"/>
        <item x="176"/>
        <item x="179"/>
        <item x="5"/>
        <item x="11"/>
        <item x="17"/>
        <item x="23"/>
        <item x="29"/>
        <item x="35"/>
        <item x="41"/>
        <item x="47"/>
        <item x="53"/>
        <item x="59"/>
        <item x="65"/>
        <item x="71"/>
        <item x="77"/>
        <item x="83"/>
        <item x="89"/>
        <item x="95"/>
        <item x="101"/>
        <item x="107"/>
        <item x="113"/>
        <item x="119"/>
        <item x="125"/>
        <item x="131"/>
        <item x="137"/>
        <item x="143"/>
        <item x="149"/>
        <item x="155"/>
        <item x="161"/>
        <item x="167"/>
        <item x="172"/>
        <item t="default"/>
      </items>
    </pivotField>
    <pivotField showAll="0">
      <items count="66">
        <item x="8"/>
        <item x="39"/>
        <item x="18"/>
        <item x="2"/>
        <item x="4"/>
        <item x="10"/>
        <item x="22"/>
        <item x="7"/>
        <item x="24"/>
        <item x="6"/>
        <item x="19"/>
        <item x="16"/>
        <item x="0"/>
        <item x="20"/>
        <item x="5"/>
        <item x="23"/>
        <item x="31"/>
        <item x="26"/>
        <item x="11"/>
        <item x="34"/>
        <item x="33"/>
        <item x="13"/>
        <item x="41"/>
        <item x="27"/>
        <item x="43"/>
        <item x="17"/>
        <item x="3"/>
        <item x="14"/>
        <item x="45"/>
        <item x="44"/>
        <item x="29"/>
        <item x="30"/>
        <item x="28"/>
        <item x="47"/>
        <item x="25"/>
        <item x="21"/>
        <item x="32"/>
        <item x="1"/>
        <item x="42"/>
        <item x="15"/>
        <item x="12"/>
        <item x="40"/>
        <item x="48"/>
        <item x="50"/>
        <item x="51"/>
        <item x="36"/>
        <item x="54"/>
        <item x="46"/>
        <item x="35"/>
        <item x="9"/>
        <item x="57"/>
        <item x="56"/>
        <item x="49"/>
        <item x="38"/>
        <item x="37"/>
        <item x="55"/>
        <item x="61"/>
        <item x="58"/>
        <item x="53"/>
        <item x="52"/>
        <item x="62"/>
        <item x="60"/>
        <item x="63"/>
        <item x="59"/>
        <item x="64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9">
        <item x="7"/>
        <item x="3"/>
        <item x="1"/>
        <item x="4"/>
        <item x="2"/>
        <item x="5"/>
        <item x="6"/>
        <item h="1" x="0"/>
        <item t="default"/>
      </items>
    </pivotField>
    <pivotField showAll="0">
      <items count="3616">
        <item x="1652"/>
        <item x="3306"/>
        <item x="684"/>
        <item x="157"/>
        <item x="3452"/>
        <item x="1586"/>
        <item x="2863"/>
        <item x="131"/>
        <item x="3200"/>
        <item x="1223"/>
        <item x="1199"/>
        <item x="791"/>
        <item x="2187"/>
        <item x="168"/>
        <item x="3379"/>
        <item x="3592"/>
        <item x="344"/>
        <item x="3178"/>
        <item x="2601"/>
        <item x="1063"/>
        <item x="1852"/>
        <item x="2038"/>
        <item x="1243"/>
        <item x="3386"/>
        <item x="312"/>
        <item x="683"/>
        <item x="2569"/>
        <item x="3257"/>
        <item x="1949"/>
        <item x="390"/>
        <item x="1062"/>
        <item x="886"/>
        <item x="1198"/>
        <item x="3614"/>
        <item x="2018"/>
        <item x="3036"/>
        <item x="3094"/>
        <item x="2355"/>
        <item x="22"/>
        <item x="1423"/>
        <item x="3340"/>
        <item x="1222"/>
        <item x="717"/>
        <item x="2154"/>
        <item x="1221"/>
        <item x="2173"/>
        <item x="361"/>
        <item x="1695"/>
        <item x="3508"/>
        <item x="1061"/>
        <item x="3565"/>
        <item x="185"/>
        <item x="156"/>
        <item x="2735"/>
        <item x="2017"/>
        <item x="1103"/>
        <item x="2600"/>
        <item x="2944"/>
        <item x="472"/>
        <item x="2281"/>
        <item x="267"/>
        <item x="2051"/>
        <item x="2280"/>
        <item x="306"/>
        <item x="3141"/>
        <item x="362"/>
        <item x="389"/>
        <item x="586"/>
        <item x="2862"/>
        <item x="2087"/>
        <item x="1728"/>
        <item x="765"/>
        <item x="332"/>
        <item x="811"/>
        <item x="2279"/>
        <item x="1337"/>
        <item x="2086"/>
        <item x="1499"/>
        <item x="3524"/>
        <item x="2466"/>
        <item x="3140"/>
        <item x="3547"/>
        <item x="656"/>
        <item x="1781"/>
        <item x="1735"/>
        <item x="2895"/>
        <item x="2518"/>
        <item x="885"/>
        <item x="1175"/>
        <item x="1988"/>
        <item x="1831"/>
        <item x="2631"/>
        <item x="2153"/>
        <item x="2612"/>
        <item x="526"/>
        <item x="2419"/>
        <item x="1173"/>
        <item x="2880"/>
        <item x="2648"/>
        <item x="716"/>
        <item x="1780"/>
        <item x="2963"/>
        <item x="1420"/>
        <item x="1265"/>
        <item x="1926"/>
        <item x="1968"/>
        <item x="1380"/>
        <item x="2407"/>
        <item x="1152"/>
        <item x="2536"/>
        <item x="1479"/>
        <item x="2760"/>
        <item x="585"/>
        <item x="1197"/>
        <item x="2356"/>
        <item x="1694"/>
        <item x="1727"/>
        <item x="3056"/>
        <item x="1001"/>
        <item x="2568"/>
        <item x="72"/>
        <item x="3523"/>
        <item x="1904"/>
        <item x="1336"/>
        <item x="2418"/>
        <item x="2638"/>
        <item x="2004"/>
        <item x="942"/>
        <item x="3035"/>
        <item x="2879"/>
        <item x="1038"/>
        <item x="213"/>
        <item x="1419"/>
        <item x="1144"/>
        <item x="3305"/>
        <item x="1220"/>
        <item x="3371"/>
        <item x="3385"/>
        <item x="1830"/>
        <item x="512"/>
        <item x="1548"/>
        <item x="3195"/>
        <item x="3370"/>
        <item x="2981"/>
        <item x="3451"/>
        <item x="839"/>
        <item x="3139"/>
        <item x="21"/>
        <item x="1612"/>
        <item x="525"/>
        <item x="2417"/>
        <item x="1867"/>
        <item x="3117"/>
        <item x="2962"/>
        <item x="2457"/>
        <item x="1726"/>
        <item x="867"/>
        <item x="963"/>
        <item x="242"/>
        <item x="2980"/>
        <item x="838"/>
        <item x="837"/>
        <item x="2548"/>
        <item x="155"/>
        <item x="2759"/>
        <item x="360"/>
        <item x="2943"/>
        <item x="655"/>
        <item x="606"/>
        <item x="1072"/>
        <item x="715"/>
        <item x="2301"/>
        <item x="1418"/>
        <item x="724"/>
        <item x="212"/>
        <item x="3613"/>
        <item x="810"/>
        <item x="2300"/>
        <item x="2307"/>
        <item x="2567"/>
        <item x="3323"/>
        <item x="471"/>
        <item x="584"/>
        <item x="1116"/>
        <item x="305"/>
        <item x="2239"/>
        <item x="1803"/>
        <item x="836"/>
        <item x="1335"/>
        <item x="3422"/>
        <item x="2186"/>
        <item x="1115"/>
        <item x="3369"/>
        <item x="489"/>
        <item x="2535"/>
        <item x="241"/>
        <item x="3243"/>
        <item x="2175"/>
        <item x="3138"/>
        <item x="3084"/>
        <item x="1877"/>
        <item x="1442"/>
        <item x="1779"/>
        <item x="2647"/>
        <item x="1693"/>
        <item x="1037"/>
        <item x="1172"/>
        <item x="3156"/>
        <item x="1876"/>
        <item x="626"/>
        <item x="100"/>
        <item x="2792"/>
        <item x="1675"/>
        <item x="2664"/>
        <item x="2260"/>
        <item x="2135"/>
        <item x="1478"/>
        <item x="941"/>
        <item x="914"/>
        <item x="3489"/>
        <item x="211"/>
        <item x="1875"/>
        <item x="1242"/>
        <item x="3421"/>
        <item x="2791"/>
        <item x="2704"/>
        <item x="1633"/>
        <item x="304"/>
        <item x="1903"/>
        <item x="2822"/>
        <item x="557"/>
        <item x="3242"/>
        <item x="1441"/>
        <item x="1097"/>
        <item x="556"/>
        <item x="2850"/>
        <item x="773"/>
        <item x="3488"/>
        <item x="2849"/>
        <item x="2861"/>
        <item x="184"/>
        <item x="2170"/>
        <item x="10"/>
        <item x="1632"/>
        <item x="913"/>
        <item x="987"/>
        <item x="1725"/>
        <item x="1902"/>
        <item x="2065"/>
        <item x="2860"/>
        <item x="1125"/>
        <item x="1829"/>
        <item x="1527"/>
        <item x="899"/>
        <item x="2835"/>
        <item x="2714"/>
        <item x="1317"/>
        <item x="2299"/>
        <item x="3116"/>
        <item x="3450"/>
        <item x="583"/>
        <item x="2134"/>
        <item x="2223"/>
        <item x="266"/>
        <item x="1000"/>
        <item x="1553"/>
        <item x="1571"/>
        <item x="2380"/>
        <item x="1440"/>
        <item x="183"/>
        <item x="3420"/>
        <item x="2298"/>
        <item x="940"/>
        <item x="3330"/>
        <item x="2339"/>
        <item x="590"/>
        <item x="1096"/>
        <item x="2416"/>
        <item x="939"/>
        <item x="130"/>
        <item x="2362"/>
        <item x="1477"/>
        <item x="388"/>
        <item x="3612"/>
        <item x="524"/>
        <item x="240"/>
        <item x="20"/>
        <item x="605"/>
        <item x="19"/>
        <item x="447"/>
        <item x="387"/>
        <item x="2278"/>
        <item x="2630"/>
        <item x="1060"/>
        <item x="75"/>
        <item x="2478"/>
        <item x="1651"/>
        <item x="3419"/>
        <item x="3540"/>
        <item x="1526"/>
        <item x="1036"/>
        <item x="3591"/>
        <item x="3177"/>
        <item x="52"/>
        <item x="303"/>
        <item x="198"/>
        <item x="1143"/>
        <item x="359"/>
        <item x="714"/>
        <item x="2354"/>
        <item x="1171"/>
        <item x="2302"/>
        <item x="532"/>
        <item x="2137"/>
        <item x="2781"/>
        <item x="779"/>
        <item x="2277"/>
        <item x="265"/>
        <item x="1358"/>
        <item x="3507"/>
        <item x="654"/>
        <item x="345"/>
        <item x="386"/>
        <item x="2276"/>
        <item x="962"/>
        <item x="2050"/>
        <item x="1316"/>
        <item x="488"/>
        <item x="2733"/>
        <item x="2942"/>
        <item x="2911"/>
        <item x="1674"/>
        <item x="385"/>
        <item x="2663"/>
        <item x="1145"/>
        <item x="653"/>
        <item x="2732"/>
        <item x="1828"/>
        <item x="1567"/>
        <item x="961"/>
        <item x="809"/>
        <item x="2910"/>
        <item x="1170"/>
        <item x="1386"/>
        <item x="1379"/>
        <item x="2441"/>
        <item x="1827"/>
        <item x="3034"/>
        <item x="1142"/>
        <item x="1291"/>
        <item x="239"/>
        <item x="613"/>
        <item x="2998"/>
        <item x="960"/>
        <item x="2440"/>
        <item x="3093"/>
        <item x="3304"/>
        <item x="625"/>
        <item x="1241"/>
        <item x="3033"/>
        <item x="693"/>
        <item x="367"/>
        <item x="808"/>
        <item x="2894"/>
        <item x="384"/>
        <item x="604"/>
        <item x="1315"/>
        <item x="535"/>
        <item x="1838"/>
        <item x="2353"/>
        <item x="1874"/>
        <item x="1219"/>
        <item x="1402"/>
        <item x="835"/>
        <item x="2085"/>
        <item x="3322"/>
        <item x="422"/>
        <item x="1615"/>
        <item x="3550"/>
        <item x="154"/>
        <item x="1673"/>
        <item x="2926"/>
        <item x="1314"/>
        <item x="2257"/>
        <item x="1290"/>
        <item x="1141"/>
        <item x="3522"/>
        <item x="3234"/>
        <item x="1802"/>
        <item x="1439"/>
        <item x="713"/>
        <item x="1140"/>
        <item x="2646"/>
        <item x="866"/>
        <item x="1865"/>
        <item x="1566"/>
        <item x="2394"/>
        <item x="1363"/>
        <item x="2645"/>
        <item x="2997"/>
        <item x="1925"/>
        <item x="1672"/>
        <item x="51"/>
        <item x="790"/>
        <item x="1169"/>
        <item x="1035"/>
        <item x="3194"/>
        <item x="582"/>
        <item x="2731"/>
        <item x="3199"/>
        <item x="834"/>
        <item x="2848"/>
        <item x="1901"/>
        <item x="264"/>
        <item x="865"/>
        <item x="2169"/>
        <item x="263"/>
        <item x="1095"/>
        <item x="1547"/>
        <item x="682"/>
        <item x="1724"/>
        <item x="3539"/>
        <item x="3590"/>
        <item x="331"/>
        <item x="2730"/>
        <item x="3286"/>
        <item x="2400"/>
        <item x="2114"/>
        <item x="1114"/>
        <item x="1929"/>
        <item x="1504"/>
        <item x="3321"/>
        <item x="959"/>
        <item x="219"/>
        <item x="76"/>
        <item x="153"/>
        <item x="2790"/>
        <item x="2376"/>
        <item x="2064"/>
        <item x="3506"/>
        <item x="603"/>
        <item x="302"/>
        <item x="3241"/>
        <item x="358"/>
        <item x="1476"/>
        <item x="446"/>
        <item x="2100"/>
        <item x="421"/>
        <item x="807"/>
        <item x="789"/>
        <item x="2168"/>
        <item x="1313"/>
        <item x="2375"/>
        <item x="474"/>
        <item x="2671"/>
        <item x="301"/>
        <item x="300"/>
        <item x="687"/>
        <item x="2766"/>
        <item x="581"/>
        <item x="1094"/>
        <item x="18"/>
        <item x="1723"/>
        <item x="2049"/>
        <item x="3115"/>
        <item x="1851"/>
        <item x="1993"/>
        <item x="2996"/>
        <item x="3466"/>
        <item x="357"/>
        <item x="2016"/>
        <item x="2174"/>
        <item x="1745"/>
        <item x="3285"/>
        <item x="50"/>
        <item x="1240"/>
        <item x="2500"/>
        <item x="1987"/>
        <item x="1498"/>
        <item x="764"/>
        <item x="1850"/>
        <item x="2644"/>
        <item x="1312"/>
        <item x="3233"/>
        <item x="182"/>
        <item x="3303"/>
        <item x="1585"/>
        <item x="2699"/>
        <item x="2780"/>
        <item x="1404"/>
        <item x="864"/>
        <item x="1584"/>
        <item x="330"/>
        <item x="1583"/>
        <item x="1289"/>
        <item x="568"/>
        <item x="487"/>
        <item x="1778"/>
        <item x="1475"/>
        <item x="2925"/>
        <item x="1597"/>
        <item x="2662"/>
        <item x="2042"/>
        <item x="1093"/>
        <item x="1900"/>
        <item x="1196"/>
        <item x="3148"/>
        <item x="2789"/>
        <item x="1364"/>
        <item x="2698"/>
        <item x="1034"/>
        <item x="2961"/>
        <item x="1671"/>
        <item x="2547"/>
        <item x="3176"/>
        <item x="624"/>
        <item x="2758"/>
        <item x="623"/>
        <item x="1565"/>
        <item x="938"/>
        <item x="2960"/>
        <item x="681"/>
        <item x="356"/>
        <item x="3589"/>
        <item x="3032"/>
        <item x="580"/>
        <item x="1264"/>
        <item x="3431"/>
        <item x="537"/>
        <item x="299"/>
        <item x="81"/>
        <item x="1692"/>
        <item x="2979"/>
        <item x="2767"/>
        <item x="680"/>
        <item x="238"/>
        <item x="1195"/>
        <item x="1263"/>
        <item x="3354"/>
        <item x="2682"/>
        <item x="1168"/>
        <item x="891"/>
        <item x="49"/>
        <item x="17"/>
        <item x="1218"/>
        <item x="210"/>
        <item x="1401"/>
        <item x="679"/>
        <item x="863"/>
        <item x="2456"/>
        <item x="763"/>
        <item x="1311"/>
        <item x="999"/>
        <item x="884"/>
        <item x="678"/>
        <item x="511"/>
        <item x="2985"/>
        <item x="470"/>
        <item x="2133"/>
        <item x="16"/>
        <item x="523"/>
        <item x="912"/>
        <item x="1167"/>
        <item x="420"/>
        <item x="1113"/>
        <item x="3384"/>
        <item x="1092"/>
        <item x="152"/>
        <item x="151"/>
        <item x="3538"/>
        <item x="986"/>
        <item x="3037"/>
        <item x="1262"/>
        <item x="2275"/>
        <item x="1777"/>
        <item x="237"/>
        <item x="2185"/>
        <item x="2681"/>
        <item x="622"/>
        <item x="1849"/>
        <item x="522"/>
        <item x="3055"/>
        <item x="3031"/>
        <item x="181"/>
        <item x="3268"/>
        <item x="3430"/>
        <item x="1620"/>
        <item x="486"/>
        <item x="1631"/>
        <item x="1967"/>
        <item x="1630"/>
        <item x="628"/>
        <item x="1837"/>
        <item x="2037"/>
        <item x="2374"/>
        <item x="2729"/>
        <item x="2253"/>
        <item x="1974"/>
        <item x="2566"/>
        <item x="2213"/>
        <item x="1438"/>
        <item x="2517"/>
        <item x="521"/>
        <item x="445"/>
        <item x="1691"/>
        <item x="1611"/>
        <item x="485"/>
        <item x="298"/>
        <item x="1463"/>
        <item x="712"/>
        <item x="1310"/>
        <item x="1437"/>
        <item x="2499"/>
        <item x="2393"/>
        <item x="1776"/>
        <item x="677"/>
        <item x="2113"/>
        <item x="985"/>
        <item x="2184"/>
        <item x="1629"/>
        <item x="2373"/>
        <item x="602"/>
        <item x="99"/>
        <item x="601"/>
        <item x="469"/>
        <item x="2941"/>
        <item x="3068"/>
        <item x="1966"/>
        <item x="3215"/>
        <item x="676"/>
        <item x="3193"/>
        <item x="1975"/>
        <item x="740"/>
        <item x="937"/>
        <item x="1722"/>
        <item x="711"/>
        <item x="738"/>
        <item x="3137"/>
        <item x="2661"/>
        <item x="2338"/>
        <item x="984"/>
        <item x="710"/>
        <item x="3611"/>
        <item x="1239"/>
        <item x="1744"/>
        <item x="3353"/>
        <item x="2498"/>
        <item x="150"/>
        <item x="983"/>
        <item x="1436"/>
        <item x="2048"/>
        <item x="2319"/>
        <item x="1948"/>
        <item x="3487"/>
        <item x="236"/>
        <item x="27"/>
        <item x="2132"/>
        <item x="2788"/>
        <item x="737"/>
        <item x="1378"/>
        <item x="1400"/>
        <item x="652"/>
        <item x="48"/>
        <item x="609"/>
        <item x="3418"/>
        <item x="426"/>
        <item x="2183"/>
        <item x="383"/>
        <item x="98"/>
        <item x="2167"/>
        <item x="3192"/>
        <item x="2392"/>
        <item x="2274"/>
        <item x="1721"/>
        <item x="2660"/>
        <item x="277"/>
        <item x="2670"/>
        <item x="686"/>
        <item x="419"/>
        <item x="355"/>
        <item x="2924"/>
        <item x="3240"/>
        <item x="2382"/>
        <item x="1947"/>
        <item x="3041"/>
        <item x="1309"/>
        <item x="2893"/>
        <item x="2697"/>
        <item x="2666"/>
        <item x="3092"/>
        <item x="262"/>
        <item x="1670"/>
        <item x="3181"/>
        <item x="3182"/>
        <item x="2415"/>
        <item x="1986"/>
        <item x="103"/>
        <item x="2590"/>
        <item x="2036"/>
        <item x="2337"/>
        <item x="1985"/>
        <item x="1217"/>
        <item x="1826"/>
        <item x="1801"/>
        <item x="2477"/>
        <item x="2439"/>
        <item x="3136"/>
        <item x="3595"/>
        <item x="3016"/>
        <item x="1059"/>
        <item x="2297"/>
        <item x="2599"/>
        <item x="883"/>
        <item x="2497"/>
        <item x="180"/>
        <item x="1334"/>
        <item x="958"/>
        <item x="23"/>
        <item x="2995"/>
        <item x="209"/>
        <item x="354"/>
        <item x="514"/>
        <item x="709"/>
        <item x="1091"/>
        <item x="2581"/>
        <item x="3527"/>
        <item x="1873"/>
        <item x="2438"/>
        <item x="1872"/>
        <item x="468"/>
        <item x="3054"/>
        <item x="3521"/>
        <item x="310"/>
        <item x="2211"/>
        <item x="2761"/>
        <item x="1924"/>
        <item x="2112"/>
        <item x="2238"/>
        <item x="579"/>
        <item x="736"/>
        <item x="129"/>
        <item x="448"/>
        <item x="2598"/>
        <item x="1377"/>
        <item x="3449"/>
        <item x="862"/>
        <item x="1564"/>
        <item x="1417"/>
        <item x="3159"/>
        <item x="795"/>
        <item x="128"/>
        <item x="3320"/>
        <item x="1754"/>
        <item x="1563"/>
        <item x="2580"/>
        <item x="3368"/>
        <item x="3114"/>
        <item x="1244"/>
        <item x="1680"/>
        <item x="1077"/>
        <item x="249"/>
        <item x="199"/>
        <item x="1743"/>
        <item x="71"/>
        <item x="127"/>
        <item x="220"/>
        <item x="2572"/>
        <item x="3398"/>
        <item x="869"/>
        <item x="2680"/>
        <item x="3053"/>
        <item x="600"/>
        <item x="2923"/>
        <item x="1357"/>
        <item x="3357"/>
        <item x="2516"/>
        <item x="1690"/>
        <item x="982"/>
        <item x="2352"/>
        <item x="2003"/>
        <item x="3537"/>
        <item x="2372"/>
        <item x="1720"/>
        <item x="1376"/>
        <item x="2940"/>
        <item x="3486"/>
        <item x="2659"/>
        <item x="1497"/>
        <item x="1825"/>
        <item x="2579"/>
        <item x="63"/>
        <item x="1288"/>
        <item x="2252"/>
        <item x="1719"/>
        <item x="2821"/>
        <item x="1287"/>
        <item x="1483"/>
        <item x="2534"/>
        <item x="2063"/>
        <item x="911"/>
        <item x="1546"/>
        <item x="1496"/>
        <item x="2794"/>
        <item x="1650"/>
        <item x="2847"/>
        <item x="1421"/>
        <item x="1848"/>
        <item x="2546"/>
        <item x="910"/>
        <item x="1286"/>
        <item x="599"/>
        <item x="15"/>
        <item x="418"/>
        <item x="2437"/>
        <item x="1308"/>
        <item x="3448"/>
        <item x="2131"/>
        <item x="510"/>
        <item x="3564"/>
        <item x="2611"/>
        <item x="957"/>
        <item x="2846"/>
        <item x="1064"/>
        <item x="444"/>
        <item x="3135"/>
        <item x="1495"/>
        <item x="1775"/>
        <item x="663"/>
        <item x="2834"/>
        <item x="3360"/>
        <item x="2658"/>
        <item x="1533"/>
        <item x="1946"/>
        <item x="2845"/>
        <item x="833"/>
        <item x="3113"/>
        <item x="3030"/>
        <item x="112"/>
        <item x="179"/>
        <item x="3505"/>
        <item x="718"/>
        <item x="1043"/>
        <item x="2796"/>
        <item x="492"/>
        <item x="2806"/>
        <item x="1435"/>
        <item x="769"/>
        <item x="353"/>
        <item x="467"/>
        <item x="2573"/>
        <item x="3582"/>
        <item x="1285"/>
        <item x="97"/>
        <item x="1774"/>
        <item x="329"/>
        <item x="1333"/>
        <item x="1018"/>
        <item x="1494"/>
        <item x="3091"/>
        <item x="2351"/>
        <item x="651"/>
        <item x="3134"/>
        <item x="297"/>
        <item x="2669"/>
        <item x="3256"/>
        <item x="3417"/>
        <item x="3255"/>
        <item x="936"/>
        <item x="861"/>
        <item x="2657"/>
        <item x="1296"/>
        <item x="2720"/>
        <item x="762"/>
        <item x="2084"/>
        <item x="1359"/>
        <item x="534"/>
        <item x="328"/>
        <item x="1399"/>
        <item x="1718"/>
        <item x="509"/>
        <item x="1899"/>
        <item x="1613"/>
        <item x="14"/>
        <item x="1509"/>
        <item x="1356"/>
        <item x="1166"/>
        <item x="3015"/>
        <item x="657"/>
        <item x="1398"/>
        <item x="1923"/>
        <item x="1194"/>
        <item x="3248"/>
        <item x="417"/>
        <item x="1545"/>
        <item x="1749"/>
        <item x="1058"/>
        <item x="3563"/>
        <item x="2496"/>
        <item x="1139"/>
        <item x="2195"/>
        <item x="981"/>
        <item x="1452"/>
        <item x="3220"/>
        <item x="261"/>
        <item x="2292"/>
        <item x="761"/>
        <item x="1017"/>
        <item x="1474"/>
        <item x="508"/>
        <item x="235"/>
        <item x="1238"/>
        <item x="1057"/>
        <item x="806"/>
        <item x="659"/>
        <item x="3284"/>
        <item x="1033"/>
        <item x="3244"/>
        <item x="650"/>
        <item x="2371"/>
        <item x="2757"/>
        <item x="3175"/>
        <item x="1345"/>
        <item x="47"/>
        <item x="327"/>
        <item x="2629"/>
        <item x="2068"/>
        <item x="1847"/>
        <item x="1898"/>
        <item x="3121"/>
        <item x="3302"/>
        <item x="2565"/>
        <item x="832"/>
        <item x="896"/>
        <item x="2978"/>
        <item x="2495"/>
        <item x="909"/>
        <item x="1582"/>
        <item x="96"/>
        <item x="1090"/>
        <item x="735"/>
        <item x="1596"/>
        <item x="2251"/>
        <item x="2182"/>
        <item x="2564"/>
        <item x="844"/>
        <item x="1165"/>
        <item x="3447"/>
        <item x="507"/>
        <item x="2779"/>
        <item x="1216"/>
        <item x="1669"/>
        <item x="2656"/>
        <item x="935"/>
        <item x="3271"/>
        <item x="3388"/>
        <item x="3397"/>
        <item x="3520"/>
        <item x="2994"/>
        <item x="1148"/>
        <item x="980"/>
        <item x="3267"/>
        <item x="2350"/>
        <item x="2696"/>
        <item x="296"/>
        <item x="46"/>
        <item x="1237"/>
        <item x="2229"/>
        <item x="2290"/>
        <item x="2035"/>
        <item x="3602"/>
        <item x="1760"/>
        <item x="3485"/>
        <item x="370"/>
        <item x="2273"/>
        <item x="1032"/>
        <item x="2820"/>
        <item x="3206"/>
        <item x="788"/>
        <item x="1307"/>
        <item x="2743"/>
        <item x="3198"/>
        <item x="3232"/>
        <item x="2370"/>
        <item x="1284"/>
        <item x="443"/>
        <item x="352"/>
        <item x="126"/>
        <item x="2756"/>
        <item x="2256"/>
        <item x="2878"/>
        <item x="2859"/>
        <item x="1836"/>
        <item x="2414"/>
        <item x="1236"/>
        <item x="3191"/>
        <item x="1525"/>
        <item x="195"/>
        <item x="1235"/>
        <item x="2610"/>
        <item x="3301"/>
        <item x="9"/>
        <item x="2505"/>
        <item x="1568"/>
        <item x="2655"/>
        <item x="2250"/>
        <item x="1589"/>
        <item x="70"/>
        <item x="1544"/>
        <item x="364"/>
        <item x="934"/>
        <item x="2819"/>
        <item x="1637"/>
        <item x="1245"/>
        <item x="3283"/>
        <item x="2181"/>
        <item x="3446"/>
        <item x="159"/>
        <item x="578"/>
        <item x="3231"/>
        <item x="2742"/>
        <item x="2062"/>
        <item x="3282"/>
        <item x="3367"/>
        <item x="178"/>
        <item x="1283"/>
        <item x="1807"/>
        <item x="149"/>
        <item x="2397"/>
        <item x="1618"/>
        <item x="1016"/>
        <item x="2296"/>
        <item x="2939"/>
        <item x="1524"/>
        <item x="1261"/>
        <item x="1505"/>
        <item x="148"/>
        <item x="2718"/>
        <item x="2515"/>
        <item x="382"/>
        <item x="2180"/>
        <item x="778"/>
        <item x="1193"/>
        <item x="708"/>
        <item x="2318"/>
        <item x="1965"/>
        <item x="260"/>
        <item x="2476"/>
        <item x="1118"/>
        <item x="860"/>
        <item x="2602"/>
        <item x="555"/>
        <item x="2317"/>
        <item x="2898"/>
        <item x="1649"/>
        <item x="787"/>
        <item x="992"/>
        <item x="234"/>
        <item x="1192"/>
        <item x="1191"/>
        <item x="506"/>
        <item x="1800"/>
        <item x="163"/>
        <item x="2099"/>
        <item x="1846"/>
        <item x="691"/>
        <item x="2514"/>
        <item x="2059"/>
        <item x="3416"/>
        <item x="3080"/>
        <item x="95"/>
        <item x="3490"/>
        <item x="1493"/>
        <item x="1935"/>
        <item x="3029"/>
        <item x="2728"/>
        <item x="956"/>
        <item x="1410"/>
        <item x="2938"/>
        <item x="2083"/>
        <item x="2892"/>
        <item x="2082"/>
        <item x="2413"/>
        <item x="2455"/>
        <item x="3455"/>
        <item x="3288"/>
        <item x="2654"/>
        <item x="1689"/>
        <item x="1260"/>
        <item x="1045"/>
        <item x="2578"/>
        <item x="933"/>
        <item x="2222"/>
        <item x="567"/>
        <item x="1181"/>
        <item x="707"/>
        <item x="2605"/>
        <item x="3157"/>
        <item x="2166"/>
        <item x="3230"/>
        <item x="805"/>
        <item x="295"/>
        <item x="3562"/>
        <item x="3465"/>
        <item x="2533"/>
        <item x="3342"/>
        <item x="2165"/>
        <item x="1434"/>
        <item x="840"/>
        <item x="675"/>
        <item x="294"/>
        <item x="1543"/>
        <item x="2340"/>
        <item x="45"/>
        <item x="2959"/>
        <item x="3464"/>
        <item x="2454"/>
        <item x="1259"/>
        <item x="2336"/>
        <item x="689"/>
        <item x="2475"/>
        <item x="2993"/>
        <item x="2210"/>
        <item x="259"/>
        <item x="1742"/>
        <item x="1523"/>
        <item x="1688"/>
        <item x="1183"/>
        <item x="3174"/>
        <item x="734"/>
        <item x="466"/>
        <item x="2237"/>
        <item x="2209"/>
        <item x="1003"/>
        <item x="3366"/>
        <item x="2034"/>
        <item x="1717"/>
        <item x="2445"/>
        <item x="1138"/>
        <item x="177"/>
        <item x="1332"/>
        <item x="1922"/>
        <item x="2098"/>
        <item x="194"/>
        <item x="2749"/>
        <item x="882"/>
        <item x="1002"/>
        <item x="3112"/>
        <item x="2909"/>
        <item x="3375"/>
        <item x="2563"/>
        <item x="2687"/>
        <item x="2494"/>
        <item x="1648"/>
        <item x="341"/>
        <item x="2015"/>
        <item x="1306"/>
        <item x="918"/>
        <item x="465"/>
        <item x="733"/>
        <item x="335"/>
        <item x="125"/>
        <item x="2148"/>
        <item x="554"/>
        <item x="1654"/>
        <item x="1234"/>
        <item x="3424"/>
        <item x="464"/>
        <item x="1610"/>
        <item x="2833"/>
        <item x="2778"/>
        <item x="1416"/>
        <item x="136"/>
        <item x="2947"/>
        <item x="2877"/>
        <item x="3266"/>
        <item x="1628"/>
        <item x="3163"/>
        <item x="804"/>
        <item x="2465"/>
        <item x="2369"/>
        <item x="3155"/>
        <item x="1282"/>
        <item x="1562"/>
        <item x="2786"/>
        <item x="908"/>
        <item x="1258"/>
        <item x="1696"/>
        <item x="2716"/>
        <item x="2143"/>
        <item x="2679"/>
        <item x="2287"/>
        <item x="3601"/>
        <item x="2002"/>
        <item x="258"/>
        <item x="2802"/>
        <item x="368"/>
        <item x="1433"/>
        <item x="907"/>
        <item x="2513"/>
        <item x="2937"/>
        <item x="371"/>
        <item x="1375"/>
        <item x="1864"/>
        <item x="3319"/>
        <item x="1964"/>
        <item x="1056"/>
        <item x="208"/>
        <item x="1886"/>
        <item x="217"/>
        <item x="233"/>
        <item x="577"/>
        <item x="2734"/>
        <item x="1897"/>
        <item x="1814"/>
        <item x="3339"/>
        <item x="3445"/>
        <item x="520"/>
        <item x="1862"/>
        <item x="1933"/>
        <item x="3383"/>
        <item x="2241"/>
        <item x="1044"/>
        <item x="2858"/>
        <item x="2138"/>
        <item x="1773"/>
        <item x="2713"/>
        <item x="1502"/>
        <item x="803"/>
        <item x="2969"/>
        <item x="3145"/>
        <item x="786"/>
        <item x="3052"/>
        <item x="2272"/>
        <item x="2403"/>
        <item x="1716"/>
        <item x="2177"/>
        <item x="2784"/>
        <item x="1257"/>
        <item x="326"/>
        <item x="442"/>
        <item x="674"/>
        <item x="2876"/>
        <item x="2357"/>
        <item x="1226"/>
        <item x="351"/>
        <item x="2609"/>
        <item x="3133"/>
        <item x="3318"/>
        <item x="1668"/>
        <item x="2597"/>
        <item x="1824"/>
        <item x="2712"/>
        <item x="2818"/>
        <item x="621"/>
        <item x="1256"/>
        <item x="1810"/>
        <item x="505"/>
        <item x="232"/>
        <item x="2097"/>
        <item x="2047"/>
        <item x="726"/>
        <item x="2562"/>
        <item x="1150"/>
        <item x="2891"/>
        <item x="3270"/>
        <item x="1432"/>
        <item x="1443"/>
        <item x="3221"/>
        <item x="965"/>
        <item x="831"/>
        <item x="849"/>
        <item x="3132"/>
        <item x="871"/>
        <item x="2617"/>
        <item x="231"/>
        <item x="649"/>
        <item x="3173"/>
        <item x="760"/>
        <item x="2643"/>
        <item x="2801"/>
        <item x="1089"/>
        <item x="1431"/>
        <item x="416"/>
        <item x="1305"/>
        <item x="1715"/>
        <item x="673"/>
        <item x="1503"/>
        <item x="2130"/>
        <item x="1304"/>
        <item x="1255"/>
        <item x="2027"/>
        <item x="2817"/>
        <item x="3079"/>
        <item x="2061"/>
        <item x="3300"/>
        <item x="1389"/>
        <item x="3111"/>
        <item x="3570"/>
        <item x="1112"/>
        <item x="1741"/>
        <item x="101"/>
        <item x="69"/>
        <item x="1785"/>
        <item x="2571"/>
        <item x="1896"/>
        <item x="1303"/>
        <item x="598"/>
        <item x="124"/>
        <item x="2453"/>
        <item x="2474"/>
        <item x="732"/>
        <item x="1647"/>
        <item x="2875"/>
        <item x="648"/>
        <item x="2532"/>
        <item x="820"/>
        <item x="2436"/>
        <item x="3067"/>
        <item x="484"/>
        <item x="3463"/>
        <item x="802"/>
        <item x="955"/>
        <item x="2196"/>
        <item x="2081"/>
        <item x="2575"/>
        <item x="3197"/>
        <item x="6"/>
        <item x="627"/>
        <item x="1799"/>
        <item x="3078"/>
        <item x="1871"/>
        <item x="553"/>
        <item x="830"/>
        <item x="1453"/>
        <item x="2236"/>
        <item x="3556"/>
        <item x="2391"/>
        <item x="3299"/>
        <item x="2164"/>
        <item x="3201"/>
        <item x="829"/>
        <item x="3549"/>
        <item x="1984"/>
        <item x="1561"/>
        <item x="552"/>
        <item x="463"/>
        <item x="44"/>
        <item x="561"/>
        <item x="3014"/>
        <item x="1111"/>
        <item x="2452"/>
        <item x="2678"/>
        <item x="2178"/>
        <item x="3554"/>
        <item x="2844"/>
        <item x="2033"/>
        <item x="1164"/>
        <item x="2261"/>
        <item x="591"/>
        <item x="3352"/>
        <item x="2129"/>
        <item x="1331"/>
        <item x="2936"/>
        <item x="135"/>
        <item x="2208"/>
        <item x="1714"/>
        <item x="1983"/>
        <item x="859"/>
        <item x="881"/>
        <item x="519"/>
        <item x="3069"/>
        <item x="1397"/>
        <item x="3013"/>
        <item x="2908"/>
        <item x="2435"/>
        <item x="777"/>
        <item x="3415"/>
        <item x="731"/>
        <item x="2335"/>
        <item x="1110"/>
        <item x="2695"/>
        <item x="114"/>
        <item x="350"/>
        <item x="2483"/>
        <item x="1281"/>
        <item x="3190"/>
        <item x="2310"/>
        <item x="1798"/>
        <item x="1015"/>
        <item x="1951"/>
        <item x="2561"/>
        <item x="2694"/>
        <item x="2967"/>
        <item x="1921"/>
        <item x="1492"/>
        <item x="1163"/>
        <item x="1099"/>
        <item x="2179"/>
        <item x="3471"/>
        <item x="979"/>
        <item x="880"/>
        <item x="2570"/>
        <item x="2295"/>
        <item x="1609"/>
        <item x="3596"/>
        <item x="2857"/>
        <item x="2582"/>
        <item x="3229"/>
        <item x="1833"/>
        <item x="2172"/>
        <item x="1302"/>
        <item x="2777"/>
        <item x="612"/>
        <item x="3462"/>
        <item x="3131"/>
        <item x="1449"/>
        <item x="1396"/>
        <item x="2096"/>
        <item x="551"/>
        <item x="77"/>
        <item x="1937"/>
        <item x="2334"/>
        <item x="3461"/>
        <item x="1330"/>
        <item x="828"/>
        <item x="1982"/>
        <item x="2434"/>
        <item x="3204"/>
        <item x="402"/>
        <item x="1667"/>
        <item x="1617"/>
        <item x="2482"/>
        <item x="3444"/>
        <item x="123"/>
        <item x="43"/>
        <item x="998"/>
        <item x="672"/>
        <item x="2677"/>
        <item x="759"/>
        <item x="176"/>
        <item x="1666"/>
        <item x="325"/>
        <item x="2152"/>
        <item x="2968"/>
        <item x="2727"/>
        <item x="381"/>
        <item x="1772"/>
        <item x="3401"/>
        <item x="1254"/>
        <item x="1845"/>
        <item x="452"/>
        <item x="2958"/>
        <item x="2128"/>
        <item x="3189"/>
        <item x="827"/>
        <item x="550"/>
        <item x="1757"/>
        <item x="2309"/>
        <item x="3110"/>
        <item x="2325"/>
        <item x="2560"/>
        <item x="2235"/>
        <item x="1455"/>
        <item x="3028"/>
        <item x="1014"/>
        <item x="1560"/>
        <item x="758"/>
        <item x="187"/>
        <item x="380"/>
        <item x="324"/>
        <item x="1771"/>
        <item x="7"/>
        <item x="3228"/>
        <item x="1461"/>
        <item x="620"/>
        <item x="2207"/>
        <item x="2992"/>
        <item x="1656"/>
        <item x="1273"/>
        <item x="858"/>
        <item x="2531"/>
        <item x="1888"/>
        <item x="3109"/>
        <item x="309"/>
        <item x="857"/>
        <item x="2843"/>
        <item x="1445"/>
        <item x="251"/>
        <item x="630"/>
        <item x="1383"/>
        <item x="632"/>
        <item x="1251"/>
        <item x="2080"/>
        <item x="1182"/>
        <item x="3365"/>
        <item x="1797"/>
        <item x="2221"/>
        <item x="2874"/>
        <item x="3495"/>
        <item x="1587"/>
        <item x="504"/>
        <item x="3382"/>
        <item x="2717"/>
        <item x="1627"/>
        <item x="2832"/>
        <item x="2619"/>
        <item x="3254"/>
        <item x="2101"/>
        <item x="3580"/>
        <item x="1055"/>
        <item x="3170"/>
        <item x="3253"/>
        <item x="1569"/>
        <item x="1713"/>
        <item x="2079"/>
        <item x="1054"/>
        <item x="2816"/>
        <item x="1088"/>
        <item x="1024"/>
        <item x="2854"/>
        <item x="3227"/>
        <item x="819"/>
        <item x="2046"/>
        <item x="647"/>
        <item x="1301"/>
        <item x="2032"/>
        <item x="1355"/>
        <item x="2977"/>
        <item x="1215"/>
        <item x="566"/>
        <item x="42"/>
        <item x="2433"/>
        <item x="1087"/>
        <item x="3443"/>
        <item x="1796"/>
        <item x="757"/>
        <item x="1823"/>
        <item x="1233"/>
        <item x="597"/>
        <item x="2815"/>
        <item x="1712"/>
        <item x="2726"/>
        <item x="207"/>
        <item x="1522"/>
        <item x="3504"/>
        <item x="1711"/>
        <item x="2530"/>
        <item x="2192"/>
        <item x="475"/>
        <item x="1106"/>
        <item x="503"/>
        <item x="1300"/>
        <item x="1963"/>
        <item x="1895"/>
        <item x="293"/>
        <item x="2095"/>
        <item x="1411"/>
        <item x="1295"/>
        <item x="415"/>
        <item x="1374"/>
        <item x="1608"/>
        <item x="530"/>
        <item x="1607"/>
        <item x="1581"/>
        <item x="3000"/>
        <item x="1606"/>
        <item x="3090"/>
        <item x="785"/>
        <item x="3579"/>
        <item x="1098"/>
        <item x="2545"/>
        <item x="1162"/>
        <item x="414"/>
        <item x="1646"/>
        <item x="2212"/>
        <item x="1521"/>
        <item x="339"/>
        <item x="516"/>
        <item x="2512"/>
        <item x="379"/>
        <item x="41"/>
        <item x="2922"/>
        <item x="40"/>
        <item x="3588"/>
        <item x="1928"/>
        <item x="2999"/>
        <item x="3503"/>
        <item x="292"/>
        <item x="2271"/>
        <item x="2711"/>
        <item x="513"/>
        <item x="2814"/>
        <item x="2800"/>
        <item x="1962"/>
        <item x="206"/>
        <item x="2206"/>
        <item x="2741"/>
        <item x="3130"/>
        <item x="730"/>
        <item x="1520"/>
        <item x="1605"/>
        <item x="2349"/>
        <item x="2529"/>
        <item x="2587"/>
        <item x="2001"/>
        <item x="954"/>
        <item x="2740"/>
        <item x="1250"/>
        <item x="1280"/>
        <item x="3442"/>
        <item x="3432"/>
        <item x="592"/>
        <item x="1161"/>
        <item x="1519"/>
        <item x="1856"/>
        <item x="529"/>
        <item x="2078"/>
        <item x="1508"/>
        <item x="1878"/>
        <item x="2976"/>
        <item x="801"/>
        <item x="2000"/>
        <item x="706"/>
        <item x="879"/>
        <item x="775"/>
        <item x="230"/>
        <item x="1857"/>
        <item x="3012"/>
        <item x="2628"/>
        <item x="2151"/>
        <item x="441"/>
        <item x="800"/>
        <item x="3351"/>
        <item x="919"/>
        <item x="2390"/>
        <item x="990"/>
        <item x="634"/>
        <item x="175"/>
        <item x="413"/>
        <item x="39"/>
        <item x="1894"/>
        <item x="1137"/>
        <item x="705"/>
        <item x="1961"/>
        <item x="1729"/>
        <item x="79"/>
        <item x="1863"/>
        <item x="313"/>
        <item x="268"/>
        <item x="2890"/>
        <item x="637"/>
        <item x="3281"/>
        <item x="2887"/>
        <item x="559"/>
        <item x="2127"/>
        <item x="1104"/>
        <item x="2194"/>
        <item x="978"/>
        <item x="3108"/>
        <item x="932"/>
        <item x="3587"/>
        <item x="2813"/>
        <item x="997"/>
        <item x="291"/>
        <item x="906"/>
        <item x="1086"/>
        <item x="2676"/>
        <item x="2333"/>
        <item x="122"/>
        <item x="214"/>
        <item x="1822"/>
        <item x="94"/>
        <item x="3467"/>
        <item x="1960"/>
        <item x="2842"/>
        <item x="2294"/>
        <item x="1626"/>
        <item x="1559"/>
        <item x="315"/>
        <item x="3265"/>
        <item x="1758"/>
        <item x="1329"/>
        <item x="797"/>
        <item x="2721"/>
        <item x="1354"/>
        <item x="2473"/>
        <item x="1992"/>
        <item x="2014"/>
        <item x="1770"/>
        <item x="290"/>
        <item x="24"/>
        <item x="722"/>
        <item x="3154"/>
        <item x="2544"/>
        <item x="1299"/>
        <item x="1361"/>
        <item x="3188"/>
        <item x="1074"/>
        <item x="3172"/>
        <item x="1053"/>
        <item x="977"/>
        <item x="1759"/>
        <item x="2111"/>
        <item x="54"/>
        <item x="1959"/>
        <item x="1999"/>
        <item x="59"/>
        <item x="462"/>
        <item x="174"/>
        <item x="967"/>
        <item x="2596"/>
        <item x="931"/>
        <item x="378"/>
        <item x="1025"/>
        <item x="619"/>
        <item x="461"/>
        <item x="3308"/>
        <item x="340"/>
        <item x="121"/>
        <item x="289"/>
        <item x="1224"/>
        <item x="756"/>
        <item x="771"/>
        <item x="2451"/>
        <item x="1542"/>
        <item x="93"/>
        <item x="2332"/>
        <item x="1382"/>
        <item x="3502"/>
        <item x="2559"/>
        <item x="646"/>
        <item x="2342"/>
        <item x="1395"/>
        <item x="334"/>
        <item x="147"/>
        <item x="3027"/>
        <item x="563"/>
        <item x="1353"/>
        <item x="755"/>
        <item x="2521"/>
        <item x="1232"/>
        <item x="502"/>
        <item x="2159"/>
        <item x="1491"/>
        <item x="78"/>
        <item x="729"/>
        <item x="2316"/>
        <item x="2591"/>
        <item x="3226"/>
        <item x="2308"/>
        <item x="1969"/>
        <item x="1893"/>
        <item x="2077"/>
        <item x="3536"/>
        <item x="349"/>
        <item x="826"/>
        <item x="1279"/>
        <item x="1604"/>
        <item x="1994"/>
        <item x="596"/>
        <item x="412"/>
        <item x="3026"/>
        <item x="3214"/>
        <item x="1214"/>
        <item x="2432"/>
        <item x="3460"/>
        <item x="794"/>
        <item x="1990"/>
        <item x="411"/>
        <item x="2725"/>
        <item x="3153"/>
        <item x="1971"/>
        <item x="395"/>
        <item x="1821"/>
        <item x="2423"/>
        <item x="2975"/>
        <item x="2931"/>
        <item x="1190"/>
        <item x="1160"/>
        <item x="2550"/>
        <item x="1085"/>
        <item x="2558"/>
        <item x="3085"/>
        <item x="1580"/>
        <item x="1942"/>
        <item x="1892"/>
        <item x="2412"/>
        <item x="3535"/>
        <item x="2142"/>
        <item x="68"/>
        <item x="964"/>
        <item x="549"/>
        <item x="2220"/>
        <item x="460"/>
        <item x="2831"/>
        <item x="3355"/>
        <item x="166"/>
        <item x="501"/>
        <item x="3298"/>
        <item x="536"/>
        <item x="288"/>
        <item x="1687"/>
        <item x="108"/>
        <item x="483"/>
        <item x="120"/>
        <item x="825"/>
        <item x="3610"/>
        <item x="1945"/>
        <item x="67"/>
        <item x="633"/>
        <item x="2974"/>
        <item x="229"/>
        <item x="173"/>
        <item x="1885"/>
        <item x="1558"/>
        <item x="917"/>
        <item x="1750"/>
        <item x="1136"/>
        <item x="3373"/>
        <item x="449"/>
        <item x="1686"/>
        <item x="490"/>
        <item x="1013"/>
        <item x="1109"/>
        <item x="459"/>
        <item x="1490"/>
        <item x="1084"/>
        <item x="2368"/>
        <item x="878"/>
        <item x="38"/>
        <item x="1682"/>
        <item x="1135"/>
        <item x="1027"/>
        <item x="365"/>
        <item x="1761"/>
        <item x="2341"/>
        <item x="3095"/>
        <item x="1679"/>
        <item x="106"/>
        <item x="482"/>
        <item x="1645"/>
        <item x="645"/>
        <item x="2411"/>
        <item x="2693"/>
        <item x="3338"/>
        <item x="1343"/>
        <item x="1430"/>
        <item x="1415"/>
        <item x="2493"/>
        <item x="644"/>
        <item x="3498"/>
        <item x="3578"/>
        <item x="976"/>
        <item x="1213"/>
        <item x="158"/>
        <item x="1579"/>
        <item x="3264"/>
        <item x="1795"/>
        <item x="2219"/>
        <item x="1344"/>
        <item x="377"/>
        <item x="2830"/>
        <item x="1012"/>
        <item x="2304"/>
        <item x="1451"/>
        <item x="53"/>
        <item x="2492"/>
        <item x="1685"/>
        <item x="481"/>
        <item x="1769"/>
        <item x="2009"/>
        <item x="1231"/>
        <item x="3364"/>
        <item x="3337"/>
        <item x="480"/>
        <item x="3011"/>
        <item x="1489"/>
        <item x="2234"/>
        <item x="336"/>
        <item x="440"/>
        <item x="704"/>
        <item x="1108"/>
        <item x="3317"/>
        <item x="2841"/>
        <item x="307"/>
        <item x="1701"/>
        <item x="3062"/>
        <item x="287"/>
        <item x="548"/>
        <item x="2431"/>
        <item x="695"/>
        <item x="1920"/>
        <item x="1189"/>
        <item x="2120"/>
        <item x="3297"/>
        <item x="1101"/>
        <item x="3435"/>
        <item x="2013"/>
        <item x="133"/>
        <item x="595"/>
        <item x="1794"/>
        <item x="1134"/>
        <item x="1919"/>
        <item x="2389"/>
        <item x="930"/>
        <item x="1083"/>
        <item x="2031"/>
        <item x="323"/>
        <item x="1918"/>
        <item x="924"/>
        <item x="1883"/>
        <item x="3329"/>
        <item x="3531"/>
        <item x="2315"/>
        <item x="3237"/>
        <item x="2459"/>
        <item x="1981"/>
        <item x="1927"/>
        <item x="671"/>
        <item x="2140"/>
        <item x="2702"/>
        <item x="172"/>
        <item x="754"/>
        <item x="2557"/>
        <item x="394"/>
        <item x="2556"/>
        <item x="3391"/>
        <item x="278"/>
        <item x="618"/>
        <item x="348"/>
        <item x="1352"/>
        <item x="2675"/>
        <item x="1733"/>
        <item x="2921"/>
        <item x="491"/>
        <item x="1006"/>
        <item x="2410"/>
        <item x="753"/>
        <item x="2840"/>
        <item x="877"/>
        <item x="2012"/>
        <item x="2388"/>
        <item x="2873"/>
        <item x="3001"/>
        <item x="975"/>
        <item x="2973"/>
        <item x="3225"/>
        <item x="432"/>
        <item x="728"/>
        <item x="3236"/>
        <item x="1460"/>
        <item x="856"/>
        <item x="1944"/>
        <item x="2826"/>
        <item x="3336"/>
        <item x="2907"/>
        <item x="322"/>
        <item x="2755"/>
        <item x="2608"/>
        <item x="439"/>
        <item x="2972"/>
        <item x="2885"/>
        <item x="2776"/>
        <item x="822"/>
        <item x="2683"/>
        <item x="1351"/>
        <item x="1832"/>
        <item x="814"/>
        <item x="73"/>
        <item x="3609"/>
        <item x="1068"/>
        <item x="2528"/>
        <item x="2479"/>
        <item x="1932"/>
        <item x="1973"/>
        <item x="631"/>
        <item x="2527"/>
        <item x="1768"/>
        <item x="848"/>
        <item x="670"/>
        <item x="3152"/>
        <item x="146"/>
        <item x="1293"/>
        <item x="1834"/>
        <item x="2011"/>
        <item x="1625"/>
        <item x="2653"/>
        <item x="2595"/>
        <item x="2481"/>
        <item x="3002"/>
        <item x="1731"/>
        <item x="2322"/>
        <item x="610"/>
        <item x="3123"/>
        <item x="996"/>
        <item x="547"/>
        <item x="273"/>
        <item x="2948"/>
        <item x="3072"/>
        <item x="2242"/>
        <item x="1844"/>
        <item x="438"/>
        <item x="3328"/>
        <item x="2136"/>
        <item x="2594"/>
        <item x="1350"/>
        <item x="0"/>
        <item x="873"/>
        <item x="1188"/>
        <item x="2627"/>
        <item x="1603"/>
        <item x="1328"/>
        <item x="3213"/>
        <item x="1456"/>
        <item x="784"/>
        <item x="1481"/>
        <item x="3484"/>
        <item x="2812"/>
        <item x="437"/>
        <item x="171"/>
        <item x="1338"/>
        <item x="257"/>
        <item x="2118"/>
        <item x="458"/>
        <item x="1292"/>
        <item x="1710"/>
        <item x="855"/>
        <item x="2460"/>
        <item x="2110"/>
        <item x="2163"/>
        <item x="1594"/>
        <item x="2724"/>
        <item x="3534"/>
        <item x="410"/>
        <item x="1578"/>
        <item x="2381"/>
        <item x="3344"/>
        <item x="1159"/>
        <item x="2935"/>
        <item x="1473"/>
        <item x="1541"/>
        <item x="3474"/>
        <item x="3543"/>
        <item x="1151"/>
        <item x="2344"/>
        <item x="3577"/>
        <item x="669"/>
        <item x="3269"/>
        <item x="2040"/>
        <item x="160"/>
        <item x="1980"/>
        <item x="1105"/>
        <item x="3224"/>
        <item x="473"/>
        <item x="929"/>
        <item x="2914"/>
        <item x="228"/>
        <item x="1127"/>
        <item x="2233"/>
        <item x="2650"/>
        <item x="170"/>
        <item x="772"/>
        <item x="138"/>
        <item x="3061"/>
        <item x="2957"/>
        <item x="3513"/>
        <item x="2754"/>
        <item x="1557"/>
        <item x="2889"/>
        <item x="2069"/>
        <item x="3335"/>
        <item x="80"/>
        <item x="783"/>
        <item x="821"/>
        <item x="3187"/>
        <item x="2906"/>
        <item x="3099"/>
        <item x="1187"/>
        <item x="1528"/>
        <item x="401"/>
        <item x="3511"/>
        <item x="3077"/>
        <item x="2883"/>
        <item x="243"/>
        <item x="2652"/>
        <item x="1644"/>
        <item x="2775"/>
        <item x="256"/>
        <item x="400"/>
        <item x="1100"/>
        <item x="145"/>
        <item x="2526"/>
        <item x="576"/>
        <item x="1373"/>
        <item x="928"/>
        <item x="82"/>
        <item x="2306"/>
        <item x="1518"/>
        <item x="2991"/>
        <item x="2768"/>
        <item x="2971"/>
        <item x="1298"/>
        <item x="1158"/>
        <item x="1602"/>
        <item x="2245"/>
        <item x="1082"/>
        <item x="1540"/>
        <item x="1808"/>
        <item x="2008"/>
        <item x="2156"/>
        <item x="1157"/>
        <item x="845"/>
        <item x="376"/>
        <item x="119"/>
        <item x="2525"/>
        <item x="3381"/>
        <item x="286"/>
        <item x="1212"/>
        <item x="1843"/>
        <item x="270"/>
        <item x="3171"/>
        <item x="1327"/>
        <item x="1026"/>
        <item x="2094"/>
        <item x="3324"/>
        <item x="3429"/>
        <item x="457"/>
        <item x="3584"/>
        <item x="2746"/>
        <item x="594"/>
        <item x="2626"/>
        <item x="1429"/>
        <item x="888"/>
        <item x="2025"/>
        <item x="1500"/>
        <item x="2314"/>
        <item x="409"/>
        <item x="118"/>
        <item x="2045"/>
        <item x="617"/>
        <item x="2828"/>
        <item x="2270"/>
        <item x="1998"/>
        <item x="1462"/>
        <item x="1539"/>
        <item x="2364"/>
        <item x="1211"/>
        <item x="2150"/>
        <item x="703"/>
        <item x="868"/>
        <item x="3576"/>
        <item x="1979"/>
        <item x="905"/>
        <item x="375"/>
        <item x="904"/>
        <item x="2218"/>
        <item x="398"/>
        <item x="2205"/>
        <item x="2774"/>
        <item x="104"/>
        <item x="2555"/>
        <item x="1917"/>
        <item x="1820"/>
        <item x="1071"/>
        <item x="1120"/>
        <item x="1322"/>
        <item x="854"/>
        <item x="84"/>
        <item x="1786"/>
        <item x="2956"/>
        <item x="2263"/>
        <item x="1806"/>
        <item x="37"/>
        <item x="3129"/>
        <item x="1815"/>
        <item x="3076"/>
        <item x="1916"/>
        <item x="1278"/>
        <item x="1210"/>
        <item x="2461"/>
        <item x="974"/>
        <item x="1019"/>
        <item x="2074"/>
        <item x="2773"/>
        <item x="2254"/>
        <item x="3350"/>
        <item x="428"/>
        <item x="1978"/>
        <item x="3128"/>
        <item x="1394"/>
        <item x="162"/>
        <item x="953"/>
        <item x="1643"/>
        <item x="1007"/>
        <item x="1517"/>
        <item x="3291"/>
        <item x="3180"/>
        <item x="1011"/>
        <item x="3203"/>
        <item x="3217"/>
        <item x="2607"/>
        <item x="1624"/>
        <item x="2795"/>
        <item x="429"/>
        <item x="1428"/>
        <item x="285"/>
        <item x="2955"/>
        <item x="1702"/>
        <item x="1861"/>
        <item x="2692"/>
        <item x="2511"/>
        <item x="193"/>
        <item x="2379"/>
        <item x="451"/>
        <item x="1819"/>
        <item x="1318"/>
        <item x="1908"/>
        <item x="1939"/>
        <item x="1665"/>
        <item x="92"/>
        <item x="3142"/>
        <item x="3075"/>
        <item x="1075"/>
        <item x="1209"/>
        <item x="3526"/>
        <item x="1906"/>
        <item x="284"/>
        <item x="1205"/>
        <item x="2897"/>
        <item x="903"/>
        <item x="500"/>
        <item x="2637"/>
        <item x="2123"/>
        <item x="1989"/>
        <item x="1915"/>
        <item x="616"/>
        <item x="1248"/>
        <item x="3100"/>
        <item x="841"/>
        <item x="2797"/>
        <item x="1078"/>
        <item x="3097"/>
        <item x="2204"/>
        <item x="1709"/>
        <item x="2430"/>
        <item x="2667"/>
        <item x="1976"/>
        <item x="1842"/>
        <item x="456"/>
        <item x="1372"/>
        <item x="2856"/>
        <item x="1156"/>
        <item x="2089"/>
        <item x="643"/>
        <item x="690"/>
        <item x="3107"/>
        <item x="1621"/>
        <item x="2021"/>
        <item x="3066"/>
        <item x="2472"/>
        <item x="902"/>
        <item x="1349"/>
        <item x="3045"/>
        <item x="2471"/>
        <item x="1253"/>
        <item x="2122"/>
        <item x="1326"/>
        <item x="2905"/>
        <item x="1642"/>
        <item x="2384"/>
        <item x="189"/>
        <item x="575"/>
        <item x="1664"/>
        <item x="1958"/>
        <item x="2739"/>
        <item x="927"/>
        <item x="752"/>
        <item x="1052"/>
        <item x="436"/>
        <item x="2108"/>
        <item x="1081"/>
        <item x="1427"/>
        <item x="546"/>
        <item x="1133"/>
        <item x="3021"/>
        <item x="1270"/>
        <item x="2722"/>
        <item x="945"/>
        <item x="2409"/>
        <item x="3010"/>
        <item x="3310"/>
        <item x="1204"/>
        <item x="3349"/>
        <item x="2313"/>
        <item x="3483"/>
        <item x="1663"/>
        <item x="8"/>
        <item x="3186"/>
        <item x="425"/>
        <item x="2044"/>
        <item x="702"/>
        <item x="2104"/>
        <item x="369"/>
        <item x="816"/>
        <item x="2934"/>
        <item x="1080"/>
        <item x="545"/>
        <item x="1730"/>
        <item x="799"/>
        <item x="3296"/>
        <item x="1623"/>
        <item x="2115"/>
        <item x="1957"/>
        <item x="2057"/>
        <item x="2145"/>
        <item x="2228"/>
        <item x="255"/>
        <item x="876"/>
        <item x="1448"/>
        <item x="1956"/>
        <item x="768"/>
        <item x="966"/>
        <item x="2549"/>
        <item x="333"/>
        <item x="3575"/>
        <item x="824"/>
        <item x="403"/>
        <item x="3089"/>
        <item x="3168"/>
        <item x="1022"/>
        <item x="2604"/>
        <item x="1031"/>
        <item x="3166"/>
        <item x="3586"/>
        <item x="925"/>
        <item x="2293"/>
        <item x="1955"/>
        <item x="3207"/>
        <item x="2155"/>
        <item x="926"/>
        <item x="3074"/>
        <item x="3561"/>
        <item x="1911"/>
        <item x="948"/>
        <item x="1708"/>
        <item x="227"/>
        <item x="2804"/>
        <item x="1870"/>
        <item x="1662"/>
        <item x="574"/>
        <item x="1230"/>
        <item x="895"/>
        <item x="2191"/>
        <item x="922"/>
        <item x="2320"/>
        <item x="56"/>
        <item x="973"/>
        <item x="3341"/>
        <item x="658"/>
        <item x="3096"/>
        <item x="3292"/>
        <item x="3019"/>
        <item x="110"/>
        <item x="3407"/>
        <item x="2853"/>
        <item x="540"/>
        <item x="952"/>
        <item x="3334"/>
        <item x="254"/>
        <item x="2197"/>
        <item x="2706"/>
        <item x="2882"/>
        <item x="3438"/>
        <item x="3439"/>
        <item x="3143"/>
        <item x="2785"/>
        <item x="3295"/>
        <item x="3051"/>
        <item x="13"/>
        <item x="169"/>
        <item x="2625"/>
        <item x="3519"/>
        <item x="1414"/>
        <item x="1028"/>
        <item x="427"/>
        <item x="1707"/>
        <item x="661"/>
        <item x="2674"/>
        <item x="3348"/>
        <item x="2799"/>
        <item x="3082"/>
        <item x="3482"/>
        <item x="36"/>
        <item x="991"/>
        <item x="3060"/>
        <item x="701"/>
        <item x="215"/>
        <item x="342"/>
        <item x="188"/>
        <item x="1042"/>
        <item x="853"/>
        <item x="1556"/>
        <item x="3127"/>
        <item x="3394"/>
        <item x="1736"/>
        <item x="615"/>
        <item x="1943"/>
        <item x="3496"/>
        <item x="205"/>
        <item x="614"/>
        <item x="2331"/>
        <item x="798"/>
        <item x="2447"/>
        <item x="2232"/>
        <item x="3050"/>
        <item x="3280"/>
        <item x="1577"/>
        <item x="558"/>
        <item x="3569"/>
        <item x="2484"/>
        <item x="3263"/>
        <item x="767"/>
        <item x="544"/>
        <item x="3059"/>
        <item x="782"/>
        <item x="3481"/>
        <item x="3009"/>
        <item x="1767"/>
        <item x="1793"/>
        <item x="12"/>
        <item x="2066"/>
        <item x="1977"/>
        <item x="431"/>
        <item x="894"/>
        <item x="2933"/>
        <item x="897"/>
        <item x="3239"/>
        <item x="3400"/>
        <item x="186"/>
        <item x="3071"/>
        <item x="1362"/>
        <item x="2772"/>
        <item x="1051"/>
        <item x="3245"/>
        <item x="2642"/>
        <item x="1325"/>
        <item x="3426"/>
        <item x="2450"/>
        <item x="2258"/>
        <item x="435"/>
        <item x="3316"/>
        <item x="1200"/>
        <item x="3441"/>
        <item x="889"/>
        <item x="2954"/>
        <item x="1488"/>
        <item x="2829"/>
        <item x="1706"/>
        <item x="2203"/>
        <item x="2543"/>
        <item x="117"/>
        <item x="1277"/>
        <item x="2464"/>
        <item x="1472"/>
        <item x="2202"/>
        <item x="1471"/>
        <item x="2291"/>
        <item x="1905"/>
        <item x="408"/>
        <item x="3279"/>
        <item x="2240"/>
        <item x="1601"/>
        <item x="29"/>
        <item x="2491"/>
        <item x="132"/>
        <item x="988"/>
        <item x="3073"/>
        <item x="2710"/>
        <item x="744"/>
        <item x="3608"/>
        <item x="1600"/>
        <item x="2490"/>
        <item x="2343"/>
        <item x="1348"/>
        <item x="951"/>
        <item x="74"/>
        <item x="1132"/>
        <item x="2805"/>
        <item x="2330"/>
        <item x="1588"/>
        <item x="2109"/>
        <item x="1387"/>
        <item x="2606"/>
        <item x="560"/>
        <item x="2919"/>
        <item x="2765"/>
        <item x="943"/>
        <item x="407"/>
        <item x="3414"/>
        <item x="1891"/>
        <item x="11"/>
        <item x="2470"/>
        <item x="2469"/>
        <item x="2524"/>
        <item x="161"/>
        <item x="1530"/>
        <item x="1681"/>
        <item x="2984"/>
        <item x="1321"/>
        <item x="2224"/>
        <item x="3413"/>
        <item x="573"/>
        <item x="1403"/>
        <item x="1953"/>
        <item x="3309"/>
        <item x="1412"/>
        <item x="518"/>
        <item x="1792"/>
        <item x="1360"/>
        <item x="35"/>
        <item x="1970"/>
        <item x="1890"/>
        <item x="2121"/>
        <item x="2577"/>
        <item x="1010"/>
        <item x="2807"/>
        <item x="3574"/>
        <item x="347"/>
        <item x="2030"/>
        <item x="3607"/>
        <item x="3412"/>
        <item x="3377"/>
        <item x="3006"/>
        <item x="2029"/>
        <item x="2076"/>
        <item x="3459"/>
        <item x="2913"/>
        <item x="3363"/>
        <item x="399"/>
        <item x="1914"/>
        <item x="1046"/>
        <item x="2201"/>
        <item x="1938"/>
        <item x="3246"/>
        <item x="2"/>
        <item x="3560"/>
        <item x="1131"/>
        <item x="2060"/>
        <item x="1740"/>
        <item x="226"/>
        <item x="543"/>
        <item x="2442"/>
        <item x="611"/>
        <item x="1208"/>
        <item x="3409"/>
        <item x="2269"/>
        <item x="572"/>
        <item x="2886"/>
        <item x="3333"/>
        <item x="2200"/>
        <item x="2824"/>
        <item x="140"/>
        <item x="66"/>
        <item x="921"/>
        <item x="2408"/>
        <item x="2540"/>
        <item x="3332"/>
        <item x="2268"/>
        <item x="1599"/>
        <item x="406"/>
        <item x="2691"/>
        <item x="434"/>
        <item x="191"/>
        <item x="2673"/>
        <item x="1371"/>
        <item x="1446"/>
        <item x="588"/>
        <item x="1370"/>
        <item x="2537"/>
        <item x="1746"/>
        <item x="751"/>
        <item x="91"/>
        <item x="719"/>
        <item x="2624"/>
        <item x="792"/>
        <item x="1661"/>
        <item x="2028"/>
        <item x="3126"/>
        <item x="1516"/>
        <item x="2312"/>
        <item x="1907"/>
        <item x="638"/>
        <item x="1766"/>
        <item x="2709"/>
        <item x="3356"/>
        <item x="1202"/>
        <item x="3525"/>
        <item x="3514"/>
        <item x="2126"/>
        <item x="3393"/>
        <item x="1225"/>
        <item x="34"/>
        <item x="134"/>
        <item x="116"/>
        <item x="283"/>
        <item x="1655"/>
        <item x="3238"/>
        <item x="1246"/>
        <item x="3491"/>
        <item x="1470"/>
        <item x="1529"/>
        <item x="1276"/>
        <item x="3151"/>
        <item x="1765"/>
        <item x="696"/>
        <item x="1764"/>
        <item x="1576"/>
        <item x="2005"/>
        <item x="190"/>
        <item x="1763"/>
        <item x="1835"/>
        <item x="1369"/>
        <item x="3252"/>
        <item x="571"/>
        <item x="196"/>
        <item x="1887"/>
        <item x="1469"/>
        <item x="1368"/>
        <item x="1126"/>
        <item x="61"/>
        <item x="1367"/>
        <item x="321"/>
        <item x="3494"/>
        <item x="1950"/>
        <item x="2249"/>
        <item x="3497"/>
        <item x="2311"/>
        <item x="1229"/>
        <item x="282"/>
        <item x="2227"/>
        <item x="3501"/>
        <item x="1070"/>
        <item x="1510"/>
        <item x="28"/>
        <item x="2576"/>
        <item x="1913"/>
        <item x="1997"/>
        <item x="2039"/>
        <item x="2217"/>
        <item x="1639"/>
        <item x="1186"/>
        <item x="102"/>
        <item x="144"/>
        <item x="846"/>
        <item x="1700"/>
        <item x="2149"/>
        <item x="3509"/>
        <item x="1910"/>
        <item x="393"/>
        <item x="2771"/>
        <item x="2360"/>
        <item x="2708"/>
        <item x="2230"/>
        <item x="3251"/>
        <item x="2348"/>
        <item x="3250"/>
        <item x="455"/>
        <item x="3606"/>
        <item x="3196"/>
        <item x="3480"/>
        <item x="2019"/>
        <item x="477"/>
        <item x="1739"/>
        <item x="2489"/>
        <item x="515"/>
        <item x="3164"/>
        <item x="2506"/>
        <item x="90"/>
        <item x="1050"/>
        <item x="89"/>
        <item x="143"/>
        <item x="2884"/>
        <item x="2303"/>
        <item x="1575"/>
        <item x="2072"/>
        <item x="915"/>
        <item x="3047"/>
        <item x="2157"/>
        <item x="1009"/>
        <item x="3218"/>
        <item x="2103"/>
        <item x="2836"/>
        <item x="1683"/>
        <item x="2603"/>
        <item x="3528"/>
        <item x="107"/>
        <item x="1853"/>
        <item x="2736"/>
        <item x="2267"/>
        <item x="1677"/>
        <item x="2707"/>
        <item x="2468"/>
        <item x="3533"/>
        <item x="479"/>
        <item x="745"/>
        <item x="3049"/>
        <item x="2983"/>
        <item x="1324"/>
        <item x="3042"/>
        <item x="225"/>
        <item x="587"/>
        <item x="3247"/>
        <item x="320"/>
        <item x="2125"/>
        <item x="3358"/>
        <item x="694"/>
        <item x="875"/>
        <item x="770"/>
        <item x="2058"/>
        <item x="2056"/>
        <item x="1818"/>
        <item x="2193"/>
        <item x="319"/>
        <item x="3492"/>
        <item x="766"/>
        <item x="2618"/>
        <item x="570"/>
        <item x="2623"/>
        <item x="224"/>
        <item x="192"/>
        <item x="741"/>
        <item x="2443"/>
        <item x="2904"/>
        <item x="1882"/>
        <item x="721"/>
        <item x="823"/>
        <item x="750"/>
        <item x="2953"/>
        <item x="2787"/>
        <item x="271"/>
        <item x="397"/>
        <item x="1323"/>
        <item x="2162"/>
        <item x="244"/>
        <item x="115"/>
        <item x="1841"/>
        <item x="1996"/>
        <item x="3559"/>
        <item x="870"/>
        <item x="813"/>
        <item x="542"/>
        <item x="2367"/>
        <item x="25"/>
        <item x="1515"/>
        <item x="1424"/>
        <item x="318"/>
        <item x="272"/>
        <item x="2970"/>
        <item x="253"/>
        <item x="3396"/>
        <item x="247"/>
        <item x="2216"/>
        <item x="920"/>
        <item x="1079"/>
        <item x="3212"/>
        <item x="314"/>
        <item x="2176"/>
        <item x="2990"/>
        <item x="142"/>
        <item x="688"/>
        <item x="1252"/>
        <item x="668"/>
        <item x="396"/>
        <item x="1506"/>
        <item x="2199"/>
        <item x="1030"/>
        <item x="3144"/>
        <item x="3372"/>
        <item x="3025"/>
        <item x="3403"/>
        <item x="3405"/>
        <item x="3571"/>
        <item x="2387"/>
        <item x="1468"/>
        <item x="2214"/>
        <item x="1514"/>
        <item x="3024"/>
        <item x="944"/>
        <item x="1513"/>
        <item x="2266"/>
        <item x="218"/>
        <item x="1049"/>
        <item x="2927"/>
        <item x="139"/>
        <item x="969"/>
        <item x="450"/>
        <item x="727"/>
        <item x="995"/>
        <item x="1934"/>
        <item x="2588"/>
        <item x="2022"/>
        <item x="3004"/>
        <item x="2622"/>
        <item x="2088"/>
        <item x="3600"/>
        <item x="2920"/>
        <item x="1347"/>
        <item x="1936"/>
        <item x="222"/>
        <item x="65"/>
        <item x="1459"/>
        <item x="499"/>
        <item x="2359"/>
        <item x="1130"/>
        <item x="901"/>
        <item x="1738"/>
        <item x="2366"/>
        <item x="1480"/>
        <item x="3374"/>
        <item x="2006"/>
        <item x="1201"/>
        <item x="1869"/>
        <item x="2449"/>
        <item x="2684"/>
        <item x="2406"/>
        <item x="2282"/>
        <item x="246"/>
        <item x="2395"/>
        <item x="311"/>
        <item x="2811"/>
        <item x="2429"/>
        <item x="1537"/>
        <item x="564"/>
        <item x="2448"/>
        <item x="374"/>
        <item x="2703"/>
        <item x="1931"/>
        <item x="994"/>
        <item x="2052"/>
        <item x="3106"/>
        <item x="281"/>
        <item x="608"/>
        <item x="3040"/>
        <item x="1868"/>
        <item x="3558"/>
        <item x="2144"/>
        <item x="3599"/>
        <item x="2399"/>
        <item x="812"/>
        <item x="55"/>
        <item x="3343"/>
        <item x="2071"/>
        <item x="3557"/>
        <item x="946"/>
        <item x="1550"/>
        <item x="593"/>
        <item x="3017"/>
        <item x="2763"/>
        <item x="2738"/>
        <item x="274"/>
        <item x="204"/>
        <item x="1426"/>
        <item x="1752"/>
        <item x="3048"/>
        <item x="639"/>
        <item x="1207"/>
        <item x="498"/>
        <item x="635"/>
        <item x="1405"/>
        <item x="743"/>
        <item x="3287"/>
        <item x="1555"/>
        <item x="3223"/>
        <item x="113"/>
        <item x="739"/>
        <item x="60"/>
        <item x="88"/>
        <item x="2929"/>
        <item x="2900"/>
        <item x="3392"/>
        <item x="57"/>
        <item x="2396"/>
        <item x="1634"/>
        <item x="391"/>
        <item x="2872"/>
        <item x="3395"/>
        <item x="3057"/>
        <item x="2171"/>
        <item x="1804"/>
        <item x="1203"/>
        <item x="141"/>
        <item x="1657"/>
        <item x="700"/>
        <item x="1552"/>
        <item x="1817"/>
        <item x="1319"/>
        <item x="3105"/>
        <item x="2825"/>
        <item x="2641"/>
        <item x="3387"/>
        <item x="796"/>
        <item x="1450"/>
        <item x="87"/>
        <item x="2070"/>
        <item x="2398"/>
        <item x="720"/>
        <item x="2507"/>
        <item x="697"/>
        <item x="3104"/>
        <item x="2753"/>
        <item x="1346"/>
        <item x="1366"/>
        <item x="1532"/>
        <item x="815"/>
        <item x="2705"/>
        <item x="2289"/>
        <item x="2093"/>
        <item x="2141"/>
        <item x="1697"/>
        <item x="2864"/>
        <item x="3593"/>
        <item x="2952"/>
        <item x="692"/>
        <item x="793"/>
        <item x="1487"/>
        <item x="3598"/>
        <item x="2091"/>
        <item x="1107"/>
        <item x="1889"/>
        <item x="392"/>
        <item x="3044"/>
        <item x="699"/>
        <item x="3605"/>
        <item x="667"/>
        <item x="3101"/>
        <item x="1551"/>
        <item x="3380"/>
        <item x="3472"/>
        <item x="3325"/>
        <item x="533"/>
        <item x="2190"/>
        <item x="1653"/>
        <item x="1622"/>
        <item x="250"/>
        <item x="3479"/>
        <item x="3433"/>
        <item x="1393"/>
        <item x="3468"/>
        <item x="3211"/>
        <item x="3583"/>
        <item x="2690"/>
        <item x="3179"/>
        <item x="2365"/>
        <item x="3272"/>
        <item x="950"/>
        <item x="3500"/>
        <item x="900"/>
        <item x="3516"/>
        <item x="2519"/>
        <item x="1705"/>
        <item x="2583"/>
        <item x="373"/>
        <item x="923"/>
        <item x="3478"/>
        <item x="898"/>
        <item x="541"/>
        <item x="2026"/>
        <item x="1297"/>
        <item x="1008"/>
        <item x="3585"/>
        <item x="949"/>
        <item x="887"/>
        <item x="3362"/>
        <item x="3008"/>
        <item x="1762"/>
        <item x="1179"/>
        <item x="607"/>
        <item x="847"/>
        <item x="3023"/>
        <item x="2881"/>
        <item x="2586"/>
        <item x="1704"/>
        <item x="346"/>
        <item x="666"/>
        <item x="2007"/>
        <item x="2686"/>
        <item x="531"/>
        <item x="252"/>
        <item x="3568"/>
        <item x="2839"/>
        <item x="317"/>
        <item x="3018"/>
        <item x="1155"/>
        <item x="3150"/>
        <item x="3376"/>
        <item x="1129"/>
        <item x="2701"/>
        <item x="3347"/>
        <item x="2770"/>
        <item x="2589"/>
        <item x="1859"/>
        <item x="3210"/>
        <item x="852"/>
        <item x="2124"/>
        <item x="2538"/>
        <item x="1660"/>
        <item x="276"/>
        <item x="2855"/>
        <item x="1641"/>
        <item x="1737"/>
        <item x="3359"/>
        <item x="3529"/>
        <item x="2358"/>
        <item x="280"/>
        <item x="2189"/>
        <item x="3331"/>
        <item x="2752"/>
        <item x="1272"/>
        <item x="1392"/>
        <item x="3307"/>
        <item x="665"/>
        <item x="3434"/>
        <item x="83"/>
        <item x="405"/>
        <item x="629"/>
        <item x="3065"/>
        <item x="3003"/>
        <item x="2041"/>
        <item x="404"/>
        <item x="2329"/>
        <item x="2520"/>
        <item x="3315"/>
        <item x="698"/>
        <item x="2188"/>
        <item x="1573"/>
        <item x="2067"/>
        <item x="2264"/>
        <item x="1275"/>
        <item x="1388"/>
        <item x="3125"/>
        <item x="742"/>
        <item x="366"/>
        <item x="972"/>
        <item x="1734"/>
        <item x="2161"/>
        <item x="3083"/>
        <item x="2616"/>
        <item x="2615"/>
        <item x="569"/>
        <item x="3406"/>
        <item x="2912"/>
        <item x="2539"/>
        <item x="1592"/>
        <item x="2737"/>
        <item x="776"/>
        <item x="2347"/>
        <item x="2346"/>
        <item x="2265"/>
        <item x="2328"/>
        <item x="1065"/>
        <item x="1121"/>
        <item x="2554"/>
        <item x="1365"/>
        <item x="2321"/>
        <item x="2988"/>
        <item x="3278"/>
        <item x="1640"/>
        <item x="2902"/>
        <item x="2248"/>
        <item x="423"/>
        <item x="2226"/>
        <item x="1703"/>
        <item x="1228"/>
        <item x="203"/>
        <item x="1858"/>
        <item x="2020"/>
        <item x="223"/>
        <item x="3566"/>
        <item x="2488"/>
        <item x="1574"/>
        <item x="1413"/>
        <item x="2377"/>
        <item x="3262"/>
        <item x="3470"/>
        <item x="2116"/>
        <item x="1274"/>
        <item x="3146"/>
        <item x="1855"/>
        <item x="538"/>
        <item x="1146"/>
        <item x="2621"/>
        <item x="2428"/>
        <item x="3546"/>
        <item x="3294"/>
        <item x="2640"/>
        <item x="843"/>
        <item x="1884"/>
        <item x="3476"/>
        <item x="528"/>
        <item x="1879"/>
        <item x="3149"/>
        <item x="3314"/>
        <item x="33"/>
        <item x="2636"/>
        <item x="1444"/>
        <item x="1554"/>
        <item x="1930"/>
        <item x="2553"/>
        <item x="539"/>
        <item x="497"/>
        <item x="2324"/>
        <item x="1593"/>
        <item x="86"/>
        <item x="2810"/>
        <item x="1457"/>
        <item x="85"/>
        <item x="565"/>
        <item x="3103"/>
        <item x="221"/>
        <item x="1811"/>
        <item x="2838"/>
        <item x="2651"/>
        <item x="3597"/>
        <item x="1447"/>
        <item x="64"/>
        <item x="433"/>
        <item x="781"/>
        <item x="3235"/>
        <item x="2383"/>
        <item x="476"/>
        <item x="3512"/>
        <item x="2903"/>
        <item x="2867"/>
        <item x="2510"/>
        <item x="1320"/>
        <item x="1678"/>
        <item x="105"/>
        <item x="1154"/>
        <item x="2247"/>
        <item x="3411"/>
        <item x="1512"/>
        <item x="3158"/>
        <item x="1267"/>
        <item x="2798"/>
        <item x="1381"/>
        <item x="1020"/>
        <item x="2504"/>
        <item x="723"/>
        <item x="2871"/>
        <item x="1482"/>
        <item x="1954"/>
        <item x="3289"/>
        <item x="562"/>
        <item x="3428"/>
        <item x="1266"/>
        <item x="3604"/>
        <item x="2901"/>
        <item x="2509"/>
        <item x="2244"/>
        <item x="3458"/>
        <item x="3457"/>
        <item x="1124"/>
        <item x="2158"/>
        <item x="2989"/>
        <item x="1747"/>
        <item x="1753"/>
        <item x="1756"/>
        <item x="1147"/>
        <item x="1185"/>
        <item x="642"/>
        <item x="1339"/>
        <item x="747"/>
        <item x="2255"/>
        <item x="2782"/>
        <item x="3185"/>
        <item x="3499"/>
        <item x="1787"/>
        <item x="1467"/>
        <item x="3567"/>
        <item x="216"/>
        <item x="589"/>
        <item x="641"/>
        <item x="3064"/>
        <item x="746"/>
        <item x="3081"/>
        <item x="1860"/>
        <item x="3399"/>
        <item x="2851"/>
        <item x="3165"/>
        <item x="3209"/>
        <item x="3542"/>
        <item x="1407"/>
        <item x="2744"/>
        <item x="493"/>
        <item x="202"/>
        <item x="2762"/>
        <item x="2865"/>
        <item x="496"/>
        <item x="1485"/>
        <item x="3122"/>
        <item x="2764"/>
        <item x="1004"/>
        <item x="2106"/>
        <item x="2747"/>
        <item x="1249"/>
        <item x="58"/>
        <item x="1598"/>
        <item x="454"/>
        <item x="1940"/>
        <item x="3454"/>
        <item x="2503"/>
        <item x="2327"/>
        <item x="1991"/>
        <item x="1117"/>
        <item x="1854"/>
        <item x="2523"/>
        <item x="2986"/>
        <item x="2541"/>
        <item x="851"/>
        <item x="3572"/>
        <item x="2665"/>
        <item x="3555"/>
        <item x="1590"/>
        <item x="430"/>
        <item x="3022"/>
        <item x="3436"/>
        <item x="3544"/>
        <item x="3548"/>
        <item x="1972"/>
        <item x="2487"/>
        <item x="1995"/>
        <item x="1531"/>
        <item x="3518"/>
        <item x="2055"/>
        <item x="3088"/>
        <item x="2424"/>
        <item x="3440"/>
        <item x="3581"/>
        <item x="1039"/>
        <item x="1484"/>
        <item x="725"/>
        <item x="1840"/>
        <item x="3345"/>
        <item x="3361"/>
        <item x="3007"/>
        <item x="1638"/>
        <item x="2620"/>
        <item x="2723"/>
        <item x="2305"/>
        <item x="2501"/>
        <item x="3184"/>
        <item x="32"/>
        <item x="1466"/>
        <item x="248"/>
        <item x="3259"/>
        <item x="2425"/>
        <item x="3120"/>
        <item x="517"/>
        <item x="2915"/>
        <item x="1227"/>
        <item x="1465"/>
        <item x="892"/>
        <item x="2823"/>
        <item x="2427"/>
        <item x="2542"/>
        <item x="2402"/>
        <item x="3402"/>
        <item x="372"/>
        <item x="2146"/>
        <item x="971"/>
        <item x="3261"/>
        <item x="3"/>
        <item x="2719"/>
        <item x="893"/>
        <item x="1391"/>
        <item x="3346"/>
        <item x="2363"/>
        <item x="2888"/>
        <item x="3183"/>
        <item x="3167"/>
        <item x="850"/>
        <item x="2896"/>
        <item x="1454"/>
        <item x="316"/>
        <item x="3423"/>
        <item x="1880"/>
        <item x="1067"/>
        <item x="1658"/>
        <item x="3038"/>
        <item x="3553"/>
        <item x="2326"/>
        <item x="2700"/>
        <item x="2480"/>
        <item x="640"/>
        <item x="2386"/>
        <item x="2139"/>
        <item x="1791"/>
        <item x="31"/>
        <item x="2633"/>
        <item x="1340"/>
        <item x="3453"/>
        <item x="1464"/>
        <item x="3161"/>
        <item x="2966"/>
        <item x="1180"/>
        <item x="2632"/>
        <item x="2769"/>
        <item x="1635"/>
        <item x="660"/>
        <item x="1659"/>
        <item x="2147"/>
        <item x="2426"/>
        <item x="2043"/>
        <item x="1538"/>
        <item x="1813"/>
        <item x="3311"/>
        <item x="2117"/>
        <item x="3427"/>
        <item x="3293"/>
        <item x="200"/>
        <item x="1174"/>
        <item x="2259"/>
        <item x="2793"/>
        <item x="2075"/>
        <item x="2585"/>
        <item x="2748"/>
        <item x="2870"/>
        <item x="3290"/>
        <item x="1619"/>
        <item x="3327"/>
        <item x="3594"/>
        <item x="2552"/>
        <item x="3532"/>
        <item x="2288"/>
        <item x="62"/>
        <item x="3545"/>
        <item x="279"/>
        <item x="2551"/>
        <item x="1390"/>
        <item x="1486"/>
        <item x="1784"/>
        <item x="2285"/>
        <item x="3510"/>
        <item x="2635"/>
        <item x="3098"/>
        <item x="872"/>
        <item x="2225"/>
        <item x="3274"/>
        <item x="1458"/>
        <item x="1805"/>
        <item x="2421"/>
        <item x="2685"/>
        <item x="2852"/>
        <item x="3046"/>
        <item x="453"/>
        <item x="1076"/>
        <item x="1699"/>
        <item x="2964"/>
        <item x="2405"/>
        <item x="874"/>
        <item x="337"/>
        <item x="3087"/>
        <item x="2649"/>
        <item x="2444"/>
        <item x="2502"/>
        <item x="3160"/>
        <item x="2246"/>
        <item x="2613"/>
        <item x="749"/>
        <item x="3312"/>
        <item x="2987"/>
        <item x="1816"/>
        <item x="2283"/>
        <item x="970"/>
        <item x="3086"/>
        <item x="1684"/>
        <item x="1384"/>
        <item x="3277"/>
        <item x="3541"/>
        <item x="3020"/>
        <item x="1676"/>
        <item x="527"/>
        <item x="1698"/>
        <item x="1790"/>
        <item x="137"/>
        <item x="2593"/>
        <item x="201"/>
        <item x="685"/>
        <item x="2243"/>
        <item x="2361"/>
        <item x="3410"/>
        <item x="1511"/>
        <item x="1177"/>
        <item x="3063"/>
        <item x="1536"/>
        <item x="1881"/>
        <item x="3039"/>
        <item x="1636"/>
        <item x="3552"/>
        <item x="2837"/>
        <item x="2404"/>
        <item x="3005"/>
        <item x="1073"/>
        <item x="1184"/>
        <item x="2751"/>
        <item x="2965"/>
        <item x="167"/>
        <item x="2809"/>
        <item x="1021"/>
        <item x="2160"/>
        <item x="1909"/>
        <item x="1247"/>
        <item x="993"/>
        <item x="2054"/>
        <item x="1866"/>
        <item x="2102"/>
        <item x="2073"/>
        <item x="1534"/>
        <item x="1271"/>
        <item x="2946"/>
        <item x="636"/>
        <item x="3551"/>
        <item x="2010"/>
        <item x="2930"/>
        <item x="1023"/>
        <item x="1005"/>
        <item x="968"/>
        <item x="3326"/>
        <item x="2689"/>
        <item x="1294"/>
        <item x="2231"/>
        <item x="164"/>
        <item x="1732"/>
        <item x="3205"/>
        <item x="2385"/>
        <item x="2951"/>
        <item x="1385"/>
        <item x="2928"/>
        <item x="1048"/>
        <item x="890"/>
        <item x="2105"/>
        <item x="343"/>
        <item x="1408"/>
        <item x="3258"/>
        <item x="1123"/>
        <item x="2090"/>
        <item x="3469"/>
        <item x="2286"/>
        <item x="2284"/>
        <item x="3275"/>
        <item x="30"/>
        <item x="26"/>
        <item x="1591"/>
        <item x="774"/>
        <item x="1066"/>
        <item x="916"/>
        <item x="3222"/>
        <item x="3378"/>
        <item x="3517"/>
        <item x="780"/>
        <item x="3390"/>
        <item x="2107"/>
        <item x="3603"/>
        <item x="2639"/>
        <item x="989"/>
        <item x="2634"/>
        <item x="2750"/>
        <item x="818"/>
        <item x="3043"/>
        <item x="2485"/>
        <item x="664"/>
        <item x="1549"/>
        <item x="3456"/>
        <item x="3102"/>
        <item x="2866"/>
        <item x="197"/>
        <item x="1839"/>
        <item x="3313"/>
        <item x="269"/>
        <item x="842"/>
        <item x="2467"/>
        <item x="3475"/>
        <item x="109"/>
        <item x="2053"/>
        <item x="1616"/>
        <item x="1178"/>
        <item x="2715"/>
        <item x="2420"/>
        <item x="2982"/>
        <item x="2198"/>
        <item x="3208"/>
        <item x="1119"/>
        <item x="1422"/>
        <item x="748"/>
        <item x="3216"/>
        <item x="1047"/>
        <item x="1751"/>
        <item x="1782"/>
        <item x="2917"/>
        <item x="2949"/>
        <item x="3573"/>
        <item x="478"/>
        <item x="2024"/>
        <item x="2262"/>
        <item x="3437"/>
        <item x="1788"/>
        <item x="1041"/>
        <item x="3530"/>
        <item x="2668"/>
        <item x="1269"/>
        <item x="1809"/>
        <item x="3477"/>
        <item x="2869"/>
        <item x="1102"/>
        <item x="1748"/>
        <item x="1755"/>
        <item x="3162"/>
        <item x="3058"/>
        <item x="2592"/>
        <item x="2446"/>
        <item x="2899"/>
        <item x="3070"/>
        <item x="3249"/>
        <item x="2918"/>
        <item x="275"/>
        <item x="1812"/>
        <item x="2868"/>
        <item x="2950"/>
        <item x="2803"/>
        <item x="2584"/>
        <item x="4"/>
        <item x="3389"/>
        <item x="1952"/>
        <item x="1570"/>
        <item x="2574"/>
        <item x="3408"/>
        <item x="2215"/>
        <item x="2614"/>
        <item x="308"/>
        <item x="2462"/>
        <item x="2945"/>
        <item x="1789"/>
        <item x="1206"/>
        <item x="1268"/>
        <item x="2827"/>
        <item x="3473"/>
        <item x="2688"/>
        <item x="2345"/>
        <item x="817"/>
        <item x="245"/>
        <item x="1176"/>
        <item x="2486"/>
        <item x="3119"/>
        <item x="1122"/>
        <item x="1614"/>
        <item x="3124"/>
        <item x="338"/>
        <item x="3404"/>
        <item x="1342"/>
        <item x="2323"/>
        <item x="165"/>
        <item x="2932"/>
        <item x="3425"/>
        <item x="1128"/>
        <item x="1040"/>
        <item x="1069"/>
        <item x="1595"/>
        <item x="2463"/>
        <item x="1425"/>
        <item x="3219"/>
        <item x="2401"/>
        <item x="3118"/>
        <item x="1783"/>
        <item x="3493"/>
        <item x="2522"/>
        <item x="424"/>
        <item x="1153"/>
        <item x="363"/>
        <item x="3169"/>
        <item x="3260"/>
        <item x="3515"/>
        <item x="2808"/>
        <item x="1572"/>
        <item x="1912"/>
        <item x="662"/>
        <item x="2422"/>
        <item x="2508"/>
        <item x="2783"/>
        <item x="3273"/>
        <item x="2119"/>
        <item x="1501"/>
        <item x="2023"/>
        <item x="3147"/>
        <item x="495"/>
        <item x="2672"/>
        <item x="2916"/>
        <item x="111"/>
        <item x="2378"/>
        <item x="1"/>
        <item x="5"/>
        <item x="947"/>
        <item x="1941"/>
        <item x="2092"/>
        <item x="1535"/>
        <item x="1029"/>
        <item x="1341"/>
        <item x="2458"/>
        <item x="2745"/>
        <item x="1507"/>
        <item x="1406"/>
        <item x="1149"/>
        <item x="494"/>
        <item x="3202"/>
        <item x="1409"/>
        <item x="3276"/>
        <item t="default"/>
      </items>
    </pivotField>
    <pivotField showAll="0">
      <items count="18">
        <item x="7"/>
        <item x="10"/>
        <item x="1"/>
        <item x="6"/>
        <item x="2"/>
        <item x="5"/>
        <item x="8"/>
        <item x="0"/>
        <item x="4"/>
        <item x="11"/>
        <item x="9"/>
        <item x="12"/>
        <item x="3"/>
        <item x="13"/>
        <item x="16"/>
        <item x="14"/>
        <item x="15"/>
        <item t="default"/>
      </items>
    </pivotField>
    <pivotField showAll="0"/>
    <pivotField showAll="0">
      <items count="1649">
        <item x="11"/>
        <item x="1509"/>
        <item x="1412"/>
        <item x="1360"/>
        <item x="1202"/>
        <item x="195"/>
        <item x="130"/>
        <item x="1353"/>
        <item x="677"/>
        <item x="873"/>
        <item x="1065"/>
        <item x="808"/>
        <item x="909"/>
        <item x="599"/>
        <item x="561"/>
        <item x="1446"/>
        <item x="1545"/>
        <item x="1003"/>
        <item x="1233"/>
        <item x="1596"/>
        <item x="181"/>
        <item x="251"/>
        <item x="560"/>
        <item x="695"/>
        <item x="271"/>
        <item x="344"/>
        <item x="694"/>
        <item x="1606"/>
        <item x="1143"/>
        <item x="1043"/>
        <item x="1411"/>
        <item x="1491"/>
        <item x="357"/>
        <item x="1530"/>
        <item x="1617"/>
        <item x="1425"/>
        <item x="1122"/>
        <item x="908"/>
        <item x="946"/>
        <item x="121"/>
        <item x="1373"/>
        <item x="568"/>
        <item x="939"/>
        <item x="1188"/>
        <item x="250"/>
        <item x="369"/>
        <item x="1435"/>
        <item x="97"/>
        <item x="1501"/>
        <item x="1554"/>
        <item x="668"/>
        <item x="1272"/>
        <item x="1052"/>
        <item x="656"/>
        <item x="957"/>
        <item x="559"/>
        <item x="1384"/>
        <item x="1372"/>
        <item x="771"/>
        <item x="517"/>
        <item x="975"/>
        <item x="376"/>
        <item x="901"/>
        <item x="965"/>
        <item x="1307"/>
        <item x="587"/>
        <item x="120"/>
        <item x="119"/>
        <item x="485"/>
        <item x="1445"/>
        <item x="900"/>
        <item x="786"/>
        <item x="187"/>
        <item x="457"/>
        <item x="516"/>
        <item x="1553"/>
        <item x="1261"/>
        <item x="1529"/>
        <item x="1482"/>
        <item x="445"/>
        <item x="54"/>
        <item x="558"/>
        <item x="53"/>
        <item x="29"/>
        <item x="1070"/>
        <item x="859"/>
        <item x="477"/>
        <item x="1042"/>
        <item x="693"/>
        <item x="845"/>
        <item x="1091"/>
        <item x="1187"/>
        <item x="619"/>
        <item x="964"/>
        <item x="18"/>
        <item x="792"/>
        <item x="1027"/>
        <item x="1163"/>
        <item x="1616"/>
        <item x="1405"/>
        <item x="1113"/>
        <item x="270"/>
        <item x="1552"/>
        <item x="28"/>
        <item x="1153"/>
        <item x="763"/>
        <item x="164"/>
        <item x="63"/>
        <item x="1002"/>
        <item x="1352"/>
        <item x="1219"/>
        <item x="1084"/>
        <item x="492"/>
        <item x="52"/>
        <item x="410"/>
        <item x="1551"/>
        <item x="1634"/>
        <item x="1615"/>
        <item x="676"/>
        <item x="956"/>
        <item x="476"/>
        <item x="129"/>
        <item x="1225"/>
        <item x="575"/>
        <item x="384"/>
        <item x="618"/>
        <item x="617"/>
        <item x="540"/>
        <item x="1260"/>
        <item x="899"/>
        <item x="1605"/>
        <item x="1175"/>
        <item x="1259"/>
        <item x="1300"/>
        <item x="1383"/>
        <item x="1224"/>
        <item x="1508"/>
        <item x="1364"/>
        <item x="269"/>
        <item x="41"/>
        <item x="198"/>
        <item x="290"/>
        <item x="1181"/>
        <item x="1424"/>
        <item x="1595"/>
        <item x="268"/>
        <item x="989"/>
        <item x="1026"/>
        <item x="1212"/>
        <item x="1174"/>
        <item x="1565"/>
        <item x="1470"/>
        <item x="51"/>
        <item x="1152"/>
        <item x="1011"/>
        <item x="586"/>
        <item x="1289"/>
        <item x="501"/>
        <item x="882"/>
        <item x="616"/>
        <item x="1271"/>
        <item x="1180"/>
        <item x="858"/>
        <item x="833"/>
        <item x="409"/>
        <item x="10"/>
        <item x="1103"/>
        <item x="770"/>
        <item x="585"/>
        <item x="608"/>
        <item x="1142"/>
        <item x="238"/>
        <item x="684"/>
        <item x="315"/>
        <item x="1594"/>
        <item x="1537"/>
        <item x="898"/>
        <item x="548"/>
        <item x="73"/>
        <item x="396"/>
        <item x="326"/>
        <item x="955"/>
        <item x="857"/>
        <item x="9"/>
        <item x="1201"/>
        <item x="1385"/>
        <item x="762"/>
        <item x="515"/>
        <item x="466"/>
        <item x="500"/>
        <item x="1218"/>
        <item x="1490"/>
        <item x="356"/>
        <item x="709"/>
        <item x="1391"/>
        <item x="675"/>
        <item x="1434"/>
        <item x="761"/>
        <item x="50"/>
        <item x="881"/>
        <item x="753"/>
        <item x="151"/>
        <item x="1450"/>
        <item x="1625"/>
        <item x="752"/>
        <item x="325"/>
        <item x="897"/>
        <item x="1051"/>
        <item x="1346"/>
        <item x="456"/>
        <item x="539"/>
        <item x="1244"/>
        <item x="730"/>
        <item x="1416"/>
        <item x="383"/>
        <item x="1574"/>
        <item x="1584"/>
        <item x="1359"/>
        <item x="455"/>
        <item x="598"/>
        <item x="1382"/>
        <item x="1633"/>
        <item x="674"/>
        <item x="1433"/>
        <item x="212"/>
        <item x="249"/>
        <item x="491"/>
        <item x="355"/>
        <item x="751"/>
        <item x="444"/>
        <item x="443"/>
        <item x="719"/>
        <item x="375"/>
        <item x="1315"/>
        <item x="1314"/>
        <item x="8"/>
        <item x="7"/>
        <item x="1090"/>
        <item x="557"/>
        <item x="1151"/>
        <item x="615"/>
        <item x="324"/>
        <item x="354"/>
        <item x="176"/>
        <item x="128"/>
        <item x="1371"/>
        <item x="718"/>
        <item x="1381"/>
        <item x="1423"/>
        <item x="547"/>
        <item x="511"/>
        <item x="1280"/>
        <item x="1439"/>
        <item x="929"/>
        <item x="435"/>
        <item x="1544"/>
        <item x="434"/>
        <item x="856"/>
        <item x="880"/>
        <item x="1243"/>
        <item x="1573"/>
        <item x="737"/>
        <item x="844"/>
        <item x="150"/>
        <item x="17"/>
        <item x="546"/>
        <item x="1614"/>
        <item x="1351"/>
        <item x="368"/>
        <item x="567"/>
        <item x="1057"/>
        <item x="194"/>
        <item x="420"/>
        <item x="1186"/>
        <item x="118"/>
        <item x="800"/>
        <item x="655"/>
        <item x="538"/>
        <item x="1432"/>
        <item x="1001"/>
        <item x="141"/>
        <item x="1370"/>
        <item x="523"/>
        <item x="938"/>
        <item x="855"/>
        <item x="1150"/>
        <item x="1179"/>
        <item x="1211"/>
        <item x="736"/>
        <item x="814"/>
        <item x="662"/>
        <item x="1270"/>
        <item x="843"/>
        <item x="1083"/>
        <item x="175"/>
        <item x="1335"/>
        <item x="1422"/>
        <item x="1624"/>
        <item x="1313"/>
        <item x="231"/>
        <item x="879"/>
        <item x="237"/>
        <item x="1069"/>
        <item x="826"/>
        <item x="799"/>
        <item x="654"/>
        <item x="661"/>
        <item x="211"/>
        <item x="918"/>
        <item x="367"/>
        <item x="1299"/>
        <item x="210"/>
        <item x="510"/>
        <item x="1572"/>
        <item x="667"/>
        <item x="854"/>
        <item x="163"/>
        <item x="1200"/>
        <item x="1461"/>
        <item x="769"/>
        <item x="1363"/>
        <item x="1162"/>
        <item x="1064"/>
        <item x="289"/>
        <item x="1298"/>
        <item x="1583"/>
        <item x="522"/>
        <item x="1500"/>
        <item x="224"/>
        <item x="785"/>
        <item x="419"/>
        <item x="174"/>
        <item x="418"/>
        <item x="750"/>
        <item x="1444"/>
        <item x="353"/>
        <item x="352"/>
        <item x="872"/>
        <item x="1000"/>
        <item x="626"/>
        <item x="666"/>
        <item x="988"/>
        <item x="1297"/>
        <item x="981"/>
        <item x="1632"/>
        <item x="1063"/>
        <item x="442"/>
        <item x="1078"/>
        <item x="653"/>
        <item x="223"/>
        <item x="395"/>
        <item x="607"/>
        <item x="454"/>
        <item x="556"/>
        <item x="1025"/>
        <item x="127"/>
        <item x="533"/>
        <item x="532"/>
        <item x="343"/>
        <item x="16"/>
        <item x="928"/>
        <item x="1010"/>
        <item x="323"/>
        <item x="749"/>
        <item x="807"/>
        <item x="49"/>
        <item x="230"/>
        <item x="1631"/>
        <item x="665"/>
        <item x="927"/>
        <item x="606"/>
        <item x="126"/>
        <item x="1641"/>
        <item x="945"/>
        <item x="280"/>
        <item x="307"/>
        <item x="1173"/>
        <item x="1141"/>
        <item x="394"/>
        <item x="222"/>
        <item x="108"/>
        <item x="1041"/>
        <item x="465"/>
        <item x="926"/>
        <item x="597"/>
        <item x="980"/>
        <item x="673"/>
        <item x="1077"/>
        <item x="1210"/>
        <item x="267"/>
        <item x="1112"/>
        <item x="825"/>
        <item x="1460"/>
        <item x="784"/>
        <item x="963"/>
        <item x="248"/>
        <item x="1518"/>
        <item x="433"/>
        <item x="1404"/>
        <item x="186"/>
        <item x="107"/>
        <item x="209"/>
        <item x="173"/>
        <item x="842"/>
        <item x="708"/>
        <item x="907"/>
        <item x="683"/>
        <item x="490"/>
        <item x="40"/>
        <item x="692"/>
        <item x="62"/>
        <item x="691"/>
        <item x="596"/>
        <item x="806"/>
        <item x="729"/>
        <item x="999"/>
        <item x="1252"/>
        <item x="6"/>
        <item x="288"/>
        <item x="1223"/>
        <item x="1403"/>
        <item x="1209"/>
        <item x="338"/>
        <item x="1528"/>
        <item x="236"/>
        <item x="633"/>
        <item x="149"/>
        <item x="652"/>
        <item x="1499"/>
        <item x="798"/>
        <item x="140"/>
        <item x="1161"/>
        <item x="797"/>
        <item x="1306"/>
        <item x="1527"/>
        <item x="229"/>
        <item x="1199"/>
        <item x="1526"/>
        <item x="1062"/>
        <item x="48"/>
        <item x="605"/>
        <item x="748"/>
        <item x="106"/>
        <item x="139"/>
        <item x="1024"/>
        <item x="228"/>
        <item x="805"/>
        <item x="1325"/>
        <item x="61"/>
        <item x="1242"/>
        <item x="374"/>
        <item x="1160"/>
        <item x="682"/>
        <item x="1358"/>
        <item x="1593"/>
        <item x="1149"/>
        <item x="813"/>
        <item x="1269"/>
        <item x="555"/>
        <item x="1402"/>
        <item x="783"/>
        <item x="925"/>
        <item x="1148"/>
        <item x="998"/>
        <item x="584"/>
        <item x="1357"/>
        <item x="595"/>
        <item x="306"/>
        <item x="1438"/>
        <item x="509"/>
        <item x="1443"/>
        <item x="747"/>
        <item x="1481"/>
        <item x="342"/>
        <item x="47"/>
        <item x="322"/>
        <item x="1050"/>
        <item x="162"/>
        <item x="88"/>
        <item x="954"/>
        <item x="1613"/>
        <item x="27"/>
        <item x="1076"/>
        <item x="728"/>
        <item x="1459"/>
        <item x="1480"/>
        <item x="1140"/>
        <item x="660"/>
        <item x="1380"/>
        <item x="1612"/>
        <item x="1139"/>
        <item x="408"/>
        <item x="337"/>
        <item x="1121"/>
        <item x="604"/>
        <item x="46"/>
        <item x="441"/>
        <item x="1345"/>
        <item x="1437"/>
        <item x="117"/>
        <item x="1296"/>
        <item x="148"/>
        <item x="896"/>
        <item x="258"/>
        <item x="1469"/>
        <item x="1049"/>
        <item x="305"/>
        <item x="1009"/>
        <item x="475"/>
        <item x="116"/>
        <item x="257"/>
        <item x="1295"/>
        <item x="1390"/>
        <item x="1369"/>
        <item x="1032"/>
        <item x="508"/>
        <item x="1401"/>
        <item x="871"/>
        <item x="1334"/>
        <item x="26"/>
        <item x="760"/>
        <item x="841"/>
        <item x="1333"/>
        <item x="15"/>
        <item x="1023"/>
        <item x="72"/>
        <item x="1294"/>
        <item x="161"/>
        <item x="351"/>
        <item x="782"/>
        <item x="208"/>
        <item x="625"/>
        <item x="644"/>
        <item x="865"/>
        <item x="521"/>
        <item x="1635"/>
        <item x="147"/>
        <item x="651"/>
        <item x="1102"/>
        <item x="707"/>
        <item x="804"/>
        <item x="115"/>
        <item x="1312"/>
        <item x="304"/>
        <item x="791"/>
        <item x="1101"/>
        <item x="735"/>
        <item x="14"/>
        <item x="1507"/>
        <item x="1268"/>
        <item x="1623"/>
        <item x="1324"/>
        <item x="1550"/>
        <item x="1138"/>
        <item x="1449"/>
        <item x="1389"/>
        <item x="1031"/>
        <item x="1517"/>
        <item x="1564"/>
        <item x="1410"/>
        <item x="1344"/>
        <item x="1468"/>
        <item x="1185"/>
        <item x="499"/>
        <item x="1279"/>
        <item x="1458"/>
        <item x="1498"/>
        <item x="160"/>
        <item x="172"/>
        <item x="537"/>
        <item x="197"/>
        <item x="25"/>
        <item x="1647"/>
        <item x="1400"/>
        <item x="574"/>
        <item x="878"/>
        <item x="790"/>
        <item x="962"/>
        <item x="391"/>
        <item x="1135"/>
        <item x="1198"/>
        <item x="997"/>
        <item x="594"/>
        <item x="1040"/>
        <item x="717"/>
        <item x="1640"/>
        <item x="1089"/>
        <item x="303"/>
        <item x="1305"/>
        <item x="1137"/>
        <item x="1323"/>
        <item x="1582"/>
        <item x="1008"/>
        <item x="24"/>
        <item x="789"/>
        <item x="664"/>
        <item x="1379"/>
        <item x="690"/>
        <item x="659"/>
        <item x="974"/>
        <item x="1082"/>
        <item x="1604"/>
        <item x="1048"/>
        <item x="336"/>
        <item x="1111"/>
        <item x="407"/>
        <item x="1075"/>
        <item x="432"/>
        <item x="768"/>
        <item x="474"/>
        <item x="406"/>
        <item x="727"/>
        <item x="405"/>
        <item x="114"/>
        <item x="824"/>
        <item x="247"/>
        <item x="1322"/>
        <item x="1197"/>
        <item x="996"/>
        <item x="279"/>
        <item x="171"/>
        <item x="5"/>
        <item x="246"/>
        <item x="1563"/>
        <item x="335"/>
        <item x="1321"/>
        <item x="507"/>
        <item x="877"/>
        <item x="746"/>
        <item x="1022"/>
        <item x="1442"/>
        <item x="453"/>
        <item x="87"/>
        <item x="113"/>
        <item x="1356"/>
        <item x="734"/>
        <item x="506"/>
        <item x="1172"/>
        <item x="1431"/>
        <item x="1100"/>
        <item x="0"/>
        <item x="1571"/>
        <item x="390"/>
        <item x="583"/>
        <item x="1288"/>
        <item x="823"/>
        <item x="520"/>
        <item x="536"/>
        <item x="39"/>
        <item x="170"/>
        <item x="566"/>
        <item x="953"/>
        <item x="1217"/>
        <item x="1489"/>
        <item x="38"/>
        <item x="193"/>
        <item x="404"/>
        <item x="706"/>
        <item x="610"/>
        <item x="1216"/>
        <item x="245"/>
        <item x="1232"/>
        <item x="389"/>
        <item x="146"/>
        <item x="1592"/>
        <item x="403"/>
        <item x="812"/>
        <item x="632"/>
        <item x="1047"/>
        <item x="1332"/>
        <item x="726"/>
        <item x="1241"/>
        <item x="514"/>
        <item x="1388"/>
        <item x="125"/>
        <item x="60"/>
        <item x="1081"/>
        <item x="1287"/>
        <item x="1068"/>
        <item x="138"/>
        <item x="431"/>
        <item x="23"/>
        <item x="573"/>
        <item x="631"/>
        <item x="302"/>
        <item x="1516"/>
        <item x="192"/>
        <item x="1251"/>
        <item x="1479"/>
        <item x="973"/>
        <item x="987"/>
        <item x="4"/>
        <item x="489"/>
        <item x="1278"/>
        <item x="96"/>
        <item x="1581"/>
        <item x="1258"/>
        <item x="1088"/>
        <item x="185"/>
        <item x="1056"/>
        <item x="906"/>
        <item x="37"/>
        <item x="1196"/>
        <item x="334"/>
        <item x="1147"/>
        <item x="505"/>
        <item x="1267"/>
        <item x="1639"/>
        <item x="95"/>
        <item x="59"/>
        <item x="1039"/>
        <item x="1536"/>
        <item x="1110"/>
        <item x="822"/>
        <item x="124"/>
        <item x="1603"/>
        <item x="870"/>
        <item x="689"/>
        <item x="1355"/>
        <item x="643"/>
        <item x="917"/>
        <item x="853"/>
        <item x="1159"/>
        <item x="1087"/>
        <item x="1109"/>
        <item x="832"/>
        <item x="1134"/>
        <item x="301"/>
        <item x="1562"/>
        <item x="207"/>
        <item x="1561"/>
        <item x="86"/>
        <item x="1061"/>
        <item x="1430"/>
        <item x="876"/>
        <item x="1478"/>
        <item x="1099"/>
        <item x="206"/>
        <item x="895"/>
        <item x="1257"/>
        <item x="393"/>
        <item x="180"/>
        <item x="759"/>
        <item x="1007"/>
        <item x="781"/>
        <item x="484"/>
        <item x="1108"/>
        <item x="642"/>
        <item x="1240"/>
        <item x="1277"/>
        <item x="235"/>
        <item x="681"/>
        <item x="71"/>
        <item x="498"/>
        <item x="1630"/>
        <item x="716"/>
        <item x="952"/>
        <item x="85"/>
        <item x="112"/>
        <item x="767"/>
        <item x="1354"/>
        <item x="278"/>
        <item x="256"/>
        <item x="1497"/>
        <item x="1429"/>
        <item x="1146"/>
        <item x="205"/>
        <item x="1286"/>
        <item x="1158"/>
        <item x="159"/>
        <item x="430"/>
        <item x="869"/>
        <item x="158"/>
        <item x="624"/>
        <item x="94"/>
        <item x="221"/>
        <item x="773"/>
        <item x="1560"/>
        <item x="227"/>
        <item x="937"/>
        <item x="614"/>
        <item x="1060"/>
        <item x="531"/>
        <item x="1195"/>
        <item x="1256"/>
        <item x="572"/>
        <item x="300"/>
        <item x="1455"/>
        <item x="1515"/>
        <item x="1646"/>
        <item x="497"/>
        <item x="565"/>
        <item x="366"/>
        <item x="1293"/>
        <item x="464"/>
        <item x="554"/>
        <item x="780"/>
        <item x="333"/>
        <item x="184"/>
        <item x="1059"/>
        <item x="650"/>
        <item x="1250"/>
        <item x="745"/>
        <item x="513"/>
        <item x="123"/>
        <item x="266"/>
        <item x="766"/>
        <item x="623"/>
        <item x="1192"/>
        <item x="1239"/>
        <item x="277"/>
        <item x="93"/>
        <item x="488"/>
        <item x="1021"/>
        <item x="811"/>
        <item x="220"/>
        <item x="641"/>
        <item x="1436"/>
        <item x="1559"/>
        <item x="1558"/>
        <item x="852"/>
        <item x="1215"/>
        <item x="1602"/>
        <item x="191"/>
        <item x="402"/>
        <item x="137"/>
        <item x="1350"/>
        <item x="995"/>
        <item x="452"/>
        <item x="864"/>
        <item x="1098"/>
        <item x="725"/>
        <item x="1638"/>
        <item x="1378"/>
        <item x="744"/>
        <item x="219"/>
        <item x="961"/>
        <item x="1038"/>
        <item x="1292"/>
        <item x="1304"/>
        <item x="894"/>
        <item x="535"/>
        <item x="1285"/>
        <item x="1349"/>
        <item x="1235"/>
        <item x="179"/>
        <item x="1409"/>
        <item x="145"/>
        <item x="1421"/>
        <item x="226"/>
        <item x="1020"/>
        <item x="234"/>
        <item x="255"/>
        <item x="724"/>
        <item x="183"/>
        <item x="916"/>
        <item x="1107"/>
        <item x="473"/>
        <item x="803"/>
        <item x="1415"/>
        <item x="190"/>
        <item x="1570"/>
        <item x="178"/>
        <item x="472"/>
        <item x="417"/>
        <item x="1171"/>
        <item x="1208"/>
        <item x="45"/>
        <item x="265"/>
        <item x="84"/>
        <item x="429"/>
        <item x="1019"/>
        <item x="401"/>
        <item x="314"/>
        <item x="1157"/>
        <item x="144"/>
        <item x="463"/>
        <item x="545"/>
        <item x="462"/>
        <item x="796"/>
        <item x="136"/>
        <item x="341"/>
        <item x="1097"/>
        <item x="649"/>
        <item x="1214"/>
        <item x="1106"/>
        <item x="1645"/>
        <item x="1448"/>
        <item x="972"/>
        <item x="36"/>
        <item x="1629"/>
        <item x="276"/>
        <item x="1608"/>
        <item x="157"/>
        <item x="461"/>
        <item x="915"/>
        <item x="893"/>
        <item x="487"/>
        <item x="1525"/>
        <item x="613"/>
        <item x="313"/>
        <item x="44"/>
        <item x="1496"/>
        <item x="365"/>
        <item x="92"/>
        <item x="875"/>
        <item x="1238"/>
        <item x="905"/>
        <item x="593"/>
        <item x="705"/>
        <item x="1170"/>
        <item x="1420"/>
        <item x="3"/>
        <item x="571"/>
        <item x="135"/>
        <item x="743"/>
        <item x="350"/>
        <item x="1477"/>
        <item x="1207"/>
        <item x="1488"/>
        <item x="428"/>
        <item x="940"/>
        <item x="91"/>
        <item x="225"/>
        <item x="936"/>
        <item x="1543"/>
        <item x="373"/>
        <item x="723"/>
        <item x="483"/>
        <item x="530"/>
        <item x="892"/>
        <item x="451"/>
        <item x="1447"/>
        <item x="450"/>
        <item x="1046"/>
        <item x="582"/>
        <item x="640"/>
        <item x="831"/>
        <item x="427"/>
        <item x="332"/>
        <item x="58"/>
        <item x="496"/>
        <item x="35"/>
        <item x="388"/>
        <item x="1387"/>
        <item x="70"/>
        <item x="1399"/>
        <item x="299"/>
        <item x="331"/>
        <item x="755"/>
        <item x="570"/>
        <item x="1428"/>
        <item x="1454"/>
        <item x="1074"/>
        <item x="504"/>
        <item x="1457"/>
        <item x="1524"/>
        <item x="1580"/>
        <item x="742"/>
        <item x="1368"/>
        <item x="1495"/>
        <item x="1506"/>
        <item x="1343"/>
        <item x="1255"/>
        <item x="382"/>
        <item x="733"/>
        <item x="512"/>
        <item x="1494"/>
        <item x="1184"/>
        <item x="275"/>
        <item x="648"/>
        <item x="264"/>
        <item x="1096"/>
        <item x="426"/>
        <item x="971"/>
        <item x="1266"/>
        <item x="647"/>
        <item x="1487"/>
        <item x="1331"/>
        <item x="1453"/>
        <item x="1037"/>
        <item x="83"/>
        <item x="218"/>
        <item x="156"/>
        <item x="155"/>
        <item x="1133"/>
        <item x="821"/>
        <item x="440"/>
        <item x="612"/>
        <item x="22"/>
        <item x="449"/>
        <item x="397"/>
        <item x="1231"/>
        <item x="244"/>
        <item x="863"/>
        <item x="891"/>
        <item x="1254"/>
        <item x="217"/>
        <item x="204"/>
        <item x="364"/>
        <item x="1128"/>
        <item x="1265"/>
        <item x="43"/>
        <item x="34"/>
        <item x="1230"/>
        <item x="890"/>
        <item x="840"/>
        <item x="1362"/>
        <item x="1291"/>
        <item x="1486"/>
        <item x="862"/>
        <item x="1569"/>
        <item x="889"/>
        <item x="1080"/>
        <item x="321"/>
        <item x="529"/>
        <item x="482"/>
        <item x="779"/>
        <item x="704"/>
        <item x="1320"/>
        <item x="630"/>
        <item x="243"/>
        <item x="481"/>
        <item x="1311"/>
        <item x="703"/>
        <item x="544"/>
        <item x="64"/>
        <item x="528"/>
        <item x="888"/>
        <item x="1342"/>
        <item x="1408"/>
        <item x="1398"/>
        <item x="1377"/>
        <item x="1058"/>
        <item x="1145"/>
        <item x="732"/>
        <item x="1183"/>
        <item x="904"/>
        <item x="1303"/>
        <item x="688"/>
        <item x="851"/>
        <item x="1249"/>
        <item x="439"/>
        <item x="778"/>
        <item x="1310"/>
        <item x="1493"/>
        <item x="1018"/>
        <item x="543"/>
        <item x="1055"/>
        <item x="1579"/>
        <item x="320"/>
        <item x="960"/>
        <item x="400"/>
        <item x="1127"/>
        <item x="381"/>
        <item x="765"/>
        <item x="569"/>
        <item x="758"/>
        <item x="1568"/>
        <item x="1361"/>
        <item x="1284"/>
        <item x="850"/>
        <item x="1549"/>
        <item x="438"/>
        <item x="994"/>
        <item x="581"/>
        <item x="1601"/>
        <item x="460"/>
        <item x="830"/>
        <item x="1054"/>
        <item x="1414"/>
        <item x="274"/>
        <item x="868"/>
        <item x="263"/>
        <item x="330"/>
        <item x="33"/>
        <item x="680"/>
        <item x="1578"/>
        <item x="1376"/>
        <item x="527"/>
        <item x="363"/>
        <item x="722"/>
        <item x="182"/>
        <item x="1079"/>
        <item x="577"/>
        <item x="1036"/>
        <item x="254"/>
        <item x="1169"/>
        <item x="1341"/>
        <item x="349"/>
        <item x="1467"/>
        <item x="134"/>
        <item x="820"/>
        <item x="458"/>
        <item x="448"/>
        <item x="849"/>
        <item x="1248"/>
        <item x="1397"/>
        <item x="1611"/>
        <item x="471"/>
        <item x="1105"/>
        <item x="951"/>
        <item x="470"/>
        <item x="82"/>
        <item x="1644"/>
        <item x="603"/>
        <item x="1622"/>
        <item x="1628"/>
        <item x="169"/>
        <item x="262"/>
        <item x="1348"/>
        <item x="32"/>
        <item x="380"/>
        <item x="887"/>
        <item x="1330"/>
        <item x="839"/>
        <item x="81"/>
        <item x="1086"/>
        <item x="340"/>
        <item x="2"/>
        <item x="1006"/>
        <item x="1126"/>
        <item x="189"/>
        <item x="580"/>
        <item x="914"/>
        <item x="379"/>
        <item x="1095"/>
        <item x="757"/>
        <item x="1535"/>
        <item x="362"/>
        <item x="1591"/>
        <item x="874"/>
        <item x="1466"/>
        <item x="764"/>
        <item x="534"/>
        <item x="979"/>
        <item x="542"/>
        <item x="168"/>
        <item x="1476"/>
        <item x="710"/>
        <item x="387"/>
        <item x="1367"/>
        <item x="1206"/>
        <item x="802"/>
        <item x="425"/>
        <item x="687"/>
        <item x="424"/>
        <item x="924"/>
        <item x="80"/>
        <item x="777"/>
        <item x="1329"/>
        <item x="602"/>
        <item x="702"/>
        <item x="686"/>
        <item x="1237"/>
        <item x="741"/>
        <item x="216"/>
        <item x="970"/>
        <item x="935"/>
        <item x="1302"/>
        <item x="298"/>
        <item x="1557"/>
        <item x="829"/>
        <item x="740"/>
        <item x="416"/>
        <item x="886"/>
        <item x="622"/>
        <item x="986"/>
        <item x="1542"/>
        <item x="639"/>
        <item x="756"/>
        <item x="774"/>
        <item x="810"/>
        <item x="312"/>
        <item x="21"/>
        <item x="1156"/>
        <item x="969"/>
        <item x="1534"/>
        <item x="1229"/>
        <item x="502"/>
        <item x="1005"/>
        <item x="1168"/>
        <item x="79"/>
        <item x="105"/>
        <item x="311"/>
        <item x="913"/>
        <item x="297"/>
        <item x="601"/>
        <item x="1194"/>
        <item x="57"/>
        <item x="715"/>
        <item x="1567"/>
        <item x="319"/>
        <item x="1132"/>
        <item x="196"/>
        <item x="131"/>
        <item x="215"/>
        <item x="143"/>
        <item x="253"/>
        <item x="1340"/>
        <item x="69"/>
        <item x="1475"/>
        <item x="526"/>
        <item x="232"/>
        <item x="20"/>
        <item x="447"/>
        <item x="1523"/>
        <item x="985"/>
        <item x="272"/>
        <item x="592"/>
        <item x="469"/>
        <item x="1590"/>
        <item x="1522"/>
        <item x="415"/>
        <item x="348"/>
        <item x="1017"/>
        <item x="133"/>
        <item x="931"/>
        <item x="564"/>
        <item x="1577"/>
        <item x="1123"/>
        <item x="923"/>
        <item x="714"/>
        <item x="339"/>
        <item x="525"/>
        <item x="885"/>
        <item x="1030"/>
        <item x="386"/>
        <item x="372"/>
        <item x="233"/>
        <item x="1492"/>
        <item x="1016"/>
        <item x="1167"/>
        <item x="672"/>
        <item x="1474"/>
        <item x="414"/>
        <item x="1319"/>
        <item x="1600"/>
        <item x="1029"/>
        <item x="1015"/>
        <item x="468"/>
        <item x="801"/>
        <item x="459"/>
        <item x="423"/>
        <item x="261"/>
        <item x="1589"/>
        <item x="611"/>
        <item x="739"/>
        <item x="203"/>
        <item x="591"/>
        <item x="78"/>
        <item x="731"/>
        <item x="912"/>
        <item x="437"/>
        <item x="1120"/>
        <item x="671"/>
        <item x="188"/>
        <item x="1247"/>
        <item x="287"/>
        <item x="31"/>
        <item x="104"/>
        <item x="111"/>
        <item x="310"/>
        <item x="68"/>
        <item x="1541"/>
        <item x="347"/>
        <item x="154"/>
        <item x="1621"/>
        <item x="713"/>
        <item x="1556"/>
        <item x="103"/>
        <item x="1318"/>
        <item x="1276"/>
        <item x="296"/>
        <item x="1407"/>
        <item x="663"/>
        <item x="214"/>
        <item x="77"/>
        <item x="1094"/>
        <item x="638"/>
        <item x="867"/>
        <item x="293"/>
        <item x="1317"/>
        <item x="670"/>
        <item x="167"/>
        <item x="1392"/>
        <item x="67"/>
        <item x="399"/>
        <item x="795"/>
        <item x="541"/>
        <item x="202"/>
        <item x="1164"/>
        <item x="213"/>
        <item x="1222"/>
        <item x="1627"/>
        <item x="721"/>
        <item x="1067"/>
        <item x="1275"/>
        <item x="1073"/>
        <item x="1178"/>
        <item x="318"/>
        <item x="884"/>
        <item x="1533"/>
        <item x="370"/>
        <item x="553"/>
        <item x="392"/>
        <item x="385"/>
        <item x="1514"/>
        <item x="165"/>
        <item x="950"/>
        <item x="1610"/>
        <item x="1510"/>
        <item x="993"/>
        <item x="329"/>
        <item x="949"/>
        <item x="1441"/>
        <item x="201"/>
        <item x="102"/>
        <item x="378"/>
        <item x="1636"/>
        <item x="788"/>
        <item x="317"/>
        <item x="776"/>
        <item x="377"/>
        <item x="1473"/>
        <item x="1045"/>
        <item x="1177"/>
        <item x="76"/>
        <item x="75"/>
        <item x="1234"/>
        <item x="637"/>
        <item x="1566"/>
        <item x="110"/>
        <item x="679"/>
        <item x="1114"/>
        <item x="1014"/>
        <item x="1375"/>
        <item x="1220"/>
        <item x="480"/>
        <item x="242"/>
        <item x="1013"/>
        <item x="1609"/>
        <item x="1283"/>
        <item x="629"/>
        <item x="701"/>
        <item x="563"/>
        <item x="524"/>
        <item x="1419"/>
        <item x="295"/>
        <item x="42"/>
        <item x="861"/>
        <item x="1033"/>
        <item x="1274"/>
        <item x="984"/>
        <item x="260"/>
        <item x="199"/>
        <item x="153"/>
        <item x="1505"/>
        <item x="1472"/>
        <item x="361"/>
        <item x="552"/>
        <item x="503"/>
        <item x="1035"/>
        <item x="576"/>
        <item x="978"/>
        <item x="992"/>
        <item x="177"/>
        <item x="1485"/>
        <item x="1548"/>
        <item x="1532"/>
        <item x="1637"/>
        <item x="132"/>
        <item x="1316"/>
        <item x="968"/>
        <item x="90"/>
        <item x="55"/>
        <item x="495"/>
        <item x="1282"/>
        <item x="286"/>
        <item x="101"/>
        <item x="1607"/>
        <item x="1273"/>
        <item x="1547"/>
        <item x="809"/>
        <item x="794"/>
        <item x="1044"/>
        <item x="1396"/>
        <item x="1620"/>
        <item x="1456"/>
        <item x="848"/>
        <item x="89"/>
        <item x="983"/>
        <item x="1395"/>
        <item x="1521"/>
        <item x="1339"/>
        <item x="1246"/>
        <item x="13"/>
        <item x="327"/>
        <item x="19"/>
        <item x="241"/>
        <item x="922"/>
        <item x="860"/>
        <item x="1193"/>
        <item x="669"/>
        <item x="1619"/>
        <item x="1053"/>
        <item x="360"/>
        <item x="562"/>
        <item x="934"/>
        <item x="479"/>
        <item x="1309"/>
        <item x="1119"/>
        <item x="551"/>
        <item x="838"/>
        <item x="478"/>
        <item x="1012"/>
        <item x="1034"/>
        <item x="883"/>
        <item x="775"/>
        <item x="1262"/>
        <item x="285"/>
        <item x="1465"/>
        <item x="359"/>
        <item x="1066"/>
        <item x="413"/>
        <item x="1513"/>
        <item x="579"/>
        <item x="1484"/>
        <item x="1427"/>
        <item x="991"/>
        <item x="486"/>
        <item x="1599"/>
        <item x="600"/>
        <item x="240"/>
        <item x="837"/>
        <item x="1586"/>
        <item x="1191"/>
        <item x="100"/>
        <item x="519"/>
        <item x="1555"/>
        <item x="1394"/>
        <item x="550"/>
        <item x="1338"/>
        <item x="291"/>
        <item x="1072"/>
        <item x="1228"/>
        <item x="1452"/>
        <item x="819"/>
        <item x="328"/>
        <item x="346"/>
        <item x="1221"/>
        <item x="422"/>
        <item x="1585"/>
        <item x="1588"/>
        <item x="316"/>
        <item x="959"/>
        <item x="1104"/>
        <item x="467"/>
        <item x="1512"/>
        <item x="493"/>
        <item x="958"/>
        <item x="284"/>
        <item x="1281"/>
        <item x="1328"/>
        <item x="1155"/>
        <item x="1546"/>
        <item x="1136"/>
        <item x="239"/>
        <item x="1166"/>
        <item x="627"/>
        <item x="967"/>
        <item x="122"/>
        <item x="200"/>
        <item x="948"/>
        <item x="273"/>
        <item x="30"/>
        <item x="1327"/>
        <item x="283"/>
        <item x="700"/>
        <item x="944"/>
        <item x="1326"/>
        <item x="921"/>
        <item x="1483"/>
        <item x="1538"/>
        <item x="1227"/>
        <item x="1290"/>
        <item x="1463"/>
        <item x="920"/>
        <item x="1308"/>
        <item x="658"/>
        <item x="74"/>
        <item x="1440"/>
        <item x="836"/>
        <item x="1028"/>
        <item x="933"/>
        <item x="1144"/>
        <item x="678"/>
        <item x="1154"/>
        <item x="1264"/>
        <item x="738"/>
        <item x="1386"/>
        <item x="1464"/>
        <item x="1203"/>
        <item x="1540"/>
        <item x="620"/>
        <item x="636"/>
        <item x="1503"/>
        <item x="1085"/>
        <item x="1418"/>
        <item x="358"/>
        <item x="621"/>
        <item x="635"/>
        <item x="1643"/>
        <item x="294"/>
        <item x="345"/>
        <item x="371"/>
        <item x="754"/>
        <item x="282"/>
        <item x="815"/>
        <item x="1337"/>
        <item x="411"/>
        <item x="930"/>
        <item x="990"/>
        <item x="1520"/>
        <item x="98"/>
        <item x="911"/>
        <item x="1124"/>
        <item x="446"/>
        <item x="66"/>
        <item x="12"/>
        <item x="941"/>
        <item x="1"/>
        <item x="977"/>
        <item x="634"/>
        <item x="1642"/>
        <item x="99"/>
        <item x="1598"/>
        <item x="1531"/>
        <item x="142"/>
        <item x="281"/>
        <item x="398"/>
        <item x="1263"/>
        <item x="1413"/>
        <item x="1471"/>
        <item x="1226"/>
        <item x="56"/>
        <item x="1131"/>
        <item x="982"/>
        <item x="1504"/>
        <item x="919"/>
        <item x="947"/>
        <item x="1129"/>
        <item x="1190"/>
        <item x="1245"/>
        <item x="1587"/>
        <item x="1417"/>
        <item x="412"/>
        <item x="609"/>
        <item x="1236"/>
        <item x="711"/>
        <item x="942"/>
        <item x="943"/>
        <item x="827"/>
        <item x="696"/>
        <item x="847"/>
        <item x="1462"/>
        <item x="292"/>
        <item x="645"/>
        <item x="698"/>
        <item x="1451"/>
        <item x="166"/>
        <item x="309"/>
        <item x="1004"/>
        <item x="1576"/>
        <item x="866"/>
        <item x="828"/>
        <item x="846"/>
        <item x="1406"/>
        <item x="835"/>
        <item x="834"/>
        <item x="1176"/>
        <item x="1253"/>
        <item x="518"/>
        <item x="436"/>
        <item x="793"/>
        <item x="720"/>
        <item x="308"/>
        <item x="252"/>
        <item x="816"/>
        <item x="818"/>
        <item x="697"/>
        <item x="910"/>
        <item x="1115"/>
        <item x="712"/>
        <item x="817"/>
        <item x="787"/>
        <item x="1301"/>
        <item x="1347"/>
        <item x="1336"/>
        <item x="1213"/>
        <item x="494"/>
        <item x="699"/>
        <item x="1365"/>
        <item x="1117"/>
        <item x="966"/>
        <item x="1426"/>
        <item x="65"/>
        <item x="109"/>
        <item x="152"/>
        <item x="421"/>
        <item x="1189"/>
        <item x="1502"/>
        <item x="976"/>
        <item x="1366"/>
        <item x="1374"/>
        <item x="590"/>
        <item x="1626"/>
        <item x="1539"/>
        <item x="1165"/>
        <item x="903"/>
        <item x="657"/>
        <item x="1575"/>
        <item x="549"/>
        <item x="646"/>
        <item x="1511"/>
        <item x="1182"/>
        <item x="1116"/>
        <item x="588"/>
        <item x="1118"/>
        <item x="1092"/>
        <item x="902"/>
        <item x="259"/>
        <item x="1204"/>
        <item x="1093"/>
        <item x="685"/>
        <item x="772"/>
        <item x="932"/>
        <item x="1071"/>
        <item x="1393"/>
        <item x="1618"/>
        <item x="1130"/>
        <item x="1519"/>
        <item x="1205"/>
        <item x="1125"/>
        <item x="1597"/>
        <item x="628"/>
        <item x="589"/>
        <item x="578"/>
        <item t="default"/>
      </items>
    </pivotField>
    <pivotField showAll="0"/>
    <pivotField showAll="0">
      <items count="17">
        <item x="8"/>
        <item x="4"/>
        <item x="11"/>
        <item x="15"/>
        <item x="6"/>
        <item x="3"/>
        <item x="14"/>
        <item x="9"/>
        <item x="7"/>
        <item x="0"/>
        <item x="10"/>
        <item x="12"/>
        <item x="1"/>
        <item x="5"/>
        <item x="2"/>
        <item x="13"/>
        <item t="default"/>
      </items>
    </pivotField>
    <pivotField axis="axisRow" dataField="1" showAll="0">
      <items count="6">
        <item x="4"/>
        <item x="2"/>
        <item x="0"/>
        <item x="1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Количество по полю satisfaction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2"/>
  <sheetViews>
    <sheetView workbookViewId="0">
      <selection activeCell="H20" sqref="H20"/>
    </sheetView>
  </sheetViews>
  <sheetFormatPr defaultRowHeight="14.4"/>
  <cols>
    <col min="1" max="1" width="17" bestFit="1" customWidth="1"/>
    <col min="2" max="2" width="35.44140625" customWidth="1"/>
    <col min="7" max="8" width="12.77734375" customWidth="1"/>
  </cols>
  <sheetData>
    <row r="3" spans="1:8">
      <c r="A3" s="2" t="s">
        <v>52</v>
      </c>
      <c r="B3" t="s">
        <v>75</v>
      </c>
      <c r="F3" t="s">
        <v>73</v>
      </c>
      <c r="G3" t="s">
        <v>84</v>
      </c>
      <c r="H3" t="s">
        <v>85</v>
      </c>
    </row>
    <row r="4" spans="1:8">
      <c r="A4" s="9">
        <v>1</v>
      </c>
      <c r="B4" s="4">
        <v>33009.179999999993</v>
      </c>
      <c r="F4" s="9" t="s">
        <v>77</v>
      </c>
      <c r="G4" s="4">
        <v>325</v>
      </c>
      <c r="H4">
        <v>569</v>
      </c>
    </row>
    <row r="5" spans="1:8">
      <c r="A5" s="9">
        <v>2</v>
      </c>
      <c r="B5" s="4">
        <v>26399.060000000005</v>
      </c>
      <c r="F5" s="9" t="s">
        <v>78</v>
      </c>
      <c r="G5" s="4">
        <v>281</v>
      </c>
      <c r="H5">
        <v>483</v>
      </c>
    </row>
    <row r="6" spans="1:8">
      <c r="A6" s="9">
        <v>3</v>
      </c>
      <c r="B6" s="4">
        <v>28658.520000000008</v>
      </c>
      <c r="F6" s="9" t="s">
        <v>79</v>
      </c>
      <c r="G6" s="4">
        <v>316</v>
      </c>
      <c r="H6">
        <v>526</v>
      </c>
    </row>
    <row r="7" spans="1:8">
      <c r="A7" s="9">
        <v>4</v>
      </c>
      <c r="B7" s="4">
        <v>28792.179999999986</v>
      </c>
      <c r="F7" s="9" t="s">
        <v>80</v>
      </c>
      <c r="G7" s="4">
        <v>304</v>
      </c>
      <c r="H7">
        <v>546</v>
      </c>
    </row>
    <row r="8" spans="1:8">
      <c r="A8" s="9">
        <v>5</v>
      </c>
      <c r="B8" s="4">
        <v>30222.999999999989</v>
      </c>
      <c r="F8" s="9" t="s">
        <v>81</v>
      </c>
      <c r="G8" s="4">
        <v>316</v>
      </c>
      <c r="H8">
        <v>550</v>
      </c>
    </row>
    <row r="9" spans="1:8">
      <c r="A9" s="9">
        <v>6</v>
      </c>
      <c r="B9" s="4">
        <v>27556.910000000011</v>
      </c>
      <c r="F9" s="9" t="s">
        <v>82</v>
      </c>
      <c r="G9" s="4">
        <v>278</v>
      </c>
      <c r="H9">
        <v>506</v>
      </c>
    </row>
    <row r="10" spans="1:8">
      <c r="A10" s="9" t="s">
        <v>74</v>
      </c>
      <c r="B10" s="4">
        <v>174638.85</v>
      </c>
    </row>
    <row r="11" spans="1:8">
      <c r="F11" t="s">
        <v>73</v>
      </c>
      <c r="G11" t="s">
        <v>86</v>
      </c>
    </row>
    <row r="12" spans="1:8">
      <c r="F12" s="9" t="s">
        <v>77</v>
      </c>
      <c r="G12" s="13">
        <v>33009.179999999993</v>
      </c>
    </row>
    <row r="13" spans="1:8">
      <c r="A13" s="2" t="s">
        <v>10</v>
      </c>
      <c r="B13" t="s">
        <v>83</v>
      </c>
      <c r="F13" s="9" t="s">
        <v>78</v>
      </c>
      <c r="G13" s="13">
        <v>26399.060000000005</v>
      </c>
    </row>
    <row r="14" spans="1:8">
      <c r="F14" s="9" t="s">
        <v>79</v>
      </c>
      <c r="G14" s="13">
        <v>28658.520000000008</v>
      </c>
    </row>
    <row r="15" spans="1:8">
      <c r="A15" s="2" t="s">
        <v>52</v>
      </c>
      <c r="B15" t="s">
        <v>76</v>
      </c>
      <c r="F15" s="9" t="s">
        <v>80</v>
      </c>
      <c r="G15" s="13">
        <v>28792.179999999986</v>
      </c>
    </row>
    <row r="16" spans="1:8">
      <c r="A16" s="9">
        <v>1</v>
      </c>
      <c r="B16" s="4">
        <v>325</v>
      </c>
      <c r="F16" s="9" t="s">
        <v>81</v>
      </c>
      <c r="G16" s="13">
        <v>30222.999999999989</v>
      </c>
    </row>
    <row r="17" spans="1:7">
      <c r="A17" s="9">
        <v>2</v>
      </c>
      <c r="B17" s="4">
        <v>281</v>
      </c>
      <c r="F17" s="9" t="s">
        <v>82</v>
      </c>
      <c r="G17" s="13">
        <v>27556.910000000011</v>
      </c>
    </row>
    <row r="18" spans="1:7">
      <c r="A18" s="9">
        <v>3</v>
      </c>
      <c r="B18" s="4">
        <v>316</v>
      </c>
    </row>
    <row r="19" spans="1:7">
      <c r="A19" s="9">
        <v>4</v>
      </c>
      <c r="B19" s="4">
        <v>304</v>
      </c>
    </row>
    <row r="20" spans="1:7">
      <c r="A20" s="9">
        <v>5</v>
      </c>
      <c r="B20" s="4">
        <v>316</v>
      </c>
    </row>
    <row r="21" spans="1:7">
      <c r="A21" s="9">
        <v>6</v>
      </c>
      <c r="B21" s="4">
        <v>278</v>
      </c>
    </row>
    <row r="22" spans="1:7">
      <c r="A22" s="9" t="s">
        <v>74</v>
      </c>
      <c r="B22" s="4">
        <v>1820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4" sqref="B4:B7"/>
    </sheetView>
  </sheetViews>
  <sheetFormatPr defaultRowHeight="14.4"/>
  <cols>
    <col min="1" max="1" width="17" bestFit="1" customWidth="1"/>
    <col min="2" max="2" width="31.21875" bestFit="1" customWidth="1"/>
  </cols>
  <sheetData>
    <row r="3" spans="1:2">
      <c r="A3" s="2" t="s">
        <v>52</v>
      </c>
      <c r="B3" t="s">
        <v>75</v>
      </c>
    </row>
    <row r="4" spans="1:2">
      <c r="A4" s="9" t="s">
        <v>23</v>
      </c>
      <c r="B4" s="4">
        <v>26272.250000000011</v>
      </c>
    </row>
    <row r="5" spans="1:2">
      <c r="A5" s="9" t="s">
        <v>16</v>
      </c>
      <c r="B5" s="4">
        <v>74693.909999999858</v>
      </c>
    </row>
    <row r="6" spans="1:2">
      <c r="A6" s="9" t="s">
        <v>18</v>
      </c>
      <c r="B6" s="4">
        <v>53425.139999999985</v>
      </c>
    </row>
    <row r="7" spans="1:2">
      <c r="A7" s="9" t="s">
        <v>21</v>
      </c>
      <c r="B7" s="4">
        <v>20247.549999999996</v>
      </c>
    </row>
    <row r="8" spans="1:2">
      <c r="A8" s="9" t="s">
        <v>74</v>
      </c>
      <c r="B8" s="4">
        <v>174638.84999999986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01"/>
  <sheetViews>
    <sheetView zoomScale="85" zoomScaleNormal="85" workbookViewId="0">
      <selection activeCell="K1" activeCellId="1" sqref="G1:G1048576 K1:K1048576"/>
    </sheetView>
  </sheetViews>
  <sheetFormatPr defaultRowHeight="14.4"/>
  <cols>
    <col min="2" max="2" width="14.5546875" customWidth="1"/>
    <col min="18" max="18" width="22.5546875" customWidth="1"/>
    <col min="19" max="23" width="16.6640625" customWidth="1"/>
    <col min="24" max="26" width="14.21875" customWidth="1"/>
  </cols>
  <sheetData>
    <row r="1" spans="1:2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73</v>
      </c>
      <c r="P1" s="11"/>
      <c r="R1" s="14" t="s">
        <v>66</v>
      </c>
      <c r="S1" s="14" t="str">
        <f>K1</f>
        <v>purchase_amount</v>
      </c>
      <c r="T1" s="14" t="str">
        <f>H1</f>
        <v>time_on_site_s</v>
      </c>
      <c r="U1" s="14" t="str">
        <f>I1</f>
        <v>pages_visited</v>
      </c>
      <c r="V1" s="14" t="str">
        <f>M1</f>
        <v>delivery_time_days</v>
      </c>
      <c r="W1" s="14" t="str">
        <f>N1</f>
        <v>satisfaction</v>
      </c>
    </row>
    <row r="2" spans="1:24">
      <c r="A2">
        <v>2295</v>
      </c>
      <c r="B2" s="1">
        <v>45658</v>
      </c>
      <c r="C2">
        <v>30</v>
      </c>
      <c r="D2" t="s">
        <v>14</v>
      </c>
      <c r="E2" t="s">
        <v>15</v>
      </c>
      <c r="F2" t="s">
        <v>16</v>
      </c>
      <c r="H2">
        <v>373.7</v>
      </c>
      <c r="I2" s="13">
        <v>8</v>
      </c>
      <c r="J2">
        <v>1</v>
      </c>
      <c r="K2">
        <v>43</v>
      </c>
      <c r="L2">
        <v>5</v>
      </c>
      <c r="M2">
        <v>9</v>
      </c>
      <c r="N2">
        <v>4</v>
      </c>
      <c r="O2">
        <f>MONTH(B2)</f>
        <v>1</v>
      </c>
      <c r="R2" s="15" t="s">
        <v>64</v>
      </c>
      <c r="S2" s="15">
        <f>MIN(datasetExcel!K:K)</f>
        <v>0</v>
      </c>
      <c r="T2" s="15">
        <f>MIN(datasetExcel!H:H)</f>
        <v>1</v>
      </c>
      <c r="U2" s="15">
        <f>MIN(datasetExcel!I:I)</f>
        <v>1</v>
      </c>
      <c r="V2" s="15">
        <f>MIN(datasetExcel!M:M)</f>
        <v>0</v>
      </c>
      <c r="W2" s="15">
        <f>MIN(datasetExcel!N:N)</f>
        <v>2</v>
      </c>
      <c r="X2" s="9"/>
    </row>
    <row r="3" spans="1:24">
      <c r="A3">
        <v>2903</v>
      </c>
      <c r="B3" s="1">
        <v>45658</v>
      </c>
      <c r="C3">
        <v>55</v>
      </c>
      <c r="D3" t="s">
        <v>17</v>
      </c>
      <c r="E3" t="s">
        <v>15</v>
      </c>
      <c r="F3" t="s">
        <v>18</v>
      </c>
      <c r="G3" t="s">
        <v>19</v>
      </c>
      <c r="H3">
        <v>1407.9</v>
      </c>
      <c r="I3" s="13">
        <v>3</v>
      </c>
      <c r="J3">
        <v>1</v>
      </c>
      <c r="K3">
        <v>294</v>
      </c>
      <c r="L3">
        <v>3</v>
      </c>
      <c r="M3">
        <v>12</v>
      </c>
      <c r="N3">
        <v>5</v>
      </c>
      <c r="O3">
        <f t="shared" ref="O3:O66" si="0">MONTH(B3)</f>
        <v>1</v>
      </c>
      <c r="R3" s="15" t="s">
        <v>65</v>
      </c>
      <c r="S3" s="15">
        <f>MAX(datasetExcel!K:K)</f>
        <v>1419.3</v>
      </c>
      <c r="T3" s="15">
        <f>MAX(datasetExcel!H:H)</f>
        <v>2235.3000000000002</v>
      </c>
      <c r="U3" s="15">
        <f>MAX(datasetExcel!I:I)</f>
        <v>18</v>
      </c>
      <c r="V3" s="15">
        <f>MAX(datasetExcel!M:M)</f>
        <v>15</v>
      </c>
      <c r="W3" s="15">
        <f>MAX(datasetExcel!N:N)</f>
        <v>5</v>
      </c>
      <c r="X3" s="9"/>
    </row>
    <row r="4" spans="1:24">
      <c r="A4">
        <v>1922</v>
      </c>
      <c r="B4" s="1">
        <v>45658</v>
      </c>
      <c r="C4">
        <v>21</v>
      </c>
      <c r="D4" t="s">
        <v>17</v>
      </c>
      <c r="E4" t="s">
        <v>20</v>
      </c>
      <c r="F4" t="s">
        <v>21</v>
      </c>
      <c r="H4">
        <v>493</v>
      </c>
      <c r="I4" s="13">
        <v>5</v>
      </c>
      <c r="J4">
        <v>1</v>
      </c>
      <c r="K4">
        <v>81.55</v>
      </c>
      <c r="L4">
        <v>4</v>
      </c>
      <c r="M4">
        <v>14</v>
      </c>
      <c r="N4">
        <v>4</v>
      </c>
      <c r="O4">
        <f t="shared" si="0"/>
        <v>1</v>
      </c>
      <c r="R4" s="15" t="s">
        <v>70</v>
      </c>
      <c r="S4" s="16">
        <f>AVERAGE(datasetExcel!K:K)</f>
        <v>34.927769999999995</v>
      </c>
      <c r="T4" s="16">
        <f>AVERAGE(datasetExcel!H:H)</f>
        <v>361.87250000000046</v>
      </c>
      <c r="U4" s="16">
        <f>AVERAGE(datasetExcel!I:I)</f>
        <v>5.9884000000000004</v>
      </c>
      <c r="V4" s="16">
        <f>AVERAGE(datasetExcel!M:M)</f>
        <v>2.8717999999999999</v>
      </c>
      <c r="W4" s="16">
        <f>AVERAGE(datasetExcel!N:N)</f>
        <v>4.0950549450549447</v>
      </c>
      <c r="X4" s="12"/>
    </row>
    <row r="5" spans="1:24">
      <c r="A5">
        <v>3627</v>
      </c>
      <c r="B5" s="1">
        <v>45658</v>
      </c>
      <c r="C5">
        <v>44</v>
      </c>
      <c r="D5" t="s">
        <v>14</v>
      </c>
      <c r="E5" t="s">
        <v>15</v>
      </c>
      <c r="F5" t="s">
        <v>16</v>
      </c>
      <c r="H5">
        <v>784.2</v>
      </c>
      <c r="I5" s="13">
        <v>13</v>
      </c>
      <c r="J5">
        <v>1</v>
      </c>
      <c r="K5">
        <v>60.45</v>
      </c>
      <c r="L5">
        <v>2</v>
      </c>
      <c r="M5">
        <v>5</v>
      </c>
      <c r="N5">
        <v>3</v>
      </c>
      <c r="O5">
        <f t="shared" si="0"/>
        <v>1</v>
      </c>
      <c r="R5" s="15" t="s">
        <v>61</v>
      </c>
      <c r="S5" s="16">
        <f>MEDIAN(datasetExcel!K:K)</f>
        <v>0</v>
      </c>
      <c r="T5" s="16">
        <f>MEDIAN(datasetExcel!H:H)</f>
        <v>305.45</v>
      </c>
      <c r="U5" s="16">
        <f>MEDIAN(datasetExcel!I:I)</f>
        <v>6</v>
      </c>
      <c r="V5" s="16">
        <f>MEDIAN(datasetExcel!M:M)</f>
        <v>0</v>
      </c>
      <c r="W5" s="16">
        <f>MEDIAN(datasetExcel!N:N)</f>
        <v>4</v>
      </c>
      <c r="X5" s="12"/>
    </row>
    <row r="6" spans="1:24">
      <c r="A6">
        <v>2605</v>
      </c>
      <c r="B6" s="1">
        <v>45658</v>
      </c>
      <c r="C6">
        <v>22</v>
      </c>
      <c r="D6" t="s">
        <v>14</v>
      </c>
      <c r="E6" t="s">
        <v>22</v>
      </c>
      <c r="F6" t="s">
        <v>16</v>
      </c>
      <c r="H6">
        <v>1090.9000000000001</v>
      </c>
      <c r="I6" s="13">
        <v>9</v>
      </c>
      <c r="J6">
        <v>1</v>
      </c>
      <c r="K6">
        <v>45.87</v>
      </c>
      <c r="L6">
        <v>4</v>
      </c>
      <c r="M6">
        <v>1</v>
      </c>
      <c r="N6">
        <v>4</v>
      </c>
      <c r="O6">
        <f t="shared" si="0"/>
        <v>1</v>
      </c>
      <c r="R6" s="15" t="s">
        <v>62</v>
      </c>
      <c r="S6" s="16">
        <f>VARP(datasetExcel!K:K)</f>
        <v>7613.5259202070947</v>
      </c>
      <c r="T6" s="16">
        <f>VARP(datasetExcel!H:H)</f>
        <v>65269.402805749043</v>
      </c>
      <c r="U6" s="16">
        <f>VARP(datasetExcel!I:I)</f>
        <v>5.06266544</v>
      </c>
      <c r="V6" s="16">
        <f>VARP(datasetExcel!M:M)</f>
        <v>20.92416476</v>
      </c>
      <c r="W6" s="16">
        <f>VARP(datasetExcel!N:N)</f>
        <v>0.41459093104697498</v>
      </c>
      <c r="X6" s="12"/>
    </row>
    <row r="7" spans="1:24">
      <c r="A7">
        <v>3218</v>
      </c>
      <c r="B7" s="1">
        <v>45658</v>
      </c>
      <c r="C7">
        <v>32</v>
      </c>
      <c r="D7" t="s">
        <v>14</v>
      </c>
      <c r="E7" t="s">
        <v>20</v>
      </c>
      <c r="F7" t="s">
        <v>23</v>
      </c>
      <c r="H7">
        <v>1417.7</v>
      </c>
      <c r="I7" s="13">
        <v>6</v>
      </c>
      <c r="J7">
        <v>1</v>
      </c>
      <c r="K7">
        <v>41.92</v>
      </c>
      <c r="L7">
        <v>3</v>
      </c>
      <c r="M7">
        <v>13</v>
      </c>
      <c r="N7">
        <v>5</v>
      </c>
      <c r="O7">
        <f t="shared" si="0"/>
        <v>1</v>
      </c>
      <c r="R7" s="15" t="s">
        <v>63</v>
      </c>
      <c r="S7" s="16">
        <f>STDEV(datasetExcel!K:K)/AVERAGE(datasetExcel!K:K)</f>
        <v>2.4984202461013818</v>
      </c>
      <c r="T7" s="16">
        <f>STDEV(datasetExcel!H:H)/AVERAGE(datasetExcel!H:H)</f>
        <v>0.70606173014557927</v>
      </c>
      <c r="U7" s="16">
        <f>STDEV(datasetExcel!I:I)/AVERAGE(datasetExcel!I:I)</f>
        <v>0.37577012249961261</v>
      </c>
      <c r="V7" s="16">
        <f>STDEV(datasetExcel!M:M)/AVERAGE(datasetExcel!M:M)</f>
        <v>1.592990948662925</v>
      </c>
      <c r="W7" s="16">
        <f>STDEV(datasetExcel!N:N)/AVERAGE(datasetExcel!N:N)</f>
        <v>0.15727855490979389</v>
      </c>
      <c r="X7" s="12"/>
    </row>
    <row r="8" spans="1:24">
      <c r="A8">
        <v>822</v>
      </c>
      <c r="B8" s="1">
        <v>45658</v>
      </c>
      <c r="C8">
        <v>27</v>
      </c>
      <c r="D8" t="s">
        <v>14</v>
      </c>
      <c r="E8" t="s">
        <v>22</v>
      </c>
      <c r="F8" t="s">
        <v>23</v>
      </c>
      <c r="H8">
        <v>253</v>
      </c>
      <c r="I8" s="13">
        <v>4</v>
      </c>
      <c r="J8">
        <v>1</v>
      </c>
      <c r="K8">
        <v>32.4</v>
      </c>
      <c r="L8">
        <v>3</v>
      </c>
      <c r="M8">
        <v>9</v>
      </c>
      <c r="N8">
        <v>5</v>
      </c>
      <c r="O8">
        <f t="shared" si="0"/>
        <v>1</v>
      </c>
    </row>
    <row r="9" spans="1:24">
      <c r="A9">
        <v>73</v>
      </c>
      <c r="B9" s="1">
        <v>45658</v>
      </c>
      <c r="C9">
        <v>25</v>
      </c>
      <c r="D9" t="s">
        <v>17</v>
      </c>
      <c r="E9" t="s">
        <v>15</v>
      </c>
      <c r="F9" t="s">
        <v>23</v>
      </c>
      <c r="H9">
        <v>276.10000000000002</v>
      </c>
      <c r="I9" s="13">
        <v>9</v>
      </c>
      <c r="J9">
        <v>1</v>
      </c>
      <c r="K9">
        <v>23.42</v>
      </c>
      <c r="L9">
        <v>2</v>
      </c>
      <c r="M9">
        <v>4</v>
      </c>
      <c r="N9">
        <v>4</v>
      </c>
      <c r="O9">
        <f t="shared" si="0"/>
        <v>1</v>
      </c>
    </row>
    <row r="10" spans="1:24">
      <c r="A10">
        <v>1902</v>
      </c>
      <c r="B10" s="1">
        <v>45658</v>
      </c>
      <c r="C10">
        <v>18</v>
      </c>
      <c r="D10" t="s">
        <v>17</v>
      </c>
      <c r="E10" t="s">
        <v>24</v>
      </c>
      <c r="F10" t="s">
        <v>16</v>
      </c>
      <c r="H10">
        <v>436</v>
      </c>
      <c r="I10" s="13">
        <v>1</v>
      </c>
      <c r="J10">
        <v>1</v>
      </c>
      <c r="K10">
        <v>23.34</v>
      </c>
      <c r="L10">
        <v>5</v>
      </c>
      <c r="M10">
        <v>8</v>
      </c>
      <c r="N10">
        <v>5</v>
      </c>
      <c r="O10">
        <f t="shared" si="0"/>
        <v>1</v>
      </c>
    </row>
    <row r="11" spans="1:24">
      <c r="A11">
        <v>4979</v>
      </c>
      <c r="B11" s="1">
        <v>45658</v>
      </c>
      <c r="C11">
        <v>67</v>
      </c>
      <c r="D11" t="s">
        <v>14</v>
      </c>
      <c r="E11" t="s">
        <v>22</v>
      </c>
      <c r="F11" t="s">
        <v>16</v>
      </c>
      <c r="H11">
        <v>198.9</v>
      </c>
      <c r="I11" s="13">
        <v>4</v>
      </c>
      <c r="J11">
        <v>1</v>
      </c>
      <c r="K11">
        <v>20.94</v>
      </c>
      <c r="L11">
        <v>7</v>
      </c>
      <c r="M11">
        <v>9</v>
      </c>
      <c r="N11">
        <v>5</v>
      </c>
      <c r="O11">
        <f t="shared" si="0"/>
        <v>1</v>
      </c>
    </row>
    <row r="12" spans="1:24">
      <c r="A12">
        <v>1427</v>
      </c>
      <c r="B12" s="1">
        <v>45658</v>
      </c>
      <c r="C12">
        <v>23</v>
      </c>
      <c r="D12" t="s">
        <v>14</v>
      </c>
      <c r="E12" t="s">
        <v>20</v>
      </c>
      <c r="F12" t="s">
        <v>16</v>
      </c>
      <c r="H12">
        <v>80.3</v>
      </c>
      <c r="I12" s="13">
        <v>6</v>
      </c>
      <c r="J12">
        <v>1</v>
      </c>
      <c r="K12">
        <v>20.309999999999999</v>
      </c>
      <c r="L12">
        <v>4</v>
      </c>
      <c r="M12">
        <v>8</v>
      </c>
      <c r="N12">
        <v>5</v>
      </c>
      <c r="O12">
        <f t="shared" si="0"/>
        <v>1</v>
      </c>
    </row>
    <row r="13" spans="1:24">
      <c r="A13">
        <v>2633</v>
      </c>
      <c r="B13" s="1">
        <v>45658</v>
      </c>
      <c r="C13">
        <v>36</v>
      </c>
      <c r="D13" t="s">
        <v>17</v>
      </c>
      <c r="E13" t="s">
        <v>15</v>
      </c>
      <c r="F13" t="s">
        <v>18</v>
      </c>
      <c r="G13" t="s">
        <v>25</v>
      </c>
      <c r="H13">
        <v>483.7</v>
      </c>
      <c r="I13" s="13">
        <v>3</v>
      </c>
      <c r="J13">
        <v>0</v>
      </c>
      <c r="K13">
        <v>0</v>
      </c>
      <c r="L13">
        <v>0</v>
      </c>
      <c r="M13">
        <v>0</v>
      </c>
      <c r="O13">
        <f t="shared" si="0"/>
        <v>1</v>
      </c>
    </row>
    <row r="14" spans="1:24">
      <c r="A14">
        <v>4777</v>
      </c>
      <c r="B14" s="1">
        <v>45658</v>
      </c>
      <c r="C14">
        <v>55</v>
      </c>
      <c r="D14" t="s">
        <v>14</v>
      </c>
      <c r="E14" t="s">
        <v>15</v>
      </c>
      <c r="F14" t="s">
        <v>16</v>
      </c>
      <c r="H14">
        <v>466.4</v>
      </c>
      <c r="I14" s="13">
        <v>7</v>
      </c>
      <c r="J14">
        <v>0</v>
      </c>
      <c r="K14">
        <v>0</v>
      </c>
      <c r="L14">
        <v>0</v>
      </c>
      <c r="M14">
        <v>0</v>
      </c>
      <c r="O14">
        <f t="shared" si="0"/>
        <v>1</v>
      </c>
    </row>
    <row r="15" spans="1:24">
      <c r="A15">
        <v>4412</v>
      </c>
      <c r="B15" s="1">
        <v>45658</v>
      </c>
      <c r="C15">
        <v>58</v>
      </c>
      <c r="D15" t="s">
        <v>14</v>
      </c>
      <c r="E15" t="s">
        <v>15</v>
      </c>
      <c r="F15" t="s">
        <v>18</v>
      </c>
      <c r="G15" t="s">
        <v>19</v>
      </c>
      <c r="H15">
        <v>454</v>
      </c>
      <c r="I15" s="13">
        <v>3</v>
      </c>
      <c r="J15">
        <v>0</v>
      </c>
      <c r="K15">
        <v>0</v>
      </c>
      <c r="L15">
        <v>0</v>
      </c>
      <c r="M15">
        <v>0</v>
      </c>
      <c r="O15">
        <f t="shared" si="0"/>
        <v>1</v>
      </c>
    </row>
    <row r="16" spans="1:24">
      <c r="A16">
        <v>2328</v>
      </c>
      <c r="B16" s="1">
        <v>45658</v>
      </c>
      <c r="C16">
        <v>39</v>
      </c>
      <c r="D16" t="s">
        <v>17</v>
      </c>
      <c r="E16" t="s">
        <v>22</v>
      </c>
      <c r="F16" t="s">
        <v>16</v>
      </c>
      <c r="H16">
        <v>180.4</v>
      </c>
      <c r="I16" s="13">
        <v>11</v>
      </c>
      <c r="J16">
        <v>0</v>
      </c>
      <c r="K16">
        <v>0</v>
      </c>
      <c r="L16">
        <v>0</v>
      </c>
      <c r="M16">
        <v>0</v>
      </c>
      <c r="O16">
        <f t="shared" si="0"/>
        <v>1</v>
      </c>
    </row>
    <row r="17" spans="1:15">
      <c r="A17">
        <v>4152</v>
      </c>
      <c r="B17" s="1">
        <v>45658</v>
      </c>
      <c r="C17">
        <v>45</v>
      </c>
      <c r="D17" t="s">
        <v>14</v>
      </c>
      <c r="E17" t="s">
        <v>20</v>
      </c>
      <c r="F17" t="s">
        <v>16</v>
      </c>
      <c r="H17">
        <v>168.2</v>
      </c>
      <c r="I17" s="13">
        <v>5</v>
      </c>
      <c r="J17">
        <v>0</v>
      </c>
      <c r="K17">
        <v>0</v>
      </c>
      <c r="L17">
        <v>0</v>
      </c>
      <c r="M17">
        <v>0</v>
      </c>
      <c r="O17">
        <f t="shared" si="0"/>
        <v>1</v>
      </c>
    </row>
    <row r="18" spans="1:15">
      <c r="A18">
        <v>4130</v>
      </c>
      <c r="B18" s="1">
        <v>45658</v>
      </c>
      <c r="C18">
        <v>57</v>
      </c>
      <c r="D18" t="s">
        <v>14</v>
      </c>
      <c r="E18" t="s">
        <v>24</v>
      </c>
      <c r="F18" t="s">
        <v>18</v>
      </c>
      <c r="G18" t="s">
        <v>26</v>
      </c>
      <c r="H18">
        <v>131</v>
      </c>
      <c r="I18" s="13">
        <v>7</v>
      </c>
      <c r="J18">
        <v>0</v>
      </c>
      <c r="K18">
        <v>0</v>
      </c>
      <c r="L18">
        <v>0</v>
      </c>
      <c r="M18">
        <v>0</v>
      </c>
      <c r="O18">
        <f t="shared" si="0"/>
        <v>1</v>
      </c>
    </row>
    <row r="19" spans="1:15">
      <c r="A19">
        <v>2612</v>
      </c>
      <c r="B19" s="1">
        <v>45658</v>
      </c>
      <c r="C19">
        <v>29</v>
      </c>
      <c r="D19" t="s">
        <v>27</v>
      </c>
      <c r="E19" t="s">
        <v>22</v>
      </c>
      <c r="F19" t="s">
        <v>23</v>
      </c>
      <c r="H19">
        <v>128.19999999999999</v>
      </c>
      <c r="I19" s="13">
        <v>4</v>
      </c>
      <c r="J19">
        <v>0</v>
      </c>
      <c r="K19">
        <v>0</v>
      </c>
      <c r="L19">
        <v>0</v>
      </c>
      <c r="M19">
        <v>0</v>
      </c>
      <c r="O19">
        <f t="shared" si="0"/>
        <v>1</v>
      </c>
    </row>
    <row r="20" spans="1:15">
      <c r="A20">
        <v>2912</v>
      </c>
      <c r="B20" s="1">
        <v>45658</v>
      </c>
      <c r="C20">
        <v>21</v>
      </c>
      <c r="D20" t="s">
        <v>17</v>
      </c>
      <c r="E20" t="s">
        <v>22</v>
      </c>
      <c r="F20" t="s">
        <v>16</v>
      </c>
      <c r="H20">
        <v>114.4</v>
      </c>
      <c r="I20" s="13">
        <v>2</v>
      </c>
      <c r="J20">
        <v>0</v>
      </c>
      <c r="K20">
        <v>0</v>
      </c>
      <c r="L20">
        <v>0</v>
      </c>
      <c r="M20">
        <v>0</v>
      </c>
      <c r="O20">
        <f t="shared" si="0"/>
        <v>1</v>
      </c>
    </row>
    <row r="21" spans="1:15">
      <c r="A21">
        <v>2715</v>
      </c>
      <c r="B21" s="1">
        <v>45658</v>
      </c>
      <c r="C21">
        <v>25</v>
      </c>
      <c r="D21" t="s">
        <v>14</v>
      </c>
      <c r="E21" t="s">
        <v>22</v>
      </c>
      <c r="F21" t="s">
        <v>16</v>
      </c>
      <c r="H21">
        <v>88.4</v>
      </c>
      <c r="I21" s="13">
        <v>8</v>
      </c>
      <c r="J21">
        <v>0</v>
      </c>
      <c r="K21">
        <v>0</v>
      </c>
      <c r="L21">
        <v>0</v>
      </c>
      <c r="M21">
        <v>0</v>
      </c>
      <c r="O21">
        <f t="shared" si="0"/>
        <v>1</v>
      </c>
    </row>
    <row r="22" spans="1:15">
      <c r="A22">
        <v>209</v>
      </c>
      <c r="B22" s="1">
        <v>45658</v>
      </c>
      <c r="C22">
        <v>25</v>
      </c>
      <c r="D22" t="s">
        <v>17</v>
      </c>
      <c r="E22" t="s">
        <v>22</v>
      </c>
      <c r="F22" t="s">
        <v>16</v>
      </c>
      <c r="H22">
        <v>88.2</v>
      </c>
      <c r="I22" s="13">
        <v>8</v>
      </c>
      <c r="J22">
        <v>0</v>
      </c>
      <c r="K22">
        <v>0</v>
      </c>
      <c r="L22">
        <v>0</v>
      </c>
      <c r="M22">
        <v>0</v>
      </c>
      <c r="O22">
        <f t="shared" si="0"/>
        <v>1</v>
      </c>
    </row>
    <row r="23" spans="1:15">
      <c r="A23">
        <v>4726</v>
      </c>
      <c r="B23" s="1">
        <v>45658</v>
      </c>
      <c r="C23">
        <v>43</v>
      </c>
      <c r="D23" t="s">
        <v>14</v>
      </c>
      <c r="E23" t="s">
        <v>22</v>
      </c>
      <c r="F23" t="s">
        <v>18</v>
      </c>
      <c r="G23" t="s">
        <v>28</v>
      </c>
      <c r="H23">
        <v>61.7</v>
      </c>
      <c r="I23" s="13">
        <v>7</v>
      </c>
      <c r="J23">
        <v>0</v>
      </c>
      <c r="K23">
        <v>0</v>
      </c>
      <c r="L23">
        <v>0</v>
      </c>
      <c r="M23">
        <v>0</v>
      </c>
      <c r="O23">
        <f t="shared" si="0"/>
        <v>1</v>
      </c>
    </row>
    <row r="24" spans="1:15">
      <c r="A24">
        <v>3318</v>
      </c>
      <c r="B24" s="1">
        <v>45658</v>
      </c>
      <c r="C24">
        <v>55</v>
      </c>
      <c r="D24" t="s">
        <v>17</v>
      </c>
      <c r="E24" t="s">
        <v>20</v>
      </c>
      <c r="F24" t="s">
        <v>23</v>
      </c>
      <c r="H24">
        <v>36.4</v>
      </c>
      <c r="I24" s="13">
        <v>8</v>
      </c>
      <c r="J24">
        <v>0</v>
      </c>
      <c r="K24">
        <v>0</v>
      </c>
      <c r="L24">
        <v>0</v>
      </c>
      <c r="M24">
        <v>0</v>
      </c>
      <c r="O24">
        <f t="shared" si="0"/>
        <v>1</v>
      </c>
    </row>
    <row r="25" spans="1:15">
      <c r="A25">
        <v>953</v>
      </c>
      <c r="B25" s="1">
        <v>45689</v>
      </c>
      <c r="C25">
        <v>20</v>
      </c>
      <c r="D25" t="s">
        <v>14</v>
      </c>
      <c r="E25" t="s">
        <v>20</v>
      </c>
      <c r="F25" t="s">
        <v>21</v>
      </c>
      <c r="H25">
        <v>154.1</v>
      </c>
      <c r="I25" s="13">
        <v>4</v>
      </c>
      <c r="J25">
        <v>1</v>
      </c>
      <c r="K25">
        <v>289</v>
      </c>
      <c r="L25">
        <v>2</v>
      </c>
      <c r="M25">
        <v>7</v>
      </c>
      <c r="N25">
        <v>4</v>
      </c>
      <c r="O25">
        <f t="shared" si="0"/>
        <v>2</v>
      </c>
    </row>
    <row r="26" spans="1:15">
      <c r="A26">
        <v>1625</v>
      </c>
      <c r="B26" s="1">
        <v>45689</v>
      </c>
      <c r="C26">
        <v>30</v>
      </c>
      <c r="D26" t="s">
        <v>17</v>
      </c>
      <c r="E26" t="s">
        <v>15</v>
      </c>
      <c r="F26" t="s">
        <v>18</v>
      </c>
      <c r="G26" t="s">
        <v>25</v>
      </c>
      <c r="H26">
        <v>315.3</v>
      </c>
      <c r="I26" s="13">
        <v>2</v>
      </c>
      <c r="J26">
        <v>1</v>
      </c>
      <c r="K26">
        <v>156.97999999999999</v>
      </c>
      <c r="L26">
        <v>4</v>
      </c>
      <c r="M26">
        <v>10</v>
      </c>
      <c r="N26">
        <v>3</v>
      </c>
      <c r="O26">
        <f t="shared" si="0"/>
        <v>2</v>
      </c>
    </row>
    <row r="27" spans="1:15">
      <c r="A27">
        <v>1863</v>
      </c>
      <c r="B27" s="1">
        <v>45689</v>
      </c>
      <c r="C27">
        <v>44</v>
      </c>
      <c r="D27" t="s">
        <v>17</v>
      </c>
      <c r="E27" t="s">
        <v>15</v>
      </c>
      <c r="F27" t="s">
        <v>16</v>
      </c>
      <c r="H27">
        <v>550.20000000000005</v>
      </c>
      <c r="I27" s="13">
        <v>3</v>
      </c>
      <c r="J27">
        <v>1</v>
      </c>
      <c r="K27">
        <v>38.58</v>
      </c>
      <c r="L27">
        <v>1</v>
      </c>
      <c r="M27">
        <v>12</v>
      </c>
      <c r="N27">
        <v>3</v>
      </c>
      <c r="O27">
        <f t="shared" si="0"/>
        <v>2</v>
      </c>
    </row>
    <row r="28" spans="1:15">
      <c r="A28">
        <v>318</v>
      </c>
      <c r="B28" s="1">
        <v>45689</v>
      </c>
      <c r="C28">
        <v>21</v>
      </c>
      <c r="D28" t="s">
        <v>14</v>
      </c>
      <c r="E28" t="s">
        <v>24</v>
      </c>
      <c r="F28" t="s">
        <v>16</v>
      </c>
      <c r="H28">
        <v>944.8</v>
      </c>
      <c r="I28" s="13">
        <v>8</v>
      </c>
      <c r="J28">
        <v>1</v>
      </c>
      <c r="K28">
        <v>37.200000000000003</v>
      </c>
      <c r="L28">
        <v>2</v>
      </c>
      <c r="M28">
        <v>2</v>
      </c>
      <c r="N28">
        <v>5</v>
      </c>
      <c r="O28">
        <f t="shared" si="0"/>
        <v>2</v>
      </c>
    </row>
    <row r="29" spans="1:15">
      <c r="A29">
        <v>2860</v>
      </c>
      <c r="B29" s="1">
        <v>45689</v>
      </c>
      <c r="C29">
        <v>28</v>
      </c>
      <c r="D29" t="s">
        <v>14</v>
      </c>
      <c r="E29" t="s">
        <v>15</v>
      </c>
      <c r="F29" t="s">
        <v>18</v>
      </c>
      <c r="G29" t="s">
        <v>19</v>
      </c>
      <c r="H29">
        <v>145.80000000000001</v>
      </c>
      <c r="I29" s="13">
        <v>4</v>
      </c>
      <c r="J29">
        <v>1</v>
      </c>
      <c r="K29">
        <v>29.49</v>
      </c>
      <c r="L29">
        <v>4</v>
      </c>
      <c r="M29">
        <v>4</v>
      </c>
      <c r="N29">
        <v>4</v>
      </c>
      <c r="O29">
        <f t="shared" si="0"/>
        <v>2</v>
      </c>
    </row>
    <row r="30" spans="1:15">
      <c r="A30">
        <v>3592</v>
      </c>
      <c r="B30" s="1">
        <v>45689</v>
      </c>
      <c r="C30">
        <v>31</v>
      </c>
      <c r="D30" t="s">
        <v>17</v>
      </c>
      <c r="E30" t="s">
        <v>15</v>
      </c>
      <c r="F30" t="s">
        <v>16</v>
      </c>
      <c r="H30">
        <v>518.4</v>
      </c>
      <c r="I30" s="13">
        <v>7</v>
      </c>
      <c r="J30">
        <v>1</v>
      </c>
      <c r="K30">
        <v>24.62</v>
      </c>
      <c r="L30">
        <v>5</v>
      </c>
      <c r="M30">
        <v>11</v>
      </c>
      <c r="N30">
        <v>4</v>
      </c>
      <c r="O30">
        <f t="shared" si="0"/>
        <v>2</v>
      </c>
    </row>
    <row r="31" spans="1:15">
      <c r="A31">
        <v>4420</v>
      </c>
      <c r="B31" s="1">
        <v>45689</v>
      </c>
      <c r="C31">
        <v>53</v>
      </c>
      <c r="D31" t="s">
        <v>17</v>
      </c>
      <c r="E31" t="s">
        <v>22</v>
      </c>
      <c r="F31" t="s">
        <v>23</v>
      </c>
      <c r="H31">
        <v>476.9</v>
      </c>
      <c r="I31" s="13">
        <v>6</v>
      </c>
      <c r="J31">
        <v>1</v>
      </c>
      <c r="K31">
        <v>16.760000000000002</v>
      </c>
      <c r="L31">
        <v>3</v>
      </c>
      <c r="M31">
        <v>13</v>
      </c>
      <c r="N31">
        <v>5</v>
      </c>
      <c r="O31">
        <f t="shared" si="0"/>
        <v>2</v>
      </c>
    </row>
    <row r="32" spans="1:15">
      <c r="A32">
        <v>4104</v>
      </c>
      <c r="B32" s="1">
        <v>45689</v>
      </c>
      <c r="C32">
        <v>58</v>
      </c>
      <c r="D32" t="s">
        <v>17</v>
      </c>
      <c r="E32" t="s">
        <v>22</v>
      </c>
      <c r="F32" t="s">
        <v>16</v>
      </c>
      <c r="H32">
        <v>939.6</v>
      </c>
      <c r="I32" s="13">
        <v>6</v>
      </c>
      <c r="J32">
        <v>0</v>
      </c>
      <c r="K32">
        <v>0</v>
      </c>
      <c r="L32">
        <v>0</v>
      </c>
      <c r="M32">
        <v>0</v>
      </c>
      <c r="O32">
        <f t="shared" si="0"/>
        <v>2</v>
      </c>
    </row>
    <row r="33" spans="1:15">
      <c r="A33">
        <v>176</v>
      </c>
      <c r="B33" s="1">
        <v>45689</v>
      </c>
      <c r="C33">
        <v>18</v>
      </c>
      <c r="D33" t="s">
        <v>14</v>
      </c>
      <c r="E33" t="s">
        <v>20</v>
      </c>
      <c r="F33" t="s">
        <v>21</v>
      </c>
      <c r="H33">
        <v>806.4</v>
      </c>
      <c r="I33" s="13">
        <v>5</v>
      </c>
      <c r="J33">
        <v>0</v>
      </c>
      <c r="K33">
        <v>0</v>
      </c>
      <c r="L33">
        <v>0</v>
      </c>
      <c r="M33">
        <v>0</v>
      </c>
      <c r="O33">
        <f t="shared" si="0"/>
        <v>2</v>
      </c>
    </row>
    <row r="34" spans="1:15">
      <c r="A34">
        <v>240</v>
      </c>
      <c r="B34" s="1">
        <v>45689</v>
      </c>
      <c r="C34">
        <v>22</v>
      </c>
      <c r="D34" t="s">
        <v>14</v>
      </c>
      <c r="E34" t="s">
        <v>22</v>
      </c>
      <c r="F34" t="s">
        <v>16</v>
      </c>
      <c r="H34">
        <v>770.5</v>
      </c>
      <c r="I34" s="13">
        <v>9</v>
      </c>
      <c r="J34">
        <v>0</v>
      </c>
      <c r="K34">
        <v>0</v>
      </c>
      <c r="L34">
        <v>0</v>
      </c>
      <c r="M34">
        <v>0</v>
      </c>
      <c r="O34">
        <f t="shared" si="0"/>
        <v>2</v>
      </c>
    </row>
    <row r="35" spans="1:15">
      <c r="A35">
        <v>3677</v>
      </c>
      <c r="B35" s="1">
        <v>45689</v>
      </c>
      <c r="C35">
        <v>24</v>
      </c>
      <c r="D35" t="s">
        <v>17</v>
      </c>
      <c r="E35" t="s">
        <v>15</v>
      </c>
      <c r="F35" t="s">
        <v>18</v>
      </c>
      <c r="G35" t="s">
        <v>28</v>
      </c>
      <c r="H35">
        <v>682.3</v>
      </c>
      <c r="I35" s="13">
        <v>7</v>
      </c>
      <c r="J35">
        <v>0</v>
      </c>
      <c r="K35">
        <v>0</v>
      </c>
      <c r="L35">
        <v>0</v>
      </c>
      <c r="M35">
        <v>0</v>
      </c>
      <c r="O35">
        <f t="shared" si="0"/>
        <v>2</v>
      </c>
    </row>
    <row r="36" spans="1:15">
      <c r="A36">
        <v>2173</v>
      </c>
      <c r="B36" s="1">
        <v>45689</v>
      </c>
      <c r="C36">
        <v>33</v>
      </c>
      <c r="D36" t="s">
        <v>17</v>
      </c>
      <c r="E36" t="s">
        <v>22</v>
      </c>
      <c r="F36" t="s">
        <v>21</v>
      </c>
      <c r="H36">
        <v>509.9</v>
      </c>
      <c r="I36" s="13">
        <v>4</v>
      </c>
      <c r="J36">
        <v>0</v>
      </c>
      <c r="K36">
        <v>0</v>
      </c>
      <c r="L36">
        <v>0</v>
      </c>
      <c r="M36">
        <v>0</v>
      </c>
      <c r="O36">
        <f t="shared" si="0"/>
        <v>2</v>
      </c>
    </row>
    <row r="37" spans="1:15">
      <c r="A37">
        <v>343</v>
      </c>
      <c r="B37" s="1">
        <v>45689</v>
      </c>
      <c r="C37">
        <v>21</v>
      </c>
      <c r="D37" t="s">
        <v>17</v>
      </c>
      <c r="E37" t="s">
        <v>20</v>
      </c>
      <c r="F37" t="s">
        <v>16</v>
      </c>
      <c r="H37">
        <v>487.1</v>
      </c>
      <c r="I37" s="13">
        <v>6</v>
      </c>
      <c r="J37">
        <v>0</v>
      </c>
      <c r="K37">
        <v>0</v>
      </c>
      <c r="L37">
        <v>0</v>
      </c>
      <c r="M37">
        <v>0</v>
      </c>
      <c r="O37">
        <f t="shared" si="0"/>
        <v>2</v>
      </c>
    </row>
    <row r="38" spans="1:15">
      <c r="A38">
        <v>1106</v>
      </c>
      <c r="B38" s="1">
        <v>45689</v>
      </c>
      <c r="C38">
        <v>25</v>
      </c>
      <c r="D38" t="s">
        <v>17</v>
      </c>
      <c r="E38" t="s">
        <v>20</v>
      </c>
      <c r="F38" t="s">
        <v>18</v>
      </c>
      <c r="G38" t="s">
        <v>26</v>
      </c>
      <c r="H38">
        <v>457.6</v>
      </c>
      <c r="I38" s="13">
        <v>5</v>
      </c>
      <c r="J38">
        <v>0</v>
      </c>
      <c r="K38">
        <v>0</v>
      </c>
      <c r="L38">
        <v>0</v>
      </c>
      <c r="M38">
        <v>0</v>
      </c>
      <c r="O38">
        <f t="shared" si="0"/>
        <v>2</v>
      </c>
    </row>
    <row r="39" spans="1:15">
      <c r="A39">
        <v>1691</v>
      </c>
      <c r="B39" s="1">
        <v>45689</v>
      </c>
      <c r="C39">
        <v>26</v>
      </c>
      <c r="D39" t="s">
        <v>17</v>
      </c>
      <c r="E39" t="s">
        <v>24</v>
      </c>
      <c r="F39" t="s">
        <v>16</v>
      </c>
      <c r="H39">
        <v>411</v>
      </c>
      <c r="I39" s="13">
        <v>4</v>
      </c>
      <c r="J39">
        <v>0</v>
      </c>
      <c r="K39">
        <v>0</v>
      </c>
      <c r="L39">
        <v>0</v>
      </c>
      <c r="M39">
        <v>0</v>
      </c>
      <c r="O39">
        <f t="shared" si="0"/>
        <v>2</v>
      </c>
    </row>
    <row r="40" spans="1:15">
      <c r="A40">
        <v>4316</v>
      </c>
      <c r="B40" s="1">
        <v>45689</v>
      </c>
      <c r="C40">
        <v>52</v>
      </c>
      <c r="D40" t="s">
        <v>14</v>
      </c>
      <c r="E40" t="s">
        <v>15</v>
      </c>
      <c r="F40" t="s">
        <v>21</v>
      </c>
      <c r="H40">
        <v>338.2</v>
      </c>
      <c r="I40" s="13">
        <v>4</v>
      </c>
      <c r="J40">
        <v>0</v>
      </c>
      <c r="K40">
        <v>0</v>
      </c>
      <c r="L40">
        <v>0</v>
      </c>
      <c r="M40">
        <v>0</v>
      </c>
      <c r="O40">
        <f t="shared" si="0"/>
        <v>2</v>
      </c>
    </row>
    <row r="41" spans="1:15">
      <c r="A41">
        <v>2152</v>
      </c>
      <c r="B41" s="1">
        <v>45689</v>
      </c>
      <c r="C41">
        <v>28</v>
      </c>
      <c r="D41" t="s">
        <v>14</v>
      </c>
      <c r="E41" t="s">
        <v>15</v>
      </c>
      <c r="F41" t="s">
        <v>18</v>
      </c>
      <c r="G41" t="s">
        <v>28</v>
      </c>
      <c r="H41">
        <v>305</v>
      </c>
      <c r="I41" s="13">
        <v>10</v>
      </c>
      <c r="J41">
        <v>0</v>
      </c>
      <c r="K41">
        <v>0</v>
      </c>
      <c r="L41">
        <v>0</v>
      </c>
      <c r="M41">
        <v>0</v>
      </c>
      <c r="O41">
        <f t="shared" si="0"/>
        <v>2</v>
      </c>
    </row>
    <row r="42" spans="1:15">
      <c r="A42">
        <v>1446</v>
      </c>
      <c r="B42" s="1">
        <v>45689</v>
      </c>
      <c r="C42">
        <v>18</v>
      </c>
      <c r="D42" t="s">
        <v>17</v>
      </c>
      <c r="E42" t="s">
        <v>22</v>
      </c>
      <c r="F42" t="s">
        <v>16</v>
      </c>
      <c r="H42">
        <v>296.60000000000002</v>
      </c>
      <c r="I42" s="13">
        <v>8</v>
      </c>
      <c r="J42">
        <v>0</v>
      </c>
      <c r="K42">
        <v>0</v>
      </c>
      <c r="L42">
        <v>0</v>
      </c>
      <c r="M42">
        <v>0</v>
      </c>
      <c r="O42">
        <f t="shared" si="0"/>
        <v>2</v>
      </c>
    </row>
    <row r="43" spans="1:15">
      <c r="A43">
        <v>3620</v>
      </c>
      <c r="B43" s="1">
        <v>45689</v>
      </c>
      <c r="C43">
        <v>26</v>
      </c>
      <c r="D43" t="s">
        <v>14</v>
      </c>
      <c r="E43" t="s">
        <v>22</v>
      </c>
      <c r="F43" t="s">
        <v>16</v>
      </c>
      <c r="H43">
        <v>296.3</v>
      </c>
      <c r="I43" s="13">
        <v>3</v>
      </c>
      <c r="J43">
        <v>0</v>
      </c>
      <c r="K43">
        <v>0</v>
      </c>
      <c r="L43">
        <v>0</v>
      </c>
      <c r="M43">
        <v>0</v>
      </c>
      <c r="O43">
        <f t="shared" si="0"/>
        <v>2</v>
      </c>
    </row>
    <row r="44" spans="1:15">
      <c r="A44">
        <v>3799</v>
      </c>
      <c r="B44" s="1">
        <v>45689</v>
      </c>
      <c r="C44">
        <v>57</v>
      </c>
      <c r="D44" t="s">
        <v>17</v>
      </c>
      <c r="E44" t="s">
        <v>22</v>
      </c>
      <c r="F44" t="s">
        <v>16</v>
      </c>
      <c r="H44">
        <v>286.10000000000002</v>
      </c>
      <c r="I44" s="13">
        <v>10</v>
      </c>
      <c r="J44">
        <v>0</v>
      </c>
      <c r="K44">
        <v>0</v>
      </c>
      <c r="L44">
        <v>0</v>
      </c>
      <c r="M44">
        <v>0</v>
      </c>
      <c r="O44">
        <f t="shared" si="0"/>
        <v>2</v>
      </c>
    </row>
    <row r="45" spans="1:15">
      <c r="A45">
        <v>1809</v>
      </c>
      <c r="B45" s="1">
        <v>45689</v>
      </c>
      <c r="C45">
        <v>35</v>
      </c>
      <c r="D45" t="s">
        <v>17</v>
      </c>
      <c r="E45" t="s">
        <v>15</v>
      </c>
      <c r="F45" t="s">
        <v>23</v>
      </c>
      <c r="H45">
        <v>269.89999999999998</v>
      </c>
      <c r="I45" s="13">
        <v>3</v>
      </c>
      <c r="J45">
        <v>0</v>
      </c>
      <c r="K45">
        <v>0</v>
      </c>
      <c r="L45">
        <v>0</v>
      </c>
      <c r="M45">
        <v>0</v>
      </c>
      <c r="O45">
        <f t="shared" si="0"/>
        <v>2</v>
      </c>
    </row>
    <row r="46" spans="1:15">
      <c r="A46">
        <v>1096</v>
      </c>
      <c r="B46" s="1">
        <v>45689</v>
      </c>
      <c r="C46">
        <v>22</v>
      </c>
      <c r="D46" t="s">
        <v>17</v>
      </c>
      <c r="E46" t="s">
        <v>15</v>
      </c>
      <c r="F46" t="s">
        <v>18</v>
      </c>
      <c r="G46" t="s">
        <v>19</v>
      </c>
      <c r="H46">
        <v>256.60000000000002</v>
      </c>
      <c r="I46" s="13">
        <v>8</v>
      </c>
      <c r="J46">
        <v>0</v>
      </c>
      <c r="K46">
        <v>0</v>
      </c>
      <c r="L46">
        <v>0</v>
      </c>
      <c r="M46">
        <v>0</v>
      </c>
      <c r="O46">
        <f t="shared" si="0"/>
        <v>2</v>
      </c>
    </row>
    <row r="47" spans="1:15">
      <c r="A47">
        <v>598</v>
      </c>
      <c r="B47" s="1">
        <v>45689</v>
      </c>
      <c r="C47">
        <v>29</v>
      </c>
      <c r="D47" t="s">
        <v>17</v>
      </c>
      <c r="E47" t="s">
        <v>24</v>
      </c>
      <c r="F47" t="s">
        <v>16</v>
      </c>
      <c r="H47">
        <v>217</v>
      </c>
      <c r="I47" s="13">
        <v>7</v>
      </c>
      <c r="J47">
        <v>0</v>
      </c>
      <c r="K47">
        <v>0</v>
      </c>
      <c r="L47">
        <v>0</v>
      </c>
      <c r="M47">
        <v>0</v>
      </c>
      <c r="O47">
        <f t="shared" si="0"/>
        <v>2</v>
      </c>
    </row>
    <row r="48" spans="1:15">
      <c r="A48">
        <v>388</v>
      </c>
      <c r="B48" s="1">
        <v>45689</v>
      </c>
      <c r="C48">
        <v>23</v>
      </c>
      <c r="D48" t="s">
        <v>17</v>
      </c>
      <c r="E48" t="s">
        <v>15</v>
      </c>
      <c r="F48" t="s">
        <v>23</v>
      </c>
      <c r="H48">
        <v>193.1</v>
      </c>
      <c r="I48" s="13">
        <v>7</v>
      </c>
      <c r="J48">
        <v>0</v>
      </c>
      <c r="K48">
        <v>0</v>
      </c>
      <c r="L48">
        <v>0</v>
      </c>
      <c r="M48">
        <v>0</v>
      </c>
      <c r="O48">
        <f t="shared" si="0"/>
        <v>2</v>
      </c>
    </row>
    <row r="49" spans="1:15">
      <c r="A49">
        <v>4511</v>
      </c>
      <c r="B49" s="1">
        <v>45689</v>
      </c>
      <c r="C49">
        <v>41</v>
      </c>
      <c r="D49" t="s">
        <v>14</v>
      </c>
      <c r="E49" t="s">
        <v>24</v>
      </c>
      <c r="F49" t="s">
        <v>21</v>
      </c>
      <c r="H49">
        <v>187.2</v>
      </c>
      <c r="I49" s="13">
        <v>7</v>
      </c>
      <c r="J49">
        <v>0</v>
      </c>
      <c r="K49">
        <v>0</v>
      </c>
      <c r="L49">
        <v>0</v>
      </c>
      <c r="M49">
        <v>0</v>
      </c>
      <c r="O49">
        <f t="shared" si="0"/>
        <v>2</v>
      </c>
    </row>
    <row r="50" spans="1:15">
      <c r="A50">
        <v>603</v>
      </c>
      <c r="B50" s="1">
        <v>45689</v>
      </c>
      <c r="C50">
        <v>27</v>
      </c>
      <c r="D50" t="s">
        <v>14</v>
      </c>
      <c r="E50" t="s">
        <v>15</v>
      </c>
      <c r="F50" t="s">
        <v>18</v>
      </c>
      <c r="G50" t="s">
        <v>29</v>
      </c>
      <c r="H50">
        <v>146.69999999999999</v>
      </c>
      <c r="I50" s="13">
        <v>5</v>
      </c>
      <c r="J50">
        <v>0</v>
      </c>
      <c r="K50">
        <v>0</v>
      </c>
      <c r="L50">
        <v>0</v>
      </c>
      <c r="M50">
        <v>0</v>
      </c>
      <c r="O50">
        <f t="shared" si="0"/>
        <v>2</v>
      </c>
    </row>
    <row r="51" spans="1:15">
      <c r="A51">
        <v>4171</v>
      </c>
      <c r="B51" s="1">
        <v>45689</v>
      </c>
      <c r="C51">
        <v>32</v>
      </c>
      <c r="D51" t="s">
        <v>17</v>
      </c>
      <c r="E51" t="s">
        <v>20</v>
      </c>
      <c r="F51" t="s">
        <v>23</v>
      </c>
      <c r="H51">
        <v>128.1</v>
      </c>
      <c r="I51" s="13">
        <v>5</v>
      </c>
      <c r="J51">
        <v>0</v>
      </c>
      <c r="K51">
        <v>0</v>
      </c>
      <c r="L51">
        <v>0</v>
      </c>
      <c r="M51">
        <v>0</v>
      </c>
      <c r="O51">
        <f t="shared" si="0"/>
        <v>2</v>
      </c>
    </row>
    <row r="52" spans="1:15">
      <c r="A52">
        <v>671</v>
      </c>
      <c r="B52" s="1">
        <v>45689</v>
      </c>
      <c r="C52">
        <v>32</v>
      </c>
      <c r="D52" t="s">
        <v>17</v>
      </c>
      <c r="E52" t="s">
        <v>22</v>
      </c>
      <c r="F52" t="s">
        <v>16</v>
      </c>
      <c r="H52">
        <v>116.3</v>
      </c>
      <c r="I52" s="13">
        <v>7</v>
      </c>
      <c r="J52">
        <v>0</v>
      </c>
      <c r="K52">
        <v>0</v>
      </c>
      <c r="L52">
        <v>0</v>
      </c>
      <c r="M52">
        <v>0</v>
      </c>
      <c r="O52">
        <f t="shared" si="0"/>
        <v>2</v>
      </c>
    </row>
    <row r="53" spans="1:15">
      <c r="A53">
        <v>834</v>
      </c>
      <c r="B53" s="1">
        <v>45689</v>
      </c>
      <c r="C53">
        <v>29</v>
      </c>
      <c r="D53" t="s">
        <v>14</v>
      </c>
      <c r="E53" t="s">
        <v>15</v>
      </c>
      <c r="F53" t="s">
        <v>16</v>
      </c>
      <c r="H53">
        <v>105.6</v>
      </c>
      <c r="I53" s="13">
        <v>8</v>
      </c>
      <c r="J53">
        <v>0</v>
      </c>
      <c r="K53">
        <v>0</v>
      </c>
      <c r="L53">
        <v>0</v>
      </c>
      <c r="M53">
        <v>0</v>
      </c>
      <c r="O53">
        <f t="shared" si="0"/>
        <v>2</v>
      </c>
    </row>
    <row r="54" spans="1:15">
      <c r="A54">
        <v>1679</v>
      </c>
      <c r="B54" s="1">
        <v>45689</v>
      </c>
      <c r="C54">
        <v>23</v>
      </c>
      <c r="D54" t="s">
        <v>17</v>
      </c>
      <c r="E54" t="s">
        <v>22</v>
      </c>
      <c r="F54" t="s">
        <v>18</v>
      </c>
      <c r="G54" t="s">
        <v>30</v>
      </c>
      <c r="H54">
        <v>90.6</v>
      </c>
      <c r="I54" s="13">
        <v>6</v>
      </c>
      <c r="J54">
        <v>0</v>
      </c>
      <c r="K54">
        <v>0</v>
      </c>
      <c r="L54">
        <v>0</v>
      </c>
      <c r="M54">
        <v>0</v>
      </c>
      <c r="O54">
        <f t="shared" si="0"/>
        <v>2</v>
      </c>
    </row>
    <row r="55" spans="1:15">
      <c r="A55">
        <v>3586</v>
      </c>
      <c r="B55" s="1">
        <v>45717</v>
      </c>
      <c r="C55">
        <v>32</v>
      </c>
      <c r="D55" t="s">
        <v>17</v>
      </c>
      <c r="E55" t="s">
        <v>22</v>
      </c>
      <c r="F55" t="s">
        <v>16</v>
      </c>
      <c r="H55">
        <v>344.7</v>
      </c>
      <c r="I55" s="13">
        <v>7</v>
      </c>
      <c r="J55">
        <v>1</v>
      </c>
      <c r="K55">
        <v>157.19</v>
      </c>
      <c r="L55">
        <v>3</v>
      </c>
      <c r="M55">
        <v>11</v>
      </c>
      <c r="N55">
        <v>4</v>
      </c>
      <c r="O55">
        <f t="shared" si="0"/>
        <v>3</v>
      </c>
    </row>
    <row r="56" spans="1:15">
      <c r="A56">
        <v>83</v>
      </c>
      <c r="B56" s="1">
        <v>45717</v>
      </c>
      <c r="C56">
        <v>22</v>
      </c>
      <c r="D56" t="s">
        <v>17</v>
      </c>
      <c r="E56" t="s">
        <v>24</v>
      </c>
      <c r="F56" t="s">
        <v>16</v>
      </c>
      <c r="H56">
        <v>317.7</v>
      </c>
      <c r="I56" s="13">
        <v>12</v>
      </c>
      <c r="J56">
        <v>1</v>
      </c>
      <c r="K56">
        <v>96.31</v>
      </c>
      <c r="L56">
        <v>3</v>
      </c>
      <c r="M56">
        <v>5</v>
      </c>
      <c r="N56">
        <v>4</v>
      </c>
      <c r="O56">
        <f t="shared" si="0"/>
        <v>3</v>
      </c>
    </row>
    <row r="57" spans="1:15">
      <c r="A57">
        <v>418</v>
      </c>
      <c r="B57" s="1">
        <v>45717</v>
      </c>
      <c r="C57">
        <v>28</v>
      </c>
      <c r="D57" t="s">
        <v>14</v>
      </c>
      <c r="E57" t="s">
        <v>22</v>
      </c>
      <c r="F57" t="s">
        <v>16</v>
      </c>
      <c r="H57">
        <v>583.6</v>
      </c>
      <c r="I57" s="13">
        <v>9</v>
      </c>
      <c r="J57">
        <v>1</v>
      </c>
      <c r="K57">
        <v>91.56</v>
      </c>
      <c r="L57">
        <v>1</v>
      </c>
      <c r="M57">
        <v>4</v>
      </c>
      <c r="N57">
        <v>3</v>
      </c>
      <c r="O57">
        <f t="shared" si="0"/>
        <v>3</v>
      </c>
    </row>
    <row r="58" spans="1:15">
      <c r="A58">
        <v>1949</v>
      </c>
      <c r="B58" s="1">
        <v>45717</v>
      </c>
      <c r="C58">
        <v>33</v>
      </c>
      <c r="D58" t="s">
        <v>14</v>
      </c>
      <c r="E58" t="s">
        <v>20</v>
      </c>
      <c r="F58" t="s">
        <v>18</v>
      </c>
      <c r="G58" t="s">
        <v>29</v>
      </c>
      <c r="H58">
        <v>447.5</v>
      </c>
      <c r="I58" s="13">
        <v>6</v>
      </c>
      <c r="J58">
        <v>1</v>
      </c>
      <c r="K58">
        <v>67.61</v>
      </c>
      <c r="L58">
        <v>7</v>
      </c>
      <c r="M58">
        <v>10</v>
      </c>
      <c r="N58">
        <v>4</v>
      </c>
      <c r="O58">
        <f t="shared" si="0"/>
        <v>3</v>
      </c>
    </row>
    <row r="59" spans="1:15">
      <c r="A59">
        <v>3824</v>
      </c>
      <c r="B59" s="1">
        <v>45717</v>
      </c>
      <c r="C59">
        <v>50</v>
      </c>
      <c r="D59" t="s">
        <v>27</v>
      </c>
      <c r="E59" t="s">
        <v>22</v>
      </c>
      <c r="F59" t="s">
        <v>16</v>
      </c>
      <c r="H59">
        <v>594.29999999999995</v>
      </c>
      <c r="I59" s="13">
        <v>8</v>
      </c>
      <c r="J59">
        <v>1</v>
      </c>
      <c r="K59">
        <v>45.03</v>
      </c>
      <c r="L59">
        <v>4</v>
      </c>
      <c r="M59">
        <v>9</v>
      </c>
      <c r="N59">
        <v>4</v>
      </c>
      <c r="O59">
        <f t="shared" si="0"/>
        <v>3</v>
      </c>
    </row>
    <row r="60" spans="1:15">
      <c r="A60">
        <v>2288</v>
      </c>
      <c r="B60" s="1">
        <v>45717</v>
      </c>
      <c r="C60">
        <v>30</v>
      </c>
      <c r="D60" t="s">
        <v>14</v>
      </c>
      <c r="E60" t="s">
        <v>22</v>
      </c>
      <c r="F60" t="s">
        <v>16</v>
      </c>
      <c r="H60">
        <v>738.8</v>
      </c>
      <c r="I60" s="13">
        <v>11</v>
      </c>
      <c r="J60">
        <v>1</v>
      </c>
      <c r="K60">
        <v>40.79</v>
      </c>
      <c r="L60">
        <v>1</v>
      </c>
      <c r="M60">
        <v>9</v>
      </c>
      <c r="N60">
        <v>3</v>
      </c>
      <c r="O60">
        <f t="shared" si="0"/>
        <v>3</v>
      </c>
    </row>
    <row r="61" spans="1:15">
      <c r="A61">
        <v>2881</v>
      </c>
      <c r="B61" s="1">
        <v>45717</v>
      </c>
      <c r="C61">
        <v>28</v>
      </c>
      <c r="D61" t="s">
        <v>17</v>
      </c>
      <c r="E61" t="s">
        <v>24</v>
      </c>
      <c r="F61" t="s">
        <v>21</v>
      </c>
      <c r="H61">
        <v>318.3</v>
      </c>
      <c r="I61" s="13">
        <v>6</v>
      </c>
      <c r="J61">
        <v>1</v>
      </c>
      <c r="K61">
        <v>39.94</v>
      </c>
      <c r="L61">
        <v>3</v>
      </c>
      <c r="M61">
        <v>2</v>
      </c>
      <c r="N61">
        <v>4</v>
      </c>
      <c r="O61">
        <f t="shared" si="0"/>
        <v>3</v>
      </c>
    </row>
    <row r="62" spans="1:15">
      <c r="A62">
        <v>3024</v>
      </c>
      <c r="B62" s="1">
        <v>45717</v>
      </c>
      <c r="C62">
        <v>39</v>
      </c>
      <c r="D62" t="s">
        <v>14</v>
      </c>
      <c r="E62" t="s">
        <v>22</v>
      </c>
      <c r="F62" t="s">
        <v>18</v>
      </c>
      <c r="G62" t="s">
        <v>31</v>
      </c>
      <c r="H62">
        <v>593.6</v>
      </c>
      <c r="I62" s="13">
        <v>6</v>
      </c>
      <c r="J62">
        <v>1</v>
      </c>
      <c r="K62">
        <v>37.020000000000003</v>
      </c>
      <c r="L62">
        <v>1</v>
      </c>
      <c r="M62">
        <v>15</v>
      </c>
      <c r="N62">
        <v>4</v>
      </c>
      <c r="O62">
        <f t="shared" si="0"/>
        <v>3</v>
      </c>
    </row>
    <row r="63" spans="1:15">
      <c r="A63">
        <v>4047</v>
      </c>
      <c r="B63" s="1">
        <v>45717</v>
      </c>
      <c r="C63">
        <v>53</v>
      </c>
      <c r="D63" t="s">
        <v>14</v>
      </c>
      <c r="E63" t="s">
        <v>20</v>
      </c>
      <c r="F63" t="s">
        <v>18</v>
      </c>
      <c r="G63" t="s">
        <v>19</v>
      </c>
      <c r="H63">
        <v>515.70000000000005</v>
      </c>
      <c r="I63" s="13">
        <v>8</v>
      </c>
      <c r="J63">
        <v>1</v>
      </c>
      <c r="K63">
        <v>35.090000000000003</v>
      </c>
      <c r="L63">
        <v>5</v>
      </c>
      <c r="M63">
        <v>8</v>
      </c>
      <c r="N63">
        <v>4</v>
      </c>
      <c r="O63">
        <f t="shared" si="0"/>
        <v>3</v>
      </c>
    </row>
    <row r="64" spans="1:15">
      <c r="A64">
        <v>4998</v>
      </c>
      <c r="B64" s="1">
        <v>45717</v>
      </c>
      <c r="C64">
        <v>48</v>
      </c>
      <c r="D64" t="s">
        <v>17</v>
      </c>
      <c r="E64" t="s">
        <v>15</v>
      </c>
      <c r="F64" t="s">
        <v>23</v>
      </c>
      <c r="H64">
        <v>837.2</v>
      </c>
      <c r="I64" s="13">
        <v>5</v>
      </c>
      <c r="J64">
        <v>1</v>
      </c>
      <c r="K64">
        <v>16.940000000000001</v>
      </c>
      <c r="L64">
        <v>4</v>
      </c>
      <c r="M64">
        <v>12</v>
      </c>
      <c r="N64">
        <v>4</v>
      </c>
      <c r="O64">
        <f t="shared" si="0"/>
        <v>3</v>
      </c>
    </row>
    <row r="65" spans="1:15">
      <c r="A65">
        <v>1615</v>
      </c>
      <c r="B65" s="1">
        <v>45717</v>
      </c>
      <c r="C65">
        <v>25</v>
      </c>
      <c r="D65" t="s">
        <v>17</v>
      </c>
      <c r="E65" t="s">
        <v>22</v>
      </c>
      <c r="F65" t="s">
        <v>16</v>
      </c>
      <c r="H65">
        <v>165</v>
      </c>
      <c r="I65" s="13">
        <v>4</v>
      </c>
      <c r="J65">
        <v>1</v>
      </c>
      <c r="K65">
        <v>16.350000000000001</v>
      </c>
      <c r="L65">
        <v>3</v>
      </c>
      <c r="M65">
        <v>8</v>
      </c>
      <c r="N65">
        <v>4</v>
      </c>
      <c r="O65">
        <f t="shared" si="0"/>
        <v>3</v>
      </c>
    </row>
    <row r="66" spans="1:15">
      <c r="A66">
        <v>4637</v>
      </c>
      <c r="B66" s="1">
        <v>45717</v>
      </c>
      <c r="C66">
        <v>27</v>
      </c>
      <c r="D66" t="s">
        <v>17</v>
      </c>
      <c r="E66" t="s">
        <v>15</v>
      </c>
      <c r="F66" t="s">
        <v>23</v>
      </c>
      <c r="H66">
        <v>693.4</v>
      </c>
      <c r="I66" s="13">
        <v>7</v>
      </c>
      <c r="J66">
        <v>0</v>
      </c>
      <c r="K66">
        <v>0</v>
      </c>
      <c r="L66">
        <v>0</v>
      </c>
      <c r="M66">
        <v>0</v>
      </c>
      <c r="O66">
        <f t="shared" si="0"/>
        <v>3</v>
      </c>
    </row>
    <row r="67" spans="1:15">
      <c r="A67">
        <v>4790</v>
      </c>
      <c r="B67" s="1">
        <v>45717</v>
      </c>
      <c r="C67">
        <v>49</v>
      </c>
      <c r="D67" t="s">
        <v>14</v>
      </c>
      <c r="E67" t="s">
        <v>20</v>
      </c>
      <c r="F67" t="s">
        <v>21</v>
      </c>
      <c r="H67">
        <v>572.1</v>
      </c>
      <c r="I67" s="13">
        <v>6</v>
      </c>
      <c r="J67">
        <v>0</v>
      </c>
      <c r="K67">
        <v>0</v>
      </c>
      <c r="L67">
        <v>0</v>
      </c>
      <c r="M67">
        <v>0</v>
      </c>
      <c r="O67">
        <f t="shared" ref="O67:O130" si="1">MONTH(B67)</f>
        <v>3</v>
      </c>
    </row>
    <row r="68" spans="1:15">
      <c r="A68">
        <v>4917</v>
      </c>
      <c r="B68" s="1">
        <v>45717</v>
      </c>
      <c r="C68">
        <v>34</v>
      </c>
      <c r="D68" t="s">
        <v>14</v>
      </c>
      <c r="E68" t="s">
        <v>15</v>
      </c>
      <c r="F68" t="s">
        <v>16</v>
      </c>
      <c r="H68">
        <v>497.8</v>
      </c>
      <c r="I68" s="13">
        <v>7</v>
      </c>
      <c r="J68">
        <v>0</v>
      </c>
      <c r="K68">
        <v>0</v>
      </c>
      <c r="L68">
        <v>0</v>
      </c>
      <c r="M68">
        <v>0</v>
      </c>
      <c r="O68">
        <f t="shared" si="1"/>
        <v>3</v>
      </c>
    </row>
    <row r="69" spans="1:15">
      <c r="A69">
        <v>2070</v>
      </c>
      <c r="B69" s="1">
        <v>45717</v>
      </c>
      <c r="C69">
        <v>39</v>
      </c>
      <c r="D69" t="s">
        <v>14</v>
      </c>
      <c r="E69" t="s">
        <v>24</v>
      </c>
      <c r="F69" t="s">
        <v>16</v>
      </c>
      <c r="H69">
        <v>335.2</v>
      </c>
      <c r="I69" s="13">
        <v>5</v>
      </c>
      <c r="J69">
        <v>0</v>
      </c>
      <c r="K69">
        <v>0</v>
      </c>
      <c r="L69">
        <v>0</v>
      </c>
      <c r="M69">
        <v>0</v>
      </c>
      <c r="O69">
        <f t="shared" si="1"/>
        <v>3</v>
      </c>
    </row>
    <row r="70" spans="1:15">
      <c r="A70">
        <v>4627</v>
      </c>
      <c r="B70" s="1">
        <v>45717</v>
      </c>
      <c r="C70">
        <v>54</v>
      </c>
      <c r="D70" t="s">
        <v>17</v>
      </c>
      <c r="E70" t="s">
        <v>20</v>
      </c>
      <c r="F70" t="s">
        <v>16</v>
      </c>
      <c r="H70">
        <v>332.2</v>
      </c>
      <c r="I70" s="13">
        <v>6</v>
      </c>
      <c r="J70">
        <v>0</v>
      </c>
      <c r="K70">
        <v>0</v>
      </c>
      <c r="L70">
        <v>0</v>
      </c>
      <c r="M70">
        <v>0</v>
      </c>
      <c r="O70">
        <f t="shared" si="1"/>
        <v>3</v>
      </c>
    </row>
    <row r="71" spans="1:15">
      <c r="A71">
        <v>2891</v>
      </c>
      <c r="B71" s="1">
        <v>45717</v>
      </c>
      <c r="C71">
        <v>26</v>
      </c>
      <c r="D71" t="s">
        <v>14</v>
      </c>
      <c r="E71" t="s">
        <v>22</v>
      </c>
      <c r="F71" t="s">
        <v>18</v>
      </c>
      <c r="G71" t="s">
        <v>26</v>
      </c>
      <c r="H71">
        <v>248.3</v>
      </c>
      <c r="I71" s="13">
        <v>7</v>
      </c>
      <c r="J71">
        <v>0</v>
      </c>
      <c r="K71">
        <v>0</v>
      </c>
      <c r="L71">
        <v>0</v>
      </c>
      <c r="M71">
        <v>0</v>
      </c>
      <c r="O71">
        <f t="shared" si="1"/>
        <v>3</v>
      </c>
    </row>
    <row r="72" spans="1:15">
      <c r="A72">
        <v>584</v>
      </c>
      <c r="B72" s="1">
        <v>45717</v>
      </c>
      <c r="C72">
        <v>31</v>
      </c>
      <c r="D72" t="s">
        <v>17</v>
      </c>
      <c r="E72" t="s">
        <v>24</v>
      </c>
      <c r="F72" t="s">
        <v>18</v>
      </c>
      <c r="G72" t="s">
        <v>25</v>
      </c>
      <c r="H72">
        <v>199.9</v>
      </c>
      <c r="I72" s="13">
        <v>10</v>
      </c>
      <c r="J72">
        <v>0</v>
      </c>
      <c r="K72">
        <v>0</v>
      </c>
      <c r="L72">
        <v>0</v>
      </c>
      <c r="M72">
        <v>0</v>
      </c>
      <c r="O72">
        <f t="shared" si="1"/>
        <v>3</v>
      </c>
    </row>
    <row r="73" spans="1:15">
      <c r="A73">
        <v>4095</v>
      </c>
      <c r="B73" s="1">
        <v>45717</v>
      </c>
      <c r="C73">
        <v>34</v>
      </c>
      <c r="D73" t="s">
        <v>14</v>
      </c>
      <c r="E73" t="s">
        <v>22</v>
      </c>
      <c r="F73" t="s">
        <v>16</v>
      </c>
      <c r="H73">
        <v>161</v>
      </c>
      <c r="I73" s="13">
        <v>3</v>
      </c>
      <c r="J73">
        <v>0</v>
      </c>
      <c r="K73">
        <v>0</v>
      </c>
      <c r="L73">
        <v>0</v>
      </c>
      <c r="M73">
        <v>0</v>
      </c>
      <c r="O73">
        <f t="shared" si="1"/>
        <v>3</v>
      </c>
    </row>
    <row r="74" spans="1:15">
      <c r="A74">
        <v>4240</v>
      </c>
      <c r="B74" s="1">
        <v>45717</v>
      </c>
      <c r="C74">
        <v>53</v>
      </c>
      <c r="D74" t="s">
        <v>14</v>
      </c>
      <c r="E74" t="s">
        <v>20</v>
      </c>
      <c r="F74" t="s">
        <v>16</v>
      </c>
      <c r="H74">
        <v>56.4</v>
      </c>
      <c r="I74" s="13">
        <v>9</v>
      </c>
      <c r="J74">
        <v>0</v>
      </c>
      <c r="K74">
        <v>0</v>
      </c>
      <c r="L74">
        <v>0</v>
      </c>
      <c r="M74">
        <v>0</v>
      </c>
      <c r="O74">
        <f t="shared" si="1"/>
        <v>3</v>
      </c>
    </row>
    <row r="75" spans="1:15">
      <c r="A75">
        <v>849</v>
      </c>
      <c r="B75" s="1">
        <v>45748</v>
      </c>
      <c r="C75">
        <v>24</v>
      </c>
      <c r="D75" t="s">
        <v>14</v>
      </c>
      <c r="E75" t="s">
        <v>15</v>
      </c>
      <c r="F75" t="s">
        <v>16</v>
      </c>
      <c r="H75">
        <v>365.7</v>
      </c>
      <c r="I75" s="13">
        <v>5</v>
      </c>
      <c r="J75">
        <v>1</v>
      </c>
      <c r="K75">
        <v>204.32</v>
      </c>
      <c r="L75">
        <v>4</v>
      </c>
      <c r="M75">
        <v>4</v>
      </c>
      <c r="N75">
        <v>5</v>
      </c>
      <c r="O75">
        <f t="shared" si="1"/>
        <v>4</v>
      </c>
    </row>
    <row r="76" spans="1:15">
      <c r="A76">
        <v>3554</v>
      </c>
      <c r="B76" s="1">
        <v>45748</v>
      </c>
      <c r="C76">
        <v>31</v>
      </c>
      <c r="D76" t="s">
        <v>17</v>
      </c>
      <c r="E76" t="s">
        <v>20</v>
      </c>
      <c r="F76" t="s">
        <v>16</v>
      </c>
      <c r="H76">
        <v>479.6</v>
      </c>
      <c r="I76" s="13">
        <v>7</v>
      </c>
      <c r="J76">
        <v>1</v>
      </c>
      <c r="K76">
        <v>109.36</v>
      </c>
      <c r="L76">
        <v>2</v>
      </c>
      <c r="M76">
        <v>6</v>
      </c>
      <c r="N76">
        <v>3</v>
      </c>
      <c r="O76">
        <f t="shared" si="1"/>
        <v>4</v>
      </c>
    </row>
    <row r="77" spans="1:15">
      <c r="A77">
        <v>3457</v>
      </c>
      <c r="B77" s="1">
        <v>45748</v>
      </c>
      <c r="C77">
        <v>38</v>
      </c>
      <c r="D77" t="s">
        <v>14</v>
      </c>
      <c r="E77" t="s">
        <v>15</v>
      </c>
      <c r="F77" t="s">
        <v>18</v>
      </c>
      <c r="G77" t="s">
        <v>29</v>
      </c>
      <c r="H77">
        <v>89.1</v>
      </c>
      <c r="I77" s="13">
        <v>7</v>
      </c>
      <c r="J77">
        <v>1</v>
      </c>
      <c r="K77">
        <v>80.47</v>
      </c>
      <c r="L77">
        <v>3</v>
      </c>
      <c r="M77">
        <v>7</v>
      </c>
      <c r="N77">
        <v>5</v>
      </c>
      <c r="O77">
        <f t="shared" si="1"/>
        <v>4</v>
      </c>
    </row>
    <row r="78" spans="1:15">
      <c r="A78">
        <v>276</v>
      </c>
      <c r="B78" s="1">
        <v>45748</v>
      </c>
      <c r="C78">
        <v>23</v>
      </c>
      <c r="D78" t="s">
        <v>14</v>
      </c>
      <c r="E78" t="s">
        <v>22</v>
      </c>
      <c r="F78" t="s">
        <v>21</v>
      </c>
      <c r="H78">
        <v>110.7</v>
      </c>
      <c r="I78" s="13">
        <v>6</v>
      </c>
      <c r="J78">
        <v>1</v>
      </c>
      <c r="K78">
        <v>75.97</v>
      </c>
      <c r="L78">
        <v>2</v>
      </c>
      <c r="M78">
        <v>14</v>
      </c>
      <c r="N78">
        <v>3</v>
      </c>
      <c r="O78">
        <f t="shared" si="1"/>
        <v>4</v>
      </c>
    </row>
    <row r="79" spans="1:15">
      <c r="A79">
        <v>2648</v>
      </c>
      <c r="B79" s="1">
        <v>45748</v>
      </c>
      <c r="C79">
        <v>37</v>
      </c>
      <c r="D79" t="s">
        <v>17</v>
      </c>
      <c r="E79" t="s">
        <v>15</v>
      </c>
      <c r="F79" t="s">
        <v>16</v>
      </c>
      <c r="H79">
        <v>267.60000000000002</v>
      </c>
      <c r="I79" s="13">
        <v>2</v>
      </c>
      <c r="J79">
        <v>1</v>
      </c>
      <c r="K79">
        <v>69.040000000000006</v>
      </c>
      <c r="L79">
        <v>2</v>
      </c>
      <c r="M79">
        <v>2</v>
      </c>
      <c r="N79">
        <v>3</v>
      </c>
      <c r="O79">
        <f t="shared" si="1"/>
        <v>4</v>
      </c>
    </row>
    <row r="80" spans="1:15">
      <c r="A80">
        <v>3164</v>
      </c>
      <c r="B80" s="1">
        <v>45748</v>
      </c>
      <c r="C80">
        <v>32</v>
      </c>
      <c r="D80" t="s">
        <v>14</v>
      </c>
      <c r="E80" t="s">
        <v>15</v>
      </c>
      <c r="F80" t="s">
        <v>21</v>
      </c>
      <c r="H80">
        <v>324.5</v>
      </c>
      <c r="I80" s="13">
        <v>6</v>
      </c>
      <c r="J80">
        <v>1</v>
      </c>
      <c r="K80">
        <v>62.57</v>
      </c>
      <c r="L80">
        <v>4</v>
      </c>
      <c r="M80">
        <v>12</v>
      </c>
      <c r="N80">
        <v>3</v>
      </c>
      <c r="O80">
        <f t="shared" si="1"/>
        <v>4</v>
      </c>
    </row>
    <row r="81" spans="1:15">
      <c r="A81">
        <v>2415</v>
      </c>
      <c r="B81" s="1">
        <v>45748</v>
      </c>
      <c r="C81">
        <v>52</v>
      </c>
      <c r="D81" t="s">
        <v>17</v>
      </c>
      <c r="E81" t="s">
        <v>15</v>
      </c>
      <c r="F81" t="s">
        <v>21</v>
      </c>
      <c r="H81">
        <v>306</v>
      </c>
      <c r="I81" s="13">
        <v>8</v>
      </c>
      <c r="J81">
        <v>1</v>
      </c>
      <c r="K81">
        <v>58.74</v>
      </c>
      <c r="L81">
        <v>3</v>
      </c>
      <c r="M81">
        <v>9</v>
      </c>
      <c r="N81">
        <v>3</v>
      </c>
      <c r="O81">
        <f t="shared" si="1"/>
        <v>4</v>
      </c>
    </row>
    <row r="82" spans="1:15">
      <c r="A82">
        <v>2988</v>
      </c>
      <c r="B82" s="1">
        <v>45748</v>
      </c>
      <c r="C82">
        <v>26</v>
      </c>
      <c r="D82" t="s">
        <v>14</v>
      </c>
      <c r="E82" t="s">
        <v>22</v>
      </c>
      <c r="F82" t="s">
        <v>16</v>
      </c>
      <c r="H82">
        <v>387.4</v>
      </c>
      <c r="I82" s="13">
        <v>7</v>
      </c>
      <c r="J82">
        <v>1</v>
      </c>
      <c r="K82">
        <v>46.19</v>
      </c>
      <c r="L82">
        <v>2</v>
      </c>
      <c r="M82">
        <v>4</v>
      </c>
      <c r="N82">
        <v>5</v>
      </c>
      <c r="O82">
        <f t="shared" si="1"/>
        <v>4</v>
      </c>
    </row>
    <row r="83" spans="1:15">
      <c r="A83">
        <v>2583</v>
      </c>
      <c r="B83" s="1">
        <v>45748</v>
      </c>
      <c r="C83">
        <v>44</v>
      </c>
      <c r="D83" t="s">
        <v>17</v>
      </c>
      <c r="E83" t="s">
        <v>20</v>
      </c>
      <c r="F83" t="s">
        <v>16</v>
      </c>
      <c r="H83">
        <v>126.5</v>
      </c>
      <c r="I83" s="13">
        <v>4</v>
      </c>
      <c r="J83">
        <v>1</v>
      </c>
      <c r="K83">
        <v>43.82</v>
      </c>
      <c r="L83">
        <v>1</v>
      </c>
      <c r="M83">
        <v>15</v>
      </c>
      <c r="N83">
        <v>4</v>
      </c>
      <c r="O83">
        <f t="shared" si="1"/>
        <v>4</v>
      </c>
    </row>
    <row r="84" spans="1:15">
      <c r="A84">
        <v>2122</v>
      </c>
      <c r="B84" s="1">
        <v>45748</v>
      </c>
      <c r="C84">
        <v>54</v>
      </c>
      <c r="D84" t="s">
        <v>17</v>
      </c>
      <c r="E84" t="s">
        <v>20</v>
      </c>
      <c r="F84" t="s">
        <v>23</v>
      </c>
      <c r="H84">
        <v>393.6</v>
      </c>
      <c r="I84" s="13">
        <v>5</v>
      </c>
      <c r="J84">
        <v>1</v>
      </c>
      <c r="K84">
        <v>43.34</v>
      </c>
      <c r="L84">
        <v>3</v>
      </c>
      <c r="M84">
        <v>15</v>
      </c>
      <c r="N84">
        <v>4</v>
      </c>
      <c r="O84">
        <f t="shared" si="1"/>
        <v>4</v>
      </c>
    </row>
    <row r="85" spans="1:15">
      <c r="A85">
        <v>3202</v>
      </c>
      <c r="B85" s="1">
        <v>45748</v>
      </c>
      <c r="C85">
        <v>22</v>
      </c>
      <c r="D85" t="s">
        <v>14</v>
      </c>
      <c r="E85" t="s">
        <v>15</v>
      </c>
      <c r="F85" t="s">
        <v>21</v>
      </c>
      <c r="H85">
        <v>643</v>
      </c>
      <c r="I85" s="13">
        <v>5</v>
      </c>
      <c r="J85">
        <v>1</v>
      </c>
      <c r="K85">
        <v>32.090000000000003</v>
      </c>
      <c r="L85">
        <v>3</v>
      </c>
      <c r="M85">
        <v>1</v>
      </c>
      <c r="N85">
        <v>4</v>
      </c>
      <c r="O85">
        <f t="shared" si="1"/>
        <v>4</v>
      </c>
    </row>
    <row r="86" spans="1:15">
      <c r="A86">
        <v>4697</v>
      </c>
      <c r="B86" s="1">
        <v>45748</v>
      </c>
      <c r="C86">
        <v>55</v>
      </c>
      <c r="D86" t="s">
        <v>27</v>
      </c>
      <c r="E86" t="s">
        <v>20</v>
      </c>
      <c r="F86" t="s">
        <v>18</v>
      </c>
      <c r="G86" t="s">
        <v>28</v>
      </c>
      <c r="H86">
        <v>410.2</v>
      </c>
      <c r="I86" s="13">
        <v>7</v>
      </c>
      <c r="J86">
        <v>1</v>
      </c>
      <c r="K86">
        <v>18.82</v>
      </c>
      <c r="L86">
        <v>1</v>
      </c>
      <c r="M86">
        <v>12</v>
      </c>
      <c r="N86">
        <v>4</v>
      </c>
      <c r="O86">
        <f t="shared" si="1"/>
        <v>4</v>
      </c>
    </row>
    <row r="87" spans="1:15">
      <c r="A87">
        <v>232</v>
      </c>
      <c r="B87" s="1">
        <v>45748</v>
      </c>
      <c r="C87">
        <v>20</v>
      </c>
      <c r="D87" t="s">
        <v>17</v>
      </c>
      <c r="E87" t="s">
        <v>24</v>
      </c>
      <c r="F87" t="s">
        <v>16</v>
      </c>
      <c r="H87">
        <v>688.8</v>
      </c>
      <c r="I87" s="13">
        <v>5</v>
      </c>
      <c r="J87">
        <v>0</v>
      </c>
      <c r="K87">
        <v>0</v>
      </c>
      <c r="L87">
        <v>0</v>
      </c>
      <c r="M87">
        <v>0</v>
      </c>
      <c r="O87">
        <f t="shared" si="1"/>
        <v>4</v>
      </c>
    </row>
    <row r="88" spans="1:15">
      <c r="A88">
        <v>3881</v>
      </c>
      <c r="B88" s="1">
        <v>45748</v>
      </c>
      <c r="C88">
        <v>45</v>
      </c>
      <c r="D88" t="s">
        <v>14</v>
      </c>
      <c r="E88" t="s">
        <v>15</v>
      </c>
      <c r="F88" t="s">
        <v>18</v>
      </c>
      <c r="G88" t="s">
        <v>26</v>
      </c>
      <c r="H88">
        <v>687.4</v>
      </c>
      <c r="I88" s="13">
        <v>10</v>
      </c>
      <c r="J88">
        <v>0</v>
      </c>
      <c r="K88">
        <v>0</v>
      </c>
      <c r="L88">
        <v>0</v>
      </c>
      <c r="M88">
        <v>0</v>
      </c>
      <c r="O88">
        <f t="shared" si="1"/>
        <v>4</v>
      </c>
    </row>
    <row r="89" spans="1:15">
      <c r="A89">
        <v>403</v>
      </c>
      <c r="B89" s="1">
        <v>45748</v>
      </c>
      <c r="C89">
        <v>22</v>
      </c>
      <c r="D89" t="s">
        <v>17</v>
      </c>
      <c r="E89" t="s">
        <v>22</v>
      </c>
      <c r="F89" t="s">
        <v>16</v>
      </c>
      <c r="H89">
        <v>600.79999999999995</v>
      </c>
      <c r="I89" s="13">
        <v>9</v>
      </c>
      <c r="J89">
        <v>0</v>
      </c>
      <c r="K89">
        <v>0</v>
      </c>
      <c r="L89">
        <v>0</v>
      </c>
      <c r="M89">
        <v>0</v>
      </c>
      <c r="O89">
        <f t="shared" si="1"/>
        <v>4</v>
      </c>
    </row>
    <row r="90" spans="1:15">
      <c r="A90">
        <v>4112</v>
      </c>
      <c r="B90" s="1">
        <v>45748</v>
      </c>
      <c r="C90">
        <v>45</v>
      </c>
      <c r="D90" t="s">
        <v>17</v>
      </c>
      <c r="E90" t="s">
        <v>24</v>
      </c>
      <c r="F90" t="s">
        <v>16</v>
      </c>
      <c r="H90">
        <v>593.70000000000005</v>
      </c>
      <c r="I90" s="13">
        <v>5</v>
      </c>
      <c r="J90">
        <v>0</v>
      </c>
      <c r="K90">
        <v>0</v>
      </c>
      <c r="L90">
        <v>0</v>
      </c>
      <c r="M90">
        <v>0</v>
      </c>
      <c r="O90">
        <f t="shared" si="1"/>
        <v>4</v>
      </c>
    </row>
    <row r="91" spans="1:15">
      <c r="A91">
        <v>3734</v>
      </c>
      <c r="B91" s="1">
        <v>45748</v>
      </c>
      <c r="C91">
        <v>29</v>
      </c>
      <c r="D91" t="s">
        <v>17</v>
      </c>
      <c r="E91" t="s">
        <v>24</v>
      </c>
      <c r="F91" t="s">
        <v>16</v>
      </c>
      <c r="H91">
        <v>527.4</v>
      </c>
      <c r="I91" s="13">
        <v>8</v>
      </c>
      <c r="J91">
        <v>0</v>
      </c>
      <c r="K91">
        <v>0</v>
      </c>
      <c r="L91">
        <v>0</v>
      </c>
      <c r="M91">
        <v>0</v>
      </c>
      <c r="O91">
        <f t="shared" si="1"/>
        <v>4</v>
      </c>
    </row>
    <row r="92" spans="1:15">
      <c r="A92">
        <v>148</v>
      </c>
      <c r="B92" s="1">
        <v>45748</v>
      </c>
      <c r="C92">
        <v>23</v>
      </c>
      <c r="D92" t="s">
        <v>17</v>
      </c>
      <c r="E92" t="s">
        <v>20</v>
      </c>
      <c r="F92" t="s">
        <v>16</v>
      </c>
      <c r="H92">
        <v>526.5</v>
      </c>
      <c r="I92" s="13">
        <v>6</v>
      </c>
      <c r="J92">
        <v>0</v>
      </c>
      <c r="K92">
        <v>0</v>
      </c>
      <c r="L92">
        <v>0</v>
      </c>
      <c r="M92">
        <v>0</v>
      </c>
      <c r="O92">
        <f t="shared" si="1"/>
        <v>4</v>
      </c>
    </row>
    <row r="93" spans="1:15">
      <c r="A93">
        <v>351</v>
      </c>
      <c r="B93" s="1">
        <v>45748</v>
      </c>
      <c r="C93">
        <v>18</v>
      </c>
      <c r="D93" t="s">
        <v>14</v>
      </c>
      <c r="E93" t="s">
        <v>24</v>
      </c>
      <c r="F93" t="s">
        <v>18</v>
      </c>
      <c r="G93" t="s">
        <v>28</v>
      </c>
      <c r="H93">
        <v>504.4</v>
      </c>
      <c r="I93" s="13">
        <v>4</v>
      </c>
      <c r="J93">
        <v>0</v>
      </c>
      <c r="K93">
        <v>0</v>
      </c>
      <c r="L93">
        <v>0</v>
      </c>
      <c r="M93">
        <v>0</v>
      </c>
      <c r="O93">
        <f t="shared" si="1"/>
        <v>4</v>
      </c>
    </row>
    <row r="94" spans="1:15">
      <c r="A94">
        <v>4830</v>
      </c>
      <c r="B94" s="1">
        <v>45748</v>
      </c>
      <c r="C94">
        <v>66</v>
      </c>
      <c r="D94" t="s">
        <v>17</v>
      </c>
      <c r="E94" t="s">
        <v>24</v>
      </c>
      <c r="F94" t="s">
        <v>16</v>
      </c>
      <c r="H94">
        <v>421.3</v>
      </c>
      <c r="I94" s="13">
        <v>7</v>
      </c>
      <c r="J94">
        <v>0</v>
      </c>
      <c r="K94">
        <v>0</v>
      </c>
      <c r="L94">
        <v>0</v>
      </c>
      <c r="M94">
        <v>0</v>
      </c>
      <c r="O94">
        <f t="shared" si="1"/>
        <v>4</v>
      </c>
    </row>
    <row r="95" spans="1:15">
      <c r="A95">
        <v>3662</v>
      </c>
      <c r="B95" s="1">
        <v>45748</v>
      </c>
      <c r="C95">
        <v>28</v>
      </c>
      <c r="D95" t="s">
        <v>14</v>
      </c>
      <c r="E95" t="s">
        <v>15</v>
      </c>
      <c r="F95" t="s">
        <v>18</v>
      </c>
      <c r="G95" t="s">
        <v>28</v>
      </c>
      <c r="H95">
        <v>321.7</v>
      </c>
      <c r="I95" s="13">
        <v>2</v>
      </c>
      <c r="J95">
        <v>0</v>
      </c>
      <c r="K95">
        <v>0</v>
      </c>
      <c r="L95">
        <v>0</v>
      </c>
      <c r="M95">
        <v>0</v>
      </c>
      <c r="O95">
        <f t="shared" si="1"/>
        <v>4</v>
      </c>
    </row>
    <row r="96" spans="1:15">
      <c r="A96">
        <v>4593</v>
      </c>
      <c r="B96" s="1">
        <v>45748</v>
      </c>
      <c r="C96">
        <v>63</v>
      </c>
      <c r="D96" t="s">
        <v>17</v>
      </c>
      <c r="E96" t="s">
        <v>15</v>
      </c>
      <c r="F96" t="s">
        <v>21</v>
      </c>
      <c r="H96">
        <v>321.7</v>
      </c>
      <c r="I96" s="13">
        <v>6</v>
      </c>
      <c r="J96">
        <v>0</v>
      </c>
      <c r="K96">
        <v>0</v>
      </c>
      <c r="L96">
        <v>0</v>
      </c>
      <c r="M96">
        <v>0</v>
      </c>
      <c r="O96">
        <f t="shared" si="1"/>
        <v>4</v>
      </c>
    </row>
    <row r="97" spans="1:15">
      <c r="A97">
        <v>609</v>
      </c>
      <c r="B97" s="1">
        <v>45748</v>
      </c>
      <c r="C97">
        <v>32</v>
      </c>
      <c r="D97" t="s">
        <v>17</v>
      </c>
      <c r="E97" t="s">
        <v>22</v>
      </c>
      <c r="F97" t="s">
        <v>18</v>
      </c>
      <c r="G97" t="s">
        <v>26</v>
      </c>
      <c r="H97">
        <v>311.89999999999998</v>
      </c>
      <c r="I97" s="13">
        <v>3</v>
      </c>
      <c r="J97">
        <v>0</v>
      </c>
      <c r="K97">
        <v>0</v>
      </c>
      <c r="L97">
        <v>0</v>
      </c>
      <c r="M97">
        <v>0</v>
      </c>
      <c r="O97">
        <f t="shared" si="1"/>
        <v>4</v>
      </c>
    </row>
    <row r="98" spans="1:15">
      <c r="A98">
        <v>3247</v>
      </c>
      <c r="B98" s="1">
        <v>45748</v>
      </c>
      <c r="C98">
        <v>33</v>
      </c>
      <c r="D98" t="s">
        <v>17</v>
      </c>
      <c r="E98" t="s">
        <v>20</v>
      </c>
      <c r="F98" t="s">
        <v>21</v>
      </c>
      <c r="H98">
        <v>210.6</v>
      </c>
      <c r="I98" s="13">
        <v>6</v>
      </c>
      <c r="J98">
        <v>0</v>
      </c>
      <c r="K98">
        <v>0</v>
      </c>
      <c r="L98">
        <v>0</v>
      </c>
      <c r="M98">
        <v>0</v>
      </c>
      <c r="O98">
        <f t="shared" si="1"/>
        <v>4</v>
      </c>
    </row>
    <row r="99" spans="1:15">
      <c r="A99">
        <v>1692</v>
      </c>
      <c r="B99" s="1">
        <v>45748</v>
      </c>
      <c r="C99">
        <v>26</v>
      </c>
      <c r="D99" t="s">
        <v>14</v>
      </c>
      <c r="E99" t="s">
        <v>22</v>
      </c>
      <c r="F99" t="s">
        <v>23</v>
      </c>
      <c r="H99">
        <v>189.4</v>
      </c>
      <c r="I99" s="13">
        <v>5</v>
      </c>
      <c r="J99">
        <v>0</v>
      </c>
      <c r="K99">
        <v>0</v>
      </c>
      <c r="L99">
        <v>0</v>
      </c>
      <c r="M99">
        <v>0</v>
      </c>
      <c r="O99">
        <f t="shared" si="1"/>
        <v>4</v>
      </c>
    </row>
    <row r="100" spans="1:15">
      <c r="A100">
        <v>4571</v>
      </c>
      <c r="B100" s="1">
        <v>45748</v>
      </c>
      <c r="C100">
        <v>52</v>
      </c>
      <c r="D100" t="s">
        <v>17</v>
      </c>
      <c r="E100" t="s">
        <v>20</v>
      </c>
      <c r="F100" t="s">
        <v>18</v>
      </c>
      <c r="G100" t="s">
        <v>19</v>
      </c>
      <c r="H100">
        <v>175</v>
      </c>
      <c r="I100" s="13">
        <v>4</v>
      </c>
      <c r="J100">
        <v>0</v>
      </c>
      <c r="K100">
        <v>0</v>
      </c>
      <c r="L100">
        <v>0</v>
      </c>
      <c r="M100">
        <v>0</v>
      </c>
      <c r="O100">
        <f t="shared" si="1"/>
        <v>4</v>
      </c>
    </row>
    <row r="101" spans="1:15">
      <c r="A101">
        <v>4628</v>
      </c>
      <c r="B101" s="1">
        <v>45748</v>
      </c>
      <c r="C101">
        <v>33</v>
      </c>
      <c r="D101" t="s">
        <v>17</v>
      </c>
      <c r="E101" t="s">
        <v>15</v>
      </c>
      <c r="F101" t="s">
        <v>18</v>
      </c>
      <c r="G101" t="s">
        <v>26</v>
      </c>
      <c r="H101">
        <v>147.4</v>
      </c>
      <c r="I101" s="13">
        <v>11</v>
      </c>
      <c r="J101">
        <v>0</v>
      </c>
      <c r="K101">
        <v>0</v>
      </c>
      <c r="L101">
        <v>0</v>
      </c>
      <c r="M101">
        <v>0</v>
      </c>
      <c r="O101">
        <f t="shared" si="1"/>
        <v>4</v>
      </c>
    </row>
    <row r="102" spans="1:15">
      <c r="A102">
        <v>744</v>
      </c>
      <c r="B102" s="1">
        <v>45748</v>
      </c>
      <c r="C102">
        <v>28</v>
      </c>
      <c r="D102" t="s">
        <v>14</v>
      </c>
      <c r="E102" t="s">
        <v>22</v>
      </c>
      <c r="F102" t="s">
        <v>16</v>
      </c>
      <c r="H102">
        <v>139.69999999999999</v>
      </c>
      <c r="I102" s="13">
        <v>6</v>
      </c>
      <c r="J102">
        <v>0</v>
      </c>
      <c r="K102">
        <v>0</v>
      </c>
      <c r="L102">
        <v>0</v>
      </c>
      <c r="M102">
        <v>0</v>
      </c>
      <c r="O102">
        <f t="shared" si="1"/>
        <v>4</v>
      </c>
    </row>
    <row r="103" spans="1:15">
      <c r="A103">
        <v>2769</v>
      </c>
      <c r="B103" s="1">
        <v>45748</v>
      </c>
      <c r="C103">
        <v>44</v>
      </c>
      <c r="D103" t="s">
        <v>17</v>
      </c>
      <c r="E103" t="s">
        <v>20</v>
      </c>
      <c r="F103" t="s">
        <v>16</v>
      </c>
      <c r="H103">
        <v>105.6</v>
      </c>
      <c r="I103" s="13">
        <v>6</v>
      </c>
      <c r="J103">
        <v>0</v>
      </c>
      <c r="K103">
        <v>0</v>
      </c>
      <c r="L103">
        <v>0</v>
      </c>
      <c r="M103">
        <v>0</v>
      </c>
      <c r="O103">
        <f t="shared" si="1"/>
        <v>4</v>
      </c>
    </row>
    <row r="104" spans="1:15">
      <c r="A104">
        <v>2560</v>
      </c>
      <c r="B104" s="1">
        <v>45748</v>
      </c>
      <c r="C104">
        <v>25</v>
      </c>
      <c r="D104" t="s">
        <v>14</v>
      </c>
      <c r="E104" t="s">
        <v>15</v>
      </c>
      <c r="F104" t="s">
        <v>18</v>
      </c>
      <c r="G104" t="s">
        <v>28</v>
      </c>
      <c r="H104">
        <v>74</v>
      </c>
      <c r="I104" s="13">
        <v>4</v>
      </c>
      <c r="J104">
        <v>0</v>
      </c>
      <c r="K104">
        <v>0</v>
      </c>
      <c r="L104">
        <v>0</v>
      </c>
      <c r="M104">
        <v>0</v>
      </c>
      <c r="O104">
        <f t="shared" si="1"/>
        <v>4</v>
      </c>
    </row>
    <row r="105" spans="1:15">
      <c r="A105">
        <v>3468</v>
      </c>
      <c r="B105" s="1">
        <v>45778</v>
      </c>
      <c r="C105">
        <v>44</v>
      </c>
      <c r="D105" t="s">
        <v>17</v>
      </c>
      <c r="E105" t="s">
        <v>22</v>
      </c>
      <c r="F105" t="s">
        <v>16</v>
      </c>
      <c r="H105">
        <v>248</v>
      </c>
      <c r="I105" s="13">
        <v>4</v>
      </c>
      <c r="J105">
        <v>1</v>
      </c>
      <c r="K105">
        <v>138.36000000000001</v>
      </c>
      <c r="L105">
        <v>2</v>
      </c>
      <c r="M105">
        <v>15</v>
      </c>
      <c r="N105">
        <v>4</v>
      </c>
      <c r="O105">
        <f t="shared" si="1"/>
        <v>5</v>
      </c>
    </row>
    <row r="106" spans="1:15">
      <c r="A106">
        <v>548</v>
      </c>
      <c r="B106" s="1">
        <v>45778</v>
      </c>
      <c r="C106">
        <v>25</v>
      </c>
      <c r="D106" t="s">
        <v>17</v>
      </c>
      <c r="E106" t="s">
        <v>22</v>
      </c>
      <c r="F106" t="s">
        <v>16</v>
      </c>
      <c r="H106">
        <v>520.29999999999995</v>
      </c>
      <c r="I106" s="13">
        <v>5</v>
      </c>
      <c r="J106">
        <v>1</v>
      </c>
      <c r="K106">
        <v>68.83</v>
      </c>
      <c r="L106">
        <v>2</v>
      </c>
      <c r="M106">
        <v>13</v>
      </c>
      <c r="N106">
        <v>5</v>
      </c>
      <c r="O106">
        <f t="shared" si="1"/>
        <v>5</v>
      </c>
    </row>
    <row r="107" spans="1:15">
      <c r="A107">
        <v>4669</v>
      </c>
      <c r="B107" s="1">
        <v>45778</v>
      </c>
      <c r="C107">
        <v>45</v>
      </c>
      <c r="D107" t="s">
        <v>17</v>
      </c>
      <c r="E107" t="s">
        <v>22</v>
      </c>
      <c r="F107" t="s">
        <v>23</v>
      </c>
      <c r="H107">
        <v>150.9</v>
      </c>
      <c r="I107" s="13">
        <v>6</v>
      </c>
      <c r="J107">
        <v>1</v>
      </c>
      <c r="K107">
        <v>59.59</v>
      </c>
      <c r="L107">
        <v>4</v>
      </c>
      <c r="M107">
        <v>12</v>
      </c>
      <c r="N107">
        <v>5</v>
      </c>
      <c r="O107">
        <f t="shared" si="1"/>
        <v>5</v>
      </c>
    </row>
    <row r="108" spans="1:15">
      <c r="A108">
        <v>1476</v>
      </c>
      <c r="B108" s="1">
        <v>45778</v>
      </c>
      <c r="C108">
        <v>18</v>
      </c>
      <c r="D108" t="s">
        <v>17</v>
      </c>
      <c r="E108" t="s">
        <v>22</v>
      </c>
      <c r="F108" t="s">
        <v>16</v>
      </c>
      <c r="H108">
        <v>408.5</v>
      </c>
      <c r="I108" s="13">
        <v>4</v>
      </c>
      <c r="J108">
        <v>1</v>
      </c>
      <c r="K108">
        <v>57.14</v>
      </c>
      <c r="L108">
        <v>2</v>
      </c>
      <c r="M108">
        <v>3</v>
      </c>
      <c r="N108">
        <v>3</v>
      </c>
      <c r="O108">
        <f t="shared" si="1"/>
        <v>5</v>
      </c>
    </row>
    <row r="109" spans="1:15">
      <c r="A109">
        <v>1567</v>
      </c>
      <c r="B109" s="1">
        <v>45778</v>
      </c>
      <c r="C109">
        <v>24</v>
      </c>
      <c r="D109" t="s">
        <v>17</v>
      </c>
      <c r="E109" t="s">
        <v>22</v>
      </c>
      <c r="F109" t="s">
        <v>18</v>
      </c>
      <c r="G109" t="s">
        <v>30</v>
      </c>
      <c r="H109">
        <v>699.8</v>
      </c>
      <c r="I109" s="13">
        <v>4</v>
      </c>
      <c r="J109">
        <v>1</v>
      </c>
      <c r="K109">
        <v>35.93</v>
      </c>
      <c r="L109">
        <v>4</v>
      </c>
      <c r="M109">
        <v>7</v>
      </c>
      <c r="N109">
        <v>4</v>
      </c>
      <c r="O109">
        <f t="shared" si="1"/>
        <v>5</v>
      </c>
    </row>
    <row r="110" spans="1:15">
      <c r="A110">
        <v>882</v>
      </c>
      <c r="B110" s="1">
        <v>45778</v>
      </c>
      <c r="C110">
        <v>25</v>
      </c>
      <c r="D110" t="s">
        <v>17</v>
      </c>
      <c r="E110" t="s">
        <v>15</v>
      </c>
      <c r="F110" t="s">
        <v>23</v>
      </c>
      <c r="H110">
        <v>339.9</v>
      </c>
      <c r="I110" s="13">
        <v>8</v>
      </c>
      <c r="J110">
        <v>1</v>
      </c>
      <c r="K110">
        <v>34.770000000000003</v>
      </c>
      <c r="L110">
        <v>2</v>
      </c>
      <c r="M110">
        <v>13</v>
      </c>
      <c r="N110">
        <v>4</v>
      </c>
      <c r="O110">
        <f t="shared" si="1"/>
        <v>5</v>
      </c>
    </row>
    <row r="111" spans="1:15">
      <c r="A111">
        <v>1496</v>
      </c>
      <c r="B111" s="1">
        <v>45778</v>
      </c>
      <c r="C111">
        <v>31</v>
      </c>
      <c r="D111" t="s">
        <v>17</v>
      </c>
      <c r="E111" t="s">
        <v>22</v>
      </c>
      <c r="F111" t="s">
        <v>16</v>
      </c>
      <c r="H111">
        <v>533.5</v>
      </c>
      <c r="I111" s="13">
        <v>8</v>
      </c>
      <c r="J111">
        <v>1</v>
      </c>
      <c r="K111">
        <v>33.21</v>
      </c>
      <c r="L111">
        <v>2</v>
      </c>
      <c r="M111">
        <v>12</v>
      </c>
      <c r="N111">
        <v>4</v>
      </c>
      <c r="O111">
        <f t="shared" si="1"/>
        <v>5</v>
      </c>
    </row>
    <row r="112" spans="1:15">
      <c r="A112">
        <v>4589</v>
      </c>
      <c r="B112" s="1">
        <v>45778</v>
      </c>
      <c r="C112">
        <v>41</v>
      </c>
      <c r="D112" t="s">
        <v>17</v>
      </c>
      <c r="E112" t="s">
        <v>22</v>
      </c>
      <c r="F112" t="s">
        <v>18</v>
      </c>
      <c r="G112" t="s">
        <v>31</v>
      </c>
      <c r="H112">
        <v>334.2</v>
      </c>
      <c r="I112" s="13">
        <v>5</v>
      </c>
      <c r="J112">
        <v>1</v>
      </c>
      <c r="K112">
        <v>29.75</v>
      </c>
      <c r="L112">
        <v>3</v>
      </c>
      <c r="M112">
        <v>9</v>
      </c>
      <c r="N112">
        <v>4</v>
      </c>
      <c r="O112">
        <f t="shared" si="1"/>
        <v>5</v>
      </c>
    </row>
    <row r="113" spans="1:15">
      <c r="A113">
        <v>684</v>
      </c>
      <c r="B113" s="1">
        <v>45778</v>
      </c>
      <c r="C113">
        <v>31</v>
      </c>
      <c r="D113" t="s">
        <v>17</v>
      </c>
      <c r="E113" t="s">
        <v>24</v>
      </c>
      <c r="F113" t="s">
        <v>18</v>
      </c>
      <c r="G113" t="s">
        <v>28</v>
      </c>
      <c r="H113">
        <v>991.8</v>
      </c>
      <c r="I113" s="13">
        <v>8</v>
      </c>
      <c r="J113">
        <v>1</v>
      </c>
      <c r="K113">
        <v>21.44</v>
      </c>
      <c r="L113">
        <v>2</v>
      </c>
      <c r="M113">
        <v>15</v>
      </c>
      <c r="N113">
        <v>3</v>
      </c>
      <c r="O113">
        <f t="shared" si="1"/>
        <v>5</v>
      </c>
    </row>
    <row r="114" spans="1:15">
      <c r="A114">
        <v>895</v>
      </c>
      <c r="B114" s="1">
        <v>45778</v>
      </c>
      <c r="C114">
        <v>23</v>
      </c>
      <c r="D114" t="s">
        <v>17</v>
      </c>
      <c r="E114" t="s">
        <v>20</v>
      </c>
      <c r="F114" t="s">
        <v>16</v>
      </c>
      <c r="H114">
        <v>448.6</v>
      </c>
      <c r="I114" s="13">
        <v>8</v>
      </c>
      <c r="J114">
        <v>1</v>
      </c>
      <c r="K114">
        <v>19.510000000000002</v>
      </c>
      <c r="L114">
        <v>3</v>
      </c>
      <c r="M114">
        <v>3</v>
      </c>
      <c r="N114">
        <v>3</v>
      </c>
      <c r="O114">
        <f t="shared" si="1"/>
        <v>5</v>
      </c>
    </row>
    <row r="115" spans="1:15">
      <c r="A115">
        <v>2056</v>
      </c>
      <c r="B115" s="1">
        <v>45778</v>
      </c>
      <c r="C115">
        <v>25</v>
      </c>
      <c r="D115" t="s">
        <v>17</v>
      </c>
      <c r="E115" t="s">
        <v>22</v>
      </c>
      <c r="F115" t="s">
        <v>23</v>
      </c>
      <c r="H115">
        <v>1392.3</v>
      </c>
      <c r="I115" s="13">
        <v>6</v>
      </c>
      <c r="J115">
        <v>1</v>
      </c>
      <c r="K115">
        <v>17.63</v>
      </c>
      <c r="L115">
        <v>3</v>
      </c>
      <c r="M115">
        <v>1</v>
      </c>
      <c r="N115">
        <v>5</v>
      </c>
      <c r="O115">
        <f t="shared" si="1"/>
        <v>5</v>
      </c>
    </row>
    <row r="116" spans="1:15">
      <c r="A116">
        <v>157</v>
      </c>
      <c r="B116" s="1">
        <v>45778</v>
      </c>
      <c r="C116">
        <v>24</v>
      </c>
      <c r="D116" t="s">
        <v>14</v>
      </c>
      <c r="E116" t="s">
        <v>15</v>
      </c>
      <c r="F116" t="s">
        <v>16</v>
      </c>
      <c r="H116">
        <v>172.4</v>
      </c>
      <c r="I116" s="13">
        <v>8</v>
      </c>
      <c r="J116">
        <v>1</v>
      </c>
      <c r="K116">
        <v>16.32</v>
      </c>
      <c r="L116">
        <v>2</v>
      </c>
      <c r="M116">
        <v>1</v>
      </c>
      <c r="N116">
        <v>4</v>
      </c>
      <c r="O116">
        <f t="shared" si="1"/>
        <v>5</v>
      </c>
    </row>
    <row r="117" spans="1:15">
      <c r="A117">
        <v>544</v>
      </c>
      <c r="B117" s="1">
        <v>45778</v>
      </c>
      <c r="C117">
        <v>18</v>
      </c>
      <c r="D117" t="s">
        <v>14</v>
      </c>
      <c r="E117" t="s">
        <v>22</v>
      </c>
      <c r="F117" t="s">
        <v>21</v>
      </c>
      <c r="H117">
        <v>592.4</v>
      </c>
      <c r="I117" s="13">
        <v>3</v>
      </c>
      <c r="J117">
        <v>1</v>
      </c>
      <c r="K117">
        <v>16.28</v>
      </c>
      <c r="L117">
        <v>5</v>
      </c>
      <c r="M117">
        <v>7</v>
      </c>
      <c r="N117">
        <v>4</v>
      </c>
      <c r="O117">
        <f t="shared" si="1"/>
        <v>5</v>
      </c>
    </row>
    <row r="118" spans="1:15">
      <c r="A118">
        <v>3698</v>
      </c>
      <c r="B118" s="1">
        <v>45778</v>
      </c>
      <c r="C118">
        <v>20</v>
      </c>
      <c r="D118" t="s">
        <v>17</v>
      </c>
      <c r="E118" t="s">
        <v>20</v>
      </c>
      <c r="F118" t="s">
        <v>23</v>
      </c>
      <c r="H118">
        <v>262</v>
      </c>
      <c r="I118" s="13">
        <v>6</v>
      </c>
      <c r="J118">
        <v>0</v>
      </c>
      <c r="K118">
        <v>0</v>
      </c>
      <c r="L118">
        <v>0</v>
      </c>
      <c r="M118">
        <v>0</v>
      </c>
      <c r="O118">
        <f t="shared" si="1"/>
        <v>5</v>
      </c>
    </row>
    <row r="119" spans="1:15">
      <c r="A119">
        <v>4475</v>
      </c>
      <c r="B119" s="1">
        <v>45778</v>
      </c>
      <c r="C119">
        <v>49</v>
      </c>
      <c r="D119" t="s">
        <v>14</v>
      </c>
      <c r="E119" t="s">
        <v>24</v>
      </c>
      <c r="F119" t="s">
        <v>18</v>
      </c>
      <c r="G119" t="s">
        <v>26</v>
      </c>
      <c r="H119">
        <v>548.4</v>
      </c>
      <c r="I119" s="13">
        <v>6</v>
      </c>
      <c r="J119">
        <v>0</v>
      </c>
      <c r="K119">
        <v>0</v>
      </c>
      <c r="L119">
        <v>0</v>
      </c>
      <c r="M119">
        <v>0</v>
      </c>
      <c r="O119">
        <f t="shared" si="1"/>
        <v>5</v>
      </c>
    </row>
    <row r="120" spans="1:15">
      <c r="A120">
        <v>2193</v>
      </c>
      <c r="B120" s="1">
        <v>45778</v>
      </c>
      <c r="C120">
        <v>29</v>
      </c>
      <c r="D120" t="s">
        <v>14</v>
      </c>
      <c r="E120" t="s">
        <v>24</v>
      </c>
      <c r="F120" t="s">
        <v>16</v>
      </c>
      <c r="H120">
        <v>510.8</v>
      </c>
      <c r="I120" s="13">
        <v>4</v>
      </c>
      <c r="J120">
        <v>0</v>
      </c>
      <c r="K120">
        <v>0</v>
      </c>
      <c r="L120">
        <v>0</v>
      </c>
      <c r="M120">
        <v>0</v>
      </c>
      <c r="O120">
        <f t="shared" si="1"/>
        <v>5</v>
      </c>
    </row>
    <row r="121" spans="1:15">
      <c r="A121">
        <v>2346</v>
      </c>
      <c r="B121" s="1">
        <v>45778</v>
      </c>
      <c r="C121">
        <v>41</v>
      </c>
      <c r="D121" t="s">
        <v>14</v>
      </c>
      <c r="E121" t="s">
        <v>24</v>
      </c>
      <c r="F121" t="s">
        <v>16</v>
      </c>
      <c r="H121">
        <v>474.3</v>
      </c>
      <c r="I121" s="13">
        <v>4</v>
      </c>
      <c r="J121">
        <v>0</v>
      </c>
      <c r="K121">
        <v>0</v>
      </c>
      <c r="L121">
        <v>0</v>
      </c>
      <c r="M121">
        <v>0</v>
      </c>
      <c r="O121">
        <f t="shared" si="1"/>
        <v>5</v>
      </c>
    </row>
    <row r="122" spans="1:15">
      <c r="A122">
        <v>3390</v>
      </c>
      <c r="B122" s="1">
        <v>45778</v>
      </c>
      <c r="C122">
        <v>41</v>
      </c>
      <c r="D122" t="s">
        <v>14</v>
      </c>
      <c r="E122" t="s">
        <v>20</v>
      </c>
      <c r="F122" t="s">
        <v>16</v>
      </c>
      <c r="H122">
        <v>402.4</v>
      </c>
      <c r="I122" s="13">
        <v>6</v>
      </c>
      <c r="J122">
        <v>0</v>
      </c>
      <c r="K122">
        <v>0</v>
      </c>
      <c r="L122">
        <v>0</v>
      </c>
      <c r="M122">
        <v>0</v>
      </c>
      <c r="O122">
        <f t="shared" si="1"/>
        <v>5</v>
      </c>
    </row>
    <row r="123" spans="1:15">
      <c r="A123">
        <v>4413</v>
      </c>
      <c r="B123" s="1">
        <v>45778</v>
      </c>
      <c r="C123">
        <v>72</v>
      </c>
      <c r="D123" t="s">
        <v>17</v>
      </c>
      <c r="E123" t="s">
        <v>15</v>
      </c>
      <c r="F123" t="s">
        <v>16</v>
      </c>
      <c r="H123">
        <v>397</v>
      </c>
      <c r="I123" s="13">
        <v>4</v>
      </c>
      <c r="J123">
        <v>0</v>
      </c>
      <c r="K123">
        <v>0</v>
      </c>
      <c r="L123">
        <v>0</v>
      </c>
      <c r="M123">
        <v>0</v>
      </c>
      <c r="O123">
        <f t="shared" si="1"/>
        <v>5</v>
      </c>
    </row>
    <row r="124" spans="1:15">
      <c r="A124">
        <v>3919</v>
      </c>
      <c r="B124" s="1">
        <v>45778</v>
      </c>
      <c r="C124">
        <v>71</v>
      </c>
      <c r="D124" t="s">
        <v>27</v>
      </c>
      <c r="E124" t="s">
        <v>15</v>
      </c>
      <c r="F124" t="s">
        <v>18</v>
      </c>
      <c r="G124" t="s">
        <v>28</v>
      </c>
      <c r="H124">
        <v>334.6</v>
      </c>
      <c r="I124" s="13">
        <v>5</v>
      </c>
      <c r="J124">
        <v>0</v>
      </c>
      <c r="K124">
        <v>0</v>
      </c>
      <c r="L124">
        <v>0</v>
      </c>
      <c r="M124">
        <v>0</v>
      </c>
      <c r="O124">
        <f t="shared" si="1"/>
        <v>5</v>
      </c>
    </row>
    <row r="125" spans="1:15">
      <c r="A125">
        <v>2126</v>
      </c>
      <c r="B125" s="1">
        <v>45778</v>
      </c>
      <c r="C125">
        <v>44</v>
      </c>
      <c r="D125" t="s">
        <v>17</v>
      </c>
      <c r="E125" t="s">
        <v>15</v>
      </c>
      <c r="F125" t="s">
        <v>16</v>
      </c>
      <c r="H125">
        <v>320.39999999999998</v>
      </c>
      <c r="I125" s="13">
        <v>3</v>
      </c>
      <c r="J125">
        <v>0</v>
      </c>
      <c r="K125">
        <v>0</v>
      </c>
      <c r="L125">
        <v>0</v>
      </c>
      <c r="M125">
        <v>0</v>
      </c>
      <c r="O125">
        <f t="shared" si="1"/>
        <v>5</v>
      </c>
    </row>
    <row r="126" spans="1:15">
      <c r="A126">
        <v>597</v>
      </c>
      <c r="B126" s="1">
        <v>45778</v>
      </c>
      <c r="C126">
        <v>24</v>
      </c>
      <c r="D126" t="s">
        <v>14</v>
      </c>
      <c r="E126" t="s">
        <v>24</v>
      </c>
      <c r="F126" t="s">
        <v>23</v>
      </c>
      <c r="H126">
        <v>311.3</v>
      </c>
      <c r="I126" s="13">
        <v>8</v>
      </c>
      <c r="J126">
        <v>0</v>
      </c>
      <c r="K126">
        <v>0</v>
      </c>
      <c r="L126">
        <v>0</v>
      </c>
      <c r="M126">
        <v>0</v>
      </c>
      <c r="O126">
        <f t="shared" si="1"/>
        <v>5</v>
      </c>
    </row>
    <row r="127" spans="1:15">
      <c r="A127">
        <v>3029</v>
      </c>
      <c r="B127" s="1">
        <v>45778</v>
      </c>
      <c r="C127">
        <v>26</v>
      </c>
      <c r="D127" t="s">
        <v>14</v>
      </c>
      <c r="E127" t="s">
        <v>20</v>
      </c>
      <c r="F127" t="s">
        <v>16</v>
      </c>
      <c r="H127">
        <v>269.8</v>
      </c>
      <c r="I127" s="13">
        <v>4</v>
      </c>
      <c r="J127">
        <v>0</v>
      </c>
      <c r="K127">
        <v>0</v>
      </c>
      <c r="L127">
        <v>0</v>
      </c>
      <c r="M127">
        <v>0</v>
      </c>
      <c r="O127">
        <f t="shared" si="1"/>
        <v>5</v>
      </c>
    </row>
    <row r="128" spans="1:15">
      <c r="A128">
        <v>2253</v>
      </c>
      <c r="B128" s="1">
        <v>45778</v>
      </c>
      <c r="C128">
        <v>18</v>
      </c>
      <c r="D128" t="s">
        <v>17</v>
      </c>
      <c r="E128" t="s">
        <v>20</v>
      </c>
      <c r="F128" t="s">
        <v>21</v>
      </c>
      <c r="H128">
        <v>249.1</v>
      </c>
      <c r="I128" s="13">
        <v>7</v>
      </c>
      <c r="J128">
        <v>0</v>
      </c>
      <c r="K128">
        <v>0</v>
      </c>
      <c r="L128">
        <v>0</v>
      </c>
      <c r="M128">
        <v>0</v>
      </c>
      <c r="O128">
        <f t="shared" si="1"/>
        <v>5</v>
      </c>
    </row>
    <row r="129" spans="1:15">
      <c r="A129">
        <v>3568</v>
      </c>
      <c r="B129" s="1">
        <v>45778</v>
      </c>
      <c r="C129">
        <v>31</v>
      </c>
      <c r="D129" t="s">
        <v>17</v>
      </c>
      <c r="E129" t="s">
        <v>24</v>
      </c>
      <c r="F129" t="s">
        <v>18</v>
      </c>
      <c r="G129" t="s">
        <v>19</v>
      </c>
      <c r="H129">
        <v>224.7</v>
      </c>
      <c r="I129" s="13">
        <v>5</v>
      </c>
      <c r="J129">
        <v>0</v>
      </c>
      <c r="K129">
        <v>0</v>
      </c>
      <c r="L129">
        <v>0</v>
      </c>
      <c r="M129">
        <v>0</v>
      </c>
      <c r="O129">
        <f t="shared" si="1"/>
        <v>5</v>
      </c>
    </row>
    <row r="130" spans="1:15">
      <c r="A130">
        <v>4549</v>
      </c>
      <c r="B130" s="1">
        <v>45778</v>
      </c>
      <c r="C130">
        <v>63</v>
      </c>
      <c r="D130" t="s">
        <v>14</v>
      </c>
      <c r="E130" t="s">
        <v>22</v>
      </c>
      <c r="F130" t="s">
        <v>16</v>
      </c>
      <c r="H130">
        <v>196.1</v>
      </c>
      <c r="I130" s="13">
        <v>7</v>
      </c>
      <c r="J130">
        <v>0</v>
      </c>
      <c r="K130">
        <v>0</v>
      </c>
      <c r="L130">
        <v>0</v>
      </c>
      <c r="M130">
        <v>0</v>
      </c>
      <c r="O130">
        <f t="shared" si="1"/>
        <v>5</v>
      </c>
    </row>
    <row r="131" spans="1:15">
      <c r="A131">
        <v>4031</v>
      </c>
      <c r="B131" s="1">
        <v>45778</v>
      </c>
      <c r="C131">
        <v>43</v>
      </c>
      <c r="D131" t="s">
        <v>17</v>
      </c>
      <c r="E131" t="s">
        <v>15</v>
      </c>
      <c r="F131" t="s">
        <v>18</v>
      </c>
      <c r="G131" t="s">
        <v>26</v>
      </c>
      <c r="H131">
        <v>161.1</v>
      </c>
      <c r="I131" s="13">
        <v>7</v>
      </c>
      <c r="J131">
        <v>0</v>
      </c>
      <c r="K131">
        <v>0</v>
      </c>
      <c r="L131">
        <v>0</v>
      </c>
      <c r="M131">
        <v>0</v>
      </c>
      <c r="O131">
        <f t="shared" ref="O131:O194" si="2">MONTH(B131)</f>
        <v>5</v>
      </c>
    </row>
    <row r="132" spans="1:15">
      <c r="A132">
        <v>1616</v>
      </c>
      <c r="B132" s="1">
        <v>45778</v>
      </c>
      <c r="C132">
        <v>30</v>
      </c>
      <c r="D132" t="s">
        <v>14</v>
      </c>
      <c r="E132" t="s">
        <v>15</v>
      </c>
      <c r="F132" t="s">
        <v>23</v>
      </c>
      <c r="H132">
        <v>159</v>
      </c>
      <c r="I132" s="13">
        <v>4</v>
      </c>
      <c r="J132">
        <v>0</v>
      </c>
      <c r="K132">
        <v>0</v>
      </c>
      <c r="L132">
        <v>0</v>
      </c>
      <c r="M132">
        <v>0</v>
      </c>
      <c r="O132">
        <f t="shared" si="2"/>
        <v>5</v>
      </c>
    </row>
    <row r="133" spans="1:15">
      <c r="A133">
        <v>1434</v>
      </c>
      <c r="B133" s="1">
        <v>45778</v>
      </c>
      <c r="C133">
        <v>29</v>
      </c>
      <c r="D133" t="s">
        <v>17</v>
      </c>
      <c r="E133" t="s">
        <v>15</v>
      </c>
      <c r="F133" t="s">
        <v>18</v>
      </c>
      <c r="G133" t="s">
        <v>26</v>
      </c>
      <c r="H133">
        <v>157.5</v>
      </c>
      <c r="I133" s="13">
        <v>4</v>
      </c>
      <c r="J133">
        <v>0</v>
      </c>
      <c r="K133">
        <v>0</v>
      </c>
      <c r="L133">
        <v>0</v>
      </c>
      <c r="M133">
        <v>0</v>
      </c>
      <c r="O133">
        <f t="shared" si="2"/>
        <v>5</v>
      </c>
    </row>
    <row r="134" spans="1:15">
      <c r="A134">
        <v>2235</v>
      </c>
      <c r="B134" s="1">
        <v>45778</v>
      </c>
      <c r="C134">
        <v>34</v>
      </c>
      <c r="D134" t="s">
        <v>14</v>
      </c>
      <c r="E134" t="s">
        <v>20</v>
      </c>
      <c r="F134" t="s">
        <v>18</v>
      </c>
      <c r="G134" t="s">
        <v>19</v>
      </c>
      <c r="H134">
        <v>87.1</v>
      </c>
      <c r="I134" s="13">
        <v>9</v>
      </c>
      <c r="J134">
        <v>0</v>
      </c>
      <c r="K134">
        <v>0</v>
      </c>
      <c r="L134">
        <v>0</v>
      </c>
      <c r="M134">
        <v>0</v>
      </c>
      <c r="O134">
        <f t="shared" si="2"/>
        <v>5</v>
      </c>
    </row>
    <row r="135" spans="1:15">
      <c r="A135">
        <v>3330</v>
      </c>
      <c r="B135" s="1">
        <v>45778</v>
      </c>
      <c r="C135">
        <v>37</v>
      </c>
      <c r="D135" t="s">
        <v>17</v>
      </c>
      <c r="E135" t="s">
        <v>15</v>
      </c>
      <c r="F135" t="s">
        <v>16</v>
      </c>
      <c r="H135">
        <v>14</v>
      </c>
      <c r="I135" s="13">
        <v>6</v>
      </c>
      <c r="J135">
        <v>0</v>
      </c>
      <c r="K135">
        <v>0</v>
      </c>
      <c r="L135">
        <v>0</v>
      </c>
      <c r="M135">
        <v>0</v>
      </c>
      <c r="O135">
        <f t="shared" si="2"/>
        <v>5</v>
      </c>
    </row>
    <row r="136" spans="1:15">
      <c r="A136">
        <v>1963</v>
      </c>
      <c r="B136" s="1">
        <v>45809</v>
      </c>
      <c r="C136">
        <v>28</v>
      </c>
      <c r="D136" t="s">
        <v>17</v>
      </c>
      <c r="E136" t="s">
        <v>24</v>
      </c>
      <c r="F136" t="s">
        <v>21</v>
      </c>
      <c r="H136">
        <v>477.9</v>
      </c>
      <c r="I136" s="13">
        <v>8</v>
      </c>
      <c r="J136">
        <v>1</v>
      </c>
      <c r="K136">
        <v>148</v>
      </c>
      <c r="L136">
        <v>4</v>
      </c>
      <c r="M136">
        <v>6</v>
      </c>
      <c r="N136">
        <v>4</v>
      </c>
      <c r="O136">
        <f t="shared" si="2"/>
        <v>6</v>
      </c>
    </row>
    <row r="137" spans="1:15">
      <c r="A137">
        <v>1559</v>
      </c>
      <c r="B137" s="1">
        <v>45809</v>
      </c>
      <c r="C137">
        <v>29</v>
      </c>
      <c r="D137" t="s">
        <v>17</v>
      </c>
      <c r="E137" t="s">
        <v>15</v>
      </c>
      <c r="F137" t="s">
        <v>18</v>
      </c>
      <c r="G137" t="s">
        <v>19</v>
      </c>
      <c r="H137">
        <v>351.1</v>
      </c>
      <c r="I137" s="13">
        <v>4</v>
      </c>
      <c r="J137">
        <v>1</v>
      </c>
      <c r="K137">
        <v>326.22000000000003</v>
      </c>
      <c r="L137">
        <v>3</v>
      </c>
      <c r="M137">
        <v>6</v>
      </c>
      <c r="N137">
        <v>5</v>
      </c>
      <c r="O137">
        <f t="shared" si="2"/>
        <v>6</v>
      </c>
    </row>
    <row r="138" spans="1:15">
      <c r="A138">
        <v>524</v>
      </c>
      <c r="B138" s="1">
        <v>45809</v>
      </c>
      <c r="C138">
        <v>19</v>
      </c>
      <c r="D138" t="s">
        <v>14</v>
      </c>
      <c r="E138" t="s">
        <v>22</v>
      </c>
      <c r="F138" t="s">
        <v>23</v>
      </c>
      <c r="H138">
        <v>510.5</v>
      </c>
      <c r="I138" s="13">
        <v>4</v>
      </c>
      <c r="J138">
        <v>1</v>
      </c>
      <c r="K138">
        <v>94.06</v>
      </c>
      <c r="L138">
        <v>5</v>
      </c>
      <c r="M138">
        <v>5</v>
      </c>
      <c r="N138">
        <v>4</v>
      </c>
      <c r="O138">
        <f t="shared" si="2"/>
        <v>6</v>
      </c>
    </row>
    <row r="139" spans="1:15">
      <c r="A139">
        <v>1407</v>
      </c>
      <c r="B139" s="1">
        <v>45809</v>
      </c>
      <c r="C139">
        <v>18</v>
      </c>
      <c r="D139" t="s">
        <v>17</v>
      </c>
      <c r="E139" t="s">
        <v>22</v>
      </c>
      <c r="F139" t="s">
        <v>16</v>
      </c>
      <c r="H139">
        <v>259.39999999999998</v>
      </c>
      <c r="I139" s="13">
        <v>5</v>
      </c>
      <c r="J139">
        <v>1</v>
      </c>
      <c r="K139">
        <v>62.43</v>
      </c>
      <c r="L139">
        <v>3</v>
      </c>
      <c r="M139">
        <v>8</v>
      </c>
      <c r="N139">
        <v>4</v>
      </c>
      <c r="O139">
        <f t="shared" si="2"/>
        <v>6</v>
      </c>
    </row>
    <row r="140" spans="1:15">
      <c r="A140">
        <v>4728</v>
      </c>
      <c r="B140" s="1">
        <v>45809</v>
      </c>
      <c r="C140">
        <v>58</v>
      </c>
      <c r="D140" t="s">
        <v>17</v>
      </c>
      <c r="E140" t="s">
        <v>20</v>
      </c>
      <c r="F140" t="s">
        <v>18</v>
      </c>
      <c r="G140" t="s">
        <v>29</v>
      </c>
      <c r="H140">
        <v>226.2</v>
      </c>
      <c r="I140" s="13">
        <v>8</v>
      </c>
      <c r="J140">
        <v>1</v>
      </c>
      <c r="K140">
        <v>47.17</v>
      </c>
      <c r="L140">
        <v>2</v>
      </c>
      <c r="M140">
        <v>6</v>
      </c>
      <c r="N140">
        <v>4</v>
      </c>
      <c r="O140">
        <f t="shared" si="2"/>
        <v>6</v>
      </c>
    </row>
    <row r="141" spans="1:15">
      <c r="A141">
        <v>3829</v>
      </c>
      <c r="B141" s="1">
        <v>45809</v>
      </c>
      <c r="C141">
        <v>59</v>
      </c>
      <c r="D141" t="s">
        <v>17</v>
      </c>
      <c r="E141" t="s">
        <v>20</v>
      </c>
      <c r="F141" t="s">
        <v>18</v>
      </c>
      <c r="G141" t="s">
        <v>19</v>
      </c>
      <c r="H141">
        <v>875.8</v>
      </c>
      <c r="I141" s="13">
        <v>6</v>
      </c>
      <c r="J141">
        <v>1</v>
      </c>
      <c r="K141">
        <v>44.88</v>
      </c>
      <c r="L141">
        <v>5</v>
      </c>
      <c r="M141">
        <v>1</v>
      </c>
      <c r="N141">
        <v>5</v>
      </c>
      <c r="O141">
        <f t="shared" si="2"/>
        <v>6</v>
      </c>
    </row>
    <row r="142" spans="1:15">
      <c r="A142">
        <v>4378</v>
      </c>
      <c r="B142" s="1">
        <v>45809</v>
      </c>
      <c r="C142">
        <v>45</v>
      </c>
      <c r="D142" t="s">
        <v>17</v>
      </c>
      <c r="E142" t="s">
        <v>22</v>
      </c>
      <c r="F142" t="s">
        <v>23</v>
      </c>
      <c r="H142">
        <v>385.4</v>
      </c>
      <c r="I142" s="13">
        <v>7</v>
      </c>
      <c r="J142">
        <v>1</v>
      </c>
      <c r="K142">
        <v>33.61</v>
      </c>
      <c r="L142">
        <v>4</v>
      </c>
      <c r="M142">
        <v>2</v>
      </c>
      <c r="N142">
        <v>4</v>
      </c>
      <c r="O142">
        <f t="shared" si="2"/>
        <v>6</v>
      </c>
    </row>
    <row r="143" spans="1:15">
      <c r="A143">
        <v>3277</v>
      </c>
      <c r="B143" s="1">
        <v>45809</v>
      </c>
      <c r="C143">
        <v>26</v>
      </c>
      <c r="D143" t="s">
        <v>14</v>
      </c>
      <c r="E143" t="s">
        <v>22</v>
      </c>
      <c r="F143" t="s">
        <v>18</v>
      </c>
      <c r="G143" t="s">
        <v>19</v>
      </c>
      <c r="H143">
        <v>566.9</v>
      </c>
      <c r="I143" s="13">
        <v>5</v>
      </c>
      <c r="J143">
        <v>1</v>
      </c>
      <c r="K143">
        <v>32.130000000000003</v>
      </c>
      <c r="L143">
        <v>5</v>
      </c>
      <c r="M143">
        <v>14</v>
      </c>
      <c r="N143">
        <v>3</v>
      </c>
      <c r="O143">
        <f t="shared" si="2"/>
        <v>6</v>
      </c>
    </row>
    <row r="144" spans="1:15">
      <c r="A144">
        <v>3667</v>
      </c>
      <c r="B144" s="1">
        <v>45809</v>
      </c>
      <c r="C144">
        <v>32</v>
      </c>
      <c r="D144" t="s">
        <v>17</v>
      </c>
      <c r="E144" t="s">
        <v>20</v>
      </c>
      <c r="F144" t="s">
        <v>23</v>
      </c>
      <c r="H144">
        <v>497.5</v>
      </c>
      <c r="I144" s="13">
        <v>4</v>
      </c>
      <c r="J144">
        <v>1</v>
      </c>
      <c r="K144">
        <v>17.329999999999998</v>
      </c>
      <c r="L144">
        <v>5</v>
      </c>
      <c r="M144">
        <v>1</v>
      </c>
      <c r="N144">
        <v>4</v>
      </c>
      <c r="O144">
        <f t="shared" si="2"/>
        <v>6</v>
      </c>
    </row>
    <row r="145" spans="1:15">
      <c r="A145">
        <v>2977</v>
      </c>
      <c r="B145" s="1">
        <v>45809</v>
      </c>
      <c r="C145">
        <v>49</v>
      </c>
      <c r="D145" t="s">
        <v>17</v>
      </c>
      <c r="E145" t="s">
        <v>15</v>
      </c>
      <c r="F145" t="s">
        <v>18</v>
      </c>
      <c r="G145" t="s">
        <v>19</v>
      </c>
      <c r="H145">
        <v>600.79999999999995</v>
      </c>
      <c r="I145" s="13">
        <v>4</v>
      </c>
      <c r="J145">
        <v>0</v>
      </c>
      <c r="K145">
        <v>0</v>
      </c>
      <c r="L145">
        <v>0</v>
      </c>
      <c r="M145">
        <v>0</v>
      </c>
      <c r="O145">
        <f t="shared" si="2"/>
        <v>6</v>
      </c>
    </row>
    <row r="146" spans="1:15">
      <c r="A146">
        <v>4396</v>
      </c>
      <c r="B146" s="1">
        <v>45809</v>
      </c>
      <c r="C146">
        <v>36</v>
      </c>
      <c r="D146" t="s">
        <v>17</v>
      </c>
      <c r="E146" t="s">
        <v>15</v>
      </c>
      <c r="F146" t="s">
        <v>16</v>
      </c>
      <c r="H146">
        <v>598.20000000000005</v>
      </c>
      <c r="I146" s="13">
        <v>3</v>
      </c>
      <c r="J146">
        <v>0</v>
      </c>
      <c r="K146">
        <v>0</v>
      </c>
      <c r="L146">
        <v>0</v>
      </c>
      <c r="M146">
        <v>0</v>
      </c>
      <c r="O146">
        <f t="shared" si="2"/>
        <v>6</v>
      </c>
    </row>
    <row r="147" spans="1:15">
      <c r="A147">
        <v>726</v>
      </c>
      <c r="B147" s="1">
        <v>45809</v>
      </c>
      <c r="C147">
        <v>33</v>
      </c>
      <c r="D147" t="s">
        <v>27</v>
      </c>
      <c r="E147" t="s">
        <v>24</v>
      </c>
      <c r="F147" t="s">
        <v>16</v>
      </c>
      <c r="H147">
        <v>556.29999999999995</v>
      </c>
      <c r="I147" s="13">
        <v>1</v>
      </c>
      <c r="J147">
        <v>0</v>
      </c>
      <c r="K147">
        <v>0</v>
      </c>
      <c r="L147">
        <v>0</v>
      </c>
      <c r="M147">
        <v>0</v>
      </c>
      <c r="O147">
        <f t="shared" si="2"/>
        <v>6</v>
      </c>
    </row>
    <row r="148" spans="1:15">
      <c r="A148">
        <v>3905</v>
      </c>
      <c r="B148" s="1">
        <v>45809</v>
      </c>
      <c r="C148">
        <v>41</v>
      </c>
      <c r="D148" t="s">
        <v>14</v>
      </c>
      <c r="E148" t="s">
        <v>20</v>
      </c>
      <c r="F148" t="s">
        <v>18</v>
      </c>
      <c r="G148" t="s">
        <v>25</v>
      </c>
      <c r="H148">
        <v>527.79999999999995</v>
      </c>
      <c r="I148" s="13">
        <v>7</v>
      </c>
      <c r="J148">
        <v>0</v>
      </c>
      <c r="K148">
        <v>0</v>
      </c>
      <c r="L148">
        <v>0</v>
      </c>
      <c r="M148">
        <v>0</v>
      </c>
      <c r="O148">
        <f t="shared" si="2"/>
        <v>6</v>
      </c>
    </row>
    <row r="149" spans="1:15">
      <c r="A149">
        <v>1859</v>
      </c>
      <c r="B149" s="1">
        <v>45809</v>
      </c>
      <c r="C149">
        <v>37</v>
      </c>
      <c r="D149" t="s">
        <v>14</v>
      </c>
      <c r="E149" t="s">
        <v>24</v>
      </c>
      <c r="F149" t="s">
        <v>18</v>
      </c>
      <c r="G149" t="s">
        <v>26</v>
      </c>
      <c r="H149">
        <v>520.4</v>
      </c>
      <c r="I149" s="13">
        <v>5</v>
      </c>
      <c r="J149">
        <v>0</v>
      </c>
      <c r="K149">
        <v>0</v>
      </c>
      <c r="L149">
        <v>0</v>
      </c>
      <c r="M149">
        <v>0</v>
      </c>
      <c r="O149">
        <f t="shared" si="2"/>
        <v>6</v>
      </c>
    </row>
    <row r="150" spans="1:15">
      <c r="A150">
        <v>1642</v>
      </c>
      <c r="B150" s="1">
        <v>45809</v>
      </c>
      <c r="C150">
        <v>27</v>
      </c>
      <c r="D150" t="s">
        <v>14</v>
      </c>
      <c r="E150" t="s">
        <v>15</v>
      </c>
      <c r="F150" t="s">
        <v>23</v>
      </c>
      <c r="H150">
        <v>391.6</v>
      </c>
      <c r="I150" s="13">
        <v>8</v>
      </c>
      <c r="J150">
        <v>0</v>
      </c>
      <c r="K150">
        <v>0</v>
      </c>
      <c r="L150">
        <v>0</v>
      </c>
      <c r="M150">
        <v>0</v>
      </c>
      <c r="O150">
        <f t="shared" si="2"/>
        <v>6</v>
      </c>
    </row>
    <row r="151" spans="1:15">
      <c r="A151">
        <v>1874</v>
      </c>
      <c r="B151" s="1">
        <v>45809</v>
      </c>
      <c r="C151">
        <v>40</v>
      </c>
      <c r="D151" t="s">
        <v>17</v>
      </c>
      <c r="E151" t="s">
        <v>22</v>
      </c>
      <c r="F151" t="s">
        <v>16</v>
      </c>
      <c r="H151">
        <v>367.5</v>
      </c>
      <c r="I151" s="13">
        <v>5</v>
      </c>
      <c r="J151">
        <v>0</v>
      </c>
      <c r="K151">
        <v>0</v>
      </c>
      <c r="L151">
        <v>0</v>
      </c>
      <c r="M151">
        <v>0</v>
      </c>
      <c r="O151">
        <f t="shared" si="2"/>
        <v>6</v>
      </c>
    </row>
    <row r="152" spans="1:15">
      <c r="A152">
        <v>2619</v>
      </c>
      <c r="B152" s="1">
        <v>45809</v>
      </c>
      <c r="C152">
        <v>33</v>
      </c>
      <c r="D152" t="s">
        <v>14</v>
      </c>
      <c r="E152" t="s">
        <v>22</v>
      </c>
      <c r="F152" t="s">
        <v>23</v>
      </c>
      <c r="H152">
        <v>323.10000000000002</v>
      </c>
      <c r="I152" s="13">
        <v>9</v>
      </c>
      <c r="J152">
        <v>0</v>
      </c>
      <c r="K152">
        <v>0</v>
      </c>
      <c r="L152">
        <v>0</v>
      </c>
      <c r="M152">
        <v>0</v>
      </c>
      <c r="O152">
        <f t="shared" si="2"/>
        <v>6</v>
      </c>
    </row>
    <row r="153" spans="1:15">
      <c r="A153">
        <v>4984</v>
      </c>
      <c r="B153" s="1">
        <v>45809</v>
      </c>
      <c r="C153">
        <v>56</v>
      </c>
      <c r="D153" t="s">
        <v>17</v>
      </c>
      <c r="E153" t="s">
        <v>22</v>
      </c>
      <c r="F153" t="s">
        <v>16</v>
      </c>
      <c r="H153">
        <v>204.7</v>
      </c>
      <c r="I153" s="13">
        <v>8</v>
      </c>
      <c r="J153">
        <v>0</v>
      </c>
      <c r="K153">
        <v>0</v>
      </c>
      <c r="L153">
        <v>0</v>
      </c>
      <c r="M153">
        <v>0</v>
      </c>
      <c r="O153">
        <f t="shared" si="2"/>
        <v>6</v>
      </c>
    </row>
    <row r="154" spans="1:15">
      <c r="A154">
        <v>2782</v>
      </c>
      <c r="B154" s="1">
        <v>45809</v>
      </c>
      <c r="C154">
        <v>18</v>
      </c>
      <c r="D154" t="s">
        <v>14</v>
      </c>
      <c r="E154" t="s">
        <v>15</v>
      </c>
      <c r="F154" t="s">
        <v>18</v>
      </c>
      <c r="G154" t="s">
        <v>28</v>
      </c>
      <c r="H154">
        <v>202.9</v>
      </c>
      <c r="I154" s="13">
        <v>12</v>
      </c>
      <c r="J154">
        <v>0</v>
      </c>
      <c r="K154">
        <v>0</v>
      </c>
      <c r="L154">
        <v>0</v>
      </c>
      <c r="M154">
        <v>0</v>
      </c>
      <c r="O154">
        <f t="shared" si="2"/>
        <v>6</v>
      </c>
    </row>
    <row r="155" spans="1:15">
      <c r="A155">
        <v>1762</v>
      </c>
      <c r="B155" s="1">
        <v>45809</v>
      </c>
      <c r="C155">
        <v>30</v>
      </c>
      <c r="D155" t="s">
        <v>17</v>
      </c>
      <c r="E155" t="s">
        <v>24</v>
      </c>
      <c r="F155" t="s">
        <v>16</v>
      </c>
      <c r="H155">
        <v>144.19999999999999</v>
      </c>
      <c r="I155" s="13">
        <v>6</v>
      </c>
      <c r="J155">
        <v>0</v>
      </c>
      <c r="K155">
        <v>0</v>
      </c>
      <c r="L155">
        <v>0</v>
      </c>
      <c r="M155">
        <v>0</v>
      </c>
      <c r="O155">
        <f t="shared" si="2"/>
        <v>6</v>
      </c>
    </row>
    <row r="156" spans="1:15">
      <c r="A156">
        <v>3573</v>
      </c>
      <c r="B156" s="1">
        <v>45809</v>
      </c>
      <c r="C156">
        <v>26</v>
      </c>
      <c r="D156" t="s">
        <v>14</v>
      </c>
      <c r="E156" t="s">
        <v>20</v>
      </c>
      <c r="F156" t="s">
        <v>16</v>
      </c>
      <c r="H156">
        <v>131.9</v>
      </c>
      <c r="I156" s="13">
        <v>7</v>
      </c>
      <c r="J156">
        <v>0</v>
      </c>
      <c r="K156">
        <v>0</v>
      </c>
      <c r="L156">
        <v>0</v>
      </c>
      <c r="M156">
        <v>0</v>
      </c>
      <c r="O156">
        <f t="shared" si="2"/>
        <v>6</v>
      </c>
    </row>
    <row r="157" spans="1:15">
      <c r="A157">
        <v>1780</v>
      </c>
      <c r="B157" s="1">
        <v>45809</v>
      </c>
      <c r="C157">
        <v>49</v>
      </c>
      <c r="D157" t="s">
        <v>14</v>
      </c>
      <c r="E157" t="s">
        <v>22</v>
      </c>
      <c r="F157" t="s">
        <v>16</v>
      </c>
      <c r="H157">
        <v>131.80000000000001</v>
      </c>
      <c r="I157" s="13">
        <v>10</v>
      </c>
      <c r="J157">
        <v>0</v>
      </c>
      <c r="K157">
        <v>0</v>
      </c>
      <c r="L157">
        <v>0</v>
      </c>
      <c r="M157">
        <v>0</v>
      </c>
      <c r="O157">
        <f t="shared" si="2"/>
        <v>6</v>
      </c>
    </row>
    <row r="158" spans="1:15">
      <c r="A158">
        <v>2611</v>
      </c>
      <c r="B158" s="1">
        <v>45809</v>
      </c>
      <c r="C158">
        <v>38</v>
      </c>
      <c r="D158" t="s">
        <v>14</v>
      </c>
      <c r="E158" t="s">
        <v>15</v>
      </c>
      <c r="F158" t="s">
        <v>16</v>
      </c>
      <c r="H158">
        <v>110.8</v>
      </c>
      <c r="I158" s="13">
        <v>1</v>
      </c>
      <c r="J158">
        <v>0</v>
      </c>
      <c r="K158">
        <v>0</v>
      </c>
      <c r="L158">
        <v>0</v>
      </c>
      <c r="M158">
        <v>0</v>
      </c>
      <c r="O158">
        <f t="shared" si="2"/>
        <v>6</v>
      </c>
    </row>
    <row r="159" spans="1:15">
      <c r="A159">
        <v>1980</v>
      </c>
      <c r="B159" s="1">
        <v>45809</v>
      </c>
      <c r="C159">
        <v>36</v>
      </c>
      <c r="D159" t="s">
        <v>14</v>
      </c>
      <c r="E159" t="s">
        <v>20</v>
      </c>
      <c r="F159" t="s">
        <v>16</v>
      </c>
      <c r="H159">
        <v>102.4</v>
      </c>
      <c r="I159" s="13">
        <v>4</v>
      </c>
      <c r="J159">
        <v>0</v>
      </c>
      <c r="K159">
        <v>0</v>
      </c>
      <c r="L159">
        <v>0</v>
      </c>
      <c r="M159">
        <v>0</v>
      </c>
      <c r="O159">
        <f t="shared" si="2"/>
        <v>6</v>
      </c>
    </row>
    <row r="160" spans="1:15">
      <c r="A160">
        <v>2164</v>
      </c>
      <c r="B160" s="1">
        <v>45809</v>
      </c>
      <c r="C160">
        <v>44</v>
      </c>
      <c r="D160" t="s">
        <v>27</v>
      </c>
      <c r="E160" t="s">
        <v>15</v>
      </c>
      <c r="F160" t="s">
        <v>16</v>
      </c>
      <c r="H160">
        <v>64.5</v>
      </c>
      <c r="I160" s="13">
        <v>6</v>
      </c>
      <c r="J160">
        <v>0</v>
      </c>
      <c r="K160">
        <v>0</v>
      </c>
      <c r="L160">
        <v>0</v>
      </c>
      <c r="M160">
        <v>0</v>
      </c>
      <c r="O160">
        <f t="shared" si="2"/>
        <v>6</v>
      </c>
    </row>
    <row r="161" spans="1:15">
      <c r="A161">
        <v>812</v>
      </c>
      <c r="B161" s="1">
        <v>45809</v>
      </c>
      <c r="C161">
        <v>23</v>
      </c>
      <c r="D161" t="s">
        <v>14</v>
      </c>
      <c r="E161" t="s">
        <v>20</v>
      </c>
      <c r="F161" t="s">
        <v>16</v>
      </c>
      <c r="H161">
        <v>40.9</v>
      </c>
      <c r="I161" s="13">
        <v>4</v>
      </c>
      <c r="J161">
        <v>0</v>
      </c>
      <c r="K161">
        <v>0</v>
      </c>
      <c r="L161">
        <v>0</v>
      </c>
      <c r="M161">
        <v>0</v>
      </c>
      <c r="O161">
        <f t="shared" si="2"/>
        <v>6</v>
      </c>
    </row>
    <row r="162" spans="1:15">
      <c r="A162">
        <v>3094</v>
      </c>
      <c r="B162" s="1">
        <v>45809</v>
      </c>
      <c r="C162">
        <v>45</v>
      </c>
      <c r="D162" t="s">
        <v>17</v>
      </c>
      <c r="E162" t="s">
        <v>15</v>
      </c>
      <c r="F162" t="s">
        <v>16</v>
      </c>
      <c r="H162">
        <v>10</v>
      </c>
      <c r="I162" s="13">
        <v>5</v>
      </c>
      <c r="J162">
        <v>0</v>
      </c>
      <c r="K162">
        <v>0</v>
      </c>
      <c r="L162">
        <v>0</v>
      </c>
      <c r="M162">
        <v>0</v>
      </c>
      <c r="O162">
        <f t="shared" si="2"/>
        <v>6</v>
      </c>
    </row>
    <row r="163" spans="1:15">
      <c r="A163">
        <v>2693</v>
      </c>
      <c r="B163" s="1">
        <v>45659</v>
      </c>
      <c r="C163">
        <v>29</v>
      </c>
      <c r="D163" t="s">
        <v>14</v>
      </c>
      <c r="E163" t="s">
        <v>20</v>
      </c>
      <c r="F163" t="s">
        <v>23</v>
      </c>
      <c r="H163">
        <v>343</v>
      </c>
      <c r="I163" s="13">
        <v>5</v>
      </c>
      <c r="J163">
        <v>1</v>
      </c>
      <c r="K163">
        <v>72</v>
      </c>
      <c r="L163">
        <v>3</v>
      </c>
      <c r="M163">
        <v>3</v>
      </c>
      <c r="N163">
        <v>4</v>
      </c>
      <c r="O163">
        <f t="shared" si="2"/>
        <v>1</v>
      </c>
    </row>
    <row r="164" spans="1:15">
      <c r="A164">
        <v>1744</v>
      </c>
      <c r="B164" s="1">
        <v>45659</v>
      </c>
      <c r="C164">
        <v>18</v>
      </c>
      <c r="D164" t="s">
        <v>17</v>
      </c>
      <c r="E164" t="s">
        <v>22</v>
      </c>
      <c r="F164" t="s">
        <v>16</v>
      </c>
      <c r="H164">
        <v>201.4</v>
      </c>
      <c r="I164" s="13">
        <v>8</v>
      </c>
      <c r="J164">
        <v>1</v>
      </c>
      <c r="K164">
        <v>477</v>
      </c>
      <c r="L164">
        <v>1</v>
      </c>
      <c r="M164">
        <v>9</v>
      </c>
      <c r="N164">
        <v>4</v>
      </c>
      <c r="O164">
        <f t="shared" si="2"/>
        <v>1</v>
      </c>
    </row>
    <row r="165" spans="1:15">
      <c r="A165">
        <v>4771</v>
      </c>
      <c r="B165" s="1">
        <v>45659</v>
      </c>
      <c r="C165">
        <v>38</v>
      </c>
      <c r="D165" t="s">
        <v>17</v>
      </c>
      <c r="E165" t="s">
        <v>20</v>
      </c>
      <c r="F165" t="s">
        <v>18</v>
      </c>
      <c r="G165" t="s">
        <v>31</v>
      </c>
      <c r="H165">
        <v>382.8</v>
      </c>
      <c r="I165" s="13">
        <v>7</v>
      </c>
      <c r="J165">
        <v>1</v>
      </c>
      <c r="K165">
        <v>286.88</v>
      </c>
      <c r="L165">
        <v>3</v>
      </c>
      <c r="M165">
        <v>13</v>
      </c>
      <c r="N165">
        <v>5</v>
      </c>
      <c r="O165">
        <f t="shared" si="2"/>
        <v>1</v>
      </c>
    </row>
    <row r="166" spans="1:15">
      <c r="A166">
        <v>408</v>
      </c>
      <c r="B166" s="1">
        <v>45659</v>
      </c>
      <c r="C166">
        <v>22</v>
      </c>
      <c r="D166" t="s">
        <v>14</v>
      </c>
      <c r="E166" t="s">
        <v>22</v>
      </c>
      <c r="F166" t="s">
        <v>16</v>
      </c>
      <c r="H166">
        <v>484.6</v>
      </c>
      <c r="I166" s="13">
        <v>3</v>
      </c>
      <c r="J166">
        <v>1</v>
      </c>
      <c r="K166">
        <v>115.34</v>
      </c>
      <c r="L166">
        <v>4</v>
      </c>
      <c r="M166">
        <v>4</v>
      </c>
      <c r="N166">
        <v>5</v>
      </c>
      <c r="O166">
        <f t="shared" si="2"/>
        <v>1</v>
      </c>
    </row>
    <row r="167" spans="1:15">
      <c r="A167">
        <v>3108</v>
      </c>
      <c r="B167" s="1">
        <v>45659</v>
      </c>
      <c r="C167">
        <v>26</v>
      </c>
      <c r="D167" t="s">
        <v>14</v>
      </c>
      <c r="E167" t="s">
        <v>22</v>
      </c>
      <c r="F167" t="s">
        <v>16</v>
      </c>
      <c r="H167">
        <v>414</v>
      </c>
      <c r="I167" s="13">
        <v>8</v>
      </c>
      <c r="J167">
        <v>1</v>
      </c>
      <c r="K167">
        <v>111.1</v>
      </c>
      <c r="L167">
        <v>3</v>
      </c>
      <c r="M167">
        <v>10</v>
      </c>
      <c r="N167">
        <v>4</v>
      </c>
      <c r="O167">
        <f t="shared" si="2"/>
        <v>1</v>
      </c>
    </row>
    <row r="168" spans="1:15">
      <c r="A168">
        <v>3913</v>
      </c>
      <c r="B168" s="1">
        <v>45659</v>
      </c>
      <c r="C168">
        <v>40</v>
      </c>
      <c r="D168" t="s">
        <v>14</v>
      </c>
      <c r="E168" t="s">
        <v>15</v>
      </c>
      <c r="F168" t="s">
        <v>21</v>
      </c>
      <c r="H168">
        <v>209.6</v>
      </c>
      <c r="I168" s="13">
        <v>7</v>
      </c>
      <c r="J168">
        <v>1</v>
      </c>
      <c r="K168">
        <v>95.51</v>
      </c>
      <c r="L168">
        <v>3</v>
      </c>
      <c r="M168">
        <v>2</v>
      </c>
      <c r="N168">
        <v>3</v>
      </c>
      <c r="O168">
        <f t="shared" si="2"/>
        <v>1</v>
      </c>
    </row>
    <row r="169" spans="1:15">
      <c r="A169">
        <v>2296</v>
      </c>
      <c r="B169" s="1">
        <v>45659</v>
      </c>
      <c r="C169">
        <v>35</v>
      </c>
      <c r="D169" t="s">
        <v>14</v>
      </c>
      <c r="E169" t="s">
        <v>24</v>
      </c>
      <c r="F169" t="s">
        <v>18</v>
      </c>
      <c r="G169" t="s">
        <v>30</v>
      </c>
      <c r="H169">
        <v>924.6</v>
      </c>
      <c r="I169" s="13">
        <v>4</v>
      </c>
      <c r="J169">
        <v>1</v>
      </c>
      <c r="K169">
        <v>62.75</v>
      </c>
      <c r="L169">
        <v>2</v>
      </c>
      <c r="M169">
        <v>10</v>
      </c>
      <c r="N169">
        <v>4</v>
      </c>
      <c r="O169">
        <f t="shared" si="2"/>
        <v>1</v>
      </c>
    </row>
    <row r="170" spans="1:15">
      <c r="A170">
        <v>3745</v>
      </c>
      <c r="B170" s="1">
        <v>45659</v>
      </c>
      <c r="C170">
        <v>31</v>
      </c>
      <c r="D170" t="s">
        <v>14</v>
      </c>
      <c r="E170" t="s">
        <v>15</v>
      </c>
      <c r="F170" t="s">
        <v>16</v>
      </c>
      <c r="H170">
        <v>1195</v>
      </c>
      <c r="I170" s="13">
        <v>6</v>
      </c>
      <c r="J170">
        <v>1</v>
      </c>
      <c r="K170">
        <v>49.51</v>
      </c>
      <c r="L170">
        <v>5</v>
      </c>
      <c r="M170">
        <v>12</v>
      </c>
      <c r="N170">
        <v>4</v>
      </c>
      <c r="O170">
        <f t="shared" si="2"/>
        <v>1</v>
      </c>
    </row>
    <row r="171" spans="1:15">
      <c r="A171">
        <v>2819</v>
      </c>
      <c r="B171" s="1">
        <v>45659</v>
      </c>
      <c r="C171">
        <v>42</v>
      </c>
      <c r="D171" t="s">
        <v>14</v>
      </c>
      <c r="E171" t="s">
        <v>24</v>
      </c>
      <c r="F171" t="s">
        <v>18</v>
      </c>
      <c r="G171" t="s">
        <v>25</v>
      </c>
      <c r="H171">
        <v>333.5</v>
      </c>
      <c r="I171" s="13">
        <v>8</v>
      </c>
      <c r="J171">
        <v>1</v>
      </c>
      <c r="K171">
        <v>37.33</v>
      </c>
      <c r="L171">
        <v>2</v>
      </c>
      <c r="M171">
        <v>11</v>
      </c>
      <c r="N171">
        <v>4</v>
      </c>
      <c r="O171">
        <f t="shared" si="2"/>
        <v>1</v>
      </c>
    </row>
    <row r="172" spans="1:15">
      <c r="A172">
        <v>2762</v>
      </c>
      <c r="B172" s="1">
        <v>45659</v>
      </c>
      <c r="C172">
        <v>24</v>
      </c>
      <c r="D172" t="s">
        <v>14</v>
      </c>
      <c r="E172" t="s">
        <v>24</v>
      </c>
      <c r="F172" t="s">
        <v>16</v>
      </c>
      <c r="H172">
        <v>896.6</v>
      </c>
      <c r="I172" s="13">
        <v>11</v>
      </c>
      <c r="J172">
        <v>1</v>
      </c>
      <c r="K172">
        <v>20.77</v>
      </c>
      <c r="L172">
        <v>3</v>
      </c>
      <c r="M172">
        <v>12</v>
      </c>
      <c r="N172">
        <v>3</v>
      </c>
      <c r="O172">
        <f t="shared" si="2"/>
        <v>1</v>
      </c>
    </row>
    <row r="173" spans="1:15">
      <c r="A173">
        <v>3783</v>
      </c>
      <c r="B173" s="1">
        <v>45659</v>
      </c>
      <c r="C173">
        <v>66</v>
      </c>
      <c r="D173" t="s">
        <v>17</v>
      </c>
      <c r="E173" t="s">
        <v>22</v>
      </c>
      <c r="F173" t="s">
        <v>18</v>
      </c>
      <c r="G173" t="s">
        <v>29</v>
      </c>
      <c r="H173">
        <v>23.7</v>
      </c>
      <c r="I173" s="13">
        <v>7</v>
      </c>
      <c r="J173">
        <v>0</v>
      </c>
      <c r="K173">
        <v>0</v>
      </c>
      <c r="L173">
        <v>0</v>
      </c>
      <c r="M173">
        <v>0</v>
      </c>
      <c r="O173">
        <f t="shared" si="2"/>
        <v>1</v>
      </c>
    </row>
    <row r="174" spans="1:15">
      <c r="A174">
        <v>206</v>
      </c>
      <c r="B174" s="1">
        <v>45659</v>
      </c>
      <c r="C174">
        <v>25</v>
      </c>
      <c r="D174" t="s">
        <v>17</v>
      </c>
      <c r="E174" t="s">
        <v>22</v>
      </c>
      <c r="F174" t="s">
        <v>23</v>
      </c>
      <c r="H174">
        <v>454.4</v>
      </c>
      <c r="I174" s="13">
        <v>4</v>
      </c>
      <c r="J174">
        <v>0</v>
      </c>
      <c r="K174">
        <v>0</v>
      </c>
      <c r="L174">
        <v>0</v>
      </c>
      <c r="M174">
        <v>0</v>
      </c>
      <c r="O174">
        <f t="shared" si="2"/>
        <v>1</v>
      </c>
    </row>
    <row r="175" spans="1:15">
      <c r="A175">
        <v>1284</v>
      </c>
      <c r="B175" s="1">
        <v>45659</v>
      </c>
      <c r="C175">
        <v>20</v>
      </c>
      <c r="D175" t="s">
        <v>14</v>
      </c>
      <c r="E175" t="s">
        <v>15</v>
      </c>
      <c r="F175" t="s">
        <v>21</v>
      </c>
      <c r="H175">
        <v>385.1</v>
      </c>
      <c r="I175" s="13">
        <v>3</v>
      </c>
      <c r="J175">
        <v>0</v>
      </c>
      <c r="K175">
        <v>0</v>
      </c>
      <c r="L175">
        <v>0</v>
      </c>
      <c r="M175">
        <v>0</v>
      </c>
      <c r="O175">
        <f t="shared" si="2"/>
        <v>1</v>
      </c>
    </row>
    <row r="176" spans="1:15">
      <c r="A176">
        <v>2350</v>
      </c>
      <c r="B176" s="1">
        <v>45659</v>
      </c>
      <c r="C176">
        <v>47</v>
      </c>
      <c r="D176" t="s">
        <v>14</v>
      </c>
      <c r="E176" t="s">
        <v>24</v>
      </c>
      <c r="F176" t="s">
        <v>23</v>
      </c>
      <c r="H176">
        <v>376.3</v>
      </c>
      <c r="I176" s="13">
        <v>7</v>
      </c>
      <c r="J176">
        <v>0</v>
      </c>
      <c r="K176">
        <v>0</v>
      </c>
      <c r="L176">
        <v>0</v>
      </c>
      <c r="M176">
        <v>0</v>
      </c>
      <c r="O176">
        <f t="shared" si="2"/>
        <v>1</v>
      </c>
    </row>
    <row r="177" spans="1:15">
      <c r="A177">
        <v>3272</v>
      </c>
      <c r="B177" s="1">
        <v>45659</v>
      </c>
      <c r="C177">
        <v>32</v>
      </c>
      <c r="D177" t="s">
        <v>17</v>
      </c>
      <c r="E177" t="s">
        <v>20</v>
      </c>
      <c r="F177" t="s">
        <v>23</v>
      </c>
      <c r="H177">
        <v>355.4</v>
      </c>
      <c r="I177" s="13">
        <v>2</v>
      </c>
      <c r="J177">
        <v>0</v>
      </c>
      <c r="K177">
        <v>0</v>
      </c>
      <c r="L177">
        <v>0</v>
      </c>
      <c r="M177">
        <v>0</v>
      </c>
      <c r="O177">
        <f t="shared" si="2"/>
        <v>1</v>
      </c>
    </row>
    <row r="178" spans="1:15">
      <c r="A178">
        <v>1887</v>
      </c>
      <c r="B178" s="1">
        <v>45659</v>
      </c>
      <c r="C178">
        <v>36</v>
      </c>
      <c r="D178" t="s">
        <v>14</v>
      </c>
      <c r="E178" t="s">
        <v>22</v>
      </c>
      <c r="F178" t="s">
        <v>18</v>
      </c>
      <c r="G178" t="s">
        <v>26</v>
      </c>
      <c r="H178">
        <v>335.6</v>
      </c>
      <c r="I178" s="13">
        <v>4</v>
      </c>
      <c r="J178">
        <v>0</v>
      </c>
      <c r="K178">
        <v>0</v>
      </c>
      <c r="L178">
        <v>0</v>
      </c>
      <c r="M178">
        <v>0</v>
      </c>
      <c r="O178">
        <f t="shared" si="2"/>
        <v>1</v>
      </c>
    </row>
    <row r="179" spans="1:15">
      <c r="A179">
        <v>3099</v>
      </c>
      <c r="B179" s="1">
        <v>45659</v>
      </c>
      <c r="C179">
        <v>41</v>
      </c>
      <c r="D179" t="s">
        <v>17</v>
      </c>
      <c r="E179" t="s">
        <v>24</v>
      </c>
      <c r="F179" t="s">
        <v>21</v>
      </c>
      <c r="H179">
        <v>318.60000000000002</v>
      </c>
      <c r="I179" s="13">
        <v>11</v>
      </c>
      <c r="J179">
        <v>0</v>
      </c>
      <c r="K179">
        <v>0</v>
      </c>
      <c r="L179">
        <v>0</v>
      </c>
      <c r="M179">
        <v>0</v>
      </c>
      <c r="O179">
        <f t="shared" si="2"/>
        <v>1</v>
      </c>
    </row>
    <row r="180" spans="1:15">
      <c r="A180">
        <v>4901</v>
      </c>
      <c r="B180" s="1">
        <v>45659</v>
      </c>
      <c r="C180">
        <v>49</v>
      </c>
      <c r="D180" t="s">
        <v>14</v>
      </c>
      <c r="E180" t="s">
        <v>24</v>
      </c>
      <c r="F180" t="s">
        <v>18</v>
      </c>
      <c r="G180" t="s">
        <v>28</v>
      </c>
      <c r="H180">
        <v>304.8</v>
      </c>
      <c r="I180" s="13">
        <v>9</v>
      </c>
      <c r="J180">
        <v>0</v>
      </c>
      <c r="K180">
        <v>0</v>
      </c>
      <c r="L180">
        <v>0</v>
      </c>
      <c r="M180">
        <v>0</v>
      </c>
      <c r="O180">
        <f t="shared" si="2"/>
        <v>1</v>
      </c>
    </row>
    <row r="181" spans="1:15">
      <c r="A181">
        <v>2529</v>
      </c>
      <c r="B181" s="1">
        <v>45659</v>
      </c>
      <c r="C181">
        <v>35</v>
      </c>
      <c r="D181" t="s">
        <v>14</v>
      </c>
      <c r="E181" t="s">
        <v>24</v>
      </c>
      <c r="F181" t="s">
        <v>18</v>
      </c>
      <c r="G181" t="s">
        <v>26</v>
      </c>
      <c r="H181">
        <v>270.60000000000002</v>
      </c>
      <c r="I181" s="13">
        <v>2</v>
      </c>
      <c r="J181">
        <v>0</v>
      </c>
      <c r="K181">
        <v>0</v>
      </c>
      <c r="L181">
        <v>0</v>
      </c>
      <c r="M181">
        <v>0</v>
      </c>
      <c r="O181">
        <f t="shared" si="2"/>
        <v>1</v>
      </c>
    </row>
    <row r="182" spans="1:15">
      <c r="A182">
        <v>1484</v>
      </c>
      <c r="B182" s="1">
        <v>45659</v>
      </c>
      <c r="C182">
        <v>28</v>
      </c>
      <c r="D182" t="s">
        <v>17</v>
      </c>
      <c r="E182" t="s">
        <v>15</v>
      </c>
      <c r="F182" t="s">
        <v>18</v>
      </c>
      <c r="G182" t="s">
        <v>30</v>
      </c>
      <c r="H182">
        <v>221</v>
      </c>
      <c r="I182" s="13">
        <v>5</v>
      </c>
      <c r="J182">
        <v>0</v>
      </c>
      <c r="K182">
        <v>0</v>
      </c>
      <c r="L182">
        <v>0</v>
      </c>
      <c r="M182">
        <v>0</v>
      </c>
      <c r="O182">
        <f t="shared" si="2"/>
        <v>1</v>
      </c>
    </row>
    <row r="183" spans="1:15">
      <c r="A183">
        <v>129</v>
      </c>
      <c r="B183" s="1">
        <v>45659</v>
      </c>
      <c r="C183">
        <v>28</v>
      </c>
      <c r="D183" t="s">
        <v>14</v>
      </c>
      <c r="E183" t="s">
        <v>24</v>
      </c>
      <c r="F183" t="s">
        <v>23</v>
      </c>
      <c r="H183">
        <v>202.4</v>
      </c>
      <c r="I183" s="13">
        <v>2</v>
      </c>
      <c r="J183">
        <v>0</v>
      </c>
      <c r="K183">
        <v>0</v>
      </c>
      <c r="L183">
        <v>0</v>
      </c>
      <c r="M183">
        <v>0</v>
      </c>
      <c r="O183">
        <f t="shared" si="2"/>
        <v>1</v>
      </c>
    </row>
    <row r="184" spans="1:15">
      <c r="A184">
        <v>946</v>
      </c>
      <c r="B184" s="1">
        <v>45659</v>
      </c>
      <c r="C184">
        <v>33</v>
      </c>
      <c r="D184" t="s">
        <v>14</v>
      </c>
      <c r="E184" t="s">
        <v>22</v>
      </c>
      <c r="F184" t="s">
        <v>23</v>
      </c>
      <c r="H184">
        <v>172.5</v>
      </c>
      <c r="I184" s="13">
        <v>5</v>
      </c>
      <c r="J184">
        <v>0</v>
      </c>
      <c r="K184">
        <v>0</v>
      </c>
      <c r="L184">
        <v>0</v>
      </c>
      <c r="M184">
        <v>0</v>
      </c>
      <c r="O184">
        <f t="shared" si="2"/>
        <v>1</v>
      </c>
    </row>
    <row r="185" spans="1:15">
      <c r="A185">
        <v>1169</v>
      </c>
      <c r="B185" s="1">
        <v>45659</v>
      </c>
      <c r="C185">
        <v>23</v>
      </c>
      <c r="D185" t="s">
        <v>17</v>
      </c>
      <c r="E185" t="s">
        <v>24</v>
      </c>
      <c r="F185" t="s">
        <v>18</v>
      </c>
      <c r="G185" t="s">
        <v>26</v>
      </c>
      <c r="H185">
        <v>153.69999999999999</v>
      </c>
      <c r="I185" s="13">
        <v>3</v>
      </c>
      <c r="J185">
        <v>0</v>
      </c>
      <c r="K185">
        <v>0</v>
      </c>
      <c r="L185">
        <v>0</v>
      </c>
      <c r="M185">
        <v>0</v>
      </c>
      <c r="O185">
        <f t="shared" si="2"/>
        <v>1</v>
      </c>
    </row>
    <row r="186" spans="1:15">
      <c r="A186">
        <v>3711</v>
      </c>
      <c r="B186" s="1">
        <v>45659</v>
      </c>
      <c r="C186">
        <v>34</v>
      </c>
      <c r="D186" t="s">
        <v>14</v>
      </c>
      <c r="E186" t="s">
        <v>22</v>
      </c>
      <c r="F186" t="s">
        <v>18</v>
      </c>
      <c r="G186" t="s">
        <v>26</v>
      </c>
      <c r="H186">
        <v>134.5</v>
      </c>
      <c r="I186" s="13">
        <v>6</v>
      </c>
      <c r="J186">
        <v>0</v>
      </c>
      <c r="K186">
        <v>0</v>
      </c>
      <c r="L186">
        <v>0</v>
      </c>
      <c r="M186">
        <v>0</v>
      </c>
      <c r="O186">
        <f t="shared" si="2"/>
        <v>1</v>
      </c>
    </row>
    <row r="187" spans="1:15">
      <c r="A187">
        <v>4504</v>
      </c>
      <c r="B187" s="1">
        <v>45659</v>
      </c>
      <c r="C187">
        <v>41</v>
      </c>
      <c r="D187" t="s">
        <v>14</v>
      </c>
      <c r="E187" t="s">
        <v>15</v>
      </c>
      <c r="F187" t="s">
        <v>18</v>
      </c>
      <c r="G187" t="s">
        <v>25</v>
      </c>
      <c r="H187">
        <v>117.4</v>
      </c>
      <c r="I187" s="13">
        <v>9</v>
      </c>
      <c r="J187">
        <v>0</v>
      </c>
      <c r="K187">
        <v>0</v>
      </c>
      <c r="L187">
        <v>0</v>
      </c>
      <c r="M187">
        <v>0</v>
      </c>
      <c r="O187">
        <f t="shared" si="2"/>
        <v>1</v>
      </c>
    </row>
    <row r="188" spans="1:15">
      <c r="A188">
        <v>4757</v>
      </c>
      <c r="B188" s="1">
        <v>45659</v>
      </c>
      <c r="C188">
        <v>49</v>
      </c>
      <c r="D188" t="s">
        <v>17</v>
      </c>
      <c r="E188" t="s">
        <v>20</v>
      </c>
      <c r="F188" t="s">
        <v>18</v>
      </c>
      <c r="G188" t="s">
        <v>31</v>
      </c>
      <c r="H188">
        <v>85.2</v>
      </c>
      <c r="I188" s="13">
        <v>7</v>
      </c>
      <c r="J188">
        <v>0</v>
      </c>
      <c r="K188">
        <v>0</v>
      </c>
      <c r="L188">
        <v>0</v>
      </c>
      <c r="M188">
        <v>0</v>
      </c>
      <c r="O188">
        <f t="shared" si="2"/>
        <v>1</v>
      </c>
    </row>
    <row r="189" spans="1:15">
      <c r="A189">
        <v>3314</v>
      </c>
      <c r="B189" s="1">
        <v>45659</v>
      </c>
      <c r="C189">
        <v>50</v>
      </c>
      <c r="D189" t="s">
        <v>14</v>
      </c>
      <c r="E189" t="s">
        <v>22</v>
      </c>
      <c r="F189" t="s">
        <v>18</v>
      </c>
      <c r="G189" t="s">
        <v>25</v>
      </c>
      <c r="H189">
        <v>80.3</v>
      </c>
      <c r="I189" s="13">
        <v>4</v>
      </c>
      <c r="J189">
        <v>0</v>
      </c>
      <c r="K189">
        <v>0</v>
      </c>
      <c r="L189">
        <v>0</v>
      </c>
      <c r="M189">
        <v>0</v>
      </c>
      <c r="O189">
        <f t="shared" si="2"/>
        <v>1</v>
      </c>
    </row>
    <row r="190" spans="1:15">
      <c r="A190">
        <v>1516</v>
      </c>
      <c r="B190" s="1">
        <v>45659</v>
      </c>
      <c r="C190">
        <v>24</v>
      </c>
      <c r="D190" t="s">
        <v>14</v>
      </c>
      <c r="E190" t="s">
        <v>15</v>
      </c>
      <c r="F190" t="s">
        <v>16</v>
      </c>
      <c r="H190">
        <v>80</v>
      </c>
      <c r="I190" s="13">
        <v>5</v>
      </c>
      <c r="J190">
        <v>0</v>
      </c>
      <c r="K190">
        <v>0</v>
      </c>
      <c r="L190">
        <v>0</v>
      </c>
      <c r="M190">
        <v>0</v>
      </c>
      <c r="O190">
        <f t="shared" si="2"/>
        <v>1</v>
      </c>
    </row>
    <row r="191" spans="1:15">
      <c r="A191">
        <v>4688</v>
      </c>
      <c r="B191" s="1">
        <v>45659</v>
      </c>
      <c r="C191">
        <v>43</v>
      </c>
      <c r="D191" t="s">
        <v>14</v>
      </c>
      <c r="E191" t="s">
        <v>20</v>
      </c>
      <c r="F191" t="s">
        <v>16</v>
      </c>
      <c r="H191">
        <v>40.700000000000003</v>
      </c>
      <c r="I191" s="13">
        <v>11</v>
      </c>
      <c r="J191">
        <v>0</v>
      </c>
      <c r="K191">
        <v>0</v>
      </c>
      <c r="L191">
        <v>0</v>
      </c>
      <c r="M191">
        <v>0</v>
      </c>
      <c r="O191">
        <f t="shared" si="2"/>
        <v>1</v>
      </c>
    </row>
    <row r="192" spans="1:15">
      <c r="A192">
        <v>3606</v>
      </c>
      <c r="B192" s="1">
        <v>45690</v>
      </c>
      <c r="C192">
        <v>27</v>
      </c>
      <c r="D192" t="s">
        <v>14</v>
      </c>
      <c r="E192" t="s">
        <v>15</v>
      </c>
      <c r="F192" t="s">
        <v>18</v>
      </c>
      <c r="G192" t="s">
        <v>29</v>
      </c>
      <c r="H192">
        <v>468.2</v>
      </c>
      <c r="I192" s="13">
        <v>5</v>
      </c>
      <c r="J192">
        <v>1</v>
      </c>
      <c r="K192">
        <v>222.98</v>
      </c>
      <c r="L192">
        <v>5</v>
      </c>
      <c r="M192">
        <v>8</v>
      </c>
      <c r="N192">
        <v>4</v>
      </c>
      <c r="O192">
        <f t="shared" si="2"/>
        <v>2</v>
      </c>
    </row>
    <row r="193" spans="1:15">
      <c r="A193">
        <v>1539</v>
      </c>
      <c r="B193" s="1">
        <v>45690</v>
      </c>
      <c r="C193">
        <v>35</v>
      </c>
      <c r="D193" t="s">
        <v>14</v>
      </c>
      <c r="E193" t="s">
        <v>24</v>
      </c>
      <c r="F193" t="s">
        <v>18</v>
      </c>
      <c r="G193" t="s">
        <v>29</v>
      </c>
      <c r="H193">
        <v>275.5</v>
      </c>
      <c r="I193" s="13">
        <v>3</v>
      </c>
      <c r="J193">
        <v>1</v>
      </c>
      <c r="K193">
        <v>127.16</v>
      </c>
      <c r="L193">
        <v>1</v>
      </c>
      <c r="M193">
        <v>2</v>
      </c>
      <c r="N193">
        <v>5</v>
      </c>
      <c r="O193">
        <f t="shared" si="2"/>
        <v>2</v>
      </c>
    </row>
    <row r="194" spans="1:15">
      <c r="A194">
        <v>1017</v>
      </c>
      <c r="B194" s="1">
        <v>45690</v>
      </c>
      <c r="C194">
        <v>25</v>
      </c>
      <c r="D194" t="s">
        <v>17</v>
      </c>
      <c r="E194" t="s">
        <v>20</v>
      </c>
      <c r="F194" t="s">
        <v>21</v>
      </c>
      <c r="H194">
        <v>458.8</v>
      </c>
      <c r="I194" s="13">
        <v>6</v>
      </c>
      <c r="J194">
        <v>1</v>
      </c>
      <c r="K194">
        <v>126.85</v>
      </c>
      <c r="L194">
        <v>3</v>
      </c>
      <c r="M194">
        <v>4</v>
      </c>
      <c r="N194">
        <v>4</v>
      </c>
      <c r="O194">
        <f t="shared" si="2"/>
        <v>2</v>
      </c>
    </row>
    <row r="195" spans="1:15">
      <c r="A195">
        <v>4884</v>
      </c>
      <c r="B195" s="1">
        <v>45690</v>
      </c>
      <c r="C195">
        <v>36</v>
      </c>
      <c r="D195" t="s">
        <v>14</v>
      </c>
      <c r="E195" t="s">
        <v>20</v>
      </c>
      <c r="F195" t="s">
        <v>18</v>
      </c>
      <c r="G195" t="s">
        <v>19</v>
      </c>
      <c r="H195">
        <v>431.5</v>
      </c>
      <c r="I195" s="13">
        <v>8</v>
      </c>
      <c r="J195">
        <v>1</v>
      </c>
      <c r="K195">
        <v>113.31</v>
      </c>
      <c r="L195">
        <v>5</v>
      </c>
      <c r="M195">
        <v>15</v>
      </c>
      <c r="N195">
        <v>5</v>
      </c>
      <c r="O195">
        <f t="shared" ref="O195:O258" si="3">MONTH(B195)</f>
        <v>2</v>
      </c>
    </row>
    <row r="196" spans="1:15">
      <c r="A196">
        <v>4429</v>
      </c>
      <c r="B196" s="1">
        <v>45690</v>
      </c>
      <c r="C196">
        <v>46</v>
      </c>
      <c r="D196" t="s">
        <v>14</v>
      </c>
      <c r="E196" t="s">
        <v>24</v>
      </c>
      <c r="F196" t="s">
        <v>23</v>
      </c>
      <c r="H196">
        <v>513.20000000000005</v>
      </c>
      <c r="I196" s="13">
        <v>7</v>
      </c>
      <c r="J196">
        <v>1</v>
      </c>
      <c r="K196">
        <v>107.58</v>
      </c>
      <c r="L196">
        <v>2</v>
      </c>
      <c r="M196">
        <v>10</v>
      </c>
      <c r="N196">
        <v>3</v>
      </c>
      <c r="O196">
        <f t="shared" si="3"/>
        <v>2</v>
      </c>
    </row>
    <row r="197" spans="1:15">
      <c r="A197">
        <v>3041</v>
      </c>
      <c r="B197" s="1">
        <v>45690</v>
      </c>
      <c r="C197">
        <v>33</v>
      </c>
      <c r="D197" t="s">
        <v>17</v>
      </c>
      <c r="E197" t="s">
        <v>22</v>
      </c>
      <c r="F197" t="s">
        <v>23</v>
      </c>
      <c r="H197">
        <v>501.6</v>
      </c>
      <c r="I197" s="13">
        <v>6</v>
      </c>
      <c r="J197">
        <v>1</v>
      </c>
      <c r="K197">
        <v>92.68</v>
      </c>
      <c r="L197">
        <v>5</v>
      </c>
      <c r="M197">
        <v>15</v>
      </c>
      <c r="N197">
        <v>3</v>
      </c>
      <c r="O197">
        <f t="shared" si="3"/>
        <v>2</v>
      </c>
    </row>
    <row r="198" spans="1:15">
      <c r="A198">
        <v>4447</v>
      </c>
      <c r="B198" s="1">
        <v>45690</v>
      </c>
      <c r="C198">
        <v>44</v>
      </c>
      <c r="D198" t="s">
        <v>17</v>
      </c>
      <c r="E198" t="s">
        <v>22</v>
      </c>
      <c r="F198" t="s">
        <v>16</v>
      </c>
      <c r="H198">
        <v>544</v>
      </c>
      <c r="I198" s="13">
        <v>4</v>
      </c>
      <c r="J198">
        <v>1</v>
      </c>
      <c r="K198">
        <v>87.42</v>
      </c>
      <c r="L198">
        <v>2</v>
      </c>
      <c r="M198">
        <v>9</v>
      </c>
      <c r="N198">
        <v>4</v>
      </c>
      <c r="O198">
        <f t="shared" si="3"/>
        <v>2</v>
      </c>
    </row>
    <row r="199" spans="1:15">
      <c r="A199">
        <v>1327</v>
      </c>
      <c r="B199" s="1">
        <v>45690</v>
      </c>
      <c r="C199">
        <v>18</v>
      </c>
      <c r="D199" t="s">
        <v>17</v>
      </c>
      <c r="E199" t="s">
        <v>15</v>
      </c>
      <c r="F199" t="s">
        <v>18</v>
      </c>
      <c r="G199" t="s">
        <v>28</v>
      </c>
      <c r="H199">
        <v>419.8</v>
      </c>
      <c r="I199" s="13">
        <v>5</v>
      </c>
      <c r="J199">
        <v>1</v>
      </c>
      <c r="K199">
        <v>80.92</v>
      </c>
      <c r="L199">
        <v>3</v>
      </c>
      <c r="M199">
        <v>1</v>
      </c>
      <c r="N199">
        <v>3</v>
      </c>
      <c r="O199">
        <f t="shared" si="3"/>
        <v>2</v>
      </c>
    </row>
    <row r="200" spans="1:15">
      <c r="A200">
        <v>3465</v>
      </c>
      <c r="B200" s="1">
        <v>45690</v>
      </c>
      <c r="C200">
        <v>32</v>
      </c>
      <c r="D200" t="s">
        <v>17</v>
      </c>
      <c r="E200" t="s">
        <v>15</v>
      </c>
      <c r="F200" t="s">
        <v>16</v>
      </c>
      <c r="H200">
        <v>221.5</v>
      </c>
      <c r="I200" s="13">
        <v>7</v>
      </c>
      <c r="J200">
        <v>1</v>
      </c>
      <c r="K200">
        <v>78.930000000000007</v>
      </c>
      <c r="L200">
        <v>3</v>
      </c>
      <c r="M200">
        <v>4</v>
      </c>
      <c r="N200">
        <v>4</v>
      </c>
      <c r="O200">
        <f t="shared" si="3"/>
        <v>2</v>
      </c>
    </row>
    <row r="201" spans="1:15">
      <c r="A201">
        <v>3932</v>
      </c>
      <c r="B201" s="1">
        <v>45690</v>
      </c>
      <c r="C201">
        <v>41</v>
      </c>
      <c r="D201" t="s">
        <v>17</v>
      </c>
      <c r="E201" t="s">
        <v>15</v>
      </c>
      <c r="F201" t="s">
        <v>18</v>
      </c>
      <c r="G201" t="s">
        <v>30</v>
      </c>
      <c r="H201">
        <v>198</v>
      </c>
      <c r="I201" s="13">
        <v>6</v>
      </c>
      <c r="J201">
        <v>1</v>
      </c>
      <c r="K201">
        <v>66.52</v>
      </c>
      <c r="L201">
        <v>4</v>
      </c>
      <c r="M201">
        <v>8</v>
      </c>
      <c r="N201">
        <v>4</v>
      </c>
      <c r="O201">
        <f t="shared" si="3"/>
        <v>2</v>
      </c>
    </row>
    <row r="202" spans="1:15">
      <c r="A202">
        <v>2924</v>
      </c>
      <c r="B202" s="1">
        <v>45690</v>
      </c>
      <c r="C202">
        <v>43</v>
      </c>
      <c r="D202" t="s">
        <v>14</v>
      </c>
      <c r="E202" t="s">
        <v>24</v>
      </c>
      <c r="F202" t="s">
        <v>18</v>
      </c>
      <c r="G202" t="s">
        <v>28</v>
      </c>
      <c r="H202">
        <v>514.5</v>
      </c>
      <c r="I202" s="13">
        <v>8</v>
      </c>
      <c r="J202">
        <v>1</v>
      </c>
      <c r="K202">
        <v>57.23</v>
      </c>
      <c r="L202">
        <v>3</v>
      </c>
      <c r="M202">
        <v>6</v>
      </c>
      <c r="N202">
        <v>4</v>
      </c>
      <c r="O202">
        <f t="shared" si="3"/>
        <v>2</v>
      </c>
    </row>
    <row r="203" spans="1:15">
      <c r="A203">
        <v>903</v>
      </c>
      <c r="B203" s="1">
        <v>45690</v>
      </c>
      <c r="C203">
        <v>31</v>
      </c>
      <c r="D203" t="s">
        <v>17</v>
      </c>
      <c r="E203" t="s">
        <v>24</v>
      </c>
      <c r="F203" t="s">
        <v>16</v>
      </c>
      <c r="H203">
        <v>986.2</v>
      </c>
      <c r="I203" s="13">
        <v>6</v>
      </c>
      <c r="J203">
        <v>1</v>
      </c>
      <c r="K203">
        <v>49.71</v>
      </c>
      <c r="L203">
        <v>2</v>
      </c>
      <c r="M203">
        <v>9</v>
      </c>
      <c r="N203">
        <v>4</v>
      </c>
      <c r="O203">
        <f t="shared" si="3"/>
        <v>2</v>
      </c>
    </row>
    <row r="204" spans="1:15">
      <c r="A204">
        <v>722</v>
      </c>
      <c r="B204" s="1">
        <v>45690</v>
      </c>
      <c r="C204">
        <v>23</v>
      </c>
      <c r="D204" t="s">
        <v>14</v>
      </c>
      <c r="E204" t="s">
        <v>22</v>
      </c>
      <c r="F204" t="s">
        <v>16</v>
      </c>
      <c r="H204">
        <v>90.8</v>
      </c>
      <c r="I204" s="13">
        <v>4</v>
      </c>
      <c r="J204">
        <v>1</v>
      </c>
      <c r="K204">
        <v>48.27</v>
      </c>
      <c r="L204">
        <v>2</v>
      </c>
      <c r="M204">
        <v>8</v>
      </c>
      <c r="N204">
        <v>4</v>
      </c>
      <c r="O204">
        <f t="shared" si="3"/>
        <v>2</v>
      </c>
    </row>
    <row r="205" spans="1:15">
      <c r="A205">
        <v>843</v>
      </c>
      <c r="B205" s="1">
        <v>45690</v>
      </c>
      <c r="C205">
        <v>39</v>
      </c>
      <c r="D205" t="s">
        <v>14</v>
      </c>
      <c r="E205" t="s">
        <v>24</v>
      </c>
      <c r="F205" t="s">
        <v>16</v>
      </c>
      <c r="H205">
        <v>160.69999999999999</v>
      </c>
      <c r="I205" s="13">
        <v>3</v>
      </c>
      <c r="J205">
        <v>1</v>
      </c>
      <c r="K205">
        <v>42.55</v>
      </c>
      <c r="L205">
        <v>2</v>
      </c>
      <c r="M205">
        <v>14</v>
      </c>
      <c r="N205">
        <v>3</v>
      </c>
      <c r="O205">
        <f t="shared" si="3"/>
        <v>2</v>
      </c>
    </row>
    <row r="206" spans="1:15">
      <c r="A206">
        <v>868</v>
      </c>
      <c r="B206" s="1">
        <v>45690</v>
      </c>
      <c r="C206">
        <v>23</v>
      </c>
      <c r="D206" t="s">
        <v>14</v>
      </c>
      <c r="E206" t="s">
        <v>20</v>
      </c>
      <c r="F206" t="s">
        <v>18</v>
      </c>
      <c r="G206" t="s">
        <v>30</v>
      </c>
      <c r="H206">
        <v>825.8</v>
      </c>
      <c r="I206" s="13">
        <v>8</v>
      </c>
      <c r="J206">
        <v>1</v>
      </c>
      <c r="K206">
        <v>34.94</v>
      </c>
      <c r="L206">
        <v>5</v>
      </c>
      <c r="M206">
        <v>10</v>
      </c>
      <c r="N206">
        <v>4</v>
      </c>
      <c r="O206">
        <f t="shared" si="3"/>
        <v>2</v>
      </c>
    </row>
    <row r="207" spans="1:15">
      <c r="A207">
        <v>886</v>
      </c>
      <c r="B207" s="1">
        <v>45690</v>
      </c>
      <c r="C207">
        <v>29</v>
      </c>
      <c r="D207" t="s">
        <v>17</v>
      </c>
      <c r="E207" t="s">
        <v>15</v>
      </c>
      <c r="F207" t="s">
        <v>16</v>
      </c>
      <c r="H207">
        <v>876.1</v>
      </c>
      <c r="I207" s="13">
        <v>7</v>
      </c>
      <c r="J207">
        <v>0</v>
      </c>
      <c r="K207">
        <v>0</v>
      </c>
      <c r="L207">
        <v>0</v>
      </c>
      <c r="M207">
        <v>0</v>
      </c>
      <c r="O207">
        <f t="shared" si="3"/>
        <v>2</v>
      </c>
    </row>
    <row r="208" spans="1:15">
      <c r="A208">
        <v>1369</v>
      </c>
      <c r="B208" s="1">
        <v>45690</v>
      </c>
      <c r="C208">
        <v>24</v>
      </c>
      <c r="D208" t="s">
        <v>17</v>
      </c>
      <c r="E208" t="s">
        <v>15</v>
      </c>
      <c r="F208" t="s">
        <v>23</v>
      </c>
      <c r="H208">
        <v>732.4</v>
      </c>
      <c r="I208" s="13">
        <v>2</v>
      </c>
      <c r="J208">
        <v>0</v>
      </c>
      <c r="K208">
        <v>0</v>
      </c>
      <c r="L208">
        <v>0</v>
      </c>
      <c r="M208">
        <v>0</v>
      </c>
      <c r="O208">
        <f t="shared" si="3"/>
        <v>2</v>
      </c>
    </row>
    <row r="209" spans="1:15">
      <c r="A209">
        <v>3213</v>
      </c>
      <c r="B209" s="1">
        <v>45690</v>
      </c>
      <c r="C209">
        <v>32</v>
      </c>
      <c r="D209" t="s">
        <v>17</v>
      </c>
      <c r="E209" t="s">
        <v>20</v>
      </c>
      <c r="F209" t="s">
        <v>16</v>
      </c>
      <c r="H209">
        <v>667.1</v>
      </c>
      <c r="I209" s="13">
        <v>4</v>
      </c>
      <c r="J209">
        <v>0</v>
      </c>
      <c r="K209">
        <v>0</v>
      </c>
      <c r="L209">
        <v>0</v>
      </c>
      <c r="M209">
        <v>0</v>
      </c>
      <c r="O209">
        <f t="shared" si="3"/>
        <v>2</v>
      </c>
    </row>
    <row r="210" spans="1:15">
      <c r="A210">
        <v>4845</v>
      </c>
      <c r="B210" s="1">
        <v>45690</v>
      </c>
      <c r="C210">
        <v>56</v>
      </c>
      <c r="D210" t="s">
        <v>14</v>
      </c>
      <c r="E210" t="s">
        <v>15</v>
      </c>
      <c r="F210" t="s">
        <v>21</v>
      </c>
      <c r="H210">
        <v>587.4</v>
      </c>
      <c r="I210" s="13">
        <v>6</v>
      </c>
      <c r="J210">
        <v>0</v>
      </c>
      <c r="K210">
        <v>0</v>
      </c>
      <c r="L210">
        <v>0</v>
      </c>
      <c r="M210">
        <v>0</v>
      </c>
      <c r="O210">
        <f t="shared" si="3"/>
        <v>2</v>
      </c>
    </row>
    <row r="211" spans="1:15">
      <c r="A211">
        <v>2991</v>
      </c>
      <c r="B211" s="1">
        <v>45690</v>
      </c>
      <c r="C211">
        <v>37</v>
      </c>
      <c r="D211" t="s">
        <v>17</v>
      </c>
      <c r="E211" t="s">
        <v>20</v>
      </c>
      <c r="F211" t="s">
        <v>16</v>
      </c>
      <c r="H211">
        <v>461.5</v>
      </c>
      <c r="I211" s="13">
        <v>7</v>
      </c>
      <c r="J211">
        <v>0</v>
      </c>
      <c r="K211">
        <v>0</v>
      </c>
      <c r="L211">
        <v>0</v>
      </c>
      <c r="M211">
        <v>0</v>
      </c>
      <c r="O211">
        <f t="shared" si="3"/>
        <v>2</v>
      </c>
    </row>
    <row r="212" spans="1:15">
      <c r="A212">
        <v>785</v>
      </c>
      <c r="B212" s="1">
        <v>45690</v>
      </c>
      <c r="C212">
        <v>26</v>
      </c>
      <c r="D212" t="s">
        <v>17</v>
      </c>
      <c r="E212" t="s">
        <v>22</v>
      </c>
      <c r="F212" t="s">
        <v>16</v>
      </c>
      <c r="H212">
        <v>298.5</v>
      </c>
      <c r="I212" s="13">
        <v>6</v>
      </c>
      <c r="J212">
        <v>0</v>
      </c>
      <c r="K212">
        <v>0</v>
      </c>
      <c r="L212">
        <v>0</v>
      </c>
      <c r="M212">
        <v>0</v>
      </c>
      <c r="O212">
        <f t="shared" si="3"/>
        <v>2</v>
      </c>
    </row>
    <row r="213" spans="1:15">
      <c r="A213">
        <v>593</v>
      </c>
      <c r="B213" s="1">
        <v>45690</v>
      </c>
      <c r="C213">
        <v>29</v>
      </c>
      <c r="D213" t="s">
        <v>17</v>
      </c>
      <c r="E213" t="s">
        <v>20</v>
      </c>
      <c r="F213" t="s">
        <v>18</v>
      </c>
      <c r="G213" t="s">
        <v>30</v>
      </c>
      <c r="H213">
        <v>288.60000000000002</v>
      </c>
      <c r="I213" s="13">
        <v>4</v>
      </c>
      <c r="J213">
        <v>0</v>
      </c>
      <c r="K213">
        <v>0</v>
      </c>
      <c r="L213">
        <v>0</v>
      </c>
      <c r="M213">
        <v>0</v>
      </c>
      <c r="O213">
        <f t="shared" si="3"/>
        <v>2</v>
      </c>
    </row>
    <row r="214" spans="1:15">
      <c r="A214">
        <v>3872</v>
      </c>
      <c r="B214" s="1">
        <v>45690</v>
      </c>
      <c r="C214">
        <v>46</v>
      </c>
      <c r="D214" t="s">
        <v>14</v>
      </c>
      <c r="E214" t="s">
        <v>22</v>
      </c>
      <c r="F214" t="s">
        <v>16</v>
      </c>
      <c r="H214">
        <v>232.3</v>
      </c>
      <c r="I214" s="13">
        <v>4</v>
      </c>
      <c r="J214">
        <v>0</v>
      </c>
      <c r="K214">
        <v>0</v>
      </c>
      <c r="L214">
        <v>0</v>
      </c>
      <c r="M214">
        <v>0</v>
      </c>
      <c r="O214">
        <f t="shared" si="3"/>
        <v>2</v>
      </c>
    </row>
    <row r="215" spans="1:15">
      <c r="A215">
        <v>4530</v>
      </c>
      <c r="B215" s="1">
        <v>45690</v>
      </c>
      <c r="C215">
        <v>65</v>
      </c>
      <c r="D215" t="s">
        <v>17</v>
      </c>
      <c r="E215" t="s">
        <v>22</v>
      </c>
      <c r="F215" t="s">
        <v>18</v>
      </c>
      <c r="G215" t="s">
        <v>19</v>
      </c>
      <c r="H215">
        <v>154.30000000000001</v>
      </c>
      <c r="I215" s="13">
        <v>3</v>
      </c>
      <c r="J215">
        <v>0</v>
      </c>
      <c r="K215">
        <v>0</v>
      </c>
      <c r="L215">
        <v>0</v>
      </c>
      <c r="M215">
        <v>0</v>
      </c>
      <c r="O215">
        <f t="shared" si="3"/>
        <v>2</v>
      </c>
    </row>
    <row r="216" spans="1:15">
      <c r="A216">
        <v>1372</v>
      </c>
      <c r="B216" s="1">
        <v>45690</v>
      </c>
      <c r="C216">
        <v>26</v>
      </c>
      <c r="D216" t="s">
        <v>17</v>
      </c>
      <c r="E216" t="s">
        <v>15</v>
      </c>
      <c r="F216" t="s">
        <v>23</v>
      </c>
      <c r="H216">
        <v>128.5</v>
      </c>
      <c r="I216" s="13">
        <v>3</v>
      </c>
      <c r="J216">
        <v>0</v>
      </c>
      <c r="K216">
        <v>0</v>
      </c>
      <c r="L216">
        <v>0</v>
      </c>
      <c r="M216">
        <v>0</v>
      </c>
      <c r="O216">
        <f t="shared" si="3"/>
        <v>2</v>
      </c>
    </row>
    <row r="217" spans="1:15">
      <c r="A217">
        <v>15</v>
      </c>
      <c r="B217" s="1">
        <v>45690</v>
      </c>
      <c r="C217">
        <v>25</v>
      </c>
      <c r="D217" t="s">
        <v>14</v>
      </c>
      <c r="E217" t="s">
        <v>15</v>
      </c>
      <c r="F217" t="s">
        <v>18</v>
      </c>
      <c r="G217" t="s">
        <v>19</v>
      </c>
      <c r="H217">
        <v>76.2</v>
      </c>
      <c r="I217" s="13">
        <v>5</v>
      </c>
      <c r="J217">
        <v>0</v>
      </c>
      <c r="K217">
        <v>0</v>
      </c>
      <c r="L217">
        <v>0</v>
      </c>
      <c r="M217">
        <v>0</v>
      </c>
      <c r="O217">
        <f t="shared" si="3"/>
        <v>2</v>
      </c>
    </row>
    <row r="218" spans="1:15">
      <c r="A218">
        <v>4608</v>
      </c>
      <c r="B218" s="1">
        <v>45690</v>
      </c>
      <c r="C218">
        <v>47</v>
      </c>
      <c r="D218" t="s">
        <v>14</v>
      </c>
      <c r="E218" t="s">
        <v>15</v>
      </c>
      <c r="F218" t="s">
        <v>21</v>
      </c>
      <c r="H218">
        <v>67.099999999999994</v>
      </c>
      <c r="I218" s="13">
        <v>8</v>
      </c>
      <c r="J218">
        <v>0</v>
      </c>
      <c r="K218">
        <v>0</v>
      </c>
      <c r="L218">
        <v>0</v>
      </c>
      <c r="M218">
        <v>0</v>
      </c>
      <c r="O218">
        <f t="shared" si="3"/>
        <v>2</v>
      </c>
    </row>
    <row r="219" spans="1:15">
      <c r="A219">
        <v>1537</v>
      </c>
      <c r="B219" s="1">
        <v>45690</v>
      </c>
      <c r="C219">
        <v>23</v>
      </c>
      <c r="D219" t="s">
        <v>14</v>
      </c>
      <c r="E219" t="s">
        <v>15</v>
      </c>
      <c r="F219" t="s">
        <v>16</v>
      </c>
      <c r="H219">
        <v>59.2</v>
      </c>
      <c r="I219" s="13">
        <v>7</v>
      </c>
      <c r="J219">
        <v>0</v>
      </c>
      <c r="K219">
        <v>0</v>
      </c>
      <c r="L219">
        <v>0</v>
      </c>
      <c r="M219">
        <v>0</v>
      </c>
      <c r="O219">
        <f t="shared" si="3"/>
        <v>2</v>
      </c>
    </row>
    <row r="220" spans="1:15">
      <c r="A220">
        <v>754</v>
      </c>
      <c r="B220" s="1">
        <v>45718</v>
      </c>
      <c r="C220">
        <v>24</v>
      </c>
      <c r="D220" t="s">
        <v>17</v>
      </c>
      <c r="E220" t="s">
        <v>20</v>
      </c>
      <c r="F220" t="s">
        <v>16</v>
      </c>
      <c r="H220">
        <v>311.5</v>
      </c>
      <c r="I220" s="13">
        <v>5</v>
      </c>
      <c r="J220">
        <v>1</v>
      </c>
      <c r="K220">
        <v>154.9</v>
      </c>
      <c r="L220">
        <v>3</v>
      </c>
      <c r="M220">
        <v>10</v>
      </c>
      <c r="N220">
        <v>4</v>
      </c>
      <c r="O220">
        <f t="shared" si="3"/>
        <v>3</v>
      </c>
    </row>
    <row r="221" spans="1:15">
      <c r="A221">
        <v>1838</v>
      </c>
      <c r="B221" s="1">
        <v>45718</v>
      </c>
      <c r="C221">
        <v>41</v>
      </c>
      <c r="D221" t="s">
        <v>14</v>
      </c>
      <c r="E221" t="s">
        <v>22</v>
      </c>
      <c r="F221" t="s">
        <v>16</v>
      </c>
      <c r="H221">
        <v>458.3</v>
      </c>
      <c r="I221" s="13">
        <v>7</v>
      </c>
      <c r="J221">
        <v>1</v>
      </c>
      <c r="K221">
        <v>147.94999999999999</v>
      </c>
      <c r="L221">
        <v>2</v>
      </c>
      <c r="M221">
        <v>2</v>
      </c>
      <c r="N221">
        <v>5</v>
      </c>
      <c r="O221">
        <f t="shared" si="3"/>
        <v>3</v>
      </c>
    </row>
    <row r="222" spans="1:15">
      <c r="A222">
        <v>4419</v>
      </c>
      <c r="B222" s="1">
        <v>45718</v>
      </c>
      <c r="C222">
        <v>57</v>
      </c>
      <c r="D222" t="s">
        <v>14</v>
      </c>
      <c r="E222" t="s">
        <v>24</v>
      </c>
      <c r="F222" t="s">
        <v>16</v>
      </c>
      <c r="H222">
        <v>726</v>
      </c>
      <c r="I222" s="13">
        <v>6</v>
      </c>
      <c r="J222">
        <v>1</v>
      </c>
      <c r="K222">
        <v>61.05</v>
      </c>
      <c r="L222">
        <v>5</v>
      </c>
      <c r="M222">
        <v>4</v>
      </c>
      <c r="N222">
        <v>5</v>
      </c>
      <c r="O222">
        <f t="shared" si="3"/>
        <v>3</v>
      </c>
    </row>
    <row r="223" spans="1:15">
      <c r="A223">
        <v>4864</v>
      </c>
      <c r="B223" s="1">
        <v>45718</v>
      </c>
      <c r="C223">
        <v>30</v>
      </c>
      <c r="D223" t="s">
        <v>17</v>
      </c>
      <c r="E223" t="s">
        <v>20</v>
      </c>
      <c r="F223" t="s">
        <v>16</v>
      </c>
      <c r="H223">
        <v>232.5</v>
      </c>
      <c r="I223" s="13">
        <v>3</v>
      </c>
      <c r="J223">
        <v>1</v>
      </c>
      <c r="K223">
        <v>59.9</v>
      </c>
      <c r="L223">
        <v>7</v>
      </c>
      <c r="M223">
        <v>8</v>
      </c>
      <c r="N223">
        <v>5</v>
      </c>
      <c r="O223">
        <f t="shared" si="3"/>
        <v>3</v>
      </c>
    </row>
    <row r="224" spans="1:15">
      <c r="A224">
        <v>3255</v>
      </c>
      <c r="B224" s="1">
        <v>45718</v>
      </c>
      <c r="C224">
        <v>39</v>
      </c>
      <c r="D224" t="s">
        <v>27</v>
      </c>
      <c r="E224" t="s">
        <v>22</v>
      </c>
      <c r="F224" t="s">
        <v>16</v>
      </c>
      <c r="H224">
        <v>564.79999999999995</v>
      </c>
      <c r="I224" s="13">
        <v>5</v>
      </c>
      <c r="J224">
        <v>1</v>
      </c>
      <c r="K224">
        <v>53.14</v>
      </c>
      <c r="L224">
        <v>4</v>
      </c>
      <c r="M224">
        <v>10</v>
      </c>
      <c r="N224">
        <v>5</v>
      </c>
      <c r="O224">
        <f t="shared" si="3"/>
        <v>3</v>
      </c>
    </row>
    <row r="225" spans="1:15">
      <c r="A225">
        <v>823</v>
      </c>
      <c r="B225" s="1">
        <v>45718</v>
      </c>
      <c r="C225">
        <v>20</v>
      </c>
      <c r="D225" t="s">
        <v>14</v>
      </c>
      <c r="E225" t="s">
        <v>24</v>
      </c>
      <c r="F225" t="s">
        <v>21</v>
      </c>
      <c r="H225">
        <v>110.6</v>
      </c>
      <c r="I225" s="13">
        <v>10</v>
      </c>
      <c r="J225">
        <v>1</v>
      </c>
      <c r="K225">
        <v>50.98</v>
      </c>
      <c r="L225">
        <v>2</v>
      </c>
      <c r="M225">
        <v>7</v>
      </c>
      <c r="N225">
        <v>4</v>
      </c>
      <c r="O225">
        <f t="shared" si="3"/>
        <v>3</v>
      </c>
    </row>
    <row r="226" spans="1:15">
      <c r="A226">
        <v>703</v>
      </c>
      <c r="B226" s="1">
        <v>45718</v>
      </c>
      <c r="C226">
        <v>28</v>
      </c>
      <c r="D226" t="s">
        <v>14</v>
      </c>
      <c r="E226" t="s">
        <v>22</v>
      </c>
      <c r="F226" t="s">
        <v>16</v>
      </c>
      <c r="H226">
        <v>161.19999999999999</v>
      </c>
      <c r="I226" s="13">
        <v>4</v>
      </c>
      <c r="J226">
        <v>1</v>
      </c>
      <c r="K226">
        <v>46.81</v>
      </c>
      <c r="L226">
        <v>3</v>
      </c>
      <c r="M226">
        <v>12</v>
      </c>
      <c r="N226">
        <v>4</v>
      </c>
      <c r="O226">
        <f t="shared" si="3"/>
        <v>3</v>
      </c>
    </row>
    <row r="227" spans="1:15">
      <c r="A227">
        <v>1163</v>
      </c>
      <c r="B227" s="1">
        <v>45718</v>
      </c>
      <c r="C227">
        <v>27</v>
      </c>
      <c r="D227" t="s">
        <v>17</v>
      </c>
      <c r="E227" t="s">
        <v>24</v>
      </c>
      <c r="F227" t="s">
        <v>18</v>
      </c>
      <c r="G227" t="s">
        <v>29</v>
      </c>
      <c r="H227">
        <v>689.4</v>
      </c>
      <c r="I227" s="13">
        <v>7</v>
      </c>
      <c r="J227">
        <v>1</v>
      </c>
      <c r="K227">
        <v>45.96</v>
      </c>
      <c r="L227">
        <v>1</v>
      </c>
      <c r="M227">
        <v>4</v>
      </c>
      <c r="N227">
        <v>4</v>
      </c>
      <c r="O227">
        <f t="shared" si="3"/>
        <v>3</v>
      </c>
    </row>
    <row r="228" spans="1:15">
      <c r="A228">
        <v>1969</v>
      </c>
      <c r="B228" s="1">
        <v>45718</v>
      </c>
      <c r="C228">
        <v>39</v>
      </c>
      <c r="D228" t="s">
        <v>17</v>
      </c>
      <c r="E228" t="s">
        <v>24</v>
      </c>
      <c r="F228" t="s">
        <v>23</v>
      </c>
      <c r="H228">
        <v>572</v>
      </c>
      <c r="I228" s="13">
        <v>5</v>
      </c>
      <c r="J228">
        <v>1</v>
      </c>
      <c r="K228">
        <v>15.15</v>
      </c>
      <c r="L228">
        <v>3</v>
      </c>
      <c r="M228">
        <v>5</v>
      </c>
      <c r="N228">
        <v>4</v>
      </c>
      <c r="O228">
        <f t="shared" si="3"/>
        <v>3</v>
      </c>
    </row>
    <row r="229" spans="1:15">
      <c r="A229">
        <v>2151</v>
      </c>
      <c r="B229" s="1">
        <v>45718</v>
      </c>
      <c r="C229">
        <v>34</v>
      </c>
      <c r="D229" t="s">
        <v>14</v>
      </c>
      <c r="E229" t="s">
        <v>15</v>
      </c>
      <c r="F229" t="s">
        <v>23</v>
      </c>
      <c r="H229">
        <v>668.4</v>
      </c>
      <c r="I229" s="13">
        <v>8</v>
      </c>
      <c r="J229">
        <v>0</v>
      </c>
      <c r="K229">
        <v>0</v>
      </c>
      <c r="L229">
        <v>0</v>
      </c>
      <c r="M229">
        <v>0</v>
      </c>
      <c r="O229">
        <f t="shared" si="3"/>
        <v>3</v>
      </c>
    </row>
    <row r="230" spans="1:15">
      <c r="A230">
        <v>4449</v>
      </c>
      <c r="B230" s="1">
        <v>45718</v>
      </c>
      <c r="C230">
        <v>54</v>
      </c>
      <c r="D230" t="s">
        <v>14</v>
      </c>
      <c r="E230" t="s">
        <v>20</v>
      </c>
      <c r="F230" t="s">
        <v>16</v>
      </c>
      <c r="H230">
        <v>543.9</v>
      </c>
      <c r="I230" s="13">
        <v>3</v>
      </c>
      <c r="J230">
        <v>0</v>
      </c>
      <c r="K230">
        <v>0</v>
      </c>
      <c r="L230">
        <v>0</v>
      </c>
      <c r="M230">
        <v>0</v>
      </c>
      <c r="O230">
        <f t="shared" si="3"/>
        <v>3</v>
      </c>
    </row>
    <row r="231" spans="1:15">
      <c r="A231">
        <v>282</v>
      </c>
      <c r="B231" s="1">
        <v>45718</v>
      </c>
      <c r="C231">
        <v>31</v>
      </c>
      <c r="D231" t="s">
        <v>17</v>
      </c>
      <c r="E231" t="s">
        <v>24</v>
      </c>
      <c r="F231" t="s">
        <v>16</v>
      </c>
      <c r="H231">
        <v>538.20000000000005</v>
      </c>
      <c r="I231" s="13">
        <v>12</v>
      </c>
      <c r="J231">
        <v>0</v>
      </c>
      <c r="K231">
        <v>0</v>
      </c>
      <c r="L231">
        <v>0</v>
      </c>
      <c r="M231">
        <v>0</v>
      </c>
      <c r="O231">
        <f t="shared" si="3"/>
        <v>3</v>
      </c>
    </row>
    <row r="232" spans="1:15">
      <c r="A232">
        <v>4278</v>
      </c>
      <c r="B232" s="1">
        <v>45718</v>
      </c>
      <c r="C232">
        <v>37</v>
      </c>
      <c r="D232" t="s">
        <v>14</v>
      </c>
      <c r="E232" t="s">
        <v>24</v>
      </c>
      <c r="F232" t="s">
        <v>16</v>
      </c>
      <c r="H232">
        <v>494.5</v>
      </c>
      <c r="I232" s="13">
        <v>4</v>
      </c>
      <c r="J232">
        <v>0</v>
      </c>
      <c r="K232">
        <v>0</v>
      </c>
      <c r="L232">
        <v>0</v>
      </c>
      <c r="M232">
        <v>0</v>
      </c>
      <c r="O232">
        <f t="shared" si="3"/>
        <v>3</v>
      </c>
    </row>
    <row r="233" spans="1:15">
      <c r="A233">
        <v>3989</v>
      </c>
      <c r="B233" s="1">
        <v>45718</v>
      </c>
      <c r="C233">
        <v>56</v>
      </c>
      <c r="D233" t="s">
        <v>27</v>
      </c>
      <c r="E233" t="s">
        <v>15</v>
      </c>
      <c r="F233" t="s">
        <v>23</v>
      </c>
      <c r="H233">
        <v>446.1</v>
      </c>
      <c r="I233" s="13">
        <v>6</v>
      </c>
      <c r="J233">
        <v>0</v>
      </c>
      <c r="K233">
        <v>0</v>
      </c>
      <c r="L233">
        <v>0</v>
      </c>
      <c r="M233">
        <v>0</v>
      </c>
      <c r="O233">
        <f t="shared" si="3"/>
        <v>3</v>
      </c>
    </row>
    <row r="234" spans="1:15">
      <c r="A234">
        <v>2685</v>
      </c>
      <c r="B234" s="1">
        <v>45718</v>
      </c>
      <c r="C234">
        <v>38</v>
      </c>
      <c r="D234" t="s">
        <v>14</v>
      </c>
      <c r="E234" t="s">
        <v>22</v>
      </c>
      <c r="F234" t="s">
        <v>18</v>
      </c>
      <c r="G234" t="s">
        <v>19</v>
      </c>
      <c r="H234">
        <v>384</v>
      </c>
      <c r="I234" s="13">
        <v>6</v>
      </c>
      <c r="J234">
        <v>0</v>
      </c>
      <c r="K234">
        <v>0</v>
      </c>
      <c r="L234">
        <v>0</v>
      </c>
      <c r="M234">
        <v>0</v>
      </c>
      <c r="O234">
        <f t="shared" si="3"/>
        <v>3</v>
      </c>
    </row>
    <row r="235" spans="1:15">
      <c r="A235">
        <v>2963</v>
      </c>
      <c r="B235" s="1">
        <v>45718</v>
      </c>
      <c r="C235">
        <v>32</v>
      </c>
      <c r="D235" t="s">
        <v>14</v>
      </c>
      <c r="E235" t="s">
        <v>22</v>
      </c>
      <c r="F235" t="s">
        <v>16</v>
      </c>
      <c r="H235">
        <v>335.5</v>
      </c>
      <c r="I235" s="13">
        <v>5</v>
      </c>
      <c r="J235">
        <v>0</v>
      </c>
      <c r="K235">
        <v>0</v>
      </c>
      <c r="L235">
        <v>0</v>
      </c>
      <c r="M235">
        <v>0</v>
      </c>
      <c r="O235">
        <f t="shared" si="3"/>
        <v>3</v>
      </c>
    </row>
    <row r="236" spans="1:15">
      <c r="A236">
        <v>820</v>
      </c>
      <c r="B236" s="1">
        <v>45718</v>
      </c>
      <c r="C236">
        <v>28</v>
      </c>
      <c r="D236" t="s">
        <v>17</v>
      </c>
      <c r="E236" t="s">
        <v>24</v>
      </c>
      <c r="F236" t="s">
        <v>16</v>
      </c>
      <c r="H236">
        <v>303.2</v>
      </c>
      <c r="I236" s="13">
        <v>6</v>
      </c>
      <c r="J236">
        <v>0</v>
      </c>
      <c r="K236">
        <v>0</v>
      </c>
      <c r="L236">
        <v>0</v>
      </c>
      <c r="M236">
        <v>0</v>
      </c>
      <c r="O236">
        <f t="shared" si="3"/>
        <v>3</v>
      </c>
    </row>
    <row r="237" spans="1:15">
      <c r="A237">
        <v>4775</v>
      </c>
      <c r="B237" s="1">
        <v>45718</v>
      </c>
      <c r="C237">
        <v>56</v>
      </c>
      <c r="D237" t="s">
        <v>17</v>
      </c>
      <c r="E237" t="s">
        <v>22</v>
      </c>
      <c r="F237" t="s">
        <v>18</v>
      </c>
      <c r="G237" t="s">
        <v>31</v>
      </c>
      <c r="H237">
        <v>243.3</v>
      </c>
      <c r="I237" s="13">
        <v>6</v>
      </c>
      <c r="J237">
        <v>0</v>
      </c>
      <c r="K237">
        <v>0</v>
      </c>
      <c r="L237">
        <v>0</v>
      </c>
      <c r="M237">
        <v>0</v>
      </c>
      <c r="O237">
        <f t="shared" si="3"/>
        <v>3</v>
      </c>
    </row>
    <row r="238" spans="1:15">
      <c r="A238">
        <v>1326</v>
      </c>
      <c r="B238" s="1">
        <v>45718</v>
      </c>
      <c r="C238">
        <v>22</v>
      </c>
      <c r="D238" t="s">
        <v>14</v>
      </c>
      <c r="E238" t="s">
        <v>22</v>
      </c>
      <c r="F238" t="s">
        <v>16</v>
      </c>
      <c r="H238">
        <v>240.3</v>
      </c>
      <c r="I238" s="13">
        <v>7</v>
      </c>
      <c r="J238">
        <v>0</v>
      </c>
      <c r="K238">
        <v>0</v>
      </c>
      <c r="L238">
        <v>0</v>
      </c>
      <c r="M238">
        <v>0</v>
      </c>
      <c r="O238">
        <f t="shared" si="3"/>
        <v>3</v>
      </c>
    </row>
    <row r="239" spans="1:15">
      <c r="A239">
        <v>3511</v>
      </c>
      <c r="B239" s="1">
        <v>45718</v>
      </c>
      <c r="C239">
        <v>26</v>
      </c>
      <c r="D239" t="s">
        <v>17</v>
      </c>
      <c r="E239" t="s">
        <v>22</v>
      </c>
      <c r="F239" t="s">
        <v>23</v>
      </c>
      <c r="H239">
        <v>232.9</v>
      </c>
      <c r="I239" s="13">
        <v>7</v>
      </c>
      <c r="J239">
        <v>0</v>
      </c>
      <c r="K239">
        <v>0</v>
      </c>
      <c r="L239">
        <v>0</v>
      </c>
      <c r="M239">
        <v>0</v>
      </c>
      <c r="O239">
        <f t="shared" si="3"/>
        <v>3</v>
      </c>
    </row>
    <row r="240" spans="1:15">
      <c r="A240">
        <v>134</v>
      </c>
      <c r="B240" s="1">
        <v>45718</v>
      </c>
      <c r="C240">
        <v>26</v>
      </c>
      <c r="D240" t="s">
        <v>14</v>
      </c>
      <c r="E240" t="s">
        <v>24</v>
      </c>
      <c r="F240" t="s">
        <v>16</v>
      </c>
      <c r="H240">
        <v>208.8</v>
      </c>
      <c r="I240" s="13">
        <v>6</v>
      </c>
      <c r="J240">
        <v>0</v>
      </c>
      <c r="K240">
        <v>0</v>
      </c>
      <c r="L240">
        <v>0</v>
      </c>
      <c r="M240">
        <v>0</v>
      </c>
      <c r="O240">
        <f t="shared" si="3"/>
        <v>3</v>
      </c>
    </row>
    <row r="241" spans="1:15">
      <c r="A241">
        <v>3016</v>
      </c>
      <c r="B241" s="1">
        <v>45718</v>
      </c>
      <c r="C241">
        <v>49</v>
      </c>
      <c r="D241" t="s">
        <v>27</v>
      </c>
      <c r="E241" t="s">
        <v>22</v>
      </c>
      <c r="F241" t="s">
        <v>16</v>
      </c>
      <c r="H241">
        <v>185.2</v>
      </c>
      <c r="I241" s="13">
        <v>5</v>
      </c>
      <c r="J241">
        <v>0</v>
      </c>
      <c r="K241">
        <v>0</v>
      </c>
      <c r="L241">
        <v>0</v>
      </c>
      <c r="M241">
        <v>0</v>
      </c>
      <c r="O241">
        <f t="shared" si="3"/>
        <v>3</v>
      </c>
    </row>
    <row r="242" spans="1:15">
      <c r="A242">
        <v>3997</v>
      </c>
      <c r="B242" s="1">
        <v>45718</v>
      </c>
      <c r="C242">
        <v>65</v>
      </c>
      <c r="D242" t="s">
        <v>17</v>
      </c>
      <c r="E242" t="s">
        <v>20</v>
      </c>
      <c r="F242" t="s">
        <v>16</v>
      </c>
      <c r="H242">
        <v>145.6</v>
      </c>
      <c r="I242" s="13">
        <v>5</v>
      </c>
      <c r="J242">
        <v>0</v>
      </c>
      <c r="K242">
        <v>0</v>
      </c>
      <c r="L242">
        <v>0</v>
      </c>
      <c r="M242">
        <v>0</v>
      </c>
      <c r="O242">
        <f t="shared" si="3"/>
        <v>3</v>
      </c>
    </row>
    <row r="243" spans="1:15">
      <c r="A243">
        <v>3279</v>
      </c>
      <c r="B243" s="1">
        <v>45718</v>
      </c>
      <c r="C243">
        <v>44</v>
      </c>
      <c r="D243" t="s">
        <v>14</v>
      </c>
      <c r="E243" t="s">
        <v>20</v>
      </c>
      <c r="F243" t="s">
        <v>18</v>
      </c>
      <c r="G243" t="s">
        <v>28</v>
      </c>
      <c r="H243">
        <v>133.1</v>
      </c>
      <c r="I243" s="13">
        <v>8</v>
      </c>
      <c r="J243">
        <v>0</v>
      </c>
      <c r="K243">
        <v>0</v>
      </c>
      <c r="L243">
        <v>0</v>
      </c>
      <c r="M243">
        <v>0</v>
      </c>
      <c r="O243">
        <f t="shared" si="3"/>
        <v>3</v>
      </c>
    </row>
    <row r="244" spans="1:15">
      <c r="A244">
        <v>1942</v>
      </c>
      <c r="B244" s="1">
        <v>45718</v>
      </c>
      <c r="C244">
        <v>23</v>
      </c>
      <c r="D244" t="s">
        <v>17</v>
      </c>
      <c r="E244" t="s">
        <v>24</v>
      </c>
      <c r="F244" t="s">
        <v>16</v>
      </c>
      <c r="H244">
        <v>127.1</v>
      </c>
      <c r="I244" s="13">
        <v>5</v>
      </c>
      <c r="J244">
        <v>0</v>
      </c>
      <c r="K244">
        <v>0</v>
      </c>
      <c r="L244">
        <v>0</v>
      </c>
      <c r="M244">
        <v>0</v>
      </c>
      <c r="O244">
        <f t="shared" si="3"/>
        <v>3</v>
      </c>
    </row>
    <row r="245" spans="1:15">
      <c r="A245">
        <v>1395</v>
      </c>
      <c r="B245" s="1">
        <v>45718</v>
      </c>
      <c r="C245">
        <v>22</v>
      </c>
      <c r="D245" t="s">
        <v>14</v>
      </c>
      <c r="E245" t="s">
        <v>15</v>
      </c>
      <c r="F245" t="s">
        <v>16</v>
      </c>
      <c r="H245">
        <v>98.2</v>
      </c>
      <c r="I245" s="13">
        <v>4</v>
      </c>
      <c r="J245">
        <v>0</v>
      </c>
      <c r="K245">
        <v>0</v>
      </c>
      <c r="L245">
        <v>0</v>
      </c>
      <c r="M245">
        <v>0</v>
      </c>
      <c r="O245">
        <f t="shared" si="3"/>
        <v>3</v>
      </c>
    </row>
    <row r="246" spans="1:15">
      <c r="A246">
        <v>4920</v>
      </c>
      <c r="B246" s="1">
        <v>45718</v>
      </c>
      <c r="C246">
        <v>51</v>
      </c>
      <c r="D246" t="s">
        <v>17</v>
      </c>
      <c r="E246" t="s">
        <v>15</v>
      </c>
      <c r="F246" t="s">
        <v>18</v>
      </c>
      <c r="G246" t="s">
        <v>26</v>
      </c>
      <c r="H246">
        <v>88.1</v>
      </c>
      <c r="I246" s="13">
        <v>6</v>
      </c>
      <c r="J246">
        <v>0</v>
      </c>
      <c r="K246">
        <v>0</v>
      </c>
      <c r="L246">
        <v>0</v>
      </c>
      <c r="M246">
        <v>0</v>
      </c>
      <c r="O246">
        <f t="shared" si="3"/>
        <v>3</v>
      </c>
    </row>
    <row r="247" spans="1:15">
      <c r="A247">
        <v>2300</v>
      </c>
      <c r="B247" s="1">
        <v>45718</v>
      </c>
      <c r="C247">
        <v>27</v>
      </c>
      <c r="D247" t="s">
        <v>14</v>
      </c>
      <c r="E247" t="s">
        <v>22</v>
      </c>
      <c r="F247" t="s">
        <v>23</v>
      </c>
      <c r="H247">
        <v>70.599999999999994</v>
      </c>
      <c r="I247" s="13">
        <v>8</v>
      </c>
      <c r="J247">
        <v>0</v>
      </c>
      <c r="K247">
        <v>0</v>
      </c>
      <c r="L247">
        <v>0</v>
      </c>
      <c r="M247">
        <v>0</v>
      </c>
      <c r="O247">
        <f t="shared" si="3"/>
        <v>3</v>
      </c>
    </row>
    <row r="248" spans="1:15">
      <c r="A248">
        <v>981</v>
      </c>
      <c r="B248" s="1">
        <v>45718</v>
      </c>
      <c r="C248">
        <v>28</v>
      </c>
      <c r="D248" t="s">
        <v>14</v>
      </c>
      <c r="E248" t="s">
        <v>20</v>
      </c>
      <c r="F248" t="s">
        <v>18</v>
      </c>
      <c r="G248" t="s">
        <v>25</v>
      </c>
      <c r="H248">
        <v>63.5</v>
      </c>
      <c r="I248" s="13">
        <v>4</v>
      </c>
      <c r="J248">
        <v>0</v>
      </c>
      <c r="K248">
        <v>0</v>
      </c>
      <c r="L248">
        <v>0</v>
      </c>
      <c r="M248">
        <v>0</v>
      </c>
      <c r="O248">
        <f t="shared" si="3"/>
        <v>3</v>
      </c>
    </row>
    <row r="249" spans="1:15">
      <c r="A249">
        <v>2948</v>
      </c>
      <c r="B249" s="1">
        <v>45749</v>
      </c>
      <c r="C249">
        <v>34</v>
      </c>
      <c r="D249" t="s">
        <v>14</v>
      </c>
      <c r="E249" t="s">
        <v>22</v>
      </c>
      <c r="F249" t="s">
        <v>16</v>
      </c>
      <c r="H249">
        <v>390.6</v>
      </c>
      <c r="I249" s="13">
        <v>2</v>
      </c>
      <c r="J249">
        <v>1</v>
      </c>
      <c r="K249">
        <v>283</v>
      </c>
      <c r="L249">
        <v>4</v>
      </c>
      <c r="M249">
        <v>2</v>
      </c>
      <c r="N249">
        <v>4</v>
      </c>
      <c r="O249">
        <f t="shared" si="3"/>
        <v>4</v>
      </c>
    </row>
    <row r="250" spans="1:15">
      <c r="A250">
        <v>4380</v>
      </c>
      <c r="B250" s="1">
        <v>45749</v>
      </c>
      <c r="C250">
        <v>37</v>
      </c>
      <c r="D250" t="s">
        <v>14</v>
      </c>
      <c r="E250" t="s">
        <v>15</v>
      </c>
      <c r="F250" t="s">
        <v>16</v>
      </c>
      <c r="H250">
        <v>548.29999999999995</v>
      </c>
      <c r="I250" s="13">
        <v>7</v>
      </c>
      <c r="J250">
        <v>1</v>
      </c>
      <c r="K250">
        <v>308.13</v>
      </c>
      <c r="L250">
        <v>4</v>
      </c>
      <c r="M250">
        <v>5</v>
      </c>
      <c r="N250">
        <v>3</v>
      </c>
      <c r="O250">
        <f t="shared" si="3"/>
        <v>4</v>
      </c>
    </row>
    <row r="251" spans="1:15">
      <c r="A251">
        <v>2887</v>
      </c>
      <c r="B251" s="1">
        <v>45749</v>
      </c>
      <c r="C251">
        <v>34</v>
      </c>
      <c r="D251" t="s">
        <v>17</v>
      </c>
      <c r="E251" t="s">
        <v>15</v>
      </c>
      <c r="F251" t="s">
        <v>16</v>
      </c>
      <c r="H251">
        <v>806.4</v>
      </c>
      <c r="I251" s="13">
        <v>6</v>
      </c>
      <c r="J251">
        <v>1</v>
      </c>
      <c r="K251">
        <v>177.55</v>
      </c>
      <c r="L251">
        <v>2</v>
      </c>
      <c r="M251">
        <v>1</v>
      </c>
      <c r="N251">
        <v>4</v>
      </c>
      <c r="O251">
        <f t="shared" si="3"/>
        <v>4</v>
      </c>
    </row>
    <row r="252" spans="1:15">
      <c r="A252">
        <v>2514</v>
      </c>
      <c r="B252" s="1">
        <v>45749</v>
      </c>
      <c r="C252">
        <v>27</v>
      </c>
      <c r="D252" t="s">
        <v>17</v>
      </c>
      <c r="E252" t="s">
        <v>24</v>
      </c>
      <c r="F252" t="s">
        <v>18</v>
      </c>
      <c r="G252" t="s">
        <v>31</v>
      </c>
      <c r="H252">
        <v>1154.3</v>
      </c>
      <c r="I252" s="13">
        <v>10</v>
      </c>
      <c r="J252">
        <v>1</v>
      </c>
      <c r="K252">
        <v>148.97999999999999</v>
      </c>
      <c r="L252">
        <v>7</v>
      </c>
      <c r="M252">
        <v>10</v>
      </c>
      <c r="N252">
        <v>4</v>
      </c>
      <c r="O252">
        <f t="shared" si="3"/>
        <v>4</v>
      </c>
    </row>
    <row r="253" spans="1:15">
      <c r="A253">
        <v>693</v>
      </c>
      <c r="B253" s="1">
        <v>45749</v>
      </c>
      <c r="C253">
        <v>22</v>
      </c>
      <c r="D253" t="s">
        <v>14</v>
      </c>
      <c r="E253" t="s">
        <v>15</v>
      </c>
      <c r="F253" t="s">
        <v>16</v>
      </c>
      <c r="H253">
        <v>575.4</v>
      </c>
      <c r="I253" s="13">
        <v>9</v>
      </c>
      <c r="J253">
        <v>1</v>
      </c>
      <c r="K253">
        <v>122.92</v>
      </c>
      <c r="L253">
        <v>4</v>
      </c>
      <c r="M253">
        <v>1</v>
      </c>
      <c r="N253">
        <v>4</v>
      </c>
      <c r="O253">
        <f t="shared" si="3"/>
        <v>4</v>
      </c>
    </row>
    <row r="254" spans="1:15">
      <c r="A254">
        <v>3658</v>
      </c>
      <c r="B254" s="1">
        <v>45749</v>
      </c>
      <c r="C254">
        <v>37</v>
      </c>
      <c r="D254" t="s">
        <v>17</v>
      </c>
      <c r="E254" t="s">
        <v>15</v>
      </c>
      <c r="F254" t="s">
        <v>18</v>
      </c>
      <c r="G254" t="s">
        <v>31</v>
      </c>
      <c r="H254">
        <v>553.20000000000005</v>
      </c>
      <c r="I254" s="13">
        <v>3</v>
      </c>
      <c r="J254">
        <v>1</v>
      </c>
      <c r="K254">
        <v>112.6</v>
      </c>
      <c r="L254">
        <v>5</v>
      </c>
      <c r="M254">
        <v>3</v>
      </c>
      <c r="N254">
        <v>4</v>
      </c>
      <c r="O254">
        <f t="shared" si="3"/>
        <v>4</v>
      </c>
    </row>
    <row r="255" spans="1:15">
      <c r="A255">
        <v>4698</v>
      </c>
      <c r="B255" s="1">
        <v>45749</v>
      </c>
      <c r="C255">
        <v>44</v>
      </c>
      <c r="D255" t="s">
        <v>17</v>
      </c>
      <c r="E255" t="s">
        <v>24</v>
      </c>
      <c r="F255" t="s">
        <v>16</v>
      </c>
      <c r="H255">
        <v>774.7</v>
      </c>
      <c r="I255" s="13">
        <v>7</v>
      </c>
      <c r="J255">
        <v>1</v>
      </c>
      <c r="K255">
        <v>110.75</v>
      </c>
      <c r="L255">
        <v>6</v>
      </c>
      <c r="M255">
        <v>6</v>
      </c>
      <c r="N255">
        <v>5</v>
      </c>
      <c r="O255">
        <f t="shared" si="3"/>
        <v>4</v>
      </c>
    </row>
    <row r="256" spans="1:15">
      <c r="A256">
        <v>3262</v>
      </c>
      <c r="B256" s="1">
        <v>45749</v>
      </c>
      <c r="C256">
        <v>28</v>
      </c>
      <c r="D256" t="s">
        <v>14</v>
      </c>
      <c r="E256" t="s">
        <v>22</v>
      </c>
      <c r="F256" t="s">
        <v>23</v>
      </c>
      <c r="H256">
        <v>160.6</v>
      </c>
      <c r="I256" s="13">
        <v>7</v>
      </c>
      <c r="J256">
        <v>1</v>
      </c>
      <c r="K256">
        <v>92.76</v>
      </c>
      <c r="L256">
        <v>4</v>
      </c>
      <c r="M256">
        <v>6</v>
      </c>
      <c r="N256">
        <v>3</v>
      </c>
      <c r="O256">
        <f t="shared" si="3"/>
        <v>4</v>
      </c>
    </row>
    <row r="257" spans="1:15">
      <c r="A257">
        <v>1878</v>
      </c>
      <c r="B257" s="1">
        <v>45749</v>
      </c>
      <c r="C257">
        <v>33</v>
      </c>
      <c r="D257" t="s">
        <v>14</v>
      </c>
      <c r="E257" t="s">
        <v>15</v>
      </c>
      <c r="F257" t="s">
        <v>16</v>
      </c>
      <c r="H257">
        <v>615.29999999999995</v>
      </c>
      <c r="I257" s="13">
        <v>3</v>
      </c>
      <c r="J257">
        <v>1</v>
      </c>
      <c r="K257">
        <v>33.36</v>
      </c>
      <c r="L257">
        <v>5</v>
      </c>
      <c r="M257">
        <v>10</v>
      </c>
      <c r="N257">
        <v>4</v>
      </c>
      <c r="O257">
        <f t="shared" si="3"/>
        <v>4</v>
      </c>
    </row>
    <row r="258" spans="1:15">
      <c r="A258">
        <v>1168</v>
      </c>
      <c r="B258" s="1">
        <v>45749</v>
      </c>
      <c r="C258">
        <v>25</v>
      </c>
      <c r="D258" t="s">
        <v>17</v>
      </c>
      <c r="E258" t="s">
        <v>24</v>
      </c>
      <c r="F258" t="s">
        <v>21</v>
      </c>
      <c r="H258">
        <v>279.10000000000002</v>
      </c>
      <c r="I258" s="13">
        <v>8</v>
      </c>
      <c r="J258">
        <v>1</v>
      </c>
      <c r="K258">
        <v>31.83</v>
      </c>
      <c r="L258">
        <v>6</v>
      </c>
      <c r="M258">
        <v>11</v>
      </c>
      <c r="N258">
        <v>4</v>
      </c>
      <c r="O258">
        <f t="shared" si="3"/>
        <v>4</v>
      </c>
    </row>
    <row r="259" spans="1:15">
      <c r="A259">
        <v>3196</v>
      </c>
      <c r="B259" s="1">
        <v>45749</v>
      </c>
      <c r="C259">
        <v>30</v>
      </c>
      <c r="D259" t="s">
        <v>14</v>
      </c>
      <c r="E259" t="s">
        <v>20</v>
      </c>
      <c r="F259" t="s">
        <v>21</v>
      </c>
      <c r="H259">
        <v>630.70000000000005</v>
      </c>
      <c r="I259" s="13">
        <v>6</v>
      </c>
      <c r="J259">
        <v>1</v>
      </c>
      <c r="K259">
        <v>30.52</v>
      </c>
      <c r="L259">
        <v>4</v>
      </c>
      <c r="M259">
        <v>6</v>
      </c>
      <c r="N259">
        <v>5</v>
      </c>
      <c r="O259">
        <f t="shared" ref="O259:O322" si="4">MONTH(B259)</f>
        <v>4</v>
      </c>
    </row>
    <row r="260" spans="1:15">
      <c r="A260">
        <v>4254</v>
      </c>
      <c r="B260" s="1">
        <v>45749</v>
      </c>
      <c r="C260">
        <v>60</v>
      </c>
      <c r="D260" t="s">
        <v>17</v>
      </c>
      <c r="E260" t="s">
        <v>22</v>
      </c>
      <c r="F260" t="s">
        <v>16</v>
      </c>
      <c r="H260">
        <v>552.79999999999995</v>
      </c>
      <c r="I260" s="13">
        <v>4</v>
      </c>
      <c r="J260">
        <v>0</v>
      </c>
      <c r="K260">
        <v>0</v>
      </c>
      <c r="L260">
        <v>0</v>
      </c>
      <c r="M260">
        <v>0</v>
      </c>
      <c r="O260">
        <f t="shared" si="4"/>
        <v>4</v>
      </c>
    </row>
    <row r="261" spans="1:15">
      <c r="A261">
        <v>130</v>
      </c>
      <c r="B261" s="1">
        <v>45749</v>
      </c>
      <c r="C261">
        <v>21</v>
      </c>
      <c r="D261" t="s">
        <v>17</v>
      </c>
      <c r="E261" t="s">
        <v>20</v>
      </c>
      <c r="F261" t="s">
        <v>18</v>
      </c>
      <c r="G261" t="s">
        <v>26</v>
      </c>
      <c r="H261">
        <v>450.7</v>
      </c>
      <c r="I261" s="13">
        <v>3</v>
      </c>
      <c r="J261">
        <v>0</v>
      </c>
      <c r="K261">
        <v>0</v>
      </c>
      <c r="L261">
        <v>0</v>
      </c>
      <c r="M261">
        <v>0</v>
      </c>
      <c r="O261">
        <f t="shared" si="4"/>
        <v>4</v>
      </c>
    </row>
    <row r="262" spans="1:15">
      <c r="A262">
        <v>4630</v>
      </c>
      <c r="B262" s="1">
        <v>45749</v>
      </c>
      <c r="C262">
        <v>54</v>
      </c>
      <c r="D262" t="s">
        <v>14</v>
      </c>
      <c r="E262" t="s">
        <v>24</v>
      </c>
      <c r="F262" t="s">
        <v>18</v>
      </c>
      <c r="G262" t="s">
        <v>28</v>
      </c>
      <c r="H262">
        <v>439.9</v>
      </c>
      <c r="I262" s="13">
        <v>7</v>
      </c>
      <c r="J262">
        <v>0</v>
      </c>
      <c r="K262">
        <v>0</v>
      </c>
      <c r="L262">
        <v>0</v>
      </c>
      <c r="M262">
        <v>0</v>
      </c>
      <c r="O262">
        <f t="shared" si="4"/>
        <v>4</v>
      </c>
    </row>
    <row r="263" spans="1:15">
      <c r="A263">
        <v>1704</v>
      </c>
      <c r="B263" s="1">
        <v>45749</v>
      </c>
      <c r="C263">
        <v>18</v>
      </c>
      <c r="D263" t="s">
        <v>14</v>
      </c>
      <c r="E263" t="s">
        <v>24</v>
      </c>
      <c r="F263" t="s">
        <v>23</v>
      </c>
      <c r="H263">
        <v>391.1</v>
      </c>
      <c r="I263" s="13">
        <v>5</v>
      </c>
      <c r="J263">
        <v>0</v>
      </c>
      <c r="K263">
        <v>0</v>
      </c>
      <c r="L263">
        <v>0</v>
      </c>
      <c r="M263">
        <v>0</v>
      </c>
      <c r="O263">
        <f t="shared" si="4"/>
        <v>4</v>
      </c>
    </row>
    <row r="264" spans="1:15">
      <c r="A264">
        <v>2311</v>
      </c>
      <c r="B264" s="1">
        <v>45749</v>
      </c>
      <c r="C264">
        <v>56</v>
      </c>
      <c r="D264" t="s">
        <v>14</v>
      </c>
      <c r="E264" t="s">
        <v>22</v>
      </c>
      <c r="F264" t="s">
        <v>18</v>
      </c>
      <c r="G264" t="s">
        <v>28</v>
      </c>
      <c r="H264">
        <v>376.9</v>
      </c>
      <c r="I264" s="13">
        <v>6</v>
      </c>
      <c r="J264">
        <v>0</v>
      </c>
      <c r="K264">
        <v>0</v>
      </c>
      <c r="L264">
        <v>0</v>
      </c>
      <c r="M264">
        <v>0</v>
      </c>
      <c r="O264">
        <f t="shared" si="4"/>
        <v>4</v>
      </c>
    </row>
    <row r="265" spans="1:15">
      <c r="A265">
        <v>104</v>
      </c>
      <c r="B265" s="1">
        <v>45749</v>
      </c>
      <c r="C265">
        <v>23</v>
      </c>
      <c r="D265" t="s">
        <v>14</v>
      </c>
      <c r="E265" t="s">
        <v>22</v>
      </c>
      <c r="F265" t="s">
        <v>23</v>
      </c>
      <c r="H265">
        <v>229.8</v>
      </c>
      <c r="I265" s="13">
        <v>8</v>
      </c>
      <c r="J265">
        <v>0</v>
      </c>
      <c r="K265">
        <v>0</v>
      </c>
      <c r="L265">
        <v>0</v>
      </c>
      <c r="M265">
        <v>0</v>
      </c>
      <c r="O265">
        <f t="shared" si="4"/>
        <v>4</v>
      </c>
    </row>
    <row r="266" spans="1:15">
      <c r="A266">
        <v>2856</v>
      </c>
      <c r="B266" s="1">
        <v>45749</v>
      </c>
      <c r="C266">
        <v>48</v>
      </c>
      <c r="D266" t="s">
        <v>17</v>
      </c>
      <c r="E266" t="s">
        <v>20</v>
      </c>
      <c r="F266" t="s">
        <v>23</v>
      </c>
      <c r="H266">
        <v>219.1</v>
      </c>
      <c r="I266" s="13">
        <v>2</v>
      </c>
      <c r="J266">
        <v>0</v>
      </c>
      <c r="K266">
        <v>0</v>
      </c>
      <c r="L266">
        <v>0</v>
      </c>
      <c r="M266">
        <v>0</v>
      </c>
      <c r="O266">
        <f t="shared" si="4"/>
        <v>4</v>
      </c>
    </row>
    <row r="267" spans="1:15">
      <c r="A267">
        <v>2278</v>
      </c>
      <c r="B267" s="1">
        <v>45749</v>
      </c>
      <c r="C267">
        <v>46</v>
      </c>
      <c r="D267" t="s">
        <v>17</v>
      </c>
      <c r="E267" t="s">
        <v>15</v>
      </c>
      <c r="F267" t="s">
        <v>16</v>
      </c>
      <c r="H267">
        <v>207</v>
      </c>
      <c r="I267" s="13">
        <v>5</v>
      </c>
      <c r="J267">
        <v>0</v>
      </c>
      <c r="K267">
        <v>0</v>
      </c>
      <c r="L267">
        <v>0</v>
      </c>
      <c r="M267">
        <v>0</v>
      </c>
      <c r="O267">
        <f t="shared" si="4"/>
        <v>4</v>
      </c>
    </row>
    <row r="268" spans="1:15">
      <c r="A268">
        <v>1422</v>
      </c>
      <c r="B268" s="1">
        <v>45749</v>
      </c>
      <c r="C268">
        <v>20</v>
      </c>
      <c r="D268" t="s">
        <v>14</v>
      </c>
      <c r="E268" t="s">
        <v>24</v>
      </c>
      <c r="F268" t="s">
        <v>18</v>
      </c>
      <c r="G268" t="s">
        <v>31</v>
      </c>
      <c r="H268">
        <v>184.2</v>
      </c>
      <c r="I268" s="13">
        <v>5</v>
      </c>
      <c r="J268">
        <v>0</v>
      </c>
      <c r="K268">
        <v>0</v>
      </c>
      <c r="L268">
        <v>0</v>
      </c>
      <c r="M268">
        <v>0</v>
      </c>
      <c r="O268">
        <f t="shared" si="4"/>
        <v>4</v>
      </c>
    </row>
    <row r="269" spans="1:15">
      <c r="A269">
        <v>3354</v>
      </c>
      <c r="B269" s="1">
        <v>45749</v>
      </c>
      <c r="C269">
        <v>32</v>
      </c>
      <c r="D269" t="s">
        <v>14</v>
      </c>
      <c r="E269" t="s">
        <v>15</v>
      </c>
      <c r="F269" t="s">
        <v>16</v>
      </c>
      <c r="H269">
        <v>150</v>
      </c>
      <c r="I269" s="13">
        <v>6</v>
      </c>
      <c r="J269">
        <v>0</v>
      </c>
      <c r="K269">
        <v>0</v>
      </c>
      <c r="L269">
        <v>0</v>
      </c>
      <c r="M269">
        <v>0</v>
      </c>
      <c r="O269">
        <f t="shared" si="4"/>
        <v>4</v>
      </c>
    </row>
    <row r="270" spans="1:15">
      <c r="A270">
        <v>4754</v>
      </c>
      <c r="B270" s="1">
        <v>45749</v>
      </c>
      <c r="C270">
        <v>59</v>
      </c>
      <c r="D270" t="s">
        <v>14</v>
      </c>
      <c r="E270" t="s">
        <v>20</v>
      </c>
      <c r="F270" t="s">
        <v>16</v>
      </c>
      <c r="H270">
        <v>108.2</v>
      </c>
      <c r="I270" s="13">
        <v>10</v>
      </c>
      <c r="J270">
        <v>0</v>
      </c>
      <c r="K270">
        <v>0</v>
      </c>
      <c r="L270">
        <v>0</v>
      </c>
      <c r="M270">
        <v>0</v>
      </c>
      <c r="O270">
        <f t="shared" si="4"/>
        <v>4</v>
      </c>
    </row>
    <row r="271" spans="1:15">
      <c r="A271">
        <v>1873</v>
      </c>
      <c r="B271" s="1">
        <v>45749</v>
      </c>
      <c r="C271">
        <v>18</v>
      </c>
      <c r="D271" t="s">
        <v>17</v>
      </c>
      <c r="E271" t="s">
        <v>22</v>
      </c>
      <c r="F271" t="s">
        <v>16</v>
      </c>
      <c r="H271">
        <v>107.8</v>
      </c>
      <c r="I271" s="13">
        <v>8</v>
      </c>
      <c r="J271">
        <v>0</v>
      </c>
      <c r="K271">
        <v>0</v>
      </c>
      <c r="L271">
        <v>0</v>
      </c>
      <c r="M271">
        <v>0</v>
      </c>
      <c r="O271">
        <f t="shared" si="4"/>
        <v>4</v>
      </c>
    </row>
    <row r="272" spans="1:15">
      <c r="A272">
        <v>3661</v>
      </c>
      <c r="B272" s="1">
        <v>45749</v>
      </c>
      <c r="C272">
        <v>39</v>
      </c>
      <c r="D272" t="s">
        <v>27</v>
      </c>
      <c r="E272" t="s">
        <v>24</v>
      </c>
      <c r="F272" t="s">
        <v>18</v>
      </c>
      <c r="G272" t="s">
        <v>25</v>
      </c>
      <c r="H272">
        <v>92.3</v>
      </c>
      <c r="I272" s="13">
        <v>10</v>
      </c>
      <c r="J272">
        <v>0</v>
      </c>
      <c r="K272">
        <v>0</v>
      </c>
      <c r="L272">
        <v>0</v>
      </c>
      <c r="M272">
        <v>0</v>
      </c>
      <c r="O272">
        <f t="shared" si="4"/>
        <v>4</v>
      </c>
    </row>
    <row r="273" spans="1:15">
      <c r="A273">
        <v>1727</v>
      </c>
      <c r="B273" s="1">
        <v>45749</v>
      </c>
      <c r="C273">
        <v>18</v>
      </c>
      <c r="D273" t="s">
        <v>27</v>
      </c>
      <c r="E273" t="s">
        <v>20</v>
      </c>
      <c r="F273" t="s">
        <v>16</v>
      </c>
      <c r="H273">
        <v>84.1</v>
      </c>
      <c r="I273" s="13">
        <v>5</v>
      </c>
      <c r="J273">
        <v>0</v>
      </c>
      <c r="K273">
        <v>0</v>
      </c>
      <c r="L273">
        <v>0</v>
      </c>
      <c r="M273">
        <v>0</v>
      </c>
      <c r="O273">
        <f t="shared" si="4"/>
        <v>4</v>
      </c>
    </row>
    <row r="274" spans="1:15">
      <c r="A274">
        <v>793</v>
      </c>
      <c r="B274" s="1">
        <v>45749</v>
      </c>
      <c r="C274">
        <v>26</v>
      </c>
      <c r="D274" t="s">
        <v>27</v>
      </c>
      <c r="E274" t="s">
        <v>22</v>
      </c>
      <c r="F274" t="s">
        <v>21</v>
      </c>
      <c r="H274">
        <v>42.1</v>
      </c>
      <c r="I274" s="13">
        <v>9</v>
      </c>
      <c r="J274">
        <v>0</v>
      </c>
      <c r="K274">
        <v>0</v>
      </c>
      <c r="L274">
        <v>0</v>
      </c>
      <c r="M274">
        <v>0</v>
      </c>
      <c r="O274">
        <f t="shared" si="4"/>
        <v>4</v>
      </c>
    </row>
    <row r="275" spans="1:15">
      <c r="A275">
        <v>1440</v>
      </c>
      <c r="B275" s="1">
        <v>45779</v>
      </c>
      <c r="C275">
        <v>22</v>
      </c>
      <c r="D275" t="s">
        <v>17</v>
      </c>
      <c r="E275" t="s">
        <v>24</v>
      </c>
      <c r="F275" t="s">
        <v>21</v>
      </c>
      <c r="H275">
        <v>306.60000000000002</v>
      </c>
      <c r="I275" s="13">
        <v>1</v>
      </c>
      <c r="J275">
        <v>1</v>
      </c>
      <c r="K275">
        <v>479</v>
      </c>
      <c r="L275">
        <v>2</v>
      </c>
      <c r="M275">
        <v>14</v>
      </c>
      <c r="N275">
        <v>3</v>
      </c>
      <c r="O275">
        <f t="shared" si="4"/>
        <v>5</v>
      </c>
    </row>
    <row r="276" spans="1:15">
      <c r="A276">
        <v>3127</v>
      </c>
      <c r="B276" s="1">
        <v>45779</v>
      </c>
      <c r="C276">
        <v>48</v>
      </c>
      <c r="D276" t="s">
        <v>17</v>
      </c>
      <c r="E276" t="s">
        <v>20</v>
      </c>
      <c r="F276" t="s">
        <v>16</v>
      </c>
      <c r="H276">
        <v>987.4</v>
      </c>
      <c r="I276" s="13">
        <v>12</v>
      </c>
      <c r="J276">
        <v>1</v>
      </c>
      <c r="K276">
        <v>129.18</v>
      </c>
      <c r="L276">
        <v>4</v>
      </c>
      <c r="M276">
        <v>1</v>
      </c>
      <c r="N276">
        <v>5</v>
      </c>
      <c r="O276">
        <f t="shared" si="4"/>
        <v>5</v>
      </c>
    </row>
    <row r="277" spans="1:15">
      <c r="A277">
        <v>4431</v>
      </c>
      <c r="B277" s="1">
        <v>45779</v>
      </c>
      <c r="C277">
        <v>52</v>
      </c>
      <c r="D277" t="s">
        <v>14</v>
      </c>
      <c r="E277" t="s">
        <v>15</v>
      </c>
      <c r="F277" t="s">
        <v>21</v>
      </c>
      <c r="H277">
        <v>159</v>
      </c>
      <c r="I277" s="13">
        <v>4</v>
      </c>
      <c r="J277">
        <v>1</v>
      </c>
      <c r="K277">
        <v>110.96</v>
      </c>
      <c r="L277">
        <v>3</v>
      </c>
      <c r="M277">
        <v>12</v>
      </c>
      <c r="N277">
        <v>4</v>
      </c>
      <c r="O277">
        <f t="shared" si="4"/>
        <v>5</v>
      </c>
    </row>
    <row r="278" spans="1:15">
      <c r="A278">
        <v>3539</v>
      </c>
      <c r="B278" s="1">
        <v>45779</v>
      </c>
      <c r="C278">
        <v>33</v>
      </c>
      <c r="D278" t="s">
        <v>14</v>
      </c>
      <c r="E278" t="s">
        <v>22</v>
      </c>
      <c r="F278" t="s">
        <v>16</v>
      </c>
      <c r="H278">
        <v>398.4</v>
      </c>
      <c r="I278" s="13">
        <v>5</v>
      </c>
      <c r="J278">
        <v>1</v>
      </c>
      <c r="K278">
        <v>49.72</v>
      </c>
      <c r="L278">
        <v>4</v>
      </c>
      <c r="M278">
        <v>14</v>
      </c>
      <c r="N278">
        <v>4</v>
      </c>
      <c r="O278">
        <f t="shared" si="4"/>
        <v>5</v>
      </c>
    </row>
    <row r="279" spans="1:15">
      <c r="A279">
        <v>2697</v>
      </c>
      <c r="B279" s="1">
        <v>45779</v>
      </c>
      <c r="C279">
        <v>32</v>
      </c>
      <c r="D279" t="s">
        <v>17</v>
      </c>
      <c r="E279" t="s">
        <v>15</v>
      </c>
      <c r="F279" t="s">
        <v>16</v>
      </c>
      <c r="H279">
        <v>546.4</v>
      </c>
      <c r="I279" s="13">
        <v>7</v>
      </c>
      <c r="J279">
        <v>1</v>
      </c>
      <c r="K279">
        <v>42.63</v>
      </c>
      <c r="L279">
        <v>4</v>
      </c>
      <c r="M279">
        <v>11</v>
      </c>
      <c r="N279">
        <v>4</v>
      </c>
      <c r="O279">
        <f t="shared" si="4"/>
        <v>5</v>
      </c>
    </row>
    <row r="280" spans="1:15">
      <c r="A280">
        <v>1935</v>
      </c>
      <c r="B280" s="1">
        <v>45779</v>
      </c>
      <c r="C280">
        <v>22</v>
      </c>
      <c r="D280" t="s">
        <v>14</v>
      </c>
      <c r="E280" t="s">
        <v>20</v>
      </c>
      <c r="F280" t="s">
        <v>16</v>
      </c>
      <c r="H280">
        <v>552</v>
      </c>
      <c r="I280" s="13">
        <v>3</v>
      </c>
      <c r="J280">
        <v>1</v>
      </c>
      <c r="K280">
        <v>41.7</v>
      </c>
      <c r="L280">
        <v>1</v>
      </c>
      <c r="M280">
        <v>9</v>
      </c>
      <c r="N280">
        <v>5</v>
      </c>
      <c r="O280">
        <f t="shared" si="4"/>
        <v>5</v>
      </c>
    </row>
    <row r="281" spans="1:15">
      <c r="A281">
        <v>2752</v>
      </c>
      <c r="B281" s="1">
        <v>45779</v>
      </c>
      <c r="C281">
        <v>39</v>
      </c>
      <c r="D281" t="s">
        <v>17</v>
      </c>
      <c r="E281" t="s">
        <v>15</v>
      </c>
      <c r="F281" t="s">
        <v>16</v>
      </c>
      <c r="H281">
        <v>371.2</v>
      </c>
      <c r="I281" s="13">
        <v>3</v>
      </c>
      <c r="J281">
        <v>1</v>
      </c>
      <c r="K281">
        <v>38.36</v>
      </c>
      <c r="L281">
        <v>3</v>
      </c>
      <c r="M281">
        <v>9</v>
      </c>
      <c r="N281">
        <v>4</v>
      </c>
      <c r="O281">
        <f t="shared" si="4"/>
        <v>5</v>
      </c>
    </row>
    <row r="282" spans="1:15">
      <c r="A282">
        <v>4126</v>
      </c>
      <c r="B282" s="1">
        <v>45779</v>
      </c>
      <c r="C282">
        <v>59</v>
      </c>
      <c r="D282" t="s">
        <v>14</v>
      </c>
      <c r="E282" t="s">
        <v>20</v>
      </c>
      <c r="F282" t="s">
        <v>18</v>
      </c>
      <c r="G282" t="s">
        <v>30</v>
      </c>
      <c r="H282">
        <v>587.1</v>
      </c>
      <c r="I282" s="13">
        <v>6</v>
      </c>
      <c r="J282">
        <v>1</v>
      </c>
      <c r="K282">
        <v>36.53</v>
      </c>
      <c r="L282">
        <v>2</v>
      </c>
      <c r="M282">
        <v>10</v>
      </c>
      <c r="N282">
        <v>4</v>
      </c>
      <c r="O282">
        <f t="shared" si="4"/>
        <v>5</v>
      </c>
    </row>
    <row r="283" spans="1:15">
      <c r="A283">
        <v>4323</v>
      </c>
      <c r="B283" s="1">
        <v>45779</v>
      </c>
      <c r="C283">
        <v>28</v>
      </c>
      <c r="D283" t="s">
        <v>14</v>
      </c>
      <c r="E283" t="s">
        <v>20</v>
      </c>
      <c r="F283" t="s">
        <v>18</v>
      </c>
      <c r="G283" t="s">
        <v>31</v>
      </c>
      <c r="H283">
        <v>1076.4000000000001</v>
      </c>
      <c r="I283" s="13">
        <v>7</v>
      </c>
      <c r="J283">
        <v>1</v>
      </c>
      <c r="K283">
        <v>36.020000000000003</v>
      </c>
      <c r="L283">
        <v>2</v>
      </c>
      <c r="M283">
        <v>5</v>
      </c>
      <c r="N283">
        <v>5</v>
      </c>
      <c r="O283">
        <f t="shared" si="4"/>
        <v>5</v>
      </c>
    </row>
    <row r="284" spans="1:15">
      <c r="A284">
        <v>1443</v>
      </c>
      <c r="B284" s="1">
        <v>45779</v>
      </c>
      <c r="C284">
        <v>29</v>
      </c>
      <c r="D284" t="s">
        <v>17</v>
      </c>
      <c r="E284" t="s">
        <v>20</v>
      </c>
      <c r="F284" t="s">
        <v>21</v>
      </c>
      <c r="H284">
        <v>637.29999999999995</v>
      </c>
      <c r="I284" s="13">
        <v>7</v>
      </c>
      <c r="J284">
        <v>1</v>
      </c>
      <c r="K284">
        <v>25.13</v>
      </c>
      <c r="L284">
        <v>3</v>
      </c>
      <c r="M284">
        <v>14</v>
      </c>
      <c r="N284">
        <v>5</v>
      </c>
      <c r="O284">
        <f t="shared" si="4"/>
        <v>5</v>
      </c>
    </row>
    <row r="285" spans="1:15">
      <c r="A285">
        <v>4647</v>
      </c>
      <c r="B285" s="1">
        <v>45779</v>
      </c>
      <c r="C285">
        <v>43</v>
      </c>
      <c r="D285" t="s">
        <v>14</v>
      </c>
      <c r="E285" t="s">
        <v>22</v>
      </c>
      <c r="F285" t="s">
        <v>16</v>
      </c>
      <c r="H285">
        <v>148.30000000000001</v>
      </c>
      <c r="I285" s="13">
        <v>7</v>
      </c>
      <c r="J285">
        <v>1</v>
      </c>
      <c r="K285">
        <v>15.84</v>
      </c>
      <c r="L285">
        <v>2</v>
      </c>
      <c r="M285">
        <v>6</v>
      </c>
      <c r="N285">
        <v>3</v>
      </c>
      <c r="O285">
        <f t="shared" si="4"/>
        <v>5</v>
      </c>
    </row>
    <row r="286" spans="1:15">
      <c r="A286">
        <v>3205</v>
      </c>
      <c r="B286" s="1">
        <v>45779</v>
      </c>
      <c r="C286">
        <v>40</v>
      </c>
      <c r="D286" t="s">
        <v>14</v>
      </c>
      <c r="E286" t="s">
        <v>22</v>
      </c>
      <c r="F286" t="s">
        <v>16</v>
      </c>
      <c r="H286">
        <v>356.3</v>
      </c>
      <c r="I286" s="13">
        <v>6</v>
      </c>
      <c r="J286">
        <v>1</v>
      </c>
      <c r="K286">
        <v>15.83</v>
      </c>
      <c r="L286">
        <v>2</v>
      </c>
      <c r="M286">
        <v>6</v>
      </c>
      <c r="N286">
        <v>4</v>
      </c>
      <c r="O286">
        <f t="shared" si="4"/>
        <v>5</v>
      </c>
    </row>
    <row r="287" spans="1:15">
      <c r="A287">
        <v>3868</v>
      </c>
      <c r="B287" s="1">
        <v>45779</v>
      </c>
      <c r="C287">
        <v>31</v>
      </c>
      <c r="D287" t="s">
        <v>17</v>
      </c>
      <c r="E287" t="s">
        <v>20</v>
      </c>
      <c r="F287" t="s">
        <v>18</v>
      </c>
      <c r="G287" t="s">
        <v>26</v>
      </c>
      <c r="H287">
        <v>838</v>
      </c>
      <c r="I287" s="13">
        <v>7</v>
      </c>
      <c r="J287">
        <v>1</v>
      </c>
      <c r="K287">
        <v>14.53</v>
      </c>
      <c r="L287">
        <v>3</v>
      </c>
      <c r="M287">
        <v>12</v>
      </c>
      <c r="N287">
        <v>5</v>
      </c>
      <c r="O287">
        <f t="shared" si="4"/>
        <v>5</v>
      </c>
    </row>
    <row r="288" spans="1:15">
      <c r="A288">
        <v>4069</v>
      </c>
      <c r="B288" s="1">
        <v>45779</v>
      </c>
      <c r="C288">
        <v>47</v>
      </c>
      <c r="D288" t="s">
        <v>14</v>
      </c>
      <c r="E288" t="s">
        <v>15</v>
      </c>
      <c r="F288" t="s">
        <v>16</v>
      </c>
      <c r="H288">
        <v>640.1</v>
      </c>
      <c r="I288" s="13">
        <v>5</v>
      </c>
      <c r="J288">
        <v>0</v>
      </c>
      <c r="K288">
        <v>0</v>
      </c>
      <c r="L288">
        <v>0</v>
      </c>
      <c r="M288">
        <v>0</v>
      </c>
      <c r="O288">
        <f t="shared" si="4"/>
        <v>5</v>
      </c>
    </row>
    <row r="289" spans="1:15">
      <c r="A289">
        <v>4182</v>
      </c>
      <c r="B289" s="1">
        <v>45779</v>
      </c>
      <c r="C289">
        <v>50</v>
      </c>
      <c r="D289" t="s">
        <v>17</v>
      </c>
      <c r="E289" t="s">
        <v>15</v>
      </c>
      <c r="F289" t="s">
        <v>16</v>
      </c>
      <c r="H289">
        <v>580.4</v>
      </c>
      <c r="I289" s="13">
        <v>3</v>
      </c>
      <c r="J289">
        <v>0</v>
      </c>
      <c r="K289">
        <v>0</v>
      </c>
      <c r="L289">
        <v>0</v>
      </c>
      <c r="M289">
        <v>0</v>
      </c>
      <c r="O289">
        <f t="shared" si="4"/>
        <v>5</v>
      </c>
    </row>
    <row r="290" spans="1:15">
      <c r="A290">
        <v>2405</v>
      </c>
      <c r="B290" s="1">
        <v>45779</v>
      </c>
      <c r="C290">
        <v>32</v>
      </c>
      <c r="D290" t="s">
        <v>27</v>
      </c>
      <c r="E290" t="s">
        <v>20</v>
      </c>
      <c r="F290" t="s">
        <v>16</v>
      </c>
      <c r="H290">
        <v>517.5</v>
      </c>
      <c r="I290" s="13">
        <v>4</v>
      </c>
      <c r="J290">
        <v>0</v>
      </c>
      <c r="K290">
        <v>0</v>
      </c>
      <c r="L290">
        <v>0</v>
      </c>
      <c r="M290">
        <v>0</v>
      </c>
      <c r="O290">
        <f t="shared" si="4"/>
        <v>5</v>
      </c>
    </row>
    <row r="291" spans="1:15">
      <c r="A291">
        <v>3096</v>
      </c>
      <c r="B291" s="1">
        <v>45779</v>
      </c>
      <c r="C291">
        <v>28</v>
      </c>
      <c r="D291" t="s">
        <v>17</v>
      </c>
      <c r="E291" t="s">
        <v>24</v>
      </c>
      <c r="F291" t="s">
        <v>18</v>
      </c>
      <c r="G291" t="s">
        <v>31</v>
      </c>
      <c r="H291">
        <v>510.9</v>
      </c>
      <c r="I291" s="13">
        <v>6</v>
      </c>
      <c r="J291">
        <v>0</v>
      </c>
      <c r="K291">
        <v>0</v>
      </c>
      <c r="L291">
        <v>0</v>
      </c>
      <c r="M291">
        <v>0</v>
      </c>
      <c r="O291">
        <f t="shared" si="4"/>
        <v>5</v>
      </c>
    </row>
    <row r="292" spans="1:15">
      <c r="A292">
        <v>3453</v>
      </c>
      <c r="B292" s="1">
        <v>45779</v>
      </c>
      <c r="C292">
        <v>35</v>
      </c>
      <c r="D292" t="s">
        <v>17</v>
      </c>
      <c r="E292" t="s">
        <v>22</v>
      </c>
      <c r="F292" t="s">
        <v>16</v>
      </c>
      <c r="H292">
        <v>422.9</v>
      </c>
      <c r="I292" s="13">
        <v>3</v>
      </c>
      <c r="J292">
        <v>0</v>
      </c>
      <c r="K292">
        <v>0</v>
      </c>
      <c r="L292">
        <v>0</v>
      </c>
      <c r="M292">
        <v>0</v>
      </c>
      <c r="O292">
        <f t="shared" si="4"/>
        <v>5</v>
      </c>
    </row>
    <row r="293" spans="1:15">
      <c r="A293">
        <v>4753</v>
      </c>
      <c r="B293" s="1">
        <v>45779</v>
      </c>
      <c r="C293">
        <v>50</v>
      </c>
      <c r="D293" t="s">
        <v>17</v>
      </c>
      <c r="E293" t="s">
        <v>20</v>
      </c>
      <c r="F293" t="s">
        <v>21</v>
      </c>
      <c r="H293">
        <v>417.7</v>
      </c>
      <c r="I293" s="13">
        <v>3</v>
      </c>
      <c r="J293">
        <v>0</v>
      </c>
      <c r="K293">
        <v>0</v>
      </c>
      <c r="L293">
        <v>0</v>
      </c>
      <c r="M293">
        <v>0</v>
      </c>
      <c r="O293">
        <f t="shared" si="4"/>
        <v>5</v>
      </c>
    </row>
    <row r="294" spans="1:15">
      <c r="A294">
        <v>4465</v>
      </c>
      <c r="B294" s="1">
        <v>45779</v>
      </c>
      <c r="C294">
        <v>71</v>
      </c>
      <c r="D294" t="s">
        <v>14</v>
      </c>
      <c r="E294" t="s">
        <v>22</v>
      </c>
      <c r="F294" t="s">
        <v>16</v>
      </c>
      <c r="H294">
        <v>397.5</v>
      </c>
      <c r="I294" s="13">
        <v>3</v>
      </c>
      <c r="J294">
        <v>0</v>
      </c>
      <c r="K294">
        <v>0</v>
      </c>
      <c r="L294">
        <v>0</v>
      </c>
      <c r="M294">
        <v>0</v>
      </c>
      <c r="O294">
        <f t="shared" si="4"/>
        <v>5</v>
      </c>
    </row>
    <row r="295" spans="1:15">
      <c r="A295">
        <v>3070</v>
      </c>
      <c r="B295" s="1">
        <v>45779</v>
      </c>
      <c r="C295">
        <v>35</v>
      </c>
      <c r="D295" t="s">
        <v>17</v>
      </c>
      <c r="E295" t="s">
        <v>22</v>
      </c>
      <c r="F295" t="s">
        <v>18</v>
      </c>
      <c r="G295" t="s">
        <v>29</v>
      </c>
      <c r="H295">
        <v>349.3</v>
      </c>
      <c r="I295" s="13">
        <v>8</v>
      </c>
      <c r="J295">
        <v>0</v>
      </c>
      <c r="K295">
        <v>0</v>
      </c>
      <c r="L295">
        <v>0</v>
      </c>
      <c r="M295">
        <v>0</v>
      </c>
      <c r="O295">
        <f t="shared" si="4"/>
        <v>5</v>
      </c>
    </row>
    <row r="296" spans="1:15">
      <c r="A296">
        <v>2375</v>
      </c>
      <c r="B296" s="1">
        <v>45779</v>
      </c>
      <c r="C296">
        <v>54</v>
      </c>
      <c r="D296" t="s">
        <v>17</v>
      </c>
      <c r="E296" t="s">
        <v>24</v>
      </c>
      <c r="F296" t="s">
        <v>23</v>
      </c>
      <c r="H296">
        <v>334</v>
      </c>
      <c r="I296" s="13">
        <v>7</v>
      </c>
      <c r="J296">
        <v>0</v>
      </c>
      <c r="K296">
        <v>0</v>
      </c>
      <c r="L296">
        <v>0</v>
      </c>
      <c r="M296">
        <v>0</v>
      </c>
      <c r="O296">
        <f t="shared" si="4"/>
        <v>5</v>
      </c>
    </row>
    <row r="297" spans="1:15">
      <c r="A297">
        <v>3001</v>
      </c>
      <c r="B297" s="1">
        <v>45779</v>
      </c>
      <c r="C297">
        <v>45</v>
      </c>
      <c r="D297" t="s">
        <v>17</v>
      </c>
      <c r="E297" t="s">
        <v>15</v>
      </c>
      <c r="F297" t="s">
        <v>16</v>
      </c>
      <c r="H297">
        <v>320.60000000000002</v>
      </c>
      <c r="I297" s="13">
        <v>8</v>
      </c>
      <c r="J297">
        <v>0</v>
      </c>
      <c r="K297">
        <v>0</v>
      </c>
      <c r="L297">
        <v>0</v>
      </c>
      <c r="M297">
        <v>0</v>
      </c>
      <c r="O297">
        <f t="shared" si="4"/>
        <v>5</v>
      </c>
    </row>
    <row r="298" spans="1:15">
      <c r="A298">
        <v>3009</v>
      </c>
      <c r="B298" s="1">
        <v>45779</v>
      </c>
      <c r="C298">
        <v>24</v>
      </c>
      <c r="D298" t="s">
        <v>14</v>
      </c>
      <c r="E298" t="s">
        <v>20</v>
      </c>
      <c r="F298" t="s">
        <v>16</v>
      </c>
      <c r="H298">
        <v>315</v>
      </c>
      <c r="I298" s="13">
        <v>3</v>
      </c>
      <c r="J298">
        <v>0</v>
      </c>
      <c r="K298">
        <v>0</v>
      </c>
      <c r="L298">
        <v>0</v>
      </c>
      <c r="M298">
        <v>0</v>
      </c>
      <c r="O298">
        <f t="shared" si="4"/>
        <v>5</v>
      </c>
    </row>
    <row r="299" spans="1:15">
      <c r="A299">
        <v>4023</v>
      </c>
      <c r="B299" s="1">
        <v>45779</v>
      </c>
      <c r="C299">
        <v>44</v>
      </c>
      <c r="D299" t="s">
        <v>17</v>
      </c>
      <c r="E299" t="s">
        <v>24</v>
      </c>
      <c r="F299" t="s">
        <v>16</v>
      </c>
      <c r="H299">
        <v>310.3</v>
      </c>
      <c r="I299" s="13">
        <v>3</v>
      </c>
      <c r="J299">
        <v>0</v>
      </c>
      <c r="K299">
        <v>0</v>
      </c>
      <c r="L299">
        <v>0</v>
      </c>
      <c r="M299">
        <v>0</v>
      </c>
      <c r="O299">
        <f t="shared" si="4"/>
        <v>5</v>
      </c>
    </row>
    <row r="300" spans="1:15">
      <c r="A300">
        <v>4241</v>
      </c>
      <c r="B300" s="1">
        <v>45779</v>
      </c>
      <c r="C300">
        <v>50</v>
      </c>
      <c r="D300" t="s">
        <v>17</v>
      </c>
      <c r="E300" t="s">
        <v>22</v>
      </c>
      <c r="F300" t="s">
        <v>16</v>
      </c>
      <c r="H300">
        <v>297.5</v>
      </c>
      <c r="I300" s="13">
        <v>5</v>
      </c>
      <c r="J300">
        <v>0</v>
      </c>
      <c r="K300">
        <v>0</v>
      </c>
      <c r="L300">
        <v>0</v>
      </c>
      <c r="M300">
        <v>0</v>
      </c>
      <c r="O300">
        <f t="shared" si="4"/>
        <v>5</v>
      </c>
    </row>
    <row r="301" spans="1:15">
      <c r="A301">
        <v>4025</v>
      </c>
      <c r="B301" s="1">
        <v>45779</v>
      </c>
      <c r="C301">
        <v>60</v>
      </c>
      <c r="D301" t="s">
        <v>14</v>
      </c>
      <c r="E301" t="s">
        <v>15</v>
      </c>
      <c r="F301" t="s">
        <v>18</v>
      </c>
      <c r="G301" t="s">
        <v>29</v>
      </c>
      <c r="H301">
        <v>290.8</v>
      </c>
      <c r="I301" s="13">
        <v>5</v>
      </c>
      <c r="J301">
        <v>0</v>
      </c>
      <c r="K301">
        <v>0</v>
      </c>
      <c r="L301">
        <v>0</v>
      </c>
      <c r="M301">
        <v>0</v>
      </c>
      <c r="O301">
        <f t="shared" si="4"/>
        <v>5</v>
      </c>
    </row>
    <row r="302" spans="1:15">
      <c r="A302">
        <v>171</v>
      </c>
      <c r="B302" s="1">
        <v>45779</v>
      </c>
      <c r="C302">
        <v>33</v>
      </c>
      <c r="D302" t="s">
        <v>14</v>
      </c>
      <c r="E302" t="s">
        <v>15</v>
      </c>
      <c r="F302" t="s">
        <v>18</v>
      </c>
      <c r="G302" t="s">
        <v>28</v>
      </c>
      <c r="H302">
        <v>216.5</v>
      </c>
      <c r="I302" s="13">
        <v>3</v>
      </c>
      <c r="J302">
        <v>0</v>
      </c>
      <c r="K302">
        <v>0</v>
      </c>
      <c r="L302">
        <v>0</v>
      </c>
      <c r="M302">
        <v>0</v>
      </c>
      <c r="O302">
        <f t="shared" si="4"/>
        <v>5</v>
      </c>
    </row>
    <row r="303" spans="1:15">
      <c r="A303">
        <v>2531</v>
      </c>
      <c r="B303" s="1">
        <v>45779</v>
      </c>
      <c r="C303">
        <v>36</v>
      </c>
      <c r="D303" t="s">
        <v>27</v>
      </c>
      <c r="E303" t="s">
        <v>20</v>
      </c>
      <c r="F303" t="s">
        <v>18</v>
      </c>
      <c r="G303" t="s">
        <v>25</v>
      </c>
      <c r="H303">
        <v>215.2</v>
      </c>
      <c r="I303" s="13">
        <v>3</v>
      </c>
      <c r="J303">
        <v>0</v>
      </c>
      <c r="K303">
        <v>0</v>
      </c>
      <c r="L303">
        <v>0</v>
      </c>
      <c r="M303">
        <v>0</v>
      </c>
      <c r="O303">
        <f t="shared" si="4"/>
        <v>5</v>
      </c>
    </row>
    <row r="304" spans="1:15">
      <c r="A304">
        <v>1458</v>
      </c>
      <c r="B304" s="1">
        <v>45779</v>
      </c>
      <c r="C304">
        <v>27</v>
      </c>
      <c r="D304" t="s">
        <v>17</v>
      </c>
      <c r="E304" t="s">
        <v>22</v>
      </c>
      <c r="F304" t="s">
        <v>18</v>
      </c>
      <c r="G304" t="s">
        <v>31</v>
      </c>
      <c r="H304">
        <v>193</v>
      </c>
      <c r="I304" s="13">
        <v>6</v>
      </c>
      <c r="J304">
        <v>0</v>
      </c>
      <c r="K304">
        <v>0</v>
      </c>
      <c r="L304">
        <v>0</v>
      </c>
      <c r="M304">
        <v>0</v>
      </c>
      <c r="O304">
        <f t="shared" si="4"/>
        <v>5</v>
      </c>
    </row>
    <row r="305" spans="1:15">
      <c r="A305">
        <v>4572</v>
      </c>
      <c r="B305" s="1">
        <v>45779</v>
      </c>
      <c r="C305">
        <v>55</v>
      </c>
      <c r="D305" t="s">
        <v>17</v>
      </c>
      <c r="E305" t="s">
        <v>24</v>
      </c>
      <c r="F305" t="s">
        <v>18</v>
      </c>
      <c r="G305" t="s">
        <v>26</v>
      </c>
      <c r="H305">
        <v>177.8</v>
      </c>
      <c r="I305" s="13">
        <v>7</v>
      </c>
      <c r="J305">
        <v>0</v>
      </c>
      <c r="K305">
        <v>0</v>
      </c>
      <c r="L305">
        <v>0</v>
      </c>
      <c r="M305">
        <v>0</v>
      </c>
      <c r="O305">
        <f t="shared" si="4"/>
        <v>5</v>
      </c>
    </row>
    <row r="306" spans="1:15">
      <c r="A306">
        <v>4954</v>
      </c>
      <c r="B306" s="1">
        <v>45779</v>
      </c>
      <c r="C306">
        <v>70</v>
      </c>
      <c r="D306" t="s">
        <v>14</v>
      </c>
      <c r="E306" t="s">
        <v>20</v>
      </c>
      <c r="F306" t="s">
        <v>16</v>
      </c>
      <c r="H306">
        <v>137.80000000000001</v>
      </c>
      <c r="I306" s="13">
        <v>2</v>
      </c>
      <c r="J306">
        <v>0</v>
      </c>
      <c r="K306">
        <v>0</v>
      </c>
      <c r="L306">
        <v>0</v>
      </c>
      <c r="M306">
        <v>0</v>
      </c>
      <c r="O306">
        <f t="shared" si="4"/>
        <v>5</v>
      </c>
    </row>
    <row r="307" spans="1:15">
      <c r="A307">
        <v>3685</v>
      </c>
      <c r="B307" s="1">
        <v>45779</v>
      </c>
      <c r="C307">
        <v>44</v>
      </c>
      <c r="D307" t="s">
        <v>14</v>
      </c>
      <c r="E307" t="s">
        <v>24</v>
      </c>
      <c r="F307" t="s">
        <v>16</v>
      </c>
      <c r="H307">
        <v>126.4</v>
      </c>
      <c r="I307" s="13">
        <v>6</v>
      </c>
      <c r="J307">
        <v>0</v>
      </c>
      <c r="K307">
        <v>0</v>
      </c>
      <c r="L307">
        <v>0</v>
      </c>
      <c r="M307">
        <v>0</v>
      </c>
      <c r="O307">
        <f t="shared" si="4"/>
        <v>5</v>
      </c>
    </row>
    <row r="308" spans="1:15">
      <c r="A308">
        <v>419</v>
      </c>
      <c r="B308" s="1">
        <v>45779</v>
      </c>
      <c r="C308">
        <v>27</v>
      </c>
      <c r="D308" t="s">
        <v>14</v>
      </c>
      <c r="E308" t="s">
        <v>22</v>
      </c>
      <c r="F308" t="s">
        <v>16</v>
      </c>
      <c r="H308">
        <v>113.9</v>
      </c>
      <c r="I308" s="13">
        <v>9</v>
      </c>
      <c r="J308">
        <v>0</v>
      </c>
      <c r="K308">
        <v>0</v>
      </c>
      <c r="L308">
        <v>0</v>
      </c>
      <c r="M308">
        <v>0</v>
      </c>
      <c r="O308">
        <f t="shared" si="4"/>
        <v>5</v>
      </c>
    </row>
    <row r="309" spans="1:15">
      <c r="A309">
        <v>3452</v>
      </c>
      <c r="B309" s="1">
        <v>45779</v>
      </c>
      <c r="C309">
        <v>32</v>
      </c>
      <c r="D309" t="s">
        <v>17</v>
      </c>
      <c r="E309" t="s">
        <v>24</v>
      </c>
      <c r="F309" t="s">
        <v>16</v>
      </c>
      <c r="H309">
        <v>113.8</v>
      </c>
      <c r="I309" s="13">
        <v>1</v>
      </c>
      <c r="J309">
        <v>0</v>
      </c>
      <c r="K309">
        <v>0</v>
      </c>
      <c r="L309">
        <v>0</v>
      </c>
      <c r="M309">
        <v>0</v>
      </c>
      <c r="O309">
        <f t="shared" si="4"/>
        <v>5</v>
      </c>
    </row>
    <row r="310" spans="1:15">
      <c r="A310">
        <v>4072</v>
      </c>
      <c r="B310" s="1">
        <v>45779</v>
      </c>
      <c r="C310">
        <v>49</v>
      </c>
      <c r="D310" t="s">
        <v>17</v>
      </c>
      <c r="E310" t="s">
        <v>24</v>
      </c>
      <c r="F310" t="s">
        <v>21</v>
      </c>
      <c r="H310">
        <v>111.8</v>
      </c>
      <c r="I310" s="13">
        <v>9</v>
      </c>
      <c r="J310">
        <v>0</v>
      </c>
      <c r="K310">
        <v>0</v>
      </c>
      <c r="L310">
        <v>0</v>
      </c>
      <c r="M310">
        <v>0</v>
      </c>
      <c r="O310">
        <f t="shared" si="4"/>
        <v>5</v>
      </c>
    </row>
    <row r="311" spans="1:15">
      <c r="A311">
        <v>3621</v>
      </c>
      <c r="B311" s="1">
        <v>45779</v>
      </c>
      <c r="C311">
        <v>43</v>
      </c>
      <c r="D311" t="s">
        <v>14</v>
      </c>
      <c r="E311" t="s">
        <v>24</v>
      </c>
      <c r="F311" t="s">
        <v>18</v>
      </c>
      <c r="G311" t="s">
        <v>28</v>
      </c>
      <c r="H311">
        <v>90.7</v>
      </c>
      <c r="I311" s="13">
        <v>5</v>
      </c>
      <c r="J311">
        <v>0</v>
      </c>
      <c r="K311">
        <v>0</v>
      </c>
      <c r="L311">
        <v>0</v>
      </c>
      <c r="M311">
        <v>0</v>
      </c>
      <c r="O311">
        <f t="shared" si="4"/>
        <v>5</v>
      </c>
    </row>
    <row r="312" spans="1:15">
      <c r="A312">
        <v>3212</v>
      </c>
      <c r="B312" s="1">
        <v>45779</v>
      </c>
      <c r="C312">
        <v>40</v>
      </c>
      <c r="D312" t="s">
        <v>17</v>
      </c>
      <c r="E312" t="s">
        <v>24</v>
      </c>
      <c r="F312" t="s">
        <v>18</v>
      </c>
      <c r="G312" t="s">
        <v>31</v>
      </c>
      <c r="H312">
        <v>77.599999999999994</v>
      </c>
      <c r="I312" s="13">
        <v>3</v>
      </c>
      <c r="J312">
        <v>0</v>
      </c>
      <c r="K312">
        <v>0</v>
      </c>
      <c r="L312">
        <v>0</v>
      </c>
      <c r="M312">
        <v>0</v>
      </c>
      <c r="O312">
        <f t="shared" si="4"/>
        <v>5</v>
      </c>
    </row>
    <row r="313" spans="1:15">
      <c r="A313">
        <v>3893</v>
      </c>
      <c r="B313" s="1">
        <v>45779</v>
      </c>
      <c r="C313">
        <v>52</v>
      </c>
      <c r="D313" t="s">
        <v>17</v>
      </c>
      <c r="E313" t="s">
        <v>24</v>
      </c>
      <c r="F313" t="s">
        <v>16</v>
      </c>
      <c r="H313">
        <v>68.5</v>
      </c>
      <c r="I313" s="13">
        <v>14</v>
      </c>
      <c r="J313">
        <v>0</v>
      </c>
      <c r="K313">
        <v>0</v>
      </c>
      <c r="L313">
        <v>0</v>
      </c>
      <c r="M313">
        <v>0</v>
      </c>
      <c r="O313">
        <f t="shared" si="4"/>
        <v>5</v>
      </c>
    </row>
    <row r="314" spans="1:15">
      <c r="A314">
        <v>2169</v>
      </c>
      <c r="B314" s="1">
        <v>45779</v>
      </c>
      <c r="C314">
        <v>43</v>
      </c>
      <c r="D314" t="s">
        <v>17</v>
      </c>
      <c r="E314" t="s">
        <v>24</v>
      </c>
      <c r="F314" t="s">
        <v>23</v>
      </c>
      <c r="H314">
        <v>42.7</v>
      </c>
      <c r="I314" s="13">
        <v>2</v>
      </c>
      <c r="J314">
        <v>0</v>
      </c>
      <c r="K314">
        <v>0</v>
      </c>
      <c r="L314">
        <v>0</v>
      </c>
      <c r="M314">
        <v>0</v>
      </c>
      <c r="O314">
        <f t="shared" si="4"/>
        <v>5</v>
      </c>
    </row>
    <row r="315" spans="1:15">
      <c r="A315">
        <v>4201</v>
      </c>
      <c r="B315" s="1">
        <v>45810</v>
      </c>
      <c r="C315">
        <v>36</v>
      </c>
      <c r="D315" t="s">
        <v>14</v>
      </c>
      <c r="E315" t="s">
        <v>20</v>
      </c>
      <c r="F315" t="s">
        <v>16</v>
      </c>
      <c r="H315">
        <v>348.6</v>
      </c>
      <c r="I315" s="13">
        <v>9</v>
      </c>
      <c r="J315">
        <v>1</v>
      </c>
      <c r="K315">
        <v>202</v>
      </c>
      <c r="L315">
        <v>1</v>
      </c>
      <c r="M315">
        <v>2</v>
      </c>
      <c r="N315">
        <v>4</v>
      </c>
      <c r="O315">
        <f t="shared" si="4"/>
        <v>6</v>
      </c>
    </row>
    <row r="316" spans="1:15">
      <c r="A316">
        <v>2918</v>
      </c>
      <c r="B316" s="1">
        <v>45810</v>
      </c>
      <c r="C316">
        <v>42</v>
      </c>
      <c r="D316" t="s">
        <v>14</v>
      </c>
      <c r="E316" t="s">
        <v>24</v>
      </c>
      <c r="F316" t="s">
        <v>18</v>
      </c>
      <c r="G316" t="s">
        <v>29</v>
      </c>
      <c r="H316">
        <v>1124.5999999999999</v>
      </c>
      <c r="I316" s="13">
        <v>7</v>
      </c>
      <c r="J316">
        <v>1</v>
      </c>
      <c r="K316">
        <v>52.58</v>
      </c>
      <c r="L316">
        <v>6</v>
      </c>
      <c r="M316">
        <v>1</v>
      </c>
      <c r="N316">
        <v>4</v>
      </c>
      <c r="O316">
        <f t="shared" si="4"/>
        <v>6</v>
      </c>
    </row>
    <row r="317" spans="1:15">
      <c r="A317">
        <v>4950</v>
      </c>
      <c r="B317" s="1">
        <v>45810</v>
      </c>
      <c r="C317">
        <v>55</v>
      </c>
      <c r="D317" t="s">
        <v>17</v>
      </c>
      <c r="E317" t="s">
        <v>20</v>
      </c>
      <c r="F317" t="s">
        <v>16</v>
      </c>
      <c r="H317">
        <v>278.10000000000002</v>
      </c>
      <c r="I317" s="13">
        <v>4</v>
      </c>
      <c r="J317">
        <v>1</v>
      </c>
      <c r="K317">
        <v>47.33</v>
      </c>
      <c r="L317">
        <v>1</v>
      </c>
      <c r="M317">
        <v>7</v>
      </c>
      <c r="N317">
        <v>5</v>
      </c>
      <c r="O317">
        <f t="shared" si="4"/>
        <v>6</v>
      </c>
    </row>
    <row r="318" spans="1:15">
      <c r="A318">
        <v>2055</v>
      </c>
      <c r="B318" s="1">
        <v>45810</v>
      </c>
      <c r="C318">
        <v>44</v>
      </c>
      <c r="D318" t="s">
        <v>17</v>
      </c>
      <c r="E318" t="s">
        <v>24</v>
      </c>
      <c r="F318" t="s">
        <v>16</v>
      </c>
      <c r="H318">
        <v>156.30000000000001</v>
      </c>
      <c r="I318" s="13">
        <v>8</v>
      </c>
      <c r="J318">
        <v>1</v>
      </c>
      <c r="K318">
        <v>44.79</v>
      </c>
      <c r="L318">
        <v>2</v>
      </c>
      <c r="M318">
        <v>8</v>
      </c>
      <c r="N318">
        <v>4</v>
      </c>
      <c r="O318">
        <f t="shared" si="4"/>
        <v>6</v>
      </c>
    </row>
    <row r="319" spans="1:15">
      <c r="A319">
        <v>4607</v>
      </c>
      <c r="B319" s="1">
        <v>45810</v>
      </c>
      <c r="C319">
        <v>46</v>
      </c>
      <c r="D319" t="s">
        <v>14</v>
      </c>
      <c r="E319" t="s">
        <v>20</v>
      </c>
      <c r="F319" t="s">
        <v>18</v>
      </c>
      <c r="G319" t="s">
        <v>30</v>
      </c>
      <c r="H319">
        <v>576.5</v>
      </c>
      <c r="I319" s="13">
        <v>9</v>
      </c>
      <c r="J319">
        <v>1</v>
      </c>
      <c r="K319">
        <v>30.14</v>
      </c>
      <c r="L319">
        <v>4</v>
      </c>
      <c r="M319">
        <v>1</v>
      </c>
      <c r="N319">
        <v>4</v>
      </c>
      <c r="O319">
        <f t="shared" si="4"/>
        <v>6</v>
      </c>
    </row>
    <row r="320" spans="1:15">
      <c r="A320">
        <v>772</v>
      </c>
      <c r="B320" s="1">
        <v>45810</v>
      </c>
      <c r="C320">
        <v>27</v>
      </c>
      <c r="D320" t="s">
        <v>17</v>
      </c>
      <c r="E320" t="s">
        <v>15</v>
      </c>
      <c r="F320" t="s">
        <v>16</v>
      </c>
      <c r="H320">
        <v>32.9</v>
      </c>
      <c r="I320" s="13">
        <v>3</v>
      </c>
      <c r="J320">
        <v>1</v>
      </c>
      <c r="K320">
        <v>29.33</v>
      </c>
      <c r="L320">
        <v>4</v>
      </c>
      <c r="M320">
        <v>4</v>
      </c>
      <c r="N320">
        <v>3</v>
      </c>
      <c r="O320">
        <f t="shared" si="4"/>
        <v>6</v>
      </c>
    </row>
    <row r="321" spans="1:15">
      <c r="A321">
        <v>537</v>
      </c>
      <c r="B321" s="1">
        <v>45810</v>
      </c>
      <c r="C321">
        <v>18</v>
      </c>
      <c r="D321" t="s">
        <v>17</v>
      </c>
      <c r="E321" t="s">
        <v>24</v>
      </c>
      <c r="F321" t="s">
        <v>18</v>
      </c>
      <c r="G321" t="s">
        <v>30</v>
      </c>
      <c r="H321">
        <v>306.39999999999998</v>
      </c>
      <c r="I321" s="13">
        <v>10</v>
      </c>
      <c r="J321">
        <v>1</v>
      </c>
      <c r="K321">
        <v>23.73</v>
      </c>
      <c r="L321">
        <v>3</v>
      </c>
      <c r="M321">
        <v>9</v>
      </c>
      <c r="N321">
        <v>4</v>
      </c>
      <c r="O321">
        <f t="shared" si="4"/>
        <v>6</v>
      </c>
    </row>
    <row r="322" spans="1:15">
      <c r="A322">
        <v>4089</v>
      </c>
      <c r="B322" s="1">
        <v>45810</v>
      </c>
      <c r="C322">
        <v>46</v>
      </c>
      <c r="D322" t="s">
        <v>17</v>
      </c>
      <c r="E322" t="s">
        <v>20</v>
      </c>
      <c r="F322" t="s">
        <v>16</v>
      </c>
      <c r="H322">
        <v>555.1</v>
      </c>
      <c r="I322" s="13">
        <v>5</v>
      </c>
      <c r="J322">
        <v>1</v>
      </c>
      <c r="K322">
        <v>18.13</v>
      </c>
      <c r="L322">
        <v>2</v>
      </c>
      <c r="M322">
        <v>11</v>
      </c>
      <c r="N322">
        <v>4</v>
      </c>
      <c r="O322">
        <f t="shared" si="4"/>
        <v>6</v>
      </c>
    </row>
    <row r="323" spans="1:15">
      <c r="A323">
        <v>3509</v>
      </c>
      <c r="B323" s="1">
        <v>45810</v>
      </c>
      <c r="C323">
        <v>31</v>
      </c>
      <c r="D323" t="s">
        <v>14</v>
      </c>
      <c r="E323" t="s">
        <v>24</v>
      </c>
      <c r="F323" t="s">
        <v>16</v>
      </c>
      <c r="H323">
        <v>313.10000000000002</v>
      </c>
      <c r="I323" s="13">
        <v>5</v>
      </c>
      <c r="J323">
        <v>1</v>
      </c>
      <c r="K323">
        <v>13</v>
      </c>
      <c r="L323">
        <v>5</v>
      </c>
      <c r="M323">
        <v>4</v>
      </c>
      <c r="N323">
        <v>5</v>
      </c>
      <c r="O323">
        <f t="shared" ref="O323:O386" si="5">MONTH(B323)</f>
        <v>6</v>
      </c>
    </row>
    <row r="324" spans="1:15">
      <c r="A324">
        <v>2509</v>
      </c>
      <c r="B324" s="1">
        <v>45810</v>
      </c>
      <c r="C324">
        <v>33</v>
      </c>
      <c r="D324" t="s">
        <v>14</v>
      </c>
      <c r="E324" t="s">
        <v>24</v>
      </c>
      <c r="F324" t="s">
        <v>16</v>
      </c>
      <c r="H324">
        <v>792.3</v>
      </c>
      <c r="I324" s="13">
        <v>5</v>
      </c>
      <c r="J324">
        <v>0</v>
      </c>
      <c r="K324">
        <v>0</v>
      </c>
      <c r="L324">
        <v>0</v>
      </c>
      <c r="M324">
        <v>0</v>
      </c>
      <c r="O324">
        <f t="shared" si="5"/>
        <v>6</v>
      </c>
    </row>
    <row r="325" spans="1:15">
      <c r="A325">
        <v>2826</v>
      </c>
      <c r="B325" s="1">
        <v>45810</v>
      </c>
      <c r="C325">
        <v>37</v>
      </c>
      <c r="D325" t="s">
        <v>14</v>
      </c>
      <c r="E325" t="s">
        <v>24</v>
      </c>
      <c r="F325" t="s">
        <v>16</v>
      </c>
      <c r="H325">
        <v>631.9</v>
      </c>
      <c r="I325" s="13">
        <v>4</v>
      </c>
      <c r="J325">
        <v>0</v>
      </c>
      <c r="K325">
        <v>0</v>
      </c>
      <c r="L325">
        <v>0</v>
      </c>
      <c r="M325">
        <v>0</v>
      </c>
      <c r="O325">
        <f t="shared" si="5"/>
        <v>6</v>
      </c>
    </row>
    <row r="326" spans="1:15">
      <c r="A326">
        <v>1854</v>
      </c>
      <c r="B326" s="1">
        <v>45810</v>
      </c>
      <c r="C326">
        <v>34</v>
      </c>
      <c r="D326" t="s">
        <v>17</v>
      </c>
      <c r="E326" t="s">
        <v>24</v>
      </c>
      <c r="F326" t="s">
        <v>16</v>
      </c>
      <c r="H326">
        <v>551.20000000000005</v>
      </c>
      <c r="I326" s="13">
        <v>6</v>
      </c>
      <c r="J326">
        <v>0</v>
      </c>
      <c r="K326">
        <v>0</v>
      </c>
      <c r="L326">
        <v>0</v>
      </c>
      <c r="M326">
        <v>0</v>
      </c>
      <c r="O326">
        <f t="shared" si="5"/>
        <v>6</v>
      </c>
    </row>
    <row r="327" spans="1:15">
      <c r="A327">
        <v>1028</v>
      </c>
      <c r="B327" s="1">
        <v>45810</v>
      </c>
      <c r="C327">
        <v>32</v>
      </c>
      <c r="D327" t="s">
        <v>14</v>
      </c>
      <c r="E327" t="s">
        <v>20</v>
      </c>
      <c r="F327" t="s">
        <v>23</v>
      </c>
      <c r="H327">
        <v>542.70000000000005</v>
      </c>
      <c r="I327" s="13">
        <v>6</v>
      </c>
      <c r="J327">
        <v>0</v>
      </c>
      <c r="K327">
        <v>0</v>
      </c>
      <c r="L327">
        <v>0</v>
      </c>
      <c r="M327">
        <v>0</v>
      </c>
      <c r="O327">
        <f t="shared" si="5"/>
        <v>6</v>
      </c>
    </row>
    <row r="328" spans="1:15">
      <c r="A328">
        <v>3900</v>
      </c>
      <c r="B328" s="1">
        <v>45810</v>
      </c>
      <c r="C328">
        <v>46</v>
      </c>
      <c r="D328" t="s">
        <v>17</v>
      </c>
      <c r="E328" t="s">
        <v>24</v>
      </c>
      <c r="F328" t="s">
        <v>21</v>
      </c>
      <c r="H328">
        <v>539.6</v>
      </c>
      <c r="I328" s="13">
        <v>8</v>
      </c>
      <c r="J328">
        <v>0</v>
      </c>
      <c r="K328">
        <v>0</v>
      </c>
      <c r="L328">
        <v>0</v>
      </c>
      <c r="M328">
        <v>0</v>
      </c>
      <c r="O328">
        <f t="shared" si="5"/>
        <v>6</v>
      </c>
    </row>
    <row r="329" spans="1:15">
      <c r="A329">
        <v>4070</v>
      </c>
      <c r="B329" s="1">
        <v>45810</v>
      </c>
      <c r="C329">
        <v>54</v>
      </c>
      <c r="D329" t="s">
        <v>17</v>
      </c>
      <c r="E329" t="s">
        <v>20</v>
      </c>
      <c r="F329" t="s">
        <v>16</v>
      </c>
      <c r="H329">
        <v>516</v>
      </c>
      <c r="I329" s="13">
        <v>7</v>
      </c>
      <c r="J329">
        <v>0</v>
      </c>
      <c r="K329">
        <v>0</v>
      </c>
      <c r="L329">
        <v>0</v>
      </c>
      <c r="M329">
        <v>0</v>
      </c>
      <c r="O329">
        <f t="shared" si="5"/>
        <v>6</v>
      </c>
    </row>
    <row r="330" spans="1:15">
      <c r="A330">
        <v>2543</v>
      </c>
      <c r="B330" s="1">
        <v>45810</v>
      </c>
      <c r="C330">
        <v>41</v>
      </c>
      <c r="D330" t="s">
        <v>17</v>
      </c>
      <c r="E330" t="s">
        <v>22</v>
      </c>
      <c r="F330" t="s">
        <v>23</v>
      </c>
      <c r="H330">
        <v>510.5</v>
      </c>
      <c r="I330" s="13">
        <v>7</v>
      </c>
      <c r="J330">
        <v>0</v>
      </c>
      <c r="K330">
        <v>0</v>
      </c>
      <c r="L330">
        <v>0</v>
      </c>
      <c r="M330">
        <v>0</v>
      </c>
      <c r="O330">
        <f t="shared" si="5"/>
        <v>6</v>
      </c>
    </row>
    <row r="331" spans="1:15">
      <c r="A331">
        <v>4654</v>
      </c>
      <c r="B331" s="1">
        <v>45810</v>
      </c>
      <c r="C331">
        <v>48</v>
      </c>
      <c r="D331" t="s">
        <v>17</v>
      </c>
      <c r="E331" t="s">
        <v>15</v>
      </c>
      <c r="F331" t="s">
        <v>21</v>
      </c>
      <c r="H331">
        <v>362.8</v>
      </c>
      <c r="I331" s="13">
        <v>6</v>
      </c>
      <c r="J331">
        <v>0</v>
      </c>
      <c r="K331">
        <v>0</v>
      </c>
      <c r="L331">
        <v>0</v>
      </c>
      <c r="M331">
        <v>0</v>
      </c>
      <c r="O331">
        <f t="shared" si="5"/>
        <v>6</v>
      </c>
    </row>
    <row r="332" spans="1:15">
      <c r="A332">
        <v>4943</v>
      </c>
      <c r="B332" s="1">
        <v>45810</v>
      </c>
      <c r="C332">
        <v>67</v>
      </c>
      <c r="D332" t="s">
        <v>14</v>
      </c>
      <c r="E332" t="s">
        <v>15</v>
      </c>
      <c r="F332" t="s">
        <v>18</v>
      </c>
      <c r="G332" t="s">
        <v>19</v>
      </c>
      <c r="H332">
        <v>352.7</v>
      </c>
      <c r="I332" s="13">
        <v>3</v>
      </c>
      <c r="J332">
        <v>0</v>
      </c>
      <c r="K332">
        <v>0</v>
      </c>
      <c r="L332">
        <v>0</v>
      </c>
      <c r="M332">
        <v>0</v>
      </c>
      <c r="O332">
        <f t="shared" si="5"/>
        <v>6</v>
      </c>
    </row>
    <row r="333" spans="1:15">
      <c r="A333">
        <v>1008</v>
      </c>
      <c r="B333" s="1">
        <v>45810</v>
      </c>
      <c r="C333">
        <v>27</v>
      </c>
      <c r="D333" t="s">
        <v>14</v>
      </c>
      <c r="E333" t="s">
        <v>15</v>
      </c>
      <c r="F333" t="s">
        <v>21</v>
      </c>
      <c r="H333">
        <v>275.7</v>
      </c>
      <c r="I333" s="13">
        <v>6</v>
      </c>
      <c r="J333">
        <v>0</v>
      </c>
      <c r="K333">
        <v>0</v>
      </c>
      <c r="L333">
        <v>0</v>
      </c>
      <c r="M333">
        <v>0</v>
      </c>
      <c r="O333">
        <f t="shared" si="5"/>
        <v>6</v>
      </c>
    </row>
    <row r="334" spans="1:15">
      <c r="A334">
        <v>3398</v>
      </c>
      <c r="B334" s="1">
        <v>45810</v>
      </c>
      <c r="C334">
        <v>45</v>
      </c>
      <c r="D334" t="s">
        <v>14</v>
      </c>
      <c r="E334" t="s">
        <v>20</v>
      </c>
      <c r="F334" t="s">
        <v>16</v>
      </c>
      <c r="H334">
        <v>270.8</v>
      </c>
      <c r="I334" s="13">
        <v>3</v>
      </c>
      <c r="J334">
        <v>0</v>
      </c>
      <c r="K334">
        <v>0</v>
      </c>
      <c r="L334">
        <v>0</v>
      </c>
      <c r="M334">
        <v>0</v>
      </c>
      <c r="O334">
        <f t="shared" si="5"/>
        <v>6</v>
      </c>
    </row>
    <row r="335" spans="1:15">
      <c r="A335">
        <v>3618</v>
      </c>
      <c r="B335" s="1">
        <v>45810</v>
      </c>
      <c r="C335">
        <v>33</v>
      </c>
      <c r="D335" t="s">
        <v>17</v>
      </c>
      <c r="E335" t="s">
        <v>20</v>
      </c>
      <c r="F335" t="s">
        <v>16</v>
      </c>
      <c r="H335">
        <v>236.8</v>
      </c>
      <c r="I335" s="13">
        <v>4</v>
      </c>
      <c r="J335">
        <v>0</v>
      </c>
      <c r="K335">
        <v>0</v>
      </c>
      <c r="L335">
        <v>0</v>
      </c>
      <c r="M335">
        <v>0</v>
      </c>
      <c r="O335">
        <f t="shared" si="5"/>
        <v>6</v>
      </c>
    </row>
    <row r="336" spans="1:15">
      <c r="A336">
        <v>377</v>
      </c>
      <c r="B336" s="1">
        <v>45810</v>
      </c>
      <c r="C336">
        <v>26</v>
      </c>
      <c r="D336" t="s">
        <v>17</v>
      </c>
      <c r="E336" t="s">
        <v>22</v>
      </c>
      <c r="F336" t="s">
        <v>16</v>
      </c>
      <c r="H336">
        <v>187.3</v>
      </c>
      <c r="I336" s="13">
        <v>16</v>
      </c>
      <c r="J336">
        <v>0</v>
      </c>
      <c r="K336">
        <v>0</v>
      </c>
      <c r="L336">
        <v>0</v>
      </c>
      <c r="M336">
        <v>0</v>
      </c>
      <c r="O336">
        <f t="shared" si="5"/>
        <v>6</v>
      </c>
    </row>
    <row r="337" spans="1:15">
      <c r="A337">
        <v>2719</v>
      </c>
      <c r="B337" s="1">
        <v>45810</v>
      </c>
      <c r="C337">
        <v>42</v>
      </c>
      <c r="D337" t="s">
        <v>14</v>
      </c>
      <c r="E337" t="s">
        <v>22</v>
      </c>
      <c r="F337" t="s">
        <v>16</v>
      </c>
      <c r="H337">
        <v>179.5</v>
      </c>
      <c r="I337" s="13">
        <v>6</v>
      </c>
      <c r="J337">
        <v>0</v>
      </c>
      <c r="K337">
        <v>0</v>
      </c>
      <c r="L337">
        <v>0</v>
      </c>
      <c r="M337">
        <v>0</v>
      </c>
      <c r="O337">
        <f t="shared" si="5"/>
        <v>6</v>
      </c>
    </row>
    <row r="338" spans="1:15">
      <c r="A338">
        <v>220</v>
      </c>
      <c r="B338" s="1">
        <v>45810</v>
      </c>
      <c r="C338">
        <v>27</v>
      </c>
      <c r="D338" t="s">
        <v>14</v>
      </c>
      <c r="E338" t="s">
        <v>15</v>
      </c>
      <c r="F338" t="s">
        <v>18</v>
      </c>
      <c r="G338" t="s">
        <v>31</v>
      </c>
      <c r="H338">
        <v>175.6</v>
      </c>
      <c r="I338" s="13">
        <v>4</v>
      </c>
      <c r="J338">
        <v>0</v>
      </c>
      <c r="K338">
        <v>0</v>
      </c>
      <c r="L338">
        <v>0</v>
      </c>
      <c r="M338">
        <v>0</v>
      </c>
      <c r="O338">
        <f t="shared" si="5"/>
        <v>6</v>
      </c>
    </row>
    <row r="339" spans="1:15">
      <c r="A339">
        <v>2372</v>
      </c>
      <c r="B339" s="1">
        <v>45810</v>
      </c>
      <c r="C339">
        <v>40</v>
      </c>
      <c r="D339" t="s">
        <v>14</v>
      </c>
      <c r="E339" t="s">
        <v>22</v>
      </c>
      <c r="F339" t="s">
        <v>21</v>
      </c>
      <c r="H339">
        <v>118.4</v>
      </c>
      <c r="I339" s="13">
        <v>1</v>
      </c>
      <c r="J339">
        <v>0</v>
      </c>
      <c r="K339">
        <v>0</v>
      </c>
      <c r="L339">
        <v>0</v>
      </c>
      <c r="M339">
        <v>0</v>
      </c>
      <c r="O339">
        <f t="shared" si="5"/>
        <v>6</v>
      </c>
    </row>
    <row r="340" spans="1:15">
      <c r="A340">
        <v>1244</v>
      </c>
      <c r="B340" s="1">
        <v>45810</v>
      </c>
      <c r="C340">
        <v>18</v>
      </c>
      <c r="D340" t="s">
        <v>17</v>
      </c>
      <c r="E340" t="s">
        <v>22</v>
      </c>
      <c r="F340" t="s">
        <v>23</v>
      </c>
      <c r="H340">
        <v>109.2</v>
      </c>
      <c r="I340" s="13">
        <v>8</v>
      </c>
      <c r="J340">
        <v>0</v>
      </c>
      <c r="K340">
        <v>0</v>
      </c>
      <c r="L340">
        <v>0</v>
      </c>
      <c r="M340">
        <v>0</v>
      </c>
      <c r="O340">
        <f t="shared" si="5"/>
        <v>6</v>
      </c>
    </row>
    <row r="341" spans="1:15">
      <c r="A341">
        <v>3704</v>
      </c>
      <c r="B341" s="1">
        <v>45810</v>
      </c>
      <c r="C341">
        <v>31</v>
      </c>
      <c r="D341" t="s">
        <v>17</v>
      </c>
      <c r="E341" t="s">
        <v>15</v>
      </c>
      <c r="F341" t="s">
        <v>16</v>
      </c>
      <c r="H341">
        <v>44.6</v>
      </c>
      <c r="I341" s="13">
        <v>6</v>
      </c>
      <c r="J341">
        <v>0</v>
      </c>
      <c r="K341">
        <v>0</v>
      </c>
      <c r="L341">
        <v>0</v>
      </c>
      <c r="M341">
        <v>0</v>
      </c>
      <c r="O341">
        <f t="shared" si="5"/>
        <v>6</v>
      </c>
    </row>
    <row r="342" spans="1:15">
      <c r="A342">
        <v>2683</v>
      </c>
      <c r="B342" s="1">
        <v>45660</v>
      </c>
      <c r="C342">
        <v>30</v>
      </c>
      <c r="D342" t="s">
        <v>17</v>
      </c>
      <c r="E342" t="s">
        <v>22</v>
      </c>
      <c r="F342" t="s">
        <v>21</v>
      </c>
      <c r="H342">
        <v>441.1</v>
      </c>
      <c r="I342" s="13">
        <v>6</v>
      </c>
      <c r="J342">
        <v>1</v>
      </c>
      <c r="K342">
        <v>95</v>
      </c>
      <c r="L342">
        <v>3</v>
      </c>
      <c r="M342">
        <v>6</v>
      </c>
      <c r="N342">
        <v>4</v>
      </c>
      <c r="O342">
        <f t="shared" si="5"/>
        <v>1</v>
      </c>
    </row>
    <row r="343" spans="1:15">
      <c r="A343">
        <v>1753</v>
      </c>
      <c r="B343" s="1">
        <v>45660</v>
      </c>
      <c r="C343">
        <v>49</v>
      </c>
      <c r="D343" t="s">
        <v>17</v>
      </c>
      <c r="E343" t="s">
        <v>20</v>
      </c>
      <c r="F343" t="s">
        <v>18</v>
      </c>
      <c r="G343" t="s">
        <v>25</v>
      </c>
      <c r="H343">
        <v>322.7</v>
      </c>
      <c r="I343" s="13">
        <v>2</v>
      </c>
      <c r="J343">
        <v>1</v>
      </c>
      <c r="K343">
        <v>147</v>
      </c>
      <c r="L343">
        <v>3</v>
      </c>
      <c r="M343">
        <v>3</v>
      </c>
      <c r="N343">
        <v>4</v>
      </c>
      <c r="O343">
        <f t="shared" si="5"/>
        <v>1</v>
      </c>
    </row>
    <row r="344" spans="1:15">
      <c r="A344">
        <v>4136</v>
      </c>
      <c r="B344" s="1">
        <v>45660</v>
      </c>
      <c r="C344">
        <v>61</v>
      </c>
      <c r="D344" t="s">
        <v>14</v>
      </c>
      <c r="E344" t="s">
        <v>22</v>
      </c>
      <c r="F344" t="s">
        <v>23</v>
      </c>
      <c r="H344">
        <v>224.6</v>
      </c>
      <c r="I344" s="13">
        <v>5</v>
      </c>
      <c r="J344">
        <v>1</v>
      </c>
      <c r="K344">
        <v>100.55</v>
      </c>
      <c r="L344">
        <v>3</v>
      </c>
      <c r="M344">
        <v>13</v>
      </c>
      <c r="N344">
        <v>4</v>
      </c>
      <c r="O344">
        <f t="shared" si="5"/>
        <v>1</v>
      </c>
    </row>
    <row r="345" spans="1:15">
      <c r="A345">
        <v>2978</v>
      </c>
      <c r="B345" s="1">
        <v>45660</v>
      </c>
      <c r="C345">
        <v>35</v>
      </c>
      <c r="D345" t="s">
        <v>17</v>
      </c>
      <c r="E345" t="s">
        <v>24</v>
      </c>
      <c r="F345" t="s">
        <v>23</v>
      </c>
      <c r="H345">
        <v>347.2</v>
      </c>
      <c r="I345" s="13">
        <v>5</v>
      </c>
      <c r="J345">
        <v>1</v>
      </c>
      <c r="K345">
        <v>77.849999999999994</v>
      </c>
      <c r="L345">
        <v>2</v>
      </c>
      <c r="M345">
        <v>14</v>
      </c>
      <c r="N345">
        <v>3</v>
      </c>
      <c r="O345">
        <f t="shared" si="5"/>
        <v>1</v>
      </c>
    </row>
    <row r="346" spans="1:15">
      <c r="A346">
        <v>2361</v>
      </c>
      <c r="B346" s="1">
        <v>45660</v>
      </c>
      <c r="C346">
        <v>43</v>
      </c>
      <c r="D346" t="s">
        <v>17</v>
      </c>
      <c r="E346" t="s">
        <v>22</v>
      </c>
      <c r="F346" t="s">
        <v>18</v>
      </c>
      <c r="G346" t="s">
        <v>30</v>
      </c>
      <c r="H346">
        <v>854.9</v>
      </c>
      <c r="I346" s="13">
        <v>5</v>
      </c>
      <c r="J346">
        <v>1</v>
      </c>
      <c r="K346">
        <v>60.53</v>
      </c>
      <c r="L346">
        <v>2</v>
      </c>
      <c r="M346">
        <v>7</v>
      </c>
      <c r="N346">
        <v>4</v>
      </c>
      <c r="O346">
        <f t="shared" si="5"/>
        <v>1</v>
      </c>
    </row>
    <row r="347" spans="1:15">
      <c r="A347">
        <v>3965</v>
      </c>
      <c r="B347" s="1">
        <v>45660</v>
      </c>
      <c r="C347">
        <v>51</v>
      </c>
      <c r="D347" t="s">
        <v>17</v>
      </c>
      <c r="E347" t="s">
        <v>24</v>
      </c>
      <c r="F347" t="s">
        <v>18</v>
      </c>
      <c r="G347" t="s">
        <v>29</v>
      </c>
      <c r="H347">
        <v>1168.3</v>
      </c>
      <c r="I347" s="13">
        <v>10</v>
      </c>
      <c r="J347">
        <v>1</v>
      </c>
      <c r="K347">
        <v>58.1</v>
      </c>
      <c r="L347">
        <v>1</v>
      </c>
      <c r="M347">
        <v>8</v>
      </c>
      <c r="N347">
        <v>4</v>
      </c>
      <c r="O347">
        <f t="shared" si="5"/>
        <v>1</v>
      </c>
    </row>
    <row r="348" spans="1:15">
      <c r="A348">
        <v>2225</v>
      </c>
      <c r="B348" s="1">
        <v>45660</v>
      </c>
      <c r="C348">
        <v>44</v>
      </c>
      <c r="D348" t="s">
        <v>17</v>
      </c>
      <c r="E348" t="s">
        <v>15</v>
      </c>
      <c r="F348" t="s">
        <v>18</v>
      </c>
      <c r="G348" t="s">
        <v>30</v>
      </c>
      <c r="H348">
        <v>295.2</v>
      </c>
      <c r="I348" s="13">
        <v>6</v>
      </c>
      <c r="J348">
        <v>1</v>
      </c>
      <c r="K348">
        <v>53.8</v>
      </c>
      <c r="L348">
        <v>3</v>
      </c>
      <c r="M348">
        <v>4</v>
      </c>
      <c r="N348">
        <v>3</v>
      </c>
      <c r="O348">
        <f t="shared" si="5"/>
        <v>1</v>
      </c>
    </row>
    <row r="349" spans="1:15">
      <c r="A349">
        <v>1800</v>
      </c>
      <c r="B349" s="1">
        <v>45660</v>
      </c>
      <c r="C349">
        <v>27</v>
      </c>
      <c r="D349" t="s">
        <v>14</v>
      </c>
      <c r="E349" t="s">
        <v>24</v>
      </c>
      <c r="F349" t="s">
        <v>16</v>
      </c>
      <c r="H349">
        <v>320.2</v>
      </c>
      <c r="I349" s="13">
        <v>6</v>
      </c>
      <c r="J349">
        <v>1</v>
      </c>
      <c r="K349">
        <v>44.94</v>
      </c>
      <c r="L349">
        <v>2</v>
      </c>
      <c r="M349">
        <v>9</v>
      </c>
      <c r="N349">
        <v>3</v>
      </c>
      <c r="O349">
        <f t="shared" si="5"/>
        <v>1</v>
      </c>
    </row>
    <row r="350" spans="1:15">
      <c r="A350">
        <v>899</v>
      </c>
      <c r="B350" s="1">
        <v>45660</v>
      </c>
      <c r="C350">
        <v>21</v>
      </c>
      <c r="D350" t="s">
        <v>14</v>
      </c>
      <c r="E350" t="s">
        <v>20</v>
      </c>
      <c r="F350" t="s">
        <v>16</v>
      </c>
      <c r="H350">
        <v>223.6</v>
      </c>
      <c r="I350" s="13">
        <v>5</v>
      </c>
      <c r="J350">
        <v>1</v>
      </c>
      <c r="K350">
        <v>33.4</v>
      </c>
      <c r="L350">
        <v>2</v>
      </c>
      <c r="M350">
        <v>4</v>
      </c>
      <c r="N350">
        <v>4</v>
      </c>
      <c r="O350">
        <f t="shared" si="5"/>
        <v>1</v>
      </c>
    </row>
    <row r="351" spans="1:15">
      <c r="A351">
        <v>333</v>
      </c>
      <c r="B351" s="1">
        <v>45660</v>
      </c>
      <c r="C351">
        <v>18</v>
      </c>
      <c r="D351" t="s">
        <v>17</v>
      </c>
      <c r="E351" t="s">
        <v>24</v>
      </c>
      <c r="F351" t="s">
        <v>23</v>
      </c>
      <c r="H351">
        <v>458.7</v>
      </c>
      <c r="I351" s="13">
        <v>5</v>
      </c>
      <c r="J351">
        <v>1</v>
      </c>
      <c r="K351">
        <v>32.93</v>
      </c>
      <c r="L351">
        <v>3</v>
      </c>
      <c r="M351">
        <v>5</v>
      </c>
      <c r="N351">
        <v>4</v>
      </c>
      <c r="O351">
        <f t="shared" si="5"/>
        <v>1</v>
      </c>
    </row>
    <row r="352" spans="1:15">
      <c r="A352">
        <v>3008</v>
      </c>
      <c r="B352" s="1">
        <v>45660</v>
      </c>
      <c r="C352">
        <v>41</v>
      </c>
      <c r="D352" t="s">
        <v>14</v>
      </c>
      <c r="E352" t="s">
        <v>15</v>
      </c>
      <c r="F352" t="s">
        <v>16</v>
      </c>
      <c r="H352">
        <v>931.9</v>
      </c>
      <c r="I352" s="13">
        <v>7</v>
      </c>
      <c r="J352">
        <v>1</v>
      </c>
      <c r="K352">
        <v>25.49</v>
      </c>
      <c r="L352">
        <v>3</v>
      </c>
      <c r="M352">
        <v>12</v>
      </c>
      <c r="N352">
        <v>4</v>
      </c>
      <c r="O352">
        <f t="shared" si="5"/>
        <v>1</v>
      </c>
    </row>
    <row r="353" spans="1:15">
      <c r="A353">
        <v>4056</v>
      </c>
      <c r="B353" s="1">
        <v>45660</v>
      </c>
      <c r="C353">
        <v>42</v>
      </c>
      <c r="D353" t="s">
        <v>17</v>
      </c>
      <c r="E353" t="s">
        <v>24</v>
      </c>
      <c r="F353" t="s">
        <v>23</v>
      </c>
      <c r="H353">
        <v>28</v>
      </c>
      <c r="I353" s="13">
        <v>2</v>
      </c>
      <c r="J353">
        <v>0</v>
      </c>
      <c r="K353">
        <v>0</v>
      </c>
      <c r="L353">
        <v>0</v>
      </c>
      <c r="M353">
        <v>0</v>
      </c>
      <c r="O353">
        <f t="shared" si="5"/>
        <v>1</v>
      </c>
    </row>
    <row r="354" spans="1:15">
      <c r="A354">
        <v>4547</v>
      </c>
      <c r="B354" s="1">
        <v>45660</v>
      </c>
      <c r="C354">
        <v>56</v>
      </c>
      <c r="D354" t="s">
        <v>17</v>
      </c>
      <c r="E354" t="s">
        <v>24</v>
      </c>
      <c r="F354" t="s">
        <v>18</v>
      </c>
      <c r="G354" t="s">
        <v>28</v>
      </c>
      <c r="H354">
        <v>93</v>
      </c>
      <c r="I354" s="13">
        <v>5</v>
      </c>
      <c r="J354">
        <v>0</v>
      </c>
      <c r="K354">
        <v>0</v>
      </c>
      <c r="L354">
        <v>0</v>
      </c>
      <c r="M354">
        <v>0</v>
      </c>
      <c r="O354">
        <f t="shared" si="5"/>
        <v>1</v>
      </c>
    </row>
    <row r="355" spans="1:15">
      <c r="A355">
        <v>3088</v>
      </c>
      <c r="B355" s="1">
        <v>45660</v>
      </c>
      <c r="C355">
        <v>38</v>
      </c>
      <c r="D355" t="s">
        <v>14</v>
      </c>
      <c r="E355" t="s">
        <v>15</v>
      </c>
      <c r="F355" t="s">
        <v>16</v>
      </c>
      <c r="H355">
        <v>629.29999999999995</v>
      </c>
      <c r="I355" s="13">
        <v>5</v>
      </c>
      <c r="J355">
        <v>0</v>
      </c>
      <c r="K355">
        <v>0</v>
      </c>
      <c r="L355">
        <v>0</v>
      </c>
      <c r="M355">
        <v>0</v>
      </c>
      <c r="O355">
        <f t="shared" si="5"/>
        <v>1</v>
      </c>
    </row>
    <row r="356" spans="1:15">
      <c r="A356">
        <v>4156</v>
      </c>
      <c r="B356" s="1">
        <v>45660</v>
      </c>
      <c r="C356">
        <v>62</v>
      </c>
      <c r="D356" t="s">
        <v>17</v>
      </c>
      <c r="E356" t="s">
        <v>22</v>
      </c>
      <c r="F356" t="s">
        <v>23</v>
      </c>
      <c r="H356">
        <v>489.4</v>
      </c>
      <c r="I356" s="13">
        <v>5</v>
      </c>
      <c r="J356">
        <v>0</v>
      </c>
      <c r="K356">
        <v>0</v>
      </c>
      <c r="L356">
        <v>0</v>
      </c>
      <c r="M356">
        <v>0</v>
      </c>
      <c r="O356">
        <f t="shared" si="5"/>
        <v>1</v>
      </c>
    </row>
    <row r="357" spans="1:15">
      <c r="A357">
        <v>4813</v>
      </c>
      <c r="B357" s="1">
        <v>45660</v>
      </c>
      <c r="C357">
        <v>43</v>
      </c>
      <c r="D357" t="s">
        <v>14</v>
      </c>
      <c r="E357" t="s">
        <v>22</v>
      </c>
      <c r="F357" t="s">
        <v>16</v>
      </c>
      <c r="H357">
        <v>431.5</v>
      </c>
      <c r="I357" s="13">
        <v>6</v>
      </c>
      <c r="J357">
        <v>0</v>
      </c>
      <c r="K357">
        <v>0</v>
      </c>
      <c r="L357">
        <v>0</v>
      </c>
      <c r="M357">
        <v>0</v>
      </c>
      <c r="O357">
        <f t="shared" si="5"/>
        <v>1</v>
      </c>
    </row>
    <row r="358" spans="1:15">
      <c r="A358">
        <v>2534</v>
      </c>
      <c r="B358" s="1">
        <v>45660</v>
      </c>
      <c r="C358">
        <v>40</v>
      </c>
      <c r="D358" t="s">
        <v>17</v>
      </c>
      <c r="E358" t="s">
        <v>22</v>
      </c>
      <c r="F358" t="s">
        <v>21</v>
      </c>
      <c r="H358">
        <v>356.9</v>
      </c>
      <c r="I358" s="13">
        <v>5</v>
      </c>
      <c r="J358">
        <v>0</v>
      </c>
      <c r="K358">
        <v>0</v>
      </c>
      <c r="L358">
        <v>0</v>
      </c>
      <c r="M358">
        <v>0</v>
      </c>
      <c r="O358">
        <f t="shared" si="5"/>
        <v>1</v>
      </c>
    </row>
    <row r="359" spans="1:15">
      <c r="A359">
        <v>471</v>
      </c>
      <c r="B359" s="1">
        <v>45660</v>
      </c>
      <c r="C359">
        <v>20</v>
      </c>
      <c r="D359" t="s">
        <v>27</v>
      </c>
      <c r="E359" t="s">
        <v>24</v>
      </c>
      <c r="F359" t="s">
        <v>16</v>
      </c>
      <c r="H359">
        <v>326.3</v>
      </c>
      <c r="I359" s="13">
        <v>6</v>
      </c>
      <c r="J359">
        <v>0</v>
      </c>
      <c r="K359">
        <v>0</v>
      </c>
      <c r="L359">
        <v>0</v>
      </c>
      <c r="M359">
        <v>0</v>
      </c>
      <c r="O359">
        <f t="shared" si="5"/>
        <v>1</v>
      </c>
    </row>
    <row r="360" spans="1:15">
      <c r="A360">
        <v>3118</v>
      </c>
      <c r="B360" s="1">
        <v>45660</v>
      </c>
      <c r="C360">
        <v>40</v>
      </c>
      <c r="D360" t="s">
        <v>14</v>
      </c>
      <c r="E360" t="s">
        <v>24</v>
      </c>
      <c r="F360" t="s">
        <v>16</v>
      </c>
      <c r="H360">
        <v>262.10000000000002</v>
      </c>
      <c r="I360" s="13">
        <v>7</v>
      </c>
      <c r="J360">
        <v>0</v>
      </c>
      <c r="K360">
        <v>0</v>
      </c>
      <c r="L360">
        <v>0</v>
      </c>
      <c r="M360">
        <v>0</v>
      </c>
      <c r="O360">
        <f t="shared" si="5"/>
        <v>1</v>
      </c>
    </row>
    <row r="361" spans="1:15">
      <c r="A361">
        <v>3946</v>
      </c>
      <c r="B361" s="1">
        <v>45660</v>
      </c>
      <c r="C361">
        <v>33</v>
      </c>
      <c r="D361" t="s">
        <v>17</v>
      </c>
      <c r="E361" t="s">
        <v>15</v>
      </c>
      <c r="F361" t="s">
        <v>16</v>
      </c>
      <c r="H361">
        <v>238.1</v>
      </c>
      <c r="I361" s="13">
        <v>6</v>
      </c>
      <c r="J361">
        <v>0</v>
      </c>
      <c r="K361">
        <v>0</v>
      </c>
      <c r="L361">
        <v>0</v>
      </c>
      <c r="M361">
        <v>0</v>
      </c>
      <c r="O361">
        <f t="shared" si="5"/>
        <v>1</v>
      </c>
    </row>
    <row r="362" spans="1:15">
      <c r="A362">
        <v>2132</v>
      </c>
      <c r="B362" s="1">
        <v>45660</v>
      </c>
      <c r="C362">
        <v>39</v>
      </c>
      <c r="D362" t="s">
        <v>14</v>
      </c>
      <c r="E362" t="s">
        <v>20</v>
      </c>
      <c r="F362" t="s">
        <v>21</v>
      </c>
      <c r="H362">
        <v>229.8</v>
      </c>
      <c r="I362" s="13">
        <v>12</v>
      </c>
      <c r="J362">
        <v>0</v>
      </c>
      <c r="K362">
        <v>0</v>
      </c>
      <c r="L362">
        <v>0</v>
      </c>
      <c r="M362">
        <v>0</v>
      </c>
      <c r="O362">
        <f t="shared" si="5"/>
        <v>1</v>
      </c>
    </row>
    <row r="363" spans="1:15">
      <c r="A363">
        <v>841</v>
      </c>
      <c r="B363" s="1">
        <v>45660</v>
      </c>
      <c r="C363">
        <v>18</v>
      </c>
      <c r="D363" t="s">
        <v>17</v>
      </c>
      <c r="E363" t="s">
        <v>22</v>
      </c>
      <c r="F363" t="s">
        <v>18</v>
      </c>
      <c r="G363" t="s">
        <v>30</v>
      </c>
      <c r="H363">
        <v>196</v>
      </c>
      <c r="I363" s="13">
        <v>2</v>
      </c>
      <c r="J363">
        <v>0</v>
      </c>
      <c r="K363">
        <v>0</v>
      </c>
      <c r="L363">
        <v>0</v>
      </c>
      <c r="M363">
        <v>0</v>
      </c>
      <c r="O363">
        <f t="shared" si="5"/>
        <v>1</v>
      </c>
    </row>
    <row r="364" spans="1:15">
      <c r="A364">
        <v>3067</v>
      </c>
      <c r="B364" s="1">
        <v>45660</v>
      </c>
      <c r="C364">
        <v>46</v>
      </c>
      <c r="D364" t="s">
        <v>14</v>
      </c>
      <c r="E364" t="s">
        <v>15</v>
      </c>
      <c r="F364" t="s">
        <v>21</v>
      </c>
      <c r="H364">
        <v>174.2</v>
      </c>
      <c r="I364" s="13">
        <v>8</v>
      </c>
      <c r="J364">
        <v>0</v>
      </c>
      <c r="K364">
        <v>0</v>
      </c>
      <c r="L364">
        <v>0</v>
      </c>
      <c r="M364">
        <v>0</v>
      </c>
      <c r="O364">
        <f t="shared" si="5"/>
        <v>1</v>
      </c>
    </row>
    <row r="365" spans="1:15">
      <c r="A365">
        <v>4097</v>
      </c>
      <c r="B365" s="1">
        <v>45660</v>
      </c>
      <c r="C365">
        <v>49</v>
      </c>
      <c r="D365" t="s">
        <v>17</v>
      </c>
      <c r="E365" t="s">
        <v>24</v>
      </c>
      <c r="F365" t="s">
        <v>18</v>
      </c>
      <c r="G365" t="s">
        <v>25</v>
      </c>
      <c r="H365">
        <v>154.4</v>
      </c>
      <c r="I365" s="13">
        <v>2</v>
      </c>
      <c r="J365">
        <v>0</v>
      </c>
      <c r="K365">
        <v>0</v>
      </c>
      <c r="L365">
        <v>0</v>
      </c>
      <c r="M365">
        <v>0</v>
      </c>
      <c r="O365">
        <f t="shared" si="5"/>
        <v>1</v>
      </c>
    </row>
    <row r="366" spans="1:15">
      <c r="A366">
        <v>564</v>
      </c>
      <c r="B366" s="1">
        <v>45660</v>
      </c>
      <c r="C366">
        <v>27</v>
      </c>
      <c r="D366" t="s">
        <v>14</v>
      </c>
      <c r="E366" t="s">
        <v>15</v>
      </c>
      <c r="F366" t="s">
        <v>16</v>
      </c>
      <c r="H366">
        <v>148.69999999999999</v>
      </c>
      <c r="I366" s="13">
        <v>6</v>
      </c>
      <c r="J366">
        <v>0</v>
      </c>
      <c r="K366">
        <v>0</v>
      </c>
      <c r="L366">
        <v>0</v>
      </c>
      <c r="M366">
        <v>0</v>
      </c>
      <c r="O366">
        <f t="shared" si="5"/>
        <v>1</v>
      </c>
    </row>
    <row r="367" spans="1:15">
      <c r="A367">
        <v>172</v>
      </c>
      <c r="B367" s="1">
        <v>45660</v>
      </c>
      <c r="C367">
        <v>18</v>
      </c>
      <c r="D367" t="s">
        <v>17</v>
      </c>
      <c r="E367" t="s">
        <v>15</v>
      </c>
      <c r="F367" t="s">
        <v>21</v>
      </c>
      <c r="H367">
        <v>124.8</v>
      </c>
      <c r="I367" s="13">
        <v>7</v>
      </c>
      <c r="J367">
        <v>0</v>
      </c>
      <c r="K367">
        <v>0</v>
      </c>
      <c r="L367">
        <v>0</v>
      </c>
      <c r="M367">
        <v>0</v>
      </c>
      <c r="O367">
        <f t="shared" si="5"/>
        <v>1</v>
      </c>
    </row>
    <row r="368" spans="1:15">
      <c r="A368">
        <v>1265</v>
      </c>
      <c r="B368" s="1">
        <v>45660</v>
      </c>
      <c r="C368">
        <v>31</v>
      </c>
      <c r="D368" t="s">
        <v>14</v>
      </c>
      <c r="E368" t="s">
        <v>22</v>
      </c>
      <c r="F368" t="s">
        <v>16</v>
      </c>
      <c r="H368">
        <v>115.5</v>
      </c>
      <c r="I368" s="13">
        <v>4</v>
      </c>
      <c r="J368">
        <v>0</v>
      </c>
      <c r="K368">
        <v>0</v>
      </c>
      <c r="L368">
        <v>0</v>
      </c>
      <c r="M368">
        <v>0</v>
      </c>
      <c r="O368">
        <f t="shared" si="5"/>
        <v>1</v>
      </c>
    </row>
    <row r="369" spans="1:15">
      <c r="A369">
        <v>245</v>
      </c>
      <c r="B369" s="1">
        <v>45660</v>
      </c>
      <c r="C369">
        <v>37</v>
      </c>
      <c r="D369" t="s">
        <v>14</v>
      </c>
      <c r="E369" t="s">
        <v>22</v>
      </c>
      <c r="F369" t="s">
        <v>18</v>
      </c>
      <c r="G369" t="s">
        <v>29</v>
      </c>
      <c r="H369">
        <v>112.2</v>
      </c>
      <c r="I369" s="13">
        <v>5</v>
      </c>
      <c r="J369">
        <v>0</v>
      </c>
      <c r="K369">
        <v>0</v>
      </c>
      <c r="L369">
        <v>0</v>
      </c>
      <c r="M369">
        <v>0</v>
      </c>
      <c r="O369">
        <f t="shared" si="5"/>
        <v>1</v>
      </c>
    </row>
    <row r="370" spans="1:15">
      <c r="A370">
        <v>3420</v>
      </c>
      <c r="B370" s="1">
        <v>45660</v>
      </c>
      <c r="C370">
        <v>40</v>
      </c>
      <c r="D370" t="s">
        <v>17</v>
      </c>
      <c r="E370" t="s">
        <v>15</v>
      </c>
      <c r="F370" t="s">
        <v>16</v>
      </c>
      <c r="H370">
        <v>91.2</v>
      </c>
      <c r="I370" s="13">
        <v>3</v>
      </c>
      <c r="J370">
        <v>0</v>
      </c>
      <c r="K370">
        <v>0</v>
      </c>
      <c r="L370">
        <v>0</v>
      </c>
      <c r="M370">
        <v>0</v>
      </c>
      <c r="O370">
        <f t="shared" si="5"/>
        <v>1</v>
      </c>
    </row>
    <row r="371" spans="1:15">
      <c r="A371">
        <v>457</v>
      </c>
      <c r="B371" s="1">
        <v>45660</v>
      </c>
      <c r="C371">
        <v>30</v>
      </c>
      <c r="D371" t="s">
        <v>17</v>
      </c>
      <c r="E371" t="s">
        <v>15</v>
      </c>
      <c r="F371" t="s">
        <v>16</v>
      </c>
      <c r="H371">
        <v>64.7</v>
      </c>
      <c r="I371" s="13">
        <v>8</v>
      </c>
      <c r="J371">
        <v>0</v>
      </c>
      <c r="K371">
        <v>0</v>
      </c>
      <c r="L371">
        <v>0</v>
      </c>
      <c r="M371">
        <v>0</v>
      </c>
      <c r="O371">
        <f t="shared" si="5"/>
        <v>1</v>
      </c>
    </row>
    <row r="372" spans="1:15">
      <c r="A372">
        <v>2818</v>
      </c>
      <c r="B372" s="1">
        <v>45660</v>
      </c>
      <c r="C372">
        <v>36</v>
      </c>
      <c r="D372" t="s">
        <v>17</v>
      </c>
      <c r="E372" t="s">
        <v>24</v>
      </c>
      <c r="F372" t="s">
        <v>18</v>
      </c>
      <c r="G372" t="s">
        <v>26</v>
      </c>
      <c r="H372">
        <v>39.200000000000003</v>
      </c>
      <c r="I372" s="13">
        <v>7</v>
      </c>
      <c r="J372">
        <v>0</v>
      </c>
      <c r="K372">
        <v>0</v>
      </c>
      <c r="L372">
        <v>0</v>
      </c>
      <c r="M372">
        <v>0</v>
      </c>
      <c r="O372">
        <f t="shared" si="5"/>
        <v>1</v>
      </c>
    </row>
    <row r="373" spans="1:15">
      <c r="A373">
        <v>1098</v>
      </c>
      <c r="B373" s="1">
        <v>45691</v>
      </c>
      <c r="C373">
        <v>27</v>
      </c>
      <c r="D373" t="s">
        <v>14</v>
      </c>
      <c r="E373" t="s">
        <v>22</v>
      </c>
      <c r="F373" t="s">
        <v>18</v>
      </c>
      <c r="G373" t="s">
        <v>29</v>
      </c>
      <c r="H373">
        <v>43</v>
      </c>
      <c r="I373" s="13">
        <v>5</v>
      </c>
      <c r="J373">
        <v>1</v>
      </c>
      <c r="K373">
        <v>310</v>
      </c>
      <c r="L373">
        <v>3</v>
      </c>
      <c r="M373">
        <v>7</v>
      </c>
      <c r="N373">
        <v>4</v>
      </c>
      <c r="O373">
        <f t="shared" si="5"/>
        <v>2</v>
      </c>
    </row>
    <row r="374" spans="1:15">
      <c r="A374">
        <v>4196</v>
      </c>
      <c r="B374" s="1">
        <v>45691</v>
      </c>
      <c r="C374">
        <v>56</v>
      </c>
      <c r="D374" t="s">
        <v>14</v>
      </c>
      <c r="E374" t="s">
        <v>24</v>
      </c>
      <c r="F374" t="s">
        <v>18</v>
      </c>
      <c r="G374" t="s">
        <v>19</v>
      </c>
      <c r="H374">
        <v>1291.3</v>
      </c>
      <c r="I374" s="13">
        <v>5</v>
      </c>
      <c r="J374">
        <v>1</v>
      </c>
      <c r="K374">
        <v>95.07</v>
      </c>
      <c r="L374">
        <v>3</v>
      </c>
      <c r="M374">
        <v>5</v>
      </c>
      <c r="N374">
        <v>5</v>
      </c>
      <c r="O374">
        <f t="shared" si="5"/>
        <v>2</v>
      </c>
    </row>
    <row r="375" spans="1:15">
      <c r="A375">
        <v>4370</v>
      </c>
      <c r="B375" s="1">
        <v>45691</v>
      </c>
      <c r="C375">
        <v>77</v>
      </c>
      <c r="D375" t="s">
        <v>17</v>
      </c>
      <c r="E375" t="s">
        <v>24</v>
      </c>
      <c r="F375" t="s">
        <v>18</v>
      </c>
      <c r="G375" t="s">
        <v>19</v>
      </c>
      <c r="H375">
        <v>200.1</v>
      </c>
      <c r="I375" s="13">
        <v>12</v>
      </c>
      <c r="J375">
        <v>1</v>
      </c>
      <c r="K375">
        <v>57.57</v>
      </c>
      <c r="L375">
        <v>3</v>
      </c>
      <c r="M375">
        <v>9</v>
      </c>
      <c r="N375">
        <v>4</v>
      </c>
      <c r="O375">
        <f t="shared" si="5"/>
        <v>2</v>
      </c>
    </row>
    <row r="376" spans="1:15">
      <c r="A376">
        <v>3355</v>
      </c>
      <c r="B376" s="1">
        <v>45691</v>
      </c>
      <c r="C376">
        <v>28</v>
      </c>
      <c r="D376" t="s">
        <v>14</v>
      </c>
      <c r="E376" t="s">
        <v>22</v>
      </c>
      <c r="F376" t="s">
        <v>18</v>
      </c>
      <c r="G376" t="s">
        <v>28</v>
      </c>
      <c r="H376">
        <v>338.8</v>
      </c>
      <c r="I376" s="13">
        <v>7</v>
      </c>
      <c r="J376">
        <v>1</v>
      </c>
      <c r="K376">
        <v>55.56</v>
      </c>
      <c r="L376">
        <v>1</v>
      </c>
      <c r="M376">
        <v>11</v>
      </c>
      <c r="N376">
        <v>5</v>
      </c>
      <c r="O376">
        <f t="shared" si="5"/>
        <v>2</v>
      </c>
    </row>
    <row r="377" spans="1:15">
      <c r="A377">
        <v>1981</v>
      </c>
      <c r="B377" s="1">
        <v>45691</v>
      </c>
      <c r="C377">
        <v>40</v>
      </c>
      <c r="D377" t="s">
        <v>17</v>
      </c>
      <c r="E377" t="s">
        <v>20</v>
      </c>
      <c r="F377" t="s">
        <v>16</v>
      </c>
      <c r="H377">
        <v>650.70000000000005</v>
      </c>
      <c r="I377" s="13">
        <v>6</v>
      </c>
      <c r="J377">
        <v>1</v>
      </c>
      <c r="K377">
        <v>44.36</v>
      </c>
      <c r="L377">
        <v>1</v>
      </c>
      <c r="M377">
        <v>5</v>
      </c>
      <c r="N377">
        <v>4</v>
      </c>
      <c r="O377">
        <f t="shared" si="5"/>
        <v>2</v>
      </c>
    </row>
    <row r="378" spans="1:15">
      <c r="A378">
        <v>16</v>
      </c>
      <c r="B378" s="1">
        <v>45691</v>
      </c>
      <c r="C378">
        <v>24</v>
      </c>
      <c r="D378" t="s">
        <v>14</v>
      </c>
      <c r="E378" t="s">
        <v>15</v>
      </c>
      <c r="F378" t="s">
        <v>16</v>
      </c>
      <c r="H378">
        <v>99.7</v>
      </c>
      <c r="I378" s="13">
        <v>4</v>
      </c>
      <c r="J378">
        <v>1</v>
      </c>
      <c r="K378">
        <v>38.03</v>
      </c>
      <c r="L378">
        <v>4</v>
      </c>
      <c r="M378">
        <v>3</v>
      </c>
      <c r="N378">
        <v>5</v>
      </c>
      <c r="O378">
        <f t="shared" si="5"/>
        <v>2</v>
      </c>
    </row>
    <row r="379" spans="1:15">
      <c r="A379">
        <v>1001</v>
      </c>
      <c r="B379" s="1">
        <v>45691</v>
      </c>
      <c r="C379">
        <v>25</v>
      </c>
      <c r="D379" t="s">
        <v>14</v>
      </c>
      <c r="E379" t="s">
        <v>22</v>
      </c>
      <c r="F379" t="s">
        <v>16</v>
      </c>
      <c r="H379">
        <v>230.2</v>
      </c>
      <c r="I379" s="13">
        <v>6</v>
      </c>
      <c r="J379">
        <v>1</v>
      </c>
      <c r="K379">
        <v>36.090000000000003</v>
      </c>
      <c r="L379">
        <v>3</v>
      </c>
      <c r="M379">
        <v>7</v>
      </c>
      <c r="N379">
        <v>4</v>
      </c>
      <c r="O379">
        <f t="shared" si="5"/>
        <v>2</v>
      </c>
    </row>
    <row r="380" spans="1:15">
      <c r="A380">
        <v>2880</v>
      </c>
      <c r="B380" s="1">
        <v>45691</v>
      </c>
      <c r="C380">
        <v>50</v>
      </c>
      <c r="D380" t="s">
        <v>17</v>
      </c>
      <c r="E380" t="s">
        <v>15</v>
      </c>
      <c r="F380" t="s">
        <v>16</v>
      </c>
      <c r="H380">
        <v>437.4</v>
      </c>
      <c r="I380" s="13">
        <v>5</v>
      </c>
      <c r="J380">
        <v>1</v>
      </c>
      <c r="K380">
        <v>32.82</v>
      </c>
      <c r="L380">
        <v>3</v>
      </c>
      <c r="M380">
        <v>9</v>
      </c>
      <c r="N380">
        <v>3</v>
      </c>
      <c r="O380">
        <f t="shared" si="5"/>
        <v>2</v>
      </c>
    </row>
    <row r="381" spans="1:15">
      <c r="A381">
        <v>168</v>
      </c>
      <c r="B381" s="1">
        <v>45691</v>
      </c>
      <c r="C381">
        <v>26</v>
      </c>
      <c r="D381" t="s">
        <v>17</v>
      </c>
      <c r="E381" t="s">
        <v>15</v>
      </c>
      <c r="F381" t="s">
        <v>16</v>
      </c>
      <c r="H381">
        <v>194.1</v>
      </c>
      <c r="I381" s="13">
        <v>3</v>
      </c>
      <c r="J381">
        <v>1</v>
      </c>
      <c r="K381">
        <v>24.54</v>
      </c>
      <c r="L381">
        <v>2</v>
      </c>
      <c r="M381">
        <v>2</v>
      </c>
      <c r="N381">
        <v>5</v>
      </c>
      <c r="O381">
        <f t="shared" si="5"/>
        <v>2</v>
      </c>
    </row>
    <row r="382" spans="1:15">
      <c r="A382">
        <v>1898</v>
      </c>
      <c r="B382" s="1">
        <v>45691</v>
      </c>
      <c r="C382">
        <v>30</v>
      </c>
      <c r="D382" t="s">
        <v>14</v>
      </c>
      <c r="E382" t="s">
        <v>22</v>
      </c>
      <c r="F382" t="s">
        <v>18</v>
      </c>
      <c r="G382" t="s">
        <v>30</v>
      </c>
      <c r="H382">
        <v>230.9</v>
      </c>
      <c r="I382" s="13">
        <v>4</v>
      </c>
      <c r="J382">
        <v>1</v>
      </c>
      <c r="K382">
        <v>21.49</v>
      </c>
      <c r="L382">
        <v>2</v>
      </c>
      <c r="M382">
        <v>15</v>
      </c>
      <c r="N382">
        <v>5</v>
      </c>
      <c r="O382">
        <f t="shared" si="5"/>
        <v>2</v>
      </c>
    </row>
    <row r="383" spans="1:15">
      <c r="A383">
        <v>1808</v>
      </c>
      <c r="B383" s="1">
        <v>45691</v>
      </c>
      <c r="C383">
        <v>27</v>
      </c>
      <c r="D383" t="s">
        <v>14</v>
      </c>
      <c r="E383" t="s">
        <v>22</v>
      </c>
      <c r="F383" t="s">
        <v>23</v>
      </c>
      <c r="H383">
        <v>782.3</v>
      </c>
      <c r="I383" s="13">
        <v>5</v>
      </c>
      <c r="J383">
        <v>0</v>
      </c>
      <c r="K383">
        <v>0</v>
      </c>
      <c r="L383">
        <v>0</v>
      </c>
      <c r="M383">
        <v>0</v>
      </c>
      <c r="O383">
        <f t="shared" si="5"/>
        <v>2</v>
      </c>
    </row>
    <row r="384" spans="1:15">
      <c r="A384">
        <v>3757</v>
      </c>
      <c r="B384" s="1">
        <v>45691</v>
      </c>
      <c r="C384">
        <v>54</v>
      </c>
      <c r="D384" t="s">
        <v>14</v>
      </c>
      <c r="E384" t="s">
        <v>22</v>
      </c>
      <c r="F384" t="s">
        <v>16</v>
      </c>
      <c r="H384">
        <v>620.5</v>
      </c>
      <c r="I384" s="13">
        <v>6</v>
      </c>
      <c r="J384">
        <v>0</v>
      </c>
      <c r="K384">
        <v>0</v>
      </c>
      <c r="L384">
        <v>0</v>
      </c>
      <c r="M384">
        <v>0</v>
      </c>
      <c r="O384">
        <f t="shared" si="5"/>
        <v>2</v>
      </c>
    </row>
    <row r="385" spans="1:15">
      <c r="A385">
        <v>50</v>
      </c>
      <c r="B385" s="1">
        <v>45691</v>
      </c>
      <c r="C385">
        <v>23</v>
      </c>
      <c r="D385" t="s">
        <v>14</v>
      </c>
      <c r="E385" t="s">
        <v>22</v>
      </c>
      <c r="F385" t="s">
        <v>23</v>
      </c>
      <c r="H385">
        <v>578.70000000000005</v>
      </c>
      <c r="I385" s="13">
        <v>6</v>
      </c>
      <c r="J385">
        <v>0</v>
      </c>
      <c r="K385">
        <v>0</v>
      </c>
      <c r="L385">
        <v>0</v>
      </c>
      <c r="M385">
        <v>0</v>
      </c>
      <c r="O385">
        <f t="shared" si="5"/>
        <v>2</v>
      </c>
    </row>
    <row r="386" spans="1:15">
      <c r="A386">
        <v>2113</v>
      </c>
      <c r="B386" s="1">
        <v>45691</v>
      </c>
      <c r="C386">
        <v>38</v>
      </c>
      <c r="D386" t="s">
        <v>14</v>
      </c>
      <c r="E386" t="s">
        <v>22</v>
      </c>
      <c r="F386" t="s">
        <v>16</v>
      </c>
      <c r="H386">
        <v>406.9</v>
      </c>
      <c r="I386" s="13">
        <v>8</v>
      </c>
      <c r="J386">
        <v>0</v>
      </c>
      <c r="K386">
        <v>0</v>
      </c>
      <c r="L386">
        <v>0</v>
      </c>
      <c r="M386">
        <v>0</v>
      </c>
      <c r="O386">
        <f t="shared" si="5"/>
        <v>2</v>
      </c>
    </row>
    <row r="387" spans="1:15">
      <c r="A387">
        <v>1967</v>
      </c>
      <c r="B387" s="1">
        <v>45691</v>
      </c>
      <c r="C387">
        <v>48</v>
      </c>
      <c r="D387" t="s">
        <v>14</v>
      </c>
      <c r="E387" t="s">
        <v>24</v>
      </c>
      <c r="F387" t="s">
        <v>21</v>
      </c>
      <c r="H387">
        <v>396.9</v>
      </c>
      <c r="I387" s="13">
        <v>2</v>
      </c>
      <c r="J387">
        <v>0</v>
      </c>
      <c r="K387">
        <v>0</v>
      </c>
      <c r="L387">
        <v>0</v>
      </c>
      <c r="M387">
        <v>0</v>
      </c>
      <c r="O387">
        <f t="shared" ref="O387:O450" si="6">MONTH(B387)</f>
        <v>2</v>
      </c>
    </row>
    <row r="388" spans="1:15">
      <c r="A388">
        <v>4782</v>
      </c>
      <c r="B388" s="1">
        <v>45691</v>
      </c>
      <c r="C388">
        <v>53</v>
      </c>
      <c r="D388" t="s">
        <v>14</v>
      </c>
      <c r="E388" t="s">
        <v>22</v>
      </c>
      <c r="F388" t="s">
        <v>16</v>
      </c>
      <c r="H388">
        <v>344</v>
      </c>
      <c r="I388" s="13">
        <v>4</v>
      </c>
      <c r="J388">
        <v>0</v>
      </c>
      <c r="K388">
        <v>0</v>
      </c>
      <c r="L388">
        <v>0</v>
      </c>
      <c r="M388">
        <v>0</v>
      </c>
      <c r="O388">
        <f t="shared" si="6"/>
        <v>2</v>
      </c>
    </row>
    <row r="389" spans="1:15">
      <c r="A389">
        <v>4959</v>
      </c>
      <c r="B389" s="1">
        <v>45691</v>
      </c>
      <c r="C389">
        <v>49</v>
      </c>
      <c r="D389" t="s">
        <v>14</v>
      </c>
      <c r="E389" t="s">
        <v>15</v>
      </c>
      <c r="F389" t="s">
        <v>21</v>
      </c>
      <c r="H389">
        <v>338.2</v>
      </c>
      <c r="I389" s="13">
        <v>5</v>
      </c>
      <c r="J389">
        <v>0</v>
      </c>
      <c r="K389">
        <v>0</v>
      </c>
      <c r="L389">
        <v>0</v>
      </c>
      <c r="M389">
        <v>0</v>
      </c>
      <c r="O389">
        <f t="shared" si="6"/>
        <v>2</v>
      </c>
    </row>
    <row r="390" spans="1:15">
      <c r="A390">
        <v>621</v>
      </c>
      <c r="B390" s="1">
        <v>45691</v>
      </c>
      <c r="C390">
        <v>21</v>
      </c>
      <c r="D390" t="s">
        <v>14</v>
      </c>
      <c r="E390" t="s">
        <v>15</v>
      </c>
      <c r="F390" t="s">
        <v>23</v>
      </c>
      <c r="H390">
        <v>319.39999999999998</v>
      </c>
      <c r="I390" s="13">
        <v>7</v>
      </c>
      <c r="J390">
        <v>0</v>
      </c>
      <c r="K390">
        <v>0</v>
      </c>
      <c r="L390">
        <v>0</v>
      </c>
      <c r="M390">
        <v>0</v>
      </c>
      <c r="O390">
        <f t="shared" si="6"/>
        <v>2</v>
      </c>
    </row>
    <row r="391" spans="1:15">
      <c r="A391">
        <v>3095</v>
      </c>
      <c r="B391" s="1">
        <v>45691</v>
      </c>
      <c r="C391">
        <v>22</v>
      </c>
      <c r="D391" t="s">
        <v>17</v>
      </c>
      <c r="E391" t="s">
        <v>15</v>
      </c>
      <c r="F391" t="s">
        <v>18</v>
      </c>
      <c r="G391" t="s">
        <v>26</v>
      </c>
      <c r="H391">
        <v>311.89999999999998</v>
      </c>
      <c r="I391" s="13">
        <v>13</v>
      </c>
      <c r="J391">
        <v>0</v>
      </c>
      <c r="K391">
        <v>0</v>
      </c>
      <c r="L391">
        <v>0</v>
      </c>
      <c r="M391">
        <v>0</v>
      </c>
      <c r="O391">
        <f t="shared" si="6"/>
        <v>2</v>
      </c>
    </row>
    <row r="392" spans="1:15">
      <c r="A392">
        <v>3176</v>
      </c>
      <c r="B392" s="1">
        <v>45691</v>
      </c>
      <c r="C392">
        <v>32</v>
      </c>
      <c r="D392" t="s">
        <v>14</v>
      </c>
      <c r="E392" t="s">
        <v>24</v>
      </c>
      <c r="F392" t="s">
        <v>21</v>
      </c>
      <c r="H392">
        <v>296.2</v>
      </c>
      <c r="I392" s="13">
        <v>8</v>
      </c>
      <c r="J392">
        <v>0</v>
      </c>
      <c r="K392">
        <v>0</v>
      </c>
      <c r="L392">
        <v>0</v>
      </c>
      <c r="M392">
        <v>0</v>
      </c>
      <c r="O392">
        <f t="shared" si="6"/>
        <v>2</v>
      </c>
    </row>
    <row r="393" spans="1:15">
      <c r="A393">
        <v>118</v>
      </c>
      <c r="B393" s="1">
        <v>45691</v>
      </c>
      <c r="C393">
        <v>24</v>
      </c>
      <c r="D393" t="s">
        <v>17</v>
      </c>
      <c r="E393" t="s">
        <v>15</v>
      </c>
      <c r="F393" t="s">
        <v>16</v>
      </c>
      <c r="H393">
        <v>275.60000000000002</v>
      </c>
      <c r="I393" s="13">
        <v>5</v>
      </c>
      <c r="J393">
        <v>0</v>
      </c>
      <c r="K393">
        <v>0</v>
      </c>
      <c r="L393">
        <v>0</v>
      </c>
      <c r="M393">
        <v>0</v>
      </c>
      <c r="O393">
        <f t="shared" si="6"/>
        <v>2</v>
      </c>
    </row>
    <row r="394" spans="1:15">
      <c r="A394">
        <v>2139</v>
      </c>
      <c r="B394" s="1">
        <v>45691</v>
      </c>
      <c r="C394">
        <v>47</v>
      </c>
      <c r="D394" t="s">
        <v>17</v>
      </c>
      <c r="E394" t="s">
        <v>20</v>
      </c>
      <c r="F394" t="s">
        <v>23</v>
      </c>
      <c r="H394">
        <v>271.3</v>
      </c>
      <c r="I394" s="13">
        <v>8</v>
      </c>
      <c r="J394">
        <v>0</v>
      </c>
      <c r="K394">
        <v>0</v>
      </c>
      <c r="L394">
        <v>0</v>
      </c>
      <c r="M394">
        <v>0</v>
      </c>
      <c r="O394">
        <f t="shared" si="6"/>
        <v>2</v>
      </c>
    </row>
    <row r="395" spans="1:15">
      <c r="A395">
        <v>3378</v>
      </c>
      <c r="B395" s="1">
        <v>45691</v>
      </c>
      <c r="C395">
        <v>21</v>
      </c>
      <c r="D395" t="s">
        <v>17</v>
      </c>
      <c r="E395" t="s">
        <v>22</v>
      </c>
      <c r="F395" t="s">
        <v>16</v>
      </c>
      <c r="H395">
        <v>232.9</v>
      </c>
      <c r="I395" s="13">
        <v>6</v>
      </c>
      <c r="J395">
        <v>0</v>
      </c>
      <c r="K395">
        <v>0</v>
      </c>
      <c r="L395">
        <v>0</v>
      </c>
      <c r="M395">
        <v>0</v>
      </c>
      <c r="O395">
        <f t="shared" si="6"/>
        <v>2</v>
      </c>
    </row>
    <row r="396" spans="1:15">
      <c r="A396">
        <v>4391</v>
      </c>
      <c r="B396" s="1">
        <v>45691</v>
      </c>
      <c r="C396">
        <v>52</v>
      </c>
      <c r="D396" t="s">
        <v>14</v>
      </c>
      <c r="E396" t="s">
        <v>15</v>
      </c>
      <c r="F396" t="s">
        <v>16</v>
      </c>
      <c r="H396">
        <v>205.7</v>
      </c>
      <c r="I396" s="13">
        <v>5</v>
      </c>
      <c r="J396">
        <v>0</v>
      </c>
      <c r="K396">
        <v>0</v>
      </c>
      <c r="L396">
        <v>0</v>
      </c>
      <c r="M396">
        <v>0</v>
      </c>
      <c r="O396">
        <f t="shared" si="6"/>
        <v>2</v>
      </c>
    </row>
    <row r="397" spans="1:15">
      <c r="A397">
        <v>1240</v>
      </c>
      <c r="B397" s="1">
        <v>45691</v>
      </c>
      <c r="C397">
        <v>23</v>
      </c>
      <c r="D397" t="s">
        <v>14</v>
      </c>
      <c r="E397" t="s">
        <v>22</v>
      </c>
      <c r="F397" t="s">
        <v>18</v>
      </c>
      <c r="G397" t="s">
        <v>26</v>
      </c>
      <c r="H397">
        <v>204.7</v>
      </c>
      <c r="I397" s="13">
        <v>12</v>
      </c>
      <c r="J397">
        <v>0</v>
      </c>
      <c r="K397">
        <v>0</v>
      </c>
      <c r="L397">
        <v>0</v>
      </c>
      <c r="M397">
        <v>0</v>
      </c>
      <c r="O397">
        <f t="shared" si="6"/>
        <v>2</v>
      </c>
    </row>
    <row r="398" spans="1:15">
      <c r="A398">
        <v>3603</v>
      </c>
      <c r="B398" s="1">
        <v>45691</v>
      </c>
      <c r="C398">
        <v>43</v>
      </c>
      <c r="D398" t="s">
        <v>17</v>
      </c>
      <c r="E398" t="s">
        <v>20</v>
      </c>
      <c r="F398" t="s">
        <v>16</v>
      </c>
      <c r="H398">
        <v>147.30000000000001</v>
      </c>
      <c r="I398" s="13">
        <v>6</v>
      </c>
      <c r="J398">
        <v>0</v>
      </c>
      <c r="K398">
        <v>0</v>
      </c>
      <c r="L398">
        <v>0</v>
      </c>
      <c r="M398">
        <v>0</v>
      </c>
      <c r="O398">
        <f t="shared" si="6"/>
        <v>2</v>
      </c>
    </row>
    <row r="399" spans="1:15">
      <c r="A399">
        <v>4360</v>
      </c>
      <c r="B399" s="1">
        <v>45691</v>
      </c>
      <c r="C399">
        <v>45</v>
      </c>
      <c r="D399" t="s">
        <v>14</v>
      </c>
      <c r="E399" t="s">
        <v>15</v>
      </c>
      <c r="F399" t="s">
        <v>16</v>
      </c>
      <c r="H399">
        <v>100.3</v>
      </c>
      <c r="I399" s="13">
        <v>6</v>
      </c>
      <c r="J399">
        <v>0</v>
      </c>
      <c r="K399">
        <v>0</v>
      </c>
      <c r="L399">
        <v>0</v>
      </c>
      <c r="M399">
        <v>0</v>
      </c>
      <c r="O399">
        <f t="shared" si="6"/>
        <v>2</v>
      </c>
    </row>
    <row r="400" spans="1:15">
      <c r="A400">
        <v>669</v>
      </c>
      <c r="B400" s="1">
        <v>45691</v>
      </c>
      <c r="C400">
        <v>25</v>
      </c>
      <c r="D400" t="s">
        <v>14</v>
      </c>
      <c r="E400" t="s">
        <v>20</v>
      </c>
      <c r="F400" t="s">
        <v>18</v>
      </c>
      <c r="G400" t="s">
        <v>30</v>
      </c>
      <c r="H400">
        <v>94.6</v>
      </c>
      <c r="I400" s="13">
        <v>8</v>
      </c>
      <c r="J400">
        <v>0</v>
      </c>
      <c r="K400">
        <v>0</v>
      </c>
      <c r="L400">
        <v>0</v>
      </c>
      <c r="M400">
        <v>0</v>
      </c>
      <c r="O400">
        <f t="shared" si="6"/>
        <v>2</v>
      </c>
    </row>
    <row r="401" spans="1:15">
      <c r="A401">
        <v>690</v>
      </c>
      <c r="B401" s="1">
        <v>45691</v>
      </c>
      <c r="C401">
        <v>22</v>
      </c>
      <c r="D401" t="s">
        <v>14</v>
      </c>
      <c r="E401" t="s">
        <v>22</v>
      </c>
      <c r="F401" t="s">
        <v>18</v>
      </c>
      <c r="G401" t="s">
        <v>29</v>
      </c>
      <c r="H401">
        <v>93.1</v>
      </c>
      <c r="I401" s="13">
        <v>5</v>
      </c>
      <c r="J401">
        <v>0</v>
      </c>
      <c r="K401">
        <v>0</v>
      </c>
      <c r="L401">
        <v>0</v>
      </c>
      <c r="M401">
        <v>0</v>
      </c>
      <c r="O401">
        <f t="shared" si="6"/>
        <v>2</v>
      </c>
    </row>
    <row r="402" spans="1:15">
      <c r="A402">
        <v>494</v>
      </c>
      <c r="B402" s="1">
        <v>45691</v>
      </c>
      <c r="C402">
        <v>28</v>
      </c>
      <c r="D402" t="s">
        <v>17</v>
      </c>
      <c r="E402" t="s">
        <v>20</v>
      </c>
      <c r="F402" t="s">
        <v>18</v>
      </c>
      <c r="G402" t="s">
        <v>19</v>
      </c>
      <c r="H402">
        <v>88.6</v>
      </c>
      <c r="I402" s="13">
        <v>6</v>
      </c>
      <c r="J402">
        <v>0</v>
      </c>
      <c r="K402">
        <v>0</v>
      </c>
      <c r="L402">
        <v>0</v>
      </c>
      <c r="M402">
        <v>0</v>
      </c>
      <c r="O402">
        <f t="shared" si="6"/>
        <v>2</v>
      </c>
    </row>
    <row r="403" spans="1:15">
      <c r="A403">
        <v>3724</v>
      </c>
      <c r="B403" s="1">
        <v>45691</v>
      </c>
      <c r="C403">
        <v>40</v>
      </c>
      <c r="D403" t="s">
        <v>17</v>
      </c>
      <c r="E403" t="s">
        <v>24</v>
      </c>
      <c r="F403" t="s">
        <v>16</v>
      </c>
      <c r="H403">
        <v>87.8</v>
      </c>
      <c r="I403" s="13">
        <v>5</v>
      </c>
      <c r="J403">
        <v>0</v>
      </c>
      <c r="K403">
        <v>0</v>
      </c>
      <c r="L403">
        <v>0</v>
      </c>
      <c r="M403">
        <v>0</v>
      </c>
      <c r="O403">
        <f t="shared" si="6"/>
        <v>2</v>
      </c>
    </row>
    <row r="404" spans="1:15">
      <c r="A404">
        <v>3282</v>
      </c>
      <c r="B404" s="1">
        <v>45691</v>
      </c>
      <c r="C404">
        <v>60</v>
      </c>
      <c r="D404" t="s">
        <v>14</v>
      </c>
      <c r="E404" t="s">
        <v>22</v>
      </c>
      <c r="F404" t="s">
        <v>23</v>
      </c>
      <c r="H404">
        <v>43.1</v>
      </c>
      <c r="I404" s="13">
        <v>3</v>
      </c>
      <c r="J404">
        <v>0</v>
      </c>
      <c r="K404">
        <v>0</v>
      </c>
      <c r="L404">
        <v>0</v>
      </c>
      <c r="M404">
        <v>0</v>
      </c>
      <c r="O404">
        <f t="shared" si="6"/>
        <v>2</v>
      </c>
    </row>
    <row r="405" spans="1:15">
      <c r="A405">
        <v>2238</v>
      </c>
      <c r="B405" s="1">
        <v>45691</v>
      </c>
      <c r="C405">
        <v>42</v>
      </c>
      <c r="D405" t="s">
        <v>17</v>
      </c>
      <c r="E405" t="s">
        <v>24</v>
      </c>
      <c r="F405" t="s">
        <v>16</v>
      </c>
      <c r="H405">
        <v>34</v>
      </c>
      <c r="I405" s="13">
        <v>9</v>
      </c>
      <c r="J405">
        <v>0</v>
      </c>
      <c r="K405">
        <v>0</v>
      </c>
      <c r="L405">
        <v>0</v>
      </c>
      <c r="M405">
        <v>0</v>
      </c>
      <c r="O405">
        <f t="shared" si="6"/>
        <v>2</v>
      </c>
    </row>
    <row r="406" spans="1:15">
      <c r="A406">
        <v>3758</v>
      </c>
      <c r="B406" s="1">
        <v>45719</v>
      </c>
      <c r="C406">
        <v>59</v>
      </c>
      <c r="D406" t="s">
        <v>14</v>
      </c>
      <c r="E406" t="s">
        <v>15</v>
      </c>
      <c r="F406" t="s">
        <v>18</v>
      </c>
      <c r="G406" t="s">
        <v>29</v>
      </c>
      <c r="H406">
        <v>595.5</v>
      </c>
      <c r="I406" s="13">
        <v>9</v>
      </c>
      <c r="J406">
        <v>1</v>
      </c>
      <c r="K406">
        <v>480</v>
      </c>
      <c r="L406">
        <v>2</v>
      </c>
      <c r="M406">
        <v>9</v>
      </c>
      <c r="N406">
        <v>3</v>
      </c>
      <c r="O406">
        <f t="shared" si="6"/>
        <v>3</v>
      </c>
    </row>
    <row r="407" spans="1:15">
      <c r="A407">
        <v>1309</v>
      </c>
      <c r="B407" s="1">
        <v>45719</v>
      </c>
      <c r="C407">
        <v>20</v>
      </c>
      <c r="D407" t="s">
        <v>17</v>
      </c>
      <c r="E407" t="s">
        <v>22</v>
      </c>
      <c r="F407" t="s">
        <v>23</v>
      </c>
      <c r="H407">
        <v>610.4</v>
      </c>
      <c r="I407" s="13">
        <v>8</v>
      </c>
      <c r="J407">
        <v>1</v>
      </c>
      <c r="K407">
        <v>140.53</v>
      </c>
      <c r="L407">
        <v>2</v>
      </c>
      <c r="M407">
        <v>3</v>
      </c>
      <c r="N407">
        <v>4</v>
      </c>
      <c r="O407">
        <f t="shared" si="6"/>
        <v>3</v>
      </c>
    </row>
    <row r="408" spans="1:15">
      <c r="A408">
        <v>4141</v>
      </c>
      <c r="B408" s="1">
        <v>45719</v>
      </c>
      <c r="C408">
        <v>45</v>
      </c>
      <c r="D408" t="s">
        <v>14</v>
      </c>
      <c r="E408" t="s">
        <v>15</v>
      </c>
      <c r="F408" t="s">
        <v>16</v>
      </c>
      <c r="H408">
        <v>522.5</v>
      </c>
      <c r="I408" s="13">
        <v>7</v>
      </c>
      <c r="J408">
        <v>1</v>
      </c>
      <c r="K408">
        <v>111.57</v>
      </c>
      <c r="L408">
        <v>2</v>
      </c>
      <c r="M408">
        <v>14</v>
      </c>
      <c r="N408">
        <v>4</v>
      </c>
      <c r="O408">
        <f t="shared" si="6"/>
        <v>3</v>
      </c>
    </row>
    <row r="409" spans="1:15">
      <c r="A409">
        <v>2401</v>
      </c>
      <c r="B409" s="1">
        <v>45719</v>
      </c>
      <c r="C409">
        <v>34</v>
      </c>
      <c r="D409" t="s">
        <v>14</v>
      </c>
      <c r="E409" t="s">
        <v>24</v>
      </c>
      <c r="F409" t="s">
        <v>16</v>
      </c>
      <c r="H409">
        <v>355.9</v>
      </c>
      <c r="I409" s="13">
        <v>4</v>
      </c>
      <c r="J409">
        <v>1</v>
      </c>
      <c r="K409">
        <v>66.64</v>
      </c>
      <c r="L409">
        <v>6</v>
      </c>
      <c r="M409">
        <v>3</v>
      </c>
      <c r="N409">
        <v>5</v>
      </c>
      <c r="O409">
        <f t="shared" si="6"/>
        <v>3</v>
      </c>
    </row>
    <row r="410" spans="1:15">
      <c r="A410">
        <v>195</v>
      </c>
      <c r="B410" s="1">
        <v>45719</v>
      </c>
      <c r="C410">
        <v>25</v>
      </c>
      <c r="D410" t="s">
        <v>14</v>
      </c>
      <c r="E410" t="s">
        <v>15</v>
      </c>
      <c r="F410" t="s">
        <v>16</v>
      </c>
      <c r="H410">
        <v>329.1</v>
      </c>
      <c r="I410" s="13">
        <v>4</v>
      </c>
      <c r="J410">
        <v>1</v>
      </c>
      <c r="K410">
        <v>66.62</v>
      </c>
      <c r="L410">
        <v>5</v>
      </c>
      <c r="M410">
        <v>6</v>
      </c>
      <c r="N410">
        <v>4</v>
      </c>
      <c r="O410">
        <f t="shared" si="6"/>
        <v>3</v>
      </c>
    </row>
    <row r="411" spans="1:15">
      <c r="A411">
        <v>3657</v>
      </c>
      <c r="B411" s="1">
        <v>45719</v>
      </c>
      <c r="C411">
        <v>43</v>
      </c>
      <c r="D411" t="s">
        <v>17</v>
      </c>
      <c r="E411" t="s">
        <v>20</v>
      </c>
      <c r="F411" t="s">
        <v>18</v>
      </c>
      <c r="G411" t="s">
        <v>26</v>
      </c>
      <c r="H411">
        <v>558.70000000000005</v>
      </c>
      <c r="I411" s="13">
        <v>3</v>
      </c>
      <c r="J411">
        <v>1</v>
      </c>
      <c r="K411">
        <v>59.59</v>
      </c>
      <c r="L411">
        <v>2</v>
      </c>
      <c r="M411">
        <v>8</v>
      </c>
      <c r="N411">
        <v>5</v>
      </c>
      <c r="O411">
        <f t="shared" si="6"/>
        <v>3</v>
      </c>
    </row>
    <row r="412" spans="1:15">
      <c r="A412">
        <v>3773</v>
      </c>
      <c r="B412" s="1">
        <v>45719</v>
      </c>
      <c r="C412">
        <v>63</v>
      </c>
      <c r="D412" t="s">
        <v>17</v>
      </c>
      <c r="E412" t="s">
        <v>22</v>
      </c>
      <c r="F412" t="s">
        <v>18</v>
      </c>
      <c r="G412" t="s">
        <v>19</v>
      </c>
      <c r="H412">
        <v>546.6</v>
      </c>
      <c r="I412" s="13">
        <v>7</v>
      </c>
      <c r="J412">
        <v>1</v>
      </c>
      <c r="K412">
        <v>59.05</v>
      </c>
      <c r="L412">
        <v>3</v>
      </c>
      <c r="M412">
        <v>11</v>
      </c>
      <c r="N412">
        <v>4</v>
      </c>
      <c r="O412">
        <f t="shared" si="6"/>
        <v>3</v>
      </c>
    </row>
    <row r="413" spans="1:15">
      <c r="A413">
        <v>4887</v>
      </c>
      <c r="B413" s="1">
        <v>45719</v>
      </c>
      <c r="C413">
        <v>55</v>
      </c>
      <c r="D413" t="s">
        <v>17</v>
      </c>
      <c r="E413" t="s">
        <v>20</v>
      </c>
      <c r="F413" t="s">
        <v>16</v>
      </c>
      <c r="H413">
        <v>407.5</v>
      </c>
      <c r="I413" s="13">
        <v>8</v>
      </c>
      <c r="J413">
        <v>1</v>
      </c>
      <c r="K413">
        <v>50.86</v>
      </c>
      <c r="L413">
        <v>3</v>
      </c>
      <c r="M413">
        <v>3</v>
      </c>
      <c r="N413">
        <v>4</v>
      </c>
      <c r="O413">
        <f t="shared" si="6"/>
        <v>3</v>
      </c>
    </row>
    <row r="414" spans="1:15">
      <c r="A414">
        <v>2369</v>
      </c>
      <c r="B414" s="1">
        <v>45719</v>
      </c>
      <c r="C414">
        <v>34</v>
      </c>
      <c r="D414" t="s">
        <v>17</v>
      </c>
      <c r="E414" t="s">
        <v>22</v>
      </c>
      <c r="F414" t="s">
        <v>16</v>
      </c>
      <c r="H414">
        <v>397</v>
      </c>
      <c r="I414" s="13">
        <v>3</v>
      </c>
      <c r="J414">
        <v>1</v>
      </c>
      <c r="K414">
        <v>50.64</v>
      </c>
      <c r="L414">
        <v>2</v>
      </c>
      <c r="M414">
        <v>6</v>
      </c>
      <c r="N414">
        <v>5</v>
      </c>
      <c r="O414">
        <f t="shared" si="6"/>
        <v>3</v>
      </c>
    </row>
    <row r="415" spans="1:15">
      <c r="A415">
        <v>4693</v>
      </c>
      <c r="B415" s="1">
        <v>45719</v>
      </c>
      <c r="C415">
        <v>39</v>
      </c>
      <c r="D415" t="s">
        <v>14</v>
      </c>
      <c r="E415" t="s">
        <v>20</v>
      </c>
      <c r="F415" t="s">
        <v>18</v>
      </c>
      <c r="G415" t="s">
        <v>30</v>
      </c>
      <c r="H415">
        <v>491.5</v>
      </c>
      <c r="I415" s="13">
        <v>6</v>
      </c>
      <c r="J415">
        <v>1</v>
      </c>
      <c r="K415">
        <v>39.79</v>
      </c>
      <c r="L415">
        <v>3</v>
      </c>
      <c r="M415">
        <v>10</v>
      </c>
      <c r="N415">
        <v>3</v>
      </c>
      <c r="O415">
        <f t="shared" si="6"/>
        <v>3</v>
      </c>
    </row>
    <row r="416" spans="1:15">
      <c r="A416">
        <v>4092</v>
      </c>
      <c r="B416" s="1">
        <v>45719</v>
      </c>
      <c r="C416">
        <v>58</v>
      </c>
      <c r="D416" t="s">
        <v>14</v>
      </c>
      <c r="E416" t="s">
        <v>22</v>
      </c>
      <c r="F416" t="s">
        <v>16</v>
      </c>
      <c r="H416">
        <v>391.2</v>
      </c>
      <c r="I416" s="13">
        <v>6</v>
      </c>
      <c r="J416">
        <v>1</v>
      </c>
      <c r="K416">
        <v>37.51</v>
      </c>
      <c r="L416">
        <v>2</v>
      </c>
      <c r="M416">
        <v>5</v>
      </c>
      <c r="N416">
        <v>5</v>
      </c>
      <c r="O416">
        <f t="shared" si="6"/>
        <v>3</v>
      </c>
    </row>
    <row r="417" spans="1:15">
      <c r="A417">
        <v>3544</v>
      </c>
      <c r="B417" s="1">
        <v>45719</v>
      </c>
      <c r="C417">
        <v>30</v>
      </c>
      <c r="D417" t="s">
        <v>14</v>
      </c>
      <c r="E417" t="s">
        <v>22</v>
      </c>
      <c r="F417" t="s">
        <v>16</v>
      </c>
      <c r="H417">
        <v>390</v>
      </c>
      <c r="I417" s="13">
        <v>5</v>
      </c>
      <c r="J417">
        <v>1</v>
      </c>
      <c r="K417">
        <v>34.93</v>
      </c>
      <c r="L417">
        <v>3</v>
      </c>
      <c r="M417">
        <v>4</v>
      </c>
      <c r="N417">
        <v>4</v>
      </c>
      <c r="O417">
        <f t="shared" si="6"/>
        <v>3</v>
      </c>
    </row>
    <row r="418" spans="1:15">
      <c r="A418">
        <v>1504</v>
      </c>
      <c r="B418" s="1">
        <v>45719</v>
      </c>
      <c r="C418">
        <v>24</v>
      </c>
      <c r="D418" t="s">
        <v>14</v>
      </c>
      <c r="E418" t="s">
        <v>22</v>
      </c>
      <c r="F418" t="s">
        <v>21</v>
      </c>
      <c r="H418">
        <v>268.89999999999998</v>
      </c>
      <c r="I418" s="13">
        <v>7</v>
      </c>
      <c r="J418">
        <v>1</v>
      </c>
      <c r="K418">
        <v>27.59</v>
      </c>
      <c r="L418">
        <v>4</v>
      </c>
      <c r="M418">
        <v>3</v>
      </c>
      <c r="N418">
        <v>4</v>
      </c>
      <c r="O418">
        <f t="shared" si="6"/>
        <v>3</v>
      </c>
    </row>
    <row r="419" spans="1:15">
      <c r="A419">
        <v>4932</v>
      </c>
      <c r="B419" s="1">
        <v>45719</v>
      </c>
      <c r="C419">
        <v>47</v>
      </c>
      <c r="D419" t="s">
        <v>14</v>
      </c>
      <c r="E419" t="s">
        <v>22</v>
      </c>
      <c r="F419" t="s">
        <v>18</v>
      </c>
      <c r="G419" t="s">
        <v>19</v>
      </c>
      <c r="H419">
        <v>441.5</v>
      </c>
      <c r="I419" s="13">
        <v>6</v>
      </c>
      <c r="J419">
        <v>1</v>
      </c>
      <c r="K419">
        <v>17.32</v>
      </c>
      <c r="L419">
        <v>3</v>
      </c>
      <c r="M419">
        <v>12</v>
      </c>
      <c r="N419">
        <v>4</v>
      </c>
      <c r="O419">
        <f t="shared" si="6"/>
        <v>3</v>
      </c>
    </row>
    <row r="420" spans="1:15">
      <c r="A420">
        <v>769</v>
      </c>
      <c r="B420" s="1">
        <v>45719</v>
      </c>
      <c r="C420">
        <v>22</v>
      </c>
      <c r="D420" t="s">
        <v>14</v>
      </c>
      <c r="E420" t="s">
        <v>20</v>
      </c>
      <c r="F420" t="s">
        <v>16</v>
      </c>
      <c r="H420">
        <v>645.70000000000005</v>
      </c>
      <c r="I420" s="13">
        <v>6</v>
      </c>
      <c r="J420">
        <v>0</v>
      </c>
      <c r="K420">
        <v>0</v>
      </c>
      <c r="L420">
        <v>0</v>
      </c>
      <c r="M420">
        <v>0</v>
      </c>
      <c r="O420">
        <f t="shared" si="6"/>
        <v>3</v>
      </c>
    </row>
    <row r="421" spans="1:15">
      <c r="A421">
        <v>4854</v>
      </c>
      <c r="B421" s="1">
        <v>45719</v>
      </c>
      <c r="C421">
        <v>32</v>
      </c>
      <c r="D421" t="s">
        <v>14</v>
      </c>
      <c r="E421" t="s">
        <v>22</v>
      </c>
      <c r="F421" t="s">
        <v>23</v>
      </c>
      <c r="H421">
        <v>643.70000000000005</v>
      </c>
      <c r="I421" s="13">
        <v>10</v>
      </c>
      <c r="J421">
        <v>0</v>
      </c>
      <c r="K421">
        <v>0</v>
      </c>
      <c r="L421">
        <v>0</v>
      </c>
      <c r="M421">
        <v>0</v>
      </c>
      <c r="O421">
        <f t="shared" si="6"/>
        <v>3</v>
      </c>
    </row>
    <row r="422" spans="1:15">
      <c r="A422">
        <v>1037</v>
      </c>
      <c r="B422" s="1">
        <v>45719</v>
      </c>
      <c r="C422">
        <v>27</v>
      </c>
      <c r="D422" t="s">
        <v>14</v>
      </c>
      <c r="E422" t="s">
        <v>24</v>
      </c>
      <c r="F422" t="s">
        <v>21</v>
      </c>
      <c r="H422">
        <v>500.4</v>
      </c>
      <c r="I422" s="13">
        <v>7</v>
      </c>
      <c r="J422">
        <v>0</v>
      </c>
      <c r="K422">
        <v>0</v>
      </c>
      <c r="L422">
        <v>0</v>
      </c>
      <c r="M422">
        <v>0</v>
      </c>
      <c r="O422">
        <f t="shared" si="6"/>
        <v>3</v>
      </c>
    </row>
    <row r="423" spans="1:15">
      <c r="A423">
        <v>4993</v>
      </c>
      <c r="B423" s="1">
        <v>45719</v>
      </c>
      <c r="C423">
        <v>56</v>
      </c>
      <c r="D423" t="s">
        <v>14</v>
      </c>
      <c r="E423" t="s">
        <v>22</v>
      </c>
      <c r="F423" t="s">
        <v>23</v>
      </c>
      <c r="H423">
        <v>483</v>
      </c>
      <c r="I423" s="13">
        <v>6</v>
      </c>
      <c r="J423">
        <v>0</v>
      </c>
      <c r="K423">
        <v>0</v>
      </c>
      <c r="L423">
        <v>0</v>
      </c>
      <c r="M423">
        <v>0</v>
      </c>
      <c r="O423">
        <f t="shared" si="6"/>
        <v>3</v>
      </c>
    </row>
    <row r="424" spans="1:15">
      <c r="A424">
        <v>1182</v>
      </c>
      <c r="B424" s="1">
        <v>45719</v>
      </c>
      <c r="C424">
        <v>25</v>
      </c>
      <c r="D424" t="s">
        <v>17</v>
      </c>
      <c r="E424" t="s">
        <v>20</v>
      </c>
      <c r="F424" t="s">
        <v>23</v>
      </c>
      <c r="H424">
        <v>476.1</v>
      </c>
      <c r="I424" s="13">
        <v>4</v>
      </c>
      <c r="J424">
        <v>0</v>
      </c>
      <c r="K424">
        <v>0</v>
      </c>
      <c r="L424">
        <v>0</v>
      </c>
      <c r="M424">
        <v>0</v>
      </c>
      <c r="O424">
        <f t="shared" si="6"/>
        <v>3</v>
      </c>
    </row>
    <row r="425" spans="1:15">
      <c r="A425">
        <v>3717</v>
      </c>
      <c r="B425" s="1">
        <v>45719</v>
      </c>
      <c r="C425">
        <v>41</v>
      </c>
      <c r="D425" t="s">
        <v>17</v>
      </c>
      <c r="E425" t="s">
        <v>24</v>
      </c>
      <c r="F425" t="s">
        <v>18</v>
      </c>
      <c r="G425" t="s">
        <v>31</v>
      </c>
      <c r="H425">
        <v>402.2</v>
      </c>
      <c r="I425" s="13">
        <v>10</v>
      </c>
      <c r="J425">
        <v>0</v>
      </c>
      <c r="K425">
        <v>0</v>
      </c>
      <c r="L425">
        <v>0</v>
      </c>
      <c r="M425">
        <v>0</v>
      </c>
      <c r="O425">
        <f t="shared" si="6"/>
        <v>3</v>
      </c>
    </row>
    <row r="426" spans="1:15">
      <c r="A426">
        <v>4751</v>
      </c>
      <c r="B426" s="1">
        <v>45719</v>
      </c>
      <c r="C426">
        <v>55</v>
      </c>
      <c r="D426" t="s">
        <v>17</v>
      </c>
      <c r="E426" t="s">
        <v>20</v>
      </c>
      <c r="F426" t="s">
        <v>16</v>
      </c>
      <c r="H426">
        <v>379.8</v>
      </c>
      <c r="I426" s="13">
        <v>7</v>
      </c>
      <c r="J426">
        <v>0</v>
      </c>
      <c r="K426">
        <v>0</v>
      </c>
      <c r="L426">
        <v>0</v>
      </c>
      <c r="M426">
        <v>0</v>
      </c>
      <c r="O426">
        <f t="shared" si="6"/>
        <v>3</v>
      </c>
    </row>
    <row r="427" spans="1:15">
      <c r="A427">
        <v>2450</v>
      </c>
      <c r="B427" s="1">
        <v>45719</v>
      </c>
      <c r="C427">
        <v>35</v>
      </c>
      <c r="D427" t="s">
        <v>17</v>
      </c>
      <c r="E427" t="s">
        <v>22</v>
      </c>
      <c r="F427" t="s">
        <v>16</v>
      </c>
      <c r="H427">
        <v>328.1</v>
      </c>
      <c r="I427" s="13">
        <v>5</v>
      </c>
      <c r="J427">
        <v>0</v>
      </c>
      <c r="K427">
        <v>0</v>
      </c>
      <c r="L427">
        <v>0</v>
      </c>
      <c r="M427">
        <v>0</v>
      </c>
      <c r="O427">
        <f t="shared" si="6"/>
        <v>3</v>
      </c>
    </row>
    <row r="428" spans="1:15">
      <c r="A428">
        <v>4116</v>
      </c>
      <c r="B428" s="1">
        <v>45719</v>
      </c>
      <c r="C428">
        <v>47</v>
      </c>
      <c r="D428" t="s">
        <v>14</v>
      </c>
      <c r="E428" t="s">
        <v>24</v>
      </c>
      <c r="F428" t="s">
        <v>16</v>
      </c>
      <c r="H428">
        <v>327.3</v>
      </c>
      <c r="I428" s="13">
        <v>4</v>
      </c>
      <c r="J428">
        <v>0</v>
      </c>
      <c r="K428">
        <v>0</v>
      </c>
      <c r="L428">
        <v>0</v>
      </c>
      <c r="M428">
        <v>0</v>
      </c>
      <c r="O428">
        <f t="shared" si="6"/>
        <v>3</v>
      </c>
    </row>
    <row r="429" spans="1:15">
      <c r="A429">
        <v>4941</v>
      </c>
      <c r="B429" s="1">
        <v>45719</v>
      </c>
      <c r="C429">
        <v>60</v>
      </c>
      <c r="D429" t="s">
        <v>17</v>
      </c>
      <c r="E429" t="s">
        <v>24</v>
      </c>
      <c r="F429" t="s">
        <v>16</v>
      </c>
      <c r="H429">
        <v>304.89999999999998</v>
      </c>
      <c r="I429" s="13">
        <v>2</v>
      </c>
      <c r="J429">
        <v>0</v>
      </c>
      <c r="K429">
        <v>0</v>
      </c>
      <c r="L429">
        <v>0</v>
      </c>
      <c r="M429">
        <v>0</v>
      </c>
      <c r="O429">
        <f t="shared" si="6"/>
        <v>3</v>
      </c>
    </row>
    <row r="430" spans="1:15">
      <c r="A430">
        <v>395</v>
      </c>
      <c r="B430" s="1">
        <v>45719</v>
      </c>
      <c r="C430">
        <v>18</v>
      </c>
      <c r="D430" t="s">
        <v>14</v>
      </c>
      <c r="E430" t="s">
        <v>15</v>
      </c>
      <c r="F430" t="s">
        <v>16</v>
      </c>
      <c r="H430">
        <v>294.39999999999998</v>
      </c>
      <c r="I430" s="13">
        <v>7</v>
      </c>
      <c r="J430">
        <v>0</v>
      </c>
      <c r="K430">
        <v>0</v>
      </c>
      <c r="L430">
        <v>0</v>
      </c>
      <c r="M430">
        <v>0</v>
      </c>
      <c r="O430">
        <f t="shared" si="6"/>
        <v>3</v>
      </c>
    </row>
    <row r="431" spans="1:15">
      <c r="A431">
        <v>181</v>
      </c>
      <c r="B431" s="1">
        <v>45719</v>
      </c>
      <c r="C431">
        <v>30</v>
      </c>
      <c r="D431" t="s">
        <v>17</v>
      </c>
      <c r="E431" t="s">
        <v>22</v>
      </c>
      <c r="F431" t="s">
        <v>23</v>
      </c>
      <c r="H431">
        <v>292.10000000000002</v>
      </c>
      <c r="I431" s="13">
        <v>6</v>
      </c>
      <c r="J431">
        <v>0</v>
      </c>
      <c r="K431">
        <v>0</v>
      </c>
      <c r="L431">
        <v>0</v>
      </c>
      <c r="M431">
        <v>0</v>
      </c>
      <c r="O431">
        <f t="shared" si="6"/>
        <v>3</v>
      </c>
    </row>
    <row r="432" spans="1:15">
      <c r="A432">
        <v>4611</v>
      </c>
      <c r="B432" s="1">
        <v>45719</v>
      </c>
      <c r="C432">
        <v>55</v>
      </c>
      <c r="D432" t="s">
        <v>17</v>
      </c>
      <c r="E432" t="s">
        <v>22</v>
      </c>
      <c r="F432" t="s">
        <v>16</v>
      </c>
      <c r="H432">
        <v>245</v>
      </c>
      <c r="I432" s="13">
        <v>5</v>
      </c>
      <c r="J432">
        <v>0</v>
      </c>
      <c r="K432">
        <v>0</v>
      </c>
      <c r="L432">
        <v>0</v>
      </c>
      <c r="M432">
        <v>0</v>
      </c>
      <c r="O432">
        <f t="shared" si="6"/>
        <v>3</v>
      </c>
    </row>
    <row r="433" spans="1:15">
      <c r="A433">
        <v>908</v>
      </c>
      <c r="B433" s="1">
        <v>45719</v>
      </c>
      <c r="C433">
        <v>27</v>
      </c>
      <c r="D433" t="s">
        <v>14</v>
      </c>
      <c r="E433" t="s">
        <v>20</v>
      </c>
      <c r="F433" t="s">
        <v>16</v>
      </c>
      <c r="H433">
        <v>182.4</v>
      </c>
      <c r="I433" s="13">
        <v>9</v>
      </c>
      <c r="J433">
        <v>0</v>
      </c>
      <c r="K433">
        <v>0</v>
      </c>
      <c r="L433">
        <v>0</v>
      </c>
      <c r="M433">
        <v>0</v>
      </c>
      <c r="O433">
        <f t="shared" si="6"/>
        <v>3</v>
      </c>
    </row>
    <row r="434" spans="1:15">
      <c r="A434">
        <v>4253</v>
      </c>
      <c r="B434" s="1">
        <v>45719</v>
      </c>
      <c r="C434">
        <v>51</v>
      </c>
      <c r="D434" t="s">
        <v>14</v>
      </c>
      <c r="E434" t="s">
        <v>24</v>
      </c>
      <c r="F434" t="s">
        <v>16</v>
      </c>
      <c r="H434">
        <v>168.3</v>
      </c>
      <c r="I434" s="13">
        <v>5</v>
      </c>
      <c r="J434">
        <v>0</v>
      </c>
      <c r="K434">
        <v>0</v>
      </c>
      <c r="L434">
        <v>0</v>
      </c>
      <c r="M434">
        <v>0</v>
      </c>
      <c r="O434">
        <f t="shared" si="6"/>
        <v>3</v>
      </c>
    </row>
    <row r="435" spans="1:15">
      <c r="A435">
        <v>2438</v>
      </c>
      <c r="B435" s="1">
        <v>45719</v>
      </c>
      <c r="C435">
        <v>36</v>
      </c>
      <c r="D435" t="s">
        <v>14</v>
      </c>
      <c r="E435" t="s">
        <v>22</v>
      </c>
      <c r="F435" t="s">
        <v>16</v>
      </c>
      <c r="H435">
        <v>148.6</v>
      </c>
      <c r="I435" s="13">
        <v>10</v>
      </c>
      <c r="J435">
        <v>0</v>
      </c>
      <c r="K435">
        <v>0</v>
      </c>
      <c r="L435">
        <v>0</v>
      </c>
      <c r="M435">
        <v>0</v>
      </c>
      <c r="O435">
        <f t="shared" si="6"/>
        <v>3</v>
      </c>
    </row>
    <row r="436" spans="1:15">
      <c r="A436">
        <v>3721</v>
      </c>
      <c r="B436" s="1">
        <v>45719</v>
      </c>
      <c r="C436">
        <v>30</v>
      </c>
      <c r="D436" t="s">
        <v>14</v>
      </c>
      <c r="E436" t="s">
        <v>22</v>
      </c>
      <c r="F436" t="s">
        <v>18</v>
      </c>
      <c r="G436" t="s">
        <v>19</v>
      </c>
      <c r="H436">
        <v>131.4</v>
      </c>
      <c r="I436" s="13">
        <v>4</v>
      </c>
      <c r="J436">
        <v>0</v>
      </c>
      <c r="K436">
        <v>0</v>
      </c>
      <c r="L436">
        <v>0</v>
      </c>
      <c r="M436">
        <v>0</v>
      </c>
      <c r="O436">
        <f t="shared" si="6"/>
        <v>3</v>
      </c>
    </row>
    <row r="437" spans="1:15">
      <c r="A437">
        <v>3441</v>
      </c>
      <c r="B437" s="1">
        <v>45719</v>
      </c>
      <c r="C437">
        <v>32</v>
      </c>
      <c r="D437" t="s">
        <v>14</v>
      </c>
      <c r="E437" t="s">
        <v>24</v>
      </c>
      <c r="F437" t="s">
        <v>16</v>
      </c>
      <c r="H437">
        <v>112.7</v>
      </c>
      <c r="I437" s="13">
        <v>7</v>
      </c>
      <c r="J437">
        <v>0</v>
      </c>
      <c r="K437">
        <v>0</v>
      </c>
      <c r="L437">
        <v>0</v>
      </c>
      <c r="M437">
        <v>0</v>
      </c>
      <c r="O437">
        <f t="shared" si="6"/>
        <v>3</v>
      </c>
    </row>
    <row r="438" spans="1:15">
      <c r="A438">
        <v>2180</v>
      </c>
      <c r="B438" s="1">
        <v>45750</v>
      </c>
      <c r="C438">
        <v>36</v>
      </c>
      <c r="D438" t="s">
        <v>17</v>
      </c>
      <c r="E438" t="s">
        <v>15</v>
      </c>
      <c r="F438" t="s">
        <v>21</v>
      </c>
      <c r="H438">
        <v>102</v>
      </c>
      <c r="I438" s="13">
        <v>3</v>
      </c>
      <c r="J438">
        <v>1</v>
      </c>
      <c r="K438">
        <v>120</v>
      </c>
      <c r="L438">
        <v>6</v>
      </c>
      <c r="M438">
        <v>12</v>
      </c>
      <c r="N438">
        <v>3</v>
      </c>
      <c r="O438">
        <f t="shared" si="6"/>
        <v>4</v>
      </c>
    </row>
    <row r="439" spans="1:15">
      <c r="A439">
        <v>4715</v>
      </c>
      <c r="B439" s="1">
        <v>45750</v>
      </c>
      <c r="C439">
        <v>46</v>
      </c>
      <c r="D439" t="s">
        <v>14</v>
      </c>
      <c r="E439" t="s">
        <v>22</v>
      </c>
      <c r="F439" t="s">
        <v>16</v>
      </c>
      <c r="H439">
        <v>663.4</v>
      </c>
      <c r="I439" s="13">
        <v>6</v>
      </c>
      <c r="J439">
        <v>1</v>
      </c>
      <c r="K439">
        <v>371</v>
      </c>
      <c r="L439">
        <v>1</v>
      </c>
      <c r="M439">
        <v>14</v>
      </c>
      <c r="N439">
        <v>4</v>
      </c>
      <c r="O439">
        <f t="shared" si="6"/>
        <v>4</v>
      </c>
    </row>
    <row r="440" spans="1:15">
      <c r="A440">
        <v>173</v>
      </c>
      <c r="B440" s="1">
        <v>45750</v>
      </c>
      <c r="C440">
        <v>33</v>
      </c>
      <c r="D440" t="s">
        <v>17</v>
      </c>
      <c r="E440" t="s">
        <v>20</v>
      </c>
      <c r="F440" t="s">
        <v>18</v>
      </c>
      <c r="G440" t="s">
        <v>30</v>
      </c>
      <c r="H440">
        <v>1288.5</v>
      </c>
      <c r="I440" s="13">
        <v>7</v>
      </c>
      <c r="J440">
        <v>1</v>
      </c>
      <c r="K440">
        <v>114.77</v>
      </c>
      <c r="L440">
        <v>3</v>
      </c>
      <c r="M440">
        <v>9</v>
      </c>
      <c r="N440">
        <v>3</v>
      </c>
      <c r="O440">
        <f t="shared" si="6"/>
        <v>4</v>
      </c>
    </row>
    <row r="441" spans="1:15">
      <c r="A441">
        <v>4661</v>
      </c>
      <c r="B441" s="1">
        <v>45750</v>
      </c>
      <c r="C441">
        <v>76</v>
      </c>
      <c r="D441" t="s">
        <v>17</v>
      </c>
      <c r="E441" t="s">
        <v>20</v>
      </c>
      <c r="F441" t="s">
        <v>16</v>
      </c>
      <c r="H441">
        <v>436.8</v>
      </c>
      <c r="I441" s="13">
        <v>6</v>
      </c>
      <c r="J441">
        <v>1</v>
      </c>
      <c r="K441">
        <v>85.95</v>
      </c>
      <c r="L441">
        <v>6</v>
      </c>
      <c r="M441">
        <v>4</v>
      </c>
      <c r="N441">
        <v>4</v>
      </c>
      <c r="O441">
        <f t="shared" si="6"/>
        <v>4</v>
      </c>
    </row>
    <row r="442" spans="1:15">
      <c r="A442">
        <v>1662</v>
      </c>
      <c r="B442" s="1">
        <v>45750</v>
      </c>
      <c r="C442">
        <v>30</v>
      </c>
      <c r="D442" t="s">
        <v>17</v>
      </c>
      <c r="E442" t="s">
        <v>20</v>
      </c>
      <c r="F442" t="s">
        <v>16</v>
      </c>
      <c r="H442">
        <v>147.1</v>
      </c>
      <c r="I442" s="13">
        <v>4</v>
      </c>
      <c r="J442">
        <v>1</v>
      </c>
      <c r="K442">
        <v>80.010000000000005</v>
      </c>
      <c r="L442">
        <v>3</v>
      </c>
      <c r="M442">
        <v>10</v>
      </c>
      <c r="N442">
        <v>4</v>
      </c>
      <c r="O442">
        <f t="shared" si="6"/>
        <v>4</v>
      </c>
    </row>
    <row r="443" spans="1:15">
      <c r="A443">
        <v>4502</v>
      </c>
      <c r="B443" s="1">
        <v>45750</v>
      </c>
      <c r="C443">
        <v>37</v>
      </c>
      <c r="D443" t="s">
        <v>17</v>
      </c>
      <c r="E443" t="s">
        <v>22</v>
      </c>
      <c r="F443" t="s">
        <v>16</v>
      </c>
      <c r="H443">
        <v>455</v>
      </c>
      <c r="I443" s="13">
        <v>4</v>
      </c>
      <c r="J443">
        <v>1</v>
      </c>
      <c r="K443">
        <v>43.36</v>
      </c>
      <c r="L443">
        <v>1</v>
      </c>
      <c r="M443">
        <v>14</v>
      </c>
      <c r="N443">
        <v>3</v>
      </c>
      <c r="O443">
        <f t="shared" si="6"/>
        <v>4</v>
      </c>
    </row>
    <row r="444" spans="1:15">
      <c r="A444">
        <v>2062</v>
      </c>
      <c r="B444" s="1">
        <v>45750</v>
      </c>
      <c r="C444">
        <v>31</v>
      </c>
      <c r="D444" t="s">
        <v>14</v>
      </c>
      <c r="E444" t="s">
        <v>22</v>
      </c>
      <c r="F444" t="s">
        <v>21</v>
      </c>
      <c r="H444">
        <v>413.3</v>
      </c>
      <c r="I444" s="13">
        <v>6</v>
      </c>
      <c r="J444">
        <v>1</v>
      </c>
      <c r="K444">
        <v>41.88</v>
      </c>
      <c r="L444">
        <v>3</v>
      </c>
      <c r="M444">
        <v>12</v>
      </c>
      <c r="N444">
        <v>5</v>
      </c>
      <c r="O444">
        <f t="shared" si="6"/>
        <v>4</v>
      </c>
    </row>
    <row r="445" spans="1:15">
      <c r="A445">
        <v>275</v>
      </c>
      <c r="B445" s="1">
        <v>45750</v>
      </c>
      <c r="C445">
        <v>34</v>
      </c>
      <c r="D445" t="s">
        <v>17</v>
      </c>
      <c r="E445" t="s">
        <v>20</v>
      </c>
      <c r="F445" t="s">
        <v>23</v>
      </c>
      <c r="H445">
        <v>416.9</v>
      </c>
      <c r="I445" s="13">
        <v>3</v>
      </c>
      <c r="J445">
        <v>1</v>
      </c>
      <c r="K445">
        <v>39.83</v>
      </c>
      <c r="L445">
        <v>5</v>
      </c>
      <c r="M445">
        <v>15</v>
      </c>
      <c r="N445">
        <v>5</v>
      </c>
      <c r="O445">
        <f t="shared" si="6"/>
        <v>4</v>
      </c>
    </row>
    <row r="446" spans="1:15">
      <c r="A446">
        <v>4161</v>
      </c>
      <c r="B446" s="1">
        <v>45750</v>
      </c>
      <c r="C446">
        <v>45</v>
      </c>
      <c r="D446" t="s">
        <v>17</v>
      </c>
      <c r="E446" t="s">
        <v>24</v>
      </c>
      <c r="F446" t="s">
        <v>16</v>
      </c>
      <c r="H446">
        <v>268.89999999999998</v>
      </c>
      <c r="I446" s="13">
        <v>3</v>
      </c>
      <c r="J446">
        <v>1</v>
      </c>
      <c r="K446">
        <v>31.91</v>
      </c>
      <c r="L446">
        <v>2</v>
      </c>
      <c r="M446">
        <v>8</v>
      </c>
      <c r="N446">
        <v>4</v>
      </c>
      <c r="O446">
        <f t="shared" si="6"/>
        <v>4</v>
      </c>
    </row>
    <row r="447" spans="1:15">
      <c r="A447">
        <v>2303</v>
      </c>
      <c r="B447" s="1">
        <v>45750</v>
      </c>
      <c r="C447">
        <v>30</v>
      </c>
      <c r="D447" t="s">
        <v>14</v>
      </c>
      <c r="E447" t="s">
        <v>24</v>
      </c>
      <c r="F447" t="s">
        <v>16</v>
      </c>
      <c r="H447">
        <v>750.8</v>
      </c>
      <c r="I447" s="13">
        <v>5</v>
      </c>
      <c r="J447">
        <v>1</v>
      </c>
      <c r="K447">
        <v>28.39</v>
      </c>
      <c r="L447">
        <v>2</v>
      </c>
      <c r="M447">
        <v>12</v>
      </c>
      <c r="N447">
        <v>3</v>
      </c>
      <c r="O447">
        <f t="shared" si="6"/>
        <v>4</v>
      </c>
    </row>
    <row r="448" spans="1:15">
      <c r="A448">
        <v>1432</v>
      </c>
      <c r="B448" s="1">
        <v>45750</v>
      </c>
      <c r="C448">
        <v>25</v>
      </c>
      <c r="D448" t="s">
        <v>14</v>
      </c>
      <c r="E448" t="s">
        <v>15</v>
      </c>
      <c r="F448" t="s">
        <v>23</v>
      </c>
      <c r="H448">
        <v>466.9</v>
      </c>
      <c r="I448" s="13">
        <v>7</v>
      </c>
      <c r="J448">
        <v>1</v>
      </c>
      <c r="K448">
        <v>26.46</v>
      </c>
      <c r="L448">
        <v>3</v>
      </c>
      <c r="M448">
        <v>15</v>
      </c>
      <c r="N448">
        <v>4</v>
      </c>
      <c r="O448">
        <f t="shared" si="6"/>
        <v>4</v>
      </c>
    </row>
    <row r="449" spans="1:15">
      <c r="A449">
        <v>2606</v>
      </c>
      <c r="B449" s="1">
        <v>45750</v>
      </c>
      <c r="C449">
        <v>28</v>
      </c>
      <c r="D449" t="s">
        <v>14</v>
      </c>
      <c r="E449" t="s">
        <v>15</v>
      </c>
      <c r="F449" t="s">
        <v>16</v>
      </c>
      <c r="H449">
        <v>360.8</v>
      </c>
      <c r="I449" s="13">
        <v>4</v>
      </c>
      <c r="J449">
        <v>1</v>
      </c>
      <c r="K449">
        <v>23.65</v>
      </c>
      <c r="L449">
        <v>2</v>
      </c>
      <c r="M449">
        <v>1</v>
      </c>
      <c r="N449">
        <v>4</v>
      </c>
      <c r="O449">
        <f t="shared" si="6"/>
        <v>4</v>
      </c>
    </row>
    <row r="450" spans="1:15">
      <c r="A450">
        <v>2680</v>
      </c>
      <c r="B450" s="1">
        <v>45750</v>
      </c>
      <c r="C450">
        <v>37</v>
      </c>
      <c r="D450" t="s">
        <v>14</v>
      </c>
      <c r="E450" t="s">
        <v>20</v>
      </c>
      <c r="F450" t="s">
        <v>18</v>
      </c>
      <c r="G450" t="s">
        <v>30</v>
      </c>
      <c r="H450">
        <v>695.2</v>
      </c>
      <c r="I450" s="13">
        <v>9</v>
      </c>
      <c r="J450">
        <v>0</v>
      </c>
      <c r="K450">
        <v>0</v>
      </c>
      <c r="L450">
        <v>0</v>
      </c>
      <c r="M450">
        <v>0</v>
      </c>
      <c r="O450">
        <f t="shared" si="6"/>
        <v>4</v>
      </c>
    </row>
    <row r="451" spans="1:15">
      <c r="A451">
        <v>1378</v>
      </c>
      <c r="B451" s="1">
        <v>45750</v>
      </c>
      <c r="C451">
        <v>28</v>
      </c>
      <c r="D451" t="s">
        <v>14</v>
      </c>
      <c r="E451" t="s">
        <v>24</v>
      </c>
      <c r="F451" t="s">
        <v>21</v>
      </c>
      <c r="H451">
        <v>501.4</v>
      </c>
      <c r="I451" s="13">
        <v>3</v>
      </c>
      <c r="J451">
        <v>0</v>
      </c>
      <c r="K451">
        <v>0</v>
      </c>
      <c r="L451">
        <v>0</v>
      </c>
      <c r="M451">
        <v>0</v>
      </c>
      <c r="O451">
        <f t="shared" ref="O451:O514" si="7">MONTH(B451)</f>
        <v>4</v>
      </c>
    </row>
    <row r="452" spans="1:15">
      <c r="A452">
        <v>1793</v>
      </c>
      <c r="B452" s="1">
        <v>45750</v>
      </c>
      <c r="C452">
        <v>30</v>
      </c>
      <c r="D452" t="s">
        <v>17</v>
      </c>
      <c r="E452" t="s">
        <v>20</v>
      </c>
      <c r="F452" t="s">
        <v>21</v>
      </c>
      <c r="H452">
        <v>470.3</v>
      </c>
      <c r="I452" s="13">
        <v>3</v>
      </c>
      <c r="J452">
        <v>0</v>
      </c>
      <c r="K452">
        <v>0</v>
      </c>
      <c r="L452">
        <v>0</v>
      </c>
      <c r="M452">
        <v>0</v>
      </c>
      <c r="O452">
        <f t="shared" si="7"/>
        <v>4</v>
      </c>
    </row>
    <row r="453" spans="1:15">
      <c r="A453">
        <v>1094</v>
      </c>
      <c r="B453" s="1">
        <v>45750</v>
      </c>
      <c r="C453">
        <v>37</v>
      </c>
      <c r="D453" t="s">
        <v>14</v>
      </c>
      <c r="E453" t="s">
        <v>24</v>
      </c>
      <c r="F453" t="s">
        <v>16</v>
      </c>
      <c r="H453">
        <v>433.4</v>
      </c>
      <c r="I453" s="13">
        <v>7</v>
      </c>
      <c r="J453">
        <v>0</v>
      </c>
      <c r="K453">
        <v>0</v>
      </c>
      <c r="L453">
        <v>0</v>
      </c>
      <c r="M453">
        <v>0</v>
      </c>
      <c r="O453">
        <f t="shared" si="7"/>
        <v>4</v>
      </c>
    </row>
    <row r="454" spans="1:15">
      <c r="A454">
        <v>2270</v>
      </c>
      <c r="B454" s="1">
        <v>45750</v>
      </c>
      <c r="C454">
        <v>36</v>
      </c>
      <c r="D454" t="s">
        <v>14</v>
      </c>
      <c r="E454" t="s">
        <v>20</v>
      </c>
      <c r="F454" t="s">
        <v>18</v>
      </c>
      <c r="G454" t="s">
        <v>25</v>
      </c>
      <c r="H454">
        <v>376.2</v>
      </c>
      <c r="I454" s="13">
        <v>6</v>
      </c>
      <c r="J454">
        <v>0</v>
      </c>
      <c r="K454">
        <v>0</v>
      </c>
      <c r="L454">
        <v>0</v>
      </c>
      <c r="M454">
        <v>0</v>
      </c>
      <c r="O454">
        <f t="shared" si="7"/>
        <v>4</v>
      </c>
    </row>
    <row r="455" spans="1:15">
      <c r="A455">
        <v>4737</v>
      </c>
      <c r="B455" s="1">
        <v>45750</v>
      </c>
      <c r="C455">
        <v>54</v>
      </c>
      <c r="D455" t="s">
        <v>14</v>
      </c>
      <c r="E455" t="s">
        <v>24</v>
      </c>
      <c r="F455" t="s">
        <v>21</v>
      </c>
      <c r="H455">
        <v>373</v>
      </c>
      <c r="I455" s="13">
        <v>5</v>
      </c>
      <c r="J455">
        <v>0</v>
      </c>
      <c r="K455">
        <v>0</v>
      </c>
      <c r="L455">
        <v>0</v>
      </c>
      <c r="M455">
        <v>0</v>
      </c>
      <c r="O455">
        <f t="shared" si="7"/>
        <v>4</v>
      </c>
    </row>
    <row r="456" spans="1:15">
      <c r="A456">
        <v>2294</v>
      </c>
      <c r="B456" s="1">
        <v>45750</v>
      </c>
      <c r="C456">
        <v>43</v>
      </c>
      <c r="D456" t="s">
        <v>17</v>
      </c>
      <c r="E456" t="s">
        <v>22</v>
      </c>
      <c r="F456" t="s">
        <v>21</v>
      </c>
      <c r="H456">
        <v>363.3</v>
      </c>
      <c r="I456" s="13">
        <v>4</v>
      </c>
      <c r="J456">
        <v>0</v>
      </c>
      <c r="K456">
        <v>0</v>
      </c>
      <c r="L456">
        <v>0</v>
      </c>
      <c r="M456">
        <v>0</v>
      </c>
      <c r="O456">
        <f t="shared" si="7"/>
        <v>4</v>
      </c>
    </row>
    <row r="457" spans="1:15">
      <c r="A457">
        <v>3907</v>
      </c>
      <c r="B457" s="1">
        <v>45750</v>
      </c>
      <c r="C457">
        <v>43</v>
      </c>
      <c r="D457" t="s">
        <v>17</v>
      </c>
      <c r="E457" t="s">
        <v>22</v>
      </c>
      <c r="F457" t="s">
        <v>23</v>
      </c>
      <c r="H457">
        <v>347.4</v>
      </c>
      <c r="I457" s="13">
        <v>4</v>
      </c>
      <c r="J457">
        <v>0</v>
      </c>
      <c r="K457">
        <v>0</v>
      </c>
      <c r="L457">
        <v>0</v>
      </c>
      <c r="M457">
        <v>0</v>
      </c>
      <c r="O457">
        <f t="shared" si="7"/>
        <v>4</v>
      </c>
    </row>
    <row r="458" spans="1:15">
      <c r="A458">
        <v>3185</v>
      </c>
      <c r="B458" s="1">
        <v>45750</v>
      </c>
      <c r="C458">
        <v>35</v>
      </c>
      <c r="D458" t="s">
        <v>17</v>
      </c>
      <c r="E458" t="s">
        <v>24</v>
      </c>
      <c r="F458" t="s">
        <v>16</v>
      </c>
      <c r="H458">
        <v>303.8</v>
      </c>
      <c r="I458" s="13">
        <v>7</v>
      </c>
      <c r="J458">
        <v>0</v>
      </c>
      <c r="K458">
        <v>0</v>
      </c>
      <c r="L458">
        <v>0</v>
      </c>
      <c r="M458">
        <v>0</v>
      </c>
      <c r="O458">
        <f t="shared" si="7"/>
        <v>4</v>
      </c>
    </row>
    <row r="459" spans="1:15">
      <c r="A459">
        <v>4375</v>
      </c>
      <c r="B459" s="1">
        <v>45750</v>
      </c>
      <c r="C459">
        <v>48</v>
      </c>
      <c r="D459" t="s">
        <v>17</v>
      </c>
      <c r="E459" t="s">
        <v>15</v>
      </c>
      <c r="F459" t="s">
        <v>18</v>
      </c>
      <c r="G459" t="s">
        <v>25</v>
      </c>
      <c r="H459">
        <v>262</v>
      </c>
      <c r="I459" s="13">
        <v>10</v>
      </c>
      <c r="J459">
        <v>0</v>
      </c>
      <c r="K459">
        <v>0</v>
      </c>
      <c r="L459">
        <v>0</v>
      </c>
      <c r="M459">
        <v>0</v>
      </c>
      <c r="O459">
        <f t="shared" si="7"/>
        <v>4</v>
      </c>
    </row>
    <row r="460" spans="1:15">
      <c r="A460">
        <v>307</v>
      </c>
      <c r="B460" s="1">
        <v>45750</v>
      </c>
      <c r="C460">
        <v>27</v>
      </c>
      <c r="D460" t="s">
        <v>14</v>
      </c>
      <c r="E460" t="s">
        <v>22</v>
      </c>
      <c r="F460" t="s">
        <v>18</v>
      </c>
      <c r="G460" t="s">
        <v>28</v>
      </c>
      <c r="H460">
        <v>237.1</v>
      </c>
      <c r="I460" s="13">
        <v>6</v>
      </c>
      <c r="J460">
        <v>0</v>
      </c>
      <c r="K460">
        <v>0</v>
      </c>
      <c r="L460">
        <v>0</v>
      </c>
      <c r="M460">
        <v>0</v>
      </c>
      <c r="O460">
        <f t="shared" si="7"/>
        <v>4</v>
      </c>
    </row>
    <row r="461" spans="1:15">
      <c r="A461">
        <v>571</v>
      </c>
      <c r="B461" s="1">
        <v>45750</v>
      </c>
      <c r="C461">
        <v>22</v>
      </c>
      <c r="D461" t="s">
        <v>14</v>
      </c>
      <c r="E461" t="s">
        <v>20</v>
      </c>
      <c r="F461" t="s">
        <v>21</v>
      </c>
      <c r="H461">
        <v>198</v>
      </c>
      <c r="I461" s="13">
        <v>11</v>
      </c>
      <c r="J461">
        <v>0</v>
      </c>
      <c r="K461">
        <v>0</v>
      </c>
      <c r="L461">
        <v>0</v>
      </c>
      <c r="M461">
        <v>0</v>
      </c>
      <c r="O461">
        <f t="shared" si="7"/>
        <v>4</v>
      </c>
    </row>
    <row r="462" spans="1:15">
      <c r="A462">
        <v>4814</v>
      </c>
      <c r="B462" s="1">
        <v>45750</v>
      </c>
      <c r="C462">
        <v>63</v>
      </c>
      <c r="D462" t="s">
        <v>14</v>
      </c>
      <c r="E462" t="s">
        <v>20</v>
      </c>
      <c r="F462" t="s">
        <v>18</v>
      </c>
      <c r="G462" t="s">
        <v>28</v>
      </c>
      <c r="H462">
        <v>195.9</v>
      </c>
      <c r="I462" s="13">
        <v>5</v>
      </c>
      <c r="J462">
        <v>0</v>
      </c>
      <c r="K462">
        <v>0</v>
      </c>
      <c r="L462">
        <v>0</v>
      </c>
      <c r="M462">
        <v>0</v>
      </c>
      <c r="O462">
        <f t="shared" si="7"/>
        <v>4</v>
      </c>
    </row>
    <row r="463" spans="1:15">
      <c r="A463">
        <v>633</v>
      </c>
      <c r="B463" s="1">
        <v>45750</v>
      </c>
      <c r="C463">
        <v>21</v>
      </c>
      <c r="D463" t="s">
        <v>17</v>
      </c>
      <c r="E463" t="s">
        <v>24</v>
      </c>
      <c r="F463" t="s">
        <v>18</v>
      </c>
      <c r="G463" t="s">
        <v>25</v>
      </c>
      <c r="H463">
        <v>170.1</v>
      </c>
      <c r="I463" s="13">
        <v>6</v>
      </c>
      <c r="J463">
        <v>0</v>
      </c>
      <c r="K463">
        <v>0</v>
      </c>
      <c r="L463">
        <v>0</v>
      </c>
      <c r="M463">
        <v>0</v>
      </c>
      <c r="O463">
        <f t="shared" si="7"/>
        <v>4</v>
      </c>
    </row>
    <row r="464" spans="1:15">
      <c r="A464">
        <v>28</v>
      </c>
      <c r="B464" s="1">
        <v>45750</v>
      </c>
      <c r="C464">
        <v>31</v>
      </c>
      <c r="D464" t="s">
        <v>17</v>
      </c>
      <c r="E464" t="s">
        <v>20</v>
      </c>
      <c r="F464" t="s">
        <v>18</v>
      </c>
      <c r="G464" t="s">
        <v>30</v>
      </c>
      <c r="H464">
        <v>137</v>
      </c>
      <c r="I464" s="13">
        <v>3</v>
      </c>
      <c r="J464">
        <v>0</v>
      </c>
      <c r="K464">
        <v>0</v>
      </c>
      <c r="L464">
        <v>0</v>
      </c>
      <c r="M464">
        <v>0</v>
      </c>
      <c r="O464">
        <f t="shared" si="7"/>
        <v>4</v>
      </c>
    </row>
    <row r="465" spans="1:15">
      <c r="A465">
        <v>4320</v>
      </c>
      <c r="B465" s="1">
        <v>45750</v>
      </c>
      <c r="C465">
        <v>67</v>
      </c>
      <c r="D465" t="s">
        <v>14</v>
      </c>
      <c r="E465" t="s">
        <v>15</v>
      </c>
      <c r="F465" t="s">
        <v>16</v>
      </c>
      <c r="H465">
        <v>112.5</v>
      </c>
      <c r="I465" s="13">
        <v>4</v>
      </c>
      <c r="J465">
        <v>0</v>
      </c>
      <c r="K465">
        <v>0</v>
      </c>
      <c r="L465">
        <v>0</v>
      </c>
      <c r="M465">
        <v>0</v>
      </c>
      <c r="O465">
        <f t="shared" si="7"/>
        <v>4</v>
      </c>
    </row>
    <row r="466" spans="1:15">
      <c r="A466">
        <v>3221</v>
      </c>
      <c r="B466" s="1">
        <v>45750</v>
      </c>
      <c r="C466">
        <v>39</v>
      </c>
      <c r="D466" t="s">
        <v>14</v>
      </c>
      <c r="E466" t="s">
        <v>20</v>
      </c>
      <c r="F466" t="s">
        <v>16</v>
      </c>
      <c r="H466">
        <v>111.8</v>
      </c>
      <c r="I466" s="13">
        <v>8</v>
      </c>
      <c r="J466">
        <v>0</v>
      </c>
      <c r="K466">
        <v>0</v>
      </c>
      <c r="L466">
        <v>0</v>
      </c>
      <c r="M466">
        <v>0</v>
      </c>
      <c r="O466">
        <f t="shared" si="7"/>
        <v>4</v>
      </c>
    </row>
    <row r="467" spans="1:15">
      <c r="A467">
        <v>2947</v>
      </c>
      <c r="B467" s="1">
        <v>45750</v>
      </c>
      <c r="C467">
        <v>30</v>
      </c>
      <c r="D467" t="s">
        <v>17</v>
      </c>
      <c r="E467" t="s">
        <v>22</v>
      </c>
      <c r="F467" t="s">
        <v>16</v>
      </c>
      <c r="H467">
        <v>88.5</v>
      </c>
      <c r="I467" s="13">
        <v>4</v>
      </c>
      <c r="J467">
        <v>0</v>
      </c>
      <c r="K467">
        <v>0</v>
      </c>
      <c r="L467">
        <v>0</v>
      </c>
      <c r="M467">
        <v>0</v>
      </c>
      <c r="O467">
        <f t="shared" si="7"/>
        <v>4</v>
      </c>
    </row>
    <row r="468" spans="1:15">
      <c r="A468">
        <v>2495</v>
      </c>
      <c r="B468" s="1">
        <v>45750</v>
      </c>
      <c r="C468">
        <v>24</v>
      </c>
      <c r="D468" t="s">
        <v>14</v>
      </c>
      <c r="E468" t="s">
        <v>15</v>
      </c>
      <c r="F468" t="s">
        <v>16</v>
      </c>
      <c r="H468">
        <v>77.599999999999994</v>
      </c>
      <c r="I468" s="13">
        <v>9</v>
      </c>
      <c r="J468">
        <v>0</v>
      </c>
      <c r="K468">
        <v>0</v>
      </c>
      <c r="L468">
        <v>0</v>
      </c>
      <c r="M468">
        <v>0</v>
      </c>
      <c r="O468">
        <f t="shared" si="7"/>
        <v>4</v>
      </c>
    </row>
    <row r="469" spans="1:15">
      <c r="A469">
        <v>1338</v>
      </c>
      <c r="B469" s="1">
        <v>45780</v>
      </c>
      <c r="C469">
        <v>25</v>
      </c>
      <c r="D469" t="s">
        <v>17</v>
      </c>
      <c r="E469" t="s">
        <v>24</v>
      </c>
      <c r="F469" t="s">
        <v>18</v>
      </c>
      <c r="G469" t="s">
        <v>19</v>
      </c>
      <c r="H469">
        <v>157.6</v>
      </c>
      <c r="I469" s="13">
        <v>7</v>
      </c>
      <c r="J469">
        <v>1</v>
      </c>
      <c r="K469">
        <v>144</v>
      </c>
      <c r="L469">
        <v>2</v>
      </c>
      <c r="M469">
        <v>15</v>
      </c>
      <c r="N469">
        <v>4</v>
      </c>
      <c r="O469">
        <f t="shared" si="7"/>
        <v>5</v>
      </c>
    </row>
    <row r="470" spans="1:15">
      <c r="A470">
        <v>1154</v>
      </c>
      <c r="B470" s="1">
        <v>45780</v>
      </c>
      <c r="C470">
        <v>23</v>
      </c>
      <c r="D470" t="s">
        <v>14</v>
      </c>
      <c r="E470" t="s">
        <v>20</v>
      </c>
      <c r="F470" t="s">
        <v>16</v>
      </c>
      <c r="H470">
        <v>336.4</v>
      </c>
      <c r="I470" s="13">
        <v>5</v>
      </c>
      <c r="J470">
        <v>1</v>
      </c>
      <c r="K470">
        <v>56.87</v>
      </c>
      <c r="L470">
        <v>2</v>
      </c>
      <c r="M470">
        <v>4</v>
      </c>
      <c r="N470">
        <v>4</v>
      </c>
      <c r="O470">
        <f t="shared" si="7"/>
        <v>5</v>
      </c>
    </row>
    <row r="471" spans="1:15">
      <c r="A471">
        <v>4558</v>
      </c>
      <c r="B471" s="1">
        <v>45780</v>
      </c>
      <c r="C471">
        <v>61</v>
      </c>
      <c r="D471" t="s">
        <v>14</v>
      </c>
      <c r="E471" t="s">
        <v>15</v>
      </c>
      <c r="F471" t="s">
        <v>18</v>
      </c>
      <c r="G471" t="s">
        <v>29</v>
      </c>
      <c r="H471">
        <v>567.6</v>
      </c>
      <c r="I471" s="13">
        <v>4</v>
      </c>
      <c r="J471">
        <v>1</v>
      </c>
      <c r="K471">
        <v>55.38</v>
      </c>
      <c r="L471">
        <v>2</v>
      </c>
      <c r="M471">
        <v>6</v>
      </c>
      <c r="N471">
        <v>4</v>
      </c>
      <c r="O471">
        <f t="shared" si="7"/>
        <v>5</v>
      </c>
    </row>
    <row r="472" spans="1:15">
      <c r="A472">
        <v>1135</v>
      </c>
      <c r="B472" s="1">
        <v>45780</v>
      </c>
      <c r="C472">
        <v>25</v>
      </c>
      <c r="D472" t="s">
        <v>14</v>
      </c>
      <c r="E472" t="s">
        <v>24</v>
      </c>
      <c r="F472" t="s">
        <v>16</v>
      </c>
      <c r="H472">
        <v>420</v>
      </c>
      <c r="I472" s="13">
        <v>4</v>
      </c>
      <c r="J472">
        <v>1</v>
      </c>
      <c r="K472">
        <v>48.77</v>
      </c>
      <c r="L472">
        <v>3</v>
      </c>
      <c r="M472">
        <v>6</v>
      </c>
      <c r="N472">
        <v>4</v>
      </c>
      <c r="O472">
        <f t="shared" si="7"/>
        <v>5</v>
      </c>
    </row>
    <row r="473" spans="1:15">
      <c r="A473">
        <v>1207</v>
      </c>
      <c r="B473" s="1">
        <v>45780</v>
      </c>
      <c r="C473">
        <v>29</v>
      </c>
      <c r="D473" t="s">
        <v>17</v>
      </c>
      <c r="E473" t="s">
        <v>24</v>
      </c>
      <c r="F473" t="s">
        <v>18</v>
      </c>
      <c r="G473" t="s">
        <v>25</v>
      </c>
      <c r="H473">
        <v>272.3</v>
      </c>
      <c r="I473" s="13">
        <v>5</v>
      </c>
      <c r="J473">
        <v>1</v>
      </c>
      <c r="K473">
        <v>13.52</v>
      </c>
      <c r="L473">
        <v>4</v>
      </c>
      <c r="M473">
        <v>3</v>
      </c>
      <c r="N473">
        <v>4</v>
      </c>
      <c r="O473">
        <f t="shared" si="7"/>
        <v>5</v>
      </c>
    </row>
    <row r="474" spans="1:15">
      <c r="A474">
        <v>1143</v>
      </c>
      <c r="B474" s="1">
        <v>45780</v>
      </c>
      <c r="C474">
        <v>30</v>
      </c>
      <c r="D474" t="s">
        <v>14</v>
      </c>
      <c r="E474" t="s">
        <v>15</v>
      </c>
      <c r="F474" t="s">
        <v>21</v>
      </c>
      <c r="H474">
        <v>851.4</v>
      </c>
      <c r="I474" s="13">
        <v>9</v>
      </c>
      <c r="J474">
        <v>0</v>
      </c>
      <c r="K474">
        <v>0</v>
      </c>
      <c r="L474">
        <v>0</v>
      </c>
      <c r="M474">
        <v>0</v>
      </c>
      <c r="O474">
        <f t="shared" si="7"/>
        <v>5</v>
      </c>
    </row>
    <row r="475" spans="1:15">
      <c r="A475">
        <v>4075</v>
      </c>
      <c r="B475" s="1">
        <v>45780</v>
      </c>
      <c r="C475">
        <v>43</v>
      </c>
      <c r="D475" t="s">
        <v>14</v>
      </c>
      <c r="E475" t="s">
        <v>20</v>
      </c>
      <c r="F475" t="s">
        <v>18</v>
      </c>
      <c r="G475" t="s">
        <v>26</v>
      </c>
      <c r="H475">
        <v>740</v>
      </c>
      <c r="I475" s="13">
        <v>6</v>
      </c>
      <c r="J475">
        <v>0</v>
      </c>
      <c r="K475">
        <v>0</v>
      </c>
      <c r="L475">
        <v>0</v>
      </c>
      <c r="M475">
        <v>0</v>
      </c>
      <c r="O475">
        <f t="shared" si="7"/>
        <v>5</v>
      </c>
    </row>
    <row r="476" spans="1:15">
      <c r="A476">
        <v>2770</v>
      </c>
      <c r="B476" s="1">
        <v>45780</v>
      </c>
      <c r="C476">
        <v>46</v>
      </c>
      <c r="D476" t="s">
        <v>14</v>
      </c>
      <c r="E476" t="s">
        <v>22</v>
      </c>
      <c r="F476" t="s">
        <v>18</v>
      </c>
      <c r="G476" t="s">
        <v>30</v>
      </c>
      <c r="H476">
        <v>524.1</v>
      </c>
      <c r="I476" s="13">
        <v>4</v>
      </c>
      <c r="J476">
        <v>0</v>
      </c>
      <c r="K476">
        <v>0</v>
      </c>
      <c r="L476">
        <v>0</v>
      </c>
      <c r="M476">
        <v>0</v>
      </c>
      <c r="O476">
        <f t="shared" si="7"/>
        <v>5</v>
      </c>
    </row>
    <row r="477" spans="1:15">
      <c r="A477">
        <v>1450</v>
      </c>
      <c r="B477" s="1">
        <v>45780</v>
      </c>
      <c r="C477">
        <v>26</v>
      </c>
      <c r="D477" t="s">
        <v>17</v>
      </c>
      <c r="E477" t="s">
        <v>24</v>
      </c>
      <c r="F477" t="s">
        <v>16</v>
      </c>
      <c r="H477">
        <v>427.3</v>
      </c>
      <c r="I477" s="13">
        <v>8</v>
      </c>
      <c r="J477">
        <v>0</v>
      </c>
      <c r="K477">
        <v>0</v>
      </c>
      <c r="L477">
        <v>0</v>
      </c>
      <c r="M477">
        <v>0</v>
      </c>
      <c r="O477">
        <f t="shared" si="7"/>
        <v>5</v>
      </c>
    </row>
    <row r="478" spans="1:15">
      <c r="A478">
        <v>648</v>
      </c>
      <c r="B478" s="1">
        <v>45780</v>
      </c>
      <c r="C478">
        <v>20</v>
      </c>
      <c r="D478" t="s">
        <v>17</v>
      </c>
      <c r="E478" t="s">
        <v>15</v>
      </c>
      <c r="F478" t="s">
        <v>18</v>
      </c>
      <c r="G478" t="s">
        <v>29</v>
      </c>
      <c r="H478">
        <v>399.8</v>
      </c>
      <c r="I478" s="13">
        <v>8</v>
      </c>
      <c r="J478">
        <v>0</v>
      </c>
      <c r="K478">
        <v>0</v>
      </c>
      <c r="L478">
        <v>0</v>
      </c>
      <c r="M478">
        <v>0</v>
      </c>
      <c r="O478">
        <f t="shared" si="7"/>
        <v>5</v>
      </c>
    </row>
    <row r="479" spans="1:15">
      <c r="A479">
        <v>4127</v>
      </c>
      <c r="B479" s="1">
        <v>45780</v>
      </c>
      <c r="C479">
        <v>50</v>
      </c>
      <c r="D479" t="s">
        <v>14</v>
      </c>
      <c r="E479" t="s">
        <v>22</v>
      </c>
      <c r="F479" t="s">
        <v>16</v>
      </c>
      <c r="H479">
        <v>377.5</v>
      </c>
      <c r="I479" s="13">
        <v>4</v>
      </c>
      <c r="J479">
        <v>0</v>
      </c>
      <c r="K479">
        <v>0</v>
      </c>
      <c r="L479">
        <v>0</v>
      </c>
      <c r="M479">
        <v>0</v>
      </c>
      <c r="O479">
        <f t="shared" si="7"/>
        <v>5</v>
      </c>
    </row>
    <row r="480" spans="1:15">
      <c r="A480">
        <v>1078</v>
      </c>
      <c r="B480" s="1">
        <v>45780</v>
      </c>
      <c r="C480">
        <v>27</v>
      </c>
      <c r="D480" t="s">
        <v>14</v>
      </c>
      <c r="E480" t="s">
        <v>24</v>
      </c>
      <c r="F480" t="s">
        <v>18</v>
      </c>
      <c r="G480" t="s">
        <v>28</v>
      </c>
      <c r="H480">
        <v>337.4</v>
      </c>
      <c r="I480" s="13">
        <v>7</v>
      </c>
      <c r="J480">
        <v>0</v>
      </c>
      <c r="K480">
        <v>0</v>
      </c>
      <c r="L480">
        <v>0</v>
      </c>
      <c r="M480">
        <v>0</v>
      </c>
      <c r="O480">
        <f t="shared" si="7"/>
        <v>5</v>
      </c>
    </row>
    <row r="481" spans="1:15">
      <c r="A481">
        <v>710</v>
      </c>
      <c r="B481" s="1">
        <v>45780</v>
      </c>
      <c r="C481">
        <v>28</v>
      </c>
      <c r="D481" t="s">
        <v>14</v>
      </c>
      <c r="E481" t="s">
        <v>15</v>
      </c>
      <c r="F481" t="s">
        <v>18</v>
      </c>
      <c r="G481" t="s">
        <v>28</v>
      </c>
      <c r="H481">
        <v>333</v>
      </c>
      <c r="I481" s="13">
        <v>6</v>
      </c>
      <c r="J481">
        <v>0</v>
      </c>
      <c r="K481">
        <v>0</v>
      </c>
      <c r="L481">
        <v>0</v>
      </c>
      <c r="M481">
        <v>0</v>
      </c>
      <c r="O481">
        <f t="shared" si="7"/>
        <v>5</v>
      </c>
    </row>
    <row r="482" spans="1:15">
      <c r="A482">
        <v>4626</v>
      </c>
      <c r="B482" s="1">
        <v>45780</v>
      </c>
      <c r="C482">
        <v>55</v>
      </c>
      <c r="D482" t="s">
        <v>17</v>
      </c>
      <c r="E482" t="s">
        <v>20</v>
      </c>
      <c r="F482" t="s">
        <v>21</v>
      </c>
      <c r="H482">
        <v>320</v>
      </c>
      <c r="I482" s="13">
        <v>6</v>
      </c>
      <c r="J482">
        <v>0</v>
      </c>
      <c r="K482">
        <v>0</v>
      </c>
      <c r="L482">
        <v>0</v>
      </c>
      <c r="M482">
        <v>0</v>
      </c>
      <c r="O482">
        <f t="shared" si="7"/>
        <v>5</v>
      </c>
    </row>
    <row r="483" spans="1:15">
      <c r="A483">
        <v>2664</v>
      </c>
      <c r="B483" s="1">
        <v>45780</v>
      </c>
      <c r="C483">
        <v>21</v>
      </c>
      <c r="D483" t="s">
        <v>14</v>
      </c>
      <c r="E483" t="s">
        <v>22</v>
      </c>
      <c r="F483" t="s">
        <v>16</v>
      </c>
      <c r="H483">
        <v>318.39999999999998</v>
      </c>
      <c r="I483" s="13">
        <v>2</v>
      </c>
      <c r="J483">
        <v>0</v>
      </c>
      <c r="K483">
        <v>0</v>
      </c>
      <c r="L483">
        <v>0</v>
      </c>
      <c r="M483">
        <v>0</v>
      </c>
      <c r="O483">
        <f t="shared" si="7"/>
        <v>5</v>
      </c>
    </row>
    <row r="484" spans="1:15">
      <c r="A484">
        <v>1538</v>
      </c>
      <c r="B484" s="1">
        <v>45780</v>
      </c>
      <c r="C484">
        <v>30</v>
      </c>
      <c r="D484" t="s">
        <v>14</v>
      </c>
      <c r="E484" t="s">
        <v>22</v>
      </c>
      <c r="F484" t="s">
        <v>18</v>
      </c>
      <c r="G484" t="s">
        <v>26</v>
      </c>
      <c r="H484">
        <v>256.5</v>
      </c>
      <c r="I484" s="13">
        <v>1</v>
      </c>
      <c r="J484">
        <v>0</v>
      </c>
      <c r="K484">
        <v>0</v>
      </c>
      <c r="L484">
        <v>0</v>
      </c>
      <c r="M484">
        <v>0</v>
      </c>
      <c r="O484">
        <f t="shared" si="7"/>
        <v>5</v>
      </c>
    </row>
    <row r="485" spans="1:15">
      <c r="A485">
        <v>2347</v>
      </c>
      <c r="B485" s="1">
        <v>45780</v>
      </c>
      <c r="C485">
        <v>47</v>
      </c>
      <c r="D485" t="s">
        <v>17</v>
      </c>
      <c r="E485" t="s">
        <v>24</v>
      </c>
      <c r="F485" t="s">
        <v>16</v>
      </c>
      <c r="H485">
        <v>225.5</v>
      </c>
      <c r="I485" s="13">
        <v>6</v>
      </c>
      <c r="J485">
        <v>0</v>
      </c>
      <c r="K485">
        <v>0</v>
      </c>
      <c r="L485">
        <v>0</v>
      </c>
      <c r="M485">
        <v>0</v>
      </c>
      <c r="O485">
        <f t="shared" si="7"/>
        <v>5</v>
      </c>
    </row>
    <row r="486" spans="1:15">
      <c r="A486">
        <v>4009</v>
      </c>
      <c r="B486" s="1">
        <v>45780</v>
      </c>
      <c r="C486">
        <v>36</v>
      </c>
      <c r="D486" t="s">
        <v>14</v>
      </c>
      <c r="E486" t="s">
        <v>20</v>
      </c>
      <c r="F486" t="s">
        <v>16</v>
      </c>
      <c r="H486">
        <v>224.1</v>
      </c>
      <c r="I486" s="13">
        <v>9</v>
      </c>
      <c r="J486">
        <v>0</v>
      </c>
      <c r="K486">
        <v>0</v>
      </c>
      <c r="L486">
        <v>0</v>
      </c>
      <c r="M486">
        <v>0</v>
      </c>
      <c r="O486">
        <f t="shared" si="7"/>
        <v>5</v>
      </c>
    </row>
    <row r="487" spans="1:15">
      <c r="A487">
        <v>3702</v>
      </c>
      <c r="B487" s="1">
        <v>45780</v>
      </c>
      <c r="C487">
        <v>35</v>
      </c>
      <c r="D487" t="s">
        <v>17</v>
      </c>
      <c r="E487" t="s">
        <v>22</v>
      </c>
      <c r="F487" t="s">
        <v>16</v>
      </c>
      <c r="H487">
        <v>220.1</v>
      </c>
      <c r="I487" s="13">
        <v>3</v>
      </c>
      <c r="J487">
        <v>0</v>
      </c>
      <c r="K487">
        <v>0</v>
      </c>
      <c r="L487">
        <v>0</v>
      </c>
      <c r="M487">
        <v>0</v>
      </c>
      <c r="O487">
        <f t="shared" si="7"/>
        <v>5</v>
      </c>
    </row>
    <row r="488" spans="1:15">
      <c r="A488">
        <v>4679</v>
      </c>
      <c r="B488" s="1">
        <v>45780</v>
      </c>
      <c r="C488">
        <v>42</v>
      </c>
      <c r="D488" t="s">
        <v>14</v>
      </c>
      <c r="E488" t="s">
        <v>22</v>
      </c>
      <c r="F488" t="s">
        <v>16</v>
      </c>
      <c r="H488">
        <v>198.9</v>
      </c>
      <c r="I488" s="13">
        <v>3</v>
      </c>
      <c r="J488">
        <v>0</v>
      </c>
      <c r="K488">
        <v>0</v>
      </c>
      <c r="L488">
        <v>0</v>
      </c>
      <c r="M488">
        <v>0</v>
      </c>
      <c r="O488">
        <f t="shared" si="7"/>
        <v>5</v>
      </c>
    </row>
    <row r="489" spans="1:15">
      <c r="A489">
        <v>2588</v>
      </c>
      <c r="B489" s="1">
        <v>45780</v>
      </c>
      <c r="C489">
        <v>29</v>
      </c>
      <c r="D489" t="s">
        <v>14</v>
      </c>
      <c r="E489" t="s">
        <v>20</v>
      </c>
      <c r="F489" t="s">
        <v>18</v>
      </c>
      <c r="G489" t="s">
        <v>29</v>
      </c>
      <c r="H489">
        <v>174.4</v>
      </c>
      <c r="I489" s="13">
        <v>4</v>
      </c>
      <c r="J489">
        <v>0</v>
      </c>
      <c r="K489">
        <v>0</v>
      </c>
      <c r="L489">
        <v>0</v>
      </c>
      <c r="M489">
        <v>0</v>
      </c>
      <c r="O489">
        <f t="shared" si="7"/>
        <v>5</v>
      </c>
    </row>
    <row r="490" spans="1:15">
      <c r="A490">
        <v>4183</v>
      </c>
      <c r="B490" s="1">
        <v>45780</v>
      </c>
      <c r="C490">
        <v>47</v>
      </c>
      <c r="D490" t="s">
        <v>17</v>
      </c>
      <c r="E490" t="s">
        <v>15</v>
      </c>
      <c r="F490" t="s">
        <v>18</v>
      </c>
      <c r="G490" t="s">
        <v>28</v>
      </c>
      <c r="H490">
        <v>155.80000000000001</v>
      </c>
      <c r="I490" s="13">
        <v>9</v>
      </c>
      <c r="J490">
        <v>0</v>
      </c>
      <c r="K490">
        <v>0</v>
      </c>
      <c r="L490">
        <v>0</v>
      </c>
      <c r="M490">
        <v>0</v>
      </c>
      <c r="O490">
        <f t="shared" si="7"/>
        <v>5</v>
      </c>
    </row>
    <row r="491" spans="1:15">
      <c r="A491">
        <v>1218</v>
      </c>
      <c r="B491" s="1">
        <v>45780</v>
      </c>
      <c r="C491">
        <v>19</v>
      </c>
      <c r="D491" t="s">
        <v>14</v>
      </c>
      <c r="E491" t="s">
        <v>15</v>
      </c>
      <c r="F491" t="s">
        <v>16</v>
      </c>
      <c r="H491">
        <v>140.5</v>
      </c>
      <c r="I491" s="13">
        <v>10</v>
      </c>
      <c r="J491">
        <v>0</v>
      </c>
      <c r="K491">
        <v>0</v>
      </c>
      <c r="L491">
        <v>0</v>
      </c>
      <c r="M491">
        <v>0</v>
      </c>
      <c r="O491">
        <f t="shared" si="7"/>
        <v>5</v>
      </c>
    </row>
    <row r="492" spans="1:15">
      <c r="A492">
        <v>1794</v>
      </c>
      <c r="B492" s="1">
        <v>45780</v>
      </c>
      <c r="C492">
        <v>33</v>
      </c>
      <c r="D492" t="s">
        <v>17</v>
      </c>
      <c r="E492" t="s">
        <v>20</v>
      </c>
      <c r="F492" t="s">
        <v>16</v>
      </c>
      <c r="H492">
        <v>130.69999999999999</v>
      </c>
      <c r="I492" s="13">
        <v>7</v>
      </c>
      <c r="J492">
        <v>0</v>
      </c>
      <c r="K492">
        <v>0</v>
      </c>
      <c r="L492">
        <v>0</v>
      </c>
      <c r="M492">
        <v>0</v>
      </c>
      <c r="O492">
        <f t="shared" si="7"/>
        <v>5</v>
      </c>
    </row>
    <row r="493" spans="1:15">
      <c r="A493">
        <v>3086</v>
      </c>
      <c r="B493" s="1">
        <v>45780</v>
      </c>
      <c r="C493">
        <v>26</v>
      </c>
      <c r="D493" t="s">
        <v>17</v>
      </c>
      <c r="E493" t="s">
        <v>15</v>
      </c>
      <c r="F493" t="s">
        <v>21</v>
      </c>
      <c r="H493">
        <v>68.099999999999994</v>
      </c>
      <c r="I493" s="13">
        <v>9</v>
      </c>
      <c r="J493">
        <v>0</v>
      </c>
      <c r="K493">
        <v>0</v>
      </c>
      <c r="L493">
        <v>0</v>
      </c>
      <c r="M493">
        <v>0</v>
      </c>
      <c r="O493">
        <f t="shared" si="7"/>
        <v>5</v>
      </c>
    </row>
    <row r="494" spans="1:15">
      <c r="A494">
        <v>374</v>
      </c>
      <c r="B494" s="1">
        <v>45780</v>
      </c>
      <c r="C494">
        <v>30</v>
      </c>
      <c r="D494" t="s">
        <v>14</v>
      </c>
      <c r="E494" t="s">
        <v>22</v>
      </c>
      <c r="F494" t="s">
        <v>21</v>
      </c>
      <c r="H494">
        <v>41.9</v>
      </c>
      <c r="I494" s="13">
        <v>4</v>
      </c>
      <c r="J494">
        <v>0</v>
      </c>
      <c r="K494">
        <v>0</v>
      </c>
      <c r="L494">
        <v>0</v>
      </c>
      <c r="M494">
        <v>0</v>
      </c>
      <c r="O494">
        <f t="shared" si="7"/>
        <v>5</v>
      </c>
    </row>
    <row r="495" spans="1:15">
      <c r="A495">
        <v>3283</v>
      </c>
      <c r="B495" s="1">
        <v>45811</v>
      </c>
      <c r="C495">
        <v>35</v>
      </c>
      <c r="D495" t="s">
        <v>17</v>
      </c>
      <c r="E495" t="s">
        <v>24</v>
      </c>
      <c r="F495" t="s">
        <v>23</v>
      </c>
      <c r="H495">
        <v>391.6</v>
      </c>
      <c r="I495" s="13">
        <v>10</v>
      </c>
      <c r="J495">
        <v>1</v>
      </c>
      <c r="K495">
        <v>76.739999999999995</v>
      </c>
      <c r="L495">
        <v>4</v>
      </c>
      <c r="M495">
        <v>5</v>
      </c>
      <c r="N495">
        <v>5</v>
      </c>
      <c r="O495">
        <f t="shared" si="7"/>
        <v>6</v>
      </c>
    </row>
    <row r="496" spans="1:15">
      <c r="A496">
        <v>2658</v>
      </c>
      <c r="B496" s="1">
        <v>45811</v>
      </c>
      <c r="C496">
        <v>49</v>
      </c>
      <c r="D496" t="s">
        <v>14</v>
      </c>
      <c r="E496" t="s">
        <v>20</v>
      </c>
      <c r="F496" t="s">
        <v>23</v>
      </c>
      <c r="H496">
        <v>383.4</v>
      </c>
      <c r="I496" s="13">
        <v>8</v>
      </c>
      <c r="J496">
        <v>1</v>
      </c>
      <c r="K496">
        <v>56.04</v>
      </c>
      <c r="L496">
        <v>2</v>
      </c>
      <c r="M496">
        <v>11</v>
      </c>
      <c r="N496">
        <v>4</v>
      </c>
      <c r="O496">
        <f t="shared" si="7"/>
        <v>6</v>
      </c>
    </row>
    <row r="497" spans="1:15">
      <c r="A497">
        <v>250</v>
      </c>
      <c r="B497" s="1">
        <v>45811</v>
      </c>
      <c r="C497">
        <v>26</v>
      </c>
      <c r="D497" t="s">
        <v>14</v>
      </c>
      <c r="E497" t="s">
        <v>20</v>
      </c>
      <c r="F497" t="s">
        <v>16</v>
      </c>
      <c r="H497">
        <v>113.6</v>
      </c>
      <c r="I497" s="13">
        <v>9</v>
      </c>
      <c r="J497">
        <v>1</v>
      </c>
      <c r="K497">
        <v>52.32</v>
      </c>
      <c r="L497">
        <v>2</v>
      </c>
      <c r="M497">
        <v>9</v>
      </c>
      <c r="N497">
        <v>4</v>
      </c>
      <c r="O497">
        <f t="shared" si="7"/>
        <v>6</v>
      </c>
    </row>
    <row r="498" spans="1:15">
      <c r="A498">
        <v>4049</v>
      </c>
      <c r="B498" s="1">
        <v>45811</v>
      </c>
      <c r="C498">
        <v>62</v>
      </c>
      <c r="D498" t="s">
        <v>14</v>
      </c>
      <c r="E498" t="s">
        <v>20</v>
      </c>
      <c r="F498" t="s">
        <v>18</v>
      </c>
      <c r="G498" t="s">
        <v>28</v>
      </c>
      <c r="H498">
        <v>289.5</v>
      </c>
      <c r="I498" s="13">
        <v>3</v>
      </c>
      <c r="J498">
        <v>1</v>
      </c>
      <c r="K498">
        <v>46.08</v>
      </c>
      <c r="L498">
        <v>5</v>
      </c>
      <c r="M498">
        <v>8</v>
      </c>
      <c r="N498">
        <v>4</v>
      </c>
      <c r="O498">
        <f t="shared" si="7"/>
        <v>6</v>
      </c>
    </row>
    <row r="499" spans="1:15">
      <c r="A499">
        <v>337</v>
      </c>
      <c r="B499" s="1">
        <v>45811</v>
      </c>
      <c r="C499">
        <v>25</v>
      </c>
      <c r="D499" t="s">
        <v>14</v>
      </c>
      <c r="E499" t="s">
        <v>20</v>
      </c>
      <c r="F499" t="s">
        <v>21</v>
      </c>
      <c r="H499">
        <v>695.9</v>
      </c>
      <c r="I499" s="13">
        <v>7</v>
      </c>
      <c r="J499">
        <v>1</v>
      </c>
      <c r="K499">
        <v>31.65</v>
      </c>
      <c r="L499">
        <v>2</v>
      </c>
      <c r="M499">
        <v>4</v>
      </c>
      <c r="N499">
        <v>3</v>
      </c>
      <c r="O499">
        <f t="shared" si="7"/>
        <v>6</v>
      </c>
    </row>
    <row r="500" spans="1:15">
      <c r="A500">
        <v>552</v>
      </c>
      <c r="B500" s="1">
        <v>45811</v>
      </c>
      <c r="C500">
        <v>23</v>
      </c>
      <c r="D500" t="s">
        <v>17</v>
      </c>
      <c r="E500" t="s">
        <v>24</v>
      </c>
      <c r="F500" t="s">
        <v>16</v>
      </c>
      <c r="H500">
        <v>525.1</v>
      </c>
      <c r="I500" s="13">
        <v>7</v>
      </c>
      <c r="J500">
        <v>1</v>
      </c>
      <c r="K500">
        <v>15.96</v>
      </c>
      <c r="L500">
        <v>5</v>
      </c>
      <c r="M500">
        <v>4</v>
      </c>
      <c r="N500">
        <v>5</v>
      </c>
      <c r="O500">
        <f t="shared" si="7"/>
        <v>6</v>
      </c>
    </row>
    <row r="501" spans="1:15">
      <c r="A501">
        <v>1373</v>
      </c>
      <c r="B501" s="1">
        <v>45811</v>
      </c>
      <c r="C501">
        <v>22</v>
      </c>
      <c r="D501" t="s">
        <v>17</v>
      </c>
      <c r="E501" t="s">
        <v>20</v>
      </c>
      <c r="F501" t="s">
        <v>18</v>
      </c>
      <c r="G501" t="s">
        <v>28</v>
      </c>
      <c r="H501">
        <v>1008.4</v>
      </c>
      <c r="I501" s="13">
        <v>5</v>
      </c>
      <c r="J501">
        <v>0</v>
      </c>
      <c r="K501">
        <v>0</v>
      </c>
      <c r="L501">
        <v>0</v>
      </c>
      <c r="M501">
        <v>0</v>
      </c>
      <c r="O501">
        <f t="shared" si="7"/>
        <v>6</v>
      </c>
    </row>
    <row r="502" spans="1:15">
      <c r="A502">
        <v>2882</v>
      </c>
      <c r="B502" s="1">
        <v>45811</v>
      </c>
      <c r="C502">
        <v>39</v>
      </c>
      <c r="D502" t="s">
        <v>17</v>
      </c>
      <c r="E502" t="s">
        <v>20</v>
      </c>
      <c r="F502" t="s">
        <v>18</v>
      </c>
      <c r="G502" t="s">
        <v>28</v>
      </c>
      <c r="H502">
        <v>536.9</v>
      </c>
      <c r="I502" s="13">
        <v>6</v>
      </c>
      <c r="J502">
        <v>0</v>
      </c>
      <c r="K502">
        <v>0</v>
      </c>
      <c r="L502">
        <v>0</v>
      </c>
      <c r="M502">
        <v>0</v>
      </c>
      <c r="O502">
        <f t="shared" si="7"/>
        <v>6</v>
      </c>
    </row>
    <row r="503" spans="1:15">
      <c r="A503">
        <v>1149</v>
      </c>
      <c r="B503" s="1">
        <v>45811</v>
      </c>
      <c r="C503">
        <v>18</v>
      </c>
      <c r="D503" t="s">
        <v>17</v>
      </c>
      <c r="E503" t="s">
        <v>22</v>
      </c>
      <c r="F503" t="s">
        <v>18</v>
      </c>
      <c r="G503" t="s">
        <v>25</v>
      </c>
      <c r="H503">
        <v>525.1</v>
      </c>
      <c r="I503" s="13">
        <v>6</v>
      </c>
      <c r="J503">
        <v>0</v>
      </c>
      <c r="K503">
        <v>0</v>
      </c>
      <c r="L503">
        <v>0</v>
      </c>
      <c r="M503">
        <v>0</v>
      </c>
      <c r="O503">
        <f t="shared" si="7"/>
        <v>6</v>
      </c>
    </row>
    <row r="504" spans="1:15">
      <c r="A504">
        <v>4812</v>
      </c>
      <c r="B504" s="1">
        <v>45811</v>
      </c>
      <c r="C504">
        <v>46</v>
      </c>
      <c r="D504" t="s">
        <v>14</v>
      </c>
      <c r="E504" t="s">
        <v>22</v>
      </c>
      <c r="F504" t="s">
        <v>16</v>
      </c>
      <c r="H504">
        <v>346.6</v>
      </c>
      <c r="I504" s="13">
        <v>8</v>
      </c>
      <c r="J504">
        <v>0</v>
      </c>
      <c r="K504">
        <v>0</v>
      </c>
      <c r="L504">
        <v>0</v>
      </c>
      <c r="M504">
        <v>0</v>
      </c>
      <c r="O504">
        <f t="shared" si="7"/>
        <v>6</v>
      </c>
    </row>
    <row r="505" spans="1:15">
      <c r="A505">
        <v>253</v>
      </c>
      <c r="B505" s="1">
        <v>45811</v>
      </c>
      <c r="C505">
        <v>18</v>
      </c>
      <c r="D505" t="s">
        <v>17</v>
      </c>
      <c r="E505" t="s">
        <v>20</v>
      </c>
      <c r="F505" t="s">
        <v>21</v>
      </c>
      <c r="H505">
        <v>345.3</v>
      </c>
      <c r="I505" s="13">
        <v>10</v>
      </c>
      <c r="J505">
        <v>0</v>
      </c>
      <c r="K505">
        <v>0</v>
      </c>
      <c r="L505">
        <v>0</v>
      </c>
      <c r="M505">
        <v>0</v>
      </c>
      <c r="O505">
        <f t="shared" si="7"/>
        <v>6</v>
      </c>
    </row>
    <row r="506" spans="1:15">
      <c r="A506">
        <v>4158</v>
      </c>
      <c r="B506" s="1">
        <v>45811</v>
      </c>
      <c r="C506">
        <v>52</v>
      </c>
      <c r="D506" t="s">
        <v>14</v>
      </c>
      <c r="E506" t="s">
        <v>15</v>
      </c>
      <c r="F506" t="s">
        <v>16</v>
      </c>
      <c r="H506">
        <v>340.1</v>
      </c>
      <c r="I506" s="13">
        <v>4</v>
      </c>
      <c r="J506">
        <v>0</v>
      </c>
      <c r="K506">
        <v>0</v>
      </c>
      <c r="L506">
        <v>0</v>
      </c>
      <c r="M506">
        <v>0</v>
      </c>
      <c r="O506">
        <f t="shared" si="7"/>
        <v>6</v>
      </c>
    </row>
    <row r="507" spans="1:15">
      <c r="A507">
        <v>2234</v>
      </c>
      <c r="B507" s="1">
        <v>45811</v>
      </c>
      <c r="C507">
        <v>33</v>
      </c>
      <c r="D507" t="s">
        <v>14</v>
      </c>
      <c r="E507" t="s">
        <v>24</v>
      </c>
      <c r="F507" t="s">
        <v>18</v>
      </c>
      <c r="G507" t="s">
        <v>29</v>
      </c>
      <c r="H507">
        <v>334.3</v>
      </c>
      <c r="I507" s="13">
        <v>4</v>
      </c>
      <c r="J507">
        <v>0</v>
      </c>
      <c r="K507">
        <v>0</v>
      </c>
      <c r="L507">
        <v>0</v>
      </c>
      <c r="M507">
        <v>0</v>
      </c>
      <c r="O507">
        <f t="shared" si="7"/>
        <v>6</v>
      </c>
    </row>
    <row r="508" spans="1:15">
      <c r="A508">
        <v>3515</v>
      </c>
      <c r="B508" s="1">
        <v>45811</v>
      </c>
      <c r="C508">
        <v>28</v>
      </c>
      <c r="D508" t="s">
        <v>14</v>
      </c>
      <c r="E508" t="s">
        <v>22</v>
      </c>
      <c r="F508" t="s">
        <v>18</v>
      </c>
      <c r="G508" t="s">
        <v>30</v>
      </c>
      <c r="H508">
        <v>251.5</v>
      </c>
      <c r="I508" s="13">
        <v>4</v>
      </c>
      <c r="J508">
        <v>0</v>
      </c>
      <c r="K508">
        <v>0</v>
      </c>
      <c r="L508">
        <v>0</v>
      </c>
      <c r="M508">
        <v>0</v>
      </c>
      <c r="O508">
        <f t="shared" si="7"/>
        <v>6</v>
      </c>
    </row>
    <row r="509" spans="1:15">
      <c r="A509">
        <v>2785</v>
      </c>
      <c r="B509" s="1">
        <v>45811</v>
      </c>
      <c r="C509">
        <v>29</v>
      </c>
      <c r="D509" t="s">
        <v>17</v>
      </c>
      <c r="E509" t="s">
        <v>15</v>
      </c>
      <c r="F509" t="s">
        <v>23</v>
      </c>
      <c r="H509">
        <v>137.69999999999999</v>
      </c>
      <c r="I509" s="13">
        <v>8</v>
      </c>
      <c r="J509">
        <v>0</v>
      </c>
      <c r="K509">
        <v>0</v>
      </c>
      <c r="L509">
        <v>0</v>
      </c>
      <c r="M509">
        <v>0</v>
      </c>
      <c r="O509">
        <f t="shared" si="7"/>
        <v>6</v>
      </c>
    </row>
    <row r="510" spans="1:15">
      <c r="A510">
        <v>2507</v>
      </c>
      <c r="B510" s="1">
        <v>45811</v>
      </c>
      <c r="C510">
        <v>18</v>
      </c>
      <c r="D510" t="s">
        <v>14</v>
      </c>
      <c r="E510" t="s">
        <v>24</v>
      </c>
      <c r="F510" t="s">
        <v>23</v>
      </c>
      <c r="H510">
        <v>134.9</v>
      </c>
      <c r="I510" s="13">
        <v>5</v>
      </c>
      <c r="J510">
        <v>0</v>
      </c>
      <c r="K510">
        <v>0</v>
      </c>
      <c r="L510">
        <v>0</v>
      </c>
      <c r="M510">
        <v>0</v>
      </c>
      <c r="O510">
        <f t="shared" si="7"/>
        <v>6</v>
      </c>
    </row>
    <row r="511" spans="1:15">
      <c r="A511">
        <v>1666</v>
      </c>
      <c r="B511" s="1">
        <v>45811</v>
      </c>
      <c r="C511">
        <v>23</v>
      </c>
      <c r="D511" t="s">
        <v>14</v>
      </c>
      <c r="E511" t="s">
        <v>24</v>
      </c>
      <c r="F511" t="s">
        <v>16</v>
      </c>
      <c r="H511">
        <v>119.6</v>
      </c>
      <c r="I511" s="13">
        <v>6</v>
      </c>
      <c r="J511">
        <v>0</v>
      </c>
      <c r="K511">
        <v>0</v>
      </c>
      <c r="L511">
        <v>0</v>
      </c>
      <c r="M511">
        <v>0</v>
      </c>
      <c r="O511">
        <f t="shared" si="7"/>
        <v>6</v>
      </c>
    </row>
    <row r="512" spans="1:15">
      <c r="A512">
        <v>1137</v>
      </c>
      <c r="B512" s="1">
        <v>45811</v>
      </c>
      <c r="C512">
        <v>27</v>
      </c>
      <c r="D512" t="s">
        <v>14</v>
      </c>
      <c r="E512" t="s">
        <v>20</v>
      </c>
      <c r="F512" t="s">
        <v>18</v>
      </c>
      <c r="G512" t="s">
        <v>19</v>
      </c>
      <c r="H512">
        <v>93.6</v>
      </c>
      <c r="I512" s="13">
        <v>9</v>
      </c>
      <c r="J512">
        <v>0</v>
      </c>
      <c r="K512">
        <v>0</v>
      </c>
      <c r="L512">
        <v>0</v>
      </c>
      <c r="M512">
        <v>0</v>
      </c>
      <c r="O512">
        <f t="shared" si="7"/>
        <v>6</v>
      </c>
    </row>
    <row r="513" spans="1:15">
      <c r="A513">
        <v>2041</v>
      </c>
      <c r="B513" s="1">
        <v>45811</v>
      </c>
      <c r="C513">
        <v>51</v>
      </c>
      <c r="D513" t="s">
        <v>14</v>
      </c>
      <c r="E513" t="s">
        <v>15</v>
      </c>
      <c r="F513" t="s">
        <v>16</v>
      </c>
      <c r="H513">
        <v>70.2</v>
      </c>
      <c r="I513" s="13">
        <v>6</v>
      </c>
      <c r="J513">
        <v>0</v>
      </c>
      <c r="K513">
        <v>0</v>
      </c>
      <c r="L513">
        <v>0</v>
      </c>
      <c r="M513">
        <v>0</v>
      </c>
      <c r="O513">
        <f t="shared" si="7"/>
        <v>6</v>
      </c>
    </row>
    <row r="514" spans="1:15">
      <c r="A514">
        <v>2019</v>
      </c>
      <c r="B514" s="1">
        <v>45661</v>
      </c>
      <c r="C514">
        <v>28</v>
      </c>
      <c r="D514" t="s">
        <v>17</v>
      </c>
      <c r="E514" t="s">
        <v>22</v>
      </c>
      <c r="F514" t="s">
        <v>16</v>
      </c>
      <c r="H514">
        <v>336.7</v>
      </c>
      <c r="I514" s="13">
        <v>5</v>
      </c>
      <c r="J514">
        <v>1</v>
      </c>
      <c r="K514">
        <v>108.74</v>
      </c>
      <c r="L514">
        <v>3</v>
      </c>
      <c r="M514">
        <v>9</v>
      </c>
      <c r="N514">
        <v>5</v>
      </c>
      <c r="O514">
        <f t="shared" si="7"/>
        <v>1</v>
      </c>
    </row>
    <row r="515" spans="1:15">
      <c r="A515">
        <v>2686</v>
      </c>
      <c r="B515" s="1">
        <v>45661</v>
      </c>
      <c r="C515">
        <v>47</v>
      </c>
      <c r="D515" t="s">
        <v>17</v>
      </c>
      <c r="E515" t="s">
        <v>22</v>
      </c>
      <c r="F515" t="s">
        <v>18</v>
      </c>
      <c r="G515" t="s">
        <v>30</v>
      </c>
      <c r="H515">
        <v>358.1</v>
      </c>
      <c r="I515" s="13">
        <v>6</v>
      </c>
      <c r="J515">
        <v>1</v>
      </c>
      <c r="K515">
        <v>82.05</v>
      </c>
      <c r="L515">
        <v>2</v>
      </c>
      <c r="M515">
        <v>11</v>
      </c>
      <c r="N515">
        <v>4</v>
      </c>
      <c r="O515">
        <f t="shared" ref="O515:O578" si="8">MONTH(B515)</f>
        <v>1</v>
      </c>
    </row>
    <row r="516" spans="1:15">
      <c r="A516">
        <v>2709</v>
      </c>
      <c r="B516" s="1">
        <v>45661</v>
      </c>
      <c r="C516">
        <v>37</v>
      </c>
      <c r="D516" t="s">
        <v>14</v>
      </c>
      <c r="E516" t="s">
        <v>24</v>
      </c>
      <c r="F516" t="s">
        <v>21</v>
      </c>
      <c r="H516">
        <v>173.2</v>
      </c>
      <c r="I516" s="13">
        <v>5</v>
      </c>
      <c r="J516">
        <v>1</v>
      </c>
      <c r="K516">
        <v>56.56</v>
      </c>
      <c r="L516">
        <v>3</v>
      </c>
      <c r="M516">
        <v>15</v>
      </c>
      <c r="N516">
        <v>4</v>
      </c>
      <c r="O516">
        <f t="shared" si="8"/>
        <v>1</v>
      </c>
    </row>
    <row r="517" spans="1:15">
      <c r="A517">
        <v>3471</v>
      </c>
      <c r="B517" s="1">
        <v>45661</v>
      </c>
      <c r="C517">
        <v>33</v>
      </c>
      <c r="D517" t="s">
        <v>17</v>
      </c>
      <c r="E517" t="s">
        <v>15</v>
      </c>
      <c r="F517" t="s">
        <v>18</v>
      </c>
      <c r="G517" t="s">
        <v>26</v>
      </c>
      <c r="H517">
        <v>491.5</v>
      </c>
      <c r="I517" s="13">
        <v>5</v>
      </c>
      <c r="J517">
        <v>1</v>
      </c>
      <c r="K517">
        <v>53.74</v>
      </c>
      <c r="L517">
        <v>5</v>
      </c>
      <c r="M517">
        <v>9</v>
      </c>
      <c r="N517">
        <v>3</v>
      </c>
      <c r="O517">
        <f t="shared" si="8"/>
        <v>1</v>
      </c>
    </row>
    <row r="518" spans="1:15">
      <c r="A518">
        <v>3264</v>
      </c>
      <c r="B518" s="1">
        <v>45661</v>
      </c>
      <c r="C518">
        <v>36</v>
      </c>
      <c r="D518" t="s">
        <v>14</v>
      </c>
      <c r="E518" t="s">
        <v>22</v>
      </c>
      <c r="F518" t="s">
        <v>18</v>
      </c>
      <c r="G518" t="s">
        <v>19</v>
      </c>
      <c r="H518">
        <v>731.7</v>
      </c>
      <c r="I518" s="13">
        <v>5</v>
      </c>
      <c r="J518">
        <v>1</v>
      </c>
      <c r="K518">
        <v>45.54</v>
      </c>
      <c r="L518">
        <v>1</v>
      </c>
      <c r="M518">
        <v>14</v>
      </c>
      <c r="N518">
        <v>3</v>
      </c>
      <c r="O518">
        <f t="shared" si="8"/>
        <v>1</v>
      </c>
    </row>
    <row r="519" spans="1:15">
      <c r="A519">
        <v>3690</v>
      </c>
      <c r="B519" s="1">
        <v>45661</v>
      </c>
      <c r="C519">
        <v>28</v>
      </c>
      <c r="D519" t="s">
        <v>14</v>
      </c>
      <c r="E519" t="s">
        <v>20</v>
      </c>
      <c r="F519" t="s">
        <v>18</v>
      </c>
      <c r="G519" t="s">
        <v>28</v>
      </c>
      <c r="H519">
        <v>1775.3</v>
      </c>
      <c r="I519" s="13">
        <v>7</v>
      </c>
      <c r="J519">
        <v>1</v>
      </c>
      <c r="K519">
        <v>43.93</v>
      </c>
      <c r="L519">
        <v>3</v>
      </c>
      <c r="M519">
        <v>7</v>
      </c>
      <c r="N519">
        <v>3</v>
      </c>
      <c r="O519">
        <f t="shared" si="8"/>
        <v>1</v>
      </c>
    </row>
    <row r="520" spans="1:15">
      <c r="A520">
        <v>2704</v>
      </c>
      <c r="B520" s="1">
        <v>45661</v>
      </c>
      <c r="C520">
        <v>49</v>
      </c>
      <c r="D520" t="s">
        <v>14</v>
      </c>
      <c r="E520" t="s">
        <v>22</v>
      </c>
      <c r="F520" t="s">
        <v>18</v>
      </c>
      <c r="G520" t="s">
        <v>31</v>
      </c>
      <c r="H520">
        <v>1358.5</v>
      </c>
      <c r="I520" s="13">
        <v>6</v>
      </c>
      <c r="J520">
        <v>1</v>
      </c>
      <c r="K520">
        <v>24.88</v>
      </c>
      <c r="L520">
        <v>1</v>
      </c>
      <c r="M520">
        <v>6</v>
      </c>
      <c r="N520">
        <v>4</v>
      </c>
      <c r="O520">
        <f t="shared" si="8"/>
        <v>1</v>
      </c>
    </row>
    <row r="521" spans="1:15">
      <c r="A521">
        <v>641</v>
      </c>
      <c r="B521" s="1">
        <v>45661</v>
      </c>
      <c r="C521">
        <v>25</v>
      </c>
      <c r="D521" t="s">
        <v>14</v>
      </c>
      <c r="E521" t="s">
        <v>22</v>
      </c>
      <c r="F521" t="s">
        <v>16</v>
      </c>
      <c r="H521">
        <v>733.3</v>
      </c>
      <c r="I521" s="13">
        <v>7</v>
      </c>
      <c r="J521">
        <v>0</v>
      </c>
      <c r="K521">
        <v>0</v>
      </c>
      <c r="L521">
        <v>0</v>
      </c>
      <c r="M521">
        <v>0</v>
      </c>
      <c r="O521">
        <f t="shared" si="8"/>
        <v>1</v>
      </c>
    </row>
    <row r="522" spans="1:15">
      <c r="A522">
        <v>2213</v>
      </c>
      <c r="B522" s="1">
        <v>45661</v>
      </c>
      <c r="C522">
        <v>41</v>
      </c>
      <c r="D522" t="s">
        <v>14</v>
      </c>
      <c r="E522" t="s">
        <v>22</v>
      </c>
      <c r="F522" t="s">
        <v>16</v>
      </c>
      <c r="H522">
        <v>686.4</v>
      </c>
      <c r="I522" s="13">
        <v>5</v>
      </c>
      <c r="J522">
        <v>0</v>
      </c>
      <c r="K522">
        <v>0</v>
      </c>
      <c r="L522">
        <v>0</v>
      </c>
      <c r="M522">
        <v>0</v>
      </c>
      <c r="O522">
        <f t="shared" si="8"/>
        <v>1</v>
      </c>
    </row>
    <row r="523" spans="1:15">
      <c r="A523">
        <v>1814</v>
      </c>
      <c r="B523" s="1">
        <v>45661</v>
      </c>
      <c r="C523">
        <v>27</v>
      </c>
      <c r="D523" t="s">
        <v>27</v>
      </c>
      <c r="E523" t="s">
        <v>22</v>
      </c>
      <c r="F523" t="s">
        <v>18</v>
      </c>
      <c r="G523" t="s">
        <v>28</v>
      </c>
      <c r="H523">
        <v>590.20000000000005</v>
      </c>
      <c r="I523" s="13">
        <v>7</v>
      </c>
      <c r="J523">
        <v>0</v>
      </c>
      <c r="K523">
        <v>0</v>
      </c>
      <c r="L523">
        <v>0</v>
      </c>
      <c r="M523">
        <v>0</v>
      </c>
      <c r="O523">
        <f t="shared" si="8"/>
        <v>1</v>
      </c>
    </row>
    <row r="524" spans="1:15">
      <c r="A524">
        <v>372</v>
      </c>
      <c r="B524" s="1">
        <v>45661</v>
      </c>
      <c r="C524">
        <v>27</v>
      </c>
      <c r="D524" t="s">
        <v>17</v>
      </c>
      <c r="E524" t="s">
        <v>20</v>
      </c>
      <c r="F524" t="s">
        <v>16</v>
      </c>
      <c r="H524">
        <v>572.29999999999995</v>
      </c>
      <c r="I524" s="13">
        <v>10</v>
      </c>
      <c r="J524">
        <v>0</v>
      </c>
      <c r="K524">
        <v>0</v>
      </c>
      <c r="L524">
        <v>0</v>
      </c>
      <c r="M524">
        <v>0</v>
      </c>
      <c r="O524">
        <f t="shared" si="8"/>
        <v>1</v>
      </c>
    </row>
    <row r="525" spans="1:15">
      <c r="A525">
        <v>1514</v>
      </c>
      <c r="B525" s="1">
        <v>45661</v>
      </c>
      <c r="C525">
        <v>32</v>
      </c>
      <c r="D525" t="s">
        <v>17</v>
      </c>
      <c r="E525" t="s">
        <v>20</v>
      </c>
      <c r="F525" t="s">
        <v>18</v>
      </c>
      <c r="G525" t="s">
        <v>28</v>
      </c>
      <c r="H525">
        <v>552</v>
      </c>
      <c r="I525" s="13">
        <v>3</v>
      </c>
      <c r="J525">
        <v>0</v>
      </c>
      <c r="K525">
        <v>0</v>
      </c>
      <c r="L525">
        <v>0</v>
      </c>
      <c r="M525">
        <v>0</v>
      </c>
      <c r="O525">
        <f t="shared" si="8"/>
        <v>1</v>
      </c>
    </row>
    <row r="526" spans="1:15">
      <c r="A526">
        <v>883</v>
      </c>
      <c r="B526" s="1">
        <v>45661</v>
      </c>
      <c r="C526">
        <v>25</v>
      </c>
      <c r="D526" t="s">
        <v>14</v>
      </c>
      <c r="E526" t="s">
        <v>20</v>
      </c>
      <c r="F526" t="s">
        <v>18</v>
      </c>
      <c r="G526" t="s">
        <v>30</v>
      </c>
      <c r="H526">
        <v>424.2</v>
      </c>
      <c r="I526" s="13">
        <v>7</v>
      </c>
      <c r="J526">
        <v>0</v>
      </c>
      <c r="K526">
        <v>0</v>
      </c>
      <c r="L526">
        <v>0</v>
      </c>
      <c r="M526">
        <v>0</v>
      </c>
      <c r="O526">
        <f t="shared" si="8"/>
        <v>1</v>
      </c>
    </row>
    <row r="527" spans="1:15">
      <c r="A527">
        <v>3162</v>
      </c>
      <c r="B527" s="1">
        <v>45661</v>
      </c>
      <c r="C527">
        <v>33</v>
      </c>
      <c r="D527" t="s">
        <v>14</v>
      </c>
      <c r="E527" t="s">
        <v>24</v>
      </c>
      <c r="F527" t="s">
        <v>16</v>
      </c>
      <c r="H527">
        <v>333.6</v>
      </c>
      <c r="I527" s="13">
        <v>5</v>
      </c>
      <c r="J527">
        <v>0</v>
      </c>
      <c r="K527">
        <v>0</v>
      </c>
      <c r="L527">
        <v>0</v>
      </c>
      <c r="M527">
        <v>0</v>
      </c>
      <c r="O527">
        <f t="shared" si="8"/>
        <v>1</v>
      </c>
    </row>
    <row r="528" spans="1:15">
      <c r="A528">
        <v>1050</v>
      </c>
      <c r="B528" s="1">
        <v>45661</v>
      </c>
      <c r="C528">
        <v>28</v>
      </c>
      <c r="D528" t="s">
        <v>14</v>
      </c>
      <c r="E528" t="s">
        <v>15</v>
      </c>
      <c r="F528" t="s">
        <v>21</v>
      </c>
      <c r="H528">
        <v>324</v>
      </c>
      <c r="I528" s="13">
        <v>8</v>
      </c>
      <c r="J528">
        <v>0</v>
      </c>
      <c r="K528">
        <v>0</v>
      </c>
      <c r="L528">
        <v>0</v>
      </c>
      <c r="M528">
        <v>0</v>
      </c>
      <c r="O528">
        <f t="shared" si="8"/>
        <v>1</v>
      </c>
    </row>
    <row r="529" spans="1:15">
      <c r="A529">
        <v>795</v>
      </c>
      <c r="B529" s="1">
        <v>45661</v>
      </c>
      <c r="C529">
        <v>21</v>
      </c>
      <c r="D529" t="s">
        <v>14</v>
      </c>
      <c r="E529" t="s">
        <v>20</v>
      </c>
      <c r="F529" t="s">
        <v>23</v>
      </c>
      <c r="H529">
        <v>290.10000000000002</v>
      </c>
      <c r="I529" s="13">
        <v>8</v>
      </c>
      <c r="J529">
        <v>0</v>
      </c>
      <c r="K529">
        <v>0</v>
      </c>
      <c r="L529">
        <v>0</v>
      </c>
      <c r="M529">
        <v>0</v>
      </c>
      <c r="O529">
        <f t="shared" si="8"/>
        <v>1</v>
      </c>
    </row>
    <row r="530" spans="1:15">
      <c r="A530">
        <v>11</v>
      </c>
      <c r="B530" s="1">
        <v>45661</v>
      </c>
      <c r="C530">
        <v>36</v>
      </c>
      <c r="D530" t="s">
        <v>17</v>
      </c>
      <c r="E530" t="s">
        <v>22</v>
      </c>
      <c r="F530" t="s">
        <v>16</v>
      </c>
      <c r="H530">
        <v>281.39999999999998</v>
      </c>
      <c r="I530" s="13">
        <v>4</v>
      </c>
      <c r="J530">
        <v>0</v>
      </c>
      <c r="K530">
        <v>0</v>
      </c>
      <c r="L530">
        <v>0</v>
      </c>
      <c r="M530">
        <v>0</v>
      </c>
      <c r="O530">
        <f t="shared" si="8"/>
        <v>1</v>
      </c>
    </row>
    <row r="531" spans="1:15">
      <c r="A531">
        <v>3224</v>
      </c>
      <c r="B531" s="1">
        <v>45661</v>
      </c>
      <c r="C531">
        <v>34</v>
      </c>
      <c r="D531" t="s">
        <v>14</v>
      </c>
      <c r="E531" t="s">
        <v>20</v>
      </c>
      <c r="F531" t="s">
        <v>23</v>
      </c>
      <c r="H531">
        <v>240.1</v>
      </c>
      <c r="I531" s="13">
        <v>3</v>
      </c>
      <c r="J531">
        <v>0</v>
      </c>
      <c r="K531">
        <v>0</v>
      </c>
      <c r="L531">
        <v>0</v>
      </c>
      <c r="M531">
        <v>0</v>
      </c>
      <c r="O531">
        <f t="shared" si="8"/>
        <v>1</v>
      </c>
    </row>
    <row r="532" spans="1:15">
      <c r="A532">
        <v>1203</v>
      </c>
      <c r="B532" s="1">
        <v>45661</v>
      </c>
      <c r="C532">
        <v>30</v>
      </c>
      <c r="D532" t="s">
        <v>14</v>
      </c>
      <c r="E532" t="s">
        <v>20</v>
      </c>
      <c r="F532" t="s">
        <v>18</v>
      </c>
      <c r="G532" t="s">
        <v>26</v>
      </c>
      <c r="H532">
        <v>209.3</v>
      </c>
      <c r="I532" s="13">
        <v>7</v>
      </c>
      <c r="J532">
        <v>0</v>
      </c>
      <c r="K532">
        <v>0</v>
      </c>
      <c r="L532">
        <v>0</v>
      </c>
      <c r="M532">
        <v>0</v>
      </c>
      <c r="O532">
        <f t="shared" si="8"/>
        <v>1</v>
      </c>
    </row>
    <row r="533" spans="1:15">
      <c r="A533">
        <v>2517</v>
      </c>
      <c r="B533" s="1">
        <v>45661</v>
      </c>
      <c r="C533">
        <v>29</v>
      </c>
      <c r="D533" t="s">
        <v>14</v>
      </c>
      <c r="E533" t="s">
        <v>24</v>
      </c>
      <c r="F533" t="s">
        <v>23</v>
      </c>
      <c r="H533">
        <v>190.6</v>
      </c>
      <c r="I533" s="13">
        <v>7</v>
      </c>
      <c r="J533">
        <v>0</v>
      </c>
      <c r="K533">
        <v>0</v>
      </c>
      <c r="L533">
        <v>0</v>
      </c>
      <c r="M533">
        <v>0</v>
      </c>
      <c r="O533">
        <f t="shared" si="8"/>
        <v>1</v>
      </c>
    </row>
    <row r="534" spans="1:15">
      <c r="A534">
        <v>4327</v>
      </c>
      <c r="B534" s="1">
        <v>45661</v>
      </c>
      <c r="C534">
        <v>42</v>
      </c>
      <c r="D534" t="s">
        <v>14</v>
      </c>
      <c r="E534" t="s">
        <v>20</v>
      </c>
      <c r="F534" t="s">
        <v>23</v>
      </c>
      <c r="H534">
        <v>185.1</v>
      </c>
      <c r="I534" s="13">
        <v>5</v>
      </c>
      <c r="J534">
        <v>0</v>
      </c>
      <c r="K534">
        <v>0</v>
      </c>
      <c r="L534">
        <v>0</v>
      </c>
      <c r="M534">
        <v>0</v>
      </c>
      <c r="O534">
        <f t="shared" si="8"/>
        <v>1</v>
      </c>
    </row>
    <row r="535" spans="1:15">
      <c r="A535">
        <v>1074</v>
      </c>
      <c r="B535" s="1">
        <v>45661</v>
      </c>
      <c r="C535">
        <v>22</v>
      </c>
      <c r="D535" t="s">
        <v>14</v>
      </c>
      <c r="E535" t="s">
        <v>24</v>
      </c>
      <c r="F535" t="s">
        <v>16</v>
      </c>
      <c r="H535">
        <v>180</v>
      </c>
      <c r="I535" s="13">
        <v>2</v>
      </c>
      <c r="J535">
        <v>0</v>
      </c>
      <c r="K535">
        <v>0</v>
      </c>
      <c r="L535">
        <v>0</v>
      </c>
      <c r="M535">
        <v>0</v>
      </c>
      <c r="O535">
        <f t="shared" si="8"/>
        <v>1</v>
      </c>
    </row>
    <row r="536" spans="1:15">
      <c r="A536">
        <v>937</v>
      </c>
      <c r="B536" s="1">
        <v>45661</v>
      </c>
      <c r="C536">
        <v>22</v>
      </c>
      <c r="D536" t="s">
        <v>17</v>
      </c>
      <c r="E536" t="s">
        <v>24</v>
      </c>
      <c r="F536" t="s">
        <v>16</v>
      </c>
      <c r="H536">
        <v>169</v>
      </c>
      <c r="I536" s="13">
        <v>7</v>
      </c>
      <c r="J536">
        <v>0</v>
      </c>
      <c r="K536">
        <v>0</v>
      </c>
      <c r="L536">
        <v>0</v>
      </c>
      <c r="M536">
        <v>0</v>
      </c>
      <c r="O536">
        <f t="shared" si="8"/>
        <v>1</v>
      </c>
    </row>
    <row r="537" spans="1:15">
      <c r="A537">
        <v>4552</v>
      </c>
      <c r="B537" s="1">
        <v>45661</v>
      </c>
      <c r="C537">
        <v>44</v>
      </c>
      <c r="D537" t="s">
        <v>17</v>
      </c>
      <c r="E537" t="s">
        <v>22</v>
      </c>
      <c r="F537" t="s">
        <v>23</v>
      </c>
      <c r="H537">
        <v>154.4</v>
      </c>
      <c r="I537" s="13">
        <v>5</v>
      </c>
      <c r="J537">
        <v>0</v>
      </c>
      <c r="K537">
        <v>0</v>
      </c>
      <c r="L537">
        <v>0</v>
      </c>
      <c r="M537">
        <v>0</v>
      </c>
      <c r="O537">
        <f t="shared" si="8"/>
        <v>1</v>
      </c>
    </row>
    <row r="538" spans="1:15">
      <c r="A538">
        <v>4235</v>
      </c>
      <c r="B538" s="1">
        <v>45661</v>
      </c>
      <c r="C538">
        <v>66</v>
      </c>
      <c r="D538" t="s">
        <v>17</v>
      </c>
      <c r="E538" t="s">
        <v>15</v>
      </c>
      <c r="F538" t="s">
        <v>16</v>
      </c>
      <c r="H538">
        <v>130.5</v>
      </c>
      <c r="I538" s="13">
        <v>7</v>
      </c>
      <c r="J538">
        <v>0</v>
      </c>
      <c r="K538">
        <v>0</v>
      </c>
      <c r="L538">
        <v>0</v>
      </c>
      <c r="M538">
        <v>0</v>
      </c>
      <c r="O538">
        <f t="shared" si="8"/>
        <v>1</v>
      </c>
    </row>
    <row r="539" spans="1:15">
      <c r="A539">
        <v>1747</v>
      </c>
      <c r="B539" s="1">
        <v>45661</v>
      </c>
      <c r="C539">
        <v>19</v>
      </c>
      <c r="D539" t="s">
        <v>17</v>
      </c>
      <c r="E539" t="s">
        <v>22</v>
      </c>
      <c r="F539" t="s">
        <v>23</v>
      </c>
      <c r="H539">
        <v>60.4</v>
      </c>
      <c r="I539" s="13">
        <v>5</v>
      </c>
      <c r="J539">
        <v>0</v>
      </c>
      <c r="K539">
        <v>0</v>
      </c>
      <c r="L539">
        <v>0</v>
      </c>
      <c r="M539">
        <v>0</v>
      </c>
      <c r="O539">
        <f t="shared" si="8"/>
        <v>1</v>
      </c>
    </row>
    <row r="540" spans="1:15">
      <c r="A540">
        <v>4659</v>
      </c>
      <c r="B540" s="1">
        <v>45692</v>
      </c>
      <c r="C540">
        <v>46</v>
      </c>
      <c r="D540" t="s">
        <v>17</v>
      </c>
      <c r="E540" t="s">
        <v>24</v>
      </c>
      <c r="F540" t="s">
        <v>16</v>
      </c>
      <c r="H540">
        <v>298</v>
      </c>
      <c r="I540" s="13">
        <v>8</v>
      </c>
      <c r="J540">
        <v>1</v>
      </c>
      <c r="K540">
        <v>12</v>
      </c>
      <c r="L540">
        <v>2</v>
      </c>
      <c r="M540">
        <v>11</v>
      </c>
      <c r="N540">
        <v>5</v>
      </c>
      <c r="O540">
        <f t="shared" si="8"/>
        <v>2</v>
      </c>
    </row>
    <row r="541" spans="1:15">
      <c r="A541">
        <v>4804</v>
      </c>
      <c r="B541" s="1">
        <v>45692</v>
      </c>
      <c r="C541">
        <v>43</v>
      </c>
      <c r="D541" t="s">
        <v>17</v>
      </c>
      <c r="E541" t="s">
        <v>24</v>
      </c>
      <c r="F541" t="s">
        <v>16</v>
      </c>
      <c r="H541">
        <v>154.6</v>
      </c>
      <c r="I541" s="13">
        <v>7</v>
      </c>
      <c r="J541">
        <v>1</v>
      </c>
      <c r="K541">
        <v>94.89</v>
      </c>
      <c r="L541">
        <v>5</v>
      </c>
      <c r="M541">
        <v>13</v>
      </c>
      <c r="N541">
        <v>4</v>
      </c>
      <c r="O541">
        <f t="shared" si="8"/>
        <v>2</v>
      </c>
    </row>
    <row r="542" spans="1:15">
      <c r="A542">
        <v>4230</v>
      </c>
      <c r="B542" s="1">
        <v>45692</v>
      </c>
      <c r="C542">
        <v>63</v>
      </c>
      <c r="D542" t="s">
        <v>14</v>
      </c>
      <c r="E542" t="s">
        <v>15</v>
      </c>
      <c r="F542" t="s">
        <v>16</v>
      </c>
      <c r="H542">
        <v>525.5</v>
      </c>
      <c r="I542" s="13">
        <v>6</v>
      </c>
      <c r="J542">
        <v>1</v>
      </c>
      <c r="K542">
        <v>39.93</v>
      </c>
      <c r="L542">
        <v>1</v>
      </c>
      <c r="M542">
        <v>11</v>
      </c>
      <c r="N542">
        <v>4</v>
      </c>
      <c r="O542">
        <f t="shared" si="8"/>
        <v>2</v>
      </c>
    </row>
    <row r="543" spans="1:15">
      <c r="A543">
        <v>3203</v>
      </c>
      <c r="B543" s="1">
        <v>45692</v>
      </c>
      <c r="C543">
        <v>37</v>
      </c>
      <c r="D543" t="s">
        <v>17</v>
      </c>
      <c r="E543" t="s">
        <v>22</v>
      </c>
      <c r="F543" t="s">
        <v>21</v>
      </c>
      <c r="H543">
        <v>295.60000000000002</v>
      </c>
      <c r="I543" s="13">
        <v>8</v>
      </c>
      <c r="J543">
        <v>1</v>
      </c>
      <c r="K543">
        <v>18.88</v>
      </c>
      <c r="L543">
        <v>2</v>
      </c>
      <c r="M543">
        <v>10</v>
      </c>
      <c r="N543">
        <v>4</v>
      </c>
      <c r="O543">
        <f t="shared" si="8"/>
        <v>2</v>
      </c>
    </row>
    <row r="544" spans="1:15">
      <c r="A544">
        <v>2800</v>
      </c>
      <c r="B544" s="1">
        <v>45692</v>
      </c>
      <c r="C544">
        <v>32</v>
      </c>
      <c r="D544" t="s">
        <v>14</v>
      </c>
      <c r="E544" t="s">
        <v>20</v>
      </c>
      <c r="F544" t="s">
        <v>18</v>
      </c>
      <c r="G544" t="s">
        <v>31</v>
      </c>
      <c r="H544">
        <v>777.4</v>
      </c>
      <c r="I544" s="13">
        <v>5</v>
      </c>
      <c r="J544">
        <v>0</v>
      </c>
      <c r="K544">
        <v>0</v>
      </c>
      <c r="L544">
        <v>0</v>
      </c>
      <c r="M544">
        <v>0</v>
      </c>
      <c r="O544">
        <f t="shared" si="8"/>
        <v>2</v>
      </c>
    </row>
    <row r="545" spans="1:15">
      <c r="A545">
        <v>856</v>
      </c>
      <c r="B545" s="1">
        <v>45692</v>
      </c>
      <c r="C545">
        <v>18</v>
      </c>
      <c r="D545" t="s">
        <v>17</v>
      </c>
      <c r="E545" t="s">
        <v>15</v>
      </c>
      <c r="F545" t="s">
        <v>16</v>
      </c>
      <c r="H545">
        <v>486.4</v>
      </c>
      <c r="I545" s="13">
        <v>5</v>
      </c>
      <c r="J545">
        <v>0</v>
      </c>
      <c r="K545">
        <v>0</v>
      </c>
      <c r="L545">
        <v>0</v>
      </c>
      <c r="M545">
        <v>0</v>
      </c>
      <c r="O545">
        <f t="shared" si="8"/>
        <v>2</v>
      </c>
    </row>
    <row r="546" spans="1:15">
      <c r="A546">
        <v>1601</v>
      </c>
      <c r="B546" s="1">
        <v>45692</v>
      </c>
      <c r="C546">
        <v>31</v>
      </c>
      <c r="D546" t="s">
        <v>14</v>
      </c>
      <c r="E546" t="s">
        <v>22</v>
      </c>
      <c r="F546" t="s">
        <v>16</v>
      </c>
      <c r="H546">
        <v>260.10000000000002</v>
      </c>
      <c r="I546" s="13">
        <v>5</v>
      </c>
      <c r="J546">
        <v>0</v>
      </c>
      <c r="K546">
        <v>0</v>
      </c>
      <c r="L546">
        <v>0</v>
      </c>
      <c r="M546">
        <v>0</v>
      </c>
      <c r="O546">
        <f t="shared" si="8"/>
        <v>2</v>
      </c>
    </row>
    <row r="547" spans="1:15">
      <c r="A547">
        <v>2853</v>
      </c>
      <c r="B547" s="1">
        <v>45692</v>
      </c>
      <c r="C547">
        <v>33</v>
      </c>
      <c r="D547" t="s">
        <v>17</v>
      </c>
      <c r="E547" t="s">
        <v>20</v>
      </c>
      <c r="F547" t="s">
        <v>18</v>
      </c>
      <c r="G547" t="s">
        <v>26</v>
      </c>
      <c r="H547">
        <v>233.7</v>
      </c>
      <c r="I547" s="13">
        <v>5</v>
      </c>
      <c r="J547">
        <v>0</v>
      </c>
      <c r="K547">
        <v>0</v>
      </c>
      <c r="L547">
        <v>0</v>
      </c>
      <c r="M547">
        <v>0</v>
      </c>
      <c r="O547">
        <f t="shared" si="8"/>
        <v>2</v>
      </c>
    </row>
    <row r="548" spans="1:15">
      <c r="A548">
        <v>3369</v>
      </c>
      <c r="B548" s="1">
        <v>45692</v>
      </c>
      <c r="C548">
        <v>31</v>
      </c>
      <c r="D548" t="s">
        <v>17</v>
      </c>
      <c r="E548" t="s">
        <v>20</v>
      </c>
      <c r="F548" t="s">
        <v>16</v>
      </c>
      <c r="H548">
        <v>136.9</v>
      </c>
      <c r="I548" s="13">
        <v>6</v>
      </c>
      <c r="J548">
        <v>0</v>
      </c>
      <c r="K548">
        <v>0</v>
      </c>
      <c r="L548">
        <v>0</v>
      </c>
      <c r="M548">
        <v>0</v>
      </c>
      <c r="O548">
        <f t="shared" si="8"/>
        <v>2</v>
      </c>
    </row>
    <row r="549" spans="1:15">
      <c r="A549">
        <v>3756</v>
      </c>
      <c r="B549" s="1">
        <v>45692</v>
      </c>
      <c r="C549">
        <v>36</v>
      </c>
      <c r="D549" t="s">
        <v>14</v>
      </c>
      <c r="E549" t="s">
        <v>15</v>
      </c>
      <c r="F549" t="s">
        <v>16</v>
      </c>
      <c r="H549">
        <v>133.9</v>
      </c>
      <c r="I549" s="13">
        <v>5</v>
      </c>
      <c r="J549">
        <v>0</v>
      </c>
      <c r="K549">
        <v>0</v>
      </c>
      <c r="L549">
        <v>0</v>
      </c>
      <c r="M549">
        <v>0</v>
      </c>
      <c r="O549">
        <f t="shared" si="8"/>
        <v>2</v>
      </c>
    </row>
    <row r="550" spans="1:15">
      <c r="A550">
        <v>599</v>
      </c>
      <c r="B550" s="1">
        <v>45692</v>
      </c>
      <c r="C550">
        <v>20</v>
      </c>
      <c r="D550" t="s">
        <v>17</v>
      </c>
      <c r="E550" t="s">
        <v>22</v>
      </c>
      <c r="F550" t="s">
        <v>16</v>
      </c>
      <c r="H550">
        <v>131.1</v>
      </c>
      <c r="I550" s="13">
        <v>2</v>
      </c>
      <c r="J550">
        <v>0</v>
      </c>
      <c r="K550">
        <v>0</v>
      </c>
      <c r="L550">
        <v>0</v>
      </c>
      <c r="M550">
        <v>0</v>
      </c>
      <c r="O550">
        <f t="shared" si="8"/>
        <v>2</v>
      </c>
    </row>
    <row r="551" spans="1:15">
      <c r="A551">
        <v>4747</v>
      </c>
      <c r="B551" s="1">
        <v>45692</v>
      </c>
      <c r="C551">
        <v>70</v>
      </c>
      <c r="D551" t="s">
        <v>14</v>
      </c>
      <c r="E551" t="s">
        <v>15</v>
      </c>
      <c r="F551" t="s">
        <v>18</v>
      </c>
      <c r="G551" t="s">
        <v>30</v>
      </c>
      <c r="H551">
        <v>88</v>
      </c>
      <c r="I551" s="13">
        <v>4</v>
      </c>
      <c r="J551">
        <v>0</v>
      </c>
      <c r="K551">
        <v>0</v>
      </c>
      <c r="L551">
        <v>0</v>
      </c>
      <c r="M551">
        <v>0</v>
      </c>
      <c r="O551">
        <f t="shared" si="8"/>
        <v>2</v>
      </c>
    </row>
    <row r="552" spans="1:15">
      <c r="A552">
        <v>4014</v>
      </c>
      <c r="B552" s="1">
        <v>45692</v>
      </c>
      <c r="C552">
        <v>71</v>
      </c>
      <c r="D552" t="s">
        <v>17</v>
      </c>
      <c r="E552" t="s">
        <v>15</v>
      </c>
      <c r="F552" t="s">
        <v>16</v>
      </c>
      <c r="H552">
        <v>62.1</v>
      </c>
      <c r="I552" s="13">
        <v>6</v>
      </c>
      <c r="J552">
        <v>0</v>
      </c>
      <c r="K552">
        <v>0</v>
      </c>
      <c r="L552">
        <v>0</v>
      </c>
      <c r="M552">
        <v>0</v>
      </c>
      <c r="O552">
        <f t="shared" si="8"/>
        <v>2</v>
      </c>
    </row>
    <row r="553" spans="1:15">
      <c r="A553">
        <v>4856</v>
      </c>
      <c r="B553" s="1">
        <v>45692</v>
      </c>
      <c r="C553">
        <v>59</v>
      </c>
      <c r="D553" t="s">
        <v>14</v>
      </c>
      <c r="E553" t="s">
        <v>22</v>
      </c>
      <c r="F553" t="s">
        <v>16</v>
      </c>
      <c r="H553">
        <v>50</v>
      </c>
      <c r="I553" s="13">
        <v>9</v>
      </c>
      <c r="J553">
        <v>0</v>
      </c>
      <c r="K553">
        <v>0</v>
      </c>
      <c r="L553">
        <v>0</v>
      </c>
      <c r="M553">
        <v>0</v>
      </c>
      <c r="O553">
        <f t="shared" si="8"/>
        <v>2</v>
      </c>
    </row>
    <row r="554" spans="1:15">
      <c r="A554">
        <v>1681</v>
      </c>
      <c r="B554" s="1">
        <v>45720</v>
      </c>
      <c r="C554">
        <v>20</v>
      </c>
      <c r="D554" t="s">
        <v>17</v>
      </c>
      <c r="E554" t="s">
        <v>15</v>
      </c>
      <c r="F554" t="s">
        <v>16</v>
      </c>
      <c r="H554">
        <v>870.2</v>
      </c>
      <c r="I554" s="13">
        <v>4</v>
      </c>
      <c r="J554">
        <v>1</v>
      </c>
      <c r="K554">
        <v>140</v>
      </c>
      <c r="L554">
        <v>3</v>
      </c>
      <c r="M554">
        <v>6</v>
      </c>
      <c r="N554">
        <v>3</v>
      </c>
      <c r="O554">
        <f t="shared" si="8"/>
        <v>3</v>
      </c>
    </row>
    <row r="555" spans="1:15">
      <c r="A555">
        <v>2158</v>
      </c>
      <c r="B555" s="1">
        <v>45720</v>
      </c>
      <c r="C555">
        <v>29</v>
      </c>
      <c r="D555" t="s">
        <v>17</v>
      </c>
      <c r="E555" t="s">
        <v>22</v>
      </c>
      <c r="F555" t="s">
        <v>23</v>
      </c>
      <c r="H555">
        <v>680.6</v>
      </c>
      <c r="I555" s="13">
        <v>4</v>
      </c>
      <c r="J555">
        <v>1</v>
      </c>
      <c r="K555">
        <v>203.42</v>
      </c>
      <c r="L555">
        <v>1</v>
      </c>
      <c r="M555">
        <v>3</v>
      </c>
      <c r="N555">
        <v>4</v>
      </c>
      <c r="O555">
        <f t="shared" si="8"/>
        <v>3</v>
      </c>
    </row>
    <row r="556" spans="1:15">
      <c r="A556">
        <v>3918</v>
      </c>
      <c r="B556" s="1">
        <v>45720</v>
      </c>
      <c r="C556">
        <v>55</v>
      </c>
      <c r="D556" t="s">
        <v>14</v>
      </c>
      <c r="E556" t="s">
        <v>15</v>
      </c>
      <c r="F556" t="s">
        <v>16</v>
      </c>
      <c r="H556">
        <v>301.8</v>
      </c>
      <c r="I556" s="13">
        <v>6</v>
      </c>
      <c r="J556">
        <v>1</v>
      </c>
      <c r="K556">
        <v>122.62</v>
      </c>
      <c r="L556">
        <v>4</v>
      </c>
      <c r="M556">
        <v>10</v>
      </c>
      <c r="N556">
        <v>4</v>
      </c>
      <c r="O556">
        <f t="shared" si="8"/>
        <v>3</v>
      </c>
    </row>
    <row r="557" spans="1:15">
      <c r="A557">
        <v>2396</v>
      </c>
      <c r="B557" s="1">
        <v>45720</v>
      </c>
      <c r="C557">
        <v>31</v>
      </c>
      <c r="D557" t="s">
        <v>17</v>
      </c>
      <c r="E557" t="s">
        <v>20</v>
      </c>
      <c r="F557" t="s">
        <v>16</v>
      </c>
      <c r="H557">
        <v>292.39999999999998</v>
      </c>
      <c r="I557" s="13">
        <v>4</v>
      </c>
      <c r="J557">
        <v>1</v>
      </c>
      <c r="K557">
        <v>116.63</v>
      </c>
      <c r="L557">
        <v>2</v>
      </c>
      <c r="M557">
        <v>10</v>
      </c>
      <c r="N557">
        <v>5</v>
      </c>
      <c r="O557">
        <f t="shared" si="8"/>
        <v>3</v>
      </c>
    </row>
    <row r="558" spans="1:15">
      <c r="A558">
        <v>2754</v>
      </c>
      <c r="B558" s="1">
        <v>45720</v>
      </c>
      <c r="C558">
        <v>26</v>
      </c>
      <c r="D558" t="s">
        <v>17</v>
      </c>
      <c r="E558" t="s">
        <v>22</v>
      </c>
      <c r="F558" t="s">
        <v>16</v>
      </c>
      <c r="H558">
        <v>630.5</v>
      </c>
      <c r="I558" s="13">
        <v>8</v>
      </c>
      <c r="J558">
        <v>1</v>
      </c>
      <c r="K558">
        <v>107.23</v>
      </c>
      <c r="L558">
        <v>3</v>
      </c>
      <c r="M558">
        <v>11</v>
      </c>
      <c r="N558">
        <v>5</v>
      </c>
      <c r="O558">
        <f t="shared" si="8"/>
        <v>3</v>
      </c>
    </row>
    <row r="559" spans="1:15">
      <c r="A559">
        <v>2962</v>
      </c>
      <c r="B559" s="1">
        <v>45720</v>
      </c>
      <c r="C559">
        <v>31</v>
      </c>
      <c r="D559" t="s">
        <v>17</v>
      </c>
      <c r="E559" t="s">
        <v>22</v>
      </c>
      <c r="F559" t="s">
        <v>16</v>
      </c>
      <c r="H559">
        <v>91.8</v>
      </c>
      <c r="I559" s="13">
        <v>6</v>
      </c>
      <c r="J559">
        <v>1</v>
      </c>
      <c r="K559">
        <v>68.400000000000006</v>
      </c>
      <c r="L559">
        <v>5</v>
      </c>
      <c r="M559">
        <v>9</v>
      </c>
      <c r="N559">
        <v>3</v>
      </c>
      <c r="O559">
        <f t="shared" si="8"/>
        <v>3</v>
      </c>
    </row>
    <row r="560" spans="1:15">
      <c r="A560">
        <v>2551</v>
      </c>
      <c r="B560" s="1">
        <v>45720</v>
      </c>
      <c r="C560">
        <v>43</v>
      </c>
      <c r="D560" t="s">
        <v>17</v>
      </c>
      <c r="E560" t="s">
        <v>22</v>
      </c>
      <c r="F560" t="s">
        <v>23</v>
      </c>
      <c r="H560">
        <v>614.1</v>
      </c>
      <c r="I560" s="13">
        <v>2</v>
      </c>
      <c r="J560">
        <v>1</v>
      </c>
      <c r="K560">
        <v>50.34</v>
      </c>
      <c r="L560">
        <v>4</v>
      </c>
      <c r="M560">
        <v>12</v>
      </c>
      <c r="N560">
        <v>4</v>
      </c>
      <c r="O560">
        <f t="shared" si="8"/>
        <v>3</v>
      </c>
    </row>
    <row r="561" spans="1:15">
      <c r="A561">
        <v>3048</v>
      </c>
      <c r="B561" s="1">
        <v>45720</v>
      </c>
      <c r="C561">
        <v>35</v>
      </c>
      <c r="D561" t="s">
        <v>17</v>
      </c>
      <c r="E561" t="s">
        <v>15</v>
      </c>
      <c r="F561" t="s">
        <v>18</v>
      </c>
      <c r="G561" t="s">
        <v>31</v>
      </c>
      <c r="H561">
        <v>179.4</v>
      </c>
      <c r="I561" s="13">
        <v>7</v>
      </c>
      <c r="J561">
        <v>1</v>
      </c>
      <c r="K561">
        <v>48.64</v>
      </c>
      <c r="L561">
        <v>5</v>
      </c>
      <c r="M561">
        <v>8</v>
      </c>
      <c r="N561">
        <v>4</v>
      </c>
      <c r="O561">
        <f t="shared" si="8"/>
        <v>3</v>
      </c>
    </row>
    <row r="562" spans="1:15">
      <c r="A562">
        <v>570</v>
      </c>
      <c r="B562" s="1">
        <v>45720</v>
      </c>
      <c r="C562">
        <v>30</v>
      </c>
      <c r="D562" t="s">
        <v>14</v>
      </c>
      <c r="E562" t="s">
        <v>22</v>
      </c>
      <c r="F562" t="s">
        <v>16</v>
      </c>
      <c r="H562">
        <v>100.7</v>
      </c>
      <c r="I562" s="13">
        <v>6</v>
      </c>
      <c r="J562">
        <v>1</v>
      </c>
      <c r="K562">
        <v>48.12</v>
      </c>
      <c r="L562">
        <v>5</v>
      </c>
      <c r="M562">
        <v>10</v>
      </c>
      <c r="N562">
        <v>5</v>
      </c>
      <c r="O562">
        <f t="shared" si="8"/>
        <v>3</v>
      </c>
    </row>
    <row r="563" spans="1:15">
      <c r="A563">
        <v>784</v>
      </c>
      <c r="B563" s="1">
        <v>45720</v>
      </c>
      <c r="C563">
        <v>18</v>
      </c>
      <c r="D563" t="s">
        <v>17</v>
      </c>
      <c r="E563" t="s">
        <v>22</v>
      </c>
      <c r="F563" t="s">
        <v>16</v>
      </c>
      <c r="H563">
        <v>333.8</v>
      </c>
      <c r="I563" s="13">
        <v>3</v>
      </c>
      <c r="J563">
        <v>1</v>
      </c>
      <c r="K563">
        <v>37.57</v>
      </c>
      <c r="L563">
        <v>2</v>
      </c>
      <c r="M563">
        <v>15</v>
      </c>
      <c r="N563">
        <v>3</v>
      </c>
      <c r="O563">
        <f t="shared" si="8"/>
        <v>3</v>
      </c>
    </row>
    <row r="564" spans="1:15">
      <c r="A564">
        <v>3695</v>
      </c>
      <c r="B564" s="1">
        <v>45720</v>
      </c>
      <c r="C564">
        <v>26</v>
      </c>
      <c r="D564" t="s">
        <v>17</v>
      </c>
      <c r="E564" t="s">
        <v>22</v>
      </c>
      <c r="F564" t="s">
        <v>23</v>
      </c>
      <c r="H564">
        <v>126.3</v>
      </c>
      <c r="I564" s="13">
        <v>7</v>
      </c>
      <c r="J564">
        <v>1</v>
      </c>
      <c r="K564">
        <v>31.86</v>
      </c>
      <c r="L564">
        <v>1</v>
      </c>
      <c r="M564">
        <v>11</v>
      </c>
      <c r="N564">
        <v>4</v>
      </c>
      <c r="O564">
        <f t="shared" si="8"/>
        <v>3</v>
      </c>
    </row>
    <row r="565" spans="1:15">
      <c r="A565">
        <v>827</v>
      </c>
      <c r="B565" s="1">
        <v>45720</v>
      </c>
      <c r="C565">
        <v>30</v>
      </c>
      <c r="D565" t="s">
        <v>14</v>
      </c>
      <c r="E565" t="s">
        <v>15</v>
      </c>
      <c r="F565" t="s">
        <v>23</v>
      </c>
      <c r="H565">
        <v>675.9</v>
      </c>
      <c r="I565" s="13">
        <v>5</v>
      </c>
      <c r="J565">
        <v>1</v>
      </c>
      <c r="K565">
        <v>27.29</v>
      </c>
      <c r="L565">
        <v>2</v>
      </c>
      <c r="M565">
        <v>9</v>
      </c>
      <c r="N565">
        <v>5</v>
      </c>
      <c r="O565">
        <f t="shared" si="8"/>
        <v>3</v>
      </c>
    </row>
    <row r="566" spans="1:15">
      <c r="A566">
        <v>4437</v>
      </c>
      <c r="B566" s="1">
        <v>45720</v>
      </c>
      <c r="C566">
        <v>58</v>
      </c>
      <c r="D566" t="s">
        <v>14</v>
      </c>
      <c r="E566" t="s">
        <v>24</v>
      </c>
      <c r="F566" t="s">
        <v>16</v>
      </c>
      <c r="H566">
        <v>685.2</v>
      </c>
      <c r="I566" s="13">
        <v>6</v>
      </c>
      <c r="J566">
        <v>1</v>
      </c>
      <c r="K566">
        <v>27.19</v>
      </c>
      <c r="L566">
        <v>1</v>
      </c>
      <c r="M566">
        <v>8</v>
      </c>
      <c r="N566">
        <v>4</v>
      </c>
      <c r="O566">
        <f t="shared" si="8"/>
        <v>3</v>
      </c>
    </row>
    <row r="567" spans="1:15">
      <c r="A567">
        <v>1142</v>
      </c>
      <c r="B567" s="1">
        <v>45720</v>
      </c>
      <c r="C567">
        <v>20</v>
      </c>
      <c r="D567" t="s">
        <v>17</v>
      </c>
      <c r="E567" t="s">
        <v>20</v>
      </c>
      <c r="F567" t="s">
        <v>16</v>
      </c>
      <c r="H567">
        <v>449.6</v>
      </c>
      <c r="I567" s="13">
        <v>10</v>
      </c>
      <c r="J567">
        <v>1</v>
      </c>
      <c r="K567">
        <v>22.84</v>
      </c>
      <c r="L567">
        <v>5</v>
      </c>
      <c r="M567">
        <v>11</v>
      </c>
      <c r="N567">
        <v>5</v>
      </c>
      <c r="O567">
        <f t="shared" si="8"/>
        <v>3</v>
      </c>
    </row>
    <row r="568" spans="1:15">
      <c r="A568">
        <v>1632</v>
      </c>
      <c r="B568" s="1">
        <v>45720</v>
      </c>
      <c r="C568">
        <v>23</v>
      </c>
      <c r="D568" t="s">
        <v>14</v>
      </c>
      <c r="E568" t="s">
        <v>15</v>
      </c>
      <c r="F568" t="s">
        <v>16</v>
      </c>
      <c r="H568">
        <v>621.4</v>
      </c>
      <c r="I568" s="13">
        <v>5</v>
      </c>
      <c r="J568">
        <v>0</v>
      </c>
      <c r="K568">
        <v>0</v>
      </c>
      <c r="L568">
        <v>0</v>
      </c>
      <c r="M568">
        <v>0</v>
      </c>
      <c r="O568">
        <f t="shared" si="8"/>
        <v>3</v>
      </c>
    </row>
    <row r="569" spans="1:15">
      <c r="A569">
        <v>1347</v>
      </c>
      <c r="B569" s="1">
        <v>45720</v>
      </c>
      <c r="C569">
        <v>22</v>
      </c>
      <c r="D569" t="s">
        <v>14</v>
      </c>
      <c r="E569" t="s">
        <v>22</v>
      </c>
      <c r="F569" t="s">
        <v>16</v>
      </c>
      <c r="H569">
        <v>549.4</v>
      </c>
      <c r="I569" s="13">
        <v>9</v>
      </c>
      <c r="J569">
        <v>0</v>
      </c>
      <c r="K569">
        <v>0</v>
      </c>
      <c r="L569">
        <v>0</v>
      </c>
      <c r="M569">
        <v>0</v>
      </c>
      <c r="O569">
        <f t="shared" si="8"/>
        <v>3</v>
      </c>
    </row>
    <row r="570" spans="1:15">
      <c r="A570">
        <v>4721</v>
      </c>
      <c r="B570" s="1">
        <v>45720</v>
      </c>
      <c r="C570">
        <v>58</v>
      </c>
      <c r="D570" t="s">
        <v>14</v>
      </c>
      <c r="E570" t="s">
        <v>24</v>
      </c>
      <c r="F570" t="s">
        <v>16</v>
      </c>
      <c r="H570">
        <v>495</v>
      </c>
      <c r="I570" s="13">
        <v>6</v>
      </c>
      <c r="J570">
        <v>0</v>
      </c>
      <c r="K570">
        <v>0</v>
      </c>
      <c r="L570">
        <v>0</v>
      </c>
      <c r="M570">
        <v>0</v>
      </c>
      <c r="O570">
        <f t="shared" si="8"/>
        <v>3</v>
      </c>
    </row>
    <row r="571" spans="1:15">
      <c r="A571">
        <v>196</v>
      </c>
      <c r="B571" s="1">
        <v>45720</v>
      </c>
      <c r="C571">
        <v>27</v>
      </c>
      <c r="D571" t="s">
        <v>14</v>
      </c>
      <c r="E571" t="s">
        <v>24</v>
      </c>
      <c r="F571" t="s">
        <v>16</v>
      </c>
      <c r="H571">
        <v>464.2</v>
      </c>
      <c r="I571" s="13">
        <v>6</v>
      </c>
      <c r="J571">
        <v>0</v>
      </c>
      <c r="K571">
        <v>0</v>
      </c>
      <c r="L571">
        <v>0</v>
      </c>
      <c r="M571">
        <v>0</v>
      </c>
      <c r="O571">
        <f t="shared" si="8"/>
        <v>3</v>
      </c>
    </row>
    <row r="572" spans="1:15">
      <c r="A572">
        <v>4770</v>
      </c>
      <c r="B572" s="1">
        <v>45720</v>
      </c>
      <c r="C572">
        <v>45</v>
      </c>
      <c r="D572" t="s">
        <v>17</v>
      </c>
      <c r="E572" t="s">
        <v>20</v>
      </c>
      <c r="F572" t="s">
        <v>23</v>
      </c>
      <c r="H572">
        <v>437.8</v>
      </c>
      <c r="I572" s="13">
        <v>7</v>
      </c>
      <c r="J572">
        <v>0</v>
      </c>
      <c r="K572">
        <v>0</v>
      </c>
      <c r="L572">
        <v>0</v>
      </c>
      <c r="M572">
        <v>0</v>
      </c>
      <c r="O572">
        <f t="shared" si="8"/>
        <v>3</v>
      </c>
    </row>
    <row r="573" spans="1:15">
      <c r="A573">
        <v>2017</v>
      </c>
      <c r="B573" s="1">
        <v>45720</v>
      </c>
      <c r="C573">
        <v>31</v>
      </c>
      <c r="D573" t="s">
        <v>14</v>
      </c>
      <c r="E573" t="s">
        <v>15</v>
      </c>
      <c r="F573" t="s">
        <v>18</v>
      </c>
      <c r="G573" t="s">
        <v>31</v>
      </c>
      <c r="H573">
        <v>433.8</v>
      </c>
      <c r="I573" s="13">
        <v>5</v>
      </c>
      <c r="J573">
        <v>0</v>
      </c>
      <c r="K573">
        <v>0</v>
      </c>
      <c r="L573">
        <v>0</v>
      </c>
      <c r="M573">
        <v>0</v>
      </c>
      <c r="O573">
        <f t="shared" si="8"/>
        <v>3</v>
      </c>
    </row>
    <row r="574" spans="1:15">
      <c r="A574">
        <v>2713</v>
      </c>
      <c r="B574" s="1">
        <v>45720</v>
      </c>
      <c r="C574">
        <v>31</v>
      </c>
      <c r="D574" t="s">
        <v>17</v>
      </c>
      <c r="E574" t="s">
        <v>15</v>
      </c>
      <c r="F574" t="s">
        <v>16</v>
      </c>
      <c r="H574">
        <v>422.9</v>
      </c>
      <c r="I574" s="13">
        <v>5</v>
      </c>
      <c r="J574">
        <v>0</v>
      </c>
      <c r="K574">
        <v>0</v>
      </c>
      <c r="L574">
        <v>0</v>
      </c>
      <c r="M574">
        <v>0</v>
      </c>
      <c r="O574">
        <f t="shared" si="8"/>
        <v>3</v>
      </c>
    </row>
    <row r="575" spans="1:15">
      <c r="A575">
        <v>2454</v>
      </c>
      <c r="B575" s="1">
        <v>45720</v>
      </c>
      <c r="C575">
        <v>41</v>
      </c>
      <c r="D575" t="s">
        <v>17</v>
      </c>
      <c r="E575" t="s">
        <v>22</v>
      </c>
      <c r="F575" t="s">
        <v>16</v>
      </c>
      <c r="H575">
        <v>370.9</v>
      </c>
      <c r="I575" s="13">
        <v>8</v>
      </c>
      <c r="J575">
        <v>0</v>
      </c>
      <c r="K575">
        <v>0</v>
      </c>
      <c r="L575">
        <v>0</v>
      </c>
      <c r="M575">
        <v>0</v>
      </c>
      <c r="O575">
        <f t="shared" si="8"/>
        <v>3</v>
      </c>
    </row>
    <row r="576" spans="1:15">
      <c r="A576">
        <v>828</v>
      </c>
      <c r="B576" s="1">
        <v>45720</v>
      </c>
      <c r="C576">
        <v>29</v>
      </c>
      <c r="D576" t="s">
        <v>14</v>
      </c>
      <c r="E576" t="s">
        <v>20</v>
      </c>
      <c r="F576" t="s">
        <v>18</v>
      </c>
      <c r="G576" t="s">
        <v>29</v>
      </c>
      <c r="H576">
        <v>349.4</v>
      </c>
      <c r="I576" s="13">
        <v>9</v>
      </c>
      <c r="J576">
        <v>0</v>
      </c>
      <c r="K576">
        <v>0</v>
      </c>
      <c r="L576">
        <v>0</v>
      </c>
      <c r="M576">
        <v>0</v>
      </c>
      <c r="O576">
        <f t="shared" si="8"/>
        <v>3</v>
      </c>
    </row>
    <row r="577" spans="1:15">
      <c r="A577">
        <v>4738</v>
      </c>
      <c r="B577" s="1">
        <v>45720</v>
      </c>
      <c r="C577">
        <v>34</v>
      </c>
      <c r="D577" t="s">
        <v>14</v>
      </c>
      <c r="E577" t="s">
        <v>15</v>
      </c>
      <c r="F577" t="s">
        <v>16</v>
      </c>
      <c r="H577">
        <v>332.6</v>
      </c>
      <c r="I577" s="13">
        <v>8</v>
      </c>
      <c r="J577">
        <v>0</v>
      </c>
      <c r="K577">
        <v>0</v>
      </c>
      <c r="L577">
        <v>0</v>
      </c>
      <c r="M577">
        <v>0</v>
      </c>
      <c r="O577">
        <f t="shared" si="8"/>
        <v>3</v>
      </c>
    </row>
    <row r="578" spans="1:15">
      <c r="A578">
        <v>594</v>
      </c>
      <c r="B578" s="1">
        <v>45720</v>
      </c>
      <c r="C578">
        <v>22</v>
      </c>
      <c r="D578" t="s">
        <v>27</v>
      </c>
      <c r="E578" t="s">
        <v>15</v>
      </c>
      <c r="F578" t="s">
        <v>16</v>
      </c>
      <c r="H578">
        <v>273.3</v>
      </c>
      <c r="I578" s="13">
        <v>2</v>
      </c>
      <c r="J578">
        <v>0</v>
      </c>
      <c r="K578">
        <v>0</v>
      </c>
      <c r="L578">
        <v>0</v>
      </c>
      <c r="M578">
        <v>0</v>
      </c>
      <c r="O578">
        <f t="shared" si="8"/>
        <v>3</v>
      </c>
    </row>
    <row r="579" spans="1:15">
      <c r="A579">
        <v>1193</v>
      </c>
      <c r="B579" s="1">
        <v>45720</v>
      </c>
      <c r="C579">
        <v>18</v>
      </c>
      <c r="D579" t="s">
        <v>17</v>
      </c>
      <c r="E579" t="s">
        <v>22</v>
      </c>
      <c r="F579" t="s">
        <v>18</v>
      </c>
      <c r="G579" t="s">
        <v>25</v>
      </c>
      <c r="H579">
        <v>267.5</v>
      </c>
      <c r="I579" s="13">
        <v>8</v>
      </c>
      <c r="J579">
        <v>0</v>
      </c>
      <c r="K579">
        <v>0</v>
      </c>
      <c r="L579">
        <v>0</v>
      </c>
      <c r="M579">
        <v>0</v>
      </c>
      <c r="O579">
        <f t="shared" ref="O579:O642" si="9">MONTH(B579)</f>
        <v>3</v>
      </c>
    </row>
    <row r="580" spans="1:15">
      <c r="A580">
        <v>1805</v>
      </c>
      <c r="B580" s="1">
        <v>45720</v>
      </c>
      <c r="C580">
        <v>32</v>
      </c>
      <c r="D580" t="s">
        <v>14</v>
      </c>
      <c r="E580" t="s">
        <v>22</v>
      </c>
      <c r="F580" t="s">
        <v>16</v>
      </c>
      <c r="H580">
        <v>256.2</v>
      </c>
      <c r="I580" s="13">
        <v>6</v>
      </c>
      <c r="J580">
        <v>0</v>
      </c>
      <c r="K580">
        <v>0</v>
      </c>
      <c r="L580">
        <v>0</v>
      </c>
      <c r="M580">
        <v>0</v>
      </c>
      <c r="O580">
        <f t="shared" si="9"/>
        <v>3</v>
      </c>
    </row>
    <row r="581" spans="1:15">
      <c r="A581">
        <v>3808</v>
      </c>
      <c r="B581" s="1">
        <v>45720</v>
      </c>
      <c r="C581">
        <v>64</v>
      </c>
      <c r="D581" t="s">
        <v>14</v>
      </c>
      <c r="E581" t="s">
        <v>22</v>
      </c>
      <c r="F581" t="s">
        <v>16</v>
      </c>
      <c r="H581">
        <v>253.9</v>
      </c>
      <c r="I581" s="13">
        <v>3</v>
      </c>
      <c r="J581">
        <v>0</v>
      </c>
      <c r="K581">
        <v>0</v>
      </c>
      <c r="L581">
        <v>0</v>
      </c>
      <c r="M581">
        <v>0</v>
      </c>
      <c r="O581">
        <f t="shared" si="9"/>
        <v>3</v>
      </c>
    </row>
    <row r="582" spans="1:15">
      <c r="A582">
        <v>2310</v>
      </c>
      <c r="B582" s="1">
        <v>45720</v>
      </c>
      <c r="C582">
        <v>32</v>
      </c>
      <c r="D582" t="s">
        <v>14</v>
      </c>
      <c r="E582" t="s">
        <v>15</v>
      </c>
      <c r="F582" t="s">
        <v>16</v>
      </c>
      <c r="H582">
        <v>225</v>
      </c>
      <c r="I582" s="13">
        <v>7</v>
      </c>
      <c r="J582">
        <v>0</v>
      </c>
      <c r="K582">
        <v>0</v>
      </c>
      <c r="L582">
        <v>0</v>
      </c>
      <c r="M582">
        <v>0</v>
      </c>
      <c r="O582">
        <f t="shared" si="9"/>
        <v>3</v>
      </c>
    </row>
    <row r="583" spans="1:15">
      <c r="A583">
        <v>2036</v>
      </c>
      <c r="B583" s="1">
        <v>45720</v>
      </c>
      <c r="C583">
        <v>40</v>
      </c>
      <c r="D583" t="s">
        <v>27</v>
      </c>
      <c r="E583" t="s">
        <v>22</v>
      </c>
      <c r="F583" t="s">
        <v>16</v>
      </c>
      <c r="H583">
        <v>207.6</v>
      </c>
      <c r="I583" s="13">
        <v>6</v>
      </c>
      <c r="J583">
        <v>0</v>
      </c>
      <c r="K583">
        <v>0</v>
      </c>
      <c r="L583">
        <v>0</v>
      </c>
      <c r="M583">
        <v>0</v>
      </c>
      <c r="O583">
        <f t="shared" si="9"/>
        <v>3</v>
      </c>
    </row>
    <row r="584" spans="1:15">
      <c r="A584">
        <v>4289</v>
      </c>
      <c r="B584" s="1">
        <v>45720</v>
      </c>
      <c r="C584">
        <v>50</v>
      </c>
      <c r="D584" t="s">
        <v>17</v>
      </c>
      <c r="E584" t="s">
        <v>15</v>
      </c>
      <c r="F584" t="s">
        <v>16</v>
      </c>
      <c r="H584">
        <v>79</v>
      </c>
      <c r="I584" s="13">
        <v>9</v>
      </c>
      <c r="J584">
        <v>0</v>
      </c>
      <c r="K584">
        <v>0</v>
      </c>
      <c r="L584">
        <v>0</v>
      </c>
      <c r="M584">
        <v>0</v>
      </c>
      <c r="O584">
        <f t="shared" si="9"/>
        <v>3</v>
      </c>
    </row>
    <row r="585" spans="1:15">
      <c r="A585">
        <v>715</v>
      </c>
      <c r="B585" s="1">
        <v>45720</v>
      </c>
      <c r="C585">
        <v>23</v>
      </c>
      <c r="D585" t="s">
        <v>14</v>
      </c>
      <c r="E585" t="s">
        <v>20</v>
      </c>
      <c r="F585" t="s">
        <v>18</v>
      </c>
      <c r="G585" t="s">
        <v>25</v>
      </c>
      <c r="H585">
        <v>78</v>
      </c>
      <c r="I585" s="13">
        <v>14</v>
      </c>
      <c r="J585">
        <v>0</v>
      </c>
      <c r="K585">
        <v>0</v>
      </c>
      <c r="L585">
        <v>0</v>
      </c>
      <c r="M585">
        <v>0</v>
      </c>
      <c r="O585">
        <f t="shared" si="9"/>
        <v>3</v>
      </c>
    </row>
    <row r="586" spans="1:15">
      <c r="A586">
        <v>1946</v>
      </c>
      <c r="B586" s="1">
        <v>45751</v>
      </c>
      <c r="C586">
        <v>28</v>
      </c>
      <c r="D586" t="s">
        <v>17</v>
      </c>
      <c r="E586" t="s">
        <v>22</v>
      </c>
      <c r="F586" t="s">
        <v>16</v>
      </c>
      <c r="H586">
        <v>463.4</v>
      </c>
      <c r="I586" s="13">
        <v>4</v>
      </c>
      <c r="J586">
        <v>1</v>
      </c>
      <c r="K586">
        <v>117.07</v>
      </c>
      <c r="L586">
        <v>1</v>
      </c>
      <c r="M586">
        <v>13</v>
      </c>
      <c r="N586">
        <v>5</v>
      </c>
      <c r="O586">
        <f t="shared" si="9"/>
        <v>4</v>
      </c>
    </row>
    <row r="587" spans="1:15">
      <c r="A587">
        <v>4694</v>
      </c>
      <c r="B587" s="1">
        <v>45751</v>
      </c>
      <c r="C587">
        <v>38</v>
      </c>
      <c r="D587" t="s">
        <v>17</v>
      </c>
      <c r="E587" t="s">
        <v>15</v>
      </c>
      <c r="F587" t="s">
        <v>16</v>
      </c>
      <c r="H587">
        <v>307.2</v>
      </c>
      <c r="I587" s="13">
        <v>10</v>
      </c>
      <c r="J587">
        <v>1</v>
      </c>
      <c r="K587">
        <v>113.3</v>
      </c>
      <c r="L587">
        <v>6</v>
      </c>
      <c r="M587">
        <v>14</v>
      </c>
      <c r="N587">
        <v>4</v>
      </c>
      <c r="O587">
        <f t="shared" si="9"/>
        <v>4</v>
      </c>
    </row>
    <row r="588" spans="1:15">
      <c r="A588">
        <v>957</v>
      </c>
      <c r="B588" s="1">
        <v>45751</v>
      </c>
      <c r="C588">
        <v>28</v>
      </c>
      <c r="D588" t="s">
        <v>17</v>
      </c>
      <c r="E588" t="s">
        <v>20</v>
      </c>
      <c r="F588" t="s">
        <v>18</v>
      </c>
      <c r="G588" t="s">
        <v>26</v>
      </c>
      <c r="H588">
        <v>481.4</v>
      </c>
      <c r="I588" s="13">
        <v>7</v>
      </c>
      <c r="J588">
        <v>1</v>
      </c>
      <c r="K588">
        <v>95.02</v>
      </c>
      <c r="L588">
        <v>2</v>
      </c>
      <c r="M588">
        <v>9</v>
      </c>
      <c r="N588">
        <v>3</v>
      </c>
      <c r="O588">
        <f t="shared" si="9"/>
        <v>4</v>
      </c>
    </row>
    <row r="589" spans="1:15">
      <c r="A589">
        <v>48</v>
      </c>
      <c r="B589" s="1">
        <v>45751</v>
      </c>
      <c r="C589">
        <v>21</v>
      </c>
      <c r="D589" t="s">
        <v>17</v>
      </c>
      <c r="E589" t="s">
        <v>20</v>
      </c>
      <c r="F589" t="s">
        <v>16</v>
      </c>
      <c r="H589">
        <v>256.89999999999998</v>
      </c>
      <c r="I589" s="13">
        <v>5</v>
      </c>
      <c r="J589">
        <v>1</v>
      </c>
      <c r="K589">
        <v>88.38</v>
      </c>
      <c r="L589">
        <v>2</v>
      </c>
      <c r="M589">
        <v>2</v>
      </c>
      <c r="N589">
        <v>4</v>
      </c>
      <c r="O589">
        <f t="shared" si="9"/>
        <v>4</v>
      </c>
    </row>
    <row r="590" spans="1:15">
      <c r="A590">
        <v>1790</v>
      </c>
      <c r="B590" s="1">
        <v>45751</v>
      </c>
      <c r="C590">
        <v>35</v>
      </c>
      <c r="D590" t="s">
        <v>17</v>
      </c>
      <c r="E590" t="s">
        <v>20</v>
      </c>
      <c r="F590" t="s">
        <v>16</v>
      </c>
      <c r="H590">
        <v>486.4</v>
      </c>
      <c r="I590" s="13">
        <v>5</v>
      </c>
      <c r="J590">
        <v>1</v>
      </c>
      <c r="K590">
        <v>68.39</v>
      </c>
      <c r="L590">
        <v>2</v>
      </c>
      <c r="M590">
        <v>6</v>
      </c>
      <c r="N590">
        <v>4</v>
      </c>
      <c r="O590">
        <f t="shared" si="9"/>
        <v>4</v>
      </c>
    </row>
    <row r="591" spans="1:15">
      <c r="A591">
        <v>2696</v>
      </c>
      <c r="B591" s="1">
        <v>45751</v>
      </c>
      <c r="C591">
        <v>25</v>
      </c>
      <c r="D591" t="s">
        <v>14</v>
      </c>
      <c r="E591" t="s">
        <v>20</v>
      </c>
      <c r="F591" t="s">
        <v>23</v>
      </c>
      <c r="H591">
        <v>286.10000000000002</v>
      </c>
      <c r="I591" s="13">
        <v>6</v>
      </c>
      <c r="J591">
        <v>1</v>
      </c>
      <c r="K591">
        <v>66.599999999999994</v>
      </c>
      <c r="L591">
        <v>4</v>
      </c>
      <c r="M591">
        <v>6</v>
      </c>
      <c r="N591">
        <v>4</v>
      </c>
      <c r="O591">
        <f t="shared" si="9"/>
        <v>4</v>
      </c>
    </row>
    <row r="592" spans="1:15">
      <c r="A592">
        <v>3231</v>
      </c>
      <c r="B592" s="1">
        <v>45751</v>
      </c>
      <c r="C592">
        <v>34</v>
      </c>
      <c r="D592" t="s">
        <v>17</v>
      </c>
      <c r="E592" t="s">
        <v>24</v>
      </c>
      <c r="F592" t="s">
        <v>18</v>
      </c>
      <c r="G592" t="s">
        <v>25</v>
      </c>
      <c r="H592">
        <v>712.1</v>
      </c>
      <c r="I592" s="13">
        <v>8</v>
      </c>
      <c r="J592">
        <v>1</v>
      </c>
      <c r="K592">
        <v>54.49</v>
      </c>
      <c r="L592">
        <v>3</v>
      </c>
      <c r="M592">
        <v>8</v>
      </c>
      <c r="N592">
        <v>5</v>
      </c>
      <c r="O592">
        <f t="shared" si="9"/>
        <v>4</v>
      </c>
    </row>
    <row r="593" spans="1:15">
      <c r="A593">
        <v>2712</v>
      </c>
      <c r="B593" s="1">
        <v>45751</v>
      </c>
      <c r="C593">
        <v>38</v>
      </c>
      <c r="D593" t="s">
        <v>14</v>
      </c>
      <c r="E593" t="s">
        <v>15</v>
      </c>
      <c r="F593" t="s">
        <v>16</v>
      </c>
      <c r="H593">
        <v>323.3</v>
      </c>
      <c r="I593" s="13">
        <v>3</v>
      </c>
      <c r="J593">
        <v>1</v>
      </c>
      <c r="K593">
        <v>53.27</v>
      </c>
      <c r="L593">
        <v>1</v>
      </c>
      <c r="M593">
        <v>12</v>
      </c>
      <c r="N593">
        <v>5</v>
      </c>
      <c r="O593">
        <f t="shared" si="9"/>
        <v>4</v>
      </c>
    </row>
    <row r="594" spans="1:15">
      <c r="A594">
        <v>4542</v>
      </c>
      <c r="B594" s="1">
        <v>45751</v>
      </c>
      <c r="C594">
        <v>37</v>
      </c>
      <c r="D594" t="s">
        <v>14</v>
      </c>
      <c r="E594" t="s">
        <v>24</v>
      </c>
      <c r="F594" t="s">
        <v>16</v>
      </c>
      <c r="H594">
        <v>578.20000000000005</v>
      </c>
      <c r="I594" s="13">
        <v>7</v>
      </c>
      <c r="J594">
        <v>1</v>
      </c>
      <c r="K594">
        <v>50.99</v>
      </c>
      <c r="L594">
        <v>2</v>
      </c>
      <c r="M594">
        <v>1</v>
      </c>
      <c r="N594">
        <v>4</v>
      </c>
      <c r="O594">
        <f t="shared" si="9"/>
        <v>4</v>
      </c>
    </row>
    <row r="595" spans="1:15">
      <c r="A595">
        <v>1286</v>
      </c>
      <c r="B595" s="1">
        <v>45751</v>
      </c>
      <c r="C595">
        <v>27</v>
      </c>
      <c r="D595" t="s">
        <v>17</v>
      </c>
      <c r="E595" t="s">
        <v>15</v>
      </c>
      <c r="F595" t="s">
        <v>21</v>
      </c>
      <c r="H595">
        <v>689</v>
      </c>
      <c r="I595" s="13">
        <v>5</v>
      </c>
      <c r="J595">
        <v>1</v>
      </c>
      <c r="K595">
        <v>30.47</v>
      </c>
      <c r="L595">
        <v>1</v>
      </c>
      <c r="M595">
        <v>12</v>
      </c>
      <c r="N595">
        <v>3</v>
      </c>
      <c r="O595">
        <f t="shared" si="9"/>
        <v>4</v>
      </c>
    </row>
    <row r="596" spans="1:15">
      <c r="A596">
        <v>3040</v>
      </c>
      <c r="B596" s="1">
        <v>45751</v>
      </c>
      <c r="C596">
        <v>45</v>
      </c>
      <c r="D596" t="s">
        <v>17</v>
      </c>
      <c r="E596" t="s">
        <v>24</v>
      </c>
      <c r="F596" t="s">
        <v>18</v>
      </c>
      <c r="G596" t="s">
        <v>29</v>
      </c>
      <c r="H596">
        <v>286</v>
      </c>
      <c r="I596" s="13">
        <v>3</v>
      </c>
      <c r="J596">
        <v>1</v>
      </c>
      <c r="K596">
        <v>29</v>
      </c>
      <c r="L596">
        <v>1</v>
      </c>
      <c r="M596">
        <v>6</v>
      </c>
      <c r="N596">
        <v>4</v>
      </c>
      <c r="O596">
        <f t="shared" si="9"/>
        <v>4</v>
      </c>
    </row>
    <row r="597" spans="1:15">
      <c r="A597">
        <v>4402</v>
      </c>
      <c r="B597" s="1">
        <v>45751</v>
      </c>
      <c r="C597">
        <v>37</v>
      </c>
      <c r="D597" t="s">
        <v>14</v>
      </c>
      <c r="E597" t="s">
        <v>20</v>
      </c>
      <c r="F597" t="s">
        <v>21</v>
      </c>
      <c r="H597">
        <v>214.4</v>
      </c>
      <c r="I597" s="13">
        <v>5</v>
      </c>
      <c r="J597">
        <v>1</v>
      </c>
      <c r="K597">
        <v>28.22</v>
      </c>
      <c r="L597">
        <v>4</v>
      </c>
      <c r="M597">
        <v>6</v>
      </c>
      <c r="N597">
        <v>4</v>
      </c>
      <c r="O597">
        <f t="shared" si="9"/>
        <v>4</v>
      </c>
    </row>
    <row r="598" spans="1:15">
      <c r="A598">
        <v>549</v>
      </c>
      <c r="B598" s="1">
        <v>45751</v>
      </c>
      <c r="C598">
        <v>27</v>
      </c>
      <c r="D598" t="s">
        <v>27</v>
      </c>
      <c r="E598" t="s">
        <v>22</v>
      </c>
      <c r="F598" t="s">
        <v>18</v>
      </c>
      <c r="G598" t="s">
        <v>19</v>
      </c>
      <c r="H598">
        <v>119.2</v>
      </c>
      <c r="I598" s="13">
        <v>6</v>
      </c>
      <c r="J598">
        <v>1</v>
      </c>
      <c r="K598">
        <v>21.44</v>
      </c>
      <c r="L598">
        <v>5</v>
      </c>
      <c r="M598">
        <v>6</v>
      </c>
      <c r="N598">
        <v>4</v>
      </c>
      <c r="O598">
        <f t="shared" si="9"/>
        <v>4</v>
      </c>
    </row>
    <row r="599" spans="1:15">
      <c r="A599">
        <v>3328</v>
      </c>
      <c r="B599" s="1">
        <v>45751</v>
      </c>
      <c r="C599">
        <v>28</v>
      </c>
      <c r="D599" t="s">
        <v>17</v>
      </c>
      <c r="E599" t="s">
        <v>20</v>
      </c>
      <c r="F599" t="s">
        <v>16</v>
      </c>
      <c r="H599">
        <v>654.4</v>
      </c>
      <c r="I599" s="13">
        <v>5</v>
      </c>
      <c r="J599">
        <v>0</v>
      </c>
      <c r="K599">
        <v>0</v>
      </c>
      <c r="L599">
        <v>0</v>
      </c>
      <c r="M599">
        <v>0</v>
      </c>
      <c r="O599">
        <f t="shared" si="9"/>
        <v>4</v>
      </c>
    </row>
    <row r="600" spans="1:15">
      <c r="A600">
        <v>1643</v>
      </c>
      <c r="B600" s="1">
        <v>45751</v>
      </c>
      <c r="C600">
        <v>31</v>
      </c>
      <c r="D600" t="s">
        <v>14</v>
      </c>
      <c r="E600" t="s">
        <v>22</v>
      </c>
      <c r="F600" t="s">
        <v>16</v>
      </c>
      <c r="H600">
        <v>543.6</v>
      </c>
      <c r="I600" s="13">
        <v>5</v>
      </c>
      <c r="J600">
        <v>0</v>
      </c>
      <c r="K600">
        <v>0</v>
      </c>
      <c r="L600">
        <v>0</v>
      </c>
      <c r="M600">
        <v>0</v>
      </c>
      <c r="O600">
        <f t="shared" si="9"/>
        <v>4</v>
      </c>
    </row>
    <row r="601" spans="1:15">
      <c r="A601">
        <v>264</v>
      </c>
      <c r="B601" s="1">
        <v>45751</v>
      </c>
      <c r="C601">
        <v>22</v>
      </c>
      <c r="D601" t="s">
        <v>17</v>
      </c>
      <c r="E601" t="s">
        <v>24</v>
      </c>
      <c r="F601" t="s">
        <v>16</v>
      </c>
      <c r="H601">
        <v>522.5</v>
      </c>
      <c r="I601" s="13">
        <v>3</v>
      </c>
      <c r="J601">
        <v>0</v>
      </c>
      <c r="K601">
        <v>0</v>
      </c>
      <c r="L601">
        <v>0</v>
      </c>
      <c r="M601">
        <v>0</v>
      </c>
      <c r="O601">
        <f t="shared" si="9"/>
        <v>4</v>
      </c>
    </row>
    <row r="602" spans="1:15">
      <c r="A602">
        <v>816</v>
      </c>
      <c r="B602" s="1">
        <v>45751</v>
      </c>
      <c r="C602">
        <v>31</v>
      </c>
      <c r="D602" t="s">
        <v>17</v>
      </c>
      <c r="E602" t="s">
        <v>22</v>
      </c>
      <c r="F602" t="s">
        <v>16</v>
      </c>
      <c r="H602">
        <v>514.4</v>
      </c>
      <c r="I602" s="13">
        <v>6</v>
      </c>
      <c r="J602">
        <v>0</v>
      </c>
      <c r="K602">
        <v>0</v>
      </c>
      <c r="L602">
        <v>0</v>
      </c>
      <c r="M602">
        <v>0</v>
      </c>
      <c r="O602">
        <f t="shared" si="9"/>
        <v>4</v>
      </c>
    </row>
    <row r="603" spans="1:15">
      <c r="A603">
        <v>2701</v>
      </c>
      <c r="B603" s="1">
        <v>45751</v>
      </c>
      <c r="C603">
        <v>28</v>
      </c>
      <c r="D603" t="s">
        <v>14</v>
      </c>
      <c r="E603" t="s">
        <v>22</v>
      </c>
      <c r="F603" t="s">
        <v>23</v>
      </c>
      <c r="H603">
        <v>496.1</v>
      </c>
      <c r="I603" s="13">
        <v>8</v>
      </c>
      <c r="J603">
        <v>0</v>
      </c>
      <c r="K603">
        <v>0</v>
      </c>
      <c r="L603">
        <v>0</v>
      </c>
      <c r="M603">
        <v>0</v>
      </c>
      <c r="O603">
        <f t="shared" si="9"/>
        <v>4</v>
      </c>
    </row>
    <row r="604" spans="1:15">
      <c r="A604">
        <v>2805</v>
      </c>
      <c r="B604" s="1">
        <v>45751</v>
      </c>
      <c r="C604">
        <v>27</v>
      </c>
      <c r="D604" t="s">
        <v>17</v>
      </c>
      <c r="E604" t="s">
        <v>24</v>
      </c>
      <c r="F604" t="s">
        <v>16</v>
      </c>
      <c r="H604">
        <v>485.6</v>
      </c>
      <c r="I604" s="13">
        <v>6</v>
      </c>
      <c r="J604">
        <v>0</v>
      </c>
      <c r="K604">
        <v>0</v>
      </c>
      <c r="L604">
        <v>0</v>
      </c>
      <c r="M604">
        <v>0</v>
      </c>
      <c r="O604">
        <f t="shared" si="9"/>
        <v>4</v>
      </c>
    </row>
    <row r="605" spans="1:15">
      <c r="A605">
        <v>2072</v>
      </c>
      <c r="B605" s="1">
        <v>45751</v>
      </c>
      <c r="C605">
        <v>44</v>
      </c>
      <c r="D605" t="s">
        <v>17</v>
      </c>
      <c r="E605" t="s">
        <v>15</v>
      </c>
      <c r="F605" t="s">
        <v>23</v>
      </c>
      <c r="H605">
        <v>446.8</v>
      </c>
      <c r="I605" s="13">
        <v>8</v>
      </c>
      <c r="J605">
        <v>0</v>
      </c>
      <c r="K605">
        <v>0</v>
      </c>
      <c r="L605">
        <v>0</v>
      </c>
      <c r="M605">
        <v>0</v>
      </c>
      <c r="O605">
        <f t="shared" si="9"/>
        <v>4</v>
      </c>
    </row>
    <row r="606" spans="1:15">
      <c r="A606">
        <v>551</v>
      </c>
      <c r="B606" s="1">
        <v>45751</v>
      </c>
      <c r="C606">
        <v>22</v>
      </c>
      <c r="D606" t="s">
        <v>14</v>
      </c>
      <c r="E606" t="s">
        <v>20</v>
      </c>
      <c r="F606" t="s">
        <v>18</v>
      </c>
      <c r="G606" t="s">
        <v>31</v>
      </c>
      <c r="H606">
        <v>431.7</v>
      </c>
      <c r="I606" s="13">
        <v>5</v>
      </c>
      <c r="J606">
        <v>0</v>
      </c>
      <c r="K606">
        <v>0</v>
      </c>
      <c r="L606">
        <v>0</v>
      </c>
      <c r="M606">
        <v>0</v>
      </c>
      <c r="O606">
        <f t="shared" si="9"/>
        <v>4</v>
      </c>
    </row>
    <row r="607" spans="1:15">
      <c r="A607">
        <v>1394</v>
      </c>
      <c r="B607" s="1">
        <v>45751</v>
      </c>
      <c r="C607">
        <v>23</v>
      </c>
      <c r="D607" t="s">
        <v>14</v>
      </c>
      <c r="E607" t="s">
        <v>15</v>
      </c>
      <c r="F607" t="s">
        <v>16</v>
      </c>
      <c r="H607">
        <v>393.1</v>
      </c>
      <c r="I607" s="13">
        <v>6</v>
      </c>
      <c r="J607">
        <v>0</v>
      </c>
      <c r="K607">
        <v>0</v>
      </c>
      <c r="L607">
        <v>0</v>
      </c>
      <c r="M607">
        <v>0</v>
      </c>
      <c r="O607">
        <f t="shared" si="9"/>
        <v>4</v>
      </c>
    </row>
    <row r="608" spans="1:15">
      <c r="A608">
        <v>3139</v>
      </c>
      <c r="B608" s="1">
        <v>45751</v>
      </c>
      <c r="C608">
        <v>38</v>
      </c>
      <c r="D608" t="s">
        <v>17</v>
      </c>
      <c r="E608" t="s">
        <v>15</v>
      </c>
      <c r="F608" t="s">
        <v>18</v>
      </c>
      <c r="G608" t="s">
        <v>26</v>
      </c>
      <c r="H608">
        <v>377.5</v>
      </c>
      <c r="I608" s="13">
        <v>5</v>
      </c>
      <c r="J608">
        <v>0</v>
      </c>
      <c r="K608">
        <v>0</v>
      </c>
      <c r="L608">
        <v>0</v>
      </c>
      <c r="M608">
        <v>0</v>
      </c>
      <c r="O608">
        <f t="shared" si="9"/>
        <v>4</v>
      </c>
    </row>
    <row r="609" spans="1:15">
      <c r="A609">
        <v>137</v>
      </c>
      <c r="B609" s="1">
        <v>45751</v>
      </c>
      <c r="C609">
        <v>23</v>
      </c>
      <c r="D609" t="s">
        <v>17</v>
      </c>
      <c r="E609" t="s">
        <v>20</v>
      </c>
      <c r="F609" t="s">
        <v>18</v>
      </c>
      <c r="G609" t="s">
        <v>29</v>
      </c>
      <c r="H609">
        <v>233.1</v>
      </c>
      <c r="I609" s="13">
        <v>6</v>
      </c>
      <c r="J609">
        <v>0</v>
      </c>
      <c r="K609">
        <v>0</v>
      </c>
      <c r="L609">
        <v>0</v>
      </c>
      <c r="M609">
        <v>0</v>
      </c>
      <c r="O609">
        <f t="shared" si="9"/>
        <v>4</v>
      </c>
    </row>
    <row r="610" spans="1:15">
      <c r="A610">
        <v>2594</v>
      </c>
      <c r="B610" s="1">
        <v>45751</v>
      </c>
      <c r="C610">
        <v>42</v>
      </c>
      <c r="D610" t="s">
        <v>17</v>
      </c>
      <c r="E610" t="s">
        <v>15</v>
      </c>
      <c r="F610" t="s">
        <v>16</v>
      </c>
      <c r="H610">
        <v>201.5</v>
      </c>
      <c r="I610" s="13">
        <v>9</v>
      </c>
      <c r="J610">
        <v>0</v>
      </c>
      <c r="K610">
        <v>0</v>
      </c>
      <c r="L610">
        <v>0</v>
      </c>
      <c r="M610">
        <v>0</v>
      </c>
      <c r="O610">
        <f t="shared" si="9"/>
        <v>4</v>
      </c>
    </row>
    <row r="611" spans="1:15">
      <c r="A611">
        <v>1501</v>
      </c>
      <c r="B611" s="1">
        <v>45751</v>
      </c>
      <c r="C611">
        <v>21</v>
      </c>
      <c r="D611" t="s">
        <v>14</v>
      </c>
      <c r="E611" t="s">
        <v>22</v>
      </c>
      <c r="F611" t="s">
        <v>18</v>
      </c>
      <c r="G611" t="s">
        <v>29</v>
      </c>
      <c r="H611">
        <v>157.30000000000001</v>
      </c>
      <c r="I611" s="13">
        <v>3</v>
      </c>
      <c r="J611">
        <v>0</v>
      </c>
      <c r="K611">
        <v>0</v>
      </c>
      <c r="L611">
        <v>0</v>
      </c>
      <c r="M611">
        <v>0</v>
      </c>
      <c r="O611">
        <f t="shared" si="9"/>
        <v>4</v>
      </c>
    </row>
    <row r="612" spans="1:15">
      <c r="A612">
        <v>1974</v>
      </c>
      <c r="B612" s="1">
        <v>45751</v>
      </c>
      <c r="C612">
        <v>28</v>
      </c>
      <c r="D612" t="s">
        <v>14</v>
      </c>
      <c r="E612" t="s">
        <v>22</v>
      </c>
      <c r="F612" t="s">
        <v>18</v>
      </c>
      <c r="G612" t="s">
        <v>26</v>
      </c>
      <c r="H612">
        <v>125.4</v>
      </c>
      <c r="I612" s="13">
        <v>5</v>
      </c>
      <c r="J612">
        <v>0</v>
      </c>
      <c r="K612">
        <v>0</v>
      </c>
      <c r="L612">
        <v>0</v>
      </c>
      <c r="M612">
        <v>0</v>
      </c>
      <c r="O612">
        <f t="shared" si="9"/>
        <v>4</v>
      </c>
    </row>
    <row r="613" spans="1:15">
      <c r="A613">
        <v>2246</v>
      </c>
      <c r="B613" s="1">
        <v>45751</v>
      </c>
      <c r="C613">
        <v>44</v>
      </c>
      <c r="D613" t="s">
        <v>14</v>
      </c>
      <c r="E613" t="s">
        <v>22</v>
      </c>
      <c r="F613" t="s">
        <v>16</v>
      </c>
      <c r="H613">
        <v>114.2</v>
      </c>
      <c r="I613" s="13">
        <v>5</v>
      </c>
      <c r="J613">
        <v>0</v>
      </c>
      <c r="K613">
        <v>0</v>
      </c>
      <c r="L613">
        <v>0</v>
      </c>
      <c r="M613">
        <v>0</v>
      </c>
      <c r="O613">
        <f t="shared" si="9"/>
        <v>4</v>
      </c>
    </row>
    <row r="614" spans="1:15">
      <c r="A614">
        <v>1606</v>
      </c>
      <c r="B614" s="1">
        <v>45751</v>
      </c>
      <c r="C614">
        <v>27</v>
      </c>
      <c r="D614" t="s">
        <v>17</v>
      </c>
      <c r="E614" t="s">
        <v>20</v>
      </c>
      <c r="F614" t="s">
        <v>18</v>
      </c>
      <c r="G614" t="s">
        <v>19</v>
      </c>
      <c r="H614">
        <v>106.2</v>
      </c>
      <c r="I614" s="13">
        <v>7</v>
      </c>
      <c r="J614">
        <v>0</v>
      </c>
      <c r="K614">
        <v>0</v>
      </c>
      <c r="L614">
        <v>0</v>
      </c>
      <c r="M614">
        <v>0</v>
      </c>
      <c r="O614">
        <f t="shared" si="9"/>
        <v>4</v>
      </c>
    </row>
    <row r="615" spans="1:15">
      <c r="A615">
        <v>4517</v>
      </c>
      <c r="B615" s="1">
        <v>45751</v>
      </c>
      <c r="C615">
        <v>41</v>
      </c>
      <c r="D615" t="s">
        <v>17</v>
      </c>
      <c r="E615" t="s">
        <v>22</v>
      </c>
      <c r="F615" t="s">
        <v>18</v>
      </c>
      <c r="G615" t="s">
        <v>30</v>
      </c>
      <c r="H615">
        <v>83.4</v>
      </c>
      <c r="I615" s="13">
        <v>4</v>
      </c>
      <c r="J615">
        <v>0</v>
      </c>
      <c r="K615">
        <v>0</v>
      </c>
      <c r="L615">
        <v>0</v>
      </c>
      <c r="M615">
        <v>0</v>
      </c>
      <c r="O615">
        <f t="shared" si="9"/>
        <v>4</v>
      </c>
    </row>
    <row r="616" spans="1:15">
      <c r="A616">
        <v>2257</v>
      </c>
      <c r="B616" s="1">
        <v>45751</v>
      </c>
      <c r="C616">
        <v>33</v>
      </c>
      <c r="D616" t="s">
        <v>17</v>
      </c>
      <c r="E616" t="s">
        <v>20</v>
      </c>
      <c r="F616" t="s">
        <v>18</v>
      </c>
      <c r="G616" t="s">
        <v>30</v>
      </c>
      <c r="H616">
        <v>68.3</v>
      </c>
      <c r="I616" s="13">
        <v>4</v>
      </c>
      <c r="J616">
        <v>0</v>
      </c>
      <c r="K616">
        <v>0</v>
      </c>
      <c r="L616">
        <v>0</v>
      </c>
      <c r="M616">
        <v>0</v>
      </c>
      <c r="O616">
        <f t="shared" si="9"/>
        <v>4</v>
      </c>
    </row>
    <row r="617" spans="1:15">
      <c r="A617">
        <v>2867</v>
      </c>
      <c r="B617" s="1">
        <v>45751</v>
      </c>
      <c r="C617">
        <v>32</v>
      </c>
      <c r="D617" t="s">
        <v>14</v>
      </c>
      <c r="E617" t="s">
        <v>20</v>
      </c>
      <c r="F617" t="s">
        <v>23</v>
      </c>
      <c r="H617">
        <v>54</v>
      </c>
      <c r="I617" s="13">
        <v>10</v>
      </c>
      <c r="J617">
        <v>0</v>
      </c>
      <c r="K617">
        <v>0</v>
      </c>
      <c r="L617">
        <v>0</v>
      </c>
      <c r="M617">
        <v>0</v>
      </c>
      <c r="O617">
        <f t="shared" si="9"/>
        <v>4</v>
      </c>
    </row>
    <row r="618" spans="1:15">
      <c r="A618">
        <v>4462</v>
      </c>
      <c r="B618" s="1">
        <v>45751</v>
      </c>
      <c r="C618">
        <v>48</v>
      </c>
      <c r="D618" t="s">
        <v>14</v>
      </c>
      <c r="E618" t="s">
        <v>22</v>
      </c>
      <c r="F618" t="s">
        <v>21</v>
      </c>
      <c r="H618">
        <v>43.3</v>
      </c>
      <c r="I618" s="13">
        <v>9</v>
      </c>
      <c r="J618">
        <v>0</v>
      </c>
      <c r="K618">
        <v>0</v>
      </c>
      <c r="L618">
        <v>0</v>
      </c>
      <c r="M618">
        <v>0</v>
      </c>
      <c r="O618">
        <f t="shared" si="9"/>
        <v>4</v>
      </c>
    </row>
    <row r="619" spans="1:15">
      <c r="A619">
        <v>3180</v>
      </c>
      <c r="B619" s="1">
        <v>45781</v>
      </c>
      <c r="C619">
        <v>28</v>
      </c>
      <c r="D619" t="s">
        <v>17</v>
      </c>
      <c r="E619" t="s">
        <v>15</v>
      </c>
      <c r="F619" t="s">
        <v>23</v>
      </c>
      <c r="H619">
        <v>538.79999999999995</v>
      </c>
      <c r="I619" s="13">
        <v>5</v>
      </c>
      <c r="J619">
        <v>1</v>
      </c>
      <c r="K619">
        <v>61.16</v>
      </c>
      <c r="L619">
        <v>4</v>
      </c>
      <c r="M619">
        <v>6</v>
      </c>
      <c r="N619">
        <v>4</v>
      </c>
      <c r="O619">
        <f t="shared" si="9"/>
        <v>5</v>
      </c>
    </row>
    <row r="620" spans="1:15">
      <c r="A620">
        <v>505</v>
      </c>
      <c r="B620" s="1">
        <v>45781</v>
      </c>
      <c r="C620">
        <v>21</v>
      </c>
      <c r="D620" t="s">
        <v>14</v>
      </c>
      <c r="E620" t="s">
        <v>22</v>
      </c>
      <c r="F620" t="s">
        <v>18</v>
      </c>
      <c r="G620" t="s">
        <v>25</v>
      </c>
      <c r="H620">
        <v>502.7</v>
      </c>
      <c r="I620" s="13">
        <v>5</v>
      </c>
      <c r="J620">
        <v>1</v>
      </c>
      <c r="K620">
        <v>55.66</v>
      </c>
      <c r="L620">
        <v>2</v>
      </c>
      <c r="M620">
        <v>6</v>
      </c>
      <c r="N620">
        <v>4</v>
      </c>
      <c r="O620">
        <f t="shared" si="9"/>
        <v>5</v>
      </c>
    </row>
    <row r="621" spans="1:15">
      <c r="A621">
        <v>2411</v>
      </c>
      <c r="B621" s="1">
        <v>45781</v>
      </c>
      <c r="C621">
        <v>24</v>
      </c>
      <c r="D621" t="s">
        <v>17</v>
      </c>
      <c r="E621" t="s">
        <v>22</v>
      </c>
      <c r="F621" t="s">
        <v>16</v>
      </c>
      <c r="H621">
        <v>726.1</v>
      </c>
      <c r="I621" s="13">
        <v>6</v>
      </c>
      <c r="J621">
        <v>1</v>
      </c>
      <c r="K621">
        <v>51.24</v>
      </c>
      <c r="L621">
        <v>1</v>
      </c>
      <c r="M621">
        <v>1</v>
      </c>
      <c r="N621">
        <v>4</v>
      </c>
      <c r="O621">
        <f t="shared" si="9"/>
        <v>5</v>
      </c>
    </row>
    <row r="622" spans="1:15">
      <c r="A622">
        <v>3840</v>
      </c>
      <c r="B622" s="1">
        <v>45781</v>
      </c>
      <c r="C622">
        <v>60</v>
      </c>
      <c r="D622" t="s">
        <v>17</v>
      </c>
      <c r="E622" t="s">
        <v>24</v>
      </c>
      <c r="F622" t="s">
        <v>18</v>
      </c>
      <c r="G622" t="s">
        <v>28</v>
      </c>
      <c r="H622">
        <v>86.2</v>
      </c>
      <c r="I622" s="13">
        <v>6</v>
      </c>
      <c r="J622">
        <v>1</v>
      </c>
      <c r="K622">
        <v>33.46</v>
      </c>
      <c r="L622">
        <v>5</v>
      </c>
      <c r="M622">
        <v>3</v>
      </c>
      <c r="N622">
        <v>4</v>
      </c>
      <c r="O622">
        <f t="shared" si="9"/>
        <v>5</v>
      </c>
    </row>
    <row r="623" spans="1:15">
      <c r="A623">
        <v>2171</v>
      </c>
      <c r="B623" s="1">
        <v>45781</v>
      </c>
      <c r="C623">
        <v>39</v>
      </c>
      <c r="D623" t="s">
        <v>14</v>
      </c>
      <c r="E623" t="s">
        <v>22</v>
      </c>
      <c r="F623" t="s">
        <v>21</v>
      </c>
      <c r="H623">
        <v>258.8</v>
      </c>
      <c r="I623" s="13">
        <v>9</v>
      </c>
      <c r="J623">
        <v>1</v>
      </c>
      <c r="K623">
        <v>33.08</v>
      </c>
      <c r="L623">
        <v>7</v>
      </c>
      <c r="M623">
        <v>2</v>
      </c>
      <c r="N623">
        <v>4</v>
      </c>
      <c r="O623">
        <f t="shared" si="9"/>
        <v>5</v>
      </c>
    </row>
    <row r="624" spans="1:15">
      <c r="A624">
        <v>3270</v>
      </c>
      <c r="B624" s="1">
        <v>45781</v>
      </c>
      <c r="C624">
        <v>32</v>
      </c>
      <c r="D624" t="s">
        <v>27</v>
      </c>
      <c r="E624" t="s">
        <v>20</v>
      </c>
      <c r="F624" t="s">
        <v>18</v>
      </c>
      <c r="G624" t="s">
        <v>28</v>
      </c>
      <c r="H624">
        <v>301.3</v>
      </c>
      <c r="I624" s="13">
        <v>7</v>
      </c>
      <c r="J624">
        <v>1</v>
      </c>
      <c r="K624">
        <v>29.76</v>
      </c>
      <c r="L624">
        <v>3</v>
      </c>
      <c r="M624">
        <v>15</v>
      </c>
      <c r="N624">
        <v>4</v>
      </c>
      <c r="O624">
        <f t="shared" si="9"/>
        <v>5</v>
      </c>
    </row>
    <row r="625" spans="1:15">
      <c r="A625">
        <v>987</v>
      </c>
      <c r="B625" s="1">
        <v>45781</v>
      </c>
      <c r="C625">
        <v>19</v>
      </c>
      <c r="D625" t="s">
        <v>14</v>
      </c>
      <c r="E625" t="s">
        <v>20</v>
      </c>
      <c r="F625" t="s">
        <v>21</v>
      </c>
      <c r="H625">
        <v>585.9</v>
      </c>
      <c r="I625" s="13">
        <v>1</v>
      </c>
      <c r="J625">
        <v>1</v>
      </c>
      <c r="K625">
        <v>26.71</v>
      </c>
      <c r="L625">
        <v>3</v>
      </c>
      <c r="M625">
        <v>1</v>
      </c>
      <c r="N625">
        <v>5</v>
      </c>
      <c r="O625">
        <f t="shared" si="9"/>
        <v>5</v>
      </c>
    </row>
    <row r="626" spans="1:15">
      <c r="A626">
        <v>4406</v>
      </c>
      <c r="B626" s="1">
        <v>45781</v>
      </c>
      <c r="C626">
        <v>53</v>
      </c>
      <c r="D626" t="s">
        <v>17</v>
      </c>
      <c r="E626" t="s">
        <v>20</v>
      </c>
      <c r="F626" t="s">
        <v>16</v>
      </c>
      <c r="H626">
        <v>401</v>
      </c>
      <c r="I626" s="13">
        <v>7</v>
      </c>
      <c r="J626">
        <v>0</v>
      </c>
      <c r="K626">
        <v>0</v>
      </c>
      <c r="L626">
        <v>0</v>
      </c>
      <c r="M626">
        <v>0</v>
      </c>
      <c r="O626">
        <f t="shared" si="9"/>
        <v>5</v>
      </c>
    </row>
    <row r="627" spans="1:15">
      <c r="A627">
        <v>1777</v>
      </c>
      <c r="B627" s="1">
        <v>45781</v>
      </c>
      <c r="C627">
        <v>39</v>
      </c>
      <c r="D627" t="s">
        <v>14</v>
      </c>
      <c r="E627" t="s">
        <v>15</v>
      </c>
      <c r="F627" t="s">
        <v>18</v>
      </c>
      <c r="G627" t="s">
        <v>31</v>
      </c>
      <c r="H627">
        <v>351.5</v>
      </c>
      <c r="I627" s="13">
        <v>7</v>
      </c>
      <c r="J627">
        <v>0</v>
      </c>
      <c r="K627">
        <v>0</v>
      </c>
      <c r="L627">
        <v>0</v>
      </c>
      <c r="M627">
        <v>0</v>
      </c>
      <c r="O627">
        <f t="shared" si="9"/>
        <v>5</v>
      </c>
    </row>
    <row r="628" spans="1:15">
      <c r="A628">
        <v>1187</v>
      </c>
      <c r="B628" s="1">
        <v>45781</v>
      </c>
      <c r="C628">
        <v>26</v>
      </c>
      <c r="D628" t="s">
        <v>14</v>
      </c>
      <c r="E628" t="s">
        <v>20</v>
      </c>
      <c r="F628" t="s">
        <v>16</v>
      </c>
      <c r="H628">
        <v>327.2</v>
      </c>
      <c r="I628" s="13">
        <v>7</v>
      </c>
      <c r="J628">
        <v>0</v>
      </c>
      <c r="K628">
        <v>0</v>
      </c>
      <c r="L628">
        <v>0</v>
      </c>
      <c r="M628">
        <v>0</v>
      </c>
      <c r="O628">
        <f t="shared" si="9"/>
        <v>5</v>
      </c>
    </row>
    <row r="629" spans="1:15">
      <c r="A629">
        <v>2334</v>
      </c>
      <c r="B629" s="1">
        <v>45781</v>
      </c>
      <c r="C629">
        <v>36</v>
      </c>
      <c r="D629" t="s">
        <v>17</v>
      </c>
      <c r="E629" t="s">
        <v>22</v>
      </c>
      <c r="F629" t="s">
        <v>23</v>
      </c>
      <c r="H629">
        <v>288.10000000000002</v>
      </c>
      <c r="I629" s="13">
        <v>2</v>
      </c>
      <c r="J629">
        <v>0</v>
      </c>
      <c r="K629">
        <v>0</v>
      </c>
      <c r="L629">
        <v>0</v>
      </c>
      <c r="M629">
        <v>0</v>
      </c>
      <c r="O629">
        <f t="shared" si="9"/>
        <v>5</v>
      </c>
    </row>
    <row r="630" spans="1:15">
      <c r="A630">
        <v>1881</v>
      </c>
      <c r="B630" s="1">
        <v>45781</v>
      </c>
      <c r="C630">
        <v>26</v>
      </c>
      <c r="D630" t="s">
        <v>17</v>
      </c>
      <c r="E630" t="s">
        <v>24</v>
      </c>
      <c r="F630" t="s">
        <v>21</v>
      </c>
      <c r="H630">
        <v>248.9</v>
      </c>
      <c r="I630" s="13">
        <v>7</v>
      </c>
      <c r="J630">
        <v>0</v>
      </c>
      <c r="K630">
        <v>0</v>
      </c>
      <c r="L630">
        <v>0</v>
      </c>
      <c r="M630">
        <v>0</v>
      </c>
      <c r="O630">
        <f t="shared" si="9"/>
        <v>5</v>
      </c>
    </row>
    <row r="631" spans="1:15">
      <c r="A631">
        <v>2628</v>
      </c>
      <c r="B631" s="1">
        <v>45781</v>
      </c>
      <c r="C631">
        <v>45</v>
      </c>
      <c r="D631" t="s">
        <v>17</v>
      </c>
      <c r="E631" t="s">
        <v>22</v>
      </c>
      <c r="F631" t="s">
        <v>21</v>
      </c>
      <c r="H631">
        <v>168.1</v>
      </c>
      <c r="I631" s="13">
        <v>4</v>
      </c>
      <c r="J631">
        <v>0</v>
      </c>
      <c r="K631">
        <v>0</v>
      </c>
      <c r="L631">
        <v>0</v>
      </c>
      <c r="M631">
        <v>0</v>
      </c>
      <c r="O631">
        <f t="shared" si="9"/>
        <v>5</v>
      </c>
    </row>
    <row r="632" spans="1:15">
      <c r="A632">
        <v>4888</v>
      </c>
      <c r="B632" s="1">
        <v>45781</v>
      </c>
      <c r="C632">
        <v>38</v>
      </c>
      <c r="D632" t="s">
        <v>14</v>
      </c>
      <c r="E632" t="s">
        <v>20</v>
      </c>
      <c r="F632" t="s">
        <v>18</v>
      </c>
      <c r="G632" t="s">
        <v>31</v>
      </c>
      <c r="H632">
        <v>161.9</v>
      </c>
      <c r="I632" s="13">
        <v>7</v>
      </c>
      <c r="J632">
        <v>0</v>
      </c>
      <c r="K632">
        <v>0</v>
      </c>
      <c r="L632">
        <v>0</v>
      </c>
      <c r="M632">
        <v>0</v>
      </c>
      <c r="O632">
        <f t="shared" si="9"/>
        <v>5</v>
      </c>
    </row>
    <row r="633" spans="1:15">
      <c r="A633">
        <v>39</v>
      </c>
      <c r="B633" s="1">
        <v>45781</v>
      </c>
      <c r="C633">
        <v>32</v>
      </c>
      <c r="D633" t="s">
        <v>17</v>
      </c>
      <c r="E633" t="s">
        <v>15</v>
      </c>
      <c r="F633" t="s">
        <v>18</v>
      </c>
      <c r="G633" t="s">
        <v>19</v>
      </c>
      <c r="H633">
        <v>140</v>
      </c>
      <c r="I633" s="13">
        <v>9</v>
      </c>
      <c r="J633">
        <v>0</v>
      </c>
      <c r="K633">
        <v>0</v>
      </c>
      <c r="L633">
        <v>0</v>
      </c>
      <c r="M633">
        <v>0</v>
      </c>
      <c r="O633">
        <f t="shared" si="9"/>
        <v>5</v>
      </c>
    </row>
    <row r="634" spans="1:15">
      <c r="A634">
        <v>2390</v>
      </c>
      <c r="B634" s="1">
        <v>45781</v>
      </c>
      <c r="C634">
        <v>24</v>
      </c>
      <c r="D634" t="s">
        <v>14</v>
      </c>
      <c r="E634" t="s">
        <v>22</v>
      </c>
      <c r="F634" t="s">
        <v>21</v>
      </c>
      <c r="H634">
        <v>139.5</v>
      </c>
      <c r="I634" s="13">
        <v>11</v>
      </c>
      <c r="J634">
        <v>0</v>
      </c>
      <c r="K634">
        <v>0</v>
      </c>
      <c r="L634">
        <v>0</v>
      </c>
      <c r="M634">
        <v>0</v>
      </c>
      <c r="O634">
        <f t="shared" si="9"/>
        <v>5</v>
      </c>
    </row>
    <row r="635" spans="1:15">
      <c r="A635">
        <v>1255</v>
      </c>
      <c r="B635" s="1">
        <v>45781</v>
      </c>
      <c r="C635">
        <v>30</v>
      </c>
      <c r="D635" t="s">
        <v>14</v>
      </c>
      <c r="E635" t="s">
        <v>20</v>
      </c>
      <c r="F635" t="s">
        <v>16</v>
      </c>
      <c r="H635">
        <v>111.7</v>
      </c>
      <c r="I635" s="13">
        <v>5</v>
      </c>
      <c r="J635">
        <v>0</v>
      </c>
      <c r="K635">
        <v>0</v>
      </c>
      <c r="L635">
        <v>0</v>
      </c>
      <c r="M635">
        <v>0</v>
      </c>
      <c r="O635">
        <f t="shared" si="9"/>
        <v>5</v>
      </c>
    </row>
    <row r="636" spans="1:15">
      <c r="A636">
        <v>3929</v>
      </c>
      <c r="B636" s="1">
        <v>45781</v>
      </c>
      <c r="C636">
        <v>65</v>
      </c>
      <c r="D636" t="s">
        <v>14</v>
      </c>
      <c r="E636" t="s">
        <v>24</v>
      </c>
      <c r="F636" t="s">
        <v>23</v>
      </c>
      <c r="H636">
        <v>100.4</v>
      </c>
      <c r="I636" s="13">
        <v>5</v>
      </c>
      <c r="J636">
        <v>0</v>
      </c>
      <c r="K636">
        <v>0</v>
      </c>
      <c r="L636">
        <v>0</v>
      </c>
      <c r="M636">
        <v>0</v>
      </c>
      <c r="O636">
        <f t="shared" si="9"/>
        <v>5</v>
      </c>
    </row>
    <row r="637" spans="1:15">
      <c r="A637">
        <v>2519</v>
      </c>
      <c r="B637" s="1">
        <v>45781</v>
      </c>
      <c r="C637">
        <v>32</v>
      </c>
      <c r="D637" t="s">
        <v>14</v>
      </c>
      <c r="E637" t="s">
        <v>24</v>
      </c>
      <c r="F637" t="s">
        <v>21</v>
      </c>
      <c r="H637">
        <v>88.3</v>
      </c>
      <c r="I637" s="13">
        <v>6</v>
      </c>
      <c r="J637">
        <v>0</v>
      </c>
      <c r="K637">
        <v>0</v>
      </c>
      <c r="L637">
        <v>0</v>
      </c>
      <c r="M637">
        <v>0</v>
      </c>
      <c r="O637">
        <f t="shared" si="9"/>
        <v>5</v>
      </c>
    </row>
    <row r="638" spans="1:15">
      <c r="A638">
        <v>3023</v>
      </c>
      <c r="B638" s="1">
        <v>45781</v>
      </c>
      <c r="C638">
        <v>37</v>
      </c>
      <c r="D638" t="s">
        <v>27</v>
      </c>
      <c r="E638" t="s">
        <v>20</v>
      </c>
      <c r="F638" t="s">
        <v>18</v>
      </c>
      <c r="G638" t="s">
        <v>26</v>
      </c>
      <c r="H638">
        <v>65.3</v>
      </c>
      <c r="I638" s="13">
        <v>5</v>
      </c>
      <c r="J638">
        <v>0</v>
      </c>
      <c r="K638">
        <v>0</v>
      </c>
      <c r="L638">
        <v>0</v>
      </c>
      <c r="M638">
        <v>0</v>
      </c>
      <c r="O638">
        <f t="shared" si="9"/>
        <v>5</v>
      </c>
    </row>
    <row r="639" spans="1:15">
      <c r="A639">
        <v>352</v>
      </c>
      <c r="B639" s="1">
        <v>45812</v>
      </c>
      <c r="C639">
        <v>24</v>
      </c>
      <c r="D639" t="s">
        <v>17</v>
      </c>
      <c r="E639" t="s">
        <v>22</v>
      </c>
      <c r="F639" t="s">
        <v>18</v>
      </c>
      <c r="G639" t="s">
        <v>25</v>
      </c>
      <c r="H639">
        <v>626.5</v>
      </c>
      <c r="I639" s="13">
        <v>4</v>
      </c>
      <c r="J639">
        <v>1</v>
      </c>
      <c r="K639">
        <v>96</v>
      </c>
      <c r="L639">
        <v>4</v>
      </c>
      <c r="M639">
        <v>1</v>
      </c>
      <c r="N639">
        <v>4</v>
      </c>
      <c r="O639">
        <f t="shared" si="9"/>
        <v>6</v>
      </c>
    </row>
    <row r="640" spans="1:15">
      <c r="A640">
        <v>2208</v>
      </c>
      <c r="B640" s="1">
        <v>45812</v>
      </c>
      <c r="C640">
        <v>37</v>
      </c>
      <c r="D640" t="s">
        <v>14</v>
      </c>
      <c r="E640" t="s">
        <v>22</v>
      </c>
      <c r="F640" t="s">
        <v>18</v>
      </c>
      <c r="G640" t="s">
        <v>26</v>
      </c>
      <c r="H640">
        <v>580.70000000000005</v>
      </c>
      <c r="I640" s="13">
        <v>7</v>
      </c>
      <c r="J640">
        <v>1</v>
      </c>
      <c r="K640">
        <v>103.95</v>
      </c>
      <c r="L640">
        <v>3</v>
      </c>
      <c r="M640">
        <v>4</v>
      </c>
      <c r="N640">
        <v>5</v>
      </c>
      <c r="O640">
        <f t="shared" si="9"/>
        <v>6</v>
      </c>
    </row>
    <row r="641" spans="1:15">
      <c r="A641">
        <v>3584</v>
      </c>
      <c r="B641" s="1">
        <v>45812</v>
      </c>
      <c r="C641">
        <v>29</v>
      </c>
      <c r="D641" t="s">
        <v>17</v>
      </c>
      <c r="E641" t="s">
        <v>15</v>
      </c>
      <c r="F641" t="s">
        <v>23</v>
      </c>
      <c r="H641">
        <v>146.80000000000001</v>
      </c>
      <c r="I641" s="13">
        <v>7</v>
      </c>
      <c r="J641">
        <v>1</v>
      </c>
      <c r="K641">
        <v>67.61</v>
      </c>
      <c r="L641">
        <v>3</v>
      </c>
      <c r="M641">
        <v>15</v>
      </c>
      <c r="N641">
        <v>3</v>
      </c>
      <c r="O641">
        <f t="shared" si="9"/>
        <v>6</v>
      </c>
    </row>
    <row r="642" spans="1:15">
      <c r="A642">
        <v>2140</v>
      </c>
      <c r="B642" s="1">
        <v>45812</v>
      </c>
      <c r="C642">
        <v>38</v>
      </c>
      <c r="D642" t="s">
        <v>14</v>
      </c>
      <c r="E642" t="s">
        <v>24</v>
      </c>
      <c r="F642" t="s">
        <v>16</v>
      </c>
      <c r="H642">
        <v>356.3</v>
      </c>
      <c r="I642" s="13">
        <v>7</v>
      </c>
      <c r="J642">
        <v>1</v>
      </c>
      <c r="K642">
        <v>55.81</v>
      </c>
      <c r="L642">
        <v>4</v>
      </c>
      <c r="M642">
        <v>2</v>
      </c>
      <c r="N642">
        <v>3</v>
      </c>
      <c r="O642">
        <f t="shared" si="9"/>
        <v>6</v>
      </c>
    </row>
    <row r="643" spans="1:15">
      <c r="A643">
        <v>4621</v>
      </c>
      <c r="B643" s="1">
        <v>45812</v>
      </c>
      <c r="C643">
        <v>59</v>
      </c>
      <c r="D643" t="s">
        <v>17</v>
      </c>
      <c r="E643" t="s">
        <v>24</v>
      </c>
      <c r="F643" t="s">
        <v>21</v>
      </c>
      <c r="H643">
        <v>370.4</v>
      </c>
      <c r="I643" s="13">
        <v>5</v>
      </c>
      <c r="J643">
        <v>1</v>
      </c>
      <c r="K643">
        <v>49.41</v>
      </c>
      <c r="L643">
        <v>2</v>
      </c>
      <c r="M643">
        <v>11</v>
      </c>
      <c r="N643">
        <v>4</v>
      </c>
      <c r="O643">
        <f t="shared" ref="O643:O706" si="10">MONTH(B643)</f>
        <v>6</v>
      </c>
    </row>
    <row r="644" spans="1:15">
      <c r="A644">
        <v>4767</v>
      </c>
      <c r="B644" s="1">
        <v>45812</v>
      </c>
      <c r="C644">
        <v>64</v>
      </c>
      <c r="D644" t="s">
        <v>17</v>
      </c>
      <c r="E644" t="s">
        <v>15</v>
      </c>
      <c r="F644" t="s">
        <v>23</v>
      </c>
      <c r="H644">
        <v>495.2</v>
      </c>
      <c r="I644" s="13">
        <v>10</v>
      </c>
      <c r="J644">
        <v>1</v>
      </c>
      <c r="K644">
        <v>32.65</v>
      </c>
      <c r="L644">
        <v>2</v>
      </c>
      <c r="M644">
        <v>9</v>
      </c>
      <c r="N644">
        <v>4</v>
      </c>
      <c r="O644">
        <f t="shared" si="10"/>
        <v>6</v>
      </c>
    </row>
    <row r="645" spans="1:15">
      <c r="A645">
        <v>2174</v>
      </c>
      <c r="B645" s="1">
        <v>45812</v>
      </c>
      <c r="C645">
        <v>27</v>
      </c>
      <c r="D645" t="s">
        <v>14</v>
      </c>
      <c r="E645" t="s">
        <v>24</v>
      </c>
      <c r="F645" t="s">
        <v>16</v>
      </c>
      <c r="H645">
        <v>266.7</v>
      </c>
      <c r="I645" s="13">
        <v>18</v>
      </c>
      <c r="J645">
        <v>1</v>
      </c>
      <c r="K645">
        <v>26.79</v>
      </c>
      <c r="L645">
        <v>3</v>
      </c>
      <c r="M645">
        <v>4</v>
      </c>
      <c r="N645">
        <v>3</v>
      </c>
      <c r="O645">
        <f t="shared" si="10"/>
        <v>6</v>
      </c>
    </row>
    <row r="646" spans="1:15">
      <c r="A646">
        <v>4643</v>
      </c>
      <c r="B646" s="1">
        <v>45812</v>
      </c>
      <c r="C646">
        <v>47</v>
      </c>
      <c r="D646" t="s">
        <v>17</v>
      </c>
      <c r="E646" t="s">
        <v>24</v>
      </c>
      <c r="F646" t="s">
        <v>16</v>
      </c>
      <c r="H646">
        <v>98.3</v>
      </c>
      <c r="I646" s="13">
        <v>3</v>
      </c>
      <c r="J646">
        <v>1</v>
      </c>
      <c r="K646">
        <v>20.53</v>
      </c>
      <c r="L646">
        <v>2</v>
      </c>
      <c r="M646">
        <v>13</v>
      </c>
      <c r="N646">
        <v>3</v>
      </c>
      <c r="O646">
        <f t="shared" si="10"/>
        <v>6</v>
      </c>
    </row>
    <row r="647" spans="1:15">
      <c r="A647">
        <v>2382</v>
      </c>
      <c r="B647" s="1">
        <v>45812</v>
      </c>
      <c r="C647">
        <v>45</v>
      </c>
      <c r="D647" t="s">
        <v>17</v>
      </c>
      <c r="E647" t="s">
        <v>22</v>
      </c>
      <c r="F647" t="s">
        <v>16</v>
      </c>
      <c r="H647">
        <v>461.6</v>
      </c>
      <c r="I647" s="13">
        <v>3</v>
      </c>
      <c r="J647">
        <v>0</v>
      </c>
      <c r="K647">
        <v>0</v>
      </c>
      <c r="L647">
        <v>0</v>
      </c>
      <c r="M647">
        <v>0</v>
      </c>
      <c r="O647">
        <f t="shared" si="10"/>
        <v>6</v>
      </c>
    </row>
    <row r="648" spans="1:15">
      <c r="A648">
        <v>2107</v>
      </c>
      <c r="B648" s="1">
        <v>45812</v>
      </c>
      <c r="C648">
        <v>24</v>
      </c>
      <c r="D648" t="s">
        <v>14</v>
      </c>
      <c r="E648" t="s">
        <v>15</v>
      </c>
      <c r="F648" t="s">
        <v>16</v>
      </c>
      <c r="H648">
        <v>460.9</v>
      </c>
      <c r="I648" s="13">
        <v>3</v>
      </c>
      <c r="J648">
        <v>0</v>
      </c>
      <c r="K648">
        <v>0</v>
      </c>
      <c r="L648">
        <v>0</v>
      </c>
      <c r="M648">
        <v>0</v>
      </c>
      <c r="O648">
        <f t="shared" si="10"/>
        <v>6</v>
      </c>
    </row>
    <row r="649" spans="1:15">
      <c r="A649">
        <v>3207</v>
      </c>
      <c r="B649" s="1">
        <v>45812</v>
      </c>
      <c r="C649">
        <v>46</v>
      </c>
      <c r="D649" t="s">
        <v>17</v>
      </c>
      <c r="E649" t="s">
        <v>24</v>
      </c>
      <c r="F649" t="s">
        <v>16</v>
      </c>
      <c r="H649">
        <v>425.1</v>
      </c>
      <c r="I649" s="13">
        <v>6</v>
      </c>
      <c r="J649">
        <v>0</v>
      </c>
      <c r="K649">
        <v>0</v>
      </c>
      <c r="L649">
        <v>0</v>
      </c>
      <c r="M649">
        <v>0</v>
      </c>
      <c r="O649">
        <f t="shared" si="10"/>
        <v>6</v>
      </c>
    </row>
    <row r="650" spans="1:15">
      <c r="A650">
        <v>4620</v>
      </c>
      <c r="B650" s="1">
        <v>45812</v>
      </c>
      <c r="C650">
        <v>57</v>
      </c>
      <c r="D650" t="s">
        <v>14</v>
      </c>
      <c r="E650" t="s">
        <v>22</v>
      </c>
      <c r="F650" t="s">
        <v>16</v>
      </c>
      <c r="H650">
        <v>403.3</v>
      </c>
      <c r="I650" s="13">
        <v>7</v>
      </c>
      <c r="J650">
        <v>0</v>
      </c>
      <c r="K650">
        <v>0</v>
      </c>
      <c r="L650">
        <v>0</v>
      </c>
      <c r="M650">
        <v>0</v>
      </c>
      <c r="O650">
        <f t="shared" si="10"/>
        <v>6</v>
      </c>
    </row>
    <row r="651" spans="1:15">
      <c r="A651">
        <v>2045</v>
      </c>
      <c r="B651" s="1">
        <v>45812</v>
      </c>
      <c r="C651">
        <v>29</v>
      </c>
      <c r="D651" t="s">
        <v>14</v>
      </c>
      <c r="E651" t="s">
        <v>24</v>
      </c>
      <c r="F651" t="s">
        <v>16</v>
      </c>
      <c r="H651">
        <v>356.4</v>
      </c>
      <c r="I651" s="13">
        <v>8</v>
      </c>
      <c r="J651">
        <v>0</v>
      </c>
      <c r="K651">
        <v>0</v>
      </c>
      <c r="L651">
        <v>0</v>
      </c>
      <c r="M651">
        <v>0</v>
      </c>
      <c r="O651">
        <f t="shared" si="10"/>
        <v>6</v>
      </c>
    </row>
    <row r="652" spans="1:15">
      <c r="A652">
        <v>2245</v>
      </c>
      <c r="B652" s="1">
        <v>45812</v>
      </c>
      <c r="C652">
        <v>38</v>
      </c>
      <c r="D652" t="s">
        <v>14</v>
      </c>
      <c r="E652" t="s">
        <v>22</v>
      </c>
      <c r="F652" t="s">
        <v>21</v>
      </c>
      <c r="H652">
        <v>334.3</v>
      </c>
      <c r="I652" s="13">
        <v>8</v>
      </c>
      <c r="J652">
        <v>0</v>
      </c>
      <c r="K652">
        <v>0</v>
      </c>
      <c r="L652">
        <v>0</v>
      </c>
      <c r="M652">
        <v>0</v>
      </c>
      <c r="O652">
        <f t="shared" si="10"/>
        <v>6</v>
      </c>
    </row>
    <row r="653" spans="1:15">
      <c r="A653">
        <v>128</v>
      </c>
      <c r="B653" s="1">
        <v>45812</v>
      </c>
      <c r="C653">
        <v>30</v>
      </c>
      <c r="D653" t="s">
        <v>17</v>
      </c>
      <c r="E653" t="s">
        <v>15</v>
      </c>
      <c r="F653" t="s">
        <v>16</v>
      </c>
      <c r="H653">
        <v>319.89999999999998</v>
      </c>
      <c r="I653" s="13">
        <v>5</v>
      </c>
      <c r="J653">
        <v>0</v>
      </c>
      <c r="K653">
        <v>0</v>
      </c>
      <c r="L653">
        <v>0</v>
      </c>
      <c r="M653">
        <v>0</v>
      </c>
      <c r="O653">
        <f t="shared" si="10"/>
        <v>6</v>
      </c>
    </row>
    <row r="654" spans="1:15">
      <c r="A654">
        <v>3407</v>
      </c>
      <c r="B654" s="1">
        <v>45812</v>
      </c>
      <c r="C654">
        <v>28</v>
      </c>
      <c r="D654" t="s">
        <v>17</v>
      </c>
      <c r="E654" t="s">
        <v>22</v>
      </c>
      <c r="F654" t="s">
        <v>21</v>
      </c>
      <c r="H654">
        <v>276.89999999999998</v>
      </c>
      <c r="I654" s="13">
        <v>8</v>
      </c>
      <c r="J654">
        <v>0</v>
      </c>
      <c r="K654">
        <v>0</v>
      </c>
      <c r="L654">
        <v>0</v>
      </c>
      <c r="M654">
        <v>0</v>
      </c>
      <c r="O654">
        <f t="shared" si="10"/>
        <v>6</v>
      </c>
    </row>
    <row r="655" spans="1:15">
      <c r="A655">
        <v>4810</v>
      </c>
      <c r="B655" s="1">
        <v>45812</v>
      </c>
      <c r="C655">
        <v>55</v>
      </c>
      <c r="D655" t="s">
        <v>17</v>
      </c>
      <c r="E655" t="s">
        <v>20</v>
      </c>
      <c r="F655" t="s">
        <v>16</v>
      </c>
      <c r="H655">
        <v>239.5</v>
      </c>
      <c r="I655" s="13">
        <v>3</v>
      </c>
      <c r="J655">
        <v>0</v>
      </c>
      <c r="K655">
        <v>0</v>
      </c>
      <c r="L655">
        <v>0</v>
      </c>
      <c r="M655">
        <v>0</v>
      </c>
      <c r="O655">
        <f t="shared" si="10"/>
        <v>6</v>
      </c>
    </row>
    <row r="656" spans="1:15">
      <c r="A656">
        <v>2965</v>
      </c>
      <c r="B656" s="1">
        <v>45812</v>
      </c>
      <c r="C656">
        <v>26</v>
      </c>
      <c r="D656" t="s">
        <v>14</v>
      </c>
      <c r="E656" t="s">
        <v>22</v>
      </c>
      <c r="F656" t="s">
        <v>16</v>
      </c>
      <c r="H656">
        <v>133.4</v>
      </c>
      <c r="I656" s="13">
        <v>4</v>
      </c>
      <c r="J656">
        <v>0</v>
      </c>
      <c r="K656">
        <v>0</v>
      </c>
      <c r="L656">
        <v>0</v>
      </c>
      <c r="M656">
        <v>0</v>
      </c>
      <c r="O656">
        <f t="shared" si="10"/>
        <v>6</v>
      </c>
    </row>
    <row r="657" spans="1:15">
      <c r="A657">
        <v>397</v>
      </c>
      <c r="B657" s="1">
        <v>45812</v>
      </c>
      <c r="C657">
        <v>18</v>
      </c>
      <c r="D657" t="s">
        <v>14</v>
      </c>
      <c r="E657" t="s">
        <v>15</v>
      </c>
      <c r="F657" t="s">
        <v>16</v>
      </c>
      <c r="H657">
        <v>123.8</v>
      </c>
      <c r="I657" s="13">
        <v>7</v>
      </c>
      <c r="J657">
        <v>0</v>
      </c>
      <c r="K657">
        <v>0</v>
      </c>
      <c r="L657">
        <v>0</v>
      </c>
      <c r="M657">
        <v>0</v>
      </c>
      <c r="O657">
        <f t="shared" si="10"/>
        <v>6</v>
      </c>
    </row>
    <row r="658" spans="1:15">
      <c r="A658">
        <v>3204</v>
      </c>
      <c r="B658" s="1">
        <v>45812</v>
      </c>
      <c r="C658">
        <v>39</v>
      </c>
      <c r="D658" t="s">
        <v>14</v>
      </c>
      <c r="E658" t="s">
        <v>22</v>
      </c>
      <c r="F658" t="s">
        <v>18</v>
      </c>
      <c r="G658" t="s">
        <v>29</v>
      </c>
      <c r="H658">
        <v>123.6</v>
      </c>
      <c r="I658" s="13">
        <v>7</v>
      </c>
      <c r="J658">
        <v>0</v>
      </c>
      <c r="K658">
        <v>0</v>
      </c>
      <c r="L658">
        <v>0</v>
      </c>
      <c r="M658">
        <v>0</v>
      </c>
      <c r="O658">
        <f t="shared" si="10"/>
        <v>6</v>
      </c>
    </row>
    <row r="659" spans="1:15">
      <c r="A659">
        <v>892</v>
      </c>
      <c r="B659" s="1">
        <v>45812</v>
      </c>
      <c r="C659">
        <v>28</v>
      </c>
      <c r="D659" t="s">
        <v>27</v>
      </c>
      <c r="E659" t="s">
        <v>20</v>
      </c>
      <c r="F659" t="s">
        <v>18</v>
      </c>
      <c r="G659" t="s">
        <v>25</v>
      </c>
      <c r="H659">
        <v>117.4</v>
      </c>
      <c r="I659" s="13">
        <v>7</v>
      </c>
      <c r="J659">
        <v>0</v>
      </c>
      <c r="K659">
        <v>0</v>
      </c>
      <c r="L659">
        <v>0</v>
      </c>
      <c r="M659">
        <v>0</v>
      </c>
      <c r="O659">
        <f t="shared" si="10"/>
        <v>6</v>
      </c>
    </row>
    <row r="660" spans="1:15">
      <c r="A660">
        <v>1272</v>
      </c>
      <c r="B660" s="1">
        <v>45812</v>
      </c>
      <c r="C660">
        <v>27</v>
      </c>
      <c r="D660" t="s">
        <v>14</v>
      </c>
      <c r="E660" t="s">
        <v>20</v>
      </c>
      <c r="F660" t="s">
        <v>16</v>
      </c>
      <c r="H660">
        <v>99.2</v>
      </c>
      <c r="I660" s="13">
        <v>3</v>
      </c>
      <c r="J660">
        <v>0</v>
      </c>
      <c r="K660">
        <v>0</v>
      </c>
      <c r="L660">
        <v>0</v>
      </c>
      <c r="M660">
        <v>0</v>
      </c>
      <c r="O660">
        <f t="shared" si="10"/>
        <v>6</v>
      </c>
    </row>
    <row r="661" spans="1:15">
      <c r="A661">
        <v>4570</v>
      </c>
      <c r="B661" s="1">
        <v>45812</v>
      </c>
      <c r="C661">
        <v>56</v>
      </c>
      <c r="D661" t="s">
        <v>17</v>
      </c>
      <c r="E661" t="s">
        <v>22</v>
      </c>
      <c r="F661" t="s">
        <v>16</v>
      </c>
      <c r="H661">
        <v>73.900000000000006</v>
      </c>
      <c r="I661" s="13">
        <v>4</v>
      </c>
      <c r="J661">
        <v>0</v>
      </c>
      <c r="K661">
        <v>0</v>
      </c>
      <c r="L661">
        <v>0</v>
      </c>
      <c r="M661">
        <v>0</v>
      </c>
      <c r="O661">
        <f t="shared" si="10"/>
        <v>6</v>
      </c>
    </row>
    <row r="662" spans="1:15">
      <c r="A662">
        <v>3669</v>
      </c>
      <c r="B662" s="1">
        <v>45662</v>
      </c>
      <c r="C662">
        <v>37</v>
      </c>
      <c r="D662" t="s">
        <v>17</v>
      </c>
      <c r="E662" t="s">
        <v>22</v>
      </c>
      <c r="F662" t="s">
        <v>18</v>
      </c>
      <c r="G662" t="s">
        <v>25</v>
      </c>
      <c r="H662">
        <v>253.2</v>
      </c>
      <c r="I662" s="13">
        <v>6</v>
      </c>
      <c r="J662">
        <v>1</v>
      </c>
      <c r="K662">
        <v>197</v>
      </c>
      <c r="L662">
        <v>7</v>
      </c>
      <c r="M662">
        <v>11</v>
      </c>
      <c r="N662">
        <v>5</v>
      </c>
      <c r="O662">
        <f t="shared" si="10"/>
        <v>1</v>
      </c>
    </row>
    <row r="663" spans="1:15">
      <c r="A663">
        <v>2976</v>
      </c>
      <c r="B663" s="1">
        <v>45662</v>
      </c>
      <c r="C663">
        <v>55</v>
      </c>
      <c r="D663" t="s">
        <v>14</v>
      </c>
      <c r="E663" t="s">
        <v>22</v>
      </c>
      <c r="F663" t="s">
        <v>18</v>
      </c>
      <c r="G663" t="s">
        <v>25</v>
      </c>
      <c r="H663">
        <v>135.4</v>
      </c>
      <c r="I663" s="13">
        <v>3</v>
      </c>
      <c r="J663">
        <v>1</v>
      </c>
      <c r="K663">
        <v>174.36</v>
      </c>
      <c r="L663">
        <v>2</v>
      </c>
      <c r="M663">
        <v>11</v>
      </c>
      <c r="N663">
        <v>4</v>
      </c>
      <c r="O663">
        <f t="shared" si="10"/>
        <v>1</v>
      </c>
    </row>
    <row r="664" spans="1:15">
      <c r="A664">
        <v>2398</v>
      </c>
      <c r="B664" s="1">
        <v>45662</v>
      </c>
      <c r="C664">
        <v>35</v>
      </c>
      <c r="D664" t="s">
        <v>14</v>
      </c>
      <c r="E664" t="s">
        <v>24</v>
      </c>
      <c r="F664" t="s">
        <v>16</v>
      </c>
      <c r="H664">
        <v>644.4</v>
      </c>
      <c r="I664" s="13">
        <v>3</v>
      </c>
      <c r="J664">
        <v>1</v>
      </c>
      <c r="K664">
        <v>157.91999999999999</v>
      </c>
      <c r="L664">
        <v>2</v>
      </c>
      <c r="M664">
        <v>14</v>
      </c>
      <c r="N664">
        <v>4</v>
      </c>
      <c r="O664">
        <f t="shared" si="10"/>
        <v>1</v>
      </c>
    </row>
    <row r="665" spans="1:15">
      <c r="A665">
        <v>4197</v>
      </c>
      <c r="B665" s="1">
        <v>45662</v>
      </c>
      <c r="C665">
        <v>34</v>
      </c>
      <c r="D665" t="s">
        <v>14</v>
      </c>
      <c r="E665" t="s">
        <v>24</v>
      </c>
      <c r="F665" t="s">
        <v>16</v>
      </c>
      <c r="H665">
        <v>279.2</v>
      </c>
      <c r="I665" s="13">
        <v>3</v>
      </c>
      <c r="J665">
        <v>1</v>
      </c>
      <c r="K665">
        <v>132.55000000000001</v>
      </c>
      <c r="L665">
        <v>2</v>
      </c>
      <c r="M665">
        <v>14</v>
      </c>
      <c r="N665">
        <v>4</v>
      </c>
      <c r="O665">
        <f t="shared" si="10"/>
        <v>1</v>
      </c>
    </row>
    <row r="666" spans="1:15">
      <c r="A666">
        <v>2414</v>
      </c>
      <c r="B666" s="1">
        <v>45662</v>
      </c>
      <c r="C666">
        <v>33</v>
      </c>
      <c r="D666" t="s">
        <v>14</v>
      </c>
      <c r="E666" t="s">
        <v>24</v>
      </c>
      <c r="F666" t="s">
        <v>23</v>
      </c>
      <c r="H666">
        <v>366.8</v>
      </c>
      <c r="I666" s="13">
        <v>8</v>
      </c>
      <c r="J666">
        <v>1</v>
      </c>
      <c r="K666">
        <v>71.66</v>
      </c>
      <c r="L666">
        <v>5</v>
      </c>
      <c r="M666">
        <v>9</v>
      </c>
      <c r="N666">
        <v>4</v>
      </c>
      <c r="O666">
        <f t="shared" si="10"/>
        <v>1</v>
      </c>
    </row>
    <row r="667" spans="1:15">
      <c r="A667">
        <v>2422</v>
      </c>
      <c r="B667" s="1">
        <v>45662</v>
      </c>
      <c r="C667">
        <v>40</v>
      </c>
      <c r="D667" t="s">
        <v>17</v>
      </c>
      <c r="E667" t="s">
        <v>24</v>
      </c>
      <c r="F667" t="s">
        <v>16</v>
      </c>
      <c r="H667">
        <v>279.5</v>
      </c>
      <c r="I667" s="13">
        <v>3</v>
      </c>
      <c r="J667">
        <v>1</v>
      </c>
      <c r="K667">
        <v>68.099999999999994</v>
      </c>
      <c r="L667">
        <v>1</v>
      </c>
      <c r="M667">
        <v>15</v>
      </c>
      <c r="N667">
        <v>4</v>
      </c>
      <c r="O667">
        <f t="shared" si="10"/>
        <v>1</v>
      </c>
    </row>
    <row r="668" spans="1:15">
      <c r="A668">
        <v>357</v>
      </c>
      <c r="B668" s="1">
        <v>45662</v>
      </c>
      <c r="C668">
        <v>20</v>
      </c>
      <c r="D668" t="s">
        <v>17</v>
      </c>
      <c r="E668" t="s">
        <v>20</v>
      </c>
      <c r="F668" t="s">
        <v>23</v>
      </c>
      <c r="H668">
        <v>335.3</v>
      </c>
      <c r="I668" s="13">
        <v>6</v>
      </c>
      <c r="J668">
        <v>1</v>
      </c>
      <c r="K668">
        <v>44.1</v>
      </c>
      <c r="L668">
        <v>1</v>
      </c>
      <c r="M668">
        <v>3</v>
      </c>
      <c r="N668">
        <v>5</v>
      </c>
      <c r="O668">
        <f t="shared" si="10"/>
        <v>1</v>
      </c>
    </row>
    <row r="669" spans="1:15">
      <c r="A669">
        <v>902</v>
      </c>
      <c r="B669" s="1">
        <v>45662</v>
      </c>
      <c r="C669">
        <v>24</v>
      </c>
      <c r="D669" t="s">
        <v>17</v>
      </c>
      <c r="E669" t="s">
        <v>22</v>
      </c>
      <c r="F669" t="s">
        <v>18</v>
      </c>
      <c r="G669" t="s">
        <v>31</v>
      </c>
      <c r="H669">
        <v>304.7</v>
      </c>
      <c r="I669" s="13">
        <v>3</v>
      </c>
      <c r="J669">
        <v>1</v>
      </c>
      <c r="K669">
        <v>41.93</v>
      </c>
      <c r="L669">
        <v>3</v>
      </c>
      <c r="M669">
        <v>14</v>
      </c>
      <c r="N669">
        <v>4</v>
      </c>
      <c r="O669">
        <f t="shared" si="10"/>
        <v>1</v>
      </c>
    </row>
    <row r="670" spans="1:15">
      <c r="A670">
        <v>1048</v>
      </c>
      <c r="B670" s="1">
        <v>45662</v>
      </c>
      <c r="C670">
        <v>37</v>
      </c>
      <c r="D670" t="s">
        <v>17</v>
      </c>
      <c r="E670" t="s">
        <v>20</v>
      </c>
      <c r="F670" t="s">
        <v>18</v>
      </c>
      <c r="G670" t="s">
        <v>28</v>
      </c>
      <c r="H670">
        <v>590.6</v>
      </c>
      <c r="I670" s="13">
        <v>5</v>
      </c>
      <c r="J670">
        <v>1</v>
      </c>
      <c r="K670">
        <v>41.74</v>
      </c>
      <c r="L670">
        <v>3</v>
      </c>
      <c r="M670">
        <v>4</v>
      </c>
      <c r="N670">
        <v>5</v>
      </c>
      <c r="O670">
        <f t="shared" si="10"/>
        <v>1</v>
      </c>
    </row>
    <row r="671" spans="1:15">
      <c r="A671">
        <v>516</v>
      </c>
      <c r="B671" s="1">
        <v>45662</v>
      </c>
      <c r="C671">
        <v>18</v>
      </c>
      <c r="D671" t="s">
        <v>17</v>
      </c>
      <c r="E671" t="s">
        <v>22</v>
      </c>
      <c r="F671" t="s">
        <v>16</v>
      </c>
      <c r="H671">
        <v>910.2</v>
      </c>
      <c r="I671" s="13">
        <v>2</v>
      </c>
      <c r="J671">
        <v>1</v>
      </c>
      <c r="K671">
        <v>31.42</v>
      </c>
      <c r="L671">
        <v>4</v>
      </c>
      <c r="M671">
        <v>15</v>
      </c>
      <c r="N671">
        <v>4</v>
      </c>
      <c r="O671">
        <f t="shared" si="10"/>
        <v>1</v>
      </c>
    </row>
    <row r="672" spans="1:15">
      <c r="A672">
        <v>378</v>
      </c>
      <c r="B672" s="1">
        <v>45662</v>
      </c>
      <c r="C672">
        <v>23</v>
      </c>
      <c r="D672" t="s">
        <v>14</v>
      </c>
      <c r="E672" t="s">
        <v>20</v>
      </c>
      <c r="F672" t="s">
        <v>23</v>
      </c>
      <c r="H672">
        <v>306.89999999999998</v>
      </c>
      <c r="I672" s="13">
        <v>9</v>
      </c>
      <c r="J672">
        <v>1</v>
      </c>
      <c r="K672">
        <v>22.85</v>
      </c>
      <c r="L672">
        <v>3</v>
      </c>
      <c r="M672">
        <v>13</v>
      </c>
      <c r="N672">
        <v>4</v>
      </c>
      <c r="O672">
        <f t="shared" si="10"/>
        <v>1</v>
      </c>
    </row>
    <row r="673" spans="1:15">
      <c r="A673">
        <v>3951</v>
      </c>
      <c r="B673" s="1">
        <v>45662</v>
      </c>
      <c r="C673">
        <v>38</v>
      </c>
      <c r="D673" t="s">
        <v>14</v>
      </c>
      <c r="E673" t="s">
        <v>22</v>
      </c>
      <c r="F673" t="s">
        <v>16</v>
      </c>
      <c r="H673">
        <v>507.1</v>
      </c>
      <c r="I673" s="13">
        <v>6</v>
      </c>
      <c r="J673">
        <v>1</v>
      </c>
      <c r="K673">
        <v>14.97</v>
      </c>
      <c r="L673">
        <v>5</v>
      </c>
      <c r="M673">
        <v>11</v>
      </c>
      <c r="N673">
        <v>4</v>
      </c>
      <c r="O673">
        <f t="shared" si="10"/>
        <v>1</v>
      </c>
    </row>
    <row r="674" spans="1:15">
      <c r="A674">
        <v>3926</v>
      </c>
      <c r="B674" s="1">
        <v>45662</v>
      </c>
      <c r="C674">
        <v>58</v>
      </c>
      <c r="D674" t="s">
        <v>14</v>
      </c>
      <c r="E674" t="s">
        <v>20</v>
      </c>
      <c r="F674" t="s">
        <v>18</v>
      </c>
      <c r="G674" t="s">
        <v>26</v>
      </c>
      <c r="H674">
        <v>588.79999999999995</v>
      </c>
      <c r="I674" s="13">
        <v>5</v>
      </c>
      <c r="J674">
        <v>1</v>
      </c>
      <c r="K674">
        <v>13.56</v>
      </c>
      <c r="L674">
        <v>1</v>
      </c>
      <c r="M674">
        <v>13</v>
      </c>
      <c r="N674">
        <v>3</v>
      </c>
      <c r="O674">
        <f t="shared" si="10"/>
        <v>1</v>
      </c>
    </row>
    <row r="675" spans="1:15">
      <c r="A675">
        <v>3413</v>
      </c>
      <c r="B675" s="1">
        <v>45662</v>
      </c>
      <c r="C675">
        <v>45</v>
      </c>
      <c r="D675" t="s">
        <v>17</v>
      </c>
      <c r="E675" t="s">
        <v>15</v>
      </c>
      <c r="F675" t="s">
        <v>23</v>
      </c>
      <c r="H675">
        <v>803.7</v>
      </c>
      <c r="I675" s="13">
        <v>8</v>
      </c>
      <c r="J675">
        <v>0</v>
      </c>
      <c r="K675">
        <v>0</v>
      </c>
      <c r="L675">
        <v>0</v>
      </c>
      <c r="M675">
        <v>0</v>
      </c>
      <c r="O675">
        <f t="shared" si="10"/>
        <v>1</v>
      </c>
    </row>
    <row r="676" spans="1:15">
      <c r="A676">
        <v>99</v>
      </c>
      <c r="B676" s="1">
        <v>45662</v>
      </c>
      <c r="C676">
        <v>26</v>
      </c>
      <c r="D676" t="s">
        <v>17</v>
      </c>
      <c r="E676" t="s">
        <v>22</v>
      </c>
      <c r="F676" t="s">
        <v>23</v>
      </c>
      <c r="H676">
        <v>726.3</v>
      </c>
      <c r="I676" s="13">
        <v>3</v>
      </c>
      <c r="J676">
        <v>0</v>
      </c>
      <c r="K676">
        <v>0</v>
      </c>
      <c r="L676">
        <v>0</v>
      </c>
      <c r="M676">
        <v>0</v>
      </c>
      <c r="O676">
        <f t="shared" si="10"/>
        <v>1</v>
      </c>
    </row>
    <row r="677" spans="1:15">
      <c r="A677">
        <v>2720</v>
      </c>
      <c r="B677" s="1">
        <v>45662</v>
      </c>
      <c r="C677">
        <v>30</v>
      </c>
      <c r="D677" t="s">
        <v>14</v>
      </c>
      <c r="E677" t="s">
        <v>15</v>
      </c>
      <c r="F677" t="s">
        <v>16</v>
      </c>
      <c r="H677">
        <v>721.6</v>
      </c>
      <c r="I677" s="13">
        <v>7</v>
      </c>
      <c r="J677">
        <v>0</v>
      </c>
      <c r="K677">
        <v>0</v>
      </c>
      <c r="L677">
        <v>0</v>
      </c>
      <c r="M677">
        <v>0</v>
      </c>
      <c r="O677">
        <f t="shared" si="10"/>
        <v>1</v>
      </c>
    </row>
    <row r="678" spans="1:15">
      <c r="A678">
        <v>4418</v>
      </c>
      <c r="B678" s="1">
        <v>45662</v>
      </c>
      <c r="C678">
        <v>44</v>
      </c>
      <c r="D678" t="s">
        <v>14</v>
      </c>
      <c r="E678" t="s">
        <v>20</v>
      </c>
      <c r="F678" t="s">
        <v>23</v>
      </c>
      <c r="H678">
        <v>428</v>
      </c>
      <c r="I678" s="13">
        <v>6</v>
      </c>
      <c r="J678">
        <v>0</v>
      </c>
      <c r="K678">
        <v>0</v>
      </c>
      <c r="L678">
        <v>0</v>
      </c>
      <c r="M678">
        <v>0</v>
      </c>
      <c r="O678">
        <f t="shared" si="10"/>
        <v>1</v>
      </c>
    </row>
    <row r="679" spans="1:15">
      <c r="A679">
        <v>4487</v>
      </c>
      <c r="B679" s="1">
        <v>45662</v>
      </c>
      <c r="C679">
        <v>32</v>
      </c>
      <c r="D679" t="s">
        <v>17</v>
      </c>
      <c r="E679" t="s">
        <v>15</v>
      </c>
      <c r="F679" t="s">
        <v>18</v>
      </c>
      <c r="G679" t="s">
        <v>30</v>
      </c>
      <c r="H679">
        <v>342.4</v>
      </c>
      <c r="I679" s="13">
        <v>3</v>
      </c>
      <c r="J679">
        <v>0</v>
      </c>
      <c r="K679">
        <v>0</v>
      </c>
      <c r="L679">
        <v>0</v>
      </c>
      <c r="M679">
        <v>0</v>
      </c>
      <c r="O679">
        <f t="shared" si="10"/>
        <v>1</v>
      </c>
    </row>
    <row r="680" spans="1:15">
      <c r="A680">
        <v>313</v>
      </c>
      <c r="B680" s="1">
        <v>45662</v>
      </c>
      <c r="C680">
        <v>26</v>
      </c>
      <c r="D680" t="s">
        <v>14</v>
      </c>
      <c r="E680" t="s">
        <v>15</v>
      </c>
      <c r="F680" t="s">
        <v>16</v>
      </c>
      <c r="H680">
        <v>340.9</v>
      </c>
      <c r="I680" s="13">
        <v>3</v>
      </c>
      <c r="J680">
        <v>0</v>
      </c>
      <c r="K680">
        <v>0</v>
      </c>
      <c r="L680">
        <v>0</v>
      </c>
      <c r="M680">
        <v>0</v>
      </c>
      <c r="O680">
        <f t="shared" si="10"/>
        <v>1</v>
      </c>
    </row>
    <row r="681" spans="1:15">
      <c r="A681">
        <v>1503</v>
      </c>
      <c r="B681" s="1">
        <v>45662</v>
      </c>
      <c r="C681">
        <v>29</v>
      </c>
      <c r="D681" t="s">
        <v>17</v>
      </c>
      <c r="E681" t="s">
        <v>20</v>
      </c>
      <c r="F681" t="s">
        <v>16</v>
      </c>
      <c r="H681">
        <v>322.3</v>
      </c>
      <c r="I681" s="13">
        <v>5</v>
      </c>
      <c r="J681">
        <v>0</v>
      </c>
      <c r="K681">
        <v>0</v>
      </c>
      <c r="L681">
        <v>0</v>
      </c>
      <c r="M681">
        <v>0</v>
      </c>
      <c r="O681">
        <f t="shared" si="10"/>
        <v>1</v>
      </c>
    </row>
    <row r="682" spans="1:15">
      <c r="A682">
        <v>875</v>
      </c>
      <c r="B682" s="1">
        <v>45662</v>
      </c>
      <c r="C682">
        <v>32</v>
      </c>
      <c r="D682" t="s">
        <v>17</v>
      </c>
      <c r="E682" t="s">
        <v>20</v>
      </c>
      <c r="F682" t="s">
        <v>16</v>
      </c>
      <c r="H682">
        <v>301.3</v>
      </c>
      <c r="I682" s="13">
        <v>5</v>
      </c>
      <c r="J682">
        <v>0</v>
      </c>
      <c r="K682">
        <v>0</v>
      </c>
      <c r="L682">
        <v>0</v>
      </c>
      <c r="M682">
        <v>0</v>
      </c>
      <c r="O682">
        <f t="shared" si="10"/>
        <v>1</v>
      </c>
    </row>
    <row r="683" spans="1:15">
      <c r="A683">
        <v>926</v>
      </c>
      <c r="B683" s="1">
        <v>45662</v>
      </c>
      <c r="C683">
        <v>25</v>
      </c>
      <c r="D683" t="s">
        <v>14</v>
      </c>
      <c r="E683" t="s">
        <v>22</v>
      </c>
      <c r="F683" t="s">
        <v>23</v>
      </c>
      <c r="H683">
        <v>285.10000000000002</v>
      </c>
      <c r="I683" s="13">
        <v>5</v>
      </c>
      <c r="J683">
        <v>0</v>
      </c>
      <c r="K683">
        <v>0</v>
      </c>
      <c r="L683">
        <v>0</v>
      </c>
      <c r="M683">
        <v>0</v>
      </c>
      <c r="O683">
        <f t="shared" si="10"/>
        <v>1</v>
      </c>
    </row>
    <row r="684" spans="1:15">
      <c r="A684">
        <v>1202</v>
      </c>
      <c r="B684" s="1">
        <v>45662</v>
      </c>
      <c r="C684">
        <v>23</v>
      </c>
      <c r="D684" t="s">
        <v>14</v>
      </c>
      <c r="E684" t="s">
        <v>24</v>
      </c>
      <c r="F684" t="s">
        <v>16</v>
      </c>
      <c r="H684">
        <v>250.1</v>
      </c>
      <c r="I684" s="13">
        <v>5</v>
      </c>
      <c r="J684">
        <v>0</v>
      </c>
      <c r="K684">
        <v>0</v>
      </c>
      <c r="L684">
        <v>0</v>
      </c>
      <c r="M684">
        <v>0</v>
      </c>
      <c r="O684">
        <f t="shared" si="10"/>
        <v>1</v>
      </c>
    </row>
    <row r="685" spans="1:15">
      <c r="A685">
        <v>879</v>
      </c>
      <c r="B685" s="1">
        <v>45662</v>
      </c>
      <c r="C685">
        <v>24</v>
      </c>
      <c r="D685" t="s">
        <v>14</v>
      </c>
      <c r="E685" t="s">
        <v>22</v>
      </c>
      <c r="F685" t="s">
        <v>16</v>
      </c>
      <c r="H685">
        <v>243.4</v>
      </c>
      <c r="I685" s="13">
        <v>6</v>
      </c>
      <c r="J685">
        <v>0</v>
      </c>
      <c r="K685">
        <v>0</v>
      </c>
      <c r="L685">
        <v>0</v>
      </c>
      <c r="M685">
        <v>0</v>
      </c>
      <c r="O685">
        <f t="shared" si="10"/>
        <v>1</v>
      </c>
    </row>
    <row r="686" spans="1:15">
      <c r="A686">
        <v>238</v>
      </c>
      <c r="B686" s="1">
        <v>45662</v>
      </c>
      <c r="C686">
        <v>23</v>
      </c>
      <c r="D686" t="s">
        <v>17</v>
      </c>
      <c r="E686" t="s">
        <v>22</v>
      </c>
      <c r="F686" t="s">
        <v>16</v>
      </c>
      <c r="H686">
        <v>224.1</v>
      </c>
      <c r="I686" s="13">
        <v>4</v>
      </c>
      <c r="J686">
        <v>0</v>
      </c>
      <c r="K686">
        <v>0</v>
      </c>
      <c r="L686">
        <v>0</v>
      </c>
      <c r="M686">
        <v>0</v>
      </c>
      <c r="O686">
        <f t="shared" si="10"/>
        <v>1</v>
      </c>
    </row>
    <row r="687" spans="1:15">
      <c r="A687">
        <v>2081</v>
      </c>
      <c r="B687" s="1">
        <v>45662</v>
      </c>
      <c r="C687">
        <v>55</v>
      </c>
      <c r="D687" t="s">
        <v>14</v>
      </c>
      <c r="E687" t="s">
        <v>24</v>
      </c>
      <c r="F687" t="s">
        <v>18</v>
      </c>
      <c r="G687" t="s">
        <v>31</v>
      </c>
      <c r="H687">
        <v>186.5</v>
      </c>
      <c r="I687" s="13">
        <v>3</v>
      </c>
      <c r="J687">
        <v>0</v>
      </c>
      <c r="K687">
        <v>0</v>
      </c>
      <c r="L687">
        <v>0</v>
      </c>
      <c r="M687">
        <v>0</v>
      </c>
      <c r="O687">
        <f t="shared" si="10"/>
        <v>1</v>
      </c>
    </row>
    <row r="688" spans="1:15">
      <c r="A688">
        <v>1970</v>
      </c>
      <c r="B688" s="1">
        <v>45662</v>
      </c>
      <c r="C688">
        <v>34</v>
      </c>
      <c r="D688" t="s">
        <v>14</v>
      </c>
      <c r="E688" t="s">
        <v>15</v>
      </c>
      <c r="F688" t="s">
        <v>16</v>
      </c>
      <c r="H688">
        <v>177.1</v>
      </c>
      <c r="I688" s="13">
        <v>1</v>
      </c>
      <c r="J688">
        <v>0</v>
      </c>
      <c r="K688">
        <v>0</v>
      </c>
      <c r="L688">
        <v>0</v>
      </c>
      <c r="M688">
        <v>0</v>
      </c>
      <c r="O688">
        <f t="shared" si="10"/>
        <v>1</v>
      </c>
    </row>
    <row r="689" spans="1:15">
      <c r="A689">
        <v>1697</v>
      </c>
      <c r="B689" s="1">
        <v>45662</v>
      </c>
      <c r="C689">
        <v>23</v>
      </c>
      <c r="D689" t="s">
        <v>14</v>
      </c>
      <c r="E689" t="s">
        <v>15</v>
      </c>
      <c r="F689" t="s">
        <v>16</v>
      </c>
      <c r="H689">
        <v>146.6</v>
      </c>
      <c r="I689" s="13">
        <v>13</v>
      </c>
      <c r="J689">
        <v>0</v>
      </c>
      <c r="K689">
        <v>0</v>
      </c>
      <c r="L689">
        <v>0</v>
      </c>
      <c r="M689">
        <v>0</v>
      </c>
      <c r="O689">
        <f t="shared" si="10"/>
        <v>1</v>
      </c>
    </row>
    <row r="690" spans="1:15">
      <c r="A690">
        <v>1577</v>
      </c>
      <c r="B690" s="1">
        <v>45662</v>
      </c>
      <c r="C690">
        <v>19</v>
      </c>
      <c r="D690" t="s">
        <v>17</v>
      </c>
      <c r="E690" t="s">
        <v>22</v>
      </c>
      <c r="F690" t="s">
        <v>16</v>
      </c>
      <c r="H690">
        <v>94.9</v>
      </c>
      <c r="I690" s="13">
        <v>1</v>
      </c>
      <c r="J690">
        <v>0</v>
      </c>
      <c r="K690">
        <v>0</v>
      </c>
      <c r="L690">
        <v>0</v>
      </c>
      <c r="M690">
        <v>0</v>
      </c>
      <c r="O690">
        <f t="shared" si="10"/>
        <v>1</v>
      </c>
    </row>
    <row r="691" spans="1:15">
      <c r="A691">
        <v>4520</v>
      </c>
      <c r="B691" s="1">
        <v>45662</v>
      </c>
      <c r="C691">
        <v>28</v>
      </c>
      <c r="D691" t="s">
        <v>17</v>
      </c>
      <c r="E691" t="s">
        <v>24</v>
      </c>
      <c r="F691" t="s">
        <v>18</v>
      </c>
      <c r="G691" t="s">
        <v>19</v>
      </c>
      <c r="H691">
        <v>92.7</v>
      </c>
      <c r="I691" s="13">
        <v>9</v>
      </c>
      <c r="J691">
        <v>0</v>
      </c>
      <c r="K691">
        <v>0</v>
      </c>
      <c r="L691">
        <v>0</v>
      </c>
      <c r="M691">
        <v>0</v>
      </c>
      <c r="O691">
        <f t="shared" si="10"/>
        <v>1</v>
      </c>
    </row>
    <row r="692" spans="1:15">
      <c r="A692">
        <v>4508</v>
      </c>
      <c r="B692" s="1">
        <v>45662</v>
      </c>
      <c r="C692">
        <v>53</v>
      </c>
      <c r="D692" t="s">
        <v>14</v>
      </c>
      <c r="E692" t="s">
        <v>24</v>
      </c>
      <c r="F692" t="s">
        <v>16</v>
      </c>
      <c r="H692">
        <v>65</v>
      </c>
      <c r="I692" s="13">
        <v>7</v>
      </c>
      <c r="J692">
        <v>0</v>
      </c>
      <c r="K692">
        <v>0</v>
      </c>
      <c r="L692">
        <v>0</v>
      </c>
      <c r="M692">
        <v>0</v>
      </c>
      <c r="O692">
        <f t="shared" si="10"/>
        <v>1</v>
      </c>
    </row>
    <row r="693" spans="1:15">
      <c r="A693">
        <v>1971</v>
      </c>
      <c r="B693" s="1">
        <v>45662</v>
      </c>
      <c r="C693">
        <v>45</v>
      </c>
      <c r="D693" t="s">
        <v>17</v>
      </c>
      <c r="E693" t="s">
        <v>15</v>
      </c>
      <c r="F693" t="s">
        <v>18</v>
      </c>
      <c r="G693" t="s">
        <v>19</v>
      </c>
      <c r="H693">
        <v>63.5</v>
      </c>
      <c r="I693" s="13">
        <v>5</v>
      </c>
      <c r="J693">
        <v>0</v>
      </c>
      <c r="K693">
        <v>0</v>
      </c>
      <c r="L693">
        <v>0</v>
      </c>
      <c r="M693">
        <v>0</v>
      </c>
      <c r="O693">
        <f t="shared" si="10"/>
        <v>1</v>
      </c>
    </row>
    <row r="694" spans="1:15">
      <c r="A694">
        <v>4889</v>
      </c>
      <c r="B694" s="1">
        <v>45662</v>
      </c>
      <c r="C694">
        <v>46</v>
      </c>
      <c r="D694" t="s">
        <v>17</v>
      </c>
      <c r="E694" t="s">
        <v>15</v>
      </c>
      <c r="F694" t="s">
        <v>23</v>
      </c>
      <c r="H694">
        <v>47.7</v>
      </c>
      <c r="I694" s="13">
        <v>9</v>
      </c>
      <c r="J694">
        <v>0</v>
      </c>
      <c r="K694">
        <v>0</v>
      </c>
      <c r="L694">
        <v>0</v>
      </c>
      <c r="M694">
        <v>0</v>
      </c>
      <c r="O694">
        <f t="shared" si="10"/>
        <v>1</v>
      </c>
    </row>
    <row r="695" spans="1:15">
      <c r="A695">
        <v>1337</v>
      </c>
      <c r="B695" s="1">
        <v>45693</v>
      </c>
      <c r="C695">
        <v>21</v>
      </c>
      <c r="D695" t="s">
        <v>17</v>
      </c>
      <c r="E695" t="s">
        <v>20</v>
      </c>
      <c r="F695" t="s">
        <v>16</v>
      </c>
      <c r="H695">
        <v>181.4</v>
      </c>
      <c r="I695" s="13">
        <v>6</v>
      </c>
      <c r="J695">
        <v>1</v>
      </c>
      <c r="K695">
        <v>425</v>
      </c>
      <c r="L695">
        <v>5</v>
      </c>
      <c r="M695">
        <v>15</v>
      </c>
      <c r="N695">
        <v>4</v>
      </c>
      <c r="O695">
        <f t="shared" si="10"/>
        <v>2</v>
      </c>
    </row>
    <row r="696" spans="1:15">
      <c r="A696">
        <v>4202</v>
      </c>
      <c r="B696" s="1">
        <v>45693</v>
      </c>
      <c r="C696">
        <v>45</v>
      </c>
      <c r="D696" t="s">
        <v>17</v>
      </c>
      <c r="E696" t="s">
        <v>22</v>
      </c>
      <c r="F696" t="s">
        <v>16</v>
      </c>
      <c r="H696">
        <v>447.9</v>
      </c>
      <c r="I696" s="13">
        <v>5</v>
      </c>
      <c r="J696">
        <v>1</v>
      </c>
      <c r="K696">
        <v>95.19</v>
      </c>
      <c r="L696">
        <v>2</v>
      </c>
      <c r="M696">
        <v>13</v>
      </c>
      <c r="N696">
        <v>4</v>
      </c>
      <c r="O696">
        <f t="shared" si="10"/>
        <v>2</v>
      </c>
    </row>
    <row r="697" spans="1:15">
      <c r="A697">
        <v>3577</v>
      </c>
      <c r="B697" s="1">
        <v>45693</v>
      </c>
      <c r="C697">
        <v>18</v>
      </c>
      <c r="D697" t="s">
        <v>14</v>
      </c>
      <c r="E697" t="s">
        <v>24</v>
      </c>
      <c r="F697" t="s">
        <v>16</v>
      </c>
      <c r="H697">
        <v>185.9</v>
      </c>
      <c r="I697" s="13">
        <v>6</v>
      </c>
      <c r="J697">
        <v>1</v>
      </c>
      <c r="K697">
        <v>77.430000000000007</v>
      </c>
      <c r="L697">
        <v>3</v>
      </c>
      <c r="M697">
        <v>10</v>
      </c>
      <c r="N697">
        <v>4</v>
      </c>
      <c r="O697">
        <f t="shared" si="10"/>
        <v>2</v>
      </c>
    </row>
    <row r="698" spans="1:15">
      <c r="A698">
        <v>4601</v>
      </c>
      <c r="B698" s="1">
        <v>45693</v>
      </c>
      <c r="C698">
        <v>43</v>
      </c>
      <c r="D698" t="s">
        <v>14</v>
      </c>
      <c r="E698" t="s">
        <v>20</v>
      </c>
      <c r="F698" t="s">
        <v>16</v>
      </c>
      <c r="H698">
        <v>816.2</v>
      </c>
      <c r="I698" s="13">
        <v>2</v>
      </c>
      <c r="J698">
        <v>1</v>
      </c>
      <c r="K698">
        <v>55.82</v>
      </c>
      <c r="L698">
        <v>2</v>
      </c>
      <c r="M698">
        <v>7</v>
      </c>
      <c r="N698">
        <v>4</v>
      </c>
      <c r="O698">
        <f t="shared" si="10"/>
        <v>2</v>
      </c>
    </row>
    <row r="699" spans="1:15">
      <c r="A699">
        <v>3590</v>
      </c>
      <c r="B699" s="1">
        <v>45693</v>
      </c>
      <c r="C699">
        <v>40</v>
      </c>
      <c r="D699" t="s">
        <v>17</v>
      </c>
      <c r="E699" t="s">
        <v>20</v>
      </c>
      <c r="F699" t="s">
        <v>16</v>
      </c>
      <c r="H699">
        <v>455.5</v>
      </c>
      <c r="I699" s="13">
        <v>4</v>
      </c>
      <c r="J699">
        <v>1</v>
      </c>
      <c r="K699">
        <v>50.06</v>
      </c>
      <c r="L699">
        <v>3</v>
      </c>
      <c r="M699">
        <v>14</v>
      </c>
      <c r="N699">
        <v>4</v>
      </c>
      <c r="O699">
        <f t="shared" si="10"/>
        <v>2</v>
      </c>
    </row>
    <row r="700" spans="1:15">
      <c r="A700">
        <v>2961</v>
      </c>
      <c r="B700" s="1">
        <v>45693</v>
      </c>
      <c r="C700">
        <v>38</v>
      </c>
      <c r="D700" t="s">
        <v>17</v>
      </c>
      <c r="E700" t="s">
        <v>22</v>
      </c>
      <c r="F700" t="s">
        <v>18</v>
      </c>
      <c r="G700" t="s">
        <v>29</v>
      </c>
      <c r="H700">
        <v>1320.2</v>
      </c>
      <c r="I700" s="13">
        <v>3</v>
      </c>
      <c r="J700">
        <v>1</v>
      </c>
      <c r="K700">
        <v>36.619999999999997</v>
      </c>
      <c r="L700">
        <v>1</v>
      </c>
      <c r="M700">
        <v>10</v>
      </c>
      <c r="N700">
        <v>4</v>
      </c>
      <c r="O700">
        <f t="shared" si="10"/>
        <v>2</v>
      </c>
    </row>
    <row r="701" spans="1:15">
      <c r="A701">
        <v>27</v>
      </c>
      <c r="B701" s="1">
        <v>45693</v>
      </c>
      <c r="C701">
        <v>35</v>
      </c>
      <c r="D701" t="s">
        <v>14</v>
      </c>
      <c r="E701" t="s">
        <v>22</v>
      </c>
      <c r="F701" t="s">
        <v>23</v>
      </c>
      <c r="H701">
        <v>170.6</v>
      </c>
      <c r="I701" s="13">
        <v>8</v>
      </c>
      <c r="J701">
        <v>1</v>
      </c>
      <c r="K701">
        <v>36.159999999999997</v>
      </c>
      <c r="L701">
        <v>8</v>
      </c>
      <c r="M701">
        <v>14</v>
      </c>
      <c r="N701">
        <v>4</v>
      </c>
      <c r="O701">
        <f t="shared" si="10"/>
        <v>2</v>
      </c>
    </row>
    <row r="702" spans="1:15">
      <c r="A702">
        <v>4519</v>
      </c>
      <c r="B702" s="1">
        <v>45693</v>
      </c>
      <c r="C702">
        <v>42</v>
      </c>
      <c r="D702" t="s">
        <v>17</v>
      </c>
      <c r="E702" t="s">
        <v>20</v>
      </c>
      <c r="F702" t="s">
        <v>23</v>
      </c>
      <c r="H702">
        <v>971</v>
      </c>
      <c r="I702" s="13">
        <v>4</v>
      </c>
      <c r="J702">
        <v>0</v>
      </c>
      <c r="K702">
        <v>0</v>
      </c>
      <c r="L702">
        <v>0</v>
      </c>
      <c r="M702">
        <v>0</v>
      </c>
      <c r="O702">
        <f t="shared" si="10"/>
        <v>2</v>
      </c>
    </row>
    <row r="703" spans="1:15">
      <c r="A703">
        <v>369</v>
      </c>
      <c r="B703" s="1">
        <v>45693</v>
      </c>
      <c r="C703">
        <v>25</v>
      </c>
      <c r="D703" t="s">
        <v>14</v>
      </c>
      <c r="E703" t="s">
        <v>22</v>
      </c>
      <c r="F703" t="s">
        <v>21</v>
      </c>
      <c r="H703">
        <v>642.1</v>
      </c>
      <c r="I703" s="13">
        <v>3</v>
      </c>
      <c r="J703">
        <v>0</v>
      </c>
      <c r="K703">
        <v>0</v>
      </c>
      <c r="L703">
        <v>0</v>
      </c>
      <c r="M703">
        <v>0</v>
      </c>
      <c r="O703">
        <f t="shared" si="10"/>
        <v>2</v>
      </c>
    </row>
    <row r="704" spans="1:15">
      <c r="A704">
        <v>4708</v>
      </c>
      <c r="B704" s="1">
        <v>45693</v>
      </c>
      <c r="C704">
        <v>39</v>
      </c>
      <c r="D704" t="s">
        <v>17</v>
      </c>
      <c r="E704" t="s">
        <v>22</v>
      </c>
      <c r="F704" t="s">
        <v>23</v>
      </c>
      <c r="H704">
        <v>629.79999999999995</v>
      </c>
      <c r="I704" s="13">
        <v>2</v>
      </c>
      <c r="J704">
        <v>0</v>
      </c>
      <c r="K704">
        <v>0</v>
      </c>
      <c r="L704">
        <v>0</v>
      </c>
      <c r="M704">
        <v>0</v>
      </c>
      <c r="O704">
        <f t="shared" si="10"/>
        <v>2</v>
      </c>
    </row>
    <row r="705" spans="1:15">
      <c r="A705">
        <v>2290</v>
      </c>
      <c r="B705" s="1">
        <v>45693</v>
      </c>
      <c r="C705">
        <v>32</v>
      </c>
      <c r="D705" t="s">
        <v>17</v>
      </c>
      <c r="E705" t="s">
        <v>20</v>
      </c>
      <c r="F705" t="s">
        <v>18</v>
      </c>
      <c r="G705" t="s">
        <v>29</v>
      </c>
      <c r="H705">
        <v>611</v>
      </c>
      <c r="I705" s="13">
        <v>8</v>
      </c>
      <c r="J705">
        <v>0</v>
      </c>
      <c r="K705">
        <v>0</v>
      </c>
      <c r="L705">
        <v>0</v>
      </c>
      <c r="M705">
        <v>0</v>
      </c>
      <c r="O705">
        <f t="shared" si="10"/>
        <v>2</v>
      </c>
    </row>
    <row r="706" spans="1:15">
      <c r="A706">
        <v>2448</v>
      </c>
      <c r="B706" s="1">
        <v>45693</v>
      </c>
      <c r="C706">
        <v>41</v>
      </c>
      <c r="D706" t="s">
        <v>14</v>
      </c>
      <c r="E706" t="s">
        <v>24</v>
      </c>
      <c r="F706" t="s">
        <v>16</v>
      </c>
      <c r="H706">
        <v>558</v>
      </c>
      <c r="I706" s="13">
        <v>6</v>
      </c>
      <c r="J706">
        <v>0</v>
      </c>
      <c r="K706">
        <v>0</v>
      </c>
      <c r="L706">
        <v>0</v>
      </c>
      <c r="M706">
        <v>0</v>
      </c>
      <c r="O706">
        <f t="shared" si="10"/>
        <v>2</v>
      </c>
    </row>
    <row r="707" spans="1:15">
      <c r="A707">
        <v>235</v>
      </c>
      <c r="B707" s="1">
        <v>45693</v>
      </c>
      <c r="C707">
        <v>25</v>
      </c>
      <c r="D707" t="s">
        <v>17</v>
      </c>
      <c r="E707" t="s">
        <v>22</v>
      </c>
      <c r="F707" t="s">
        <v>16</v>
      </c>
      <c r="H707">
        <v>382</v>
      </c>
      <c r="I707" s="13">
        <v>7</v>
      </c>
      <c r="J707">
        <v>0</v>
      </c>
      <c r="K707">
        <v>0</v>
      </c>
      <c r="L707">
        <v>0</v>
      </c>
      <c r="M707">
        <v>0</v>
      </c>
      <c r="O707">
        <f t="shared" ref="O707:O770" si="11">MONTH(B707)</f>
        <v>2</v>
      </c>
    </row>
    <row r="708" spans="1:15">
      <c r="A708">
        <v>2743</v>
      </c>
      <c r="B708" s="1">
        <v>45693</v>
      </c>
      <c r="C708">
        <v>35</v>
      </c>
      <c r="D708" t="s">
        <v>17</v>
      </c>
      <c r="E708" t="s">
        <v>20</v>
      </c>
      <c r="F708" t="s">
        <v>16</v>
      </c>
      <c r="H708">
        <v>367.3</v>
      </c>
      <c r="I708" s="13">
        <v>3</v>
      </c>
      <c r="J708">
        <v>0</v>
      </c>
      <c r="K708">
        <v>0</v>
      </c>
      <c r="L708">
        <v>0</v>
      </c>
      <c r="M708">
        <v>0</v>
      </c>
      <c r="O708">
        <f t="shared" si="11"/>
        <v>2</v>
      </c>
    </row>
    <row r="709" spans="1:15">
      <c r="A709">
        <v>4820</v>
      </c>
      <c r="B709" s="1">
        <v>45693</v>
      </c>
      <c r="C709">
        <v>37</v>
      </c>
      <c r="D709" t="s">
        <v>14</v>
      </c>
      <c r="E709" t="s">
        <v>20</v>
      </c>
      <c r="F709" t="s">
        <v>16</v>
      </c>
      <c r="H709">
        <v>355</v>
      </c>
      <c r="I709" s="13">
        <v>8</v>
      </c>
      <c r="J709">
        <v>0</v>
      </c>
      <c r="K709">
        <v>0</v>
      </c>
      <c r="L709">
        <v>0</v>
      </c>
      <c r="M709">
        <v>0</v>
      </c>
      <c r="O709">
        <f t="shared" si="11"/>
        <v>2</v>
      </c>
    </row>
    <row r="710" spans="1:15">
      <c r="A710">
        <v>3031</v>
      </c>
      <c r="B710" s="1">
        <v>45693</v>
      </c>
      <c r="C710">
        <v>50</v>
      </c>
      <c r="D710" t="s">
        <v>14</v>
      </c>
      <c r="E710" t="s">
        <v>20</v>
      </c>
      <c r="F710" t="s">
        <v>23</v>
      </c>
      <c r="H710">
        <v>270.3</v>
      </c>
      <c r="I710" s="13">
        <v>6</v>
      </c>
      <c r="J710">
        <v>0</v>
      </c>
      <c r="K710">
        <v>0</v>
      </c>
      <c r="L710">
        <v>0</v>
      </c>
      <c r="M710">
        <v>0</v>
      </c>
      <c r="O710">
        <f t="shared" si="11"/>
        <v>2</v>
      </c>
    </row>
    <row r="711" spans="1:15">
      <c r="A711">
        <v>1848</v>
      </c>
      <c r="B711" s="1">
        <v>45693</v>
      </c>
      <c r="C711">
        <v>36</v>
      </c>
      <c r="D711" t="s">
        <v>17</v>
      </c>
      <c r="E711" t="s">
        <v>15</v>
      </c>
      <c r="F711" t="s">
        <v>18</v>
      </c>
      <c r="G711" t="s">
        <v>19</v>
      </c>
      <c r="H711">
        <v>245.5</v>
      </c>
      <c r="I711" s="13">
        <v>7</v>
      </c>
      <c r="J711">
        <v>0</v>
      </c>
      <c r="K711">
        <v>0</v>
      </c>
      <c r="L711">
        <v>0</v>
      </c>
      <c r="M711">
        <v>0</v>
      </c>
      <c r="O711">
        <f t="shared" si="11"/>
        <v>2</v>
      </c>
    </row>
    <row r="712" spans="1:15">
      <c r="A712">
        <v>58</v>
      </c>
      <c r="B712" s="1">
        <v>45693</v>
      </c>
      <c r="C712">
        <v>27</v>
      </c>
      <c r="D712" t="s">
        <v>14</v>
      </c>
      <c r="E712" t="s">
        <v>24</v>
      </c>
      <c r="F712" t="s">
        <v>21</v>
      </c>
      <c r="H712">
        <v>237.5</v>
      </c>
      <c r="I712" s="13">
        <v>4</v>
      </c>
      <c r="J712">
        <v>0</v>
      </c>
      <c r="K712">
        <v>0</v>
      </c>
      <c r="L712">
        <v>0</v>
      </c>
      <c r="M712">
        <v>0</v>
      </c>
      <c r="O712">
        <f t="shared" si="11"/>
        <v>2</v>
      </c>
    </row>
    <row r="713" spans="1:15">
      <c r="A713">
        <v>72</v>
      </c>
      <c r="B713" s="1">
        <v>45693</v>
      </c>
      <c r="C713">
        <v>26</v>
      </c>
      <c r="D713" t="s">
        <v>17</v>
      </c>
      <c r="E713" t="s">
        <v>20</v>
      </c>
      <c r="F713" t="s">
        <v>23</v>
      </c>
      <c r="H713">
        <v>216.4</v>
      </c>
      <c r="I713" s="13">
        <v>10</v>
      </c>
      <c r="J713">
        <v>0</v>
      </c>
      <c r="K713">
        <v>0</v>
      </c>
      <c r="L713">
        <v>0</v>
      </c>
      <c r="M713">
        <v>0</v>
      </c>
      <c r="O713">
        <f t="shared" si="11"/>
        <v>2</v>
      </c>
    </row>
    <row r="714" spans="1:15">
      <c r="A714">
        <v>1515</v>
      </c>
      <c r="B714" s="1">
        <v>45693</v>
      </c>
      <c r="C714">
        <v>22</v>
      </c>
      <c r="D714" t="s">
        <v>17</v>
      </c>
      <c r="E714" t="s">
        <v>20</v>
      </c>
      <c r="F714" t="s">
        <v>16</v>
      </c>
      <c r="H714">
        <v>209.3</v>
      </c>
      <c r="I714" s="13">
        <v>8</v>
      </c>
      <c r="J714">
        <v>0</v>
      </c>
      <c r="K714">
        <v>0</v>
      </c>
      <c r="L714">
        <v>0</v>
      </c>
      <c r="M714">
        <v>0</v>
      </c>
      <c r="O714">
        <f t="shared" si="11"/>
        <v>2</v>
      </c>
    </row>
    <row r="715" spans="1:15">
      <c r="A715">
        <v>1738</v>
      </c>
      <c r="B715" s="1">
        <v>45693</v>
      </c>
      <c r="C715">
        <v>23</v>
      </c>
      <c r="D715" t="s">
        <v>14</v>
      </c>
      <c r="E715" t="s">
        <v>15</v>
      </c>
      <c r="F715" t="s">
        <v>16</v>
      </c>
      <c r="H715">
        <v>141.30000000000001</v>
      </c>
      <c r="I715" s="13">
        <v>2</v>
      </c>
      <c r="J715">
        <v>0</v>
      </c>
      <c r="K715">
        <v>0</v>
      </c>
      <c r="L715">
        <v>0</v>
      </c>
      <c r="M715">
        <v>0</v>
      </c>
      <c r="O715">
        <f t="shared" si="11"/>
        <v>2</v>
      </c>
    </row>
    <row r="716" spans="1:15">
      <c r="A716">
        <v>4914</v>
      </c>
      <c r="B716" s="1">
        <v>45693</v>
      </c>
      <c r="C716">
        <v>43</v>
      </c>
      <c r="D716" t="s">
        <v>17</v>
      </c>
      <c r="E716" t="s">
        <v>20</v>
      </c>
      <c r="F716" t="s">
        <v>23</v>
      </c>
      <c r="H716">
        <v>138.80000000000001</v>
      </c>
      <c r="I716" s="13">
        <v>5</v>
      </c>
      <c r="J716">
        <v>0</v>
      </c>
      <c r="K716">
        <v>0</v>
      </c>
      <c r="L716">
        <v>0</v>
      </c>
      <c r="M716">
        <v>0</v>
      </c>
      <c r="O716">
        <f t="shared" si="11"/>
        <v>2</v>
      </c>
    </row>
    <row r="717" spans="1:15">
      <c r="A717">
        <v>2674</v>
      </c>
      <c r="B717" s="1">
        <v>45693</v>
      </c>
      <c r="C717">
        <v>35</v>
      </c>
      <c r="D717" t="s">
        <v>14</v>
      </c>
      <c r="E717" t="s">
        <v>20</v>
      </c>
      <c r="F717" t="s">
        <v>21</v>
      </c>
      <c r="H717">
        <v>130.30000000000001</v>
      </c>
      <c r="I717" s="13">
        <v>7</v>
      </c>
      <c r="J717">
        <v>0</v>
      </c>
      <c r="K717">
        <v>0</v>
      </c>
      <c r="L717">
        <v>0</v>
      </c>
      <c r="M717">
        <v>0</v>
      </c>
      <c r="O717">
        <f t="shared" si="11"/>
        <v>2</v>
      </c>
    </row>
    <row r="718" spans="1:15">
      <c r="A718">
        <v>3499</v>
      </c>
      <c r="B718" s="1">
        <v>45693</v>
      </c>
      <c r="C718">
        <v>49</v>
      </c>
      <c r="D718" t="s">
        <v>14</v>
      </c>
      <c r="E718" t="s">
        <v>15</v>
      </c>
      <c r="F718" t="s">
        <v>16</v>
      </c>
      <c r="H718">
        <v>128.69999999999999</v>
      </c>
      <c r="I718" s="13">
        <v>12</v>
      </c>
      <c r="J718">
        <v>0</v>
      </c>
      <c r="K718">
        <v>0</v>
      </c>
      <c r="L718">
        <v>0</v>
      </c>
      <c r="M718">
        <v>0</v>
      </c>
      <c r="O718">
        <f t="shared" si="11"/>
        <v>2</v>
      </c>
    </row>
    <row r="719" spans="1:15">
      <c r="A719">
        <v>4873</v>
      </c>
      <c r="B719" s="1">
        <v>45693</v>
      </c>
      <c r="C719">
        <v>53</v>
      </c>
      <c r="D719" t="s">
        <v>27</v>
      </c>
      <c r="E719" t="s">
        <v>24</v>
      </c>
      <c r="F719" t="s">
        <v>16</v>
      </c>
      <c r="H719">
        <v>127</v>
      </c>
      <c r="I719" s="13">
        <v>7</v>
      </c>
      <c r="J719">
        <v>0</v>
      </c>
      <c r="K719">
        <v>0</v>
      </c>
      <c r="L719">
        <v>0</v>
      </c>
      <c r="M719">
        <v>0</v>
      </c>
      <c r="O719">
        <f t="shared" si="11"/>
        <v>2</v>
      </c>
    </row>
    <row r="720" spans="1:15">
      <c r="A720">
        <v>2031</v>
      </c>
      <c r="B720" s="1">
        <v>45693</v>
      </c>
      <c r="C720">
        <v>40</v>
      </c>
      <c r="D720" t="s">
        <v>17</v>
      </c>
      <c r="E720" t="s">
        <v>22</v>
      </c>
      <c r="F720" t="s">
        <v>16</v>
      </c>
      <c r="H720">
        <v>124.7</v>
      </c>
      <c r="I720" s="13">
        <v>5</v>
      </c>
      <c r="J720">
        <v>0</v>
      </c>
      <c r="K720">
        <v>0</v>
      </c>
      <c r="L720">
        <v>0</v>
      </c>
      <c r="M720">
        <v>0</v>
      </c>
      <c r="O720">
        <f t="shared" si="11"/>
        <v>2</v>
      </c>
    </row>
    <row r="721" spans="1:15">
      <c r="A721">
        <v>3115</v>
      </c>
      <c r="B721" s="1">
        <v>45693</v>
      </c>
      <c r="C721">
        <v>33</v>
      </c>
      <c r="D721" t="s">
        <v>17</v>
      </c>
      <c r="E721" t="s">
        <v>15</v>
      </c>
      <c r="F721" t="s">
        <v>18</v>
      </c>
      <c r="G721" t="s">
        <v>19</v>
      </c>
      <c r="H721">
        <v>108.7</v>
      </c>
      <c r="I721" s="13">
        <v>4</v>
      </c>
      <c r="J721">
        <v>0</v>
      </c>
      <c r="K721">
        <v>0</v>
      </c>
      <c r="L721">
        <v>0</v>
      </c>
      <c r="M721">
        <v>0</v>
      </c>
      <c r="O721">
        <f t="shared" si="11"/>
        <v>2</v>
      </c>
    </row>
    <row r="722" spans="1:15">
      <c r="A722">
        <v>3334</v>
      </c>
      <c r="B722" s="1">
        <v>45693</v>
      </c>
      <c r="C722">
        <v>29</v>
      </c>
      <c r="D722" t="s">
        <v>17</v>
      </c>
      <c r="E722" t="s">
        <v>22</v>
      </c>
      <c r="F722" t="s">
        <v>16</v>
      </c>
      <c r="H722">
        <v>77.599999999999994</v>
      </c>
      <c r="I722" s="13">
        <v>6</v>
      </c>
      <c r="J722">
        <v>0</v>
      </c>
      <c r="K722">
        <v>0</v>
      </c>
      <c r="L722">
        <v>0</v>
      </c>
      <c r="M722">
        <v>0</v>
      </c>
      <c r="O722">
        <f t="shared" si="11"/>
        <v>2</v>
      </c>
    </row>
    <row r="723" spans="1:15">
      <c r="A723">
        <v>4532</v>
      </c>
      <c r="B723" s="1">
        <v>45693</v>
      </c>
      <c r="C723">
        <v>44</v>
      </c>
      <c r="D723" t="s">
        <v>17</v>
      </c>
      <c r="E723" t="s">
        <v>24</v>
      </c>
      <c r="F723" t="s">
        <v>23</v>
      </c>
      <c r="H723">
        <v>33.200000000000003</v>
      </c>
      <c r="I723" s="13">
        <v>8</v>
      </c>
      <c r="J723">
        <v>0</v>
      </c>
      <c r="K723">
        <v>0</v>
      </c>
      <c r="L723">
        <v>0</v>
      </c>
      <c r="M723">
        <v>0</v>
      </c>
      <c r="O723">
        <f t="shared" si="11"/>
        <v>2</v>
      </c>
    </row>
    <row r="724" spans="1:15">
      <c r="A724">
        <v>2788</v>
      </c>
      <c r="B724" s="1">
        <v>45693</v>
      </c>
      <c r="C724">
        <v>49</v>
      </c>
      <c r="D724" t="s">
        <v>14</v>
      </c>
      <c r="E724" t="s">
        <v>22</v>
      </c>
      <c r="F724" t="s">
        <v>18</v>
      </c>
      <c r="G724" t="s">
        <v>30</v>
      </c>
      <c r="H724">
        <v>9</v>
      </c>
      <c r="I724" s="13">
        <v>10</v>
      </c>
      <c r="J724">
        <v>0</v>
      </c>
      <c r="K724">
        <v>0</v>
      </c>
      <c r="L724">
        <v>0</v>
      </c>
      <c r="M724">
        <v>0</v>
      </c>
      <c r="O724">
        <f t="shared" si="11"/>
        <v>2</v>
      </c>
    </row>
    <row r="725" spans="1:15">
      <c r="A725">
        <v>1604</v>
      </c>
      <c r="B725" s="1">
        <v>45721</v>
      </c>
      <c r="C725">
        <v>18</v>
      </c>
      <c r="D725" t="s">
        <v>14</v>
      </c>
      <c r="E725" t="s">
        <v>22</v>
      </c>
      <c r="F725" t="s">
        <v>16</v>
      </c>
      <c r="H725">
        <v>877.4</v>
      </c>
      <c r="I725" s="13">
        <v>5</v>
      </c>
      <c r="J725">
        <v>1</v>
      </c>
      <c r="K725">
        <v>546</v>
      </c>
      <c r="L725">
        <v>4</v>
      </c>
      <c r="M725">
        <v>9</v>
      </c>
      <c r="N725">
        <v>4</v>
      </c>
      <c r="O725">
        <f t="shared" si="11"/>
        <v>3</v>
      </c>
    </row>
    <row r="726" spans="1:15">
      <c r="A726">
        <v>1523</v>
      </c>
      <c r="B726" s="1">
        <v>45721</v>
      </c>
      <c r="C726">
        <v>18</v>
      </c>
      <c r="D726" t="s">
        <v>14</v>
      </c>
      <c r="E726" t="s">
        <v>24</v>
      </c>
      <c r="F726" t="s">
        <v>23</v>
      </c>
      <c r="H726">
        <v>148.5</v>
      </c>
      <c r="I726" s="13">
        <v>9</v>
      </c>
      <c r="J726">
        <v>1</v>
      </c>
      <c r="K726">
        <v>139.59</v>
      </c>
      <c r="L726">
        <v>4</v>
      </c>
      <c r="M726">
        <v>5</v>
      </c>
      <c r="N726">
        <v>5</v>
      </c>
      <c r="O726">
        <f t="shared" si="11"/>
        <v>3</v>
      </c>
    </row>
    <row r="727" spans="1:15">
      <c r="A727">
        <v>1056</v>
      </c>
      <c r="B727" s="1">
        <v>45721</v>
      </c>
      <c r="C727">
        <v>41</v>
      </c>
      <c r="D727" t="s">
        <v>17</v>
      </c>
      <c r="E727" t="s">
        <v>15</v>
      </c>
      <c r="F727" t="s">
        <v>16</v>
      </c>
      <c r="H727">
        <v>114</v>
      </c>
      <c r="I727" s="13">
        <v>8</v>
      </c>
      <c r="J727">
        <v>1</v>
      </c>
      <c r="K727">
        <v>106.6</v>
      </c>
      <c r="L727">
        <v>3</v>
      </c>
      <c r="M727">
        <v>2</v>
      </c>
      <c r="N727">
        <v>4</v>
      </c>
      <c r="O727">
        <f t="shared" si="11"/>
        <v>3</v>
      </c>
    </row>
    <row r="728" spans="1:15">
      <c r="A728">
        <v>2344</v>
      </c>
      <c r="B728" s="1">
        <v>45721</v>
      </c>
      <c r="C728">
        <v>30</v>
      </c>
      <c r="D728" t="s">
        <v>17</v>
      </c>
      <c r="E728" t="s">
        <v>22</v>
      </c>
      <c r="F728" t="s">
        <v>23</v>
      </c>
      <c r="H728">
        <v>557.29999999999995</v>
      </c>
      <c r="I728" s="13">
        <v>5</v>
      </c>
      <c r="J728">
        <v>1</v>
      </c>
      <c r="K728">
        <v>80.040000000000006</v>
      </c>
      <c r="L728">
        <v>4</v>
      </c>
      <c r="M728">
        <v>7</v>
      </c>
      <c r="N728">
        <v>4</v>
      </c>
      <c r="O728">
        <f t="shared" si="11"/>
        <v>3</v>
      </c>
    </row>
    <row r="729" spans="1:15">
      <c r="A729">
        <v>2163</v>
      </c>
      <c r="B729" s="1">
        <v>45721</v>
      </c>
      <c r="C729">
        <v>28</v>
      </c>
      <c r="D729" t="s">
        <v>17</v>
      </c>
      <c r="E729" t="s">
        <v>22</v>
      </c>
      <c r="F729" t="s">
        <v>16</v>
      </c>
      <c r="H729">
        <v>218.1</v>
      </c>
      <c r="I729" s="13">
        <v>5</v>
      </c>
      <c r="J729">
        <v>1</v>
      </c>
      <c r="K729">
        <v>75.540000000000006</v>
      </c>
      <c r="L729">
        <v>3</v>
      </c>
      <c r="M729">
        <v>5</v>
      </c>
      <c r="N729">
        <v>4</v>
      </c>
      <c r="O729">
        <f t="shared" si="11"/>
        <v>3</v>
      </c>
    </row>
    <row r="730" spans="1:15">
      <c r="A730">
        <v>3228</v>
      </c>
      <c r="B730" s="1">
        <v>45721</v>
      </c>
      <c r="C730">
        <v>35</v>
      </c>
      <c r="D730" t="s">
        <v>17</v>
      </c>
      <c r="E730" t="s">
        <v>22</v>
      </c>
      <c r="F730" t="s">
        <v>16</v>
      </c>
      <c r="H730">
        <v>428.2</v>
      </c>
      <c r="I730" s="13">
        <v>7</v>
      </c>
      <c r="J730">
        <v>1</v>
      </c>
      <c r="K730">
        <v>65.02</v>
      </c>
      <c r="L730">
        <v>2</v>
      </c>
      <c r="M730">
        <v>5</v>
      </c>
      <c r="N730">
        <v>4</v>
      </c>
      <c r="O730">
        <f t="shared" si="11"/>
        <v>3</v>
      </c>
    </row>
    <row r="731" spans="1:15">
      <c r="A731">
        <v>4843</v>
      </c>
      <c r="B731" s="1">
        <v>45721</v>
      </c>
      <c r="C731">
        <v>38</v>
      </c>
      <c r="D731" t="s">
        <v>14</v>
      </c>
      <c r="E731" t="s">
        <v>22</v>
      </c>
      <c r="F731" t="s">
        <v>16</v>
      </c>
      <c r="H731">
        <v>210</v>
      </c>
      <c r="I731" s="13">
        <v>11</v>
      </c>
      <c r="J731">
        <v>1</v>
      </c>
      <c r="K731">
        <v>57.2</v>
      </c>
      <c r="L731">
        <v>5</v>
      </c>
      <c r="M731">
        <v>8</v>
      </c>
      <c r="N731">
        <v>5</v>
      </c>
      <c r="O731">
        <f t="shared" si="11"/>
        <v>3</v>
      </c>
    </row>
    <row r="732" spans="1:15">
      <c r="A732">
        <v>1100</v>
      </c>
      <c r="B732" s="1">
        <v>45721</v>
      </c>
      <c r="C732">
        <v>18</v>
      </c>
      <c r="D732" t="s">
        <v>14</v>
      </c>
      <c r="E732" t="s">
        <v>20</v>
      </c>
      <c r="F732" t="s">
        <v>21</v>
      </c>
      <c r="H732">
        <v>607.20000000000005</v>
      </c>
      <c r="I732" s="13">
        <v>6</v>
      </c>
      <c r="J732">
        <v>1</v>
      </c>
      <c r="K732">
        <v>52.62</v>
      </c>
      <c r="L732">
        <v>2</v>
      </c>
      <c r="M732">
        <v>2</v>
      </c>
      <c r="N732">
        <v>4</v>
      </c>
      <c r="O732">
        <f t="shared" si="11"/>
        <v>3</v>
      </c>
    </row>
    <row r="733" spans="1:15">
      <c r="A733">
        <v>1803</v>
      </c>
      <c r="B733" s="1">
        <v>45721</v>
      </c>
      <c r="C733">
        <v>21</v>
      </c>
      <c r="D733" t="s">
        <v>14</v>
      </c>
      <c r="E733" t="s">
        <v>15</v>
      </c>
      <c r="F733" t="s">
        <v>16</v>
      </c>
      <c r="H733">
        <v>99.6</v>
      </c>
      <c r="I733" s="13">
        <v>4</v>
      </c>
      <c r="J733">
        <v>1</v>
      </c>
      <c r="K733">
        <v>30.78</v>
      </c>
      <c r="L733">
        <v>3</v>
      </c>
      <c r="M733">
        <v>15</v>
      </c>
      <c r="N733">
        <v>5</v>
      </c>
      <c r="O733">
        <f t="shared" si="11"/>
        <v>3</v>
      </c>
    </row>
    <row r="734" spans="1:15">
      <c r="A734">
        <v>1561</v>
      </c>
      <c r="B734" s="1">
        <v>45721</v>
      </c>
      <c r="C734">
        <v>26</v>
      </c>
      <c r="D734" t="s">
        <v>17</v>
      </c>
      <c r="E734" t="s">
        <v>15</v>
      </c>
      <c r="F734" t="s">
        <v>18</v>
      </c>
      <c r="G734" t="s">
        <v>29</v>
      </c>
      <c r="H734">
        <v>540.70000000000005</v>
      </c>
      <c r="I734" s="13">
        <v>6</v>
      </c>
      <c r="J734">
        <v>1</v>
      </c>
      <c r="K734">
        <v>19.309999999999999</v>
      </c>
      <c r="L734">
        <v>2</v>
      </c>
      <c r="M734">
        <v>5</v>
      </c>
      <c r="N734">
        <v>3</v>
      </c>
      <c r="O734">
        <f t="shared" si="11"/>
        <v>3</v>
      </c>
    </row>
    <row r="735" spans="1:15">
      <c r="A735">
        <v>3634</v>
      </c>
      <c r="B735" s="1">
        <v>45721</v>
      </c>
      <c r="C735">
        <v>24</v>
      </c>
      <c r="D735" t="s">
        <v>17</v>
      </c>
      <c r="E735" t="s">
        <v>24</v>
      </c>
      <c r="F735" t="s">
        <v>16</v>
      </c>
      <c r="H735">
        <v>349.8</v>
      </c>
      <c r="I735" s="13">
        <v>4</v>
      </c>
      <c r="J735">
        <v>1</v>
      </c>
      <c r="K735">
        <v>18.77</v>
      </c>
      <c r="L735">
        <v>4</v>
      </c>
      <c r="M735">
        <v>8</v>
      </c>
      <c r="N735">
        <v>4</v>
      </c>
      <c r="O735">
        <f t="shared" si="11"/>
        <v>3</v>
      </c>
    </row>
    <row r="736" spans="1:15">
      <c r="A736">
        <v>1069</v>
      </c>
      <c r="B736" s="1">
        <v>45721</v>
      </c>
      <c r="C736">
        <v>33</v>
      </c>
      <c r="D736" t="s">
        <v>17</v>
      </c>
      <c r="E736" t="s">
        <v>22</v>
      </c>
      <c r="F736" t="s">
        <v>16</v>
      </c>
      <c r="H736">
        <v>512.79999999999995</v>
      </c>
      <c r="I736" s="13">
        <v>7</v>
      </c>
      <c r="J736">
        <v>1</v>
      </c>
      <c r="K736">
        <v>16.89</v>
      </c>
      <c r="L736">
        <v>6</v>
      </c>
      <c r="M736">
        <v>15</v>
      </c>
      <c r="N736">
        <v>4</v>
      </c>
      <c r="O736">
        <f t="shared" si="11"/>
        <v>3</v>
      </c>
    </row>
    <row r="737" spans="1:15">
      <c r="A737">
        <v>565</v>
      </c>
      <c r="B737" s="1">
        <v>45721</v>
      </c>
      <c r="C737">
        <v>28</v>
      </c>
      <c r="D737" t="s">
        <v>14</v>
      </c>
      <c r="E737" t="s">
        <v>24</v>
      </c>
      <c r="F737" t="s">
        <v>18</v>
      </c>
      <c r="G737" t="s">
        <v>26</v>
      </c>
      <c r="H737">
        <v>602.29999999999995</v>
      </c>
      <c r="I737" s="13">
        <v>8</v>
      </c>
      <c r="J737">
        <v>1</v>
      </c>
      <c r="K737">
        <v>13.81</v>
      </c>
      <c r="L737">
        <v>5</v>
      </c>
      <c r="M737">
        <v>1</v>
      </c>
      <c r="N737">
        <v>4</v>
      </c>
      <c r="O737">
        <f t="shared" si="11"/>
        <v>3</v>
      </c>
    </row>
    <row r="738" spans="1:15">
      <c r="A738">
        <v>496</v>
      </c>
      <c r="B738" s="1">
        <v>45721</v>
      </c>
      <c r="C738">
        <v>24</v>
      </c>
      <c r="D738" t="s">
        <v>14</v>
      </c>
      <c r="E738" t="s">
        <v>20</v>
      </c>
      <c r="F738" t="s">
        <v>18</v>
      </c>
      <c r="G738" t="s">
        <v>29</v>
      </c>
      <c r="H738">
        <v>647.29999999999995</v>
      </c>
      <c r="I738" s="13">
        <v>7</v>
      </c>
      <c r="J738">
        <v>0</v>
      </c>
      <c r="K738">
        <v>0</v>
      </c>
      <c r="L738">
        <v>0</v>
      </c>
      <c r="M738">
        <v>0</v>
      </c>
      <c r="O738">
        <f t="shared" si="11"/>
        <v>3</v>
      </c>
    </row>
    <row r="739" spans="1:15">
      <c r="A739">
        <v>2870</v>
      </c>
      <c r="B739" s="1">
        <v>45721</v>
      </c>
      <c r="C739">
        <v>24</v>
      </c>
      <c r="D739" t="s">
        <v>14</v>
      </c>
      <c r="E739" t="s">
        <v>24</v>
      </c>
      <c r="F739" t="s">
        <v>18</v>
      </c>
      <c r="G739" t="s">
        <v>28</v>
      </c>
      <c r="H739">
        <v>610.6</v>
      </c>
      <c r="I739" s="13">
        <v>7</v>
      </c>
      <c r="J739">
        <v>0</v>
      </c>
      <c r="K739">
        <v>0</v>
      </c>
      <c r="L739">
        <v>0</v>
      </c>
      <c r="M739">
        <v>0</v>
      </c>
      <c r="O739">
        <f t="shared" si="11"/>
        <v>3</v>
      </c>
    </row>
    <row r="740" spans="1:15">
      <c r="A740">
        <v>3538</v>
      </c>
      <c r="B740" s="1">
        <v>45721</v>
      </c>
      <c r="C740">
        <v>32</v>
      </c>
      <c r="D740" t="s">
        <v>17</v>
      </c>
      <c r="E740" t="s">
        <v>22</v>
      </c>
      <c r="F740" t="s">
        <v>18</v>
      </c>
      <c r="G740" t="s">
        <v>26</v>
      </c>
      <c r="H740">
        <v>598.5</v>
      </c>
      <c r="I740" s="13">
        <v>6</v>
      </c>
      <c r="J740">
        <v>0</v>
      </c>
      <c r="K740">
        <v>0</v>
      </c>
      <c r="L740">
        <v>0</v>
      </c>
      <c r="M740">
        <v>0</v>
      </c>
      <c r="O740">
        <f t="shared" si="11"/>
        <v>3</v>
      </c>
    </row>
    <row r="741" spans="1:15">
      <c r="A741">
        <v>3866</v>
      </c>
      <c r="B741" s="1">
        <v>45721</v>
      </c>
      <c r="C741">
        <v>67</v>
      </c>
      <c r="D741" t="s">
        <v>17</v>
      </c>
      <c r="E741" t="s">
        <v>20</v>
      </c>
      <c r="F741" t="s">
        <v>18</v>
      </c>
      <c r="G741" t="s">
        <v>26</v>
      </c>
      <c r="H741">
        <v>458.1</v>
      </c>
      <c r="I741" s="13">
        <v>6</v>
      </c>
      <c r="J741">
        <v>0</v>
      </c>
      <c r="K741">
        <v>0</v>
      </c>
      <c r="L741">
        <v>0</v>
      </c>
      <c r="M741">
        <v>0</v>
      </c>
      <c r="O741">
        <f t="shared" si="11"/>
        <v>3</v>
      </c>
    </row>
    <row r="742" spans="1:15">
      <c r="A742">
        <v>3188</v>
      </c>
      <c r="B742" s="1">
        <v>45721</v>
      </c>
      <c r="C742">
        <v>45</v>
      </c>
      <c r="D742" t="s">
        <v>17</v>
      </c>
      <c r="E742" t="s">
        <v>22</v>
      </c>
      <c r="F742" t="s">
        <v>18</v>
      </c>
      <c r="G742" t="s">
        <v>31</v>
      </c>
      <c r="H742">
        <v>437.1</v>
      </c>
      <c r="I742" s="13">
        <v>5</v>
      </c>
      <c r="J742">
        <v>0</v>
      </c>
      <c r="K742">
        <v>0</v>
      </c>
      <c r="L742">
        <v>0</v>
      </c>
      <c r="M742">
        <v>0</v>
      </c>
      <c r="O742">
        <f t="shared" si="11"/>
        <v>3</v>
      </c>
    </row>
    <row r="743" spans="1:15">
      <c r="A743">
        <v>1288</v>
      </c>
      <c r="B743" s="1">
        <v>45721</v>
      </c>
      <c r="C743">
        <v>30</v>
      </c>
      <c r="D743" t="s">
        <v>17</v>
      </c>
      <c r="E743" t="s">
        <v>15</v>
      </c>
      <c r="F743" t="s">
        <v>16</v>
      </c>
      <c r="H743">
        <v>405.9</v>
      </c>
      <c r="I743" s="13">
        <v>4</v>
      </c>
      <c r="J743">
        <v>0</v>
      </c>
      <c r="K743">
        <v>0</v>
      </c>
      <c r="L743">
        <v>0</v>
      </c>
      <c r="M743">
        <v>0</v>
      </c>
      <c r="O743">
        <f t="shared" si="11"/>
        <v>3</v>
      </c>
    </row>
    <row r="744" spans="1:15">
      <c r="A744">
        <v>3821</v>
      </c>
      <c r="B744" s="1">
        <v>45721</v>
      </c>
      <c r="C744">
        <v>40</v>
      </c>
      <c r="D744" t="s">
        <v>17</v>
      </c>
      <c r="E744" t="s">
        <v>15</v>
      </c>
      <c r="F744" t="s">
        <v>18</v>
      </c>
      <c r="G744" t="s">
        <v>19</v>
      </c>
      <c r="H744">
        <v>347.6</v>
      </c>
      <c r="I744" s="13">
        <v>6</v>
      </c>
      <c r="J744">
        <v>0</v>
      </c>
      <c r="K744">
        <v>0</v>
      </c>
      <c r="L744">
        <v>0</v>
      </c>
      <c r="M744">
        <v>0</v>
      </c>
      <c r="O744">
        <f t="shared" si="11"/>
        <v>3</v>
      </c>
    </row>
    <row r="745" spans="1:15">
      <c r="A745">
        <v>3857</v>
      </c>
      <c r="B745" s="1">
        <v>45721</v>
      </c>
      <c r="C745">
        <v>51</v>
      </c>
      <c r="D745" t="s">
        <v>17</v>
      </c>
      <c r="E745" t="s">
        <v>15</v>
      </c>
      <c r="F745" t="s">
        <v>18</v>
      </c>
      <c r="G745" t="s">
        <v>30</v>
      </c>
      <c r="H745">
        <v>305.60000000000002</v>
      </c>
      <c r="I745" s="13">
        <v>9</v>
      </c>
      <c r="J745">
        <v>0</v>
      </c>
      <c r="K745">
        <v>0</v>
      </c>
      <c r="L745">
        <v>0</v>
      </c>
      <c r="M745">
        <v>0</v>
      </c>
      <c r="O745">
        <f t="shared" si="11"/>
        <v>3</v>
      </c>
    </row>
    <row r="746" spans="1:15">
      <c r="A746">
        <v>1899</v>
      </c>
      <c r="B746" s="1">
        <v>45721</v>
      </c>
      <c r="C746">
        <v>38</v>
      </c>
      <c r="D746" t="s">
        <v>14</v>
      </c>
      <c r="E746" t="s">
        <v>15</v>
      </c>
      <c r="F746" t="s">
        <v>16</v>
      </c>
      <c r="H746">
        <v>302.89999999999998</v>
      </c>
      <c r="I746" s="13">
        <v>4</v>
      </c>
      <c r="J746">
        <v>0</v>
      </c>
      <c r="K746">
        <v>0</v>
      </c>
      <c r="L746">
        <v>0</v>
      </c>
      <c r="M746">
        <v>0</v>
      </c>
      <c r="O746">
        <f t="shared" si="11"/>
        <v>3</v>
      </c>
    </row>
    <row r="747" spans="1:15">
      <c r="A747">
        <v>1924</v>
      </c>
      <c r="B747" s="1">
        <v>45721</v>
      </c>
      <c r="C747">
        <v>30</v>
      </c>
      <c r="D747" t="s">
        <v>17</v>
      </c>
      <c r="E747" t="s">
        <v>22</v>
      </c>
      <c r="F747" t="s">
        <v>21</v>
      </c>
      <c r="H747">
        <v>214.6</v>
      </c>
      <c r="I747" s="13">
        <v>6</v>
      </c>
      <c r="J747">
        <v>0</v>
      </c>
      <c r="K747">
        <v>0</v>
      </c>
      <c r="L747">
        <v>0</v>
      </c>
      <c r="M747">
        <v>0</v>
      </c>
      <c r="O747">
        <f t="shared" si="11"/>
        <v>3</v>
      </c>
    </row>
    <row r="748" spans="1:15">
      <c r="A748">
        <v>4259</v>
      </c>
      <c r="B748" s="1">
        <v>45721</v>
      </c>
      <c r="C748">
        <v>18</v>
      </c>
      <c r="D748" t="s">
        <v>17</v>
      </c>
      <c r="E748" t="s">
        <v>24</v>
      </c>
      <c r="F748" t="s">
        <v>16</v>
      </c>
      <c r="H748">
        <v>206.6</v>
      </c>
      <c r="I748" s="13">
        <v>3</v>
      </c>
      <c r="J748">
        <v>0</v>
      </c>
      <c r="K748">
        <v>0</v>
      </c>
      <c r="L748">
        <v>0</v>
      </c>
      <c r="M748">
        <v>0</v>
      </c>
      <c r="O748">
        <f t="shared" si="11"/>
        <v>3</v>
      </c>
    </row>
    <row r="749" spans="1:15">
      <c r="A749">
        <v>429</v>
      </c>
      <c r="B749" s="1">
        <v>45721</v>
      </c>
      <c r="C749">
        <v>18</v>
      </c>
      <c r="D749" t="s">
        <v>17</v>
      </c>
      <c r="E749" t="s">
        <v>24</v>
      </c>
      <c r="F749" t="s">
        <v>16</v>
      </c>
      <c r="H749">
        <v>154.69999999999999</v>
      </c>
      <c r="I749" s="13">
        <v>7</v>
      </c>
      <c r="J749">
        <v>0</v>
      </c>
      <c r="K749">
        <v>0</v>
      </c>
      <c r="L749">
        <v>0</v>
      </c>
      <c r="M749">
        <v>0</v>
      </c>
      <c r="O749">
        <f t="shared" si="11"/>
        <v>3</v>
      </c>
    </row>
    <row r="750" spans="1:15">
      <c r="A750">
        <v>3306</v>
      </c>
      <c r="B750" s="1">
        <v>45721</v>
      </c>
      <c r="C750">
        <v>35</v>
      </c>
      <c r="D750" t="s">
        <v>14</v>
      </c>
      <c r="E750" t="s">
        <v>22</v>
      </c>
      <c r="F750" t="s">
        <v>16</v>
      </c>
      <c r="H750">
        <v>142.69999999999999</v>
      </c>
      <c r="I750" s="13">
        <v>5</v>
      </c>
      <c r="J750">
        <v>0</v>
      </c>
      <c r="K750">
        <v>0</v>
      </c>
      <c r="L750">
        <v>0</v>
      </c>
      <c r="M750">
        <v>0</v>
      </c>
      <c r="O750">
        <f t="shared" si="11"/>
        <v>3</v>
      </c>
    </row>
    <row r="751" spans="1:15">
      <c r="A751">
        <v>4346</v>
      </c>
      <c r="B751" s="1">
        <v>45721</v>
      </c>
      <c r="C751">
        <v>40</v>
      </c>
      <c r="D751" t="s">
        <v>14</v>
      </c>
      <c r="E751" t="s">
        <v>15</v>
      </c>
      <c r="F751" t="s">
        <v>18</v>
      </c>
      <c r="G751" t="s">
        <v>19</v>
      </c>
      <c r="H751">
        <v>142.1</v>
      </c>
      <c r="I751" s="13">
        <v>9</v>
      </c>
      <c r="J751">
        <v>0</v>
      </c>
      <c r="K751">
        <v>0</v>
      </c>
      <c r="L751">
        <v>0</v>
      </c>
      <c r="M751">
        <v>0</v>
      </c>
      <c r="O751">
        <f t="shared" si="11"/>
        <v>3</v>
      </c>
    </row>
    <row r="752" spans="1:15">
      <c r="A752">
        <v>3014</v>
      </c>
      <c r="B752" s="1">
        <v>45721</v>
      </c>
      <c r="C752">
        <v>21</v>
      </c>
      <c r="D752" t="s">
        <v>17</v>
      </c>
      <c r="E752" t="s">
        <v>24</v>
      </c>
      <c r="F752" t="s">
        <v>18</v>
      </c>
      <c r="G752" t="s">
        <v>19</v>
      </c>
      <c r="H752">
        <v>138.1</v>
      </c>
      <c r="I752" s="13">
        <v>9</v>
      </c>
      <c r="J752">
        <v>0</v>
      </c>
      <c r="K752">
        <v>0</v>
      </c>
      <c r="L752">
        <v>0</v>
      </c>
      <c r="M752">
        <v>0</v>
      </c>
      <c r="O752">
        <f t="shared" si="11"/>
        <v>3</v>
      </c>
    </row>
    <row r="753" spans="1:15">
      <c r="A753">
        <v>4474</v>
      </c>
      <c r="B753" s="1">
        <v>45721</v>
      </c>
      <c r="C753">
        <v>53</v>
      </c>
      <c r="D753" t="s">
        <v>14</v>
      </c>
      <c r="E753" t="s">
        <v>22</v>
      </c>
      <c r="F753" t="s">
        <v>16</v>
      </c>
      <c r="H753">
        <v>103.8</v>
      </c>
      <c r="I753" s="13">
        <v>8</v>
      </c>
      <c r="J753">
        <v>0</v>
      </c>
      <c r="K753">
        <v>0</v>
      </c>
      <c r="L753">
        <v>0</v>
      </c>
      <c r="M753">
        <v>0</v>
      </c>
      <c r="O753">
        <f t="shared" si="11"/>
        <v>3</v>
      </c>
    </row>
    <row r="754" spans="1:15">
      <c r="A754">
        <v>3195</v>
      </c>
      <c r="B754" s="1">
        <v>45721</v>
      </c>
      <c r="C754">
        <v>30</v>
      </c>
      <c r="D754" t="s">
        <v>17</v>
      </c>
      <c r="E754" t="s">
        <v>24</v>
      </c>
      <c r="F754" t="s">
        <v>18</v>
      </c>
      <c r="G754" t="s">
        <v>26</v>
      </c>
      <c r="H754">
        <v>91.4</v>
      </c>
      <c r="I754" s="13">
        <v>3</v>
      </c>
      <c r="J754">
        <v>0</v>
      </c>
      <c r="K754">
        <v>0</v>
      </c>
      <c r="L754">
        <v>0</v>
      </c>
      <c r="M754">
        <v>0</v>
      </c>
      <c r="O754">
        <f t="shared" si="11"/>
        <v>3</v>
      </c>
    </row>
    <row r="755" spans="1:15">
      <c r="A755">
        <v>4488</v>
      </c>
      <c r="B755" s="1">
        <v>45721</v>
      </c>
      <c r="C755">
        <v>45</v>
      </c>
      <c r="D755" t="s">
        <v>14</v>
      </c>
      <c r="E755" t="s">
        <v>24</v>
      </c>
      <c r="F755" t="s">
        <v>23</v>
      </c>
      <c r="H755">
        <v>65.900000000000006</v>
      </c>
      <c r="I755" s="13">
        <v>5</v>
      </c>
      <c r="J755">
        <v>0</v>
      </c>
      <c r="K755">
        <v>0</v>
      </c>
      <c r="L755">
        <v>0</v>
      </c>
      <c r="M755">
        <v>0</v>
      </c>
      <c r="O755">
        <f t="shared" si="11"/>
        <v>3</v>
      </c>
    </row>
    <row r="756" spans="1:15">
      <c r="A756">
        <v>4936</v>
      </c>
      <c r="B756" s="1">
        <v>45721</v>
      </c>
      <c r="C756">
        <v>38</v>
      </c>
      <c r="D756" t="s">
        <v>14</v>
      </c>
      <c r="E756" t="s">
        <v>15</v>
      </c>
      <c r="F756" t="s">
        <v>16</v>
      </c>
      <c r="H756">
        <v>50.8</v>
      </c>
      <c r="I756" s="13">
        <v>4</v>
      </c>
      <c r="J756">
        <v>0</v>
      </c>
      <c r="K756">
        <v>0</v>
      </c>
      <c r="L756">
        <v>0</v>
      </c>
      <c r="M756">
        <v>0</v>
      </c>
      <c r="O756">
        <f t="shared" si="11"/>
        <v>3</v>
      </c>
    </row>
    <row r="757" spans="1:15">
      <c r="A757">
        <v>3487</v>
      </c>
      <c r="B757" s="1">
        <v>45721</v>
      </c>
      <c r="C757">
        <v>37</v>
      </c>
      <c r="D757" t="s">
        <v>17</v>
      </c>
      <c r="E757" t="s">
        <v>22</v>
      </c>
      <c r="F757" t="s">
        <v>16</v>
      </c>
      <c r="H757">
        <v>37.6</v>
      </c>
      <c r="I757" s="13">
        <v>7</v>
      </c>
      <c r="J757">
        <v>0</v>
      </c>
      <c r="K757">
        <v>0</v>
      </c>
      <c r="L757">
        <v>0</v>
      </c>
      <c r="M757">
        <v>0</v>
      </c>
      <c r="O757">
        <f t="shared" si="11"/>
        <v>3</v>
      </c>
    </row>
    <row r="758" spans="1:15">
      <c r="A758">
        <v>1317</v>
      </c>
      <c r="B758" s="1">
        <v>45752</v>
      </c>
      <c r="C758">
        <v>18</v>
      </c>
      <c r="D758" t="s">
        <v>14</v>
      </c>
      <c r="E758" t="s">
        <v>15</v>
      </c>
      <c r="F758" t="s">
        <v>16</v>
      </c>
      <c r="H758">
        <v>172.8</v>
      </c>
      <c r="I758" s="13">
        <v>4</v>
      </c>
      <c r="J758">
        <v>1</v>
      </c>
      <c r="K758">
        <v>97</v>
      </c>
      <c r="L758">
        <v>2</v>
      </c>
      <c r="M758">
        <v>14</v>
      </c>
      <c r="N758">
        <v>4</v>
      </c>
      <c r="O758">
        <f t="shared" si="11"/>
        <v>4</v>
      </c>
    </row>
    <row r="759" spans="1:15">
      <c r="A759">
        <v>2905</v>
      </c>
      <c r="B759" s="1">
        <v>45752</v>
      </c>
      <c r="C759">
        <v>36</v>
      </c>
      <c r="D759" t="s">
        <v>17</v>
      </c>
      <c r="E759" t="s">
        <v>22</v>
      </c>
      <c r="F759" t="s">
        <v>18</v>
      </c>
      <c r="G759" t="s">
        <v>31</v>
      </c>
      <c r="H759">
        <v>504.6</v>
      </c>
      <c r="I759" s="13">
        <v>9</v>
      </c>
      <c r="J759">
        <v>1</v>
      </c>
      <c r="K759">
        <v>203.72</v>
      </c>
      <c r="L759">
        <v>2</v>
      </c>
      <c r="M759">
        <v>9</v>
      </c>
      <c r="N759">
        <v>4</v>
      </c>
      <c r="O759">
        <f t="shared" si="11"/>
        <v>4</v>
      </c>
    </row>
    <row r="760" spans="1:15">
      <c r="A760">
        <v>2094</v>
      </c>
      <c r="B760" s="1">
        <v>45752</v>
      </c>
      <c r="C760">
        <v>36</v>
      </c>
      <c r="D760" t="s">
        <v>14</v>
      </c>
      <c r="E760" t="s">
        <v>24</v>
      </c>
      <c r="F760" t="s">
        <v>18</v>
      </c>
      <c r="G760" t="s">
        <v>28</v>
      </c>
      <c r="H760">
        <v>601.70000000000005</v>
      </c>
      <c r="I760" s="13">
        <v>9</v>
      </c>
      <c r="J760">
        <v>1</v>
      </c>
      <c r="K760">
        <v>75.5</v>
      </c>
      <c r="L760">
        <v>4</v>
      </c>
      <c r="M760">
        <v>2</v>
      </c>
      <c r="N760">
        <v>4</v>
      </c>
      <c r="O760">
        <f t="shared" si="11"/>
        <v>4</v>
      </c>
    </row>
    <row r="761" spans="1:15">
      <c r="A761">
        <v>97</v>
      </c>
      <c r="B761" s="1">
        <v>45752</v>
      </c>
      <c r="C761">
        <v>25</v>
      </c>
      <c r="D761" t="s">
        <v>17</v>
      </c>
      <c r="E761" t="s">
        <v>22</v>
      </c>
      <c r="F761" t="s">
        <v>16</v>
      </c>
      <c r="H761">
        <v>545.5</v>
      </c>
      <c r="I761" s="13">
        <v>5</v>
      </c>
      <c r="J761">
        <v>1</v>
      </c>
      <c r="K761">
        <v>64.87</v>
      </c>
      <c r="L761">
        <v>4</v>
      </c>
      <c r="M761">
        <v>5</v>
      </c>
      <c r="N761">
        <v>3</v>
      </c>
      <c r="O761">
        <f t="shared" si="11"/>
        <v>4</v>
      </c>
    </row>
    <row r="762" spans="1:15">
      <c r="A762">
        <v>934</v>
      </c>
      <c r="B762" s="1">
        <v>45752</v>
      </c>
      <c r="C762">
        <v>20</v>
      </c>
      <c r="D762" t="s">
        <v>17</v>
      </c>
      <c r="E762" t="s">
        <v>22</v>
      </c>
      <c r="F762" t="s">
        <v>16</v>
      </c>
      <c r="H762">
        <v>315.39999999999998</v>
      </c>
      <c r="I762" s="13">
        <v>4</v>
      </c>
      <c r="J762">
        <v>1</v>
      </c>
      <c r="K762">
        <v>58.79</v>
      </c>
      <c r="L762">
        <v>5</v>
      </c>
      <c r="M762">
        <v>4</v>
      </c>
      <c r="N762">
        <v>4</v>
      </c>
      <c r="O762">
        <f t="shared" si="11"/>
        <v>4</v>
      </c>
    </row>
    <row r="763" spans="1:15">
      <c r="A763">
        <v>4973</v>
      </c>
      <c r="B763" s="1">
        <v>45752</v>
      </c>
      <c r="C763">
        <v>48</v>
      </c>
      <c r="D763" t="s">
        <v>14</v>
      </c>
      <c r="E763" t="s">
        <v>24</v>
      </c>
      <c r="F763" t="s">
        <v>18</v>
      </c>
      <c r="G763" t="s">
        <v>19</v>
      </c>
      <c r="H763">
        <v>709.2</v>
      </c>
      <c r="I763" s="13">
        <v>5</v>
      </c>
      <c r="J763">
        <v>1</v>
      </c>
      <c r="K763">
        <v>53.07</v>
      </c>
      <c r="L763">
        <v>2</v>
      </c>
      <c r="M763">
        <v>15</v>
      </c>
      <c r="N763">
        <v>5</v>
      </c>
      <c r="O763">
        <f t="shared" si="11"/>
        <v>4</v>
      </c>
    </row>
    <row r="764" spans="1:15">
      <c r="A764">
        <v>480</v>
      </c>
      <c r="B764" s="1">
        <v>45752</v>
      </c>
      <c r="C764">
        <v>20</v>
      </c>
      <c r="D764" t="s">
        <v>14</v>
      </c>
      <c r="E764" t="s">
        <v>22</v>
      </c>
      <c r="F764" t="s">
        <v>16</v>
      </c>
      <c r="H764">
        <v>66.900000000000006</v>
      </c>
      <c r="I764" s="13">
        <v>5</v>
      </c>
      <c r="J764">
        <v>1</v>
      </c>
      <c r="K764">
        <v>49.97</v>
      </c>
      <c r="L764">
        <v>2</v>
      </c>
      <c r="M764">
        <v>14</v>
      </c>
      <c r="N764">
        <v>5</v>
      </c>
      <c r="O764">
        <f t="shared" si="11"/>
        <v>4</v>
      </c>
    </row>
    <row r="765" spans="1:15">
      <c r="A765">
        <v>18</v>
      </c>
      <c r="B765" s="1">
        <v>45752</v>
      </c>
      <c r="C765">
        <v>26</v>
      </c>
      <c r="D765" t="s">
        <v>14</v>
      </c>
      <c r="E765" t="s">
        <v>15</v>
      </c>
      <c r="F765" t="s">
        <v>18</v>
      </c>
      <c r="G765" t="s">
        <v>25</v>
      </c>
      <c r="H765">
        <v>760.2</v>
      </c>
      <c r="I765" s="13">
        <v>4</v>
      </c>
      <c r="J765">
        <v>1</v>
      </c>
      <c r="K765">
        <v>41.87</v>
      </c>
      <c r="L765">
        <v>2</v>
      </c>
      <c r="M765">
        <v>14</v>
      </c>
      <c r="N765">
        <v>4</v>
      </c>
      <c r="O765">
        <f t="shared" si="11"/>
        <v>4</v>
      </c>
    </row>
    <row r="766" spans="1:15">
      <c r="A766">
        <v>3442</v>
      </c>
      <c r="B766" s="1">
        <v>45752</v>
      </c>
      <c r="C766">
        <v>29</v>
      </c>
      <c r="D766" t="s">
        <v>14</v>
      </c>
      <c r="E766" t="s">
        <v>15</v>
      </c>
      <c r="F766" t="s">
        <v>16</v>
      </c>
      <c r="H766">
        <v>240.6</v>
      </c>
      <c r="I766" s="13">
        <v>2</v>
      </c>
      <c r="J766">
        <v>1</v>
      </c>
      <c r="K766">
        <v>30.32</v>
      </c>
      <c r="L766">
        <v>4</v>
      </c>
      <c r="M766">
        <v>3</v>
      </c>
      <c r="N766">
        <v>3</v>
      </c>
      <c r="O766">
        <f t="shared" si="11"/>
        <v>4</v>
      </c>
    </row>
    <row r="767" spans="1:15">
      <c r="A767">
        <v>734</v>
      </c>
      <c r="B767" s="1">
        <v>45752</v>
      </c>
      <c r="C767">
        <v>20</v>
      </c>
      <c r="D767" t="s">
        <v>17</v>
      </c>
      <c r="E767" t="s">
        <v>20</v>
      </c>
      <c r="F767" t="s">
        <v>16</v>
      </c>
      <c r="H767">
        <v>568</v>
      </c>
      <c r="I767" s="13">
        <v>10</v>
      </c>
      <c r="J767">
        <v>0</v>
      </c>
      <c r="K767">
        <v>0</v>
      </c>
      <c r="L767">
        <v>0</v>
      </c>
      <c r="M767">
        <v>0</v>
      </c>
      <c r="O767">
        <f t="shared" si="11"/>
        <v>4</v>
      </c>
    </row>
    <row r="768" spans="1:15">
      <c r="A768">
        <v>296</v>
      </c>
      <c r="B768" s="1">
        <v>45752</v>
      </c>
      <c r="C768">
        <v>23</v>
      </c>
      <c r="D768" t="s">
        <v>14</v>
      </c>
      <c r="E768" t="s">
        <v>15</v>
      </c>
      <c r="F768" t="s">
        <v>16</v>
      </c>
      <c r="H768">
        <v>360.9</v>
      </c>
      <c r="I768" s="13">
        <v>7</v>
      </c>
      <c r="J768">
        <v>0</v>
      </c>
      <c r="K768">
        <v>0</v>
      </c>
      <c r="L768">
        <v>0</v>
      </c>
      <c r="M768">
        <v>0</v>
      </c>
      <c r="O768">
        <f t="shared" si="11"/>
        <v>4</v>
      </c>
    </row>
    <row r="769" spans="1:15">
      <c r="A769">
        <v>4122</v>
      </c>
      <c r="B769" s="1">
        <v>45752</v>
      </c>
      <c r="C769">
        <v>60</v>
      </c>
      <c r="D769" t="s">
        <v>17</v>
      </c>
      <c r="E769" t="s">
        <v>22</v>
      </c>
      <c r="F769" t="s">
        <v>16</v>
      </c>
      <c r="H769">
        <v>324.7</v>
      </c>
      <c r="I769" s="13">
        <v>5</v>
      </c>
      <c r="J769">
        <v>0</v>
      </c>
      <c r="K769">
        <v>0</v>
      </c>
      <c r="L769">
        <v>0</v>
      </c>
      <c r="M769">
        <v>0</v>
      </c>
      <c r="O769">
        <f t="shared" si="11"/>
        <v>4</v>
      </c>
    </row>
    <row r="770" spans="1:15">
      <c r="A770">
        <v>3692</v>
      </c>
      <c r="B770" s="1">
        <v>45752</v>
      </c>
      <c r="C770">
        <v>41</v>
      </c>
      <c r="D770" t="s">
        <v>14</v>
      </c>
      <c r="E770" t="s">
        <v>15</v>
      </c>
      <c r="F770" t="s">
        <v>16</v>
      </c>
      <c r="H770">
        <v>299.5</v>
      </c>
      <c r="I770" s="13">
        <v>6</v>
      </c>
      <c r="J770">
        <v>0</v>
      </c>
      <c r="K770">
        <v>0</v>
      </c>
      <c r="L770">
        <v>0</v>
      </c>
      <c r="M770">
        <v>0</v>
      </c>
      <c r="O770">
        <f t="shared" si="11"/>
        <v>4</v>
      </c>
    </row>
    <row r="771" spans="1:15">
      <c r="A771">
        <v>674</v>
      </c>
      <c r="B771" s="1">
        <v>45752</v>
      </c>
      <c r="C771">
        <v>23</v>
      </c>
      <c r="D771" t="s">
        <v>14</v>
      </c>
      <c r="E771" t="s">
        <v>15</v>
      </c>
      <c r="F771" t="s">
        <v>18</v>
      </c>
      <c r="G771" t="s">
        <v>28</v>
      </c>
      <c r="H771">
        <v>261.39999999999998</v>
      </c>
      <c r="I771" s="13">
        <v>12</v>
      </c>
      <c r="J771">
        <v>0</v>
      </c>
      <c r="K771">
        <v>0</v>
      </c>
      <c r="L771">
        <v>0</v>
      </c>
      <c r="M771">
        <v>0</v>
      </c>
      <c r="O771">
        <f t="shared" ref="O771:O834" si="12">MONTH(B771)</f>
        <v>4</v>
      </c>
    </row>
    <row r="772" spans="1:15">
      <c r="A772">
        <v>4364</v>
      </c>
      <c r="B772" s="1">
        <v>45752</v>
      </c>
      <c r="C772">
        <v>58</v>
      </c>
      <c r="D772" t="s">
        <v>17</v>
      </c>
      <c r="E772" t="s">
        <v>22</v>
      </c>
      <c r="F772" t="s">
        <v>16</v>
      </c>
      <c r="H772">
        <v>249.5</v>
      </c>
      <c r="I772" s="13">
        <v>4</v>
      </c>
      <c r="J772">
        <v>0</v>
      </c>
      <c r="K772">
        <v>0</v>
      </c>
      <c r="L772">
        <v>0</v>
      </c>
      <c r="M772">
        <v>0</v>
      </c>
      <c r="O772">
        <f t="shared" si="12"/>
        <v>4</v>
      </c>
    </row>
    <row r="773" spans="1:15">
      <c r="A773">
        <v>2043</v>
      </c>
      <c r="B773" s="1">
        <v>45752</v>
      </c>
      <c r="C773">
        <v>48</v>
      </c>
      <c r="D773" t="s">
        <v>14</v>
      </c>
      <c r="E773" t="s">
        <v>15</v>
      </c>
      <c r="F773" t="s">
        <v>23</v>
      </c>
      <c r="H773">
        <v>224.2</v>
      </c>
      <c r="I773" s="13">
        <v>6</v>
      </c>
      <c r="J773">
        <v>0</v>
      </c>
      <c r="K773">
        <v>0</v>
      </c>
      <c r="L773">
        <v>0</v>
      </c>
      <c r="M773">
        <v>0</v>
      </c>
      <c r="O773">
        <f t="shared" si="12"/>
        <v>4</v>
      </c>
    </row>
    <row r="774" spans="1:15">
      <c r="A774">
        <v>863</v>
      </c>
      <c r="B774" s="1">
        <v>45752</v>
      </c>
      <c r="C774">
        <v>24</v>
      </c>
      <c r="D774" t="s">
        <v>14</v>
      </c>
      <c r="E774" t="s">
        <v>20</v>
      </c>
      <c r="F774" t="s">
        <v>23</v>
      </c>
      <c r="H774">
        <v>219.9</v>
      </c>
      <c r="I774" s="13">
        <v>9</v>
      </c>
      <c r="J774">
        <v>0</v>
      </c>
      <c r="K774">
        <v>0</v>
      </c>
      <c r="L774">
        <v>0</v>
      </c>
      <c r="M774">
        <v>0</v>
      </c>
      <c r="O774">
        <f t="shared" si="12"/>
        <v>4</v>
      </c>
    </row>
    <row r="775" spans="1:15">
      <c r="A775">
        <v>1733</v>
      </c>
      <c r="B775" s="1">
        <v>45752</v>
      </c>
      <c r="C775">
        <v>18</v>
      </c>
      <c r="D775" t="s">
        <v>14</v>
      </c>
      <c r="E775" t="s">
        <v>20</v>
      </c>
      <c r="F775" t="s">
        <v>16</v>
      </c>
      <c r="H775">
        <v>189.6</v>
      </c>
      <c r="I775" s="13">
        <v>4</v>
      </c>
      <c r="J775">
        <v>0</v>
      </c>
      <c r="K775">
        <v>0</v>
      </c>
      <c r="L775">
        <v>0</v>
      </c>
      <c r="M775">
        <v>0</v>
      </c>
      <c r="O775">
        <f t="shared" si="12"/>
        <v>4</v>
      </c>
    </row>
    <row r="776" spans="1:15">
      <c r="A776">
        <v>2557</v>
      </c>
      <c r="B776" s="1">
        <v>45752</v>
      </c>
      <c r="C776">
        <v>34</v>
      </c>
      <c r="D776" t="s">
        <v>17</v>
      </c>
      <c r="E776" t="s">
        <v>15</v>
      </c>
      <c r="F776" t="s">
        <v>18</v>
      </c>
      <c r="G776" t="s">
        <v>30</v>
      </c>
      <c r="H776">
        <v>157.4</v>
      </c>
      <c r="I776" s="13">
        <v>6</v>
      </c>
      <c r="J776">
        <v>0</v>
      </c>
      <c r="K776">
        <v>0</v>
      </c>
      <c r="L776">
        <v>0</v>
      </c>
      <c r="M776">
        <v>0</v>
      </c>
      <c r="O776">
        <f t="shared" si="12"/>
        <v>4</v>
      </c>
    </row>
    <row r="777" spans="1:15">
      <c r="A777">
        <v>2134</v>
      </c>
      <c r="B777" s="1">
        <v>45752</v>
      </c>
      <c r="C777">
        <v>29</v>
      </c>
      <c r="D777" t="s">
        <v>17</v>
      </c>
      <c r="E777" t="s">
        <v>20</v>
      </c>
      <c r="F777" t="s">
        <v>16</v>
      </c>
      <c r="H777">
        <v>146.1</v>
      </c>
      <c r="I777" s="13">
        <v>3</v>
      </c>
      <c r="J777">
        <v>0</v>
      </c>
      <c r="K777">
        <v>0</v>
      </c>
      <c r="L777">
        <v>0</v>
      </c>
      <c r="M777">
        <v>0</v>
      </c>
      <c r="O777">
        <f t="shared" si="12"/>
        <v>4</v>
      </c>
    </row>
    <row r="778" spans="1:15">
      <c r="A778">
        <v>475</v>
      </c>
      <c r="B778" s="1">
        <v>45752</v>
      </c>
      <c r="C778">
        <v>26</v>
      </c>
      <c r="D778" t="s">
        <v>14</v>
      </c>
      <c r="E778" t="s">
        <v>20</v>
      </c>
      <c r="F778" t="s">
        <v>16</v>
      </c>
      <c r="H778">
        <v>145.80000000000001</v>
      </c>
      <c r="I778" s="13">
        <v>7</v>
      </c>
      <c r="J778">
        <v>0</v>
      </c>
      <c r="K778">
        <v>0</v>
      </c>
      <c r="L778">
        <v>0</v>
      </c>
      <c r="M778">
        <v>0</v>
      </c>
      <c r="O778">
        <f t="shared" si="12"/>
        <v>4</v>
      </c>
    </row>
    <row r="779" spans="1:15">
      <c r="A779">
        <v>1540</v>
      </c>
      <c r="B779" s="1">
        <v>45752</v>
      </c>
      <c r="C779">
        <v>27</v>
      </c>
      <c r="D779" t="s">
        <v>17</v>
      </c>
      <c r="E779" t="s">
        <v>20</v>
      </c>
      <c r="F779" t="s">
        <v>16</v>
      </c>
      <c r="H779">
        <v>142.19999999999999</v>
      </c>
      <c r="I779" s="13">
        <v>6</v>
      </c>
      <c r="J779">
        <v>0</v>
      </c>
      <c r="K779">
        <v>0</v>
      </c>
      <c r="L779">
        <v>0</v>
      </c>
      <c r="M779">
        <v>0</v>
      </c>
      <c r="O779">
        <f t="shared" si="12"/>
        <v>4</v>
      </c>
    </row>
    <row r="780" spans="1:15">
      <c r="A780">
        <v>781</v>
      </c>
      <c r="B780" s="1">
        <v>45782</v>
      </c>
      <c r="C780">
        <v>25</v>
      </c>
      <c r="D780" t="s">
        <v>17</v>
      </c>
      <c r="E780" t="s">
        <v>22</v>
      </c>
      <c r="F780" t="s">
        <v>16</v>
      </c>
      <c r="H780">
        <v>593.5</v>
      </c>
      <c r="I780" s="13">
        <v>6</v>
      </c>
      <c r="J780">
        <v>1</v>
      </c>
      <c r="K780">
        <v>311.02999999999997</v>
      </c>
      <c r="L780">
        <v>2</v>
      </c>
      <c r="M780">
        <v>11</v>
      </c>
      <c r="N780">
        <v>4</v>
      </c>
      <c r="O780">
        <f t="shared" si="12"/>
        <v>5</v>
      </c>
    </row>
    <row r="781" spans="1:15">
      <c r="A781">
        <v>3257</v>
      </c>
      <c r="B781" s="1">
        <v>45782</v>
      </c>
      <c r="C781">
        <v>49</v>
      </c>
      <c r="D781" t="s">
        <v>14</v>
      </c>
      <c r="E781" t="s">
        <v>15</v>
      </c>
      <c r="F781" t="s">
        <v>16</v>
      </c>
      <c r="H781">
        <v>141.80000000000001</v>
      </c>
      <c r="I781" s="13">
        <v>4</v>
      </c>
      <c r="J781">
        <v>1</v>
      </c>
      <c r="K781">
        <v>268.44</v>
      </c>
      <c r="L781">
        <v>2</v>
      </c>
      <c r="M781">
        <v>7</v>
      </c>
      <c r="N781">
        <v>4</v>
      </c>
      <c r="O781">
        <f t="shared" si="12"/>
        <v>5</v>
      </c>
    </row>
    <row r="782" spans="1:15">
      <c r="A782">
        <v>1725</v>
      </c>
      <c r="B782" s="1">
        <v>45782</v>
      </c>
      <c r="C782">
        <v>28</v>
      </c>
      <c r="D782" t="s">
        <v>14</v>
      </c>
      <c r="E782" t="s">
        <v>24</v>
      </c>
      <c r="F782" t="s">
        <v>18</v>
      </c>
      <c r="G782" t="s">
        <v>25</v>
      </c>
      <c r="H782">
        <v>544.1</v>
      </c>
      <c r="I782" s="13">
        <v>6</v>
      </c>
      <c r="J782">
        <v>1</v>
      </c>
      <c r="K782">
        <v>209.14</v>
      </c>
      <c r="L782">
        <v>1</v>
      </c>
      <c r="M782">
        <v>5</v>
      </c>
      <c r="N782">
        <v>4</v>
      </c>
      <c r="O782">
        <f t="shared" si="12"/>
        <v>5</v>
      </c>
    </row>
    <row r="783" spans="1:15">
      <c r="A783">
        <v>3214</v>
      </c>
      <c r="B783" s="1">
        <v>45782</v>
      </c>
      <c r="C783">
        <v>18</v>
      </c>
      <c r="D783" t="s">
        <v>14</v>
      </c>
      <c r="E783" t="s">
        <v>22</v>
      </c>
      <c r="F783" t="s">
        <v>16</v>
      </c>
      <c r="H783">
        <v>650.29999999999995</v>
      </c>
      <c r="I783" s="13">
        <v>10</v>
      </c>
      <c r="J783">
        <v>1</v>
      </c>
      <c r="K783">
        <v>194.02</v>
      </c>
      <c r="L783">
        <v>2</v>
      </c>
      <c r="M783">
        <v>10</v>
      </c>
      <c r="N783">
        <v>4</v>
      </c>
      <c r="O783">
        <f t="shared" si="12"/>
        <v>5</v>
      </c>
    </row>
    <row r="784" spans="1:15">
      <c r="A784">
        <v>4890</v>
      </c>
      <c r="B784" s="1">
        <v>45782</v>
      </c>
      <c r="C784">
        <v>44</v>
      </c>
      <c r="D784" t="s">
        <v>14</v>
      </c>
      <c r="E784" t="s">
        <v>22</v>
      </c>
      <c r="F784" t="s">
        <v>16</v>
      </c>
      <c r="H784">
        <v>591.4</v>
      </c>
      <c r="I784" s="13">
        <v>5</v>
      </c>
      <c r="J784">
        <v>1</v>
      </c>
      <c r="K784">
        <v>167.18</v>
      </c>
      <c r="L784">
        <v>3</v>
      </c>
      <c r="M784">
        <v>4</v>
      </c>
      <c r="N784">
        <v>5</v>
      </c>
      <c r="O784">
        <f t="shared" si="12"/>
        <v>5</v>
      </c>
    </row>
    <row r="785" spans="1:15">
      <c r="A785">
        <v>3754</v>
      </c>
      <c r="B785" s="1">
        <v>45782</v>
      </c>
      <c r="C785">
        <v>65</v>
      </c>
      <c r="D785" t="s">
        <v>17</v>
      </c>
      <c r="E785" t="s">
        <v>15</v>
      </c>
      <c r="F785" t="s">
        <v>16</v>
      </c>
      <c r="H785">
        <v>478.5</v>
      </c>
      <c r="I785" s="13">
        <v>6</v>
      </c>
      <c r="J785">
        <v>1</v>
      </c>
      <c r="K785">
        <v>148.65</v>
      </c>
      <c r="L785">
        <v>2</v>
      </c>
      <c r="M785">
        <v>8</v>
      </c>
      <c r="N785">
        <v>5</v>
      </c>
      <c r="O785">
        <f t="shared" si="12"/>
        <v>5</v>
      </c>
    </row>
    <row r="786" spans="1:15">
      <c r="A786">
        <v>1215</v>
      </c>
      <c r="B786" s="1">
        <v>45782</v>
      </c>
      <c r="C786">
        <v>26</v>
      </c>
      <c r="D786" t="s">
        <v>17</v>
      </c>
      <c r="E786" t="s">
        <v>20</v>
      </c>
      <c r="F786" t="s">
        <v>16</v>
      </c>
      <c r="H786">
        <v>270.60000000000002</v>
      </c>
      <c r="I786" s="13">
        <v>7</v>
      </c>
      <c r="J786">
        <v>1</v>
      </c>
      <c r="K786">
        <v>108.98</v>
      </c>
      <c r="L786">
        <v>2</v>
      </c>
      <c r="M786">
        <v>4</v>
      </c>
      <c r="N786">
        <v>4</v>
      </c>
      <c r="O786">
        <f t="shared" si="12"/>
        <v>5</v>
      </c>
    </row>
    <row r="787" spans="1:15">
      <c r="A787">
        <v>4624</v>
      </c>
      <c r="B787" s="1">
        <v>45782</v>
      </c>
      <c r="C787">
        <v>50</v>
      </c>
      <c r="D787" t="s">
        <v>17</v>
      </c>
      <c r="E787" t="s">
        <v>15</v>
      </c>
      <c r="F787" t="s">
        <v>23</v>
      </c>
      <c r="H787">
        <v>537.1</v>
      </c>
      <c r="I787" s="13">
        <v>7</v>
      </c>
      <c r="J787">
        <v>1</v>
      </c>
      <c r="K787">
        <v>32.42</v>
      </c>
      <c r="L787">
        <v>3</v>
      </c>
      <c r="M787">
        <v>1</v>
      </c>
      <c r="N787">
        <v>4</v>
      </c>
      <c r="O787">
        <f t="shared" si="12"/>
        <v>5</v>
      </c>
    </row>
    <row r="788" spans="1:15">
      <c r="A788">
        <v>1626</v>
      </c>
      <c r="B788" s="1">
        <v>45782</v>
      </c>
      <c r="C788">
        <v>28</v>
      </c>
      <c r="D788" t="s">
        <v>14</v>
      </c>
      <c r="E788" t="s">
        <v>22</v>
      </c>
      <c r="F788" t="s">
        <v>16</v>
      </c>
      <c r="H788">
        <v>726.6</v>
      </c>
      <c r="I788" s="13">
        <v>7</v>
      </c>
      <c r="J788">
        <v>1</v>
      </c>
      <c r="K788">
        <v>27.89</v>
      </c>
      <c r="L788">
        <v>4</v>
      </c>
      <c r="M788">
        <v>8</v>
      </c>
      <c r="N788">
        <v>4</v>
      </c>
      <c r="O788">
        <f t="shared" si="12"/>
        <v>5</v>
      </c>
    </row>
    <row r="789" spans="1:15">
      <c r="A789">
        <v>2892</v>
      </c>
      <c r="B789" s="1">
        <v>45782</v>
      </c>
      <c r="C789">
        <v>36</v>
      </c>
      <c r="D789" t="s">
        <v>17</v>
      </c>
      <c r="E789" t="s">
        <v>20</v>
      </c>
      <c r="F789" t="s">
        <v>16</v>
      </c>
      <c r="H789">
        <v>722.4</v>
      </c>
      <c r="I789" s="13">
        <v>6</v>
      </c>
      <c r="J789">
        <v>1</v>
      </c>
      <c r="K789">
        <v>18.940000000000001</v>
      </c>
      <c r="L789">
        <v>3</v>
      </c>
      <c r="M789">
        <v>14</v>
      </c>
      <c r="N789">
        <v>5</v>
      </c>
      <c r="O789">
        <f t="shared" si="12"/>
        <v>5</v>
      </c>
    </row>
    <row r="790" spans="1:15">
      <c r="A790">
        <v>4081</v>
      </c>
      <c r="B790" s="1">
        <v>45782</v>
      </c>
      <c r="C790">
        <v>32</v>
      </c>
      <c r="D790" t="s">
        <v>17</v>
      </c>
      <c r="E790" t="s">
        <v>24</v>
      </c>
      <c r="F790" t="s">
        <v>16</v>
      </c>
      <c r="H790">
        <v>1003.9</v>
      </c>
      <c r="I790" s="13">
        <v>9</v>
      </c>
      <c r="J790">
        <v>1</v>
      </c>
      <c r="K790">
        <v>17.32</v>
      </c>
      <c r="L790">
        <v>1</v>
      </c>
      <c r="M790">
        <v>3</v>
      </c>
      <c r="N790">
        <v>4</v>
      </c>
      <c r="O790">
        <f t="shared" si="12"/>
        <v>5</v>
      </c>
    </row>
    <row r="791" spans="1:15">
      <c r="A791">
        <v>3458</v>
      </c>
      <c r="B791" s="1">
        <v>45782</v>
      </c>
      <c r="C791">
        <v>46</v>
      </c>
      <c r="D791" t="s">
        <v>17</v>
      </c>
      <c r="E791" t="s">
        <v>22</v>
      </c>
      <c r="F791" t="s">
        <v>18</v>
      </c>
      <c r="G791" t="s">
        <v>29</v>
      </c>
      <c r="H791">
        <v>861.5</v>
      </c>
      <c r="I791" s="13">
        <v>3</v>
      </c>
      <c r="J791">
        <v>0</v>
      </c>
      <c r="K791">
        <v>0</v>
      </c>
      <c r="L791">
        <v>0</v>
      </c>
      <c r="M791">
        <v>0</v>
      </c>
      <c r="O791">
        <f t="shared" si="12"/>
        <v>5</v>
      </c>
    </row>
    <row r="792" spans="1:15">
      <c r="A792">
        <v>4827</v>
      </c>
      <c r="B792" s="1">
        <v>45782</v>
      </c>
      <c r="C792">
        <v>51</v>
      </c>
      <c r="D792" t="s">
        <v>14</v>
      </c>
      <c r="E792" t="s">
        <v>24</v>
      </c>
      <c r="F792" t="s">
        <v>16</v>
      </c>
      <c r="H792">
        <v>545.70000000000005</v>
      </c>
      <c r="I792" s="13">
        <v>4</v>
      </c>
      <c r="J792">
        <v>0</v>
      </c>
      <c r="K792">
        <v>0</v>
      </c>
      <c r="L792">
        <v>0</v>
      </c>
      <c r="M792">
        <v>0</v>
      </c>
      <c r="O792">
        <f t="shared" si="12"/>
        <v>5</v>
      </c>
    </row>
    <row r="793" spans="1:15">
      <c r="A793">
        <v>1457</v>
      </c>
      <c r="B793" s="1">
        <v>45782</v>
      </c>
      <c r="C793">
        <v>18</v>
      </c>
      <c r="D793" t="s">
        <v>17</v>
      </c>
      <c r="E793" t="s">
        <v>15</v>
      </c>
      <c r="F793" t="s">
        <v>23</v>
      </c>
      <c r="H793">
        <v>504.2</v>
      </c>
      <c r="I793" s="13">
        <v>3</v>
      </c>
      <c r="J793">
        <v>0</v>
      </c>
      <c r="K793">
        <v>0</v>
      </c>
      <c r="L793">
        <v>0</v>
      </c>
      <c r="M793">
        <v>0</v>
      </c>
      <c r="O793">
        <f t="shared" si="12"/>
        <v>5</v>
      </c>
    </row>
    <row r="794" spans="1:15">
      <c r="A794">
        <v>2373</v>
      </c>
      <c r="B794" s="1">
        <v>45782</v>
      </c>
      <c r="C794">
        <v>44</v>
      </c>
      <c r="D794" t="s">
        <v>17</v>
      </c>
      <c r="E794" t="s">
        <v>15</v>
      </c>
      <c r="F794" t="s">
        <v>18</v>
      </c>
      <c r="G794" t="s">
        <v>28</v>
      </c>
      <c r="H794">
        <v>433.1</v>
      </c>
      <c r="I794" s="13">
        <v>6</v>
      </c>
      <c r="J794">
        <v>0</v>
      </c>
      <c r="K794">
        <v>0</v>
      </c>
      <c r="L794">
        <v>0</v>
      </c>
      <c r="M794">
        <v>0</v>
      </c>
      <c r="O794">
        <f t="shared" si="12"/>
        <v>5</v>
      </c>
    </row>
    <row r="795" spans="1:15">
      <c r="A795">
        <v>610</v>
      </c>
      <c r="B795" s="1">
        <v>45782</v>
      </c>
      <c r="C795">
        <v>29</v>
      </c>
      <c r="D795" t="s">
        <v>17</v>
      </c>
      <c r="E795" t="s">
        <v>15</v>
      </c>
      <c r="F795" t="s">
        <v>23</v>
      </c>
      <c r="H795">
        <v>358.7</v>
      </c>
      <c r="I795" s="13">
        <v>6</v>
      </c>
      <c r="J795">
        <v>0</v>
      </c>
      <c r="K795">
        <v>0</v>
      </c>
      <c r="L795">
        <v>0</v>
      </c>
      <c r="M795">
        <v>0</v>
      </c>
      <c r="O795">
        <f t="shared" si="12"/>
        <v>5</v>
      </c>
    </row>
    <row r="796" spans="1:15">
      <c r="A796">
        <v>2179</v>
      </c>
      <c r="B796" s="1">
        <v>45782</v>
      </c>
      <c r="C796">
        <v>34</v>
      </c>
      <c r="D796" t="s">
        <v>14</v>
      </c>
      <c r="E796" t="s">
        <v>22</v>
      </c>
      <c r="F796" t="s">
        <v>23</v>
      </c>
      <c r="H796">
        <v>355.5</v>
      </c>
      <c r="I796" s="13">
        <v>7</v>
      </c>
      <c r="J796">
        <v>0</v>
      </c>
      <c r="K796">
        <v>0</v>
      </c>
      <c r="L796">
        <v>0</v>
      </c>
      <c r="M796">
        <v>0</v>
      </c>
      <c r="O796">
        <f t="shared" si="12"/>
        <v>5</v>
      </c>
    </row>
    <row r="797" spans="1:15">
      <c r="A797">
        <v>4189</v>
      </c>
      <c r="B797" s="1">
        <v>45782</v>
      </c>
      <c r="C797">
        <v>47</v>
      </c>
      <c r="D797" t="s">
        <v>14</v>
      </c>
      <c r="E797" t="s">
        <v>20</v>
      </c>
      <c r="F797" t="s">
        <v>16</v>
      </c>
      <c r="H797">
        <v>337.4</v>
      </c>
      <c r="I797" s="13">
        <v>5</v>
      </c>
      <c r="J797">
        <v>0</v>
      </c>
      <c r="K797">
        <v>0</v>
      </c>
      <c r="L797">
        <v>0</v>
      </c>
      <c r="M797">
        <v>0</v>
      </c>
      <c r="O797">
        <f t="shared" si="12"/>
        <v>5</v>
      </c>
    </row>
    <row r="798" spans="1:15">
      <c r="A798">
        <v>1007</v>
      </c>
      <c r="B798" s="1">
        <v>45782</v>
      </c>
      <c r="C798">
        <v>23</v>
      </c>
      <c r="D798" t="s">
        <v>17</v>
      </c>
      <c r="E798" t="s">
        <v>22</v>
      </c>
      <c r="F798" t="s">
        <v>16</v>
      </c>
      <c r="H798">
        <v>323.60000000000002</v>
      </c>
      <c r="I798" s="13">
        <v>7</v>
      </c>
      <c r="J798">
        <v>0</v>
      </c>
      <c r="K798">
        <v>0</v>
      </c>
      <c r="L798">
        <v>0</v>
      </c>
      <c r="M798">
        <v>0</v>
      </c>
      <c r="O798">
        <f t="shared" si="12"/>
        <v>5</v>
      </c>
    </row>
    <row r="799" spans="1:15">
      <c r="A799">
        <v>4457</v>
      </c>
      <c r="B799" s="1">
        <v>45782</v>
      </c>
      <c r="C799">
        <v>57</v>
      </c>
      <c r="D799" t="s">
        <v>14</v>
      </c>
      <c r="E799" t="s">
        <v>22</v>
      </c>
      <c r="F799" t="s">
        <v>18</v>
      </c>
      <c r="G799" t="s">
        <v>25</v>
      </c>
      <c r="H799">
        <v>320.89999999999998</v>
      </c>
      <c r="I799" s="13">
        <v>8</v>
      </c>
      <c r="J799">
        <v>0</v>
      </c>
      <c r="K799">
        <v>0</v>
      </c>
      <c r="L799">
        <v>0</v>
      </c>
      <c r="M799">
        <v>0</v>
      </c>
      <c r="O799">
        <f t="shared" si="12"/>
        <v>5</v>
      </c>
    </row>
    <row r="800" spans="1:15">
      <c r="A800">
        <v>3363</v>
      </c>
      <c r="B800" s="1">
        <v>45782</v>
      </c>
      <c r="C800">
        <v>39</v>
      </c>
      <c r="D800" t="s">
        <v>17</v>
      </c>
      <c r="E800" t="s">
        <v>20</v>
      </c>
      <c r="F800" t="s">
        <v>16</v>
      </c>
      <c r="H800">
        <v>287.5</v>
      </c>
      <c r="I800" s="13">
        <v>6</v>
      </c>
      <c r="J800">
        <v>0</v>
      </c>
      <c r="K800">
        <v>0</v>
      </c>
      <c r="L800">
        <v>0</v>
      </c>
      <c r="M800">
        <v>0</v>
      </c>
      <c r="O800">
        <f t="shared" si="12"/>
        <v>5</v>
      </c>
    </row>
    <row r="801" spans="1:15">
      <c r="A801">
        <v>3811</v>
      </c>
      <c r="B801" s="1">
        <v>45782</v>
      </c>
      <c r="C801">
        <v>58</v>
      </c>
      <c r="D801" t="s">
        <v>17</v>
      </c>
      <c r="E801" t="s">
        <v>24</v>
      </c>
      <c r="F801" t="s">
        <v>18</v>
      </c>
      <c r="G801" t="s">
        <v>31</v>
      </c>
      <c r="H801">
        <v>275.39999999999998</v>
      </c>
      <c r="I801" s="13">
        <v>4</v>
      </c>
      <c r="J801">
        <v>0</v>
      </c>
      <c r="K801">
        <v>0</v>
      </c>
      <c r="L801">
        <v>0</v>
      </c>
      <c r="M801">
        <v>0</v>
      </c>
      <c r="O801">
        <f t="shared" si="12"/>
        <v>5</v>
      </c>
    </row>
    <row r="802" spans="1:15">
      <c r="A802">
        <v>4052</v>
      </c>
      <c r="B802" s="1">
        <v>45782</v>
      </c>
      <c r="C802">
        <v>59</v>
      </c>
      <c r="D802" t="s">
        <v>17</v>
      </c>
      <c r="E802" t="s">
        <v>15</v>
      </c>
      <c r="F802" t="s">
        <v>18</v>
      </c>
      <c r="G802" t="s">
        <v>30</v>
      </c>
      <c r="H802">
        <v>270.5</v>
      </c>
      <c r="I802" s="13">
        <v>7</v>
      </c>
      <c r="J802">
        <v>0</v>
      </c>
      <c r="K802">
        <v>0</v>
      </c>
      <c r="L802">
        <v>0</v>
      </c>
      <c r="M802">
        <v>0</v>
      </c>
      <c r="O802">
        <f t="shared" si="12"/>
        <v>5</v>
      </c>
    </row>
    <row r="803" spans="1:15">
      <c r="A803">
        <v>1591</v>
      </c>
      <c r="B803" s="1">
        <v>45782</v>
      </c>
      <c r="C803">
        <v>32</v>
      </c>
      <c r="D803" t="s">
        <v>27</v>
      </c>
      <c r="E803" t="s">
        <v>22</v>
      </c>
      <c r="F803" t="s">
        <v>23</v>
      </c>
      <c r="H803">
        <v>244.1</v>
      </c>
      <c r="I803" s="13">
        <v>4</v>
      </c>
      <c r="J803">
        <v>0</v>
      </c>
      <c r="K803">
        <v>0</v>
      </c>
      <c r="L803">
        <v>0</v>
      </c>
      <c r="M803">
        <v>0</v>
      </c>
      <c r="O803">
        <f t="shared" si="12"/>
        <v>5</v>
      </c>
    </row>
    <row r="804" spans="1:15">
      <c r="A804">
        <v>1447</v>
      </c>
      <c r="B804" s="1">
        <v>45782</v>
      </c>
      <c r="C804">
        <v>18</v>
      </c>
      <c r="D804" t="s">
        <v>14</v>
      </c>
      <c r="E804" t="s">
        <v>15</v>
      </c>
      <c r="F804" t="s">
        <v>18</v>
      </c>
      <c r="G804" t="s">
        <v>19</v>
      </c>
      <c r="H804">
        <v>184.7</v>
      </c>
      <c r="I804" s="13">
        <v>7</v>
      </c>
      <c r="J804">
        <v>0</v>
      </c>
      <c r="K804">
        <v>0</v>
      </c>
      <c r="L804">
        <v>0</v>
      </c>
      <c r="M804">
        <v>0</v>
      </c>
      <c r="O804">
        <f t="shared" si="12"/>
        <v>5</v>
      </c>
    </row>
    <row r="805" spans="1:15">
      <c r="A805">
        <v>212</v>
      </c>
      <c r="B805" s="1">
        <v>45782</v>
      </c>
      <c r="C805">
        <v>21</v>
      </c>
      <c r="D805" t="s">
        <v>14</v>
      </c>
      <c r="E805" t="s">
        <v>20</v>
      </c>
      <c r="F805" t="s">
        <v>21</v>
      </c>
      <c r="H805">
        <v>179.1</v>
      </c>
      <c r="I805" s="13">
        <v>9</v>
      </c>
      <c r="J805">
        <v>0</v>
      </c>
      <c r="K805">
        <v>0</v>
      </c>
      <c r="L805">
        <v>0</v>
      </c>
      <c r="M805">
        <v>0</v>
      </c>
      <c r="O805">
        <f t="shared" si="12"/>
        <v>5</v>
      </c>
    </row>
    <row r="806" spans="1:15">
      <c r="A806">
        <v>1294</v>
      </c>
      <c r="B806" s="1">
        <v>45782</v>
      </c>
      <c r="C806">
        <v>35</v>
      </c>
      <c r="D806" t="s">
        <v>17</v>
      </c>
      <c r="E806" t="s">
        <v>15</v>
      </c>
      <c r="F806" t="s">
        <v>16</v>
      </c>
      <c r="H806">
        <v>131.4</v>
      </c>
      <c r="I806" s="13">
        <v>8</v>
      </c>
      <c r="J806">
        <v>0</v>
      </c>
      <c r="K806">
        <v>0</v>
      </c>
      <c r="L806">
        <v>0</v>
      </c>
      <c r="M806">
        <v>0</v>
      </c>
      <c r="O806">
        <f t="shared" si="12"/>
        <v>5</v>
      </c>
    </row>
    <row r="807" spans="1:15">
      <c r="A807">
        <v>177</v>
      </c>
      <c r="B807" s="1">
        <v>45782</v>
      </c>
      <c r="C807">
        <v>23</v>
      </c>
      <c r="D807" t="s">
        <v>14</v>
      </c>
      <c r="E807" t="s">
        <v>15</v>
      </c>
      <c r="F807" t="s">
        <v>16</v>
      </c>
      <c r="H807">
        <v>129.5</v>
      </c>
      <c r="I807" s="13">
        <v>5</v>
      </c>
      <c r="J807">
        <v>0</v>
      </c>
      <c r="K807">
        <v>0</v>
      </c>
      <c r="L807">
        <v>0</v>
      </c>
      <c r="M807">
        <v>0</v>
      </c>
      <c r="O807">
        <f t="shared" si="12"/>
        <v>5</v>
      </c>
    </row>
    <row r="808" spans="1:15">
      <c r="A808">
        <v>2521</v>
      </c>
      <c r="B808" s="1">
        <v>45782</v>
      </c>
      <c r="C808">
        <v>34</v>
      </c>
      <c r="D808" t="s">
        <v>14</v>
      </c>
      <c r="E808" t="s">
        <v>24</v>
      </c>
      <c r="F808" t="s">
        <v>23</v>
      </c>
      <c r="H808">
        <v>116.8</v>
      </c>
      <c r="I808" s="13">
        <v>4</v>
      </c>
      <c r="J808">
        <v>0</v>
      </c>
      <c r="K808">
        <v>0</v>
      </c>
      <c r="L808">
        <v>0</v>
      </c>
      <c r="M808">
        <v>0</v>
      </c>
      <c r="O808">
        <f t="shared" si="12"/>
        <v>5</v>
      </c>
    </row>
    <row r="809" spans="1:15">
      <c r="A809">
        <v>4219</v>
      </c>
      <c r="B809" s="1">
        <v>45782</v>
      </c>
      <c r="C809">
        <v>49</v>
      </c>
      <c r="D809" t="s">
        <v>14</v>
      </c>
      <c r="E809" t="s">
        <v>22</v>
      </c>
      <c r="F809" t="s">
        <v>18</v>
      </c>
      <c r="G809" t="s">
        <v>30</v>
      </c>
      <c r="H809">
        <v>113.9</v>
      </c>
      <c r="I809" s="13">
        <v>9</v>
      </c>
      <c r="J809">
        <v>0</v>
      </c>
      <c r="K809">
        <v>0</v>
      </c>
      <c r="L809">
        <v>0</v>
      </c>
      <c r="M809">
        <v>0</v>
      </c>
      <c r="O809">
        <f t="shared" si="12"/>
        <v>5</v>
      </c>
    </row>
    <row r="810" spans="1:15">
      <c r="A810">
        <v>4585</v>
      </c>
      <c r="B810" s="1">
        <v>45782</v>
      </c>
      <c r="C810">
        <v>47</v>
      </c>
      <c r="D810" t="s">
        <v>17</v>
      </c>
      <c r="E810" t="s">
        <v>22</v>
      </c>
      <c r="F810" t="s">
        <v>23</v>
      </c>
      <c r="H810">
        <v>44.2</v>
      </c>
      <c r="I810" s="13">
        <v>5</v>
      </c>
      <c r="J810">
        <v>0</v>
      </c>
      <c r="K810">
        <v>0</v>
      </c>
      <c r="L810">
        <v>0</v>
      </c>
      <c r="M810">
        <v>0</v>
      </c>
      <c r="O810">
        <f t="shared" si="12"/>
        <v>5</v>
      </c>
    </row>
    <row r="811" spans="1:15">
      <c r="A811">
        <v>4065</v>
      </c>
      <c r="B811" s="1">
        <v>45813</v>
      </c>
      <c r="C811">
        <v>51</v>
      </c>
      <c r="D811" t="s">
        <v>14</v>
      </c>
      <c r="E811" t="s">
        <v>24</v>
      </c>
      <c r="F811" t="s">
        <v>18</v>
      </c>
      <c r="G811" t="s">
        <v>25</v>
      </c>
      <c r="H811">
        <v>543.29999999999995</v>
      </c>
      <c r="I811" s="13">
        <v>5</v>
      </c>
      <c r="J811">
        <v>1</v>
      </c>
      <c r="K811">
        <v>180</v>
      </c>
      <c r="L811">
        <v>3</v>
      </c>
      <c r="M811">
        <v>11</v>
      </c>
      <c r="N811">
        <v>3</v>
      </c>
      <c r="O811">
        <f t="shared" si="12"/>
        <v>6</v>
      </c>
    </row>
    <row r="812" spans="1:15">
      <c r="A812">
        <v>869</v>
      </c>
      <c r="B812" s="1">
        <v>45813</v>
      </c>
      <c r="C812">
        <v>29</v>
      </c>
      <c r="D812" t="s">
        <v>17</v>
      </c>
      <c r="E812" t="s">
        <v>20</v>
      </c>
      <c r="F812" t="s">
        <v>16</v>
      </c>
      <c r="H812">
        <v>464.1</v>
      </c>
      <c r="I812" s="13">
        <v>5</v>
      </c>
      <c r="J812">
        <v>1</v>
      </c>
      <c r="K812">
        <v>364</v>
      </c>
      <c r="L812">
        <v>2</v>
      </c>
      <c r="M812">
        <v>2</v>
      </c>
      <c r="N812">
        <v>5</v>
      </c>
      <c r="O812">
        <f t="shared" si="12"/>
        <v>6</v>
      </c>
    </row>
    <row r="813" spans="1:15">
      <c r="A813">
        <v>1574</v>
      </c>
      <c r="B813" s="1">
        <v>45813</v>
      </c>
      <c r="C813">
        <v>18</v>
      </c>
      <c r="D813" t="s">
        <v>14</v>
      </c>
      <c r="E813" t="s">
        <v>22</v>
      </c>
      <c r="F813" t="s">
        <v>16</v>
      </c>
      <c r="H813">
        <v>440.4</v>
      </c>
      <c r="I813" s="13">
        <v>8</v>
      </c>
      <c r="J813">
        <v>1</v>
      </c>
      <c r="K813">
        <v>114</v>
      </c>
      <c r="L813">
        <v>4</v>
      </c>
      <c r="M813">
        <v>7</v>
      </c>
      <c r="N813">
        <v>3</v>
      </c>
      <c r="O813">
        <f t="shared" si="12"/>
        <v>6</v>
      </c>
    </row>
    <row r="814" spans="1:15">
      <c r="A814">
        <v>81</v>
      </c>
      <c r="B814" s="1">
        <v>45813</v>
      </c>
      <c r="C814">
        <v>18</v>
      </c>
      <c r="D814" t="s">
        <v>17</v>
      </c>
      <c r="E814" t="s">
        <v>15</v>
      </c>
      <c r="F814" t="s">
        <v>16</v>
      </c>
      <c r="H814">
        <v>70.599999999999994</v>
      </c>
      <c r="I814" s="13">
        <v>4</v>
      </c>
      <c r="J814">
        <v>1</v>
      </c>
      <c r="K814">
        <v>263</v>
      </c>
      <c r="L814">
        <v>2</v>
      </c>
      <c r="M814">
        <v>8</v>
      </c>
      <c r="N814">
        <v>4</v>
      </c>
      <c r="O814">
        <f t="shared" si="12"/>
        <v>6</v>
      </c>
    </row>
    <row r="815" spans="1:15">
      <c r="A815">
        <v>2990</v>
      </c>
      <c r="B815" s="1">
        <v>45813</v>
      </c>
      <c r="C815">
        <v>42</v>
      </c>
      <c r="D815" t="s">
        <v>14</v>
      </c>
      <c r="E815" t="s">
        <v>22</v>
      </c>
      <c r="F815" t="s">
        <v>18</v>
      </c>
      <c r="G815" t="s">
        <v>25</v>
      </c>
      <c r="H815">
        <v>174</v>
      </c>
      <c r="I815" s="13">
        <v>5</v>
      </c>
      <c r="J815">
        <v>1</v>
      </c>
      <c r="K815">
        <v>137.88999999999999</v>
      </c>
      <c r="L815">
        <v>2</v>
      </c>
      <c r="M815">
        <v>6</v>
      </c>
      <c r="N815">
        <v>5</v>
      </c>
      <c r="O815">
        <f t="shared" si="12"/>
        <v>6</v>
      </c>
    </row>
    <row r="816" spans="1:15">
      <c r="A816">
        <v>3429</v>
      </c>
      <c r="B816" s="1">
        <v>45813</v>
      </c>
      <c r="C816">
        <v>37</v>
      </c>
      <c r="D816" t="s">
        <v>14</v>
      </c>
      <c r="E816" t="s">
        <v>24</v>
      </c>
      <c r="F816" t="s">
        <v>18</v>
      </c>
      <c r="G816" t="s">
        <v>26</v>
      </c>
      <c r="H816">
        <v>541</v>
      </c>
      <c r="I816" s="13">
        <v>7</v>
      </c>
      <c r="J816">
        <v>1</v>
      </c>
      <c r="K816">
        <v>112.93</v>
      </c>
      <c r="L816">
        <v>3</v>
      </c>
      <c r="M816">
        <v>4</v>
      </c>
      <c r="N816">
        <v>4</v>
      </c>
      <c r="O816">
        <f t="shared" si="12"/>
        <v>6</v>
      </c>
    </row>
    <row r="817" spans="1:15">
      <c r="A817">
        <v>8</v>
      </c>
      <c r="B817" s="1">
        <v>45813</v>
      </c>
      <c r="C817">
        <v>19</v>
      </c>
      <c r="D817" t="s">
        <v>14</v>
      </c>
      <c r="E817" t="s">
        <v>24</v>
      </c>
      <c r="F817" t="s">
        <v>21</v>
      </c>
      <c r="H817">
        <v>321</v>
      </c>
      <c r="I817" s="13">
        <v>6</v>
      </c>
      <c r="J817">
        <v>1</v>
      </c>
      <c r="K817">
        <v>93.36</v>
      </c>
      <c r="L817">
        <v>6</v>
      </c>
      <c r="M817">
        <v>10</v>
      </c>
      <c r="N817">
        <v>4</v>
      </c>
      <c r="O817">
        <f t="shared" si="12"/>
        <v>6</v>
      </c>
    </row>
    <row r="818" spans="1:15">
      <c r="A818">
        <v>2996</v>
      </c>
      <c r="B818" s="1">
        <v>45813</v>
      </c>
      <c r="C818">
        <v>31</v>
      </c>
      <c r="D818" t="s">
        <v>14</v>
      </c>
      <c r="E818" t="s">
        <v>24</v>
      </c>
      <c r="F818" t="s">
        <v>16</v>
      </c>
      <c r="H818">
        <v>385.2</v>
      </c>
      <c r="I818" s="13">
        <v>9</v>
      </c>
      <c r="J818">
        <v>1</v>
      </c>
      <c r="K818">
        <v>88.93</v>
      </c>
      <c r="L818">
        <v>3</v>
      </c>
      <c r="M818">
        <v>5</v>
      </c>
      <c r="N818">
        <v>4</v>
      </c>
      <c r="O818">
        <f t="shared" si="12"/>
        <v>6</v>
      </c>
    </row>
    <row r="819" spans="1:15">
      <c r="A819">
        <v>2498</v>
      </c>
      <c r="B819" s="1">
        <v>45813</v>
      </c>
      <c r="C819">
        <v>39</v>
      </c>
      <c r="D819" t="s">
        <v>14</v>
      </c>
      <c r="E819" t="s">
        <v>20</v>
      </c>
      <c r="F819" t="s">
        <v>23</v>
      </c>
      <c r="H819">
        <v>79.3</v>
      </c>
      <c r="I819" s="13">
        <v>7</v>
      </c>
      <c r="J819">
        <v>1</v>
      </c>
      <c r="K819">
        <v>62.8</v>
      </c>
      <c r="L819">
        <v>2</v>
      </c>
      <c r="M819">
        <v>11</v>
      </c>
      <c r="N819">
        <v>5</v>
      </c>
      <c r="O819">
        <f t="shared" si="12"/>
        <v>6</v>
      </c>
    </row>
    <row r="820" spans="1:15">
      <c r="A820">
        <v>1853</v>
      </c>
      <c r="B820" s="1">
        <v>45813</v>
      </c>
      <c r="C820">
        <v>33</v>
      </c>
      <c r="D820" t="s">
        <v>14</v>
      </c>
      <c r="E820" t="s">
        <v>24</v>
      </c>
      <c r="F820" t="s">
        <v>23</v>
      </c>
      <c r="H820">
        <v>458.3</v>
      </c>
      <c r="I820" s="13">
        <v>5</v>
      </c>
      <c r="J820">
        <v>1</v>
      </c>
      <c r="K820">
        <v>51.69</v>
      </c>
      <c r="L820">
        <v>2</v>
      </c>
      <c r="M820">
        <v>9</v>
      </c>
      <c r="N820">
        <v>4</v>
      </c>
      <c r="O820">
        <f t="shared" si="12"/>
        <v>6</v>
      </c>
    </row>
    <row r="821" spans="1:15">
      <c r="A821">
        <v>1686</v>
      </c>
      <c r="B821" s="1">
        <v>45813</v>
      </c>
      <c r="C821">
        <v>30</v>
      </c>
      <c r="D821" t="s">
        <v>17</v>
      </c>
      <c r="E821" t="s">
        <v>24</v>
      </c>
      <c r="F821" t="s">
        <v>21</v>
      </c>
      <c r="H821">
        <v>946.9</v>
      </c>
      <c r="I821" s="13">
        <v>9</v>
      </c>
      <c r="J821">
        <v>1</v>
      </c>
      <c r="K821">
        <v>48.1</v>
      </c>
      <c r="L821">
        <v>4</v>
      </c>
      <c r="M821">
        <v>10</v>
      </c>
      <c r="N821">
        <v>4</v>
      </c>
      <c r="O821">
        <f t="shared" si="12"/>
        <v>6</v>
      </c>
    </row>
    <row r="822" spans="1:15">
      <c r="A822">
        <v>2198</v>
      </c>
      <c r="B822" s="1">
        <v>45813</v>
      </c>
      <c r="C822">
        <v>43</v>
      </c>
      <c r="D822" t="s">
        <v>14</v>
      </c>
      <c r="E822" t="s">
        <v>15</v>
      </c>
      <c r="F822" t="s">
        <v>21</v>
      </c>
      <c r="H822">
        <v>303.10000000000002</v>
      </c>
      <c r="I822" s="13">
        <v>9</v>
      </c>
      <c r="J822">
        <v>1</v>
      </c>
      <c r="K822">
        <v>45.31</v>
      </c>
      <c r="L822">
        <v>2</v>
      </c>
      <c r="M822">
        <v>9</v>
      </c>
      <c r="N822">
        <v>5</v>
      </c>
      <c r="O822">
        <f t="shared" si="12"/>
        <v>6</v>
      </c>
    </row>
    <row r="823" spans="1:15">
      <c r="A823">
        <v>1500</v>
      </c>
      <c r="B823" s="1">
        <v>45813</v>
      </c>
      <c r="C823">
        <v>22</v>
      </c>
      <c r="D823" t="s">
        <v>17</v>
      </c>
      <c r="E823" t="s">
        <v>20</v>
      </c>
      <c r="F823" t="s">
        <v>18</v>
      </c>
      <c r="G823" t="s">
        <v>29</v>
      </c>
      <c r="H823">
        <v>657</v>
      </c>
      <c r="I823" s="13">
        <v>6</v>
      </c>
      <c r="J823">
        <v>1</v>
      </c>
      <c r="K823">
        <v>40.61</v>
      </c>
      <c r="L823">
        <v>2</v>
      </c>
      <c r="M823">
        <v>3</v>
      </c>
      <c r="N823">
        <v>4</v>
      </c>
      <c r="O823">
        <f t="shared" si="12"/>
        <v>6</v>
      </c>
    </row>
    <row r="824" spans="1:15">
      <c r="A824">
        <v>1123</v>
      </c>
      <c r="B824" s="1">
        <v>45813</v>
      </c>
      <c r="C824">
        <v>29</v>
      </c>
      <c r="D824" t="s">
        <v>14</v>
      </c>
      <c r="E824" t="s">
        <v>20</v>
      </c>
      <c r="F824" t="s">
        <v>21</v>
      </c>
      <c r="H824">
        <v>261</v>
      </c>
      <c r="I824" s="13">
        <v>6</v>
      </c>
      <c r="J824">
        <v>1</v>
      </c>
      <c r="K824">
        <v>38.43</v>
      </c>
      <c r="L824">
        <v>2</v>
      </c>
      <c r="M824">
        <v>4</v>
      </c>
      <c r="N824">
        <v>4</v>
      </c>
      <c r="O824">
        <f t="shared" si="12"/>
        <v>6</v>
      </c>
    </row>
    <row r="825" spans="1:15">
      <c r="A825">
        <v>2958</v>
      </c>
      <c r="B825" s="1">
        <v>45813</v>
      </c>
      <c r="C825">
        <v>23</v>
      </c>
      <c r="D825" t="s">
        <v>17</v>
      </c>
      <c r="E825" t="s">
        <v>15</v>
      </c>
      <c r="F825" t="s">
        <v>16</v>
      </c>
      <c r="H825">
        <v>206.3</v>
      </c>
      <c r="I825" s="13">
        <v>7</v>
      </c>
      <c r="J825">
        <v>1</v>
      </c>
      <c r="K825">
        <v>36.43</v>
      </c>
      <c r="L825">
        <v>2</v>
      </c>
      <c r="M825">
        <v>11</v>
      </c>
      <c r="N825">
        <v>3</v>
      </c>
      <c r="O825">
        <f t="shared" si="12"/>
        <v>6</v>
      </c>
    </row>
    <row r="826" spans="1:15">
      <c r="A826">
        <v>575</v>
      </c>
      <c r="B826" s="1">
        <v>45813</v>
      </c>
      <c r="C826">
        <v>23</v>
      </c>
      <c r="D826" t="s">
        <v>14</v>
      </c>
      <c r="E826" t="s">
        <v>20</v>
      </c>
      <c r="F826" t="s">
        <v>16</v>
      </c>
      <c r="H826">
        <v>92.1</v>
      </c>
      <c r="I826" s="13">
        <v>11</v>
      </c>
      <c r="J826">
        <v>1</v>
      </c>
      <c r="K826">
        <v>34.39</v>
      </c>
      <c r="L826">
        <v>2</v>
      </c>
      <c r="M826">
        <v>7</v>
      </c>
      <c r="N826">
        <v>4</v>
      </c>
      <c r="O826">
        <f t="shared" si="12"/>
        <v>6</v>
      </c>
    </row>
    <row r="827" spans="1:15">
      <c r="A827">
        <v>530</v>
      </c>
      <c r="B827" s="1">
        <v>45813</v>
      </c>
      <c r="C827">
        <v>31</v>
      </c>
      <c r="D827" t="s">
        <v>17</v>
      </c>
      <c r="E827" t="s">
        <v>20</v>
      </c>
      <c r="F827" t="s">
        <v>16</v>
      </c>
      <c r="H827">
        <v>950.3</v>
      </c>
      <c r="I827" s="13">
        <v>9</v>
      </c>
      <c r="J827">
        <v>1</v>
      </c>
      <c r="K827">
        <v>30.34</v>
      </c>
      <c r="L827">
        <v>3</v>
      </c>
      <c r="M827">
        <v>3</v>
      </c>
      <c r="N827">
        <v>4</v>
      </c>
      <c r="O827">
        <f t="shared" si="12"/>
        <v>6</v>
      </c>
    </row>
    <row r="828" spans="1:15">
      <c r="A828">
        <v>4041</v>
      </c>
      <c r="B828" s="1">
        <v>45813</v>
      </c>
      <c r="C828">
        <v>49</v>
      </c>
      <c r="D828" t="s">
        <v>14</v>
      </c>
      <c r="E828" t="s">
        <v>15</v>
      </c>
      <c r="F828" t="s">
        <v>16</v>
      </c>
      <c r="H828">
        <v>695.5</v>
      </c>
      <c r="I828" s="13">
        <v>7</v>
      </c>
      <c r="J828">
        <v>0</v>
      </c>
      <c r="K828">
        <v>0</v>
      </c>
      <c r="L828">
        <v>0</v>
      </c>
      <c r="M828">
        <v>0</v>
      </c>
      <c r="O828">
        <f t="shared" si="12"/>
        <v>6</v>
      </c>
    </row>
    <row r="829" spans="1:15">
      <c r="A829">
        <v>514</v>
      </c>
      <c r="B829" s="1">
        <v>45813</v>
      </c>
      <c r="C829">
        <v>26</v>
      </c>
      <c r="D829" t="s">
        <v>14</v>
      </c>
      <c r="E829" t="s">
        <v>20</v>
      </c>
      <c r="F829" t="s">
        <v>21</v>
      </c>
      <c r="H829">
        <v>464.6</v>
      </c>
      <c r="I829" s="13">
        <v>7</v>
      </c>
      <c r="J829">
        <v>0</v>
      </c>
      <c r="K829">
        <v>0</v>
      </c>
      <c r="L829">
        <v>0</v>
      </c>
      <c r="M829">
        <v>0</v>
      </c>
      <c r="O829">
        <f t="shared" si="12"/>
        <v>6</v>
      </c>
    </row>
    <row r="830" spans="1:15">
      <c r="A830">
        <v>3545</v>
      </c>
      <c r="B830" s="1">
        <v>45813</v>
      </c>
      <c r="C830">
        <v>45</v>
      </c>
      <c r="D830" t="s">
        <v>17</v>
      </c>
      <c r="E830" t="s">
        <v>15</v>
      </c>
      <c r="F830" t="s">
        <v>18</v>
      </c>
      <c r="G830" t="s">
        <v>26</v>
      </c>
      <c r="H830">
        <v>387.6</v>
      </c>
      <c r="I830" s="13">
        <v>8</v>
      </c>
      <c r="J830">
        <v>0</v>
      </c>
      <c r="K830">
        <v>0</v>
      </c>
      <c r="L830">
        <v>0</v>
      </c>
      <c r="M830">
        <v>0</v>
      </c>
      <c r="O830">
        <f t="shared" si="12"/>
        <v>6</v>
      </c>
    </row>
    <row r="831" spans="1:15">
      <c r="A831">
        <v>4455</v>
      </c>
      <c r="B831" s="1">
        <v>45813</v>
      </c>
      <c r="C831">
        <v>59</v>
      </c>
      <c r="D831" t="s">
        <v>17</v>
      </c>
      <c r="E831" t="s">
        <v>15</v>
      </c>
      <c r="F831" t="s">
        <v>23</v>
      </c>
      <c r="H831">
        <v>387.4</v>
      </c>
      <c r="I831" s="13">
        <v>6</v>
      </c>
      <c r="J831">
        <v>0</v>
      </c>
      <c r="K831">
        <v>0</v>
      </c>
      <c r="L831">
        <v>0</v>
      </c>
      <c r="M831">
        <v>0</v>
      </c>
      <c r="O831">
        <f t="shared" si="12"/>
        <v>6</v>
      </c>
    </row>
    <row r="832" spans="1:15">
      <c r="A832">
        <v>4756</v>
      </c>
      <c r="B832" s="1">
        <v>45813</v>
      </c>
      <c r="C832">
        <v>36</v>
      </c>
      <c r="D832" t="s">
        <v>14</v>
      </c>
      <c r="E832" t="s">
        <v>22</v>
      </c>
      <c r="F832" t="s">
        <v>16</v>
      </c>
      <c r="H832">
        <v>375.2</v>
      </c>
      <c r="I832" s="13">
        <v>8</v>
      </c>
      <c r="J832">
        <v>0</v>
      </c>
      <c r="K832">
        <v>0</v>
      </c>
      <c r="L832">
        <v>0</v>
      </c>
      <c r="M832">
        <v>0</v>
      </c>
      <c r="O832">
        <f t="shared" si="12"/>
        <v>6</v>
      </c>
    </row>
    <row r="833" spans="1:15">
      <c r="A833">
        <v>1237</v>
      </c>
      <c r="B833" s="1">
        <v>45813</v>
      </c>
      <c r="C833">
        <v>24</v>
      </c>
      <c r="D833" t="s">
        <v>17</v>
      </c>
      <c r="E833" t="s">
        <v>22</v>
      </c>
      <c r="F833" t="s">
        <v>16</v>
      </c>
      <c r="H833">
        <v>293.39999999999998</v>
      </c>
      <c r="I833" s="13">
        <v>7</v>
      </c>
      <c r="J833">
        <v>0</v>
      </c>
      <c r="K833">
        <v>0</v>
      </c>
      <c r="L833">
        <v>0</v>
      </c>
      <c r="M833">
        <v>0</v>
      </c>
      <c r="O833">
        <f t="shared" si="12"/>
        <v>6</v>
      </c>
    </row>
    <row r="834" spans="1:15">
      <c r="A834">
        <v>2488</v>
      </c>
      <c r="B834" s="1">
        <v>45813</v>
      </c>
      <c r="C834">
        <v>31</v>
      </c>
      <c r="D834" t="s">
        <v>14</v>
      </c>
      <c r="E834" t="s">
        <v>24</v>
      </c>
      <c r="F834" t="s">
        <v>16</v>
      </c>
      <c r="H834">
        <v>235.2</v>
      </c>
      <c r="I834" s="13">
        <v>6</v>
      </c>
      <c r="J834">
        <v>0</v>
      </c>
      <c r="K834">
        <v>0</v>
      </c>
      <c r="L834">
        <v>0</v>
      </c>
      <c r="M834">
        <v>0</v>
      </c>
      <c r="O834">
        <f t="shared" si="12"/>
        <v>6</v>
      </c>
    </row>
    <row r="835" spans="1:15">
      <c r="A835">
        <v>680</v>
      </c>
      <c r="B835" s="1">
        <v>45813</v>
      </c>
      <c r="C835">
        <v>34</v>
      </c>
      <c r="D835" t="s">
        <v>14</v>
      </c>
      <c r="E835" t="s">
        <v>22</v>
      </c>
      <c r="F835" t="s">
        <v>16</v>
      </c>
      <c r="H835">
        <v>223.6</v>
      </c>
      <c r="I835" s="13">
        <v>5</v>
      </c>
      <c r="J835">
        <v>0</v>
      </c>
      <c r="K835">
        <v>0</v>
      </c>
      <c r="L835">
        <v>0</v>
      </c>
      <c r="M835">
        <v>0</v>
      </c>
      <c r="O835">
        <f t="shared" ref="O835:O898" si="13">MONTH(B835)</f>
        <v>6</v>
      </c>
    </row>
    <row r="836" spans="1:15">
      <c r="A836">
        <v>4634</v>
      </c>
      <c r="B836" s="1">
        <v>45813</v>
      </c>
      <c r="C836">
        <v>54</v>
      </c>
      <c r="D836" t="s">
        <v>17</v>
      </c>
      <c r="E836" t="s">
        <v>24</v>
      </c>
      <c r="F836" t="s">
        <v>16</v>
      </c>
      <c r="H836">
        <v>208.5</v>
      </c>
      <c r="I836" s="13">
        <v>9</v>
      </c>
      <c r="J836">
        <v>0</v>
      </c>
      <c r="K836">
        <v>0</v>
      </c>
      <c r="L836">
        <v>0</v>
      </c>
      <c r="M836">
        <v>0</v>
      </c>
      <c r="O836">
        <f t="shared" si="13"/>
        <v>6</v>
      </c>
    </row>
    <row r="837" spans="1:15">
      <c r="A837">
        <v>3076</v>
      </c>
      <c r="B837" s="1">
        <v>45813</v>
      </c>
      <c r="C837">
        <v>28</v>
      </c>
      <c r="D837" t="s">
        <v>14</v>
      </c>
      <c r="E837" t="s">
        <v>22</v>
      </c>
      <c r="F837" t="s">
        <v>16</v>
      </c>
      <c r="H837">
        <v>194.9</v>
      </c>
      <c r="I837" s="13">
        <v>5</v>
      </c>
      <c r="J837">
        <v>0</v>
      </c>
      <c r="K837">
        <v>0</v>
      </c>
      <c r="L837">
        <v>0</v>
      </c>
      <c r="M837">
        <v>0</v>
      </c>
      <c r="O837">
        <f t="shared" si="13"/>
        <v>6</v>
      </c>
    </row>
    <row r="838" spans="1:15">
      <c r="A838">
        <v>4755</v>
      </c>
      <c r="B838" s="1">
        <v>45813</v>
      </c>
      <c r="C838">
        <v>73</v>
      </c>
      <c r="D838" t="s">
        <v>14</v>
      </c>
      <c r="E838" t="s">
        <v>20</v>
      </c>
      <c r="F838" t="s">
        <v>18</v>
      </c>
      <c r="G838" t="s">
        <v>19</v>
      </c>
      <c r="H838">
        <v>161.19999999999999</v>
      </c>
      <c r="I838" s="13">
        <v>7</v>
      </c>
      <c r="J838">
        <v>0</v>
      </c>
      <c r="K838">
        <v>0</v>
      </c>
      <c r="L838">
        <v>0</v>
      </c>
      <c r="M838">
        <v>0</v>
      </c>
      <c r="O838">
        <f t="shared" si="13"/>
        <v>6</v>
      </c>
    </row>
    <row r="839" spans="1:15">
      <c r="A839">
        <v>4521</v>
      </c>
      <c r="B839" s="1">
        <v>45813</v>
      </c>
      <c r="C839">
        <v>55</v>
      </c>
      <c r="D839" t="s">
        <v>14</v>
      </c>
      <c r="E839" t="s">
        <v>15</v>
      </c>
      <c r="F839" t="s">
        <v>21</v>
      </c>
      <c r="H839">
        <v>112.9</v>
      </c>
      <c r="I839" s="13">
        <v>5</v>
      </c>
      <c r="J839">
        <v>0</v>
      </c>
      <c r="K839">
        <v>0</v>
      </c>
      <c r="L839">
        <v>0</v>
      </c>
      <c r="M839">
        <v>0</v>
      </c>
      <c r="O839">
        <f t="shared" si="13"/>
        <v>6</v>
      </c>
    </row>
    <row r="840" spans="1:15">
      <c r="A840">
        <v>3570</v>
      </c>
      <c r="B840" s="1">
        <v>45813</v>
      </c>
      <c r="C840">
        <v>54</v>
      </c>
      <c r="D840" t="s">
        <v>14</v>
      </c>
      <c r="E840" t="s">
        <v>20</v>
      </c>
      <c r="F840" t="s">
        <v>18</v>
      </c>
      <c r="G840" t="s">
        <v>30</v>
      </c>
      <c r="H840">
        <v>105.7</v>
      </c>
      <c r="I840" s="13">
        <v>6</v>
      </c>
      <c r="J840">
        <v>0</v>
      </c>
      <c r="K840">
        <v>0</v>
      </c>
      <c r="L840">
        <v>0</v>
      </c>
      <c r="M840">
        <v>0</v>
      </c>
      <c r="O840">
        <f t="shared" si="13"/>
        <v>6</v>
      </c>
    </row>
    <row r="841" spans="1:15">
      <c r="A841">
        <v>1027</v>
      </c>
      <c r="B841" s="1">
        <v>45813</v>
      </c>
      <c r="C841">
        <v>24</v>
      </c>
      <c r="D841" t="s">
        <v>14</v>
      </c>
      <c r="E841" t="s">
        <v>22</v>
      </c>
      <c r="F841" t="s">
        <v>16</v>
      </c>
      <c r="H841">
        <v>20</v>
      </c>
      <c r="I841" s="13">
        <v>5</v>
      </c>
      <c r="J841">
        <v>0</v>
      </c>
      <c r="K841">
        <v>0</v>
      </c>
      <c r="L841">
        <v>0</v>
      </c>
      <c r="M841">
        <v>0</v>
      </c>
      <c r="O841">
        <f t="shared" si="13"/>
        <v>6</v>
      </c>
    </row>
    <row r="842" spans="1:15">
      <c r="A842">
        <v>3497</v>
      </c>
      <c r="B842" s="1">
        <v>45813</v>
      </c>
      <c r="C842">
        <v>23</v>
      </c>
      <c r="D842" t="s">
        <v>14</v>
      </c>
      <c r="E842" t="s">
        <v>15</v>
      </c>
      <c r="F842" t="s">
        <v>18</v>
      </c>
      <c r="G842" t="s">
        <v>19</v>
      </c>
      <c r="H842">
        <v>9</v>
      </c>
      <c r="I842" s="13">
        <v>3</v>
      </c>
      <c r="J842">
        <v>0</v>
      </c>
      <c r="K842">
        <v>0</v>
      </c>
      <c r="L842">
        <v>0</v>
      </c>
      <c r="M842">
        <v>0</v>
      </c>
      <c r="O842">
        <f t="shared" si="13"/>
        <v>6</v>
      </c>
    </row>
    <row r="843" spans="1:15">
      <c r="A843">
        <v>1234</v>
      </c>
      <c r="B843" s="1">
        <v>45663</v>
      </c>
      <c r="C843">
        <v>34</v>
      </c>
      <c r="D843" t="s">
        <v>17</v>
      </c>
      <c r="E843" t="s">
        <v>15</v>
      </c>
      <c r="F843" t="s">
        <v>18</v>
      </c>
      <c r="G843" t="s">
        <v>31</v>
      </c>
      <c r="H843">
        <v>505.1</v>
      </c>
      <c r="I843" s="13">
        <v>7</v>
      </c>
      <c r="J843">
        <v>1</v>
      </c>
      <c r="K843">
        <v>424</v>
      </c>
      <c r="L843">
        <v>5</v>
      </c>
      <c r="M843">
        <v>2</v>
      </c>
      <c r="N843">
        <v>4</v>
      </c>
      <c r="O843">
        <f t="shared" si="13"/>
        <v>1</v>
      </c>
    </row>
    <row r="844" spans="1:15">
      <c r="A844">
        <v>4100</v>
      </c>
      <c r="B844" s="1">
        <v>45663</v>
      </c>
      <c r="C844">
        <v>48</v>
      </c>
      <c r="D844" t="s">
        <v>17</v>
      </c>
      <c r="E844" t="s">
        <v>24</v>
      </c>
      <c r="F844" t="s">
        <v>21</v>
      </c>
      <c r="H844">
        <v>608</v>
      </c>
      <c r="I844" s="13">
        <v>5</v>
      </c>
      <c r="J844">
        <v>1</v>
      </c>
      <c r="K844">
        <v>374</v>
      </c>
      <c r="L844">
        <v>3</v>
      </c>
      <c r="M844">
        <v>11</v>
      </c>
      <c r="N844">
        <v>3</v>
      </c>
      <c r="O844">
        <f t="shared" si="13"/>
        <v>1</v>
      </c>
    </row>
    <row r="845" spans="1:15">
      <c r="A845">
        <v>1301</v>
      </c>
      <c r="B845" s="1">
        <v>45663</v>
      </c>
      <c r="C845">
        <v>29</v>
      </c>
      <c r="D845" t="s">
        <v>17</v>
      </c>
      <c r="E845" t="s">
        <v>24</v>
      </c>
      <c r="F845" t="s">
        <v>16</v>
      </c>
      <c r="H845">
        <v>327.9</v>
      </c>
      <c r="I845" s="13">
        <v>8</v>
      </c>
      <c r="J845">
        <v>1</v>
      </c>
      <c r="K845">
        <v>111</v>
      </c>
      <c r="L845">
        <v>3</v>
      </c>
      <c r="M845">
        <v>2</v>
      </c>
      <c r="N845">
        <v>4</v>
      </c>
      <c r="O845">
        <f t="shared" si="13"/>
        <v>1</v>
      </c>
    </row>
    <row r="846" spans="1:15">
      <c r="A846">
        <v>1160</v>
      </c>
      <c r="B846" s="1">
        <v>45663</v>
      </c>
      <c r="C846">
        <v>28</v>
      </c>
      <c r="D846" t="s">
        <v>17</v>
      </c>
      <c r="E846" t="s">
        <v>24</v>
      </c>
      <c r="F846" t="s">
        <v>16</v>
      </c>
      <c r="H846">
        <v>428</v>
      </c>
      <c r="I846" s="13">
        <v>4</v>
      </c>
      <c r="J846">
        <v>1</v>
      </c>
      <c r="K846">
        <v>93</v>
      </c>
      <c r="L846">
        <v>1</v>
      </c>
      <c r="M846">
        <v>6</v>
      </c>
      <c r="N846">
        <v>5</v>
      </c>
      <c r="O846">
        <f t="shared" si="13"/>
        <v>1</v>
      </c>
    </row>
    <row r="847" spans="1:15">
      <c r="A847">
        <v>3504</v>
      </c>
      <c r="B847" s="1">
        <v>45663</v>
      </c>
      <c r="C847">
        <v>47</v>
      </c>
      <c r="D847" t="s">
        <v>14</v>
      </c>
      <c r="E847" t="s">
        <v>22</v>
      </c>
      <c r="F847" t="s">
        <v>16</v>
      </c>
      <c r="H847">
        <v>158.69999999999999</v>
      </c>
      <c r="I847" s="13">
        <v>5</v>
      </c>
      <c r="J847">
        <v>1</v>
      </c>
      <c r="K847">
        <v>91.37</v>
      </c>
      <c r="L847">
        <v>4</v>
      </c>
      <c r="M847">
        <v>7</v>
      </c>
      <c r="N847">
        <v>5</v>
      </c>
      <c r="O847">
        <f t="shared" si="13"/>
        <v>1</v>
      </c>
    </row>
    <row r="848" spans="1:15">
      <c r="A848">
        <v>3795</v>
      </c>
      <c r="B848" s="1">
        <v>45663</v>
      </c>
      <c r="C848">
        <v>77</v>
      </c>
      <c r="D848" t="s">
        <v>17</v>
      </c>
      <c r="E848" t="s">
        <v>15</v>
      </c>
      <c r="F848" t="s">
        <v>16</v>
      </c>
      <c r="H848">
        <v>219.1</v>
      </c>
      <c r="I848" s="13">
        <v>4</v>
      </c>
      <c r="J848">
        <v>1</v>
      </c>
      <c r="K848">
        <v>59.43</v>
      </c>
      <c r="L848">
        <v>3</v>
      </c>
      <c r="M848">
        <v>2</v>
      </c>
      <c r="N848">
        <v>4</v>
      </c>
      <c r="O848">
        <f t="shared" si="13"/>
        <v>1</v>
      </c>
    </row>
    <row r="849" spans="1:15">
      <c r="A849">
        <v>3489</v>
      </c>
      <c r="B849" s="1">
        <v>45663</v>
      </c>
      <c r="C849">
        <v>35</v>
      </c>
      <c r="D849" t="s">
        <v>14</v>
      </c>
      <c r="E849" t="s">
        <v>20</v>
      </c>
      <c r="F849" t="s">
        <v>16</v>
      </c>
      <c r="H849">
        <v>600.5</v>
      </c>
      <c r="I849" s="13">
        <v>7</v>
      </c>
      <c r="J849">
        <v>1</v>
      </c>
      <c r="K849">
        <v>57.37</v>
      </c>
      <c r="L849">
        <v>4</v>
      </c>
      <c r="M849">
        <v>2</v>
      </c>
      <c r="N849">
        <v>4</v>
      </c>
      <c r="O849">
        <f t="shared" si="13"/>
        <v>1</v>
      </c>
    </row>
    <row r="850" spans="1:15">
      <c r="A850">
        <v>3696</v>
      </c>
      <c r="B850" s="1">
        <v>45663</v>
      </c>
      <c r="C850">
        <v>32</v>
      </c>
      <c r="D850" t="s">
        <v>17</v>
      </c>
      <c r="E850" t="s">
        <v>24</v>
      </c>
      <c r="F850" t="s">
        <v>18</v>
      </c>
      <c r="G850" t="s">
        <v>28</v>
      </c>
      <c r="H850">
        <v>314</v>
      </c>
      <c r="I850" s="13">
        <v>4</v>
      </c>
      <c r="J850">
        <v>1</v>
      </c>
      <c r="K850">
        <v>20.61</v>
      </c>
      <c r="L850">
        <v>4</v>
      </c>
      <c r="M850">
        <v>4</v>
      </c>
      <c r="N850">
        <v>4</v>
      </c>
      <c r="O850">
        <f t="shared" si="13"/>
        <v>1</v>
      </c>
    </row>
    <row r="851" spans="1:15">
      <c r="A851">
        <v>3842</v>
      </c>
      <c r="B851" s="1">
        <v>45663</v>
      </c>
      <c r="C851">
        <v>76</v>
      </c>
      <c r="D851" t="s">
        <v>17</v>
      </c>
      <c r="E851" t="s">
        <v>22</v>
      </c>
      <c r="F851" t="s">
        <v>16</v>
      </c>
      <c r="H851">
        <v>462</v>
      </c>
      <c r="I851" s="13">
        <v>6</v>
      </c>
      <c r="J851">
        <v>0</v>
      </c>
      <c r="K851">
        <v>0</v>
      </c>
      <c r="L851">
        <v>0</v>
      </c>
      <c r="M851">
        <v>0</v>
      </c>
      <c r="O851">
        <f t="shared" si="13"/>
        <v>1</v>
      </c>
    </row>
    <row r="852" spans="1:15">
      <c r="A852">
        <v>3963</v>
      </c>
      <c r="B852" s="1">
        <v>45663</v>
      </c>
      <c r="C852">
        <v>61</v>
      </c>
      <c r="D852" t="s">
        <v>17</v>
      </c>
      <c r="E852" t="s">
        <v>20</v>
      </c>
      <c r="F852" t="s">
        <v>16</v>
      </c>
      <c r="H852">
        <v>438.4</v>
      </c>
      <c r="I852" s="13">
        <v>3</v>
      </c>
      <c r="J852">
        <v>0</v>
      </c>
      <c r="K852">
        <v>0</v>
      </c>
      <c r="L852">
        <v>0</v>
      </c>
      <c r="M852">
        <v>0</v>
      </c>
      <c r="O852">
        <f t="shared" si="13"/>
        <v>1</v>
      </c>
    </row>
    <row r="853" spans="1:15">
      <c r="A853">
        <v>101</v>
      </c>
      <c r="B853" s="1">
        <v>45663</v>
      </c>
      <c r="C853">
        <v>18</v>
      </c>
      <c r="D853" t="s">
        <v>17</v>
      </c>
      <c r="E853" t="s">
        <v>20</v>
      </c>
      <c r="F853" t="s">
        <v>18</v>
      </c>
      <c r="G853" t="s">
        <v>29</v>
      </c>
      <c r="H853">
        <v>334.2</v>
      </c>
      <c r="I853" s="13">
        <v>8</v>
      </c>
      <c r="J853">
        <v>0</v>
      </c>
      <c r="K853">
        <v>0</v>
      </c>
      <c r="L853">
        <v>0</v>
      </c>
      <c r="M853">
        <v>0</v>
      </c>
      <c r="O853">
        <f t="shared" si="13"/>
        <v>1</v>
      </c>
    </row>
    <row r="854" spans="1:15">
      <c r="A854">
        <v>1340</v>
      </c>
      <c r="B854" s="1">
        <v>45663</v>
      </c>
      <c r="C854">
        <v>28</v>
      </c>
      <c r="D854" t="s">
        <v>17</v>
      </c>
      <c r="E854" t="s">
        <v>15</v>
      </c>
      <c r="F854" t="s">
        <v>18</v>
      </c>
      <c r="G854" t="s">
        <v>28</v>
      </c>
      <c r="H854">
        <v>303.89999999999998</v>
      </c>
      <c r="I854" s="13">
        <v>5</v>
      </c>
      <c r="J854">
        <v>0</v>
      </c>
      <c r="K854">
        <v>0</v>
      </c>
      <c r="L854">
        <v>0</v>
      </c>
      <c r="M854">
        <v>0</v>
      </c>
      <c r="O854">
        <f t="shared" si="13"/>
        <v>1</v>
      </c>
    </row>
    <row r="855" spans="1:15">
      <c r="A855">
        <v>3383</v>
      </c>
      <c r="B855" s="1">
        <v>45663</v>
      </c>
      <c r="C855">
        <v>39</v>
      </c>
      <c r="D855" t="s">
        <v>17</v>
      </c>
      <c r="E855" t="s">
        <v>24</v>
      </c>
      <c r="F855" t="s">
        <v>18</v>
      </c>
      <c r="G855" t="s">
        <v>26</v>
      </c>
      <c r="H855">
        <v>302.60000000000002</v>
      </c>
      <c r="I855" s="13">
        <v>6</v>
      </c>
      <c r="J855">
        <v>0</v>
      </c>
      <c r="K855">
        <v>0</v>
      </c>
      <c r="L855">
        <v>0</v>
      </c>
      <c r="M855">
        <v>0</v>
      </c>
      <c r="O855">
        <f t="shared" si="13"/>
        <v>1</v>
      </c>
    </row>
    <row r="856" spans="1:15">
      <c r="A856">
        <v>1455</v>
      </c>
      <c r="B856" s="1">
        <v>45663</v>
      </c>
      <c r="C856">
        <v>26</v>
      </c>
      <c r="D856" t="s">
        <v>14</v>
      </c>
      <c r="E856" t="s">
        <v>24</v>
      </c>
      <c r="F856" t="s">
        <v>18</v>
      </c>
      <c r="G856" t="s">
        <v>29</v>
      </c>
      <c r="H856">
        <v>251.8</v>
      </c>
      <c r="I856" s="13">
        <v>7</v>
      </c>
      <c r="J856">
        <v>0</v>
      </c>
      <c r="K856">
        <v>0</v>
      </c>
      <c r="L856">
        <v>0</v>
      </c>
      <c r="M856">
        <v>0</v>
      </c>
      <c r="O856">
        <f t="shared" si="13"/>
        <v>1</v>
      </c>
    </row>
    <row r="857" spans="1:15">
      <c r="A857">
        <v>975</v>
      </c>
      <c r="B857" s="1">
        <v>45663</v>
      </c>
      <c r="C857">
        <v>30</v>
      </c>
      <c r="D857" t="s">
        <v>17</v>
      </c>
      <c r="E857" t="s">
        <v>24</v>
      </c>
      <c r="F857" t="s">
        <v>23</v>
      </c>
      <c r="H857">
        <v>234.8</v>
      </c>
      <c r="I857" s="13">
        <v>6</v>
      </c>
      <c r="J857">
        <v>0</v>
      </c>
      <c r="K857">
        <v>0</v>
      </c>
      <c r="L857">
        <v>0</v>
      </c>
      <c r="M857">
        <v>0</v>
      </c>
      <c r="O857">
        <f t="shared" si="13"/>
        <v>1</v>
      </c>
    </row>
    <row r="858" spans="1:15">
      <c r="A858">
        <v>2419</v>
      </c>
      <c r="B858" s="1">
        <v>45663</v>
      </c>
      <c r="C858">
        <v>42</v>
      </c>
      <c r="D858" t="s">
        <v>14</v>
      </c>
      <c r="E858" t="s">
        <v>22</v>
      </c>
      <c r="F858" t="s">
        <v>18</v>
      </c>
      <c r="G858" t="s">
        <v>31</v>
      </c>
      <c r="H858">
        <v>227.2</v>
      </c>
      <c r="I858" s="13">
        <v>8</v>
      </c>
      <c r="J858">
        <v>0</v>
      </c>
      <c r="K858">
        <v>0</v>
      </c>
      <c r="L858">
        <v>0</v>
      </c>
      <c r="M858">
        <v>0</v>
      </c>
      <c r="O858">
        <f t="shared" si="13"/>
        <v>1</v>
      </c>
    </row>
    <row r="859" spans="1:15">
      <c r="A859">
        <v>1436</v>
      </c>
      <c r="B859" s="1">
        <v>45663</v>
      </c>
      <c r="C859">
        <v>18</v>
      </c>
      <c r="D859" t="s">
        <v>17</v>
      </c>
      <c r="E859" t="s">
        <v>22</v>
      </c>
      <c r="F859" t="s">
        <v>21</v>
      </c>
      <c r="H859">
        <v>225.5</v>
      </c>
      <c r="I859" s="13">
        <v>7</v>
      </c>
      <c r="J859">
        <v>0</v>
      </c>
      <c r="K859">
        <v>0</v>
      </c>
      <c r="L859">
        <v>0</v>
      </c>
      <c r="M859">
        <v>0</v>
      </c>
      <c r="O859">
        <f t="shared" si="13"/>
        <v>1</v>
      </c>
    </row>
    <row r="860" spans="1:15">
      <c r="A860">
        <v>3655</v>
      </c>
      <c r="B860" s="1">
        <v>45663</v>
      </c>
      <c r="C860">
        <v>22</v>
      </c>
      <c r="D860" t="s">
        <v>17</v>
      </c>
      <c r="E860" t="s">
        <v>20</v>
      </c>
      <c r="F860" t="s">
        <v>16</v>
      </c>
      <c r="H860">
        <v>215.1</v>
      </c>
      <c r="I860" s="13">
        <v>8</v>
      </c>
      <c r="J860">
        <v>0</v>
      </c>
      <c r="K860">
        <v>0</v>
      </c>
      <c r="L860">
        <v>0</v>
      </c>
      <c r="M860">
        <v>0</v>
      </c>
      <c r="O860">
        <f t="shared" si="13"/>
        <v>1</v>
      </c>
    </row>
    <row r="861" spans="1:15">
      <c r="A861">
        <v>2830</v>
      </c>
      <c r="B861" s="1">
        <v>45663</v>
      </c>
      <c r="C861">
        <v>35</v>
      </c>
      <c r="D861" t="s">
        <v>17</v>
      </c>
      <c r="E861" t="s">
        <v>22</v>
      </c>
      <c r="F861" t="s">
        <v>16</v>
      </c>
      <c r="H861">
        <v>185.8</v>
      </c>
      <c r="I861" s="13">
        <v>8</v>
      </c>
      <c r="J861">
        <v>0</v>
      </c>
      <c r="K861">
        <v>0</v>
      </c>
      <c r="L861">
        <v>0</v>
      </c>
      <c r="M861">
        <v>0</v>
      </c>
      <c r="O861">
        <f t="shared" si="13"/>
        <v>1</v>
      </c>
    </row>
    <row r="862" spans="1:15">
      <c r="A862">
        <v>291</v>
      </c>
      <c r="B862" s="1">
        <v>45663</v>
      </c>
      <c r="C862">
        <v>22</v>
      </c>
      <c r="D862" t="s">
        <v>14</v>
      </c>
      <c r="E862" t="s">
        <v>20</v>
      </c>
      <c r="F862" t="s">
        <v>16</v>
      </c>
      <c r="H862">
        <v>112.8</v>
      </c>
      <c r="I862" s="13">
        <v>9</v>
      </c>
      <c r="J862">
        <v>0</v>
      </c>
      <c r="K862">
        <v>0</v>
      </c>
      <c r="L862">
        <v>0</v>
      </c>
      <c r="M862">
        <v>0</v>
      </c>
      <c r="O862">
        <f t="shared" si="13"/>
        <v>1</v>
      </c>
    </row>
    <row r="863" spans="1:15">
      <c r="A863">
        <v>1289</v>
      </c>
      <c r="B863" s="1">
        <v>45663</v>
      </c>
      <c r="C863">
        <v>34</v>
      </c>
      <c r="D863" t="s">
        <v>14</v>
      </c>
      <c r="E863" t="s">
        <v>20</v>
      </c>
      <c r="F863" t="s">
        <v>18</v>
      </c>
      <c r="G863" t="s">
        <v>19</v>
      </c>
      <c r="H863">
        <v>100</v>
      </c>
      <c r="I863" s="13">
        <v>5</v>
      </c>
      <c r="J863">
        <v>0</v>
      </c>
      <c r="K863">
        <v>0</v>
      </c>
      <c r="L863">
        <v>0</v>
      </c>
      <c r="M863">
        <v>0</v>
      </c>
      <c r="O863">
        <f t="shared" si="13"/>
        <v>1</v>
      </c>
    </row>
    <row r="864" spans="1:15">
      <c r="A864">
        <v>1248</v>
      </c>
      <c r="B864" s="1">
        <v>45663</v>
      </c>
      <c r="C864">
        <v>34</v>
      </c>
      <c r="D864" t="s">
        <v>14</v>
      </c>
      <c r="E864" t="s">
        <v>22</v>
      </c>
      <c r="F864" t="s">
        <v>16</v>
      </c>
      <c r="H864">
        <v>95.8</v>
      </c>
      <c r="I864" s="13">
        <v>8</v>
      </c>
      <c r="J864">
        <v>0</v>
      </c>
      <c r="K864">
        <v>0</v>
      </c>
      <c r="L864">
        <v>0</v>
      </c>
      <c r="M864">
        <v>0</v>
      </c>
      <c r="O864">
        <f t="shared" si="13"/>
        <v>1</v>
      </c>
    </row>
    <row r="865" spans="1:15">
      <c r="A865">
        <v>2183</v>
      </c>
      <c r="B865" s="1">
        <v>45663</v>
      </c>
      <c r="C865">
        <v>47</v>
      </c>
      <c r="D865" t="s">
        <v>14</v>
      </c>
      <c r="E865" t="s">
        <v>22</v>
      </c>
      <c r="F865" t="s">
        <v>16</v>
      </c>
      <c r="H865">
        <v>67.3</v>
      </c>
      <c r="I865" s="13">
        <v>11</v>
      </c>
      <c r="J865">
        <v>0</v>
      </c>
      <c r="K865">
        <v>0</v>
      </c>
      <c r="L865">
        <v>0</v>
      </c>
      <c r="M865">
        <v>0</v>
      </c>
      <c r="O865">
        <f t="shared" si="13"/>
        <v>1</v>
      </c>
    </row>
    <row r="866" spans="1:15">
      <c r="A866">
        <v>558</v>
      </c>
      <c r="B866" s="1">
        <v>45663</v>
      </c>
      <c r="C866">
        <v>19</v>
      </c>
      <c r="D866" t="s">
        <v>17</v>
      </c>
      <c r="E866" t="s">
        <v>15</v>
      </c>
      <c r="F866" t="s">
        <v>16</v>
      </c>
      <c r="H866">
        <v>45</v>
      </c>
      <c r="I866" s="13">
        <v>4</v>
      </c>
      <c r="J866">
        <v>0</v>
      </c>
      <c r="K866">
        <v>0</v>
      </c>
      <c r="L866">
        <v>0</v>
      </c>
      <c r="M866">
        <v>0</v>
      </c>
      <c r="O866">
        <f t="shared" si="13"/>
        <v>1</v>
      </c>
    </row>
    <row r="867" spans="1:15">
      <c r="A867">
        <v>4371</v>
      </c>
      <c r="B867" s="1">
        <v>45694</v>
      </c>
      <c r="C867">
        <v>52</v>
      </c>
      <c r="D867" t="s">
        <v>17</v>
      </c>
      <c r="E867" t="s">
        <v>24</v>
      </c>
      <c r="F867" t="s">
        <v>21</v>
      </c>
      <c r="H867">
        <v>583.20000000000005</v>
      </c>
      <c r="I867" s="13">
        <v>4</v>
      </c>
      <c r="J867">
        <v>1</v>
      </c>
      <c r="K867">
        <v>188</v>
      </c>
      <c r="L867">
        <v>3</v>
      </c>
      <c r="M867">
        <v>14</v>
      </c>
      <c r="N867">
        <v>3</v>
      </c>
      <c r="O867">
        <f t="shared" si="13"/>
        <v>2</v>
      </c>
    </row>
    <row r="868" spans="1:15">
      <c r="A868">
        <v>2505</v>
      </c>
      <c r="B868" s="1">
        <v>45694</v>
      </c>
      <c r="C868">
        <v>29</v>
      </c>
      <c r="D868" t="s">
        <v>17</v>
      </c>
      <c r="E868" t="s">
        <v>22</v>
      </c>
      <c r="F868" t="s">
        <v>23</v>
      </c>
      <c r="H868">
        <v>549.29999999999995</v>
      </c>
      <c r="I868" s="13">
        <v>5</v>
      </c>
      <c r="J868">
        <v>1</v>
      </c>
      <c r="K868">
        <v>125.15</v>
      </c>
      <c r="L868">
        <v>1</v>
      </c>
      <c r="M868">
        <v>11</v>
      </c>
      <c r="N868">
        <v>4</v>
      </c>
      <c r="O868">
        <f t="shared" si="13"/>
        <v>2</v>
      </c>
    </row>
    <row r="869" spans="1:15">
      <c r="A869">
        <v>2492</v>
      </c>
      <c r="B869" s="1">
        <v>45694</v>
      </c>
      <c r="C869">
        <v>24</v>
      </c>
      <c r="D869" t="s">
        <v>14</v>
      </c>
      <c r="E869" t="s">
        <v>20</v>
      </c>
      <c r="F869" t="s">
        <v>23</v>
      </c>
      <c r="H869">
        <v>365.6</v>
      </c>
      <c r="I869" s="13">
        <v>12</v>
      </c>
      <c r="J869">
        <v>1</v>
      </c>
      <c r="K869">
        <v>118.73</v>
      </c>
      <c r="L869">
        <v>2</v>
      </c>
      <c r="M869">
        <v>14</v>
      </c>
      <c r="N869">
        <v>4</v>
      </c>
      <c r="O869">
        <f t="shared" si="13"/>
        <v>2</v>
      </c>
    </row>
    <row r="870" spans="1:15">
      <c r="A870">
        <v>2466</v>
      </c>
      <c r="B870" s="1">
        <v>45694</v>
      </c>
      <c r="C870">
        <v>37</v>
      </c>
      <c r="D870" t="s">
        <v>14</v>
      </c>
      <c r="E870" t="s">
        <v>24</v>
      </c>
      <c r="F870" t="s">
        <v>18</v>
      </c>
      <c r="G870" t="s">
        <v>25</v>
      </c>
      <c r="H870">
        <v>604.1</v>
      </c>
      <c r="I870" s="13">
        <v>4</v>
      </c>
      <c r="J870">
        <v>1</v>
      </c>
      <c r="K870">
        <v>94.46</v>
      </c>
      <c r="L870">
        <v>2</v>
      </c>
      <c r="M870">
        <v>6</v>
      </c>
      <c r="N870">
        <v>5</v>
      </c>
      <c r="O870">
        <f t="shared" si="13"/>
        <v>2</v>
      </c>
    </row>
    <row r="871" spans="1:15">
      <c r="A871">
        <v>1439</v>
      </c>
      <c r="B871" s="1">
        <v>45694</v>
      </c>
      <c r="C871">
        <v>22</v>
      </c>
      <c r="D871" t="s">
        <v>14</v>
      </c>
      <c r="E871" t="s">
        <v>22</v>
      </c>
      <c r="F871" t="s">
        <v>18</v>
      </c>
      <c r="G871" t="s">
        <v>29</v>
      </c>
      <c r="H871">
        <v>437.5</v>
      </c>
      <c r="I871" s="13">
        <v>3</v>
      </c>
      <c r="J871">
        <v>1</v>
      </c>
      <c r="K871">
        <v>73.52</v>
      </c>
      <c r="L871">
        <v>1</v>
      </c>
      <c r="M871">
        <v>5</v>
      </c>
      <c r="N871">
        <v>5</v>
      </c>
      <c r="O871">
        <f t="shared" si="13"/>
        <v>2</v>
      </c>
    </row>
    <row r="872" spans="1:15">
      <c r="A872">
        <v>3051</v>
      </c>
      <c r="B872" s="1">
        <v>45694</v>
      </c>
      <c r="C872">
        <v>43</v>
      </c>
      <c r="D872" t="s">
        <v>17</v>
      </c>
      <c r="E872" t="s">
        <v>15</v>
      </c>
      <c r="F872" t="s">
        <v>16</v>
      </c>
      <c r="H872">
        <v>1153.8</v>
      </c>
      <c r="I872" s="13">
        <v>6</v>
      </c>
      <c r="J872">
        <v>1</v>
      </c>
      <c r="K872">
        <v>70.94</v>
      </c>
      <c r="L872">
        <v>1</v>
      </c>
      <c r="M872">
        <v>8</v>
      </c>
      <c r="N872">
        <v>3</v>
      </c>
      <c r="O872">
        <f t="shared" si="13"/>
        <v>2</v>
      </c>
    </row>
    <row r="873" spans="1:15">
      <c r="A873">
        <v>4881</v>
      </c>
      <c r="B873" s="1">
        <v>45694</v>
      </c>
      <c r="C873">
        <v>53</v>
      </c>
      <c r="D873" t="s">
        <v>14</v>
      </c>
      <c r="E873" t="s">
        <v>24</v>
      </c>
      <c r="F873" t="s">
        <v>23</v>
      </c>
      <c r="H873">
        <v>969.9</v>
      </c>
      <c r="I873" s="13">
        <v>7</v>
      </c>
      <c r="J873">
        <v>1</v>
      </c>
      <c r="K873">
        <v>34.869999999999997</v>
      </c>
      <c r="L873">
        <v>1</v>
      </c>
      <c r="M873">
        <v>2</v>
      </c>
      <c r="N873">
        <v>4</v>
      </c>
      <c r="O873">
        <f t="shared" si="13"/>
        <v>2</v>
      </c>
    </row>
    <row r="874" spans="1:15">
      <c r="A874">
        <v>896</v>
      </c>
      <c r="B874" s="1">
        <v>45694</v>
      </c>
      <c r="C874">
        <v>21</v>
      </c>
      <c r="D874" t="s">
        <v>17</v>
      </c>
      <c r="E874" t="s">
        <v>24</v>
      </c>
      <c r="F874" t="s">
        <v>18</v>
      </c>
      <c r="G874" t="s">
        <v>29</v>
      </c>
      <c r="H874">
        <v>284.8</v>
      </c>
      <c r="I874" s="13">
        <v>8</v>
      </c>
      <c r="J874">
        <v>1</v>
      </c>
      <c r="K874">
        <v>29.68</v>
      </c>
      <c r="L874">
        <v>2</v>
      </c>
      <c r="M874">
        <v>8</v>
      </c>
      <c r="N874">
        <v>4</v>
      </c>
      <c r="O874">
        <f t="shared" si="13"/>
        <v>2</v>
      </c>
    </row>
    <row r="875" spans="1:15">
      <c r="A875">
        <v>3135</v>
      </c>
      <c r="B875" s="1">
        <v>45694</v>
      </c>
      <c r="C875">
        <v>41</v>
      </c>
      <c r="D875" t="s">
        <v>14</v>
      </c>
      <c r="E875" t="s">
        <v>20</v>
      </c>
      <c r="F875" t="s">
        <v>18</v>
      </c>
      <c r="G875" t="s">
        <v>29</v>
      </c>
      <c r="H875">
        <v>250.7</v>
      </c>
      <c r="I875" s="13">
        <v>4</v>
      </c>
      <c r="J875">
        <v>1</v>
      </c>
      <c r="K875">
        <v>23.54</v>
      </c>
      <c r="L875">
        <v>4</v>
      </c>
      <c r="M875">
        <v>14</v>
      </c>
      <c r="N875">
        <v>4</v>
      </c>
      <c r="O875">
        <f t="shared" si="13"/>
        <v>2</v>
      </c>
    </row>
    <row r="876" spans="1:15">
      <c r="A876">
        <v>1627</v>
      </c>
      <c r="B876" s="1">
        <v>45694</v>
      </c>
      <c r="C876">
        <v>26</v>
      </c>
      <c r="D876" t="s">
        <v>17</v>
      </c>
      <c r="E876" t="s">
        <v>15</v>
      </c>
      <c r="F876" t="s">
        <v>16</v>
      </c>
      <c r="H876">
        <v>388.2</v>
      </c>
      <c r="I876" s="13">
        <v>10</v>
      </c>
      <c r="J876">
        <v>1</v>
      </c>
      <c r="K876">
        <v>21.82</v>
      </c>
      <c r="L876">
        <v>1</v>
      </c>
      <c r="M876">
        <v>3</v>
      </c>
      <c r="N876">
        <v>4</v>
      </c>
      <c r="O876">
        <f t="shared" si="13"/>
        <v>2</v>
      </c>
    </row>
    <row r="877" spans="1:15">
      <c r="A877">
        <v>1894</v>
      </c>
      <c r="B877" s="1">
        <v>45694</v>
      </c>
      <c r="C877">
        <v>32</v>
      </c>
      <c r="D877" t="s">
        <v>14</v>
      </c>
      <c r="E877" t="s">
        <v>15</v>
      </c>
      <c r="F877" t="s">
        <v>16</v>
      </c>
      <c r="H877">
        <v>364.6</v>
      </c>
      <c r="I877" s="13">
        <v>5</v>
      </c>
      <c r="J877">
        <v>1</v>
      </c>
      <c r="K877">
        <v>20.85</v>
      </c>
      <c r="L877">
        <v>5</v>
      </c>
      <c r="M877">
        <v>1</v>
      </c>
      <c r="N877">
        <v>4</v>
      </c>
      <c r="O877">
        <f t="shared" si="13"/>
        <v>2</v>
      </c>
    </row>
    <row r="878" spans="1:15">
      <c r="A878">
        <v>4962</v>
      </c>
      <c r="B878" s="1">
        <v>45694</v>
      </c>
      <c r="C878">
        <v>52</v>
      </c>
      <c r="D878" t="s">
        <v>14</v>
      </c>
      <c r="E878" t="s">
        <v>24</v>
      </c>
      <c r="F878" t="s">
        <v>16</v>
      </c>
      <c r="H878">
        <v>545.6</v>
      </c>
      <c r="I878" s="13">
        <v>6</v>
      </c>
      <c r="J878">
        <v>0</v>
      </c>
      <c r="K878">
        <v>0</v>
      </c>
      <c r="L878">
        <v>0</v>
      </c>
      <c r="M878">
        <v>0</v>
      </c>
      <c r="O878">
        <f t="shared" si="13"/>
        <v>2</v>
      </c>
    </row>
    <row r="879" spans="1:15">
      <c r="A879">
        <v>3083</v>
      </c>
      <c r="B879" s="1">
        <v>45694</v>
      </c>
      <c r="C879">
        <v>44</v>
      </c>
      <c r="D879" t="s">
        <v>17</v>
      </c>
      <c r="E879" t="s">
        <v>22</v>
      </c>
      <c r="F879" t="s">
        <v>23</v>
      </c>
      <c r="H879">
        <v>441.4</v>
      </c>
      <c r="I879" s="13">
        <v>4</v>
      </c>
      <c r="J879">
        <v>0</v>
      </c>
      <c r="K879">
        <v>0</v>
      </c>
      <c r="L879">
        <v>0</v>
      </c>
      <c r="M879">
        <v>0</v>
      </c>
      <c r="O879">
        <f t="shared" si="13"/>
        <v>2</v>
      </c>
    </row>
    <row r="880" spans="1:15">
      <c r="A880">
        <v>4723</v>
      </c>
      <c r="B880" s="1">
        <v>45694</v>
      </c>
      <c r="C880">
        <v>47</v>
      </c>
      <c r="D880" t="s">
        <v>14</v>
      </c>
      <c r="E880" t="s">
        <v>24</v>
      </c>
      <c r="F880" t="s">
        <v>16</v>
      </c>
      <c r="H880">
        <v>334.7</v>
      </c>
      <c r="I880" s="13">
        <v>6</v>
      </c>
      <c r="J880">
        <v>0</v>
      </c>
      <c r="K880">
        <v>0</v>
      </c>
      <c r="L880">
        <v>0</v>
      </c>
      <c r="M880">
        <v>0</v>
      </c>
      <c r="O880">
        <f t="shared" si="13"/>
        <v>2</v>
      </c>
    </row>
    <row r="881" spans="1:15">
      <c r="A881">
        <v>3261</v>
      </c>
      <c r="B881" s="1">
        <v>45694</v>
      </c>
      <c r="C881">
        <v>42</v>
      </c>
      <c r="D881" t="s">
        <v>14</v>
      </c>
      <c r="E881" t="s">
        <v>22</v>
      </c>
      <c r="F881" t="s">
        <v>16</v>
      </c>
      <c r="H881">
        <v>326.60000000000002</v>
      </c>
      <c r="I881" s="13">
        <v>3</v>
      </c>
      <c r="J881">
        <v>0</v>
      </c>
      <c r="K881">
        <v>0</v>
      </c>
      <c r="L881">
        <v>0</v>
      </c>
      <c r="M881">
        <v>0</v>
      </c>
      <c r="O881">
        <f t="shared" si="13"/>
        <v>2</v>
      </c>
    </row>
    <row r="882" spans="1:15">
      <c r="A882">
        <v>1296</v>
      </c>
      <c r="B882" s="1">
        <v>45694</v>
      </c>
      <c r="C882">
        <v>31</v>
      </c>
      <c r="D882" t="s">
        <v>14</v>
      </c>
      <c r="E882" t="s">
        <v>22</v>
      </c>
      <c r="F882" t="s">
        <v>16</v>
      </c>
      <c r="H882">
        <v>273.2</v>
      </c>
      <c r="I882" s="13">
        <v>10</v>
      </c>
      <c r="J882">
        <v>0</v>
      </c>
      <c r="K882">
        <v>0</v>
      </c>
      <c r="L882">
        <v>0</v>
      </c>
      <c r="M882">
        <v>0</v>
      </c>
      <c r="O882">
        <f t="shared" si="13"/>
        <v>2</v>
      </c>
    </row>
    <row r="883" spans="1:15">
      <c r="A883">
        <v>2878</v>
      </c>
      <c r="B883" s="1">
        <v>45694</v>
      </c>
      <c r="C883">
        <v>31</v>
      </c>
      <c r="D883" t="s">
        <v>17</v>
      </c>
      <c r="E883" t="s">
        <v>20</v>
      </c>
      <c r="F883" t="s">
        <v>21</v>
      </c>
      <c r="H883">
        <v>268.3</v>
      </c>
      <c r="I883" s="13">
        <v>4</v>
      </c>
      <c r="J883">
        <v>0</v>
      </c>
      <c r="K883">
        <v>0</v>
      </c>
      <c r="L883">
        <v>0</v>
      </c>
      <c r="M883">
        <v>0</v>
      </c>
      <c r="O883">
        <f t="shared" si="13"/>
        <v>2</v>
      </c>
    </row>
    <row r="884" spans="1:15">
      <c r="A884">
        <v>3656</v>
      </c>
      <c r="B884" s="1">
        <v>45694</v>
      </c>
      <c r="C884">
        <v>27</v>
      </c>
      <c r="D884" t="s">
        <v>14</v>
      </c>
      <c r="E884" t="s">
        <v>20</v>
      </c>
      <c r="F884" t="s">
        <v>18</v>
      </c>
      <c r="G884" t="s">
        <v>29</v>
      </c>
      <c r="H884">
        <v>255.5</v>
      </c>
      <c r="I884" s="13">
        <v>7</v>
      </c>
      <c r="J884">
        <v>0</v>
      </c>
      <c r="K884">
        <v>0</v>
      </c>
      <c r="L884">
        <v>0</v>
      </c>
      <c r="M884">
        <v>0</v>
      </c>
      <c r="O884">
        <f t="shared" si="13"/>
        <v>2</v>
      </c>
    </row>
    <row r="885" spans="1:15">
      <c r="A885">
        <v>4050</v>
      </c>
      <c r="B885" s="1">
        <v>45694</v>
      </c>
      <c r="C885">
        <v>50</v>
      </c>
      <c r="D885" t="s">
        <v>17</v>
      </c>
      <c r="E885" t="s">
        <v>15</v>
      </c>
      <c r="F885" t="s">
        <v>23</v>
      </c>
      <c r="H885">
        <v>254</v>
      </c>
      <c r="I885" s="13">
        <v>7</v>
      </c>
      <c r="J885">
        <v>0</v>
      </c>
      <c r="K885">
        <v>0</v>
      </c>
      <c r="L885">
        <v>0</v>
      </c>
      <c r="M885">
        <v>0</v>
      </c>
      <c r="O885">
        <f t="shared" si="13"/>
        <v>2</v>
      </c>
    </row>
    <row r="886" spans="1:15">
      <c r="A886">
        <v>2093</v>
      </c>
      <c r="B886" s="1">
        <v>45694</v>
      </c>
      <c r="C886">
        <v>24</v>
      </c>
      <c r="D886" t="s">
        <v>17</v>
      </c>
      <c r="E886" t="s">
        <v>24</v>
      </c>
      <c r="F886" t="s">
        <v>18</v>
      </c>
      <c r="G886" t="s">
        <v>26</v>
      </c>
      <c r="H886">
        <v>242.7</v>
      </c>
      <c r="I886" s="13">
        <v>6</v>
      </c>
      <c r="J886">
        <v>0</v>
      </c>
      <c r="K886">
        <v>0</v>
      </c>
      <c r="L886">
        <v>0</v>
      </c>
      <c r="M886">
        <v>0</v>
      </c>
      <c r="O886">
        <f t="shared" si="13"/>
        <v>2</v>
      </c>
    </row>
    <row r="887" spans="1:15">
      <c r="A887">
        <v>729</v>
      </c>
      <c r="B887" s="1">
        <v>45694</v>
      </c>
      <c r="C887">
        <v>28</v>
      </c>
      <c r="D887" t="s">
        <v>14</v>
      </c>
      <c r="E887" t="s">
        <v>22</v>
      </c>
      <c r="F887" t="s">
        <v>23</v>
      </c>
      <c r="H887">
        <v>188.4</v>
      </c>
      <c r="I887" s="13">
        <v>6</v>
      </c>
      <c r="J887">
        <v>0</v>
      </c>
      <c r="K887">
        <v>0</v>
      </c>
      <c r="L887">
        <v>0</v>
      </c>
      <c r="M887">
        <v>0</v>
      </c>
      <c r="O887">
        <f t="shared" si="13"/>
        <v>2</v>
      </c>
    </row>
    <row r="888" spans="1:15">
      <c r="A888">
        <v>2073</v>
      </c>
      <c r="B888" s="1">
        <v>45694</v>
      </c>
      <c r="C888">
        <v>39</v>
      </c>
      <c r="D888" t="s">
        <v>14</v>
      </c>
      <c r="E888" t="s">
        <v>20</v>
      </c>
      <c r="F888" t="s">
        <v>23</v>
      </c>
      <c r="H888">
        <v>172</v>
      </c>
      <c r="I888" s="13">
        <v>3</v>
      </c>
      <c r="J888">
        <v>0</v>
      </c>
      <c r="K888">
        <v>0</v>
      </c>
      <c r="L888">
        <v>0</v>
      </c>
      <c r="M888">
        <v>0</v>
      </c>
      <c r="O888">
        <f t="shared" si="13"/>
        <v>2</v>
      </c>
    </row>
    <row r="889" spans="1:15">
      <c r="A889">
        <v>3348</v>
      </c>
      <c r="B889" s="1">
        <v>45694</v>
      </c>
      <c r="C889">
        <v>35</v>
      </c>
      <c r="D889" t="s">
        <v>14</v>
      </c>
      <c r="E889" t="s">
        <v>24</v>
      </c>
      <c r="F889" t="s">
        <v>23</v>
      </c>
      <c r="H889">
        <v>141.80000000000001</v>
      </c>
      <c r="I889" s="13">
        <v>9</v>
      </c>
      <c r="J889">
        <v>0</v>
      </c>
      <c r="K889">
        <v>0</v>
      </c>
      <c r="L889">
        <v>0</v>
      </c>
      <c r="M889">
        <v>0</v>
      </c>
      <c r="O889">
        <f t="shared" si="13"/>
        <v>2</v>
      </c>
    </row>
    <row r="890" spans="1:15">
      <c r="A890">
        <v>1257</v>
      </c>
      <c r="B890" s="1">
        <v>45694</v>
      </c>
      <c r="C890">
        <v>21</v>
      </c>
      <c r="D890" t="s">
        <v>14</v>
      </c>
      <c r="E890" t="s">
        <v>20</v>
      </c>
      <c r="F890" t="s">
        <v>18</v>
      </c>
      <c r="G890" t="s">
        <v>25</v>
      </c>
      <c r="H890">
        <v>107.3</v>
      </c>
      <c r="I890" s="13">
        <v>7</v>
      </c>
      <c r="J890">
        <v>0</v>
      </c>
      <c r="K890">
        <v>0</v>
      </c>
      <c r="L890">
        <v>0</v>
      </c>
      <c r="M890">
        <v>0</v>
      </c>
      <c r="O890">
        <f t="shared" si="13"/>
        <v>2</v>
      </c>
    </row>
    <row r="891" spans="1:15">
      <c r="A891">
        <v>2067</v>
      </c>
      <c r="B891" s="1">
        <v>45694</v>
      </c>
      <c r="C891">
        <v>44</v>
      </c>
      <c r="D891" t="s">
        <v>17</v>
      </c>
      <c r="E891" t="s">
        <v>22</v>
      </c>
      <c r="F891" t="s">
        <v>18</v>
      </c>
      <c r="G891" t="s">
        <v>19</v>
      </c>
      <c r="H891">
        <v>101.6</v>
      </c>
      <c r="I891" s="13">
        <v>5</v>
      </c>
      <c r="J891">
        <v>0</v>
      </c>
      <c r="K891">
        <v>0</v>
      </c>
      <c r="L891">
        <v>0</v>
      </c>
      <c r="M891">
        <v>0</v>
      </c>
      <c r="O891">
        <f t="shared" si="13"/>
        <v>2</v>
      </c>
    </row>
    <row r="892" spans="1:15">
      <c r="A892">
        <v>2112</v>
      </c>
      <c r="B892" s="1">
        <v>45694</v>
      </c>
      <c r="C892">
        <v>42</v>
      </c>
      <c r="D892" t="s">
        <v>17</v>
      </c>
      <c r="E892" t="s">
        <v>22</v>
      </c>
      <c r="F892" t="s">
        <v>16</v>
      </c>
      <c r="H892">
        <v>69.3</v>
      </c>
      <c r="I892" s="13">
        <v>7</v>
      </c>
      <c r="J892">
        <v>0</v>
      </c>
      <c r="K892">
        <v>0</v>
      </c>
      <c r="L892">
        <v>0</v>
      </c>
      <c r="M892">
        <v>0</v>
      </c>
      <c r="O892">
        <f t="shared" si="13"/>
        <v>2</v>
      </c>
    </row>
    <row r="893" spans="1:15">
      <c r="A893">
        <v>855</v>
      </c>
      <c r="B893" s="1">
        <v>45694</v>
      </c>
      <c r="C893">
        <v>27</v>
      </c>
      <c r="D893" t="s">
        <v>14</v>
      </c>
      <c r="E893" t="s">
        <v>15</v>
      </c>
      <c r="F893" t="s">
        <v>16</v>
      </c>
      <c r="H893">
        <v>64</v>
      </c>
      <c r="I893" s="13">
        <v>5</v>
      </c>
      <c r="J893">
        <v>0</v>
      </c>
      <c r="K893">
        <v>0</v>
      </c>
      <c r="L893">
        <v>0</v>
      </c>
      <c r="M893">
        <v>0</v>
      </c>
      <c r="O893">
        <f t="shared" si="13"/>
        <v>2</v>
      </c>
    </row>
    <row r="894" spans="1:15">
      <c r="A894">
        <v>3290</v>
      </c>
      <c r="B894" s="1">
        <v>45694</v>
      </c>
      <c r="C894">
        <v>49</v>
      </c>
      <c r="D894" t="s">
        <v>17</v>
      </c>
      <c r="E894" t="s">
        <v>20</v>
      </c>
      <c r="F894" t="s">
        <v>16</v>
      </c>
      <c r="H894">
        <v>63.8</v>
      </c>
      <c r="I894" s="13">
        <v>4</v>
      </c>
      <c r="J894">
        <v>0</v>
      </c>
      <c r="K894">
        <v>0</v>
      </c>
      <c r="L894">
        <v>0</v>
      </c>
      <c r="M894">
        <v>0</v>
      </c>
      <c r="O894">
        <f t="shared" si="13"/>
        <v>2</v>
      </c>
    </row>
    <row r="895" spans="1:15">
      <c r="A895">
        <v>1906</v>
      </c>
      <c r="B895" s="1">
        <v>45694</v>
      </c>
      <c r="C895">
        <v>27</v>
      </c>
      <c r="D895" t="s">
        <v>17</v>
      </c>
      <c r="E895" t="s">
        <v>22</v>
      </c>
      <c r="F895" t="s">
        <v>16</v>
      </c>
      <c r="H895">
        <v>61.5</v>
      </c>
      <c r="I895" s="13">
        <v>7</v>
      </c>
      <c r="J895">
        <v>0</v>
      </c>
      <c r="K895">
        <v>0</v>
      </c>
      <c r="L895">
        <v>0</v>
      </c>
      <c r="M895">
        <v>0</v>
      </c>
      <c r="O895">
        <f t="shared" si="13"/>
        <v>2</v>
      </c>
    </row>
    <row r="896" spans="1:15">
      <c r="A896">
        <v>661</v>
      </c>
      <c r="B896" s="1">
        <v>45722</v>
      </c>
      <c r="C896">
        <v>33</v>
      </c>
      <c r="D896" t="s">
        <v>17</v>
      </c>
      <c r="E896" t="s">
        <v>24</v>
      </c>
      <c r="F896" t="s">
        <v>18</v>
      </c>
      <c r="G896" t="s">
        <v>19</v>
      </c>
      <c r="H896">
        <v>216.3</v>
      </c>
      <c r="I896" s="13">
        <v>1</v>
      </c>
      <c r="J896">
        <v>1</v>
      </c>
      <c r="K896">
        <v>157</v>
      </c>
      <c r="L896">
        <v>5</v>
      </c>
      <c r="M896">
        <v>11</v>
      </c>
      <c r="N896">
        <v>3</v>
      </c>
      <c r="O896">
        <f t="shared" si="13"/>
        <v>3</v>
      </c>
    </row>
    <row r="897" spans="1:15">
      <c r="A897">
        <v>4007</v>
      </c>
      <c r="B897" s="1">
        <v>45722</v>
      </c>
      <c r="C897">
        <v>60</v>
      </c>
      <c r="D897" t="s">
        <v>17</v>
      </c>
      <c r="E897" t="s">
        <v>22</v>
      </c>
      <c r="F897" t="s">
        <v>16</v>
      </c>
      <c r="H897">
        <v>425.5</v>
      </c>
      <c r="I897" s="13">
        <v>7</v>
      </c>
      <c r="J897">
        <v>1</v>
      </c>
      <c r="K897">
        <v>183.27</v>
      </c>
      <c r="L897">
        <v>3</v>
      </c>
      <c r="M897">
        <v>5</v>
      </c>
      <c r="N897">
        <v>4</v>
      </c>
      <c r="O897">
        <f t="shared" si="13"/>
        <v>3</v>
      </c>
    </row>
    <row r="898" spans="1:15">
      <c r="A898">
        <v>3414</v>
      </c>
      <c r="B898" s="1">
        <v>45722</v>
      </c>
      <c r="C898">
        <v>42</v>
      </c>
      <c r="D898" t="s">
        <v>14</v>
      </c>
      <c r="E898" t="s">
        <v>15</v>
      </c>
      <c r="F898" t="s">
        <v>16</v>
      </c>
      <c r="H898">
        <v>988.6</v>
      </c>
      <c r="I898" s="13">
        <v>5</v>
      </c>
      <c r="J898">
        <v>1</v>
      </c>
      <c r="K898">
        <v>122.1</v>
      </c>
      <c r="L898">
        <v>1</v>
      </c>
      <c r="M898">
        <v>2</v>
      </c>
      <c r="N898">
        <v>4</v>
      </c>
      <c r="O898">
        <f t="shared" si="13"/>
        <v>3</v>
      </c>
    </row>
    <row r="899" spans="1:15">
      <c r="A899">
        <v>4404</v>
      </c>
      <c r="B899" s="1">
        <v>45722</v>
      </c>
      <c r="C899">
        <v>53</v>
      </c>
      <c r="D899" t="s">
        <v>14</v>
      </c>
      <c r="E899" t="s">
        <v>24</v>
      </c>
      <c r="F899" t="s">
        <v>16</v>
      </c>
      <c r="H899">
        <v>679.5</v>
      </c>
      <c r="I899" s="13">
        <v>8</v>
      </c>
      <c r="J899">
        <v>1</v>
      </c>
      <c r="K899">
        <v>75.92</v>
      </c>
      <c r="L899">
        <v>1</v>
      </c>
      <c r="M899">
        <v>14</v>
      </c>
      <c r="N899">
        <v>3</v>
      </c>
      <c r="O899">
        <f t="shared" ref="O899:O962" si="14">MONTH(B899)</f>
        <v>3</v>
      </c>
    </row>
    <row r="900" spans="1:15">
      <c r="A900">
        <v>4957</v>
      </c>
      <c r="B900" s="1">
        <v>45722</v>
      </c>
      <c r="C900">
        <v>39</v>
      </c>
      <c r="D900" t="s">
        <v>14</v>
      </c>
      <c r="E900" t="s">
        <v>20</v>
      </c>
      <c r="F900" t="s">
        <v>23</v>
      </c>
      <c r="H900">
        <v>190.2</v>
      </c>
      <c r="I900" s="13">
        <v>5</v>
      </c>
      <c r="J900">
        <v>1</v>
      </c>
      <c r="K900">
        <v>62.82</v>
      </c>
      <c r="L900">
        <v>3</v>
      </c>
      <c r="M900">
        <v>7</v>
      </c>
      <c r="N900">
        <v>4</v>
      </c>
      <c r="O900">
        <f t="shared" si="14"/>
        <v>3</v>
      </c>
    </row>
    <row r="901" spans="1:15">
      <c r="A901">
        <v>2820</v>
      </c>
      <c r="B901" s="1">
        <v>45722</v>
      </c>
      <c r="C901">
        <v>33</v>
      </c>
      <c r="D901" t="s">
        <v>17</v>
      </c>
      <c r="E901" t="s">
        <v>22</v>
      </c>
      <c r="F901" t="s">
        <v>21</v>
      </c>
      <c r="H901">
        <v>396.7</v>
      </c>
      <c r="I901" s="13">
        <v>6</v>
      </c>
      <c r="J901">
        <v>1</v>
      </c>
      <c r="K901">
        <v>62.29</v>
      </c>
      <c r="L901">
        <v>2</v>
      </c>
      <c r="M901">
        <v>10</v>
      </c>
      <c r="N901">
        <v>3</v>
      </c>
      <c r="O901">
        <f t="shared" si="14"/>
        <v>3</v>
      </c>
    </row>
    <row r="902" spans="1:15">
      <c r="A902">
        <v>3817</v>
      </c>
      <c r="B902" s="1">
        <v>45722</v>
      </c>
      <c r="C902">
        <v>36</v>
      </c>
      <c r="D902" t="s">
        <v>14</v>
      </c>
      <c r="E902" t="s">
        <v>22</v>
      </c>
      <c r="F902" t="s">
        <v>16</v>
      </c>
      <c r="H902">
        <v>521.1</v>
      </c>
      <c r="I902" s="13">
        <v>5</v>
      </c>
      <c r="J902">
        <v>1</v>
      </c>
      <c r="K902">
        <v>52.3</v>
      </c>
      <c r="L902">
        <v>1</v>
      </c>
      <c r="M902">
        <v>12</v>
      </c>
      <c r="N902">
        <v>5</v>
      </c>
      <c r="O902">
        <f t="shared" si="14"/>
        <v>3</v>
      </c>
    </row>
    <row r="903" spans="1:15">
      <c r="A903">
        <v>64</v>
      </c>
      <c r="B903" s="1">
        <v>45722</v>
      </c>
      <c r="C903">
        <v>28</v>
      </c>
      <c r="D903" t="s">
        <v>17</v>
      </c>
      <c r="E903" t="s">
        <v>20</v>
      </c>
      <c r="F903" t="s">
        <v>16</v>
      </c>
      <c r="H903">
        <v>321</v>
      </c>
      <c r="I903" s="13">
        <v>3</v>
      </c>
      <c r="J903">
        <v>1</v>
      </c>
      <c r="K903">
        <v>46.33</v>
      </c>
      <c r="L903">
        <v>3</v>
      </c>
      <c r="M903">
        <v>13</v>
      </c>
      <c r="N903">
        <v>4</v>
      </c>
      <c r="O903">
        <f t="shared" si="14"/>
        <v>3</v>
      </c>
    </row>
    <row r="904" spans="1:15">
      <c r="A904">
        <v>735</v>
      </c>
      <c r="B904" s="1">
        <v>45722</v>
      </c>
      <c r="C904">
        <v>28</v>
      </c>
      <c r="D904" t="s">
        <v>17</v>
      </c>
      <c r="E904" t="s">
        <v>15</v>
      </c>
      <c r="F904" t="s">
        <v>16</v>
      </c>
      <c r="H904">
        <v>271.3</v>
      </c>
      <c r="I904" s="13">
        <v>8</v>
      </c>
      <c r="J904">
        <v>1</v>
      </c>
      <c r="K904">
        <v>42.08</v>
      </c>
      <c r="L904">
        <v>3</v>
      </c>
      <c r="M904">
        <v>7</v>
      </c>
      <c r="N904">
        <v>3</v>
      </c>
      <c r="O904">
        <f t="shared" si="14"/>
        <v>3</v>
      </c>
    </row>
    <row r="905" spans="1:15">
      <c r="A905">
        <v>966</v>
      </c>
      <c r="B905" s="1">
        <v>45722</v>
      </c>
      <c r="C905">
        <v>19</v>
      </c>
      <c r="D905" t="s">
        <v>14</v>
      </c>
      <c r="E905" t="s">
        <v>20</v>
      </c>
      <c r="F905" t="s">
        <v>18</v>
      </c>
      <c r="G905" t="s">
        <v>31</v>
      </c>
      <c r="H905">
        <v>626.70000000000005</v>
      </c>
      <c r="I905" s="13">
        <v>4</v>
      </c>
      <c r="J905">
        <v>1</v>
      </c>
      <c r="K905">
        <v>41.01</v>
      </c>
      <c r="L905">
        <v>3</v>
      </c>
      <c r="M905">
        <v>9</v>
      </c>
      <c r="N905">
        <v>5</v>
      </c>
      <c r="O905">
        <f t="shared" si="14"/>
        <v>3</v>
      </c>
    </row>
    <row r="906" spans="1:15">
      <c r="A906">
        <v>1654</v>
      </c>
      <c r="B906" s="1">
        <v>45722</v>
      </c>
      <c r="C906">
        <v>18</v>
      </c>
      <c r="D906" t="s">
        <v>17</v>
      </c>
      <c r="E906" t="s">
        <v>20</v>
      </c>
      <c r="F906" t="s">
        <v>21</v>
      </c>
      <c r="H906">
        <v>367.2</v>
      </c>
      <c r="I906" s="13">
        <v>4</v>
      </c>
      <c r="J906">
        <v>1</v>
      </c>
      <c r="K906">
        <v>35.729999999999997</v>
      </c>
      <c r="L906">
        <v>2</v>
      </c>
      <c r="M906">
        <v>7</v>
      </c>
      <c r="N906">
        <v>5</v>
      </c>
      <c r="O906">
        <f t="shared" si="14"/>
        <v>3</v>
      </c>
    </row>
    <row r="907" spans="1:15">
      <c r="A907">
        <v>294</v>
      </c>
      <c r="B907" s="1">
        <v>45722</v>
      </c>
      <c r="C907">
        <v>19</v>
      </c>
      <c r="D907" t="s">
        <v>17</v>
      </c>
      <c r="E907" t="s">
        <v>15</v>
      </c>
      <c r="F907" t="s">
        <v>16</v>
      </c>
      <c r="H907">
        <v>242.8</v>
      </c>
      <c r="I907" s="13">
        <v>8</v>
      </c>
      <c r="J907">
        <v>1</v>
      </c>
      <c r="K907">
        <v>32.590000000000003</v>
      </c>
      <c r="L907">
        <v>2</v>
      </c>
      <c r="M907">
        <v>9</v>
      </c>
      <c r="N907">
        <v>5</v>
      </c>
      <c r="O907">
        <f t="shared" si="14"/>
        <v>3</v>
      </c>
    </row>
    <row r="908" spans="1:15">
      <c r="A908">
        <v>79</v>
      </c>
      <c r="B908" s="1">
        <v>45722</v>
      </c>
      <c r="C908">
        <v>36</v>
      </c>
      <c r="D908" t="s">
        <v>14</v>
      </c>
      <c r="E908" t="s">
        <v>22</v>
      </c>
      <c r="F908" t="s">
        <v>18</v>
      </c>
      <c r="G908" t="s">
        <v>30</v>
      </c>
      <c r="H908">
        <v>790.6</v>
      </c>
      <c r="I908" s="13">
        <v>6</v>
      </c>
      <c r="J908">
        <v>0</v>
      </c>
      <c r="K908">
        <v>0</v>
      </c>
      <c r="L908">
        <v>0</v>
      </c>
      <c r="M908">
        <v>0</v>
      </c>
      <c r="O908">
        <f t="shared" si="14"/>
        <v>3</v>
      </c>
    </row>
    <row r="909" spans="1:15">
      <c r="A909">
        <v>995</v>
      </c>
      <c r="B909" s="1">
        <v>45722</v>
      </c>
      <c r="C909">
        <v>25</v>
      </c>
      <c r="D909" t="s">
        <v>14</v>
      </c>
      <c r="E909" t="s">
        <v>15</v>
      </c>
      <c r="F909" t="s">
        <v>18</v>
      </c>
      <c r="G909" t="s">
        <v>31</v>
      </c>
      <c r="H909">
        <v>746.1</v>
      </c>
      <c r="I909" s="13">
        <v>10</v>
      </c>
      <c r="J909">
        <v>0</v>
      </c>
      <c r="K909">
        <v>0</v>
      </c>
      <c r="L909">
        <v>0</v>
      </c>
      <c r="M909">
        <v>0</v>
      </c>
      <c r="O909">
        <f t="shared" si="14"/>
        <v>3</v>
      </c>
    </row>
    <row r="910" spans="1:15">
      <c r="A910">
        <v>2617</v>
      </c>
      <c r="B910" s="1">
        <v>45722</v>
      </c>
      <c r="C910">
        <v>40</v>
      </c>
      <c r="D910" t="s">
        <v>14</v>
      </c>
      <c r="E910" t="s">
        <v>20</v>
      </c>
      <c r="F910" t="s">
        <v>16</v>
      </c>
      <c r="H910">
        <v>636.4</v>
      </c>
      <c r="I910" s="13">
        <v>6</v>
      </c>
      <c r="J910">
        <v>0</v>
      </c>
      <c r="K910">
        <v>0</v>
      </c>
      <c r="L910">
        <v>0</v>
      </c>
      <c r="M910">
        <v>0</v>
      </c>
      <c r="O910">
        <f t="shared" si="14"/>
        <v>3</v>
      </c>
    </row>
    <row r="911" spans="1:15">
      <c r="A911">
        <v>4030</v>
      </c>
      <c r="B911" s="1">
        <v>45722</v>
      </c>
      <c r="C911">
        <v>56</v>
      </c>
      <c r="D911" t="s">
        <v>17</v>
      </c>
      <c r="E911" t="s">
        <v>15</v>
      </c>
      <c r="F911" t="s">
        <v>23</v>
      </c>
      <c r="H911">
        <v>459.4</v>
      </c>
      <c r="I911" s="13">
        <v>8</v>
      </c>
      <c r="J911">
        <v>0</v>
      </c>
      <c r="K911">
        <v>0</v>
      </c>
      <c r="L911">
        <v>0</v>
      </c>
      <c r="M911">
        <v>0</v>
      </c>
      <c r="O911">
        <f t="shared" si="14"/>
        <v>3</v>
      </c>
    </row>
    <row r="912" spans="1:15">
      <c r="A912">
        <v>2646</v>
      </c>
      <c r="B912" s="1">
        <v>45722</v>
      </c>
      <c r="C912">
        <v>33</v>
      </c>
      <c r="D912" t="s">
        <v>17</v>
      </c>
      <c r="E912" t="s">
        <v>20</v>
      </c>
      <c r="F912" t="s">
        <v>16</v>
      </c>
      <c r="H912">
        <v>455</v>
      </c>
      <c r="I912" s="13">
        <v>3</v>
      </c>
      <c r="J912">
        <v>0</v>
      </c>
      <c r="K912">
        <v>0</v>
      </c>
      <c r="L912">
        <v>0</v>
      </c>
      <c r="M912">
        <v>0</v>
      </c>
      <c r="O912">
        <f t="shared" si="14"/>
        <v>3</v>
      </c>
    </row>
    <row r="913" spans="1:15">
      <c r="A913">
        <v>4154</v>
      </c>
      <c r="B913" s="1">
        <v>45722</v>
      </c>
      <c r="C913">
        <v>76</v>
      </c>
      <c r="D913" t="s">
        <v>14</v>
      </c>
      <c r="E913" t="s">
        <v>24</v>
      </c>
      <c r="F913" t="s">
        <v>23</v>
      </c>
      <c r="H913">
        <v>410.1</v>
      </c>
      <c r="I913" s="13">
        <v>9</v>
      </c>
      <c r="J913">
        <v>0</v>
      </c>
      <c r="K913">
        <v>0</v>
      </c>
      <c r="L913">
        <v>0</v>
      </c>
      <c r="M913">
        <v>0</v>
      </c>
      <c r="O913">
        <f t="shared" si="14"/>
        <v>3</v>
      </c>
    </row>
    <row r="914" spans="1:15">
      <c r="A914">
        <v>331</v>
      </c>
      <c r="B914" s="1">
        <v>45722</v>
      </c>
      <c r="C914">
        <v>18</v>
      </c>
      <c r="D914" t="s">
        <v>14</v>
      </c>
      <c r="E914" t="s">
        <v>15</v>
      </c>
      <c r="F914" t="s">
        <v>18</v>
      </c>
      <c r="G914" t="s">
        <v>30</v>
      </c>
      <c r="H914">
        <v>378.3</v>
      </c>
      <c r="I914" s="13">
        <v>3</v>
      </c>
      <c r="J914">
        <v>0</v>
      </c>
      <c r="K914">
        <v>0</v>
      </c>
      <c r="L914">
        <v>0</v>
      </c>
      <c r="M914">
        <v>0</v>
      </c>
      <c r="O914">
        <f t="shared" si="14"/>
        <v>3</v>
      </c>
    </row>
    <row r="915" spans="1:15">
      <c r="A915">
        <v>4233</v>
      </c>
      <c r="B915" s="1">
        <v>45722</v>
      </c>
      <c r="C915">
        <v>45</v>
      </c>
      <c r="D915" t="s">
        <v>14</v>
      </c>
      <c r="E915" t="s">
        <v>15</v>
      </c>
      <c r="F915" t="s">
        <v>16</v>
      </c>
      <c r="H915">
        <v>361.6</v>
      </c>
      <c r="I915" s="13">
        <v>5</v>
      </c>
      <c r="J915">
        <v>0</v>
      </c>
      <c r="K915">
        <v>0</v>
      </c>
      <c r="L915">
        <v>0</v>
      </c>
      <c r="M915">
        <v>0</v>
      </c>
      <c r="O915">
        <f t="shared" si="14"/>
        <v>3</v>
      </c>
    </row>
    <row r="916" spans="1:15">
      <c r="A916">
        <v>4867</v>
      </c>
      <c r="B916" s="1">
        <v>45722</v>
      </c>
      <c r="C916">
        <v>55</v>
      </c>
      <c r="D916" t="s">
        <v>17</v>
      </c>
      <c r="E916" t="s">
        <v>15</v>
      </c>
      <c r="F916" t="s">
        <v>23</v>
      </c>
      <c r="H916">
        <v>278.39999999999998</v>
      </c>
      <c r="I916" s="13">
        <v>9</v>
      </c>
      <c r="J916">
        <v>0</v>
      </c>
      <c r="K916">
        <v>0</v>
      </c>
      <c r="L916">
        <v>0</v>
      </c>
      <c r="M916">
        <v>0</v>
      </c>
      <c r="O916">
        <f t="shared" si="14"/>
        <v>3</v>
      </c>
    </row>
    <row r="917" spans="1:15">
      <c r="A917">
        <v>546</v>
      </c>
      <c r="B917" s="1">
        <v>45722</v>
      </c>
      <c r="C917">
        <v>22</v>
      </c>
      <c r="D917" t="s">
        <v>14</v>
      </c>
      <c r="E917" t="s">
        <v>15</v>
      </c>
      <c r="F917" t="s">
        <v>16</v>
      </c>
      <c r="H917">
        <v>277.60000000000002</v>
      </c>
      <c r="I917" s="13">
        <v>10</v>
      </c>
      <c r="J917">
        <v>0</v>
      </c>
      <c r="K917">
        <v>0</v>
      </c>
      <c r="L917">
        <v>0</v>
      </c>
      <c r="M917">
        <v>0</v>
      </c>
      <c r="O917">
        <f t="shared" si="14"/>
        <v>3</v>
      </c>
    </row>
    <row r="918" spans="1:15">
      <c r="A918">
        <v>2579</v>
      </c>
      <c r="B918" s="1">
        <v>45722</v>
      </c>
      <c r="C918">
        <v>32</v>
      </c>
      <c r="D918" t="s">
        <v>14</v>
      </c>
      <c r="E918" t="s">
        <v>15</v>
      </c>
      <c r="F918" t="s">
        <v>18</v>
      </c>
      <c r="G918" t="s">
        <v>19</v>
      </c>
      <c r="H918">
        <v>259.89999999999998</v>
      </c>
      <c r="I918" s="13">
        <v>10</v>
      </c>
      <c r="J918">
        <v>0</v>
      </c>
      <c r="K918">
        <v>0</v>
      </c>
      <c r="L918">
        <v>0</v>
      </c>
      <c r="M918">
        <v>0</v>
      </c>
      <c r="O918">
        <f t="shared" si="14"/>
        <v>3</v>
      </c>
    </row>
    <row r="919" spans="1:15">
      <c r="A919">
        <v>1379</v>
      </c>
      <c r="B919" s="1">
        <v>45722</v>
      </c>
      <c r="C919">
        <v>26</v>
      </c>
      <c r="D919" t="s">
        <v>17</v>
      </c>
      <c r="E919" t="s">
        <v>22</v>
      </c>
      <c r="F919" t="s">
        <v>16</v>
      </c>
      <c r="H919">
        <v>224.6</v>
      </c>
      <c r="I919" s="13">
        <v>6</v>
      </c>
      <c r="J919">
        <v>0</v>
      </c>
      <c r="K919">
        <v>0</v>
      </c>
      <c r="L919">
        <v>0</v>
      </c>
      <c r="M919">
        <v>0</v>
      </c>
      <c r="O919">
        <f t="shared" si="14"/>
        <v>3</v>
      </c>
    </row>
    <row r="920" spans="1:15">
      <c r="A920">
        <v>269</v>
      </c>
      <c r="B920" s="1">
        <v>45722</v>
      </c>
      <c r="C920">
        <v>24</v>
      </c>
      <c r="D920" t="s">
        <v>14</v>
      </c>
      <c r="E920" t="s">
        <v>15</v>
      </c>
      <c r="F920" t="s">
        <v>18</v>
      </c>
      <c r="G920" t="s">
        <v>26</v>
      </c>
      <c r="H920">
        <v>207.4</v>
      </c>
      <c r="I920" s="13">
        <v>12</v>
      </c>
      <c r="J920">
        <v>0</v>
      </c>
      <c r="K920">
        <v>0</v>
      </c>
      <c r="L920">
        <v>0</v>
      </c>
      <c r="M920">
        <v>0</v>
      </c>
      <c r="O920">
        <f t="shared" si="14"/>
        <v>3</v>
      </c>
    </row>
    <row r="921" spans="1:15">
      <c r="A921">
        <v>2148</v>
      </c>
      <c r="B921" s="1">
        <v>45722</v>
      </c>
      <c r="C921">
        <v>35</v>
      </c>
      <c r="D921" t="s">
        <v>14</v>
      </c>
      <c r="E921" t="s">
        <v>20</v>
      </c>
      <c r="F921" t="s">
        <v>16</v>
      </c>
      <c r="H921">
        <v>178.6</v>
      </c>
      <c r="I921" s="13">
        <v>6</v>
      </c>
      <c r="J921">
        <v>0</v>
      </c>
      <c r="K921">
        <v>0</v>
      </c>
      <c r="L921">
        <v>0</v>
      </c>
      <c r="M921">
        <v>0</v>
      </c>
      <c r="O921">
        <f t="shared" si="14"/>
        <v>3</v>
      </c>
    </row>
    <row r="922" spans="1:15">
      <c r="A922">
        <v>2846</v>
      </c>
      <c r="B922" s="1">
        <v>45722</v>
      </c>
      <c r="C922">
        <v>26</v>
      </c>
      <c r="D922" t="s">
        <v>17</v>
      </c>
      <c r="E922" t="s">
        <v>15</v>
      </c>
      <c r="F922" t="s">
        <v>23</v>
      </c>
      <c r="H922">
        <v>158.30000000000001</v>
      </c>
      <c r="I922" s="13">
        <v>7</v>
      </c>
      <c r="J922">
        <v>0</v>
      </c>
      <c r="K922">
        <v>0</v>
      </c>
      <c r="L922">
        <v>0</v>
      </c>
      <c r="M922">
        <v>0</v>
      </c>
      <c r="O922">
        <f t="shared" si="14"/>
        <v>3</v>
      </c>
    </row>
    <row r="923" spans="1:15">
      <c r="A923">
        <v>4478</v>
      </c>
      <c r="B923" s="1">
        <v>45722</v>
      </c>
      <c r="C923">
        <v>45</v>
      </c>
      <c r="D923" t="s">
        <v>14</v>
      </c>
      <c r="E923" t="s">
        <v>22</v>
      </c>
      <c r="F923" t="s">
        <v>23</v>
      </c>
      <c r="H923">
        <v>129.1</v>
      </c>
      <c r="I923" s="13">
        <v>10</v>
      </c>
      <c r="J923">
        <v>0</v>
      </c>
      <c r="K923">
        <v>0</v>
      </c>
      <c r="L923">
        <v>0</v>
      </c>
      <c r="M923">
        <v>0</v>
      </c>
      <c r="O923">
        <f t="shared" si="14"/>
        <v>3</v>
      </c>
    </row>
    <row r="924" spans="1:15">
      <c r="A924">
        <v>4692</v>
      </c>
      <c r="B924" s="1">
        <v>45722</v>
      </c>
      <c r="C924">
        <v>61</v>
      </c>
      <c r="D924" t="s">
        <v>27</v>
      </c>
      <c r="E924" t="s">
        <v>20</v>
      </c>
      <c r="F924" t="s">
        <v>18</v>
      </c>
      <c r="G924" t="s">
        <v>26</v>
      </c>
      <c r="H924">
        <v>118.2</v>
      </c>
      <c r="I924" s="13">
        <v>9</v>
      </c>
      <c r="J924">
        <v>0</v>
      </c>
      <c r="K924">
        <v>0</v>
      </c>
      <c r="L924">
        <v>0</v>
      </c>
      <c r="M924">
        <v>0</v>
      </c>
      <c r="O924">
        <f t="shared" si="14"/>
        <v>3</v>
      </c>
    </row>
    <row r="925" spans="1:15">
      <c r="A925">
        <v>2850</v>
      </c>
      <c r="B925" s="1">
        <v>45722</v>
      </c>
      <c r="C925">
        <v>31</v>
      </c>
      <c r="D925" t="s">
        <v>14</v>
      </c>
      <c r="E925" t="s">
        <v>24</v>
      </c>
      <c r="F925" t="s">
        <v>18</v>
      </c>
      <c r="G925" t="s">
        <v>30</v>
      </c>
      <c r="H925">
        <v>107.9</v>
      </c>
      <c r="I925" s="13">
        <v>7</v>
      </c>
      <c r="J925">
        <v>0</v>
      </c>
      <c r="K925">
        <v>0</v>
      </c>
      <c r="L925">
        <v>0</v>
      </c>
      <c r="M925">
        <v>0</v>
      </c>
      <c r="O925">
        <f t="shared" si="14"/>
        <v>3</v>
      </c>
    </row>
    <row r="926" spans="1:15">
      <c r="A926">
        <v>3187</v>
      </c>
      <c r="B926" s="1">
        <v>45722</v>
      </c>
      <c r="C926">
        <v>37</v>
      </c>
      <c r="D926" t="s">
        <v>17</v>
      </c>
      <c r="E926" t="s">
        <v>24</v>
      </c>
      <c r="F926" t="s">
        <v>23</v>
      </c>
      <c r="H926">
        <v>104.3</v>
      </c>
      <c r="I926" s="13">
        <v>15</v>
      </c>
      <c r="J926">
        <v>0</v>
      </c>
      <c r="K926">
        <v>0</v>
      </c>
      <c r="L926">
        <v>0</v>
      </c>
      <c r="M926">
        <v>0</v>
      </c>
      <c r="O926">
        <f t="shared" si="14"/>
        <v>3</v>
      </c>
    </row>
    <row r="927" spans="1:15">
      <c r="A927">
        <v>2524</v>
      </c>
      <c r="B927" s="1">
        <v>45722</v>
      </c>
      <c r="C927">
        <v>41</v>
      </c>
      <c r="D927" t="s">
        <v>14</v>
      </c>
      <c r="E927" t="s">
        <v>24</v>
      </c>
      <c r="F927" t="s">
        <v>16</v>
      </c>
      <c r="H927">
        <v>63.3</v>
      </c>
      <c r="I927" s="13">
        <v>6</v>
      </c>
      <c r="J927">
        <v>0</v>
      </c>
      <c r="K927">
        <v>0</v>
      </c>
      <c r="L927">
        <v>0</v>
      </c>
      <c r="M927">
        <v>0</v>
      </c>
      <c r="O927">
        <f t="shared" si="14"/>
        <v>3</v>
      </c>
    </row>
    <row r="928" spans="1:15">
      <c r="A928">
        <v>2767</v>
      </c>
      <c r="B928" s="1">
        <v>45753</v>
      </c>
      <c r="C928">
        <v>47</v>
      </c>
      <c r="D928" t="s">
        <v>14</v>
      </c>
      <c r="E928" t="s">
        <v>22</v>
      </c>
      <c r="F928" t="s">
        <v>16</v>
      </c>
      <c r="H928">
        <v>406</v>
      </c>
      <c r="I928" s="13">
        <v>2</v>
      </c>
      <c r="J928">
        <v>1</v>
      </c>
      <c r="K928">
        <v>103.04</v>
      </c>
      <c r="L928">
        <v>4</v>
      </c>
      <c r="M928">
        <v>12</v>
      </c>
      <c r="N928">
        <v>5</v>
      </c>
      <c r="O928">
        <f t="shared" si="14"/>
        <v>4</v>
      </c>
    </row>
    <row r="929" spans="1:15">
      <c r="A929">
        <v>1613</v>
      </c>
      <c r="B929" s="1">
        <v>45753</v>
      </c>
      <c r="C929">
        <v>25</v>
      </c>
      <c r="D929" t="s">
        <v>17</v>
      </c>
      <c r="E929" t="s">
        <v>24</v>
      </c>
      <c r="F929" t="s">
        <v>18</v>
      </c>
      <c r="G929" t="s">
        <v>25</v>
      </c>
      <c r="H929">
        <v>161.5</v>
      </c>
      <c r="I929" s="13">
        <v>6</v>
      </c>
      <c r="J929">
        <v>1</v>
      </c>
      <c r="K929">
        <v>81.349999999999994</v>
      </c>
      <c r="L929">
        <v>2</v>
      </c>
      <c r="M929">
        <v>3</v>
      </c>
      <c r="N929">
        <v>4</v>
      </c>
      <c r="O929">
        <f t="shared" si="14"/>
        <v>4</v>
      </c>
    </row>
    <row r="930" spans="1:15">
      <c r="A930">
        <v>3841</v>
      </c>
      <c r="B930" s="1">
        <v>45753</v>
      </c>
      <c r="C930">
        <v>51</v>
      </c>
      <c r="D930" t="s">
        <v>14</v>
      </c>
      <c r="E930" t="s">
        <v>22</v>
      </c>
      <c r="F930" t="s">
        <v>16</v>
      </c>
      <c r="H930">
        <v>549.20000000000005</v>
      </c>
      <c r="I930" s="13">
        <v>5</v>
      </c>
      <c r="J930">
        <v>1</v>
      </c>
      <c r="K930">
        <v>58.14</v>
      </c>
      <c r="L930">
        <v>5</v>
      </c>
      <c r="M930">
        <v>11</v>
      </c>
      <c r="N930">
        <v>4</v>
      </c>
      <c r="O930">
        <f t="shared" si="14"/>
        <v>4</v>
      </c>
    </row>
    <row r="931" spans="1:15">
      <c r="A931">
        <v>189</v>
      </c>
      <c r="B931" s="1">
        <v>45753</v>
      </c>
      <c r="C931">
        <v>24</v>
      </c>
      <c r="D931" t="s">
        <v>14</v>
      </c>
      <c r="E931" t="s">
        <v>24</v>
      </c>
      <c r="F931" t="s">
        <v>16</v>
      </c>
      <c r="H931">
        <v>243.1</v>
      </c>
      <c r="I931" s="13">
        <v>2</v>
      </c>
      <c r="J931">
        <v>1</v>
      </c>
      <c r="K931">
        <v>34.700000000000003</v>
      </c>
      <c r="L931">
        <v>5</v>
      </c>
      <c r="M931">
        <v>9</v>
      </c>
      <c r="N931">
        <v>4</v>
      </c>
      <c r="O931">
        <f t="shared" si="14"/>
        <v>4</v>
      </c>
    </row>
    <row r="932" spans="1:15">
      <c r="A932">
        <v>302</v>
      </c>
      <c r="B932" s="1">
        <v>45753</v>
      </c>
      <c r="C932">
        <v>28</v>
      </c>
      <c r="D932" t="s">
        <v>14</v>
      </c>
      <c r="E932" t="s">
        <v>24</v>
      </c>
      <c r="F932" t="s">
        <v>18</v>
      </c>
      <c r="G932" t="s">
        <v>26</v>
      </c>
      <c r="H932">
        <v>844.7</v>
      </c>
      <c r="I932" s="13">
        <v>7</v>
      </c>
      <c r="J932">
        <v>1</v>
      </c>
      <c r="K932">
        <v>29.47</v>
      </c>
      <c r="L932">
        <v>1</v>
      </c>
      <c r="M932">
        <v>8</v>
      </c>
      <c r="N932">
        <v>5</v>
      </c>
      <c r="O932">
        <f t="shared" si="14"/>
        <v>4</v>
      </c>
    </row>
    <row r="933" spans="1:15">
      <c r="A933">
        <v>701</v>
      </c>
      <c r="B933" s="1">
        <v>45753</v>
      </c>
      <c r="C933">
        <v>24</v>
      </c>
      <c r="D933" t="s">
        <v>17</v>
      </c>
      <c r="E933" t="s">
        <v>15</v>
      </c>
      <c r="F933" t="s">
        <v>18</v>
      </c>
      <c r="G933" t="s">
        <v>28</v>
      </c>
      <c r="H933">
        <v>373.8</v>
      </c>
      <c r="I933" s="13">
        <v>5</v>
      </c>
      <c r="J933">
        <v>1</v>
      </c>
      <c r="K933">
        <v>13.83</v>
      </c>
      <c r="L933">
        <v>5</v>
      </c>
      <c r="M933">
        <v>3</v>
      </c>
      <c r="N933">
        <v>4</v>
      </c>
      <c r="O933">
        <f t="shared" si="14"/>
        <v>4</v>
      </c>
    </row>
    <row r="934" spans="1:15">
      <c r="A934">
        <v>1052</v>
      </c>
      <c r="B934" s="1">
        <v>45753</v>
      </c>
      <c r="C934">
        <v>28</v>
      </c>
      <c r="D934" t="s">
        <v>14</v>
      </c>
      <c r="E934" t="s">
        <v>22</v>
      </c>
      <c r="F934" t="s">
        <v>23</v>
      </c>
      <c r="H934">
        <v>854.2</v>
      </c>
      <c r="I934" s="13">
        <v>7</v>
      </c>
      <c r="J934">
        <v>0</v>
      </c>
      <c r="K934">
        <v>0</v>
      </c>
      <c r="L934">
        <v>0</v>
      </c>
      <c r="M934">
        <v>0</v>
      </c>
      <c r="O934">
        <f t="shared" si="14"/>
        <v>4</v>
      </c>
    </row>
    <row r="935" spans="1:15">
      <c r="A935">
        <v>3797</v>
      </c>
      <c r="B935" s="1">
        <v>45753</v>
      </c>
      <c r="C935">
        <v>52</v>
      </c>
      <c r="D935" t="s">
        <v>14</v>
      </c>
      <c r="E935" t="s">
        <v>20</v>
      </c>
      <c r="F935" t="s">
        <v>18</v>
      </c>
      <c r="G935" t="s">
        <v>28</v>
      </c>
      <c r="H935">
        <v>540.9</v>
      </c>
      <c r="I935" s="13">
        <v>9</v>
      </c>
      <c r="J935">
        <v>0</v>
      </c>
      <c r="K935">
        <v>0</v>
      </c>
      <c r="L935">
        <v>0</v>
      </c>
      <c r="M935">
        <v>0</v>
      </c>
      <c r="O935">
        <f t="shared" si="14"/>
        <v>4</v>
      </c>
    </row>
    <row r="936" spans="1:15">
      <c r="A936">
        <v>1415</v>
      </c>
      <c r="B936" s="1">
        <v>45753</v>
      </c>
      <c r="C936">
        <v>18</v>
      </c>
      <c r="D936" t="s">
        <v>14</v>
      </c>
      <c r="E936" t="s">
        <v>22</v>
      </c>
      <c r="F936" t="s">
        <v>18</v>
      </c>
      <c r="G936" t="s">
        <v>29</v>
      </c>
      <c r="H936">
        <v>440</v>
      </c>
      <c r="I936" s="13">
        <v>5</v>
      </c>
      <c r="J936">
        <v>0</v>
      </c>
      <c r="K936">
        <v>0</v>
      </c>
      <c r="L936">
        <v>0</v>
      </c>
      <c r="M936">
        <v>0</v>
      </c>
      <c r="O936">
        <f t="shared" si="14"/>
        <v>4</v>
      </c>
    </row>
    <row r="937" spans="1:15">
      <c r="A937">
        <v>1826</v>
      </c>
      <c r="B937" s="1">
        <v>45753</v>
      </c>
      <c r="C937">
        <v>34</v>
      </c>
      <c r="D937" t="s">
        <v>17</v>
      </c>
      <c r="E937" t="s">
        <v>15</v>
      </c>
      <c r="F937" t="s">
        <v>16</v>
      </c>
      <c r="H937">
        <v>359.1</v>
      </c>
      <c r="I937" s="13">
        <v>8</v>
      </c>
      <c r="J937">
        <v>0</v>
      </c>
      <c r="K937">
        <v>0</v>
      </c>
      <c r="L937">
        <v>0</v>
      </c>
      <c r="M937">
        <v>0</v>
      </c>
      <c r="O937">
        <f t="shared" si="14"/>
        <v>4</v>
      </c>
    </row>
    <row r="938" spans="1:15">
      <c r="A938">
        <v>4174</v>
      </c>
      <c r="B938" s="1">
        <v>45753</v>
      </c>
      <c r="C938">
        <v>48</v>
      </c>
      <c r="D938" t="s">
        <v>17</v>
      </c>
      <c r="E938" t="s">
        <v>24</v>
      </c>
      <c r="F938" t="s">
        <v>18</v>
      </c>
      <c r="G938" t="s">
        <v>28</v>
      </c>
      <c r="H938">
        <v>338.1</v>
      </c>
      <c r="I938" s="13">
        <v>4</v>
      </c>
      <c r="J938">
        <v>0</v>
      </c>
      <c r="K938">
        <v>0</v>
      </c>
      <c r="L938">
        <v>0</v>
      </c>
      <c r="M938">
        <v>0</v>
      </c>
      <c r="O938">
        <f t="shared" si="14"/>
        <v>4</v>
      </c>
    </row>
    <row r="939" spans="1:15">
      <c r="A939">
        <v>3251</v>
      </c>
      <c r="B939" s="1">
        <v>45753</v>
      </c>
      <c r="C939">
        <v>34</v>
      </c>
      <c r="D939" t="s">
        <v>17</v>
      </c>
      <c r="E939" t="s">
        <v>24</v>
      </c>
      <c r="F939" t="s">
        <v>16</v>
      </c>
      <c r="H939">
        <v>303</v>
      </c>
      <c r="I939" s="13">
        <v>2</v>
      </c>
      <c r="J939">
        <v>0</v>
      </c>
      <c r="K939">
        <v>0</v>
      </c>
      <c r="L939">
        <v>0</v>
      </c>
      <c r="M939">
        <v>0</v>
      </c>
      <c r="O939">
        <f t="shared" si="14"/>
        <v>4</v>
      </c>
    </row>
    <row r="940" spans="1:15">
      <c r="A940">
        <v>637</v>
      </c>
      <c r="B940" s="1">
        <v>45753</v>
      </c>
      <c r="C940">
        <v>22</v>
      </c>
      <c r="D940" t="s">
        <v>17</v>
      </c>
      <c r="E940" t="s">
        <v>24</v>
      </c>
      <c r="F940" t="s">
        <v>18</v>
      </c>
      <c r="G940" t="s">
        <v>31</v>
      </c>
      <c r="H940">
        <v>264.89999999999998</v>
      </c>
      <c r="I940" s="13">
        <v>7</v>
      </c>
      <c r="J940">
        <v>0</v>
      </c>
      <c r="K940">
        <v>0</v>
      </c>
      <c r="L940">
        <v>0</v>
      </c>
      <c r="M940">
        <v>0</v>
      </c>
      <c r="O940">
        <f t="shared" si="14"/>
        <v>4</v>
      </c>
    </row>
    <row r="941" spans="1:15">
      <c r="A941">
        <v>2015</v>
      </c>
      <c r="B941" s="1">
        <v>45753</v>
      </c>
      <c r="C941">
        <v>34</v>
      </c>
      <c r="D941" t="s">
        <v>17</v>
      </c>
      <c r="E941" t="s">
        <v>22</v>
      </c>
      <c r="F941" t="s">
        <v>16</v>
      </c>
      <c r="H941">
        <v>260</v>
      </c>
      <c r="I941" s="13">
        <v>1</v>
      </c>
      <c r="J941">
        <v>0</v>
      </c>
      <c r="K941">
        <v>0</v>
      </c>
      <c r="L941">
        <v>0</v>
      </c>
      <c r="M941">
        <v>0</v>
      </c>
      <c r="O941">
        <f t="shared" si="14"/>
        <v>4</v>
      </c>
    </row>
    <row r="942" spans="1:15">
      <c r="A942">
        <v>2691</v>
      </c>
      <c r="B942" s="1">
        <v>45753</v>
      </c>
      <c r="C942">
        <v>32</v>
      </c>
      <c r="D942" t="s">
        <v>14</v>
      </c>
      <c r="E942" t="s">
        <v>15</v>
      </c>
      <c r="F942" t="s">
        <v>16</v>
      </c>
      <c r="H942">
        <v>221.8</v>
      </c>
      <c r="I942" s="13">
        <v>3</v>
      </c>
      <c r="J942">
        <v>0</v>
      </c>
      <c r="K942">
        <v>0</v>
      </c>
      <c r="L942">
        <v>0</v>
      </c>
      <c r="M942">
        <v>0</v>
      </c>
      <c r="O942">
        <f t="shared" si="14"/>
        <v>4</v>
      </c>
    </row>
    <row r="943" spans="1:15">
      <c r="A943">
        <v>3999</v>
      </c>
      <c r="B943" s="1">
        <v>45753</v>
      </c>
      <c r="C943">
        <v>30</v>
      </c>
      <c r="D943" t="s">
        <v>17</v>
      </c>
      <c r="E943" t="s">
        <v>22</v>
      </c>
      <c r="F943" t="s">
        <v>16</v>
      </c>
      <c r="H943">
        <v>153.4</v>
      </c>
      <c r="I943" s="13">
        <v>7</v>
      </c>
      <c r="J943">
        <v>0</v>
      </c>
      <c r="K943">
        <v>0</v>
      </c>
      <c r="L943">
        <v>0</v>
      </c>
      <c r="M943">
        <v>0</v>
      </c>
      <c r="O943">
        <f t="shared" si="14"/>
        <v>4</v>
      </c>
    </row>
    <row r="944" spans="1:15">
      <c r="A944">
        <v>634</v>
      </c>
      <c r="B944" s="1">
        <v>45753</v>
      </c>
      <c r="C944">
        <v>24</v>
      </c>
      <c r="D944" t="s">
        <v>17</v>
      </c>
      <c r="E944" t="s">
        <v>15</v>
      </c>
      <c r="F944" t="s">
        <v>16</v>
      </c>
      <c r="H944">
        <v>130.19999999999999</v>
      </c>
      <c r="I944" s="13">
        <v>5</v>
      </c>
      <c r="J944">
        <v>0</v>
      </c>
      <c r="K944">
        <v>0</v>
      </c>
      <c r="L944">
        <v>0</v>
      </c>
      <c r="M944">
        <v>0</v>
      </c>
      <c r="O944">
        <f t="shared" si="14"/>
        <v>4</v>
      </c>
    </row>
    <row r="945" spans="1:15">
      <c r="A945">
        <v>3892</v>
      </c>
      <c r="B945" s="1">
        <v>45753</v>
      </c>
      <c r="C945">
        <v>47</v>
      </c>
      <c r="D945" t="s">
        <v>14</v>
      </c>
      <c r="E945" t="s">
        <v>15</v>
      </c>
      <c r="F945" t="s">
        <v>18</v>
      </c>
      <c r="G945" t="s">
        <v>29</v>
      </c>
      <c r="H945">
        <v>107.3</v>
      </c>
      <c r="I945" s="13">
        <v>5</v>
      </c>
      <c r="J945">
        <v>0</v>
      </c>
      <c r="K945">
        <v>0</v>
      </c>
      <c r="L945">
        <v>0</v>
      </c>
      <c r="M945">
        <v>0</v>
      </c>
      <c r="O945">
        <f t="shared" si="14"/>
        <v>4</v>
      </c>
    </row>
    <row r="946" spans="1:15">
      <c r="A946">
        <v>2102</v>
      </c>
      <c r="B946" s="1">
        <v>45753</v>
      </c>
      <c r="C946">
        <v>32</v>
      </c>
      <c r="D946" t="s">
        <v>17</v>
      </c>
      <c r="E946" t="s">
        <v>22</v>
      </c>
      <c r="F946" t="s">
        <v>23</v>
      </c>
      <c r="H946">
        <v>48.5</v>
      </c>
      <c r="I946" s="13">
        <v>4</v>
      </c>
      <c r="J946">
        <v>0</v>
      </c>
      <c r="K946">
        <v>0</v>
      </c>
      <c r="L946">
        <v>0</v>
      </c>
      <c r="M946">
        <v>0</v>
      </c>
      <c r="O946">
        <f t="shared" si="14"/>
        <v>4</v>
      </c>
    </row>
    <row r="947" spans="1:15">
      <c r="A947">
        <v>3763</v>
      </c>
      <c r="B947" s="1">
        <v>45753</v>
      </c>
      <c r="C947">
        <v>42</v>
      </c>
      <c r="D947" t="s">
        <v>14</v>
      </c>
      <c r="E947" t="s">
        <v>20</v>
      </c>
      <c r="F947" t="s">
        <v>18</v>
      </c>
      <c r="G947" t="s">
        <v>30</v>
      </c>
      <c r="H947">
        <v>35</v>
      </c>
      <c r="I947" s="13">
        <v>3</v>
      </c>
      <c r="J947">
        <v>0</v>
      </c>
      <c r="K947">
        <v>0</v>
      </c>
      <c r="L947">
        <v>0</v>
      </c>
      <c r="M947">
        <v>0</v>
      </c>
      <c r="O947">
        <f t="shared" si="14"/>
        <v>4</v>
      </c>
    </row>
    <row r="948" spans="1:15">
      <c r="A948">
        <v>4123</v>
      </c>
      <c r="B948" s="1">
        <v>45783</v>
      </c>
      <c r="C948">
        <v>41</v>
      </c>
      <c r="D948" t="s">
        <v>14</v>
      </c>
      <c r="E948" t="s">
        <v>20</v>
      </c>
      <c r="F948" t="s">
        <v>21</v>
      </c>
      <c r="H948">
        <v>624.70000000000005</v>
      </c>
      <c r="I948" s="13">
        <v>5</v>
      </c>
      <c r="J948">
        <v>1</v>
      </c>
      <c r="K948">
        <v>265</v>
      </c>
      <c r="L948">
        <v>1</v>
      </c>
      <c r="M948">
        <v>1</v>
      </c>
      <c r="N948">
        <v>4</v>
      </c>
      <c r="O948">
        <f t="shared" si="14"/>
        <v>5</v>
      </c>
    </row>
    <row r="949" spans="1:15">
      <c r="A949">
        <v>992</v>
      </c>
      <c r="B949" s="1">
        <v>45783</v>
      </c>
      <c r="C949">
        <v>31</v>
      </c>
      <c r="D949" t="s">
        <v>14</v>
      </c>
      <c r="E949" t="s">
        <v>22</v>
      </c>
      <c r="F949" t="s">
        <v>18</v>
      </c>
      <c r="G949" t="s">
        <v>19</v>
      </c>
      <c r="H949">
        <v>401.5</v>
      </c>
      <c r="I949" s="13">
        <v>2</v>
      </c>
      <c r="J949">
        <v>1</v>
      </c>
      <c r="K949">
        <v>184</v>
      </c>
      <c r="L949">
        <v>2</v>
      </c>
      <c r="M949">
        <v>4</v>
      </c>
      <c r="N949">
        <v>5</v>
      </c>
      <c r="O949">
        <f t="shared" si="14"/>
        <v>5</v>
      </c>
    </row>
    <row r="950" spans="1:15">
      <c r="A950">
        <v>2952</v>
      </c>
      <c r="B950" s="1">
        <v>45783</v>
      </c>
      <c r="C950">
        <v>39</v>
      </c>
      <c r="D950" t="s">
        <v>14</v>
      </c>
      <c r="E950" t="s">
        <v>20</v>
      </c>
      <c r="F950" t="s">
        <v>16</v>
      </c>
      <c r="H950">
        <v>471.6</v>
      </c>
      <c r="I950" s="13">
        <v>8</v>
      </c>
      <c r="J950">
        <v>1</v>
      </c>
      <c r="K950">
        <v>111.55</v>
      </c>
      <c r="L950">
        <v>2</v>
      </c>
      <c r="M950">
        <v>8</v>
      </c>
      <c r="N950">
        <v>4</v>
      </c>
      <c r="O950">
        <f t="shared" si="14"/>
        <v>5</v>
      </c>
    </row>
    <row r="951" spans="1:15">
      <c r="A951">
        <v>4878</v>
      </c>
      <c r="B951" s="1">
        <v>45783</v>
      </c>
      <c r="C951">
        <v>53</v>
      </c>
      <c r="D951" t="s">
        <v>17</v>
      </c>
      <c r="E951" t="s">
        <v>20</v>
      </c>
      <c r="F951" t="s">
        <v>16</v>
      </c>
      <c r="H951">
        <v>931</v>
      </c>
      <c r="I951" s="13">
        <v>8</v>
      </c>
      <c r="J951">
        <v>1</v>
      </c>
      <c r="K951">
        <v>99.52</v>
      </c>
      <c r="L951">
        <v>4</v>
      </c>
      <c r="M951">
        <v>6</v>
      </c>
      <c r="N951">
        <v>5</v>
      </c>
      <c r="O951">
        <f t="shared" si="14"/>
        <v>5</v>
      </c>
    </row>
    <row r="952" spans="1:15">
      <c r="A952">
        <v>799</v>
      </c>
      <c r="B952" s="1">
        <v>45783</v>
      </c>
      <c r="C952">
        <v>28</v>
      </c>
      <c r="D952" t="s">
        <v>14</v>
      </c>
      <c r="E952" t="s">
        <v>20</v>
      </c>
      <c r="F952" t="s">
        <v>23</v>
      </c>
      <c r="H952">
        <v>127.9</v>
      </c>
      <c r="I952" s="13">
        <v>7</v>
      </c>
      <c r="J952">
        <v>1</v>
      </c>
      <c r="K952">
        <v>77.78</v>
      </c>
      <c r="L952">
        <v>3</v>
      </c>
      <c r="M952">
        <v>1</v>
      </c>
      <c r="N952">
        <v>4</v>
      </c>
      <c r="O952">
        <f t="shared" si="14"/>
        <v>5</v>
      </c>
    </row>
    <row r="953" spans="1:15">
      <c r="A953">
        <v>382</v>
      </c>
      <c r="B953" s="1">
        <v>45783</v>
      </c>
      <c r="C953">
        <v>20</v>
      </c>
      <c r="D953" t="s">
        <v>14</v>
      </c>
      <c r="E953" t="s">
        <v>22</v>
      </c>
      <c r="F953" t="s">
        <v>16</v>
      </c>
      <c r="H953">
        <v>778.6</v>
      </c>
      <c r="I953" s="13">
        <v>4</v>
      </c>
      <c r="J953">
        <v>1</v>
      </c>
      <c r="K953">
        <v>60.66</v>
      </c>
      <c r="L953">
        <v>4</v>
      </c>
      <c r="M953">
        <v>9</v>
      </c>
      <c r="N953">
        <v>4</v>
      </c>
      <c r="O953">
        <f t="shared" si="14"/>
        <v>5</v>
      </c>
    </row>
    <row r="954" spans="1:15">
      <c r="A954">
        <v>4492</v>
      </c>
      <c r="B954" s="1">
        <v>45783</v>
      </c>
      <c r="C954">
        <v>57</v>
      </c>
      <c r="D954" t="s">
        <v>17</v>
      </c>
      <c r="E954" t="s">
        <v>15</v>
      </c>
      <c r="F954" t="s">
        <v>16</v>
      </c>
      <c r="H954">
        <v>787</v>
      </c>
      <c r="I954" s="13">
        <v>2</v>
      </c>
      <c r="J954">
        <v>1</v>
      </c>
      <c r="K954">
        <v>54.49</v>
      </c>
      <c r="L954">
        <v>3</v>
      </c>
      <c r="M954">
        <v>15</v>
      </c>
      <c r="N954">
        <v>3</v>
      </c>
      <c r="O954">
        <f t="shared" si="14"/>
        <v>5</v>
      </c>
    </row>
    <row r="955" spans="1:15">
      <c r="A955">
        <v>3474</v>
      </c>
      <c r="B955" s="1">
        <v>45783</v>
      </c>
      <c r="C955">
        <v>21</v>
      </c>
      <c r="D955" t="s">
        <v>17</v>
      </c>
      <c r="E955" t="s">
        <v>24</v>
      </c>
      <c r="F955" t="s">
        <v>16</v>
      </c>
      <c r="H955">
        <v>467.2</v>
      </c>
      <c r="I955" s="13">
        <v>8</v>
      </c>
      <c r="J955">
        <v>1</v>
      </c>
      <c r="K955">
        <v>37.520000000000003</v>
      </c>
      <c r="L955">
        <v>2</v>
      </c>
      <c r="M955">
        <v>2</v>
      </c>
      <c r="N955">
        <v>5</v>
      </c>
      <c r="O955">
        <f t="shared" si="14"/>
        <v>5</v>
      </c>
    </row>
    <row r="956" spans="1:15">
      <c r="A956">
        <v>3357</v>
      </c>
      <c r="B956" s="1">
        <v>45783</v>
      </c>
      <c r="C956">
        <v>29</v>
      </c>
      <c r="D956" t="s">
        <v>14</v>
      </c>
      <c r="E956" t="s">
        <v>20</v>
      </c>
      <c r="F956" t="s">
        <v>23</v>
      </c>
      <c r="H956">
        <v>237.5</v>
      </c>
      <c r="I956" s="13">
        <v>7</v>
      </c>
      <c r="J956">
        <v>1</v>
      </c>
      <c r="K956">
        <v>28.59</v>
      </c>
      <c r="L956">
        <v>2</v>
      </c>
      <c r="M956">
        <v>14</v>
      </c>
      <c r="N956">
        <v>5</v>
      </c>
      <c r="O956">
        <f t="shared" si="14"/>
        <v>5</v>
      </c>
    </row>
    <row r="957" spans="1:15">
      <c r="A957">
        <v>1488</v>
      </c>
      <c r="B957" s="1">
        <v>45783</v>
      </c>
      <c r="C957">
        <v>18</v>
      </c>
      <c r="D957" t="s">
        <v>17</v>
      </c>
      <c r="E957" t="s">
        <v>15</v>
      </c>
      <c r="F957" t="s">
        <v>23</v>
      </c>
      <c r="H957">
        <v>447</v>
      </c>
      <c r="I957" s="13">
        <v>3</v>
      </c>
      <c r="J957">
        <v>1</v>
      </c>
      <c r="K957">
        <v>28.57</v>
      </c>
      <c r="L957">
        <v>4</v>
      </c>
      <c r="M957">
        <v>6</v>
      </c>
      <c r="N957">
        <v>4</v>
      </c>
      <c r="O957">
        <f t="shared" si="14"/>
        <v>5</v>
      </c>
    </row>
    <row r="958" spans="1:15">
      <c r="A958">
        <v>1921</v>
      </c>
      <c r="B958" s="1">
        <v>45783</v>
      </c>
      <c r="C958">
        <v>32</v>
      </c>
      <c r="D958" t="s">
        <v>14</v>
      </c>
      <c r="E958" t="s">
        <v>20</v>
      </c>
      <c r="F958" t="s">
        <v>18</v>
      </c>
      <c r="G958" t="s">
        <v>30</v>
      </c>
      <c r="H958">
        <v>188.5</v>
      </c>
      <c r="I958" s="13">
        <v>8</v>
      </c>
      <c r="J958">
        <v>1</v>
      </c>
      <c r="K958">
        <v>23.59</v>
      </c>
      <c r="L958">
        <v>2</v>
      </c>
      <c r="M958">
        <v>4</v>
      </c>
      <c r="N958">
        <v>5</v>
      </c>
      <c r="O958">
        <f t="shared" si="14"/>
        <v>5</v>
      </c>
    </row>
    <row r="959" spans="1:15">
      <c r="A959">
        <v>3380</v>
      </c>
      <c r="B959" s="1">
        <v>45783</v>
      </c>
      <c r="C959">
        <v>34</v>
      </c>
      <c r="D959" t="s">
        <v>14</v>
      </c>
      <c r="E959" t="s">
        <v>15</v>
      </c>
      <c r="F959" t="s">
        <v>21</v>
      </c>
      <c r="H959">
        <v>467.9</v>
      </c>
      <c r="I959" s="13">
        <v>7</v>
      </c>
      <c r="J959">
        <v>1</v>
      </c>
      <c r="K959">
        <v>22.98</v>
      </c>
      <c r="L959">
        <v>3</v>
      </c>
      <c r="M959">
        <v>4</v>
      </c>
      <c r="N959">
        <v>5</v>
      </c>
      <c r="O959">
        <f t="shared" si="14"/>
        <v>5</v>
      </c>
    </row>
    <row r="960" spans="1:15">
      <c r="A960">
        <v>4670</v>
      </c>
      <c r="B960" s="1">
        <v>45783</v>
      </c>
      <c r="C960">
        <v>56</v>
      </c>
      <c r="D960" t="s">
        <v>14</v>
      </c>
      <c r="E960" t="s">
        <v>20</v>
      </c>
      <c r="F960" t="s">
        <v>16</v>
      </c>
      <c r="H960">
        <v>621.29999999999995</v>
      </c>
      <c r="I960" s="13">
        <v>4</v>
      </c>
      <c r="J960">
        <v>1</v>
      </c>
      <c r="K960">
        <v>21.29</v>
      </c>
      <c r="L960">
        <v>4</v>
      </c>
      <c r="M960">
        <v>10</v>
      </c>
      <c r="N960">
        <v>4</v>
      </c>
      <c r="O960">
        <f t="shared" si="14"/>
        <v>5</v>
      </c>
    </row>
    <row r="961" spans="1:15">
      <c r="A961">
        <v>1680</v>
      </c>
      <c r="B961" s="1">
        <v>45783</v>
      </c>
      <c r="C961">
        <v>18</v>
      </c>
      <c r="D961" t="s">
        <v>14</v>
      </c>
      <c r="E961" t="s">
        <v>15</v>
      </c>
      <c r="F961" t="s">
        <v>16</v>
      </c>
      <c r="H961">
        <v>82</v>
      </c>
      <c r="I961" s="13">
        <v>4</v>
      </c>
      <c r="J961">
        <v>1</v>
      </c>
      <c r="K961">
        <v>14.36</v>
      </c>
      <c r="L961">
        <v>5</v>
      </c>
      <c r="M961">
        <v>15</v>
      </c>
      <c r="N961">
        <v>4</v>
      </c>
      <c r="O961">
        <f t="shared" si="14"/>
        <v>5</v>
      </c>
    </row>
    <row r="962" spans="1:15">
      <c r="A962">
        <v>3244</v>
      </c>
      <c r="B962" s="1">
        <v>45783</v>
      </c>
      <c r="C962">
        <v>40</v>
      </c>
      <c r="D962" t="s">
        <v>14</v>
      </c>
      <c r="E962" t="s">
        <v>24</v>
      </c>
      <c r="F962" t="s">
        <v>16</v>
      </c>
      <c r="H962">
        <v>619.1</v>
      </c>
      <c r="I962" s="13">
        <v>7</v>
      </c>
      <c r="J962">
        <v>0</v>
      </c>
      <c r="K962">
        <v>0</v>
      </c>
      <c r="L962">
        <v>0</v>
      </c>
      <c r="M962">
        <v>0</v>
      </c>
      <c r="O962">
        <f t="shared" si="14"/>
        <v>5</v>
      </c>
    </row>
    <row r="963" spans="1:15">
      <c r="A963">
        <v>2104</v>
      </c>
      <c r="B963" s="1">
        <v>45783</v>
      </c>
      <c r="C963">
        <v>32</v>
      </c>
      <c r="D963" t="s">
        <v>17</v>
      </c>
      <c r="E963" t="s">
        <v>15</v>
      </c>
      <c r="F963" t="s">
        <v>23</v>
      </c>
      <c r="H963">
        <v>610.6</v>
      </c>
      <c r="I963" s="13">
        <v>5</v>
      </c>
      <c r="J963">
        <v>0</v>
      </c>
      <c r="K963">
        <v>0</v>
      </c>
      <c r="L963">
        <v>0</v>
      </c>
      <c r="M963">
        <v>0</v>
      </c>
      <c r="O963">
        <f t="shared" ref="O963:O1026" si="15">MONTH(B963)</f>
        <v>5</v>
      </c>
    </row>
    <row r="964" spans="1:15">
      <c r="A964">
        <v>1109</v>
      </c>
      <c r="B964" s="1">
        <v>45783</v>
      </c>
      <c r="C964">
        <v>29</v>
      </c>
      <c r="D964" t="s">
        <v>27</v>
      </c>
      <c r="E964" t="s">
        <v>24</v>
      </c>
      <c r="F964" t="s">
        <v>18</v>
      </c>
      <c r="G964" t="s">
        <v>19</v>
      </c>
      <c r="H964">
        <v>573.20000000000005</v>
      </c>
      <c r="I964" s="13">
        <v>6</v>
      </c>
      <c r="J964">
        <v>0</v>
      </c>
      <c r="K964">
        <v>0</v>
      </c>
      <c r="L964">
        <v>0</v>
      </c>
      <c r="M964">
        <v>0</v>
      </c>
      <c r="O964">
        <f t="shared" si="15"/>
        <v>5</v>
      </c>
    </row>
    <row r="965" spans="1:15">
      <c r="A965">
        <v>2956</v>
      </c>
      <c r="B965" s="1">
        <v>45783</v>
      </c>
      <c r="C965">
        <v>26</v>
      </c>
      <c r="D965" t="s">
        <v>17</v>
      </c>
      <c r="E965" t="s">
        <v>22</v>
      </c>
      <c r="F965" t="s">
        <v>16</v>
      </c>
      <c r="H965">
        <v>429.1</v>
      </c>
      <c r="I965" s="13">
        <v>5</v>
      </c>
      <c r="J965">
        <v>0</v>
      </c>
      <c r="K965">
        <v>0</v>
      </c>
      <c r="L965">
        <v>0</v>
      </c>
      <c r="M965">
        <v>0</v>
      </c>
      <c r="O965">
        <f t="shared" si="15"/>
        <v>5</v>
      </c>
    </row>
    <row r="966" spans="1:15">
      <c r="A966">
        <v>1153</v>
      </c>
      <c r="B966" s="1">
        <v>45783</v>
      </c>
      <c r="C966">
        <v>24</v>
      </c>
      <c r="D966" t="s">
        <v>17</v>
      </c>
      <c r="E966" t="s">
        <v>15</v>
      </c>
      <c r="F966" t="s">
        <v>23</v>
      </c>
      <c r="H966">
        <v>424.1</v>
      </c>
      <c r="I966" s="13">
        <v>9</v>
      </c>
      <c r="J966">
        <v>0</v>
      </c>
      <c r="K966">
        <v>0</v>
      </c>
      <c r="L966">
        <v>0</v>
      </c>
      <c r="M966">
        <v>0</v>
      </c>
      <c r="O966">
        <f t="shared" si="15"/>
        <v>5</v>
      </c>
    </row>
    <row r="967" spans="1:15">
      <c r="A967">
        <v>1021</v>
      </c>
      <c r="B967" s="1">
        <v>45783</v>
      </c>
      <c r="C967">
        <v>24</v>
      </c>
      <c r="D967" t="s">
        <v>14</v>
      </c>
      <c r="E967" t="s">
        <v>22</v>
      </c>
      <c r="F967" t="s">
        <v>18</v>
      </c>
      <c r="G967" t="s">
        <v>31</v>
      </c>
      <c r="H967">
        <v>407.1</v>
      </c>
      <c r="I967" s="13">
        <v>5</v>
      </c>
      <c r="J967">
        <v>0</v>
      </c>
      <c r="K967">
        <v>0</v>
      </c>
      <c r="L967">
        <v>0</v>
      </c>
      <c r="M967">
        <v>0</v>
      </c>
      <c r="O967">
        <f t="shared" si="15"/>
        <v>5</v>
      </c>
    </row>
    <row r="968" spans="1:15">
      <c r="A968">
        <v>1271</v>
      </c>
      <c r="B968" s="1">
        <v>45783</v>
      </c>
      <c r="C968">
        <v>24</v>
      </c>
      <c r="D968" t="s">
        <v>14</v>
      </c>
      <c r="E968" t="s">
        <v>20</v>
      </c>
      <c r="F968" t="s">
        <v>18</v>
      </c>
      <c r="G968" t="s">
        <v>25</v>
      </c>
      <c r="H968">
        <v>406.8</v>
      </c>
      <c r="I968" s="13">
        <v>3</v>
      </c>
      <c r="J968">
        <v>0</v>
      </c>
      <c r="K968">
        <v>0</v>
      </c>
      <c r="L968">
        <v>0</v>
      </c>
      <c r="M968">
        <v>0</v>
      </c>
      <c r="O968">
        <f t="shared" si="15"/>
        <v>5</v>
      </c>
    </row>
    <row r="969" spans="1:15">
      <c r="A969">
        <v>501</v>
      </c>
      <c r="B969" s="1">
        <v>45783</v>
      </c>
      <c r="C969">
        <v>28</v>
      </c>
      <c r="D969" t="s">
        <v>14</v>
      </c>
      <c r="E969" t="s">
        <v>20</v>
      </c>
      <c r="F969" t="s">
        <v>16</v>
      </c>
      <c r="H969">
        <v>310.39999999999998</v>
      </c>
      <c r="I969" s="13">
        <v>5</v>
      </c>
      <c r="J969">
        <v>0</v>
      </c>
      <c r="K969">
        <v>0</v>
      </c>
      <c r="L969">
        <v>0</v>
      </c>
      <c r="M969">
        <v>0</v>
      </c>
      <c r="O969">
        <f t="shared" si="15"/>
        <v>5</v>
      </c>
    </row>
    <row r="970" spans="1:15">
      <c r="A970">
        <v>1587</v>
      </c>
      <c r="B970" s="1">
        <v>45783</v>
      </c>
      <c r="C970">
        <v>24</v>
      </c>
      <c r="D970" t="s">
        <v>17</v>
      </c>
      <c r="E970" t="s">
        <v>22</v>
      </c>
      <c r="F970" t="s">
        <v>23</v>
      </c>
      <c r="H970">
        <v>255.5</v>
      </c>
      <c r="I970" s="13">
        <v>5</v>
      </c>
      <c r="J970">
        <v>0</v>
      </c>
      <c r="K970">
        <v>0</v>
      </c>
      <c r="L970">
        <v>0</v>
      </c>
      <c r="M970">
        <v>0</v>
      </c>
      <c r="O970">
        <f t="shared" si="15"/>
        <v>5</v>
      </c>
    </row>
    <row r="971" spans="1:15">
      <c r="A971">
        <v>482</v>
      </c>
      <c r="B971" s="1">
        <v>45783</v>
      </c>
      <c r="C971">
        <v>30</v>
      </c>
      <c r="D971" t="s">
        <v>27</v>
      </c>
      <c r="E971" t="s">
        <v>22</v>
      </c>
      <c r="F971" t="s">
        <v>23</v>
      </c>
      <c r="H971">
        <v>230.5</v>
      </c>
      <c r="I971" s="13">
        <v>4</v>
      </c>
      <c r="J971">
        <v>0</v>
      </c>
      <c r="K971">
        <v>0</v>
      </c>
      <c r="L971">
        <v>0</v>
      </c>
      <c r="M971">
        <v>0</v>
      </c>
      <c r="O971">
        <f t="shared" si="15"/>
        <v>5</v>
      </c>
    </row>
    <row r="972" spans="1:15">
      <c r="A972">
        <v>316</v>
      </c>
      <c r="B972" s="1">
        <v>45783</v>
      </c>
      <c r="C972">
        <v>32</v>
      </c>
      <c r="D972" t="s">
        <v>17</v>
      </c>
      <c r="E972" t="s">
        <v>20</v>
      </c>
      <c r="F972" t="s">
        <v>16</v>
      </c>
      <c r="H972">
        <v>228.6</v>
      </c>
      <c r="I972" s="13">
        <v>5</v>
      </c>
      <c r="J972">
        <v>0</v>
      </c>
      <c r="K972">
        <v>0</v>
      </c>
      <c r="L972">
        <v>0</v>
      </c>
      <c r="M972">
        <v>0</v>
      </c>
      <c r="O972">
        <f t="shared" si="15"/>
        <v>5</v>
      </c>
    </row>
    <row r="973" spans="1:15">
      <c r="A973">
        <v>3370</v>
      </c>
      <c r="B973" s="1">
        <v>45783</v>
      </c>
      <c r="C973">
        <v>29</v>
      </c>
      <c r="D973" t="s">
        <v>14</v>
      </c>
      <c r="E973" t="s">
        <v>20</v>
      </c>
      <c r="F973" t="s">
        <v>18</v>
      </c>
      <c r="G973" t="s">
        <v>26</v>
      </c>
      <c r="H973">
        <v>209.3</v>
      </c>
      <c r="I973" s="13">
        <v>8</v>
      </c>
      <c r="J973">
        <v>0</v>
      </c>
      <c r="K973">
        <v>0</v>
      </c>
      <c r="L973">
        <v>0</v>
      </c>
      <c r="M973">
        <v>0</v>
      </c>
      <c r="O973">
        <f t="shared" si="15"/>
        <v>5</v>
      </c>
    </row>
    <row r="974" spans="1:15">
      <c r="A974">
        <v>4013</v>
      </c>
      <c r="B974" s="1">
        <v>45783</v>
      </c>
      <c r="C974">
        <v>64</v>
      </c>
      <c r="D974" t="s">
        <v>17</v>
      </c>
      <c r="E974" t="s">
        <v>24</v>
      </c>
      <c r="F974" t="s">
        <v>18</v>
      </c>
      <c r="G974" t="s">
        <v>26</v>
      </c>
      <c r="H974">
        <v>189.1</v>
      </c>
      <c r="I974" s="13">
        <v>3</v>
      </c>
      <c r="J974">
        <v>0</v>
      </c>
      <c r="K974">
        <v>0</v>
      </c>
      <c r="L974">
        <v>0</v>
      </c>
      <c r="M974">
        <v>0</v>
      </c>
      <c r="O974">
        <f t="shared" si="15"/>
        <v>5</v>
      </c>
    </row>
    <row r="975" spans="1:15">
      <c r="A975">
        <v>267</v>
      </c>
      <c r="B975" s="1">
        <v>45783</v>
      </c>
      <c r="C975">
        <v>21</v>
      </c>
      <c r="D975" t="s">
        <v>17</v>
      </c>
      <c r="E975" t="s">
        <v>20</v>
      </c>
      <c r="F975" t="s">
        <v>18</v>
      </c>
      <c r="G975" t="s">
        <v>26</v>
      </c>
      <c r="H975">
        <v>167.7</v>
      </c>
      <c r="I975" s="13">
        <v>3</v>
      </c>
      <c r="J975">
        <v>0</v>
      </c>
      <c r="K975">
        <v>0</v>
      </c>
      <c r="L975">
        <v>0</v>
      </c>
      <c r="M975">
        <v>0</v>
      </c>
      <c r="O975">
        <f t="shared" si="15"/>
        <v>5</v>
      </c>
    </row>
    <row r="976" spans="1:15">
      <c r="A976">
        <v>3459</v>
      </c>
      <c r="B976" s="1">
        <v>45783</v>
      </c>
      <c r="C976">
        <v>30</v>
      </c>
      <c r="D976" t="s">
        <v>17</v>
      </c>
      <c r="E976" t="s">
        <v>20</v>
      </c>
      <c r="F976" t="s">
        <v>18</v>
      </c>
      <c r="G976" t="s">
        <v>30</v>
      </c>
      <c r="H976">
        <v>166.5</v>
      </c>
      <c r="I976" s="13">
        <v>4</v>
      </c>
      <c r="J976">
        <v>0</v>
      </c>
      <c r="K976">
        <v>0</v>
      </c>
      <c r="L976">
        <v>0</v>
      </c>
      <c r="M976">
        <v>0</v>
      </c>
      <c r="O976">
        <f t="shared" si="15"/>
        <v>5</v>
      </c>
    </row>
    <row r="977" spans="1:15">
      <c r="A977">
        <v>258</v>
      </c>
      <c r="B977" s="1">
        <v>45783</v>
      </c>
      <c r="C977">
        <v>28</v>
      </c>
      <c r="D977" t="s">
        <v>17</v>
      </c>
      <c r="E977" t="s">
        <v>22</v>
      </c>
      <c r="F977" t="s">
        <v>16</v>
      </c>
      <c r="H977">
        <v>131.19999999999999</v>
      </c>
      <c r="I977" s="13">
        <v>6</v>
      </c>
      <c r="J977">
        <v>0</v>
      </c>
      <c r="K977">
        <v>0</v>
      </c>
      <c r="L977">
        <v>0</v>
      </c>
      <c r="M977">
        <v>0</v>
      </c>
      <c r="O977">
        <f t="shared" si="15"/>
        <v>5</v>
      </c>
    </row>
    <row r="978" spans="1:15">
      <c r="A978">
        <v>1718</v>
      </c>
      <c r="B978" s="1">
        <v>45783</v>
      </c>
      <c r="C978">
        <v>22</v>
      </c>
      <c r="D978" t="s">
        <v>17</v>
      </c>
      <c r="E978" t="s">
        <v>22</v>
      </c>
      <c r="F978" t="s">
        <v>23</v>
      </c>
      <c r="H978">
        <v>80.7</v>
      </c>
      <c r="I978" s="13">
        <v>5</v>
      </c>
      <c r="J978">
        <v>0</v>
      </c>
      <c r="K978">
        <v>0</v>
      </c>
      <c r="L978">
        <v>0</v>
      </c>
      <c r="M978">
        <v>0</v>
      </c>
      <c r="O978">
        <f t="shared" si="15"/>
        <v>5</v>
      </c>
    </row>
    <row r="979" spans="1:15">
      <c r="A979">
        <v>1036</v>
      </c>
      <c r="B979" s="1">
        <v>45783</v>
      </c>
      <c r="C979">
        <v>26</v>
      </c>
      <c r="D979" t="s">
        <v>17</v>
      </c>
      <c r="E979" t="s">
        <v>20</v>
      </c>
      <c r="F979" t="s">
        <v>16</v>
      </c>
      <c r="H979">
        <v>75.8</v>
      </c>
      <c r="I979" s="13">
        <v>8</v>
      </c>
      <c r="J979">
        <v>0</v>
      </c>
      <c r="K979">
        <v>0</v>
      </c>
      <c r="L979">
        <v>0</v>
      </c>
      <c r="M979">
        <v>0</v>
      </c>
      <c r="O979">
        <f t="shared" si="15"/>
        <v>5</v>
      </c>
    </row>
    <row r="980" spans="1:15">
      <c r="A980">
        <v>3628</v>
      </c>
      <c r="B980" s="1">
        <v>45814</v>
      </c>
      <c r="C980">
        <v>30</v>
      </c>
      <c r="D980" t="s">
        <v>14</v>
      </c>
      <c r="E980" t="s">
        <v>15</v>
      </c>
      <c r="F980" t="s">
        <v>21</v>
      </c>
      <c r="H980">
        <v>342.4</v>
      </c>
      <c r="I980" s="13">
        <v>7</v>
      </c>
      <c r="J980">
        <v>1</v>
      </c>
      <c r="K980">
        <v>253</v>
      </c>
      <c r="L980">
        <v>3</v>
      </c>
      <c r="M980">
        <v>7</v>
      </c>
      <c r="N980">
        <v>3</v>
      </c>
      <c r="O980">
        <f t="shared" si="15"/>
        <v>6</v>
      </c>
    </row>
    <row r="981" spans="1:15">
      <c r="A981">
        <v>1323</v>
      </c>
      <c r="B981" s="1">
        <v>45814</v>
      </c>
      <c r="C981">
        <v>31</v>
      </c>
      <c r="D981" t="s">
        <v>14</v>
      </c>
      <c r="E981" t="s">
        <v>24</v>
      </c>
      <c r="F981" t="s">
        <v>18</v>
      </c>
      <c r="G981" t="s">
        <v>30</v>
      </c>
      <c r="H981">
        <v>529.5</v>
      </c>
      <c r="I981" s="13">
        <v>5</v>
      </c>
      <c r="J981">
        <v>1</v>
      </c>
      <c r="K981">
        <v>169</v>
      </c>
      <c r="L981">
        <v>5</v>
      </c>
      <c r="M981">
        <v>5</v>
      </c>
      <c r="N981">
        <v>5</v>
      </c>
      <c r="O981">
        <f t="shared" si="15"/>
        <v>6</v>
      </c>
    </row>
    <row r="982" spans="1:15">
      <c r="A982">
        <v>921</v>
      </c>
      <c r="B982" s="1">
        <v>45814</v>
      </c>
      <c r="C982">
        <v>22</v>
      </c>
      <c r="D982" t="s">
        <v>17</v>
      </c>
      <c r="E982" t="s">
        <v>15</v>
      </c>
      <c r="F982" t="s">
        <v>21</v>
      </c>
      <c r="H982">
        <v>948.9</v>
      </c>
      <c r="I982" s="13">
        <v>8</v>
      </c>
      <c r="J982">
        <v>1</v>
      </c>
      <c r="K982">
        <v>158.81</v>
      </c>
      <c r="L982">
        <v>3</v>
      </c>
      <c r="M982">
        <v>9</v>
      </c>
      <c r="N982">
        <v>4</v>
      </c>
      <c r="O982">
        <f t="shared" si="15"/>
        <v>6</v>
      </c>
    </row>
    <row r="983" spans="1:15">
      <c r="A983">
        <v>468</v>
      </c>
      <c r="B983" s="1">
        <v>45814</v>
      </c>
      <c r="C983">
        <v>29</v>
      </c>
      <c r="D983" t="s">
        <v>17</v>
      </c>
      <c r="E983" t="s">
        <v>24</v>
      </c>
      <c r="F983" t="s">
        <v>16</v>
      </c>
      <c r="H983">
        <v>335.9</v>
      </c>
      <c r="I983" s="13">
        <v>8</v>
      </c>
      <c r="J983">
        <v>1</v>
      </c>
      <c r="K983">
        <v>140.78</v>
      </c>
      <c r="L983">
        <v>1</v>
      </c>
      <c r="M983">
        <v>8</v>
      </c>
      <c r="N983">
        <v>4</v>
      </c>
      <c r="O983">
        <f t="shared" si="15"/>
        <v>6</v>
      </c>
    </row>
    <row r="984" spans="1:15">
      <c r="A984">
        <v>1343</v>
      </c>
      <c r="B984" s="1">
        <v>45814</v>
      </c>
      <c r="C984">
        <v>33</v>
      </c>
      <c r="D984" t="s">
        <v>14</v>
      </c>
      <c r="E984" t="s">
        <v>22</v>
      </c>
      <c r="F984" t="s">
        <v>23</v>
      </c>
      <c r="H984">
        <v>224</v>
      </c>
      <c r="I984" s="13">
        <v>4</v>
      </c>
      <c r="J984">
        <v>1</v>
      </c>
      <c r="K984">
        <v>82.74</v>
      </c>
      <c r="L984">
        <v>3</v>
      </c>
      <c r="M984">
        <v>13</v>
      </c>
      <c r="N984">
        <v>4</v>
      </c>
      <c r="O984">
        <f t="shared" si="15"/>
        <v>6</v>
      </c>
    </row>
    <row r="985" spans="1:15">
      <c r="A985">
        <v>273</v>
      </c>
      <c r="B985" s="1">
        <v>45814</v>
      </c>
      <c r="C985">
        <v>25</v>
      </c>
      <c r="D985" t="s">
        <v>17</v>
      </c>
      <c r="E985" t="s">
        <v>22</v>
      </c>
      <c r="F985" t="s">
        <v>18</v>
      </c>
      <c r="G985" t="s">
        <v>28</v>
      </c>
      <c r="H985">
        <v>304.10000000000002</v>
      </c>
      <c r="I985" s="13">
        <v>6</v>
      </c>
      <c r="J985">
        <v>1</v>
      </c>
      <c r="K985">
        <v>76.45</v>
      </c>
      <c r="L985">
        <v>4</v>
      </c>
      <c r="M985">
        <v>7</v>
      </c>
      <c r="N985">
        <v>3</v>
      </c>
      <c r="O985">
        <f t="shared" si="15"/>
        <v>6</v>
      </c>
    </row>
    <row r="986" spans="1:15">
      <c r="A986">
        <v>3000</v>
      </c>
      <c r="B986" s="1">
        <v>45814</v>
      </c>
      <c r="C986">
        <v>43</v>
      </c>
      <c r="D986" t="s">
        <v>14</v>
      </c>
      <c r="E986" t="s">
        <v>24</v>
      </c>
      <c r="F986" t="s">
        <v>16</v>
      </c>
      <c r="H986">
        <v>554</v>
      </c>
      <c r="I986" s="13">
        <v>7</v>
      </c>
      <c r="J986">
        <v>1</v>
      </c>
      <c r="K986">
        <v>68.45</v>
      </c>
      <c r="L986">
        <v>4</v>
      </c>
      <c r="M986">
        <v>15</v>
      </c>
      <c r="N986">
        <v>3</v>
      </c>
      <c r="O986">
        <f t="shared" si="15"/>
        <v>6</v>
      </c>
    </row>
    <row r="987" spans="1:15">
      <c r="A987">
        <v>3956</v>
      </c>
      <c r="B987" s="1">
        <v>45814</v>
      </c>
      <c r="C987">
        <v>49</v>
      </c>
      <c r="D987" t="s">
        <v>17</v>
      </c>
      <c r="E987" t="s">
        <v>15</v>
      </c>
      <c r="F987" t="s">
        <v>18</v>
      </c>
      <c r="G987" t="s">
        <v>29</v>
      </c>
      <c r="H987">
        <v>498.1</v>
      </c>
      <c r="I987" s="13">
        <v>7</v>
      </c>
      <c r="J987">
        <v>1</v>
      </c>
      <c r="K987">
        <v>59.89</v>
      </c>
      <c r="L987">
        <v>5</v>
      </c>
      <c r="M987">
        <v>15</v>
      </c>
      <c r="N987">
        <v>4</v>
      </c>
      <c r="O987">
        <f t="shared" si="15"/>
        <v>6</v>
      </c>
    </row>
    <row r="988" spans="1:15">
      <c r="A988">
        <v>1159</v>
      </c>
      <c r="B988" s="1">
        <v>45814</v>
      </c>
      <c r="C988">
        <v>30</v>
      </c>
      <c r="D988" t="s">
        <v>17</v>
      </c>
      <c r="E988" t="s">
        <v>22</v>
      </c>
      <c r="F988" t="s">
        <v>18</v>
      </c>
      <c r="G988" t="s">
        <v>25</v>
      </c>
      <c r="H988">
        <v>447.3</v>
      </c>
      <c r="I988" s="13">
        <v>7</v>
      </c>
      <c r="J988">
        <v>1</v>
      </c>
      <c r="K988">
        <v>52</v>
      </c>
      <c r="L988">
        <v>6</v>
      </c>
      <c r="M988">
        <v>12</v>
      </c>
      <c r="N988">
        <v>4</v>
      </c>
      <c r="O988">
        <f t="shared" si="15"/>
        <v>6</v>
      </c>
    </row>
    <row r="989" spans="1:15">
      <c r="A989">
        <v>1351</v>
      </c>
      <c r="B989" s="1">
        <v>45814</v>
      </c>
      <c r="C989">
        <v>18</v>
      </c>
      <c r="D989" t="s">
        <v>17</v>
      </c>
      <c r="E989" t="s">
        <v>22</v>
      </c>
      <c r="F989" t="s">
        <v>16</v>
      </c>
      <c r="H989">
        <v>620.6</v>
      </c>
      <c r="I989" s="13">
        <v>2</v>
      </c>
      <c r="J989">
        <v>1</v>
      </c>
      <c r="K989">
        <v>29</v>
      </c>
      <c r="L989">
        <v>2</v>
      </c>
      <c r="M989">
        <v>9</v>
      </c>
      <c r="N989">
        <v>5</v>
      </c>
      <c r="O989">
        <f t="shared" si="15"/>
        <v>6</v>
      </c>
    </row>
    <row r="990" spans="1:15">
      <c r="A990">
        <v>1196</v>
      </c>
      <c r="B990" s="1">
        <v>45814</v>
      </c>
      <c r="C990">
        <v>29</v>
      </c>
      <c r="D990" t="s">
        <v>27</v>
      </c>
      <c r="E990" t="s">
        <v>22</v>
      </c>
      <c r="F990" t="s">
        <v>23</v>
      </c>
      <c r="H990">
        <v>352.9</v>
      </c>
      <c r="I990" s="13">
        <v>7</v>
      </c>
      <c r="J990">
        <v>1</v>
      </c>
      <c r="K990">
        <v>27.25</v>
      </c>
      <c r="L990">
        <v>2</v>
      </c>
      <c r="M990">
        <v>9</v>
      </c>
      <c r="N990">
        <v>4</v>
      </c>
      <c r="O990">
        <f t="shared" si="15"/>
        <v>6</v>
      </c>
    </row>
    <row r="991" spans="1:15">
      <c r="A991">
        <v>2476</v>
      </c>
      <c r="B991" s="1">
        <v>45814</v>
      </c>
      <c r="C991">
        <v>47</v>
      </c>
      <c r="D991" t="s">
        <v>17</v>
      </c>
      <c r="E991" t="s">
        <v>24</v>
      </c>
      <c r="F991" t="s">
        <v>16</v>
      </c>
      <c r="H991">
        <v>443.2</v>
      </c>
      <c r="I991" s="13">
        <v>6</v>
      </c>
      <c r="J991">
        <v>1</v>
      </c>
      <c r="K991">
        <v>24.78</v>
      </c>
      <c r="L991">
        <v>3</v>
      </c>
      <c r="M991">
        <v>6</v>
      </c>
      <c r="N991">
        <v>5</v>
      </c>
      <c r="O991">
        <f t="shared" si="15"/>
        <v>6</v>
      </c>
    </row>
    <row r="992" spans="1:15">
      <c r="A992">
        <v>1445</v>
      </c>
      <c r="B992" s="1">
        <v>45814</v>
      </c>
      <c r="C992">
        <v>32</v>
      </c>
      <c r="D992" t="s">
        <v>17</v>
      </c>
      <c r="E992" t="s">
        <v>20</v>
      </c>
      <c r="F992" t="s">
        <v>16</v>
      </c>
      <c r="H992">
        <v>485.6</v>
      </c>
      <c r="I992" s="13">
        <v>7</v>
      </c>
      <c r="J992">
        <v>1</v>
      </c>
      <c r="K992">
        <v>14.99</v>
      </c>
      <c r="L992">
        <v>1</v>
      </c>
      <c r="M992">
        <v>8</v>
      </c>
      <c r="N992">
        <v>3</v>
      </c>
      <c r="O992">
        <f t="shared" si="15"/>
        <v>6</v>
      </c>
    </row>
    <row r="993" spans="1:15">
      <c r="A993">
        <v>4287</v>
      </c>
      <c r="B993" s="1">
        <v>45814</v>
      </c>
      <c r="C993">
        <v>48</v>
      </c>
      <c r="D993" t="s">
        <v>17</v>
      </c>
      <c r="E993" t="s">
        <v>24</v>
      </c>
      <c r="F993" t="s">
        <v>23</v>
      </c>
      <c r="H993">
        <v>445.1</v>
      </c>
      <c r="I993" s="13">
        <v>12</v>
      </c>
      <c r="J993">
        <v>0</v>
      </c>
      <c r="K993">
        <v>0</v>
      </c>
      <c r="L993">
        <v>0</v>
      </c>
      <c r="M993">
        <v>0</v>
      </c>
      <c r="O993">
        <f t="shared" si="15"/>
        <v>6</v>
      </c>
    </row>
    <row r="994" spans="1:15">
      <c r="A994">
        <v>1049</v>
      </c>
      <c r="B994" s="1">
        <v>45814</v>
      </c>
      <c r="C994">
        <v>18</v>
      </c>
      <c r="D994" t="s">
        <v>14</v>
      </c>
      <c r="E994" t="s">
        <v>20</v>
      </c>
      <c r="F994" t="s">
        <v>16</v>
      </c>
      <c r="H994">
        <v>433</v>
      </c>
      <c r="I994" s="13">
        <v>9</v>
      </c>
      <c r="J994">
        <v>0</v>
      </c>
      <c r="K994">
        <v>0</v>
      </c>
      <c r="L994">
        <v>0</v>
      </c>
      <c r="M994">
        <v>0</v>
      </c>
      <c r="O994">
        <f t="shared" si="15"/>
        <v>6</v>
      </c>
    </row>
    <row r="995" spans="1:15">
      <c r="A995">
        <v>1376</v>
      </c>
      <c r="B995" s="1">
        <v>45814</v>
      </c>
      <c r="C995">
        <v>24</v>
      </c>
      <c r="D995" t="s">
        <v>17</v>
      </c>
      <c r="E995" t="s">
        <v>22</v>
      </c>
      <c r="F995" t="s">
        <v>21</v>
      </c>
      <c r="H995">
        <v>393.4</v>
      </c>
      <c r="I995" s="13">
        <v>5</v>
      </c>
      <c r="J995">
        <v>0</v>
      </c>
      <c r="K995">
        <v>0</v>
      </c>
      <c r="L995">
        <v>0</v>
      </c>
      <c r="M995">
        <v>0</v>
      </c>
      <c r="O995">
        <f t="shared" si="15"/>
        <v>6</v>
      </c>
    </row>
    <row r="996" spans="1:15">
      <c r="A996">
        <v>2861</v>
      </c>
      <c r="B996" s="1">
        <v>45814</v>
      </c>
      <c r="C996">
        <v>18</v>
      </c>
      <c r="D996" t="s">
        <v>17</v>
      </c>
      <c r="E996" t="s">
        <v>24</v>
      </c>
      <c r="F996" t="s">
        <v>16</v>
      </c>
      <c r="H996">
        <v>383.6</v>
      </c>
      <c r="I996" s="13">
        <v>6</v>
      </c>
      <c r="J996">
        <v>0</v>
      </c>
      <c r="K996">
        <v>0</v>
      </c>
      <c r="L996">
        <v>0</v>
      </c>
      <c r="M996">
        <v>0</v>
      </c>
      <c r="O996">
        <f t="shared" si="15"/>
        <v>6</v>
      </c>
    </row>
    <row r="997" spans="1:15">
      <c r="A997">
        <v>815</v>
      </c>
      <c r="B997" s="1">
        <v>45814</v>
      </c>
      <c r="C997">
        <v>18</v>
      </c>
      <c r="D997" t="s">
        <v>17</v>
      </c>
      <c r="E997" t="s">
        <v>22</v>
      </c>
      <c r="F997" t="s">
        <v>16</v>
      </c>
      <c r="H997">
        <v>360.8</v>
      </c>
      <c r="I997" s="13">
        <v>8</v>
      </c>
      <c r="J997">
        <v>0</v>
      </c>
      <c r="K997">
        <v>0</v>
      </c>
      <c r="L997">
        <v>0</v>
      </c>
      <c r="M997">
        <v>0</v>
      </c>
      <c r="O997">
        <f t="shared" si="15"/>
        <v>6</v>
      </c>
    </row>
    <row r="998" spans="1:15">
      <c r="A998">
        <v>1150</v>
      </c>
      <c r="B998" s="1">
        <v>45814</v>
      </c>
      <c r="C998">
        <v>21</v>
      </c>
      <c r="D998" t="s">
        <v>17</v>
      </c>
      <c r="E998" t="s">
        <v>15</v>
      </c>
      <c r="F998" t="s">
        <v>23</v>
      </c>
      <c r="H998">
        <v>352.3</v>
      </c>
      <c r="I998" s="13">
        <v>15</v>
      </c>
      <c r="J998">
        <v>0</v>
      </c>
      <c r="K998">
        <v>0</v>
      </c>
      <c r="L998">
        <v>0</v>
      </c>
      <c r="M998">
        <v>0</v>
      </c>
      <c r="O998">
        <f t="shared" si="15"/>
        <v>6</v>
      </c>
    </row>
    <row r="999" spans="1:15">
      <c r="A999">
        <v>1673</v>
      </c>
      <c r="B999" s="1">
        <v>45814</v>
      </c>
      <c r="C999">
        <v>22</v>
      </c>
      <c r="D999" t="s">
        <v>14</v>
      </c>
      <c r="E999" t="s">
        <v>22</v>
      </c>
      <c r="F999" t="s">
        <v>16</v>
      </c>
      <c r="H999">
        <v>319.3</v>
      </c>
      <c r="I999" s="13">
        <v>6</v>
      </c>
      <c r="J999">
        <v>0</v>
      </c>
      <c r="K999">
        <v>0</v>
      </c>
      <c r="L999">
        <v>0</v>
      </c>
      <c r="M999">
        <v>0</v>
      </c>
      <c r="O999">
        <f t="shared" si="15"/>
        <v>6</v>
      </c>
    </row>
    <row r="1000" spans="1:15">
      <c r="A1000">
        <v>3249</v>
      </c>
      <c r="B1000" s="1">
        <v>45814</v>
      </c>
      <c r="C1000">
        <v>36</v>
      </c>
      <c r="D1000" t="s">
        <v>14</v>
      </c>
      <c r="E1000" t="s">
        <v>15</v>
      </c>
      <c r="F1000" t="s">
        <v>16</v>
      </c>
      <c r="H1000">
        <v>309.5</v>
      </c>
      <c r="I1000" s="13">
        <v>4</v>
      </c>
      <c r="J1000">
        <v>0</v>
      </c>
      <c r="K1000">
        <v>0</v>
      </c>
      <c r="L1000">
        <v>0</v>
      </c>
      <c r="M1000">
        <v>0</v>
      </c>
      <c r="O1000">
        <f t="shared" si="15"/>
        <v>6</v>
      </c>
    </row>
    <row r="1001" spans="1:15">
      <c r="A1001">
        <v>3990</v>
      </c>
      <c r="B1001" s="1">
        <v>45814</v>
      </c>
      <c r="C1001">
        <v>63</v>
      </c>
      <c r="D1001" t="s">
        <v>17</v>
      </c>
      <c r="E1001" t="s">
        <v>15</v>
      </c>
      <c r="F1001" t="s">
        <v>16</v>
      </c>
      <c r="H1001">
        <v>258.8</v>
      </c>
      <c r="I1001" s="13">
        <v>13</v>
      </c>
      <c r="J1001">
        <v>0</v>
      </c>
      <c r="K1001">
        <v>0</v>
      </c>
      <c r="L1001">
        <v>0</v>
      </c>
      <c r="M1001">
        <v>0</v>
      </c>
      <c r="O1001">
        <f t="shared" si="15"/>
        <v>6</v>
      </c>
    </row>
    <row r="1002" spans="1:15">
      <c r="A1002">
        <v>116</v>
      </c>
      <c r="B1002" s="1">
        <v>45814</v>
      </c>
      <c r="C1002">
        <v>27</v>
      </c>
      <c r="D1002" t="s">
        <v>17</v>
      </c>
      <c r="E1002" t="s">
        <v>22</v>
      </c>
      <c r="F1002" t="s">
        <v>23</v>
      </c>
      <c r="H1002">
        <v>214.1</v>
      </c>
      <c r="I1002" s="13">
        <v>5</v>
      </c>
      <c r="J1002">
        <v>0</v>
      </c>
      <c r="K1002">
        <v>0</v>
      </c>
      <c r="L1002">
        <v>0</v>
      </c>
      <c r="M1002">
        <v>0</v>
      </c>
      <c r="O1002">
        <f t="shared" si="15"/>
        <v>6</v>
      </c>
    </row>
    <row r="1003" spans="1:15">
      <c r="A1003">
        <v>1469</v>
      </c>
      <c r="B1003" s="1">
        <v>45814</v>
      </c>
      <c r="C1003">
        <v>22</v>
      </c>
      <c r="D1003" t="s">
        <v>14</v>
      </c>
      <c r="E1003" t="s">
        <v>24</v>
      </c>
      <c r="F1003" t="s">
        <v>23</v>
      </c>
      <c r="H1003">
        <v>200.3</v>
      </c>
      <c r="I1003" s="13">
        <v>8</v>
      </c>
      <c r="J1003">
        <v>0</v>
      </c>
      <c r="K1003">
        <v>0</v>
      </c>
      <c r="L1003">
        <v>0</v>
      </c>
      <c r="M1003">
        <v>0</v>
      </c>
      <c r="O1003">
        <f t="shared" si="15"/>
        <v>6</v>
      </c>
    </row>
    <row r="1004" spans="1:15">
      <c r="A1004">
        <v>796</v>
      </c>
      <c r="B1004" s="1">
        <v>45814</v>
      </c>
      <c r="C1004">
        <v>25</v>
      </c>
      <c r="D1004" t="s">
        <v>17</v>
      </c>
      <c r="E1004" t="s">
        <v>15</v>
      </c>
      <c r="F1004" t="s">
        <v>16</v>
      </c>
      <c r="H1004">
        <v>191.4</v>
      </c>
      <c r="I1004" s="13">
        <v>9</v>
      </c>
      <c r="J1004">
        <v>0</v>
      </c>
      <c r="K1004">
        <v>0</v>
      </c>
      <c r="L1004">
        <v>0</v>
      </c>
      <c r="M1004">
        <v>0</v>
      </c>
      <c r="O1004">
        <f t="shared" si="15"/>
        <v>6</v>
      </c>
    </row>
    <row r="1005" spans="1:15">
      <c r="A1005">
        <v>2076</v>
      </c>
      <c r="B1005" s="1">
        <v>45814</v>
      </c>
      <c r="C1005">
        <v>37</v>
      </c>
      <c r="D1005" t="s">
        <v>17</v>
      </c>
      <c r="E1005" t="s">
        <v>15</v>
      </c>
      <c r="F1005" t="s">
        <v>16</v>
      </c>
      <c r="H1005">
        <v>178.4</v>
      </c>
      <c r="I1005" s="13">
        <v>4</v>
      </c>
      <c r="J1005">
        <v>0</v>
      </c>
      <c r="K1005">
        <v>0</v>
      </c>
      <c r="L1005">
        <v>0</v>
      </c>
      <c r="M1005">
        <v>0</v>
      </c>
      <c r="O1005">
        <f t="shared" si="15"/>
        <v>6</v>
      </c>
    </row>
    <row r="1006" spans="1:15">
      <c r="A1006">
        <v>2187</v>
      </c>
      <c r="B1006" s="1">
        <v>45814</v>
      </c>
      <c r="C1006">
        <v>28</v>
      </c>
      <c r="D1006" t="s">
        <v>14</v>
      </c>
      <c r="E1006" t="s">
        <v>20</v>
      </c>
      <c r="F1006" t="s">
        <v>18</v>
      </c>
      <c r="G1006" t="s">
        <v>25</v>
      </c>
      <c r="H1006">
        <v>141.9</v>
      </c>
      <c r="I1006" s="13">
        <v>2</v>
      </c>
      <c r="J1006">
        <v>0</v>
      </c>
      <c r="K1006">
        <v>0</v>
      </c>
      <c r="L1006">
        <v>0</v>
      </c>
      <c r="M1006">
        <v>0</v>
      </c>
      <c r="O1006">
        <f t="shared" si="15"/>
        <v>6</v>
      </c>
    </row>
    <row r="1007" spans="1:15">
      <c r="A1007">
        <v>1453</v>
      </c>
      <c r="B1007" s="1">
        <v>45814</v>
      </c>
      <c r="C1007">
        <v>18</v>
      </c>
      <c r="D1007" t="s">
        <v>14</v>
      </c>
      <c r="E1007" t="s">
        <v>24</v>
      </c>
      <c r="F1007" t="s">
        <v>23</v>
      </c>
      <c r="H1007">
        <v>124.1</v>
      </c>
      <c r="I1007" s="13">
        <v>6</v>
      </c>
      <c r="J1007">
        <v>0</v>
      </c>
      <c r="K1007">
        <v>0</v>
      </c>
      <c r="L1007">
        <v>0</v>
      </c>
      <c r="M1007">
        <v>0</v>
      </c>
      <c r="O1007">
        <f t="shared" si="15"/>
        <v>6</v>
      </c>
    </row>
    <row r="1008" spans="1:15">
      <c r="A1008">
        <v>1430</v>
      </c>
      <c r="B1008" s="1">
        <v>45814</v>
      </c>
      <c r="C1008">
        <v>19</v>
      </c>
      <c r="D1008" t="s">
        <v>14</v>
      </c>
      <c r="E1008" t="s">
        <v>15</v>
      </c>
      <c r="F1008" t="s">
        <v>21</v>
      </c>
      <c r="H1008">
        <v>86.7</v>
      </c>
      <c r="I1008" s="13">
        <v>9</v>
      </c>
      <c r="J1008">
        <v>0</v>
      </c>
      <c r="K1008">
        <v>0</v>
      </c>
      <c r="L1008">
        <v>0</v>
      </c>
      <c r="M1008">
        <v>0</v>
      </c>
      <c r="O1008">
        <f t="shared" si="15"/>
        <v>6</v>
      </c>
    </row>
    <row r="1009" spans="1:15">
      <c r="A1009">
        <v>1241</v>
      </c>
      <c r="B1009" s="1">
        <v>45814</v>
      </c>
      <c r="C1009">
        <v>24</v>
      </c>
      <c r="D1009" t="s">
        <v>17</v>
      </c>
      <c r="E1009" t="s">
        <v>22</v>
      </c>
      <c r="F1009" t="s">
        <v>23</v>
      </c>
      <c r="H1009">
        <v>85.7</v>
      </c>
      <c r="I1009" s="13">
        <v>9</v>
      </c>
      <c r="J1009">
        <v>0</v>
      </c>
      <c r="K1009">
        <v>0</v>
      </c>
      <c r="L1009">
        <v>0</v>
      </c>
      <c r="M1009">
        <v>0</v>
      </c>
      <c r="O1009">
        <f t="shared" si="15"/>
        <v>6</v>
      </c>
    </row>
    <row r="1010" spans="1:15">
      <c r="A1010">
        <v>1410</v>
      </c>
      <c r="B1010" s="1">
        <v>45814</v>
      </c>
      <c r="C1010">
        <v>27</v>
      </c>
      <c r="D1010" t="s">
        <v>14</v>
      </c>
      <c r="E1010" t="s">
        <v>22</v>
      </c>
      <c r="F1010" t="s">
        <v>16</v>
      </c>
      <c r="H1010">
        <v>75.7</v>
      </c>
      <c r="I1010" s="13">
        <v>4</v>
      </c>
      <c r="J1010">
        <v>0</v>
      </c>
      <c r="K1010">
        <v>0</v>
      </c>
      <c r="L1010">
        <v>0</v>
      </c>
      <c r="M1010">
        <v>0</v>
      </c>
      <c r="O1010">
        <f t="shared" si="15"/>
        <v>6</v>
      </c>
    </row>
    <row r="1011" spans="1:15">
      <c r="A1011">
        <v>1306</v>
      </c>
      <c r="B1011" s="1">
        <v>45814</v>
      </c>
      <c r="C1011">
        <v>18</v>
      </c>
      <c r="D1011" t="s">
        <v>17</v>
      </c>
      <c r="E1011" t="s">
        <v>22</v>
      </c>
      <c r="F1011" t="s">
        <v>16</v>
      </c>
      <c r="H1011">
        <v>58.5</v>
      </c>
      <c r="I1011" s="13">
        <v>12</v>
      </c>
      <c r="J1011">
        <v>0</v>
      </c>
      <c r="K1011">
        <v>0</v>
      </c>
      <c r="L1011">
        <v>0</v>
      </c>
      <c r="M1011">
        <v>0</v>
      </c>
      <c r="O1011">
        <f t="shared" si="15"/>
        <v>6</v>
      </c>
    </row>
    <row r="1012" spans="1:15">
      <c r="A1012">
        <v>2859</v>
      </c>
      <c r="B1012" s="1">
        <v>45664</v>
      </c>
      <c r="C1012">
        <v>27</v>
      </c>
      <c r="D1012" t="s">
        <v>14</v>
      </c>
      <c r="E1012" t="s">
        <v>24</v>
      </c>
      <c r="F1012" t="s">
        <v>16</v>
      </c>
      <c r="H1012">
        <v>482.2</v>
      </c>
      <c r="I1012" s="13">
        <v>8</v>
      </c>
      <c r="J1012">
        <v>1</v>
      </c>
      <c r="K1012">
        <v>119</v>
      </c>
      <c r="L1012">
        <v>3</v>
      </c>
      <c r="M1012">
        <v>6</v>
      </c>
      <c r="N1012">
        <v>4</v>
      </c>
      <c r="O1012">
        <f t="shared" si="15"/>
        <v>1</v>
      </c>
    </row>
    <row r="1013" spans="1:15">
      <c r="A1013">
        <v>765</v>
      </c>
      <c r="B1013" s="1">
        <v>45664</v>
      </c>
      <c r="C1013">
        <v>32</v>
      </c>
      <c r="D1013" t="s">
        <v>17</v>
      </c>
      <c r="E1013" t="s">
        <v>22</v>
      </c>
      <c r="F1013" t="s">
        <v>16</v>
      </c>
      <c r="H1013">
        <v>564.1</v>
      </c>
      <c r="I1013" s="13">
        <v>8</v>
      </c>
      <c r="J1013">
        <v>1</v>
      </c>
      <c r="K1013">
        <v>266.27999999999997</v>
      </c>
      <c r="L1013">
        <v>2</v>
      </c>
      <c r="M1013">
        <v>3</v>
      </c>
      <c r="N1013">
        <v>3</v>
      </c>
      <c r="O1013">
        <f t="shared" si="15"/>
        <v>1</v>
      </c>
    </row>
    <row r="1014" spans="1:15">
      <c r="A1014">
        <v>2011</v>
      </c>
      <c r="B1014" s="1">
        <v>45664</v>
      </c>
      <c r="C1014">
        <v>29</v>
      </c>
      <c r="D1014" t="s">
        <v>17</v>
      </c>
      <c r="E1014" t="s">
        <v>15</v>
      </c>
      <c r="F1014" t="s">
        <v>18</v>
      </c>
      <c r="G1014" t="s">
        <v>31</v>
      </c>
      <c r="H1014">
        <v>434.4</v>
      </c>
      <c r="I1014" s="13">
        <v>10</v>
      </c>
      <c r="J1014">
        <v>1</v>
      </c>
      <c r="K1014">
        <v>103.77</v>
      </c>
      <c r="L1014">
        <v>4</v>
      </c>
      <c r="M1014">
        <v>13</v>
      </c>
      <c r="N1014">
        <v>4</v>
      </c>
      <c r="O1014">
        <f t="shared" si="15"/>
        <v>1</v>
      </c>
    </row>
    <row r="1015" spans="1:15">
      <c r="A1015">
        <v>3664</v>
      </c>
      <c r="B1015" s="1">
        <v>45664</v>
      </c>
      <c r="C1015">
        <v>29</v>
      </c>
      <c r="D1015" t="s">
        <v>14</v>
      </c>
      <c r="E1015" t="s">
        <v>24</v>
      </c>
      <c r="F1015" t="s">
        <v>23</v>
      </c>
      <c r="H1015">
        <v>585.1</v>
      </c>
      <c r="I1015" s="13">
        <v>9</v>
      </c>
      <c r="J1015">
        <v>1</v>
      </c>
      <c r="K1015">
        <v>61.29</v>
      </c>
      <c r="L1015">
        <v>3</v>
      </c>
      <c r="M1015">
        <v>2</v>
      </c>
      <c r="N1015">
        <v>4</v>
      </c>
      <c r="O1015">
        <f t="shared" si="15"/>
        <v>1</v>
      </c>
    </row>
    <row r="1016" spans="1:15">
      <c r="A1016">
        <v>2900</v>
      </c>
      <c r="B1016" s="1">
        <v>45664</v>
      </c>
      <c r="C1016">
        <v>30</v>
      </c>
      <c r="D1016" t="s">
        <v>27</v>
      </c>
      <c r="E1016" t="s">
        <v>24</v>
      </c>
      <c r="F1016" t="s">
        <v>21</v>
      </c>
      <c r="H1016">
        <v>1456.7</v>
      </c>
      <c r="I1016" s="13">
        <v>6</v>
      </c>
      <c r="J1016">
        <v>1</v>
      </c>
      <c r="K1016">
        <v>33.67</v>
      </c>
      <c r="L1016">
        <v>2</v>
      </c>
      <c r="M1016">
        <v>5</v>
      </c>
      <c r="N1016">
        <v>5</v>
      </c>
      <c r="O1016">
        <f t="shared" si="15"/>
        <v>1</v>
      </c>
    </row>
    <row r="1017" spans="1:15">
      <c r="A1017">
        <v>629</v>
      </c>
      <c r="B1017" s="1">
        <v>45664</v>
      </c>
      <c r="C1017">
        <v>22</v>
      </c>
      <c r="D1017" t="s">
        <v>27</v>
      </c>
      <c r="E1017" t="s">
        <v>24</v>
      </c>
      <c r="F1017" t="s">
        <v>18</v>
      </c>
      <c r="G1017" t="s">
        <v>28</v>
      </c>
      <c r="H1017">
        <v>445.5</v>
      </c>
      <c r="I1017" s="13">
        <v>11</v>
      </c>
      <c r="J1017">
        <v>1</v>
      </c>
      <c r="K1017">
        <v>23.17</v>
      </c>
      <c r="L1017">
        <v>2</v>
      </c>
      <c r="M1017">
        <v>5</v>
      </c>
      <c r="N1017">
        <v>5</v>
      </c>
      <c r="O1017">
        <f t="shared" si="15"/>
        <v>1</v>
      </c>
    </row>
    <row r="1018" spans="1:15">
      <c r="A1018">
        <v>146</v>
      </c>
      <c r="B1018" s="1">
        <v>45664</v>
      </c>
      <c r="C1018">
        <v>25</v>
      </c>
      <c r="D1018" t="s">
        <v>17</v>
      </c>
      <c r="E1018" t="s">
        <v>20</v>
      </c>
      <c r="F1018" t="s">
        <v>16</v>
      </c>
      <c r="H1018">
        <v>624</v>
      </c>
      <c r="I1018" s="13">
        <v>7</v>
      </c>
      <c r="J1018">
        <v>1</v>
      </c>
      <c r="K1018">
        <v>15.76</v>
      </c>
      <c r="L1018">
        <v>4</v>
      </c>
      <c r="M1018">
        <v>10</v>
      </c>
      <c r="N1018">
        <v>4</v>
      </c>
      <c r="O1018">
        <f t="shared" si="15"/>
        <v>1</v>
      </c>
    </row>
    <row r="1019" spans="1:15">
      <c r="A1019">
        <v>2298</v>
      </c>
      <c r="B1019" s="1">
        <v>45664</v>
      </c>
      <c r="C1019">
        <v>38</v>
      </c>
      <c r="D1019" t="s">
        <v>14</v>
      </c>
      <c r="E1019" t="s">
        <v>20</v>
      </c>
      <c r="F1019" t="s">
        <v>23</v>
      </c>
      <c r="H1019">
        <v>618.5</v>
      </c>
      <c r="I1019" s="13">
        <v>7</v>
      </c>
      <c r="J1019">
        <v>0</v>
      </c>
      <c r="K1019">
        <v>0</v>
      </c>
      <c r="L1019">
        <v>0</v>
      </c>
      <c r="M1019">
        <v>0</v>
      </c>
      <c r="O1019">
        <f t="shared" si="15"/>
        <v>1</v>
      </c>
    </row>
    <row r="1020" spans="1:15">
      <c r="A1020">
        <v>43</v>
      </c>
      <c r="B1020" s="1">
        <v>45664</v>
      </c>
      <c r="C1020">
        <v>26</v>
      </c>
      <c r="D1020" t="s">
        <v>14</v>
      </c>
      <c r="E1020" t="s">
        <v>20</v>
      </c>
      <c r="F1020" t="s">
        <v>18</v>
      </c>
      <c r="G1020" t="s">
        <v>28</v>
      </c>
      <c r="H1020">
        <v>479.4</v>
      </c>
      <c r="I1020" s="13">
        <v>7</v>
      </c>
      <c r="J1020">
        <v>0</v>
      </c>
      <c r="K1020">
        <v>0</v>
      </c>
      <c r="L1020">
        <v>0</v>
      </c>
      <c r="M1020">
        <v>0</v>
      </c>
      <c r="O1020">
        <f t="shared" si="15"/>
        <v>1</v>
      </c>
    </row>
    <row r="1021" spans="1:15">
      <c r="A1021">
        <v>1904</v>
      </c>
      <c r="B1021" s="1">
        <v>45664</v>
      </c>
      <c r="C1021">
        <v>31</v>
      </c>
      <c r="D1021" t="s">
        <v>14</v>
      </c>
      <c r="E1021" t="s">
        <v>15</v>
      </c>
      <c r="F1021" t="s">
        <v>21</v>
      </c>
      <c r="H1021">
        <v>450</v>
      </c>
      <c r="I1021" s="13">
        <v>5</v>
      </c>
      <c r="J1021">
        <v>0</v>
      </c>
      <c r="K1021">
        <v>0</v>
      </c>
      <c r="L1021">
        <v>0</v>
      </c>
      <c r="M1021">
        <v>0</v>
      </c>
      <c r="O1021">
        <f t="shared" si="15"/>
        <v>1</v>
      </c>
    </row>
    <row r="1022" spans="1:15">
      <c r="A1022">
        <v>1020</v>
      </c>
      <c r="B1022" s="1">
        <v>45664</v>
      </c>
      <c r="C1022">
        <v>20</v>
      </c>
      <c r="D1022" t="s">
        <v>14</v>
      </c>
      <c r="E1022" t="s">
        <v>22</v>
      </c>
      <c r="F1022" t="s">
        <v>16</v>
      </c>
      <c r="H1022">
        <v>414.3</v>
      </c>
      <c r="I1022" s="13">
        <v>7</v>
      </c>
      <c r="J1022">
        <v>0</v>
      </c>
      <c r="K1022">
        <v>0</v>
      </c>
      <c r="L1022">
        <v>0</v>
      </c>
      <c r="M1022">
        <v>0</v>
      </c>
      <c r="O1022">
        <f t="shared" si="15"/>
        <v>1</v>
      </c>
    </row>
    <row r="1023" spans="1:15">
      <c r="A1023">
        <v>1403</v>
      </c>
      <c r="B1023" s="1">
        <v>45664</v>
      </c>
      <c r="C1023">
        <v>23</v>
      </c>
      <c r="D1023" t="s">
        <v>17</v>
      </c>
      <c r="E1023" t="s">
        <v>22</v>
      </c>
      <c r="F1023" t="s">
        <v>18</v>
      </c>
      <c r="G1023" t="s">
        <v>29</v>
      </c>
      <c r="H1023">
        <v>356.4</v>
      </c>
      <c r="I1023" s="13">
        <v>4</v>
      </c>
      <c r="J1023">
        <v>0</v>
      </c>
      <c r="K1023">
        <v>0</v>
      </c>
      <c r="L1023">
        <v>0</v>
      </c>
      <c r="M1023">
        <v>0</v>
      </c>
      <c r="O1023">
        <f t="shared" si="15"/>
        <v>1</v>
      </c>
    </row>
    <row r="1024" spans="1:15">
      <c r="A1024">
        <v>3385</v>
      </c>
      <c r="B1024" s="1">
        <v>45664</v>
      </c>
      <c r="C1024">
        <v>44</v>
      </c>
      <c r="D1024" t="s">
        <v>17</v>
      </c>
      <c r="E1024" t="s">
        <v>15</v>
      </c>
      <c r="F1024" t="s">
        <v>18</v>
      </c>
      <c r="G1024" t="s">
        <v>28</v>
      </c>
      <c r="H1024">
        <v>300.5</v>
      </c>
      <c r="I1024" s="13">
        <v>8</v>
      </c>
      <c r="J1024">
        <v>0</v>
      </c>
      <c r="K1024">
        <v>0</v>
      </c>
      <c r="L1024">
        <v>0</v>
      </c>
      <c r="M1024">
        <v>0</v>
      </c>
      <c r="O1024">
        <f t="shared" si="15"/>
        <v>1</v>
      </c>
    </row>
    <row r="1025" spans="1:15">
      <c r="A1025">
        <v>286</v>
      </c>
      <c r="B1025" s="1">
        <v>45664</v>
      </c>
      <c r="C1025">
        <v>27</v>
      </c>
      <c r="D1025" t="s">
        <v>14</v>
      </c>
      <c r="E1025" t="s">
        <v>24</v>
      </c>
      <c r="F1025" t="s">
        <v>23</v>
      </c>
      <c r="H1025">
        <v>251.9</v>
      </c>
      <c r="I1025" s="13">
        <v>2</v>
      </c>
      <c r="J1025">
        <v>0</v>
      </c>
      <c r="K1025">
        <v>0</v>
      </c>
      <c r="L1025">
        <v>0</v>
      </c>
      <c r="M1025">
        <v>0</v>
      </c>
      <c r="O1025">
        <f t="shared" si="15"/>
        <v>1</v>
      </c>
    </row>
    <row r="1026" spans="1:15">
      <c r="A1026">
        <v>292</v>
      </c>
      <c r="B1026" s="1">
        <v>45664</v>
      </c>
      <c r="C1026">
        <v>28</v>
      </c>
      <c r="D1026" t="s">
        <v>17</v>
      </c>
      <c r="E1026" t="s">
        <v>20</v>
      </c>
      <c r="F1026" t="s">
        <v>23</v>
      </c>
      <c r="H1026">
        <v>211.9</v>
      </c>
      <c r="I1026" s="13">
        <v>5</v>
      </c>
      <c r="J1026">
        <v>0</v>
      </c>
      <c r="K1026">
        <v>0</v>
      </c>
      <c r="L1026">
        <v>0</v>
      </c>
      <c r="M1026">
        <v>0</v>
      </c>
      <c r="O1026">
        <f t="shared" si="15"/>
        <v>1</v>
      </c>
    </row>
    <row r="1027" spans="1:15">
      <c r="A1027">
        <v>1781</v>
      </c>
      <c r="B1027" s="1">
        <v>45664</v>
      </c>
      <c r="C1027">
        <v>29</v>
      </c>
      <c r="D1027" t="s">
        <v>14</v>
      </c>
      <c r="E1027" t="s">
        <v>20</v>
      </c>
      <c r="F1027" t="s">
        <v>23</v>
      </c>
      <c r="H1027">
        <v>169.8</v>
      </c>
      <c r="I1027" s="13">
        <v>3</v>
      </c>
      <c r="J1027">
        <v>0</v>
      </c>
      <c r="K1027">
        <v>0</v>
      </c>
      <c r="L1027">
        <v>0</v>
      </c>
      <c r="M1027">
        <v>0</v>
      </c>
      <c r="O1027">
        <f t="shared" ref="O1027:O1090" si="16">MONTH(B1027)</f>
        <v>1</v>
      </c>
    </row>
    <row r="1028" spans="1:15">
      <c r="A1028">
        <v>4743</v>
      </c>
      <c r="B1028" s="1">
        <v>45664</v>
      </c>
      <c r="C1028">
        <v>59</v>
      </c>
      <c r="D1028" t="s">
        <v>14</v>
      </c>
      <c r="E1028" t="s">
        <v>22</v>
      </c>
      <c r="F1028" t="s">
        <v>23</v>
      </c>
      <c r="H1028">
        <v>154</v>
      </c>
      <c r="I1028" s="13">
        <v>10</v>
      </c>
      <c r="J1028">
        <v>0</v>
      </c>
      <c r="K1028">
        <v>0</v>
      </c>
      <c r="L1028">
        <v>0</v>
      </c>
      <c r="M1028">
        <v>0</v>
      </c>
      <c r="O1028">
        <f t="shared" si="16"/>
        <v>1</v>
      </c>
    </row>
    <row r="1029" spans="1:15">
      <c r="A1029">
        <v>2242</v>
      </c>
      <c r="B1029" s="1">
        <v>45664</v>
      </c>
      <c r="C1029">
        <v>51</v>
      </c>
      <c r="D1029" t="s">
        <v>17</v>
      </c>
      <c r="E1029" t="s">
        <v>15</v>
      </c>
      <c r="F1029" t="s">
        <v>21</v>
      </c>
      <c r="H1029">
        <v>110.5</v>
      </c>
      <c r="I1029" s="13">
        <v>4</v>
      </c>
      <c r="J1029">
        <v>0</v>
      </c>
      <c r="K1029">
        <v>0</v>
      </c>
      <c r="L1029">
        <v>0</v>
      </c>
      <c r="M1029">
        <v>0</v>
      </c>
      <c r="O1029">
        <f t="shared" si="16"/>
        <v>1</v>
      </c>
    </row>
    <row r="1030" spans="1:15">
      <c r="A1030">
        <v>4011</v>
      </c>
      <c r="B1030" s="1">
        <v>45664</v>
      </c>
      <c r="C1030">
        <v>47</v>
      </c>
      <c r="D1030" t="s">
        <v>17</v>
      </c>
      <c r="E1030" t="s">
        <v>22</v>
      </c>
      <c r="F1030" t="s">
        <v>16</v>
      </c>
      <c r="H1030">
        <v>98.5</v>
      </c>
      <c r="I1030" s="13">
        <v>1</v>
      </c>
      <c r="J1030">
        <v>0</v>
      </c>
      <c r="K1030">
        <v>0</v>
      </c>
      <c r="L1030">
        <v>0</v>
      </c>
      <c r="M1030">
        <v>0</v>
      </c>
      <c r="O1030">
        <f t="shared" si="16"/>
        <v>1</v>
      </c>
    </row>
    <row r="1031" spans="1:15">
      <c r="A1031">
        <v>1031</v>
      </c>
      <c r="B1031" s="1">
        <v>45664</v>
      </c>
      <c r="C1031">
        <v>20</v>
      </c>
      <c r="D1031" t="s">
        <v>14</v>
      </c>
      <c r="E1031" t="s">
        <v>22</v>
      </c>
      <c r="F1031" t="s">
        <v>23</v>
      </c>
      <c r="H1031">
        <v>95.4</v>
      </c>
      <c r="I1031" s="13">
        <v>5</v>
      </c>
      <c r="J1031">
        <v>0</v>
      </c>
      <c r="K1031">
        <v>0</v>
      </c>
      <c r="L1031">
        <v>0</v>
      </c>
      <c r="M1031">
        <v>0</v>
      </c>
      <c r="O1031">
        <f t="shared" si="16"/>
        <v>1</v>
      </c>
    </row>
    <row r="1032" spans="1:15">
      <c r="A1032">
        <v>1651</v>
      </c>
      <c r="B1032" s="1">
        <v>45664</v>
      </c>
      <c r="C1032">
        <v>21</v>
      </c>
      <c r="D1032" t="s">
        <v>17</v>
      </c>
      <c r="E1032" t="s">
        <v>20</v>
      </c>
      <c r="F1032" t="s">
        <v>16</v>
      </c>
      <c r="H1032">
        <v>93.3</v>
      </c>
      <c r="I1032" s="13">
        <v>4</v>
      </c>
      <c r="J1032">
        <v>0</v>
      </c>
      <c r="K1032">
        <v>0</v>
      </c>
      <c r="L1032">
        <v>0</v>
      </c>
      <c r="M1032">
        <v>0</v>
      </c>
      <c r="O1032">
        <f t="shared" si="16"/>
        <v>1</v>
      </c>
    </row>
    <row r="1033" spans="1:15">
      <c r="A1033">
        <v>857</v>
      </c>
      <c r="B1033" s="1">
        <v>45664</v>
      </c>
      <c r="C1033">
        <v>18</v>
      </c>
      <c r="D1033" t="s">
        <v>17</v>
      </c>
      <c r="E1033" t="s">
        <v>22</v>
      </c>
      <c r="F1033" t="s">
        <v>23</v>
      </c>
      <c r="H1033">
        <v>63.4</v>
      </c>
      <c r="I1033" s="13">
        <v>4</v>
      </c>
      <c r="J1033">
        <v>0</v>
      </c>
      <c r="K1033">
        <v>0</v>
      </c>
      <c r="L1033">
        <v>0</v>
      </c>
      <c r="M1033">
        <v>0</v>
      </c>
      <c r="O1033">
        <f t="shared" si="16"/>
        <v>1</v>
      </c>
    </row>
    <row r="1034" spans="1:15">
      <c r="A1034">
        <v>4283</v>
      </c>
      <c r="B1034" s="1">
        <v>45695</v>
      </c>
      <c r="C1034">
        <v>59</v>
      </c>
      <c r="D1034" t="s">
        <v>14</v>
      </c>
      <c r="E1034" t="s">
        <v>15</v>
      </c>
      <c r="F1034" t="s">
        <v>18</v>
      </c>
      <c r="G1034" t="s">
        <v>30</v>
      </c>
      <c r="H1034">
        <v>332.3</v>
      </c>
      <c r="I1034" s="13">
        <v>5</v>
      </c>
      <c r="J1034">
        <v>1</v>
      </c>
      <c r="K1034">
        <v>125.55</v>
      </c>
      <c r="L1034">
        <v>1</v>
      </c>
      <c r="M1034">
        <v>3</v>
      </c>
      <c r="N1034">
        <v>4</v>
      </c>
      <c r="O1034">
        <f t="shared" si="16"/>
        <v>2</v>
      </c>
    </row>
    <row r="1035" spans="1:15">
      <c r="A1035">
        <v>2527</v>
      </c>
      <c r="B1035" s="1">
        <v>45695</v>
      </c>
      <c r="C1035">
        <v>39</v>
      </c>
      <c r="D1035" t="s">
        <v>17</v>
      </c>
      <c r="E1035" t="s">
        <v>24</v>
      </c>
      <c r="F1035" t="s">
        <v>23</v>
      </c>
      <c r="H1035">
        <v>242.4</v>
      </c>
      <c r="I1035" s="13">
        <v>5</v>
      </c>
      <c r="J1035">
        <v>1</v>
      </c>
      <c r="K1035">
        <v>122.95</v>
      </c>
      <c r="L1035">
        <v>3</v>
      </c>
      <c r="M1035">
        <v>10</v>
      </c>
      <c r="N1035">
        <v>4</v>
      </c>
      <c r="O1035">
        <f t="shared" si="16"/>
        <v>2</v>
      </c>
    </row>
    <row r="1036" spans="1:15">
      <c r="A1036">
        <v>4908</v>
      </c>
      <c r="B1036" s="1">
        <v>45695</v>
      </c>
      <c r="C1036">
        <v>57</v>
      </c>
      <c r="D1036" t="s">
        <v>17</v>
      </c>
      <c r="E1036" t="s">
        <v>22</v>
      </c>
      <c r="F1036" t="s">
        <v>16</v>
      </c>
      <c r="H1036">
        <v>440.6</v>
      </c>
      <c r="I1036" s="13">
        <v>4</v>
      </c>
      <c r="J1036">
        <v>1</v>
      </c>
      <c r="K1036">
        <v>82.14</v>
      </c>
      <c r="L1036">
        <v>2</v>
      </c>
      <c r="M1036">
        <v>10</v>
      </c>
      <c r="N1036">
        <v>4</v>
      </c>
      <c r="O1036">
        <f t="shared" si="16"/>
        <v>2</v>
      </c>
    </row>
    <row r="1037" spans="1:15">
      <c r="A1037">
        <v>3541</v>
      </c>
      <c r="B1037" s="1">
        <v>45695</v>
      </c>
      <c r="C1037">
        <v>31</v>
      </c>
      <c r="D1037" t="s">
        <v>14</v>
      </c>
      <c r="E1037" t="s">
        <v>20</v>
      </c>
      <c r="F1037" t="s">
        <v>18</v>
      </c>
      <c r="G1037" t="s">
        <v>30</v>
      </c>
      <c r="H1037">
        <v>319</v>
      </c>
      <c r="I1037" s="13">
        <v>5</v>
      </c>
      <c r="J1037">
        <v>1</v>
      </c>
      <c r="K1037">
        <v>80.61</v>
      </c>
      <c r="L1037">
        <v>3</v>
      </c>
      <c r="M1037">
        <v>1</v>
      </c>
      <c r="N1037">
        <v>4</v>
      </c>
      <c r="O1037">
        <f t="shared" si="16"/>
        <v>2</v>
      </c>
    </row>
    <row r="1038" spans="1:15">
      <c r="A1038">
        <v>3258</v>
      </c>
      <c r="B1038" s="1">
        <v>45695</v>
      </c>
      <c r="C1038">
        <v>23</v>
      </c>
      <c r="D1038" t="s">
        <v>14</v>
      </c>
      <c r="E1038" t="s">
        <v>20</v>
      </c>
      <c r="F1038" t="s">
        <v>16</v>
      </c>
      <c r="H1038">
        <v>921.5</v>
      </c>
      <c r="I1038" s="13">
        <v>7</v>
      </c>
      <c r="J1038">
        <v>1</v>
      </c>
      <c r="K1038">
        <v>73.75</v>
      </c>
      <c r="L1038">
        <v>2</v>
      </c>
      <c r="M1038">
        <v>11</v>
      </c>
      <c r="N1038">
        <v>4</v>
      </c>
      <c r="O1038">
        <f t="shared" si="16"/>
        <v>2</v>
      </c>
    </row>
    <row r="1039" spans="1:15">
      <c r="A1039">
        <v>3825</v>
      </c>
      <c r="B1039" s="1">
        <v>45695</v>
      </c>
      <c r="C1039">
        <v>76</v>
      </c>
      <c r="D1039" t="s">
        <v>17</v>
      </c>
      <c r="E1039" t="s">
        <v>24</v>
      </c>
      <c r="F1039" t="s">
        <v>16</v>
      </c>
      <c r="H1039">
        <v>507.1</v>
      </c>
      <c r="I1039" s="13">
        <v>6</v>
      </c>
      <c r="J1039">
        <v>1</v>
      </c>
      <c r="K1039">
        <v>64.540000000000006</v>
      </c>
      <c r="L1039">
        <v>2</v>
      </c>
      <c r="M1039">
        <v>14</v>
      </c>
      <c r="N1039">
        <v>4</v>
      </c>
      <c r="O1039">
        <f t="shared" si="16"/>
        <v>2</v>
      </c>
    </row>
    <row r="1040" spans="1:15">
      <c r="A1040">
        <v>4062</v>
      </c>
      <c r="B1040" s="1">
        <v>45695</v>
      </c>
      <c r="C1040">
        <v>57</v>
      </c>
      <c r="D1040" t="s">
        <v>17</v>
      </c>
      <c r="E1040" t="s">
        <v>15</v>
      </c>
      <c r="F1040" t="s">
        <v>16</v>
      </c>
      <c r="H1040">
        <v>567.20000000000005</v>
      </c>
      <c r="I1040" s="13">
        <v>6</v>
      </c>
      <c r="J1040">
        <v>1</v>
      </c>
      <c r="K1040">
        <v>22.44</v>
      </c>
      <c r="L1040">
        <v>6</v>
      </c>
      <c r="M1040">
        <v>4</v>
      </c>
      <c r="N1040">
        <v>3</v>
      </c>
      <c r="O1040">
        <f t="shared" si="16"/>
        <v>2</v>
      </c>
    </row>
    <row r="1041" spans="1:15">
      <c r="A1041">
        <v>1362</v>
      </c>
      <c r="B1041" s="1">
        <v>45695</v>
      </c>
      <c r="C1041">
        <v>28</v>
      </c>
      <c r="D1041" t="s">
        <v>14</v>
      </c>
      <c r="E1041" t="s">
        <v>20</v>
      </c>
      <c r="F1041" t="s">
        <v>16</v>
      </c>
      <c r="H1041">
        <v>864.8</v>
      </c>
      <c r="I1041" s="13">
        <v>9</v>
      </c>
      <c r="J1041">
        <v>1</v>
      </c>
      <c r="K1041">
        <v>18.309999999999999</v>
      </c>
      <c r="L1041">
        <v>3</v>
      </c>
      <c r="M1041">
        <v>5</v>
      </c>
      <c r="N1041">
        <v>4</v>
      </c>
      <c r="O1041">
        <f t="shared" si="16"/>
        <v>2</v>
      </c>
    </row>
    <row r="1042" spans="1:15">
      <c r="A1042">
        <v>945</v>
      </c>
      <c r="B1042" s="1">
        <v>45695</v>
      </c>
      <c r="C1042">
        <v>21</v>
      </c>
      <c r="D1042" t="s">
        <v>14</v>
      </c>
      <c r="E1042" t="s">
        <v>15</v>
      </c>
      <c r="F1042" t="s">
        <v>18</v>
      </c>
      <c r="G1042" t="s">
        <v>25</v>
      </c>
      <c r="H1042">
        <v>782.9</v>
      </c>
      <c r="I1042" s="13">
        <v>5</v>
      </c>
      <c r="J1042">
        <v>0</v>
      </c>
      <c r="K1042">
        <v>0</v>
      </c>
      <c r="L1042">
        <v>0</v>
      </c>
      <c r="M1042">
        <v>0</v>
      </c>
      <c r="O1042">
        <f t="shared" si="16"/>
        <v>2</v>
      </c>
    </row>
    <row r="1043" spans="1:15">
      <c r="A1043">
        <v>4473</v>
      </c>
      <c r="B1043" s="1">
        <v>45695</v>
      </c>
      <c r="C1043">
        <v>44</v>
      </c>
      <c r="D1043" t="s">
        <v>14</v>
      </c>
      <c r="E1043" t="s">
        <v>22</v>
      </c>
      <c r="F1043" t="s">
        <v>16</v>
      </c>
      <c r="H1043">
        <v>651.20000000000005</v>
      </c>
      <c r="I1043" s="13">
        <v>4</v>
      </c>
      <c r="J1043">
        <v>0</v>
      </c>
      <c r="K1043">
        <v>0</v>
      </c>
      <c r="L1043">
        <v>0</v>
      </c>
      <c r="M1043">
        <v>0</v>
      </c>
      <c r="O1043">
        <f t="shared" si="16"/>
        <v>2</v>
      </c>
    </row>
    <row r="1044" spans="1:15">
      <c r="A1044">
        <v>2883</v>
      </c>
      <c r="B1044" s="1">
        <v>45695</v>
      </c>
      <c r="C1044">
        <v>41</v>
      </c>
      <c r="D1044" t="s">
        <v>17</v>
      </c>
      <c r="E1044" t="s">
        <v>15</v>
      </c>
      <c r="F1044" t="s">
        <v>18</v>
      </c>
      <c r="G1044" t="s">
        <v>31</v>
      </c>
      <c r="H1044">
        <v>447.6</v>
      </c>
      <c r="I1044" s="13">
        <v>11</v>
      </c>
      <c r="J1044">
        <v>0</v>
      </c>
      <c r="K1044">
        <v>0</v>
      </c>
      <c r="L1044">
        <v>0</v>
      </c>
      <c r="M1044">
        <v>0</v>
      </c>
      <c r="O1044">
        <f t="shared" si="16"/>
        <v>2</v>
      </c>
    </row>
    <row r="1045" spans="1:15">
      <c r="A1045">
        <v>2293</v>
      </c>
      <c r="B1045" s="1">
        <v>45695</v>
      </c>
      <c r="C1045">
        <v>33</v>
      </c>
      <c r="D1045" t="s">
        <v>17</v>
      </c>
      <c r="E1045" t="s">
        <v>22</v>
      </c>
      <c r="F1045" t="s">
        <v>18</v>
      </c>
      <c r="G1045" t="s">
        <v>19</v>
      </c>
      <c r="H1045">
        <v>412.6</v>
      </c>
      <c r="I1045" s="13">
        <v>7</v>
      </c>
      <c r="J1045">
        <v>0</v>
      </c>
      <c r="K1045">
        <v>0</v>
      </c>
      <c r="L1045">
        <v>0</v>
      </c>
      <c r="M1045">
        <v>0</v>
      </c>
      <c r="O1045">
        <f t="shared" si="16"/>
        <v>2</v>
      </c>
    </row>
    <row r="1046" spans="1:15">
      <c r="A1046">
        <v>4978</v>
      </c>
      <c r="B1046" s="1">
        <v>45695</v>
      </c>
      <c r="C1046">
        <v>58</v>
      </c>
      <c r="D1046" t="s">
        <v>17</v>
      </c>
      <c r="E1046" t="s">
        <v>15</v>
      </c>
      <c r="F1046" t="s">
        <v>18</v>
      </c>
      <c r="G1046" t="s">
        <v>30</v>
      </c>
      <c r="H1046">
        <v>360.2</v>
      </c>
      <c r="I1046" s="13">
        <v>10</v>
      </c>
      <c r="J1046">
        <v>0</v>
      </c>
      <c r="K1046">
        <v>0</v>
      </c>
      <c r="L1046">
        <v>0</v>
      </c>
      <c r="M1046">
        <v>0</v>
      </c>
      <c r="O1046">
        <f t="shared" si="16"/>
        <v>2</v>
      </c>
    </row>
    <row r="1047" spans="1:15">
      <c r="A1047">
        <v>901</v>
      </c>
      <c r="B1047" s="1">
        <v>45695</v>
      </c>
      <c r="C1047">
        <v>28</v>
      </c>
      <c r="D1047" t="s">
        <v>14</v>
      </c>
      <c r="E1047" t="s">
        <v>24</v>
      </c>
      <c r="F1047" t="s">
        <v>16</v>
      </c>
      <c r="H1047">
        <v>342.8</v>
      </c>
      <c r="I1047" s="13">
        <v>5</v>
      </c>
      <c r="J1047">
        <v>0</v>
      </c>
      <c r="K1047">
        <v>0</v>
      </c>
      <c r="L1047">
        <v>0</v>
      </c>
      <c r="M1047">
        <v>0</v>
      </c>
      <c r="O1047">
        <f t="shared" si="16"/>
        <v>2</v>
      </c>
    </row>
    <row r="1048" spans="1:15">
      <c r="A1048">
        <v>4578</v>
      </c>
      <c r="B1048" s="1">
        <v>45695</v>
      </c>
      <c r="C1048">
        <v>61</v>
      </c>
      <c r="D1048" t="s">
        <v>14</v>
      </c>
      <c r="E1048" t="s">
        <v>22</v>
      </c>
      <c r="F1048" t="s">
        <v>16</v>
      </c>
      <c r="H1048">
        <v>319.39999999999998</v>
      </c>
      <c r="I1048" s="13">
        <v>9</v>
      </c>
      <c r="J1048">
        <v>0</v>
      </c>
      <c r="K1048">
        <v>0</v>
      </c>
      <c r="L1048">
        <v>0</v>
      </c>
      <c r="M1048">
        <v>0</v>
      </c>
      <c r="O1048">
        <f t="shared" si="16"/>
        <v>2</v>
      </c>
    </row>
    <row r="1049" spans="1:15">
      <c r="A1049">
        <v>4592</v>
      </c>
      <c r="B1049" s="1">
        <v>45695</v>
      </c>
      <c r="C1049">
        <v>64</v>
      </c>
      <c r="D1049" t="s">
        <v>14</v>
      </c>
      <c r="E1049" t="s">
        <v>20</v>
      </c>
      <c r="F1049" t="s">
        <v>18</v>
      </c>
      <c r="G1049" t="s">
        <v>19</v>
      </c>
      <c r="H1049">
        <v>317.2</v>
      </c>
      <c r="I1049" s="13">
        <v>5</v>
      </c>
      <c r="J1049">
        <v>0</v>
      </c>
      <c r="K1049">
        <v>0</v>
      </c>
      <c r="L1049">
        <v>0</v>
      </c>
      <c r="M1049">
        <v>0</v>
      </c>
      <c r="O1049">
        <f t="shared" si="16"/>
        <v>2</v>
      </c>
    </row>
    <row r="1050" spans="1:15">
      <c r="A1050">
        <v>2651</v>
      </c>
      <c r="B1050" s="1">
        <v>45695</v>
      </c>
      <c r="C1050">
        <v>47</v>
      </c>
      <c r="D1050" t="s">
        <v>17</v>
      </c>
      <c r="E1050" t="s">
        <v>22</v>
      </c>
      <c r="F1050" t="s">
        <v>16</v>
      </c>
      <c r="H1050">
        <v>309.2</v>
      </c>
      <c r="I1050" s="13">
        <v>3</v>
      </c>
      <c r="J1050">
        <v>0</v>
      </c>
      <c r="K1050">
        <v>0</v>
      </c>
      <c r="L1050">
        <v>0</v>
      </c>
      <c r="M1050">
        <v>0</v>
      </c>
      <c r="O1050">
        <f t="shared" si="16"/>
        <v>2</v>
      </c>
    </row>
    <row r="1051" spans="1:15">
      <c r="A1051">
        <v>607</v>
      </c>
      <c r="B1051" s="1">
        <v>45695</v>
      </c>
      <c r="C1051">
        <v>27</v>
      </c>
      <c r="D1051" t="s">
        <v>14</v>
      </c>
      <c r="E1051" t="s">
        <v>20</v>
      </c>
      <c r="F1051" t="s">
        <v>18</v>
      </c>
      <c r="G1051" t="s">
        <v>30</v>
      </c>
      <c r="H1051">
        <v>264.7</v>
      </c>
      <c r="I1051" s="13">
        <v>5</v>
      </c>
      <c r="J1051">
        <v>0</v>
      </c>
      <c r="K1051">
        <v>0</v>
      </c>
      <c r="L1051">
        <v>0</v>
      </c>
      <c r="M1051">
        <v>0</v>
      </c>
      <c r="O1051">
        <f t="shared" si="16"/>
        <v>2</v>
      </c>
    </row>
    <row r="1052" spans="1:15">
      <c r="A1052">
        <v>4485</v>
      </c>
      <c r="B1052" s="1">
        <v>45695</v>
      </c>
      <c r="C1052">
        <v>58</v>
      </c>
      <c r="D1052" t="s">
        <v>14</v>
      </c>
      <c r="E1052" t="s">
        <v>24</v>
      </c>
      <c r="F1052" t="s">
        <v>21</v>
      </c>
      <c r="H1052">
        <v>201.4</v>
      </c>
      <c r="I1052" s="13">
        <v>4</v>
      </c>
      <c r="J1052">
        <v>0</v>
      </c>
      <c r="K1052">
        <v>0</v>
      </c>
      <c r="L1052">
        <v>0</v>
      </c>
      <c r="M1052">
        <v>0</v>
      </c>
      <c r="O1052">
        <f t="shared" si="16"/>
        <v>2</v>
      </c>
    </row>
    <row r="1053" spans="1:15">
      <c r="A1053">
        <v>1821</v>
      </c>
      <c r="B1053" s="1">
        <v>45695</v>
      </c>
      <c r="C1053">
        <v>27</v>
      </c>
      <c r="D1053" t="s">
        <v>14</v>
      </c>
      <c r="E1053" t="s">
        <v>22</v>
      </c>
      <c r="F1053" t="s">
        <v>18</v>
      </c>
      <c r="G1053" t="s">
        <v>30</v>
      </c>
      <c r="H1053">
        <v>192.6</v>
      </c>
      <c r="I1053" s="13">
        <v>7</v>
      </c>
      <c r="J1053">
        <v>0</v>
      </c>
      <c r="K1053">
        <v>0</v>
      </c>
      <c r="L1053">
        <v>0</v>
      </c>
      <c r="M1053">
        <v>0</v>
      </c>
      <c r="O1053">
        <f t="shared" si="16"/>
        <v>2</v>
      </c>
    </row>
    <row r="1054" spans="1:15">
      <c r="A1054">
        <v>2780</v>
      </c>
      <c r="B1054" s="1">
        <v>45695</v>
      </c>
      <c r="C1054">
        <v>44</v>
      </c>
      <c r="D1054" t="s">
        <v>17</v>
      </c>
      <c r="E1054" t="s">
        <v>20</v>
      </c>
      <c r="F1054" t="s">
        <v>18</v>
      </c>
      <c r="G1054" t="s">
        <v>26</v>
      </c>
      <c r="H1054">
        <v>183.6</v>
      </c>
      <c r="I1054" s="13">
        <v>9</v>
      </c>
      <c r="J1054">
        <v>0</v>
      </c>
      <c r="K1054">
        <v>0</v>
      </c>
      <c r="L1054">
        <v>0</v>
      </c>
      <c r="M1054">
        <v>0</v>
      </c>
      <c r="O1054">
        <f t="shared" si="16"/>
        <v>2</v>
      </c>
    </row>
    <row r="1055" spans="1:15">
      <c r="A1055">
        <v>853</v>
      </c>
      <c r="B1055" s="1">
        <v>45695</v>
      </c>
      <c r="C1055">
        <v>24</v>
      </c>
      <c r="D1055" t="s">
        <v>17</v>
      </c>
      <c r="E1055" t="s">
        <v>20</v>
      </c>
      <c r="F1055" t="s">
        <v>23</v>
      </c>
      <c r="H1055">
        <v>162.80000000000001</v>
      </c>
      <c r="I1055" s="13">
        <v>7</v>
      </c>
      <c r="J1055">
        <v>0</v>
      </c>
      <c r="K1055">
        <v>0</v>
      </c>
      <c r="L1055">
        <v>0</v>
      </c>
      <c r="M1055">
        <v>0</v>
      </c>
      <c r="O1055">
        <f t="shared" si="16"/>
        <v>2</v>
      </c>
    </row>
    <row r="1056" spans="1:15">
      <c r="A1056">
        <v>3640</v>
      </c>
      <c r="B1056" s="1">
        <v>45695</v>
      </c>
      <c r="C1056">
        <v>40</v>
      </c>
      <c r="D1056" t="s">
        <v>17</v>
      </c>
      <c r="E1056" t="s">
        <v>20</v>
      </c>
      <c r="F1056" t="s">
        <v>18</v>
      </c>
      <c r="G1056" t="s">
        <v>30</v>
      </c>
      <c r="H1056">
        <v>144.4</v>
      </c>
      <c r="I1056" s="13">
        <v>8</v>
      </c>
      <c r="J1056">
        <v>0</v>
      </c>
      <c r="K1056">
        <v>0</v>
      </c>
      <c r="L1056">
        <v>0</v>
      </c>
      <c r="M1056">
        <v>0</v>
      </c>
      <c r="O1056">
        <f t="shared" si="16"/>
        <v>2</v>
      </c>
    </row>
    <row r="1057" spans="1:15">
      <c r="A1057">
        <v>622</v>
      </c>
      <c r="B1057" s="1">
        <v>45695</v>
      </c>
      <c r="C1057">
        <v>26</v>
      </c>
      <c r="D1057" t="s">
        <v>17</v>
      </c>
      <c r="E1057" t="s">
        <v>15</v>
      </c>
      <c r="F1057" t="s">
        <v>16</v>
      </c>
      <c r="H1057">
        <v>142.6</v>
      </c>
      <c r="I1057" s="13">
        <v>7</v>
      </c>
      <c r="J1057">
        <v>0</v>
      </c>
      <c r="K1057">
        <v>0</v>
      </c>
      <c r="L1057">
        <v>0</v>
      </c>
      <c r="M1057">
        <v>0</v>
      </c>
      <c r="O1057">
        <f t="shared" si="16"/>
        <v>2</v>
      </c>
    </row>
    <row r="1058" spans="1:15">
      <c r="A1058">
        <v>1667</v>
      </c>
      <c r="B1058" s="1">
        <v>45695</v>
      </c>
      <c r="C1058">
        <v>29</v>
      </c>
      <c r="D1058" t="s">
        <v>14</v>
      </c>
      <c r="E1058" t="s">
        <v>22</v>
      </c>
      <c r="F1058" t="s">
        <v>16</v>
      </c>
      <c r="H1058">
        <v>139</v>
      </c>
      <c r="I1058" s="13">
        <v>9</v>
      </c>
      <c r="J1058">
        <v>0</v>
      </c>
      <c r="K1058">
        <v>0</v>
      </c>
      <c r="L1058">
        <v>0</v>
      </c>
      <c r="M1058">
        <v>0</v>
      </c>
      <c r="O1058">
        <f t="shared" si="16"/>
        <v>2</v>
      </c>
    </row>
    <row r="1059" spans="1:15">
      <c r="A1059">
        <v>3520</v>
      </c>
      <c r="B1059" s="1">
        <v>45695</v>
      </c>
      <c r="C1059">
        <v>35</v>
      </c>
      <c r="D1059" t="s">
        <v>14</v>
      </c>
      <c r="E1059" t="s">
        <v>22</v>
      </c>
      <c r="F1059" t="s">
        <v>16</v>
      </c>
      <c r="H1059">
        <v>132.1</v>
      </c>
      <c r="I1059" s="13">
        <v>3</v>
      </c>
      <c r="J1059">
        <v>0</v>
      </c>
      <c r="K1059">
        <v>0</v>
      </c>
      <c r="L1059">
        <v>0</v>
      </c>
      <c r="M1059">
        <v>0</v>
      </c>
      <c r="O1059">
        <f t="shared" si="16"/>
        <v>2</v>
      </c>
    </row>
    <row r="1060" spans="1:15">
      <c r="A1060">
        <v>1411</v>
      </c>
      <c r="B1060" s="1">
        <v>45695</v>
      </c>
      <c r="C1060">
        <v>26</v>
      </c>
      <c r="D1060" t="s">
        <v>17</v>
      </c>
      <c r="E1060" t="s">
        <v>20</v>
      </c>
      <c r="F1060" t="s">
        <v>18</v>
      </c>
      <c r="G1060" t="s">
        <v>19</v>
      </c>
      <c r="H1060">
        <v>81</v>
      </c>
      <c r="I1060" s="13">
        <v>5</v>
      </c>
      <c r="J1060">
        <v>0</v>
      </c>
      <c r="K1060">
        <v>0</v>
      </c>
      <c r="L1060">
        <v>0</v>
      </c>
      <c r="M1060">
        <v>0</v>
      </c>
      <c r="O1060">
        <f t="shared" si="16"/>
        <v>2</v>
      </c>
    </row>
    <row r="1061" spans="1:15">
      <c r="A1061">
        <v>658</v>
      </c>
      <c r="B1061" s="1">
        <v>45723</v>
      </c>
      <c r="C1061">
        <v>32</v>
      </c>
      <c r="D1061" t="s">
        <v>14</v>
      </c>
      <c r="E1061" t="s">
        <v>22</v>
      </c>
      <c r="F1061" t="s">
        <v>16</v>
      </c>
      <c r="H1061">
        <v>478</v>
      </c>
      <c r="I1061" s="13">
        <v>3</v>
      </c>
      <c r="J1061">
        <v>1</v>
      </c>
      <c r="K1061">
        <v>119.47</v>
      </c>
      <c r="L1061">
        <v>5</v>
      </c>
      <c r="M1061">
        <v>11</v>
      </c>
      <c r="N1061">
        <v>5</v>
      </c>
      <c r="O1061">
        <f t="shared" si="16"/>
        <v>3</v>
      </c>
    </row>
    <row r="1062" spans="1:15">
      <c r="A1062">
        <v>24</v>
      </c>
      <c r="B1062" s="1">
        <v>45723</v>
      </c>
      <c r="C1062">
        <v>27</v>
      </c>
      <c r="D1062" t="s">
        <v>17</v>
      </c>
      <c r="E1062" t="s">
        <v>22</v>
      </c>
      <c r="F1062" t="s">
        <v>18</v>
      </c>
      <c r="G1062" t="s">
        <v>19</v>
      </c>
      <c r="H1062">
        <v>92.1</v>
      </c>
      <c r="I1062" s="13">
        <v>3</v>
      </c>
      <c r="J1062">
        <v>1</v>
      </c>
      <c r="K1062">
        <v>103.47</v>
      </c>
      <c r="L1062">
        <v>3</v>
      </c>
      <c r="M1062">
        <v>1</v>
      </c>
      <c r="N1062">
        <v>4</v>
      </c>
      <c r="O1062">
        <f t="shared" si="16"/>
        <v>3</v>
      </c>
    </row>
    <row r="1063" spans="1:15">
      <c r="A1063">
        <v>2348</v>
      </c>
      <c r="B1063" s="1">
        <v>45723</v>
      </c>
      <c r="C1063">
        <v>32</v>
      </c>
      <c r="D1063" t="s">
        <v>17</v>
      </c>
      <c r="E1063" t="s">
        <v>24</v>
      </c>
      <c r="F1063" t="s">
        <v>18</v>
      </c>
      <c r="G1063" t="s">
        <v>19</v>
      </c>
      <c r="H1063">
        <v>959.9</v>
      </c>
      <c r="I1063" s="13">
        <v>6</v>
      </c>
      <c r="J1063">
        <v>1</v>
      </c>
      <c r="K1063">
        <v>86.14</v>
      </c>
      <c r="L1063">
        <v>2</v>
      </c>
      <c r="M1063">
        <v>8</v>
      </c>
      <c r="N1063">
        <v>4</v>
      </c>
      <c r="O1063">
        <f t="shared" si="16"/>
        <v>3</v>
      </c>
    </row>
    <row r="1064" spans="1:15">
      <c r="A1064">
        <v>2282</v>
      </c>
      <c r="B1064" s="1">
        <v>45723</v>
      </c>
      <c r="C1064">
        <v>50</v>
      </c>
      <c r="D1064" t="s">
        <v>17</v>
      </c>
      <c r="E1064" t="s">
        <v>22</v>
      </c>
      <c r="F1064" t="s">
        <v>23</v>
      </c>
      <c r="H1064">
        <v>304.60000000000002</v>
      </c>
      <c r="I1064" s="13">
        <v>11</v>
      </c>
      <c r="J1064">
        <v>1</v>
      </c>
      <c r="K1064">
        <v>62.65</v>
      </c>
      <c r="L1064">
        <v>2</v>
      </c>
      <c r="M1064">
        <v>10</v>
      </c>
      <c r="N1064">
        <v>4</v>
      </c>
      <c r="O1064">
        <f t="shared" si="16"/>
        <v>3</v>
      </c>
    </row>
    <row r="1065" spans="1:15">
      <c r="A1065">
        <v>4671</v>
      </c>
      <c r="B1065" s="1">
        <v>45723</v>
      </c>
      <c r="C1065">
        <v>52</v>
      </c>
      <c r="D1065" t="s">
        <v>17</v>
      </c>
      <c r="E1065" t="s">
        <v>22</v>
      </c>
      <c r="F1065" t="s">
        <v>16</v>
      </c>
      <c r="H1065">
        <v>457.9</v>
      </c>
      <c r="I1065" s="13">
        <v>4</v>
      </c>
      <c r="J1065">
        <v>1</v>
      </c>
      <c r="K1065">
        <v>44.27</v>
      </c>
      <c r="L1065">
        <v>3</v>
      </c>
      <c r="M1065">
        <v>5</v>
      </c>
      <c r="N1065">
        <v>4</v>
      </c>
      <c r="O1065">
        <f t="shared" si="16"/>
        <v>3</v>
      </c>
    </row>
    <row r="1066" spans="1:15">
      <c r="A1066">
        <v>1968</v>
      </c>
      <c r="B1066" s="1">
        <v>45723</v>
      </c>
      <c r="C1066">
        <v>28</v>
      </c>
      <c r="D1066" t="s">
        <v>14</v>
      </c>
      <c r="E1066" t="s">
        <v>20</v>
      </c>
      <c r="F1066" t="s">
        <v>16</v>
      </c>
      <c r="H1066">
        <v>208.7</v>
      </c>
      <c r="I1066" s="13">
        <v>6</v>
      </c>
      <c r="J1066">
        <v>1</v>
      </c>
      <c r="K1066">
        <v>43.05</v>
      </c>
      <c r="L1066">
        <v>4</v>
      </c>
      <c r="M1066">
        <v>11</v>
      </c>
      <c r="N1066">
        <v>5</v>
      </c>
      <c r="O1066">
        <f t="shared" si="16"/>
        <v>3</v>
      </c>
    </row>
    <row r="1067" spans="1:15">
      <c r="A1067">
        <v>4944</v>
      </c>
      <c r="B1067" s="1">
        <v>45723</v>
      </c>
      <c r="C1067">
        <v>54</v>
      </c>
      <c r="D1067" t="s">
        <v>17</v>
      </c>
      <c r="E1067" t="s">
        <v>22</v>
      </c>
      <c r="F1067" t="s">
        <v>16</v>
      </c>
      <c r="H1067">
        <v>902.1</v>
      </c>
      <c r="I1067" s="13">
        <v>2</v>
      </c>
      <c r="J1067">
        <v>1</v>
      </c>
      <c r="K1067">
        <v>40.32</v>
      </c>
      <c r="L1067">
        <v>3</v>
      </c>
      <c r="M1067">
        <v>6</v>
      </c>
      <c r="N1067">
        <v>4</v>
      </c>
      <c r="O1067">
        <f t="shared" si="16"/>
        <v>3</v>
      </c>
    </row>
    <row r="1068" spans="1:15">
      <c r="A1068">
        <v>139</v>
      </c>
      <c r="B1068" s="1">
        <v>45723</v>
      </c>
      <c r="C1068">
        <v>28</v>
      </c>
      <c r="D1068" t="s">
        <v>14</v>
      </c>
      <c r="E1068" t="s">
        <v>20</v>
      </c>
      <c r="F1068" t="s">
        <v>18</v>
      </c>
      <c r="G1068" t="s">
        <v>29</v>
      </c>
      <c r="H1068">
        <v>579.6</v>
      </c>
      <c r="I1068" s="13">
        <v>5</v>
      </c>
      <c r="J1068">
        <v>0</v>
      </c>
      <c r="K1068">
        <v>0</v>
      </c>
      <c r="L1068">
        <v>0</v>
      </c>
      <c r="M1068">
        <v>0</v>
      </c>
      <c r="O1068">
        <f t="shared" si="16"/>
        <v>3</v>
      </c>
    </row>
    <row r="1069" spans="1:15">
      <c r="A1069">
        <v>4227</v>
      </c>
      <c r="B1069" s="1">
        <v>45723</v>
      </c>
      <c r="C1069">
        <v>42</v>
      </c>
      <c r="D1069" t="s">
        <v>14</v>
      </c>
      <c r="E1069" t="s">
        <v>24</v>
      </c>
      <c r="F1069" t="s">
        <v>23</v>
      </c>
      <c r="H1069">
        <v>568.1</v>
      </c>
      <c r="I1069" s="13">
        <v>6</v>
      </c>
      <c r="J1069">
        <v>0</v>
      </c>
      <c r="K1069">
        <v>0</v>
      </c>
      <c r="L1069">
        <v>0</v>
      </c>
      <c r="M1069">
        <v>0</v>
      </c>
      <c r="O1069">
        <f t="shared" si="16"/>
        <v>3</v>
      </c>
    </row>
    <row r="1070" spans="1:15">
      <c r="A1070">
        <v>2741</v>
      </c>
      <c r="B1070" s="1">
        <v>45723</v>
      </c>
      <c r="C1070">
        <v>41</v>
      </c>
      <c r="D1070" t="s">
        <v>17</v>
      </c>
      <c r="E1070" t="s">
        <v>24</v>
      </c>
      <c r="F1070" t="s">
        <v>18</v>
      </c>
      <c r="G1070" t="s">
        <v>26</v>
      </c>
      <c r="H1070">
        <v>370.8</v>
      </c>
      <c r="I1070" s="13">
        <v>8</v>
      </c>
      <c r="J1070">
        <v>0</v>
      </c>
      <c r="K1070">
        <v>0</v>
      </c>
      <c r="L1070">
        <v>0</v>
      </c>
      <c r="M1070">
        <v>0</v>
      </c>
      <c r="O1070">
        <f t="shared" si="16"/>
        <v>3</v>
      </c>
    </row>
    <row r="1071" spans="1:15">
      <c r="A1071">
        <v>3583</v>
      </c>
      <c r="B1071" s="1">
        <v>45723</v>
      </c>
      <c r="C1071">
        <v>34</v>
      </c>
      <c r="D1071" t="s">
        <v>17</v>
      </c>
      <c r="E1071" t="s">
        <v>20</v>
      </c>
      <c r="F1071" t="s">
        <v>23</v>
      </c>
      <c r="H1071">
        <v>359.1</v>
      </c>
      <c r="I1071" s="13">
        <v>6</v>
      </c>
      <c r="J1071">
        <v>0</v>
      </c>
      <c r="K1071">
        <v>0</v>
      </c>
      <c r="L1071">
        <v>0</v>
      </c>
      <c r="M1071">
        <v>0</v>
      </c>
      <c r="O1071">
        <f t="shared" si="16"/>
        <v>3</v>
      </c>
    </row>
    <row r="1072" spans="1:15">
      <c r="A1072">
        <v>608</v>
      </c>
      <c r="B1072" s="1">
        <v>45723</v>
      </c>
      <c r="C1072">
        <v>24</v>
      </c>
      <c r="D1072" t="s">
        <v>14</v>
      </c>
      <c r="E1072" t="s">
        <v>22</v>
      </c>
      <c r="F1072" t="s">
        <v>16</v>
      </c>
      <c r="H1072">
        <v>310.10000000000002</v>
      </c>
      <c r="I1072" s="13">
        <v>8</v>
      </c>
      <c r="J1072">
        <v>0</v>
      </c>
      <c r="K1072">
        <v>0</v>
      </c>
      <c r="L1072">
        <v>0</v>
      </c>
      <c r="M1072">
        <v>0</v>
      </c>
      <c r="O1072">
        <f t="shared" si="16"/>
        <v>3</v>
      </c>
    </row>
    <row r="1073" spans="1:15">
      <c r="A1073">
        <v>838</v>
      </c>
      <c r="B1073" s="1">
        <v>45723</v>
      </c>
      <c r="C1073">
        <v>18</v>
      </c>
      <c r="D1073" t="s">
        <v>14</v>
      </c>
      <c r="E1073" t="s">
        <v>15</v>
      </c>
      <c r="F1073" t="s">
        <v>18</v>
      </c>
      <c r="G1073" t="s">
        <v>29</v>
      </c>
      <c r="H1073">
        <v>270.10000000000002</v>
      </c>
      <c r="I1073" s="13">
        <v>6</v>
      </c>
      <c r="J1073">
        <v>0</v>
      </c>
      <c r="K1073">
        <v>0</v>
      </c>
      <c r="L1073">
        <v>0</v>
      </c>
      <c r="M1073">
        <v>0</v>
      </c>
      <c r="O1073">
        <f t="shared" si="16"/>
        <v>3</v>
      </c>
    </row>
    <row r="1074" spans="1:15">
      <c r="A1074">
        <v>2407</v>
      </c>
      <c r="B1074" s="1">
        <v>45723</v>
      </c>
      <c r="C1074">
        <v>26</v>
      </c>
      <c r="D1074" t="s">
        <v>14</v>
      </c>
      <c r="E1074" t="s">
        <v>20</v>
      </c>
      <c r="F1074" t="s">
        <v>16</v>
      </c>
      <c r="H1074">
        <v>130.69999999999999</v>
      </c>
      <c r="I1074" s="13">
        <v>6</v>
      </c>
      <c r="J1074">
        <v>0</v>
      </c>
      <c r="K1074">
        <v>0</v>
      </c>
      <c r="L1074">
        <v>0</v>
      </c>
      <c r="M1074">
        <v>0</v>
      </c>
      <c r="O1074">
        <f t="shared" si="16"/>
        <v>3</v>
      </c>
    </row>
    <row r="1075" spans="1:15">
      <c r="A1075">
        <v>1486</v>
      </c>
      <c r="B1075" s="1">
        <v>45723</v>
      </c>
      <c r="C1075">
        <v>25</v>
      </c>
      <c r="D1075" t="s">
        <v>14</v>
      </c>
      <c r="E1075" t="s">
        <v>22</v>
      </c>
      <c r="F1075" t="s">
        <v>16</v>
      </c>
      <c r="H1075">
        <v>130.1</v>
      </c>
      <c r="I1075" s="13">
        <v>9</v>
      </c>
      <c r="J1075">
        <v>0</v>
      </c>
      <c r="K1075">
        <v>0</v>
      </c>
      <c r="L1075">
        <v>0</v>
      </c>
      <c r="M1075">
        <v>0</v>
      </c>
      <c r="O1075">
        <f t="shared" si="16"/>
        <v>3</v>
      </c>
    </row>
    <row r="1076" spans="1:15">
      <c r="A1076">
        <v>4879</v>
      </c>
      <c r="B1076" s="1">
        <v>45723</v>
      </c>
      <c r="C1076">
        <v>54</v>
      </c>
      <c r="D1076" t="s">
        <v>17</v>
      </c>
      <c r="E1076" t="s">
        <v>20</v>
      </c>
      <c r="F1076" t="s">
        <v>16</v>
      </c>
      <c r="H1076">
        <v>84.3</v>
      </c>
      <c r="I1076" s="13">
        <v>5</v>
      </c>
      <c r="J1076">
        <v>0</v>
      </c>
      <c r="K1076">
        <v>0</v>
      </c>
      <c r="L1076">
        <v>0</v>
      </c>
      <c r="M1076">
        <v>0</v>
      </c>
      <c r="O1076">
        <f t="shared" si="16"/>
        <v>3</v>
      </c>
    </row>
    <row r="1077" spans="1:15">
      <c r="A1077">
        <v>3822</v>
      </c>
      <c r="B1077" s="1">
        <v>45723</v>
      </c>
      <c r="C1077">
        <v>56</v>
      </c>
      <c r="D1077" t="s">
        <v>14</v>
      </c>
      <c r="E1077" t="s">
        <v>22</v>
      </c>
      <c r="F1077" t="s">
        <v>23</v>
      </c>
      <c r="H1077">
        <v>56.1</v>
      </c>
      <c r="I1077" s="13">
        <v>3</v>
      </c>
      <c r="J1077">
        <v>0</v>
      </c>
      <c r="K1077">
        <v>0</v>
      </c>
      <c r="L1077">
        <v>0</v>
      </c>
      <c r="M1077">
        <v>0</v>
      </c>
      <c r="O1077">
        <f t="shared" si="16"/>
        <v>3</v>
      </c>
    </row>
    <row r="1078" spans="1:15">
      <c r="A1078">
        <v>1628</v>
      </c>
      <c r="B1078" s="1">
        <v>45754</v>
      </c>
      <c r="C1078">
        <v>20</v>
      </c>
      <c r="D1078" t="s">
        <v>14</v>
      </c>
      <c r="E1078" t="s">
        <v>15</v>
      </c>
      <c r="F1078" t="s">
        <v>23</v>
      </c>
      <c r="H1078">
        <v>222.2</v>
      </c>
      <c r="I1078" s="13">
        <v>8</v>
      </c>
      <c r="J1078">
        <v>1</v>
      </c>
      <c r="K1078">
        <v>119.32</v>
      </c>
      <c r="L1078">
        <v>1</v>
      </c>
      <c r="M1078">
        <v>10</v>
      </c>
      <c r="N1078">
        <v>4</v>
      </c>
      <c r="O1078">
        <f t="shared" si="16"/>
        <v>4</v>
      </c>
    </row>
    <row r="1079" spans="1:15">
      <c r="A1079">
        <v>3186</v>
      </c>
      <c r="B1079" s="1">
        <v>45754</v>
      </c>
      <c r="C1079">
        <v>40</v>
      </c>
      <c r="D1079" t="s">
        <v>14</v>
      </c>
      <c r="E1079" t="s">
        <v>24</v>
      </c>
      <c r="F1079" t="s">
        <v>23</v>
      </c>
      <c r="H1079">
        <v>220.4</v>
      </c>
      <c r="I1079" s="13">
        <v>5</v>
      </c>
      <c r="J1079">
        <v>1</v>
      </c>
      <c r="K1079">
        <v>81.55</v>
      </c>
      <c r="L1079">
        <v>8</v>
      </c>
      <c r="M1079">
        <v>8</v>
      </c>
      <c r="N1079">
        <v>4</v>
      </c>
      <c r="O1079">
        <f t="shared" si="16"/>
        <v>4</v>
      </c>
    </row>
    <row r="1080" spans="1:15">
      <c r="A1080">
        <v>652</v>
      </c>
      <c r="B1080" s="1">
        <v>45754</v>
      </c>
      <c r="C1080">
        <v>18</v>
      </c>
      <c r="D1080" t="s">
        <v>17</v>
      </c>
      <c r="E1080" t="s">
        <v>24</v>
      </c>
      <c r="F1080" t="s">
        <v>21</v>
      </c>
      <c r="H1080">
        <v>735.5</v>
      </c>
      <c r="I1080" s="13">
        <v>4</v>
      </c>
      <c r="J1080">
        <v>1</v>
      </c>
      <c r="K1080">
        <v>48.75</v>
      </c>
      <c r="L1080">
        <v>3</v>
      </c>
      <c r="M1080">
        <v>15</v>
      </c>
      <c r="N1080">
        <v>4</v>
      </c>
      <c r="O1080">
        <f t="shared" si="16"/>
        <v>4</v>
      </c>
    </row>
    <row r="1081" spans="1:15">
      <c r="A1081">
        <v>2475</v>
      </c>
      <c r="B1081" s="1">
        <v>45754</v>
      </c>
      <c r="C1081">
        <v>25</v>
      </c>
      <c r="D1081" t="s">
        <v>17</v>
      </c>
      <c r="E1081" t="s">
        <v>22</v>
      </c>
      <c r="F1081" t="s">
        <v>16</v>
      </c>
      <c r="H1081">
        <v>920.1</v>
      </c>
      <c r="I1081" s="13">
        <v>1</v>
      </c>
      <c r="J1081">
        <v>1</v>
      </c>
      <c r="K1081">
        <v>30.43</v>
      </c>
      <c r="L1081">
        <v>1</v>
      </c>
      <c r="M1081">
        <v>4</v>
      </c>
      <c r="N1081">
        <v>5</v>
      </c>
      <c r="O1081">
        <f t="shared" si="16"/>
        <v>4</v>
      </c>
    </row>
    <row r="1082" spans="1:15">
      <c r="A1082">
        <v>2085</v>
      </c>
      <c r="B1082" s="1">
        <v>45754</v>
      </c>
      <c r="C1082">
        <v>44</v>
      </c>
      <c r="D1082" t="s">
        <v>17</v>
      </c>
      <c r="E1082" t="s">
        <v>24</v>
      </c>
      <c r="F1082" t="s">
        <v>18</v>
      </c>
      <c r="G1082" t="s">
        <v>29</v>
      </c>
      <c r="H1082">
        <v>358.3</v>
      </c>
      <c r="I1082" s="13">
        <v>1</v>
      </c>
      <c r="J1082">
        <v>1</v>
      </c>
      <c r="K1082">
        <v>29.14</v>
      </c>
      <c r="L1082">
        <v>2</v>
      </c>
      <c r="M1082">
        <v>1</v>
      </c>
      <c r="N1082">
        <v>5</v>
      </c>
      <c r="O1082">
        <f t="shared" si="16"/>
        <v>4</v>
      </c>
    </row>
    <row r="1083" spans="1:15">
      <c r="A1083">
        <v>1114</v>
      </c>
      <c r="B1083" s="1">
        <v>45754</v>
      </c>
      <c r="C1083">
        <v>19</v>
      </c>
      <c r="D1083" t="s">
        <v>17</v>
      </c>
      <c r="E1083" t="s">
        <v>15</v>
      </c>
      <c r="F1083" t="s">
        <v>21</v>
      </c>
      <c r="H1083">
        <v>414.6</v>
      </c>
      <c r="I1083" s="13">
        <v>4</v>
      </c>
      <c r="J1083">
        <v>1</v>
      </c>
      <c r="K1083">
        <v>20.81</v>
      </c>
      <c r="L1083">
        <v>2</v>
      </c>
      <c r="M1083">
        <v>1</v>
      </c>
      <c r="N1083">
        <v>4</v>
      </c>
      <c r="O1083">
        <f t="shared" si="16"/>
        <v>4</v>
      </c>
    </row>
    <row r="1084" spans="1:15">
      <c r="A1084">
        <v>3572</v>
      </c>
      <c r="B1084" s="1">
        <v>45754</v>
      </c>
      <c r="C1084">
        <v>31</v>
      </c>
      <c r="D1084" t="s">
        <v>17</v>
      </c>
      <c r="E1084" t="s">
        <v>20</v>
      </c>
      <c r="F1084" t="s">
        <v>18</v>
      </c>
      <c r="G1084" t="s">
        <v>31</v>
      </c>
      <c r="H1084">
        <v>622.70000000000005</v>
      </c>
      <c r="I1084" s="13">
        <v>4</v>
      </c>
      <c r="J1084">
        <v>0</v>
      </c>
      <c r="K1084">
        <v>0</v>
      </c>
      <c r="L1084">
        <v>0</v>
      </c>
      <c r="M1084">
        <v>0</v>
      </c>
      <c r="O1084">
        <f t="shared" si="16"/>
        <v>4</v>
      </c>
    </row>
    <row r="1085" spans="1:15">
      <c r="A1085">
        <v>4913</v>
      </c>
      <c r="B1085" s="1">
        <v>45754</v>
      </c>
      <c r="C1085">
        <v>48</v>
      </c>
      <c r="D1085" t="s">
        <v>17</v>
      </c>
      <c r="E1085" t="s">
        <v>22</v>
      </c>
      <c r="F1085" t="s">
        <v>21</v>
      </c>
      <c r="H1085">
        <v>530.9</v>
      </c>
      <c r="I1085" s="13">
        <v>3</v>
      </c>
      <c r="J1085">
        <v>0</v>
      </c>
      <c r="K1085">
        <v>0</v>
      </c>
      <c r="L1085">
        <v>0</v>
      </c>
      <c r="M1085">
        <v>0</v>
      </c>
      <c r="O1085">
        <f t="shared" si="16"/>
        <v>4</v>
      </c>
    </row>
    <row r="1086" spans="1:15">
      <c r="A1086">
        <v>164</v>
      </c>
      <c r="B1086" s="1">
        <v>45754</v>
      </c>
      <c r="C1086">
        <v>26</v>
      </c>
      <c r="D1086" t="s">
        <v>14</v>
      </c>
      <c r="E1086" t="s">
        <v>22</v>
      </c>
      <c r="F1086" t="s">
        <v>21</v>
      </c>
      <c r="H1086">
        <v>488.7</v>
      </c>
      <c r="I1086" s="13">
        <v>5</v>
      </c>
      <c r="J1086">
        <v>0</v>
      </c>
      <c r="K1086">
        <v>0</v>
      </c>
      <c r="L1086">
        <v>0</v>
      </c>
      <c r="M1086">
        <v>0</v>
      </c>
      <c r="O1086">
        <f t="shared" si="16"/>
        <v>4</v>
      </c>
    </row>
    <row r="1087" spans="1:15">
      <c r="A1087">
        <v>3274</v>
      </c>
      <c r="B1087" s="1">
        <v>45754</v>
      </c>
      <c r="C1087">
        <v>40</v>
      </c>
      <c r="D1087" t="s">
        <v>17</v>
      </c>
      <c r="E1087" t="s">
        <v>15</v>
      </c>
      <c r="F1087" t="s">
        <v>18</v>
      </c>
      <c r="G1087" t="s">
        <v>25</v>
      </c>
      <c r="H1087">
        <v>415.8</v>
      </c>
      <c r="I1087" s="13">
        <v>7</v>
      </c>
      <c r="J1087">
        <v>0</v>
      </c>
      <c r="K1087">
        <v>0</v>
      </c>
      <c r="L1087">
        <v>0</v>
      </c>
      <c r="M1087">
        <v>0</v>
      </c>
      <c r="O1087">
        <f t="shared" si="16"/>
        <v>4</v>
      </c>
    </row>
    <row r="1088" spans="1:15">
      <c r="A1088">
        <v>502</v>
      </c>
      <c r="B1088" s="1">
        <v>45754</v>
      </c>
      <c r="C1088">
        <v>28</v>
      </c>
      <c r="D1088" t="s">
        <v>17</v>
      </c>
      <c r="E1088" t="s">
        <v>20</v>
      </c>
      <c r="F1088" t="s">
        <v>16</v>
      </c>
      <c r="H1088">
        <v>344.2</v>
      </c>
      <c r="I1088" s="13">
        <v>6</v>
      </c>
      <c r="J1088">
        <v>0</v>
      </c>
      <c r="K1088">
        <v>0</v>
      </c>
      <c r="L1088">
        <v>0</v>
      </c>
      <c r="M1088">
        <v>0</v>
      </c>
      <c r="O1088">
        <f t="shared" si="16"/>
        <v>4</v>
      </c>
    </row>
    <row r="1089" spans="1:15">
      <c r="A1089">
        <v>758</v>
      </c>
      <c r="B1089" s="1">
        <v>45754</v>
      </c>
      <c r="C1089">
        <v>23</v>
      </c>
      <c r="D1089" t="s">
        <v>17</v>
      </c>
      <c r="E1089" t="s">
        <v>24</v>
      </c>
      <c r="F1089" t="s">
        <v>16</v>
      </c>
      <c r="H1089">
        <v>336.9</v>
      </c>
      <c r="I1089" s="13">
        <v>8</v>
      </c>
      <c r="J1089">
        <v>0</v>
      </c>
      <c r="K1089">
        <v>0</v>
      </c>
      <c r="L1089">
        <v>0</v>
      </c>
      <c r="M1089">
        <v>0</v>
      </c>
      <c r="O1089">
        <f t="shared" si="16"/>
        <v>4</v>
      </c>
    </row>
    <row r="1090" spans="1:15">
      <c r="A1090">
        <v>1751</v>
      </c>
      <c r="B1090" s="1">
        <v>45754</v>
      </c>
      <c r="C1090">
        <v>38</v>
      </c>
      <c r="D1090" t="s">
        <v>14</v>
      </c>
      <c r="E1090" t="s">
        <v>24</v>
      </c>
      <c r="F1090" t="s">
        <v>16</v>
      </c>
      <c r="H1090">
        <v>274.8</v>
      </c>
      <c r="I1090" s="13">
        <v>6</v>
      </c>
      <c r="J1090">
        <v>0</v>
      </c>
      <c r="K1090">
        <v>0</v>
      </c>
      <c r="L1090">
        <v>0</v>
      </c>
      <c r="M1090">
        <v>0</v>
      </c>
      <c r="O1090">
        <f t="shared" si="16"/>
        <v>4</v>
      </c>
    </row>
    <row r="1091" spans="1:15">
      <c r="A1091">
        <v>1508</v>
      </c>
      <c r="B1091" s="1">
        <v>45754</v>
      </c>
      <c r="C1091">
        <v>18</v>
      </c>
      <c r="D1091" t="s">
        <v>14</v>
      </c>
      <c r="E1091" t="s">
        <v>22</v>
      </c>
      <c r="F1091" t="s">
        <v>18</v>
      </c>
      <c r="G1091" t="s">
        <v>29</v>
      </c>
      <c r="H1091">
        <v>262.89999999999998</v>
      </c>
      <c r="I1091" s="13">
        <v>7</v>
      </c>
      <c r="J1091">
        <v>0</v>
      </c>
      <c r="K1091">
        <v>0</v>
      </c>
      <c r="L1091">
        <v>0</v>
      </c>
      <c r="M1091">
        <v>0</v>
      </c>
      <c r="O1091">
        <f t="shared" ref="O1091:O1154" si="17">MONTH(B1091)</f>
        <v>4</v>
      </c>
    </row>
    <row r="1092" spans="1:15">
      <c r="A1092">
        <v>3478</v>
      </c>
      <c r="B1092" s="1">
        <v>45754</v>
      </c>
      <c r="C1092">
        <v>33</v>
      </c>
      <c r="D1092" t="s">
        <v>17</v>
      </c>
      <c r="E1092" t="s">
        <v>15</v>
      </c>
      <c r="F1092" t="s">
        <v>23</v>
      </c>
      <c r="H1092">
        <v>203.6</v>
      </c>
      <c r="I1092" s="13">
        <v>5</v>
      </c>
      <c r="J1092">
        <v>0</v>
      </c>
      <c r="K1092">
        <v>0</v>
      </c>
      <c r="L1092">
        <v>0</v>
      </c>
      <c r="M1092">
        <v>0</v>
      </c>
      <c r="O1092">
        <f t="shared" si="17"/>
        <v>4</v>
      </c>
    </row>
    <row r="1093" spans="1:15">
      <c r="A1093">
        <v>4765</v>
      </c>
      <c r="B1093" s="1">
        <v>45754</v>
      </c>
      <c r="C1093">
        <v>52</v>
      </c>
      <c r="D1093" t="s">
        <v>17</v>
      </c>
      <c r="E1093" t="s">
        <v>24</v>
      </c>
      <c r="F1093" t="s">
        <v>16</v>
      </c>
      <c r="H1093">
        <v>184.9</v>
      </c>
      <c r="I1093" s="13">
        <v>3</v>
      </c>
      <c r="J1093">
        <v>0</v>
      </c>
      <c r="K1093">
        <v>0</v>
      </c>
      <c r="L1093">
        <v>0</v>
      </c>
      <c r="M1093">
        <v>0</v>
      </c>
      <c r="O1093">
        <f t="shared" si="17"/>
        <v>4</v>
      </c>
    </row>
    <row r="1094" spans="1:15">
      <c r="A1094">
        <v>3144</v>
      </c>
      <c r="B1094" s="1">
        <v>45754</v>
      </c>
      <c r="C1094">
        <v>18</v>
      </c>
      <c r="D1094" t="s">
        <v>14</v>
      </c>
      <c r="E1094" t="s">
        <v>15</v>
      </c>
      <c r="F1094" t="s">
        <v>18</v>
      </c>
      <c r="G1094" t="s">
        <v>30</v>
      </c>
      <c r="H1094">
        <v>176.4</v>
      </c>
      <c r="I1094" s="13">
        <v>5</v>
      </c>
      <c r="J1094">
        <v>0</v>
      </c>
      <c r="K1094">
        <v>0</v>
      </c>
      <c r="L1094">
        <v>0</v>
      </c>
      <c r="M1094">
        <v>0</v>
      </c>
      <c r="O1094">
        <f t="shared" si="17"/>
        <v>4</v>
      </c>
    </row>
    <row r="1095" spans="1:15">
      <c r="A1095">
        <v>825</v>
      </c>
      <c r="B1095" s="1">
        <v>45754</v>
      </c>
      <c r="C1095">
        <v>19</v>
      </c>
      <c r="D1095" t="s">
        <v>14</v>
      </c>
      <c r="E1095" t="s">
        <v>22</v>
      </c>
      <c r="F1095" t="s">
        <v>16</v>
      </c>
      <c r="H1095">
        <v>146.6</v>
      </c>
      <c r="I1095" s="13">
        <v>7</v>
      </c>
      <c r="J1095">
        <v>0</v>
      </c>
      <c r="K1095">
        <v>0</v>
      </c>
      <c r="L1095">
        <v>0</v>
      </c>
      <c r="M1095">
        <v>0</v>
      </c>
      <c r="O1095">
        <f t="shared" si="17"/>
        <v>4</v>
      </c>
    </row>
    <row r="1096" spans="1:15">
      <c r="A1096">
        <v>2359</v>
      </c>
      <c r="B1096" s="1">
        <v>45754</v>
      </c>
      <c r="C1096">
        <v>33</v>
      </c>
      <c r="D1096" t="s">
        <v>17</v>
      </c>
      <c r="E1096" t="s">
        <v>20</v>
      </c>
      <c r="F1096" t="s">
        <v>21</v>
      </c>
      <c r="H1096">
        <v>111.8</v>
      </c>
      <c r="I1096" s="13">
        <v>5</v>
      </c>
      <c r="J1096">
        <v>0</v>
      </c>
      <c r="K1096">
        <v>0</v>
      </c>
      <c r="L1096">
        <v>0</v>
      </c>
      <c r="M1096">
        <v>0</v>
      </c>
      <c r="O1096">
        <f t="shared" si="17"/>
        <v>4</v>
      </c>
    </row>
    <row r="1097" spans="1:15">
      <c r="A1097">
        <v>561</v>
      </c>
      <c r="B1097" s="1">
        <v>45784</v>
      </c>
      <c r="C1097">
        <v>18</v>
      </c>
      <c r="D1097" t="s">
        <v>14</v>
      </c>
      <c r="E1097" t="s">
        <v>22</v>
      </c>
      <c r="F1097" t="s">
        <v>21</v>
      </c>
      <c r="H1097">
        <v>412.7</v>
      </c>
      <c r="I1097" s="13">
        <v>5</v>
      </c>
      <c r="J1097">
        <v>1</v>
      </c>
      <c r="K1097">
        <v>68</v>
      </c>
      <c r="L1097">
        <v>4</v>
      </c>
      <c r="M1097">
        <v>14</v>
      </c>
      <c r="N1097">
        <v>5</v>
      </c>
      <c r="O1097">
        <f t="shared" si="17"/>
        <v>5</v>
      </c>
    </row>
    <row r="1098" spans="1:15">
      <c r="A1098">
        <v>4645</v>
      </c>
      <c r="B1098" s="1">
        <v>45784</v>
      </c>
      <c r="C1098">
        <v>69</v>
      </c>
      <c r="D1098" t="s">
        <v>17</v>
      </c>
      <c r="E1098" t="s">
        <v>22</v>
      </c>
      <c r="F1098" t="s">
        <v>16</v>
      </c>
      <c r="H1098">
        <v>708.6</v>
      </c>
      <c r="I1098" s="13">
        <v>6</v>
      </c>
      <c r="J1098">
        <v>1</v>
      </c>
      <c r="K1098">
        <v>314.73</v>
      </c>
      <c r="L1098">
        <v>3</v>
      </c>
      <c r="M1098">
        <v>5</v>
      </c>
      <c r="N1098">
        <v>4</v>
      </c>
      <c r="O1098">
        <f t="shared" si="17"/>
        <v>5</v>
      </c>
    </row>
    <row r="1099" spans="1:15">
      <c r="A1099">
        <v>2314</v>
      </c>
      <c r="B1099" s="1">
        <v>45784</v>
      </c>
      <c r="C1099">
        <v>18</v>
      </c>
      <c r="D1099" t="s">
        <v>17</v>
      </c>
      <c r="E1099" t="s">
        <v>22</v>
      </c>
      <c r="F1099" t="s">
        <v>16</v>
      </c>
      <c r="H1099">
        <v>899</v>
      </c>
      <c r="I1099" s="13">
        <v>8</v>
      </c>
      <c r="J1099">
        <v>1</v>
      </c>
      <c r="K1099">
        <v>115.47</v>
      </c>
      <c r="L1099">
        <v>1</v>
      </c>
      <c r="M1099">
        <v>3</v>
      </c>
      <c r="N1099">
        <v>5</v>
      </c>
      <c r="O1099">
        <f t="shared" si="17"/>
        <v>5</v>
      </c>
    </row>
    <row r="1100" spans="1:15">
      <c r="A1100">
        <v>3085</v>
      </c>
      <c r="B1100" s="1">
        <v>45784</v>
      </c>
      <c r="C1100">
        <v>37</v>
      </c>
      <c r="D1100" t="s">
        <v>14</v>
      </c>
      <c r="E1100" t="s">
        <v>20</v>
      </c>
      <c r="F1100" t="s">
        <v>21</v>
      </c>
      <c r="H1100">
        <v>442</v>
      </c>
      <c r="I1100" s="13">
        <v>5</v>
      </c>
      <c r="J1100">
        <v>1</v>
      </c>
      <c r="K1100">
        <v>73.69</v>
      </c>
      <c r="L1100">
        <v>4</v>
      </c>
      <c r="M1100">
        <v>5</v>
      </c>
      <c r="N1100">
        <v>5</v>
      </c>
      <c r="O1100">
        <f t="shared" si="17"/>
        <v>5</v>
      </c>
    </row>
    <row r="1101" spans="1:15">
      <c r="A1101">
        <v>3245</v>
      </c>
      <c r="B1101" s="1">
        <v>45784</v>
      </c>
      <c r="C1101">
        <v>18</v>
      </c>
      <c r="D1101" t="s">
        <v>27</v>
      </c>
      <c r="E1101" t="s">
        <v>15</v>
      </c>
      <c r="F1101" t="s">
        <v>16</v>
      </c>
      <c r="H1101">
        <v>915.6</v>
      </c>
      <c r="I1101" s="13">
        <v>8</v>
      </c>
      <c r="J1101">
        <v>1</v>
      </c>
      <c r="K1101">
        <v>57.32</v>
      </c>
      <c r="L1101">
        <v>2</v>
      </c>
      <c r="M1101">
        <v>9</v>
      </c>
      <c r="N1101">
        <v>4</v>
      </c>
      <c r="O1101">
        <f t="shared" si="17"/>
        <v>5</v>
      </c>
    </row>
    <row r="1102" spans="1:15">
      <c r="A1102">
        <v>2632</v>
      </c>
      <c r="B1102" s="1">
        <v>45784</v>
      </c>
      <c r="C1102">
        <v>31</v>
      </c>
      <c r="D1102" t="s">
        <v>17</v>
      </c>
      <c r="E1102" t="s">
        <v>22</v>
      </c>
      <c r="F1102" t="s">
        <v>16</v>
      </c>
      <c r="H1102">
        <v>284.2</v>
      </c>
      <c r="I1102" s="13">
        <v>10</v>
      </c>
      <c r="J1102">
        <v>1</v>
      </c>
      <c r="K1102">
        <v>53.78</v>
      </c>
      <c r="L1102">
        <v>3</v>
      </c>
      <c r="M1102">
        <v>7</v>
      </c>
      <c r="N1102">
        <v>4</v>
      </c>
      <c r="O1102">
        <f t="shared" si="17"/>
        <v>5</v>
      </c>
    </row>
    <row r="1103" spans="1:15">
      <c r="A1103">
        <v>4231</v>
      </c>
      <c r="B1103" s="1">
        <v>45784</v>
      </c>
      <c r="C1103">
        <v>53</v>
      </c>
      <c r="D1103" t="s">
        <v>14</v>
      </c>
      <c r="E1103" t="s">
        <v>20</v>
      </c>
      <c r="F1103" t="s">
        <v>23</v>
      </c>
      <c r="H1103">
        <v>319.5</v>
      </c>
      <c r="I1103" s="13">
        <v>4</v>
      </c>
      <c r="J1103">
        <v>1</v>
      </c>
      <c r="K1103">
        <v>44.44</v>
      </c>
      <c r="L1103">
        <v>2</v>
      </c>
      <c r="M1103">
        <v>3</v>
      </c>
      <c r="N1103">
        <v>3</v>
      </c>
      <c r="O1103">
        <f t="shared" si="17"/>
        <v>5</v>
      </c>
    </row>
    <row r="1104" spans="1:15">
      <c r="A1104">
        <v>338</v>
      </c>
      <c r="B1104" s="1">
        <v>45784</v>
      </c>
      <c r="C1104">
        <v>27</v>
      </c>
      <c r="D1104" t="s">
        <v>14</v>
      </c>
      <c r="E1104" t="s">
        <v>20</v>
      </c>
      <c r="F1104" t="s">
        <v>23</v>
      </c>
      <c r="H1104">
        <v>398.8</v>
      </c>
      <c r="I1104" s="13">
        <v>7</v>
      </c>
      <c r="J1104">
        <v>1</v>
      </c>
      <c r="K1104">
        <v>43.96</v>
      </c>
      <c r="L1104">
        <v>1</v>
      </c>
      <c r="M1104">
        <v>12</v>
      </c>
      <c r="N1104">
        <v>4</v>
      </c>
      <c r="O1104">
        <f t="shared" si="17"/>
        <v>5</v>
      </c>
    </row>
    <row r="1105" spans="1:15">
      <c r="A1105">
        <v>2640</v>
      </c>
      <c r="B1105" s="1">
        <v>45784</v>
      </c>
      <c r="C1105">
        <v>37</v>
      </c>
      <c r="D1105" t="s">
        <v>17</v>
      </c>
      <c r="E1105" t="s">
        <v>20</v>
      </c>
      <c r="F1105" t="s">
        <v>16</v>
      </c>
      <c r="H1105">
        <v>311.5</v>
      </c>
      <c r="I1105" s="13">
        <v>5</v>
      </c>
      <c r="J1105">
        <v>1</v>
      </c>
      <c r="K1105">
        <v>41.64</v>
      </c>
      <c r="L1105">
        <v>2</v>
      </c>
      <c r="M1105">
        <v>2</v>
      </c>
      <c r="N1105">
        <v>4</v>
      </c>
      <c r="O1105">
        <f t="shared" si="17"/>
        <v>5</v>
      </c>
    </row>
    <row r="1106" spans="1:15">
      <c r="A1106">
        <v>1438</v>
      </c>
      <c r="B1106" s="1">
        <v>45784</v>
      </c>
      <c r="C1106">
        <v>22</v>
      </c>
      <c r="D1106" t="s">
        <v>14</v>
      </c>
      <c r="E1106" t="s">
        <v>20</v>
      </c>
      <c r="F1106" t="s">
        <v>18</v>
      </c>
      <c r="G1106" t="s">
        <v>19</v>
      </c>
      <c r="H1106">
        <v>513.20000000000005</v>
      </c>
      <c r="I1106" s="13">
        <v>6</v>
      </c>
      <c r="J1106">
        <v>1</v>
      </c>
      <c r="K1106">
        <v>41.29</v>
      </c>
      <c r="L1106">
        <v>4</v>
      </c>
      <c r="M1106">
        <v>6</v>
      </c>
      <c r="N1106">
        <v>4</v>
      </c>
      <c r="O1106">
        <f t="shared" si="17"/>
        <v>5</v>
      </c>
    </row>
    <row r="1107" spans="1:15">
      <c r="A1107">
        <v>2966</v>
      </c>
      <c r="B1107" s="1">
        <v>45784</v>
      </c>
      <c r="C1107">
        <v>32</v>
      </c>
      <c r="D1107" t="s">
        <v>17</v>
      </c>
      <c r="E1107" t="s">
        <v>20</v>
      </c>
      <c r="F1107" t="s">
        <v>18</v>
      </c>
      <c r="G1107" t="s">
        <v>19</v>
      </c>
      <c r="H1107">
        <v>338.6</v>
      </c>
      <c r="I1107" s="13">
        <v>9</v>
      </c>
      <c r="J1107">
        <v>1</v>
      </c>
      <c r="K1107">
        <v>41.08</v>
      </c>
      <c r="L1107">
        <v>4</v>
      </c>
      <c r="M1107">
        <v>4</v>
      </c>
      <c r="N1107">
        <v>3</v>
      </c>
      <c r="O1107">
        <f t="shared" si="17"/>
        <v>5</v>
      </c>
    </row>
    <row r="1108" spans="1:15">
      <c r="A1108">
        <v>2983</v>
      </c>
      <c r="B1108" s="1">
        <v>45784</v>
      </c>
      <c r="C1108">
        <v>19</v>
      </c>
      <c r="D1108" t="s">
        <v>14</v>
      </c>
      <c r="E1108" t="s">
        <v>22</v>
      </c>
      <c r="F1108" t="s">
        <v>18</v>
      </c>
      <c r="G1108" t="s">
        <v>28</v>
      </c>
      <c r="H1108">
        <v>454.8</v>
      </c>
      <c r="I1108" s="13">
        <v>1</v>
      </c>
      <c r="J1108">
        <v>1</v>
      </c>
      <c r="K1108">
        <v>35.57</v>
      </c>
      <c r="L1108">
        <v>2</v>
      </c>
      <c r="M1108">
        <v>10</v>
      </c>
      <c r="N1108">
        <v>5</v>
      </c>
      <c r="O1108">
        <f t="shared" si="17"/>
        <v>5</v>
      </c>
    </row>
    <row r="1109" spans="1:15">
      <c r="A1109">
        <v>3153</v>
      </c>
      <c r="B1109" s="1">
        <v>45784</v>
      </c>
      <c r="C1109">
        <v>40</v>
      </c>
      <c r="D1109" t="s">
        <v>14</v>
      </c>
      <c r="E1109" t="s">
        <v>15</v>
      </c>
      <c r="F1109" t="s">
        <v>21</v>
      </c>
      <c r="H1109">
        <v>1539.7</v>
      </c>
      <c r="I1109" s="13">
        <v>6</v>
      </c>
      <c r="J1109">
        <v>1</v>
      </c>
      <c r="K1109">
        <v>20.3</v>
      </c>
      <c r="L1109">
        <v>1</v>
      </c>
      <c r="M1109">
        <v>7</v>
      </c>
      <c r="N1109">
        <v>4</v>
      </c>
      <c r="O1109">
        <f t="shared" si="17"/>
        <v>5</v>
      </c>
    </row>
    <row r="1110" spans="1:15">
      <c r="A1110">
        <v>2979</v>
      </c>
      <c r="B1110" s="1">
        <v>45784</v>
      </c>
      <c r="C1110">
        <v>37</v>
      </c>
      <c r="D1110" t="s">
        <v>14</v>
      </c>
      <c r="E1110" t="s">
        <v>22</v>
      </c>
      <c r="F1110" t="s">
        <v>21</v>
      </c>
      <c r="H1110">
        <v>275.5</v>
      </c>
      <c r="I1110" s="13">
        <v>6</v>
      </c>
      <c r="J1110">
        <v>1</v>
      </c>
      <c r="K1110">
        <v>17.66</v>
      </c>
      <c r="L1110">
        <v>3</v>
      </c>
      <c r="M1110">
        <v>12</v>
      </c>
      <c r="N1110">
        <v>5</v>
      </c>
      <c r="O1110">
        <f t="shared" si="17"/>
        <v>5</v>
      </c>
    </row>
    <row r="1111" spans="1:15">
      <c r="A1111">
        <v>2221</v>
      </c>
      <c r="B1111" s="1">
        <v>45784</v>
      </c>
      <c r="C1111">
        <v>25</v>
      </c>
      <c r="D1111" t="s">
        <v>14</v>
      </c>
      <c r="E1111" t="s">
        <v>15</v>
      </c>
      <c r="F1111" t="s">
        <v>16</v>
      </c>
      <c r="H1111">
        <v>568</v>
      </c>
      <c r="I1111" s="13">
        <v>4</v>
      </c>
      <c r="J1111">
        <v>0</v>
      </c>
      <c r="K1111">
        <v>0</v>
      </c>
      <c r="L1111">
        <v>0</v>
      </c>
      <c r="M1111">
        <v>0</v>
      </c>
      <c r="O1111">
        <f t="shared" si="17"/>
        <v>5</v>
      </c>
    </row>
    <row r="1112" spans="1:15">
      <c r="A1112">
        <v>3046</v>
      </c>
      <c r="B1112" s="1">
        <v>45784</v>
      </c>
      <c r="C1112">
        <v>52</v>
      </c>
      <c r="D1112" t="s">
        <v>17</v>
      </c>
      <c r="E1112" t="s">
        <v>20</v>
      </c>
      <c r="F1112" t="s">
        <v>18</v>
      </c>
      <c r="G1112" t="s">
        <v>19</v>
      </c>
      <c r="H1112">
        <v>559.79999999999995</v>
      </c>
      <c r="I1112" s="13">
        <v>8</v>
      </c>
      <c r="J1112">
        <v>0</v>
      </c>
      <c r="K1112">
        <v>0</v>
      </c>
      <c r="L1112">
        <v>0</v>
      </c>
      <c r="M1112">
        <v>0</v>
      </c>
      <c r="O1112">
        <f t="shared" si="17"/>
        <v>5</v>
      </c>
    </row>
    <row r="1113" spans="1:15">
      <c r="A1113">
        <v>2268</v>
      </c>
      <c r="B1113" s="1">
        <v>45784</v>
      </c>
      <c r="C1113">
        <v>30</v>
      </c>
      <c r="D1113" t="s">
        <v>14</v>
      </c>
      <c r="E1113" t="s">
        <v>20</v>
      </c>
      <c r="F1113" t="s">
        <v>16</v>
      </c>
      <c r="H1113">
        <v>442.5</v>
      </c>
      <c r="I1113" s="13">
        <v>2</v>
      </c>
      <c r="J1113">
        <v>0</v>
      </c>
      <c r="K1113">
        <v>0</v>
      </c>
      <c r="L1113">
        <v>0</v>
      </c>
      <c r="M1113">
        <v>0</v>
      </c>
      <c r="O1113">
        <f t="shared" si="17"/>
        <v>5</v>
      </c>
    </row>
    <row r="1114" spans="1:15">
      <c r="A1114">
        <v>138</v>
      </c>
      <c r="B1114" s="1">
        <v>45784</v>
      </c>
      <c r="C1114">
        <v>23</v>
      </c>
      <c r="D1114" t="s">
        <v>17</v>
      </c>
      <c r="E1114" t="s">
        <v>22</v>
      </c>
      <c r="F1114" t="s">
        <v>18</v>
      </c>
      <c r="G1114" t="s">
        <v>25</v>
      </c>
      <c r="H1114">
        <v>194.3</v>
      </c>
      <c r="I1114" s="13">
        <v>7</v>
      </c>
      <c r="J1114">
        <v>0</v>
      </c>
      <c r="K1114">
        <v>0</v>
      </c>
      <c r="L1114">
        <v>0</v>
      </c>
      <c r="M1114">
        <v>0</v>
      </c>
      <c r="O1114">
        <f t="shared" si="17"/>
        <v>5</v>
      </c>
    </row>
    <row r="1115" spans="1:15">
      <c r="A1115">
        <v>268</v>
      </c>
      <c r="B1115" s="1">
        <v>45784</v>
      </c>
      <c r="C1115">
        <v>19</v>
      </c>
      <c r="D1115" t="s">
        <v>17</v>
      </c>
      <c r="E1115" t="s">
        <v>15</v>
      </c>
      <c r="F1115" t="s">
        <v>16</v>
      </c>
      <c r="H1115">
        <v>186.2</v>
      </c>
      <c r="I1115" s="13">
        <v>3</v>
      </c>
      <c r="J1115">
        <v>0</v>
      </c>
      <c r="K1115">
        <v>0</v>
      </c>
      <c r="L1115">
        <v>0</v>
      </c>
      <c r="M1115">
        <v>0</v>
      </c>
      <c r="O1115">
        <f t="shared" si="17"/>
        <v>5</v>
      </c>
    </row>
    <row r="1116" spans="1:15">
      <c r="A1116">
        <v>4190</v>
      </c>
      <c r="B1116" s="1">
        <v>45784</v>
      </c>
      <c r="C1116">
        <v>56</v>
      </c>
      <c r="D1116" t="s">
        <v>17</v>
      </c>
      <c r="E1116" t="s">
        <v>22</v>
      </c>
      <c r="F1116" t="s">
        <v>16</v>
      </c>
      <c r="H1116">
        <v>122.2</v>
      </c>
      <c r="I1116" s="13">
        <v>4</v>
      </c>
      <c r="J1116">
        <v>0</v>
      </c>
      <c r="K1116">
        <v>0</v>
      </c>
      <c r="L1116">
        <v>0</v>
      </c>
      <c r="M1116">
        <v>0</v>
      </c>
      <c r="O1116">
        <f t="shared" si="17"/>
        <v>5</v>
      </c>
    </row>
    <row r="1117" spans="1:15">
      <c r="A1117">
        <v>436</v>
      </c>
      <c r="B1117" s="1">
        <v>45784</v>
      </c>
      <c r="C1117">
        <v>35</v>
      </c>
      <c r="D1117" t="s">
        <v>17</v>
      </c>
      <c r="E1117" t="s">
        <v>24</v>
      </c>
      <c r="F1117" t="s">
        <v>23</v>
      </c>
      <c r="H1117">
        <v>116.3</v>
      </c>
      <c r="I1117" s="13">
        <v>5</v>
      </c>
      <c r="J1117">
        <v>0</v>
      </c>
      <c r="K1117">
        <v>0</v>
      </c>
      <c r="L1117">
        <v>0</v>
      </c>
      <c r="M1117">
        <v>0</v>
      </c>
      <c r="O1117">
        <f t="shared" si="17"/>
        <v>5</v>
      </c>
    </row>
    <row r="1118" spans="1:15">
      <c r="A1118">
        <v>279</v>
      </c>
      <c r="B1118" s="1">
        <v>45784</v>
      </c>
      <c r="C1118">
        <v>18</v>
      </c>
      <c r="D1118" t="s">
        <v>14</v>
      </c>
      <c r="E1118" t="s">
        <v>15</v>
      </c>
      <c r="F1118" t="s">
        <v>21</v>
      </c>
      <c r="H1118">
        <v>106</v>
      </c>
      <c r="I1118" s="13">
        <v>4</v>
      </c>
      <c r="J1118">
        <v>0</v>
      </c>
      <c r="K1118">
        <v>0</v>
      </c>
      <c r="L1118">
        <v>0</v>
      </c>
      <c r="M1118">
        <v>0</v>
      </c>
      <c r="O1118">
        <f t="shared" si="17"/>
        <v>5</v>
      </c>
    </row>
    <row r="1119" spans="1:15">
      <c r="A1119">
        <v>4239</v>
      </c>
      <c r="B1119" s="1">
        <v>45784</v>
      </c>
      <c r="C1119">
        <v>18</v>
      </c>
      <c r="D1119" t="s">
        <v>17</v>
      </c>
      <c r="E1119" t="s">
        <v>20</v>
      </c>
      <c r="F1119" t="s">
        <v>23</v>
      </c>
      <c r="H1119">
        <v>90.2</v>
      </c>
      <c r="I1119" s="13">
        <v>5</v>
      </c>
      <c r="J1119">
        <v>0</v>
      </c>
      <c r="K1119">
        <v>0</v>
      </c>
      <c r="L1119">
        <v>0</v>
      </c>
      <c r="M1119">
        <v>0</v>
      </c>
      <c r="O1119">
        <f t="shared" si="17"/>
        <v>5</v>
      </c>
    </row>
    <row r="1120" spans="1:15">
      <c r="A1120">
        <v>3466</v>
      </c>
      <c r="B1120" s="1">
        <v>45784</v>
      </c>
      <c r="C1120">
        <v>41</v>
      </c>
      <c r="D1120" t="s">
        <v>17</v>
      </c>
      <c r="E1120" t="s">
        <v>20</v>
      </c>
      <c r="F1120" t="s">
        <v>23</v>
      </c>
      <c r="H1120">
        <v>72.900000000000006</v>
      </c>
      <c r="I1120" s="13">
        <v>3</v>
      </c>
      <c r="J1120">
        <v>0</v>
      </c>
      <c r="K1120">
        <v>0</v>
      </c>
      <c r="L1120">
        <v>0</v>
      </c>
      <c r="M1120">
        <v>0</v>
      </c>
      <c r="O1120">
        <f t="shared" si="17"/>
        <v>5</v>
      </c>
    </row>
    <row r="1121" spans="1:15">
      <c r="A1121">
        <v>1282</v>
      </c>
      <c r="B1121" s="1">
        <v>45784</v>
      </c>
      <c r="C1121">
        <v>20</v>
      </c>
      <c r="D1121" t="s">
        <v>14</v>
      </c>
      <c r="E1121" t="s">
        <v>22</v>
      </c>
      <c r="F1121" t="s">
        <v>23</v>
      </c>
      <c r="H1121">
        <v>59</v>
      </c>
      <c r="I1121" s="13">
        <v>5</v>
      </c>
      <c r="J1121">
        <v>0</v>
      </c>
      <c r="K1121">
        <v>0</v>
      </c>
      <c r="L1121">
        <v>0</v>
      </c>
      <c r="M1121">
        <v>0</v>
      </c>
      <c r="O1121">
        <f t="shared" si="17"/>
        <v>5</v>
      </c>
    </row>
    <row r="1122" spans="1:15">
      <c r="A1122">
        <v>1003</v>
      </c>
      <c r="B1122" s="1">
        <v>45815</v>
      </c>
      <c r="C1122">
        <v>34</v>
      </c>
      <c r="D1122" t="s">
        <v>14</v>
      </c>
      <c r="E1122" t="s">
        <v>22</v>
      </c>
      <c r="F1122" t="s">
        <v>18</v>
      </c>
      <c r="G1122" t="s">
        <v>19</v>
      </c>
      <c r="H1122">
        <v>759.2</v>
      </c>
      <c r="I1122" s="13">
        <v>4</v>
      </c>
      <c r="J1122">
        <v>1</v>
      </c>
      <c r="K1122">
        <v>272</v>
      </c>
      <c r="L1122">
        <v>3</v>
      </c>
      <c r="M1122">
        <v>4</v>
      </c>
      <c r="N1122">
        <v>3</v>
      </c>
      <c r="O1122">
        <f t="shared" si="17"/>
        <v>6</v>
      </c>
    </row>
    <row r="1123" spans="1:15">
      <c r="A1123">
        <v>1979</v>
      </c>
      <c r="B1123" s="1">
        <v>45815</v>
      </c>
      <c r="C1123">
        <v>45</v>
      </c>
      <c r="D1123" t="s">
        <v>17</v>
      </c>
      <c r="E1123" t="s">
        <v>22</v>
      </c>
      <c r="F1123" t="s">
        <v>16</v>
      </c>
      <c r="H1123">
        <v>1214.7</v>
      </c>
      <c r="I1123" s="13">
        <v>9</v>
      </c>
      <c r="J1123">
        <v>1</v>
      </c>
      <c r="K1123">
        <v>344.28</v>
      </c>
      <c r="L1123">
        <v>3</v>
      </c>
      <c r="M1123">
        <v>12</v>
      </c>
      <c r="N1123">
        <v>4</v>
      </c>
      <c r="O1123">
        <f t="shared" si="17"/>
        <v>6</v>
      </c>
    </row>
    <row r="1124" spans="1:15">
      <c r="A1124">
        <v>4618</v>
      </c>
      <c r="B1124" s="1">
        <v>45815</v>
      </c>
      <c r="C1124">
        <v>62</v>
      </c>
      <c r="D1124" t="s">
        <v>17</v>
      </c>
      <c r="E1124" t="s">
        <v>22</v>
      </c>
      <c r="F1124" t="s">
        <v>16</v>
      </c>
      <c r="H1124">
        <v>1022.5</v>
      </c>
      <c r="I1124" s="13">
        <v>14</v>
      </c>
      <c r="J1124">
        <v>1</v>
      </c>
      <c r="K1124">
        <v>170.21</v>
      </c>
      <c r="L1124">
        <v>4</v>
      </c>
      <c r="M1124">
        <v>12</v>
      </c>
      <c r="N1124">
        <v>5</v>
      </c>
      <c r="O1124">
        <f t="shared" si="17"/>
        <v>6</v>
      </c>
    </row>
    <row r="1125" spans="1:15">
      <c r="A1125">
        <v>265</v>
      </c>
      <c r="B1125" s="1">
        <v>45815</v>
      </c>
      <c r="C1125">
        <v>27</v>
      </c>
      <c r="D1125" t="s">
        <v>14</v>
      </c>
      <c r="E1125" t="s">
        <v>20</v>
      </c>
      <c r="F1125" t="s">
        <v>18</v>
      </c>
      <c r="G1125" t="s">
        <v>26</v>
      </c>
      <c r="H1125">
        <v>459.2</v>
      </c>
      <c r="I1125" s="13">
        <v>3</v>
      </c>
      <c r="J1125">
        <v>1</v>
      </c>
      <c r="K1125">
        <v>104.85</v>
      </c>
      <c r="L1125">
        <v>1</v>
      </c>
      <c r="M1125">
        <v>6</v>
      </c>
      <c r="N1125">
        <v>4</v>
      </c>
      <c r="O1125">
        <f t="shared" si="17"/>
        <v>6</v>
      </c>
    </row>
    <row r="1126" spans="1:15">
      <c r="A1126">
        <v>2482</v>
      </c>
      <c r="B1126" s="1">
        <v>45815</v>
      </c>
      <c r="C1126">
        <v>36</v>
      </c>
      <c r="D1126" t="s">
        <v>14</v>
      </c>
      <c r="E1126" t="s">
        <v>15</v>
      </c>
      <c r="F1126" t="s">
        <v>18</v>
      </c>
      <c r="G1126" t="s">
        <v>25</v>
      </c>
      <c r="H1126">
        <v>173</v>
      </c>
      <c r="I1126" s="13">
        <v>4</v>
      </c>
      <c r="J1126">
        <v>1</v>
      </c>
      <c r="K1126">
        <v>98.4</v>
      </c>
      <c r="L1126">
        <v>3</v>
      </c>
      <c r="M1126">
        <v>10</v>
      </c>
      <c r="N1126">
        <v>4</v>
      </c>
      <c r="O1126">
        <f t="shared" si="17"/>
        <v>6</v>
      </c>
    </row>
    <row r="1127" spans="1:15">
      <c r="A1127">
        <v>4192</v>
      </c>
      <c r="B1127" s="1">
        <v>45815</v>
      </c>
      <c r="C1127">
        <v>68</v>
      </c>
      <c r="D1127" t="s">
        <v>17</v>
      </c>
      <c r="E1127" t="s">
        <v>22</v>
      </c>
      <c r="F1127" t="s">
        <v>18</v>
      </c>
      <c r="G1127" t="s">
        <v>25</v>
      </c>
      <c r="H1127">
        <v>224.2</v>
      </c>
      <c r="I1127" s="13">
        <v>8</v>
      </c>
      <c r="J1127">
        <v>1</v>
      </c>
      <c r="K1127">
        <v>89.86</v>
      </c>
      <c r="L1127">
        <v>2</v>
      </c>
      <c r="M1127">
        <v>14</v>
      </c>
      <c r="N1127">
        <v>4</v>
      </c>
      <c r="O1127">
        <f t="shared" si="17"/>
        <v>6</v>
      </c>
    </row>
    <row r="1128" spans="1:15">
      <c r="A1128">
        <v>2312</v>
      </c>
      <c r="B1128" s="1">
        <v>45815</v>
      </c>
      <c r="C1128">
        <v>37</v>
      </c>
      <c r="D1128" t="s">
        <v>17</v>
      </c>
      <c r="E1128" t="s">
        <v>22</v>
      </c>
      <c r="F1128" t="s">
        <v>18</v>
      </c>
      <c r="G1128" t="s">
        <v>29</v>
      </c>
      <c r="H1128">
        <v>234.2</v>
      </c>
      <c r="I1128" s="13">
        <v>6</v>
      </c>
      <c r="J1128">
        <v>1</v>
      </c>
      <c r="K1128">
        <v>57.04</v>
      </c>
      <c r="L1128">
        <v>2</v>
      </c>
      <c r="M1128">
        <v>9</v>
      </c>
      <c r="N1128">
        <v>3</v>
      </c>
      <c r="O1128">
        <f t="shared" si="17"/>
        <v>6</v>
      </c>
    </row>
    <row r="1129" spans="1:15">
      <c r="A1129">
        <v>949</v>
      </c>
      <c r="B1129" s="1">
        <v>45815</v>
      </c>
      <c r="C1129">
        <v>21</v>
      </c>
      <c r="D1129" t="s">
        <v>17</v>
      </c>
      <c r="E1129" t="s">
        <v>15</v>
      </c>
      <c r="F1129" t="s">
        <v>21</v>
      </c>
      <c r="H1129">
        <v>213.9</v>
      </c>
      <c r="I1129" s="13">
        <v>9</v>
      </c>
      <c r="J1129">
        <v>1</v>
      </c>
      <c r="K1129">
        <v>28.44</v>
      </c>
      <c r="L1129">
        <v>3</v>
      </c>
      <c r="M1129">
        <v>8</v>
      </c>
      <c r="N1129">
        <v>5</v>
      </c>
      <c r="O1129">
        <f t="shared" si="17"/>
        <v>6</v>
      </c>
    </row>
    <row r="1130" spans="1:15">
      <c r="A1130">
        <v>2896</v>
      </c>
      <c r="B1130" s="1">
        <v>45815</v>
      </c>
      <c r="C1130">
        <v>21</v>
      </c>
      <c r="D1130" t="s">
        <v>14</v>
      </c>
      <c r="E1130" t="s">
        <v>15</v>
      </c>
      <c r="F1130" t="s">
        <v>16</v>
      </c>
      <c r="H1130">
        <v>492.4</v>
      </c>
      <c r="I1130" s="13">
        <v>6</v>
      </c>
      <c r="J1130">
        <v>1</v>
      </c>
      <c r="K1130">
        <v>28.32</v>
      </c>
      <c r="L1130">
        <v>2</v>
      </c>
      <c r="M1130">
        <v>11</v>
      </c>
      <c r="N1130">
        <v>4</v>
      </c>
      <c r="O1130">
        <f t="shared" si="17"/>
        <v>6</v>
      </c>
    </row>
    <row r="1131" spans="1:15">
      <c r="A1131">
        <v>1118</v>
      </c>
      <c r="B1131" s="1">
        <v>45815</v>
      </c>
      <c r="C1131">
        <v>23</v>
      </c>
      <c r="D1131" t="s">
        <v>14</v>
      </c>
      <c r="E1131" t="s">
        <v>24</v>
      </c>
      <c r="F1131" t="s">
        <v>23</v>
      </c>
      <c r="H1131">
        <v>1005.1</v>
      </c>
      <c r="I1131" s="13">
        <v>3</v>
      </c>
      <c r="J1131">
        <v>1</v>
      </c>
      <c r="K1131">
        <v>24.96</v>
      </c>
      <c r="L1131">
        <v>1</v>
      </c>
      <c r="M1131">
        <v>6</v>
      </c>
      <c r="N1131">
        <v>4</v>
      </c>
      <c r="O1131">
        <f t="shared" si="17"/>
        <v>6</v>
      </c>
    </row>
    <row r="1132" spans="1:15">
      <c r="A1132">
        <v>615</v>
      </c>
      <c r="B1132" s="1">
        <v>45815</v>
      </c>
      <c r="C1132">
        <v>20</v>
      </c>
      <c r="D1132" t="s">
        <v>17</v>
      </c>
      <c r="E1132" t="s">
        <v>20</v>
      </c>
      <c r="F1132" t="s">
        <v>18</v>
      </c>
      <c r="G1132" t="s">
        <v>19</v>
      </c>
      <c r="H1132">
        <v>930.8</v>
      </c>
      <c r="I1132" s="13">
        <v>3</v>
      </c>
      <c r="J1132">
        <v>0</v>
      </c>
      <c r="K1132">
        <v>0</v>
      </c>
      <c r="L1132">
        <v>0</v>
      </c>
      <c r="M1132">
        <v>0</v>
      </c>
      <c r="O1132">
        <f t="shared" si="17"/>
        <v>6</v>
      </c>
    </row>
    <row r="1133" spans="1:15">
      <c r="A1133">
        <v>3292</v>
      </c>
      <c r="B1133" s="1">
        <v>45815</v>
      </c>
      <c r="C1133">
        <v>41</v>
      </c>
      <c r="D1133" t="s">
        <v>17</v>
      </c>
      <c r="E1133" t="s">
        <v>15</v>
      </c>
      <c r="F1133" t="s">
        <v>18</v>
      </c>
      <c r="G1133" t="s">
        <v>30</v>
      </c>
      <c r="H1133">
        <v>566</v>
      </c>
      <c r="I1133" s="13">
        <v>7</v>
      </c>
      <c r="J1133">
        <v>0</v>
      </c>
      <c r="K1133">
        <v>0</v>
      </c>
      <c r="L1133">
        <v>0</v>
      </c>
      <c r="M1133">
        <v>0</v>
      </c>
      <c r="O1133">
        <f t="shared" si="17"/>
        <v>6</v>
      </c>
    </row>
    <row r="1134" spans="1:15">
      <c r="A1134">
        <v>2354</v>
      </c>
      <c r="B1134" s="1">
        <v>45815</v>
      </c>
      <c r="C1134">
        <v>40</v>
      </c>
      <c r="D1134" t="s">
        <v>17</v>
      </c>
      <c r="E1134" t="s">
        <v>22</v>
      </c>
      <c r="F1134" t="s">
        <v>16</v>
      </c>
      <c r="H1134">
        <v>526.79999999999995</v>
      </c>
      <c r="I1134" s="13">
        <v>2</v>
      </c>
      <c r="J1134">
        <v>0</v>
      </c>
      <c r="K1134">
        <v>0</v>
      </c>
      <c r="L1134">
        <v>0</v>
      </c>
      <c r="M1134">
        <v>0</v>
      </c>
      <c r="O1134">
        <f t="shared" si="17"/>
        <v>6</v>
      </c>
    </row>
    <row r="1135" spans="1:15">
      <c r="A1135">
        <v>1912</v>
      </c>
      <c r="B1135" s="1">
        <v>45815</v>
      </c>
      <c r="C1135">
        <v>27</v>
      </c>
      <c r="D1135" t="s">
        <v>14</v>
      </c>
      <c r="E1135" t="s">
        <v>15</v>
      </c>
      <c r="F1135" t="s">
        <v>16</v>
      </c>
      <c r="H1135">
        <v>468.7</v>
      </c>
      <c r="I1135" s="13">
        <v>8</v>
      </c>
      <c r="J1135">
        <v>0</v>
      </c>
      <c r="K1135">
        <v>0</v>
      </c>
      <c r="L1135">
        <v>0</v>
      </c>
      <c r="M1135">
        <v>0</v>
      </c>
      <c r="O1135">
        <f t="shared" si="17"/>
        <v>6</v>
      </c>
    </row>
    <row r="1136" spans="1:15">
      <c r="A1136">
        <v>4314</v>
      </c>
      <c r="B1136" s="1">
        <v>45815</v>
      </c>
      <c r="C1136">
        <v>64</v>
      </c>
      <c r="D1136" t="s">
        <v>14</v>
      </c>
      <c r="E1136" t="s">
        <v>15</v>
      </c>
      <c r="F1136" t="s">
        <v>21</v>
      </c>
      <c r="H1136">
        <v>433.3</v>
      </c>
      <c r="I1136" s="13">
        <v>4</v>
      </c>
      <c r="J1136">
        <v>0</v>
      </c>
      <c r="K1136">
        <v>0</v>
      </c>
      <c r="L1136">
        <v>0</v>
      </c>
      <c r="M1136">
        <v>0</v>
      </c>
      <c r="O1136">
        <f t="shared" si="17"/>
        <v>6</v>
      </c>
    </row>
    <row r="1137" spans="1:15">
      <c r="A1137">
        <v>3624</v>
      </c>
      <c r="B1137" s="1">
        <v>45815</v>
      </c>
      <c r="C1137">
        <v>21</v>
      </c>
      <c r="D1137" t="s">
        <v>27</v>
      </c>
      <c r="E1137" t="s">
        <v>22</v>
      </c>
      <c r="F1137" t="s">
        <v>21</v>
      </c>
      <c r="H1137">
        <v>425.1</v>
      </c>
      <c r="I1137" s="13">
        <v>3</v>
      </c>
      <c r="J1137">
        <v>0</v>
      </c>
      <c r="K1137">
        <v>0</v>
      </c>
      <c r="L1137">
        <v>0</v>
      </c>
      <c r="M1137">
        <v>0</v>
      </c>
      <c r="O1137">
        <f t="shared" si="17"/>
        <v>6</v>
      </c>
    </row>
    <row r="1138" spans="1:15">
      <c r="A1138">
        <v>2219</v>
      </c>
      <c r="B1138" s="1">
        <v>45815</v>
      </c>
      <c r="C1138">
        <v>36</v>
      </c>
      <c r="D1138" t="s">
        <v>14</v>
      </c>
      <c r="E1138" t="s">
        <v>22</v>
      </c>
      <c r="F1138" t="s">
        <v>23</v>
      </c>
      <c r="H1138">
        <v>317.10000000000002</v>
      </c>
      <c r="I1138" s="13">
        <v>4</v>
      </c>
      <c r="J1138">
        <v>0</v>
      </c>
      <c r="K1138">
        <v>0</v>
      </c>
      <c r="L1138">
        <v>0</v>
      </c>
      <c r="M1138">
        <v>0</v>
      </c>
      <c r="O1138">
        <f t="shared" si="17"/>
        <v>6</v>
      </c>
    </row>
    <row r="1139" spans="1:15">
      <c r="A1139">
        <v>4441</v>
      </c>
      <c r="B1139" s="1">
        <v>45815</v>
      </c>
      <c r="C1139">
        <v>51</v>
      </c>
      <c r="D1139" t="s">
        <v>17</v>
      </c>
      <c r="E1139" t="s">
        <v>15</v>
      </c>
      <c r="F1139" t="s">
        <v>16</v>
      </c>
      <c r="H1139">
        <v>301.3</v>
      </c>
      <c r="I1139" s="13">
        <v>8</v>
      </c>
      <c r="J1139">
        <v>0</v>
      </c>
      <c r="K1139">
        <v>0</v>
      </c>
      <c r="L1139">
        <v>0</v>
      </c>
      <c r="M1139">
        <v>0</v>
      </c>
      <c r="O1139">
        <f t="shared" si="17"/>
        <v>6</v>
      </c>
    </row>
    <row r="1140" spans="1:15">
      <c r="A1140">
        <v>4787</v>
      </c>
      <c r="B1140" s="1">
        <v>45815</v>
      </c>
      <c r="C1140">
        <v>54</v>
      </c>
      <c r="D1140" t="s">
        <v>14</v>
      </c>
      <c r="E1140" t="s">
        <v>20</v>
      </c>
      <c r="F1140" t="s">
        <v>18</v>
      </c>
      <c r="G1140" t="s">
        <v>26</v>
      </c>
      <c r="H1140">
        <v>283.5</v>
      </c>
      <c r="I1140" s="13">
        <v>5</v>
      </c>
      <c r="J1140">
        <v>0</v>
      </c>
      <c r="K1140">
        <v>0</v>
      </c>
      <c r="L1140">
        <v>0</v>
      </c>
      <c r="M1140">
        <v>0</v>
      </c>
      <c r="O1140">
        <f t="shared" si="17"/>
        <v>6</v>
      </c>
    </row>
    <row r="1141" spans="1:15">
      <c r="A1141">
        <v>4649</v>
      </c>
      <c r="B1141" s="1">
        <v>45815</v>
      </c>
      <c r="C1141">
        <v>65</v>
      </c>
      <c r="D1141" t="s">
        <v>17</v>
      </c>
      <c r="E1141" t="s">
        <v>24</v>
      </c>
      <c r="F1141" t="s">
        <v>16</v>
      </c>
      <c r="H1141">
        <v>282.3</v>
      </c>
      <c r="I1141" s="13">
        <v>6</v>
      </c>
      <c r="J1141">
        <v>0</v>
      </c>
      <c r="K1141">
        <v>0</v>
      </c>
      <c r="L1141">
        <v>0</v>
      </c>
      <c r="M1141">
        <v>0</v>
      </c>
      <c r="O1141">
        <f t="shared" si="17"/>
        <v>6</v>
      </c>
    </row>
    <row r="1142" spans="1:15">
      <c r="A1142">
        <v>3116</v>
      </c>
      <c r="B1142" s="1">
        <v>45815</v>
      </c>
      <c r="C1142">
        <v>35</v>
      </c>
      <c r="D1142" t="s">
        <v>14</v>
      </c>
      <c r="E1142" t="s">
        <v>20</v>
      </c>
      <c r="F1142" t="s">
        <v>18</v>
      </c>
      <c r="G1142" t="s">
        <v>25</v>
      </c>
      <c r="H1142">
        <v>232.1</v>
      </c>
      <c r="I1142" s="13">
        <v>4</v>
      </c>
      <c r="J1142">
        <v>0</v>
      </c>
      <c r="K1142">
        <v>0</v>
      </c>
      <c r="L1142">
        <v>0</v>
      </c>
      <c r="M1142">
        <v>0</v>
      </c>
      <c r="O1142">
        <f t="shared" si="17"/>
        <v>6</v>
      </c>
    </row>
    <row r="1143" spans="1:15">
      <c r="A1143">
        <v>1882</v>
      </c>
      <c r="B1143" s="1">
        <v>45815</v>
      </c>
      <c r="C1143">
        <v>45</v>
      </c>
      <c r="D1143" t="s">
        <v>17</v>
      </c>
      <c r="E1143" t="s">
        <v>24</v>
      </c>
      <c r="F1143" t="s">
        <v>16</v>
      </c>
      <c r="H1143">
        <v>202.4</v>
      </c>
      <c r="I1143" s="13">
        <v>10</v>
      </c>
      <c r="J1143">
        <v>0</v>
      </c>
      <c r="K1143">
        <v>0</v>
      </c>
      <c r="L1143">
        <v>0</v>
      </c>
      <c r="M1143">
        <v>0</v>
      </c>
      <c r="O1143">
        <f t="shared" si="17"/>
        <v>6</v>
      </c>
    </row>
    <row r="1144" spans="1:15">
      <c r="A1144">
        <v>1061</v>
      </c>
      <c r="B1144" s="1">
        <v>45815</v>
      </c>
      <c r="C1144">
        <v>18</v>
      </c>
      <c r="D1144" t="s">
        <v>17</v>
      </c>
      <c r="E1144" t="s">
        <v>20</v>
      </c>
      <c r="F1144" t="s">
        <v>16</v>
      </c>
      <c r="H1144">
        <v>185.6</v>
      </c>
      <c r="I1144" s="13">
        <v>6</v>
      </c>
      <c r="J1144">
        <v>0</v>
      </c>
      <c r="K1144">
        <v>0</v>
      </c>
      <c r="L1144">
        <v>0</v>
      </c>
      <c r="M1144">
        <v>0</v>
      </c>
      <c r="O1144">
        <f t="shared" si="17"/>
        <v>6</v>
      </c>
    </row>
    <row r="1145" spans="1:15">
      <c r="A1145">
        <v>4175</v>
      </c>
      <c r="B1145" s="1">
        <v>45815</v>
      </c>
      <c r="C1145">
        <v>40</v>
      </c>
      <c r="D1145" t="s">
        <v>14</v>
      </c>
      <c r="E1145" t="s">
        <v>15</v>
      </c>
      <c r="F1145" t="s">
        <v>18</v>
      </c>
      <c r="G1145" t="s">
        <v>25</v>
      </c>
      <c r="H1145">
        <v>182.9</v>
      </c>
      <c r="I1145" s="13">
        <v>12</v>
      </c>
      <c r="J1145">
        <v>0</v>
      </c>
      <c r="K1145">
        <v>0</v>
      </c>
      <c r="L1145">
        <v>0</v>
      </c>
      <c r="M1145">
        <v>0</v>
      </c>
      <c r="O1145">
        <f t="shared" si="17"/>
        <v>6</v>
      </c>
    </row>
    <row r="1146" spans="1:15">
      <c r="A1146">
        <v>555</v>
      </c>
      <c r="B1146" s="1">
        <v>45815</v>
      </c>
      <c r="C1146">
        <v>21</v>
      </c>
      <c r="D1146" t="s">
        <v>17</v>
      </c>
      <c r="E1146" t="s">
        <v>20</v>
      </c>
      <c r="F1146" t="s">
        <v>18</v>
      </c>
      <c r="G1146" t="s">
        <v>25</v>
      </c>
      <c r="H1146">
        <v>167.7</v>
      </c>
      <c r="I1146" s="13">
        <v>8</v>
      </c>
      <c r="J1146">
        <v>0</v>
      </c>
      <c r="K1146">
        <v>0</v>
      </c>
      <c r="L1146">
        <v>0</v>
      </c>
      <c r="M1146">
        <v>0</v>
      </c>
      <c r="O1146">
        <f t="shared" si="17"/>
        <v>6</v>
      </c>
    </row>
    <row r="1147" spans="1:15">
      <c r="A1147">
        <v>736</v>
      </c>
      <c r="B1147" s="1">
        <v>45815</v>
      </c>
      <c r="C1147">
        <v>31</v>
      </c>
      <c r="D1147" t="s">
        <v>14</v>
      </c>
      <c r="E1147" t="s">
        <v>24</v>
      </c>
      <c r="F1147" t="s">
        <v>21</v>
      </c>
      <c r="H1147">
        <v>153.1</v>
      </c>
      <c r="I1147" s="13">
        <v>6</v>
      </c>
      <c r="J1147">
        <v>0</v>
      </c>
      <c r="K1147">
        <v>0</v>
      </c>
      <c r="L1147">
        <v>0</v>
      </c>
      <c r="M1147">
        <v>0</v>
      </c>
      <c r="O1147">
        <f t="shared" si="17"/>
        <v>6</v>
      </c>
    </row>
    <row r="1148" spans="1:15">
      <c r="A1148">
        <v>184</v>
      </c>
      <c r="B1148" s="1">
        <v>45815</v>
      </c>
      <c r="C1148">
        <v>20</v>
      </c>
      <c r="D1148" t="s">
        <v>17</v>
      </c>
      <c r="E1148" t="s">
        <v>15</v>
      </c>
      <c r="F1148" t="s">
        <v>16</v>
      </c>
      <c r="H1148">
        <v>112.7</v>
      </c>
      <c r="I1148" s="13">
        <v>9</v>
      </c>
      <c r="J1148">
        <v>0</v>
      </c>
      <c r="K1148">
        <v>0</v>
      </c>
      <c r="L1148">
        <v>0</v>
      </c>
      <c r="M1148">
        <v>0</v>
      </c>
      <c r="O1148">
        <f t="shared" si="17"/>
        <v>6</v>
      </c>
    </row>
    <row r="1149" spans="1:15">
      <c r="A1149">
        <v>384</v>
      </c>
      <c r="B1149" s="1">
        <v>45815</v>
      </c>
      <c r="C1149">
        <v>30</v>
      </c>
      <c r="D1149" t="s">
        <v>17</v>
      </c>
      <c r="E1149" t="s">
        <v>20</v>
      </c>
      <c r="F1149" t="s">
        <v>23</v>
      </c>
      <c r="H1149">
        <v>89</v>
      </c>
      <c r="I1149" s="13">
        <v>7</v>
      </c>
      <c r="J1149">
        <v>0</v>
      </c>
      <c r="K1149">
        <v>0</v>
      </c>
      <c r="L1149">
        <v>0</v>
      </c>
      <c r="M1149">
        <v>0</v>
      </c>
      <c r="O1149">
        <f t="shared" si="17"/>
        <v>6</v>
      </c>
    </row>
    <row r="1150" spans="1:15">
      <c r="A1150">
        <v>1051</v>
      </c>
      <c r="B1150" s="1">
        <v>45815</v>
      </c>
      <c r="C1150">
        <v>24</v>
      </c>
      <c r="D1150" t="s">
        <v>14</v>
      </c>
      <c r="E1150" t="s">
        <v>20</v>
      </c>
      <c r="F1150" t="s">
        <v>18</v>
      </c>
      <c r="G1150" t="s">
        <v>19</v>
      </c>
      <c r="H1150">
        <v>83.4</v>
      </c>
      <c r="I1150" s="13">
        <v>5</v>
      </c>
      <c r="J1150">
        <v>0</v>
      </c>
      <c r="K1150">
        <v>0</v>
      </c>
      <c r="L1150">
        <v>0</v>
      </c>
      <c r="M1150">
        <v>0</v>
      </c>
      <c r="O1150">
        <f t="shared" si="17"/>
        <v>6</v>
      </c>
    </row>
    <row r="1151" spans="1:15">
      <c r="A1151">
        <v>768</v>
      </c>
      <c r="B1151" s="1">
        <v>45815</v>
      </c>
      <c r="C1151">
        <v>25</v>
      </c>
      <c r="D1151" t="s">
        <v>17</v>
      </c>
      <c r="E1151" t="s">
        <v>24</v>
      </c>
      <c r="F1151" t="s">
        <v>18</v>
      </c>
      <c r="G1151" t="s">
        <v>19</v>
      </c>
      <c r="H1151">
        <v>40</v>
      </c>
      <c r="I1151" s="13">
        <v>7</v>
      </c>
      <c r="J1151">
        <v>0</v>
      </c>
      <c r="K1151">
        <v>0</v>
      </c>
      <c r="L1151">
        <v>0</v>
      </c>
      <c r="M1151">
        <v>0</v>
      </c>
      <c r="O1151">
        <f t="shared" si="17"/>
        <v>6</v>
      </c>
    </row>
    <row r="1152" spans="1:15">
      <c r="A1152">
        <v>3198</v>
      </c>
      <c r="B1152" s="1">
        <v>45815</v>
      </c>
      <c r="C1152">
        <v>46</v>
      </c>
      <c r="D1152" t="s">
        <v>14</v>
      </c>
      <c r="E1152" t="s">
        <v>22</v>
      </c>
      <c r="F1152" t="s">
        <v>21</v>
      </c>
      <c r="H1152">
        <v>34.5</v>
      </c>
      <c r="I1152" s="13">
        <v>4</v>
      </c>
      <c r="J1152">
        <v>0</v>
      </c>
      <c r="K1152">
        <v>0</v>
      </c>
      <c r="L1152">
        <v>0</v>
      </c>
      <c r="M1152">
        <v>0</v>
      </c>
      <c r="O1152">
        <f t="shared" si="17"/>
        <v>6</v>
      </c>
    </row>
    <row r="1153" spans="1:15">
      <c r="A1153">
        <v>1356</v>
      </c>
      <c r="B1153" s="1">
        <v>45815</v>
      </c>
      <c r="C1153">
        <v>29</v>
      </c>
      <c r="D1153" t="s">
        <v>17</v>
      </c>
      <c r="E1153" t="s">
        <v>20</v>
      </c>
      <c r="F1153" t="s">
        <v>16</v>
      </c>
      <c r="H1153">
        <v>31</v>
      </c>
      <c r="I1153" s="13">
        <v>6</v>
      </c>
      <c r="J1153">
        <v>0</v>
      </c>
      <c r="K1153">
        <v>0</v>
      </c>
      <c r="L1153">
        <v>0</v>
      </c>
      <c r="M1153">
        <v>0</v>
      </c>
      <c r="O1153">
        <f t="shared" si="17"/>
        <v>6</v>
      </c>
    </row>
    <row r="1154" spans="1:15">
      <c r="A1154">
        <v>2940</v>
      </c>
      <c r="B1154" s="1">
        <v>45665</v>
      </c>
      <c r="C1154">
        <v>35</v>
      </c>
      <c r="D1154" t="s">
        <v>17</v>
      </c>
      <c r="E1154" t="s">
        <v>24</v>
      </c>
      <c r="F1154" t="s">
        <v>16</v>
      </c>
      <c r="H1154">
        <v>170</v>
      </c>
      <c r="I1154" s="13">
        <v>5</v>
      </c>
      <c r="J1154">
        <v>1</v>
      </c>
      <c r="K1154">
        <v>482</v>
      </c>
      <c r="L1154">
        <v>3</v>
      </c>
      <c r="M1154">
        <v>1</v>
      </c>
      <c r="N1154">
        <v>3</v>
      </c>
      <c r="O1154">
        <f t="shared" si="17"/>
        <v>1</v>
      </c>
    </row>
    <row r="1155" spans="1:15">
      <c r="A1155">
        <v>3424</v>
      </c>
      <c r="B1155" s="1">
        <v>45665</v>
      </c>
      <c r="C1155">
        <v>41</v>
      </c>
      <c r="D1155" t="s">
        <v>14</v>
      </c>
      <c r="E1155" t="s">
        <v>22</v>
      </c>
      <c r="F1155" t="s">
        <v>18</v>
      </c>
      <c r="G1155" t="s">
        <v>31</v>
      </c>
      <c r="H1155">
        <v>659.9</v>
      </c>
      <c r="I1155" s="13">
        <v>5</v>
      </c>
      <c r="J1155">
        <v>1</v>
      </c>
      <c r="K1155">
        <v>185.69</v>
      </c>
      <c r="L1155">
        <v>3</v>
      </c>
      <c r="M1155">
        <v>15</v>
      </c>
      <c r="N1155">
        <v>5</v>
      </c>
      <c r="O1155">
        <f t="shared" ref="O1155:O1218" si="18">MONTH(B1155)</f>
        <v>1</v>
      </c>
    </row>
    <row r="1156" spans="1:15">
      <c r="A1156">
        <v>4748</v>
      </c>
      <c r="B1156" s="1">
        <v>45665</v>
      </c>
      <c r="C1156">
        <v>51</v>
      </c>
      <c r="D1156" t="s">
        <v>14</v>
      </c>
      <c r="E1156" t="s">
        <v>22</v>
      </c>
      <c r="F1156" t="s">
        <v>23</v>
      </c>
      <c r="H1156">
        <v>948.1</v>
      </c>
      <c r="I1156" s="13">
        <v>3</v>
      </c>
      <c r="J1156">
        <v>1</v>
      </c>
      <c r="K1156">
        <v>106.24</v>
      </c>
      <c r="L1156">
        <v>4</v>
      </c>
      <c r="M1156">
        <v>14</v>
      </c>
      <c r="N1156">
        <v>5</v>
      </c>
      <c r="O1156">
        <f t="shared" si="18"/>
        <v>1</v>
      </c>
    </row>
    <row r="1157" spans="1:15">
      <c r="A1157">
        <v>4058</v>
      </c>
      <c r="B1157" s="1">
        <v>45665</v>
      </c>
      <c r="C1157">
        <v>71</v>
      </c>
      <c r="D1157" t="s">
        <v>14</v>
      </c>
      <c r="E1157" t="s">
        <v>24</v>
      </c>
      <c r="F1157" t="s">
        <v>16</v>
      </c>
      <c r="H1157">
        <v>795</v>
      </c>
      <c r="I1157" s="13">
        <v>7</v>
      </c>
      <c r="J1157">
        <v>1</v>
      </c>
      <c r="K1157">
        <v>87.22</v>
      </c>
      <c r="L1157">
        <v>3</v>
      </c>
      <c r="M1157">
        <v>2</v>
      </c>
      <c r="N1157">
        <v>3</v>
      </c>
      <c r="O1157">
        <f t="shared" si="18"/>
        <v>1</v>
      </c>
    </row>
    <row r="1158" spans="1:15">
      <c r="A1158">
        <v>1350</v>
      </c>
      <c r="B1158" s="1">
        <v>45665</v>
      </c>
      <c r="C1158">
        <v>27</v>
      </c>
      <c r="D1158" t="s">
        <v>14</v>
      </c>
      <c r="E1158" t="s">
        <v>22</v>
      </c>
      <c r="F1158" t="s">
        <v>23</v>
      </c>
      <c r="H1158">
        <v>365.9</v>
      </c>
      <c r="I1158" s="13">
        <v>6</v>
      </c>
      <c r="J1158">
        <v>1</v>
      </c>
      <c r="K1158">
        <v>86.81</v>
      </c>
      <c r="L1158">
        <v>6</v>
      </c>
      <c r="M1158">
        <v>3</v>
      </c>
      <c r="N1158">
        <v>4</v>
      </c>
      <c r="O1158">
        <f t="shared" si="18"/>
        <v>1</v>
      </c>
    </row>
    <row r="1159" spans="1:15">
      <c r="A1159">
        <v>600</v>
      </c>
      <c r="B1159" s="1">
        <v>45665</v>
      </c>
      <c r="C1159">
        <v>35</v>
      </c>
      <c r="D1159" t="s">
        <v>14</v>
      </c>
      <c r="E1159" t="s">
        <v>20</v>
      </c>
      <c r="F1159" t="s">
        <v>23</v>
      </c>
      <c r="H1159">
        <v>1216.9000000000001</v>
      </c>
      <c r="I1159" s="13">
        <v>5</v>
      </c>
      <c r="J1159">
        <v>1</v>
      </c>
      <c r="K1159">
        <v>65.44</v>
      </c>
      <c r="L1159">
        <v>3</v>
      </c>
      <c r="M1159">
        <v>14</v>
      </c>
      <c r="N1159">
        <v>5</v>
      </c>
      <c r="O1159">
        <f t="shared" si="18"/>
        <v>1</v>
      </c>
    </row>
    <row r="1160" spans="1:15">
      <c r="A1160">
        <v>2418</v>
      </c>
      <c r="B1160" s="1">
        <v>45665</v>
      </c>
      <c r="C1160">
        <v>23</v>
      </c>
      <c r="D1160" t="s">
        <v>17</v>
      </c>
      <c r="E1160" t="s">
        <v>15</v>
      </c>
      <c r="F1160" t="s">
        <v>23</v>
      </c>
      <c r="H1160">
        <v>518</v>
      </c>
      <c r="I1160" s="13">
        <v>8</v>
      </c>
      <c r="J1160">
        <v>1</v>
      </c>
      <c r="K1160">
        <v>62.28</v>
      </c>
      <c r="L1160">
        <v>2</v>
      </c>
      <c r="M1160">
        <v>4</v>
      </c>
      <c r="N1160">
        <v>3</v>
      </c>
      <c r="O1160">
        <f t="shared" si="18"/>
        <v>1</v>
      </c>
    </row>
    <row r="1161" spans="1:15">
      <c r="A1161">
        <v>1423</v>
      </c>
      <c r="B1161" s="1">
        <v>45665</v>
      </c>
      <c r="C1161">
        <v>24</v>
      </c>
      <c r="D1161" t="s">
        <v>17</v>
      </c>
      <c r="E1161" t="s">
        <v>15</v>
      </c>
      <c r="F1161" t="s">
        <v>18</v>
      </c>
      <c r="G1161" t="s">
        <v>26</v>
      </c>
      <c r="H1161">
        <v>409.6</v>
      </c>
      <c r="I1161" s="13">
        <v>5</v>
      </c>
      <c r="J1161">
        <v>1</v>
      </c>
      <c r="K1161">
        <v>60.98</v>
      </c>
      <c r="L1161">
        <v>2</v>
      </c>
      <c r="M1161">
        <v>13</v>
      </c>
      <c r="N1161">
        <v>3</v>
      </c>
      <c r="O1161">
        <f t="shared" si="18"/>
        <v>1</v>
      </c>
    </row>
    <row r="1162" spans="1:15">
      <c r="A1162">
        <v>1274</v>
      </c>
      <c r="B1162" s="1">
        <v>45665</v>
      </c>
      <c r="C1162">
        <v>28</v>
      </c>
      <c r="D1162" t="s">
        <v>14</v>
      </c>
      <c r="E1162" t="s">
        <v>22</v>
      </c>
      <c r="F1162" t="s">
        <v>16</v>
      </c>
      <c r="H1162">
        <v>65.5</v>
      </c>
      <c r="I1162" s="13">
        <v>3</v>
      </c>
      <c r="J1162">
        <v>1</v>
      </c>
      <c r="K1162">
        <v>57.26</v>
      </c>
      <c r="L1162">
        <v>2</v>
      </c>
      <c r="M1162">
        <v>1</v>
      </c>
      <c r="N1162">
        <v>4</v>
      </c>
      <c r="O1162">
        <f t="shared" si="18"/>
        <v>1</v>
      </c>
    </row>
    <row r="1163" spans="1:15">
      <c r="A1163">
        <v>1795</v>
      </c>
      <c r="B1163" s="1">
        <v>45665</v>
      </c>
      <c r="C1163">
        <v>40</v>
      </c>
      <c r="D1163" t="s">
        <v>14</v>
      </c>
      <c r="E1163" t="s">
        <v>15</v>
      </c>
      <c r="F1163" t="s">
        <v>18</v>
      </c>
      <c r="G1163" t="s">
        <v>29</v>
      </c>
      <c r="H1163">
        <v>892.9</v>
      </c>
      <c r="I1163" s="13">
        <v>6</v>
      </c>
      <c r="J1163">
        <v>1</v>
      </c>
      <c r="K1163">
        <v>50.66</v>
      </c>
      <c r="L1163">
        <v>4</v>
      </c>
      <c r="M1163">
        <v>2</v>
      </c>
      <c r="N1163">
        <v>5</v>
      </c>
      <c r="O1163">
        <f t="shared" si="18"/>
        <v>1</v>
      </c>
    </row>
    <row r="1164" spans="1:15">
      <c r="A1164">
        <v>336</v>
      </c>
      <c r="B1164" s="1">
        <v>45665</v>
      </c>
      <c r="C1164">
        <v>20</v>
      </c>
      <c r="D1164" t="s">
        <v>27</v>
      </c>
      <c r="E1164" t="s">
        <v>20</v>
      </c>
      <c r="F1164" t="s">
        <v>16</v>
      </c>
      <c r="H1164">
        <v>269.8</v>
      </c>
      <c r="I1164" s="13">
        <v>3</v>
      </c>
      <c r="J1164">
        <v>1</v>
      </c>
      <c r="K1164">
        <v>44.96</v>
      </c>
      <c r="L1164">
        <v>3</v>
      </c>
      <c r="M1164">
        <v>2</v>
      </c>
      <c r="N1164">
        <v>4</v>
      </c>
      <c r="O1164">
        <f t="shared" si="18"/>
        <v>1</v>
      </c>
    </row>
    <row r="1165" spans="1:15">
      <c r="A1165">
        <v>1014</v>
      </c>
      <c r="B1165" s="1">
        <v>45665</v>
      </c>
      <c r="C1165">
        <v>18</v>
      </c>
      <c r="D1165" t="s">
        <v>14</v>
      </c>
      <c r="E1165" t="s">
        <v>24</v>
      </c>
      <c r="F1165" t="s">
        <v>21</v>
      </c>
      <c r="H1165">
        <v>316.89999999999998</v>
      </c>
      <c r="I1165" s="13">
        <v>6</v>
      </c>
      <c r="J1165">
        <v>1</v>
      </c>
      <c r="K1165">
        <v>41.13</v>
      </c>
      <c r="L1165">
        <v>4</v>
      </c>
      <c r="M1165">
        <v>3</v>
      </c>
      <c r="N1165">
        <v>4</v>
      </c>
      <c r="O1165">
        <f t="shared" si="18"/>
        <v>1</v>
      </c>
    </row>
    <row r="1166" spans="1:15">
      <c r="A1166">
        <v>3875</v>
      </c>
      <c r="B1166" s="1">
        <v>45665</v>
      </c>
      <c r="C1166">
        <v>44</v>
      </c>
      <c r="D1166" t="s">
        <v>17</v>
      </c>
      <c r="E1166" t="s">
        <v>22</v>
      </c>
      <c r="F1166" t="s">
        <v>16</v>
      </c>
      <c r="H1166">
        <v>421.9</v>
      </c>
      <c r="I1166" s="13">
        <v>9</v>
      </c>
      <c r="J1166">
        <v>1</v>
      </c>
      <c r="K1166">
        <v>40.61</v>
      </c>
      <c r="L1166">
        <v>2</v>
      </c>
      <c r="M1166">
        <v>11</v>
      </c>
      <c r="N1166">
        <v>5</v>
      </c>
      <c r="O1166">
        <f t="shared" si="18"/>
        <v>1</v>
      </c>
    </row>
    <row r="1167" spans="1:15">
      <c r="A1167">
        <v>2777</v>
      </c>
      <c r="B1167" s="1">
        <v>45665</v>
      </c>
      <c r="C1167">
        <v>49</v>
      </c>
      <c r="D1167" t="s">
        <v>17</v>
      </c>
      <c r="E1167" t="s">
        <v>20</v>
      </c>
      <c r="F1167" t="s">
        <v>16</v>
      </c>
      <c r="H1167">
        <v>852.3</v>
      </c>
      <c r="I1167" s="13">
        <v>6</v>
      </c>
      <c r="J1167">
        <v>1</v>
      </c>
      <c r="K1167">
        <v>31.53</v>
      </c>
      <c r="L1167">
        <v>1</v>
      </c>
      <c r="M1167">
        <v>5</v>
      </c>
      <c r="N1167">
        <v>3</v>
      </c>
      <c r="O1167">
        <f t="shared" si="18"/>
        <v>1</v>
      </c>
    </row>
    <row r="1168" spans="1:15">
      <c r="A1168">
        <v>169</v>
      </c>
      <c r="B1168" s="1">
        <v>45665</v>
      </c>
      <c r="C1168">
        <v>31</v>
      </c>
      <c r="D1168" t="s">
        <v>17</v>
      </c>
      <c r="E1168" t="s">
        <v>20</v>
      </c>
      <c r="F1168" t="s">
        <v>18</v>
      </c>
      <c r="G1168" t="s">
        <v>29</v>
      </c>
      <c r="H1168">
        <v>160.4</v>
      </c>
      <c r="I1168" s="13">
        <v>5</v>
      </c>
      <c r="J1168">
        <v>1</v>
      </c>
      <c r="K1168">
        <v>24.18</v>
      </c>
      <c r="L1168">
        <v>3</v>
      </c>
      <c r="M1168">
        <v>1</v>
      </c>
      <c r="N1168">
        <v>3</v>
      </c>
      <c r="O1168">
        <f t="shared" si="18"/>
        <v>1</v>
      </c>
    </row>
    <row r="1169" spans="1:15">
      <c r="A1169">
        <v>3389</v>
      </c>
      <c r="B1169" s="1">
        <v>45665</v>
      </c>
      <c r="C1169">
        <v>59</v>
      </c>
      <c r="D1169" t="s">
        <v>14</v>
      </c>
      <c r="E1169" t="s">
        <v>15</v>
      </c>
      <c r="F1169" t="s">
        <v>16</v>
      </c>
      <c r="H1169">
        <v>425.9</v>
      </c>
      <c r="I1169" s="13">
        <v>7</v>
      </c>
      <c r="J1169">
        <v>1</v>
      </c>
      <c r="K1169">
        <v>24.11</v>
      </c>
      <c r="L1169">
        <v>3</v>
      </c>
      <c r="M1169">
        <v>5</v>
      </c>
      <c r="N1169">
        <v>4</v>
      </c>
      <c r="O1169">
        <f t="shared" si="18"/>
        <v>1</v>
      </c>
    </row>
    <row r="1170" spans="1:15">
      <c r="A1170">
        <v>3960</v>
      </c>
      <c r="B1170" s="1">
        <v>45665</v>
      </c>
      <c r="C1170">
        <v>39</v>
      </c>
      <c r="D1170" t="s">
        <v>17</v>
      </c>
      <c r="E1170" t="s">
        <v>24</v>
      </c>
      <c r="F1170" t="s">
        <v>16</v>
      </c>
      <c r="H1170">
        <v>554.29999999999995</v>
      </c>
      <c r="I1170" s="13">
        <v>5</v>
      </c>
      <c r="J1170">
        <v>0</v>
      </c>
      <c r="K1170">
        <v>0</v>
      </c>
      <c r="L1170">
        <v>0</v>
      </c>
      <c r="M1170">
        <v>0</v>
      </c>
      <c r="O1170">
        <f t="shared" si="18"/>
        <v>1</v>
      </c>
    </row>
    <row r="1171" spans="1:15">
      <c r="A1171">
        <v>3968</v>
      </c>
      <c r="B1171" s="1">
        <v>45665</v>
      </c>
      <c r="C1171">
        <v>58</v>
      </c>
      <c r="D1171" t="s">
        <v>27</v>
      </c>
      <c r="E1171" t="s">
        <v>24</v>
      </c>
      <c r="F1171" t="s">
        <v>16</v>
      </c>
      <c r="H1171">
        <v>437.7</v>
      </c>
      <c r="I1171" s="13">
        <v>7</v>
      </c>
      <c r="J1171">
        <v>0</v>
      </c>
      <c r="K1171">
        <v>0</v>
      </c>
      <c r="L1171">
        <v>0</v>
      </c>
      <c r="M1171">
        <v>0</v>
      </c>
      <c r="O1171">
        <f t="shared" si="18"/>
        <v>1</v>
      </c>
    </row>
    <row r="1172" spans="1:15">
      <c r="A1172">
        <v>4844</v>
      </c>
      <c r="B1172" s="1">
        <v>45665</v>
      </c>
      <c r="C1172">
        <v>52</v>
      </c>
      <c r="D1172" t="s">
        <v>17</v>
      </c>
      <c r="E1172" t="s">
        <v>15</v>
      </c>
      <c r="F1172" t="s">
        <v>16</v>
      </c>
      <c r="H1172">
        <v>433.6</v>
      </c>
      <c r="I1172" s="13">
        <v>7</v>
      </c>
      <c r="J1172">
        <v>0</v>
      </c>
      <c r="K1172">
        <v>0</v>
      </c>
      <c r="L1172">
        <v>0</v>
      </c>
      <c r="M1172">
        <v>0</v>
      </c>
      <c r="O1172">
        <f t="shared" si="18"/>
        <v>1</v>
      </c>
    </row>
    <row r="1173" spans="1:15">
      <c r="A1173">
        <v>3410</v>
      </c>
      <c r="B1173" s="1">
        <v>45665</v>
      </c>
      <c r="C1173">
        <v>36</v>
      </c>
      <c r="D1173" t="s">
        <v>14</v>
      </c>
      <c r="E1173" t="s">
        <v>15</v>
      </c>
      <c r="F1173" t="s">
        <v>16</v>
      </c>
      <c r="H1173">
        <v>395.7</v>
      </c>
      <c r="I1173" s="13">
        <v>5</v>
      </c>
      <c r="J1173">
        <v>0</v>
      </c>
      <c r="K1173">
        <v>0</v>
      </c>
      <c r="L1173">
        <v>0</v>
      </c>
      <c r="M1173">
        <v>0</v>
      </c>
      <c r="O1173">
        <f t="shared" si="18"/>
        <v>1</v>
      </c>
    </row>
    <row r="1174" spans="1:15">
      <c r="A1174">
        <v>2468</v>
      </c>
      <c r="B1174" s="1">
        <v>45665</v>
      </c>
      <c r="C1174">
        <v>36</v>
      </c>
      <c r="D1174" t="s">
        <v>17</v>
      </c>
      <c r="E1174" t="s">
        <v>15</v>
      </c>
      <c r="F1174" t="s">
        <v>18</v>
      </c>
      <c r="G1174" t="s">
        <v>19</v>
      </c>
      <c r="H1174">
        <v>383.6</v>
      </c>
      <c r="I1174" s="13">
        <v>2</v>
      </c>
      <c r="J1174">
        <v>0</v>
      </c>
      <c r="K1174">
        <v>0</v>
      </c>
      <c r="L1174">
        <v>0</v>
      </c>
      <c r="M1174">
        <v>0</v>
      </c>
      <c r="O1174">
        <f t="shared" si="18"/>
        <v>1</v>
      </c>
    </row>
    <row r="1175" spans="1:15">
      <c r="A1175">
        <v>1417</v>
      </c>
      <c r="B1175" s="1">
        <v>45665</v>
      </c>
      <c r="C1175">
        <v>18</v>
      </c>
      <c r="D1175" t="s">
        <v>17</v>
      </c>
      <c r="E1175" t="s">
        <v>15</v>
      </c>
      <c r="F1175" t="s">
        <v>16</v>
      </c>
      <c r="H1175">
        <v>352.5</v>
      </c>
      <c r="I1175" s="13">
        <v>7</v>
      </c>
      <c r="J1175">
        <v>0</v>
      </c>
      <c r="K1175">
        <v>0</v>
      </c>
      <c r="L1175">
        <v>0</v>
      </c>
      <c r="M1175">
        <v>0</v>
      </c>
      <c r="O1175">
        <f t="shared" si="18"/>
        <v>1</v>
      </c>
    </row>
    <row r="1176" spans="1:15">
      <c r="A1176">
        <v>473</v>
      </c>
      <c r="B1176" s="1">
        <v>45665</v>
      </c>
      <c r="C1176">
        <v>26</v>
      </c>
      <c r="D1176" t="s">
        <v>14</v>
      </c>
      <c r="E1176" t="s">
        <v>15</v>
      </c>
      <c r="F1176" t="s">
        <v>21</v>
      </c>
      <c r="H1176">
        <v>337.7</v>
      </c>
      <c r="I1176" s="13">
        <v>7</v>
      </c>
      <c r="J1176">
        <v>0</v>
      </c>
      <c r="K1176">
        <v>0</v>
      </c>
      <c r="L1176">
        <v>0</v>
      </c>
      <c r="M1176">
        <v>0</v>
      </c>
      <c r="O1176">
        <f t="shared" si="18"/>
        <v>1</v>
      </c>
    </row>
    <row r="1177" spans="1:15">
      <c r="A1177">
        <v>3911</v>
      </c>
      <c r="B1177" s="1">
        <v>45665</v>
      </c>
      <c r="C1177">
        <v>54</v>
      </c>
      <c r="D1177" t="s">
        <v>17</v>
      </c>
      <c r="E1177" t="s">
        <v>24</v>
      </c>
      <c r="F1177" t="s">
        <v>16</v>
      </c>
      <c r="H1177">
        <v>330.6</v>
      </c>
      <c r="I1177" s="13">
        <v>4</v>
      </c>
      <c r="J1177">
        <v>0</v>
      </c>
      <c r="K1177">
        <v>0</v>
      </c>
      <c r="L1177">
        <v>0</v>
      </c>
      <c r="M1177">
        <v>0</v>
      </c>
      <c r="O1177">
        <f t="shared" si="18"/>
        <v>1</v>
      </c>
    </row>
    <row r="1178" spans="1:15">
      <c r="A1178">
        <v>1549</v>
      </c>
      <c r="B1178" s="1">
        <v>45665</v>
      </c>
      <c r="C1178">
        <v>23</v>
      </c>
      <c r="D1178" t="s">
        <v>17</v>
      </c>
      <c r="E1178" t="s">
        <v>20</v>
      </c>
      <c r="F1178" t="s">
        <v>16</v>
      </c>
      <c r="H1178">
        <v>310.60000000000002</v>
      </c>
      <c r="I1178" s="13">
        <v>2</v>
      </c>
      <c r="J1178">
        <v>0</v>
      </c>
      <c r="K1178">
        <v>0</v>
      </c>
      <c r="L1178">
        <v>0</v>
      </c>
      <c r="M1178">
        <v>0</v>
      </c>
      <c r="O1178">
        <f t="shared" si="18"/>
        <v>1</v>
      </c>
    </row>
    <row r="1179" spans="1:15">
      <c r="A1179">
        <v>2204</v>
      </c>
      <c r="B1179" s="1">
        <v>45665</v>
      </c>
      <c r="C1179">
        <v>33</v>
      </c>
      <c r="D1179" t="s">
        <v>17</v>
      </c>
      <c r="E1179" t="s">
        <v>24</v>
      </c>
      <c r="F1179" t="s">
        <v>18</v>
      </c>
      <c r="G1179" t="s">
        <v>26</v>
      </c>
      <c r="H1179">
        <v>303</v>
      </c>
      <c r="I1179" s="13">
        <v>8</v>
      </c>
      <c r="J1179">
        <v>0</v>
      </c>
      <c r="K1179">
        <v>0</v>
      </c>
      <c r="L1179">
        <v>0</v>
      </c>
      <c r="M1179">
        <v>0</v>
      </c>
      <c r="O1179">
        <f t="shared" si="18"/>
        <v>1</v>
      </c>
    </row>
    <row r="1180" spans="1:15">
      <c r="A1180">
        <v>1073</v>
      </c>
      <c r="B1180" s="1">
        <v>45665</v>
      </c>
      <c r="C1180">
        <v>25</v>
      </c>
      <c r="D1180" t="s">
        <v>17</v>
      </c>
      <c r="E1180" t="s">
        <v>15</v>
      </c>
      <c r="F1180" t="s">
        <v>18</v>
      </c>
      <c r="G1180" t="s">
        <v>19</v>
      </c>
      <c r="H1180">
        <v>290.10000000000002</v>
      </c>
      <c r="I1180" s="13">
        <v>6</v>
      </c>
      <c r="J1180">
        <v>0</v>
      </c>
      <c r="K1180">
        <v>0</v>
      </c>
      <c r="L1180">
        <v>0</v>
      </c>
      <c r="M1180">
        <v>0</v>
      </c>
      <c r="O1180">
        <f t="shared" si="18"/>
        <v>1</v>
      </c>
    </row>
    <row r="1181" spans="1:15">
      <c r="A1181">
        <v>4390</v>
      </c>
      <c r="B1181" s="1">
        <v>45665</v>
      </c>
      <c r="C1181">
        <v>61</v>
      </c>
      <c r="D1181" t="s">
        <v>17</v>
      </c>
      <c r="E1181" t="s">
        <v>15</v>
      </c>
      <c r="F1181" t="s">
        <v>16</v>
      </c>
      <c r="H1181">
        <v>286.60000000000002</v>
      </c>
      <c r="I1181" s="13">
        <v>4</v>
      </c>
      <c r="J1181">
        <v>0</v>
      </c>
      <c r="K1181">
        <v>0</v>
      </c>
      <c r="L1181">
        <v>0</v>
      </c>
      <c r="M1181">
        <v>0</v>
      </c>
      <c r="O1181">
        <f t="shared" si="18"/>
        <v>1</v>
      </c>
    </row>
    <row r="1182" spans="1:15">
      <c r="A1182">
        <v>1827</v>
      </c>
      <c r="B1182" s="1">
        <v>45665</v>
      </c>
      <c r="C1182">
        <v>37</v>
      </c>
      <c r="D1182" t="s">
        <v>17</v>
      </c>
      <c r="E1182" t="s">
        <v>22</v>
      </c>
      <c r="F1182" t="s">
        <v>21</v>
      </c>
      <c r="H1182">
        <v>283.8</v>
      </c>
      <c r="I1182" s="13">
        <v>8</v>
      </c>
      <c r="J1182">
        <v>0</v>
      </c>
      <c r="K1182">
        <v>0</v>
      </c>
      <c r="L1182">
        <v>0</v>
      </c>
      <c r="M1182">
        <v>0</v>
      </c>
      <c r="O1182">
        <f t="shared" si="18"/>
        <v>1</v>
      </c>
    </row>
    <row r="1183" spans="1:15">
      <c r="A1183">
        <v>611</v>
      </c>
      <c r="B1183" s="1">
        <v>45665</v>
      </c>
      <c r="C1183">
        <v>29</v>
      </c>
      <c r="D1183" t="s">
        <v>14</v>
      </c>
      <c r="E1183" t="s">
        <v>20</v>
      </c>
      <c r="F1183" t="s">
        <v>16</v>
      </c>
      <c r="H1183">
        <v>244.6</v>
      </c>
      <c r="I1183" s="13">
        <v>7</v>
      </c>
      <c r="J1183">
        <v>0</v>
      </c>
      <c r="K1183">
        <v>0</v>
      </c>
      <c r="L1183">
        <v>0</v>
      </c>
      <c r="M1183">
        <v>0</v>
      </c>
      <c r="O1183">
        <f t="shared" si="18"/>
        <v>1</v>
      </c>
    </row>
    <row r="1184" spans="1:15">
      <c r="A1184">
        <v>2366</v>
      </c>
      <c r="B1184" s="1">
        <v>45665</v>
      </c>
      <c r="C1184">
        <v>42</v>
      </c>
      <c r="D1184" t="s">
        <v>27</v>
      </c>
      <c r="E1184" t="s">
        <v>20</v>
      </c>
      <c r="F1184" t="s">
        <v>18</v>
      </c>
      <c r="G1184" t="s">
        <v>26</v>
      </c>
      <c r="H1184">
        <v>189.5</v>
      </c>
      <c r="I1184" s="13">
        <v>10</v>
      </c>
      <c r="J1184">
        <v>0</v>
      </c>
      <c r="K1184">
        <v>0</v>
      </c>
      <c r="L1184">
        <v>0</v>
      </c>
      <c r="M1184">
        <v>0</v>
      </c>
      <c r="O1184">
        <f t="shared" si="18"/>
        <v>1</v>
      </c>
    </row>
    <row r="1185" spans="1:15">
      <c r="A1185">
        <v>3638</v>
      </c>
      <c r="B1185" s="1">
        <v>45665</v>
      </c>
      <c r="C1185">
        <v>24</v>
      </c>
      <c r="D1185" t="s">
        <v>14</v>
      </c>
      <c r="E1185" t="s">
        <v>22</v>
      </c>
      <c r="F1185" t="s">
        <v>18</v>
      </c>
      <c r="G1185" t="s">
        <v>26</v>
      </c>
      <c r="H1185">
        <v>154.9</v>
      </c>
      <c r="I1185" s="13">
        <v>8</v>
      </c>
      <c r="J1185">
        <v>0</v>
      </c>
      <c r="K1185">
        <v>0</v>
      </c>
      <c r="L1185">
        <v>0</v>
      </c>
      <c r="M1185">
        <v>0</v>
      </c>
      <c r="O1185">
        <f t="shared" si="18"/>
        <v>1</v>
      </c>
    </row>
    <row r="1186" spans="1:15">
      <c r="A1186">
        <v>4318</v>
      </c>
      <c r="B1186" s="1">
        <v>45665</v>
      </c>
      <c r="C1186">
        <v>53</v>
      </c>
      <c r="D1186" t="s">
        <v>17</v>
      </c>
      <c r="E1186" t="s">
        <v>20</v>
      </c>
      <c r="F1186" t="s">
        <v>16</v>
      </c>
      <c r="H1186">
        <v>131.69999999999999</v>
      </c>
      <c r="I1186" s="13">
        <v>2</v>
      </c>
      <c r="J1186">
        <v>0</v>
      </c>
      <c r="K1186">
        <v>0</v>
      </c>
      <c r="L1186">
        <v>0</v>
      </c>
      <c r="M1186">
        <v>0</v>
      </c>
      <c r="O1186">
        <f t="shared" si="18"/>
        <v>1</v>
      </c>
    </row>
    <row r="1187" spans="1:15">
      <c r="A1187">
        <v>1867</v>
      </c>
      <c r="B1187" s="1">
        <v>45665</v>
      </c>
      <c r="C1187">
        <v>57</v>
      </c>
      <c r="D1187" t="s">
        <v>17</v>
      </c>
      <c r="E1187" t="s">
        <v>20</v>
      </c>
      <c r="F1187" t="s">
        <v>16</v>
      </c>
      <c r="H1187">
        <v>121.5</v>
      </c>
      <c r="I1187" s="13">
        <v>5</v>
      </c>
      <c r="J1187">
        <v>0</v>
      </c>
      <c r="K1187">
        <v>0</v>
      </c>
      <c r="L1187">
        <v>0</v>
      </c>
      <c r="M1187">
        <v>0</v>
      </c>
      <c r="O1187">
        <f t="shared" si="18"/>
        <v>1</v>
      </c>
    </row>
    <row r="1188" spans="1:15">
      <c r="A1188">
        <v>2858</v>
      </c>
      <c r="B1188" s="1">
        <v>45665</v>
      </c>
      <c r="C1188">
        <v>45</v>
      </c>
      <c r="D1188" t="s">
        <v>14</v>
      </c>
      <c r="E1188" t="s">
        <v>22</v>
      </c>
      <c r="F1188" t="s">
        <v>18</v>
      </c>
      <c r="G1188" t="s">
        <v>31</v>
      </c>
      <c r="H1188">
        <v>114.3</v>
      </c>
      <c r="I1188" s="13">
        <v>7</v>
      </c>
      <c r="J1188">
        <v>0</v>
      </c>
      <c r="K1188">
        <v>0</v>
      </c>
      <c r="L1188">
        <v>0</v>
      </c>
      <c r="M1188">
        <v>0</v>
      </c>
      <c r="O1188">
        <f t="shared" si="18"/>
        <v>1</v>
      </c>
    </row>
    <row r="1189" spans="1:15">
      <c r="A1189">
        <v>4217</v>
      </c>
      <c r="B1189" s="1">
        <v>45665</v>
      </c>
      <c r="C1189">
        <v>54</v>
      </c>
      <c r="D1189" t="s">
        <v>17</v>
      </c>
      <c r="E1189" t="s">
        <v>20</v>
      </c>
      <c r="F1189" t="s">
        <v>18</v>
      </c>
      <c r="G1189" t="s">
        <v>29</v>
      </c>
      <c r="H1189">
        <v>108.3</v>
      </c>
      <c r="I1189" s="13">
        <v>6</v>
      </c>
      <c r="J1189">
        <v>0</v>
      </c>
      <c r="K1189">
        <v>0</v>
      </c>
      <c r="L1189">
        <v>0</v>
      </c>
      <c r="M1189">
        <v>0</v>
      </c>
      <c r="O1189">
        <f t="shared" si="18"/>
        <v>1</v>
      </c>
    </row>
    <row r="1190" spans="1:15">
      <c r="A1190">
        <v>4980</v>
      </c>
      <c r="B1190" s="1">
        <v>45665</v>
      </c>
      <c r="C1190">
        <v>54</v>
      </c>
      <c r="D1190" t="s">
        <v>17</v>
      </c>
      <c r="E1190" t="s">
        <v>24</v>
      </c>
      <c r="F1190" t="s">
        <v>23</v>
      </c>
      <c r="H1190">
        <v>86.4</v>
      </c>
      <c r="I1190" s="13">
        <v>3</v>
      </c>
      <c r="J1190">
        <v>0</v>
      </c>
      <c r="K1190">
        <v>0</v>
      </c>
      <c r="L1190">
        <v>0</v>
      </c>
      <c r="M1190">
        <v>0</v>
      </c>
      <c r="O1190">
        <f t="shared" si="18"/>
        <v>1</v>
      </c>
    </row>
    <row r="1191" spans="1:15">
      <c r="A1191">
        <v>4839</v>
      </c>
      <c r="B1191" s="1">
        <v>45665</v>
      </c>
      <c r="C1191">
        <v>43</v>
      </c>
      <c r="D1191" t="s">
        <v>17</v>
      </c>
      <c r="E1191" t="s">
        <v>20</v>
      </c>
      <c r="F1191" t="s">
        <v>18</v>
      </c>
      <c r="G1191" t="s">
        <v>28</v>
      </c>
      <c r="H1191">
        <v>78.8</v>
      </c>
      <c r="I1191" s="13">
        <v>8</v>
      </c>
      <c r="J1191">
        <v>0</v>
      </c>
      <c r="K1191">
        <v>0</v>
      </c>
      <c r="L1191">
        <v>0</v>
      </c>
      <c r="M1191">
        <v>0</v>
      </c>
      <c r="O1191">
        <f t="shared" si="18"/>
        <v>1</v>
      </c>
    </row>
    <row r="1192" spans="1:15">
      <c r="A1192">
        <v>1708</v>
      </c>
      <c r="B1192" s="1">
        <v>45696</v>
      </c>
      <c r="C1192">
        <v>30</v>
      </c>
      <c r="D1192" t="s">
        <v>14</v>
      </c>
      <c r="E1192" t="s">
        <v>22</v>
      </c>
      <c r="F1192" t="s">
        <v>16</v>
      </c>
      <c r="H1192">
        <v>293.60000000000002</v>
      </c>
      <c r="I1192" s="13">
        <v>4</v>
      </c>
      <c r="J1192">
        <v>1</v>
      </c>
      <c r="K1192">
        <v>411</v>
      </c>
      <c r="L1192">
        <v>2</v>
      </c>
      <c r="M1192">
        <v>1</v>
      </c>
      <c r="N1192">
        <v>5</v>
      </c>
      <c r="O1192">
        <f t="shared" si="18"/>
        <v>2</v>
      </c>
    </row>
    <row r="1193" spans="1:15">
      <c r="A1193">
        <v>3992</v>
      </c>
      <c r="B1193" s="1">
        <v>45696</v>
      </c>
      <c r="C1193">
        <v>64</v>
      </c>
      <c r="D1193" t="s">
        <v>14</v>
      </c>
      <c r="E1193" t="s">
        <v>24</v>
      </c>
      <c r="F1193" t="s">
        <v>21</v>
      </c>
      <c r="H1193">
        <v>385.4</v>
      </c>
      <c r="I1193" s="13">
        <v>4</v>
      </c>
      <c r="J1193">
        <v>1</v>
      </c>
      <c r="K1193">
        <v>108.2</v>
      </c>
      <c r="L1193">
        <v>5</v>
      </c>
      <c r="M1193">
        <v>7</v>
      </c>
      <c r="N1193">
        <v>5</v>
      </c>
      <c r="O1193">
        <f t="shared" si="18"/>
        <v>2</v>
      </c>
    </row>
    <row r="1194" spans="1:15">
      <c r="A1194">
        <v>2182</v>
      </c>
      <c r="B1194" s="1">
        <v>45696</v>
      </c>
      <c r="C1194">
        <v>37</v>
      </c>
      <c r="D1194" t="s">
        <v>14</v>
      </c>
      <c r="E1194" t="s">
        <v>15</v>
      </c>
      <c r="F1194" t="s">
        <v>23</v>
      </c>
      <c r="H1194">
        <v>264.10000000000002</v>
      </c>
      <c r="I1194" s="13">
        <v>4</v>
      </c>
      <c r="J1194">
        <v>1</v>
      </c>
      <c r="K1194">
        <v>74.459999999999994</v>
      </c>
      <c r="L1194">
        <v>1</v>
      </c>
      <c r="M1194">
        <v>3</v>
      </c>
      <c r="N1194">
        <v>3</v>
      </c>
      <c r="O1194">
        <f t="shared" si="18"/>
        <v>2</v>
      </c>
    </row>
    <row r="1195" spans="1:15">
      <c r="A1195">
        <v>2663</v>
      </c>
      <c r="B1195" s="1">
        <v>45696</v>
      </c>
      <c r="C1195">
        <v>35</v>
      </c>
      <c r="D1195" t="s">
        <v>17</v>
      </c>
      <c r="E1195" t="s">
        <v>22</v>
      </c>
      <c r="F1195" t="s">
        <v>16</v>
      </c>
      <c r="H1195">
        <v>391.4</v>
      </c>
      <c r="I1195" s="13">
        <v>5</v>
      </c>
      <c r="J1195">
        <v>1</v>
      </c>
      <c r="K1195">
        <v>73.11</v>
      </c>
      <c r="L1195">
        <v>2</v>
      </c>
      <c r="M1195">
        <v>15</v>
      </c>
      <c r="N1195">
        <v>5</v>
      </c>
      <c r="O1195">
        <f t="shared" si="18"/>
        <v>2</v>
      </c>
    </row>
    <row r="1196" spans="1:15">
      <c r="A1196">
        <v>2659</v>
      </c>
      <c r="B1196" s="1">
        <v>45696</v>
      </c>
      <c r="C1196">
        <v>25</v>
      </c>
      <c r="D1196" t="s">
        <v>14</v>
      </c>
      <c r="E1196" t="s">
        <v>24</v>
      </c>
      <c r="F1196" t="s">
        <v>16</v>
      </c>
      <c r="H1196">
        <v>198.9</v>
      </c>
      <c r="I1196" s="13">
        <v>3</v>
      </c>
      <c r="J1196">
        <v>1</v>
      </c>
      <c r="K1196">
        <v>67.45</v>
      </c>
      <c r="L1196">
        <v>2</v>
      </c>
      <c r="M1196">
        <v>6</v>
      </c>
      <c r="N1196">
        <v>4</v>
      </c>
      <c r="O1196">
        <f t="shared" si="18"/>
        <v>2</v>
      </c>
    </row>
    <row r="1197" spans="1:15">
      <c r="A1197">
        <v>1556</v>
      </c>
      <c r="B1197" s="1">
        <v>45696</v>
      </c>
      <c r="C1197">
        <v>22</v>
      </c>
      <c r="D1197" t="s">
        <v>17</v>
      </c>
      <c r="E1197" t="s">
        <v>15</v>
      </c>
      <c r="F1197" t="s">
        <v>18</v>
      </c>
      <c r="G1197" t="s">
        <v>26</v>
      </c>
      <c r="H1197">
        <v>350.8</v>
      </c>
      <c r="I1197" s="13">
        <v>4</v>
      </c>
      <c r="J1197">
        <v>1</v>
      </c>
      <c r="K1197">
        <v>35.97</v>
      </c>
      <c r="L1197">
        <v>6</v>
      </c>
      <c r="M1197">
        <v>9</v>
      </c>
      <c r="N1197">
        <v>3</v>
      </c>
      <c r="O1197">
        <f t="shared" si="18"/>
        <v>2</v>
      </c>
    </row>
    <row r="1198" spans="1:15">
      <c r="A1198">
        <v>14</v>
      </c>
      <c r="B1198" s="1">
        <v>45696</v>
      </c>
      <c r="C1198">
        <v>22</v>
      </c>
      <c r="D1198" t="s">
        <v>17</v>
      </c>
      <c r="E1198" t="s">
        <v>24</v>
      </c>
      <c r="F1198" t="s">
        <v>18</v>
      </c>
      <c r="G1198" t="s">
        <v>29</v>
      </c>
      <c r="H1198">
        <v>1050.3</v>
      </c>
      <c r="I1198" s="13">
        <v>5</v>
      </c>
      <c r="J1198">
        <v>1</v>
      </c>
      <c r="K1198">
        <v>28.93</v>
      </c>
      <c r="L1198">
        <v>4</v>
      </c>
      <c r="M1198">
        <v>3</v>
      </c>
      <c r="N1198">
        <v>5</v>
      </c>
      <c r="O1198">
        <f t="shared" si="18"/>
        <v>2</v>
      </c>
    </row>
    <row r="1199" spans="1:15">
      <c r="A1199">
        <v>1752</v>
      </c>
      <c r="B1199" s="1">
        <v>45696</v>
      </c>
      <c r="C1199">
        <v>27</v>
      </c>
      <c r="D1199" t="s">
        <v>17</v>
      </c>
      <c r="E1199" t="s">
        <v>24</v>
      </c>
      <c r="F1199" t="s">
        <v>23</v>
      </c>
      <c r="H1199">
        <v>41.4</v>
      </c>
      <c r="I1199" s="13">
        <v>5</v>
      </c>
      <c r="J1199">
        <v>1</v>
      </c>
      <c r="K1199">
        <v>24.96</v>
      </c>
      <c r="L1199">
        <v>5</v>
      </c>
      <c r="M1199">
        <v>13</v>
      </c>
      <c r="N1199">
        <v>3</v>
      </c>
      <c r="O1199">
        <f t="shared" si="18"/>
        <v>2</v>
      </c>
    </row>
    <row r="1200" spans="1:15">
      <c r="A1200">
        <v>1459</v>
      </c>
      <c r="B1200" s="1">
        <v>45696</v>
      </c>
      <c r="C1200">
        <v>19</v>
      </c>
      <c r="D1200" t="s">
        <v>17</v>
      </c>
      <c r="E1200" t="s">
        <v>20</v>
      </c>
      <c r="F1200" t="s">
        <v>16</v>
      </c>
      <c r="H1200">
        <v>307.8</v>
      </c>
      <c r="I1200" s="13">
        <v>6</v>
      </c>
      <c r="J1200">
        <v>1</v>
      </c>
      <c r="K1200">
        <v>23.13</v>
      </c>
      <c r="L1200">
        <v>4</v>
      </c>
      <c r="M1200">
        <v>6</v>
      </c>
      <c r="N1200">
        <v>4</v>
      </c>
      <c r="O1200">
        <f t="shared" si="18"/>
        <v>2</v>
      </c>
    </row>
    <row r="1201" spans="1:15">
      <c r="A1201">
        <v>3351</v>
      </c>
      <c r="B1201" s="1">
        <v>45696</v>
      </c>
      <c r="C1201">
        <v>30</v>
      </c>
      <c r="D1201" t="s">
        <v>14</v>
      </c>
      <c r="E1201" t="s">
        <v>22</v>
      </c>
      <c r="F1201" t="s">
        <v>18</v>
      </c>
      <c r="G1201" t="s">
        <v>29</v>
      </c>
      <c r="H1201">
        <v>383.1</v>
      </c>
      <c r="I1201" s="13">
        <v>6</v>
      </c>
      <c r="J1201">
        <v>1</v>
      </c>
      <c r="K1201">
        <v>23.08</v>
      </c>
      <c r="L1201">
        <v>2</v>
      </c>
      <c r="M1201">
        <v>9</v>
      </c>
      <c r="N1201">
        <v>4</v>
      </c>
      <c r="O1201">
        <f t="shared" si="18"/>
        <v>2</v>
      </c>
    </row>
    <row r="1202" spans="1:15">
      <c r="A1202">
        <v>298</v>
      </c>
      <c r="B1202" s="1">
        <v>45696</v>
      </c>
      <c r="C1202">
        <v>25</v>
      </c>
      <c r="D1202" t="s">
        <v>14</v>
      </c>
      <c r="E1202" t="s">
        <v>24</v>
      </c>
      <c r="F1202" t="s">
        <v>18</v>
      </c>
      <c r="G1202" t="s">
        <v>29</v>
      </c>
      <c r="H1202">
        <v>185.6</v>
      </c>
      <c r="I1202" s="13">
        <v>3</v>
      </c>
      <c r="J1202">
        <v>1</v>
      </c>
      <c r="K1202">
        <v>16.260000000000002</v>
      </c>
      <c r="L1202">
        <v>3</v>
      </c>
      <c r="M1202">
        <v>11</v>
      </c>
      <c r="N1202">
        <v>4</v>
      </c>
      <c r="O1202">
        <f t="shared" si="18"/>
        <v>2</v>
      </c>
    </row>
    <row r="1203" spans="1:15">
      <c r="A1203">
        <v>4966</v>
      </c>
      <c r="B1203" s="1">
        <v>45696</v>
      </c>
      <c r="C1203">
        <v>35</v>
      </c>
      <c r="D1203" t="s">
        <v>17</v>
      </c>
      <c r="E1203" t="s">
        <v>15</v>
      </c>
      <c r="F1203" t="s">
        <v>18</v>
      </c>
      <c r="G1203" t="s">
        <v>19</v>
      </c>
      <c r="H1203">
        <v>290</v>
      </c>
      <c r="I1203" s="13">
        <v>5</v>
      </c>
      <c r="J1203">
        <v>0</v>
      </c>
      <c r="K1203">
        <v>0</v>
      </c>
      <c r="L1203">
        <v>0</v>
      </c>
      <c r="M1203">
        <v>0</v>
      </c>
      <c r="O1203">
        <f t="shared" si="18"/>
        <v>2</v>
      </c>
    </row>
    <row r="1204" spans="1:15">
      <c r="A1204">
        <v>3791</v>
      </c>
      <c r="B1204" s="1">
        <v>45696</v>
      </c>
      <c r="C1204">
        <v>46</v>
      </c>
      <c r="D1204" t="s">
        <v>17</v>
      </c>
      <c r="E1204" t="s">
        <v>15</v>
      </c>
      <c r="F1204" t="s">
        <v>16</v>
      </c>
      <c r="H1204">
        <v>180</v>
      </c>
      <c r="I1204" s="13">
        <v>3</v>
      </c>
      <c r="J1204">
        <v>0</v>
      </c>
      <c r="K1204">
        <v>0</v>
      </c>
      <c r="L1204">
        <v>0</v>
      </c>
      <c r="M1204">
        <v>0</v>
      </c>
      <c r="O1204">
        <f t="shared" si="18"/>
        <v>2</v>
      </c>
    </row>
    <row r="1205" spans="1:15">
      <c r="A1205">
        <v>1872</v>
      </c>
      <c r="B1205" s="1">
        <v>45696</v>
      </c>
      <c r="C1205">
        <v>28</v>
      </c>
      <c r="D1205" t="s">
        <v>17</v>
      </c>
      <c r="E1205" t="s">
        <v>20</v>
      </c>
      <c r="F1205" t="s">
        <v>16</v>
      </c>
      <c r="H1205">
        <v>609.29999999999995</v>
      </c>
      <c r="I1205" s="13">
        <v>4</v>
      </c>
      <c r="J1205">
        <v>0</v>
      </c>
      <c r="K1205">
        <v>0</v>
      </c>
      <c r="L1205">
        <v>0</v>
      </c>
      <c r="M1205">
        <v>0</v>
      </c>
      <c r="O1205">
        <f t="shared" si="18"/>
        <v>2</v>
      </c>
    </row>
    <row r="1206" spans="1:15">
      <c r="A1206">
        <v>562</v>
      </c>
      <c r="B1206" s="1">
        <v>45696</v>
      </c>
      <c r="C1206">
        <v>27</v>
      </c>
      <c r="D1206" t="s">
        <v>14</v>
      </c>
      <c r="E1206" t="s">
        <v>22</v>
      </c>
      <c r="F1206" t="s">
        <v>18</v>
      </c>
      <c r="G1206" t="s">
        <v>19</v>
      </c>
      <c r="H1206">
        <v>347.7</v>
      </c>
      <c r="I1206" s="13">
        <v>5</v>
      </c>
      <c r="J1206">
        <v>0</v>
      </c>
      <c r="K1206">
        <v>0</v>
      </c>
      <c r="L1206">
        <v>0</v>
      </c>
      <c r="M1206">
        <v>0</v>
      </c>
      <c r="O1206">
        <f t="shared" si="18"/>
        <v>2</v>
      </c>
    </row>
    <row r="1207" spans="1:15">
      <c r="A1207">
        <v>3496</v>
      </c>
      <c r="B1207" s="1">
        <v>45696</v>
      </c>
      <c r="C1207">
        <v>35</v>
      </c>
      <c r="D1207" t="s">
        <v>14</v>
      </c>
      <c r="E1207" t="s">
        <v>24</v>
      </c>
      <c r="F1207" t="s">
        <v>16</v>
      </c>
      <c r="H1207">
        <v>337.1</v>
      </c>
      <c r="I1207" s="13">
        <v>6</v>
      </c>
      <c r="J1207">
        <v>0</v>
      </c>
      <c r="K1207">
        <v>0</v>
      </c>
      <c r="L1207">
        <v>0</v>
      </c>
      <c r="M1207">
        <v>0</v>
      </c>
      <c r="O1207">
        <f t="shared" si="18"/>
        <v>2</v>
      </c>
    </row>
    <row r="1208" spans="1:15">
      <c r="A1208">
        <v>643</v>
      </c>
      <c r="B1208" s="1">
        <v>45696</v>
      </c>
      <c r="C1208">
        <v>24</v>
      </c>
      <c r="D1208" t="s">
        <v>17</v>
      </c>
      <c r="E1208" t="s">
        <v>24</v>
      </c>
      <c r="F1208" t="s">
        <v>23</v>
      </c>
      <c r="H1208">
        <v>261.7</v>
      </c>
      <c r="I1208" s="13">
        <v>5</v>
      </c>
      <c r="J1208">
        <v>0</v>
      </c>
      <c r="K1208">
        <v>0</v>
      </c>
      <c r="L1208">
        <v>0</v>
      </c>
      <c r="M1208">
        <v>0</v>
      </c>
      <c r="O1208">
        <f t="shared" si="18"/>
        <v>2</v>
      </c>
    </row>
    <row r="1209" spans="1:15">
      <c r="A1209">
        <v>1233</v>
      </c>
      <c r="B1209" s="1">
        <v>45696</v>
      </c>
      <c r="C1209">
        <v>28</v>
      </c>
      <c r="D1209" t="s">
        <v>17</v>
      </c>
      <c r="E1209" t="s">
        <v>24</v>
      </c>
      <c r="F1209" t="s">
        <v>23</v>
      </c>
      <c r="H1209">
        <v>257.2</v>
      </c>
      <c r="I1209" s="13">
        <v>7</v>
      </c>
      <c r="J1209">
        <v>0</v>
      </c>
      <c r="K1209">
        <v>0</v>
      </c>
      <c r="L1209">
        <v>0</v>
      </c>
      <c r="M1209">
        <v>0</v>
      </c>
      <c r="O1209">
        <f t="shared" si="18"/>
        <v>2</v>
      </c>
    </row>
    <row r="1210" spans="1:15">
      <c r="A1210">
        <v>4543</v>
      </c>
      <c r="B1210" s="1">
        <v>45696</v>
      </c>
      <c r="C1210">
        <v>70</v>
      </c>
      <c r="D1210" t="s">
        <v>17</v>
      </c>
      <c r="E1210" t="s">
        <v>20</v>
      </c>
      <c r="F1210" t="s">
        <v>16</v>
      </c>
      <c r="H1210">
        <v>257.2</v>
      </c>
      <c r="I1210" s="13">
        <v>6</v>
      </c>
      <c r="J1210">
        <v>0</v>
      </c>
      <c r="K1210">
        <v>0</v>
      </c>
      <c r="L1210">
        <v>0</v>
      </c>
      <c r="M1210">
        <v>0</v>
      </c>
      <c r="O1210">
        <f t="shared" si="18"/>
        <v>2</v>
      </c>
    </row>
    <row r="1211" spans="1:15">
      <c r="A1211">
        <v>3443</v>
      </c>
      <c r="B1211" s="1">
        <v>45696</v>
      </c>
      <c r="C1211">
        <v>33</v>
      </c>
      <c r="D1211" t="s">
        <v>17</v>
      </c>
      <c r="E1211" t="s">
        <v>15</v>
      </c>
      <c r="F1211" t="s">
        <v>18</v>
      </c>
      <c r="G1211" t="s">
        <v>29</v>
      </c>
      <c r="H1211">
        <v>247.8</v>
      </c>
      <c r="I1211" s="13">
        <v>6</v>
      </c>
      <c r="J1211">
        <v>0</v>
      </c>
      <c r="K1211">
        <v>0</v>
      </c>
      <c r="L1211">
        <v>0</v>
      </c>
      <c r="M1211">
        <v>0</v>
      </c>
      <c r="O1211">
        <f t="shared" si="18"/>
        <v>2</v>
      </c>
    </row>
    <row r="1212" spans="1:15">
      <c r="A1212">
        <v>4340</v>
      </c>
      <c r="B1212" s="1">
        <v>45696</v>
      </c>
      <c r="C1212">
        <v>64</v>
      </c>
      <c r="D1212" t="s">
        <v>14</v>
      </c>
      <c r="E1212" t="s">
        <v>22</v>
      </c>
      <c r="F1212" t="s">
        <v>16</v>
      </c>
      <c r="H1212">
        <v>131.5</v>
      </c>
      <c r="I1212" s="13">
        <v>5</v>
      </c>
      <c r="J1212">
        <v>0</v>
      </c>
      <c r="K1212">
        <v>0</v>
      </c>
      <c r="L1212">
        <v>0</v>
      </c>
      <c r="M1212">
        <v>0</v>
      </c>
      <c r="O1212">
        <f t="shared" si="18"/>
        <v>2</v>
      </c>
    </row>
    <row r="1213" spans="1:15">
      <c r="A1213">
        <v>974</v>
      </c>
      <c r="B1213" s="1">
        <v>45696</v>
      </c>
      <c r="C1213">
        <v>26</v>
      </c>
      <c r="D1213" t="s">
        <v>17</v>
      </c>
      <c r="E1213" t="s">
        <v>22</v>
      </c>
      <c r="F1213" t="s">
        <v>16</v>
      </c>
      <c r="H1213">
        <v>109.9</v>
      </c>
      <c r="I1213" s="13">
        <v>4</v>
      </c>
      <c r="J1213">
        <v>0</v>
      </c>
      <c r="K1213">
        <v>0</v>
      </c>
      <c r="L1213">
        <v>0</v>
      </c>
      <c r="M1213">
        <v>0</v>
      </c>
      <c r="O1213">
        <f t="shared" si="18"/>
        <v>2</v>
      </c>
    </row>
    <row r="1214" spans="1:15">
      <c r="A1214">
        <v>3746</v>
      </c>
      <c r="B1214" s="1">
        <v>45696</v>
      </c>
      <c r="C1214">
        <v>39</v>
      </c>
      <c r="D1214" t="s">
        <v>17</v>
      </c>
      <c r="E1214" t="s">
        <v>22</v>
      </c>
      <c r="F1214" t="s">
        <v>21</v>
      </c>
      <c r="H1214">
        <v>69.900000000000006</v>
      </c>
      <c r="I1214" s="13">
        <v>8</v>
      </c>
      <c r="J1214">
        <v>0</v>
      </c>
      <c r="K1214">
        <v>0</v>
      </c>
      <c r="L1214">
        <v>0</v>
      </c>
      <c r="M1214">
        <v>0</v>
      </c>
      <c r="O1214">
        <f t="shared" si="18"/>
        <v>2</v>
      </c>
    </row>
    <row r="1215" spans="1:15">
      <c r="A1215">
        <v>3120</v>
      </c>
      <c r="B1215" s="1">
        <v>45696</v>
      </c>
      <c r="C1215">
        <v>40</v>
      </c>
      <c r="D1215" t="s">
        <v>14</v>
      </c>
      <c r="E1215" t="s">
        <v>22</v>
      </c>
      <c r="F1215" t="s">
        <v>16</v>
      </c>
      <c r="H1215">
        <v>68.400000000000006</v>
      </c>
      <c r="I1215" s="13">
        <v>3</v>
      </c>
      <c r="J1215">
        <v>0</v>
      </c>
      <c r="K1215">
        <v>0</v>
      </c>
      <c r="L1215">
        <v>0</v>
      </c>
      <c r="M1215">
        <v>0</v>
      </c>
      <c r="O1215">
        <f t="shared" si="18"/>
        <v>2</v>
      </c>
    </row>
    <row r="1216" spans="1:15">
      <c r="A1216">
        <v>2653</v>
      </c>
      <c r="B1216" s="1">
        <v>45724</v>
      </c>
      <c r="C1216">
        <v>20</v>
      </c>
      <c r="D1216" t="s">
        <v>17</v>
      </c>
      <c r="E1216" t="s">
        <v>15</v>
      </c>
      <c r="F1216" t="s">
        <v>16</v>
      </c>
      <c r="H1216">
        <v>743.7</v>
      </c>
      <c r="I1216" s="13">
        <v>6</v>
      </c>
      <c r="J1216">
        <v>1</v>
      </c>
      <c r="K1216">
        <v>286.51</v>
      </c>
      <c r="L1216">
        <v>2</v>
      </c>
      <c r="M1216">
        <v>3</v>
      </c>
      <c r="N1216">
        <v>5</v>
      </c>
      <c r="O1216">
        <f t="shared" si="18"/>
        <v>3</v>
      </c>
    </row>
    <row r="1217" spans="1:15">
      <c r="A1217">
        <v>2714</v>
      </c>
      <c r="B1217" s="1">
        <v>45724</v>
      </c>
      <c r="C1217">
        <v>50</v>
      </c>
      <c r="D1217" t="s">
        <v>17</v>
      </c>
      <c r="E1217" t="s">
        <v>15</v>
      </c>
      <c r="F1217" t="s">
        <v>18</v>
      </c>
      <c r="G1217" t="s">
        <v>29</v>
      </c>
      <c r="H1217">
        <v>207.2</v>
      </c>
      <c r="I1217" s="13">
        <v>9</v>
      </c>
      <c r="J1217">
        <v>1</v>
      </c>
      <c r="K1217">
        <v>96.45</v>
      </c>
      <c r="L1217">
        <v>4</v>
      </c>
      <c r="M1217">
        <v>1</v>
      </c>
      <c r="N1217">
        <v>4</v>
      </c>
      <c r="O1217">
        <f t="shared" si="18"/>
        <v>3</v>
      </c>
    </row>
    <row r="1218" spans="1:15">
      <c r="A1218">
        <v>244</v>
      </c>
      <c r="B1218" s="1">
        <v>45724</v>
      </c>
      <c r="C1218">
        <v>27</v>
      </c>
      <c r="D1218" t="s">
        <v>14</v>
      </c>
      <c r="E1218" t="s">
        <v>24</v>
      </c>
      <c r="F1218" t="s">
        <v>18</v>
      </c>
      <c r="G1218" t="s">
        <v>31</v>
      </c>
      <c r="H1218">
        <v>1001.3</v>
      </c>
      <c r="I1218" s="13">
        <v>8</v>
      </c>
      <c r="J1218">
        <v>1</v>
      </c>
      <c r="K1218">
        <v>78.13</v>
      </c>
      <c r="L1218">
        <v>2</v>
      </c>
      <c r="M1218">
        <v>3</v>
      </c>
      <c r="N1218">
        <v>5</v>
      </c>
      <c r="O1218">
        <f t="shared" si="18"/>
        <v>3</v>
      </c>
    </row>
    <row r="1219" spans="1:15">
      <c r="A1219">
        <v>2652</v>
      </c>
      <c r="B1219" s="1">
        <v>45724</v>
      </c>
      <c r="C1219">
        <v>30</v>
      </c>
      <c r="D1219" t="s">
        <v>17</v>
      </c>
      <c r="E1219" t="s">
        <v>22</v>
      </c>
      <c r="F1219" t="s">
        <v>18</v>
      </c>
      <c r="G1219" t="s">
        <v>19</v>
      </c>
      <c r="H1219">
        <v>409.7</v>
      </c>
      <c r="I1219" s="13">
        <v>3</v>
      </c>
      <c r="J1219">
        <v>1</v>
      </c>
      <c r="K1219">
        <v>67.900000000000006</v>
      </c>
      <c r="L1219">
        <v>4</v>
      </c>
      <c r="M1219">
        <v>7</v>
      </c>
      <c r="N1219">
        <v>4</v>
      </c>
      <c r="O1219">
        <f t="shared" ref="O1219:O1282" si="19">MONTH(B1219)</f>
        <v>3</v>
      </c>
    </row>
    <row r="1220" spans="1:15">
      <c r="A1220">
        <v>3381</v>
      </c>
      <c r="B1220" s="1">
        <v>45724</v>
      </c>
      <c r="C1220">
        <v>31</v>
      </c>
      <c r="D1220" t="s">
        <v>17</v>
      </c>
      <c r="E1220" t="s">
        <v>15</v>
      </c>
      <c r="F1220" t="s">
        <v>23</v>
      </c>
      <c r="H1220">
        <v>660.1</v>
      </c>
      <c r="I1220" s="13">
        <v>3</v>
      </c>
      <c r="J1220">
        <v>1</v>
      </c>
      <c r="K1220">
        <v>61.83</v>
      </c>
      <c r="L1220">
        <v>5</v>
      </c>
      <c r="M1220">
        <v>3</v>
      </c>
      <c r="N1220">
        <v>4</v>
      </c>
      <c r="O1220">
        <f t="shared" si="19"/>
        <v>3</v>
      </c>
    </row>
    <row r="1221" spans="1:15">
      <c r="A1221">
        <v>3146</v>
      </c>
      <c r="B1221" s="1">
        <v>45724</v>
      </c>
      <c r="C1221">
        <v>20</v>
      </c>
      <c r="D1221" t="s">
        <v>17</v>
      </c>
      <c r="E1221" t="s">
        <v>15</v>
      </c>
      <c r="F1221" t="s">
        <v>16</v>
      </c>
      <c r="H1221">
        <v>1157.9000000000001</v>
      </c>
      <c r="I1221" s="13">
        <v>10</v>
      </c>
      <c r="J1221">
        <v>1</v>
      </c>
      <c r="K1221">
        <v>61.63</v>
      </c>
      <c r="L1221">
        <v>3</v>
      </c>
      <c r="M1221">
        <v>11</v>
      </c>
      <c r="N1221">
        <v>4</v>
      </c>
      <c r="O1221">
        <f t="shared" si="19"/>
        <v>3</v>
      </c>
    </row>
    <row r="1222" spans="1:15">
      <c r="A1222">
        <v>224</v>
      </c>
      <c r="B1222" s="1">
        <v>45724</v>
      </c>
      <c r="C1222">
        <v>29</v>
      </c>
      <c r="D1222" t="s">
        <v>14</v>
      </c>
      <c r="E1222" t="s">
        <v>22</v>
      </c>
      <c r="F1222" t="s">
        <v>23</v>
      </c>
      <c r="H1222">
        <v>934.8</v>
      </c>
      <c r="I1222" s="13">
        <v>9</v>
      </c>
      <c r="J1222">
        <v>1</v>
      </c>
      <c r="K1222">
        <v>54.05</v>
      </c>
      <c r="L1222">
        <v>1</v>
      </c>
      <c r="M1222">
        <v>11</v>
      </c>
      <c r="N1222">
        <v>4</v>
      </c>
      <c r="O1222">
        <f t="shared" si="19"/>
        <v>3</v>
      </c>
    </row>
    <row r="1223" spans="1:15">
      <c r="A1223">
        <v>3309</v>
      </c>
      <c r="B1223" s="1">
        <v>45724</v>
      </c>
      <c r="C1223">
        <v>38</v>
      </c>
      <c r="D1223" t="s">
        <v>17</v>
      </c>
      <c r="E1223" t="s">
        <v>15</v>
      </c>
      <c r="F1223" t="s">
        <v>16</v>
      </c>
      <c r="H1223">
        <v>716.9</v>
      </c>
      <c r="I1223" s="13">
        <v>6</v>
      </c>
      <c r="J1223">
        <v>1</v>
      </c>
      <c r="K1223">
        <v>42.51</v>
      </c>
      <c r="L1223">
        <v>1</v>
      </c>
      <c r="M1223">
        <v>13</v>
      </c>
      <c r="N1223">
        <v>3</v>
      </c>
      <c r="O1223">
        <f t="shared" si="19"/>
        <v>3</v>
      </c>
    </row>
    <row r="1224" spans="1:15">
      <c r="A1224">
        <v>2387</v>
      </c>
      <c r="B1224" s="1">
        <v>45724</v>
      </c>
      <c r="C1224">
        <v>46</v>
      </c>
      <c r="D1224" t="s">
        <v>17</v>
      </c>
      <c r="E1224" t="s">
        <v>24</v>
      </c>
      <c r="F1224" t="s">
        <v>16</v>
      </c>
      <c r="H1224">
        <v>81.599999999999994</v>
      </c>
      <c r="I1224" s="13">
        <v>5</v>
      </c>
      <c r="J1224">
        <v>1</v>
      </c>
      <c r="K1224">
        <v>34.39</v>
      </c>
      <c r="L1224">
        <v>3</v>
      </c>
      <c r="M1224">
        <v>6</v>
      </c>
      <c r="N1224">
        <v>4</v>
      </c>
      <c r="O1224">
        <f t="shared" si="19"/>
        <v>3</v>
      </c>
    </row>
    <row r="1225" spans="1:15">
      <c r="A1225">
        <v>626</v>
      </c>
      <c r="B1225" s="1">
        <v>45724</v>
      </c>
      <c r="C1225">
        <v>19</v>
      </c>
      <c r="D1225" t="s">
        <v>14</v>
      </c>
      <c r="E1225" t="s">
        <v>24</v>
      </c>
      <c r="F1225" t="s">
        <v>18</v>
      </c>
      <c r="G1225" t="s">
        <v>31</v>
      </c>
      <c r="H1225">
        <v>295.2</v>
      </c>
      <c r="I1225" s="13">
        <v>3</v>
      </c>
      <c r="J1225">
        <v>1</v>
      </c>
      <c r="K1225">
        <v>29.24</v>
      </c>
      <c r="L1225">
        <v>1</v>
      </c>
      <c r="M1225">
        <v>3</v>
      </c>
      <c r="N1225">
        <v>4</v>
      </c>
      <c r="O1225">
        <f t="shared" si="19"/>
        <v>3</v>
      </c>
    </row>
    <row r="1226" spans="1:15">
      <c r="A1226">
        <v>3141</v>
      </c>
      <c r="B1226" s="1">
        <v>45724</v>
      </c>
      <c r="C1226">
        <v>29</v>
      </c>
      <c r="D1226" t="s">
        <v>14</v>
      </c>
      <c r="E1226" t="s">
        <v>22</v>
      </c>
      <c r="F1226" t="s">
        <v>16</v>
      </c>
      <c r="H1226">
        <v>515.5</v>
      </c>
      <c r="I1226" s="13">
        <v>4</v>
      </c>
      <c r="J1226">
        <v>1</v>
      </c>
      <c r="K1226">
        <v>22.58</v>
      </c>
      <c r="L1226">
        <v>4</v>
      </c>
      <c r="M1226">
        <v>12</v>
      </c>
      <c r="N1226">
        <v>4</v>
      </c>
      <c r="O1226">
        <f t="shared" si="19"/>
        <v>3</v>
      </c>
    </row>
    <row r="1227" spans="1:15">
      <c r="A1227">
        <v>4691</v>
      </c>
      <c r="B1227" s="1">
        <v>45724</v>
      </c>
      <c r="C1227">
        <v>65</v>
      </c>
      <c r="D1227" t="s">
        <v>14</v>
      </c>
      <c r="E1227" t="s">
        <v>24</v>
      </c>
      <c r="F1227" t="s">
        <v>16</v>
      </c>
      <c r="H1227">
        <v>384.1</v>
      </c>
      <c r="I1227" s="13">
        <v>5</v>
      </c>
      <c r="J1227">
        <v>1</v>
      </c>
      <c r="K1227">
        <v>22.26</v>
      </c>
      <c r="L1227">
        <v>4</v>
      </c>
      <c r="M1227">
        <v>1</v>
      </c>
      <c r="N1227">
        <v>4</v>
      </c>
      <c r="O1227">
        <f t="shared" si="19"/>
        <v>3</v>
      </c>
    </row>
    <row r="1228" spans="1:15">
      <c r="A1228">
        <v>3576</v>
      </c>
      <c r="B1228" s="1">
        <v>45724</v>
      </c>
      <c r="C1228">
        <v>33</v>
      </c>
      <c r="D1228" t="s">
        <v>14</v>
      </c>
      <c r="E1228" t="s">
        <v>22</v>
      </c>
      <c r="F1228" t="s">
        <v>18</v>
      </c>
      <c r="G1228" t="s">
        <v>31</v>
      </c>
      <c r="H1228">
        <v>1203.5</v>
      </c>
      <c r="I1228" s="13">
        <v>6</v>
      </c>
      <c r="J1228">
        <v>1</v>
      </c>
      <c r="K1228">
        <v>15.98</v>
      </c>
      <c r="L1228">
        <v>4</v>
      </c>
      <c r="M1228">
        <v>12</v>
      </c>
      <c r="N1228">
        <v>5</v>
      </c>
      <c r="O1228">
        <f t="shared" si="19"/>
        <v>3</v>
      </c>
    </row>
    <row r="1229" spans="1:15">
      <c r="A1229">
        <v>3615</v>
      </c>
      <c r="B1229" s="1">
        <v>45724</v>
      </c>
      <c r="C1229">
        <v>46</v>
      </c>
      <c r="D1229" t="s">
        <v>17</v>
      </c>
      <c r="E1229" t="s">
        <v>22</v>
      </c>
      <c r="F1229" t="s">
        <v>18</v>
      </c>
      <c r="G1229" t="s">
        <v>25</v>
      </c>
      <c r="H1229">
        <v>633.79999999999995</v>
      </c>
      <c r="I1229" s="13">
        <v>4</v>
      </c>
      <c r="J1229">
        <v>0</v>
      </c>
      <c r="K1229">
        <v>0</v>
      </c>
      <c r="L1229">
        <v>0</v>
      </c>
      <c r="M1229">
        <v>0</v>
      </c>
      <c r="O1229">
        <f t="shared" si="19"/>
        <v>3</v>
      </c>
    </row>
    <row r="1230" spans="1:15">
      <c r="A1230">
        <v>1908</v>
      </c>
      <c r="B1230" s="1">
        <v>45724</v>
      </c>
      <c r="C1230">
        <v>30</v>
      </c>
      <c r="D1230" t="s">
        <v>14</v>
      </c>
      <c r="E1230" t="s">
        <v>20</v>
      </c>
      <c r="F1230" t="s">
        <v>16</v>
      </c>
      <c r="H1230">
        <v>573</v>
      </c>
      <c r="I1230" s="13">
        <v>6</v>
      </c>
      <c r="J1230">
        <v>0</v>
      </c>
      <c r="K1230">
        <v>0</v>
      </c>
      <c r="L1230">
        <v>0</v>
      </c>
      <c r="M1230">
        <v>0</v>
      </c>
      <c r="O1230">
        <f t="shared" si="19"/>
        <v>3</v>
      </c>
    </row>
    <row r="1231" spans="1:15">
      <c r="A1231">
        <v>444</v>
      </c>
      <c r="B1231" s="1">
        <v>45724</v>
      </c>
      <c r="C1231">
        <v>23</v>
      </c>
      <c r="D1231" t="s">
        <v>17</v>
      </c>
      <c r="E1231" t="s">
        <v>20</v>
      </c>
      <c r="F1231" t="s">
        <v>21</v>
      </c>
      <c r="H1231">
        <v>493.3</v>
      </c>
      <c r="I1231" s="13">
        <v>6</v>
      </c>
      <c r="J1231">
        <v>0</v>
      </c>
      <c r="K1231">
        <v>0</v>
      </c>
      <c r="L1231">
        <v>0</v>
      </c>
      <c r="M1231">
        <v>0</v>
      </c>
      <c r="O1231">
        <f t="shared" si="19"/>
        <v>3</v>
      </c>
    </row>
    <row r="1232" spans="1:15">
      <c r="A1232">
        <v>4604</v>
      </c>
      <c r="B1232" s="1">
        <v>45724</v>
      </c>
      <c r="C1232">
        <v>69</v>
      </c>
      <c r="D1232" t="s">
        <v>17</v>
      </c>
      <c r="E1232" t="s">
        <v>24</v>
      </c>
      <c r="F1232" t="s">
        <v>16</v>
      </c>
      <c r="H1232">
        <v>479.9</v>
      </c>
      <c r="I1232" s="13">
        <v>6</v>
      </c>
      <c r="J1232">
        <v>0</v>
      </c>
      <c r="K1232">
        <v>0</v>
      </c>
      <c r="L1232">
        <v>0</v>
      </c>
      <c r="M1232">
        <v>0</v>
      </c>
      <c r="O1232">
        <f t="shared" si="19"/>
        <v>3</v>
      </c>
    </row>
    <row r="1233" spans="1:15">
      <c r="A1233">
        <v>3599</v>
      </c>
      <c r="B1233" s="1">
        <v>45724</v>
      </c>
      <c r="C1233">
        <v>40</v>
      </c>
      <c r="D1233" t="s">
        <v>17</v>
      </c>
      <c r="E1233" t="s">
        <v>15</v>
      </c>
      <c r="F1233" t="s">
        <v>21</v>
      </c>
      <c r="H1233">
        <v>433.9</v>
      </c>
      <c r="I1233" s="13">
        <v>7</v>
      </c>
      <c r="J1233">
        <v>0</v>
      </c>
      <c r="K1233">
        <v>0</v>
      </c>
      <c r="L1233">
        <v>0</v>
      </c>
      <c r="M1233">
        <v>0</v>
      </c>
      <c r="O1233">
        <f t="shared" si="19"/>
        <v>3</v>
      </c>
    </row>
    <row r="1234" spans="1:15">
      <c r="A1234">
        <v>1841</v>
      </c>
      <c r="B1234" s="1">
        <v>45724</v>
      </c>
      <c r="C1234">
        <v>39</v>
      </c>
      <c r="D1234" t="s">
        <v>17</v>
      </c>
      <c r="E1234" t="s">
        <v>24</v>
      </c>
      <c r="F1234" t="s">
        <v>23</v>
      </c>
      <c r="H1234">
        <v>352</v>
      </c>
      <c r="I1234" s="13">
        <v>4</v>
      </c>
      <c r="J1234">
        <v>0</v>
      </c>
      <c r="K1234">
        <v>0</v>
      </c>
      <c r="L1234">
        <v>0</v>
      </c>
      <c r="M1234">
        <v>0</v>
      </c>
      <c r="O1234">
        <f t="shared" si="19"/>
        <v>3</v>
      </c>
    </row>
    <row r="1235" spans="1:15">
      <c r="A1235">
        <v>623</v>
      </c>
      <c r="B1235" s="1">
        <v>45724</v>
      </c>
      <c r="C1235">
        <v>29</v>
      </c>
      <c r="D1235" t="s">
        <v>17</v>
      </c>
      <c r="E1235" t="s">
        <v>20</v>
      </c>
      <c r="F1235" t="s">
        <v>18</v>
      </c>
      <c r="G1235" t="s">
        <v>19</v>
      </c>
      <c r="H1235">
        <v>338.5</v>
      </c>
      <c r="I1235" s="13">
        <v>6</v>
      </c>
      <c r="J1235">
        <v>0</v>
      </c>
      <c r="K1235">
        <v>0</v>
      </c>
      <c r="L1235">
        <v>0</v>
      </c>
      <c r="M1235">
        <v>0</v>
      </c>
      <c r="O1235">
        <f t="shared" si="19"/>
        <v>3</v>
      </c>
    </row>
    <row r="1236" spans="1:15">
      <c r="A1236">
        <v>2840</v>
      </c>
      <c r="B1236" s="1">
        <v>45724</v>
      </c>
      <c r="C1236">
        <v>35</v>
      </c>
      <c r="D1236" t="s">
        <v>14</v>
      </c>
      <c r="E1236" t="s">
        <v>15</v>
      </c>
      <c r="F1236" t="s">
        <v>21</v>
      </c>
      <c r="H1236">
        <v>336.2</v>
      </c>
      <c r="I1236" s="13">
        <v>3</v>
      </c>
      <c r="J1236">
        <v>0</v>
      </c>
      <c r="K1236">
        <v>0</v>
      </c>
      <c r="L1236">
        <v>0</v>
      </c>
      <c r="M1236">
        <v>0</v>
      </c>
      <c r="O1236">
        <f t="shared" si="19"/>
        <v>3</v>
      </c>
    </row>
    <row r="1237" spans="1:15">
      <c r="A1237">
        <v>1695</v>
      </c>
      <c r="B1237" s="1">
        <v>45724</v>
      </c>
      <c r="C1237">
        <v>35</v>
      </c>
      <c r="D1237" t="s">
        <v>17</v>
      </c>
      <c r="E1237" t="s">
        <v>22</v>
      </c>
      <c r="F1237" t="s">
        <v>23</v>
      </c>
      <c r="H1237">
        <v>305.5</v>
      </c>
      <c r="I1237" s="13">
        <v>5</v>
      </c>
      <c r="J1237">
        <v>0</v>
      </c>
      <c r="K1237">
        <v>0</v>
      </c>
      <c r="L1237">
        <v>0</v>
      </c>
      <c r="M1237">
        <v>0</v>
      </c>
      <c r="O1237">
        <f t="shared" si="19"/>
        <v>3</v>
      </c>
    </row>
    <row r="1238" spans="1:15">
      <c r="A1238">
        <v>1236</v>
      </c>
      <c r="B1238" s="1">
        <v>45724</v>
      </c>
      <c r="C1238">
        <v>18</v>
      </c>
      <c r="D1238" t="s">
        <v>17</v>
      </c>
      <c r="E1238" t="s">
        <v>20</v>
      </c>
      <c r="F1238" t="s">
        <v>18</v>
      </c>
      <c r="G1238" t="s">
        <v>29</v>
      </c>
      <c r="H1238">
        <v>304.7</v>
      </c>
      <c r="I1238" s="13">
        <v>6</v>
      </c>
      <c r="J1238">
        <v>0</v>
      </c>
      <c r="K1238">
        <v>0</v>
      </c>
      <c r="L1238">
        <v>0</v>
      </c>
      <c r="M1238">
        <v>0</v>
      </c>
      <c r="O1238">
        <f t="shared" si="19"/>
        <v>3</v>
      </c>
    </row>
    <row r="1239" spans="1:15">
      <c r="A1239">
        <v>2338</v>
      </c>
      <c r="B1239" s="1">
        <v>45724</v>
      </c>
      <c r="C1239">
        <v>35</v>
      </c>
      <c r="D1239" t="s">
        <v>14</v>
      </c>
      <c r="E1239" t="s">
        <v>24</v>
      </c>
      <c r="F1239" t="s">
        <v>18</v>
      </c>
      <c r="G1239" t="s">
        <v>30</v>
      </c>
      <c r="H1239">
        <v>290.10000000000002</v>
      </c>
      <c r="I1239" s="13">
        <v>10</v>
      </c>
      <c r="J1239">
        <v>0</v>
      </c>
      <c r="K1239">
        <v>0</v>
      </c>
      <c r="L1239">
        <v>0</v>
      </c>
      <c r="M1239">
        <v>0</v>
      </c>
      <c r="O1239">
        <f t="shared" si="19"/>
        <v>3</v>
      </c>
    </row>
    <row r="1240" spans="1:15">
      <c r="A1240">
        <v>2677</v>
      </c>
      <c r="B1240" s="1">
        <v>45724</v>
      </c>
      <c r="C1240">
        <v>23</v>
      </c>
      <c r="D1240" t="s">
        <v>14</v>
      </c>
      <c r="E1240" t="s">
        <v>15</v>
      </c>
      <c r="F1240" t="s">
        <v>16</v>
      </c>
      <c r="H1240">
        <v>220.9</v>
      </c>
      <c r="I1240" s="13">
        <v>6</v>
      </c>
      <c r="J1240">
        <v>0</v>
      </c>
      <c r="K1240">
        <v>0</v>
      </c>
      <c r="L1240">
        <v>0</v>
      </c>
      <c r="M1240">
        <v>0</v>
      </c>
      <c r="O1240">
        <f t="shared" si="19"/>
        <v>3</v>
      </c>
    </row>
    <row r="1241" spans="1:15">
      <c r="A1241">
        <v>1348</v>
      </c>
      <c r="B1241" s="1">
        <v>45724</v>
      </c>
      <c r="C1241">
        <v>30</v>
      </c>
      <c r="D1241" t="s">
        <v>14</v>
      </c>
      <c r="E1241" t="s">
        <v>22</v>
      </c>
      <c r="F1241" t="s">
        <v>16</v>
      </c>
      <c r="H1241">
        <v>183.3</v>
      </c>
      <c r="I1241" s="13">
        <v>4</v>
      </c>
      <c r="J1241">
        <v>0</v>
      </c>
      <c r="K1241">
        <v>0</v>
      </c>
      <c r="L1241">
        <v>0</v>
      </c>
      <c r="M1241">
        <v>0</v>
      </c>
      <c r="O1241">
        <f t="shared" si="19"/>
        <v>3</v>
      </c>
    </row>
    <row r="1242" spans="1:15">
      <c r="A1242">
        <v>2949</v>
      </c>
      <c r="B1242" s="1">
        <v>45724</v>
      </c>
      <c r="C1242">
        <v>43</v>
      </c>
      <c r="D1242" t="s">
        <v>17</v>
      </c>
      <c r="E1242" t="s">
        <v>15</v>
      </c>
      <c r="F1242" t="s">
        <v>18</v>
      </c>
      <c r="G1242" t="s">
        <v>29</v>
      </c>
      <c r="H1242">
        <v>137</v>
      </c>
      <c r="I1242" s="13">
        <v>6</v>
      </c>
      <c r="J1242">
        <v>0</v>
      </c>
      <c r="K1242">
        <v>0</v>
      </c>
      <c r="L1242">
        <v>0</v>
      </c>
      <c r="M1242">
        <v>0</v>
      </c>
      <c r="O1242">
        <f t="shared" si="19"/>
        <v>3</v>
      </c>
    </row>
    <row r="1243" spans="1:15">
      <c r="A1243">
        <v>1739</v>
      </c>
      <c r="B1243" s="1">
        <v>45724</v>
      </c>
      <c r="C1243">
        <v>20</v>
      </c>
      <c r="D1243" t="s">
        <v>17</v>
      </c>
      <c r="E1243" t="s">
        <v>20</v>
      </c>
      <c r="F1243" t="s">
        <v>18</v>
      </c>
      <c r="G1243" t="s">
        <v>31</v>
      </c>
      <c r="H1243">
        <v>112.5</v>
      </c>
      <c r="I1243" s="13">
        <v>6</v>
      </c>
      <c r="J1243">
        <v>0</v>
      </c>
      <c r="K1243">
        <v>0</v>
      </c>
      <c r="L1243">
        <v>0</v>
      </c>
      <c r="M1243">
        <v>0</v>
      </c>
      <c r="O1243">
        <f t="shared" si="19"/>
        <v>3</v>
      </c>
    </row>
    <row r="1244" spans="1:15">
      <c r="A1244">
        <v>4918</v>
      </c>
      <c r="B1244" s="1">
        <v>45724</v>
      </c>
      <c r="C1244">
        <v>32</v>
      </c>
      <c r="D1244" t="s">
        <v>17</v>
      </c>
      <c r="E1244" t="s">
        <v>15</v>
      </c>
      <c r="F1244" t="s">
        <v>23</v>
      </c>
      <c r="H1244">
        <v>103.9</v>
      </c>
      <c r="I1244" s="13">
        <v>7</v>
      </c>
      <c r="J1244">
        <v>0</v>
      </c>
      <c r="K1244">
        <v>0</v>
      </c>
      <c r="L1244">
        <v>0</v>
      </c>
      <c r="M1244">
        <v>0</v>
      </c>
      <c r="O1244">
        <f t="shared" si="19"/>
        <v>3</v>
      </c>
    </row>
    <row r="1245" spans="1:15">
      <c r="A1245">
        <v>161</v>
      </c>
      <c r="B1245" s="1">
        <v>45724</v>
      </c>
      <c r="C1245">
        <v>32</v>
      </c>
      <c r="D1245" t="s">
        <v>17</v>
      </c>
      <c r="E1245" t="s">
        <v>20</v>
      </c>
      <c r="F1245" t="s">
        <v>16</v>
      </c>
      <c r="H1245">
        <v>103.1</v>
      </c>
      <c r="I1245" s="13">
        <v>13</v>
      </c>
      <c r="J1245">
        <v>0</v>
      </c>
      <c r="K1245">
        <v>0</v>
      </c>
      <c r="L1245">
        <v>0</v>
      </c>
      <c r="M1245">
        <v>0</v>
      </c>
      <c r="O1245">
        <f t="shared" si="19"/>
        <v>3</v>
      </c>
    </row>
    <row r="1246" spans="1:15">
      <c r="A1246">
        <v>1914</v>
      </c>
      <c r="B1246" s="1">
        <v>45724</v>
      </c>
      <c r="C1246">
        <v>21</v>
      </c>
      <c r="D1246" t="s">
        <v>17</v>
      </c>
      <c r="E1246" t="s">
        <v>22</v>
      </c>
      <c r="F1246" t="s">
        <v>16</v>
      </c>
      <c r="H1246">
        <v>97</v>
      </c>
      <c r="I1246" s="13">
        <v>2</v>
      </c>
      <c r="J1246">
        <v>0</v>
      </c>
      <c r="K1246">
        <v>0</v>
      </c>
      <c r="L1246">
        <v>0</v>
      </c>
      <c r="M1246">
        <v>0</v>
      </c>
      <c r="O1246">
        <f t="shared" si="19"/>
        <v>3</v>
      </c>
    </row>
    <row r="1247" spans="1:15">
      <c r="A1247">
        <v>2925</v>
      </c>
      <c r="B1247" s="1">
        <v>45724</v>
      </c>
      <c r="C1247">
        <v>44</v>
      </c>
      <c r="D1247" t="s">
        <v>14</v>
      </c>
      <c r="E1247" t="s">
        <v>24</v>
      </c>
      <c r="F1247" t="s">
        <v>18</v>
      </c>
      <c r="G1247" t="s">
        <v>31</v>
      </c>
      <c r="H1247">
        <v>90.9</v>
      </c>
      <c r="I1247" s="13">
        <v>6</v>
      </c>
      <c r="J1247">
        <v>0</v>
      </c>
      <c r="K1247">
        <v>0</v>
      </c>
      <c r="L1247">
        <v>0</v>
      </c>
      <c r="M1247">
        <v>0</v>
      </c>
      <c r="O1247">
        <f t="shared" si="19"/>
        <v>3</v>
      </c>
    </row>
    <row r="1248" spans="1:15">
      <c r="A1248">
        <v>393</v>
      </c>
      <c r="B1248" s="1">
        <v>45724</v>
      </c>
      <c r="C1248">
        <v>27</v>
      </c>
      <c r="D1248" t="s">
        <v>14</v>
      </c>
      <c r="E1248" t="s">
        <v>24</v>
      </c>
      <c r="F1248" t="s">
        <v>23</v>
      </c>
      <c r="H1248">
        <v>59.7</v>
      </c>
      <c r="I1248" s="13">
        <v>5</v>
      </c>
      <c r="J1248">
        <v>0</v>
      </c>
      <c r="K1248">
        <v>0</v>
      </c>
      <c r="L1248">
        <v>0</v>
      </c>
      <c r="M1248">
        <v>0</v>
      </c>
      <c r="O1248">
        <f t="shared" si="19"/>
        <v>3</v>
      </c>
    </row>
    <row r="1249" spans="1:15">
      <c r="A1249">
        <v>2049</v>
      </c>
      <c r="B1249" s="1">
        <v>45755</v>
      </c>
      <c r="C1249">
        <v>39</v>
      </c>
      <c r="D1249" t="s">
        <v>17</v>
      </c>
      <c r="E1249" t="s">
        <v>22</v>
      </c>
      <c r="F1249" t="s">
        <v>16</v>
      </c>
      <c r="H1249">
        <v>94.8</v>
      </c>
      <c r="I1249" s="13">
        <v>7</v>
      </c>
      <c r="J1249">
        <v>1</v>
      </c>
      <c r="K1249">
        <v>78</v>
      </c>
      <c r="L1249">
        <v>1</v>
      </c>
      <c r="M1249">
        <v>11</v>
      </c>
      <c r="N1249">
        <v>4</v>
      </c>
      <c r="O1249">
        <f t="shared" si="19"/>
        <v>4</v>
      </c>
    </row>
    <row r="1250" spans="1:15">
      <c r="A1250">
        <v>3243</v>
      </c>
      <c r="B1250" s="1">
        <v>45755</v>
      </c>
      <c r="C1250">
        <v>35</v>
      </c>
      <c r="D1250" t="s">
        <v>14</v>
      </c>
      <c r="E1250" t="s">
        <v>15</v>
      </c>
      <c r="F1250" t="s">
        <v>23</v>
      </c>
      <c r="H1250">
        <v>816.2</v>
      </c>
      <c r="I1250" s="13">
        <v>6</v>
      </c>
      <c r="J1250">
        <v>1</v>
      </c>
      <c r="K1250">
        <v>106.06</v>
      </c>
      <c r="L1250">
        <v>2</v>
      </c>
      <c r="M1250">
        <v>8</v>
      </c>
      <c r="N1250">
        <v>4</v>
      </c>
      <c r="O1250">
        <f t="shared" si="19"/>
        <v>4</v>
      </c>
    </row>
    <row r="1251" spans="1:15">
      <c r="A1251">
        <v>2470</v>
      </c>
      <c r="B1251" s="1">
        <v>45755</v>
      </c>
      <c r="C1251">
        <v>34</v>
      </c>
      <c r="D1251" t="s">
        <v>14</v>
      </c>
      <c r="E1251" t="s">
        <v>22</v>
      </c>
      <c r="F1251" t="s">
        <v>16</v>
      </c>
      <c r="H1251">
        <v>676.6</v>
      </c>
      <c r="I1251" s="13">
        <v>8</v>
      </c>
      <c r="J1251">
        <v>1</v>
      </c>
      <c r="K1251">
        <v>74.790000000000006</v>
      </c>
      <c r="L1251">
        <v>6</v>
      </c>
      <c r="M1251">
        <v>7</v>
      </c>
      <c r="N1251">
        <v>4</v>
      </c>
      <c r="O1251">
        <f t="shared" si="19"/>
        <v>4</v>
      </c>
    </row>
    <row r="1252" spans="1:15">
      <c r="A1252">
        <v>1002</v>
      </c>
      <c r="B1252" s="1">
        <v>45755</v>
      </c>
      <c r="C1252">
        <v>21</v>
      </c>
      <c r="D1252" t="s">
        <v>17</v>
      </c>
      <c r="E1252" t="s">
        <v>20</v>
      </c>
      <c r="F1252" t="s">
        <v>18</v>
      </c>
      <c r="G1252" t="s">
        <v>31</v>
      </c>
      <c r="H1252">
        <v>720.3</v>
      </c>
      <c r="I1252" s="13">
        <v>6</v>
      </c>
      <c r="J1252">
        <v>1</v>
      </c>
      <c r="K1252">
        <v>59.21</v>
      </c>
      <c r="L1252">
        <v>3</v>
      </c>
      <c r="M1252">
        <v>5</v>
      </c>
      <c r="N1252">
        <v>5</v>
      </c>
      <c r="O1252">
        <f t="shared" si="19"/>
        <v>4</v>
      </c>
    </row>
    <row r="1253" spans="1:15">
      <c r="A1253">
        <v>4157</v>
      </c>
      <c r="B1253" s="1">
        <v>45755</v>
      </c>
      <c r="C1253">
        <v>54</v>
      </c>
      <c r="D1253" t="s">
        <v>17</v>
      </c>
      <c r="E1253" t="s">
        <v>20</v>
      </c>
      <c r="F1253" t="s">
        <v>16</v>
      </c>
      <c r="H1253">
        <v>496.1</v>
      </c>
      <c r="I1253" s="13">
        <v>4</v>
      </c>
      <c r="J1253">
        <v>1</v>
      </c>
      <c r="K1253">
        <v>57.95</v>
      </c>
      <c r="L1253">
        <v>4</v>
      </c>
      <c r="M1253">
        <v>8</v>
      </c>
      <c r="N1253">
        <v>4</v>
      </c>
      <c r="O1253">
        <f t="shared" si="19"/>
        <v>4</v>
      </c>
    </row>
    <row r="1254" spans="1:15">
      <c r="A1254">
        <v>3294</v>
      </c>
      <c r="B1254" s="1">
        <v>45755</v>
      </c>
      <c r="C1254">
        <v>45</v>
      </c>
      <c r="D1254" t="s">
        <v>17</v>
      </c>
      <c r="E1254" t="s">
        <v>20</v>
      </c>
      <c r="F1254" t="s">
        <v>18</v>
      </c>
      <c r="G1254" t="s">
        <v>29</v>
      </c>
      <c r="H1254">
        <v>192.3</v>
      </c>
      <c r="I1254" s="13">
        <v>8</v>
      </c>
      <c r="J1254">
        <v>1</v>
      </c>
      <c r="K1254">
        <v>57.7</v>
      </c>
      <c r="L1254">
        <v>1</v>
      </c>
      <c r="M1254">
        <v>13</v>
      </c>
      <c r="N1254">
        <v>4</v>
      </c>
      <c r="O1254">
        <f t="shared" si="19"/>
        <v>4</v>
      </c>
    </row>
    <row r="1255" spans="1:15">
      <c r="A1255">
        <v>1876</v>
      </c>
      <c r="B1255" s="1">
        <v>45755</v>
      </c>
      <c r="C1255">
        <v>36</v>
      </c>
      <c r="D1255" t="s">
        <v>17</v>
      </c>
      <c r="E1255" t="s">
        <v>22</v>
      </c>
      <c r="F1255" t="s">
        <v>18</v>
      </c>
      <c r="G1255" t="s">
        <v>26</v>
      </c>
      <c r="H1255">
        <v>1704.7</v>
      </c>
      <c r="I1255" s="13">
        <v>6</v>
      </c>
      <c r="J1255">
        <v>1</v>
      </c>
      <c r="K1255">
        <v>52.2</v>
      </c>
      <c r="L1255">
        <v>3</v>
      </c>
      <c r="M1255">
        <v>5</v>
      </c>
      <c r="N1255">
        <v>3</v>
      </c>
      <c r="O1255">
        <f t="shared" si="19"/>
        <v>4</v>
      </c>
    </row>
    <row r="1256" spans="1:15">
      <c r="A1256">
        <v>120</v>
      </c>
      <c r="B1256" s="1">
        <v>45755</v>
      </c>
      <c r="C1256">
        <v>26</v>
      </c>
      <c r="D1256" t="s">
        <v>17</v>
      </c>
      <c r="E1256" t="s">
        <v>15</v>
      </c>
      <c r="F1256" t="s">
        <v>16</v>
      </c>
      <c r="H1256">
        <v>241.1</v>
      </c>
      <c r="I1256" s="13">
        <v>8</v>
      </c>
      <c r="J1256">
        <v>1</v>
      </c>
      <c r="K1256">
        <v>41.88</v>
      </c>
      <c r="L1256">
        <v>3</v>
      </c>
      <c r="M1256">
        <v>9</v>
      </c>
      <c r="N1256">
        <v>3</v>
      </c>
      <c r="O1256">
        <f t="shared" si="19"/>
        <v>4</v>
      </c>
    </row>
    <row r="1257" spans="1:15">
      <c r="A1257">
        <v>4291</v>
      </c>
      <c r="B1257" s="1">
        <v>45755</v>
      </c>
      <c r="C1257">
        <v>30</v>
      </c>
      <c r="D1257" t="s">
        <v>14</v>
      </c>
      <c r="E1257" t="s">
        <v>24</v>
      </c>
      <c r="F1257" t="s">
        <v>18</v>
      </c>
      <c r="G1257" t="s">
        <v>19</v>
      </c>
      <c r="H1257">
        <v>381.3</v>
      </c>
      <c r="I1257" s="13">
        <v>5</v>
      </c>
      <c r="J1257">
        <v>1</v>
      </c>
      <c r="K1257">
        <v>30.58</v>
      </c>
      <c r="L1257">
        <v>4</v>
      </c>
      <c r="M1257">
        <v>5</v>
      </c>
      <c r="N1257">
        <v>4</v>
      </c>
      <c r="O1257">
        <f t="shared" si="19"/>
        <v>4</v>
      </c>
    </row>
    <row r="1258" spans="1:15">
      <c r="A1258">
        <v>3972</v>
      </c>
      <c r="B1258" s="1">
        <v>45755</v>
      </c>
      <c r="C1258">
        <v>55</v>
      </c>
      <c r="D1258" t="s">
        <v>17</v>
      </c>
      <c r="E1258" t="s">
        <v>24</v>
      </c>
      <c r="F1258" t="s">
        <v>18</v>
      </c>
      <c r="G1258" t="s">
        <v>28</v>
      </c>
      <c r="H1258">
        <v>53</v>
      </c>
      <c r="I1258" s="13">
        <v>3</v>
      </c>
      <c r="J1258">
        <v>1</v>
      </c>
      <c r="K1258">
        <v>21.17</v>
      </c>
      <c r="L1258">
        <v>2</v>
      </c>
      <c r="M1258">
        <v>4</v>
      </c>
      <c r="N1258">
        <v>4</v>
      </c>
      <c r="O1258">
        <f t="shared" si="19"/>
        <v>4</v>
      </c>
    </row>
    <row r="1259" spans="1:15">
      <c r="A1259">
        <v>4689</v>
      </c>
      <c r="B1259" s="1">
        <v>45755</v>
      </c>
      <c r="C1259">
        <v>37</v>
      </c>
      <c r="D1259" t="s">
        <v>14</v>
      </c>
      <c r="E1259" t="s">
        <v>22</v>
      </c>
      <c r="F1259" t="s">
        <v>16</v>
      </c>
      <c r="H1259">
        <v>1290.9000000000001</v>
      </c>
      <c r="I1259" s="13">
        <v>5</v>
      </c>
      <c r="J1259">
        <v>0</v>
      </c>
      <c r="K1259">
        <v>0</v>
      </c>
      <c r="L1259">
        <v>0</v>
      </c>
      <c r="M1259">
        <v>0</v>
      </c>
      <c r="O1259">
        <f t="shared" si="19"/>
        <v>4</v>
      </c>
    </row>
    <row r="1260" spans="1:15">
      <c r="A1260">
        <v>4208</v>
      </c>
      <c r="B1260" s="1">
        <v>45755</v>
      </c>
      <c r="C1260">
        <v>44</v>
      </c>
      <c r="D1260" t="s">
        <v>17</v>
      </c>
      <c r="E1260" t="s">
        <v>15</v>
      </c>
      <c r="F1260" t="s">
        <v>18</v>
      </c>
      <c r="G1260" t="s">
        <v>28</v>
      </c>
      <c r="H1260">
        <v>700.2</v>
      </c>
      <c r="I1260" s="13">
        <v>4</v>
      </c>
      <c r="J1260">
        <v>0</v>
      </c>
      <c r="K1260">
        <v>0</v>
      </c>
      <c r="L1260">
        <v>0</v>
      </c>
      <c r="M1260">
        <v>0</v>
      </c>
      <c r="O1260">
        <f t="shared" si="19"/>
        <v>4</v>
      </c>
    </row>
    <row r="1261" spans="1:15">
      <c r="A1261">
        <v>1641</v>
      </c>
      <c r="B1261" s="1">
        <v>45755</v>
      </c>
      <c r="C1261">
        <v>33</v>
      </c>
      <c r="D1261" t="s">
        <v>17</v>
      </c>
      <c r="E1261" t="s">
        <v>15</v>
      </c>
      <c r="F1261" t="s">
        <v>18</v>
      </c>
      <c r="G1261" t="s">
        <v>19</v>
      </c>
      <c r="H1261">
        <v>632.79999999999995</v>
      </c>
      <c r="I1261" s="13">
        <v>6</v>
      </c>
      <c r="J1261">
        <v>0</v>
      </c>
      <c r="K1261">
        <v>0</v>
      </c>
      <c r="L1261">
        <v>0</v>
      </c>
      <c r="M1261">
        <v>0</v>
      </c>
      <c r="O1261">
        <f t="shared" si="19"/>
        <v>4</v>
      </c>
    </row>
    <row r="1262" spans="1:15">
      <c r="A1262">
        <v>2142</v>
      </c>
      <c r="B1262" s="1">
        <v>45755</v>
      </c>
      <c r="C1262">
        <v>36</v>
      </c>
      <c r="D1262" t="s">
        <v>17</v>
      </c>
      <c r="E1262" t="s">
        <v>20</v>
      </c>
      <c r="F1262" t="s">
        <v>16</v>
      </c>
      <c r="H1262">
        <v>427.8</v>
      </c>
      <c r="I1262" s="13">
        <v>3</v>
      </c>
      <c r="J1262">
        <v>0</v>
      </c>
      <c r="K1262">
        <v>0</v>
      </c>
      <c r="L1262">
        <v>0</v>
      </c>
      <c r="M1262">
        <v>0</v>
      </c>
      <c r="O1262">
        <f t="shared" si="19"/>
        <v>4</v>
      </c>
    </row>
    <row r="1263" spans="1:15">
      <c r="A1263">
        <v>1530</v>
      </c>
      <c r="B1263" s="1">
        <v>45755</v>
      </c>
      <c r="C1263">
        <v>27</v>
      </c>
      <c r="D1263" t="s">
        <v>14</v>
      </c>
      <c r="E1263" t="s">
        <v>24</v>
      </c>
      <c r="F1263" t="s">
        <v>16</v>
      </c>
      <c r="H1263">
        <v>396.4</v>
      </c>
      <c r="I1263" s="13">
        <v>7</v>
      </c>
      <c r="J1263">
        <v>0</v>
      </c>
      <c r="K1263">
        <v>0</v>
      </c>
      <c r="L1263">
        <v>0</v>
      </c>
      <c r="M1263">
        <v>0</v>
      </c>
      <c r="O1263">
        <f t="shared" si="19"/>
        <v>4</v>
      </c>
    </row>
    <row r="1264" spans="1:15">
      <c r="A1264">
        <v>928</v>
      </c>
      <c r="B1264" s="1">
        <v>45755</v>
      </c>
      <c r="C1264">
        <v>22</v>
      </c>
      <c r="D1264" t="s">
        <v>17</v>
      </c>
      <c r="E1264" t="s">
        <v>24</v>
      </c>
      <c r="F1264" t="s">
        <v>16</v>
      </c>
      <c r="H1264">
        <v>395</v>
      </c>
      <c r="I1264" s="13">
        <v>8</v>
      </c>
      <c r="J1264">
        <v>0</v>
      </c>
      <c r="K1264">
        <v>0</v>
      </c>
      <c r="L1264">
        <v>0</v>
      </c>
      <c r="M1264">
        <v>0</v>
      </c>
      <c r="O1264">
        <f t="shared" si="19"/>
        <v>4</v>
      </c>
    </row>
    <row r="1265" spans="1:15">
      <c r="A1265">
        <v>3134</v>
      </c>
      <c r="B1265" s="1">
        <v>45755</v>
      </c>
      <c r="C1265">
        <v>45</v>
      </c>
      <c r="D1265" t="s">
        <v>14</v>
      </c>
      <c r="E1265" t="s">
        <v>20</v>
      </c>
      <c r="F1265" t="s">
        <v>16</v>
      </c>
      <c r="H1265">
        <v>380.2</v>
      </c>
      <c r="I1265" s="13">
        <v>4</v>
      </c>
      <c r="J1265">
        <v>0</v>
      </c>
      <c r="K1265">
        <v>0</v>
      </c>
      <c r="L1265">
        <v>0</v>
      </c>
      <c r="M1265">
        <v>0</v>
      </c>
      <c r="O1265">
        <f t="shared" si="19"/>
        <v>4</v>
      </c>
    </row>
    <row r="1266" spans="1:15">
      <c r="A1266">
        <v>2897</v>
      </c>
      <c r="B1266" s="1">
        <v>45755</v>
      </c>
      <c r="C1266">
        <v>30</v>
      </c>
      <c r="D1266" t="s">
        <v>14</v>
      </c>
      <c r="E1266" t="s">
        <v>22</v>
      </c>
      <c r="F1266" t="s">
        <v>23</v>
      </c>
      <c r="H1266">
        <v>330.3</v>
      </c>
      <c r="I1266" s="13">
        <v>9</v>
      </c>
      <c r="J1266">
        <v>0</v>
      </c>
      <c r="K1266">
        <v>0</v>
      </c>
      <c r="L1266">
        <v>0</v>
      </c>
      <c r="M1266">
        <v>0</v>
      </c>
      <c r="O1266">
        <f t="shared" si="19"/>
        <v>4</v>
      </c>
    </row>
    <row r="1267" spans="1:15">
      <c r="A1267">
        <v>782</v>
      </c>
      <c r="B1267" s="1">
        <v>45755</v>
      </c>
      <c r="C1267">
        <v>23</v>
      </c>
      <c r="D1267" t="s">
        <v>17</v>
      </c>
      <c r="E1267" t="s">
        <v>15</v>
      </c>
      <c r="F1267" t="s">
        <v>18</v>
      </c>
      <c r="G1267" t="s">
        <v>28</v>
      </c>
      <c r="H1267">
        <v>306.60000000000002</v>
      </c>
      <c r="I1267" s="13">
        <v>4</v>
      </c>
      <c r="J1267">
        <v>0</v>
      </c>
      <c r="K1267">
        <v>0</v>
      </c>
      <c r="L1267">
        <v>0</v>
      </c>
      <c r="M1267">
        <v>0</v>
      </c>
      <c r="O1267">
        <f t="shared" si="19"/>
        <v>4</v>
      </c>
    </row>
    <row r="1268" spans="1:15">
      <c r="A1268">
        <v>1304</v>
      </c>
      <c r="B1268" s="1">
        <v>45755</v>
      </c>
      <c r="C1268">
        <v>25</v>
      </c>
      <c r="D1268" t="s">
        <v>14</v>
      </c>
      <c r="E1268" t="s">
        <v>15</v>
      </c>
      <c r="F1268" t="s">
        <v>18</v>
      </c>
      <c r="G1268" t="s">
        <v>29</v>
      </c>
      <c r="H1268">
        <v>301.5</v>
      </c>
      <c r="I1268" s="13">
        <v>7</v>
      </c>
      <c r="J1268">
        <v>0</v>
      </c>
      <c r="K1268">
        <v>0</v>
      </c>
      <c r="L1268">
        <v>0</v>
      </c>
      <c r="M1268">
        <v>0</v>
      </c>
      <c r="O1268">
        <f t="shared" si="19"/>
        <v>4</v>
      </c>
    </row>
    <row r="1269" spans="1:15">
      <c r="A1269">
        <v>2222</v>
      </c>
      <c r="B1269" s="1">
        <v>45755</v>
      </c>
      <c r="C1269">
        <v>23</v>
      </c>
      <c r="D1269" t="s">
        <v>17</v>
      </c>
      <c r="E1269" t="s">
        <v>22</v>
      </c>
      <c r="F1269" t="s">
        <v>21</v>
      </c>
      <c r="H1269">
        <v>294.10000000000002</v>
      </c>
      <c r="I1269" s="13">
        <v>4</v>
      </c>
      <c r="J1269">
        <v>0</v>
      </c>
      <c r="K1269">
        <v>0</v>
      </c>
      <c r="L1269">
        <v>0</v>
      </c>
      <c r="M1269">
        <v>0</v>
      </c>
      <c r="O1269">
        <f t="shared" si="19"/>
        <v>4</v>
      </c>
    </row>
    <row r="1270" spans="1:15">
      <c r="A1270">
        <v>288</v>
      </c>
      <c r="B1270" s="1">
        <v>45755</v>
      </c>
      <c r="C1270">
        <v>25</v>
      </c>
      <c r="D1270" t="s">
        <v>14</v>
      </c>
      <c r="E1270" t="s">
        <v>22</v>
      </c>
      <c r="F1270" t="s">
        <v>16</v>
      </c>
      <c r="H1270">
        <v>263.89999999999998</v>
      </c>
      <c r="I1270" s="13">
        <v>7</v>
      </c>
      <c r="J1270">
        <v>0</v>
      </c>
      <c r="K1270">
        <v>0</v>
      </c>
      <c r="L1270">
        <v>0</v>
      </c>
      <c r="M1270">
        <v>0</v>
      </c>
      <c r="O1270">
        <f t="shared" si="19"/>
        <v>4</v>
      </c>
    </row>
    <row r="1271" spans="1:15">
      <c r="A1271">
        <v>1041</v>
      </c>
      <c r="B1271" s="1">
        <v>45755</v>
      </c>
      <c r="C1271">
        <v>26</v>
      </c>
      <c r="D1271" t="s">
        <v>17</v>
      </c>
      <c r="E1271" t="s">
        <v>24</v>
      </c>
      <c r="F1271" t="s">
        <v>21</v>
      </c>
      <c r="H1271">
        <v>258.5</v>
      </c>
      <c r="I1271" s="13">
        <v>4</v>
      </c>
      <c r="J1271">
        <v>0</v>
      </c>
      <c r="K1271">
        <v>0</v>
      </c>
      <c r="L1271">
        <v>0</v>
      </c>
      <c r="M1271">
        <v>0</v>
      </c>
      <c r="O1271">
        <f t="shared" si="19"/>
        <v>4</v>
      </c>
    </row>
    <row r="1272" spans="1:15">
      <c r="A1272">
        <v>303</v>
      </c>
      <c r="B1272" s="1">
        <v>45755</v>
      </c>
      <c r="C1272">
        <v>25</v>
      </c>
      <c r="D1272" t="s">
        <v>14</v>
      </c>
      <c r="E1272" t="s">
        <v>15</v>
      </c>
      <c r="F1272" t="s">
        <v>18</v>
      </c>
      <c r="G1272" t="s">
        <v>30</v>
      </c>
      <c r="H1272">
        <v>190.4</v>
      </c>
      <c r="I1272" s="13">
        <v>4</v>
      </c>
      <c r="J1272">
        <v>0</v>
      </c>
      <c r="K1272">
        <v>0</v>
      </c>
      <c r="L1272">
        <v>0</v>
      </c>
      <c r="M1272">
        <v>0</v>
      </c>
      <c r="O1272">
        <f t="shared" si="19"/>
        <v>4</v>
      </c>
    </row>
    <row r="1273" spans="1:15">
      <c r="A1273">
        <v>2439</v>
      </c>
      <c r="B1273" s="1">
        <v>45755</v>
      </c>
      <c r="C1273">
        <v>51</v>
      </c>
      <c r="D1273" t="s">
        <v>14</v>
      </c>
      <c r="E1273" t="s">
        <v>20</v>
      </c>
      <c r="F1273" t="s">
        <v>16</v>
      </c>
      <c r="H1273">
        <v>181.1</v>
      </c>
      <c r="I1273" s="13">
        <v>10</v>
      </c>
      <c r="J1273">
        <v>0</v>
      </c>
      <c r="K1273">
        <v>0</v>
      </c>
      <c r="L1273">
        <v>0</v>
      </c>
      <c r="M1273">
        <v>0</v>
      </c>
      <c r="O1273">
        <f t="shared" si="19"/>
        <v>4</v>
      </c>
    </row>
    <row r="1274" spans="1:15">
      <c r="A1274">
        <v>1176</v>
      </c>
      <c r="B1274" s="1">
        <v>45755</v>
      </c>
      <c r="C1274">
        <v>22</v>
      </c>
      <c r="D1274" t="s">
        <v>17</v>
      </c>
      <c r="E1274" t="s">
        <v>22</v>
      </c>
      <c r="F1274" t="s">
        <v>21</v>
      </c>
      <c r="H1274">
        <v>138.1</v>
      </c>
      <c r="I1274" s="13">
        <v>8</v>
      </c>
      <c r="J1274">
        <v>0</v>
      </c>
      <c r="K1274">
        <v>0</v>
      </c>
      <c r="L1274">
        <v>0</v>
      </c>
      <c r="M1274">
        <v>0</v>
      </c>
      <c r="O1274">
        <f t="shared" si="19"/>
        <v>4</v>
      </c>
    </row>
    <row r="1275" spans="1:15">
      <c r="A1275">
        <v>748</v>
      </c>
      <c r="B1275" s="1">
        <v>45755</v>
      </c>
      <c r="C1275">
        <v>23</v>
      </c>
      <c r="D1275" t="s">
        <v>14</v>
      </c>
      <c r="E1275" t="s">
        <v>24</v>
      </c>
      <c r="F1275" t="s">
        <v>16</v>
      </c>
      <c r="H1275">
        <v>131.30000000000001</v>
      </c>
      <c r="I1275" s="13">
        <v>7</v>
      </c>
      <c r="J1275">
        <v>0</v>
      </c>
      <c r="K1275">
        <v>0</v>
      </c>
      <c r="L1275">
        <v>0</v>
      </c>
      <c r="M1275">
        <v>0</v>
      </c>
      <c r="O1275">
        <f t="shared" si="19"/>
        <v>4</v>
      </c>
    </row>
    <row r="1276" spans="1:15">
      <c r="A1276">
        <v>4392</v>
      </c>
      <c r="B1276" s="1">
        <v>45755</v>
      </c>
      <c r="C1276">
        <v>57</v>
      </c>
      <c r="D1276" t="s">
        <v>17</v>
      </c>
      <c r="E1276" t="s">
        <v>22</v>
      </c>
      <c r="F1276" t="s">
        <v>16</v>
      </c>
      <c r="H1276">
        <v>127.8</v>
      </c>
      <c r="I1276" s="13">
        <v>8</v>
      </c>
      <c r="J1276">
        <v>0</v>
      </c>
      <c r="K1276">
        <v>0</v>
      </c>
      <c r="L1276">
        <v>0</v>
      </c>
      <c r="M1276">
        <v>0</v>
      </c>
      <c r="O1276">
        <f t="shared" si="19"/>
        <v>4</v>
      </c>
    </row>
    <row r="1277" spans="1:15">
      <c r="A1277">
        <v>4213</v>
      </c>
      <c r="B1277" s="1">
        <v>45755</v>
      </c>
      <c r="C1277">
        <v>59</v>
      </c>
      <c r="D1277" t="s">
        <v>14</v>
      </c>
      <c r="E1277" t="s">
        <v>15</v>
      </c>
      <c r="F1277" t="s">
        <v>18</v>
      </c>
      <c r="G1277" t="s">
        <v>25</v>
      </c>
      <c r="H1277">
        <v>105.8</v>
      </c>
      <c r="I1277" s="13">
        <v>7</v>
      </c>
      <c r="J1277">
        <v>0</v>
      </c>
      <c r="K1277">
        <v>0</v>
      </c>
      <c r="L1277">
        <v>0</v>
      </c>
      <c r="M1277">
        <v>0</v>
      </c>
      <c r="O1277">
        <f t="shared" si="19"/>
        <v>4</v>
      </c>
    </row>
    <row r="1278" spans="1:15">
      <c r="A1278">
        <v>4355</v>
      </c>
      <c r="B1278" s="1">
        <v>45755</v>
      </c>
      <c r="C1278">
        <v>70</v>
      </c>
      <c r="D1278" t="s">
        <v>14</v>
      </c>
      <c r="E1278" t="s">
        <v>15</v>
      </c>
      <c r="F1278" t="s">
        <v>16</v>
      </c>
      <c r="H1278">
        <v>96.1</v>
      </c>
      <c r="I1278" s="13">
        <v>5</v>
      </c>
      <c r="J1278">
        <v>0</v>
      </c>
      <c r="K1278">
        <v>0</v>
      </c>
      <c r="L1278">
        <v>0</v>
      </c>
      <c r="M1278">
        <v>0</v>
      </c>
      <c r="O1278">
        <f t="shared" si="19"/>
        <v>4</v>
      </c>
    </row>
    <row r="1279" spans="1:15">
      <c r="A1279">
        <v>1610</v>
      </c>
      <c r="B1279" s="1">
        <v>45755</v>
      </c>
      <c r="C1279">
        <v>27</v>
      </c>
      <c r="D1279" t="s">
        <v>17</v>
      </c>
      <c r="E1279" t="s">
        <v>22</v>
      </c>
      <c r="F1279" t="s">
        <v>16</v>
      </c>
      <c r="H1279">
        <v>91.6</v>
      </c>
      <c r="I1279" s="13">
        <v>7</v>
      </c>
      <c r="J1279">
        <v>0</v>
      </c>
      <c r="K1279">
        <v>0</v>
      </c>
      <c r="L1279">
        <v>0</v>
      </c>
      <c r="M1279">
        <v>0</v>
      </c>
      <c r="O1279">
        <f t="shared" si="19"/>
        <v>4</v>
      </c>
    </row>
    <row r="1280" spans="1:15">
      <c r="A1280">
        <v>1180</v>
      </c>
      <c r="B1280" s="1">
        <v>45755</v>
      </c>
      <c r="C1280">
        <v>23</v>
      </c>
      <c r="D1280" t="s">
        <v>14</v>
      </c>
      <c r="E1280" t="s">
        <v>15</v>
      </c>
      <c r="F1280" t="s">
        <v>16</v>
      </c>
      <c r="H1280">
        <v>78.8</v>
      </c>
      <c r="I1280" s="13">
        <v>6</v>
      </c>
      <c r="J1280">
        <v>0</v>
      </c>
      <c r="K1280">
        <v>0</v>
      </c>
      <c r="L1280">
        <v>0</v>
      </c>
      <c r="M1280">
        <v>0</v>
      </c>
      <c r="O1280">
        <f t="shared" si="19"/>
        <v>4</v>
      </c>
    </row>
    <row r="1281" spans="1:15">
      <c r="A1281">
        <v>2442</v>
      </c>
      <c r="B1281" s="1">
        <v>45755</v>
      </c>
      <c r="C1281">
        <v>34</v>
      </c>
      <c r="D1281" t="s">
        <v>17</v>
      </c>
      <c r="E1281" t="s">
        <v>15</v>
      </c>
      <c r="F1281" t="s">
        <v>16</v>
      </c>
      <c r="H1281">
        <v>73.099999999999994</v>
      </c>
      <c r="I1281" s="13">
        <v>4</v>
      </c>
      <c r="J1281">
        <v>0</v>
      </c>
      <c r="K1281">
        <v>0</v>
      </c>
      <c r="L1281">
        <v>0</v>
      </c>
      <c r="M1281">
        <v>0</v>
      </c>
      <c r="O1281">
        <f t="shared" si="19"/>
        <v>4</v>
      </c>
    </row>
    <row r="1282" spans="1:15">
      <c r="A1282">
        <v>66</v>
      </c>
      <c r="B1282" s="1">
        <v>45755</v>
      </c>
      <c r="C1282">
        <v>22</v>
      </c>
      <c r="D1282" t="s">
        <v>17</v>
      </c>
      <c r="E1282" t="s">
        <v>22</v>
      </c>
      <c r="F1282" t="s">
        <v>16</v>
      </c>
      <c r="H1282">
        <v>59</v>
      </c>
      <c r="I1282" s="13">
        <v>10</v>
      </c>
      <c r="J1282">
        <v>0</v>
      </c>
      <c r="K1282">
        <v>0</v>
      </c>
      <c r="L1282">
        <v>0</v>
      </c>
      <c r="M1282">
        <v>0</v>
      </c>
      <c r="O1282">
        <f t="shared" si="19"/>
        <v>4</v>
      </c>
    </row>
    <row r="1283" spans="1:15">
      <c r="A1283">
        <v>3899</v>
      </c>
      <c r="B1283" s="1">
        <v>45755</v>
      </c>
      <c r="C1283">
        <v>49</v>
      </c>
      <c r="D1283" t="s">
        <v>17</v>
      </c>
      <c r="E1283" t="s">
        <v>20</v>
      </c>
      <c r="F1283" t="s">
        <v>21</v>
      </c>
      <c r="H1283">
        <v>50.2</v>
      </c>
      <c r="I1283" s="13">
        <v>6</v>
      </c>
      <c r="J1283">
        <v>0</v>
      </c>
      <c r="K1283">
        <v>0</v>
      </c>
      <c r="L1283">
        <v>0</v>
      </c>
      <c r="M1283">
        <v>0</v>
      </c>
      <c r="O1283">
        <f t="shared" ref="O1283:O1346" si="20">MONTH(B1283)</f>
        <v>4</v>
      </c>
    </row>
    <row r="1284" spans="1:15">
      <c r="A1284">
        <v>1015</v>
      </c>
      <c r="B1284" s="1">
        <v>45785</v>
      </c>
      <c r="C1284">
        <v>24</v>
      </c>
      <c r="D1284" t="s">
        <v>14</v>
      </c>
      <c r="E1284" t="s">
        <v>20</v>
      </c>
      <c r="F1284" t="s">
        <v>23</v>
      </c>
      <c r="H1284">
        <v>828.3</v>
      </c>
      <c r="I1284" s="13">
        <v>6</v>
      </c>
      <c r="J1284">
        <v>1</v>
      </c>
      <c r="K1284">
        <v>190</v>
      </c>
      <c r="L1284">
        <v>1</v>
      </c>
      <c r="M1284">
        <v>10</v>
      </c>
      <c r="N1284">
        <v>5</v>
      </c>
      <c r="O1284">
        <f t="shared" si="20"/>
        <v>5</v>
      </c>
    </row>
    <row r="1285" spans="1:15">
      <c r="A1285">
        <v>439</v>
      </c>
      <c r="B1285" s="1">
        <v>45785</v>
      </c>
      <c r="C1285">
        <v>26</v>
      </c>
      <c r="D1285" t="s">
        <v>17</v>
      </c>
      <c r="E1285" t="s">
        <v>20</v>
      </c>
      <c r="F1285" t="s">
        <v>21</v>
      </c>
      <c r="H1285">
        <v>48.6</v>
      </c>
      <c r="I1285" s="13">
        <v>2</v>
      </c>
      <c r="J1285">
        <v>1</v>
      </c>
      <c r="K1285">
        <v>105.65</v>
      </c>
      <c r="L1285">
        <v>1</v>
      </c>
      <c r="M1285">
        <v>10</v>
      </c>
      <c r="N1285">
        <v>4</v>
      </c>
      <c r="O1285">
        <f t="shared" si="20"/>
        <v>5</v>
      </c>
    </row>
    <row r="1286" spans="1:15">
      <c r="A1286">
        <v>1300</v>
      </c>
      <c r="B1286" s="1">
        <v>45785</v>
      </c>
      <c r="C1286">
        <v>21</v>
      </c>
      <c r="D1286" t="s">
        <v>17</v>
      </c>
      <c r="E1286" t="s">
        <v>22</v>
      </c>
      <c r="F1286" t="s">
        <v>21</v>
      </c>
      <c r="H1286">
        <v>1155.5999999999999</v>
      </c>
      <c r="I1286" s="13">
        <v>9</v>
      </c>
      <c r="J1286">
        <v>1</v>
      </c>
      <c r="K1286">
        <v>97.61</v>
      </c>
      <c r="L1286">
        <v>2</v>
      </c>
      <c r="M1286">
        <v>11</v>
      </c>
      <c r="N1286">
        <v>4</v>
      </c>
      <c r="O1286">
        <f t="shared" si="20"/>
        <v>5</v>
      </c>
    </row>
    <row r="1287" spans="1:15">
      <c r="A1287">
        <v>2759</v>
      </c>
      <c r="B1287" s="1">
        <v>45785</v>
      </c>
      <c r="C1287">
        <v>45</v>
      </c>
      <c r="D1287" t="s">
        <v>14</v>
      </c>
      <c r="E1287" t="s">
        <v>22</v>
      </c>
      <c r="F1287" t="s">
        <v>23</v>
      </c>
      <c r="H1287">
        <v>880.2</v>
      </c>
      <c r="I1287" s="13">
        <v>7</v>
      </c>
      <c r="J1287">
        <v>1</v>
      </c>
      <c r="K1287">
        <v>78.84</v>
      </c>
      <c r="L1287">
        <v>3</v>
      </c>
      <c r="M1287">
        <v>11</v>
      </c>
      <c r="N1287">
        <v>4</v>
      </c>
      <c r="O1287">
        <f t="shared" si="20"/>
        <v>5</v>
      </c>
    </row>
    <row r="1288" spans="1:15">
      <c r="A1288">
        <v>1400</v>
      </c>
      <c r="B1288" s="1">
        <v>45785</v>
      </c>
      <c r="C1288">
        <v>27</v>
      </c>
      <c r="D1288" t="s">
        <v>14</v>
      </c>
      <c r="E1288" t="s">
        <v>15</v>
      </c>
      <c r="F1288" t="s">
        <v>18</v>
      </c>
      <c r="G1288" t="s">
        <v>25</v>
      </c>
      <c r="H1288">
        <v>993.1</v>
      </c>
      <c r="I1288" s="13">
        <v>7</v>
      </c>
      <c r="J1288">
        <v>1</v>
      </c>
      <c r="K1288">
        <v>78.59</v>
      </c>
      <c r="L1288">
        <v>3</v>
      </c>
      <c r="M1288">
        <v>10</v>
      </c>
      <c r="N1288">
        <v>4</v>
      </c>
      <c r="O1288">
        <f t="shared" si="20"/>
        <v>5</v>
      </c>
    </row>
    <row r="1289" spans="1:15">
      <c r="A1289">
        <v>3974</v>
      </c>
      <c r="B1289" s="1">
        <v>45785</v>
      </c>
      <c r="C1289">
        <v>50</v>
      </c>
      <c r="D1289" t="s">
        <v>17</v>
      </c>
      <c r="E1289" t="s">
        <v>20</v>
      </c>
      <c r="F1289" t="s">
        <v>16</v>
      </c>
      <c r="H1289">
        <v>485.6</v>
      </c>
      <c r="I1289" s="13">
        <v>8</v>
      </c>
      <c r="J1289">
        <v>1</v>
      </c>
      <c r="K1289">
        <v>56.9</v>
      </c>
      <c r="L1289">
        <v>2</v>
      </c>
      <c r="M1289">
        <v>8</v>
      </c>
      <c r="N1289">
        <v>5</v>
      </c>
      <c r="O1289">
        <f t="shared" si="20"/>
        <v>5</v>
      </c>
    </row>
    <row r="1290" spans="1:15">
      <c r="A1290">
        <v>2935</v>
      </c>
      <c r="B1290" s="1">
        <v>45785</v>
      </c>
      <c r="C1290">
        <v>39</v>
      </c>
      <c r="D1290" t="s">
        <v>14</v>
      </c>
      <c r="E1290" t="s">
        <v>24</v>
      </c>
      <c r="F1290" t="s">
        <v>18</v>
      </c>
      <c r="G1290" t="s">
        <v>26</v>
      </c>
      <c r="H1290">
        <v>626.4</v>
      </c>
      <c r="I1290" s="13">
        <v>3</v>
      </c>
      <c r="J1290">
        <v>1</v>
      </c>
      <c r="K1290">
        <v>56.37</v>
      </c>
      <c r="L1290">
        <v>2</v>
      </c>
      <c r="M1290">
        <v>4</v>
      </c>
      <c r="N1290">
        <v>4</v>
      </c>
      <c r="O1290">
        <f t="shared" si="20"/>
        <v>5</v>
      </c>
    </row>
    <row r="1291" spans="1:15">
      <c r="A1291">
        <v>1541</v>
      </c>
      <c r="B1291" s="1">
        <v>45785</v>
      </c>
      <c r="C1291">
        <v>25</v>
      </c>
      <c r="D1291" t="s">
        <v>17</v>
      </c>
      <c r="E1291" t="s">
        <v>15</v>
      </c>
      <c r="F1291" t="s">
        <v>16</v>
      </c>
      <c r="H1291">
        <v>811.8</v>
      </c>
      <c r="I1291" s="13">
        <v>2</v>
      </c>
      <c r="J1291">
        <v>1</v>
      </c>
      <c r="K1291">
        <v>41.27</v>
      </c>
      <c r="L1291">
        <v>4</v>
      </c>
      <c r="M1291">
        <v>2</v>
      </c>
      <c r="N1291">
        <v>3</v>
      </c>
      <c r="O1291">
        <f t="shared" si="20"/>
        <v>5</v>
      </c>
    </row>
    <row r="1292" spans="1:15">
      <c r="A1292">
        <v>1305</v>
      </c>
      <c r="B1292" s="1">
        <v>45785</v>
      </c>
      <c r="C1292">
        <v>22</v>
      </c>
      <c r="D1292" t="s">
        <v>14</v>
      </c>
      <c r="E1292" t="s">
        <v>22</v>
      </c>
      <c r="F1292" t="s">
        <v>18</v>
      </c>
      <c r="G1292" t="s">
        <v>19</v>
      </c>
      <c r="H1292">
        <v>214.5</v>
      </c>
      <c r="I1292" s="13">
        <v>3</v>
      </c>
      <c r="J1292">
        <v>1</v>
      </c>
      <c r="K1292">
        <v>36.51</v>
      </c>
      <c r="L1292">
        <v>2</v>
      </c>
      <c r="M1292">
        <v>5</v>
      </c>
      <c r="N1292">
        <v>5</v>
      </c>
      <c r="O1292">
        <f t="shared" si="20"/>
        <v>5</v>
      </c>
    </row>
    <row r="1293" spans="1:15">
      <c r="A1293">
        <v>1151</v>
      </c>
      <c r="B1293" s="1">
        <v>45785</v>
      </c>
      <c r="C1293">
        <v>18</v>
      </c>
      <c r="D1293" t="s">
        <v>14</v>
      </c>
      <c r="E1293" t="s">
        <v>15</v>
      </c>
      <c r="F1293" t="s">
        <v>23</v>
      </c>
      <c r="H1293">
        <v>280.10000000000002</v>
      </c>
      <c r="I1293" s="13">
        <v>6</v>
      </c>
      <c r="J1293">
        <v>1</v>
      </c>
      <c r="K1293">
        <v>18</v>
      </c>
      <c r="L1293">
        <v>2</v>
      </c>
      <c r="M1293">
        <v>11</v>
      </c>
      <c r="N1293">
        <v>4</v>
      </c>
      <c r="O1293">
        <f t="shared" si="20"/>
        <v>5</v>
      </c>
    </row>
    <row r="1294" spans="1:15">
      <c r="A1294">
        <v>3071</v>
      </c>
      <c r="B1294" s="1">
        <v>45785</v>
      </c>
      <c r="C1294">
        <v>42</v>
      </c>
      <c r="D1294" t="s">
        <v>14</v>
      </c>
      <c r="E1294" t="s">
        <v>20</v>
      </c>
      <c r="F1294" t="s">
        <v>18</v>
      </c>
      <c r="G1294" t="s">
        <v>31</v>
      </c>
      <c r="H1294">
        <v>219.6</v>
      </c>
      <c r="I1294" s="13">
        <v>7</v>
      </c>
      <c r="J1294">
        <v>1</v>
      </c>
      <c r="K1294">
        <v>16.45</v>
      </c>
      <c r="L1294">
        <v>2</v>
      </c>
      <c r="M1294">
        <v>13</v>
      </c>
      <c r="N1294">
        <v>5</v>
      </c>
      <c r="O1294">
        <f t="shared" si="20"/>
        <v>5</v>
      </c>
    </row>
    <row r="1295" spans="1:15">
      <c r="A1295">
        <v>2048</v>
      </c>
      <c r="B1295" s="1">
        <v>45785</v>
      </c>
      <c r="C1295">
        <v>32</v>
      </c>
      <c r="D1295" t="s">
        <v>14</v>
      </c>
      <c r="E1295" t="s">
        <v>24</v>
      </c>
      <c r="F1295" t="s">
        <v>18</v>
      </c>
      <c r="G1295" t="s">
        <v>26</v>
      </c>
      <c r="H1295">
        <v>894.2</v>
      </c>
      <c r="I1295" s="13">
        <v>7</v>
      </c>
      <c r="J1295">
        <v>0</v>
      </c>
      <c r="K1295">
        <v>0</v>
      </c>
      <c r="L1295">
        <v>0</v>
      </c>
      <c r="M1295">
        <v>0</v>
      </c>
      <c r="O1295">
        <f t="shared" si="20"/>
        <v>5</v>
      </c>
    </row>
    <row r="1296" spans="1:15">
      <c r="A1296">
        <v>2389</v>
      </c>
      <c r="B1296" s="1">
        <v>45785</v>
      </c>
      <c r="C1296">
        <v>46</v>
      </c>
      <c r="D1296" t="s">
        <v>14</v>
      </c>
      <c r="E1296" t="s">
        <v>24</v>
      </c>
      <c r="F1296" t="s">
        <v>16</v>
      </c>
      <c r="H1296">
        <v>721</v>
      </c>
      <c r="I1296" s="13">
        <v>6</v>
      </c>
      <c r="J1296">
        <v>0</v>
      </c>
      <c r="K1296">
        <v>0</v>
      </c>
      <c r="L1296">
        <v>0</v>
      </c>
      <c r="M1296">
        <v>0</v>
      </c>
      <c r="O1296">
        <f t="shared" si="20"/>
        <v>5</v>
      </c>
    </row>
    <row r="1297" spans="1:15">
      <c r="A1297">
        <v>4769</v>
      </c>
      <c r="B1297" s="1">
        <v>45785</v>
      </c>
      <c r="C1297">
        <v>49</v>
      </c>
      <c r="D1297" t="s">
        <v>14</v>
      </c>
      <c r="E1297" t="s">
        <v>22</v>
      </c>
      <c r="F1297" t="s">
        <v>16</v>
      </c>
      <c r="H1297">
        <v>520.20000000000005</v>
      </c>
      <c r="I1297" s="13">
        <v>3</v>
      </c>
      <c r="J1297">
        <v>0</v>
      </c>
      <c r="K1297">
        <v>0</v>
      </c>
      <c r="L1297">
        <v>0</v>
      </c>
      <c r="M1297">
        <v>0</v>
      </c>
      <c r="O1297">
        <f t="shared" si="20"/>
        <v>5</v>
      </c>
    </row>
    <row r="1298" spans="1:15">
      <c r="A1298">
        <v>3713</v>
      </c>
      <c r="B1298" s="1">
        <v>45785</v>
      </c>
      <c r="C1298">
        <v>44</v>
      </c>
      <c r="D1298" t="s">
        <v>17</v>
      </c>
      <c r="E1298" t="s">
        <v>20</v>
      </c>
      <c r="F1298" t="s">
        <v>23</v>
      </c>
      <c r="H1298">
        <v>389.7</v>
      </c>
      <c r="I1298" s="13">
        <v>6</v>
      </c>
      <c r="J1298">
        <v>0</v>
      </c>
      <c r="K1298">
        <v>0</v>
      </c>
      <c r="L1298">
        <v>0</v>
      </c>
      <c r="M1298">
        <v>0</v>
      </c>
      <c r="O1298">
        <f t="shared" si="20"/>
        <v>5</v>
      </c>
    </row>
    <row r="1299" spans="1:15">
      <c r="A1299">
        <v>10</v>
      </c>
      <c r="B1299" s="1">
        <v>45785</v>
      </c>
      <c r="C1299">
        <v>21</v>
      </c>
      <c r="D1299" t="s">
        <v>14</v>
      </c>
      <c r="E1299" t="s">
        <v>22</v>
      </c>
      <c r="F1299" t="s">
        <v>16</v>
      </c>
      <c r="H1299">
        <v>374.3</v>
      </c>
      <c r="I1299" s="13">
        <v>4</v>
      </c>
      <c r="J1299">
        <v>0</v>
      </c>
      <c r="K1299">
        <v>0</v>
      </c>
      <c r="L1299">
        <v>0</v>
      </c>
      <c r="M1299">
        <v>0</v>
      </c>
      <c r="O1299">
        <f t="shared" si="20"/>
        <v>5</v>
      </c>
    </row>
    <row r="1300" spans="1:15">
      <c r="A1300">
        <v>3313</v>
      </c>
      <c r="B1300" s="1">
        <v>45785</v>
      </c>
      <c r="C1300">
        <v>41</v>
      </c>
      <c r="D1300" t="s">
        <v>17</v>
      </c>
      <c r="E1300" t="s">
        <v>15</v>
      </c>
      <c r="F1300" t="s">
        <v>16</v>
      </c>
      <c r="H1300">
        <v>350.2</v>
      </c>
      <c r="I1300" s="13">
        <v>5</v>
      </c>
      <c r="J1300">
        <v>0</v>
      </c>
      <c r="K1300">
        <v>0</v>
      </c>
      <c r="L1300">
        <v>0</v>
      </c>
      <c r="M1300">
        <v>0</v>
      </c>
      <c r="O1300">
        <f t="shared" si="20"/>
        <v>5</v>
      </c>
    </row>
    <row r="1301" spans="1:15">
      <c r="A1301">
        <v>801</v>
      </c>
      <c r="B1301" s="1">
        <v>45785</v>
      </c>
      <c r="C1301">
        <v>25</v>
      </c>
      <c r="D1301" t="s">
        <v>17</v>
      </c>
      <c r="E1301" t="s">
        <v>20</v>
      </c>
      <c r="F1301" t="s">
        <v>21</v>
      </c>
      <c r="H1301">
        <v>329.8</v>
      </c>
      <c r="I1301" s="13">
        <v>1</v>
      </c>
      <c r="J1301">
        <v>0</v>
      </c>
      <c r="K1301">
        <v>0</v>
      </c>
      <c r="L1301">
        <v>0</v>
      </c>
      <c r="M1301">
        <v>0</v>
      </c>
      <c r="O1301">
        <f t="shared" si="20"/>
        <v>5</v>
      </c>
    </row>
    <row r="1302" spans="1:15">
      <c r="A1302">
        <v>1650</v>
      </c>
      <c r="B1302" s="1">
        <v>45785</v>
      </c>
      <c r="C1302">
        <v>24</v>
      </c>
      <c r="D1302" t="s">
        <v>17</v>
      </c>
      <c r="E1302" t="s">
        <v>22</v>
      </c>
      <c r="F1302" t="s">
        <v>23</v>
      </c>
      <c r="H1302">
        <v>209.1</v>
      </c>
      <c r="I1302" s="13">
        <v>6</v>
      </c>
      <c r="J1302">
        <v>0</v>
      </c>
      <c r="K1302">
        <v>0</v>
      </c>
      <c r="L1302">
        <v>0</v>
      </c>
      <c r="M1302">
        <v>0</v>
      </c>
      <c r="O1302">
        <f t="shared" si="20"/>
        <v>5</v>
      </c>
    </row>
    <row r="1303" spans="1:15">
      <c r="A1303">
        <v>3435</v>
      </c>
      <c r="B1303" s="1">
        <v>45785</v>
      </c>
      <c r="C1303">
        <v>39</v>
      </c>
      <c r="D1303" t="s">
        <v>17</v>
      </c>
      <c r="E1303" t="s">
        <v>20</v>
      </c>
      <c r="F1303" t="s">
        <v>16</v>
      </c>
      <c r="H1303">
        <v>208.9</v>
      </c>
      <c r="I1303" s="13">
        <v>6</v>
      </c>
      <c r="J1303">
        <v>0</v>
      </c>
      <c r="K1303">
        <v>0</v>
      </c>
      <c r="L1303">
        <v>0</v>
      </c>
      <c r="M1303">
        <v>0</v>
      </c>
      <c r="O1303">
        <f t="shared" si="20"/>
        <v>5</v>
      </c>
    </row>
    <row r="1304" spans="1:15">
      <c r="A1304">
        <v>1190</v>
      </c>
      <c r="B1304" s="1">
        <v>45785</v>
      </c>
      <c r="C1304">
        <v>29</v>
      </c>
      <c r="D1304" t="s">
        <v>27</v>
      </c>
      <c r="E1304" t="s">
        <v>15</v>
      </c>
      <c r="F1304" t="s">
        <v>16</v>
      </c>
      <c r="H1304">
        <v>206.5</v>
      </c>
      <c r="I1304" s="13">
        <v>4</v>
      </c>
      <c r="J1304">
        <v>0</v>
      </c>
      <c r="K1304">
        <v>0</v>
      </c>
      <c r="L1304">
        <v>0</v>
      </c>
      <c r="M1304">
        <v>0</v>
      </c>
      <c r="O1304">
        <f t="shared" si="20"/>
        <v>5</v>
      </c>
    </row>
    <row r="1305" spans="1:15">
      <c r="A1305">
        <v>2562</v>
      </c>
      <c r="B1305" s="1">
        <v>45785</v>
      </c>
      <c r="C1305">
        <v>24</v>
      </c>
      <c r="D1305" t="s">
        <v>14</v>
      </c>
      <c r="E1305" t="s">
        <v>15</v>
      </c>
      <c r="F1305" t="s">
        <v>23</v>
      </c>
      <c r="H1305">
        <v>182</v>
      </c>
      <c r="I1305" s="13">
        <v>6</v>
      </c>
      <c r="J1305">
        <v>0</v>
      </c>
      <c r="K1305">
        <v>0</v>
      </c>
      <c r="L1305">
        <v>0</v>
      </c>
      <c r="M1305">
        <v>0</v>
      </c>
      <c r="O1305">
        <f t="shared" si="20"/>
        <v>5</v>
      </c>
    </row>
    <row r="1306" spans="1:15">
      <c r="A1306">
        <v>2609</v>
      </c>
      <c r="B1306" s="1">
        <v>45785</v>
      </c>
      <c r="C1306">
        <v>35</v>
      </c>
      <c r="D1306" t="s">
        <v>14</v>
      </c>
      <c r="E1306" t="s">
        <v>15</v>
      </c>
      <c r="F1306" t="s">
        <v>16</v>
      </c>
      <c r="H1306">
        <v>148.30000000000001</v>
      </c>
      <c r="I1306" s="13">
        <v>6</v>
      </c>
      <c r="J1306">
        <v>0</v>
      </c>
      <c r="K1306">
        <v>0</v>
      </c>
      <c r="L1306">
        <v>0</v>
      </c>
      <c r="M1306">
        <v>0</v>
      </c>
      <c r="O1306">
        <f t="shared" si="20"/>
        <v>5</v>
      </c>
    </row>
    <row r="1307" spans="1:15">
      <c r="A1307">
        <v>4666</v>
      </c>
      <c r="B1307" s="1">
        <v>45785</v>
      </c>
      <c r="C1307">
        <v>68</v>
      </c>
      <c r="D1307" t="s">
        <v>14</v>
      </c>
      <c r="E1307" t="s">
        <v>22</v>
      </c>
      <c r="F1307" t="s">
        <v>16</v>
      </c>
      <c r="H1307">
        <v>127.2</v>
      </c>
      <c r="I1307" s="13">
        <v>4</v>
      </c>
      <c r="J1307">
        <v>0</v>
      </c>
      <c r="K1307">
        <v>0</v>
      </c>
      <c r="L1307">
        <v>0</v>
      </c>
      <c r="M1307">
        <v>0</v>
      </c>
      <c r="O1307">
        <f t="shared" si="20"/>
        <v>5</v>
      </c>
    </row>
    <row r="1308" spans="1:15">
      <c r="A1308">
        <v>2143</v>
      </c>
      <c r="B1308" s="1">
        <v>45785</v>
      </c>
      <c r="C1308">
        <v>34</v>
      </c>
      <c r="D1308" t="s">
        <v>17</v>
      </c>
      <c r="E1308" t="s">
        <v>15</v>
      </c>
      <c r="F1308" t="s">
        <v>16</v>
      </c>
      <c r="H1308">
        <v>121.7</v>
      </c>
      <c r="I1308" s="13">
        <v>8</v>
      </c>
      <c r="J1308">
        <v>0</v>
      </c>
      <c r="K1308">
        <v>0</v>
      </c>
      <c r="L1308">
        <v>0</v>
      </c>
      <c r="M1308">
        <v>0</v>
      </c>
      <c r="O1308">
        <f t="shared" si="20"/>
        <v>5</v>
      </c>
    </row>
    <row r="1309" spans="1:15">
      <c r="A1309">
        <v>4974</v>
      </c>
      <c r="B1309" s="1">
        <v>45785</v>
      </c>
      <c r="C1309">
        <v>54</v>
      </c>
      <c r="D1309" t="s">
        <v>14</v>
      </c>
      <c r="E1309" t="s">
        <v>15</v>
      </c>
      <c r="F1309" t="s">
        <v>18</v>
      </c>
      <c r="G1309" t="s">
        <v>28</v>
      </c>
      <c r="H1309">
        <v>54.5</v>
      </c>
      <c r="I1309" s="13">
        <v>6</v>
      </c>
      <c r="J1309">
        <v>0</v>
      </c>
      <c r="K1309">
        <v>0</v>
      </c>
      <c r="L1309">
        <v>0</v>
      </c>
      <c r="M1309">
        <v>0</v>
      </c>
      <c r="O1309">
        <f t="shared" si="20"/>
        <v>5</v>
      </c>
    </row>
    <row r="1310" spans="1:15">
      <c r="A1310">
        <v>1944</v>
      </c>
      <c r="B1310" s="1">
        <v>45785</v>
      </c>
      <c r="C1310">
        <v>48</v>
      </c>
      <c r="D1310" t="s">
        <v>17</v>
      </c>
      <c r="E1310" t="s">
        <v>22</v>
      </c>
      <c r="F1310" t="s">
        <v>16</v>
      </c>
      <c r="H1310">
        <v>35.1</v>
      </c>
      <c r="I1310" s="13">
        <v>3</v>
      </c>
      <c r="J1310">
        <v>0</v>
      </c>
      <c r="K1310">
        <v>0</v>
      </c>
      <c r="L1310">
        <v>0</v>
      </c>
      <c r="M1310">
        <v>0</v>
      </c>
      <c r="O1310">
        <f t="shared" si="20"/>
        <v>5</v>
      </c>
    </row>
    <row r="1311" spans="1:15">
      <c r="A1311">
        <v>75</v>
      </c>
      <c r="B1311" s="1">
        <v>45785</v>
      </c>
      <c r="C1311">
        <v>23</v>
      </c>
      <c r="D1311" t="s">
        <v>17</v>
      </c>
      <c r="E1311" t="s">
        <v>15</v>
      </c>
      <c r="F1311" t="s">
        <v>18</v>
      </c>
      <c r="G1311" t="s">
        <v>30</v>
      </c>
      <c r="H1311">
        <v>18</v>
      </c>
      <c r="I1311" s="13">
        <v>4</v>
      </c>
      <c r="J1311">
        <v>0</v>
      </c>
      <c r="K1311">
        <v>0</v>
      </c>
      <c r="L1311">
        <v>0</v>
      </c>
      <c r="M1311">
        <v>0</v>
      </c>
      <c r="O1311">
        <f t="shared" si="20"/>
        <v>5</v>
      </c>
    </row>
    <row r="1312" spans="1:15">
      <c r="A1312">
        <v>1158</v>
      </c>
      <c r="B1312" s="1">
        <v>45816</v>
      </c>
      <c r="C1312">
        <v>25</v>
      </c>
      <c r="D1312" t="s">
        <v>14</v>
      </c>
      <c r="E1312" t="s">
        <v>20</v>
      </c>
      <c r="F1312" t="s">
        <v>16</v>
      </c>
      <c r="H1312">
        <v>471.2</v>
      </c>
      <c r="I1312" s="13">
        <v>4</v>
      </c>
      <c r="J1312">
        <v>1</v>
      </c>
      <c r="K1312">
        <v>164</v>
      </c>
      <c r="L1312">
        <v>4</v>
      </c>
      <c r="M1312">
        <v>14</v>
      </c>
      <c r="N1312">
        <v>4</v>
      </c>
      <c r="O1312">
        <f t="shared" si="20"/>
        <v>6</v>
      </c>
    </row>
    <row r="1313" spans="1:15">
      <c r="A1313">
        <v>1473</v>
      </c>
      <c r="B1313" s="1">
        <v>45816</v>
      </c>
      <c r="C1313">
        <v>21</v>
      </c>
      <c r="D1313" t="s">
        <v>14</v>
      </c>
      <c r="E1313" t="s">
        <v>24</v>
      </c>
      <c r="F1313" t="s">
        <v>23</v>
      </c>
      <c r="H1313">
        <v>574.1</v>
      </c>
      <c r="I1313" s="13">
        <v>6</v>
      </c>
      <c r="J1313">
        <v>1</v>
      </c>
      <c r="K1313">
        <v>161.91</v>
      </c>
      <c r="L1313">
        <v>3</v>
      </c>
      <c r="M1313">
        <v>5</v>
      </c>
      <c r="N1313">
        <v>4</v>
      </c>
      <c r="O1313">
        <f t="shared" si="20"/>
        <v>6</v>
      </c>
    </row>
    <row r="1314" spans="1:15">
      <c r="A1314">
        <v>4672</v>
      </c>
      <c r="B1314" s="1">
        <v>45816</v>
      </c>
      <c r="C1314">
        <v>48</v>
      </c>
      <c r="D1314" t="s">
        <v>17</v>
      </c>
      <c r="E1314" t="s">
        <v>20</v>
      </c>
      <c r="F1314" t="s">
        <v>23</v>
      </c>
      <c r="H1314">
        <v>508.5</v>
      </c>
      <c r="I1314" s="13">
        <v>7</v>
      </c>
      <c r="J1314">
        <v>1</v>
      </c>
      <c r="K1314">
        <v>132.33000000000001</v>
      </c>
      <c r="L1314">
        <v>4</v>
      </c>
      <c r="M1314">
        <v>10</v>
      </c>
      <c r="N1314">
        <v>3</v>
      </c>
      <c r="O1314">
        <f t="shared" si="20"/>
        <v>6</v>
      </c>
    </row>
    <row r="1315" spans="1:15">
      <c r="A1315">
        <v>4696</v>
      </c>
      <c r="B1315" s="1">
        <v>45816</v>
      </c>
      <c r="C1315">
        <v>39</v>
      </c>
      <c r="D1315" t="s">
        <v>17</v>
      </c>
      <c r="E1315" t="s">
        <v>22</v>
      </c>
      <c r="F1315" t="s">
        <v>21</v>
      </c>
      <c r="H1315">
        <v>597.6</v>
      </c>
      <c r="I1315" s="13">
        <v>5</v>
      </c>
      <c r="J1315">
        <v>1</v>
      </c>
      <c r="K1315">
        <v>71.7</v>
      </c>
      <c r="L1315">
        <v>2</v>
      </c>
      <c r="M1315">
        <v>1</v>
      </c>
      <c r="N1315">
        <v>3</v>
      </c>
      <c r="O1315">
        <f t="shared" si="20"/>
        <v>6</v>
      </c>
    </row>
    <row r="1316" spans="1:15">
      <c r="A1316">
        <v>1672</v>
      </c>
      <c r="B1316" s="1">
        <v>45816</v>
      </c>
      <c r="C1316">
        <v>25</v>
      </c>
      <c r="D1316" t="s">
        <v>14</v>
      </c>
      <c r="E1316" t="s">
        <v>22</v>
      </c>
      <c r="F1316" t="s">
        <v>16</v>
      </c>
      <c r="H1316">
        <v>435.3</v>
      </c>
      <c r="I1316" s="13">
        <v>5</v>
      </c>
      <c r="J1316">
        <v>1</v>
      </c>
      <c r="K1316">
        <v>71.05</v>
      </c>
      <c r="L1316">
        <v>1</v>
      </c>
      <c r="M1316">
        <v>11</v>
      </c>
      <c r="N1316">
        <v>4</v>
      </c>
      <c r="O1316">
        <f t="shared" si="20"/>
        <v>6</v>
      </c>
    </row>
    <row r="1317" spans="1:15">
      <c r="A1317">
        <v>4924</v>
      </c>
      <c r="B1317" s="1">
        <v>45816</v>
      </c>
      <c r="C1317">
        <v>63</v>
      </c>
      <c r="D1317" t="s">
        <v>14</v>
      </c>
      <c r="E1317" t="s">
        <v>24</v>
      </c>
      <c r="F1317" t="s">
        <v>16</v>
      </c>
      <c r="H1317">
        <v>423.8</v>
      </c>
      <c r="I1317" s="13">
        <v>6</v>
      </c>
      <c r="J1317">
        <v>1</v>
      </c>
      <c r="K1317">
        <v>61.37</v>
      </c>
      <c r="L1317">
        <v>2</v>
      </c>
      <c r="M1317">
        <v>14</v>
      </c>
      <c r="N1317">
        <v>5</v>
      </c>
      <c r="O1317">
        <f t="shared" si="20"/>
        <v>6</v>
      </c>
    </row>
    <row r="1318" spans="1:15">
      <c r="A1318">
        <v>3878</v>
      </c>
      <c r="B1318" s="1">
        <v>45816</v>
      </c>
      <c r="C1318">
        <v>52</v>
      </c>
      <c r="D1318" t="s">
        <v>17</v>
      </c>
      <c r="E1318" t="s">
        <v>24</v>
      </c>
      <c r="F1318" t="s">
        <v>23</v>
      </c>
      <c r="H1318">
        <v>1132.0999999999999</v>
      </c>
      <c r="I1318" s="13">
        <v>6</v>
      </c>
      <c r="J1318">
        <v>1</v>
      </c>
      <c r="K1318">
        <v>49.02</v>
      </c>
      <c r="L1318">
        <v>1</v>
      </c>
      <c r="M1318">
        <v>14</v>
      </c>
      <c r="N1318">
        <v>4</v>
      </c>
      <c r="O1318">
        <f t="shared" si="20"/>
        <v>6</v>
      </c>
    </row>
    <row r="1319" spans="1:15">
      <c r="A1319">
        <v>1611</v>
      </c>
      <c r="B1319" s="1">
        <v>45816</v>
      </c>
      <c r="C1319">
        <v>24</v>
      </c>
      <c r="D1319" t="s">
        <v>17</v>
      </c>
      <c r="E1319" t="s">
        <v>22</v>
      </c>
      <c r="F1319" t="s">
        <v>23</v>
      </c>
      <c r="H1319">
        <v>589.5</v>
      </c>
      <c r="I1319" s="13">
        <v>6</v>
      </c>
      <c r="J1319">
        <v>1</v>
      </c>
      <c r="K1319">
        <v>15.88</v>
      </c>
      <c r="L1319">
        <v>2</v>
      </c>
      <c r="M1319">
        <v>7</v>
      </c>
      <c r="N1319">
        <v>5</v>
      </c>
      <c r="O1319">
        <f t="shared" si="20"/>
        <v>6</v>
      </c>
    </row>
    <row r="1320" spans="1:15">
      <c r="A1320">
        <v>4470</v>
      </c>
      <c r="B1320" s="1">
        <v>45816</v>
      </c>
      <c r="C1320">
        <v>60</v>
      </c>
      <c r="D1320" t="s">
        <v>14</v>
      </c>
      <c r="E1320" t="s">
        <v>22</v>
      </c>
      <c r="F1320" t="s">
        <v>18</v>
      </c>
      <c r="G1320" t="s">
        <v>26</v>
      </c>
      <c r="H1320">
        <v>495.7</v>
      </c>
      <c r="I1320" s="13">
        <v>10</v>
      </c>
      <c r="J1320">
        <v>0</v>
      </c>
      <c r="K1320">
        <v>0</v>
      </c>
      <c r="L1320">
        <v>0</v>
      </c>
      <c r="M1320">
        <v>0</v>
      </c>
      <c r="O1320">
        <f t="shared" si="20"/>
        <v>6</v>
      </c>
    </row>
    <row r="1321" spans="1:15">
      <c r="A1321">
        <v>3386</v>
      </c>
      <c r="B1321" s="1">
        <v>45816</v>
      </c>
      <c r="C1321">
        <v>38</v>
      </c>
      <c r="D1321" t="s">
        <v>14</v>
      </c>
      <c r="E1321" t="s">
        <v>15</v>
      </c>
      <c r="F1321" t="s">
        <v>18</v>
      </c>
      <c r="G1321" t="s">
        <v>31</v>
      </c>
      <c r="H1321">
        <v>422.2</v>
      </c>
      <c r="I1321" s="13">
        <v>6</v>
      </c>
      <c r="J1321">
        <v>0</v>
      </c>
      <c r="K1321">
        <v>0</v>
      </c>
      <c r="L1321">
        <v>0</v>
      </c>
      <c r="M1321">
        <v>0</v>
      </c>
      <c r="O1321">
        <f t="shared" si="20"/>
        <v>6</v>
      </c>
    </row>
    <row r="1322" spans="1:15">
      <c r="A1322">
        <v>1084</v>
      </c>
      <c r="B1322" s="1">
        <v>45816</v>
      </c>
      <c r="C1322">
        <v>19</v>
      </c>
      <c r="D1322" t="s">
        <v>14</v>
      </c>
      <c r="E1322" t="s">
        <v>22</v>
      </c>
      <c r="F1322" t="s">
        <v>16</v>
      </c>
      <c r="H1322">
        <v>411.7</v>
      </c>
      <c r="I1322" s="13">
        <v>4</v>
      </c>
      <c r="J1322">
        <v>0</v>
      </c>
      <c r="K1322">
        <v>0</v>
      </c>
      <c r="L1322">
        <v>0</v>
      </c>
      <c r="M1322">
        <v>0</v>
      </c>
      <c r="O1322">
        <f t="shared" si="20"/>
        <v>6</v>
      </c>
    </row>
    <row r="1323" spans="1:15">
      <c r="A1323">
        <v>2662</v>
      </c>
      <c r="B1323" s="1">
        <v>45816</v>
      </c>
      <c r="C1323">
        <v>38</v>
      </c>
      <c r="D1323" t="s">
        <v>14</v>
      </c>
      <c r="E1323" t="s">
        <v>15</v>
      </c>
      <c r="F1323" t="s">
        <v>18</v>
      </c>
      <c r="G1323" t="s">
        <v>28</v>
      </c>
      <c r="H1323">
        <v>405.3</v>
      </c>
      <c r="I1323" s="13">
        <v>4</v>
      </c>
      <c r="J1323">
        <v>0</v>
      </c>
      <c r="K1323">
        <v>0</v>
      </c>
      <c r="L1323">
        <v>0</v>
      </c>
      <c r="M1323">
        <v>0</v>
      </c>
      <c r="O1323">
        <f t="shared" si="20"/>
        <v>6</v>
      </c>
    </row>
    <row r="1324" spans="1:15">
      <c r="A1324">
        <v>2120</v>
      </c>
      <c r="B1324" s="1">
        <v>45816</v>
      </c>
      <c r="C1324">
        <v>41</v>
      </c>
      <c r="D1324" t="s">
        <v>17</v>
      </c>
      <c r="E1324" t="s">
        <v>20</v>
      </c>
      <c r="F1324" t="s">
        <v>23</v>
      </c>
      <c r="H1324">
        <v>397.7</v>
      </c>
      <c r="I1324" s="13">
        <v>6</v>
      </c>
      <c r="J1324">
        <v>0</v>
      </c>
      <c r="K1324">
        <v>0</v>
      </c>
      <c r="L1324">
        <v>0</v>
      </c>
      <c r="M1324">
        <v>0</v>
      </c>
      <c r="O1324">
        <f t="shared" si="20"/>
        <v>6</v>
      </c>
    </row>
    <row r="1325" spans="1:15">
      <c r="A1325">
        <v>2129</v>
      </c>
      <c r="B1325" s="1">
        <v>45816</v>
      </c>
      <c r="C1325">
        <v>40</v>
      </c>
      <c r="D1325" t="s">
        <v>17</v>
      </c>
      <c r="E1325" t="s">
        <v>20</v>
      </c>
      <c r="F1325" t="s">
        <v>16</v>
      </c>
      <c r="H1325">
        <v>387.6</v>
      </c>
      <c r="I1325" s="13">
        <v>5</v>
      </c>
      <c r="J1325">
        <v>0</v>
      </c>
      <c r="K1325">
        <v>0</v>
      </c>
      <c r="L1325">
        <v>0</v>
      </c>
      <c r="M1325">
        <v>0</v>
      </c>
      <c r="O1325">
        <f t="shared" si="20"/>
        <v>6</v>
      </c>
    </row>
    <row r="1326" spans="1:15">
      <c r="A1326">
        <v>3494</v>
      </c>
      <c r="B1326" s="1">
        <v>45816</v>
      </c>
      <c r="C1326">
        <v>37</v>
      </c>
      <c r="D1326" t="s">
        <v>14</v>
      </c>
      <c r="E1326" t="s">
        <v>15</v>
      </c>
      <c r="F1326" t="s">
        <v>23</v>
      </c>
      <c r="H1326">
        <v>342.9</v>
      </c>
      <c r="I1326" s="13">
        <v>8</v>
      </c>
      <c r="J1326">
        <v>0</v>
      </c>
      <c r="K1326">
        <v>0</v>
      </c>
      <c r="L1326">
        <v>0</v>
      </c>
      <c r="M1326">
        <v>0</v>
      </c>
      <c r="O1326">
        <f t="shared" si="20"/>
        <v>6</v>
      </c>
    </row>
    <row r="1327" spans="1:15">
      <c r="A1327">
        <v>1146</v>
      </c>
      <c r="B1327" s="1">
        <v>45816</v>
      </c>
      <c r="C1327">
        <v>28</v>
      </c>
      <c r="D1327" t="s">
        <v>14</v>
      </c>
      <c r="E1327" t="s">
        <v>20</v>
      </c>
      <c r="F1327" t="s">
        <v>21</v>
      </c>
      <c r="H1327">
        <v>327.60000000000002</v>
      </c>
      <c r="I1327" s="13">
        <v>6</v>
      </c>
      <c r="J1327">
        <v>0</v>
      </c>
      <c r="K1327">
        <v>0</v>
      </c>
      <c r="L1327">
        <v>0</v>
      </c>
      <c r="M1327">
        <v>0</v>
      </c>
      <c r="O1327">
        <f t="shared" si="20"/>
        <v>6</v>
      </c>
    </row>
    <row r="1328" spans="1:15">
      <c r="A1328">
        <v>2462</v>
      </c>
      <c r="B1328" s="1">
        <v>45816</v>
      </c>
      <c r="C1328">
        <v>39</v>
      </c>
      <c r="D1328" t="s">
        <v>14</v>
      </c>
      <c r="E1328" t="s">
        <v>22</v>
      </c>
      <c r="F1328" t="s">
        <v>18</v>
      </c>
      <c r="G1328" t="s">
        <v>29</v>
      </c>
      <c r="H1328">
        <v>285.8</v>
      </c>
      <c r="I1328" s="13">
        <v>4</v>
      </c>
      <c r="J1328">
        <v>0</v>
      </c>
      <c r="K1328">
        <v>0</v>
      </c>
      <c r="L1328">
        <v>0</v>
      </c>
      <c r="M1328">
        <v>0</v>
      </c>
      <c r="O1328">
        <f t="shared" si="20"/>
        <v>6</v>
      </c>
    </row>
    <row r="1329" spans="1:15">
      <c r="A1329">
        <v>2255</v>
      </c>
      <c r="B1329" s="1">
        <v>45816</v>
      </c>
      <c r="C1329">
        <v>24</v>
      </c>
      <c r="D1329" t="s">
        <v>14</v>
      </c>
      <c r="E1329" t="s">
        <v>22</v>
      </c>
      <c r="F1329" t="s">
        <v>16</v>
      </c>
      <c r="H1329">
        <v>269.89999999999998</v>
      </c>
      <c r="I1329" s="13">
        <v>4</v>
      </c>
      <c r="J1329">
        <v>0</v>
      </c>
      <c r="K1329">
        <v>0</v>
      </c>
      <c r="L1329">
        <v>0</v>
      </c>
      <c r="M1329">
        <v>0</v>
      </c>
      <c r="O1329">
        <f t="shared" si="20"/>
        <v>6</v>
      </c>
    </row>
    <row r="1330" spans="1:15">
      <c r="A1330">
        <v>4563</v>
      </c>
      <c r="B1330" s="1">
        <v>45816</v>
      </c>
      <c r="C1330">
        <v>36</v>
      </c>
      <c r="D1330" t="s">
        <v>17</v>
      </c>
      <c r="E1330" t="s">
        <v>24</v>
      </c>
      <c r="F1330" t="s">
        <v>18</v>
      </c>
      <c r="G1330" t="s">
        <v>30</v>
      </c>
      <c r="H1330">
        <v>190.8</v>
      </c>
      <c r="I1330" s="13">
        <v>7</v>
      </c>
      <c r="J1330">
        <v>0</v>
      </c>
      <c r="K1330">
        <v>0</v>
      </c>
      <c r="L1330">
        <v>0</v>
      </c>
      <c r="M1330">
        <v>0</v>
      </c>
      <c r="O1330">
        <f t="shared" si="20"/>
        <v>6</v>
      </c>
    </row>
    <row r="1331" spans="1:15">
      <c r="A1331">
        <v>3082</v>
      </c>
      <c r="B1331" s="1">
        <v>45816</v>
      </c>
      <c r="C1331">
        <v>35</v>
      </c>
      <c r="D1331" t="s">
        <v>17</v>
      </c>
      <c r="E1331" t="s">
        <v>22</v>
      </c>
      <c r="F1331" t="s">
        <v>23</v>
      </c>
      <c r="H1331">
        <v>151.6</v>
      </c>
      <c r="I1331" s="13">
        <v>8</v>
      </c>
      <c r="J1331">
        <v>0</v>
      </c>
      <c r="K1331">
        <v>0</v>
      </c>
      <c r="L1331">
        <v>0</v>
      </c>
      <c r="M1331">
        <v>0</v>
      </c>
      <c r="O1331">
        <f t="shared" si="20"/>
        <v>6</v>
      </c>
    </row>
    <row r="1332" spans="1:15">
      <c r="A1332">
        <v>4262</v>
      </c>
      <c r="B1332" s="1">
        <v>45816</v>
      </c>
      <c r="C1332">
        <v>42</v>
      </c>
      <c r="D1332" t="s">
        <v>17</v>
      </c>
      <c r="E1332" t="s">
        <v>20</v>
      </c>
      <c r="F1332" t="s">
        <v>18</v>
      </c>
      <c r="G1332" t="s">
        <v>30</v>
      </c>
      <c r="H1332">
        <v>128.4</v>
      </c>
      <c r="I1332" s="13">
        <v>7</v>
      </c>
      <c r="J1332">
        <v>0</v>
      </c>
      <c r="K1332">
        <v>0</v>
      </c>
      <c r="L1332">
        <v>0</v>
      </c>
      <c r="M1332">
        <v>0</v>
      </c>
      <c r="O1332">
        <f t="shared" si="20"/>
        <v>6</v>
      </c>
    </row>
    <row r="1333" spans="1:15">
      <c r="A1333">
        <v>4385</v>
      </c>
      <c r="B1333" s="1">
        <v>45816</v>
      </c>
      <c r="C1333">
        <v>48</v>
      </c>
      <c r="D1333" t="s">
        <v>14</v>
      </c>
      <c r="E1333" t="s">
        <v>22</v>
      </c>
      <c r="F1333" t="s">
        <v>18</v>
      </c>
      <c r="G1333" t="s">
        <v>28</v>
      </c>
      <c r="H1333">
        <v>101.3</v>
      </c>
      <c r="I1333" s="13">
        <v>8</v>
      </c>
      <c r="J1333">
        <v>0</v>
      </c>
      <c r="K1333">
        <v>0</v>
      </c>
      <c r="L1333">
        <v>0</v>
      </c>
      <c r="M1333">
        <v>0</v>
      </c>
      <c r="O1333">
        <f t="shared" si="20"/>
        <v>6</v>
      </c>
    </row>
    <row r="1334" spans="1:15">
      <c r="A1334">
        <v>2075</v>
      </c>
      <c r="B1334" s="1">
        <v>45816</v>
      </c>
      <c r="C1334">
        <v>52</v>
      </c>
      <c r="D1334" t="s">
        <v>17</v>
      </c>
      <c r="E1334" t="s">
        <v>15</v>
      </c>
      <c r="F1334" t="s">
        <v>16</v>
      </c>
      <c r="H1334">
        <v>59.9</v>
      </c>
      <c r="I1334" s="13">
        <v>3</v>
      </c>
      <c r="J1334">
        <v>0</v>
      </c>
      <c r="K1334">
        <v>0</v>
      </c>
      <c r="L1334">
        <v>0</v>
      </c>
      <c r="M1334">
        <v>0</v>
      </c>
      <c r="O1334">
        <f t="shared" si="20"/>
        <v>6</v>
      </c>
    </row>
    <row r="1335" spans="1:15">
      <c r="A1335">
        <v>3178</v>
      </c>
      <c r="B1335" s="1">
        <v>45816</v>
      </c>
      <c r="C1335">
        <v>40</v>
      </c>
      <c r="D1335" t="s">
        <v>14</v>
      </c>
      <c r="E1335" t="s">
        <v>22</v>
      </c>
      <c r="F1335" t="s">
        <v>18</v>
      </c>
      <c r="G1335" t="s">
        <v>30</v>
      </c>
      <c r="H1335">
        <v>54</v>
      </c>
      <c r="I1335" s="13">
        <v>6</v>
      </c>
      <c r="J1335">
        <v>0</v>
      </c>
      <c r="K1335">
        <v>0</v>
      </c>
      <c r="L1335">
        <v>0</v>
      </c>
      <c r="M1335">
        <v>0</v>
      </c>
      <c r="O1335">
        <f t="shared" si="20"/>
        <v>6</v>
      </c>
    </row>
    <row r="1336" spans="1:15">
      <c r="A1336">
        <v>3284</v>
      </c>
      <c r="B1336" s="1">
        <v>45816</v>
      </c>
      <c r="C1336">
        <v>26</v>
      </c>
      <c r="D1336" t="s">
        <v>17</v>
      </c>
      <c r="E1336" t="s">
        <v>15</v>
      </c>
      <c r="F1336" t="s">
        <v>18</v>
      </c>
      <c r="G1336" t="s">
        <v>19</v>
      </c>
      <c r="H1336">
        <v>37.9</v>
      </c>
      <c r="I1336" s="13">
        <v>6</v>
      </c>
      <c r="J1336">
        <v>0</v>
      </c>
      <c r="K1336">
        <v>0</v>
      </c>
      <c r="L1336">
        <v>0</v>
      </c>
      <c r="M1336">
        <v>0</v>
      </c>
      <c r="O1336">
        <f t="shared" si="20"/>
        <v>6</v>
      </c>
    </row>
    <row r="1337" spans="1:15">
      <c r="A1337">
        <v>2074</v>
      </c>
      <c r="B1337" s="1">
        <v>45816</v>
      </c>
      <c r="C1337">
        <v>28</v>
      </c>
      <c r="D1337" t="s">
        <v>14</v>
      </c>
      <c r="E1337" t="s">
        <v>22</v>
      </c>
      <c r="F1337" t="s">
        <v>16</v>
      </c>
      <c r="H1337">
        <v>37.200000000000003</v>
      </c>
      <c r="I1337" s="13">
        <v>2</v>
      </c>
      <c r="J1337">
        <v>0</v>
      </c>
      <c r="K1337">
        <v>0</v>
      </c>
      <c r="L1337">
        <v>0</v>
      </c>
      <c r="M1337">
        <v>0</v>
      </c>
      <c r="O1337">
        <f t="shared" si="20"/>
        <v>6</v>
      </c>
    </row>
    <row r="1338" spans="1:15">
      <c r="A1338">
        <v>3493</v>
      </c>
      <c r="B1338" s="1">
        <v>45816</v>
      </c>
      <c r="C1338">
        <v>31</v>
      </c>
      <c r="D1338" t="s">
        <v>17</v>
      </c>
      <c r="E1338" t="s">
        <v>22</v>
      </c>
      <c r="F1338" t="s">
        <v>23</v>
      </c>
      <c r="H1338">
        <v>16</v>
      </c>
      <c r="I1338" s="13">
        <v>5</v>
      </c>
      <c r="J1338">
        <v>0</v>
      </c>
      <c r="K1338">
        <v>0</v>
      </c>
      <c r="L1338">
        <v>0</v>
      </c>
      <c r="M1338">
        <v>0</v>
      </c>
      <c r="O1338">
        <f t="shared" si="20"/>
        <v>6</v>
      </c>
    </row>
    <row r="1339" spans="1:15">
      <c r="A1339">
        <v>1466</v>
      </c>
      <c r="B1339" s="1">
        <v>45666</v>
      </c>
      <c r="C1339">
        <v>31</v>
      </c>
      <c r="D1339" t="s">
        <v>27</v>
      </c>
      <c r="E1339" t="s">
        <v>22</v>
      </c>
      <c r="F1339" t="s">
        <v>21</v>
      </c>
      <c r="H1339">
        <v>320.7</v>
      </c>
      <c r="I1339" s="13">
        <v>9</v>
      </c>
      <c r="J1339">
        <v>1</v>
      </c>
      <c r="K1339">
        <v>172.5</v>
      </c>
      <c r="L1339">
        <v>4</v>
      </c>
      <c r="M1339">
        <v>1</v>
      </c>
      <c r="N1339">
        <v>3</v>
      </c>
      <c r="O1339">
        <f t="shared" si="20"/>
        <v>1</v>
      </c>
    </row>
    <row r="1340" spans="1:15">
      <c r="A1340">
        <v>4394</v>
      </c>
      <c r="B1340" s="1">
        <v>45666</v>
      </c>
      <c r="C1340">
        <v>54</v>
      </c>
      <c r="D1340" t="s">
        <v>17</v>
      </c>
      <c r="E1340" t="s">
        <v>22</v>
      </c>
      <c r="F1340" t="s">
        <v>23</v>
      </c>
      <c r="H1340">
        <v>509.4</v>
      </c>
      <c r="I1340" s="13">
        <v>4</v>
      </c>
      <c r="J1340">
        <v>1</v>
      </c>
      <c r="K1340">
        <v>59.26</v>
      </c>
      <c r="L1340">
        <v>3</v>
      </c>
      <c r="M1340">
        <v>9</v>
      </c>
      <c r="N1340">
        <v>4</v>
      </c>
      <c r="O1340">
        <f t="shared" si="20"/>
        <v>1</v>
      </c>
    </row>
    <row r="1341" spans="1:15">
      <c r="A1341">
        <v>3672</v>
      </c>
      <c r="B1341" s="1">
        <v>45666</v>
      </c>
      <c r="C1341">
        <v>32</v>
      </c>
      <c r="D1341" t="s">
        <v>14</v>
      </c>
      <c r="E1341" t="s">
        <v>15</v>
      </c>
      <c r="F1341" t="s">
        <v>16</v>
      </c>
      <c r="H1341">
        <v>238</v>
      </c>
      <c r="I1341" s="13">
        <v>5</v>
      </c>
      <c r="J1341">
        <v>1</v>
      </c>
      <c r="K1341">
        <v>53.17</v>
      </c>
      <c r="L1341">
        <v>3</v>
      </c>
      <c r="M1341">
        <v>14</v>
      </c>
      <c r="N1341">
        <v>4</v>
      </c>
      <c r="O1341">
        <f t="shared" si="20"/>
        <v>1</v>
      </c>
    </row>
    <row r="1342" spans="1:15">
      <c r="A1342">
        <v>2781</v>
      </c>
      <c r="B1342" s="1">
        <v>45666</v>
      </c>
      <c r="C1342">
        <v>38</v>
      </c>
      <c r="D1342" t="s">
        <v>14</v>
      </c>
      <c r="E1342" t="s">
        <v>22</v>
      </c>
      <c r="F1342" t="s">
        <v>16</v>
      </c>
      <c r="H1342">
        <v>777.7</v>
      </c>
      <c r="I1342" s="13">
        <v>5</v>
      </c>
      <c r="J1342">
        <v>1</v>
      </c>
      <c r="K1342">
        <v>45.88</v>
      </c>
      <c r="L1342">
        <v>2</v>
      </c>
      <c r="M1342">
        <v>2</v>
      </c>
      <c r="N1342">
        <v>4</v>
      </c>
      <c r="O1342">
        <f t="shared" si="20"/>
        <v>1</v>
      </c>
    </row>
    <row r="1343" spans="1:15">
      <c r="A1343">
        <v>2232</v>
      </c>
      <c r="B1343" s="1">
        <v>45666</v>
      </c>
      <c r="C1343">
        <v>24</v>
      </c>
      <c r="D1343" t="s">
        <v>14</v>
      </c>
      <c r="E1343" t="s">
        <v>15</v>
      </c>
      <c r="F1343" t="s">
        <v>16</v>
      </c>
      <c r="H1343">
        <v>142.19999999999999</v>
      </c>
      <c r="I1343" s="13">
        <v>3</v>
      </c>
      <c r="J1343">
        <v>1</v>
      </c>
      <c r="K1343">
        <v>32.08</v>
      </c>
      <c r="L1343">
        <v>3</v>
      </c>
      <c r="M1343">
        <v>1</v>
      </c>
      <c r="N1343">
        <v>4</v>
      </c>
      <c r="O1343">
        <f t="shared" si="20"/>
        <v>1</v>
      </c>
    </row>
    <row r="1344" spans="1:15">
      <c r="A1344">
        <v>4090</v>
      </c>
      <c r="B1344" s="1">
        <v>45666</v>
      </c>
      <c r="C1344">
        <v>65</v>
      </c>
      <c r="D1344" t="s">
        <v>17</v>
      </c>
      <c r="E1344" t="s">
        <v>22</v>
      </c>
      <c r="F1344" t="s">
        <v>16</v>
      </c>
      <c r="H1344">
        <v>142.1</v>
      </c>
      <c r="I1344" s="13">
        <v>6</v>
      </c>
      <c r="J1344">
        <v>1</v>
      </c>
      <c r="K1344">
        <v>22.88</v>
      </c>
      <c r="L1344">
        <v>4</v>
      </c>
      <c r="M1344">
        <v>2</v>
      </c>
      <c r="N1344">
        <v>4</v>
      </c>
      <c r="O1344">
        <f t="shared" si="20"/>
        <v>1</v>
      </c>
    </row>
    <row r="1345" spans="1:15">
      <c r="A1345">
        <v>2645</v>
      </c>
      <c r="B1345" s="1">
        <v>45666</v>
      </c>
      <c r="C1345">
        <v>46</v>
      </c>
      <c r="D1345" t="s">
        <v>17</v>
      </c>
      <c r="E1345" t="s">
        <v>20</v>
      </c>
      <c r="F1345" t="s">
        <v>16</v>
      </c>
      <c r="H1345">
        <v>196.1</v>
      </c>
      <c r="I1345" s="13">
        <v>2</v>
      </c>
      <c r="J1345">
        <v>1</v>
      </c>
      <c r="K1345">
        <v>17.61</v>
      </c>
      <c r="L1345">
        <v>3</v>
      </c>
      <c r="M1345">
        <v>4</v>
      </c>
      <c r="N1345">
        <v>4</v>
      </c>
      <c r="O1345">
        <f t="shared" si="20"/>
        <v>1</v>
      </c>
    </row>
    <row r="1346" spans="1:15">
      <c r="A1346">
        <v>1195</v>
      </c>
      <c r="B1346" s="1">
        <v>45666</v>
      </c>
      <c r="C1346">
        <v>27</v>
      </c>
      <c r="D1346" t="s">
        <v>14</v>
      </c>
      <c r="E1346" t="s">
        <v>22</v>
      </c>
      <c r="F1346" t="s">
        <v>16</v>
      </c>
      <c r="H1346">
        <v>667</v>
      </c>
      <c r="I1346" s="13">
        <v>5</v>
      </c>
      <c r="J1346">
        <v>0</v>
      </c>
      <c r="K1346">
        <v>0</v>
      </c>
      <c r="L1346">
        <v>0</v>
      </c>
      <c r="M1346">
        <v>0</v>
      </c>
      <c r="O1346">
        <f t="shared" si="20"/>
        <v>1</v>
      </c>
    </row>
    <row r="1347" spans="1:15">
      <c r="A1347">
        <v>59</v>
      </c>
      <c r="B1347" s="1">
        <v>45666</v>
      </c>
      <c r="C1347">
        <v>21</v>
      </c>
      <c r="D1347" t="s">
        <v>14</v>
      </c>
      <c r="E1347" t="s">
        <v>20</v>
      </c>
      <c r="F1347" t="s">
        <v>16</v>
      </c>
      <c r="H1347">
        <v>517.29999999999995</v>
      </c>
      <c r="I1347" s="13">
        <v>6</v>
      </c>
      <c r="J1347">
        <v>0</v>
      </c>
      <c r="K1347">
        <v>0</v>
      </c>
      <c r="L1347">
        <v>0</v>
      </c>
      <c r="M1347">
        <v>0</v>
      </c>
      <c r="O1347">
        <f t="shared" ref="O1347:O1410" si="21">MONTH(B1347)</f>
        <v>1</v>
      </c>
    </row>
    <row r="1348" spans="1:15">
      <c r="A1348">
        <v>2607</v>
      </c>
      <c r="B1348" s="1">
        <v>45666</v>
      </c>
      <c r="C1348">
        <v>38</v>
      </c>
      <c r="D1348" t="s">
        <v>17</v>
      </c>
      <c r="E1348" t="s">
        <v>20</v>
      </c>
      <c r="F1348" t="s">
        <v>16</v>
      </c>
      <c r="H1348">
        <v>446.9</v>
      </c>
      <c r="I1348" s="13">
        <v>5</v>
      </c>
      <c r="J1348">
        <v>0</v>
      </c>
      <c r="K1348">
        <v>0</v>
      </c>
      <c r="L1348">
        <v>0</v>
      </c>
      <c r="M1348">
        <v>0</v>
      </c>
      <c r="O1348">
        <f t="shared" si="21"/>
        <v>1</v>
      </c>
    </row>
    <row r="1349" spans="1:15">
      <c r="A1349">
        <v>348</v>
      </c>
      <c r="B1349" s="1">
        <v>45666</v>
      </c>
      <c r="C1349">
        <v>28</v>
      </c>
      <c r="D1349" t="s">
        <v>14</v>
      </c>
      <c r="E1349" t="s">
        <v>15</v>
      </c>
      <c r="F1349" t="s">
        <v>16</v>
      </c>
      <c r="H1349">
        <v>345.9</v>
      </c>
      <c r="I1349" s="13">
        <v>7</v>
      </c>
      <c r="J1349">
        <v>0</v>
      </c>
      <c r="K1349">
        <v>0</v>
      </c>
      <c r="L1349">
        <v>0</v>
      </c>
      <c r="M1349">
        <v>0</v>
      </c>
      <c r="O1349">
        <f t="shared" si="21"/>
        <v>1</v>
      </c>
    </row>
    <row r="1350" spans="1:15">
      <c r="A1350">
        <v>4564</v>
      </c>
      <c r="B1350" s="1">
        <v>45666</v>
      </c>
      <c r="C1350">
        <v>47</v>
      </c>
      <c r="D1350" t="s">
        <v>14</v>
      </c>
      <c r="E1350" t="s">
        <v>20</v>
      </c>
      <c r="F1350" t="s">
        <v>18</v>
      </c>
      <c r="G1350" t="s">
        <v>19</v>
      </c>
      <c r="H1350">
        <v>323.89999999999998</v>
      </c>
      <c r="I1350" s="13">
        <v>9</v>
      </c>
      <c r="J1350">
        <v>0</v>
      </c>
      <c r="K1350">
        <v>0</v>
      </c>
      <c r="L1350">
        <v>0</v>
      </c>
      <c r="M1350">
        <v>0</v>
      </c>
      <c r="O1350">
        <f t="shared" si="21"/>
        <v>1</v>
      </c>
    </row>
    <row r="1351" spans="1:15">
      <c r="A1351">
        <v>2284</v>
      </c>
      <c r="B1351" s="1">
        <v>45666</v>
      </c>
      <c r="C1351">
        <v>32</v>
      </c>
      <c r="D1351" t="s">
        <v>14</v>
      </c>
      <c r="E1351" t="s">
        <v>22</v>
      </c>
      <c r="F1351" t="s">
        <v>18</v>
      </c>
      <c r="G1351" t="s">
        <v>26</v>
      </c>
      <c r="H1351">
        <v>287.8</v>
      </c>
      <c r="I1351" s="13">
        <v>8</v>
      </c>
      <c r="J1351">
        <v>0</v>
      </c>
      <c r="K1351">
        <v>0</v>
      </c>
      <c r="L1351">
        <v>0</v>
      </c>
      <c r="M1351">
        <v>0</v>
      </c>
      <c r="O1351">
        <f t="shared" si="21"/>
        <v>1</v>
      </c>
    </row>
    <row r="1352" spans="1:15">
      <c r="A1352">
        <v>487</v>
      </c>
      <c r="B1352" s="1">
        <v>45666</v>
      </c>
      <c r="C1352">
        <v>26</v>
      </c>
      <c r="D1352" t="s">
        <v>14</v>
      </c>
      <c r="E1352" t="s">
        <v>22</v>
      </c>
      <c r="F1352" t="s">
        <v>16</v>
      </c>
      <c r="H1352">
        <v>225.2</v>
      </c>
      <c r="I1352" s="13">
        <v>6</v>
      </c>
      <c r="J1352">
        <v>0</v>
      </c>
      <c r="K1352">
        <v>0</v>
      </c>
      <c r="L1352">
        <v>0</v>
      </c>
      <c r="M1352">
        <v>0</v>
      </c>
      <c r="O1352">
        <f t="shared" si="21"/>
        <v>1</v>
      </c>
    </row>
    <row r="1353" spans="1:15">
      <c r="A1353">
        <v>4342</v>
      </c>
      <c r="B1353" s="1">
        <v>45666</v>
      </c>
      <c r="C1353">
        <v>21</v>
      </c>
      <c r="D1353" t="s">
        <v>14</v>
      </c>
      <c r="E1353" t="s">
        <v>15</v>
      </c>
      <c r="F1353" t="s">
        <v>16</v>
      </c>
      <c r="H1353">
        <v>198.1</v>
      </c>
      <c r="I1353" s="13">
        <v>8</v>
      </c>
      <c r="J1353">
        <v>0</v>
      </c>
      <c r="K1353">
        <v>0</v>
      </c>
      <c r="L1353">
        <v>0</v>
      </c>
      <c r="M1353">
        <v>0</v>
      </c>
      <c r="O1353">
        <f t="shared" si="21"/>
        <v>1</v>
      </c>
    </row>
    <row r="1354" spans="1:15">
      <c r="A1354">
        <v>30</v>
      </c>
      <c r="B1354" s="1">
        <v>45666</v>
      </c>
      <c r="C1354">
        <v>19</v>
      </c>
      <c r="D1354" t="s">
        <v>14</v>
      </c>
      <c r="E1354" t="s">
        <v>22</v>
      </c>
      <c r="F1354" t="s">
        <v>18</v>
      </c>
      <c r="G1354" t="s">
        <v>26</v>
      </c>
      <c r="H1354">
        <v>197.2</v>
      </c>
      <c r="I1354" s="13">
        <v>5</v>
      </c>
      <c r="J1354">
        <v>0</v>
      </c>
      <c r="K1354">
        <v>0</v>
      </c>
      <c r="L1354">
        <v>0</v>
      </c>
      <c r="M1354">
        <v>0</v>
      </c>
      <c r="O1354">
        <f t="shared" si="21"/>
        <v>1</v>
      </c>
    </row>
    <row r="1355" spans="1:15">
      <c r="A1355">
        <v>4925</v>
      </c>
      <c r="B1355" s="1">
        <v>45666</v>
      </c>
      <c r="C1355">
        <v>53</v>
      </c>
      <c r="D1355" t="s">
        <v>14</v>
      </c>
      <c r="E1355" t="s">
        <v>24</v>
      </c>
      <c r="F1355" t="s">
        <v>23</v>
      </c>
      <c r="H1355">
        <v>193.2</v>
      </c>
      <c r="I1355" s="13">
        <v>6</v>
      </c>
      <c r="J1355">
        <v>0</v>
      </c>
      <c r="K1355">
        <v>0</v>
      </c>
      <c r="L1355">
        <v>0</v>
      </c>
      <c r="M1355">
        <v>0</v>
      </c>
      <c r="O1355">
        <f t="shared" si="21"/>
        <v>1</v>
      </c>
    </row>
    <row r="1356" spans="1:15">
      <c r="A1356">
        <v>4677</v>
      </c>
      <c r="B1356" s="1">
        <v>45666</v>
      </c>
      <c r="C1356">
        <v>57</v>
      </c>
      <c r="D1356" t="s">
        <v>17</v>
      </c>
      <c r="E1356" t="s">
        <v>15</v>
      </c>
      <c r="F1356" t="s">
        <v>23</v>
      </c>
      <c r="H1356">
        <v>185.4</v>
      </c>
      <c r="I1356" s="13">
        <v>7</v>
      </c>
      <c r="J1356">
        <v>0</v>
      </c>
      <c r="K1356">
        <v>0</v>
      </c>
      <c r="L1356">
        <v>0</v>
      </c>
      <c r="M1356">
        <v>0</v>
      </c>
      <c r="O1356">
        <f t="shared" si="21"/>
        <v>1</v>
      </c>
    </row>
    <row r="1357" spans="1:15">
      <c r="A1357">
        <v>2838</v>
      </c>
      <c r="B1357" s="1">
        <v>45666</v>
      </c>
      <c r="C1357">
        <v>34</v>
      </c>
      <c r="D1357" t="s">
        <v>14</v>
      </c>
      <c r="E1357" t="s">
        <v>20</v>
      </c>
      <c r="F1357" t="s">
        <v>16</v>
      </c>
      <c r="H1357">
        <v>143.30000000000001</v>
      </c>
      <c r="I1357" s="13">
        <v>6</v>
      </c>
      <c r="J1357">
        <v>0</v>
      </c>
      <c r="K1357">
        <v>0</v>
      </c>
      <c r="L1357">
        <v>0</v>
      </c>
      <c r="M1357">
        <v>0</v>
      </c>
      <c r="O1357">
        <f t="shared" si="21"/>
        <v>1</v>
      </c>
    </row>
    <row r="1358" spans="1:15">
      <c r="A1358">
        <v>335</v>
      </c>
      <c r="B1358" s="1">
        <v>45666</v>
      </c>
      <c r="C1358">
        <v>22</v>
      </c>
      <c r="D1358" t="s">
        <v>17</v>
      </c>
      <c r="E1358" t="s">
        <v>22</v>
      </c>
      <c r="F1358" t="s">
        <v>18</v>
      </c>
      <c r="G1358" t="s">
        <v>30</v>
      </c>
      <c r="H1358">
        <v>116.4</v>
      </c>
      <c r="I1358" s="13">
        <v>6</v>
      </c>
      <c r="J1358">
        <v>0</v>
      </c>
      <c r="K1358">
        <v>0</v>
      </c>
      <c r="L1358">
        <v>0</v>
      </c>
      <c r="M1358">
        <v>0</v>
      </c>
      <c r="O1358">
        <f t="shared" si="21"/>
        <v>1</v>
      </c>
    </row>
    <row r="1359" spans="1:15">
      <c r="A1359">
        <v>515</v>
      </c>
      <c r="B1359" s="1">
        <v>45666</v>
      </c>
      <c r="C1359">
        <v>19</v>
      </c>
      <c r="D1359" t="s">
        <v>17</v>
      </c>
      <c r="E1359" t="s">
        <v>22</v>
      </c>
      <c r="F1359" t="s">
        <v>18</v>
      </c>
      <c r="G1359" t="s">
        <v>28</v>
      </c>
      <c r="H1359">
        <v>99.3</v>
      </c>
      <c r="I1359" s="13">
        <v>9</v>
      </c>
      <c r="J1359">
        <v>0</v>
      </c>
      <c r="K1359">
        <v>0</v>
      </c>
      <c r="L1359">
        <v>0</v>
      </c>
      <c r="M1359">
        <v>0</v>
      </c>
      <c r="O1359">
        <f t="shared" si="21"/>
        <v>1</v>
      </c>
    </row>
    <row r="1360" spans="1:15">
      <c r="A1360">
        <v>4388</v>
      </c>
      <c r="B1360" s="1">
        <v>45666</v>
      </c>
      <c r="C1360">
        <v>49</v>
      </c>
      <c r="D1360" t="s">
        <v>17</v>
      </c>
      <c r="E1360" t="s">
        <v>24</v>
      </c>
      <c r="F1360" t="s">
        <v>16</v>
      </c>
      <c r="H1360">
        <v>76.7</v>
      </c>
      <c r="I1360" s="13">
        <v>6</v>
      </c>
      <c r="J1360">
        <v>0</v>
      </c>
      <c r="K1360">
        <v>0</v>
      </c>
      <c r="L1360">
        <v>0</v>
      </c>
      <c r="M1360">
        <v>0</v>
      </c>
      <c r="O1360">
        <f t="shared" si="21"/>
        <v>1</v>
      </c>
    </row>
    <row r="1361" spans="1:15">
      <c r="A1361">
        <v>958</v>
      </c>
      <c r="B1361" s="1">
        <v>45666</v>
      </c>
      <c r="C1361">
        <v>28</v>
      </c>
      <c r="D1361" t="s">
        <v>14</v>
      </c>
      <c r="E1361" t="s">
        <v>20</v>
      </c>
      <c r="F1361" t="s">
        <v>16</v>
      </c>
      <c r="H1361">
        <v>32.700000000000003</v>
      </c>
      <c r="I1361" s="13">
        <v>7</v>
      </c>
      <c r="J1361">
        <v>0</v>
      </c>
      <c r="K1361">
        <v>0</v>
      </c>
      <c r="L1361">
        <v>0</v>
      </c>
      <c r="M1361">
        <v>0</v>
      </c>
      <c r="O1361">
        <f t="shared" si="21"/>
        <v>1</v>
      </c>
    </row>
    <row r="1362" spans="1:15">
      <c r="A1362">
        <v>2857</v>
      </c>
      <c r="B1362" s="1">
        <v>45697</v>
      </c>
      <c r="C1362">
        <v>33</v>
      </c>
      <c r="D1362" t="s">
        <v>14</v>
      </c>
      <c r="E1362" t="s">
        <v>22</v>
      </c>
      <c r="F1362" t="s">
        <v>23</v>
      </c>
      <c r="H1362">
        <v>159.9</v>
      </c>
      <c r="I1362" s="13">
        <v>6</v>
      </c>
      <c r="J1362">
        <v>1</v>
      </c>
      <c r="K1362">
        <v>193</v>
      </c>
      <c r="L1362">
        <v>4</v>
      </c>
      <c r="M1362">
        <v>14</v>
      </c>
      <c r="N1362">
        <v>4</v>
      </c>
      <c r="O1362">
        <f t="shared" si="21"/>
        <v>2</v>
      </c>
    </row>
    <row r="1363" spans="1:15">
      <c r="A1363">
        <v>4085</v>
      </c>
      <c r="B1363" s="1">
        <v>45697</v>
      </c>
      <c r="C1363">
        <v>39</v>
      </c>
      <c r="D1363" t="s">
        <v>17</v>
      </c>
      <c r="E1363" t="s">
        <v>24</v>
      </c>
      <c r="F1363" t="s">
        <v>16</v>
      </c>
      <c r="H1363">
        <v>200.7</v>
      </c>
      <c r="I1363" s="13">
        <v>7</v>
      </c>
      <c r="J1363">
        <v>1</v>
      </c>
      <c r="K1363">
        <v>445.39</v>
      </c>
      <c r="L1363">
        <v>3</v>
      </c>
      <c r="M1363">
        <v>9</v>
      </c>
      <c r="N1363">
        <v>4</v>
      </c>
      <c r="O1363">
        <f t="shared" si="21"/>
        <v>2</v>
      </c>
    </row>
    <row r="1364" spans="1:15">
      <c r="A1364">
        <v>1097</v>
      </c>
      <c r="B1364" s="1">
        <v>45697</v>
      </c>
      <c r="C1364">
        <v>33</v>
      </c>
      <c r="D1364" t="s">
        <v>17</v>
      </c>
      <c r="E1364" t="s">
        <v>22</v>
      </c>
      <c r="F1364" t="s">
        <v>18</v>
      </c>
      <c r="G1364" t="s">
        <v>25</v>
      </c>
      <c r="H1364">
        <v>511.8</v>
      </c>
      <c r="I1364" s="13">
        <v>5</v>
      </c>
      <c r="J1364">
        <v>1</v>
      </c>
      <c r="K1364">
        <v>148.19</v>
      </c>
      <c r="L1364">
        <v>2</v>
      </c>
      <c r="M1364">
        <v>14</v>
      </c>
      <c r="N1364">
        <v>4</v>
      </c>
      <c r="O1364">
        <f t="shared" si="21"/>
        <v>2</v>
      </c>
    </row>
    <row r="1365" spans="1:15">
      <c r="A1365">
        <v>3237</v>
      </c>
      <c r="B1365" s="1">
        <v>45697</v>
      </c>
      <c r="C1365">
        <v>32</v>
      </c>
      <c r="D1365" t="s">
        <v>17</v>
      </c>
      <c r="E1365" t="s">
        <v>22</v>
      </c>
      <c r="F1365" t="s">
        <v>23</v>
      </c>
      <c r="H1365">
        <v>901.9</v>
      </c>
      <c r="I1365" s="13">
        <v>7</v>
      </c>
      <c r="J1365">
        <v>1</v>
      </c>
      <c r="K1365">
        <v>62.51</v>
      </c>
      <c r="L1365">
        <v>1</v>
      </c>
      <c r="M1365">
        <v>5</v>
      </c>
      <c r="N1365">
        <v>4</v>
      </c>
      <c r="O1365">
        <f t="shared" si="21"/>
        <v>2</v>
      </c>
    </row>
    <row r="1366" spans="1:15">
      <c r="A1366">
        <v>2297</v>
      </c>
      <c r="B1366" s="1">
        <v>45697</v>
      </c>
      <c r="C1366">
        <v>29</v>
      </c>
      <c r="D1366" t="s">
        <v>14</v>
      </c>
      <c r="E1366" t="s">
        <v>15</v>
      </c>
      <c r="F1366" t="s">
        <v>18</v>
      </c>
      <c r="G1366" t="s">
        <v>30</v>
      </c>
      <c r="H1366">
        <v>425.2</v>
      </c>
      <c r="I1366" s="13">
        <v>8</v>
      </c>
      <c r="J1366">
        <v>1</v>
      </c>
      <c r="K1366">
        <v>51.94</v>
      </c>
      <c r="L1366">
        <v>1</v>
      </c>
      <c r="M1366">
        <v>11</v>
      </c>
      <c r="N1366">
        <v>3</v>
      </c>
      <c r="O1366">
        <f t="shared" si="21"/>
        <v>2</v>
      </c>
    </row>
    <row r="1367" spans="1:15">
      <c r="A1367">
        <v>3884</v>
      </c>
      <c r="B1367" s="1">
        <v>45697</v>
      </c>
      <c r="C1367">
        <v>62</v>
      </c>
      <c r="D1367" t="s">
        <v>14</v>
      </c>
      <c r="E1367" t="s">
        <v>15</v>
      </c>
      <c r="F1367" t="s">
        <v>16</v>
      </c>
      <c r="H1367">
        <v>738.6</v>
      </c>
      <c r="I1367" s="13">
        <v>4</v>
      </c>
      <c r="J1367">
        <v>1</v>
      </c>
      <c r="K1367">
        <v>49.53</v>
      </c>
      <c r="L1367">
        <v>3</v>
      </c>
      <c r="M1367">
        <v>5</v>
      </c>
      <c r="N1367">
        <v>4</v>
      </c>
      <c r="O1367">
        <f t="shared" si="21"/>
        <v>2</v>
      </c>
    </row>
    <row r="1368" spans="1:15">
      <c r="A1368">
        <v>1952</v>
      </c>
      <c r="B1368" s="1">
        <v>45697</v>
      </c>
      <c r="C1368">
        <v>23</v>
      </c>
      <c r="D1368" t="s">
        <v>17</v>
      </c>
      <c r="E1368" t="s">
        <v>22</v>
      </c>
      <c r="F1368" t="s">
        <v>23</v>
      </c>
      <c r="H1368">
        <v>300.89999999999998</v>
      </c>
      <c r="I1368" s="13">
        <v>5</v>
      </c>
      <c r="J1368">
        <v>1</v>
      </c>
      <c r="K1368">
        <v>39.68</v>
      </c>
      <c r="L1368">
        <v>2</v>
      </c>
      <c r="M1368">
        <v>7</v>
      </c>
      <c r="N1368">
        <v>4</v>
      </c>
      <c r="O1368">
        <f t="shared" si="21"/>
        <v>2</v>
      </c>
    </row>
    <row r="1369" spans="1:15">
      <c r="A1369">
        <v>1324</v>
      </c>
      <c r="B1369" s="1">
        <v>45697</v>
      </c>
      <c r="C1369">
        <v>21</v>
      </c>
      <c r="D1369" t="s">
        <v>14</v>
      </c>
      <c r="E1369" t="s">
        <v>24</v>
      </c>
      <c r="F1369" t="s">
        <v>16</v>
      </c>
      <c r="H1369">
        <v>279.8</v>
      </c>
      <c r="I1369" s="13">
        <v>7</v>
      </c>
      <c r="J1369">
        <v>1</v>
      </c>
      <c r="K1369">
        <v>21.23</v>
      </c>
      <c r="L1369">
        <v>4</v>
      </c>
      <c r="M1369">
        <v>8</v>
      </c>
      <c r="N1369">
        <v>4</v>
      </c>
      <c r="O1369">
        <f t="shared" si="21"/>
        <v>2</v>
      </c>
    </row>
    <row r="1370" spans="1:15">
      <c r="A1370">
        <v>3623</v>
      </c>
      <c r="B1370" s="1">
        <v>45697</v>
      </c>
      <c r="C1370">
        <v>38</v>
      </c>
      <c r="D1370" t="s">
        <v>14</v>
      </c>
      <c r="E1370" t="s">
        <v>15</v>
      </c>
      <c r="F1370" t="s">
        <v>16</v>
      </c>
      <c r="H1370">
        <v>557.70000000000005</v>
      </c>
      <c r="I1370" s="13">
        <v>7</v>
      </c>
      <c r="J1370">
        <v>1</v>
      </c>
      <c r="K1370">
        <v>19.89</v>
      </c>
      <c r="L1370">
        <v>5</v>
      </c>
      <c r="M1370">
        <v>6</v>
      </c>
      <c r="N1370">
        <v>4</v>
      </c>
      <c r="O1370">
        <f t="shared" si="21"/>
        <v>2</v>
      </c>
    </row>
    <row r="1371" spans="1:15">
      <c r="A1371">
        <v>3371</v>
      </c>
      <c r="B1371" s="1">
        <v>45697</v>
      </c>
      <c r="C1371">
        <v>37</v>
      </c>
      <c r="D1371" t="s">
        <v>17</v>
      </c>
      <c r="E1371" t="s">
        <v>20</v>
      </c>
      <c r="F1371" t="s">
        <v>16</v>
      </c>
      <c r="H1371">
        <v>483.7</v>
      </c>
      <c r="I1371" s="13">
        <v>4</v>
      </c>
      <c r="J1371">
        <v>0</v>
      </c>
      <c r="K1371">
        <v>0</v>
      </c>
      <c r="L1371">
        <v>0</v>
      </c>
      <c r="M1371">
        <v>0</v>
      </c>
      <c r="O1371">
        <f t="shared" si="21"/>
        <v>2</v>
      </c>
    </row>
    <row r="1372" spans="1:15">
      <c r="A1372">
        <v>3305</v>
      </c>
      <c r="B1372" s="1">
        <v>45697</v>
      </c>
      <c r="C1372">
        <v>34</v>
      </c>
      <c r="D1372" t="s">
        <v>14</v>
      </c>
      <c r="E1372" t="s">
        <v>20</v>
      </c>
      <c r="F1372" t="s">
        <v>18</v>
      </c>
      <c r="G1372" t="s">
        <v>19</v>
      </c>
      <c r="H1372">
        <v>430.1</v>
      </c>
      <c r="I1372" s="13">
        <v>4</v>
      </c>
      <c r="J1372">
        <v>0</v>
      </c>
      <c r="K1372">
        <v>0</v>
      </c>
      <c r="L1372">
        <v>0</v>
      </c>
      <c r="M1372">
        <v>0</v>
      </c>
      <c r="O1372">
        <f t="shared" si="21"/>
        <v>2</v>
      </c>
    </row>
    <row r="1373" spans="1:15">
      <c r="A1373">
        <v>2408</v>
      </c>
      <c r="B1373" s="1">
        <v>45697</v>
      </c>
      <c r="C1373">
        <v>29</v>
      </c>
      <c r="D1373" t="s">
        <v>14</v>
      </c>
      <c r="E1373" t="s">
        <v>22</v>
      </c>
      <c r="F1373" t="s">
        <v>16</v>
      </c>
      <c r="H1373">
        <v>315</v>
      </c>
      <c r="I1373" s="13">
        <v>4</v>
      </c>
      <c r="J1373">
        <v>0</v>
      </c>
      <c r="K1373">
        <v>0</v>
      </c>
      <c r="L1373">
        <v>0</v>
      </c>
      <c r="M1373">
        <v>0</v>
      </c>
      <c r="O1373">
        <f t="shared" si="21"/>
        <v>2</v>
      </c>
    </row>
    <row r="1374" spans="1:15">
      <c r="A1374">
        <v>1575</v>
      </c>
      <c r="B1374" s="1">
        <v>45697</v>
      </c>
      <c r="C1374">
        <v>28</v>
      </c>
      <c r="D1374" t="s">
        <v>17</v>
      </c>
      <c r="E1374" t="s">
        <v>20</v>
      </c>
      <c r="F1374" t="s">
        <v>18</v>
      </c>
      <c r="G1374" t="s">
        <v>31</v>
      </c>
      <c r="H1374">
        <v>271.7</v>
      </c>
      <c r="I1374" s="13">
        <v>8</v>
      </c>
      <c r="J1374">
        <v>0</v>
      </c>
      <c r="K1374">
        <v>0</v>
      </c>
      <c r="L1374">
        <v>0</v>
      </c>
      <c r="M1374">
        <v>0</v>
      </c>
      <c r="O1374">
        <f t="shared" si="21"/>
        <v>2</v>
      </c>
    </row>
    <row r="1375" spans="1:15">
      <c r="A1375">
        <v>4568</v>
      </c>
      <c r="B1375" s="1">
        <v>45697</v>
      </c>
      <c r="C1375">
        <v>56</v>
      </c>
      <c r="D1375" t="s">
        <v>17</v>
      </c>
      <c r="E1375" t="s">
        <v>15</v>
      </c>
      <c r="F1375" t="s">
        <v>16</v>
      </c>
      <c r="H1375">
        <v>246.4</v>
      </c>
      <c r="I1375" s="13">
        <v>10</v>
      </c>
      <c r="J1375">
        <v>0</v>
      </c>
      <c r="K1375">
        <v>0</v>
      </c>
      <c r="L1375">
        <v>0</v>
      </c>
      <c r="M1375">
        <v>0</v>
      </c>
      <c r="O1375">
        <f t="shared" si="21"/>
        <v>2</v>
      </c>
    </row>
    <row r="1376" spans="1:15">
      <c r="A1376">
        <v>4132</v>
      </c>
      <c r="B1376" s="1">
        <v>45697</v>
      </c>
      <c r="C1376">
        <v>42</v>
      </c>
      <c r="D1376" t="s">
        <v>17</v>
      </c>
      <c r="E1376" t="s">
        <v>22</v>
      </c>
      <c r="F1376" t="s">
        <v>18</v>
      </c>
      <c r="G1376" t="s">
        <v>29</v>
      </c>
      <c r="H1376">
        <v>245</v>
      </c>
      <c r="I1376" s="13">
        <v>7</v>
      </c>
      <c r="J1376">
        <v>0</v>
      </c>
      <c r="K1376">
        <v>0</v>
      </c>
      <c r="L1376">
        <v>0</v>
      </c>
      <c r="M1376">
        <v>0</v>
      </c>
      <c r="O1376">
        <f t="shared" si="21"/>
        <v>2</v>
      </c>
    </row>
    <row r="1377" spans="1:15">
      <c r="A1377">
        <v>4357</v>
      </c>
      <c r="B1377" s="1">
        <v>45697</v>
      </c>
      <c r="C1377">
        <v>48</v>
      </c>
      <c r="D1377" t="s">
        <v>17</v>
      </c>
      <c r="E1377" t="s">
        <v>15</v>
      </c>
      <c r="F1377" t="s">
        <v>18</v>
      </c>
      <c r="G1377" t="s">
        <v>29</v>
      </c>
      <c r="H1377">
        <v>239.8</v>
      </c>
      <c r="I1377" s="13">
        <v>7</v>
      </c>
      <c r="J1377">
        <v>0</v>
      </c>
      <c r="K1377">
        <v>0</v>
      </c>
      <c r="L1377">
        <v>0</v>
      </c>
      <c r="M1377">
        <v>0</v>
      </c>
      <c r="O1377">
        <f t="shared" si="21"/>
        <v>2</v>
      </c>
    </row>
    <row r="1378" spans="1:15">
      <c r="A1378">
        <v>4725</v>
      </c>
      <c r="B1378" s="1">
        <v>45697</v>
      </c>
      <c r="C1378">
        <v>40</v>
      </c>
      <c r="D1378" t="s">
        <v>17</v>
      </c>
      <c r="E1378" t="s">
        <v>15</v>
      </c>
      <c r="F1378" t="s">
        <v>18</v>
      </c>
      <c r="G1378" t="s">
        <v>31</v>
      </c>
      <c r="H1378">
        <v>236.7</v>
      </c>
      <c r="I1378" s="13">
        <v>7</v>
      </c>
      <c r="J1378">
        <v>0</v>
      </c>
      <c r="K1378">
        <v>0</v>
      </c>
      <c r="L1378">
        <v>0</v>
      </c>
      <c r="M1378">
        <v>0</v>
      </c>
      <c r="O1378">
        <f t="shared" si="21"/>
        <v>2</v>
      </c>
    </row>
    <row r="1379" spans="1:15">
      <c r="A1379">
        <v>3622</v>
      </c>
      <c r="B1379" s="1">
        <v>45697</v>
      </c>
      <c r="C1379">
        <v>42</v>
      </c>
      <c r="D1379" t="s">
        <v>14</v>
      </c>
      <c r="E1379" t="s">
        <v>24</v>
      </c>
      <c r="F1379" t="s">
        <v>21</v>
      </c>
      <c r="H1379">
        <v>228.7</v>
      </c>
      <c r="I1379" s="13">
        <v>4</v>
      </c>
      <c r="J1379">
        <v>0</v>
      </c>
      <c r="K1379">
        <v>0</v>
      </c>
      <c r="L1379">
        <v>0</v>
      </c>
      <c r="M1379">
        <v>0</v>
      </c>
      <c r="O1379">
        <f t="shared" si="21"/>
        <v>2</v>
      </c>
    </row>
    <row r="1380" spans="1:15">
      <c r="A1380">
        <v>1216</v>
      </c>
      <c r="B1380" s="1">
        <v>45697</v>
      </c>
      <c r="C1380">
        <v>40</v>
      </c>
      <c r="D1380" t="s">
        <v>17</v>
      </c>
      <c r="E1380" t="s">
        <v>24</v>
      </c>
      <c r="F1380" t="s">
        <v>18</v>
      </c>
      <c r="G1380" t="s">
        <v>28</v>
      </c>
      <c r="H1380">
        <v>217.8</v>
      </c>
      <c r="I1380" s="13">
        <v>5</v>
      </c>
      <c r="J1380">
        <v>0</v>
      </c>
      <c r="K1380">
        <v>0</v>
      </c>
      <c r="L1380">
        <v>0</v>
      </c>
      <c r="M1380">
        <v>0</v>
      </c>
      <c r="O1380">
        <f t="shared" si="21"/>
        <v>2</v>
      </c>
    </row>
    <row r="1381" spans="1:15">
      <c r="A1381">
        <v>132</v>
      </c>
      <c r="B1381" s="1">
        <v>45697</v>
      </c>
      <c r="C1381">
        <v>24</v>
      </c>
      <c r="D1381" t="s">
        <v>14</v>
      </c>
      <c r="E1381" t="s">
        <v>22</v>
      </c>
      <c r="F1381" t="s">
        <v>23</v>
      </c>
      <c r="H1381">
        <v>213.8</v>
      </c>
      <c r="I1381" s="13">
        <v>10</v>
      </c>
      <c r="J1381">
        <v>0</v>
      </c>
      <c r="K1381">
        <v>0</v>
      </c>
      <c r="L1381">
        <v>0</v>
      </c>
      <c r="M1381">
        <v>0</v>
      </c>
      <c r="O1381">
        <f t="shared" si="21"/>
        <v>2</v>
      </c>
    </row>
    <row r="1382" spans="1:15">
      <c r="A1382">
        <v>1011</v>
      </c>
      <c r="B1382" s="1">
        <v>45697</v>
      </c>
      <c r="C1382">
        <v>29</v>
      </c>
      <c r="D1382" t="s">
        <v>17</v>
      </c>
      <c r="E1382" t="s">
        <v>20</v>
      </c>
      <c r="F1382" t="s">
        <v>16</v>
      </c>
      <c r="H1382">
        <v>204.5</v>
      </c>
      <c r="I1382" s="13">
        <v>2</v>
      </c>
      <c r="J1382">
        <v>0</v>
      </c>
      <c r="K1382">
        <v>0</v>
      </c>
      <c r="L1382">
        <v>0</v>
      </c>
      <c r="M1382">
        <v>0</v>
      </c>
      <c r="O1382">
        <f t="shared" si="21"/>
        <v>2</v>
      </c>
    </row>
    <row r="1383" spans="1:15">
      <c r="A1383">
        <v>1079</v>
      </c>
      <c r="B1383" s="1">
        <v>45697</v>
      </c>
      <c r="C1383">
        <v>25</v>
      </c>
      <c r="D1383" t="s">
        <v>17</v>
      </c>
      <c r="E1383" t="s">
        <v>22</v>
      </c>
      <c r="F1383" t="s">
        <v>16</v>
      </c>
      <c r="H1383">
        <v>161.5</v>
      </c>
      <c r="I1383" s="13">
        <v>4</v>
      </c>
      <c r="J1383">
        <v>0</v>
      </c>
      <c r="K1383">
        <v>0</v>
      </c>
      <c r="L1383">
        <v>0</v>
      </c>
      <c r="M1383">
        <v>0</v>
      </c>
      <c r="O1383">
        <f t="shared" si="21"/>
        <v>2</v>
      </c>
    </row>
    <row r="1384" spans="1:15">
      <c r="A1384">
        <v>2824</v>
      </c>
      <c r="B1384" s="1">
        <v>45697</v>
      </c>
      <c r="C1384">
        <v>38</v>
      </c>
      <c r="D1384" t="s">
        <v>17</v>
      </c>
      <c r="E1384" t="s">
        <v>20</v>
      </c>
      <c r="F1384" t="s">
        <v>16</v>
      </c>
      <c r="H1384">
        <v>132.4</v>
      </c>
      <c r="I1384" s="13">
        <v>8</v>
      </c>
      <c r="J1384">
        <v>0</v>
      </c>
      <c r="K1384">
        <v>0</v>
      </c>
      <c r="L1384">
        <v>0</v>
      </c>
      <c r="M1384">
        <v>0</v>
      </c>
      <c r="O1384">
        <f t="shared" si="21"/>
        <v>2</v>
      </c>
    </row>
    <row r="1385" spans="1:15">
      <c r="A1385">
        <v>3315</v>
      </c>
      <c r="B1385" s="1">
        <v>45697</v>
      </c>
      <c r="C1385">
        <v>34</v>
      </c>
      <c r="D1385" t="s">
        <v>14</v>
      </c>
      <c r="E1385" t="s">
        <v>20</v>
      </c>
      <c r="F1385" t="s">
        <v>16</v>
      </c>
      <c r="H1385">
        <v>127.3</v>
      </c>
      <c r="I1385" s="13">
        <v>5</v>
      </c>
      <c r="J1385">
        <v>0</v>
      </c>
      <c r="K1385">
        <v>0</v>
      </c>
      <c r="L1385">
        <v>0</v>
      </c>
      <c r="M1385">
        <v>0</v>
      </c>
      <c r="O1385">
        <f t="shared" si="21"/>
        <v>2</v>
      </c>
    </row>
    <row r="1386" spans="1:15">
      <c r="A1386">
        <v>3605</v>
      </c>
      <c r="B1386" s="1">
        <v>45697</v>
      </c>
      <c r="C1386">
        <v>35</v>
      </c>
      <c r="D1386" t="s">
        <v>17</v>
      </c>
      <c r="E1386" t="s">
        <v>24</v>
      </c>
      <c r="F1386" t="s">
        <v>16</v>
      </c>
      <c r="H1386">
        <v>125.5</v>
      </c>
      <c r="I1386" s="13">
        <v>7</v>
      </c>
      <c r="J1386">
        <v>0</v>
      </c>
      <c r="K1386">
        <v>0</v>
      </c>
      <c r="L1386">
        <v>0</v>
      </c>
      <c r="M1386">
        <v>0</v>
      </c>
      <c r="O1386">
        <f t="shared" si="21"/>
        <v>2</v>
      </c>
    </row>
    <row r="1387" spans="1:15">
      <c r="A1387">
        <v>1134</v>
      </c>
      <c r="B1387" s="1">
        <v>45697</v>
      </c>
      <c r="C1387">
        <v>26</v>
      </c>
      <c r="D1387" t="s">
        <v>14</v>
      </c>
      <c r="E1387" t="s">
        <v>22</v>
      </c>
      <c r="F1387" t="s">
        <v>18</v>
      </c>
      <c r="G1387" t="s">
        <v>29</v>
      </c>
      <c r="H1387">
        <v>106.2</v>
      </c>
      <c r="I1387" s="13">
        <v>5</v>
      </c>
      <c r="J1387">
        <v>0</v>
      </c>
      <c r="K1387">
        <v>0</v>
      </c>
      <c r="L1387">
        <v>0</v>
      </c>
      <c r="M1387">
        <v>0</v>
      </c>
      <c r="O1387">
        <f t="shared" si="21"/>
        <v>2</v>
      </c>
    </row>
    <row r="1388" spans="1:15">
      <c r="A1388">
        <v>880</v>
      </c>
      <c r="B1388" s="1">
        <v>45697</v>
      </c>
      <c r="C1388">
        <v>24</v>
      </c>
      <c r="D1388" t="s">
        <v>17</v>
      </c>
      <c r="E1388" t="s">
        <v>22</v>
      </c>
      <c r="F1388" t="s">
        <v>16</v>
      </c>
      <c r="H1388">
        <v>99.3</v>
      </c>
      <c r="I1388" s="13">
        <v>6</v>
      </c>
      <c r="J1388">
        <v>0</v>
      </c>
      <c r="K1388">
        <v>0</v>
      </c>
      <c r="L1388">
        <v>0</v>
      </c>
      <c r="M1388">
        <v>0</v>
      </c>
      <c r="O1388">
        <f t="shared" si="21"/>
        <v>2</v>
      </c>
    </row>
    <row r="1389" spans="1:15">
      <c r="A1389">
        <v>3830</v>
      </c>
      <c r="B1389" s="1">
        <v>45697</v>
      </c>
      <c r="C1389">
        <v>48</v>
      </c>
      <c r="D1389" t="s">
        <v>17</v>
      </c>
      <c r="E1389" t="s">
        <v>20</v>
      </c>
      <c r="F1389" t="s">
        <v>18</v>
      </c>
      <c r="G1389" t="s">
        <v>31</v>
      </c>
      <c r="H1389">
        <v>51.8</v>
      </c>
      <c r="I1389" s="13">
        <v>6</v>
      </c>
      <c r="J1389">
        <v>0</v>
      </c>
      <c r="K1389">
        <v>0</v>
      </c>
      <c r="L1389">
        <v>0</v>
      </c>
      <c r="M1389">
        <v>0</v>
      </c>
      <c r="O1389">
        <f t="shared" si="21"/>
        <v>2</v>
      </c>
    </row>
    <row r="1390" spans="1:15">
      <c r="A1390">
        <v>740</v>
      </c>
      <c r="B1390" s="1">
        <v>45725</v>
      </c>
      <c r="C1390">
        <v>22</v>
      </c>
      <c r="D1390" t="s">
        <v>17</v>
      </c>
      <c r="E1390" t="s">
        <v>22</v>
      </c>
      <c r="F1390" t="s">
        <v>16</v>
      </c>
      <c r="H1390">
        <v>714.1</v>
      </c>
      <c r="I1390" s="13">
        <v>5</v>
      </c>
      <c r="J1390">
        <v>1</v>
      </c>
      <c r="K1390">
        <v>92</v>
      </c>
      <c r="L1390">
        <v>2</v>
      </c>
      <c r="M1390">
        <v>6</v>
      </c>
      <c r="N1390">
        <v>5</v>
      </c>
      <c r="O1390">
        <f t="shared" si="21"/>
        <v>3</v>
      </c>
    </row>
    <row r="1391" spans="1:15">
      <c r="A1391">
        <v>517</v>
      </c>
      <c r="B1391" s="1">
        <v>45725</v>
      </c>
      <c r="C1391">
        <v>18</v>
      </c>
      <c r="D1391" t="s">
        <v>14</v>
      </c>
      <c r="E1391" t="s">
        <v>20</v>
      </c>
      <c r="F1391" t="s">
        <v>16</v>
      </c>
      <c r="H1391">
        <v>705.5</v>
      </c>
      <c r="I1391" s="13">
        <v>7</v>
      </c>
      <c r="J1391">
        <v>1</v>
      </c>
      <c r="K1391">
        <v>141</v>
      </c>
      <c r="L1391">
        <v>1</v>
      </c>
      <c r="M1391">
        <v>14</v>
      </c>
      <c r="N1391">
        <v>4</v>
      </c>
      <c r="O1391">
        <f t="shared" si="21"/>
        <v>3</v>
      </c>
    </row>
    <row r="1392" spans="1:15">
      <c r="A1392">
        <v>1129</v>
      </c>
      <c r="B1392" s="1">
        <v>45725</v>
      </c>
      <c r="C1392">
        <v>19</v>
      </c>
      <c r="D1392" t="s">
        <v>17</v>
      </c>
      <c r="E1392" t="s">
        <v>24</v>
      </c>
      <c r="F1392" t="s">
        <v>16</v>
      </c>
      <c r="H1392">
        <v>1132.8</v>
      </c>
      <c r="I1392" s="13">
        <v>7</v>
      </c>
      <c r="J1392">
        <v>1</v>
      </c>
      <c r="K1392">
        <v>63.67</v>
      </c>
      <c r="L1392">
        <v>1</v>
      </c>
      <c r="M1392">
        <v>7</v>
      </c>
      <c r="N1392">
        <v>5</v>
      </c>
      <c r="O1392">
        <f t="shared" si="21"/>
        <v>3</v>
      </c>
    </row>
    <row r="1393" spans="1:15">
      <c r="A1393">
        <v>2625</v>
      </c>
      <c r="B1393" s="1">
        <v>45725</v>
      </c>
      <c r="C1393">
        <v>47</v>
      </c>
      <c r="D1393" t="s">
        <v>14</v>
      </c>
      <c r="E1393" t="s">
        <v>20</v>
      </c>
      <c r="F1393" t="s">
        <v>18</v>
      </c>
      <c r="G1393" t="s">
        <v>30</v>
      </c>
      <c r="H1393">
        <v>1028.7</v>
      </c>
      <c r="I1393" s="13">
        <v>6</v>
      </c>
      <c r="J1393">
        <v>1</v>
      </c>
      <c r="K1393">
        <v>46.58</v>
      </c>
      <c r="L1393">
        <v>2</v>
      </c>
      <c r="M1393">
        <v>3</v>
      </c>
      <c r="N1393">
        <v>5</v>
      </c>
      <c r="O1393">
        <f t="shared" si="21"/>
        <v>3</v>
      </c>
    </row>
    <row r="1394" spans="1:15">
      <c r="A1394">
        <v>349</v>
      </c>
      <c r="B1394" s="1">
        <v>45725</v>
      </c>
      <c r="C1394">
        <v>28</v>
      </c>
      <c r="D1394" t="s">
        <v>14</v>
      </c>
      <c r="E1394" t="s">
        <v>22</v>
      </c>
      <c r="F1394" t="s">
        <v>18</v>
      </c>
      <c r="G1394" t="s">
        <v>19</v>
      </c>
      <c r="H1394">
        <v>434.1</v>
      </c>
      <c r="I1394" s="13">
        <v>5</v>
      </c>
      <c r="J1394">
        <v>1</v>
      </c>
      <c r="K1394">
        <v>42.69</v>
      </c>
      <c r="L1394">
        <v>2</v>
      </c>
      <c r="M1394">
        <v>7</v>
      </c>
      <c r="N1394">
        <v>4</v>
      </c>
      <c r="O1394">
        <f t="shared" si="21"/>
        <v>3</v>
      </c>
    </row>
    <row r="1395" spans="1:15">
      <c r="A1395">
        <v>2490</v>
      </c>
      <c r="B1395" s="1">
        <v>45725</v>
      </c>
      <c r="C1395">
        <v>18</v>
      </c>
      <c r="D1395" t="s">
        <v>14</v>
      </c>
      <c r="E1395" t="s">
        <v>24</v>
      </c>
      <c r="F1395" t="s">
        <v>18</v>
      </c>
      <c r="G1395" t="s">
        <v>25</v>
      </c>
      <c r="H1395">
        <v>906.6</v>
      </c>
      <c r="I1395" s="13">
        <v>4</v>
      </c>
      <c r="J1395">
        <v>1</v>
      </c>
      <c r="K1395">
        <v>42.19</v>
      </c>
      <c r="L1395">
        <v>2</v>
      </c>
      <c r="M1395">
        <v>1</v>
      </c>
      <c r="N1395">
        <v>4</v>
      </c>
      <c r="O1395">
        <f t="shared" si="21"/>
        <v>3</v>
      </c>
    </row>
    <row r="1396" spans="1:15">
      <c r="A1396">
        <v>4837</v>
      </c>
      <c r="B1396" s="1">
        <v>45725</v>
      </c>
      <c r="C1396">
        <v>62</v>
      </c>
      <c r="D1396" t="s">
        <v>14</v>
      </c>
      <c r="E1396" t="s">
        <v>24</v>
      </c>
      <c r="F1396" t="s">
        <v>21</v>
      </c>
      <c r="H1396">
        <v>641.29999999999995</v>
      </c>
      <c r="I1396" s="13">
        <v>6</v>
      </c>
      <c r="J1396">
        <v>1</v>
      </c>
      <c r="K1396">
        <v>36.83</v>
      </c>
      <c r="L1396">
        <v>4</v>
      </c>
      <c r="M1396">
        <v>1</v>
      </c>
      <c r="N1396">
        <v>4</v>
      </c>
      <c r="O1396">
        <f t="shared" si="21"/>
        <v>3</v>
      </c>
    </row>
    <row r="1397" spans="1:15">
      <c r="A1397">
        <v>3863</v>
      </c>
      <c r="B1397" s="1">
        <v>45725</v>
      </c>
      <c r="C1397">
        <v>48</v>
      </c>
      <c r="D1397" t="s">
        <v>14</v>
      </c>
      <c r="E1397" t="s">
        <v>15</v>
      </c>
      <c r="F1397" t="s">
        <v>16</v>
      </c>
      <c r="H1397">
        <v>375.2</v>
      </c>
      <c r="I1397" s="13">
        <v>4</v>
      </c>
      <c r="J1397">
        <v>1</v>
      </c>
      <c r="K1397">
        <v>34.479999999999997</v>
      </c>
      <c r="L1397">
        <v>4</v>
      </c>
      <c r="M1397">
        <v>9</v>
      </c>
      <c r="N1397">
        <v>4</v>
      </c>
      <c r="O1397">
        <f t="shared" si="21"/>
        <v>3</v>
      </c>
    </row>
    <row r="1398" spans="1:15">
      <c r="A1398">
        <v>4610</v>
      </c>
      <c r="B1398" s="1">
        <v>45725</v>
      </c>
      <c r="C1398">
        <v>43</v>
      </c>
      <c r="D1398" t="s">
        <v>14</v>
      </c>
      <c r="E1398" t="s">
        <v>22</v>
      </c>
      <c r="F1398" t="s">
        <v>16</v>
      </c>
      <c r="H1398">
        <v>277.39999999999998</v>
      </c>
      <c r="I1398" s="13">
        <v>7</v>
      </c>
      <c r="J1398">
        <v>1</v>
      </c>
      <c r="K1398">
        <v>27.31</v>
      </c>
      <c r="L1398">
        <v>3</v>
      </c>
      <c r="M1398">
        <v>3</v>
      </c>
      <c r="N1398">
        <v>5</v>
      </c>
      <c r="O1398">
        <f t="shared" si="21"/>
        <v>3</v>
      </c>
    </row>
    <row r="1399" spans="1:15">
      <c r="A1399">
        <v>3454</v>
      </c>
      <c r="B1399" s="1">
        <v>45725</v>
      </c>
      <c r="C1399">
        <v>20</v>
      </c>
      <c r="D1399" t="s">
        <v>17</v>
      </c>
      <c r="E1399" t="s">
        <v>22</v>
      </c>
      <c r="F1399" t="s">
        <v>18</v>
      </c>
      <c r="G1399" t="s">
        <v>29</v>
      </c>
      <c r="H1399">
        <v>672.8</v>
      </c>
      <c r="I1399" s="13">
        <v>5</v>
      </c>
      <c r="J1399">
        <v>1</v>
      </c>
      <c r="K1399">
        <v>23.9</v>
      </c>
      <c r="L1399">
        <v>6</v>
      </c>
      <c r="M1399">
        <v>5</v>
      </c>
      <c r="N1399">
        <v>5</v>
      </c>
      <c r="O1399">
        <f t="shared" si="21"/>
        <v>3</v>
      </c>
    </row>
    <row r="1400" spans="1:15">
      <c r="A1400">
        <v>640</v>
      </c>
      <c r="B1400" s="1">
        <v>45725</v>
      </c>
      <c r="C1400">
        <v>20</v>
      </c>
      <c r="D1400" t="s">
        <v>17</v>
      </c>
      <c r="E1400" t="s">
        <v>22</v>
      </c>
      <c r="F1400" t="s">
        <v>16</v>
      </c>
      <c r="H1400">
        <v>649.20000000000005</v>
      </c>
      <c r="I1400" s="13">
        <v>10</v>
      </c>
      <c r="J1400">
        <v>0</v>
      </c>
      <c r="K1400">
        <v>0</v>
      </c>
      <c r="L1400">
        <v>0</v>
      </c>
      <c r="M1400">
        <v>0</v>
      </c>
      <c r="O1400">
        <f t="shared" si="21"/>
        <v>3</v>
      </c>
    </row>
    <row r="1401" spans="1:15">
      <c r="A1401">
        <v>1492</v>
      </c>
      <c r="B1401" s="1">
        <v>45725</v>
      </c>
      <c r="C1401">
        <v>23</v>
      </c>
      <c r="D1401" t="s">
        <v>14</v>
      </c>
      <c r="E1401" t="s">
        <v>15</v>
      </c>
      <c r="F1401" t="s">
        <v>18</v>
      </c>
      <c r="G1401" t="s">
        <v>25</v>
      </c>
      <c r="H1401">
        <v>512.29999999999995</v>
      </c>
      <c r="I1401" s="13">
        <v>12</v>
      </c>
      <c r="J1401">
        <v>0</v>
      </c>
      <c r="K1401">
        <v>0</v>
      </c>
      <c r="L1401">
        <v>0</v>
      </c>
      <c r="M1401">
        <v>0</v>
      </c>
      <c r="O1401">
        <f t="shared" si="21"/>
        <v>3</v>
      </c>
    </row>
    <row r="1402" spans="1:15">
      <c r="A1402">
        <v>3026</v>
      </c>
      <c r="B1402" s="1">
        <v>45725</v>
      </c>
      <c r="C1402">
        <v>34</v>
      </c>
      <c r="D1402" t="s">
        <v>14</v>
      </c>
      <c r="E1402" t="s">
        <v>22</v>
      </c>
      <c r="F1402" t="s">
        <v>16</v>
      </c>
      <c r="H1402">
        <v>474.7</v>
      </c>
      <c r="I1402" s="13">
        <v>2</v>
      </c>
      <c r="J1402">
        <v>0</v>
      </c>
      <c r="K1402">
        <v>0</v>
      </c>
      <c r="L1402">
        <v>0</v>
      </c>
      <c r="M1402">
        <v>0</v>
      </c>
      <c r="O1402">
        <f t="shared" si="21"/>
        <v>3</v>
      </c>
    </row>
    <row r="1403" spans="1:15">
      <c r="A1403">
        <v>4823</v>
      </c>
      <c r="B1403" s="1">
        <v>45725</v>
      </c>
      <c r="C1403">
        <v>49</v>
      </c>
      <c r="D1403" t="s">
        <v>14</v>
      </c>
      <c r="E1403" t="s">
        <v>22</v>
      </c>
      <c r="F1403" t="s">
        <v>16</v>
      </c>
      <c r="H1403">
        <v>411.6</v>
      </c>
      <c r="I1403" s="13">
        <v>4</v>
      </c>
      <c r="J1403">
        <v>0</v>
      </c>
      <c r="K1403">
        <v>0</v>
      </c>
      <c r="L1403">
        <v>0</v>
      </c>
      <c r="M1403">
        <v>0</v>
      </c>
      <c r="O1403">
        <f t="shared" si="21"/>
        <v>3</v>
      </c>
    </row>
    <row r="1404" spans="1:15">
      <c r="A1404">
        <v>466</v>
      </c>
      <c r="B1404" s="1">
        <v>45725</v>
      </c>
      <c r="C1404">
        <v>23</v>
      </c>
      <c r="D1404" t="s">
        <v>17</v>
      </c>
      <c r="E1404" t="s">
        <v>22</v>
      </c>
      <c r="F1404" t="s">
        <v>18</v>
      </c>
      <c r="G1404" t="s">
        <v>30</v>
      </c>
      <c r="H1404">
        <v>326.89999999999998</v>
      </c>
      <c r="I1404" s="13">
        <v>3</v>
      </c>
      <c r="J1404">
        <v>0</v>
      </c>
      <c r="K1404">
        <v>0</v>
      </c>
      <c r="L1404">
        <v>0</v>
      </c>
      <c r="M1404">
        <v>0</v>
      </c>
      <c r="O1404">
        <f t="shared" si="21"/>
        <v>3</v>
      </c>
    </row>
    <row r="1405" spans="1:15">
      <c r="A1405">
        <v>3299</v>
      </c>
      <c r="B1405" s="1">
        <v>45725</v>
      </c>
      <c r="C1405">
        <v>41</v>
      </c>
      <c r="D1405" t="s">
        <v>17</v>
      </c>
      <c r="E1405" t="s">
        <v>22</v>
      </c>
      <c r="F1405" t="s">
        <v>16</v>
      </c>
      <c r="H1405">
        <v>315</v>
      </c>
      <c r="I1405" s="13">
        <v>6</v>
      </c>
      <c r="J1405">
        <v>0</v>
      </c>
      <c r="K1405">
        <v>0</v>
      </c>
      <c r="L1405">
        <v>0</v>
      </c>
      <c r="M1405">
        <v>0</v>
      </c>
      <c r="O1405">
        <f t="shared" si="21"/>
        <v>3</v>
      </c>
    </row>
    <row r="1406" spans="1:15">
      <c r="A1406">
        <v>3613</v>
      </c>
      <c r="B1406" s="1">
        <v>45725</v>
      </c>
      <c r="C1406">
        <v>42</v>
      </c>
      <c r="D1406" t="s">
        <v>14</v>
      </c>
      <c r="E1406" t="s">
        <v>22</v>
      </c>
      <c r="F1406" t="s">
        <v>16</v>
      </c>
      <c r="H1406">
        <v>301</v>
      </c>
      <c r="I1406" s="13">
        <v>7</v>
      </c>
      <c r="J1406">
        <v>0</v>
      </c>
      <c r="K1406">
        <v>0</v>
      </c>
      <c r="L1406">
        <v>0</v>
      </c>
      <c r="M1406">
        <v>0</v>
      </c>
      <c r="O1406">
        <f t="shared" si="21"/>
        <v>3</v>
      </c>
    </row>
    <row r="1407" spans="1:15">
      <c r="A1407">
        <v>871</v>
      </c>
      <c r="B1407" s="1">
        <v>45725</v>
      </c>
      <c r="C1407">
        <v>28</v>
      </c>
      <c r="D1407" t="s">
        <v>17</v>
      </c>
      <c r="E1407" t="s">
        <v>15</v>
      </c>
      <c r="F1407" t="s">
        <v>16</v>
      </c>
      <c r="H1407">
        <v>262.39999999999998</v>
      </c>
      <c r="I1407" s="13">
        <v>7</v>
      </c>
      <c r="J1407">
        <v>0</v>
      </c>
      <c r="K1407">
        <v>0</v>
      </c>
      <c r="L1407">
        <v>0</v>
      </c>
      <c r="M1407">
        <v>0</v>
      </c>
      <c r="O1407">
        <f t="shared" si="21"/>
        <v>3</v>
      </c>
    </row>
    <row r="1408" spans="1:15">
      <c r="A1408">
        <v>283</v>
      </c>
      <c r="B1408" s="1">
        <v>45725</v>
      </c>
      <c r="C1408">
        <v>18</v>
      </c>
      <c r="D1408" t="s">
        <v>14</v>
      </c>
      <c r="E1408" t="s">
        <v>20</v>
      </c>
      <c r="F1408" t="s">
        <v>16</v>
      </c>
      <c r="H1408">
        <v>228.2</v>
      </c>
      <c r="I1408" s="13">
        <v>5</v>
      </c>
      <c r="J1408">
        <v>0</v>
      </c>
      <c r="K1408">
        <v>0</v>
      </c>
      <c r="L1408">
        <v>0</v>
      </c>
      <c r="M1408">
        <v>0</v>
      </c>
      <c r="O1408">
        <f t="shared" si="21"/>
        <v>3</v>
      </c>
    </row>
    <row r="1409" spans="1:15">
      <c r="A1409">
        <v>3977</v>
      </c>
      <c r="B1409" s="1">
        <v>45725</v>
      </c>
      <c r="C1409">
        <v>43</v>
      </c>
      <c r="D1409" t="s">
        <v>17</v>
      </c>
      <c r="E1409" t="s">
        <v>24</v>
      </c>
      <c r="F1409" t="s">
        <v>16</v>
      </c>
      <c r="H1409">
        <v>202.6</v>
      </c>
      <c r="I1409" s="13">
        <v>6</v>
      </c>
      <c r="J1409">
        <v>0</v>
      </c>
      <c r="K1409">
        <v>0</v>
      </c>
      <c r="L1409">
        <v>0</v>
      </c>
      <c r="M1409">
        <v>0</v>
      </c>
      <c r="O1409">
        <f t="shared" si="21"/>
        <v>3</v>
      </c>
    </row>
    <row r="1410" spans="1:15">
      <c r="A1410">
        <v>3307</v>
      </c>
      <c r="B1410" s="1">
        <v>45725</v>
      </c>
      <c r="C1410">
        <v>20</v>
      </c>
      <c r="D1410" t="s">
        <v>17</v>
      </c>
      <c r="E1410" t="s">
        <v>22</v>
      </c>
      <c r="F1410" t="s">
        <v>21</v>
      </c>
      <c r="H1410">
        <v>198.9</v>
      </c>
      <c r="I1410" s="13">
        <v>4</v>
      </c>
      <c r="J1410">
        <v>0</v>
      </c>
      <c r="K1410">
        <v>0</v>
      </c>
      <c r="L1410">
        <v>0</v>
      </c>
      <c r="M1410">
        <v>0</v>
      </c>
      <c r="O1410">
        <f t="shared" si="21"/>
        <v>3</v>
      </c>
    </row>
    <row r="1411" spans="1:15">
      <c r="A1411">
        <v>443</v>
      </c>
      <c r="B1411" s="1">
        <v>45725</v>
      </c>
      <c r="C1411">
        <v>22</v>
      </c>
      <c r="D1411" t="s">
        <v>14</v>
      </c>
      <c r="E1411" t="s">
        <v>24</v>
      </c>
      <c r="F1411" t="s">
        <v>18</v>
      </c>
      <c r="G1411" t="s">
        <v>30</v>
      </c>
      <c r="H1411">
        <v>195.8</v>
      </c>
      <c r="I1411" s="13">
        <v>13</v>
      </c>
      <c r="J1411">
        <v>0</v>
      </c>
      <c r="K1411">
        <v>0</v>
      </c>
      <c r="L1411">
        <v>0</v>
      </c>
      <c r="M1411">
        <v>0</v>
      </c>
      <c r="O1411">
        <f t="shared" ref="O1411:O1474" si="22">MONTH(B1411)</f>
        <v>3</v>
      </c>
    </row>
    <row r="1412" spans="1:15">
      <c r="A1412">
        <v>1769</v>
      </c>
      <c r="B1412" s="1">
        <v>45725</v>
      </c>
      <c r="C1412">
        <v>36</v>
      </c>
      <c r="D1412" t="s">
        <v>14</v>
      </c>
      <c r="E1412" t="s">
        <v>24</v>
      </c>
      <c r="F1412" t="s">
        <v>18</v>
      </c>
      <c r="G1412" t="s">
        <v>29</v>
      </c>
      <c r="H1412">
        <v>174.9</v>
      </c>
      <c r="I1412" s="13">
        <v>6</v>
      </c>
      <c r="J1412">
        <v>0</v>
      </c>
      <c r="K1412">
        <v>0</v>
      </c>
      <c r="L1412">
        <v>0</v>
      </c>
      <c r="M1412">
        <v>0</v>
      </c>
      <c r="O1412">
        <f t="shared" si="22"/>
        <v>3</v>
      </c>
    </row>
    <row r="1413" spans="1:15">
      <c r="A1413">
        <v>2391</v>
      </c>
      <c r="B1413" s="1">
        <v>45725</v>
      </c>
      <c r="C1413">
        <v>31</v>
      </c>
      <c r="D1413" t="s">
        <v>17</v>
      </c>
      <c r="E1413" t="s">
        <v>24</v>
      </c>
      <c r="F1413" t="s">
        <v>18</v>
      </c>
      <c r="G1413" t="s">
        <v>19</v>
      </c>
      <c r="H1413">
        <v>167.9</v>
      </c>
      <c r="I1413" s="13">
        <v>7</v>
      </c>
      <c r="J1413">
        <v>0</v>
      </c>
      <c r="K1413">
        <v>0</v>
      </c>
      <c r="L1413">
        <v>0</v>
      </c>
      <c r="M1413">
        <v>0</v>
      </c>
      <c r="O1413">
        <f t="shared" si="22"/>
        <v>3</v>
      </c>
    </row>
    <row r="1414" spans="1:15">
      <c r="A1414">
        <v>449</v>
      </c>
      <c r="B1414" s="1">
        <v>45725</v>
      </c>
      <c r="C1414">
        <v>28</v>
      </c>
      <c r="D1414" t="s">
        <v>14</v>
      </c>
      <c r="E1414" t="s">
        <v>24</v>
      </c>
      <c r="F1414" t="s">
        <v>16</v>
      </c>
      <c r="H1414">
        <v>166</v>
      </c>
      <c r="I1414" s="13">
        <v>2</v>
      </c>
      <c r="J1414">
        <v>0</v>
      </c>
      <c r="K1414">
        <v>0</v>
      </c>
      <c r="L1414">
        <v>0</v>
      </c>
      <c r="M1414">
        <v>0</v>
      </c>
      <c r="O1414">
        <f t="shared" si="22"/>
        <v>3</v>
      </c>
    </row>
    <row r="1415" spans="1:15">
      <c r="A1415">
        <v>4739</v>
      </c>
      <c r="B1415" s="1">
        <v>45725</v>
      </c>
      <c r="C1415">
        <v>39</v>
      </c>
      <c r="D1415" t="s">
        <v>14</v>
      </c>
      <c r="E1415" t="s">
        <v>15</v>
      </c>
      <c r="F1415" t="s">
        <v>18</v>
      </c>
      <c r="G1415" t="s">
        <v>25</v>
      </c>
      <c r="H1415">
        <v>165.1</v>
      </c>
      <c r="I1415" s="13">
        <v>7</v>
      </c>
      <c r="J1415">
        <v>0</v>
      </c>
      <c r="K1415">
        <v>0</v>
      </c>
      <c r="L1415">
        <v>0</v>
      </c>
      <c r="M1415">
        <v>0</v>
      </c>
      <c r="O1415">
        <f t="shared" si="22"/>
        <v>3</v>
      </c>
    </row>
    <row r="1416" spans="1:15">
      <c r="A1416">
        <v>3725</v>
      </c>
      <c r="B1416" s="1">
        <v>45725</v>
      </c>
      <c r="C1416">
        <v>27</v>
      </c>
      <c r="D1416" t="s">
        <v>14</v>
      </c>
      <c r="E1416" t="s">
        <v>15</v>
      </c>
      <c r="F1416" t="s">
        <v>16</v>
      </c>
      <c r="H1416">
        <v>119</v>
      </c>
      <c r="I1416" s="13">
        <v>6</v>
      </c>
      <c r="J1416">
        <v>0</v>
      </c>
      <c r="K1416">
        <v>0</v>
      </c>
      <c r="L1416">
        <v>0</v>
      </c>
      <c r="M1416">
        <v>0</v>
      </c>
      <c r="O1416">
        <f t="shared" si="22"/>
        <v>3</v>
      </c>
    </row>
    <row r="1417" spans="1:15">
      <c r="A1417">
        <v>1</v>
      </c>
      <c r="B1417" s="1">
        <v>45725</v>
      </c>
      <c r="C1417">
        <v>22</v>
      </c>
      <c r="D1417" t="s">
        <v>14</v>
      </c>
      <c r="E1417" t="s">
        <v>24</v>
      </c>
      <c r="F1417" t="s">
        <v>16</v>
      </c>
      <c r="H1417">
        <v>103</v>
      </c>
      <c r="I1417" s="13">
        <v>6</v>
      </c>
      <c r="J1417">
        <v>0</v>
      </c>
      <c r="K1417">
        <v>0</v>
      </c>
      <c r="L1417">
        <v>0</v>
      </c>
      <c r="M1417">
        <v>0</v>
      </c>
      <c r="O1417">
        <f t="shared" si="22"/>
        <v>3</v>
      </c>
    </row>
    <row r="1418" spans="1:15">
      <c r="A1418">
        <v>4786</v>
      </c>
      <c r="B1418" s="1">
        <v>45725</v>
      </c>
      <c r="C1418">
        <v>59</v>
      </c>
      <c r="D1418" t="s">
        <v>17</v>
      </c>
      <c r="E1418" t="s">
        <v>22</v>
      </c>
      <c r="F1418" t="s">
        <v>16</v>
      </c>
      <c r="H1418">
        <v>97.7</v>
      </c>
      <c r="I1418" s="13">
        <v>5</v>
      </c>
      <c r="J1418">
        <v>0</v>
      </c>
      <c r="K1418">
        <v>0</v>
      </c>
      <c r="L1418">
        <v>0</v>
      </c>
      <c r="M1418">
        <v>0</v>
      </c>
      <c r="O1418">
        <f t="shared" si="22"/>
        <v>3</v>
      </c>
    </row>
    <row r="1419" spans="1:15">
      <c r="A1419">
        <v>4658</v>
      </c>
      <c r="B1419" s="1">
        <v>45756</v>
      </c>
      <c r="C1419">
        <v>53</v>
      </c>
      <c r="D1419" t="s">
        <v>14</v>
      </c>
      <c r="E1419" t="s">
        <v>15</v>
      </c>
      <c r="F1419" t="s">
        <v>23</v>
      </c>
      <c r="H1419">
        <v>377.8</v>
      </c>
      <c r="I1419" s="13">
        <v>3</v>
      </c>
      <c r="J1419">
        <v>1</v>
      </c>
      <c r="K1419">
        <v>64.67</v>
      </c>
      <c r="L1419">
        <v>4</v>
      </c>
      <c r="M1419">
        <v>11</v>
      </c>
      <c r="N1419">
        <v>4</v>
      </c>
      <c r="O1419">
        <f t="shared" si="22"/>
        <v>4</v>
      </c>
    </row>
    <row r="1420" spans="1:15">
      <c r="A1420">
        <v>4835</v>
      </c>
      <c r="B1420" s="1">
        <v>45756</v>
      </c>
      <c r="C1420">
        <v>47</v>
      </c>
      <c r="D1420" t="s">
        <v>14</v>
      </c>
      <c r="E1420" t="s">
        <v>22</v>
      </c>
      <c r="F1420" t="s">
        <v>23</v>
      </c>
      <c r="H1420">
        <v>566.9</v>
      </c>
      <c r="I1420" s="13">
        <v>3</v>
      </c>
      <c r="J1420">
        <v>1</v>
      </c>
      <c r="K1420">
        <v>52.55</v>
      </c>
      <c r="L1420">
        <v>2</v>
      </c>
      <c r="M1420">
        <v>5</v>
      </c>
      <c r="N1420">
        <v>4</v>
      </c>
      <c r="O1420">
        <f t="shared" si="22"/>
        <v>4</v>
      </c>
    </row>
    <row r="1421" spans="1:15">
      <c r="A1421">
        <v>49</v>
      </c>
      <c r="B1421" s="1">
        <v>45756</v>
      </c>
      <c r="C1421">
        <v>18</v>
      </c>
      <c r="D1421" t="s">
        <v>17</v>
      </c>
      <c r="E1421" t="s">
        <v>22</v>
      </c>
      <c r="F1421" t="s">
        <v>18</v>
      </c>
      <c r="G1421" t="s">
        <v>19</v>
      </c>
      <c r="H1421">
        <v>367.6</v>
      </c>
      <c r="I1421" s="13">
        <v>6</v>
      </c>
      <c r="J1421">
        <v>1</v>
      </c>
      <c r="K1421">
        <v>44.7</v>
      </c>
      <c r="L1421">
        <v>4</v>
      </c>
      <c r="M1421">
        <v>4</v>
      </c>
      <c r="N1421">
        <v>4</v>
      </c>
      <c r="O1421">
        <f t="shared" si="22"/>
        <v>4</v>
      </c>
    </row>
    <row r="1422" spans="1:15">
      <c r="A1422">
        <v>1700</v>
      </c>
      <c r="B1422" s="1">
        <v>45756</v>
      </c>
      <c r="C1422">
        <v>22</v>
      </c>
      <c r="D1422" t="s">
        <v>17</v>
      </c>
      <c r="E1422" t="s">
        <v>15</v>
      </c>
      <c r="F1422" t="s">
        <v>16</v>
      </c>
      <c r="H1422">
        <v>923.7</v>
      </c>
      <c r="I1422" s="13">
        <v>3</v>
      </c>
      <c r="J1422">
        <v>1</v>
      </c>
      <c r="K1422">
        <v>21.16</v>
      </c>
      <c r="L1422">
        <v>1</v>
      </c>
      <c r="M1422">
        <v>11</v>
      </c>
      <c r="N1422">
        <v>5</v>
      </c>
      <c r="O1422">
        <f t="shared" si="22"/>
        <v>4</v>
      </c>
    </row>
    <row r="1423" spans="1:15">
      <c r="A1423">
        <v>1864</v>
      </c>
      <c r="B1423" s="1">
        <v>45756</v>
      </c>
      <c r="C1423">
        <v>36</v>
      </c>
      <c r="D1423" t="s">
        <v>17</v>
      </c>
      <c r="E1423" t="s">
        <v>20</v>
      </c>
      <c r="F1423" t="s">
        <v>18</v>
      </c>
      <c r="G1423" t="s">
        <v>29</v>
      </c>
      <c r="H1423">
        <v>291.60000000000002</v>
      </c>
      <c r="I1423" s="13">
        <v>6</v>
      </c>
      <c r="J1423">
        <v>1</v>
      </c>
      <c r="K1423">
        <v>16</v>
      </c>
      <c r="L1423">
        <v>2</v>
      </c>
      <c r="M1423">
        <v>14</v>
      </c>
      <c r="N1423">
        <v>5</v>
      </c>
      <c r="O1423">
        <f t="shared" si="22"/>
        <v>4</v>
      </c>
    </row>
    <row r="1424" spans="1:15">
      <c r="A1424">
        <v>4825</v>
      </c>
      <c r="B1424" s="1">
        <v>45756</v>
      </c>
      <c r="C1424">
        <v>60</v>
      </c>
      <c r="D1424" t="s">
        <v>17</v>
      </c>
      <c r="E1424" t="s">
        <v>15</v>
      </c>
      <c r="F1424" t="s">
        <v>16</v>
      </c>
      <c r="H1424">
        <v>178.9</v>
      </c>
      <c r="I1424" s="13">
        <v>9</v>
      </c>
      <c r="J1424">
        <v>1</v>
      </c>
      <c r="K1424">
        <v>15.62</v>
      </c>
      <c r="L1424">
        <v>5</v>
      </c>
      <c r="M1424">
        <v>11</v>
      </c>
      <c r="N1424">
        <v>4</v>
      </c>
      <c r="O1424">
        <f t="shared" si="22"/>
        <v>4</v>
      </c>
    </row>
    <row r="1425" spans="1:15">
      <c r="A1425">
        <v>2060</v>
      </c>
      <c r="B1425" s="1">
        <v>45756</v>
      </c>
      <c r="C1425">
        <v>30</v>
      </c>
      <c r="D1425" t="s">
        <v>14</v>
      </c>
      <c r="E1425" t="s">
        <v>20</v>
      </c>
      <c r="F1425" t="s">
        <v>18</v>
      </c>
      <c r="G1425" t="s">
        <v>29</v>
      </c>
      <c r="H1425">
        <v>622</v>
      </c>
      <c r="I1425" s="13">
        <v>8</v>
      </c>
      <c r="J1425">
        <v>0</v>
      </c>
      <c r="K1425">
        <v>0</v>
      </c>
      <c r="L1425">
        <v>0</v>
      </c>
      <c r="M1425">
        <v>0</v>
      </c>
      <c r="O1425">
        <f t="shared" si="22"/>
        <v>4</v>
      </c>
    </row>
    <row r="1426" spans="1:15">
      <c r="A1426">
        <v>211</v>
      </c>
      <c r="B1426" s="1">
        <v>45756</v>
      </c>
      <c r="C1426">
        <v>25</v>
      </c>
      <c r="D1426" t="s">
        <v>17</v>
      </c>
      <c r="E1426" t="s">
        <v>15</v>
      </c>
      <c r="F1426" t="s">
        <v>16</v>
      </c>
      <c r="H1426">
        <v>394.7</v>
      </c>
      <c r="I1426" s="13">
        <v>5</v>
      </c>
      <c r="J1426">
        <v>0</v>
      </c>
      <c r="K1426">
        <v>0</v>
      </c>
      <c r="L1426">
        <v>0</v>
      </c>
      <c r="M1426">
        <v>0</v>
      </c>
      <c r="O1426">
        <f t="shared" si="22"/>
        <v>4</v>
      </c>
    </row>
    <row r="1427" spans="1:15">
      <c r="A1427">
        <v>3771</v>
      </c>
      <c r="B1427" s="1">
        <v>45756</v>
      </c>
      <c r="C1427">
        <v>48</v>
      </c>
      <c r="D1427" t="s">
        <v>14</v>
      </c>
      <c r="E1427" t="s">
        <v>22</v>
      </c>
      <c r="F1427" t="s">
        <v>16</v>
      </c>
      <c r="H1427">
        <v>316.10000000000002</v>
      </c>
      <c r="I1427" s="13">
        <v>2</v>
      </c>
      <c r="J1427">
        <v>0</v>
      </c>
      <c r="K1427">
        <v>0</v>
      </c>
      <c r="L1427">
        <v>0</v>
      </c>
      <c r="M1427">
        <v>0</v>
      </c>
      <c r="O1427">
        <f t="shared" si="22"/>
        <v>4</v>
      </c>
    </row>
    <row r="1428" spans="1:15">
      <c r="A1428">
        <v>1580</v>
      </c>
      <c r="B1428" s="1">
        <v>45756</v>
      </c>
      <c r="C1428">
        <v>22</v>
      </c>
      <c r="D1428" t="s">
        <v>14</v>
      </c>
      <c r="E1428" t="s">
        <v>15</v>
      </c>
      <c r="F1428" t="s">
        <v>18</v>
      </c>
      <c r="G1428" t="s">
        <v>30</v>
      </c>
      <c r="H1428">
        <v>290.3</v>
      </c>
      <c r="I1428" s="13">
        <v>3</v>
      </c>
      <c r="J1428">
        <v>0</v>
      </c>
      <c r="K1428">
        <v>0</v>
      </c>
      <c r="L1428">
        <v>0</v>
      </c>
      <c r="M1428">
        <v>0</v>
      </c>
      <c r="O1428">
        <f t="shared" si="22"/>
        <v>4</v>
      </c>
    </row>
    <row r="1429" spans="1:15">
      <c r="A1429">
        <v>4460</v>
      </c>
      <c r="B1429" s="1">
        <v>45756</v>
      </c>
      <c r="C1429">
        <v>62</v>
      </c>
      <c r="D1429" t="s">
        <v>17</v>
      </c>
      <c r="E1429" t="s">
        <v>20</v>
      </c>
      <c r="F1429" t="s">
        <v>16</v>
      </c>
      <c r="H1429">
        <v>288.10000000000002</v>
      </c>
      <c r="I1429" s="13">
        <v>6</v>
      </c>
      <c r="J1429">
        <v>0</v>
      </c>
      <c r="K1429">
        <v>0</v>
      </c>
      <c r="L1429">
        <v>0</v>
      </c>
      <c r="M1429">
        <v>0</v>
      </c>
      <c r="O1429">
        <f t="shared" si="22"/>
        <v>4</v>
      </c>
    </row>
    <row r="1430" spans="1:15">
      <c r="A1430">
        <v>3936</v>
      </c>
      <c r="B1430" s="1">
        <v>45756</v>
      </c>
      <c r="C1430">
        <v>53</v>
      </c>
      <c r="D1430" t="s">
        <v>14</v>
      </c>
      <c r="E1430" t="s">
        <v>24</v>
      </c>
      <c r="F1430" t="s">
        <v>23</v>
      </c>
      <c r="H1430">
        <v>285.2</v>
      </c>
      <c r="I1430" s="13">
        <v>7</v>
      </c>
      <c r="J1430">
        <v>0</v>
      </c>
      <c r="K1430">
        <v>0</v>
      </c>
      <c r="L1430">
        <v>0</v>
      </c>
      <c r="M1430">
        <v>0</v>
      </c>
      <c r="O1430">
        <f t="shared" si="22"/>
        <v>4</v>
      </c>
    </row>
    <row r="1431" spans="1:15">
      <c r="A1431">
        <v>4432</v>
      </c>
      <c r="B1431" s="1">
        <v>45756</v>
      </c>
      <c r="C1431">
        <v>26</v>
      </c>
      <c r="D1431" t="s">
        <v>14</v>
      </c>
      <c r="E1431" t="s">
        <v>22</v>
      </c>
      <c r="F1431" t="s">
        <v>16</v>
      </c>
      <c r="H1431">
        <v>266.5</v>
      </c>
      <c r="I1431" s="13">
        <v>12</v>
      </c>
      <c r="J1431">
        <v>0</v>
      </c>
      <c r="K1431">
        <v>0</v>
      </c>
      <c r="L1431">
        <v>0</v>
      </c>
      <c r="M1431">
        <v>0</v>
      </c>
      <c r="O1431">
        <f t="shared" si="22"/>
        <v>4</v>
      </c>
    </row>
    <row r="1432" spans="1:15">
      <c r="A1432">
        <v>3011</v>
      </c>
      <c r="B1432" s="1">
        <v>45756</v>
      </c>
      <c r="C1432">
        <v>23</v>
      </c>
      <c r="D1432" t="s">
        <v>14</v>
      </c>
      <c r="E1432" t="s">
        <v>22</v>
      </c>
      <c r="F1432" t="s">
        <v>23</v>
      </c>
      <c r="H1432">
        <v>248.8</v>
      </c>
      <c r="I1432" s="13">
        <v>9</v>
      </c>
      <c r="J1432">
        <v>0</v>
      </c>
      <c r="K1432">
        <v>0</v>
      </c>
      <c r="L1432">
        <v>0</v>
      </c>
      <c r="M1432">
        <v>0</v>
      </c>
      <c r="O1432">
        <f t="shared" si="22"/>
        <v>4</v>
      </c>
    </row>
    <row r="1433" spans="1:15">
      <c r="A1433">
        <v>2985</v>
      </c>
      <c r="B1433" s="1">
        <v>45756</v>
      </c>
      <c r="C1433">
        <v>35</v>
      </c>
      <c r="D1433" t="s">
        <v>14</v>
      </c>
      <c r="E1433" t="s">
        <v>15</v>
      </c>
      <c r="F1433" t="s">
        <v>16</v>
      </c>
      <c r="H1433">
        <v>246.3</v>
      </c>
      <c r="I1433" s="13">
        <v>5</v>
      </c>
      <c r="J1433">
        <v>0</v>
      </c>
      <c r="K1433">
        <v>0</v>
      </c>
      <c r="L1433">
        <v>0</v>
      </c>
      <c r="M1433">
        <v>0</v>
      </c>
      <c r="O1433">
        <f t="shared" si="22"/>
        <v>4</v>
      </c>
    </row>
    <row r="1434" spans="1:15">
      <c r="A1434">
        <v>4961</v>
      </c>
      <c r="B1434" s="1">
        <v>45756</v>
      </c>
      <c r="C1434">
        <v>40</v>
      </c>
      <c r="D1434" t="s">
        <v>17</v>
      </c>
      <c r="E1434" t="s">
        <v>22</v>
      </c>
      <c r="F1434" t="s">
        <v>18</v>
      </c>
      <c r="G1434" t="s">
        <v>31</v>
      </c>
      <c r="H1434">
        <v>245.1</v>
      </c>
      <c r="I1434" s="13">
        <v>4</v>
      </c>
      <c r="J1434">
        <v>0</v>
      </c>
      <c r="K1434">
        <v>0</v>
      </c>
      <c r="L1434">
        <v>0</v>
      </c>
      <c r="M1434">
        <v>0</v>
      </c>
      <c r="O1434">
        <f t="shared" si="22"/>
        <v>4</v>
      </c>
    </row>
    <row r="1435" spans="1:15">
      <c r="A1435">
        <v>2775</v>
      </c>
      <c r="B1435" s="1">
        <v>45756</v>
      </c>
      <c r="C1435">
        <v>43</v>
      </c>
      <c r="D1435" t="s">
        <v>17</v>
      </c>
      <c r="E1435" t="s">
        <v>22</v>
      </c>
      <c r="F1435" t="s">
        <v>18</v>
      </c>
      <c r="G1435" t="s">
        <v>26</v>
      </c>
      <c r="H1435">
        <v>223.9</v>
      </c>
      <c r="I1435" s="13">
        <v>8</v>
      </c>
      <c r="J1435">
        <v>0</v>
      </c>
      <c r="K1435">
        <v>0</v>
      </c>
      <c r="L1435">
        <v>0</v>
      </c>
      <c r="M1435">
        <v>0</v>
      </c>
      <c r="O1435">
        <f t="shared" si="22"/>
        <v>4</v>
      </c>
    </row>
    <row r="1436" spans="1:15">
      <c r="A1436">
        <v>4910</v>
      </c>
      <c r="B1436" s="1">
        <v>45756</v>
      </c>
      <c r="C1436">
        <v>42</v>
      </c>
      <c r="D1436" t="s">
        <v>14</v>
      </c>
      <c r="E1436" t="s">
        <v>20</v>
      </c>
      <c r="F1436" t="s">
        <v>18</v>
      </c>
      <c r="G1436" t="s">
        <v>19</v>
      </c>
      <c r="H1436">
        <v>195</v>
      </c>
      <c r="I1436" s="13">
        <v>2</v>
      </c>
      <c r="J1436">
        <v>0</v>
      </c>
      <c r="K1436">
        <v>0</v>
      </c>
      <c r="L1436">
        <v>0</v>
      </c>
      <c r="M1436">
        <v>0</v>
      </c>
      <c r="O1436">
        <f t="shared" si="22"/>
        <v>4</v>
      </c>
    </row>
    <row r="1437" spans="1:15">
      <c r="A1437">
        <v>4103</v>
      </c>
      <c r="B1437" s="1">
        <v>45756</v>
      </c>
      <c r="C1437">
        <v>60</v>
      </c>
      <c r="D1437" t="s">
        <v>17</v>
      </c>
      <c r="E1437" t="s">
        <v>24</v>
      </c>
      <c r="F1437" t="s">
        <v>21</v>
      </c>
      <c r="H1437">
        <v>168.6</v>
      </c>
      <c r="I1437" s="13">
        <v>7</v>
      </c>
      <c r="J1437">
        <v>0</v>
      </c>
      <c r="K1437">
        <v>0</v>
      </c>
      <c r="L1437">
        <v>0</v>
      </c>
      <c r="M1437">
        <v>0</v>
      </c>
      <c r="O1437">
        <f t="shared" si="22"/>
        <v>4</v>
      </c>
    </row>
    <row r="1438" spans="1:15">
      <c r="A1438">
        <v>2199</v>
      </c>
      <c r="B1438" s="1">
        <v>45756</v>
      </c>
      <c r="C1438">
        <v>31</v>
      </c>
      <c r="D1438" t="s">
        <v>14</v>
      </c>
      <c r="E1438" t="s">
        <v>20</v>
      </c>
      <c r="F1438" t="s">
        <v>18</v>
      </c>
      <c r="G1438" t="s">
        <v>29</v>
      </c>
      <c r="H1438">
        <v>149.4</v>
      </c>
      <c r="I1438" s="13">
        <v>10</v>
      </c>
      <c r="J1438">
        <v>0</v>
      </c>
      <c r="K1438">
        <v>0</v>
      </c>
      <c r="L1438">
        <v>0</v>
      </c>
      <c r="M1438">
        <v>0</v>
      </c>
      <c r="O1438">
        <f t="shared" si="22"/>
        <v>4</v>
      </c>
    </row>
    <row r="1439" spans="1:15">
      <c r="A1439">
        <v>1760</v>
      </c>
      <c r="B1439" s="1">
        <v>45756</v>
      </c>
      <c r="C1439">
        <v>33</v>
      </c>
      <c r="D1439" t="s">
        <v>14</v>
      </c>
      <c r="E1439" t="s">
        <v>15</v>
      </c>
      <c r="F1439" t="s">
        <v>23</v>
      </c>
      <c r="H1439">
        <v>142.69999999999999</v>
      </c>
      <c r="I1439" s="13">
        <v>6</v>
      </c>
      <c r="J1439">
        <v>0</v>
      </c>
      <c r="K1439">
        <v>0</v>
      </c>
      <c r="L1439">
        <v>0</v>
      </c>
      <c r="M1439">
        <v>0</v>
      </c>
      <c r="O1439">
        <f t="shared" si="22"/>
        <v>4</v>
      </c>
    </row>
    <row r="1440" spans="1:15">
      <c r="A1440">
        <v>1483</v>
      </c>
      <c r="B1440" s="1">
        <v>45756</v>
      </c>
      <c r="C1440">
        <v>24</v>
      </c>
      <c r="D1440" t="s">
        <v>17</v>
      </c>
      <c r="E1440" t="s">
        <v>24</v>
      </c>
      <c r="F1440" t="s">
        <v>21</v>
      </c>
      <c r="H1440">
        <v>138.19999999999999</v>
      </c>
      <c r="I1440" s="13">
        <v>6</v>
      </c>
      <c r="J1440">
        <v>0</v>
      </c>
      <c r="K1440">
        <v>0</v>
      </c>
      <c r="L1440">
        <v>0</v>
      </c>
      <c r="M1440">
        <v>0</v>
      </c>
      <c r="O1440">
        <f t="shared" si="22"/>
        <v>4</v>
      </c>
    </row>
    <row r="1441" spans="1:15">
      <c r="A1441">
        <v>4163</v>
      </c>
      <c r="B1441" s="1">
        <v>45756</v>
      </c>
      <c r="C1441">
        <v>38</v>
      </c>
      <c r="D1441" t="s">
        <v>17</v>
      </c>
      <c r="E1441" t="s">
        <v>24</v>
      </c>
      <c r="F1441" t="s">
        <v>16</v>
      </c>
      <c r="H1441">
        <v>131.1</v>
      </c>
      <c r="I1441" s="13">
        <v>4</v>
      </c>
      <c r="J1441">
        <v>0</v>
      </c>
      <c r="K1441">
        <v>0</v>
      </c>
      <c r="L1441">
        <v>0</v>
      </c>
      <c r="M1441">
        <v>0</v>
      </c>
      <c r="O1441">
        <f t="shared" si="22"/>
        <v>4</v>
      </c>
    </row>
    <row r="1442" spans="1:15">
      <c r="A1442">
        <v>2934</v>
      </c>
      <c r="B1442" s="1">
        <v>45756</v>
      </c>
      <c r="C1442">
        <v>28</v>
      </c>
      <c r="D1442" t="s">
        <v>17</v>
      </c>
      <c r="E1442" t="s">
        <v>15</v>
      </c>
      <c r="F1442" t="s">
        <v>18</v>
      </c>
      <c r="G1442" t="s">
        <v>28</v>
      </c>
      <c r="H1442">
        <v>129.80000000000001</v>
      </c>
      <c r="I1442" s="13">
        <v>8</v>
      </c>
      <c r="J1442">
        <v>0</v>
      </c>
      <c r="K1442">
        <v>0</v>
      </c>
      <c r="L1442">
        <v>0</v>
      </c>
      <c r="M1442">
        <v>0</v>
      </c>
      <c r="O1442">
        <f t="shared" si="22"/>
        <v>4</v>
      </c>
    </row>
    <row r="1443" spans="1:15">
      <c r="A1443">
        <v>3321</v>
      </c>
      <c r="B1443" s="1">
        <v>45756</v>
      </c>
      <c r="C1443">
        <v>38</v>
      </c>
      <c r="D1443" t="s">
        <v>17</v>
      </c>
      <c r="E1443" t="s">
        <v>22</v>
      </c>
      <c r="F1443" t="s">
        <v>16</v>
      </c>
      <c r="H1443">
        <v>121.5</v>
      </c>
      <c r="I1443" s="13">
        <v>10</v>
      </c>
      <c r="J1443">
        <v>0</v>
      </c>
      <c r="K1443">
        <v>0</v>
      </c>
      <c r="L1443">
        <v>0</v>
      </c>
      <c r="M1443">
        <v>0</v>
      </c>
      <c r="O1443">
        <f t="shared" si="22"/>
        <v>4</v>
      </c>
    </row>
    <row r="1444" spans="1:15">
      <c r="A1444">
        <v>364</v>
      </c>
      <c r="B1444" s="1">
        <v>45756</v>
      </c>
      <c r="C1444">
        <v>18</v>
      </c>
      <c r="D1444" t="s">
        <v>14</v>
      </c>
      <c r="E1444" t="s">
        <v>20</v>
      </c>
      <c r="F1444" t="s">
        <v>16</v>
      </c>
      <c r="H1444">
        <v>117.2</v>
      </c>
      <c r="I1444" s="13">
        <v>7</v>
      </c>
      <c r="J1444">
        <v>0</v>
      </c>
      <c r="K1444">
        <v>0</v>
      </c>
      <c r="L1444">
        <v>0</v>
      </c>
      <c r="M1444">
        <v>0</v>
      </c>
      <c r="O1444">
        <f t="shared" si="22"/>
        <v>4</v>
      </c>
    </row>
    <row r="1445" spans="1:15">
      <c r="A1445">
        <v>426</v>
      </c>
      <c r="B1445" s="1">
        <v>45756</v>
      </c>
      <c r="C1445">
        <v>25</v>
      </c>
      <c r="D1445" t="s">
        <v>14</v>
      </c>
      <c r="E1445" t="s">
        <v>20</v>
      </c>
      <c r="F1445" t="s">
        <v>16</v>
      </c>
      <c r="H1445">
        <v>113.2</v>
      </c>
      <c r="I1445" s="13">
        <v>3</v>
      </c>
      <c r="J1445">
        <v>0</v>
      </c>
      <c r="K1445">
        <v>0</v>
      </c>
      <c r="L1445">
        <v>0</v>
      </c>
      <c r="M1445">
        <v>0</v>
      </c>
      <c r="O1445">
        <f t="shared" si="22"/>
        <v>4</v>
      </c>
    </row>
    <row r="1446" spans="1:15">
      <c r="A1446">
        <v>1313</v>
      </c>
      <c r="B1446" s="1">
        <v>45756</v>
      </c>
      <c r="C1446">
        <v>21</v>
      </c>
      <c r="D1446" t="s">
        <v>17</v>
      </c>
      <c r="E1446" t="s">
        <v>15</v>
      </c>
      <c r="F1446" t="s">
        <v>16</v>
      </c>
      <c r="H1446">
        <v>102.8</v>
      </c>
      <c r="I1446" s="13">
        <v>3</v>
      </c>
      <c r="J1446">
        <v>0</v>
      </c>
      <c r="K1446">
        <v>0</v>
      </c>
      <c r="L1446">
        <v>0</v>
      </c>
      <c r="M1446">
        <v>0</v>
      </c>
      <c r="O1446">
        <f t="shared" si="22"/>
        <v>4</v>
      </c>
    </row>
    <row r="1447" spans="1:15">
      <c r="A1447">
        <v>2738</v>
      </c>
      <c r="B1447" s="1">
        <v>45756</v>
      </c>
      <c r="C1447">
        <v>31</v>
      </c>
      <c r="D1447" t="s">
        <v>27</v>
      </c>
      <c r="E1447" t="s">
        <v>24</v>
      </c>
      <c r="F1447" t="s">
        <v>16</v>
      </c>
      <c r="H1447">
        <v>100.6</v>
      </c>
      <c r="I1447" s="13">
        <v>5</v>
      </c>
      <c r="J1447">
        <v>0</v>
      </c>
      <c r="K1447">
        <v>0</v>
      </c>
      <c r="L1447">
        <v>0</v>
      </c>
      <c r="M1447">
        <v>0</v>
      </c>
      <c r="O1447">
        <f t="shared" si="22"/>
        <v>4</v>
      </c>
    </row>
    <row r="1448" spans="1:15">
      <c r="A1448">
        <v>4806</v>
      </c>
      <c r="B1448" s="1">
        <v>45756</v>
      </c>
      <c r="C1448">
        <v>47</v>
      </c>
      <c r="D1448" t="s">
        <v>14</v>
      </c>
      <c r="E1448" t="s">
        <v>22</v>
      </c>
      <c r="F1448" t="s">
        <v>16</v>
      </c>
      <c r="H1448">
        <v>93.5</v>
      </c>
      <c r="I1448" s="13">
        <v>7</v>
      </c>
      <c r="J1448">
        <v>0</v>
      </c>
      <c r="K1448">
        <v>0</v>
      </c>
      <c r="L1448">
        <v>0</v>
      </c>
      <c r="M1448">
        <v>0</v>
      </c>
      <c r="O1448">
        <f t="shared" si="22"/>
        <v>4</v>
      </c>
    </row>
    <row r="1449" spans="1:15">
      <c r="A1449">
        <v>3978</v>
      </c>
      <c r="B1449" s="1">
        <v>45756</v>
      </c>
      <c r="C1449">
        <v>55</v>
      </c>
      <c r="D1449" t="s">
        <v>14</v>
      </c>
      <c r="E1449" t="s">
        <v>20</v>
      </c>
      <c r="F1449" t="s">
        <v>18</v>
      </c>
      <c r="G1449" t="s">
        <v>29</v>
      </c>
      <c r="H1449">
        <v>91.6</v>
      </c>
      <c r="I1449" s="13">
        <v>7</v>
      </c>
      <c r="J1449">
        <v>0</v>
      </c>
      <c r="K1449">
        <v>0</v>
      </c>
      <c r="L1449">
        <v>0</v>
      </c>
      <c r="M1449">
        <v>0</v>
      </c>
      <c r="O1449">
        <f t="shared" si="22"/>
        <v>4</v>
      </c>
    </row>
    <row r="1450" spans="1:15">
      <c r="A1450">
        <v>321</v>
      </c>
      <c r="B1450" s="1">
        <v>45756</v>
      </c>
      <c r="C1450">
        <v>29</v>
      </c>
      <c r="D1450" t="s">
        <v>14</v>
      </c>
      <c r="E1450" t="s">
        <v>24</v>
      </c>
      <c r="F1450" t="s">
        <v>16</v>
      </c>
      <c r="H1450">
        <v>82.5</v>
      </c>
      <c r="I1450" s="13">
        <v>4</v>
      </c>
      <c r="J1450">
        <v>0</v>
      </c>
      <c r="K1450">
        <v>0</v>
      </c>
      <c r="L1450">
        <v>0</v>
      </c>
      <c r="M1450">
        <v>0</v>
      </c>
      <c r="O1450">
        <f t="shared" si="22"/>
        <v>4</v>
      </c>
    </row>
    <row r="1451" spans="1:15">
      <c r="A1451">
        <v>322</v>
      </c>
      <c r="B1451" s="1">
        <v>45786</v>
      </c>
      <c r="C1451">
        <v>24</v>
      </c>
      <c r="D1451" t="s">
        <v>17</v>
      </c>
      <c r="E1451" t="s">
        <v>15</v>
      </c>
      <c r="F1451" t="s">
        <v>18</v>
      </c>
      <c r="G1451" t="s">
        <v>28</v>
      </c>
      <c r="H1451">
        <v>420.2</v>
      </c>
      <c r="I1451" s="13">
        <v>6</v>
      </c>
      <c r="J1451">
        <v>1</v>
      </c>
      <c r="K1451">
        <v>409</v>
      </c>
      <c r="L1451">
        <v>5</v>
      </c>
      <c r="M1451">
        <v>11</v>
      </c>
      <c r="N1451">
        <v>4</v>
      </c>
      <c r="O1451">
        <f t="shared" si="22"/>
        <v>5</v>
      </c>
    </row>
    <row r="1452" spans="1:15">
      <c r="A1452">
        <v>92</v>
      </c>
      <c r="B1452" s="1">
        <v>45786</v>
      </c>
      <c r="C1452">
        <v>18</v>
      </c>
      <c r="D1452" t="s">
        <v>14</v>
      </c>
      <c r="E1452" t="s">
        <v>22</v>
      </c>
      <c r="F1452" t="s">
        <v>18</v>
      </c>
      <c r="G1452" t="s">
        <v>26</v>
      </c>
      <c r="H1452">
        <v>115.5</v>
      </c>
      <c r="I1452" s="13">
        <v>6</v>
      </c>
      <c r="J1452">
        <v>1</v>
      </c>
      <c r="K1452">
        <v>177.66</v>
      </c>
      <c r="L1452">
        <v>4</v>
      </c>
      <c r="M1452">
        <v>15</v>
      </c>
      <c r="N1452">
        <v>4</v>
      </c>
      <c r="O1452">
        <f t="shared" si="22"/>
        <v>5</v>
      </c>
    </row>
    <row r="1453" spans="1:15">
      <c r="A1453">
        <v>2953</v>
      </c>
      <c r="B1453" s="1">
        <v>45786</v>
      </c>
      <c r="C1453">
        <v>29</v>
      </c>
      <c r="D1453" t="s">
        <v>14</v>
      </c>
      <c r="E1453" t="s">
        <v>15</v>
      </c>
      <c r="F1453" t="s">
        <v>16</v>
      </c>
      <c r="H1453">
        <v>599.70000000000005</v>
      </c>
      <c r="I1453" s="13">
        <v>4</v>
      </c>
      <c r="J1453">
        <v>1</v>
      </c>
      <c r="K1453">
        <v>43.23</v>
      </c>
      <c r="L1453">
        <v>3</v>
      </c>
      <c r="M1453">
        <v>13</v>
      </c>
      <c r="N1453">
        <v>3</v>
      </c>
      <c r="O1453">
        <f t="shared" si="22"/>
        <v>5</v>
      </c>
    </row>
    <row r="1454" spans="1:15">
      <c r="A1454">
        <v>1307</v>
      </c>
      <c r="B1454" s="1">
        <v>45786</v>
      </c>
      <c r="C1454">
        <v>29</v>
      </c>
      <c r="D1454" t="s">
        <v>17</v>
      </c>
      <c r="E1454" t="s">
        <v>22</v>
      </c>
      <c r="F1454" t="s">
        <v>18</v>
      </c>
      <c r="G1454" t="s">
        <v>26</v>
      </c>
      <c r="H1454">
        <v>699.5</v>
      </c>
      <c r="I1454" s="13">
        <v>5</v>
      </c>
      <c r="J1454">
        <v>1</v>
      </c>
      <c r="K1454">
        <v>37.979999999999997</v>
      </c>
      <c r="L1454">
        <v>5</v>
      </c>
      <c r="M1454">
        <v>9</v>
      </c>
      <c r="N1454">
        <v>4</v>
      </c>
      <c r="O1454">
        <f t="shared" si="22"/>
        <v>5</v>
      </c>
    </row>
    <row r="1455" spans="1:15">
      <c r="A1455">
        <v>3346</v>
      </c>
      <c r="B1455" s="1">
        <v>45786</v>
      </c>
      <c r="C1455">
        <v>43</v>
      </c>
      <c r="D1455" t="s">
        <v>17</v>
      </c>
      <c r="E1455" t="s">
        <v>20</v>
      </c>
      <c r="F1455" t="s">
        <v>18</v>
      </c>
      <c r="G1455" t="s">
        <v>31</v>
      </c>
      <c r="H1455">
        <v>485.3</v>
      </c>
      <c r="I1455" s="13">
        <v>8</v>
      </c>
      <c r="J1455">
        <v>1</v>
      </c>
      <c r="K1455">
        <v>28.13</v>
      </c>
      <c r="L1455">
        <v>2</v>
      </c>
      <c r="M1455">
        <v>7</v>
      </c>
      <c r="N1455">
        <v>5</v>
      </c>
      <c r="O1455">
        <f t="shared" si="22"/>
        <v>5</v>
      </c>
    </row>
    <row r="1456" spans="1:15">
      <c r="A1456">
        <v>2153</v>
      </c>
      <c r="B1456" s="1">
        <v>45786</v>
      </c>
      <c r="C1456">
        <v>36</v>
      </c>
      <c r="D1456" t="s">
        <v>14</v>
      </c>
      <c r="E1456" t="s">
        <v>24</v>
      </c>
      <c r="F1456" t="s">
        <v>16</v>
      </c>
      <c r="H1456">
        <v>409.8</v>
      </c>
      <c r="I1456" s="13">
        <v>3</v>
      </c>
      <c r="J1456">
        <v>1</v>
      </c>
      <c r="K1456">
        <v>25.72</v>
      </c>
      <c r="L1456">
        <v>6</v>
      </c>
      <c r="M1456">
        <v>6</v>
      </c>
      <c r="N1456">
        <v>4</v>
      </c>
      <c r="O1456">
        <f t="shared" si="22"/>
        <v>5</v>
      </c>
    </row>
    <row r="1457" spans="1:15">
      <c r="A1457">
        <v>631</v>
      </c>
      <c r="B1457" s="1">
        <v>45786</v>
      </c>
      <c r="C1457">
        <v>29</v>
      </c>
      <c r="D1457" t="s">
        <v>14</v>
      </c>
      <c r="E1457" t="s">
        <v>22</v>
      </c>
      <c r="F1457" t="s">
        <v>18</v>
      </c>
      <c r="G1457" t="s">
        <v>31</v>
      </c>
      <c r="H1457">
        <v>547</v>
      </c>
      <c r="I1457" s="13">
        <v>7</v>
      </c>
      <c r="J1457">
        <v>0</v>
      </c>
      <c r="K1457">
        <v>0</v>
      </c>
      <c r="L1457">
        <v>0</v>
      </c>
      <c r="M1457">
        <v>0</v>
      </c>
      <c r="O1457">
        <f t="shared" si="22"/>
        <v>5</v>
      </c>
    </row>
    <row r="1458" spans="1:15">
      <c r="A1458">
        <v>3712</v>
      </c>
      <c r="B1458" s="1">
        <v>45786</v>
      </c>
      <c r="C1458">
        <v>39</v>
      </c>
      <c r="D1458" t="s">
        <v>17</v>
      </c>
      <c r="E1458" t="s">
        <v>15</v>
      </c>
      <c r="F1458" t="s">
        <v>21</v>
      </c>
      <c r="H1458">
        <v>537.9</v>
      </c>
      <c r="I1458" s="13">
        <v>4</v>
      </c>
      <c r="J1458">
        <v>0</v>
      </c>
      <c r="K1458">
        <v>0</v>
      </c>
      <c r="L1458">
        <v>0</v>
      </c>
      <c r="M1458">
        <v>0</v>
      </c>
      <c r="O1458">
        <f t="shared" si="22"/>
        <v>5</v>
      </c>
    </row>
    <row r="1459" spans="1:15">
      <c r="A1459">
        <v>2322</v>
      </c>
      <c r="B1459" s="1">
        <v>45786</v>
      </c>
      <c r="C1459">
        <v>37</v>
      </c>
      <c r="D1459" t="s">
        <v>17</v>
      </c>
      <c r="E1459" t="s">
        <v>15</v>
      </c>
      <c r="F1459" t="s">
        <v>16</v>
      </c>
      <c r="H1459">
        <v>469.5</v>
      </c>
      <c r="I1459" s="13">
        <v>6</v>
      </c>
      <c r="J1459">
        <v>0</v>
      </c>
      <c r="K1459">
        <v>0</v>
      </c>
      <c r="L1459">
        <v>0</v>
      </c>
      <c r="M1459">
        <v>0</v>
      </c>
      <c r="O1459">
        <f t="shared" si="22"/>
        <v>5</v>
      </c>
    </row>
    <row r="1460" spans="1:15">
      <c r="A1460">
        <v>1797</v>
      </c>
      <c r="B1460" s="1">
        <v>45786</v>
      </c>
      <c r="C1460">
        <v>30</v>
      </c>
      <c r="D1460" t="s">
        <v>17</v>
      </c>
      <c r="E1460" t="s">
        <v>22</v>
      </c>
      <c r="F1460" t="s">
        <v>18</v>
      </c>
      <c r="G1460" t="s">
        <v>25</v>
      </c>
      <c r="H1460">
        <v>430.3</v>
      </c>
      <c r="I1460" s="13">
        <v>10</v>
      </c>
      <c r="J1460">
        <v>0</v>
      </c>
      <c r="K1460">
        <v>0</v>
      </c>
      <c r="L1460">
        <v>0</v>
      </c>
      <c r="M1460">
        <v>0</v>
      </c>
      <c r="O1460">
        <f t="shared" si="22"/>
        <v>5</v>
      </c>
    </row>
    <row r="1461" spans="1:15">
      <c r="A1461">
        <v>1367</v>
      </c>
      <c r="B1461" s="1">
        <v>45786</v>
      </c>
      <c r="C1461">
        <v>21</v>
      </c>
      <c r="D1461" t="s">
        <v>17</v>
      </c>
      <c r="E1461" t="s">
        <v>22</v>
      </c>
      <c r="F1461" t="s">
        <v>16</v>
      </c>
      <c r="H1461">
        <v>398.6</v>
      </c>
      <c r="I1461" s="13">
        <v>5</v>
      </c>
      <c r="J1461">
        <v>0</v>
      </c>
      <c r="K1461">
        <v>0</v>
      </c>
      <c r="L1461">
        <v>0</v>
      </c>
      <c r="M1461">
        <v>0</v>
      </c>
      <c r="O1461">
        <f t="shared" si="22"/>
        <v>5</v>
      </c>
    </row>
    <row r="1462" spans="1:15">
      <c r="A1462">
        <v>3448</v>
      </c>
      <c r="B1462" s="1">
        <v>45786</v>
      </c>
      <c r="C1462">
        <v>42</v>
      </c>
      <c r="D1462" t="s">
        <v>14</v>
      </c>
      <c r="E1462" t="s">
        <v>15</v>
      </c>
      <c r="F1462" t="s">
        <v>21</v>
      </c>
      <c r="H1462">
        <v>374.7</v>
      </c>
      <c r="I1462" s="13">
        <v>4</v>
      </c>
      <c r="J1462">
        <v>0</v>
      </c>
      <c r="K1462">
        <v>0</v>
      </c>
      <c r="L1462">
        <v>0</v>
      </c>
      <c r="M1462">
        <v>0</v>
      </c>
      <c r="O1462">
        <f t="shared" si="22"/>
        <v>5</v>
      </c>
    </row>
    <row r="1463" spans="1:15">
      <c r="A1463">
        <v>877</v>
      </c>
      <c r="B1463" s="1">
        <v>45786</v>
      </c>
      <c r="C1463">
        <v>28</v>
      </c>
      <c r="D1463" t="s">
        <v>14</v>
      </c>
      <c r="E1463" t="s">
        <v>20</v>
      </c>
      <c r="F1463" t="s">
        <v>18</v>
      </c>
      <c r="G1463" t="s">
        <v>30</v>
      </c>
      <c r="H1463">
        <v>315</v>
      </c>
      <c r="I1463" s="13">
        <v>5</v>
      </c>
      <c r="J1463">
        <v>0</v>
      </c>
      <c r="K1463">
        <v>0</v>
      </c>
      <c r="L1463">
        <v>0</v>
      </c>
      <c r="M1463">
        <v>0</v>
      </c>
      <c r="O1463">
        <f t="shared" si="22"/>
        <v>5</v>
      </c>
    </row>
    <row r="1464" spans="1:15">
      <c r="A1464">
        <v>1533</v>
      </c>
      <c r="B1464" s="1">
        <v>45786</v>
      </c>
      <c r="C1464">
        <v>24</v>
      </c>
      <c r="D1464" t="s">
        <v>14</v>
      </c>
      <c r="E1464" t="s">
        <v>20</v>
      </c>
      <c r="F1464" t="s">
        <v>16</v>
      </c>
      <c r="H1464">
        <v>313.7</v>
      </c>
      <c r="I1464" s="13">
        <v>7</v>
      </c>
      <c r="J1464">
        <v>0</v>
      </c>
      <c r="K1464">
        <v>0</v>
      </c>
      <c r="L1464">
        <v>0</v>
      </c>
      <c r="M1464">
        <v>0</v>
      </c>
      <c r="O1464">
        <f t="shared" si="22"/>
        <v>5</v>
      </c>
    </row>
    <row r="1465" spans="1:15">
      <c r="A1465">
        <v>2673</v>
      </c>
      <c r="B1465" s="1">
        <v>45786</v>
      </c>
      <c r="C1465">
        <v>41</v>
      </c>
      <c r="D1465" t="s">
        <v>17</v>
      </c>
      <c r="E1465" t="s">
        <v>24</v>
      </c>
      <c r="F1465" t="s">
        <v>16</v>
      </c>
      <c r="H1465">
        <v>268.2</v>
      </c>
      <c r="I1465" s="13">
        <v>3</v>
      </c>
      <c r="J1465">
        <v>0</v>
      </c>
      <c r="K1465">
        <v>0</v>
      </c>
      <c r="L1465">
        <v>0</v>
      </c>
      <c r="M1465">
        <v>0</v>
      </c>
      <c r="O1465">
        <f t="shared" si="22"/>
        <v>5</v>
      </c>
    </row>
    <row r="1466" spans="1:15">
      <c r="A1466">
        <v>4120</v>
      </c>
      <c r="B1466" s="1">
        <v>45786</v>
      </c>
      <c r="C1466">
        <v>52</v>
      </c>
      <c r="D1466" t="s">
        <v>14</v>
      </c>
      <c r="E1466" t="s">
        <v>15</v>
      </c>
      <c r="F1466" t="s">
        <v>16</v>
      </c>
      <c r="H1466">
        <v>259.2</v>
      </c>
      <c r="I1466" s="13">
        <v>5</v>
      </c>
      <c r="J1466">
        <v>0</v>
      </c>
      <c r="K1466">
        <v>0</v>
      </c>
      <c r="L1466">
        <v>0</v>
      </c>
      <c r="M1466">
        <v>0</v>
      </c>
      <c r="O1466">
        <f t="shared" si="22"/>
        <v>5</v>
      </c>
    </row>
    <row r="1467" spans="1:15">
      <c r="A1467">
        <v>4968</v>
      </c>
      <c r="B1467" s="1">
        <v>45786</v>
      </c>
      <c r="C1467">
        <v>57</v>
      </c>
      <c r="D1467" t="s">
        <v>14</v>
      </c>
      <c r="E1467" t="s">
        <v>15</v>
      </c>
      <c r="F1467" t="s">
        <v>23</v>
      </c>
      <c r="H1467">
        <v>243.1</v>
      </c>
      <c r="I1467" s="13">
        <v>9</v>
      </c>
      <c r="J1467">
        <v>0</v>
      </c>
      <c r="K1467">
        <v>0</v>
      </c>
      <c r="L1467">
        <v>0</v>
      </c>
      <c r="M1467">
        <v>0</v>
      </c>
      <c r="O1467">
        <f t="shared" si="22"/>
        <v>5</v>
      </c>
    </row>
    <row r="1468" spans="1:15">
      <c r="A1468">
        <v>2922</v>
      </c>
      <c r="B1468" s="1">
        <v>45786</v>
      </c>
      <c r="C1468">
        <v>37</v>
      </c>
      <c r="D1468" t="s">
        <v>14</v>
      </c>
      <c r="E1468" t="s">
        <v>22</v>
      </c>
      <c r="F1468" t="s">
        <v>16</v>
      </c>
      <c r="H1468">
        <v>221.1</v>
      </c>
      <c r="I1468" s="13">
        <v>3</v>
      </c>
      <c r="J1468">
        <v>0</v>
      </c>
      <c r="K1468">
        <v>0</v>
      </c>
      <c r="L1468">
        <v>0</v>
      </c>
      <c r="M1468">
        <v>0</v>
      </c>
      <c r="O1468">
        <f t="shared" si="22"/>
        <v>5</v>
      </c>
    </row>
    <row r="1469" spans="1:15">
      <c r="A1469">
        <v>3849</v>
      </c>
      <c r="B1469" s="1">
        <v>45786</v>
      </c>
      <c r="C1469">
        <v>51</v>
      </c>
      <c r="D1469" t="s">
        <v>14</v>
      </c>
      <c r="E1469" t="s">
        <v>24</v>
      </c>
      <c r="F1469" t="s">
        <v>16</v>
      </c>
      <c r="H1469">
        <v>202.4</v>
      </c>
      <c r="I1469" s="13">
        <v>12</v>
      </c>
      <c r="J1469">
        <v>0</v>
      </c>
      <c r="K1469">
        <v>0</v>
      </c>
      <c r="L1469">
        <v>0</v>
      </c>
      <c r="M1469">
        <v>0</v>
      </c>
      <c r="O1469">
        <f t="shared" si="22"/>
        <v>5</v>
      </c>
    </row>
    <row r="1470" spans="1:15">
      <c r="A1470">
        <v>4153</v>
      </c>
      <c r="B1470" s="1">
        <v>45786</v>
      </c>
      <c r="C1470">
        <v>50</v>
      </c>
      <c r="D1470" t="s">
        <v>17</v>
      </c>
      <c r="E1470" t="s">
        <v>15</v>
      </c>
      <c r="F1470" t="s">
        <v>16</v>
      </c>
      <c r="H1470">
        <v>176</v>
      </c>
      <c r="I1470" s="13">
        <v>8</v>
      </c>
      <c r="J1470">
        <v>0</v>
      </c>
      <c r="K1470">
        <v>0</v>
      </c>
      <c r="L1470">
        <v>0</v>
      </c>
      <c r="M1470">
        <v>0</v>
      </c>
      <c r="O1470">
        <f t="shared" si="22"/>
        <v>5</v>
      </c>
    </row>
    <row r="1471" spans="1:15">
      <c r="A1471">
        <v>2635</v>
      </c>
      <c r="B1471" s="1">
        <v>45786</v>
      </c>
      <c r="C1471">
        <v>30</v>
      </c>
      <c r="D1471" t="s">
        <v>14</v>
      </c>
      <c r="E1471" t="s">
        <v>15</v>
      </c>
      <c r="F1471" t="s">
        <v>18</v>
      </c>
      <c r="G1471" t="s">
        <v>29</v>
      </c>
      <c r="H1471">
        <v>153.9</v>
      </c>
      <c r="I1471" s="13">
        <v>4</v>
      </c>
      <c r="J1471">
        <v>0</v>
      </c>
      <c r="K1471">
        <v>0</v>
      </c>
      <c r="L1471">
        <v>0</v>
      </c>
      <c r="M1471">
        <v>0</v>
      </c>
      <c r="O1471">
        <f t="shared" si="22"/>
        <v>5</v>
      </c>
    </row>
    <row r="1472" spans="1:15">
      <c r="A1472">
        <v>2590</v>
      </c>
      <c r="B1472" s="1">
        <v>45786</v>
      </c>
      <c r="C1472">
        <v>39</v>
      </c>
      <c r="D1472" t="s">
        <v>14</v>
      </c>
      <c r="E1472" t="s">
        <v>22</v>
      </c>
      <c r="F1472" t="s">
        <v>23</v>
      </c>
      <c r="H1472">
        <v>119.6</v>
      </c>
      <c r="I1472" s="13">
        <v>5</v>
      </c>
      <c r="J1472">
        <v>0</v>
      </c>
      <c r="K1472">
        <v>0</v>
      </c>
      <c r="L1472">
        <v>0</v>
      </c>
      <c r="M1472">
        <v>0</v>
      </c>
      <c r="O1472">
        <f t="shared" si="22"/>
        <v>5</v>
      </c>
    </row>
    <row r="1473" spans="1:15">
      <c r="A1473">
        <v>2944</v>
      </c>
      <c r="B1473" s="1">
        <v>45786</v>
      </c>
      <c r="C1473">
        <v>28</v>
      </c>
      <c r="D1473" t="s">
        <v>14</v>
      </c>
      <c r="E1473" t="s">
        <v>24</v>
      </c>
      <c r="F1473" t="s">
        <v>18</v>
      </c>
      <c r="G1473" t="s">
        <v>26</v>
      </c>
      <c r="H1473">
        <v>111.7</v>
      </c>
      <c r="I1473" s="13">
        <v>10</v>
      </c>
      <c r="J1473">
        <v>0</v>
      </c>
      <c r="K1473">
        <v>0</v>
      </c>
      <c r="L1473">
        <v>0</v>
      </c>
      <c r="M1473">
        <v>0</v>
      </c>
      <c r="O1473">
        <f t="shared" si="22"/>
        <v>5</v>
      </c>
    </row>
    <row r="1474" spans="1:15">
      <c r="A1474">
        <v>2791</v>
      </c>
      <c r="B1474" s="1">
        <v>45786</v>
      </c>
      <c r="C1474">
        <v>36</v>
      </c>
      <c r="D1474" t="s">
        <v>14</v>
      </c>
      <c r="E1474" t="s">
        <v>22</v>
      </c>
      <c r="F1474" t="s">
        <v>18</v>
      </c>
      <c r="G1474" t="s">
        <v>28</v>
      </c>
      <c r="H1474">
        <v>69.5</v>
      </c>
      <c r="I1474" s="13">
        <v>6</v>
      </c>
      <c r="J1474">
        <v>0</v>
      </c>
      <c r="K1474">
        <v>0</v>
      </c>
      <c r="L1474">
        <v>0</v>
      </c>
      <c r="M1474">
        <v>0</v>
      </c>
      <c r="O1474">
        <f t="shared" si="22"/>
        <v>5</v>
      </c>
    </row>
    <row r="1475" spans="1:15">
      <c r="A1475">
        <v>3113</v>
      </c>
      <c r="B1475" s="1">
        <v>45786</v>
      </c>
      <c r="C1475">
        <v>36</v>
      </c>
      <c r="D1475" t="s">
        <v>17</v>
      </c>
      <c r="E1475" t="s">
        <v>15</v>
      </c>
      <c r="F1475" t="s">
        <v>16</v>
      </c>
      <c r="H1475">
        <v>56.7</v>
      </c>
      <c r="I1475" s="13">
        <v>9</v>
      </c>
      <c r="J1475">
        <v>0</v>
      </c>
      <c r="K1475">
        <v>0</v>
      </c>
      <c r="L1475">
        <v>0</v>
      </c>
      <c r="M1475">
        <v>0</v>
      </c>
      <c r="O1475">
        <f t="shared" ref="O1475:O1538" si="23">MONTH(B1475)</f>
        <v>5</v>
      </c>
    </row>
    <row r="1476" spans="1:15">
      <c r="A1476">
        <v>215</v>
      </c>
      <c r="B1476" s="1">
        <v>45786</v>
      </c>
      <c r="C1476">
        <v>28</v>
      </c>
      <c r="D1476" t="s">
        <v>17</v>
      </c>
      <c r="E1476" t="s">
        <v>22</v>
      </c>
      <c r="F1476" t="s">
        <v>18</v>
      </c>
      <c r="G1476" t="s">
        <v>28</v>
      </c>
      <c r="H1476">
        <v>45.3</v>
      </c>
      <c r="I1476" s="13">
        <v>4</v>
      </c>
      <c r="J1476">
        <v>0</v>
      </c>
      <c r="K1476">
        <v>0</v>
      </c>
      <c r="L1476">
        <v>0</v>
      </c>
      <c r="M1476">
        <v>0</v>
      </c>
      <c r="O1476">
        <f t="shared" si="23"/>
        <v>5</v>
      </c>
    </row>
    <row r="1477" spans="1:15">
      <c r="A1477">
        <v>4886</v>
      </c>
      <c r="B1477" s="1">
        <v>45817</v>
      </c>
      <c r="C1477">
        <v>53</v>
      </c>
      <c r="D1477" t="s">
        <v>14</v>
      </c>
      <c r="E1477" t="s">
        <v>22</v>
      </c>
      <c r="F1477" t="s">
        <v>23</v>
      </c>
      <c r="H1477">
        <v>376.7</v>
      </c>
      <c r="I1477" s="13">
        <v>4</v>
      </c>
      <c r="J1477">
        <v>1</v>
      </c>
      <c r="K1477">
        <v>136.75</v>
      </c>
      <c r="L1477">
        <v>2</v>
      </c>
      <c r="M1477">
        <v>13</v>
      </c>
      <c r="N1477">
        <v>3</v>
      </c>
      <c r="O1477">
        <f t="shared" si="23"/>
        <v>6</v>
      </c>
    </row>
    <row r="1478" spans="1:15">
      <c r="A1478">
        <v>3393</v>
      </c>
      <c r="B1478" s="1">
        <v>45817</v>
      </c>
      <c r="C1478">
        <v>37</v>
      </c>
      <c r="D1478" t="s">
        <v>17</v>
      </c>
      <c r="E1478" t="s">
        <v>15</v>
      </c>
      <c r="F1478" t="s">
        <v>16</v>
      </c>
      <c r="H1478">
        <v>721.7</v>
      </c>
      <c r="I1478" s="13">
        <v>5</v>
      </c>
      <c r="J1478">
        <v>1</v>
      </c>
      <c r="K1478">
        <v>103.28</v>
      </c>
      <c r="L1478">
        <v>3</v>
      </c>
      <c r="M1478">
        <v>3</v>
      </c>
      <c r="N1478">
        <v>5</v>
      </c>
      <c r="O1478">
        <f t="shared" si="23"/>
        <v>6</v>
      </c>
    </row>
    <row r="1479" spans="1:15">
      <c r="A1479">
        <v>1849</v>
      </c>
      <c r="B1479" s="1">
        <v>45817</v>
      </c>
      <c r="C1479">
        <v>22</v>
      </c>
      <c r="D1479" t="s">
        <v>17</v>
      </c>
      <c r="E1479" t="s">
        <v>22</v>
      </c>
      <c r="F1479" t="s">
        <v>23</v>
      </c>
      <c r="H1479">
        <v>807.1</v>
      </c>
      <c r="I1479" s="13">
        <v>5</v>
      </c>
      <c r="J1479">
        <v>1</v>
      </c>
      <c r="K1479">
        <v>95.84</v>
      </c>
      <c r="L1479">
        <v>2</v>
      </c>
      <c r="M1479">
        <v>2</v>
      </c>
      <c r="N1479">
        <v>4</v>
      </c>
      <c r="O1479">
        <f t="shared" si="23"/>
        <v>6</v>
      </c>
    </row>
    <row r="1480" spans="1:15">
      <c r="A1480">
        <v>3885</v>
      </c>
      <c r="B1480" s="1">
        <v>45817</v>
      </c>
      <c r="C1480">
        <v>49</v>
      </c>
      <c r="D1480" t="s">
        <v>17</v>
      </c>
      <c r="E1480" t="s">
        <v>22</v>
      </c>
      <c r="F1480" t="s">
        <v>18</v>
      </c>
      <c r="G1480" t="s">
        <v>26</v>
      </c>
      <c r="H1480">
        <v>474.3</v>
      </c>
      <c r="I1480" s="13">
        <v>8</v>
      </c>
      <c r="J1480">
        <v>1</v>
      </c>
      <c r="K1480">
        <v>76.41</v>
      </c>
      <c r="L1480">
        <v>3</v>
      </c>
      <c r="M1480">
        <v>14</v>
      </c>
      <c r="N1480">
        <v>4</v>
      </c>
      <c r="O1480">
        <f t="shared" si="23"/>
        <v>6</v>
      </c>
    </row>
    <row r="1481" spans="1:15">
      <c r="A1481">
        <v>4819</v>
      </c>
      <c r="B1481" s="1">
        <v>45817</v>
      </c>
      <c r="C1481">
        <v>60</v>
      </c>
      <c r="D1481" t="s">
        <v>14</v>
      </c>
      <c r="E1481" t="s">
        <v>22</v>
      </c>
      <c r="F1481" t="s">
        <v>16</v>
      </c>
      <c r="H1481">
        <v>1570.2</v>
      </c>
      <c r="I1481" s="13">
        <v>4</v>
      </c>
      <c r="J1481">
        <v>1</v>
      </c>
      <c r="K1481">
        <v>72.02</v>
      </c>
      <c r="L1481">
        <v>3</v>
      </c>
      <c r="M1481">
        <v>9</v>
      </c>
      <c r="N1481">
        <v>4</v>
      </c>
      <c r="O1481">
        <f t="shared" si="23"/>
        <v>6</v>
      </c>
    </row>
    <row r="1482" spans="1:15">
      <c r="A1482">
        <v>4017</v>
      </c>
      <c r="B1482" s="1">
        <v>45817</v>
      </c>
      <c r="C1482">
        <v>51</v>
      </c>
      <c r="D1482" t="s">
        <v>14</v>
      </c>
      <c r="E1482" t="s">
        <v>22</v>
      </c>
      <c r="F1482" t="s">
        <v>18</v>
      </c>
      <c r="G1482" t="s">
        <v>28</v>
      </c>
      <c r="H1482">
        <v>1187.7</v>
      </c>
      <c r="I1482" s="13">
        <v>4</v>
      </c>
      <c r="J1482">
        <v>1</v>
      </c>
      <c r="K1482">
        <v>70.959999999999994</v>
      </c>
      <c r="L1482">
        <v>4</v>
      </c>
      <c r="M1482">
        <v>10</v>
      </c>
      <c r="N1482">
        <v>4</v>
      </c>
      <c r="O1482">
        <f t="shared" si="23"/>
        <v>6</v>
      </c>
    </row>
    <row r="1483" spans="1:15">
      <c r="A1483">
        <v>199</v>
      </c>
      <c r="B1483" s="1">
        <v>45817</v>
      </c>
      <c r="C1483">
        <v>28</v>
      </c>
      <c r="D1483" t="s">
        <v>17</v>
      </c>
      <c r="E1483" t="s">
        <v>20</v>
      </c>
      <c r="F1483" t="s">
        <v>16</v>
      </c>
      <c r="H1483">
        <v>341.4</v>
      </c>
      <c r="I1483" s="13">
        <v>7</v>
      </c>
      <c r="J1483">
        <v>1</v>
      </c>
      <c r="K1483">
        <v>61.42</v>
      </c>
      <c r="L1483">
        <v>3</v>
      </c>
      <c r="M1483">
        <v>5</v>
      </c>
      <c r="N1483">
        <v>5</v>
      </c>
      <c r="O1483">
        <f t="shared" si="23"/>
        <v>6</v>
      </c>
    </row>
    <row r="1484" spans="1:15">
      <c r="A1484">
        <v>1736</v>
      </c>
      <c r="B1484" s="1">
        <v>45817</v>
      </c>
      <c r="C1484">
        <v>32</v>
      </c>
      <c r="D1484" t="s">
        <v>14</v>
      </c>
      <c r="E1484" t="s">
        <v>15</v>
      </c>
      <c r="F1484" t="s">
        <v>18</v>
      </c>
      <c r="G1484" t="s">
        <v>26</v>
      </c>
      <c r="H1484">
        <v>343.6</v>
      </c>
      <c r="I1484" s="13">
        <v>3</v>
      </c>
      <c r="J1484">
        <v>1</v>
      </c>
      <c r="K1484">
        <v>51.34</v>
      </c>
      <c r="L1484">
        <v>4</v>
      </c>
      <c r="M1484">
        <v>9</v>
      </c>
      <c r="N1484">
        <v>5</v>
      </c>
      <c r="O1484">
        <f t="shared" si="23"/>
        <v>6</v>
      </c>
    </row>
    <row r="1485" spans="1:15">
      <c r="A1485">
        <v>2430</v>
      </c>
      <c r="B1485" s="1">
        <v>45817</v>
      </c>
      <c r="C1485">
        <v>33</v>
      </c>
      <c r="D1485" t="s">
        <v>14</v>
      </c>
      <c r="E1485" t="s">
        <v>22</v>
      </c>
      <c r="F1485" t="s">
        <v>16</v>
      </c>
      <c r="H1485">
        <v>187.1</v>
      </c>
      <c r="I1485" s="13">
        <v>6</v>
      </c>
      <c r="J1485">
        <v>1</v>
      </c>
      <c r="K1485">
        <v>29.45</v>
      </c>
      <c r="L1485">
        <v>3</v>
      </c>
      <c r="M1485">
        <v>12</v>
      </c>
      <c r="N1485">
        <v>3</v>
      </c>
      <c r="O1485">
        <f t="shared" si="23"/>
        <v>6</v>
      </c>
    </row>
    <row r="1486" spans="1:15">
      <c r="A1486">
        <v>4676</v>
      </c>
      <c r="B1486" s="1">
        <v>45817</v>
      </c>
      <c r="C1486">
        <v>57</v>
      </c>
      <c r="D1486" t="s">
        <v>17</v>
      </c>
      <c r="E1486" t="s">
        <v>15</v>
      </c>
      <c r="F1486" t="s">
        <v>18</v>
      </c>
      <c r="G1486" t="s">
        <v>26</v>
      </c>
      <c r="H1486">
        <v>603.20000000000005</v>
      </c>
      <c r="I1486" s="13">
        <v>8</v>
      </c>
      <c r="J1486">
        <v>1</v>
      </c>
      <c r="K1486">
        <v>29.34</v>
      </c>
      <c r="L1486">
        <v>1</v>
      </c>
      <c r="M1486">
        <v>5</v>
      </c>
      <c r="N1486">
        <v>4</v>
      </c>
      <c r="O1486">
        <f t="shared" si="23"/>
        <v>6</v>
      </c>
    </row>
    <row r="1487" spans="1:15">
      <c r="A1487">
        <v>4860</v>
      </c>
      <c r="B1487" s="1">
        <v>45817</v>
      </c>
      <c r="C1487">
        <v>38</v>
      </c>
      <c r="D1487" t="s">
        <v>17</v>
      </c>
      <c r="E1487" t="s">
        <v>24</v>
      </c>
      <c r="F1487" t="s">
        <v>18</v>
      </c>
      <c r="G1487" t="s">
        <v>29</v>
      </c>
      <c r="H1487">
        <v>571.29999999999995</v>
      </c>
      <c r="I1487" s="13">
        <v>7</v>
      </c>
      <c r="J1487">
        <v>0</v>
      </c>
      <c r="K1487">
        <v>0</v>
      </c>
      <c r="L1487">
        <v>0</v>
      </c>
      <c r="M1487">
        <v>0</v>
      </c>
      <c r="O1487">
        <f t="shared" si="23"/>
        <v>6</v>
      </c>
    </row>
    <row r="1488" spans="1:15">
      <c r="A1488">
        <v>3498</v>
      </c>
      <c r="B1488" s="1">
        <v>45817</v>
      </c>
      <c r="C1488">
        <v>40</v>
      </c>
      <c r="D1488" t="s">
        <v>17</v>
      </c>
      <c r="E1488" t="s">
        <v>24</v>
      </c>
      <c r="F1488" t="s">
        <v>16</v>
      </c>
      <c r="H1488">
        <v>479.3</v>
      </c>
      <c r="I1488" s="13">
        <v>5</v>
      </c>
      <c r="J1488">
        <v>0</v>
      </c>
      <c r="K1488">
        <v>0</v>
      </c>
      <c r="L1488">
        <v>0</v>
      </c>
      <c r="M1488">
        <v>0</v>
      </c>
      <c r="O1488">
        <f t="shared" si="23"/>
        <v>6</v>
      </c>
    </row>
    <row r="1489" spans="1:15">
      <c r="A1489">
        <v>2582</v>
      </c>
      <c r="B1489" s="1">
        <v>45817</v>
      </c>
      <c r="C1489">
        <v>41</v>
      </c>
      <c r="D1489" t="s">
        <v>17</v>
      </c>
      <c r="E1489" t="s">
        <v>15</v>
      </c>
      <c r="F1489" t="s">
        <v>16</v>
      </c>
      <c r="H1489">
        <v>429.4</v>
      </c>
      <c r="I1489" s="13">
        <v>9</v>
      </c>
      <c r="J1489">
        <v>0</v>
      </c>
      <c r="K1489">
        <v>0</v>
      </c>
      <c r="L1489">
        <v>0</v>
      </c>
      <c r="M1489">
        <v>0</v>
      </c>
      <c r="O1489">
        <f t="shared" si="23"/>
        <v>6</v>
      </c>
    </row>
    <row r="1490" spans="1:15">
      <c r="A1490">
        <v>4554</v>
      </c>
      <c r="B1490" s="1">
        <v>45817</v>
      </c>
      <c r="C1490">
        <v>57</v>
      </c>
      <c r="D1490" t="s">
        <v>17</v>
      </c>
      <c r="E1490" t="s">
        <v>15</v>
      </c>
      <c r="F1490" t="s">
        <v>16</v>
      </c>
      <c r="H1490">
        <v>373.6</v>
      </c>
      <c r="I1490" s="13">
        <v>5</v>
      </c>
      <c r="J1490">
        <v>0</v>
      </c>
      <c r="K1490">
        <v>0</v>
      </c>
      <c r="L1490">
        <v>0</v>
      </c>
      <c r="M1490">
        <v>0</v>
      </c>
      <c r="O1490">
        <f t="shared" si="23"/>
        <v>6</v>
      </c>
    </row>
    <row r="1491" spans="1:15">
      <c r="A1491">
        <v>3706</v>
      </c>
      <c r="B1491" s="1">
        <v>45817</v>
      </c>
      <c r="C1491">
        <v>51</v>
      </c>
      <c r="D1491" t="s">
        <v>17</v>
      </c>
      <c r="E1491" t="s">
        <v>20</v>
      </c>
      <c r="F1491" t="s">
        <v>21</v>
      </c>
      <c r="H1491">
        <v>365.1</v>
      </c>
      <c r="I1491" s="13">
        <v>8</v>
      </c>
      <c r="J1491">
        <v>0</v>
      </c>
      <c r="K1491">
        <v>0</v>
      </c>
      <c r="L1491">
        <v>0</v>
      </c>
      <c r="M1491">
        <v>0</v>
      </c>
      <c r="O1491">
        <f t="shared" si="23"/>
        <v>6</v>
      </c>
    </row>
    <row r="1492" spans="1:15">
      <c r="A1492">
        <v>2512</v>
      </c>
      <c r="B1492" s="1">
        <v>45817</v>
      </c>
      <c r="C1492">
        <v>30</v>
      </c>
      <c r="D1492" t="s">
        <v>27</v>
      </c>
      <c r="E1492" t="s">
        <v>24</v>
      </c>
      <c r="F1492" t="s">
        <v>16</v>
      </c>
      <c r="H1492">
        <v>357.4</v>
      </c>
      <c r="I1492" s="13">
        <v>2</v>
      </c>
      <c r="J1492">
        <v>0</v>
      </c>
      <c r="K1492">
        <v>0</v>
      </c>
      <c r="L1492">
        <v>0</v>
      </c>
      <c r="M1492">
        <v>0</v>
      </c>
      <c r="O1492">
        <f t="shared" si="23"/>
        <v>6</v>
      </c>
    </row>
    <row r="1493" spans="1:15">
      <c r="A1493">
        <v>1554</v>
      </c>
      <c r="B1493" s="1">
        <v>45817</v>
      </c>
      <c r="C1493">
        <v>19</v>
      </c>
      <c r="D1493" t="s">
        <v>14</v>
      </c>
      <c r="E1493" t="s">
        <v>22</v>
      </c>
      <c r="F1493" t="s">
        <v>18</v>
      </c>
      <c r="G1493" t="s">
        <v>28</v>
      </c>
      <c r="H1493">
        <v>323.5</v>
      </c>
      <c r="I1493" s="13">
        <v>7</v>
      </c>
      <c r="J1493">
        <v>0</v>
      </c>
      <c r="K1493">
        <v>0</v>
      </c>
      <c r="L1493">
        <v>0</v>
      </c>
      <c r="M1493">
        <v>0</v>
      </c>
      <c r="O1493">
        <f t="shared" si="23"/>
        <v>6</v>
      </c>
    </row>
    <row r="1494" spans="1:15">
      <c r="A1494">
        <v>428</v>
      </c>
      <c r="B1494" s="1">
        <v>45817</v>
      </c>
      <c r="C1494">
        <v>26</v>
      </c>
      <c r="D1494" t="s">
        <v>14</v>
      </c>
      <c r="E1494" t="s">
        <v>20</v>
      </c>
      <c r="F1494" t="s">
        <v>16</v>
      </c>
      <c r="H1494">
        <v>314.3</v>
      </c>
      <c r="I1494" s="13">
        <v>15</v>
      </c>
      <c r="J1494">
        <v>0</v>
      </c>
      <c r="K1494">
        <v>0</v>
      </c>
      <c r="L1494">
        <v>0</v>
      </c>
      <c r="M1494">
        <v>0</v>
      </c>
      <c r="O1494">
        <f t="shared" si="23"/>
        <v>6</v>
      </c>
    </row>
    <row r="1495" spans="1:15">
      <c r="A1495">
        <v>4911</v>
      </c>
      <c r="B1495" s="1">
        <v>45817</v>
      </c>
      <c r="C1495">
        <v>33</v>
      </c>
      <c r="D1495" t="s">
        <v>17</v>
      </c>
      <c r="E1495" t="s">
        <v>22</v>
      </c>
      <c r="F1495" t="s">
        <v>23</v>
      </c>
      <c r="H1495">
        <v>285.39999999999998</v>
      </c>
      <c r="I1495" s="13">
        <v>5</v>
      </c>
      <c r="J1495">
        <v>0</v>
      </c>
      <c r="K1495">
        <v>0</v>
      </c>
      <c r="L1495">
        <v>0</v>
      </c>
      <c r="M1495">
        <v>0</v>
      </c>
      <c r="O1495">
        <f t="shared" si="23"/>
        <v>6</v>
      </c>
    </row>
    <row r="1496" spans="1:15">
      <c r="A1496">
        <v>89</v>
      </c>
      <c r="B1496" s="1">
        <v>45817</v>
      </c>
      <c r="C1496">
        <v>29</v>
      </c>
      <c r="D1496" t="s">
        <v>14</v>
      </c>
      <c r="E1496" t="s">
        <v>15</v>
      </c>
      <c r="F1496" t="s">
        <v>21</v>
      </c>
      <c r="H1496">
        <v>224.6</v>
      </c>
      <c r="I1496" s="13">
        <v>6</v>
      </c>
      <c r="J1496">
        <v>0</v>
      </c>
      <c r="K1496">
        <v>0</v>
      </c>
      <c r="L1496">
        <v>0</v>
      </c>
      <c r="M1496">
        <v>0</v>
      </c>
      <c r="O1496">
        <f t="shared" si="23"/>
        <v>6</v>
      </c>
    </row>
    <row r="1497" spans="1:15">
      <c r="A1497">
        <v>1917</v>
      </c>
      <c r="B1497" s="1">
        <v>45817</v>
      </c>
      <c r="C1497">
        <v>33</v>
      </c>
      <c r="D1497" t="s">
        <v>17</v>
      </c>
      <c r="E1497" t="s">
        <v>20</v>
      </c>
      <c r="F1497" t="s">
        <v>16</v>
      </c>
      <c r="H1497">
        <v>181</v>
      </c>
      <c r="I1497" s="13">
        <v>8</v>
      </c>
      <c r="J1497">
        <v>0</v>
      </c>
      <c r="K1497">
        <v>0</v>
      </c>
      <c r="L1497">
        <v>0</v>
      </c>
      <c r="M1497">
        <v>0</v>
      </c>
      <c r="O1497">
        <f t="shared" si="23"/>
        <v>6</v>
      </c>
    </row>
    <row r="1498" spans="1:15">
      <c r="A1498">
        <v>1045</v>
      </c>
      <c r="B1498" s="1">
        <v>45817</v>
      </c>
      <c r="C1498">
        <v>24</v>
      </c>
      <c r="D1498" t="s">
        <v>17</v>
      </c>
      <c r="E1498" t="s">
        <v>22</v>
      </c>
      <c r="F1498" t="s">
        <v>18</v>
      </c>
      <c r="G1498" t="s">
        <v>26</v>
      </c>
      <c r="H1498">
        <v>162.1</v>
      </c>
      <c r="I1498" s="13">
        <v>7</v>
      </c>
      <c r="J1498">
        <v>0</v>
      </c>
      <c r="K1498">
        <v>0</v>
      </c>
      <c r="L1498">
        <v>0</v>
      </c>
      <c r="M1498">
        <v>0</v>
      </c>
      <c r="O1498">
        <f t="shared" si="23"/>
        <v>6</v>
      </c>
    </row>
    <row r="1499" spans="1:15">
      <c r="A1499">
        <v>3750</v>
      </c>
      <c r="B1499" s="1">
        <v>45817</v>
      </c>
      <c r="C1499">
        <v>30</v>
      </c>
      <c r="D1499" t="s">
        <v>14</v>
      </c>
      <c r="E1499" t="s">
        <v>20</v>
      </c>
      <c r="F1499" t="s">
        <v>16</v>
      </c>
      <c r="H1499">
        <v>154.69999999999999</v>
      </c>
      <c r="I1499" s="13">
        <v>4</v>
      </c>
      <c r="J1499">
        <v>0</v>
      </c>
      <c r="K1499">
        <v>0</v>
      </c>
      <c r="L1499">
        <v>0</v>
      </c>
      <c r="M1499">
        <v>0</v>
      </c>
      <c r="O1499">
        <f t="shared" si="23"/>
        <v>6</v>
      </c>
    </row>
    <row r="1500" spans="1:15">
      <c r="A1500">
        <v>1103</v>
      </c>
      <c r="B1500" s="1">
        <v>45817</v>
      </c>
      <c r="C1500">
        <v>29</v>
      </c>
      <c r="D1500" t="s">
        <v>17</v>
      </c>
      <c r="E1500" t="s">
        <v>15</v>
      </c>
      <c r="F1500" t="s">
        <v>16</v>
      </c>
      <c r="H1500">
        <v>92.5</v>
      </c>
      <c r="I1500" s="13">
        <v>4</v>
      </c>
      <c r="J1500">
        <v>0</v>
      </c>
      <c r="K1500">
        <v>0</v>
      </c>
      <c r="L1500">
        <v>0</v>
      </c>
      <c r="M1500">
        <v>0</v>
      </c>
      <c r="O1500">
        <f t="shared" si="23"/>
        <v>6</v>
      </c>
    </row>
    <row r="1501" spans="1:15">
      <c r="A1501">
        <v>1121</v>
      </c>
      <c r="B1501" s="1">
        <v>45817</v>
      </c>
      <c r="C1501">
        <v>23</v>
      </c>
      <c r="D1501" t="s">
        <v>17</v>
      </c>
      <c r="E1501" t="s">
        <v>24</v>
      </c>
      <c r="F1501" t="s">
        <v>16</v>
      </c>
      <c r="H1501">
        <v>59.2</v>
      </c>
      <c r="I1501" s="13">
        <v>4</v>
      </c>
      <c r="J1501">
        <v>0</v>
      </c>
      <c r="K1501">
        <v>0</v>
      </c>
      <c r="L1501">
        <v>0</v>
      </c>
      <c r="M1501">
        <v>0</v>
      </c>
      <c r="O1501">
        <f t="shared" si="23"/>
        <v>6</v>
      </c>
    </row>
    <row r="1502" spans="1:15">
      <c r="A1502">
        <v>4722</v>
      </c>
      <c r="B1502" s="1">
        <v>45667</v>
      </c>
      <c r="C1502">
        <v>67</v>
      </c>
      <c r="D1502" t="s">
        <v>17</v>
      </c>
      <c r="E1502" t="s">
        <v>24</v>
      </c>
      <c r="F1502" t="s">
        <v>18</v>
      </c>
      <c r="G1502" t="s">
        <v>28</v>
      </c>
      <c r="H1502">
        <v>179.3</v>
      </c>
      <c r="I1502" s="13">
        <v>5</v>
      </c>
      <c r="J1502">
        <v>1</v>
      </c>
      <c r="K1502">
        <v>85.46</v>
      </c>
      <c r="L1502">
        <v>3</v>
      </c>
      <c r="M1502">
        <v>14</v>
      </c>
      <c r="N1502">
        <v>5</v>
      </c>
      <c r="O1502">
        <f t="shared" si="23"/>
        <v>1</v>
      </c>
    </row>
    <row r="1503" spans="1:15">
      <c r="A1503">
        <v>301</v>
      </c>
      <c r="B1503" s="1">
        <v>45667</v>
      </c>
      <c r="C1503">
        <v>22</v>
      </c>
      <c r="D1503" t="s">
        <v>14</v>
      </c>
      <c r="E1503" t="s">
        <v>15</v>
      </c>
      <c r="F1503" t="s">
        <v>23</v>
      </c>
      <c r="H1503">
        <v>486.7</v>
      </c>
      <c r="I1503" s="13">
        <v>7</v>
      </c>
      <c r="J1503">
        <v>1</v>
      </c>
      <c r="K1503">
        <v>55.13</v>
      </c>
      <c r="L1503">
        <v>3</v>
      </c>
      <c r="M1503">
        <v>11</v>
      </c>
      <c r="N1503">
        <v>4</v>
      </c>
      <c r="O1503">
        <f t="shared" si="23"/>
        <v>1</v>
      </c>
    </row>
    <row r="1504" spans="1:15">
      <c r="A1504">
        <v>3663</v>
      </c>
      <c r="B1504" s="1">
        <v>45667</v>
      </c>
      <c r="C1504">
        <v>37</v>
      </c>
      <c r="D1504" t="s">
        <v>17</v>
      </c>
      <c r="E1504" t="s">
        <v>15</v>
      </c>
      <c r="F1504" t="s">
        <v>16</v>
      </c>
      <c r="H1504">
        <v>461.5</v>
      </c>
      <c r="I1504" s="13">
        <v>4</v>
      </c>
      <c r="J1504">
        <v>1</v>
      </c>
      <c r="K1504">
        <v>43.3</v>
      </c>
      <c r="L1504">
        <v>4</v>
      </c>
      <c r="M1504">
        <v>5</v>
      </c>
      <c r="N1504">
        <v>4</v>
      </c>
      <c r="O1504">
        <f t="shared" si="23"/>
        <v>1</v>
      </c>
    </row>
    <row r="1505" spans="1:15">
      <c r="A1505">
        <v>1303</v>
      </c>
      <c r="B1505" s="1">
        <v>45667</v>
      </c>
      <c r="C1505">
        <v>30</v>
      </c>
      <c r="D1505" t="s">
        <v>14</v>
      </c>
      <c r="E1505" t="s">
        <v>15</v>
      </c>
      <c r="F1505" t="s">
        <v>16</v>
      </c>
      <c r="H1505">
        <v>316.5</v>
      </c>
      <c r="I1505" s="13">
        <v>4</v>
      </c>
      <c r="J1505">
        <v>1</v>
      </c>
      <c r="K1505">
        <v>39.909999999999997</v>
      </c>
      <c r="L1505">
        <v>2</v>
      </c>
      <c r="M1505">
        <v>6</v>
      </c>
      <c r="N1505">
        <v>5</v>
      </c>
      <c r="O1505">
        <f t="shared" si="23"/>
        <v>1</v>
      </c>
    </row>
    <row r="1506" spans="1:15">
      <c r="A1506">
        <v>2602</v>
      </c>
      <c r="B1506" s="1">
        <v>45667</v>
      </c>
      <c r="C1506">
        <v>34</v>
      </c>
      <c r="D1506" t="s">
        <v>14</v>
      </c>
      <c r="E1506" t="s">
        <v>20</v>
      </c>
      <c r="F1506" t="s">
        <v>23</v>
      </c>
      <c r="H1506">
        <v>468.4</v>
      </c>
      <c r="I1506" s="13">
        <v>3</v>
      </c>
      <c r="J1506">
        <v>1</v>
      </c>
      <c r="K1506">
        <v>25.24</v>
      </c>
      <c r="L1506">
        <v>3</v>
      </c>
      <c r="M1506">
        <v>6</v>
      </c>
      <c r="N1506">
        <v>5</v>
      </c>
      <c r="O1506">
        <f t="shared" si="23"/>
        <v>1</v>
      </c>
    </row>
    <row r="1507" spans="1:15">
      <c r="A1507">
        <v>3810</v>
      </c>
      <c r="B1507" s="1">
        <v>45667</v>
      </c>
      <c r="C1507">
        <v>53</v>
      </c>
      <c r="D1507" t="s">
        <v>27</v>
      </c>
      <c r="E1507" t="s">
        <v>20</v>
      </c>
      <c r="F1507" t="s">
        <v>21</v>
      </c>
      <c r="H1507">
        <v>105</v>
      </c>
      <c r="I1507" s="13">
        <v>6</v>
      </c>
      <c r="J1507">
        <v>1</v>
      </c>
      <c r="K1507">
        <v>22.33</v>
      </c>
      <c r="L1507">
        <v>2</v>
      </c>
      <c r="M1507">
        <v>6</v>
      </c>
      <c r="N1507">
        <v>3</v>
      </c>
      <c r="O1507">
        <f t="shared" si="23"/>
        <v>1</v>
      </c>
    </row>
    <row r="1508" spans="1:15">
      <c r="A1508">
        <v>3979</v>
      </c>
      <c r="B1508" s="1">
        <v>45667</v>
      </c>
      <c r="C1508">
        <v>63</v>
      </c>
      <c r="D1508" t="s">
        <v>27</v>
      </c>
      <c r="E1508" t="s">
        <v>24</v>
      </c>
      <c r="F1508" t="s">
        <v>18</v>
      </c>
      <c r="G1508" t="s">
        <v>25</v>
      </c>
      <c r="H1508">
        <v>122</v>
      </c>
      <c r="I1508" s="13">
        <v>5</v>
      </c>
      <c r="J1508">
        <v>1</v>
      </c>
      <c r="K1508">
        <v>18.420000000000002</v>
      </c>
      <c r="L1508">
        <v>4</v>
      </c>
      <c r="M1508">
        <v>9</v>
      </c>
      <c r="N1508">
        <v>3</v>
      </c>
      <c r="O1508">
        <f t="shared" si="23"/>
        <v>1</v>
      </c>
    </row>
    <row r="1509" spans="1:15">
      <c r="A1509">
        <v>2024</v>
      </c>
      <c r="B1509" s="1">
        <v>45667</v>
      </c>
      <c r="C1509">
        <v>36</v>
      </c>
      <c r="D1509" t="s">
        <v>14</v>
      </c>
      <c r="E1509" t="s">
        <v>24</v>
      </c>
      <c r="F1509" t="s">
        <v>16</v>
      </c>
      <c r="H1509">
        <v>660.8</v>
      </c>
      <c r="I1509" s="13">
        <v>6</v>
      </c>
      <c r="J1509">
        <v>0</v>
      </c>
      <c r="K1509">
        <v>0</v>
      </c>
      <c r="L1509">
        <v>0</v>
      </c>
      <c r="M1509">
        <v>0</v>
      </c>
      <c r="O1509">
        <f t="shared" si="23"/>
        <v>1</v>
      </c>
    </row>
    <row r="1510" spans="1:15">
      <c r="A1510">
        <v>3488</v>
      </c>
      <c r="B1510" s="1">
        <v>45667</v>
      </c>
      <c r="C1510">
        <v>23</v>
      </c>
      <c r="D1510" t="s">
        <v>17</v>
      </c>
      <c r="E1510" t="s">
        <v>15</v>
      </c>
      <c r="F1510" t="s">
        <v>23</v>
      </c>
      <c r="H1510">
        <v>603.4</v>
      </c>
      <c r="I1510" s="13">
        <v>3</v>
      </c>
      <c r="J1510">
        <v>0</v>
      </c>
      <c r="K1510">
        <v>0</v>
      </c>
      <c r="L1510">
        <v>0</v>
      </c>
      <c r="M1510">
        <v>0</v>
      </c>
      <c r="O1510">
        <f t="shared" si="23"/>
        <v>1</v>
      </c>
    </row>
    <row r="1511" spans="1:15">
      <c r="A1511">
        <v>2906</v>
      </c>
      <c r="B1511" s="1">
        <v>45667</v>
      </c>
      <c r="C1511">
        <v>39</v>
      </c>
      <c r="D1511" t="s">
        <v>14</v>
      </c>
      <c r="E1511" t="s">
        <v>15</v>
      </c>
      <c r="F1511" t="s">
        <v>18</v>
      </c>
      <c r="G1511" t="s">
        <v>19</v>
      </c>
      <c r="H1511">
        <v>515.79999999999995</v>
      </c>
      <c r="I1511" s="13">
        <v>6</v>
      </c>
      <c r="J1511">
        <v>0</v>
      </c>
      <c r="K1511">
        <v>0</v>
      </c>
      <c r="L1511">
        <v>0</v>
      </c>
      <c r="M1511">
        <v>0</v>
      </c>
      <c r="O1511">
        <f t="shared" si="23"/>
        <v>1</v>
      </c>
    </row>
    <row r="1512" spans="1:15">
      <c r="A1512">
        <v>4108</v>
      </c>
      <c r="B1512" s="1">
        <v>45667</v>
      </c>
      <c r="C1512">
        <v>51</v>
      </c>
      <c r="D1512" t="s">
        <v>14</v>
      </c>
      <c r="E1512" t="s">
        <v>20</v>
      </c>
      <c r="F1512" t="s">
        <v>18</v>
      </c>
      <c r="G1512" t="s">
        <v>25</v>
      </c>
      <c r="H1512">
        <v>515.29999999999995</v>
      </c>
      <c r="I1512" s="13">
        <v>8</v>
      </c>
      <c r="J1512">
        <v>0</v>
      </c>
      <c r="K1512">
        <v>0</v>
      </c>
      <c r="L1512">
        <v>0</v>
      </c>
      <c r="M1512">
        <v>0</v>
      </c>
      <c r="O1512">
        <f t="shared" si="23"/>
        <v>1</v>
      </c>
    </row>
    <row r="1513" spans="1:15">
      <c r="A1513">
        <v>3994</v>
      </c>
      <c r="B1513" s="1">
        <v>45667</v>
      </c>
      <c r="C1513">
        <v>58</v>
      </c>
      <c r="D1513" t="s">
        <v>17</v>
      </c>
      <c r="E1513" t="s">
        <v>20</v>
      </c>
      <c r="F1513" t="s">
        <v>16</v>
      </c>
      <c r="H1513">
        <v>513.70000000000005</v>
      </c>
      <c r="I1513" s="13">
        <v>12</v>
      </c>
      <c r="J1513">
        <v>0</v>
      </c>
      <c r="K1513">
        <v>0</v>
      </c>
      <c r="L1513">
        <v>0</v>
      </c>
      <c r="M1513">
        <v>0</v>
      </c>
      <c r="O1513">
        <f t="shared" si="23"/>
        <v>1</v>
      </c>
    </row>
    <row r="1514" spans="1:15">
      <c r="A1514">
        <v>4651</v>
      </c>
      <c r="B1514" s="1">
        <v>45667</v>
      </c>
      <c r="C1514">
        <v>69</v>
      </c>
      <c r="D1514" t="s">
        <v>17</v>
      </c>
      <c r="E1514" t="s">
        <v>15</v>
      </c>
      <c r="F1514" t="s">
        <v>16</v>
      </c>
      <c r="H1514">
        <v>503.4</v>
      </c>
      <c r="I1514" s="13">
        <v>5</v>
      </c>
      <c r="J1514">
        <v>0</v>
      </c>
      <c r="K1514">
        <v>0</v>
      </c>
      <c r="L1514">
        <v>0</v>
      </c>
      <c r="M1514">
        <v>0</v>
      </c>
      <c r="O1514">
        <f t="shared" si="23"/>
        <v>1</v>
      </c>
    </row>
    <row r="1515" spans="1:15">
      <c r="A1515">
        <v>2330</v>
      </c>
      <c r="B1515" s="1">
        <v>45667</v>
      </c>
      <c r="C1515">
        <v>41</v>
      </c>
      <c r="D1515" t="s">
        <v>14</v>
      </c>
      <c r="E1515" t="s">
        <v>15</v>
      </c>
      <c r="F1515" t="s">
        <v>16</v>
      </c>
      <c r="H1515">
        <v>502.3</v>
      </c>
      <c r="I1515" s="13">
        <v>3</v>
      </c>
      <c r="J1515">
        <v>0</v>
      </c>
      <c r="K1515">
        <v>0</v>
      </c>
      <c r="L1515">
        <v>0</v>
      </c>
      <c r="M1515">
        <v>0</v>
      </c>
      <c r="O1515">
        <f t="shared" si="23"/>
        <v>1</v>
      </c>
    </row>
    <row r="1516" spans="1:15">
      <c r="A1516">
        <v>4373</v>
      </c>
      <c r="B1516" s="1">
        <v>45667</v>
      </c>
      <c r="C1516">
        <v>59</v>
      </c>
      <c r="D1516" t="s">
        <v>14</v>
      </c>
      <c r="E1516" t="s">
        <v>22</v>
      </c>
      <c r="F1516" t="s">
        <v>16</v>
      </c>
      <c r="H1516">
        <v>427.5</v>
      </c>
      <c r="I1516" s="13">
        <v>5</v>
      </c>
      <c r="J1516">
        <v>0</v>
      </c>
      <c r="K1516">
        <v>0</v>
      </c>
      <c r="L1516">
        <v>0</v>
      </c>
      <c r="M1516">
        <v>0</v>
      </c>
      <c r="O1516">
        <f t="shared" si="23"/>
        <v>1</v>
      </c>
    </row>
    <row r="1517" spans="1:15">
      <c r="A1517">
        <v>2654</v>
      </c>
      <c r="B1517" s="1">
        <v>45667</v>
      </c>
      <c r="C1517">
        <v>46</v>
      </c>
      <c r="D1517" t="s">
        <v>14</v>
      </c>
      <c r="E1517" t="s">
        <v>24</v>
      </c>
      <c r="F1517" t="s">
        <v>23</v>
      </c>
      <c r="H1517">
        <v>393.3</v>
      </c>
      <c r="I1517" s="13">
        <v>4</v>
      </c>
      <c r="J1517">
        <v>0</v>
      </c>
      <c r="K1517">
        <v>0</v>
      </c>
      <c r="L1517">
        <v>0</v>
      </c>
      <c r="M1517">
        <v>0</v>
      </c>
      <c r="O1517">
        <f t="shared" si="23"/>
        <v>1</v>
      </c>
    </row>
    <row r="1518" spans="1:15">
      <c r="A1518">
        <v>2987</v>
      </c>
      <c r="B1518" s="1">
        <v>45667</v>
      </c>
      <c r="C1518">
        <v>34</v>
      </c>
      <c r="D1518" t="s">
        <v>14</v>
      </c>
      <c r="E1518" t="s">
        <v>24</v>
      </c>
      <c r="F1518" t="s">
        <v>18</v>
      </c>
      <c r="G1518" t="s">
        <v>19</v>
      </c>
      <c r="H1518">
        <v>343</v>
      </c>
      <c r="I1518" s="13">
        <v>4</v>
      </c>
      <c r="J1518">
        <v>0</v>
      </c>
      <c r="K1518">
        <v>0</v>
      </c>
      <c r="L1518">
        <v>0</v>
      </c>
      <c r="M1518">
        <v>0</v>
      </c>
      <c r="O1518">
        <f t="shared" si="23"/>
        <v>1</v>
      </c>
    </row>
    <row r="1519" spans="1:15">
      <c r="A1519">
        <v>4336</v>
      </c>
      <c r="B1519" s="1">
        <v>45667</v>
      </c>
      <c r="C1519">
        <v>58</v>
      </c>
      <c r="D1519" t="s">
        <v>27</v>
      </c>
      <c r="E1519" t="s">
        <v>15</v>
      </c>
      <c r="F1519" t="s">
        <v>18</v>
      </c>
      <c r="G1519" t="s">
        <v>19</v>
      </c>
      <c r="H1519">
        <v>292.2</v>
      </c>
      <c r="I1519" s="13">
        <v>4</v>
      </c>
      <c r="J1519">
        <v>0</v>
      </c>
      <c r="K1519">
        <v>0</v>
      </c>
      <c r="L1519">
        <v>0</v>
      </c>
      <c r="M1519">
        <v>0</v>
      </c>
      <c r="O1519">
        <f t="shared" si="23"/>
        <v>1</v>
      </c>
    </row>
    <row r="1520" spans="1:15">
      <c r="A1520">
        <v>2563</v>
      </c>
      <c r="B1520" s="1">
        <v>45667</v>
      </c>
      <c r="C1520">
        <v>44</v>
      </c>
      <c r="D1520" t="s">
        <v>14</v>
      </c>
      <c r="E1520" t="s">
        <v>24</v>
      </c>
      <c r="F1520" t="s">
        <v>16</v>
      </c>
      <c r="H1520">
        <v>264.7</v>
      </c>
      <c r="I1520" s="13">
        <v>6</v>
      </c>
      <c r="J1520">
        <v>0</v>
      </c>
      <c r="K1520">
        <v>0</v>
      </c>
      <c r="L1520">
        <v>0</v>
      </c>
      <c r="M1520">
        <v>0</v>
      </c>
      <c r="O1520">
        <f t="shared" si="23"/>
        <v>1</v>
      </c>
    </row>
    <row r="1521" spans="1:15">
      <c r="A1521">
        <v>149</v>
      </c>
      <c r="B1521" s="1">
        <v>45667</v>
      </c>
      <c r="C1521">
        <v>20</v>
      </c>
      <c r="D1521" t="s">
        <v>14</v>
      </c>
      <c r="E1521" t="s">
        <v>15</v>
      </c>
      <c r="F1521" t="s">
        <v>16</v>
      </c>
      <c r="H1521">
        <v>242.8</v>
      </c>
      <c r="I1521" s="13">
        <v>8</v>
      </c>
      <c r="J1521">
        <v>0</v>
      </c>
      <c r="K1521">
        <v>0</v>
      </c>
      <c r="L1521">
        <v>0</v>
      </c>
      <c r="M1521">
        <v>0</v>
      </c>
      <c r="O1521">
        <f t="shared" si="23"/>
        <v>1</v>
      </c>
    </row>
    <row r="1522" spans="1:15">
      <c r="A1522">
        <v>819</v>
      </c>
      <c r="B1522" s="1">
        <v>45667</v>
      </c>
      <c r="C1522">
        <v>19</v>
      </c>
      <c r="D1522" t="s">
        <v>17</v>
      </c>
      <c r="E1522" t="s">
        <v>22</v>
      </c>
      <c r="F1522" t="s">
        <v>18</v>
      </c>
      <c r="G1522" t="s">
        <v>19</v>
      </c>
      <c r="H1522">
        <v>231</v>
      </c>
      <c r="I1522" s="13">
        <v>3</v>
      </c>
      <c r="J1522">
        <v>0</v>
      </c>
      <c r="K1522">
        <v>0</v>
      </c>
      <c r="L1522">
        <v>0</v>
      </c>
      <c r="M1522">
        <v>0</v>
      </c>
      <c r="O1522">
        <f t="shared" si="23"/>
        <v>1</v>
      </c>
    </row>
    <row r="1523" spans="1:15">
      <c r="A1523">
        <v>978</v>
      </c>
      <c r="B1523" s="1">
        <v>45667</v>
      </c>
      <c r="C1523">
        <v>31</v>
      </c>
      <c r="D1523" t="s">
        <v>14</v>
      </c>
      <c r="E1523" t="s">
        <v>22</v>
      </c>
      <c r="F1523" t="s">
        <v>23</v>
      </c>
      <c r="H1523">
        <v>163.9</v>
      </c>
      <c r="I1523" s="13">
        <v>8</v>
      </c>
      <c r="J1523">
        <v>0</v>
      </c>
      <c r="K1523">
        <v>0</v>
      </c>
      <c r="L1523">
        <v>0</v>
      </c>
      <c r="M1523">
        <v>0</v>
      </c>
      <c r="O1523">
        <f t="shared" si="23"/>
        <v>1</v>
      </c>
    </row>
    <row r="1524" spans="1:15">
      <c r="A1524">
        <v>4952</v>
      </c>
      <c r="B1524" s="1">
        <v>45667</v>
      </c>
      <c r="C1524">
        <v>39</v>
      </c>
      <c r="D1524" t="s">
        <v>17</v>
      </c>
      <c r="E1524" t="s">
        <v>22</v>
      </c>
      <c r="F1524" t="s">
        <v>16</v>
      </c>
      <c r="H1524">
        <v>157.9</v>
      </c>
      <c r="I1524" s="13">
        <v>8</v>
      </c>
      <c r="J1524">
        <v>0</v>
      </c>
      <c r="K1524">
        <v>0</v>
      </c>
      <c r="L1524">
        <v>0</v>
      </c>
      <c r="M1524">
        <v>0</v>
      </c>
      <c r="O1524">
        <f t="shared" si="23"/>
        <v>1</v>
      </c>
    </row>
    <row r="1525" spans="1:15">
      <c r="A1525">
        <v>3809</v>
      </c>
      <c r="B1525" s="1">
        <v>45667</v>
      </c>
      <c r="C1525">
        <v>50</v>
      </c>
      <c r="D1525" t="s">
        <v>14</v>
      </c>
      <c r="E1525" t="s">
        <v>15</v>
      </c>
      <c r="F1525" t="s">
        <v>18</v>
      </c>
      <c r="G1525" t="s">
        <v>28</v>
      </c>
      <c r="H1525">
        <v>146.19999999999999</v>
      </c>
      <c r="I1525" s="13">
        <v>6</v>
      </c>
      <c r="J1525">
        <v>0</v>
      </c>
      <c r="K1525">
        <v>0</v>
      </c>
      <c r="L1525">
        <v>0</v>
      </c>
      <c r="M1525">
        <v>0</v>
      </c>
      <c r="O1525">
        <f t="shared" si="23"/>
        <v>1</v>
      </c>
    </row>
    <row r="1526" spans="1:15">
      <c r="A1526">
        <v>3450</v>
      </c>
      <c r="B1526" s="1">
        <v>45667</v>
      </c>
      <c r="C1526">
        <v>36</v>
      </c>
      <c r="D1526" t="s">
        <v>17</v>
      </c>
      <c r="E1526" t="s">
        <v>24</v>
      </c>
      <c r="F1526" t="s">
        <v>16</v>
      </c>
      <c r="H1526">
        <v>140</v>
      </c>
      <c r="I1526" s="13">
        <v>5</v>
      </c>
      <c r="J1526">
        <v>0</v>
      </c>
      <c r="K1526">
        <v>0</v>
      </c>
      <c r="L1526">
        <v>0</v>
      </c>
      <c r="M1526">
        <v>0</v>
      </c>
      <c r="O1526">
        <f t="shared" si="23"/>
        <v>1</v>
      </c>
    </row>
    <row r="1527" spans="1:15">
      <c r="A1527">
        <v>3959</v>
      </c>
      <c r="B1527" s="1">
        <v>45667</v>
      </c>
      <c r="C1527">
        <v>35</v>
      </c>
      <c r="D1527" t="s">
        <v>17</v>
      </c>
      <c r="E1527" t="s">
        <v>20</v>
      </c>
      <c r="F1527" t="s">
        <v>18</v>
      </c>
      <c r="G1527" t="s">
        <v>31</v>
      </c>
      <c r="H1527">
        <v>96.3</v>
      </c>
      <c r="I1527" s="13">
        <v>6</v>
      </c>
      <c r="J1527">
        <v>0</v>
      </c>
      <c r="K1527">
        <v>0</v>
      </c>
      <c r="L1527">
        <v>0</v>
      </c>
      <c r="M1527">
        <v>0</v>
      </c>
      <c r="O1527">
        <f t="shared" si="23"/>
        <v>1</v>
      </c>
    </row>
    <row r="1528" spans="1:15">
      <c r="A1528">
        <v>3010</v>
      </c>
      <c r="B1528" s="1">
        <v>45667</v>
      </c>
      <c r="C1528">
        <v>44</v>
      </c>
      <c r="D1528" t="s">
        <v>14</v>
      </c>
      <c r="E1528" t="s">
        <v>24</v>
      </c>
      <c r="F1528" t="s">
        <v>16</v>
      </c>
      <c r="H1528">
        <v>93.3</v>
      </c>
      <c r="I1528" s="13">
        <v>4</v>
      </c>
      <c r="J1528">
        <v>0</v>
      </c>
      <c r="K1528">
        <v>0</v>
      </c>
      <c r="L1528">
        <v>0</v>
      </c>
      <c r="M1528">
        <v>0</v>
      </c>
      <c r="O1528">
        <f t="shared" si="23"/>
        <v>1</v>
      </c>
    </row>
    <row r="1529" spans="1:15">
      <c r="A1529">
        <v>4746</v>
      </c>
      <c r="B1529" s="1">
        <v>45667</v>
      </c>
      <c r="C1529">
        <v>64</v>
      </c>
      <c r="D1529" t="s">
        <v>14</v>
      </c>
      <c r="E1529" t="s">
        <v>15</v>
      </c>
      <c r="F1529" t="s">
        <v>16</v>
      </c>
      <c r="H1529">
        <v>88.2</v>
      </c>
      <c r="I1529" s="13">
        <v>5</v>
      </c>
      <c r="J1529">
        <v>0</v>
      </c>
      <c r="K1529">
        <v>0</v>
      </c>
      <c r="L1529">
        <v>0</v>
      </c>
      <c r="M1529">
        <v>0</v>
      </c>
      <c r="O1529">
        <f t="shared" si="23"/>
        <v>1</v>
      </c>
    </row>
    <row r="1530" spans="1:15">
      <c r="A1530">
        <v>2065</v>
      </c>
      <c r="B1530" s="1">
        <v>45667</v>
      </c>
      <c r="C1530">
        <v>32</v>
      </c>
      <c r="D1530" t="s">
        <v>17</v>
      </c>
      <c r="E1530" t="s">
        <v>22</v>
      </c>
      <c r="F1530" t="s">
        <v>16</v>
      </c>
      <c r="H1530">
        <v>52.7</v>
      </c>
      <c r="I1530" s="13">
        <v>5</v>
      </c>
      <c r="J1530">
        <v>0</v>
      </c>
      <c r="K1530">
        <v>0</v>
      </c>
      <c r="L1530">
        <v>0</v>
      </c>
      <c r="M1530">
        <v>0</v>
      </c>
      <c r="O1530">
        <f t="shared" si="23"/>
        <v>1</v>
      </c>
    </row>
    <row r="1531" spans="1:15">
      <c r="A1531">
        <v>702</v>
      </c>
      <c r="B1531" s="1">
        <v>45667</v>
      </c>
      <c r="C1531">
        <v>32</v>
      </c>
      <c r="D1531" t="s">
        <v>17</v>
      </c>
      <c r="E1531" t="s">
        <v>20</v>
      </c>
      <c r="F1531" t="s">
        <v>23</v>
      </c>
      <c r="H1531">
        <v>28</v>
      </c>
      <c r="I1531" s="13">
        <v>5</v>
      </c>
      <c r="J1531">
        <v>0</v>
      </c>
      <c r="K1531">
        <v>0</v>
      </c>
      <c r="L1531">
        <v>0</v>
      </c>
      <c r="M1531">
        <v>0</v>
      </c>
      <c r="O1531">
        <f t="shared" si="23"/>
        <v>1</v>
      </c>
    </row>
    <row r="1532" spans="1:15">
      <c r="A1532">
        <v>4928</v>
      </c>
      <c r="B1532" s="1">
        <v>45698</v>
      </c>
      <c r="C1532">
        <v>36</v>
      </c>
      <c r="D1532" t="s">
        <v>14</v>
      </c>
      <c r="E1532" t="s">
        <v>20</v>
      </c>
      <c r="F1532" t="s">
        <v>16</v>
      </c>
      <c r="H1532">
        <v>707.7</v>
      </c>
      <c r="I1532" s="13">
        <v>9</v>
      </c>
      <c r="J1532">
        <v>1</v>
      </c>
      <c r="K1532">
        <v>115.62</v>
      </c>
      <c r="L1532">
        <v>3</v>
      </c>
      <c r="M1532">
        <v>12</v>
      </c>
      <c r="N1532">
        <v>5</v>
      </c>
      <c r="O1532">
        <f t="shared" si="23"/>
        <v>2</v>
      </c>
    </row>
    <row r="1533" spans="1:15">
      <c r="A1533">
        <v>214</v>
      </c>
      <c r="B1533" s="1">
        <v>45698</v>
      </c>
      <c r="C1533">
        <v>24</v>
      </c>
      <c r="D1533" t="s">
        <v>17</v>
      </c>
      <c r="E1533" t="s">
        <v>22</v>
      </c>
      <c r="F1533" t="s">
        <v>23</v>
      </c>
      <c r="H1533">
        <v>321.89999999999998</v>
      </c>
      <c r="I1533" s="13">
        <v>5</v>
      </c>
      <c r="J1533">
        <v>1</v>
      </c>
      <c r="K1533">
        <v>85.8</v>
      </c>
      <c r="L1533">
        <v>1</v>
      </c>
      <c r="M1533">
        <v>13</v>
      </c>
      <c r="N1533">
        <v>4</v>
      </c>
      <c r="O1533">
        <f t="shared" si="23"/>
        <v>2</v>
      </c>
    </row>
    <row r="1534" spans="1:15">
      <c r="A1534">
        <v>2915</v>
      </c>
      <c r="B1534" s="1">
        <v>45698</v>
      </c>
      <c r="C1534">
        <v>36</v>
      </c>
      <c r="D1534" t="s">
        <v>17</v>
      </c>
      <c r="E1534" t="s">
        <v>22</v>
      </c>
      <c r="F1534" t="s">
        <v>23</v>
      </c>
      <c r="H1534">
        <v>279.39999999999998</v>
      </c>
      <c r="I1534" s="13">
        <v>5</v>
      </c>
      <c r="J1534">
        <v>1</v>
      </c>
      <c r="K1534">
        <v>73.34</v>
      </c>
      <c r="L1534">
        <v>2</v>
      </c>
      <c r="M1534">
        <v>4</v>
      </c>
      <c r="N1534">
        <v>5</v>
      </c>
      <c r="O1534">
        <f t="shared" si="23"/>
        <v>2</v>
      </c>
    </row>
    <row r="1535" spans="1:15">
      <c r="A1535">
        <v>3983</v>
      </c>
      <c r="B1535" s="1">
        <v>45698</v>
      </c>
      <c r="C1535">
        <v>47</v>
      </c>
      <c r="D1535" t="s">
        <v>17</v>
      </c>
      <c r="E1535" t="s">
        <v>22</v>
      </c>
      <c r="F1535" t="s">
        <v>18</v>
      </c>
      <c r="G1535" t="s">
        <v>29</v>
      </c>
      <c r="H1535">
        <v>865.2</v>
      </c>
      <c r="I1535" s="13">
        <v>5</v>
      </c>
      <c r="J1535">
        <v>1</v>
      </c>
      <c r="K1535">
        <v>71.989999999999995</v>
      </c>
      <c r="L1535">
        <v>5</v>
      </c>
      <c r="M1535">
        <v>1</v>
      </c>
      <c r="N1535">
        <v>4</v>
      </c>
      <c r="O1535">
        <f t="shared" si="23"/>
        <v>2</v>
      </c>
    </row>
    <row r="1536" spans="1:15">
      <c r="A1536">
        <v>3813</v>
      </c>
      <c r="B1536" s="1">
        <v>45698</v>
      </c>
      <c r="C1536">
        <v>51</v>
      </c>
      <c r="D1536" t="s">
        <v>17</v>
      </c>
      <c r="E1536" t="s">
        <v>20</v>
      </c>
      <c r="F1536" t="s">
        <v>16</v>
      </c>
      <c r="H1536">
        <v>929</v>
      </c>
      <c r="I1536" s="13">
        <v>5</v>
      </c>
      <c r="J1536">
        <v>1</v>
      </c>
      <c r="K1536">
        <v>57.71</v>
      </c>
      <c r="L1536">
        <v>6</v>
      </c>
      <c r="M1536">
        <v>6</v>
      </c>
      <c r="N1536">
        <v>5</v>
      </c>
      <c r="O1536">
        <f t="shared" si="23"/>
        <v>2</v>
      </c>
    </row>
    <row r="1537" spans="1:15">
      <c r="A1537">
        <v>469</v>
      </c>
      <c r="B1537" s="1">
        <v>45698</v>
      </c>
      <c r="C1537">
        <v>22</v>
      </c>
      <c r="D1537" t="s">
        <v>17</v>
      </c>
      <c r="E1537" t="s">
        <v>22</v>
      </c>
      <c r="F1537" t="s">
        <v>18</v>
      </c>
      <c r="G1537" t="s">
        <v>29</v>
      </c>
      <c r="H1537">
        <v>96.2</v>
      </c>
      <c r="I1537" s="13">
        <v>3</v>
      </c>
      <c r="J1537">
        <v>1</v>
      </c>
      <c r="K1537">
        <v>56.04</v>
      </c>
      <c r="L1537">
        <v>6</v>
      </c>
      <c r="M1537">
        <v>1</v>
      </c>
      <c r="N1537">
        <v>3</v>
      </c>
      <c r="O1537">
        <f t="shared" si="23"/>
        <v>2</v>
      </c>
    </row>
    <row r="1538" spans="1:15">
      <c r="A1538">
        <v>2039</v>
      </c>
      <c r="B1538" s="1">
        <v>45698</v>
      </c>
      <c r="C1538">
        <v>27</v>
      </c>
      <c r="D1538" t="s">
        <v>14</v>
      </c>
      <c r="E1538" t="s">
        <v>20</v>
      </c>
      <c r="F1538" t="s">
        <v>18</v>
      </c>
      <c r="G1538" t="s">
        <v>30</v>
      </c>
      <c r="H1538">
        <v>480.9</v>
      </c>
      <c r="I1538" s="13">
        <v>4</v>
      </c>
      <c r="J1538">
        <v>1</v>
      </c>
      <c r="K1538">
        <v>24.64</v>
      </c>
      <c r="L1538">
        <v>2</v>
      </c>
      <c r="M1538">
        <v>5</v>
      </c>
      <c r="N1538">
        <v>4</v>
      </c>
      <c r="O1538">
        <f t="shared" si="23"/>
        <v>2</v>
      </c>
    </row>
    <row r="1539" spans="1:15">
      <c r="A1539">
        <v>1112</v>
      </c>
      <c r="B1539" s="1">
        <v>45698</v>
      </c>
      <c r="C1539">
        <v>24</v>
      </c>
      <c r="D1539" t="s">
        <v>17</v>
      </c>
      <c r="E1539" t="s">
        <v>20</v>
      </c>
      <c r="F1539" t="s">
        <v>16</v>
      </c>
      <c r="H1539">
        <v>650</v>
      </c>
      <c r="I1539" s="13">
        <v>6</v>
      </c>
      <c r="J1539">
        <v>1</v>
      </c>
      <c r="K1539">
        <v>23.88</v>
      </c>
      <c r="L1539">
        <v>3</v>
      </c>
      <c r="M1539">
        <v>14</v>
      </c>
      <c r="N1539">
        <v>5</v>
      </c>
      <c r="O1539">
        <f t="shared" ref="O1539:O1602" si="24">MONTH(B1539)</f>
        <v>2</v>
      </c>
    </row>
    <row r="1540" spans="1:15">
      <c r="A1540">
        <v>1113</v>
      </c>
      <c r="B1540" s="1">
        <v>45698</v>
      </c>
      <c r="C1540">
        <v>19</v>
      </c>
      <c r="D1540" t="s">
        <v>14</v>
      </c>
      <c r="E1540" t="s">
        <v>20</v>
      </c>
      <c r="F1540" t="s">
        <v>16</v>
      </c>
      <c r="H1540">
        <v>247.4</v>
      </c>
      <c r="I1540" s="13">
        <v>9</v>
      </c>
      <c r="J1540">
        <v>1</v>
      </c>
      <c r="K1540">
        <v>20.76</v>
      </c>
      <c r="L1540">
        <v>2</v>
      </c>
      <c r="M1540">
        <v>7</v>
      </c>
      <c r="N1540">
        <v>4</v>
      </c>
      <c r="O1540">
        <f t="shared" si="24"/>
        <v>2</v>
      </c>
    </row>
    <row r="1541" spans="1:15">
      <c r="A1541">
        <v>174</v>
      </c>
      <c r="B1541" s="1">
        <v>45698</v>
      </c>
      <c r="C1541">
        <v>23</v>
      </c>
      <c r="D1541" t="s">
        <v>17</v>
      </c>
      <c r="E1541" t="s">
        <v>15</v>
      </c>
      <c r="F1541" t="s">
        <v>18</v>
      </c>
      <c r="G1541" t="s">
        <v>30</v>
      </c>
      <c r="H1541">
        <v>838.2</v>
      </c>
      <c r="I1541" s="13">
        <v>3</v>
      </c>
      <c r="J1541">
        <v>0</v>
      </c>
      <c r="K1541">
        <v>0</v>
      </c>
      <c r="L1541">
        <v>0</v>
      </c>
      <c r="M1541">
        <v>0</v>
      </c>
      <c r="O1541">
        <f t="shared" si="24"/>
        <v>2</v>
      </c>
    </row>
    <row r="1542" spans="1:15">
      <c r="A1542">
        <v>2908</v>
      </c>
      <c r="B1542" s="1">
        <v>45698</v>
      </c>
      <c r="C1542">
        <v>27</v>
      </c>
      <c r="D1542" t="s">
        <v>14</v>
      </c>
      <c r="E1542" t="s">
        <v>22</v>
      </c>
      <c r="F1542" t="s">
        <v>16</v>
      </c>
      <c r="H1542">
        <v>787.4</v>
      </c>
      <c r="I1542" s="13">
        <v>3</v>
      </c>
      <c r="J1542">
        <v>0</v>
      </c>
      <c r="K1542">
        <v>0</v>
      </c>
      <c r="L1542">
        <v>0</v>
      </c>
      <c r="M1542">
        <v>0</v>
      </c>
      <c r="O1542">
        <f t="shared" si="24"/>
        <v>2</v>
      </c>
    </row>
    <row r="1543" spans="1:15">
      <c r="A1543">
        <v>1840</v>
      </c>
      <c r="B1543" s="1">
        <v>45698</v>
      </c>
      <c r="C1543">
        <v>30</v>
      </c>
      <c r="D1543" t="s">
        <v>17</v>
      </c>
      <c r="E1543" t="s">
        <v>22</v>
      </c>
      <c r="F1543" t="s">
        <v>16</v>
      </c>
      <c r="H1543">
        <v>641.5</v>
      </c>
      <c r="I1543" s="13">
        <v>7</v>
      </c>
      <c r="J1543">
        <v>0</v>
      </c>
      <c r="K1543">
        <v>0</v>
      </c>
      <c r="L1543">
        <v>0</v>
      </c>
      <c r="M1543">
        <v>0</v>
      </c>
      <c r="O1543">
        <f t="shared" si="24"/>
        <v>2</v>
      </c>
    </row>
    <row r="1544" spans="1:15">
      <c r="A1544">
        <v>4080</v>
      </c>
      <c r="B1544" s="1">
        <v>45698</v>
      </c>
      <c r="C1544">
        <v>44</v>
      </c>
      <c r="D1544" t="s">
        <v>14</v>
      </c>
      <c r="E1544" t="s">
        <v>15</v>
      </c>
      <c r="F1544" t="s">
        <v>18</v>
      </c>
      <c r="G1544" t="s">
        <v>28</v>
      </c>
      <c r="H1544">
        <v>616.4</v>
      </c>
      <c r="I1544" s="13">
        <v>4</v>
      </c>
      <c r="J1544">
        <v>0</v>
      </c>
      <c r="K1544">
        <v>0</v>
      </c>
      <c r="L1544">
        <v>0</v>
      </c>
      <c r="M1544">
        <v>0</v>
      </c>
      <c r="O1544">
        <f t="shared" si="24"/>
        <v>2</v>
      </c>
    </row>
    <row r="1545" spans="1:15">
      <c r="A1545">
        <v>2471</v>
      </c>
      <c r="B1545" s="1">
        <v>45698</v>
      </c>
      <c r="C1545">
        <v>21</v>
      </c>
      <c r="D1545" t="s">
        <v>17</v>
      </c>
      <c r="E1545" t="s">
        <v>22</v>
      </c>
      <c r="F1545" t="s">
        <v>16</v>
      </c>
      <c r="H1545">
        <v>425.5</v>
      </c>
      <c r="I1545" s="13">
        <v>7</v>
      </c>
      <c r="J1545">
        <v>0</v>
      </c>
      <c r="K1545">
        <v>0</v>
      </c>
      <c r="L1545">
        <v>0</v>
      </c>
      <c r="M1545">
        <v>0</v>
      </c>
      <c r="O1545">
        <f t="shared" si="24"/>
        <v>2</v>
      </c>
    </row>
    <row r="1546" spans="1:15">
      <c r="A1546">
        <v>3934</v>
      </c>
      <c r="B1546" s="1">
        <v>45698</v>
      </c>
      <c r="C1546">
        <v>46</v>
      </c>
      <c r="D1546" t="s">
        <v>17</v>
      </c>
      <c r="E1546" t="s">
        <v>22</v>
      </c>
      <c r="F1546" t="s">
        <v>21</v>
      </c>
      <c r="H1546">
        <v>413.9</v>
      </c>
      <c r="I1546" s="13">
        <v>3</v>
      </c>
      <c r="J1546">
        <v>0</v>
      </c>
      <c r="K1546">
        <v>0</v>
      </c>
      <c r="L1546">
        <v>0</v>
      </c>
      <c r="M1546">
        <v>0</v>
      </c>
      <c r="O1546">
        <f t="shared" si="24"/>
        <v>2</v>
      </c>
    </row>
    <row r="1547" spans="1:15">
      <c r="A1547">
        <v>831</v>
      </c>
      <c r="B1547" s="1">
        <v>45698</v>
      </c>
      <c r="C1547">
        <v>28</v>
      </c>
      <c r="D1547" t="s">
        <v>14</v>
      </c>
      <c r="E1547" t="s">
        <v>24</v>
      </c>
      <c r="F1547" t="s">
        <v>21</v>
      </c>
      <c r="H1547">
        <v>322.5</v>
      </c>
      <c r="I1547" s="13">
        <v>8</v>
      </c>
      <c r="J1547">
        <v>0</v>
      </c>
      <c r="K1547">
        <v>0</v>
      </c>
      <c r="L1547">
        <v>0</v>
      </c>
      <c r="M1547">
        <v>0</v>
      </c>
      <c r="O1547">
        <f t="shared" si="24"/>
        <v>2</v>
      </c>
    </row>
    <row r="1548" spans="1:15">
      <c r="A1548">
        <v>1493</v>
      </c>
      <c r="B1548" s="1">
        <v>45698</v>
      </c>
      <c r="C1548">
        <v>28</v>
      </c>
      <c r="D1548" t="s">
        <v>14</v>
      </c>
      <c r="E1548" t="s">
        <v>22</v>
      </c>
      <c r="F1548" t="s">
        <v>18</v>
      </c>
      <c r="G1548" t="s">
        <v>31</v>
      </c>
      <c r="H1548">
        <v>284.2</v>
      </c>
      <c r="I1548" s="13">
        <v>3</v>
      </c>
      <c r="J1548">
        <v>0</v>
      </c>
      <c r="K1548">
        <v>0</v>
      </c>
      <c r="L1548">
        <v>0</v>
      </c>
      <c r="M1548">
        <v>0</v>
      </c>
      <c r="O1548">
        <f t="shared" si="24"/>
        <v>2</v>
      </c>
    </row>
    <row r="1549" spans="1:15">
      <c r="A1549">
        <v>2175</v>
      </c>
      <c r="B1549" s="1">
        <v>45698</v>
      </c>
      <c r="C1549">
        <v>42</v>
      </c>
      <c r="D1549" t="s">
        <v>17</v>
      </c>
      <c r="E1549" t="s">
        <v>24</v>
      </c>
      <c r="F1549" t="s">
        <v>18</v>
      </c>
      <c r="G1549" t="s">
        <v>31</v>
      </c>
      <c r="H1549">
        <v>267.3</v>
      </c>
      <c r="I1549" s="13">
        <v>6</v>
      </c>
      <c r="J1549">
        <v>0</v>
      </c>
      <c r="K1549">
        <v>0</v>
      </c>
      <c r="L1549">
        <v>0</v>
      </c>
      <c r="M1549">
        <v>0</v>
      </c>
      <c r="O1549">
        <f t="shared" si="24"/>
        <v>2</v>
      </c>
    </row>
    <row r="1550" spans="1:15">
      <c r="A1550">
        <v>2742</v>
      </c>
      <c r="B1550" s="1">
        <v>45698</v>
      </c>
      <c r="C1550">
        <v>35</v>
      </c>
      <c r="D1550" t="s">
        <v>14</v>
      </c>
      <c r="E1550" t="s">
        <v>15</v>
      </c>
      <c r="F1550" t="s">
        <v>18</v>
      </c>
      <c r="G1550" t="s">
        <v>25</v>
      </c>
      <c r="H1550">
        <v>260.39999999999998</v>
      </c>
      <c r="I1550" s="13">
        <v>8</v>
      </c>
      <c r="J1550">
        <v>0</v>
      </c>
      <c r="K1550">
        <v>0</v>
      </c>
      <c r="L1550">
        <v>0</v>
      </c>
      <c r="M1550">
        <v>0</v>
      </c>
      <c r="O1550">
        <f t="shared" si="24"/>
        <v>2</v>
      </c>
    </row>
    <row r="1551" spans="1:15">
      <c r="A1551">
        <v>4443</v>
      </c>
      <c r="B1551" s="1">
        <v>45698</v>
      </c>
      <c r="C1551">
        <v>51</v>
      </c>
      <c r="D1551" t="s">
        <v>14</v>
      </c>
      <c r="E1551" t="s">
        <v>15</v>
      </c>
      <c r="F1551" t="s">
        <v>23</v>
      </c>
      <c r="H1551">
        <v>184.9</v>
      </c>
      <c r="I1551" s="13">
        <v>5</v>
      </c>
      <c r="J1551">
        <v>0</v>
      </c>
      <c r="K1551">
        <v>0</v>
      </c>
      <c r="L1551">
        <v>0</v>
      </c>
      <c r="M1551">
        <v>0</v>
      </c>
      <c r="O1551">
        <f t="shared" si="24"/>
        <v>2</v>
      </c>
    </row>
    <row r="1552" spans="1:15">
      <c r="A1552">
        <v>3984</v>
      </c>
      <c r="B1552" s="1">
        <v>45698</v>
      </c>
      <c r="C1552">
        <v>56</v>
      </c>
      <c r="D1552" t="s">
        <v>14</v>
      </c>
      <c r="E1552" t="s">
        <v>22</v>
      </c>
      <c r="F1552" t="s">
        <v>16</v>
      </c>
      <c r="H1552">
        <v>181.5</v>
      </c>
      <c r="I1552" s="13">
        <v>10</v>
      </c>
      <c r="J1552">
        <v>0</v>
      </c>
      <c r="K1552">
        <v>0</v>
      </c>
      <c r="L1552">
        <v>0</v>
      </c>
      <c r="M1552">
        <v>0</v>
      </c>
      <c r="O1552">
        <f t="shared" si="24"/>
        <v>2</v>
      </c>
    </row>
    <row r="1553" spans="1:15">
      <c r="A1553">
        <v>1603</v>
      </c>
      <c r="B1553" s="1">
        <v>45698</v>
      </c>
      <c r="C1553">
        <v>23</v>
      </c>
      <c r="D1553" t="s">
        <v>14</v>
      </c>
      <c r="E1553" t="s">
        <v>15</v>
      </c>
      <c r="F1553" t="s">
        <v>16</v>
      </c>
      <c r="H1553">
        <v>179.8</v>
      </c>
      <c r="I1553" s="13">
        <v>7</v>
      </c>
      <c r="J1553">
        <v>0</v>
      </c>
      <c r="K1553">
        <v>0</v>
      </c>
      <c r="L1553">
        <v>0</v>
      </c>
      <c r="M1553">
        <v>0</v>
      </c>
      <c r="O1553">
        <f t="shared" si="24"/>
        <v>2</v>
      </c>
    </row>
    <row r="1554" spans="1:15">
      <c r="A1554">
        <v>3230</v>
      </c>
      <c r="B1554" s="1">
        <v>45698</v>
      </c>
      <c r="C1554">
        <v>33</v>
      </c>
      <c r="D1554" t="s">
        <v>14</v>
      </c>
      <c r="E1554" t="s">
        <v>20</v>
      </c>
      <c r="F1554" t="s">
        <v>23</v>
      </c>
      <c r="H1554">
        <v>146.5</v>
      </c>
      <c r="I1554" s="13">
        <v>6</v>
      </c>
      <c r="J1554">
        <v>0</v>
      </c>
      <c r="K1554">
        <v>0</v>
      </c>
      <c r="L1554">
        <v>0</v>
      </c>
      <c r="M1554">
        <v>0</v>
      </c>
      <c r="O1554">
        <f t="shared" si="24"/>
        <v>2</v>
      </c>
    </row>
    <row r="1555" spans="1:15">
      <c r="A1555">
        <v>4365</v>
      </c>
      <c r="B1555" s="1">
        <v>45698</v>
      </c>
      <c r="C1555">
        <v>36</v>
      </c>
      <c r="D1555" t="s">
        <v>17</v>
      </c>
      <c r="E1555" t="s">
        <v>22</v>
      </c>
      <c r="F1555" t="s">
        <v>18</v>
      </c>
      <c r="G1555" t="s">
        <v>19</v>
      </c>
      <c r="H1555">
        <v>128.6</v>
      </c>
      <c r="I1555" s="13">
        <v>8</v>
      </c>
      <c r="J1555">
        <v>0</v>
      </c>
      <c r="K1555">
        <v>0</v>
      </c>
      <c r="L1555">
        <v>0</v>
      </c>
      <c r="M1555">
        <v>0</v>
      </c>
      <c r="O1555">
        <f t="shared" si="24"/>
        <v>2</v>
      </c>
    </row>
    <row r="1556" spans="1:15">
      <c r="A1556">
        <v>2575</v>
      </c>
      <c r="B1556" s="1">
        <v>45698</v>
      </c>
      <c r="C1556">
        <v>49</v>
      </c>
      <c r="D1556" t="s">
        <v>17</v>
      </c>
      <c r="E1556" t="s">
        <v>22</v>
      </c>
      <c r="F1556" t="s">
        <v>18</v>
      </c>
      <c r="G1556" t="s">
        <v>31</v>
      </c>
      <c r="H1556">
        <v>101.5</v>
      </c>
      <c r="I1556" s="13">
        <v>7</v>
      </c>
      <c r="J1556">
        <v>0</v>
      </c>
      <c r="K1556">
        <v>0</v>
      </c>
      <c r="L1556">
        <v>0</v>
      </c>
      <c r="M1556">
        <v>0</v>
      </c>
      <c r="O1556">
        <f t="shared" si="24"/>
        <v>2</v>
      </c>
    </row>
    <row r="1557" spans="1:15">
      <c r="A1557">
        <v>2200</v>
      </c>
      <c r="B1557" s="1">
        <v>45726</v>
      </c>
      <c r="C1557">
        <v>35</v>
      </c>
      <c r="D1557" t="s">
        <v>14</v>
      </c>
      <c r="E1557" t="s">
        <v>15</v>
      </c>
      <c r="F1557" t="s">
        <v>23</v>
      </c>
      <c r="H1557">
        <v>485.8</v>
      </c>
      <c r="I1557" s="13">
        <v>4</v>
      </c>
      <c r="J1557">
        <v>1</v>
      </c>
      <c r="K1557">
        <v>515</v>
      </c>
      <c r="L1557">
        <v>2</v>
      </c>
      <c r="M1557">
        <v>13</v>
      </c>
      <c r="N1557">
        <v>5</v>
      </c>
      <c r="O1557">
        <f t="shared" si="24"/>
        <v>3</v>
      </c>
    </row>
    <row r="1558" spans="1:15">
      <c r="A1558">
        <v>956</v>
      </c>
      <c r="B1558" s="1">
        <v>45726</v>
      </c>
      <c r="C1558">
        <v>19</v>
      </c>
      <c r="D1558" t="s">
        <v>17</v>
      </c>
      <c r="E1558" t="s">
        <v>22</v>
      </c>
      <c r="F1558" t="s">
        <v>21</v>
      </c>
      <c r="H1558">
        <v>132.1</v>
      </c>
      <c r="I1558" s="13">
        <v>5</v>
      </c>
      <c r="J1558">
        <v>1</v>
      </c>
      <c r="K1558">
        <v>179</v>
      </c>
      <c r="L1558">
        <v>1</v>
      </c>
      <c r="M1558">
        <v>6</v>
      </c>
      <c r="N1558">
        <v>4</v>
      </c>
      <c r="O1558">
        <f t="shared" si="24"/>
        <v>3</v>
      </c>
    </row>
    <row r="1559" spans="1:15">
      <c r="A1559">
        <v>3358</v>
      </c>
      <c r="B1559" s="1">
        <v>45726</v>
      </c>
      <c r="C1559">
        <v>44</v>
      </c>
      <c r="D1559" t="s">
        <v>17</v>
      </c>
      <c r="E1559" t="s">
        <v>24</v>
      </c>
      <c r="F1559" t="s">
        <v>18</v>
      </c>
      <c r="G1559" t="s">
        <v>28</v>
      </c>
      <c r="H1559">
        <v>118</v>
      </c>
      <c r="I1559" s="13">
        <v>5</v>
      </c>
      <c r="J1559">
        <v>1</v>
      </c>
      <c r="K1559">
        <v>163.51</v>
      </c>
      <c r="L1559">
        <v>3</v>
      </c>
      <c r="M1559">
        <v>8</v>
      </c>
      <c r="N1559">
        <v>3</v>
      </c>
      <c r="O1559">
        <f t="shared" si="24"/>
        <v>3</v>
      </c>
    </row>
    <row r="1560" spans="1:15">
      <c r="A1560">
        <v>4871</v>
      </c>
      <c r="B1560" s="1">
        <v>45726</v>
      </c>
      <c r="C1560">
        <v>51</v>
      </c>
      <c r="D1560" t="s">
        <v>17</v>
      </c>
      <c r="E1560" t="s">
        <v>15</v>
      </c>
      <c r="F1560" t="s">
        <v>23</v>
      </c>
      <c r="H1560">
        <v>319.89999999999998</v>
      </c>
      <c r="I1560" s="13">
        <v>5</v>
      </c>
      <c r="J1560">
        <v>1</v>
      </c>
      <c r="K1560">
        <v>140.96</v>
      </c>
      <c r="L1560">
        <v>4</v>
      </c>
      <c r="M1560">
        <v>9</v>
      </c>
      <c r="N1560">
        <v>4</v>
      </c>
      <c r="O1560">
        <f t="shared" si="24"/>
        <v>3</v>
      </c>
    </row>
    <row r="1561" spans="1:15">
      <c r="A1561">
        <v>522</v>
      </c>
      <c r="B1561" s="1">
        <v>45726</v>
      </c>
      <c r="C1561">
        <v>31</v>
      </c>
      <c r="D1561" t="s">
        <v>17</v>
      </c>
      <c r="E1561" t="s">
        <v>22</v>
      </c>
      <c r="F1561" t="s">
        <v>16</v>
      </c>
      <c r="H1561">
        <v>591</v>
      </c>
      <c r="I1561" s="13">
        <v>7</v>
      </c>
      <c r="J1561">
        <v>1</v>
      </c>
      <c r="K1561">
        <v>119.1</v>
      </c>
      <c r="L1561">
        <v>4</v>
      </c>
      <c r="M1561">
        <v>12</v>
      </c>
      <c r="N1561">
        <v>5</v>
      </c>
      <c r="O1561">
        <f t="shared" si="24"/>
        <v>3</v>
      </c>
    </row>
    <row r="1562" spans="1:15">
      <c r="A1562">
        <v>1820</v>
      </c>
      <c r="B1562" s="1">
        <v>45726</v>
      </c>
      <c r="C1562">
        <v>39</v>
      </c>
      <c r="D1562" t="s">
        <v>14</v>
      </c>
      <c r="E1562" t="s">
        <v>15</v>
      </c>
      <c r="F1562" t="s">
        <v>16</v>
      </c>
      <c r="H1562">
        <v>108.7</v>
      </c>
      <c r="I1562" s="13">
        <v>1</v>
      </c>
      <c r="J1562">
        <v>1</v>
      </c>
      <c r="K1562">
        <v>52.23</v>
      </c>
      <c r="L1562">
        <v>1</v>
      </c>
      <c r="M1562">
        <v>12</v>
      </c>
      <c r="N1562">
        <v>5</v>
      </c>
      <c r="O1562">
        <f t="shared" si="24"/>
        <v>3</v>
      </c>
    </row>
    <row r="1563" spans="1:15">
      <c r="A1563">
        <v>4251</v>
      </c>
      <c r="B1563" s="1">
        <v>45726</v>
      </c>
      <c r="C1563">
        <v>49</v>
      </c>
      <c r="D1563" t="s">
        <v>17</v>
      </c>
      <c r="E1563" t="s">
        <v>20</v>
      </c>
      <c r="F1563" t="s">
        <v>16</v>
      </c>
      <c r="H1563">
        <v>1686.7</v>
      </c>
      <c r="I1563" s="13">
        <v>7</v>
      </c>
      <c r="J1563">
        <v>1</v>
      </c>
      <c r="K1563">
        <v>34.049999999999997</v>
      </c>
      <c r="L1563">
        <v>3</v>
      </c>
      <c r="M1563">
        <v>11</v>
      </c>
      <c r="N1563">
        <v>4</v>
      </c>
      <c r="O1563">
        <f t="shared" si="24"/>
        <v>3</v>
      </c>
    </row>
    <row r="1564" spans="1:15">
      <c r="A1564">
        <v>2971</v>
      </c>
      <c r="B1564" s="1">
        <v>45726</v>
      </c>
      <c r="C1564">
        <v>30</v>
      </c>
      <c r="D1564" t="s">
        <v>14</v>
      </c>
      <c r="E1564" t="s">
        <v>24</v>
      </c>
      <c r="F1564" t="s">
        <v>18</v>
      </c>
      <c r="G1564" t="s">
        <v>19</v>
      </c>
      <c r="H1564">
        <v>731.3</v>
      </c>
      <c r="I1564" s="13">
        <v>6</v>
      </c>
      <c r="J1564">
        <v>1</v>
      </c>
      <c r="K1564">
        <v>29.25</v>
      </c>
      <c r="L1564">
        <v>4</v>
      </c>
      <c r="M1564">
        <v>15</v>
      </c>
      <c r="N1564">
        <v>4</v>
      </c>
      <c r="O1564">
        <f t="shared" si="24"/>
        <v>3</v>
      </c>
    </row>
    <row r="1565" spans="1:15">
      <c r="A1565">
        <v>3902</v>
      </c>
      <c r="B1565" s="1">
        <v>45726</v>
      </c>
      <c r="C1565">
        <v>46</v>
      </c>
      <c r="D1565" t="s">
        <v>17</v>
      </c>
      <c r="E1565" t="s">
        <v>24</v>
      </c>
      <c r="F1565" t="s">
        <v>23</v>
      </c>
      <c r="H1565">
        <v>932.6</v>
      </c>
      <c r="I1565" s="13">
        <v>8</v>
      </c>
      <c r="J1565">
        <v>1</v>
      </c>
      <c r="K1565">
        <v>23.47</v>
      </c>
      <c r="L1565">
        <v>1</v>
      </c>
      <c r="M1565">
        <v>9</v>
      </c>
      <c r="N1565">
        <v>4</v>
      </c>
      <c r="O1565">
        <f t="shared" si="24"/>
        <v>3</v>
      </c>
    </row>
    <row r="1566" spans="1:15">
      <c r="A1566">
        <v>2684</v>
      </c>
      <c r="B1566" s="1">
        <v>45726</v>
      </c>
      <c r="C1566">
        <v>19</v>
      </c>
      <c r="D1566" t="s">
        <v>17</v>
      </c>
      <c r="E1566" t="s">
        <v>15</v>
      </c>
      <c r="F1566" t="s">
        <v>16</v>
      </c>
      <c r="H1566">
        <v>1839.2</v>
      </c>
      <c r="I1566" s="13">
        <v>6</v>
      </c>
      <c r="J1566">
        <v>1</v>
      </c>
      <c r="K1566">
        <v>23.34</v>
      </c>
      <c r="L1566">
        <v>4</v>
      </c>
      <c r="M1566">
        <v>8</v>
      </c>
      <c r="N1566">
        <v>5</v>
      </c>
      <c r="O1566">
        <f t="shared" si="24"/>
        <v>3</v>
      </c>
    </row>
    <row r="1567" spans="1:15">
      <c r="A1567">
        <v>3678</v>
      </c>
      <c r="B1567" s="1">
        <v>45726</v>
      </c>
      <c r="C1567">
        <v>38</v>
      </c>
      <c r="D1567" t="s">
        <v>14</v>
      </c>
      <c r="E1567" t="s">
        <v>20</v>
      </c>
      <c r="F1567" t="s">
        <v>21</v>
      </c>
      <c r="H1567">
        <v>212.2</v>
      </c>
      <c r="I1567" s="13">
        <v>3</v>
      </c>
      <c r="J1567">
        <v>1</v>
      </c>
      <c r="K1567">
        <v>16.29</v>
      </c>
      <c r="L1567">
        <v>3</v>
      </c>
      <c r="M1567">
        <v>7</v>
      </c>
      <c r="N1567">
        <v>4</v>
      </c>
      <c r="O1567">
        <f t="shared" si="24"/>
        <v>3</v>
      </c>
    </row>
    <row r="1568" spans="1:15">
      <c r="A1568">
        <v>4164</v>
      </c>
      <c r="B1568" s="1">
        <v>45726</v>
      </c>
      <c r="C1568">
        <v>30</v>
      </c>
      <c r="D1568" t="s">
        <v>17</v>
      </c>
      <c r="E1568" t="s">
        <v>15</v>
      </c>
      <c r="F1568" t="s">
        <v>21</v>
      </c>
      <c r="H1568">
        <v>306.60000000000002</v>
      </c>
      <c r="I1568" s="13">
        <v>10</v>
      </c>
      <c r="J1568">
        <v>1</v>
      </c>
      <c r="K1568">
        <v>15.43</v>
      </c>
      <c r="L1568">
        <v>3</v>
      </c>
      <c r="M1568">
        <v>7</v>
      </c>
      <c r="N1568">
        <v>4</v>
      </c>
      <c r="O1568">
        <f t="shared" si="24"/>
        <v>3</v>
      </c>
    </row>
    <row r="1569" spans="1:15">
      <c r="A1569">
        <v>1499</v>
      </c>
      <c r="B1569" s="1">
        <v>45726</v>
      </c>
      <c r="C1569">
        <v>22</v>
      </c>
      <c r="D1569" t="s">
        <v>14</v>
      </c>
      <c r="E1569" t="s">
        <v>24</v>
      </c>
      <c r="F1569" t="s">
        <v>16</v>
      </c>
      <c r="H1569">
        <v>291.39999999999998</v>
      </c>
      <c r="I1569" s="13">
        <v>5</v>
      </c>
      <c r="J1569">
        <v>1</v>
      </c>
      <c r="K1569">
        <v>13.68</v>
      </c>
      <c r="L1569">
        <v>3</v>
      </c>
      <c r="M1569">
        <v>14</v>
      </c>
      <c r="N1569">
        <v>4</v>
      </c>
      <c r="O1569">
        <f t="shared" si="24"/>
        <v>3</v>
      </c>
    </row>
    <row r="1570" spans="1:15">
      <c r="A1570">
        <v>4335</v>
      </c>
      <c r="B1570" s="1">
        <v>45726</v>
      </c>
      <c r="C1570">
        <v>75</v>
      </c>
      <c r="D1570" t="s">
        <v>14</v>
      </c>
      <c r="E1570" t="s">
        <v>20</v>
      </c>
      <c r="F1570" t="s">
        <v>21</v>
      </c>
      <c r="H1570">
        <v>486.2</v>
      </c>
      <c r="I1570" s="13">
        <v>5</v>
      </c>
      <c r="J1570">
        <v>1</v>
      </c>
      <c r="K1570">
        <v>13.38</v>
      </c>
      <c r="L1570">
        <v>2</v>
      </c>
      <c r="M1570">
        <v>9</v>
      </c>
      <c r="N1570">
        <v>4</v>
      </c>
      <c r="O1570">
        <f t="shared" si="24"/>
        <v>3</v>
      </c>
    </row>
    <row r="1571" spans="1:15">
      <c r="A1571">
        <v>2090</v>
      </c>
      <c r="B1571" s="1">
        <v>45726</v>
      </c>
      <c r="C1571">
        <v>32</v>
      </c>
      <c r="D1571" t="s">
        <v>14</v>
      </c>
      <c r="E1571" t="s">
        <v>24</v>
      </c>
      <c r="F1571" t="s">
        <v>16</v>
      </c>
      <c r="H1571">
        <v>670.2</v>
      </c>
      <c r="I1571" s="13">
        <v>6</v>
      </c>
      <c r="J1571">
        <v>0</v>
      </c>
      <c r="K1571">
        <v>0</v>
      </c>
      <c r="L1571">
        <v>0</v>
      </c>
      <c r="M1571">
        <v>0</v>
      </c>
      <c r="O1571">
        <f t="shared" si="24"/>
        <v>3</v>
      </c>
    </row>
    <row r="1572" spans="1:15">
      <c r="A1572">
        <v>4339</v>
      </c>
      <c r="B1572" s="1">
        <v>45726</v>
      </c>
      <c r="C1572">
        <v>47</v>
      </c>
      <c r="D1572" t="s">
        <v>14</v>
      </c>
      <c r="E1572" t="s">
        <v>22</v>
      </c>
      <c r="F1572" t="s">
        <v>16</v>
      </c>
      <c r="H1572">
        <v>454.7</v>
      </c>
      <c r="I1572" s="13">
        <v>7</v>
      </c>
      <c r="J1572">
        <v>0</v>
      </c>
      <c r="K1572">
        <v>0</v>
      </c>
      <c r="L1572">
        <v>0</v>
      </c>
      <c r="M1572">
        <v>0</v>
      </c>
      <c r="O1572">
        <f t="shared" si="24"/>
        <v>3</v>
      </c>
    </row>
    <row r="1573" spans="1:15">
      <c r="A1573">
        <v>3831</v>
      </c>
      <c r="B1573" s="1">
        <v>45726</v>
      </c>
      <c r="C1573">
        <v>47</v>
      </c>
      <c r="D1573" t="s">
        <v>17</v>
      </c>
      <c r="E1573" t="s">
        <v>20</v>
      </c>
      <c r="F1573" t="s">
        <v>23</v>
      </c>
      <c r="H1573">
        <v>342</v>
      </c>
      <c r="I1573" s="13">
        <v>3</v>
      </c>
      <c r="J1573">
        <v>0</v>
      </c>
      <c r="K1573">
        <v>0</v>
      </c>
      <c r="L1573">
        <v>0</v>
      </c>
      <c r="M1573">
        <v>0</v>
      </c>
      <c r="O1573">
        <f t="shared" si="24"/>
        <v>3</v>
      </c>
    </row>
    <row r="1574" spans="1:15">
      <c r="A1574">
        <v>1505</v>
      </c>
      <c r="B1574" s="1">
        <v>45726</v>
      </c>
      <c r="C1574">
        <v>18</v>
      </c>
      <c r="D1574" t="s">
        <v>17</v>
      </c>
      <c r="E1574" t="s">
        <v>20</v>
      </c>
      <c r="F1574" t="s">
        <v>18</v>
      </c>
      <c r="G1574" t="s">
        <v>25</v>
      </c>
      <c r="H1574">
        <v>226.1</v>
      </c>
      <c r="I1574" s="13">
        <v>6</v>
      </c>
      <c r="J1574">
        <v>0</v>
      </c>
      <c r="K1574">
        <v>0</v>
      </c>
      <c r="L1574">
        <v>0</v>
      </c>
      <c r="M1574">
        <v>0</v>
      </c>
      <c r="O1574">
        <f t="shared" si="24"/>
        <v>3</v>
      </c>
    </row>
    <row r="1575" spans="1:15">
      <c r="A1575">
        <v>4852</v>
      </c>
      <c r="B1575" s="1">
        <v>45726</v>
      </c>
      <c r="C1575">
        <v>47</v>
      </c>
      <c r="D1575" t="s">
        <v>17</v>
      </c>
      <c r="E1575" t="s">
        <v>20</v>
      </c>
      <c r="F1575" t="s">
        <v>18</v>
      </c>
      <c r="G1575" t="s">
        <v>26</v>
      </c>
      <c r="H1575">
        <v>158.5</v>
      </c>
      <c r="I1575" s="13">
        <v>6</v>
      </c>
      <c r="J1575">
        <v>0</v>
      </c>
      <c r="K1575">
        <v>0</v>
      </c>
      <c r="L1575">
        <v>0</v>
      </c>
      <c r="M1575">
        <v>0</v>
      </c>
      <c r="O1575">
        <f t="shared" si="24"/>
        <v>3</v>
      </c>
    </row>
    <row r="1576" spans="1:15">
      <c r="A1576">
        <v>4409</v>
      </c>
      <c r="B1576" s="1">
        <v>45726</v>
      </c>
      <c r="C1576">
        <v>35</v>
      </c>
      <c r="D1576" t="s">
        <v>17</v>
      </c>
      <c r="E1576" t="s">
        <v>24</v>
      </c>
      <c r="F1576" t="s">
        <v>18</v>
      </c>
      <c r="G1576" t="s">
        <v>25</v>
      </c>
      <c r="H1576">
        <v>148.5</v>
      </c>
      <c r="I1576" s="13">
        <v>5</v>
      </c>
      <c r="J1576">
        <v>0</v>
      </c>
      <c r="K1576">
        <v>0</v>
      </c>
      <c r="L1576">
        <v>0</v>
      </c>
      <c r="M1576">
        <v>0</v>
      </c>
      <c r="O1576">
        <f t="shared" si="24"/>
        <v>3</v>
      </c>
    </row>
    <row r="1577" spans="1:15">
      <c r="A1577">
        <v>1671</v>
      </c>
      <c r="B1577" s="1">
        <v>45726</v>
      </c>
      <c r="C1577">
        <v>30</v>
      </c>
      <c r="D1577" t="s">
        <v>14</v>
      </c>
      <c r="E1577" t="s">
        <v>20</v>
      </c>
      <c r="F1577" t="s">
        <v>16</v>
      </c>
      <c r="H1577">
        <v>66.2</v>
      </c>
      <c r="I1577" s="13">
        <v>6</v>
      </c>
      <c r="J1577">
        <v>0</v>
      </c>
      <c r="K1577">
        <v>0</v>
      </c>
      <c r="L1577">
        <v>0</v>
      </c>
      <c r="M1577">
        <v>0</v>
      </c>
      <c r="O1577">
        <f t="shared" si="24"/>
        <v>3</v>
      </c>
    </row>
    <row r="1578" spans="1:15">
      <c r="A1578">
        <v>4377</v>
      </c>
      <c r="B1578" s="1">
        <v>45726</v>
      </c>
      <c r="C1578">
        <v>42</v>
      </c>
      <c r="D1578" t="s">
        <v>17</v>
      </c>
      <c r="E1578" t="s">
        <v>24</v>
      </c>
      <c r="F1578" t="s">
        <v>18</v>
      </c>
      <c r="G1578" t="s">
        <v>19</v>
      </c>
      <c r="H1578">
        <v>59.6</v>
      </c>
      <c r="I1578" s="13">
        <v>3</v>
      </c>
      <c r="J1578">
        <v>0</v>
      </c>
      <c r="K1578">
        <v>0</v>
      </c>
      <c r="L1578">
        <v>0</v>
      </c>
      <c r="M1578">
        <v>0</v>
      </c>
      <c r="O1578">
        <f t="shared" si="24"/>
        <v>3</v>
      </c>
    </row>
    <row r="1579" spans="1:15">
      <c r="A1579">
        <v>910</v>
      </c>
      <c r="B1579" s="1">
        <v>45726</v>
      </c>
      <c r="C1579">
        <v>38</v>
      </c>
      <c r="D1579" t="s">
        <v>17</v>
      </c>
      <c r="E1579" t="s">
        <v>22</v>
      </c>
      <c r="F1579" t="s">
        <v>16</v>
      </c>
      <c r="H1579">
        <v>51.4</v>
      </c>
      <c r="I1579" s="13">
        <v>6</v>
      </c>
      <c r="J1579">
        <v>0</v>
      </c>
      <c r="K1579">
        <v>0</v>
      </c>
      <c r="L1579">
        <v>0</v>
      </c>
      <c r="M1579">
        <v>0</v>
      </c>
      <c r="O1579">
        <f t="shared" si="24"/>
        <v>3</v>
      </c>
    </row>
    <row r="1580" spans="1:15">
      <c r="A1580">
        <v>188</v>
      </c>
      <c r="B1580" s="1">
        <v>45757</v>
      </c>
      <c r="C1580">
        <v>33</v>
      </c>
      <c r="D1580" t="s">
        <v>14</v>
      </c>
      <c r="E1580" t="s">
        <v>20</v>
      </c>
      <c r="F1580" t="s">
        <v>16</v>
      </c>
      <c r="H1580">
        <v>167.4</v>
      </c>
      <c r="I1580" s="13">
        <v>7</v>
      </c>
      <c r="J1580">
        <v>1</v>
      </c>
      <c r="K1580">
        <v>160</v>
      </c>
      <c r="L1580">
        <v>4</v>
      </c>
      <c r="M1580">
        <v>14</v>
      </c>
      <c r="N1580">
        <v>4</v>
      </c>
      <c r="O1580">
        <f t="shared" si="24"/>
        <v>4</v>
      </c>
    </row>
    <row r="1581" spans="1:15">
      <c r="A1581">
        <v>4285</v>
      </c>
      <c r="B1581" s="1">
        <v>45757</v>
      </c>
      <c r="C1581">
        <v>46</v>
      </c>
      <c r="D1581" t="s">
        <v>17</v>
      </c>
      <c r="E1581" t="s">
        <v>20</v>
      </c>
      <c r="F1581" t="s">
        <v>21</v>
      </c>
      <c r="H1581">
        <v>1002.8</v>
      </c>
      <c r="I1581" s="13">
        <v>7</v>
      </c>
      <c r="J1581">
        <v>1</v>
      </c>
      <c r="K1581">
        <v>136</v>
      </c>
      <c r="L1581">
        <v>1</v>
      </c>
      <c r="M1581">
        <v>5</v>
      </c>
      <c r="N1581">
        <v>4</v>
      </c>
      <c r="O1581">
        <f t="shared" si="24"/>
        <v>4</v>
      </c>
    </row>
    <row r="1582" spans="1:15">
      <c r="A1582">
        <v>4483</v>
      </c>
      <c r="B1582" s="1">
        <v>45757</v>
      </c>
      <c r="C1582">
        <v>56</v>
      </c>
      <c r="D1582" t="s">
        <v>14</v>
      </c>
      <c r="E1582" t="s">
        <v>22</v>
      </c>
      <c r="F1582" t="s">
        <v>18</v>
      </c>
      <c r="G1582" t="s">
        <v>30</v>
      </c>
      <c r="H1582">
        <v>398.8</v>
      </c>
      <c r="I1582" s="13">
        <v>9</v>
      </c>
      <c r="J1582">
        <v>1</v>
      </c>
      <c r="K1582">
        <v>100.83</v>
      </c>
      <c r="L1582">
        <v>7</v>
      </c>
      <c r="M1582">
        <v>9</v>
      </c>
      <c r="N1582">
        <v>5</v>
      </c>
      <c r="O1582">
        <f t="shared" si="24"/>
        <v>4</v>
      </c>
    </row>
    <row r="1583" spans="1:15">
      <c r="A1583">
        <v>4783</v>
      </c>
      <c r="B1583" s="1">
        <v>45757</v>
      </c>
      <c r="C1583">
        <v>49</v>
      </c>
      <c r="D1583" t="s">
        <v>17</v>
      </c>
      <c r="E1583" t="s">
        <v>20</v>
      </c>
      <c r="F1583" t="s">
        <v>18</v>
      </c>
      <c r="G1583" t="s">
        <v>30</v>
      </c>
      <c r="H1583">
        <v>36.6</v>
      </c>
      <c r="I1583" s="13">
        <v>8</v>
      </c>
      <c r="J1583">
        <v>1</v>
      </c>
      <c r="K1583">
        <v>52.23</v>
      </c>
      <c r="L1583">
        <v>2</v>
      </c>
      <c r="M1583">
        <v>6</v>
      </c>
      <c r="N1583">
        <v>4</v>
      </c>
      <c r="O1583">
        <f t="shared" si="24"/>
        <v>4</v>
      </c>
    </row>
    <row r="1584" spans="1:15">
      <c r="A1584">
        <v>915</v>
      </c>
      <c r="B1584" s="1">
        <v>45757</v>
      </c>
      <c r="C1584">
        <v>29</v>
      </c>
      <c r="D1584" t="s">
        <v>17</v>
      </c>
      <c r="E1584" t="s">
        <v>20</v>
      </c>
      <c r="F1584" t="s">
        <v>23</v>
      </c>
      <c r="H1584">
        <v>550.79999999999995</v>
      </c>
      <c r="I1584" s="13">
        <v>4</v>
      </c>
      <c r="J1584">
        <v>1</v>
      </c>
      <c r="K1584">
        <v>51.96</v>
      </c>
      <c r="L1584">
        <v>4</v>
      </c>
      <c r="M1584">
        <v>4</v>
      </c>
      <c r="N1584">
        <v>5</v>
      </c>
      <c r="O1584">
        <f t="shared" si="24"/>
        <v>4</v>
      </c>
    </row>
    <row r="1585" spans="1:15">
      <c r="A1585">
        <v>3858</v>
      </c>
      <c r="B1585" s="1">
        <v>45757</v>
      </c>
      <c r="C1585">
        <v>32</v>
      </c>
      <c r="D1585" t="s">
        <v>14</v>
      </c>
      <c r="E1585" t="s">
        <v>20</v>
      </c>
      <c r="F1585" t="s">
        <v>18</v>
      </c>
      <c r="G1585" t="s">
        <v>30</v>
      </c>
      <c r="H1585">
        <v>659.9</v>
      </c>
      <c r="I1585" s="13">
        <v>8</v>
      </c>
      <c r="J1585">
        <v>1</v>
      </c>
      <c r="K1585">
        <v>43.42</v>
      </c>
      <c r="L1585">
        <v>3</v>
      </c>
      <c r="M1585">
        <v>4</v>
      </c>
      <c r="N1585">
        <v>4</v>
      </c>
      <c r="O1585">
        <f t="shared" si="24"/>
        <v>4</v>
      </c>
    </row>
    <row r="1586" spans="1:15">
      <c r="A1586">
        <v>534</v>
      </c>
      <c r="B1586" s="1">
        <v>45757</v>
      </c>
      <c r="C1586">
        <v>28</v>
      </c>
      <c r="D1586" t="s">
        <v>14</v>
      </c>
      <c r="E1586" t="s">
        <v>24</v>
      </c>
      <c r="F1586" t="s">
        <v>23</v>
      </c>
      <c r="H1586">
        <v>1236.2</v>
      </c>
      <c r="I1586" s="13">
        <v>5</v>
      </c>
      <c r="J1586">
        <v>1</v>
      </c>
      <c r="K1586">
        <v>24.81</v>
      </c>
      <c r="L1586">
        <v>2</v>
      </c>
      <c r="M1586">
        <v>3</v>
      </c>
      <c r="N1586">
        <v>4</v>
      </c>
      <c r="O1586">
        <f t="shared" si="24"/>
        <v>4</v>
      </c>
    </row>
    <row r="1587" spans="1:15">
      <c r="A1587">
        <v>1901</v>
      </c>
      <c r="B1587" s="1">
        <v>45757</v>
      </c>
      <c r="C1587">
        <v>23</v>
      </c>
      <c r="D1587" t="s">
        <v>17</v>
      </c>
      <c r="E1587" t="s">
        <v>24</v>
      </c>
      <c r="F1587" t="s">
        <v>16</v>
      </c>
      <c r="H1587">
        <v>279.2</v>
      </c>
      <c r="I1587" s="13">
        <v>4</v>
      </c>
      <c r="J1587">
        <v>1</v>
      </c>
      <c r="K1587">
        <v>17.61</v>
      </c>
      <c r="L1587">
        <v>5</v>
      </c>
      <c r="M1587">
        <v>7</v>
      </c>
      <c r="N1587">
        <v>5</v>
      </c>
      <c r="O1587">
        <f t="shared" si="24"/>
        <v>4</v>
      </c>
    </row>
    <row r="1588" spans="1:15">
      <c r="A1588">
        <v>4535</v>
      </c>
      <c r="B1588" s="1">
        <v>45757</v>
      </c>
      <c r="C1588">
        <v>52</v>
      </c>
      <c r="D1588" t="s">
        <v>17</v>
      </c>
      <c r="E1588" t="s">
        <v>22</v>
      </c>
      <c r="F1588" t="s">
        <v>18</v>
      </c>
      <c r="G1588" t="s">
        <v>28</v>
      </c>
      <c r="H1588">
        <v>219.6</v>
      </c>
      <c r="I1588" s="13">
        <v>5</v>
      </c>
      <c r="J1588">
        <v>1</v>
      </c>
      <c r="K1588">
        <v>14.66</v>
      </c>
      <c r="L1588">
        <v>8</v>
      </c>
      <c r="M1588">
        <v>3</v>
      </c>
      <c r="N1588">
        <v>4</v>
      </c>
      <c r="O1588">
        <f t="shared" si="24"/>
        <v>4</v>
      </c>
    </row>
    <row r="1589" spans="1:15">
      <c r="A1589">
        <v>1331</v>
      </c>
      <c r="B1589" s="1">
        <v>45757</v>
      </c>
      <c r="C1589">
        <v>19</v>
      </c>
      <c r="D1589" t="s">
        <v>14</v>
      </c>
      <c r="E1589" t="s">
        <v>22</v>
      </c>
      <c r="F1589" t="s">
        <v>18</v>
      </c>
      <c r="G1589" t="s">
        <v>19</v>
      </c>
      <c r="H1589">
        <v>588.20000000000005</v>
      </c>
      <c r="I1589" s="13">
        <v>9</v>
      </c>
      <c r="J1589">
        <v>0</v>
      </c>
      <c r="K1589">
        <v>0</v>
      </c>
      <c r="L1589">
        <v>0</v>
      </c>
      <c r="M1589">
        <v>0</v>
      </c>
      <c r="O1589">
        <f t="shared" si="24"/>
        <v>4</v>
      </c>
    </row>
    <row r="1590" spans="1:15">
      <c r="A1590">
        <v>553</v>
      </c>
      <c r="B1590" s="1">
        <v>45757</v>
      </c>
      <c r="C1590">
        <v>29</v>
      </c>
      <c r="D1590" t="s">
        <v>17</v>
      </c>
      <c r="E1590" t="s">
        <v>22</v>
      </c>
      <c r="F1590" t="s">
        <v>18</v>
      </c>
      <c r="G1590" t="s">
        <v>25</v>
      </c>
      <c r="H1590">
        <v>433.7</v>
      </c>
      <c r="I1590" s="13">
        <v>7</v>
      </c>
      <c r="J1590">
        <v>0</v>
      </c>
      <c r="K1590">
        <v>0</v>
      </c>
      <c r="L1590">
        <v>0</v>
      </c>
      <c r="M1590">
        <v>0</v>
      </c>
      <c r="O1590">
        <f t="shared" si="24"/>
        <v>4</v>
      </c>
    </row>
    <row r="1591" spans="1:15">
      <c r="A1591">
        <v>1657</v>
      </c>
      <c r="B1591" s="1">
        <v>45757</v>
      </c>
      <c r="C1591">
        <v>26</v>
      </c>
      <c r="D1591" t="s">
        <v>14</v>
      </c>
      <c r="E1591" t="s">
        <v>15</v>
      </c>
      <c r="F1591" t="s">
        <v>18</v>
      </c>
      <c r="G1591" t="s">
        <v>29</v>
      </c>
      <c r="H1591">
        <v>417.2</v>
      </c>
      <c r="I1591" s="13">
        <v>7</v>
      </c>
      <c r="J1591">
        <v>0</v>
      </c>
      <c r="K1591">
        <v>0</v>
      </c>
      <c r="L1591">
        <v>0</v>
      </c>
      <c r="M1591">
        <v>0</v>
      </c>
      <c r="O1591">
        <f t="shared" si="24"/>
        <v>4</v>
      </c>
    </row>
    <row r="1592" spans="1:15">
      <c r="A1592">
        <v>1548</v>
      </c>
      <c r="B1592" s="1">
        <v>45757</v>
      </c>
      <c r="C1592">
        <v>23</v>
      </c>
      <c r="D1592" t="s">
        <v>17</v>
      </c>
      <c r="E1592" t="s">
        <v>15</v>
      </c>
      <c r="F1592" t="s">
        <v>16</v>
      </c>
      <c r="H1592">
        <v>401.2</v>
      </c>
      <c r="I1592" s="13">
        <v>7</v>
      </c>
      <c r="J1592">
        <v>0</v>
      </c>
      <c r="K1592">
        <v>0</v>
      </c>
      <c r="L1592">
        <v>0</v>
      </c>
      <c r="M1592">
        <v>0</v>
      </c>
      <c r="O1592">
        <f t="shared" si="24"/>
        <v>4</v>
      </c>
    </row>
    <row r="1593" spans="1:15">
      <c r="A1593">
        <v>3201</v>
      </c>
      <c r="B1593" s="1">
        <v>45757</v>
      </c>
      <c r="C1593">
        <v>35</v>
      </c>
      <c r="D1593" t="s">
        <v>17</v>
      </c>
      <c r="E1593" t="s">
        <v>15</v>
      </c>
      <c r="F1593" t="s">
        <v>23</v>
      </c>
      <c r="H1593">
        <v>347.7</v>
      </c>
      <c r="I1593" s="13">
        <v>3</v>
      </c>
      <c r="J1593">
        <v>0</v>
      </c>
      <c r="K1593">
        <v>0</v>
      </c>
      <c r="L1593">
        <v>0</v>
      </c>
      <c r="M1593">
        <v>0</v>
      </c>
      <c r="O1593">
        <f t="shared" si="24"/>
        <v>4</v>
      </c>
    </row>
    <row r="1594" spans="1:15">
      <c r="A1594">
        <v>478</v>
      </c>
      <c r="B1594" s="1">
        <v>45757</v>
      </c>
      <c r="C1594">
        <v>18</v>
      </c>
      <c r="D1594" t="s">
        <v>14</v>
      </c>
      <c r="E1594" t="s">
        <v>24</v>
      </c>
      <c r="F1594" t="s">
        <v>16</v>
      </c>
      <c r="H1594">
        <v>341.7</v>
      </c>
      <c r="I1594" s="13">
        <v>5</v>
      </c>
      <c r="J1594">
        <v>0</v>
      </c>
      <c r="K1594">
        <v>0</v>
      </c>
      <c r="L1594">
        <v>0</v>
      </c>
      <c r="M1594">
        <v>0</v>
      </c>
      <c r="O1594">
        <f t="shared" si="24"/>
        <v>4</v>
      </c>
    </row>
    <row r="1595" spans="1:15">
      <c r="A1595">
        <v>327</v>
      </c>
      <c r="B1595" s="1">
        <v>45757</v>
      </c>
      <c r="C1595">
        <v>19</v>
      </c>
      <c r="D1595" t="s">
        <v>14</v>
      </c>
      <c r="E1595" t="s">
        <v>20</v>
      </c>
      <c r="F1595" t="s">
        <v>21</v>
      </c>
      <c r="H1595">
        <v>319.39999999999998</v>
      </c>
      <c r="I1595" s="13">
        <v>2</v>
      </c>
      <c r="J1595">
        <v>0</v>
      </c>
      <c r="K1595">
        <v>0</v>
      </c>
      <c r="L1595">
        <v>0</v>
      </c>
      <c r="M1595">
        <v>0</v>
      </c>
      <c r="O1595">
        <f t="shared" si="24"/>
        <v>4</v>
      </c>
    </row>
    <row r="1596" spans="1:15">
      <c r="A1596">
        <v>4912</v>
      </c>
      <c r="B1596" s="1">
        <v>45757</v>
      </c>
      <c r="C1596">
        <v>30</v>
      </c>
      <c r="D1596" t="s">
        <v>14</v>
      </c>
      <c r="E1596" t="s">
        <v>22</v>
      </c>
      <c r="F1596" t="s">
        <v>21</v>
      </c>
      <c r="H1596">
        <v>244.8</v>
      </c>
      <c r="I1596" s="13">
        <v>6</v>
      </c>
      <c r="J1596">
        <v>0</v>
      </c>
      <c r="K1596">
        <v>0</v>
      </c>
      <c r="L1596">
        <v>0</v>
      </c>
      <c r="M1596">
        <v>0</v>
      </c>
      <c r="O1596">
        <f t="shared" si="24"/>
        <v>4</v>
      </c>
    </row>
    <row r="1597" spans="1:15">
      <c r="A1597">
        <v>2441</v>
      </c>
      <c r="B1597" s="1">
        <v>45757</v>
      </c>
      <c r="C1597">
        <v>31</v>
      </c>
      <c r="D1597" t="s">
        <v>14</v>
      </c>
      <c r="E1597" t="s">
        <v>15</v>
      </c>
      <c r="F1597" t="s">
        <v>21</v>
      </c>
      <c r="H1597">
        <v>241.6</v>
      </c>
      <c r="I1597" s="13">
        <v>8</v>
      </c>
      <c r="J1597">
        <v>0</v>
      </c>
      <c r="K1597">
        <v>0</v>
      </c>
      <c r="L1597">
        <v>0</v>
      </c>
      <c r="M1597">
        <v>0</v>
      </c>
      <c r="O1597">
        <f t="shared" si="24"/>
        <v>4</v>
      </c>
    </row>
    <row r="1598" spans="1:15">
      <c r="A1598">
        <v>2593</v>
      </c>
      <c r="B1598" s="1">
        <v>45757</v>
      </c>
      <c r="C1598">
        <v>30</v>
      </c>
      <c r="D1598" t="s">
        <v>14</v>
      </c>
      <c r="E1598" t="s">
        <v>22</v>
      </c>
      <c r="F1598" t="s">
        <v>16</v>
      </c>
      <c r="H1598">
        <v>230.4</v>
      </c>
      <c r="I1598" s="13">
        <v>5</v>
      </c>
      <c r="J1598">
        <v>0</v>
      </c>
      <c r="K1598">
        <v>0</v>
      </c>
      <c r="L1598">
        <v>0</v>
      </c>
      <c r="M1598">
        <v>0</v>
      </c>
      <c r="O1598">
        <f t="shared" si="24"/>
        <v>4</v>
      </c>
    </row>
    <row r="1599" spans="1:15">
      <c r="A1599">
        <v>1126</v>
      </c>
      <c r="B1599" s="1">
        <v>45757</v>
      </c>
      <c r="C1599">
        <v>33</v>
      </c>
      <c r="D1599" t="s">
        <v>27</v>
      </c>
      <c r="E1599" t="s">
        <v>22</v>
      </c>
      <c r="F1599" t="s">
        <v>18</v>
      </c>
      <c r="G1599" t="s">
        <v>25</v>
      </c>
      <c r="H1599">
        <v>216.2</v>
      </c>
      <c r="I1599" s="13">
        <v>6</v>
      </c>
      <c r="J1599">
        <v>0</v>
      </c>
      <c r="K1599">
        <v>0</v>
      </c>
      <c r="L1599">
        <v>0</v>
      </c>
      <c r="M1599">
        <v>0</v>
      </c>
      <c r="O1599">
        <f t="shared" si="24"/>
        <v>4</v>
      </c>
    </row>
    <row r="1600" spans="1:15">
      <c r="A1600">
        <v>3665</v>
      </c>
      <c r="B1600" s="1">
        <v>45757</v>
      </c>
      <c r="C1600">
        <v>28</v>
      </c>
      <c r="D1600" t="s">
        <v>17</v>
      </c>
      <c r="E1600" t="s">
        <v>15</v>
      </c>
      <c r="F1600" t="s">
        <v>18</v>
      </c>
      <c r="G1600" t="s">
        <v>30</v>
      </c>
      <c r="H1600">
        <v>194.9</v>
      </c>
      <c r="I1600" s="13">
        <v>1</v>
      </c>
      <c r="J1600">
        <v>0</v>
      </c>
      <c r="K1600">
        <v>0</v>
      </c>
      <c r="L1600">
        <v>0</v>
      </c>
      <c r="M1600">
        <v>0</v>
      </c>
      <c r="O1600">
        <f t="shared" si="24"/>
        <v>4</v>
      </c>
    </row>
    <row r="1601" spans="1:15">
      <c r="A1601">
        <v>4985</v>
      </c>
      <c r="B1601" s="1">
        <v>45757</v>
      </c>
      <c r="C1601">
        <v>36</v>
      </c>
      <c r="D1601" t="s">
        <v>14</v>
      </c>
      <c r="E1601" t="s">
        <v>20</v>
      </c>
      <c r="F1601" t="s">
        <v>16</v>
      </c>
      <c r="H1601">
        <v>173.5</v>
      </c>
      <c r="I1601" s="13">
        <v>4</v>
      </c>
      <c r="J1601">
        <v>0</v>
      </c>
      <c r="K1601">
        <v>0</v>
      </c>
      <c r="L1601">
        <v>0</v>
      </c>
      <c r="M1601">
        <v>0</v>
      </c>
      <c r="O1601">
        <f t="shared" si="24"/>
        <v>4</v>
      </c>
    </row>
    <row r="1602" spans="1:15">
      <c r="A1602">
        <v>1895</v>
      </c>
      <c r="B1602" s="1">
        <v>45757</v>
      </c>
      <c r="C1602">
        <v>20</v>
      </c>
      <c r="D1602" t="s">
        <v>14</v>
      </c>
      <c r="E1602" t="s">
        <v>22</v>
      </c>
      <c r="F1602" t="s">
        <v>18</v>
      </c>
      <c r="G1602" t="s">
        <v>30</v>
      </c>
      <c r="H1602">
        <v>144.5</v>
      </c>
      <c r="I1602" s="13">
        <v>6</v>
      </c>
      <c r="J1602">
        <v>0</v>
      </c>
      <c r="K1602">
        <v>0</v>
      </c>
      <c r="L1602">
        <v>0</v>
      </c>
      <c r="M1602">
        <v>0</v>
      </c>
      <c r="O1602">
        <f t="shared" si="24"/>
        <v>4</v>
      </c>
    </row>
    <row r="1603" spans="1:15">
      <c r="A1603">
        <v>4410</v>
      </c>
      <c r="B1603" s="1">
        <v>45757</v>
      </c>
      <c r="C1603">
        <v>44</v>
      </c>
      <c r="D1603" t="s">
        <v>17</v>
      </c>
      <c r="E1603" t="s">
        <v>22</v>
      </c>
      <c r="F1603" t="s">
        <v>18</v>
      </c>
      <c r="G1603" t="s">
        <v>30</v>
      </c>
      <c r="H1603">
        <v>138.30000000000001</v>
      </c>
      <c r="I1603" s="13">
        <v>8</v>
      </c>
      <c r="J1603">
        <v>0</v>
      </c>
      <c r="K1603">
        <v>0</v>
      </c>
      <c r="L1603">
        <v>0</v>
      </c>
      <c r="M1603">
        <v>0</v>
      </c>
      <c r="O1603">
        <f t="shared" ref="O1603:O1666" si="25">MONTH(B1603)</f>
        <v>4</v>
      </c>
    </row>
    <row r="1604" spans="1:15">
      <c r="A1604">
        <v>2993</v>
      </c>
      <c r="B1604" s="1">
        <v>45757</v>
      </c>
      <c r="C1604">
        <v>42</v>
      </c>
      <c r="D1604" t="s">
        <v>17</v>
      </c>
      <c r="E1604" t="s">
        <v>15</v>
      </c>
      <c r="F1604" t="s">
        <v>16</v>
      </c>
      <c r="H1604">
        <v>136.69999999999999</v>
      </c>
      <c r="I1604" s="13">
        <v>6</v>
      </c>
      <c r="J1604">
        <v>0</v>
      </c>
      <c r="K1604">
        <v>0</v>
      </c>
      <c r="L1604">
        <v>0</v>
      </c>
      <c r="M1604">
        <v>0</v>
      </c>
      <c r="O1604">
        <f t="shared" si="25"/>
        <v>4</v>
      </c>
    </row>
    <row r="1605" spans="1:15">
      <c r="A1605">
        <v>4348</v>
      </c>
      <c r="B1605" s="1">
        <v>45757</v>
      </c>
      <c r="C1605">
        <v>31</v>
      </c>
      <c r="D1605" t="s">
        <v>14</v>
      </c>
      <c r="E1605" t="s">
        <v>15</v>
      </c>
      <c r="F1605" t="s">
        <v>18</v>
      </c>
      <c r="G1605" t="s">
        <v>29</v>
      </c>
      <c r="H1605">
        <v>103.7</v>
      </c>
      <c r="I1605" s="13">
        <v>4</v>
      </c>
      <c r="J1605">
        <v>0</v>
      </c>
      <c r="K1605">
        <v>0</v>
      </c>
      <c r="L1605">
        <v>0</v>
      </c>
      <c r="M1605">
        <v>0</v>
      </c>
      <c r="O1605">
        <f t="shared" si="25"/>
        <v>4</v>
      </c>
    </row>
    <row r="1606" spans="1:15">
      <c r="A1606">
        <v>942</v>
      </c>
      <c r="B1606" s="1">
        <v>45757</v>
      </c>
      <c r="C1606">
        <v>27</v>
      </c>
      <c r="D1606" t="s">
        <v>14</v>
      </c>
      <c r="E1606" t="s">
        <v>15</v>
      </c>
      <c r="F1606" t="s">
        <v>16</v>
      </c>
      <c r="H1606">
        <v>85.1</v>
      </c>
      <c r="I1606" s="13">
        <v>7</v>
      </c>
      <c r="J1606">
        <v>0</v>
      </c>
      <c r="K1606">
        <v>0</v>
      </c>
      <c r="L1606">
        <v>0</v>
      </c>
      <c r="M1606">
        <v>0</v>
      </c>
      <c r="O1606">
        <f t="shared" si="25"/>
        <v>4</v>
      </c>
    </row>
    <row r="1607" spans="1:15">
      <c r="A1607">
        <v>4515</v>
      </c>
      <c r="B1607" s="1">
        <v>45757</v>
      </c>
      <c r="C1607">
        <v>60</v>
      </c>
      <c r="D1607" t="s">
        <v>17</v>
      </c>
      <c r="E1607" t="s">
        <v>15</v>
      </c>
      <c r="F1607" t="s">
        <v>23</v>
      </c>
      <c r="H1607">
        <v>78.400000000000006</v>
      </c>
      <c r="I1607" s="13">
        <v>6</v>
      </c>
      <c r="J1607">
        <v>0</v>
      </c>
      <c r="K1607">
        <v>0</v>
      </c>
      <c r="L1607">
        <v>0</v>
      </c>
      <c r="M1607">
        <v>0</v>
      </c>
      <c r="O1607">
        <f t="shared" si="25"/>
        <v>4</v>
      </c>
    </row>
    <row r="1608" spans="1:15">
      <c r="A1608">
        <v>3598</v>
      </c>
      <c r="B1608" s="1">
        <v>45757</v>
      </c>
      <c r="C1608">
        <v>33</v>
      </c>
      <c r="D1608" t="s">
        <v>17</v>
      </c>
      <c r="E1608" t="s">
        <v>24</v>
      </c>
      <c r="F1608" t="s">
        <v>18</v>
      </c>
      <c r="G1608" t="s">
        <v>28</v>
      </c>
      <c r="H1608">
        <v>72.3</v>
      </c>
      <c r="I1608" s="13">
        <v>7</v>
      </c>
      <c r="J1608">
        <v>0</v>
      </c>
      <c r="K1608">
        <v>0</v>
      </c>
      <c r="L1608">
        <v>0</v>
      </c>
      <c r="M1608">
        <v>0</v>
      </c>
      <c r="O1608">
        <f t="shared" si="25"/>
        <v>4</v>
      </c>
    </row>
    <row r="1609" spans="1:15">
      <c r="A1609">
        <v>1332</v>
      </c>
      <c r="B1609" s="1">
        <v>45787</v>
      </c>
      <c r="C1609">
        <v>28</v>
      </c>
      <c r="D1609" t="s">
        <v>14</v>
      </c>
      <c r="E1609" t="s">
        <v>24</v>
      </c>
      <c r="F1609" t="s">
        <v>23</v>
      </c>
      <c r="H1609">
        <v>241.9</v>
      </c>
      <c r="I1609" s="13">
        <v>9</v>
      </c>
      <c r="J1609">
        <v>1</v>
      </c>
      <c r="K1609">
        <v>97.61</v>
      </c>
      <c r="L1609">
        <v>4</v>
      </c>
      <c r="M1609">
        <v>10</v>
      </c>
      <c r="N1609">
        <v>4</v>
      </c>
      <c r="O1609">
        <f t="shared" si="25"/>
        <v>5</v>
      </c>
    </row>
    <row r="1610" spans="1:15">
      <c r="A1610">
        <v>2989</v>
      </c>
      <c r="B1610" s="1">
        <v>45787</v>
      </c>
      <c r="C1610">
        <v>29</v>
      </c>
      <c r="D1610" t="s">
        <v>14</v>
      </c>
      <c r="E1610" t="s">
        <v>24</v>
      </c>
      <c r="F1610" t="s">
        <v>18</v>
      </c>
      <c r="G1610" t="s">
        <v>26</v>
      </c>
      <c r="H1610">
        <v>683.2</v>
      </c>
      <c r="I1610" s="13">
        <v>6</v>
      </c>
      <c r="J1610">
        <v>1</v>
      </c>
      <c r="K1610">
        <v>74</v>
      </c>
      <c r="L1610">
        <v>1</v>
      </c>
      <c r="M1610">
        <v>10</v>
      </c>
      <c r="N1610">
        <v>4</v>
      </c>
      <c r="O1610">
        <f t="shared" si="25"/>
        <v>5</v>
      </c>
    </row>
    <row r="1611" spans="1:15">
      <c r="A1611">
        <v>3219</v>
      </c>
      <c r="B1611" s="1">
        <v>45787</v>
      </c>
      <c r="C1611">
        <v>37</v>
      </c>
      <c r="D1611" t="s">
        <v>14</v>
      </c>
      <c r="E1611" t="s">
        <v>24</v>
      </c>
      <c r="F1611" t="s">
        <v>16</v>
      </c>
      <c r="H1611">
        <v>278.89999999999998</v>
      </c>
      <c r="I1611" s="13">
        <v>7</v>
      </c>
      <c r="J1611">
        <v>1</v>
      </c>
      <c r="K1611">
        <v>63.06</v>
      </c>
      <c r="L1611">
        <v>7</v>
      </c>
      <c r="M1611">
        <v>4</v>
      </c>
      <c r="N1611">
        <v>4</v>
      </c>
      <c r="O1611">
        <f t="shared" si="25"/>
        <v>5</v>
      </c>
    </row>
    <row r="1612" spans="1:15">
      <c r="A1612">
        <v>4317</v>
      </c>
      <c r="B1612" s="1">
        <v>45787</v>
      </c>
      <c r="C1612">
        <v>47</v>
      </c>
      <c r="D1612" t="s">
        <v>17</v>
      </c>
      <c r="E1612" t="s">
        <v>24</v>
      </c>
      <c r="F1612" t="s">
        <v>16</v>
      </c>
      <c r="H1612">
        <v>502.4</v>
      </c>
      <c r="I1612" s="13">
        <v>3</v>
      </c>
      <c r="J1612">
        <v>1</v>
      </c>
      <c r="K1612">
        <v>60.49</v>
      </c>
      <c r="L1612">
        <v>2</v>
      </c>
      <c r="M1612">
        <v>2</v>
      </c>
      <c r="N1612">
        <v>4</v>
      </c>
      <c r="O1612">
        <f t="shared" si="25"/>
        <v>5</v>
      </c>
    </row>
    <row r="1613" spans="1:15">
      <c r="A1613">
        <v>2135</v>
      </c>
      <c r="B1613" s="1">
        <v>45787</v>
      </c>
      <c r="C1613">
        <v>25</v>
      </c>
      <c r="D1613" t="s">
        <v>14</v>
      </c>
      <c r="E1613" t="s">
        <v>20</v>
      </c>
      <c r="F1613" t="s">
        <v>18</v>
      </c>
      <c r="G1613" t="s">
        <v>25</v>
      </c>
      <c r="H1613">
        <v>410.1</v>
      </c>
      <c r="I1613" s="13">
        <v>6</v>
      </c>
      <c r="J1613">
        <v>1</v>
      </c>
      <c r="K1613">
        <v>51.57</v>
      </c>
      <c r="L1613">
        <v>4</v>
      </c>
      <c r="M1613">
        <v>1</v>
      </c>
      <c r="N1613">
        <v>4</v>
      </c>
      <c r="O1613">
        <f t="shared" si="25"/>
        <v>5</v>
      </c>
    </row>
    <row r="1614" spans="1:15">
      <c r="A1614">
        <v>1590</v>
      </c>
      <c r="B1614" s="1">
        <v>45787</v>
      </c>
      <c r="C1614">
        <v>21</v>
      </c>
      <c r="D1614" t="s">
        <v>17</v>
      </c>
      <c r="E1614" t="s">
        <v>20</v>
      </c>
      <c r="F1614" t="s">
        <v>16</v>
      </c>
      <c r="H1614">
        <v>659.9</v>
      </c>
      <c r="I1614" s="13">
        <v>5</v>
      </c>
      <c r="J1614">
        <v>1</v>
      </c>
      <c r="K1614">
        <v>45.09</v>
      </c>
      <c r="L1614">
        <v>2</v>
      </c>
      <c r="M1614">
        <v>6</v>
      </c>
      <c r="N1614">
        <v>3</v>
      </c>
      <c r="O1614">
        <f t="shared" si="25"/>
        <v>5</v>
      </c>
    </row>
    <row r="1615" spans="1:15">
      <c r="A1615">
        <v>4652</v>
      </c>
      <c r="B1615" s="1">
        <v>45787</v>
      </c>
      <c r="C1615">
        <v>51</v>
      </c>
      <c r="D1615" t="s">
        <v>17</v>
      </c>
      <c r="E1615" t="s">
        <v>24</v>
      </c>
      <c r="F1615" t="s">
        <v>16</v>
      </c>
      <c r="H1615">
        <v>640.1</v>
      </c>
      <c r="I1615" s="13">
        <v>9</v>
      </c>
      <c r="J1615">
        <v>1</v>
      </c>
      <c r="K1615">
        <v>40.049999999999997</v>
      </c>
      <c r="L1615">
        <v>2</v>
      </c>
      <c r="M1615">
        <v>2</v>
      </c>
      <c r="N1615">
        <v>5</v>
      </c>
      <c r="O1615">
        <f t="shared" si="25"/>
        <v>5</v>
      </c>
    </row>
    <row r="1616" spans="1:15">
      <c r="A1616">
        <v>779</v>
      </c>
      <c r="B1616" s="1">
        <v>45787</v>
      </c>
      <c r="C1616">
        <v>30</v>
      </c>
      <c r="D1616" t="s">
        <v>14</v>
      </c>
      <c r="E1616" t="s">
        <v>24</v>
      </c>
      <c r="F1616" t="s">
        <v>16</v>
      </c>
      <c r="H1616">
        <v>693.3</v>
      </c>
      <c r="I1616" s="13">
        <v>8</v>
      </c>
      <c r="J1616">
        <v>1</v>
      </c>
      <c r="K1616">
        <v>27.89</v>
      </c>
      <c r="L1616">
        <v>6</v>
      </c>
      <c r="M1616">
        <v>9</v>
      </c>
      <c r="N1616">
        <v>4</v>
      </c>
      <c r="O1616">
        <f t="shared" si="25"/>
        <v>5</v>
      </c>
    </row>
    <row r="1617" spans="1:15">
      <c r="A1617">
        <v>1916</v>
      </c>
      <c r="B1617" s="1">
        <v>45787</v>
      </c>
      <c r="C1617">
        <v>31</v>
      </c>
      <c r="D1617" t="s">
        <v>17</v>
      </c>
      <c r="E1617" t="s">
        <v>20</v>
      </c>
      <c r="F1617" t="s">
        <v>18</v>
      </c>
      <c r="G1617" t="s">
        <v>30</v>
      </c>
      <c r="H1617">
        <v>440.1</v>
      </c>
      <c r="I1617" s="13">
        <v>11</v>
      </c>
      <c r="J1617">
        <v>1</v>
      </c>
      <c r="K1617">
        <v>20.85</v>
      </c>
      <c r="L1617">
        <v>5</v>
      </c>
      <c r="M1617">
        <v>13</v>
      </c>
      <c r="N1617">
        <v>4</v>
      </c>
      <c r="O1617">
        <f t="shared" si="25"/>
        <v>5</v>
      </c>
    </row>
    <row r="1618" spans="1:15">
      <c r="A1618">
        <v>4741</v>
      </c>
      <c r="B1618" s="1">
        <v>45787</v>
      </c>
      <c r="C1618">
        <v>33</v>
      </c>
      <c r="D1618" t="s">
        <v>14</v>
      </c>
      <c r="E1618" t="s">
        <v>15</v>
      </c>
      <c r="F1618" t="s">
        <v>18</v>
      </c>
      <c r="G1618" t="s">
        <v>31</v>
      </c>
      <c r="H1618">
        <v>267.2</v>
      </c>
      <c r="I1618" s="13">
        <v>7</v>
      </c>
      <c r="J1618">
        <v>1</v>
      </c>
      <c r="K1618">
        <v>18.170000000000002</v>
      </c>
      <c r="L1618">
        <v>4</v>
      </c>
      <c r="M1618">
        <v>4</v>
      </c>
      <c r="N1618">
        <v>4</v>
      </c>
      <c r="O1618">
        <f t="shared" si="25"/>
        <v>5</v>
      </c>
    </row>
    <row r="1619" spans="1:15">
      <c r="A1619">
        <v>4660</v>
      </c>
      <c r="B1619" s="1">
        <v>45787</v>
      </c>
      <c r="C1619">
        <v>42</v>
      </c>
      <c r="D1619" t="s">
        <v>17</v>
      </c>
      <c r="E1619" t="s">
        <v>24</v>
      </c>
      <c r="F1619" t="s">
        <v>16</v>
      </c>
      <c r="H1619">
        <v>600.6</v>
      </c>
      <c r="I1619" s="13">
        <v>5</v>
      </c>
      <c r="J1619">
        <v>0</v>
      </c>
      <c r="K1619">
        <v>0</v>
      </c>
      <c r="L1619">
        <v>0</v>
      </c>
      <c r="M1619">
        <v>0</v>
      </c>
      <c r="O1619">
        <f t="shared" si="25"/>
        <v>5</v>
      </c>
    </row>
    <row r="1620" spans="1:15">
      <c r="A1620">
        <v>967</v>
      </c>
      <c r="B1620" s="1">
        <v>45787</v>
      </c>
      <c r="C1620">
        <v>26</v>
      </c>
      <c r="D1620" t="s">
        <v>14</v>
      </c>
      <c r="E1620" t="s">
        <v>22</v>
      </c>
      <c r="F1620" t="s">
        <v>23</v>
      </c>
      <c r="H1620">
        <v>349.3</v>
      </c>
      <c r="I1620" s="13">
        <v>5</v>
      </c>
      <c r="J1620">
        <v>0</v>
      </c>
      <c r="K1620">
        <v>0</v>
      </c>
      <c r="L1620">
        <v>0</v>
      </c>
      <c r="M1620">
        <v>0</v>
      </c>
      <c r="O1620">
        <f t="shared" si="25"/>
        <v>5</v>
      </c>
    </row>
    <row r="1621" spans="1:15">
      <c r="A1621">
        <v>2810</v>
      </c>
      <c r="B1621" s="1">
        <v>45787</v>
      </c>
      <c r="C1621">
        <v>29</v>
      </c>
      <c r="D1621" t="s">
        <v>14</v>
      </c>
      <c r="E1621" t="s">
        <v>22</v>
      </c>
      <c r="F1621" t="s">
        <v>21</v>
      </c>
      <c r="H1621">
        <v>344.6</v>
      </c>
      <c r="I1621" s="13">
        <v>2</v>
      </c>
      <c r="J1621">
        <v>0</v>
      </c>
      <c r="K1621">
        <v>0</v>
      </c>
      <c r="L1621">
        <v>0</v>
      </c>
      <c r="M1621">
        <v>0</v>
      </c>
      <c r="O1621">
        <f t="shared" si="25"/>
        <v>5</v>
      </c>
    </row>
    <row r="1622" spans="1:15">
      <c r="A1622">
        <v>1512</v>
      </c>
      <c r="B1622" s="1">
        <v>45787</v>
      </c>
      <c r="C1622">
        <v>19</v>
      </c>
      <c r="D1622" t="s">
        <v>14</v>
      </c>
      <c r="E1622" t="s">
        <v>15</v>
      </c>
      <c r="F1622" t="s">
        <v>18</v>
      </c>
      <c r="G1622" t="s">
        <v>31</v>
      </c>
      <c r="H1622">
        <v>306.60000000000002</v>
      </c>
      <c r="I1622" s="13">
        <v>6</v>
      </c>
      <c r="J1622">
        <v>0</v>
      </c>
      <c r="K1622">
        <v>0</v>
      </c>
      <c r="L1622">
        <v>0</v>
      </c>
      <c r="M1622">
        <v>0</v>
      </c>
      <c r="O1622">
        <f t="shared" si="25"/>
        <v>5</v>
      </c>
    </row>
    <row r="1623" spans="1:15">
      <c r="A1623">
        <v>4561</v>
      </c>
      <c r="B1623" s="1">
        <v>45787</v>
      </c>
      <c r="C1623">
        <v>69</v>
      </c>
      <c r="D1623" t="s">
        <v>14</v>
      </c>
      <c r="E1623" t="s">
        <v>22</v>
      </c>
      <c r="F1623" t="s">
        <v>18</v>
      </c>
      <c r="G1623" t="s">
        <v>28</v>
      </c>
      <c r="H1623">
        <v>183.8</v>
      </c>
      <c r="I1623" s="13">
        <v>5</v>
      </c>
      <c r="J1623">
        <v>0</v>
      </c>
      <c r="K1623">
        <v>0</v>
      </c>
      <c r="L1623">
        <v>0</v>
      </c>
      <c r="M1623">
        <v>0</v>
      </c>
      <c r="O1623">
        <f t="shared" si="25"/>
        <v>5</v>
      </c>
    </row>
    <row r="1624" spans="1:15">
      <c r="A1624">
        <v>2474</v>
      </c>
      <c r="B1624" s="1">
        <v>45787</v>
      </c>
      <c r="C1624">
        <v>30</v>
      </c>
      <c r="D1624" t="s">
        <v>17</v>
      </c>
      <c r="E1624" t="s">
        <v>22</v>
      </c>
      <c r="F1624" t="s">
        <v>23</v>
      </c>
      <c r="H1624">
        <v>178.6</v>
      </c>
      <c r="I1624" s="13">
        <v>6</v>
      </c>
      <c r="J1624">
        <v>0</v>
      </c>
      <c r="K1624">
        <v>0</v>
      </c>
      <c r="L1624">
        <v>0</v>
      </c>
      <c r="M1624">
        <v>0</v>
      </c>
      <c r="O1624">
        <f t="shared" si="25"/>
        <v>5</v>
      </c>
    </row>
    <row r="1625" spans="1:15">
      <c r="A1625">
        <v>646</v>
      </c>
      <c r="B1625" s="1">
        <v>45818</v>
      </c>
      <c r="C1625">
        <v>30</v>
      </c>
      <c r="D1625" t="s">
        <v>14</v>
      </c>
      <c r="E1625" t="s">
        <v>20</v>
      </c>
      <c r="F1625" t="s">
        <v>23</v>
      </c>
      <c r="H1625">
        <v>254.1</v>
      </c>
      <c r="I1625" s="13">
        <v>6</v>
      </c>
      <c r="J1625">
        <v>1</v>
      </c>
      <c r="K1625">
        <v>142</v>
      </c>
      <c r="L1625">
        <v>3</v>
      </c>
      <c r="M1625">
        <v>11</v>
      </c>
      <c r="N1625">
        <v>3</v>
      </c>
      <c r="O1625">
        <f t="shared" si="25"/>
        <v>6</v>
      </c>
    </row>
    <row r="1626" spans="1:15">
      <c r="A1626">
        <v>4059</v>
      </c>
      <c r="B1626" s="1">
        <v>45818</v>
      </c>
      <c r="C1626">
        <v>50</v>
      </c>
      <c r="D1626" t="s">
        <v>17</v>
      </c>
      <c r="E1626" t="s">
        <v>22</v>
      </c>
      <c r="F1626" t="s">
        <v>16</v>
      </c>
      <c r="H1626">
        <v>791.8</v>
      </c>
      <c r="I1626" s="13">
        <v>3</v>
      </c>
      <c r="J1626">
        <v>1</v>
      </c>
      <c r="K1626">
        <v>77</v>
      </c>
      <c r="L1626">
        <v>5</v>
      </c>
      <c r="M1626">
        <v>3</v>
      </c>
      <c r="N1626">
        <v>5</v>
      </c>
      <c r="O1626">
        <f t="shared" si="25"/>
        <v>6</v>
      </c>
    </row>
    <row r="1627" spans="1:15">
      <c r="A1627">
        <v>2136</v>
      </c>
      <c r="B1627" s="1">
        <v>45818</v>
      </c>
      <c r="C1627">
        <v>28</v>
      </c>
      <c r="D1627" t="s">
        <v>14</v>
      </c>
      <c r="E1627" t="s">
        <v>22</v>
      </c>
      <c r="F1627" t="s">
        <v>23</v>
      </c>
      <c r="H1627">
        <v>274.5</v>
      </c>
      <c r="I1627" s="13">
        <v>3</v>
      </c>
      <c r="J1627">
        <v>1</v>
      </c>
      <c r="K1627">
        <v>1419.3</v>
      </c>
      <c r="L1627">
        <v>2</v>
      </c>
      <c r="M1627">
        <v>11</v>
      </c>
      <c r="N1627">
        <v>4</v>
      </c>
      <c r="O1627">
        <f t="shared" si="25"/>
        <v>6</v>
      </c>
    </row>
    <row r="1628" spans="1:15">
      <c r="A1628">
        <v>1773</v>
      </c>
      <c r="B1628" s="1">
        <v>45818</v>
      </c>
      <c r="C1628">
        <v>38</v>
      </c>
      <c r="D1628" t="s">
        <v>17</v>
      </c>
      <c r="E1628" t="s">
        <v>22</v>
      </c>
      <c r="F1628" t="s">
        <v>16</v>
      </c>
      <c r="H1628">
        <v>375.1</v>
      </c>
      <c r="I1628" s="13">
        <v>3</v>
      </c>
      <c r="J1628">
        <v>1</v>
      </c>
      <c r="K1628">
        <v>170.79</v>
      </c>
      <c r="L1628">
        <v>4</v>
      </c>
      <c r="M1628">
        <v>4</v>
      </c>
      <c r="N1628">
        <v>4</v>
      </c>
      <c r="O1628">
        <f t="shared" si="25"/>
        <v>6</v>
      </c>
    </row>
    <row r="1629" spans="1:15">
      <c r="A1629">
        <v>2871</v>
      </c>
      <c r="B1629" s="1">
        <v>45818</v>
      </c>
      <c r="C1629">
        <v>28</v>
      </c>
      <c r="D1629" t="s">
        <v>17</v>
      </c>
      <c r="E1629" t="s">
        <v>22</v>
      </c>
      <c r="F1629" t="s">
        <v>16</v>
      </c>
      <c r="H1629">
        <v>688.3</v>
      </c>
      <c r="I1629" s="13">
        <v>6</v>
      </c>
      <c r="J1629">
        <v>1</v>
      </c>
      <c r="K1629">
        <v>82.07</v>
      </c>
      <c r="L1629">
        <v>4</v>
      </c>
      <c r="M1629">
        <v>2</v>
      </c>
      <c r="N1629">
        <v>4</v>
      </c>
      <c r="O1629">
        <f t="shared" si="25"/>
        <v>6</v>
      </c>
    </row>
    <row r="1630" spans="1:15">
      <c r="A1630">
        <v>119</v>
      </c>
      <c r="B1630" s="1">
        <v>45818</v>
      </c>
      <c r="C1630">
        <v>29</v>
      </c>
      <c r="D1630" t="s">
        <v>14</v>
      </c>
      <c r="E1630" t="s">
        <v>15</v>
      </c>
      <c r="F1630" t="s">
        <v>18</v>
      </c>
      <c r="G1630" t="s">
        <v>30</v>
      </c>
      <c r="H1630">
        <v>333.8</v>
      </c>
      <c r="I1630" s="13">
        <v>5</v>
      </c>
      <c r="J1630">
        <v>1</v>
      </c>
      <c r="K1630">
        <v>74.58</v>
      </c>
      <c r="L1630">
        <v>1</v>
      </c>
      <c r="M1630">
        <v>9</v>
      </c>
      <c r="N1630">
        <v>5</v>
      </c>
      <c r="O1630">
        <f t="shared" si="25"/>
        <v>6</v>
      </c>
    </row>
    <row r="1631" spans="1:15">
      <c r="A1631">
        <v>759</v>
      </c>
      <c r="B1631" s="1">
        <v>45818</v>
      </c>
      <c r="C1631">
        <v>20</v>
      </c>
      <c r="D1631" t="s">
        <v>17</v>
      </c>
      <c r="E1631" t="s">
        <v>15</v>
      </c>
      <c r="F1631" t="s">
        <v>23</v>
      </c>
      <c r="H1631">
        <v>847.4</v>
      </c>
      <c r="I1631" s="13">
        <v>1</v>
      </c>
      <c r="J1631">
        <v>1</v>
      </c>
      <c r="K1631">
        <v>62.02</v>
      </c>
      <c r="L1631">
        <v>3</v>
      </c>
      <c r="M1631">
        <v>12</v>
      </c>
      <c r="N1631">
        <v>4</v>
      </c>
      <c r="O1631">
        <f t="shared" si="25"/>
        <v>6</v>
      </c>
    </row>
    <row r="1632" spans="1:15">
      <c r="A1632">
        <v>2237</v>
      </c>
      <c r="B1632" s="1">
        <v>45818</v>
      </c>
      <c r="C1632">
        <v>48</v>
      </c>
      <c r="D1632" t="s">
        <v>14</v>
      </c>
      <c r="E1632" t="s">
        <v>22</v>
      </c>
      <c r="F1632" t="s">
        <v>16</v>
      </c>
      <c r="H1632">
        <v>572.20000000000005</v>
      </c>
      <c r="I1632" s="13">
        <v>5</v>
      </c>
      <c r="J1632">
        <v>1</v>
      </c>
      <c r="K1632">
        <v>43.08</v>
      </c>
      <c r="L1632">
        <v>2</v>
      </c>
      <c r="M1632">
        <v>6</v>
      </c>
      <c r="N1632">
        <v>4</v>
      </c>
      <c r="O1632">
        <f t="shared" si="25"/>
        <v>6</v>
      </c>
    </row>
    <row r="1633" spans="1:15">
      <c r="A1633">
        <v>2622</v>
      </c>
      <c r="B1633" s="1">
        <v>45818</v>
      </c>
      <c r="C1633">
        <v>47</v>
      </c>
      <c r="D1633" t="s">
        <v>14</v>
      </c>
      <c r="E1633" t="s">
        <v>24</v>
      </c>
      <c r="F1633" t="s">
        <v>16</v>
      </c>
      <c r="H1633">
        <v>361.5</v>
      </c>
      <c r="I1633" s="13">
        <v>2</v>
      </c>
      <c r="J1633">
        <v>1</v>
      </c>
      <c r="K1633">
        <v>34.270000000000003</v>
      </c>
      <c r="L1633">
        <v>1</v>
      </c>
      <c r="M1633">
        <v>7</v>
      </c>
      <c r="N1633">
        <v>5</v>
      </c>
      <c r="O1633">
        <f t="shared" si="25"/>
        <v>6</v>
      </c>
    </row>
    <row r="1634" spans="1:15">
      <c r="A1634">
        <v>2873</v>
      </c>
      <c r="B1634" s="1">
        <v>45818</v>
      </c>
      <c r="C1634">
        <v>24</v>
      </c>
      <c r="D1634" t="s">
        <v>14</v>
      </c>
      <c r="E1634" t="s">
        <v>22</v>
      </c>
      <c r="F1634" t="s">
        <v>21</v>
      </c>
      <c r="H1634">
        <v>276.7</v>
      </c>
      <c r="I1634" s="13">
        <v>7</v>
      </c>
      <c r="J1634">
        <v>1</v>
      </c>
      <c r="K1634">
        <v>20.43</v>
      </c>
      <c r="L1634">
        <v>3</v>
      </c>
      <c r="M1634">
        <v>8</v>
      </c>
      <c r="N1634">
        <v>5</v>
      </c>
      <c r="O1634">
        <f t="shared" si="25"/>
        <v>6</v>
      </c>
    </row>
    <row r="1635" spans="1:15">
      <c r="A1635">
        <v>474</v>
      </c>
      <c r="B1635" s="1">
        <v>45818</v>
      </c>
      <c r="C1635">
        <v>28</v>
      </c>
      <c r="D1635" t="s">
        <v>17</v>
      </c>
      <c r="E1635" t="s">
        <v>20</v>
      </c>
      <c r="F1635" t="s">
        <v>18</v>
      </c>
      <c r="G1635" t="s">
        <v>31</v>
      </c>
      <c r="H1635">
        <v>404.2</v>
      </c>
      <c r="I1635" s="13">
        <v>4</v>
      </c>
      <c r="J1635">
        <v>1</v>
      </c>
      <c r="K1635">
        <v>19.84</v>
      </c>
      <c r="L1635">
        <v>4</v>
      </c>
      <c r="M1635">
        <v>12</v>
      </c>
      <c r="N1635">
        <v>5</v>
      </c>
      <c r="O1635">
        <f t="shared" si="25"/>
        <v>6</v>
      </c>
    </row>
    <row r="1636" spans="1:15">
      <c r="A1636">
        <v>2675</v>
      </c>
      <c r="B1636" s="1">
        <v>45818</v>
      </c>
      <c r="C1636">
        <v>44</v>
      </c>
      <c r="D1636" t="s">
        <v>17</v>
      </c>
      <c r="E1636" t="s">
        <v>20</v>
      </c>
      <c r="F1636" t="s">
        <v>16</v>
      </c>
      <c r="H1636">
        <v>138</v>
      </c>
      <c r="I1636" s="13">
        <v>8</v>
      </c>
      <c r="J1636">
        <v>1</v>
      </c>
      <c r="K1636">
        <v>15.81</v>
      </c>
      <c r="L1636">
        <v>3</v>
      </c>
      <c r="M1636">
        <v>2</v>
      </c>
      <c r="N1636">
        <v>4</v>
      </c>
      <c r="O1636">
        <f t="shared" si="25"/>
        <v>6</v>
      </c>
    </row>
    <row r="1637" spans="1:15">
      <c r="A1637">
        <v>1600</v>
      </c>
      <c r="B1637" s="1">
        <v>45818</v>
      </c>
      <c r="C1637">
        <v>33</v>
      </c>
      <c r="D1637" t="s">
        <v>14</v>
      </c>
      <c r="E1637" t="s">
        <v>24</v>
      </c>
      <c r="F1637" t="s">
        <v>23</v>
      </c>
      <c r="H1637">
        <v>808.6</v>
      </c>
      <c r="I1637" s="13">
        <v>4</v>
      </c>
      <c r="J1637">
        <v>0</v>
      </c>
      <c r="K1637">
        <v>0</v>
      </c>
      <c r="L1637">
        <v>0</v>
      </c>
      <c r="M1637">
        <v>0</v>
      </c>
      <c r="O1637">
        <f t="shared" si="25"/>
        <v>6</v>
      </c>
    </row>
    <row r="1638" spans="1:15">
      <c r="A1638">
        <v>2395</v>
      </c>
      <c r="B1638" s="1">
        <v>45818</v>
      </c>
      <c r="C1638">
        <v>41</v>
      </c>
      <c r="D1638" t="s">
        <v>17</v>
      </c>
      <c r="E1638" t="s">
        <v>22</v>
      </c>
      <c r="F1638" t="s">
        <v>23</v>
      </c>
      <c r="H1638">
        <v>778.5</v>
      </c>
      <c r="I1638" s="13">
        <v>8</v>
      </c>
      <c r="J1638">
        <v>0</v>
      </c>
      <c r="K1638">
        <v>0</v>
      </c>
      <c r="L1638">
        <v>0</v>
      </c>
      <c r="M1638">
        <v>0</v>
      </c>
      <c r="O1638">
        <f t="shared" si="25"/>
        <v>6</v>
      </c>
    </row>
    <row r="1639" spans="1:15">
      <c r="A1639">
        <v>229</v>
      </c>
      <c r="B1639" s="1">
        <v>45818</v>
      </c>
      <c r="C1639">
        <v>18</v>
      </c>
      <c r="D1639" t="s">
        <v>14</v>
      </c>
      <c r="E1639" t="s">
        <v>20</v>
      </c>
      <c r="F1639" t="s">
        <v>18</v>
      </c>
      <c r="G1639" t="s">
        <v>26</v>
      </c>
      <c r="H1639">
        <v>771.7</v>
      </c>
      <c r="I1639" s="13">
        <v>8</v>
      </c>
      <c r="J1639">
        <v>0</v>
      </c>
      <c r="K1639">
        <v>0</v>
      </c>
      <c r="L1639">
        <v>0</v>
      </c>
      <c r="M1639">
        <v>0</v>
      </c>
      <c r="O1639">
        <f t="shared" si="25"/>
        <v>6</v>
      </c>
    </row>
    <row r="1640" spans="1:15">
      <c r="A1640">
        <v>4109</v>
      </c>
      <c r="B1640" s="1">
        <v>45818</v>
      </c>
      <c r="C1640">
        <v>39</v>
      </c>
      <c r="D1640" t="s">
        <v>17</v>
      </c>
      <c r="E1640" t="s">
        <v>24</v>
      </c>
      <c r="F1640" t="s">
        <v>16</v>
      </c>
      <c r="H1640">
        <v>725.8</v>
      </c>
      <c r="I1640" s="13">
        <v>3</v>
      </c>
      <c r="J1640">
        <v>0</v>
      </c>
      <c r="K1640">
        <v>0</v>
      </c>
      <c r="L1640">
        <v>0</v>
      </c>
      <c r="M1640">
        <v>0</v>
      </c>
      <c r="O1640">
        <f t="shared" si="25"/>
        <v>6</v>
      </c>
    </row>
    <row r="1641" spans="1:15">
      <c r="A1641">
        <v>3226</v>
      </c>
      <c r="B1641" s="1">
        <v>45818</v>
      </c>
      <c r="C1641">
        <v>34</v>
      </c>
      <c r="D1641" t="s">
        <v>17</v>
      </c>
      <c r="E1641" t="s">
        <v>15</v>
      </c>
      <c r="F1641" t="s">
        <v>18</v>
      </c>
      <c r="G1641" t="s">
        <v>29</v>
      </c>
      <c r="H1641">
        <v>562.70000000000005</v>
      </c>
      <c r="I1641" s="13">
        <v>8</v>
      </c>
      <c r="J1641">
        <v>0</v>
      </c>
      <c r="K1641">
        <v>0</v>
      </c>
      <c r="L1641">
        <v>0</v>
      </c>
      <c r="M1641">
        <v>0</v>
      </c>
      <c r="O1641">
        <f t="shared" si="25"/>
        <v>6</v>
      </c>
    </row>
    <row r="1642" spans="1:15">
      <c r="A1642">
        <v>3341</v>
      </c>
      <c r="B1642" s="1">
        <v>45818</v>
      </c>
      <c r="C1642">
        <v>51</v>
      </c>
      <c r="D1642" t="s">
        <v>14</v>
      </c>
      <c r="E1642" t="s">
        <v>20</v>
      </c>
      <c r="F1642" t="s">
        <v>18</v>
      </c>
      <c r="G1642" t="s">
        <v>19</v>
      </c>
      <c r="H1642">
        <v>515.20000000000005</v>
      </c>
      <c r="I1642" s="13">
        <v>7</v>
      </c>
      <c r="J1642">
        <v>0</v>
      </c>
      <c r="K1642">
        <v>0</v>
      </c>
      <c r="L1642">
        <v>0</v>
      </c>
      <c r="M1642">
        <v>0</v>
      </c>
      <c r="O1642">
        <f t="shared" si="25"/>
        <v>6</v>
      </c>
    </row>
    <row r="1643" spans="1:15">
      <c r="A1643">
        <v>281</v>
      </c>
      <c r="B1643" s="1">
        <v>45818</v>
      </c>
      <c r="C1643">
        <v>25</v>
      </c>
      <c r="D1643" t="s">
        <v>17</v>
      </c>
      <c r="E1643" t="s">
        <v>22</v>
      </c>
      <c r="F1643" t="s">
        <v>18</v>
      </c>
      <c r="G1643" t="s">
        <v>26</v>
      </c>
      <c r="H1643">
        <v>512</v>
      </c>
      <c r="I1643" s="13">
        <v>2</v>
      </c>
      <c r="J1643">
        <v>0</v>
      </c>
      <c r="K1643">
        <v>0</v>
      </c>
      <c r="L1643">
        <v>0</v>
      </c>
      <c r="M1643">
        <v>0</v>
      </c>
      <c r="O1643">
        <f t="shared" si="25"/>
        <v>6</v>
      </c>
    </row>
    <row r="1644" spans="1:15">
      <c r="A1644">
        <v>3335</v>
      </c>
      <c r="B1644" s="1">
        <v>45818</v>
      </c>
      <c r="C1644">
        <v>27</v>
      </c>
      <c r="D1644" t="s">
        <v>17</v>
      </c>
      <c r="E1644" t="s">
        <v>15</v>
      </c>
      <c r="F1644" t="s">
        <v>21</v>
      </c>
      <c r="H1644">
        <v>475.3</v>
      </c>
      <c r="I1644" s="13">
        <v>6</v>
      </c>
      <c r="J1644">
        <v>0</v>
      </c>
      <c r="K1644">
        <v>0</v>
      </c>
      <c r="L1644">
        <v>0</v>
      </c>
      <c r="M1644">
        <v>0</v>
      </c>
      <c r="O1644">
        <f t="shared" si="25"/>
        <v>6</v>
      </c>
    </row>
    <row r="1645" spans="1:15">
      <c r="A1645">
        <v>2510</v>
      </c>
      <c r="B1645" s="1">
        <v>45818</v>
      </c>
      <c r="C1645">
        <v>43</v>
      </c>
      <c r="D1645" t="s">
        <v>14</v>
      </c>
      <c r="E1645" t="s">
        <v>22</v>
      </c>
      <c r="F1645" t="s">
        <v>16</v>
      </c>
      <c r="H1645">
        <v>474.9</v>
      </c>
      <c r="I1645" s="13">
        <v>6</v>
      </c>
      <c r="J1645">
        <v>0</v>
      </c>
      <c r="K1645">
        <v>0</v>
      </c>
      <c r="L1645">
        <v>0</v>
      </c>
      <c r="M1645">
        <v>0</v>
      </c>
      <c r="O1645">
        <f t="shared" si="25"/>
        <v>6</v>
      </c>
    </row>
    <row r="1646" spans="1:15">
      <c r="A1646">
        <v>490</v>
      </c>
      <c r="B1646" s="1">
        <v>45818</v>
      </c>
      <c r="C1646">
        <v>18</v>
      </c>
      <c r="D1646" t="s">
        <v>17</v>
      </c>
      <c r="E1646" t="s">
        <v>22</v>
      </c>
      <c r="F1646" t="s">
        <v>16</v>
      </c>
      <c r="H1646">
        <v>380.5</v>
      </c>
      <c r="I1646" s="13">
        <v>5</v>
      </c>
      <c r="J1646">
        <v>0</v>
      </c>
      <c r="K1646">
        <v>0</v>
      </c>
      <c r="L1646">
        <v>0</v>
      </c>
      <c r="M1646">
        <v>0</v>
      </c>
      <c r="O1646">
        <f t="shared" si="25"/>
        <v>6</v>
      </c>
    </row>
    <row r="1647" spans="1:15">
      <c r="A1647">
        <v>4523</v>
      </c>
      <c r="B1647" s="1">
        <v>45818</v>
      </c>
      <c r="C1647">
        <v>60</v>
      </c>
      <c r="D1647" t="s">
        <v>14</v>
      </c>
      <c r="E1647" t="s">
        <v>24</v>
      </c>
      <c r="F1647" t="s">
        <v>18</v>
      </c>
      <c r="G1647" t="s">
        <v>19</v>
      </c>
      <c r="H1647">
        <v>204.7</v>
      </c>
      <c r="I1647" s="13">
        <v>10</v>
      </c>
      <c r="J1647">
        <v>0</v>
      </c>
      <c r="K1647">
        <v>0</v>
      </c>
      <c r="L1647">
        <v>0</v>
      </c>
      <c r="M1647">
        <v>0</v>
      </c>
      <c r="O1647">
        <f t="shared" si="25"/>
        <v>6</v>
      </c>
    </row>
    <row r="1648" spans="1:15">
      <c r="A1648">
        <v>2758</v>
      </c>
      <c r="B1648" s="1">
        <v>45818</v>
      </c>
      <c r="C1648">
        <v>28</v>
      </c>
      <c r="D1648" t="s">
        <v>17</v>
      </c>
      <c r="E1648" t="s">
        <v>24</v>
      </c>
      <c r="F1648" t="s">
        <v>16</v>
      </c>
      <c r="H1648">
        <v>185</v>
      </c>
      <c r="I1648" s="13">
        <v>9</v>
      </c>
      <c r="J1648">
        <v>0</v>
      </c>
      <c r="K1648">
        <v>0</v>
      </c>
      <c r="L1648">
        <v>0</v>
      </c>
      <c r="M1648">
        <v>0</v>
      </c>
      <c r="O1648">
        <f t="shared" si="25"/>
        <v>6</v>
      </c>
    </row>
    <row r="1649" spans="1:15">
      <c r="A1649">
        <v>906</v>
      </c>
      <c r="B1649" s="1">
        <v>45818</v>
      </c>
      <c r="C1649">
        <v>22</v>
      </c>
      <c r="D1649" t="s">
        <v>14</v>
      </c>
      <c r="E1649" t="s">
        <v>22</v>
      </c>
      <c r="F1649" t="s">
        <v>16</v>
      </c>
      <c r="H1649">
        <v>161.9</v>
      </c>
      <c r="I1649" s="13">
        <v>6</v>
      </c>
      <c r="J1649">
        <v>0</v>
      </c>
      <c r="K1649">
        <v>0</v>
      </c>
      <c r="L1649">
        <v>0</v>
      </c>
      <c r="M1649">
        <v>0</v>
      </c>
      <c r="O1649">
        <f t="shared" si="25"/>
        <v>6</v>
      </c>
    </row>
    <row r="1650" spans="1:15">
      <c r="A1650">
        <v>1231</v>
      </c>
      <c r="B1650" s="1">
        <v>45818</v>
      </c>
      <c r="C1650">
        <v>23</v>
      </c>
      <c r="D1650" t="s">
        <v>14</v>
      </c>
      <c r="E1650" t="s">
        <v>15</v>
      </c>
      <c r="F1650" t="s">
        <v>18</v>
      </c>
      <c r="G1650" t="s">
        <v>28</v>
      </c>
      <c r="H1650">
        <v>120</v>
      </c>
      <c r="I1650" s="13">
        <v>6</v>
      </c>
      <c r="J1650">
        <v>0</v>
      </c>
      <c r="K1650">
        <v>0</v>
      </c>
      <c r="L1650">
        <v>0</v>
      </c>
      <c r="M1650">
        <v>0</v>
      </c>
      <c r="O1650">
        <f t="shared" si="25"/>
        <v>6</v>
      </c>
    </row>
    <row r="1651" spans="1:15">
      <c r="A1651">
        <v>2263</v>
      </c>
      <c r="B1651" s="1">
        <v>45818</v>
      </c>
      <c r="C1651">
        <v>26</v>
      </c>
      <c r="D1651" t="s">
        <v>14</v>
      </c>
      <c r="E1651" t="s">
        <v>22</v>
      </c>
      <c r="F1651" t="s">
        <v>18</v>
      </c>
      <c r="G1651" t="s">
        <v>25</v>
      </c>
      <c r="H1651">
        <v>112.3</v>
      </c>
      <c r="I1651" s="13">
        <v>7</v>
      </c>
      <c r="J1651">
        <v>0</v>
      </c>
      <c r="K1651">
        <v>0</v>
      </c>
      <c r="L1651">
        <v>0</v>
      </c>
      <c r="M1651">
        <v>0</v>
      </c>
      <c r="O1651">
        <f t="shared" si="25"/>
        <v>6</v>
      </c>
    </row>
    <row r="1652" spans="1:15">
      <c r="A1652">
        <v>2114</v>
      </c>
      <c r="B1652" s="1">
        <v>45818</v>
      </c>
      <c r="C1652">
        <v>47</v>
      </c>
      <c r="D1652" t="s">
        <v>17</v>
      </c>
      <c r="E1652" t="s">
        <v>20</v>
      </c>
      <c r="F1652" t="s">
        <v>18</v>
      </c>
      <c r="G1652" t="s">
        <v>29</v>
      </c>
      <c r="H1652">
        <v>87.7</v>
      </c>
      <c r="I1652" s="13">
        <v>9</v>
      </c>
      <c r="J1652">
        <v>0</v>
      </c>
      <c r="K1652">
        <v>0</v>
      </c>
      <c r="L1652">
        <v>0</v>
      </c>
      <c r="M1652">
        <v>0</v>
      </c>
      <c r="O1652">
        <f t="shared" si="25"/>
        <v>6</v>
      </c>
    </row>
    <row r="1653" spans="1:15">
      <c r="A1653">
        <v>3575</v>
      </c>
      <c r="B1653" s="1">
        <v>45818</v>
      </c>
      <c r="C1653">
        <v>49</v>
      </c>
      <c r="D1653" t="s">
        <v>17</v>
      </c>
      <c r="E1653" t="s">
        <v>15</v>
      </c>
      <c r="F1653" t="s">
        <v>18</v>
      </c>
      <c r="G1653" t="s">
        <v>29</v>
      </c>
      <c r="H1653">
        <v>75.599999999999994</v>
      </c>
      <c r="I1653" s="13">
        <v>7</v>
      </c>
      <c r="J1653">
        <v>0</v>
      </c>
      <c r="K1653">
        <v>0</v>
      </c>
      <c r="L1653">
        <v>0</v>
      </c>
      <c r="M1653">
        <v>0</v>
      </c>
      <c r="O1653">
        <f t="shared" si="25"/>
        <v>6</v>
      </c>
    </row>
    <row r="1654" spans="1:15">
      <c r="A1654">
        <v>459</v>
      </c>
      <c r="B1654" s="1">
        <v>45668</v>
      </c>
      <c r="C1654">
        <v>27</v>
      </c>
      <c r="D1654" t="s">
        <v>14</v>
      </c>
      <c r="E1654" t="s">
        <v>15</v>
      </c>
      <c r="F1654" t="s">
        <v>16</v>
      </c>
      <c r="H1654">
        <v>53.8</v>
      </c>
      <c r="I1654" s="13">
        <v>4</v>
      </c>
      <c r="J1654">
        <v>1</v>
      </c>
      <c r="K1654">
        <v>529</v>
      </c>
      <c r="L1654">
        <v>3</v>
      </c>
      <c r="M1654">
        <v>3</v>
      </c>
      <c r="N1654">
        <v>5</v>
      </c>
      <c r="O1654">
        <f t="shared" si="25"/>
        <v>1</v>
      </c>
    </row>
    <row r="1655" spans="1:15">
      <c r="A1655">
        <v>4284</v>
      </c>
      <c r="B1655" s="1">
        <v>45668</v>
      </c>
      <c r="C1655">
        <v>45</v>
      </c>
      <c r="D1655" t="s">
        <v>14</v>
      </c>
      <c r="E1655" t="s">
        <v>22</v>
      </c>
      <c r="F1655" t="s">
        <v>23</v>
      </c>
      <c r="H1655">
        <v>573.6</v>
      </c>
      <c r="I1655" s="13">
        <v>5</v>
      </c>
      <c r="J1655">
        <v>1</v>
      </c>
      <c r="K1655">
        <v>1412</v>
      </c>
      <c r="L1655">
        <v>4</v>
      </c>
      <c r="M1655">
        <v>13</v>
      </c>
      <c r="N1655">
        <v>4</v>
      </c>
      <c r="O1655">
        <f t="shared" si="25"/>
        <v>1</v>
      </c>
    </row>
    <row r="1656" spans="1:15">
      <c r="A1656">
        <v>1941</v>
      </c>
      <c r="B1656" s="1">
        <v>45668</v>
      </c>
      <c r="C1656">
        <v>40</v>
      </c>
      <c r="D1656" t="s">
        <v>17</v>
      </c>
      <c r="E1656" t="s">
        <v>20</v>
      </c>
      <c r="F1656" t="s">
        <v>18</v>
      </c>
      <c r="G1656" t="s">
        <v>25</v>
      </c>
      <c r="H1656">
        <v>433.7</v>
      </c>
      <c r="I1656" s="13">
        <v>8</v>
      </c>
      <c r="J1656">
        <v>1</v>
      </c>
      <c r="K1656">
        <v>498.01</v>
      </c>
      <c r="L1656">
        <v>3</v>
      </c>
      <c r="M1656">
        <v>5</v>
      </c>
      <c r="N1656">
        <v>5</v>
      </c>
      <c r="O1656">
        <f t="shared" si="25"/>
        <v>1</v>
      </c>
    </row>
    <row r="1657" spans="1:15">
      <c r="A1657">
        <v>2332</v>
      </c>
      <c r="B1657" s="1">
        <v>45668</v>
      </c>
      <c r="C1657">
        <v>26</v>
      </c>
      <c r="D1657" t="s">
        <v>17</v>
      </c>
      <c r="E1657" t="s">
        <v>22</v>
      </c>
      <c r="F1657" t="s">
        <v>18</v>
      </c>
      <c r="G1657" t="s">
        <v>29</v>
      </c>
      <c r="H1657">
        <v>167.7</v>
      </c>
      <c r="I1657" s="13">
        <v>6</v>
      </c>
      <c r="J1657">
        <v>1</v>
      </c>
      <c r="K1657">
        <v>107.48</v>
      </c>
      <c r="L1657">
        <v>5</v>
      </c>
      <c r="M1657">
        <v>9</v>
      </c>
      <c r="N1657">
        <v>4</v>
      </c>
      <c r="O1657">
        <f t="shared" si="25"/>
        <v>1</v>
      </c>
    </row>
    <row r="1658" spans="1:15">
      <c r="A1658">
        <v>529</v>
      </c>
      <c r="B1658" s="1">
        <v>45668</v>
      </c>
      <c r="C1658">
        <v>27</v>
      </c>
      <c r="D1658" t="s">
        <v>14</v>
      </c>
      <c r="E1658" t="s">
        <v>24</v>
      </c>
      <c r="F1658" t="s">
        <v>16</v>
      </c>
      <c r="H1658">
        <v>375.4</v>
      </c>
      <c r="I1658" s="13">
        <v>5</v>
      </c>
      <c r="J1658">
        <v>1</v>
      </c>
      <c r="K1658">
        <v>97.13</v>
      </c>
      <c r="L1658">
        <v>1</v>
      </c>
      <c r="M1658">
        <v>13</v>
      </c>
      <c r="N1658">
        <v>4</v>
      </c>
      <c r="O1658">
        <f t="shared" si="25"/>
        <v>1</v>
      </c>
    </row>
    <row r="1659" spans="1:15">
      <c r="A1659">
        <v>1622</v>
      </c>
      <c r="B1659" s="1">
        <v>45668</v>
      </c>
      <c r="C1659">
        <v>29</v>
      </c>
      <c r="D1659" t="s">
        <v>17</v>
      </c>
      <c r="E1659" t="s">
        <v>22</v>
      </c>
      <c r="F1659" t="s">
        <v>18</v>
      </c>
      <c r="G1659" t="s">
        <v>31</v>
      </c>
      <c r="H1659">
        <v>527.79999999999995</v>
      </c>
      <c r="I1659" s="13">
        <v>3</v>
      </c>
      <c r="J1659">
        <v>1</v>
      </c>
      <c r="K1659">
        <v>60.2</v>
      </c>
      <c r="L1659">
        <v>4</v>
      </c>
      <c r="M1659">
        <v>4</v>
      </c>
      <c r="N1659">
        <v>4</v>
      </c>
      <c r="O1659">
        <f t="shared" si="25"/>
        <v>1</v>
      </c>
    </row>
    <row r="1660" spans="1:15">
      <c r="A1660">
        <v>3025</v>
      </c>
      <c r="B1660" s="1">
        <v>45668</v>
      </c>
      <c r="C1660">
        <v>30</v>
      </c>
      <c r="D1660" t="s">
        <v>14</v>
      </c>
      <c r="E1660" t="s">
        <v>20</v>
      </c>
      <c r="F1660" t="s">
        <v>21</v>
      </c>
      <c r="H1660">
        <v>709.9</v>
      </c>
      <c r="I1660" s="13">
        <v>6</v>
      </c>
      <c r="J1660">
        <v>1</v>
      </c>
      <c r="K1660">
        <v>40.450000000000003</v>
      </c>
      <c r="L1660">
        <v>4</v>
      </c>
      <c r="M1660">
        <v>7</v>
      </c>
      <c r="N1660">
        <v>5</v>
      </c>
      <c r="O1660">
        <f t="shared" si="25"/>
        <v>1</v>
      </c>
    </row>
    <row r="1661" spans="1:15">
      <c r="A1661">
        <v>4010</v>
      </c>
      <c r="B1661" s="1">
        <v>45668</v>
      </c>
      <c r="C1661">
        <v>60</v>
      </c>
      <c r="D1661" t="s">
        <v>17</v>
      </c>
      <c r="E1661" t="s">
        <v>22</v>
      </c>
      <c r="F1661" t="s">
        <v>18</v>
      </c>
      <c r="G1661" t="s">
        <v>25</v>
      </c>
      <c r="H1661">
        <v>166.1</v>
      </c>
      <c r="I1661" s="13">
        <v>9</v>
      </c>
      <c r="J1661">
        <v>1</v>
      </c>
      <c r="K1661">
        <v>34.31</v>
      </c>
      <c r="L1661">
        <v>1</v>
      </c>
      <c r="M1661">
        <v>9</v>
      </c>
      <c r="N1661">
        <v>4</v>
      </c>
      <c r="O1661">
        <f t="shared" si="25"/>
        <v>1</v>
      </c>
    </row>
    <row r="1662" spans="1:15">
      <c r="A1662">
        <v>3563</v>
      </c>
      <c r="B1662" s="1">
        <v>45668</v>
      </c>
      <c r="C1662">
        <v>30</v>
      </c>
      <c r="D1662" t="s">
        <v>14</v>
      </c>
      <c r="E1662" t="s">
        <v>22</v>
      </c>
      <c r="F1662" t="s">
        <v>23</v>
      </c>
      <c r="H1662">
        <v>550.79999999999995</v>
      </c>
      <c r="I1662" s="13">
        <v>7</v>
      </c>
      <c r="J1662">
        <v>1</v>
      </c>
      <c r="K1662">
        <v>32.159999999999997</v>
      </c>
      <c r="L1662">
        <v>3</v>
      </c>
      <c r="M1662">
        <v>14</v>
      </c>
      <c r="N1662">
        <v>5</v>
      </c>
      <c r="O1662">
        <f t="shared" si="25"/>
        <v>1</v>
      </c>
    </row>
    <row r="1663" spans="1:15">
      <c r="A1663">
        <v>4361</v>
      </c>
      <c r="B1663" s="1">
        <v>45668</v>
      </c>
      <c r="C1663">
        <v>43</v>
      </c>
      <c r="D1663" t="s">
        <v>14</v>
      </c>
      <c r="E1663" t="s">
        <v>15</v>
      </c>
      <c r="F1663" t="s">
        <v>16</v>
      </c>
      <c r="H1663">
        <v>759.7</v>
      </c>
      <c r="I1663" s="13">
        <v>6</v>
      </c>
      <c r="J1663">
        <v>1</v>
      </c>
      <c r="K1663">
        <v>30.67</v>
      </c>
      <c r="L1663">
        <v>2</v>
      </c>
      <c r="M1663">
        <v>7</v>
      </c>
      <c r="N1663">
        <v>4</v>
      </c>
      <c r="O1663">
        <f t="shared" si="25"/>
        <v>1</v>
      </c>
    </row>
    <row r="1664" spans="1:15">
      <c r="A1664">
        <v>1101</v>
      </c>
      <c r="B1664" s="1">
        <v>45668</v>
      </c>
      <c r="C1664">
        <v>24</v>
      </c>
      <c r="D1664" t="s">
        <v>14</v>
      </c>
      <c r="E1664" t="s">
        <v>15</v>
      </c>
      <c r="F1664" t="s">
        <v>18</v>
      </c>
      <c r="G1664" t="s">
        <v>19</v>
      </c>
      <c r="H1664">
        <v>120</v>
      </c>
      <c r="I1664" s="13">
        <v>8</v>
      </c>
      <c r="J1664">
        <v>1</v>
      </c>
      <c r="K1664">
        <v>22.63</v>
      </c>
      <c r="L1664">
        <v>3</v>
      </c>
      <c r="M1664">
        <v>14</v>
      </c>
      <c r="N1664">
        <v>5</v>
      </c>
      <c r="O1664">
        <f t="shared" si="25"/>
        <v>1</v>
      </c>
    </row>
    <row r="1665" spans="1:15">
      <c r="A1665">
        <v>7</v>
      </c>
      <c r="B1665" s="1">
        <v>45668</v>
      </c>
      <c r="C1665">
        <v>24</v>
      </c>
      <c r="D1665" t="s">
        <v>17</v>
      </c>
      <c r="E1665" t="s">
        <v>22</v>
      </c>
      <c r="F1665" t="s">
        <v>18</v>
      </c>
      <c r="G1665" t="s">
        <v>31</v>
      </c>
      <c r="H1665">
        <v>734</v>
      </c>
      <c r="I1665" s="13">
        <v>3</v>
      </c>
      <c r="J1665">
        <v>1</v>
      </c>
      <c r="K1665">
        <v>13.35</v>
      </c>
      <c r="L1665">
        <v>3</v>
      </c>
      <c r="M1665">
        <v>9</v>
      </c>
      <c r="N1665">
        <v>4</v>
      </c>
      <c r="O1665">
        <f t="shared" si="25"/>
        <v>1</v>
      </c>
    </row>
    <row r="1666" spans="1:15">
      <c r="A1666">
        <v>4892</v>
      </c>
      <c r="B1666" s="1">
        <v>45668</v>
      </c>
      <c r="C1666">
        <v>59</v>
      </c>
      <c r="D1666" t="s">
        <v>14</v>
      </c>
      <c r="E1666" t="s">
        <v>24</v>
      </c>
      <c r="F1666" t="s">
        <v>16</v>
      </c>
      <c r="H1666">
        <v>840.5</v>
      </c>
      <c r="I1666" s="13">
        <v>8</v>
      </c>
      <c r="J1666">
        <v>0</v>
      </c>
      <c r="K1666">
        <v>0</v>
      </c>
      <c r="L1666">
        <v>0</v>
      </c>
      <c r="M1666">
        <v>0</v>
      </c>
      <c r="O1666">
        <f t="shared" si="25"/>
        <v>1</v>
      </c>
    </row>
    <row r="1667" spans="1:15">
      <c r="A1667">
        <v>617</v>
      </c>
      <c r="B1667" s="1">
        <v>45668</v>
      </c>
      <c r="C1667">
        <v>22</v>
      </c>
      <c r="D1667" t="s">
        <v>14</v>
      </c>
      <c r="E1667" t="s">
        <v>24</v>
      </c>
      <c r="F1667" t="s">
        <v>18</v>
      </c>
      <c r="G1667" t="s">
        <v>28</v>
      </c>
      <c r="H1667">
        <v>608.79999999999995</v>
      </c>
      <c r="I1667" s="13">
        <v>8</v>
      </c>
      <c r="J1667">
        <v>0</v>
      </c>
      <c r="K1667">
        <v>0</v>
      </c>
      <c r="L1667">
        <v>0</v>
      </c>
      <c r="M1667">
        <v>0</v>
      </c>
      <c r="O1667">
        <f t="shared" ref="O1667:O1730" si="26">MONTH(B1667)</f>
        <v>1</v>
      </c>
    </row>
    <row r="1668" spans="1:15">
      <c r="A1668">
        <v>1320</v>
      </c>
      <c r="B1668" s="1">
        <v>45668</v>
      </c>
      <c r="C1668">
        <v>21</v>
      </c>
      <c r="D1668" t="s">
        <v>17</v>
      </c>
      <c r="E1668" t="s">
        <v>22</v>
      </c>
      <c r="F1668" t="s">
        <v>18</v>
      </c>
      <c r="G1668" t="s">
        <v>28</v>
      </c>
      <c r="H1668">
        <v>472.5</v>
      </c>
      <c r="I1668" s="13">
        <v>8</v>
      </c>
      <c r="J1668">
        <v>0</v>
      </c>
      <c r="K1668">
        <v>0</v>
      </c>
      <c r="L1668">
        <v>0</v>
      </c>
      <c r="M1668">
        <v>0</v>
      </c>
      <c r="O1668">
        <f t="shared" si="26"/>
        <v>1</v>
      </c>
    </row>
    <row r="1669" spans="1:15">
      <c r="A1669">
        <v>4237</v>
      </c>
      <c r="B1669" s="1">
        <v>45668</v>
      </c>
      <c r="C1669">
        <v>58</v>
      </c>
      <c r="D1669" t="s">
        <v>17</v>
      </c>
      <c r="E1669" t="s">
        <v>20</v>
      </c>
      <c r="F1669" t="s">
        <v>18</v>
      </c>
      <c r="G1669" t="s">
        <v>26</v>
      </c>
      <c r="H1669">
        <v>347</v>
      </c>
      <c r="I1669" s="13">
        <v>6</v>
      </c>
      <c r="J1669">
        <v>0</v>
      </c>
      <c r="K1669">
        <v>0</v>
      </c>
      <c r="L1669">
        <v>0</v>
      </c>
      <c r="M1669">
        <v>0</v>
      </c>
      <c r="O1669">
        <f t="shared" si="26"/>
        <v>1</v>
      </c>
    </row>
    <row r="1670" spans="1:15">
      <c r="A1670">
        <v>4456</v>
      </c>
      <c r="B1670" s="1">
        <v>45668</v>
      </c>
      <c r="C1670">
        <v>52</v>
      </c>
      <c r="D1670" t="s">
        <v>17</v>
      </c>
      <c r="E1670" t="s">
        <v>15</v>
      </c>
      <c r="F1670" t="s">
        <v>16</v>
      </c>
      <c r="H1670">
        <v>337.6</v>
      </c>
      <c r="I1670" s="13">
        <v>3</v>
      </c>
      <c r="J1670">
        <v>0</v>
      </c>
      <c r="K1670">
        <v>0</v>
      </c>
      <c r="L1670">
        <v>0</v>
      </c>
      <c r="M1670">
        <v>0</v>
      </c>
      <c r="O1670">
        <f t="shared" si="26"/>
        <v>1</v>
      </c>
    </row>
    <row r="1671" spans="1:15">
      <c r="A1671">
        <v>1414</v>
      </c>
      <c r="B1671" s="1">
        <v>45668</v>
      </c>
      <c r="C1671">
        <v>29</v>
      </c>
      <c r="D1671" t="s">
        <v>14</v>
      </c>
      <c r="E1671" t="s">
        <v>15</v>
      </c>
      <c r="F1671" t="s">
        <v>16</v>
      </c>
      <c r="H1671">
        <v>324.39999999999998</v>
      </c>
      <c r="I1671" s="13">
        <v>7</v>
      </c>
      <c r="J1671">
        <v>0</v>
      </c>
      <c r="K1671">
        <v>0</v>
      </c>
      <c r="L1671">
        <v>0</v>
      </c>
      <c r="M1671">
        <v>0</v>
      </c>
      <c r="O1671">
        <f t="shared" si="26"/>
        <v>1</v>
      </c>
    </row>
    <row r="1672" spans="1:15">
      <c r="A1672">
        <v>4210</v>
      </c>
      <c r="B1672" s="1">
        <v>45668</v>
      </c>
      <c r="C1672">
        <v>45</v>
      </c>
      <c r="D1672" t="s">
        <v>17</v>
      </c>
      <c r="E1672" t="s">
        <v>22</v>
      </c>
      <c r="F1672" t="s">
        <v>18</v>
      </c>
      <c r="G1672" t="s">
        <v>29</v>
      </c>
      <c r="H1672">
        <v>324</v>
      </c>
      <c r="I1672" s="13">
        <v>5</v>
      </c>
      <c r="J1672">
        <v>0</v>
      </c>
      <c r="K1672">
        <v>0</v>
      </c>
      <c r="L1672">
        <v>0</v>
      </c>
      <c r="M1672">
        <v>0</v>
      </c>
      <c r="O1672">
        <f t="shared" si="26"/>
        <v>1</v>
      </c>
    </row>
    <row r="1673" spans="1:15">
      <c r="A1673">
        <v>425</v>
      </c>
      <c r="B1673" s="1">
        <v>45668</v>
      </c>
      <c r="C1673">
        <v>22</v>
      </c>
      <c r="D1673" t="s">
        <v>14</v>
      </c>
      <c r="E1673" t="s">
        <v>24</v>
      </c>
      <c r="F1673" t="s">
        <v>16</v>
      </c>
      <c r="H1673">
        <v>291.39999999999998</v>
      </c>
      <c r="I1673" s="13">
        <v>8</v>
      </c>
      <c r="J1673">
        <v>0</v>
      </c>
      <c r="K1673">
        <v>0</v>
      </c>
      <c r="L1673">
        <v>0</v>
      </c>
      <c r="M1673">
        <v>0</v>
      </c>
      <c r="O1673">
        <f t="shared" si="26"/>
        <v>1</v>
      </c>
    </row>
    <row r="1674" spans="1:15">
      <c r="A1674">
        <v>4086</v>
      </c>
      <c r="B1674" s="1">
        <v>45668</v>
      </c>
      <c r="C1674">
        <v>51</v>
      </c>
      <c r="D1674" t="s">
        <v>14</v>
      </c>
      <c r="E1674" t="s">
        <v>22</v>
      </c>
      <c r="F1674" t="s">
        <v>21</v>
      </c>
      <c r="H1674">
        <v>279.10000000000002</v>
      </c>
      <c r="I1674" s="13">
        <v>7</v>
      </c>
      <c r="J1674">
        <v>0</v>
      </c>
      <c r="K1674">
        <v>0</v>
      </c>
      <c r="L1674">
        <v>0</v>
      </c>
      <c r="M1674">
        <v>0</v>
      </c>
      <c r="O1674">
        <f t="shared" si="26"/>
        <v>1</v>
      </c>
    </row>
    <row r="1675" spans="1:15">
      <c r="A1675">
        <v>2733</v>
      </c>
      <c r="B1675" s="1">
        <v>45668</v>
      </c>
      <c r="C1675">
        <v>42</v>
      </c>
      <c r="D1675" t="s">
        <v>14</v>
      </c>
      <c r="E1675" t="s">
        <v>15</v>
      </c>
      <c r="F1675" t="s">
        <v>16</v>
      </c>
      <c r="H1675">
        <v>263.7</v>
      </c>
      <c r="I1675" s="13">
        <v>8</v>
      </c>
      <c r="J1675">
        <v>0</v>
      </c>
      <c r="K1675">
        <v>0</v>
      </c>
      <c r="L1675">
        <v>0</v>
      </c>
      <c r="M1675">
        <v>0</v>
      </c>
      <c r="O1675">
        <f t="shared" si="26"/>
        <v>1</v>
      </c>
    </row>
    <row r="1676" spans="1:15">
      <c r="A1676">
        <v>4793</v>
      </c>
      <c r="B1676" s="1">
        <v>45668</v>
      </c>
      <c r="C1676">
        <v>34</v>
      </c>
      <c r="D1676" t="s">
        <v>17</v>
      </c>
      <c r="E1676" t="s">
        <v>20</v>
      </c>
      <c r="F1676" t="s">
        <v>16</v>
      </c>
      <c r="H1676">
        <v>210.9</v>
      </c>
      <c r="I1676" s="13">
        <v>7</v>
      </c>
      <c r="J1676">
        <v>0</v>
      </c>
      <c r="K1676">
        <v>0</v>
      </c>
      <c r="L1676">
        <v>0</v>
      </c>
      <c r="M1676">
        <v>0</v>
      </c>
      <c r="O1676">
        <f t="shared" si="26"/>
        <v>1</v>
      </c>
    </row>
    <row r="1677" spans="1:15">
      <c r="A1677">
        <v>3744</v>
      </c>
      <c r="B1677" s="1">
        <v>45668</v>
      </c>
      <c r="C1677">
        <v>42</v>
      </c>
      <c r="D1677" t="s">
        <v>17</v>
      </c>
      <c r="E1677" t="s">
        <v>15</v>
      </c>
      <c r="F1677" t="s">
        <v>16</v>
      </c>
      <c r="H1677">
        <v>184.7</v>
      </c>
      <c r="I1677" s="13">
        <v>5</v>
      </c>
      <c r="J1677">
        <v>0</v>
      </c>
      <c r="K1677">
        <v>0</v>
      </c>
      <c r="L1677">
        <v>0</v>
      </c>
      <c r="M1677">
        <v>0</v>
      </c>
      <c r="O1677">
        <f t="shared" si="26"/>
        <v>1</v>
      </c>
    </row>
    <row r="1678" spans="1:15">
      <c r="A1678">
        <v>1717</v>
      </c>
      <c r="B1678" s="1">
        <v>45668</v>
      </c>
      <c r="C1678">
        <v>32</v>
      </c>
      <c r="D1678" t="s">
        <v>17</v>
      </c>
      <c r="E1678" t="s">
        <v>22</v>
      </c>
      <c r="F1678" t="s">
        <v>16</v>
      </c>
      <c r="H1678">
        <v>179.3</v>
      </c>
      <c r="I1678" s="13">
        <v>4</v>
      </c>
      <c r="J1678">
        <v>0</v>
      </c>
      <c r="K1678">
        <v>0</v>
      </c>
      <c r="L1678">
        <v>0</v>
      </c>
      <c r="M1678">
        <v>0</v>
      </c>
      <c r="O1678">
        <f t="shared" si="26"/>
        <v>1</v>
      </c>
    </row>
    <row r="1679" spans="1:15">
      <c r="A1679">
        <v>1521</v>
      </c>
      <c r="B1679" s="1">
        <v>45668</v>
      </c>
      <c r="C1679">
        <v>30</v>
      </c>
      <c r="D1679" t="s">
        <v>14</v>
      </c>
      <c r="E1679" t="s">
        <v>24</v>
      </c>
      <c r="F1679" t="s">
        <v>18</v>
      </c>
      <c r="G1679" t="s">
        <v>31</v>
      </c>
      <c r="H1679">
        <v>176.5</v>
      </c>
      <c r="I1679" s="13">
        <v>8</v>
      </c>
      <c r="J1679">
        <v>0</v>
      </c>
      <c r="K1679">
        <v>0</v>
      </c>
      <c r="L1679">
        <v>0</v>
      </c>
      <c r="M1679">
        <v>0</v>
      </c>
      <c r="O1679">
        <f t="shared" si="26"/>
        <v>1</v>
      </c>
    </row>
    <row r="1680" spans="1:15">
      <c r="A1680">
        <v>2678</v>
      </c>
      <c r="B1680" s="1">
        <v>45668</v>
      </c>
      <c r="C1680">
        <v>33</v>
      </c>
      <c r="D1680" t="s">
        <v>17</v>
      </c>
      <c r="E1680" t="s">
        <v>24</v>
      </c>
      <c r="F1680" t="s">
        <v>18</v>
      </c>
      <c r="G1680" t="s">
        <v>26</v>
      </c>
      <c r="H1680">
        <v>170.4</v>
      </c>
      <c r="I1680" s="13">
        <v>6</v>
      </c>
      <c r="J1680">
        <v>0</v>
      </c>
      <c r="K1680">
        <v>0</v>
      </c>
      <c r="L1680">
        <v>0</v>
      </c>
      <c r="M1680">
        <v>0</v>
      </c>
      <c r="O1680">
        <f t="shared" si="26"/>
        <v>1</v>
      </c>
    </row>
    <row r="1681" spans="1:15">
      <c r="A1681">
        <v>1999</v>
      </c>
      <c r="B1681" s="1">
        <v>45668</v>
      </c>
      <c r="C1681">
        <v>24</v>
      </c>
      <c r="D1681" t="s">
        <v>17</v>
      </c>
      <c r="E1681" t="s">
        <v>20</v>
      </c>
      <c r="F1681" t="s">
        <v>18</v>
      </c>
      <c r="G1681" t="s">
        <v>28</v>
      </c>
      <c r="H1681">
        <v>166.8</v>
      </c>
      <c r="I1681" s="13">
        <v>4</v>
      </c>
      <c r="J1681">
        <v>0</v>
      </c>
      <c r="K1681">
        <v>0</v>
      </c>
      <c r="L1681">
        <v>0</v>
      </c>
      <c r="M1681">
        <v>0</v>
      </c>
      <c r="O1681">
        <f t="shared" si="26"/>
        <v>1</v>
      </c>
    </row>
    <row r="1682" spans="1:15">
      <c r="A1682">
        <v>1715</v>
      </c>
      <c r="B1682" s="1">
        <v>45668</v>
      </c>
      <c r="C1682">
        <v>30</v>
      </c>
      <c r="D1682" t="s">
        <v>17</v>
      </c>
      <c r="E1682" t="s">
        <v>15</v>
      </c>
      <c r="F1682" t="s">
        <v>23</v>
      </c>
      <c r="H1682">
        <v>164.6</v>
      </c>
      <c r="I1682" s="13">
        <v>5</v>
      </c>
      <c r="J1682">
        <v>0</v>
      </c>
      <c r="K1682">
        <v>0</v>
      </c>
      <c r="L1682">
        <v>0</v>
      </c>
      <c r="M1682">
        <v>0</v>
      </c>
      <c r="O1682">
        <f t="shared" si="26"/>
        <v>1</v>
      </c>
    </row>
    <row r="1683" spans="1:15">
      <c r="A1683">
        <v>3165</v>
      </c>
      <c r="B1683" s="1">
        <v>45668</v>
      </c>
      <c r="C1683">
        <v>20</v>
      </c>
      <c r="D1683" t="s">
        <v>14</v>
      </c>
      <c r="E1683" t="s">
        <v>24</v>
      </c>
      <c r="F1683" t="s">
        <v>16</v>
      </c>
      <c r="H1683">
        <v>126.5</v>
      </c>
      <c r="I1683" s="13">
        <v>5</v>
      </c>
      <c r="J1683">
        <v>0</v>
      </c>
      <c r="K1683">
        <v>0</v>
      </c>
      <c r="L1683">
        <v>0</v>
      </c>
      <c r="M1683">
        <v>0</v>
      </c>
      <c r="O1683">
        <f t="shared" si="26"/>
        <v>1</v>
      </c>
    </row>
    <row r="1684" spans="1:15">
      <c r="A1684">
        <v>2449</v>
      </c>
      <c r="B1684" s="1">
        <v>45668</v>
      </c>
      <c r="C1684">
        <v>19</v>
      </c>
      <c r="D1684" t="s">
        <v>17</v>
      </c>
      <c r="E1684" t="s">
        <v>22</v>
      </c>
      <c r="F1684" t="s">
        <v>16</v>
      </c>
      <c r="H1684">
        <v>116.7</v>
      </c>
      <c r="I1684" s="13">
        <v>6</v>
      </c>
      <c r="J1684">
        <v>0</v>
      </c>
      <c r="K1684">
        <v>0</v>
      </c>
      <c r="L1684">
        <v>0</v>
      </c>
      <c r="M1684">
        <v>0</v>
      </c>
      <c r="O1684">
        <f t="shared" si="26"/>
        <v>1</v>
      </c>
    </row>
    <row r="1685" spans="1:15">
      <c r="A1685">
        <v>3234</v>
      </c>
      <c r="B1685" s="1">
        <v>45668</v>
      </c>
      <c r="C1685">
        <v>38</v>
      </c>
      <c r="D1685" t="s">
        <v>14</v>
      </c>
      <c r="E1685" t="s">
        <v>15</v>
      </c>
      <c r="F1685" t="s">
        <v>16</v>
      </c>
      <c r="H1685">
        <v>46</v>
      </c>
      <c r="I1685" s="13">
        <v>6</v>
      </c>
      <c r="J1685">
        <v>0</v>
      </c>
      <c r="K1685">
        <v>0</v>
      </c>
      <c r="L1685">
        <v>0</v>
      </c>
      <c r="M1685">
        <v>0</v>
      </c>
      <c r="O1685">
        <f t="shared" si="26"/>
        <v>1</v>
      </c>
    </row>
    <row r="1686" spans="1:15">
      <c r="A1686">
        <v>1232</v>
      </c>
      <c r="B1686" s="1">
        <v>45699</v>
      </c>
      <c r="C1686">
        <v>20</v>
      </c>
      <c r="D1686" t="s">
        <v>17</v>
      </c>
      <c r="E1686" t="s">
        <v>22</v>
      </c>
      <c r="F1686" t="s">
        <v>18</v>
      </c>
      <c r="G1686" t="s">
        <v>29</v>
      </c>
      <c r="H1686">
        <v>402</v>
      </c>
      <c r="I1686" s="13">
        <v>7</v>
      </c>
      <c r="J1686">
        <v>1</v>
      </c>
      <c r="K1686">
        <v>173.57</v>
      </c>
      <c r="L1686">
        <v>3</v>
      </c>
      <c r="M1686">
        <v>15</v>
      </c>
      <c r="N1686">
        <v>5</v>
      </c>
      <c r="O1686">
        <f t="shared" si="26"/>
        <v>2</v>
      </c>
    </row>
    <row r="1687" spans="1:15">
      <c r="A1687">
        <v>125</v>
      </c>
      <c r="B1687" s="1">
        <v>45699</v>
      </c>
      <c r="C1687">
        <v>26</v>
      </c>
      <c r="D1687" t="s">
        <v>17</v>
      </c>
      <c r="E1687" t="s">
        <v>24</v>
      </c>
      <c r="F1687" t="s">
        <v>21</v>
      </c>
      <c r="H1687">
        <v>1345.2</v>
      </c>
      <c r="I1687" s="13">
        <v>4</v>
      </c>
      <c r="J1687">
        <v>1</v>
      </c>
      <c r="K1687">
        <v>93.76</v>
      </c>
      <c r="L1687">
        <v>1</v>
      </c>
      <c r="M1687">
        <v>3</v>
      </c>
      <c r="N1687">
        <v>4</v>
      </c>
      <c r="O1687">
        <f t="shared" si="26"/>
        <v>2</v>
      </c>
    </row>
    <row r="1688" spans="1:15">
      <c r="A1688">
        <v>1033</v>
      </c>
      <c r="B1688" s="1">
        <v>45699</v>
      </c>
      <c r="C1688">
        <v>18</v>
      </c>
      <c r="D1688" t="s">
        <v>17</v>
      </c>
      <c r="E1688" t="s">
        <v>15</v>
      </c>
      <c r="F1688" t="s">
        <v>18</v>
      </c>
      <c r="G1688" t="s">
        <v>29</v>
      </c>
      <c r="H1688">
        <v>234.7</v>
      </c>
      <c r="I1688" s="13">
        <v>6</v>
      </c>
      <c r="J1688">
        <v>1</v>
      </c>
      <c r="K1688">
        <v>87.6</v>
      </c>
      <c r="L1688">
        <v>3</v>
      </c>
      <c r="M1688">
        <v>3</v>
      </c>
      <c r="N1688">
        <v>5</v>
      </c>
      <c r="O1688">
        <f t="shared" si="26"/>
        <v>2</v>
      </c>
    </row>
    <row r="1689" spans="1:15">
      <c r="A1689">
        <v>3955</v>
      </c>
      <c r="B1689" s="1">
        <v>45699</v>
      </c>
      <c r="C1689">
        <v>63</v>
      </c>
      <c r="D1689" t="s">
        <v>14</v>
      </c>
      <c r="E1689" t="s">
        <v>15</v>
      </c>
      <c r="F1689" t="s">
        <v>16</v>
      </c>
      <c r="H1689">
        <v>245.8</v>
      </c>
      <c r="I1689" s="13">
        <v>6</v>
      </c>
      <c r="J1689">
        <v>1</v>
      </c>
      <c r="K1689">
        <v>79.599999999999994</v>
      </c>
      <c r="L1689">
        <v>2</v>
      </c>
      <c r="M1689">
        <v>8</v>
      </c>
      <c r="N1689">
        <v>4</v>
      </c>
      <c r="O1689">
        <f t="shared" si="26"/>
        <v>2</v>
      </c>
    </row>
    <row r="1690" spans="1:15">
      <c r="A1690">
        <v>543</v>
      </c>
      <c r="B1690" s="1">
        <v>45699</v>
      </c>
      <c r="C1690">
        <v>25</v>
      </c>
      <c r="D1690" t="s">
        <v>17</v>
      </c>
      <c r="E1690" t="s">
        <v>15</v>
      </c>
      <c r="F1690" t="s">
        <v>18</v>
      </c>
      <c r="G1690" t="s">
        <v>31</v>
      </c>
      <c r="H1690">
        <v>110.3</v>
      </c>
      <c r="I1690" s="13">
        <v>4</v>
      </c>
      <c r="J1690">
        <v>1</v>
      </c>
      <c r="K1690">
        <v>56.9</v>
      </c>
      <c r="L1690">
        <v>2</v>
      </c>
      <c r="M1690">
        <v>1</v>
      </c>
      <c r="N1690">
        <v>5</v>
      </c>
      <c r="O1690">
        <f t="shared" si="26"/>
        <v>2</v>
      </c>
    </row>
    <row r="1691" spans="1:15">
      <c r="A1691">
        <v>1095</v>
      </c>
      <c r="B1691" s="1">
        <v>45699</v>
      </c>
      <c r="C1691">
        <v>36</v>
      </c>
      <c r="D1691" t="s">
        <v>14</v>
      </c>
      <c r="E1691" t="s">
        <v>22</v>
      </c>
      <c r="F1691" t="s">
        <v>21</v>
      </c>
      <c r="H1691">
        <v>204.6</v>
      </c>
      <c r="I1691" s="13">
        <v>8</v>
      </c>
      <c r="J1691">
        <v>1</v>
      </c>
      <c r="K1691">
        <v>35.82</v>
      </c>
      <c r="L1691">
        <v>2</v>
      </c>
      <c r="M1691">
        <v>6</v>
      </c>
      <c r="N1691">
        <v>3</v>
      </c>
      <c r="O1691">
        <f t="shared" si="26"/>
        <v>2</v>
      </c>
    </row>
    <row r="1692" spans="1:15">
      <c r="A1692">
        <v>1555</v>
      </c>
      <c r="B1692" s="1">
        <v>45699</v>
      </c>
      <c r="C1692">
        <v>24</v>
      </c>
      <c r="D1692" t="s">
        <v>17</v>
      </c>
      <c r="E1692" t="s">
        <v>20</v>
      </c>
      <c r="F1692" t="s">
        <v>16</v>
      </c>
      <c r="H1692">
        <v>558.9</v>
      </c>
      <c r="I1692" s="13">
        <v>4</v>
      </c>
      <c r="J1692">
        <v>1</v>
      </c>
      <c r="K1692">
        <v>33.25</v>
      </c>
      <c r="L1692">
        <v>1</v>
      </c>
      <c r="M1692">
        <v>13</v>
      </c>
      <c r="N1692">
        <v>4</v>
      </c>
      <c r="O1692">
        <f t="shared" si="26"/>
        <v>2</v>
      </c>
    </row>
    <row r="1693" spans="1:15">
      <c r="A1693">
        <v>1333</v>
      </c>
      <c r="B1693" s="1">
        <v>45699</v>
      </c>
      <c r="C1693">
        <v>23</v>
      </c>
      <c r="D1693" t="s">
        <v>14</v>
      </c>
      <c r="E1693" t="s">
        <v>20</v>
      </c>
      <c r="F1693" t="s">
        <v>18</v>
      </c>
      <c r="G1693" t="s">
        <v>25</v>
      </c>
      <c r="H1693">
        <v>1675.6</v>
      </c>
      <c r="I1693" s="13">
        <v>4</v>
      </c>
      <c r="J1693">
        <v>1</v>
      </c>
      <c r="K1693">
        <v>30.67</v>
      </c>
      <c r="L1693">
        <v>6</v>
      </c>
      <c r="M1693">
        <v>13</v>
      </c>
      <c r="N1693">
        <v>4</v>
      </c>
      <c r="O1693">
        <f t="shared" si="26"/>
        <v>2</v>
      </c>
    </row>
    <row r="1694" spans="1:15">
      <c r="A1694">
        <v>109</v>
      </c>
      <c r="B1694" s="1">
        <v>45699</v>
      </c>
      <c r="C1694">
        <v>21</v>
      </c>
      <c r="D1694" t="s">
        <v>14</v>
      </c>
      <c r="E1694" t="s">
        <v>15</v>
      </c>
      <c r="F1694" t="s">
        <v>21</v>
      </c>
      <c r="H1694">
        <v>302.2</v>
      </c>
      <c r="I1694" s="13">
        <v>12</v>
      </c>
      <c r="J1694">
        <v>1</v>
      </c>
      <c r="K1694">
        <v>30.13</v>
      </c>
      <c r="L1694">
        <v>2</v>
      </c>
      <c r="M1694">
        <v>5</v>
      </c>
      <c r="N1694">
        <v>3</v>
      </c>
      <c r="O1694">
        <f t="shared" si="26"/>
        <v>2</v>
      </c>
    </row>
    <row r="1695" spans="1:15">
      <c r="A1695">
        <v>745</v>
      </c>
      <c r="B1695" s="1">
        <v>45699</v>
      </c>
      <c r="C1695">
        <v>21</v>
      </c>
      <c r="D1695" t="s">
        <v>14</v>
      </c>
      <c r="E1695" t="s">
        <v>22</v>
      </c>
      <c r="F1695" t="s">
        <v>23</v>
      </c>
      <c r="H1695">
        <v>180.8</v>
      </c>
      <c r="I1695" s="13">
        <v>10</v>
      </c>
      <c r="J1695">
        <v>1</v>
      </c>
      <c r="K1695">
        <v>29.18</v>
      </c>
      <c r="L1695">
        <v>3</v>
      </c>
      <c r="M1695">
        <v>11</v>
      </c>
      <c r="N1695">
        <v>3</v>
      </c>
      <c r="O1695">
        <f t="shared" si="26"/>
        <v>2</v>
      </c>
    </row>
    <row r="1696" spans="1:15">
      <c r="A1696">
        <v>3535</v>
      </c>
      <c r="B1696" s="1">
        <v>45699</v>
      </c>
      <c r="C1696">
        <v>18</v>
      </c>
      <c r="D1696" t="s">
        <v>17</v>
      </c>
      <c r="E1696" t="s">
        <v>20</v>
      </c>
      <c r="F1696" t="s">
        <v>23</v>
      </c>
      <c r="H1696">
        <v>518.29999999999995</v>
      </c>
      <c r="I1696" s="13">
        <v>6</v>
      </c>
      <c r="J1696">
        <v>1</v>
      </c>
      <c r="K1696">
        <v>20.49</v>
      </c>
      <c r="L1696">
        <v>5</v>
      </c>
      <c r="M1696">
        <v>8</v>
      </c>
      <c r="N1696">
        <v>4</v>
      </c>
      <c r="O1696">
        <f t="shared" si="26"/>
        <v>2</v>
      </c>
    </row>
    <row r="1697" spans="1:15">
      <c r="A1697">
        <v>881</v>
      </c>
      <c r="B1697" s="1">
        <v>45699</v>
      </c>
      <c r="C1697">
        <v>21</v>
      </c>
      <c r="D1697" t="s">
        <v>14</v>
      </c>
      <c r="E1697" t="s">
        <v>15</v>
      </c>
      <c r="F1697" t="s">
        <v>16</v>
      </c>
      <c r="H1697">
        <v>879.8</v>
      </c>
      <c r="I1697" s="13">
        <v>6</v>
      </c>
      <c r="J1697">
        <v>0</v>
      </c>
      <c r="K1697">
        <v>0</v>
      </c>
      <c r="L1697">
        <v>0</v>
      </c>
      <c r="M1697">
        <v>0</v>
      </c>
      <c r="O1697">
        <f t="shared" si="26"/>
        <v>2</v>
      </c>
    </row>
    <row r="1698" spans="1:15">
      <c r="A1698">
        <v>777</v>
      </c>
      <c r="B1698" s="1">
        <v>45699</v>
      </c>
      <c r="C1698">
        <v>29</v>
      </c>
      <c r="D1698" t="s">
        <v>17</v>
      </c>
      <c r="E1698" t="s">
        <v>15</v>
      </c>
      <c r="F1698" t="s">
        <v>18</v>
      </c>
      <c r="G1698" t="s">
        <v>25</v>
      </c>
      <c r="H1698">
        <v>702.5</v>
      </c>
      <c r="I1698" s="13">
        <v>4</v>
      </c>
      <c r="J1698">
        <v>0</v>
      </c>
      <c r="K1698">
        <v>0</v>
      </c>
      <c r="L1698">
        <v>0</v>
      </c>
      <c r="M1698">
        <v>0</v>
      </c>
      <c r="O1698">
        <f t="shared" si="26"/>
        <v>2</v>
      </c>
    </row>
    <row r="1699" spans="1:15">
      <c r="A1699">
        <v>4082</v>
      </c>
      <c r="B1699" s="1">
        <v>45699</v>
      </c>
      <c r="C1699">
        <v>40</v>
      </c>
      <c r="D1699" t="s">
        <v>14</v>
      </c>
      <c r="E1699" t="s">
        <v>22</v>
      </c>
      <c r="F1699" t="s">
        <v>18</v>
      </c>
      <c r="G1699" t="s">
        <v>26</v>
      </c>
      <c r="H1699">
        <v>564.4</v>
      </c>
      <c r="I1699" s="13">
        <v>3</v>
      </c>
      <c r="J1699">
        <v>0</v>
      </c>
      <c r="K1699">
        <v>0</v>
      </c>
      <c r="L1699">
        <v>0</v>
      </c>
      <c r="M1699">
        <v>0</v>
      </c>
      <c r="O1699">
        <f t="shared" si="26"/>
        <v>2</v>
      </c>
    </row>
    <row r="1700" spans="1:15">
      <c r="A1700">
        <v>3437</v>
      </c>
      <c r="B1700" s="1">
        <v>45699</v>
      </c>
      <c r="C1700">
        <v>40</v>
      </c>
      <c r="D1700" t="s">
        <v>17</v>
      </c>
      <c r="E1700" t="s">
        <v>22</v>
      </c>
      <c r="F1700" t="s">
        <v>16</v>
      </c>
      <c r="H1700">
        <v>563.20000000000005</v>
      </c>
      <c r="I1700" s="13">
        <v>7</v>
      </c>
      <c r="J1700">
        <v>0</v>
      </c>
      <c r="K1700">
        <v>0</v>
      </c>
      <c r="L1700">
        <v>0</v>
      </c>
      <c r="M1700">
        <v>0</v>
      </c>
      <c r="O1700">
        <f t="shared" si="26"/>
        <v>2</v>
      </c>
    </row>
    <row r="1701" spans="1:15">
      <c r="A1701">
        <v>2567</v>
      </c>
      <c r="B1701" s="1">
        <v>45699</v>
      </c>
      <c r="C1701">
        <v>25</v>
      </c>
      <c r="D1701" t="s">
        <v>14</v>
      </c>
      <c r="E1701" t="s">
        <v>24</v>
      </c>
      <c r="F1701" t="s">
        <v>18</v>
      </c>
      <c r="G1701" t="s">
        <v>28</v>
      </c>
      <c r="H1701">
        <v>550.29999999999995</v>
      </c>
      <c r="I1701" s="13">
        <v>12</v>
      </c>
      <c r="J1701">
        <v>0</v>
      </c>
      <c r="K1701">
        <v>0</v>
      </c>
      <c r="L1701">
        <v>0</v>
      </c>
      <c r="M1701">
        <v>0</v>
      </c>
      <c r="O1701">
        <f t="shared" si="26"/>
        <v>2</v>
      </c>
    </row>
    <row r="1702" spans="1:15">
      <c r="A1702">
        <v>1581</v>
      </c>
      <c r="B1702" s="1">
        <v>45699</v>
      </c>
      <c r="C1702">
        <v>29</v>
      </c>
      <c r="D1702" t="s">
        <v>14</v>
      </c>
      <c r="E1702" t="s">
        <v>24</v>
      </c>
      <c r="F1702" t="s">
        <v>21</v>
      </c>
      <c r="H1702">
        <v>506.6</v>
      </c>
      <c r="I1702" s="13">
        <v>8</v>
      </c>
      <c r="J1702">
        <v>0</v>
      </c>
      <c r="K1702">
        <v>0</v>
      </c>
      <c r="L1702">
        <v>0</v>
      </c>
      <c r="M1702">
        <v>0</v>
      </c>
      <c r="O1702">
        <f t="shared" si="26"/>
        <v>2</v>
      </c>
    </row>
    <row r="1703" spans="1:15">
      <c r="A1703">
        <v>4565</v>
      </c>
      <c r="B1703" s="1">
        <v>45699</v>
      </c>
      <c r="C1703">
        <v>60</v>
      </c>
      <c r="D1703" t="s">
        <v>17</v>
      </c>
      <c r="E1703" t="s">
        <v>24</v>
      </c>
      <c r="F1703" t="s">
        <v>16</v>
      </c>
      <c r="H1703">
        <v>414.9</v>
      </c>
      <c r="I1703" s="13">
        <v>4</v>
      </c>
      <c r="J1703">
        <v>0</v>
      </c>
      <c r="K1703">
        <v>0</v>
      </c>
      <c r="L1703">
        <v>0</v>
      </c>
      <c r="M1703">
        <v>0</v>
      </c>
      <c r="O1703">
        <f t="shared" si="26"/>
        <v>2</v>
      </c>
    </row>
    <row r="1704" spans="1:15">
      <c r="A1704">
        <v>3597</v>
      </c>
      <c r="B1704" s="1">
        <v>45699</v>
      </c>
      <c r="C1704">
        <v>29</v>
      </c>
      <c r="D1704" t="s">
        <v>17</v>
      </c>
      <c r="E1704" t="s">
        <v>24</v>
      </c>
      <c r="F1704" t="s">
        <v>18</v>
      </c>
      <c r="G1704" t="s">
        <v>19</v>
      </c>
      <c r="H1704">
        <v>394.1</v>
      </c>
      <c r="I1704" s="13">
        <v>6</v>
      </c>
      <c r="J1704">
        <v>0</v>
      </c>
      <c r="K1704">
        <v>0</v>
      </c>
      <c r="L1704">
        <v>0</v>
      </c>
      <c r="M1704">
        <v>0</v>
      </c>
      <c r="O1704">
        <f t="shared" si="26"/>
        <v>2</v>
      </c>
    </row>
    <row r="1705" spans="1:15">
      <c r="A1705">
        <v>2728</v>
      </c>
      <c r="B1705" s="1">
        <v>45699</v>
      </c>
      <c r="C1705">
        <v>41</v>
      </c>
      <c r="D1705" t="s">
        <v>14</v>
      </c>
      <c r="E1705" t="s">
        <v>15</v>
      </c>
      <c r="F1705" t="s">
        <v>16</v>
      </c>
      <c r="H1705">
        <v>301.60000000000002</v>
      </c>
      <c r="I1705" s="13">
        <v>3</v>
      </c>
      <c r="J1705">
        <v>0</v>
      </c>
      <c r="K1705">
        <v>0</v>
      </c>
      <c r="L1705">
        <v>0</v>
      </c>
      <c r="M1705">
        <v>0</v>
      </c>
      <c r="O1705">
        <f t="shared" si="26"/>
        <v>2</v>
      </c>
    </row>
    <row r="1706" spans="1:15">
      <c r="A1706">
        <v>4020</v>
      </c>
      <c r="B1706" s="1">
        <v>45699</v>
      </c>
      <c r="C1706">
        <v>66</v>
      </c>
      <c r="D1706" t="s">
        <v>14</v>
      </c>
      <c r="E1706" t="s">
        <v>15</v>
      </c>
      <c r="F1706" t="s">
        <v>23</v>
      </c>
      <c r="H1706">
        <v>299.60000000000002</v>
      </c>
      <c r="I1706" s="13">
        <v>9</v>
      </c>
      <c r="J1706">
        <v>0</v>
      </c>
      <c r="K1706">
        <v>0</v>
      </c>
      <c r="L1706">
        <v>0</v>
      </c>
      <c r="M1706">
        <v>0</v>
      </c>
      <c r="O1706">
        <f t="shared" si="26"/>
        <v>2</v>
      </c>
    </row>
    <row r="1707" spans="1:15">
      <c r="A1707">
        <v>3215</v>
      </c>
      <c r="B1707" s="1">
        <v>45699</v>
      </c>
      <c r="C1707">
        <v>44</v>
      </c>
      <c r="D1707" t="s">
        <v>17</v>
      </c>
      <c r="E1707" t="s">
        <v>15</v>
      </c>
      <c r="F1707" t="s">
        <v>16</v>
      </c>
      <c r="H1707">
        <v>298.5</v>
      </c>
      <c r="I1707" s="13">
        <v>7</v>
      </c>
      <c r="J1707">
        <v>0</v>
      </c>
      <c r="K1707">
        <v>0</v>
      </c>
      <c r="L1707">
        <v>0</v>
      </c>
      <c r="M1707">
        <v>0</v>
      </c>
      <c r="O1707">
        <f t="shared" si="26"/>
        <v>2</v>
      </c>
    </row>
    <row r="1708" spans="1:15">
      <c r="A1708">
        <v>3521</v>
      </c>
      <c r="B1708" s="1">
        <v>45699</v>
      </c>
      <c r="C1708">
        <v>26</v>
      </c>
      <c r="D1708" t="s">
        <v>14</v>
      </c>
      <c r="E1708" t="s">
        <v>22</v>
      </c>
      <c r="F1708" t="s">
        <v>23</v>
      </c>
      <c r="H1708">
        <v>295.10000000000002</v>
      </c>
      <c r="I1708" s="13">
        <v>4</v>
      </c>
      <c r="J1708">
        <v>0</v>
      </c>
      <c r="K1708">
        <v>0</v>
      </c>
      <c r="L1708">
        <v>0</v>
      </c>
      <c r="M1708">
        <v>0</v>
      </c>
      <c r="O1708">
        <f t="shared" si="26"/>
        <v>2</v>
      </c>
    </row>
    <row r="1709" spans="1:15">
      <c r="A1709">
        <v>3880</v>
      </c>
      <c r="B1709" s="1">
        <v>45699</v>
      </c>
      <c r="C1709">
        <v>59</v>
      </c>
      <c r="D1709" t="s">
        <v>17</v>
      </c>
      <c r="E1709" t="s">
        <v>15</v>
      </c>
      <c r="F1709" t="s">
        <v>18</v>
      </c>
      <c r="G1709" t="s">
        <v>19</v>
      </c>
      <c r="H1709">
        <v>288.8</v>
      </c>
      <c r="I1709" s="13">
        <v>7</v>
      </c>
      <c r="J1709">
        <v>0</v>
      </c>
      <c r="K1709">
        <v>0</v>
      </c>
      <c r="L1709">
        <v>0</v>
      </c>
      <c r="M1709">
        <v>0</v>
      </c>
      <c r="O1709">
        <f t="shared" si="26"/>
        <v>2</v>
      </c>
    </row>
    <row r="1710" spans="1:15">
      <c r="A1710">
        <v>3419</v>
      </c>
      <c r="B1710" s="1">
        <v>45699</v>
      </c>
      <c r="C1710">
        <v>29</v>
      </c>
      <c r="D1710" t="s">
        <v>17</v>
      </c>
      <c r="E1710" t="s">
        <v>15</v>
      </c>
      <c r="F1710" t="s">
        <v>16</v>
      </c>
      <c r="H1710">
        <v>284.8</v>
      </c>
      <c r="I1710" s="13">
        <v>11</v>
      </c>
      <c r="J1710">
        <v>0</v>
      </c>
      <c r="K1710">
        <v>0</v>
      </c>
      <c r="L1710">
        <v>0</v>
      </c>
      <c r="M1710">
        <v>0</v>
      </c>
      <c r="O1710">
        <f t="shared" si="26"/>
        <v>2</v>
      </c>
    </row>
    <row r="1711" spans="1:15">
      <c r="A1711">
        <v>1090</v>
      </c>
      <c r="B1711" s="1">
        <v>45699</v>
      </c>
      <c r="C1711">
        <v>31</v>
      </c>
      <c r="D1711" t="s">
        <v>17</v>
      </c>
      <c r="E1711" t="s">
        <v>15</v>
      </c>
      <c r="F1711" t="s">
        <v>16</v>
      </c>
      <c r="H1711">
        <v>219.3</v>
      </c>
      <c r="I1711" s="13">
        <v>5</v>
      </c>
      <c r="J1711">
        <v>0</v>
      </c>
      <c r="K1711">
        <v>0</v>
      </c>
      <c r="L1711">
        <v>0</v>
      </c>
      <c r="M1711">
        <v>0</v>
      </c>
      <c r="O1711">
        <f t="shared" si="26"/>
        <v>2</v>
      </c>
    </row>
    <row r="1712" spans="1:15">
      <c r="A1712">
        <v>1047</v>
      </c>
      <c r="B1712" s="1">
        <v>45699</v>
      </c>
      <c r="C1712">
        <v>26</v>
      </c>
      <c r="D1712" t="s">
        <v>14</v>
      </c>
      <c r="E1712" t="s">
        <v>22</v>
      </c>
      <c r="F1712" t="s">
        <v>23</v>
      </c>
      <c r="H1712">
        <v>204.4</v>
      </c>
      <c r="I1712" s="13">
        <v>10</v>
      </c>
      <c r="J1712">
        <v>0</v>
      </c>
      <c r="K1712">
        <v>0</v>
      </c>
      <c r="L1712">
        <v>0</v>
      </c>
      <c r="M1712">
        <v>0</v>
      </c>
      <c r="O1712">
        <f t="shared" si="26"/>
        <v>2</v>
      </c>
    </row>
    <row r="1713" spans="1:15">
      <c r="A1713">
        <v>2822</v>
      </c>
      <c r="B1713" s="1">
        <v>45699</v>
      </c>
      <c r="C1713">
        <v>48</v>
      </c>
      <c r="D1713" t="s">
        <v>14</v>
      </c>
      <c r="E1713" t="s">
        <v>22</v>
      </c>
      <c r="F1713" t="s">
        <v>16</v>
      </c>
      <c r="H1713">
        <v>197.5</v>
      </c>
      <c r="I1713" s="13">
        <v>6</v>
      </c>
      <c r="J1713">
        <v>0</v>
      </c>
      <c r="K1713">
        <v>0</v>
      </c>
      <c r="L1713">
        <v>0</v>
      </c>
      <c r="M1713">
        <v>0</v>
      </c>
      <c r="O1713">
        <f t="shared" si="26"/>
        <v>2</v>
      </c>
    </row>
    <row r="1714" spans="1:15">
      <c r="A1714">
        <v>2911</v>
      </c>
      <c r="B1714" s="1">
        <v>45699</v>
      </c>
      <c r="C1714">
        <v>35</v>
      </c>
      <c r="D1714" t="s">
        <v>14</v>
      </c>
      <c r="E1714" t="s">
        <v>15</v>
      </c>
      <c r="F1714" t="s">
        <v>16</v>
      </c>
      <c r="H1714">
        <v>173.5</v>
      </c>
      <c r="I1714" s="13">
        <v>10</v>
      </c>
      <c r="J1714">
        <v>0</v>
      </c>
      <c r="K1714">
        <v>0</v>
      </c>
      <c r="L1714">
        <v>0</v>
      </c>
      <c r="M1714">
        <v>0</v>
      </c>
      <c r="O1714">
        <f t="shared" si="26"/>
        <v>2</v>
      </c>
    </row>
    <row r="1715" spans="1:15">
      <c r="A1715">
        <v>4598</v>
      </c>
      <c r="B1715" s="1">
        <v>45699</v>
      </c>
      <c r="C1715">
        <v>56</v>
      </c>
      <c r="D1715" t="s">
        <v>17</v>
      </c>
      <c r="E1715" t="s">
        <v>20</v>
      </c>
      <c r="F1715" t="s">
        <v>18</v>
      </c>
      <c r="G1715" t="s">
        <v>31</v>
      </c>
      <c r="H1715">
        <v>89.9</v>
      </c>
      <c r="I1715" s="13">
        <v>6</v>
      </c>
      <c r="J1715">
        <v>0</v>
      </c>
      <c r="K1715">
        <v>0</v>
      </c>
      <c r="L1715">
        <v>0</v>
      </c>
      <c r="M1715">
        <v>0</v>
      </c>
      <c r="O1715">
        <f t="shared" si="26"/>
        <v>2</v>
      </c>
    </row>
    <row r="1716" spans="1:15">
      <c r="A1716">
        <v>4745</v>
      </c>
      <c r="B1716" s="1">
        <v>45699</v>
      </c>
      <c r="C1716">
        <v>39</v>
      </c>
      <c r="D1716" t="s">
        <v>14</v>
      </c>
      <c r="E1716" t="s">
        <v>22</v>
      </c>
      <c r="F1716" t="s">
        <v>21</v>
      </c>
      <c r="H1716">
        <v>81.8</v>
      </c>
      <c r="I1716" s="13">
        <v>8</v>
      </c>
      <c r="J1716">
        <v>0</v>
      </c>
      <c r="K1716">
        <v>0</v>
      </c>
      <c r="L1716">
        <v>0</v>
      </c>
      <c r="M1716">
        <v>0</v>
      </c>
      <c r="O1716">
        <f t="shared" si="26"/>
        <v>2</v>
      </c>
    </row>
    <row r="1717" spans="1:15">
      <c r="A1717">
        <v>4372</v>
      </c>
      <c r="B1717" s="1">
        <v>45727</v>
      </c>
      <c r="C1717">
        <v>41</v>
      </c>
      <c r="D1717" t="s">
        <v>14</v>
      </c>
      <c r="E1717" t="s">
        <v>24</v>
      </c>
      <c r="F1717" t="s">
        <v>18</v>
      </c>
      <c r="G1717" t="s">
        <v>30</v>
      </c>
      <c r="H1717">
        <v>389.9</v>
      </c>
      <c r="I1717" s="13">
        <v>3</v>
      </c>
      <c r="J1717">
        <v>1</v>
      </c>
      <c r="K1717">
        <v>346</v>
      </c>
      <c r="L1717">
        <v>1</v>
      </c>
      <c r="M1717">
        <v>12</v>
      </c>
      <c r="N1717">
        <v>5</v>
      </c>
      <c r="O1717">
        <f t="shared" si="26"/>
        <v>3</v>
      </c>
    </row>
    <row r="1718" spans="1:15">
      <c r="A1718">
        <v>2751</v>
      </c>
      <c r="B1718" s="1">
        <v>45727</v>
      </c>
      <c r="C1718">
        <v>33</v>
      </c>
      <c r="D1718" t="s">
        <v>14</v>
      </c>
      <c r="E1718" t="s">
        <v>15</v>
      </c>
      <c r="F1718" t="s">
        <v>18</v>
      </c>
      <c r="G1718" t="s">
        <v>29</v>
      </c>
      <c r="H1718">
        <v>512.1</v>
      </c>
      <c r="I1718" s="13">
        <v>9</v>
      </c>
      <c r="J1718">
        <v>1</v>
      </c>
      <c r="K1718">
        <v>44</v>
      </c>
      <c r="L1718">
        <v>1</v>
      </c>
      <c r="M1718">
        <v>14</v>
      </c>
      <c r="N1718">
        <v>4</v>
      </c>
      <c r="O1718">
        <f t="shared" si="26"/>
        <v>3</v>
      </c>
    </row>
    <row r="1719" spans="1:15">
      <c r="A1719">
        <v>4264</v>
      </c>
      <c r="B1719" s="1">
        <v>45727</v>
      </c>
      <c r="C1719">
        <v>46</v>
      </c>
      <c r="D1719" t="s">
        <v>14</v>
      </c>
      <c r="E1719" t="s">
        <v>24</v>
      </c>
      <c r="F1719" t="s">
        <v>21</v>
      </c>
      <c r="H1719">
        <v>484.7</v>
      </c>
      <c r="I1719" s="13">
        <v>3</v>
      </c>
      <c r="J1719">
        <v>1</v>
      </c>
      <c r="K1719">
        <v>107</v>
      </c>
      <c r="L1719">
        <v>4</v>
      </c>
      <c r="M1719">
        <v>10</v>
      </c>
      <c r="N1719">
        <v>4</v>
      </c>
      <c r="O1719">
        <f t="shared" si="26"/>
        <v>3</v>
      </c>
    </row>
    <row r="1720" spans="1:15">
      <c r="A1720">
        <v>3287</v>
      </c>
      <c r="B1720" s="1">
        <v>45727</v>
      </c>
      <c r="C1720">
        <v>36</v>
      </c>
      <c r="D1720" t="s">
        <v>17</v>
      </c>
      <c r="E1720" t="s">
        <v>22</v>
      </c>
      <c r="F1720" t="s">
        <v>18</v>
      </c>
      <c r="G1720" t="s">
        <v>30</v>
      </c>
      <c r="H1720">
        <v>755.3</v>
      </c>
      <c r="I1720" s="13">
        <v>5</v>
      </c>
      <c r="J1720">
        <v>1</v>
      </c>
      <c r="K1720">
        <v>67.52</v>
      </c>
      <c r="L1720">
        <v>2</v>
      </c>
      <c r="M1720">
        <v>12</v>
      </c>
      <c r="N1720">
        <v>4</v>
      </c>
      <c r="O1720">
        <f t="shared" si="26"/>
        <v>3</v>
      </c>
    </row>
    <row r="1721" spans="1:15">
      <c r="A1721">
        <v>361</v>
      </c>
      <c r="B1721" s="1">
        <v>45727</v>
      </c>
      <c r="C1721">
        <v>20</v>
      </c>
      <c r="D1721" t="s">
        <v>17</v>
      </c>
      <c r="E1721" t="s">
        <v>20</v>
      </c>
      <c r="F1721" t="s">
        <v>18</v>
      </c>
      <c r="G1721" t="s">
        <v>26</v>
      </c>
      <c r="H1721">
        <v>604</v>
      </c>
      <c r="I1721" s="13">
        <v>5</v>
      </c>
      <c r="J1721">
        <v>1</v>
      </c>
      <c r="K1721">
        <v>59.3</v>
      </c>
      <c r="L1721">
        <v>4</v>
      </c>
      <c r="M1721">
        <v>2</v>
      </c>
      <c r="N1721">
        <v>4</v>
      </c>
      <c r="O1721">
        <f t="shared" si="26"/>
        <v>3</v>
      </c>
    </row>
    <row r="1722" spans="1:15">
      <c r="A1722">
        <v>2630</v>
      </c>
      <c r="B1722" s="1">
        <v>45727</v>
      </c>
      <c r="C1722">
        <v>24</v>
      </c>
      <c r="D1722" t="s">
        <v>17</v>
      </c>
      <c r="E1722" t="s">
        <v>20</v>
      </c>
      <c r="F1722" t="s">
        <v>23</v>
      </c>
      <c r="H1722">
        <v>171.5</v>
      </c>
      <c r="I1722" s="13">
        <v>9</v>
      </c>
      <c r="J1722">
        <v>1</v>
      </c>
      <c r="K1722">
        <v>51.31</v>
      </c>
      <c r="L1722">
        <v>2</v>
      </c>
      <c r="M1722">
        <v>8</v>
      </c>
      <c r="N1722">
        <v>5</v>
      </c>
      <c r="O1722">
        <f t="shared" si="26"/>
        <v>3</v>
      </c>
    </row>
    <row r="1723" spans="1:15">
      <c r="A1723">
        <v>2494</v>
      </c>
      <c r="B1723" s="1">
        <v>45727</v>
      </c>
      <c r="C1723">
        <v>32</v>
      </c>
      <c r="D1723" t="s">
        <v>14</v>
      </c>
      <c r="E1723" t="s">
        <v>20</v>
      </c>
      <c r="F1723" t="s">
        <v>21</v>
      </c>
      <c r="H1723">
        <v>906.5</v>
      </c>
      <c r="I1723" s="13">
        <v>6</v>
      </c>
      <c r="J1723">
        <v>1</v>
      </c>
      <c r="K1723">
        <v>23.53</v>
      </c>
      <c r="L1723">
        <v>4</v>
      </c>
      <c r="M1723">
        <v>4</v>
      </c>
      <c r="N1723">
        <v>4</v>
      </c>
      <c r="O1723">
        <f t="shared" si="26"/>
        <v>3</v>
      </c>
    </row>
    <row r="1724" spans="1:15">
      <c r="A1724">
        <v>252</v>
      </c>
      <c r="B1724" s="1">
        <v>45727</v>
      </c>
      <c r="C1724">
        <v>18</v>
      </c>
      <c r="D1724" t="s">
        <v>14</v>
      </c>
      <c r="E1724" t="s">
        <v>22</v>
      </c>
      <c r="F1724" t="s">
        <v>16</v>
      </c>
      <c r="H1724">
        <v>350.8</v>
      </c>
      <c r="I1724" s="13">
        <v>6</v>
      </c>
      <c r="J1724">
        <v>1</v>
      </c>
      <c r="K1724">
        <v>19.96</v>
      </c>
      <c r="L1724">
        <v>3</v>
      </c>
      <c r="M1724">
        <v>12</v>
      </c>
      <c r="N1724">
        <v>4</v>
      </c>
      <c r="O1724">
        <f t="shared" si="26"/>
        <v>3</v>
      </c>
    </row>
    <row r="1725" spans="1:15">
      <c r="A1725">
        <v>3688</v>
      </c>
      <c r="B1725" s="1">
        <v>45727</v>
      </c>
      <c r="C1725">
        <v>38</v>
      </c>
      <c r="D1725" t="s">
        <v>14</v>
      </c>
      <c r="E1725" t="s">
        <v>20</v>
      </c>
      <c r="F1725" t="s">
        <v>16</v>
      </c>
      <c r="H1725">
        <v>1510</v>
      </c>
      <c r="I1725" s="13">
        <v>8</v>
      </c>
      <c r="J1725">
        <v>1</v>
      </c>
      <c r="K1725">
        <v>18.36</v>
      </c>
      <c r="L1725">
        <v>3</v>
      </c>
      <c r="M1725">
        <v>15</v>
      </c>
      <c r="N1725">
        <v>5</v>
      </c>
      <c r="O1725">
        <f t="shared" si="26"/>
        <v>3</v>
      </c>
    </row>
    <row r="1726" spans="1:15">
      <c r="A1726">
        <v>178</v>
      </c>
      <c r="B1726" s="1">
        <v>45727</v>
      </c>
      <c r="C1726">
        <v>20</v>
      </c>
      <c r="D1726" t="s">
        <v>27</v>
      </c>
      <c r="E1726" t="s">
        <v>24</v>
      </c>
      <c r="F1726" t="s">
        <v>21</v>
      </c>
      <c r="H1726">
        <v>881.2</v>
      </c>
      <c r="I1726" s="13">
        <v>6</v>
      </c>
      <c r="J1726">
        <v>1</v>
      </c>
      <c r="K1726">
        <v>18.32</v>
      </c>
      <c r="L1726">
        <v>2</v>
      </c>
      <c r="M1726">
        <v>5</v>
      </c>
      <c r="N1726">
        <v>3</v>
      </c>
      <c r="O1726">
        <f t="shared" si="26"/>
        <v>3</v>
      </c>
    </row>
    <row r="1727" spans="1:15">
      <c r="A1727">
        <v>1077</v>
      </c>
      <c r="B1727" s="1">
        <v>45727</v>
      </c>
      <c r="C1727">
        <v>26</v>
      </c>
      <c r="D1727" t="s">
        <v>17</v>
      </c>
      <c r="E1727" t="s">
        <v>20</v>
      </c>
      <c r="F1727" t="s">
        <v>21</v>
      </c>
      <c r="H1727">
        <v>577.6</v>
      </c>
      <c r="I1727" s="13">
        <v>4</v>
      </c>
      <c r="J1727">
        <v>1</v>
      </c>
      <c r="K1727">
        <v>16.649999999999999</v>
      </c>
      <c r="L1727">
        <v>4</v>
      </c>
      <c r="M1727">
        <v>3</v>
      </c>
      <c r="N1727">
        <v>4</v>
      </c>
      <c r="O1727">
        <f t="shared" si="26"/>
        <v>3</v>
      </c>
    </row>
    <row r="1728" spans="1:15">
      <c r="A1728">
        <v>366</v>
      </c>
      <c r="B1728" s="1">
        <v>45727</v>
      </c>
      <c r="C1728">
        <v>29</v>
      </c>
      <c r="D1728" t="s">
        <v>17</v>
      </c>
      <c r="E1728" t="s">
        <v>22</v>
      </c>
      <c r="F1728" t="s">
        <v>21</v>
      </c>
      <c r="H1728">
        <v>819.7</v>
      </c>
      <c r="I1728" s="13">
        <v>3</v>
      </c>
      <c r="J1728">
        <v>0</v>
      </c>
      <c r="K1728">
        <v>0</v>
      </c>
      <c r="L1728">
        <v>0</v>
      </c>
      <c r="M1728">
        <v>0</v>
      </c>
      <c r="O1728">
        <f t="shared" si="26"/>
        <v>3</v>
      </c>
    </row>
    <row r="1729" spans="1:15">
      <c r="A1729">
        <v>4895</v>
      </c>
      <c r="B1729" s="1">
        <v>45727</v>
      </c>
      <c r="C1729">
        <v>45</v>
      </c>
      <c r="D1729" t="s">
        <v>14</v>
      </c>
      <c r="E1729" t="s">
        <v>22</v>
      </c>
      <c r="F1729" t="s">
        <v>16</v>
      </c>
      <c r="H1729">
        <v>404.5</v>
      </c>
      <c r="I1729" s="13">
        <v>4</v>
      </c>
      <c r="J1729">
        <v>0</v>
      </c>
      <c r="K1729">
        <v>0</v>
      </c>
      <c r="L1729">
        <v>0</v>
      </c>
      <c r="M1729">
        <v>0</v>
      </c>
      <c r="O1729">
        <f t="shared" si="26"/>
        <v>3</v>
      </c>
    </row>
    <row r="1730" spans="1:15">
      <c r="A1730">
        <v>3518</v>
      </c>
      <c r="B1730" s="1">
        <v>45727</v>
      </c>
      <c r="C1730">
        <v>24</v>
      </c>
      <c r="D1730" t="s">
        <v>14</v>
      </c>
      <c r="E1730" t="s">
        <v>24</v>
      </c>
      <c r="F1730" t="s">
        <v>23</v>
      </c>
      <c r="H1730">
        <v>395.8</v>
      </c>
      <c r="I1730" s="13">
        <v>3</v>
      </c>
      <c r="J1730">
        <v>0</v>
      </c>
      <c r="K1730">
        <v>0</v>
      </c>
      <c r="L1730">
        <v>0</v>
      </c>
      <c r="M1730">
        <v>0</v>
      </c>
      <c r="O1730">
        <f t="shared" si="26"/>
        <v>3</v>
      </c>
    </row>
    <row r="1731" spans="1:15">
      <c r="A1731">
        <v>61</v>
      </c>
      <c r="B1731" s="1">
        <v>45727</v>
      </c>
      <c r="C1731">
        <v>25</v>
      </c>
      <c r="D1731" t="s">
        <v>17</v>
      </c>
      <c r="E1731" t="s">
        <v>22</v>
      </c>
      <c r="F1731" t="s">
        <v>16</v>
      </c>
      <c r="H1731">
        <v>380.8</v>
      </c>
      <c r="I1731" s="13">
        <v>6</v>
      </c>
      <c r="J1731">
        <v>0</v>
      </c>
      <c r="K1731">
        <v>0</v>
      </c>
      <c r="L1731">
        <v>0</v>
      </c>
      <c r="M1731">
        <v>0</v>
      </c>
      <c r="O1731">
        <f t="shared" ref="O1731:O1794" si="27">MONTH(B1731)</f>
        <v>3</v>
      </c>
    </row>
    <row r="1732" spans="1:15">
      <c r="A1732">
        <v>2417</v>
      </c>
      <c r="B1732" s="1">
        <v>45727</v>
      </c>
      <c r="C1732">
        <v>19</v>
      </c>
      <c r="D1732" t="s">
        <v>14</v>
      </c>
      <c r="E1732" t="s">
        <v>24</v>
      </c>
      <c r="F1732" t="s">
        <v>16</v>
      </c>
      <c r="H1732">
        <v>373.7</v>
      </c>
      <c r="I1732" s="13">
        <v>5</v>
      </c>
      <c r="J1732">
        <v>0</v>
      </c>
      <c r="K1732">
        <v>0</v>
      </c>
      <c r="L1732">
        <v>0</v>
      </c>
      <c r="M1732">
        <v>0</v>
      </c>
      <c r="O1732">
        <f t="shared" si="27"/>
        <v>3</v>
      </c>
    </row>
    <row r="1733" spans="1:15">
      <c r="A1733">
        <v>2437</v>
      </c>
      <c r="B1733" s="1">
        <v>45727</v>
      </c>
      <c r="C1733">
        <v>42</v>
      </c>
      <c r="D1733" t="s">
        <v>14</v>
      </c>
      <c r="E1733" t="s">
        <v>22</v>
      </c>
      <c r="F1733" t="s">
        <v>16</v>
      </c>
      <c r="H1733">
        <v>321.39999999999998</v>
      </c>
      <c r="I1733" s="13">
        <v>6</v>
      </c>
      <c r="J1733">
        <v>0</v>
      </c>
      <c r="K1733">
        <v>0</v>
      </c>
      <c r="L1733">
        <v>0</v>
      </c>
      <c r="M1733">
        <v>0</v>
      </c>
      <c r="O1733">
        <f t="shared" si="27"/>
        <v>3</v>
      </c>
    </row>
    <row r="1734" spans="1:15">
      <c r="A1734">
        <v>2336</v>
      </c>
      <c r="B1734" s="1">
        <v>45727</v>
      </c>
      <c r="C1734">
        <v>34</v>
      </c>
      <c r="D1734" t="s">
        <v>14</v>
      </c>
      <c r="E1734" t="s">
        <v>22</v>
      </c>
      <c r="F1734" t="s">
        <v>16</v>
      </c>
      <c r="H1734">
        <v>269.8</v>
      </c>
      <c r="I1734" s="13">
        <v>8</v>
      </c>
      <c r="J1734">
        <v>0</v>
      </c>
      <c r="K1734">
        <v>0</v>
      </c>
      <c r="L1734">
        <v>0</v>
      </c>
      <c r="M1734">
        <v>0</v>
      </c>
      <c r="O1734">
        <f t="shared" si="27"/>
        <v>3</v>
      </c>
    </row>
    <row r="1735" spans="1:15">
      <c r="A1735">
        <v>2272</v>
      </c>
      <c r="B1735" s="1">
        <v>45727</v>
      </c>
      <c r="C1735">
        <v>25</v>
      </c>
      <c r="D1735" t="s">
        <v>17</v>
      </c>
      <c r="E1735" t="s">
        <v>22</v>
      </c>
      <c r="F1735" t="s">
        <v>16</v>
      </c>
      <c r="H1735">
        <v>216.6</v>
      </c>
      <c r="I1735" s="13">
        <v>4</v>
      </c>
      <c r="J1735">
        <v>0</v>
      </c>
      <c r="K1735">
        <v>0</v>
      </c>
      <c r="L1735">
        <v>0</v>
      </c>
      <c r="M1735">
        <v>0</v>
      </c>
      <c r="O1735">
        <f t="shared" si="27"/>
        <v>3</v>
      </c>
    </row>
    <row r="1736" spans="1:15">
      <c r="A1736">
        <v>2420</v>
      </c>
      <c r="B1736" s="1">
        <v>45727</v>
      </c>
      <c r="C1736">
        <v>44</v>
      </c>
      <c r="D1736" t="s">
        <v>14</v>
      </c>
      <c r="E1736" t="s">
        <v>15</v>
      </c>
      <c r="F1736" t="s">
        <v>16</v>
      </c>
      <c r="H1736">
        <v>200</v>
      </c>
      <c r="I1736" s="13">
        <v>6</v>
      </c>
      <c r="J1736">
        <v>0</v>
      </c>
      <c r="K1736">
        <v>0</v>
      </c>
      <c r="L1736">
        <v>0</v>
      </c>
      <c r="M1736">
        <v>0</v>
      </c>
      <c r="O1736">
        <f t="shared" si="27"/>
        <v>3</v>
      </c>
    </row>
    <row r="1737" spans="1:15">
      <c r="A1737">
        <v>3834</v>
      </c>
      <c r="B1737" s="1">
        <v>45727</v>
      </c>
      <c r="C1737">
        <v>56</v>
      </c>
      <c r="D1737" t="s">
        <v>17</v>
      </c>
      <c r="E1737" t="s">
        <v>20</v>
      </c>
      <c r="F1737" t="s">
        <v>21</v>
      </c>
      <c r="H1737">
        <v>182.6</v>
      </c>
      <c r="I1737" s="13">
        <v>7</v>
      </c>
      <c r="J1737">
        <v>0</v>
      </c>
      <c r="K1737">
        <v>0</v>
      </c>
      <c r="L1737">
        <v>0</v>
      </c>
      <c r="M1737">
        <v>0</v>
      </c>
      <c r="O1737">
        <f t="shared" si="27"/>
        <v>3</v>
      </c>
    </row>
    <row r="1738" spans="1:15">
      <c r="A1738">
        <v>4655</v>
      </c>
      <c r="B1738" s="1">
        <v>45727</v>
      </c>
      <c r="C1738">
        <v>46</v>
      </c>
      <c r="D1738" t="s">
        <v>14</v>
      </c>
      <c r="E1738" t="s">
        <v>20</v>
      </c>
      <c r="F1738" t="s">
        <v>18</v>
      </c>
      <c r="G1738" t="s">
        <v>26</v>
      </c>
      <c r="H1738">
        <v>166.6</v>
      </c>
      <c r="I1738" s="13">
        <v>6</v>
      </c>
      <c r="J1738">
        <v>0</v>
      </c>
      <c r="K1738">
        <v>0</v>
      </c>
      <c r="L1738">
        <v>0</v>
      </c>
      <c r="M1738">
        <v>0</v>
      </c>
      <c r="O1738">
        <f t="shared" si="27"/>
        <v>3</v>
      </c>
    </row>
    <row r="1739" spans="1:15">
      <c r="A1739">
        <v>4166</v>
      </c>
      <c r="B1739" s="1">
        <v>45727</v>
      </c>
      <c r="C1739">
        <v>58</v>
      </c>
      <c r="D1739" t="s">
        <v>14</v>
      </c>
      <c r="E1739" t="s">
        <v>22</v>
      </c>
      <c r="F1739" t="s">
        <v>18</v>
      </c>
      <c r="G1739" t="s">
        <v>19</v>
      </c>
      <c r="H1739">
        <v>147.30000000000001</v>
      </c>
      <c r="I1739" s="13">
        <v>5</v>
      </c>
      <c r="J1739">
        <v>0</v>
      </c>
      <c r="K1739">
        <v>0</v>
      </c>
      <c r="L1739">
        <v>0</v>
      </c>
      <c r="M1739">
        <v>0</v>
      </c>
      <c r="O1739">
        <f t="shared" si="27"/>
        <v>3</v>
      </c>
    </row>
    <row r="1740" spans="1:15">
      <c r="A1740">
        <v>2975</v>
      </c>
      <c r="B1740" s="1">
        <v>45727</v>
      </c>
      <c r="C1740">
        <v>26</v>
      </c>
      <c r="D1740" t="s">
        <v>17</v>
      </c>
      <c r="E1740" t="s">
        <v>15</v>
      </c>
      <c r="F1740" t="s">
        <v>18</v>
      </c>
      <c r="G1740" t="s">
        <v>30</v>
      </c>
      <c r="H1740">
        <v>115.5</v>
      </c>
      <c r="I1740" s="13">
        <v>13</v>
      </c>
      <c r="J1740">
        <v>0</v>
      </c>
      <c r="K1740">
        <v>0</v>
      </c>
      <c r="L1740">
        <v>0</v>
      </c>
      <c r="M1740">
        <v>0</v>
      </c>
      <c r="O1740">
        <f t="shared" si="27"/>
        <v>3</v>
      </c>
    </row>
    <row r="1741" spans="1:15">
      <c r="A1741">
        <v>1964</v>
      </c>
      <c r="B1741" s="1">
        <v>45727</v>
      </c>
      <c r="C1741">
        <v>32</v>
      </c>
      <c r="D1741" t="s">
        <v>17</v>
      </c>
      <c r="E1741" t="s">
        <v>22</v>
      </c>
      <c r="F1741" t="s">
        <v>18</v>
      </c>
      <c r="G1741" t="s">
        <v>26</v>
      </c>
      <c r="H1741">
        <v>108.5</v>
      </c>
      <c r="I1741" s="13">
        <v>6</v>
      </c>
      <c r="J1741">
        <v>0</v>
      </c>
      <c r="K1741">
        <v>0</v>
      </c>
      <c r="L1741">
        <v>0</v>
      </c>
      <c r="M1741">
        <v>0</v>
      </c>
      <c r="O1741">
        <f t="shared" si="27"/>
        <v>3</v>
      </c>
    </row>
    <row r="1742" spans="1:15">
      <c r="A1742">
        <v>1489</v>
      </c>
      <c r="B1742" s="1">
        <v>45727</v>
      </c>
      <c r="C1742">
        <v>22</v>
      </c>
      <c r="D1742" t="s">
        <v>14</v>
      </c>
      <c r="E1742" t="s">
        <v>24</v>
      </c>
      <c r="F1742" t="s">
        <v>16</v>
      </c>
      <c r="H1742">
        <v>103.9</v>
      </c>
      <c r="I1742" s="13">
        <v>3</v>
      </c>
      <c r="J1742">
        <v>0</v>
      </c>
      <c r="K1742">
        <v>0</v>
      </c>
      <c r="L1742">
        <v>0</v>
      </c>
      <c r="M1742">
        <v>0</v>
      </c>
      <c r="O1742">
        <f t="shared" si="27"/>
        <v>3</v>
      </c>
    </row>
    <row r="1743" spans="1:15">
      <c r="A1743">
        <v>747</v>
      </c>
      <c r="B1743" s="1">
        <v>45727</v>
      </c>
      <c r="C1743">
        <v>18</v>
      </c>
      <c r="D1743" t="s">
        <v>17</v>
      </c>
      <c r="E1743" t="s">
        <v>22</v>
      </c>
      <c r="F1743" t="s">
        <v>21</v>
      </c>
      <c r="H1743">
        <v>60.5</v>
      </c>
      <c r="I1743" s="13">
        <v>7</v>
      </c>
      <c r="J1743">
        <v>0</v>
      </c>
      <c r="K1743">
        <v>0</v>
      </c>
      <c r="L1743">
        <v>0</v>
      </c>
      <c r="M1743">
        <v>0</v>
      </c>
      <c r="O1743">
        <f t="shared" si="27"/>
        <v>3</v>
      </c>
    </row>
    <row r="1744" spans="1:15">
      <c r="A1744">
        <v>4054</v>
      </c>
      <c r="B1744" s="1">
        <v>45758</v>
      </c>
      <c r="C1744">
        <v>72</v>
      </c>
      <c r="D1744" t="s">
        <v>17</v>
      </c>
      <c r="E1744" t="s">
        <v>22</v>
      </c>
      <c r="F1744" t="s">
        <v>21</v>
      </c>
      <c r="H1744">
        <v>179.3</v>
      </c>
      <c r="I1744" s="13">
        <v>6</v>
      </c>
      <c r="J1744">
        <v>1</v>
      </c>
      <c r="K1744">
        <v>242</v>
      </c>
      <c r="L1744">
        <v>2</v>
      </c>
      <c r="M1744">
        <v>2</v>
      </c>
      <c r="N1744">
        <v>4</v>
      </c>
      <c r="O1744">
        <f t="shared" si="27"/>
        <v>4</v>
      </c>
    </row>
    <row r="1745" spans="1:15">
      <c r="A1745">
        <v>686</v>
      </c>
      <c r="B1745" s="1">
        <v>45758</v>
      </c>
      <c r="C1745">
        <v>21</v>
      </c>
      <c r="D1745" t="s">
        <v>17</v>
      </c>
      <c r="E1745" t="s">
        <v>15</v>
      </c>
      <c r="F1745" t="s">
        <v>21</v>
      </c>
      <c r="H1745">
        <v>971.2</v>
      </c>
      <c r="I1745" s="13">
        <v>6</v>
      </c>
      <c r="J1745">
        <v>1</v>
      </c>
      <c r="K1745">
        <v>255</v>
      </c>
      <c r="L1745">
        <v>3</v>
      </c>
      <c r="M1745">
        <v>15</v>
      </c>
      <c r="N1745">
        <v>5</v>
      </c>
      <c r="O1745">
        <f t="shared" si="27"/>
        <v>4</v>
      </c>
    </row>
    <row r="1746" spans="1:15">
      <c r="A1746">
        <v>452</v>
      </c>
      <c r="B1746" s="1">
        <v>45758</v>
      </c>
      <c r="C1746">
        <v>22</v>
      </c>
      <c r="D1746" t="s">
        <v>14</v>
      </c>
      <c r="E1746" t="s">
        <v>22</v>
      </c>
      <c r="F1746" t="s">
        <v>16</v>
      </c>
      <c r="H1746">
        <v>585.4</v>
      </c>
      <c r="I1746" s="13">
        <v>6</v>
      </c>
      <c r="J1746">
        <v>1</v>
      </c>
      <c r="K1746">
        <v>90.31</v>
      </c>
      <c r="L1746">
        <v>3</v>
      </c>
      <c r="M1746">
        <v>6</v>
      </c>
      <c r="N1746">
        <v>4</v>
      </c>
      <c r="O1746">
        <f t="shared" si="27"/>
        <v>4</v>
      </c>
    </row>
    <row r="1747" spans="1:15">
      <c r="A1747">
        <v>3617</v>
      </c>
      <c r="B1747" s="1">
        <v>45758</v>
      </c>
      <c r="C1747">
        <v>28</v>
      </c>
      <c r="D1747" t="s">
        <v>14</v>
      </c>
      <c r="E1747" t="s">
        <v>15</v>
      </c>
      <c r="F1747" t="s">
        <v>16</v>
      </c>
      <c r="H1747">
        <v>611.5</v>
      </c>
      <c r="I1747" s="13">
        <v>9</v>
      </c>
      <c r="J1747">
        <v>1</v>
      </c>
      <c r="K1747">
        <v>52.75</v>
      </c>
      <c r="L1747">
        <v>4</v>
      </c>
      <c r="M1747">
        <v>4</v>
      </c>
      <c r="N1747">
        <v>2</v>
      </c>
      <c r="O1747">
        <f t="shared" si="27"/>
        <v>4</v>
      </c>
    </row>
    <row r="1748" spans="1:15">
      <c r="A1748">
        <v>2194</v>
      </c>
      <c r="B1748" s="1">
        <v>45758</v>
      </c>
      <c r="C1748">
        <v>26</v>
      </c>
      <c r="D1748" t="s">
        <v>17</v>
      </c>
      <c r="E1748" t="s">
        <v>15</v>
      </c>
      <c r="F1748" t="s">
        <v>18</v>
      </c>
      <c r="G1748" t="s">
        <v>25</v>
      </c>
      <c r="H1748">
        <v>598.6</v>
      </c>
      <c r="I1748" s="13">
        <v>4</v>
      </c>
      <c r="J1748">
        <v>1</v>
      </c>
      <c r="K1748">
        <v>50.96</v>
      </c>
      <c r="L1748">
        <v>4</v>
      </c>
      <c r="M1748">
        <v>3</v>
      </c>
      <c r="N1748">
        <v>5</v>
      </c>
      <c r="O1748">
        <f t="shared" si="27"/>
        <v>4</v>
      </c>
    </row>
    <row r="1749" spans="1:15">
      <c r="A1749">
        <v>2453</v>
      </c>
      <c r="B1749" s="1">
        <v>45758</v>
      </c>
      <c r="C1749">
        <v>28</v>
      </c>
      <c r="D1749" t="s">
        <v>17</v>
      </c>
      <c r="E1749" t="s">
        <v>15</v>
      </c>
      <c r="F1749" t="s">
        <v>18</v>
      </c>
      <c r="G1749" t="s">
        <v>25</v>
      </c>
      <c r="H1749">
        <v>160.4</v>
      </c>
      <c r="I1749" s="13">
        <v>7</v>
      </c>
      <c r="J1749">
        <v>1</v>
      </c>
      <c r="K1749">
        <v>37.630000000000003</v>
      </c>
      <c r="L1749">
        <v>7</v>
      </c>
      <c r="M1749">
        <v>9</v>
      </c>
      <c r="N1749">
        <v>5</v>
      </c>
      <c r="O1749">
        <f t="shared" si="27"/>
        <v>4</v>
      </c>
    </row>
    <row r="1750" spans="1:15">
      <c r="A1750">
        <v>4386</v>
      </c>
      <c r="B1750" s="1">
        <v>45758</v>
      </c>
      <c r="C1750">
        <v>48</v>
      </c>
      <c r="D1750" t="s">
        <v>14</v>
      </c>
      <c r="E1750" t="s">
        <v>15</v>
      </c>
      <c r="F1750" t="s">
        <v>16</v>
      </c>
      <c r="H1750">
        <v>84.5</v>
      </c>
      <c r="I1750" s="13">
        <v>10</v>
      </c>
      <c r="J1750">
        <v>1</v>
      </c>
      <c r="K1750">
        <v>28.65</v>
      </c>
      <c r="L1750">
        <v>2</v>
      </c>
      <c r="M1750">
        <v>8</v>
      </c>
      <c r="N1750">
        <v>4</v>
      </c>
      <c r="O1750">
        <f t="shared" si="27"/>
        <v>4</v>
      </c>
    </row>
    <row r="1751" spans="1:15">
      <c r="A1751">
        <v>3388</v>
      </c>
      <c r="B1751" s="1">
        <v>45758</v>
      </c>
      <c r="C1751">
        <v>31</v>
      </c>
      <c r="D1751" t="s">
        <v>14</v>
      </c>
      <c r="E1751" t="s">
        <v>22</v>
      </c>
      <c r="F1751" t="s">
        <v>23</v>
      </c>
      <c r="H1751">
        <v>683.8</v>
      </c>
      <c r="I1751" s="13">
        <v>11</v>
      </c>
      <c r="J1751">
        <v>0</v>
      </c>
      <c r="K1751">
        <v>0</v>
      </c>
      <c r="L1751">
        <v>0</v>
      </c>
      <c r="M1751">
        <v>0</v>
      </c>
      <c r="O1751">
        <f t="shared" si="27"/>
        <v>4</v>
      </c>
    </row>
    <row r="1752" spans="1:15">
      <c r="A1752">
        <v>3303</v>
      </c>
      <c r="B1752" s="1">
        <v>45758</v>
      </c>
      <c r="C1752">
        <v>41</v>
      </c>
      <c r="D1752" t="s">
        <v>14</v>
      </c>
      <c r="E1752" t="s">
        <v>20</v>
      </c>
      <c r="F1752" t="s">
        <v>16</v>
      </c>
      <c r="H1752">
        <v>592.20000000000005</v>
      </c>
      <c r="I1752" s="13">
        <v>5</v>
      </c>
      <c r="J1752">
        <v>0</v>
      </c>
      <c r="K1752">
        <v>0</v>
      </c>
      <c r="L1752">
        <v>0</v>
      </c>
      <c r="M1752">
        <v>0</v>
      </c>
      <c r="O1752">
        <f t="shared" si="27"/>
        <v>4</v>
      </c>
    </row>
    <row r="1753" spans="1:15">
      <c r="A1753">
        <v>256</v>
      </c>
      <c r="B1753" s="1">
        <v>45758</v>
      </c>
      <c r="C1753">
        <v>18</v>
      </c>
      <c r="D1753" t="s">
        <v>17</v>
      </c>
      <c r="E1753" t="s">
        <v>24</v>
      </c>
      <c r="F1753" t="s">
        <v>16</v>
      </c>
      <c r="H1753">
        <v>459.8</v>
      </c>
      <c r="I1753" s="13">
        <v>7</v>
      </c>
      <c r="J1753">
        <v>0</v>
      </c>
      <c r="K1753">
        <v>0</v>
      </c>
      <c r="L1753">
        <v>0</v>
      </c>
      <c r="M1753">
        <v>0</v>
      </c>
      <c r="O1753">
        <f t="shared" si="27"/>
        <v>4</v>
      </c>
    </row>
    <row r="1754" spans="1:15">
      <c r="A1754">
        <v>3268</v>
      </c>
      <c r="B1754" s="1">
        <v>45758</v>
      </c>
      <c r="C1754">
        <v>44</v>
      </c>
      <c r="D1754" t="s">
        <v>14</v>
      </c>
      <c r="E1754" t="s">
        <v>22</v>
      </c>
      <c r="F1754" t="s">
        <v>23</v>
      </c>
      <c r="H1754">
        <v>386.1</v>
      </c>
      <c r="I1754" s="13">
        <v>10</v>
      </c>
      <c r="J1754">
        <v>0</v>
      </c>
      <c r="K1754">
        <v>0</v>
      </c>
      <c r="L1754">
        <v>0</v>
      </c>
      <c r="M1754">
        <v>0</v>
      </c>
      <c r="O1754">
        <f t="shared" si="27"/>
        <v>4</v>
      </c>
    </row>
    <row r="1755" spans="1:15">
      <c r="A1755">
        <v>2368</v>
      </c>
      <c r="B1755" s="1">
        <v>45758</v>
      </c>
      <c r="C1755">
        <v>35</v>
      </c>
      <c r="D1755" t="s">
        <v>17</v>
      </c>
      <c r="E1755" t="s">
        <v>15</v>
      </c>
      <c r="F1755" t="s">
        <v>18</v>
      </c>
      <c r="G1755" t="s">
        <v>25</v>
      </c>
      <c r="H1755">
        <v>335.8</v>
      </c>
      <c r="I1755" s="13">
        <v>9</v>
      </c>
      <c r="J1755">
        <v>0</v>
      </c>
      <c r="K1755">
        <v>0</v>
      </c>
      <c r="L1755">
        <v>0</v>
      </c>
      <c r="M1755">
        <v>0</v>
      </c>
      <c r="O1755">
        <f t="shared" si="27"/>
        <v>4</v>
      </c>
    </row>
    <row r="1756" spans="1:15">
      <c r="A1756">
        <v>3879</v>
      </c>
      <c r="B1756" s="1">
        <v>45758</v>
      </c>
      <c r="C1756">
        <v>56</v>
      </c>
      <c r="D1756" t="s">
        <v>17</v>
      </c>
      <c r="E1756" t="s">
        <v>20</v>
      </c>
      <c r="F1756" t="s">
        <v>18</v>
      </c>
      <c r="G1756" t="s">
        <v>25</v>
      </c>
      <c r="H1756">
        <v>313</v>
      </c>
      <c r="I1756" s="13">
        <v>6</v>
      </c>
      <c r="J1756">
        <v>0</v>
      </c>
      <c r="K1756">
        <v>0</v>
      </c>
      <c r="L1756">
        <v>0</v>
      </c>
      <c r="M1756">
        <v>0</v>
      </c>
      <c r="O1756">
        <f t="shared" si="27"/>
        <v>4</v>
      </c>
    </row>
    <row r="1757" spans="1:15">
      <c r="A1757">
        <v>1619</v>
      </c>
      <c r="B1757" s="1">
        <v>45758</v>
      </c>
      <c r="C1757">
        <v>20</v>
      </c>
      <c r="D1757" t="s">
        <v>14</v>
      </c>
      <c r="E1757" t="s">
        <v>22</v>
      </c>
      <c r="F1757" t="s">
        <v>16</v>
      </c>
      <c r="H1757">
        <v>283.8</v>
      </c>
      <c r="I1757" s="13">
        <v>4</v>
      </c>
      <c r="J1757">
        <v>0</v>
      </c>
      <c r="K1757">
        <v>0</v>
      </c>
      <c r="L1757">
        <v>0</v>
      </c>
      <c r="M1757">
        <v>0</v>
      </c>
      <c r="O1757">
        <f t="shared" si="27"/>
        <v>4</v>
      </c>
    </row>
    <row r="1758" spans="1:15">
      <c r="A1758">
        <v>1933</v>
      </c>
      <c r="B1758" s="1">
        <v>45758</v>
      </c>
      <c r="C1758">
        <v>45</v>
      </c>
      <c r="D1758" t="s">
        <v>14</v>
      </c>
      <c r="E1758" t="s">
        <v>24</v>
      </c>
      <c r="F1758" t="s">
        <v>16</v>
      </c>
      <c r="H1758">
        <v>275.3</v>
      </c>
      <c r="I1758" s="13">
        <v>5</v>
      </c>
      <c r="J1758">
        <v>0</v>
      </c>
      <c r="K1758">
        <v>0</v>
      </c>
      <c r="L1758">
        <v>0</v>
      </c>
      <c r="M1758">
        <v>0</v>
      </c>
      <c r="O1758">
        <f t="shared" si="27"/>
        <v>4</v>
      </c>
    </row>
    <row r="1759" spans="1:15">
      <c r="A1759">
        <v>1283</v>
      </c>
      <c r="B1759" s="1">
        <v>45758</v>
      </c>
      <c r="C1759">
        <v>40</v>
      </c>
      <c r="D1759" t="s">
        <v>17</v>
      </c>
      <c r="E1759" t="s">
        <v>20</v>
      </c>
      <c r="F1759" t="s">
        <v>18</v>
      </c>
      <c r="G1759" t="s">
        <v>30</v>
      </c>
      <c r="H1759">
        <v>256.10000000000002</v>
      </c>
      <c r="I1759" s="13">
        <v>5</v>
      </c>
      <c r="J1759">
        <v>0</v>
      </c>
      <c r="K1759">
        <v>0</v>
      </c>
      <c r="L1759">
        <v>0</v>
      </c>
      <c r="M1759">
        <v>0</v>
      </c>
      <c r="O1759">
        <f t="shared" si="27"/>
        <v>4</v>
      </c>
    </row>
    <row r="1760" spans="1:15">
      <c r="A1760">
        <v>866</v>
      </c>
      <c r="B1760" s="1">
        <v>45758</v>
      </c>
      <c r="C1760">
        <v>28</v>
      </c>
      <c r="D1760" t="s">
        <v>17</v>
      </c>
      <c r="E1760" t="s">
        <v>24</v>
      </c>
      <c r="F1760" t="s">
        <v>16</v>
      </c>
      <c r="H1760">
        <v>243.4</v>
      </c>
      <c r="I1760" s="13">
        <v>3</v>
      </c>
      <c r="J1760">
        <v>0</v>
      </c>
      <c r="K1760">
        <v>0</v>
      </c>
      <c r="L1760">
        <v>0</v>
      </c>
      <c r="M1760">
        <v>0</v>
      </c>
      <c r="O1760">
        <f t="shared" si="27"/>
        <v>4</v>
      </c>
    </row>
    <row r="1761" spans="1:15">
      <c r="A1761">
        <v>4232</v>
      </c>
      <c r="B1761" s="1">
        <v>45758</v>
      </c>
      <c r="C1761">
        <v>42</v>
      </c>
      <c r="D1761" t="s">
        <v>14</v>
      </c>
      <c r="E1761" t="s">
        <v>22</v>
      </c>
      <c r="F1761" t="s">
        <v>23</v>
      </c>
      <c r="H1761">
        <v>228.4</v>
      </c>
      <c r="I1761" s="13">
        <v>5</v>
      </c>
      <c r="J1761">
        <v>0</v>
      </c>
      <c r="K1761">
        <v>0</v>
      </c>
      <c r="L1761">
        <v>0</v>
      </c>
      <c r="M1761">
        <v>0</v>
      </c>
      <c r="O1761">
        <f t="shared" si="27"/>
        <v>4</v>
      </c>
    </row>
    <row r="1762" spans="1:15">
      <c r="A1762">
        <v>2022</v>
      </c>
      <c r="B1762" s="1">
        <v>45758</v>
      </c>
      <c r="C1762">
        <v>24</v>
      </c>
      <c r="D1762" t="s">
        <v>17</v>
      </c>
      <c r="E1762" t="s">
        <v>22</v>
      </c>
      <c r="F1762" t="s">
        <v>23</v>
      </c>
      <c r="H1762">
        <v>159.30000000000001</v>
      </c>
      <c r="I1762" s="13">
        <v>6</v>
      </c>
      <c r="J1762">
        <v>0</v>
      </c>
      <c r="K1762">
        <v>0</v>
      </c>
      <c r="L1762">
        <v>0</v>
      </c>
      <c r="M1762">
        <v>0</v>
      </c>
      <c r="O1762">
        <f t="shared" si="27"/>
        <v>4</v>
      </c>
    </row>
    <row r="1763" spans="1:15">
      <c r="A1763">
        <v>3240</v>
      </c>
      <c r="B1763" s="1">
        <v>45758</v>
      </c>
      <c r="C1763">
        <v>32</v>
      </c>
      <c r="D1763" t="s">
        <v>14</v>
      </c>
      <c r="E1763" t="s">
        <v>20</v>
      </c>
      <c r="F1763" t="s">
        <v>23</v>
      </c>
      <c r="H1763">
        <v>158.4</v>
      </c>
      <c r="I1763" s="13">
        <v>7</v>
      </c>
      <c r="J1763">
        <v>0</v>
      </c>
      <c r="K1763">
        <v>0</v>
      </c>
      <c r="L1763">
        <v>0</v>
      </c>
      <c r="M1763">
        <v>0</v>
      </c>
      <c r="O1763">
        <f t="shared" si="27"/>
        <v>4</v>
      </c>
    </row>
    <row r="1764" spans="1:15">
      <c r="A1764">
        <v>554</v>
      </c>
      <c r="B1764" s="1">
        <v>45758</v>
      </c>
      <c r="C1764">
        <v>33</v>
      </c>
      <c r="D1764" t="s">
        <v>17</v>
      </c>
      <c r="E1764" t="s">
        <v>22</v>
      </c>
      <c r="F1764" t="s">
        <v>16</v>
      </c>
      <c r="H1764">
        <v>124</v>
      </c>
      <c r="I1764" s="13">
        <v>8</v>
      </c>
      <c r="J1764">
        <v>0</v>
      </c>
      <c r="K1764">
        <v>0</v>
      </c>
      <c r="L1764">
        <v>0</v>
      </c>
      <c r="M1764">
        <v>0</v>
      </c>
      <c r="O1764">
        <f t="shared" si="27"/>
        <v>4</v>
      </c>
    </row>
    <row r="1765" spans="1:15">
      <c r="A1765">
        <v>2133</v>
      </c>
      <c r="B1765" s="1">
        <v>45758</v>
      </c>
      <c r="C1765">
        <v>49</v>
      </c>
      <c r="D1765" t="s">
        <v>14</v>
      </c>
      <c r="E1765" t="s">
        <v>24</v>
      </c>
      <c r="F1765" t="s">
        <v>18</v>
      </c>
      <c r="G1765" t="s">
        <v>28</v>
      </c>
      <c r="H1765">
        <v>104.6</v>
      </c>
      <c r="I1765" s="13">
        <v>4</v>
      </c>
      <c r="J1765">
        <v>0</v>
      </c>
      <c r="K1765">
        <v>0</v>
      </c>
      <c r="L1765">
        <v>0</v>
      </c>
      <c r="M1765">
        <v>0</v>
      </c>
      <c r="O1765">
        <f t="shared" si="27"/>
        <v>4</v>
      </c>
    </row>
    <row r="1766" spans="1:15">
      <c r="A1766">
        <v>4140</v>
      </c>
      <c r="B1766" s="1">
        <v>45758</v>
      </c>
      <c r="C1766">
        <v>61</v>
      </c>
      <c r="D1766" t="s">
        <v>17</v>
      </c>
      <c r="E1766" t="s">
        <v>20</v>
      </c>
      <c r="F1766" t="s">
        <v>16</v>
      </c>
      <c r="H1766">
        <v>95.3</v>
      </c>
      <c r="I1766" s="13">
        <v>12</v>
      </c>
      <c r="J1766">
        <v>0</v>
      </c>
      <c r="K1766">
        <v>0</v>
      </c>
      <c r="L1766">
        <v>0</v>
      </c>
      <c r="M1766">
        <v>0</v>
      </c>
      <c r="O1766">
        <f t="shared" si="27"/>
        <v>4</v>
      </c>
    </row>
    <row r="1767" spans="1:15">
      <c r="A1767">
        <v>1038</v>
      </c>
      <c r="B1767" s="1">
        <v>45788</v>
      </c>
      <c r="C1767">
        <v>18</v>
      </c>
      <c r="D1767" t="s">
        <v>14</v>
      </c>
      <c r="E1767" t="s">
        <v>22</v>
      </c>
      <c r="F1767" t="s">
        <v>16</v>
      </c>
      <c r="H1767">
        <v>520.4</v>
      </c>
      <c r="I1767" s="13">
        <v>5</v>
      </c>
      <c r="J1767">
        <v>1</v>
      </c>
      <c r="K1767">
        <v>198</v>
      </c>
      <c r="L1767">
        <v>4</v>
      </c>
      <c r="M1767">
        <v>11</v>
      </c>
      <c r="N1767">
        <v>4</v>
      </c>
      <c r="O1767">
        <f t="shared" si="27"/>
        <v>5</v>
      </c>
    </row>
    <row r="1768" spans="1:15">
      <c r="A1768">
        <v>3107</v>
      </c>
      <c r="B1768" s="1">
        <v>45788</v>
      </c>
      <c r="C1768">
        <v>25</v>
      </c>
      <c r="D1768" t="s">
        <v>17</v>
      </c>
      <c r="E1768" t="s">
        <v>15</v>
      </c>
      <c r="F1768" t="s">
        <v>18</v>
      </c>
      <c r="G1768" t="s">
        <v>31</v>
      </c>
      <c r="H1768">
        <v>199.3</v>
      </c>
      <c r="I1768" s="13">
        <v>6</v>
      </c>
      <c r="J1768">
        <v>1</v>
      </c>
      <c r="K1768">
        <v>1312</v>
      </c>
      <c r="L1768">
        <v>5</v>
      </c>
      <c r="M1768">
        <v>2</v>
      </c>
      <c r="N1768">
        <v>4</v>
      </c>
      <c r="O1768">
        <f t="shared" si="27"/>
        <v>5</v>
      </c>
    </row>
    <row r="1769" spans="1:15">
      <c r="A1769">
        <v>510</v>
      </c>
      <c r="B1769" s="1">
        <v>45788</v>
      </c>
      <c r="C1769">
        <v>23</v>
      </c>
      <c r="D1769" t="s">
        <v>17</v>
      </c>
      <c r="E1769" t="s">
        <v>20</v>
      </c>
      <c r="F1769" t="s">
        <v>16</v>
      </c>
      <c r="H1769">
        <v>283</v>
      </c>
      <c r="I1769" s="13">
        <v>7</v>
      </c>
      <c r="J1769">
        <v>1</v>
      </c>
      <c r="K1769">
        <v>134.05000000000001</v>
      </c>
      <c r="L1769">
        <v>4</v>
      </c>
      <c r="M1769">
        <v>3</v>
      </c>
      <c r="N1769">
        <v>4</v>
      </c>
      <c r="O1769">
        <f t="shared" si="27"/>
        <v>5</v>
      </c>
    </row>
    <row r="1770" spans="1:15">
      <c r="A1770">
        <v>3673</v>
      </c>
      <c r="B1770" s="1">
        <v>45788</v>
      </c>
      <c r="C1770">
        <v>47</v>
      </c>
      <c r="D1770" t="s">
        <v>17</v>
      </c>
      <c r="E1770" t="s">
        <v>24</v>
      </c>
      <c r="F1770" t="s">
        <v>16</v>
      </c>
      <c r="H1770">
        <v>1103.7</v>
      </c>
      <c r="I1770" s="13">
        <v>3</v>
      </c>
      <c r="J1770">
        <v>1</v>
      </c>
      <c r="K1770">
        <v>71.510000000000005</v>
      </c>
      <c r="L1770">
        <v>4</v>
      </c>
      <c r="M1770">
        <v>5</v>
      </c>
      <c r="N1770">
        <v>4</v>
      </c>
      <c r="O1770">
        <f t="shared" si="27"/>
        <v>5</v>
      </c>
    </row>
    <row r="1771" spans="1:15">
      <c r="A1771">
        <v>1595</v>
      </c>
      <c r="B1771" s="1">
        <v>45788</v>
      </c>
      <c r="C1771">
        <v>20</v>
      </c>
      <c r="D1771" t="s">
        <v>14</v>
      </c>
      <c r="E1771" t="s">
        <v>15</v>
      </c>
      <c r="F1771" t="s">
        <v>21</v>
      </c>
      <c r="H1771">
        <v>84.8</v>
      </c>
      <c r="I1771" s="13">
        <v>4</v>
      </c>
      <c r="J1771">
        <v>1</v>
      </c>
      <c r="K1771">
        <v>45.25</v>
      </c>
      <c r="L1771">
        <v>2</v>
      </c>
      <c r="M1771">
        <v>10</v>
      </c>
      <c r="N1771">
        <v>4</v>
      </c>
      <c r="O1771">
        <f t="shared" si="27"/>
        <v>5</v>
      </c>
    </row>
    <row r="1772" spans="1:15">
      <c r="A1772">
        <v>197</v>
      </c>
      <c r="B1772" s="1">
        <v>45788</v>
      </c>
      <c r="C1772">
        <v>29</v>
      </c>
      <c r="D1772" t="s">
        <v>17</v>
      </c>
      <c r="E1772" t="s">
        <v>22</v>
      </c>
      <c r="F1772" t="s">
        <v>16</v>
      </c>
      <c r="H1772">
        <v>1305.7</v>
      </c>
      <c r="I1772" s="13">
        <v>4</v>
      </c>
      <c r="J1772">
        <v>1</v>
      </c>
      <c r="K1772">
        <v>44.49</v>
      </c>
      <c r="L1772">
        <v>3</v>
      </c>
      <c r="M1772">
        <v>12</v>
      </c>
      <c r="N1772">
        <v>4</v>
      </c>
      <c r="O1772">
        <f t="shared" si="27"/>
        <v>5</v>
      </c>
    </row>
    <row r="1773" spans="1:15">
      <c r="A1773">
        <v>2967</v>
      </c>
      <c r="B1773" s="1">
        <v>45788</v>
      </c>
      <c r="C1773">
        <v>28</v>
      </c>
      <c r="D1773" t="s">
        <v>17</v>
      </c>
      <c r="E1773" t="s">
        <v>24</v>
      </c>
      <c r="F1773" t="s">
        <v>16</v>
      </c>
      <c r="H1773">
        <v>246.4</v>
      </c>
      <c r="I1773" s="13">
        <v>4</v>
      </c>
      <c r="J1773">
        <v>1</v>
      </c>
      <c r="K1773">
        <v>32.67</v>
      </c>
      <c r="L1773">
        <v>3</v>
      </c>
      <c r="M1773">
        <v>15</v>
      </c>
      <c r="N1773">
        <v>4</v>
      </c>
      <c r="O1773">
        <f t="shared" si="27"/>
        <v>5</v>
      </c>
    </row>
    <row r="1774" spans="1:15">
      <c r="A1774">
        <v>2046</v>
      </c>
      <c r="B1774" s="1">
        <v>45788</v>
      </c>
      <c r="C1774">
        <v>35</v>
      </c>
      <c r="D1774" t="s">
        <v>17</v>
      </c>
      <c r="E1774" t="s">
        <v>15</v>
      </c>
      <c r="F1774" t="s">
        <v>16</v>
      </c>
      <c r="H1774">
        <v>356.9</v>
      </c>
      <c r="I1774" s="13">
        <v>5</v>
      </c>
      <c r="J1774">
        <v>1</v>
      </c>
      <c r="K1774">
        <v>23.54</v>
      </c>
      <c r="L1774">
        <v>3</v>
      </c>
      <c r="M1774">
        <v>8</v>
      </c>
      <c r="N1774">
        <v>3</v>
      </c>
      <c r="O1774">
        <f t="shared" si="27"/>
        <v>5</v>
      </c>
    </row>
    <row r="1775" spans="1:15">
      <c r="A1775">
        <v>778</v>
      </c>
      <c r="B1775" s="1">
        <v>45788</v>
      </c>
      <c r="C1775">
        <v>26</v>
      </c>
      <c r="D1775" t="s">
        <v>17</v>
      </c>
      <c r="E1775" t="s">
        <v>20</v>
      </c>
      <c r="F1775" t="s">
        <v>16</v>
      </c>
      <c r="H1775">
        <v>647.6</v>
      </c>
      <c r="I1775" s="13">
        <v>3</v>
      </c>
      <c r="J1775">
        <v>1</v>
      </c>
      <c r="K1775">
        <v>16.350000000000001</v>
      </c>
      <c r="L1775">
        <v>1</v>
      </c>
      <c r="M1775">
        <v>2</v>
      </c>
      <c r="N1775">
        <v>4</v>
      </c>
      <c r="O1775">
        <f t="shared" si="27"/>
        <v>5</v>
      </c>
    </row>
    <row r="1776" spans="1:15">
      <c r="A1776">
        <v>236</v>
      </c>
      <c r="B1776" s="1">
        <v>45788</v>
      </c>
      <c r="C1776">
        <v>27</v>
      </c>
      <c r="D1776" t="s">
        <v>17</v>
      </c>
      <c r="E1776" t="s">
        <v>22</v>
      </c>
      <c r="F1776" t="s">
        <v>16</v>
      </c>
      <c r="H1776">
        <v>669.6</v>
      </c>
      <c r="I1776" s="13">
        <v>7</v>
      </c>
      <c r="J1776">
        <v>0</v>
      </c>
      <c r="K1776">
        <v>0</v>
      </c>
      <c r="L1776">
        <v>0</v>
      </c>
      <c r="M1776">
        <v>0</v>
      </c>
      <c r="O1776">
        <f t="shared" si="27"/>
        <v>5</v>
      </c>
    </row>
    <row r="1777" spans="1:15">
      <c r="A1777">
        <v>1131</v>
      </c>
      <c r="B1777" s="1">
        <v>45788</v>
      </c>
      <c r="C1777">
        <v>28</v>
      </c>
      <c r="D1777" t="s">
        <v>14</v>
      </c>
      <c r="E1777" t="s">
        <v>22</v>
      </c>
      <c r="F1777" t="s">
        <v>16</v>
      </c>
      <c r="H1777">
        <v>529.20000000000005</v>
      </c>
      <c r="I1777" s="13">
        <v>6</v>
      </c>
      <c r="J1777">
        <v>0</v>
      </c>
      <c r="K1777">
        <v>0</v>
      </c>
      <c r="L1777">
        <v>0</v>
      </c>
      <c r="M1777">
        <v>0</v>
      </c>
      <c r="O1777">
        <f t="shared" si="27"/>
        <v>5</v>
      </c>
    </row>
    <row r="1778" spans="1:15">
      <c r="A1778">
        <v>3273</v>
      </c>
      <c r="B1778" s="1">
        <v>45788</v>
      </c>
      <c r="C1778">
        <v>35</v>
      </c>
      <c r="D1778" t="s">
        <v>17</v>
      </c>
      <c r="E1778" t="s">
        <v>15</v>
      </c>
      <c r="F1778" t="s">
        <v>16</v>
      </c>
      <c r="H1778">
        <v>513</v>
      </c>
      <c r="I1778" s="13">
        <v>7</v>
      </c>
      <c r="J1778">
        <v>0</v>
      </c>
      <c r="K1778">
        <v>0</v>
      </c>
      <c r="L1778">
        <v>0</v>
      </c>
      <c r="M1778">
        <v>0</v>
      </c>
      <c r="O1778">
        <f t="shared" si="27"/>
        <v>5</v>
      </c>
    </row>
    <row r="1779" spans="1:15">
      <c r="A1779">
        <v>2215</v>
      </c>
      <c r="B1779" s="1">
        <v>45788</v>
      </c>
      <c r="C1779">
        <v>34</v>
      </c>
      <c r="D1779" t="s">
        <v>14</v>
      </c>
      <c r="E1779" t="s">
        <v>20</v>
      </c>
      <c r="F1779" t="s">
        <v>16</v>
      </c>
      <c r="H1779">
        <v>463.3</v>
      </c>
      <c r="I1779" s="13">
        <v>2</v>
      </c>
      <c r="J1779">
        <v>0</v>
      </c>
      <c r="K1779">
        <v>0</v>
      </c>
      <c r="L1779">
        <v>0</v>
      </c>
      <c r="M1779">
        <v>0</v>
      </c>
      <c r="O1779">
        <f t="shared" si="27"/>
        <v>5</v>
      </c>
    </row>
    <row r="1780" spans="1:15">
      <c r="A1780">
        <v>1354</v>
      </c>
      <c r="B1780" s="1">
        <v>45788</v>
      </c>
      <c r="C1780">
        <v>24</v>
      </c>
      <c r="D1780" t="s">
        <v>17</v>
      </c>
      <c r="E1780" t="s">
        <v>22</v>
      </c>
      <c r="F1780" t="s">
        <v>18</v>
      </c>
      <c r="G1780" t="s">
        <v>28</v>
      </c>
      <c r="H1780">
        <v>379.9</v>
      </c>
      <c r="I1780" s="13">
        <v>4</v>
      </c>
      <c r="J1780">
        <v>0</v>
      </c>
      <c r="K1780">
        <v>0</v>
      </c>
      <c r="L1780">
        <v>0</v>
      </c>
      <c r="M1780">
        <v>0</v>
      </c>
      <c r="O1780">
        <f t="shared" si="27"/>
        <v>5</v>
      </c>
    </row>
    <row r="1781" spans="1:15">
      <c r="A1781">
        <v>3311</v>
      </c>
      <c r="B1781" s="1">
        <v>45788</v>
      </c>
      <c r="C1781">
        <v>43</v>
      </c>
      <c r="D1781" t="s">
        <v>14</v>
      </c>
      <c r="E1781" t="s">
        <v>24</v>
      </c>
      <c r="F1781" t="s">
        <v>16</v>
      </c>
      <c r="H1781">
        <v>343.1</v>
      </c>
      <c r="I1781" s="13">
        <v>8</v>
      </c>
      <c r="J1781">
        <v>0</v>
      </c>
      <c r="K1781">
        <v>0</v>
      </c>
      <c r="L1781">
        <v>0</v>
      </c>
      <c r="M1781">
        <v>0</v>
      </c>
      <c r="O1781">
        <f t="shared" si="27"/>
        <v>5</v>
      </c>
    </row>
    <row r="1782" spans="1:15">
      <c r="A1782">
        <v>4673</v>
      </c>
      <c r="B1782" s="1">
        <v>45788</v>
      </c>
      <c r="C1782">
        <v>50</v>
      </c>
      <c r="D1782" t="s">
        <v>17</v>
      </c>
      <c r="E1782" t="s">
        <v>15</v>
      </c>
      <c r="F1782" t="s">
        <v>16</v>
      </c>
      <c r="H1782">
        <v>331</v>
      </c>
      <c r="I1782" s="13">
        <v>4</v>
      </c>
      <c r="J1782">
        <v>0</v>
      </c>
      <c r="K1782">
        <v>0</v>
      </c>
      <c r="L1782">
        <v>0</v>
      </c>
      <c r="M1782">
        <v>0</v>
      </c>
      <c r="O1782">
        <f t="shared" si="27"/>
        <v>5</v>
      </c>
    </row>
    <row r="1783" spans="1:15">
      <c r="A1783">
        <v>2355</v>
      </c>
      <c r="B1783" s="1">
        <v>45788</v>
      </c>
      <c r="C1783">
        <v>28</v>
      </c>
      <c r="D1783" t="s">
        <v>14</v>
      </c>
      <c r="E1783" t="s">
        <v>24</v>
      </c>
      <c r="F1783" t="s">
        <v>16</v>
      </c>
      <c r="H1783">
        <v>292.7</v>
      </c>
      <c r="I1783" s="13">
        <v>6</v>
      </c>
      <c r="J1783">
        <v>0</v>
      </c>
      <c r="K1783">
        <v>0</v>
      </c>
      <c r="L1783">
        <v>0</v>
      </c>
      <c r="M1783">
        <v>0</v>
      </c>
      <c r="O1783">
        <f t="shared" si="27"/>
        <v>5</v>
      </c>
    </row>
    <row r="1784" spans="1:15">
      <c r="A1784">
        <v>1870</v>
      </c>
      <c r="B1784" s="1">
        <v>45788</v>
      </c>
      <c r="C1784">
        <v>47</v>
      </c>
      <c r="D1784" t="s">
        <v>14</v>
      </c>
      <c r="E1784" t="s">
        <v>22</v>
      </c>
      <c r="F1784" t="s">
        <v>16</v>
      </c>
      <c r="H1784">
        <v>189.2</v>
      </c>
      <c r="I1784" s="13">
        <v>6</v>
      </c>
      <c r="J1784">
        <v>0</v>
      </c>
      <c r="K1784">
        <v>0</v>
      </c>
      <c r="L1784">
        <v>0</v>
      </c>
      <c r="M1784">
        <v>0</v>
      </c>
      <c r="O1784">
        <f t="shared" si="27"/>
        <v>5</v>
      </c>
    </row>
    <row r="1785" spans="1:15">
      <c r="A1785">
        <v>891</v>
      </c>
      <c r="B1785" s="1">
        <v>45788</v>
      </c>
      <c r="C1785">
        <v>28</v>
      </c>
      <c r="D1785" t="s">
        <v>27</v>
      </c>
      <c r="E1785" t="s">
        <v>22</v>
      </c>
      <c r="F1785" t="s">
        <v>16</v>
      </c>
      <c r="H1785">
        <v>129.1</v>
      </c>
      <c r="I1785" s="13">
        <v>9</v>
      </c>
      <c r="J1785">
        <v>0</v>
      </c>
      <c r="K1785">
        <v>0</v>
      </c>
      <c r="L1785">
        <v>0</v>
      </c>
      <c r="M1785">
        <v>0</v>
      </c>
      <c r="O1785">
        <f t="shared" si="27"/>
        <v>5</v>
      </c>
    </row>
    <row r="1786" spans="1:15">
      <c r="A1786">
        <v>2520</v>
      </c>
      <c r="B1786" s="1">
        <v>45788</v>
      </c>
      <c r="C1786">
        <v>25</v>
      </c>
      <c r="D1786" t="s">
        <v>17</v>
      </c>
      <c r="E1786" t="s">
        <v>24</v>
      </c>
      <c r="F1786" t="s">
        <v>16</v>
      </c>
      <c r="H1786">
        <v>126.4</v>
      </c>
      <c r="I1786" s="13">
        <v>6</v>
      </c>
      <c r="J1786">
        <v>0</v>
      </c>
      <c r="K1786">
        <v>0</v>
      </c>
      <c r="L1786">
        <v>0</v>
      </c>
      <c r="M1786">
        <v>0</v>
      </c>
      <c r="O1786">
        <f t="shared" si="27"/>
        <v>5</v>
      </c>
    </row>
    <row r="1787" spans="1:15">
      <c r="A1787">
        <v>1889</v>
      </c>
      <c r="B1787" s="1">
        <v>45788</v>
      </c>
      <c r="C1787">
        <v>33</v>
      </c>
      <c r="D1787" t="s">
        <v>17</v>
      </c>
      <c r="E1787" t="s">
        <v>15</v>
      </c>
      <c r="F1787" t="s">
        <v>16</v>
      </c>
      <c r="H1787">
        <v>118.9</v>
      </c>
      <c r="I1787" s="13">
        <v>7</v>
      </c>
      <c r="J1787">
        <v>0</v>
      </c>
      <c r="K1787">
        <v>0</v>
      </c>
      <c r="L1787">
        <v>0</v>
      </c>
      <c r="M1787">
        <v>0</v>
      </c>
      <c r="O1787">
        <f t="shared" si="27"/>
        <v>5</v>
      </c>
    </row>
    <row r="1788" spans="1:15">
      <c r="A1788">
        <v>4733</v>
      </c>
      <c r="B1788" s="1">
        <v>45788</v>
      </c>
      <c r="C1788">
        <v>47</v>
      </c>
      <c r="D1788" t="s">
        <v>17</v>
      </c>
      <c r="E1788" t="s">
        <v>22</v>
      </c>
      <c r="F1788" t="s">
        <v>16</v>
      </c>
      <c r="H1788">
        <v>118.3</v>
      </c>
      <c r="I1788" s="13">
        <v>9</v>
      </c>
      <c r="J1788">
        <v>0</v>
      </c>
      <c r="K1788">
        <v>0</v>
      </c>
      <c r="L1788">
        <v>0</v>
      </c>
      <c r="M1788">
        <v>0</v>
      </c>
      <c r="O1788">
        <f t="shared" si="27"/>
        <v>5</v>
      </c>
    </row>
    <row r="1789" spans="1:15">
      <c r="A1789">
        <v>305</v>
      </c>
      <c r="B1789" s="1">
        <v>45788</v>
      </c>
      <c r="C1789">
        <v>26</v>
      </c>
      <c r="D1789" t="s">
        <v>17</v>
      </c>
      <c r="E1789" t="s">
        <v>15</v>
      </c>
      <c r="F1789" t="s">
        <v>23</v>
      </c>
      <c r="H1789">
        <v>117.6</v>
      </c>
      <c r="I1789" s="13">
        <v>4</v>
      </c>
      <c r="J1789">
        <v>0</v>
      </c>
      <c r="K1789">
        <v>0</v>
      </c>
      <c r="L1789">
        <v>0</v>
      </c>
      <c r="M1789">
        <v>0</v>
      </c>
      <c r="O1789">
        <f t="shared" si="27"/>
        <v>5</v>
      </c>
    </row>
    <row r="1790" spans="1:15">
      <c r="A1790">
        <v>1344</v>
      </c>
      <c r="B1790" s="1">
        <v>45788</v>
      </c>
      <c r="C1790">
        <v>27</v>
      </c>
      <c r="D1790" t="s">
        <v>14</v>
      </c>
      <c r="E1790" t="s">
        <v>20</v>
      </c>
      <c r="F1790" t="s">
        <v>16</v>
      </c>
      <c r="H1790">
        <v>51.4</v>
      </c>
      <c r="I1790" s="13">
        <v>6</v>
      </c>
      <c r="J1790">
        <v>0</v>
      </c>
      <c r="K1790">
        <v>0</v>
      </c>
      <c r="L1790">
        <v>0</v>
      </c>
      <c r="M1790">
        <v>0</v>
      </c>
      <c r="O1790">
        <f t="shared" si="27"/>
        <v>5</v>
      </c>
    </row>
    <row r="1791" spans="1:15">
      <c r="A1791">
        <v>3566</v>
      </c>
      <c r="B1791" s="1">
        <v>45788</v>
      </c>
      <c r="C1791">
        <v>29</v>
      </c>
      <c r="D1791" t="s">
        <v>14</v>
      </c>
      <c r="E1791" t="s">
        <v>22</v>
      </c>
      <c r="F1791" t="s">
        <v>16</v>
      </c>
      <c r="H1791">
        <v>13</v>
      </c>
      <c r="I1791" s="13">
        <v>6</v>
      </c>
      <c r="J1791">
        <v>0</v>
      </c>
      <c r="K1791">
        <v>0</v>
      </c>
      <c r="L1791">
        <v>0</v>
      </c>
      <c r="M1791">
        <v>0</v>
      </c>
      <c r="O1791">
        <f t="shared" si="27"/>
        <v>5</v>
      </c>
    </row>
    <row r="1792" spans="1:15">
      <c r="A1792">
        <v>3942</v>
      </c>
      <c r="B1792" s="1">
        <v>45819</v>
      </c>
      <c r="C1792">
        <v>49</v>
      </c>
      <c r="D1792" t="s">
        <v>14</v>
      </c>
      <c r="E1792" t="s">
        <v>24</v>
      </c>
      <c r="F1792" t="s">
        <v>18</v>
      </c>
      <c r="G1792" t="s">
        <v>19</v>
      </c>
      <c r="H1792">
        <v>281.3</v>
      </c>
      <c r="I1792" s="13">
        <v>8</v>
      </c>
      <c r="J1792">
        <v>1</v>
      </c>
      <c r="K1792">
        <v>301.10000000000002</v>
      </c>
      <c r="L1792">
        <v>3</v>
      </c>
      <c r="M1792">
        <v>8</v>
      </c>
      <c r="N1792">
        <v>5</v>
      </c>
      <c r="O1792">
        <f t="shared" si="27"/>
        <v>6</v>
      </c>
    </row>
    <row r="1793" spans="1:15">
      <c r="A1793">
        <v>4518</v>
      </c>
      <c r="B1793" s="1">
        <v>45819</v>
      </c>
      <c r="C1793">
        <v>66</v>
      </c>
      <c r="D1793" t="s">
        <v>17</v>
      </c>
      <c r="E1793" t="s">
        <v>22</v>
      </c>
      <c r="F1793" t="s">
        <v>16</v>
      </c>
      <c r="H1793">
        <v>480.6</v>
      </c>
      <c r="I1793" s="13">
        <v>8</v>
      </c>
      <c r="J1793">
        <v>1</v>
      </c>
      <c r="K1793">
        <v>258</v>
      </c>
      <c r="L1793">
        <v>1</v>
      </c>
      <c r="M1793">
        <v>14</v>
      </c>
      <c r="N1793">
        <v>5</v>
      </c>
      <c r="O1793">
        <f t="shared" si="27"/>
        <v>6</v>
      </c>
    </row>
    <row r="1794" spans="1:15">
      <c r="A1794">
        <v>1312</v>
      </c>
      <c r="B1794" s="1">
        <v>45819</v>
      </c>
      <c r="C1794">
        <v>18</v>
      </c>
      <c r="D1794" t="s">
        <v>17</v>
      </c>
      <c r="E1794" t="s">
        <v>22</v>
      </c>
      <c r="F1794" t="s">
        <v>21</v>
      </c>
      <c r="H1794">
        <v>199.8</v>
      </c>
      <c r="I1794" s="13">
        <v>5</v>
      </c>
      <c r="J1794">
        <v>1</v>
      </c>
      <c r="K1794">
        <v>243</v>
      </c>
      <c r="L1794">
        <v>4</v>
      </c>
      <c r="M1794">
        <v>9</v>
      </c>
      <c r="N1794">
        <v>5</v>
      </c>
      <c r="O1794">
        <f t="shared" si="27"/>
        <v>6</v>
      </c>
    </row>
    <row r="1795" spans="1:15">
      <c r="A1795">
        <v>406</v>
      </c>
      <c r="B1795" s="1">
        <v>45819</v>
      </c>
      <c r="C1795">
        <v>18</v>
      </c>
      <c r="D1795" t="s">
        <v>17</v>
      </c>
      <c r="E1795" t="s">
        <v>20</v>
      </c>
      <c r="F1795" t="s">
        <v>21</v>
      </c>
      <c r="H1795">
        <v>749.6</v>
      </c>
      <c r="I1795" s="13">
        <v>8</v>
      </c>
      <c r="J1795">
        <v>1</v>
      </c>
      <c r="K1795">
        <v>128.80000000000001</v>
      </c>
      <c r="L1795">
        <v>2</v>
      </c>
      <c r="M1795">
        <v>12</v>
      </c>
      <c r="N1795">
        <v>4</v>
      </c>
      <c r="O1795">
        <f t="shared" ref="O1795:O1858" si="28">MONTH(B1795)</f>
        <v>6</v>
      </c>
    </row>
    <row r="1796" spans="1:15">
      <c r="A1796">
        <v>595</v>
      </c>
      <c r="B1796" s="1">
        <v>45819</v>
      </c>
      <c r="C1796">
        <v>26</v>
      </c>
      <c r="D1796" t="s">
        <v>17</v>
      </c>
      <c r="E1796" t="s">
        <v>15</v>
      </c>
      <c r="F1796" t="s">
        <v>18</v>
      </c>
      <c r="G1796" t="s">
        <v>26</v>
      </c>
      <c r="H1796">
        <v>945.5</v>
      </c>
      <c r="I1796" s="13">
        <v>5</v>
      </c>
      <c r="J1796">
        <v>1</v>
      </c>
      <c r="K1796">
        <v>113.72</v>
      </c>
      <c r="L1796">
        <v>2</v>
      </c>
      <c r="M1796">
        <v>4</v>
      </c>
      <c r="N1796">
        <v>4</v>
      </c>
      <c r="O1796">
        <f t="shared" si="28"/>
        <v>6</v>
      </c>
    </row>
    <row r="1797" spans="1:15">
      <c r="A1797">
        <v>923</v>
      </c>
      <c r="B1797" s="1">
        <v>45819</v>
      </c>
      <c r="C1797">
        <v>25</v>
      </c>
      <c r="D1797" t="s">
        <v>14</v>
      </c>
      <c r="E1797" t="s">
        <v>22</v>
      </c>
      <c r="F1797" t="s">
        <v>23</v>
      </c>
      <c r="H1797">
        <v>656.1</v>
      </c>
      <c r="I1797" s="13">
        <v>8</v>
      </c>
      <c r="J1797">
        <v>1</v>
      </c>
      <c r="K1797">
        <v>90.5</v>
      </c>
      <c r="L1797">
        <v>2</v>
      </c>
      <c r="M1797">
        <v>13</v>
      </c>
      <c r="N1797">
        <v>4</v>
      </c>
      <c r="O1797">
        <f t="shared" si="28"/>
        <v>6</v>
      </c>
    </row>
    <row r="1798" spans="1:15">
      <c r="A1798">
        <v>4018</v>
      </c>
      <c r="B1798" s="1">
        <v>45819</v>
      </c>
      <c r="C1798">
        <v>46</v>
      </c>
      <c r="D1798" t="s">
        <v>14</v>
      </c>
      <c r="E1798" t="s">
        <v>24</v>
      </c>
      <c r="F1798" t="s">
        <v>21</v>
      </c>
      <c r="H1798">
        <v>687.3</v>
      </c>
      <c r="I1798" s="13">
        <v>4</v>
      </c>
      <c r="J1798">
        <v>1</v>
      </c>
      <c r="K1798">
        <v>62.09</v>
      </c>
      <c r="L1798">
        <v>3</v>
      </c>
      <c r="M1798">
        <v>1</v>
      </c>
      <c r="N1798">
        <v>4</v>
      </c>
      <c r="O1798">
        <f t="shared" si="28"/>
        <v>6</v>
      </c>
    </row>
    <row r="1799" spans="1:15">
      <c r="A1799">
        <v>1786</v>
      </c>
      <c r="B1799" s="1">
        <v>45819</v>
      </c>
      <c r="C1799">
        <v>33</v>
      </c>
      <c r="D1799" t="s">
        <v>17</v>
      </c>
      <c r="E1799" t="s">
        <v>15</v>
      </c>
      <c r="F1799" t="s">
        <v>23</v>
      </c>
      <c r="H1799">
        <v>379.3</v>
      </c>
      <c r="I1799" s="13">
        <v>5</v>
      </c>
      <c r="J1799">
        <v>1</v>
      </c>
      <c r="K1799">
        <v>53.31</v>
      </c>
      <c r="L1799">
        <v>4</v>
      </c>
      <c r="M1799">
        <v>14</v>
      </c>
      <c r="N1799">
        <v>4</v>
      </c>
      <c r="O1799">
        <f t="shared" si="28"/>
        <v>6</v>
      </c>
    </row>
    <row r="1800" spans="1:15">
      <c r="A1800">
        <v>4996</v>
      </c>
      <c r="B1800" s="1">
        <v>45819</v>
      </c>
      <c r="C1800">
        <v>72</v>
      </c>
      <c r="D1800" t="s">
        <v>17</v>
      </c>
      <c r="E1800" t="s">
        <v>20</v>
      </c>
      <c r="F1800" t="s">
        <v>16</v>
      </c>
      <c r="H1800">
        <v>1228.4000000000001</v>
      </c>
      <c r="I1800" s="13">
        <v>10</v>
      </c>
      <c r="J1800">
        <v>1</v>
      </c>
      <c r="K1800">
        <v>49.06</v>
      </c>
      <c r="L1800">
        <v>4</v>
      </c>
      <c r="M1800">
        <v>9</v>
      </c>
      <c r="N1800">
        <v>4</v>
      </c>
      <c r="O1800">
        <f t="shared" si="28"/>
        <v>6</v>
      </c>
    </row>
    <row r="1801" spans="1:15">
      <c r="A1801">
        <v>632</v>
      </c>
      <c r="B1801" s="1">
        <v>45819</v>
      </c>
      <c r="C1801">
        <v>22</v>
      </c>
      <c r="D1801" t="s">
        <v>17</v>
      </c>
      <c r="E1801" t="s">
        <v>24</v>
      </c>
      <c r="F1801" t="s">
        <v>21</v>
      </c>
      <c r="H1801">
        <v>189.8</v>
      </c>
      <c r="I1801" s="13">
        <v>4</v>
      </c>
      <c r="J1801">
        <v>1</v>
      </c>
      <c r="K1801">
        <v>47.7</v>
      </c>
      <c r="L1801">
        <v>4</v>
      </c>
      <c r="M1801">
        <v>11</v>
      </c>
      <c r="N1801">
        <v>5</v>
      </c>
      <c r="O1801">
        <f t="shared" si="28"/>
        <v>6</v>
      </c>
    </row>
    <row r="1802" spans="1:15">
      <c r="A1802">
        <v>198</v>
      </c>
      <c r="B1802" s="1">
        <v>45819</v>
      </c>
      <c r="C1802">
        <v>25</v>
      </c>
      <c r="D1802" t="s">
        <v>17</v>
      </c>
      <c r="E1802" t="s">
        <v>20</v>
      </c>
      <c r="F1802" t="s">
        <v>23</v>
      </c>
      <c r="H1802">
        <v>120.5</v>
      </c>
      <c r="I1802" s="13">
        <v>10</v>
      </c>
      <c r="J1802">
        <v>1</v>
      </c>
      <c r="K1802">
        <v>37.75</v>
      </c>
      <c r="L1802">
        <v>4</v>
      </c>
      <c r="M1802">
        <v>13</v>
      </c>
      <c r="N1802">
        <v>3</v>
      </c>
      <c r="O1802">
        <f t="shared" si="28"/>
        <v>6</v>
      </c>
    </row>
    <row r="1803" spans="1:15">
      <c r="A1803">
        <v>1518</v>
      </c>
      <c r="B1803" s="1">
        <v>45819</v>
      </c>
      <c r="C1803">
        <v>24</v>
      </c>
      <c r="D1803" t="s">
        <v>14</v>
      </c>
      <c r="E1803" t="s">
        <v>22</v>
      </c>
      <c r="F1803" t="s">
        <v>16</v>
      </c>
      <c r="H1803">
        <v>739.6</v>
      </c>
      <c r="I1803" s="13">
        <v>9</v>
      </c>
      <c r="J1803">
        <v>0</v>
      </c>
      <c r="K1803">
        <v>0</v>
      </c>
      <c r="L1803">
        <v>0</v>
      </c>
      <c r="M1803">
        <v>0</v>
      </c>
      <c r="O1803">
        <f t="shared" si="28"/>
        <v>6</v>
      </c>
    </row>
    <row r="1804" spans="1:15">
      <c r="A1804">
        <v>122</v>
      </c>
      <c r="B1804" s="1">
        <v>45819</v>
      </c>
      <c r="C1804">
        <v>27</v>
      </c>
      <c r="D1804" t="s">
        <v>14</v>
      </c>
      <c r="E1804" t="s">
        <v>22</v>
      </c>
      <c r="F1804" t="s">
        <v>18</v>
      </c>
      <c r="G1804" t="s">
        <v>31</v>
      </c>
      <c r="H1804">
        <v>500.1</v>
      </c>
      <c r="I1804" s="13">
        <v>3</v>
      </c>
      <c r="J1804">
        <v>0</v>
      </c>
      <c r="K1804">
        <v>0</v>
      </c>
      <c r="L1804">
        <v>0</v>
      </c>
      <c r="M1804">
        <v>0</v>
      </c>
      <c r="O1804">
        <f t="shared" si="28"/>
        <v>6</v>
      </c>
    </row>
    <row r="1805" spans="1:15">
      <c r="A1805">
        <v>3392</v>
      </c>
      <c r="B1805" s="1">
        <v>45819</v>
      </c>
      <c r="C1805">
        <v>46</v>
      </c>
      <c r="D1805" t="s">
        <v>14</v>
      </c>
      <c r="E1805" t="s">
        <v>20</v>
      </c>
      <c r="F1805" t="s">
        <v>16</v>
      </c>
      <c r="H1805">
        <v>478.8</v>
      </c>
      <c r="I1805" s="13">
        <v>4</v>
      </c>
      <c r="J1805">
        <v>0</v>
      </c>
      <c r="K1805">
        <v>0</v>
      </c>
      <c r="L1805">
        <v>0</v>
      </c>
      <c r="M1805">
        <v>0</v>
      </c>
      <c r="O1805">
        <f t="shared" si="28"/>
        <v>6</v>
      </c>
    </row>
    <row r="1806" spans="1:15">
      <c r="A1806">
        <v>898</v>
      </c>
      <c r="B1806" s="1">
        <v>45819</v>
      </c>
      <c r="C1806">
        <v>22</v>
      </c>
      <c r="D1806" t="s">
        <v>14</v>
      </c>
      <c r="E1806" t="s">
        <v>15</v>
      </c>
      <c r="F1806" t="s">
        <v>21</v>
      </c>
      <c r="H1806">
        <v>476.7</v>
      </c>
      <c r="I1806" s="13">
        <v>7</v>
      </c>
      <c r="J1806">
        <v>0</v>
      </c>
      <c r="K1806">
        <v>0</v>
      </c>
      <c r="L1806">
        <v>0</v>
      </c>
      <c r="M1806">
        <v>0</v>
      </c>
      <c r="O1806">
        <f t="shared" si="28"/>
        <v>6</v>
      </c>
    </row>
    <row r="1807" spans="1:15">
      <c r="A1807">
        <v>3751</v>
      </c>
      <c r="B1807" s="1">
        <v>45819</v>
      </c>
      <c r="C1807">
        <v>65</v>
      </c>
      <c r="D1807" t="s">
        <v>17</v>
      </c>
      <c r="E1807" t="s">
        <v>15</v>
      </c>
      <c r="F1807" t="s">
        <v>21</v>
      </c>
      <c r="H1807">
        <v>395.4</v>
      </c>
      <c r="I1807" s="13">
        <v>7</v>
      </c>
      <c r="J1807">
        <v>0</v>
      </c>
      <c r="K1807">
        <v>0</v>
      </c>
      <c r="L1807">
        <v>0</v>
      </c>
      <c r="M1807">
        <v>0</v>
      </c>
      <c r="O1807">
        <f t="shared" si="28"/>
        <v>6</v>
      </c>
    </row>
    <row r="1808" spans="1:15">
      <c r="A1808">
        <v>854</v>
      </c>
      <c r="B1808" s="1">
        <v>45819</v>
      </c>
      <c r="C1808">
        <v>19</v>
      </c>
      <c r="D1808" t="s">
        <v>17</v>
      </c>
      <c r="E1808" t="s">
        <v>22</v>
      </c>
      <c r="F1808" t="s">
        <v>18</v>
      </c>
      <c r="G1808" t="s">
        <v>30</v>
      </c>
      <c r="H1808">
        <v>374.5</v>
      </c>
      <c r="I1808" s="13">
        <v>8</v>
      </c>
      <c r="J1808">
        <v>0</v>
      </c>
      <c r="K1808">
        <v>0</v>
      </c>
      <c r="L1808">
        <v>0</v>
      </c>
      <c r="M1808">
        <v>0</v>
      </c>
      <c r="O1808">
        <f t="shared" si="28"/>
        <v>6</v>
      </c>
    </row>
    <row r="1809" spans="1:15">
      <c r="A1809">
        <v>192</v>
      </c>
      <c r="B1809" s="1">
        <v>45819</v>
      </c>
      <c r="C1809">
        <v>31</v>
      </c>
      <c r="D1809" t="s">
        <v>14</v>
      </c>
      <c r="E1809" t="s">
        <v>15</v>
      </c>
      <c r="F1809" t="s">
        <v>16</v>
      </c>
      <c r="H1809">
        <v>344</v>
      </c>
      <c r="I1809" s="13">
        <v>3</v>
      </c>
      <c r="J1809">
        <v>0</v>
      </c>
      <c r="K1809">
        <v>0</v>
      </c>
      <c r="L1809">
        <v>0</v>
      </c>
      <c r="M1809">
        <v>0</v>
      </c>
      <c r="O1809">
        <f t="shared" si="28"/>
        <v>6</v>
      </c>
    </row>
    <row r="1810" spans="1:15">
      <c r="A1810">
        <v>3260</v>
      </c>
      <c r="B1810" s="1">
        <v>45819</v>
      </c>
      <c r="C1810">
        <v>36</v>
      </c>
      <c r="D1810" t="s">
        <v>14</v>
      </c>
      <c r="E1810" t="s">
        <v>15</v>
      </c>
      <c r="F1810" t="s">
        <v>16</v>
      </c>
      <c r="H1810">
        <v>327</v>
      </c>
      <c r="I1810" s="13">
        <v>8</v>
      </c>
      <c r="J1810">
        <v>0</v>
      </c>
      <c r="K1810">
        <v>0</v>
      </c>
      <c r="L1810">
        <v>0</v>
      </c>
      <c r="M1810">
        <v>0</v>
      </c>
      <c r="O1810">
        <f t="shared" si="28"/>
        <v>6</v>
      </c>
    </row>
    <row r="1811" spans="1:15">
      <c r="A1811">
        <v>672</v>
      </c>
      <c r="B1811" s="1">
        <v>45819</v>
      </c>
      <c r="C1811">
        <v>22</v>
      </c>
      <c r="D1811" t="s">
        <v>14</v>
      </c>
      <c r="E1811" t="s">
        <v>20</v>
      </c>
      <c r="F1811" t="s">
        <v>16</v>
      </c>
      <c r="H1811">
        <v>299.7</v>
      </c>
      <c r="I1811" s="13">
        <v>7</v>
      </c>
      <c r="J1811">
        <v>0</v>
      </c>
      <c r="K1811">
        <v>0</v>
      </c>
      <c r="L1811">
        <v>0</v>
      </c>
      <c r="M1811">
        <v>0</v>
      </c>
      <c r="O1811">
        <f t="shared" si="28"/>
        <v>6</v>
      </c>
    </row>
    <row r="1812" spans="1:15">
      <c r="A1812">
        <v>2721</v>
      </c>
      <c r="B1812" s="1">
        <v>45819</v>
      </c>
      <c r="C1812">
        <v>42</v>
      </c>
      <c r="D1812" t="s">
        <v>17</v>
      </c>
      <c r="E1812" t="s">
        <v>20</v>
      </c>
      <c r="F1812" t="s">
        <v>21</v>
      </c>
      <c r="H1812">
        <v>293.10000000000002</v>
      </c>
      <c r="I1812" s="13">
        <v>6</v>
      </c>
      <c r="J1812">
        <v>0</v>
      </c>
      <c r="K1812">
        <v>0</v>
      </c>
      <c r="L1812">
        <v>0</v>
      </c>
      <c r="M1812">
        <v>0</v>
      </c>
      <c r="O1812">
        <f t="shared" si="28"/>
        <v>6</v>
      </c>
    </row>
    <row r="1813" spans="1:15">
      <c r="A1813">
        <v>4606</v>
      </c>
      <c r="B1813" s="1">
        <v>45819</v>
      </c>
      <c r="C1813">
        <v>62</v>
      </c>
      <c r="D1813" t="s">
        <v>17</v>
      </c>
      <c r="E1813" t="s">
        <v>20</v>
      </c>
      <c r="F1813" t="s">
        <v>16</v>
      </c>
      <c r="H1813">
        <v>292.5</v>
      </c>
      <c r="I1813" s="13">
        <v>4</v>
      </c>
      <c r="J1813">
        <v>0</v>
      </c>
      <c r="K1813">
        <v>0</v>
      </c>
      <c r="L1813">
        <v>0</v>
      </c>
      <c r="M1813">
        <v>0</v>
      </c>
      <c r="O1813">
        <f t="shared" si="28"/>
        <v>6</v>
      </c>
    </row>
    <row r="1814" spans="1:15">
      <c r="A1814">
        <v>4972</v>
      </c>
      <c r="B1814" s="1">
        <v>45819</v>
      </c>
      <c r="C1814">
        <v>53</v>
      </c>
      <c r="D1814" t="s">
        <v>17</v>
      </c>
      <c r="E1814" t="s">
        <v>20</v>
      </c>
      <c r="F1814" t="s">
        <v>18</v>
      </c>
      <c r="G1814" t="s">
        <v>29</v>
      </c>
      <c r="H1814">
        <v>292.3</v>
      </c>
      <c r="I1814" s="13">
        <v>11</v>
      </c>
      <c r="J1814">
        <v>0</v>
      </c>
      <c r="K1814">
        <v>0</v>
      </c>
      <c r="L1814">
        <v>0</v>
      </c>
      <c r="M1814">
        <v>0</v>
      </c>
      <c r="O1814">
        <f t="shared" si="28"/>
        <v>6</v>
      </c>
    </row>
    <row r="1815" spans="1:15">
      <c r="A1815">
        <v>746</v>
      </c>
      <c r="B1815" s="1">
        <v>45819</v>
      </c>
      <c r="C1815">
        <v>20</v>
      </c>
      <c r="D1815" t="s">
        <v>17</v>
      </c>
      <c r="E1815" t="s">
        <v>24</v>
      </c>
      <c r="F1815" t="s">
        <v>23</v>
      </c>
      <c r="H1815">
        <v>265.3</v>
      </c>
      <c r="I1815" s="13">
        <v>8</v>
      </c>
      <c r="J1815">
        <v>0</v>
      </c>
      <c r="K1815">
        <v>0</v>
      </c>
      <c r="L1815">
        <v>0</v>
      </c>
      <c r="M1815">
        <v>0</v>
      </c>
      <c r="O1815">
        <f t="shared" si="28"/>
        <v>6</v>
      </c>
    </row>
    <row r="1816" spans="1:15">
      <c r="A1816">
        <v>4223</v>
      </c>
      <c r="B1816" s="1">
        <v>45819</v>
      </c>
      <c r="C1816">
        <v>32</v>
      </c>
      <c r="D1816" t="s">
        <v>17</v>
      </c>
      <c r="E1816" t="s">
        <v>22</v>
      </c>
      <c r="F1816" t="s">
        <v>16</v>
      </c>
      <c r="H1816">
        <v>239.8</v>
      </c>
      <c r="I1816" s="13">
        <v>4</v>
      </c>
      <c r="J1816">
        <v>0</v>
      </c>
      <c r="K1816">
        <v>0</v>
      </c>
      <c r="L1816">
        <v>0</v>
      </c>
      <c r="M1816">
        <v>0</v>
      </c>
      <c r="O1816">
        <f t="shared" si="28"/>
        <v>6</v>
      </c>
    </row>
    <row r="1817" spans="1:15">
      <c r="A1817">
        <v>3505</v>
      </c>
      <c r="B1817" s="1">
        <v>45819</v>
      </c>
      <c r="C1817">
        <v>41</v>
      </c>
      <c r="D1817" t="s">
        <v>17</v>
      </c>
      <c r="E1817" t="s">
        <v>15</v>
      </c>
      <c r="F1817" t="s">
        <v>16</v>
      </c>
      <c r="H1817">
        <v>225.7</v>
      </c>
      <c r="I1817" s="13">
        <v>8</v>
      </c>
      <c r="J1817">
        <v>0</v>
      </c>
      <c r="K1817">
        <v>0</v>
      </c>
      <c r="L1817">
        <v>0</v>
      </c>
      <c r="M1817">
        <v>0</v>
      </c>
      <c r="O1817">
        <f t="shared" si="28"/>
        <v>6</v>
      </c>
    </row>
    <row r="1818" spans="1:15">
      <c r="A1818">
        <v>2018</v>
      </c>
      <c r="B1818" s="1">
        <v>45819</v>
      </c>
      <c r="C1818">
        <v>51</v>
      </c>
      <c r="D1818" t="s">
        <v>14</v>
      </c>
      <c r="E1818" t="s">
        <v>22</v>
      </c>
      <c r="F1818" t="s">
        <v>18</v>
      </c>
      <c r="G1818" t="s">
        <v>26</v>
      </c>
      <c r="H1818">
        <v>224</v>
      </c>
      <c r="I1818" s="13">
        <v>4</v>
      </c>
      <c r="J1818">
        <v>0</v>
      </c>
      <c r="K1818">
        <v>0</v>
      </c>
      <c r="L1818">
        <v>0</v>
      </c>
      <c r="M1818">
        <v>0</v>
      </c>
      <c r="O1818">
        <f t="shared" si="28"/>
        <v>6</v>
      </c>
    </row>
    <row r="1819" spans="1:15">
      <c r="A1819">
        <v>4566</v>
      </c>
      <c r="B1819" s="1">
        <v>45819</v>
      </c>
      <c r="C1819">
        <v>42</v>
      </c>
      <c r="D1819" t="s">
        <v>14</v>
      </c>
      <c r="E1819" t="s">
        <v>20</v>
      </c>
      <c r="F1819" t="s">
        <v>16</v>
      </c>
      <c r="H1819">
        <v>197.2</v>
      </c>
      <c r="I1819" s="13">
        <v>5</v>
      </c>
      <c r="J1819">
        <v>0</v>
      </c>
      <c r="K1819">
        <v>0</v>
      </c>
      <c r="L1819">
        <v>0</v>
      </c>
      <c r="M1819">
        <v>0</v>
      </c>
      <c r="O1819">
        <f t="shared" si="28"/>
        <v>6</v>
      </c>
    </row>
    <row r="1820" spans="1:15">
      <c r="A1820">
        <v>3147</v>
      </c>
      <c r="B1820" s="1">
        <v>45819</v>
      </c>
      <c r="C1820">
        <v>35</v>
      </c>
      <c r="D1820" t="s">
        <v>17</v>
      </c>
      <c r="E1820" t="s">
        <v>15</v>
      </c>
      <c r="F1820" t="s">
        <v>18</v>
      </c>
      <c r="G1820" t="s">
        <v>19</v>
      </c>
      <c r="H1820">
        <v>137.4</v>
      </c>
      <c r="I1820" s="13">
        <v>3</v>
      </c>
      <c r="J1820">
        <v>0</v>
      </c>
      <c r="K1820">
        <v>0</v>
      </c>
      <c r="L1820">
        <v>0</v>
      </c>
      <c r="M1820">
        <v>0</v>
      </c>
      <c r="O1820">
        <f t="shared" si="28"/>
        <v>6</v>
      </c>
    </row>
    <row r="1821" spans="1:15">
      <c r="A1821">
        <v>204</v>
      </c>
      <c r="B1821" s="1">
        <v>45819</v>
      </c>
      <c r="C1821">
        <v>18</v>
      </c>
      <c r="D1821" t="s">
        <v>17</v>
      </c>
      <c r="E1821" t="s">
        <v>22</v>
      </c>
      <c r="F1821" t="s">
        <v>16</v>
      </c>
      <c r="H1821">
        <v>125.4</v>
      </c>
      <c r="I1821" s="13">
        <v>6</v>
      </c>
      <c r="J1821">
        <v>0</v>
      </c>
      <c r="K1821">
        <v>0</v>
      </c>
      <c r="L1821">
        <v>0</v>
      </c>
      <c r="M1821">
        <v>0</v>
      </c>
      <c r="O1821">
        <f t="shared" si="28"/>
        <v>6</v>
      </c>
    </row>
    <row r="1822" spans="1:15">
      <c r="A1822">
        <v>54</v>
      </c>
      <c r="B1822" s="1">
        <v>45819</v>
      </c>
      <c r="C1822">
        <v>25</v>
      </c>
      <c r="D1822" t="s">
        <v>14</v>
      </c>
      <c r="E1822" t="s">
        <v>20</v>
      </c>
      <c r="F1822" t="s">
        <v>18</v>
      </c>
      <c r="G1822" t="s">
        <v>30</v>
      </c>
      <c r="H1822">
        <v>123.6</v>
      </c>
      <c r="I1822" s="13">
        <v>8</v>
      </c>
      <c r="J1822">
        <v>0</v>
      </c>
      <c r="K1822">
        <v>0</v>
      </c>
      <c r="L1822">
        <v>0</v>
      </c>
      <c r="M1822">
        <v>0</v>
      </c>
      <c r="O1822">
        <f t="shared" si="28"/>
        <v>6</v>
      </c>
    </row>
    <row r="1823" spans="1:15">
      <c r="A1823">
        <v>3780</v>
      </c>
      <c r="B1823" s="1">
        <v>45819</v>
      </c>
      <c r="C1823">
        <v>64</v>
      </c>
      <c r="D1823" t="s">
        <v>14</v>
      </c>
      <c r="E1823" t="s">
        <v>20</v>
      </c>
      <c r="F1823" t="s">
        <v>21</v>
      </c>
      <c r="H1823">
        <v>62</v>
      </c>
      <c r="I1823" s="13">
        <v>8</v>
      </c>
      <c r="J1823">
        <v>0</v>
      </c>
      <c r="K1823">
        <v>0</v>
      </c>
      <c r="L1823">
        <v>0</v>
      </c>
      <c r="M1823">
        <v>0</v>
      </c>
      <c r="O1823">
        <f t="shared" si="28"/>
        <v>6</v>
      </c>
    </row>
    <row r="1824" spans="1:15">
      <c r="A1824">
        <v>723</v>
      </c>
      <c r="B1824" s="1">
        <v>45669</v>
      </c>
      <c r="C1824">
        <v>29</v>
      </c>
      <c r="D1824" t="s">
        <v>17</v>
      </c>
      <c r="E1824" t="s">
        <v>20</v>
      </c>
      <c r="F1824" t="s">
        <v>18</v>
      </c>
      <c r="G1824" t="s">
        <v>30</v>
      </c>
      <c r="H1824">
        <v>180.3</v>
      </c>
      <c r="I1824" s="13">
        <v>5</v>
      </c>
      <c r="J1824">
        <v>1</v>
      </c>
      <c r="K1824">
        <v>366</v>
      </c>
      <c r="L1824">
        <v>1</v>
      </c>
      <c r="M1824">
        <v>12</v>
      </c>
      <c r="N1824">
        <v>4</v>
      </c>
      <c r="O1824">
        <f t="shared" si="28"/>
        <v>1</v>
      </c>
    </row>
    <row r="1825" spans="1:15">
      <c r="A1825">
        <v>4612</v>
      </c>
      <c r="B1825" s="1">
        <v>45669</v>
      </c>
      <c r="C1825">
        <v>50</v>
      </c>
      <c r="D1825" t="s">
        <v>14</v>
      </c>
      <c r="E1825" t="s">
        <v>22</v>
      </c>
      <c r="F1825" t="s">
        <v>18</v>
      </c>
      <c r="G1825" t="s">
        <v>25</v>
      </c>
      <c r="H1825">
        <v>1161.2</v>
      </c>
      <c r="I1825" s="13">
        <v>7</v>
      </c>
      <c r="J1825">
        <v>1</v>
      </c>
      <c r="K1825">
        <v>519</v>
      </c>
      <c r="L1825">
        <v>4</v>
      </c>
      <c r="M1825">
        <v>6</v>
      </c>
      <c r="N1825">
        <v>5</v>
      </c>
      <c r="O1825">
        <f t="shared" si="28"/>
        <v>1</v>
      </c>
    </row>
    <row r="1826" spans="1:15">
      <c r="A1826">
        <v>4268</v>
      </c>
      <c r="B1826" s="1">
        <v>45669</v>
      </c>
      <c r="C1826">
        <v>53</v>
      </c>
      <c r="D1826" t="s">
        <v>14</v>
      </c>
      <c r="E1826" t="s">
        <v>22</v>
      </c>
      <c r="F1826" t="s">
        <v>16</v>
      </c>
      <c r="H1826">
        <v>211.9</v>
      </c>
      <c r="I1826" s="13">
        <v>7</v>
      </c>
      <c r="J1826">
        <v>1</v>
      </c>
      <c r="K1826">
        <v>65.81</v>
      </c>
      <c r="L1826">
        <v>4</v>
      </c>
      <c r="M1826">
        <v>6</v>
      </c>
      <c r="N1826">
        <v>5</v>
      </c>
      <c r="O1826">
        <f t="shared" si="28"/>
        <v>1</v>
      </c>
    </row>
    <row r="1827" spans="1:15">
      <c r="A1827">
        <v>2082</v>
      </c>
      <c r="B1827" s="1">
        <v>45669</v>
      </c>
      <c r="C1827">
        <v>33</v>
      </c>
      <c r="D1827" t="s">
        <v>14</v>
      </c>
      <c r="E1827" t="s">
        <v>22</v>
      </c>
      <c r="F1827" t="s">
        <v>23</v>
      </c>
      <c r="H1827">
        <v>505.1</v>
      </c>
      <c r="I1827" s="13">
        <v>6</v>
      </c>
      <c r="J1827">
        <v>1</v>
      </c>
      <c r="K1827">
        <v>64.930000000000007</v>
      </c>
      <c r="L1827">
        <v>1</v>
      </c>
      <c r="M1827">
        <v>6</v>
      </c>
      <c r="N1827">
        <v>5</v>
      </c>
      <c r="O1827">
        <f t="shared" si="28"/>
        <v>1</v>
      </c>
    </row>
    <row r="1828" spans="1:15">
      <c r="A1828">
        <v>2061</v>
      </c>
      <c r="B1828" s="1">
        <v>45669</v>
      </c>
      <c r="C1828">
        <v>27</v>
      </c>
      <c r="D1828" t="s">
        <v>17</v>
      </c>
      <c r="E1828" t="s">
        <v>24</v>
      </c>
      <c r="F1828" t="s">
        <v>21</v>
      </c>
      <c r="H1828">
        <v>102.1</v>
      </c>
      <c r="I1828" s="13">
        <v>4</v>
      </c>
      <c r="J1828">
        <v>1</v>
      </c>
      <c r="K1828">
        <v>58.23</v>
      </c>
      <c r="L1828">
        <v>5</v>
      </c>
      <c r="M1828">
        <v>13</v>
      </c>
      <c r="N1828">
        <v>2</v>
      </c>
      <c r="O1828">
        <f t="shared" si="28"/>
        <v>1</v>
      </c>
    </row>
    <row r="1829" spans="1:15">
      <c r="A1829">
        <v>3689</v>
      </c>
      <c r="B1829" s="1">
        <v>45669</v>
      </c>
      <c r="C1829">
        <v>44</v>
      </c>
      <c r="D1829" t="s">
        <v>14</v>
      </c>
      <c r="E1829" t="s">
        <v>15</v>
      </c>
      <c r="F1829" t="s">
        <v>21</v>
      </c>
      <c r="H1829">
        <v>992.6</v>
      </c>
      <c r="I1829" s="13">
        <v>5</v>
      </c>
      <c r="J1829">
        <v>1</v>
      </c>
      <c r="K1829">
        <v>52.39</v>
      </c>
      <c r="L1829">
        <v>3</v>
      </c>
      <c r="M1829">
        <v>5</v>
      </c>
      <c r="N1829">
        <v>5</v>
      </c>
      <c r="O1829">
        <f t="shared" si="28"/>
        <v>1</v>
      </c>
    </row>
    <row r="1830" spans="1:15">
      <c r="A1830">
        <v>2610</v>
      </c>
      <c r="B1830" s="1">
        <v>45669</v>
      </c>
      <c r="C1830">
        <v>44</v>
      </c>
      <c r="D1830" t="s">
        <v>17</v>
      </c>
      <c r="E1830" t="s">
        <v>24</v>
      </c>
      <c r="F1830" t="s">
        <v>16</v>
      </c>
      <c r="H1830">
        <v>269.2</v>
      </c>
      <c r="I1830" s="13">
        <v>3</v>
      </c>
      <c r="J1830">
        <v>1</v>
      </c>
      <c r="K1830">
        <v>38.08</v>
      </c>
      <c r="L1830">
        <v>4</v>
      </c>
      <c r="M1830">
        <v>7</v>
      </c>
      <c r="N1830">
        <v>4</v>
      </c>
      <c r="O1830">
        <f t="shared" si="28"/>
        <v>1</v>
      </c>
    </row>
    <row r="1831" spans="1:15">
      <c r="A1831">
        <v>1726</v>
      </c>
      <c r="B1831" s="1">
        <v>45669</v>
      </c>
      <c r="C1831">
        <v>29</v>
      </c>
      <c r="D1831" t="s">
        <v>17</v>
      </c>
      <c r="E1831" t="s">
        <v>20</v>
      </c>
      <c r="F1831" t="s">
        <v>18</v>
      </c>
      <c r="G1831" t="s">
        <v>29</v>
      </c>
      <c r="H1831">
        <v>203.3</v>
      </c>
      <c r="I1831" s="13">
        <v>4</v>
      </c>
      <c r="J1831">
        <v>1</v>
      </c>
      <c r="K1831">
        <v>32.83</v>
      </c>
      <c r="L1831">
        <v>2</v>
      </c>
      <c r="M1831">
        <v>2</v>
      </c>
      <c r="N1831">
        <v>4</v>
      </c>
      <c r="O1831">
        <f t="shared" si="28"/>
        <v>1</v>
      </c>
    </row>
    <row r="1832" spans="1:15">
      <c r="A1832">
        <v>2550</v>
      </c>
      <c r="B1832" s="1">
        <v>45669</v>
      </c>
      <c r="C1832">
        <v>28</v>
      </c>
      <c r="D1832" t="s">
        <v>14</v>
      </c>
      <c r="E1832" t="s">
        <v>15</v>
      </c>
      <c r="F1832" t="s">
        <v>23</v>
      </c>
      <c r="H1832">
        <v>832.6</v>
      </c>
      <c r="I1832" s="13">
        <v>8</v>
      </c>
      <c r="J1832">
        <v>1</v>
      </c>
      <c r="K1832">
        <v>28.99</v>
      </c>
      <c r="L1832">
        <v>4</v>
      </c>
      <c r="M1832">
        <v>2</v>
      </c>
      <c r="N1832">
        <v>5</v>
      </c>
      <c r="O1832">
        <f t="shared" si="28"/>
        <v>1</v>
      </c>
    </row>
    <row r="1833" spans="1:15">
      <c r="A1833">
        <v>84</v>
      </c>
      <c r="B1833" s="1">
        <v>45669</v>
      </c>
      <c r="C1833">
        <v>23</v>
      </c>
      <c r="D1833" t="s">
        <v>17</v>
      </c>
      <c r="E1833" t="s">
        <v>24</v>
      </c>
      <c r="F1833" t="s">
        <v>21</v>
      </c>
      <c r="H1833">
        <v>220.9</v>
      </c>
      <c r="I1833" s="13">
        <v>5</v>
      </c>
      <c r="J1833">
        <v>1</v>
      </c>
      <c r="K1833">
        <v>26.91</v>
      </c>
      <c r="L1833">
        <v>5</v>
      </c>
      <c r="M1833">
        <v>8</v>
      </c>
      <c r="N1833">
        <v>4</v>
      </c>
      <c r="O1833">
        <f t="shared" si="28"/>
        <v>1</v>
      </c>
    </row>
    <row r="1834" spans="1:15">
      <c r="A1834">
        <v>2727</v>
      </c>
      <c r="B1834" s="1">
        <v>45669</v>
      </c>
      <c r="C1834">
        <v>38</v>
      </c>
      <c r="D1834" t="s">
        <v>17</v>
      </c>
      <c r="E1834" t="s">
        <v>15</v>
      </c>
      <c r="F1834" t="s">
        <v>16</v>
      </c>
      <c r="H1834">
        <v>134.80000000000001</v>
      </c>
      <c r="I1834" s="13">
        <v>8</v>
      </c>
      <c r="J1834">
        <v>1</v>
      </c>
      <c r="K1834">
        <v>25.18</v>
      </c>
      <c r="L1834">
        <v>2</v>
      </c>
      <c r="M1834">
        <v>2</v>
      </c>
      <c r="N1834">
        <v>4</v>
      </c>
      <c r="O1834">
        <f t="shared" si="28"/>
        <v>1</v>
      </c>
    </row>
    <row r="1835" spans="1:15">
      <c r="A1835">
        <v>3296</v>
      </c>
      <c r="B1835" s="1">
        <v>45669</v>
      </c>
      <c r="C1835">
        <v>37</v>
      </c>
      <c r="D1835" t="s">
        <v>14</v>
      </c>
      <c r="E1835" t="s">
        <v>15</v>
      </c>
      <c r="F1835" t="s">
        <v>16</v>
      </c>
      <c r="H1835">
        <v>428.5</v>
      </c>
      <c r="I1835" s="13">
        <v>7</v>
      </c>
      <c r="J1835">
        <v>1</v>
      </c>
      <c r="K1835">
        <v>15.39</v>
      </c>
      <c r="L1835">
        <v>4</v>
      </c>
      <c r="M1835">
        <v>6</v>
      </c>
      <c r="N1835">
        <v>4</v>
      </c>
      <c r="O1835">
        <f t="shared" si="28"/>
        <v>1</v>
      </c>
    </row>
    <row r="1836" spans="1:15">
      <c r="A1836">
        <v>4381</v>
      </c>
      <c r="B1836" s="1">
        <v>45669</v>
      </c>
      <c r="C1836">
        <v>68</v>
      </c>
      <c r="D1836" t="s">
        <v>14</v>
      </c>
      <c r="E1836" t="s">
        <v>15</v>
      </c>
      <c r="F1836" t="s">
        <v>23</v>
      </c>
      <c r="H1836">
        <v>615.20000000000005</v>
      </c>
      <c r="I1836" s="13">
        <v>5</v>
      </c>
      <c r="J1836">
        <v>0</v>
      </c>
      <c r="K1836">
        <v>0</v>
      </c>
      <c r="L1836">
        <v>0</v>
      </c>
      <c r="M1836">
        <v>0</v>
      </c>
      <c r="O1836">
        <f t="shared" si="28"/>
        <v>1</v>
      </c>
    </row>
    <row r="1837" spans="1:15">
      <c r="A1837">
        <v>4252</v>
      </c>
      <c r="B1837" s="1">
        <v>45669</v>
      </c>
      <c r="C1837">
        <v>51</v>
      </c>
      <c r="D1837" t="s">
        <v>14</v>
      </c>
      <c r="E1837" t="s">
        <v>22</v>
      </c>
      <c r="F1837" t="s">
        <v>16</v>
      </c>
      <c r="H1837">
        <v>438.8</v>
      </c>
      <c r="I1837" s="13">
        <v>7</v>
      </c>
      <c r="J1837">
        <v>0</v>
      </c>
      <c r="K1837">
        <v>0</v>
      </c>
      <c r="L1837">
        <v>0</v>
      </c>
      <c r="M1837">
        <v>0</v>
      </c>
      <c r="O1837">
        <f t="shared" si="28"/>
        <v>1</v>
      </c>
    </row>
    <row r="1838" spans="1:15">
      <c r="A1838">
        <v>2511</v>
      </c>
      <c r="B1838" s="1">
        <v>45669</v>
      </c>
      <c r="C1838">
        <v>26</v>
      </c>
      <c r="D1838" t="s">
        <v>17</v>
      </c>
      <c r="E1838" t="s">
        <v>15</v>
      </c>
      <c r="F1838" t="s">
        <v>18</v>
      </c>
      <c r="G1838" t="s">
        <v>29</v>
      </c>
      <c r="H1838">
        <v>416.3</v>
      </c>
      <c r="I1838" s="13">
        <v>3</v>
      </c>
      <c r="J1838">
        <v>0</v>
      </c>
      <c r="K1838">
        <v>0</v>
      </c>
      <c r="L1838">
        <v>0</v>
      </c>
      <c r="M1838">
        <v>0</v>
      </c>
      <c r="O1838">
        <f t="shared" si="28"/>
        <v>1</v>
      </c>
    </row>
    <row r="1839" spans="1:15">
      <c r="A1839">
        <v>2247</v>
      </c>
      <c r="B1839" s="1">
        <v>45669</v>
      </c>
      <c r="C1839">
        <v>35</v>
      </c>
      <c r="D1839" t="s">
        <v>17</v>
      </c>
      <c r="E1839" t="s">
        <v>22</v>
      </c>
      <c r="F1839" t="s">
        <v>18</v>
      </c>
      <c r="G1839" t="s">
        <v>25</v>
      </c>
      <c r="H1839">
        <v>368.2</v>
      </c>
      <c r="I1839" s="13">
        <v>4</v>
      </c>
      <c r="J1839">
        <v>0</v>
      </c>
      <c r="K1839">
        <v>0</v>
      </c>
      <c r="L1839">
        <v>0</v>
      </c>
      <c r="M1839">
        <v>0</v>
      </c>
      <c r="O1839">
        <f t="shared" si="28"/>
        <v>1</v>
      </c>
    </row>
    <row r="1840" spans="1:15">
      <c r="A1840">
        <v>1789</v>
      </c>
      <c r="B1840" s="1">
        <v>45669</v>
      </c>
      <c r="C1840">
        <v>34</v>
      </c>
      <c r="D1840" t="s">
        <v>14</v>
      </c>
      <c r="E1840" t="s">
        <v>22</v>
      </c>
      <c r="F1840" t="s">
        <v>16</v>
      </c>
      <c r="H1840">
        <v>336.9</v>
      </c>
      <c r="I1840" s="13">
        <v>4</v>
      </c>
      <c r="J1840">
        <v>0</v>
      </c>
      <c r="K1840">
        <v>0</v>
      </c>
      <c r="L1840">
        <v>0</v>
      </c>
      <c r="M1840">
        <v>0</v>
      </c>
      <c r="O1840">
        <f t="shared" si="28"/>
        <v>1</v>
      </c>
    </row>
    <row r="1841" spans="1:15">
      <c r="A1841">
        <v>3158</v>
      </c>
      <c r="B1841" s="1">
        <v>45669</v>
      </c>
      <c r="C1841">
        <v>24</v>
      </c>
      <c r="D1841" t="s">
        <v>14</v>
      </c>
      <c r="E1841" t="s">
        <v>24</v>
      </c>
      <c r="F1841" t="s">
        <v>16</v>
      </c>
      <c r="H1841">
        <v>312.8</v>
      </c>
      <c r="I1841" s="13">
        <v>5</v>
      </c>
      <c r="J1841">
        <v>0</v>
      </c>
      <c r="K1841">
        <v>0</v>
      </c>
      <c r="L1841">
        <v>0</v>
      </c>
      <c r="M1841">
        <v>0</v>
      </c>
      <c r="O1841">
        <f t="shared" si="28"/>
        <v>1</v>
      </c>
    </row>
    <row r="1842" spans="1:15">
      <c r="A1842">
        <v>1712</v>
      </c>
      <c r="B1842" s="1">
        <v>45669</v>
      </c>
      <c r="C1842">
        <v>31</v>
      </c>
      <c r="D1842" t="s">
        <v>14</v>
      </c>
      <c r="E1842" t="s">
        <v>15</v>
      </c>
      <c r="F1842" t="s">
        <v>16</v>
      </c>
      <c r="H1842">
        <v>288.60000000000002</v>
      </c>
      <c r="I1842" s="13">
        <v>7</v>
      </c>
      <c r="J1842">
        <v>0</v>
      </c>
      <c r="K1842">
        <v>0</v>
      </c>
      <c r="L1842">
        <v>0</v>
      </c>
      <c r="M1842">
        <v>0</v>
      </c>
      <c r="O1842">
        <f t="shared" si="28"/>
        <v>1</v>
      </c>
    </row>
    <row r="1843" spans="1:15">
      <c r="A1843">
        <v>1259</v>
      </c>
      <c r="B1843" s="1">
        <v>45669</v>
      </c>
      <c r="C1843">
        <v>23</v>
      </c>
      <c r="D1843" t="s">
        <v>17</v>
      </c>
      <c r="E1843" t="s">
        <v>22</v>
      </c>
      <c r="F1843" t="s">
        <v>18</v>
      </c>
      <c r="G1843" t="s">
        <v>28</v>
      </c>
      <c r="H1843">
        <v>281.7</v>
      </c>
      <c r="I1843" s="13">
        <v>6</v>
      </c>
      <c r="J1843">
        <v>0</v>
      </c>
      <c r="K1843">
        <v>0</v>
      </c>
      <c r="L1843">
        <v>0</v>
      </c>
      <c r="M1843">
        <v>0</v>
      </c>
      <c r="O1843">
        <f t="shared" si="28"/>
        <v>1</v>
      </c>
    </row>
    <row r="1844" spans="1:15">
      <c r="A1844">
        <v>3510</v>
      </c>
      <c r="B1844" s="1">
        <v>45669</v>
      </c>
      <c r="C1844">
        <v>39</v>
      </c>
      <c r="D1844" t="s">
        <v>17</v>
      </c>
      <c r="E1844" t="s">
        <v>15</v>
      </c>
      <c r="F1844" t="s">
        <v>18</v>
      </c>
      <c r="G1844" t="s">
        <v>28</v>
      </c>
      <c r="H1844">
        <v>226.8</v>
      </c>
      <c r="I1844" s="13">
        <v>5</v>
      </c>
      <c r="J1844">
        <v>0</v>
      </c>
      <c r="K1844">
        <v>0</v>
      </c>
      <c r="L1844">
        <v>0</v>
      </c>
      <c r="M1844">
        <v>0</v>
      </c>
      <c r="O1844">
        <f t="shared" si="28"/>
        <v>1</v>
      </c>
    </row>
    <row r="1845" spans="1:15">
      <c r="A1845">
        <v>1930</v>
      </c>
      <c r="B1845" s="1">
        <v>45669</v>
      </c>
      <c r="C1845">
        <v>37</v>
      </c>
      <c r="D1845" t="s">
        <v>14</v>
      </c>
      <c r="E1845" t="s">
        <v>20</v>
      </c>
      <c r="F1845" t="s">
        <v>16</v>
      </c>
      <c r="H1845">
        <v>195.8</v>
      </c>
      <c r="I1845" s="13">
        <v>5</v>
      </c>
      <c r="J1845">
        <v>0</v>
      </c>
      <c r="K1845">
        <v>0</v>
      </c>
      <c r="L1845">
        <v>0</v>
      </c>
      <c r="M1845">
        <v>0</v>
      </c>
      <c r="O1845">
        <f t="shared" si="28"/>
        <v>1</v>
      </c>
    </row>
    <row r="1846" spans="1:15">
      <c r="A1846">
        <v>3123</v>
      </c>
      <c r="B1846" s="1">
        <v>45669</v>
      </c>
      <c r="C1846">
        <v>37</v>
      </c>
      <c r="D1846" t="s">
        <v>14</v>
      </c>
      <c r="E1846" t="s">
        <v>20</v>
      </c>
      <c r="F1846" t="s">
        <v>16</v>
      </c>
      <c r="H1846">
        <v>161</v>
      </c>
      <c r="I1846" s="13">
        <v>4</v>
      </c>
      <c r="J1846">
        <v>0</v>
      </c>
      <c r="K1846">
        <v>0</v>
      </c>
      <c r="L1846">
        <v>0</v>
      </c>
      <c r="M1846">
        <v>0</v>
      </c>
      <c r="O1846">
        <f t="shared" si="28"/>
        <v>1</v>
      </c>
    </row>
    <row r="1847" spans="1:15">
      <c r="A1847">
        <v>1039</v>
      </c>
      <c r="B1847" s="1">
        <v>45669</v>
      </c>
      <c r="C1847">
        <v>19</v>
      </c>
      <c r="D1847" t="s">
        <v>17</v>
      </c>
      <c r="E1847" t="s">
        <v>22</v>
      </c>
      <c r="F1847" t="s">
        <v>18</v>
      </c>
      <c r="G1847" t="s">
        <v>25</v>
      </c>
      <c r="H1847">
        <v>144.5</v>
      </c>
      <c r="I1847" s="13">
        <v>5</v>
      </c>
      <c r="J1847">
        <v>0</v>
      </c>
      <c r="K1847">
        <v>0</v>
      </c>
      <c r="L1847">
        <v>0</v>
      </c>
      <c r="M1847">
        <v>0</v>
      </c>
      <c r="O1847">
        <f t="shared" si="28"/>
        <v>1</v>
      </c>
    </row>
    <row r="1848" spans="1:15">
      <c r="A1848">
        <v>2009</v>
      </c>
      <c r="B1848" s="1">
        <v>45669</v>
      </c>
      <c r="C1848">
        <v>36</v>
      </c>
      <c r="D1848" t="s">
        <v>14</v>
      </c>
      <c r="E1848" t="s">
        <v>22</v>
      </c>
      <c r="F1848" t="s">
        <v>16</v>
      </c>
      <c r="H1848">
        <v>139.19999999999999</v>
      </c>
      <c r="I1848" s="13">
        <v>4</v>
      </c>
      <c r="J1848">
        <v>0</v>
      </c>
      <c r="K1848">
        <v>0</v>
      </c>
      <c r="L1848">
        <v>0</v>
      </c>
      <c r="M1848">
        <v>0</v>
      </c>
      <c r="O1848">
        <f t="shared" si="28"/>
        <v>1</v>
      </c>
    </row>
    <row r="1849" spans="1:15">
      <c r="A1849">
        <v>3540</v>
      </c>
      <c r="B1849" s="1">
        <v>45669</v>
      </c>
      <c r="C1849">
        <v>37</v>
      </c>
      <c r="D1849" t="s">
        <v>17</v>
      </c>
      <c r="E1849" t="s">
        <v>24</v>
      </c>
      <c r="F1849" t="s">
        <v>18</v>
      </c>
      <c r="G1849" t="s">
        <v>25</v>
      </c>
      <c r="H1849">
        <v>135.19999999999999</v>
      </c>
      <c r="I1849" s="13">
        <v>8</v>
      </c>
      <c r="J1849">
        <v>0</v>
      </c>
      <c r="K1849">
        <v>0</v>
      </c>
      <c r="L1849">
        <v>0</v>
      </c>
      <c r="M1849">
        <v>0</v>
      </c>
      <c r="O1849">
        <f t="shared" si="28"/>
        <v>1</v>
      </c>
    </row>
    <row r="1850" spans="1:15">
      <c r="A1850">
        <v>860</v>
      </c>
      <c r="B1850" s="1">
        <v>45669</v>
      </c>
      <c r="C1850">
        <v>25</v>
      </c>
      <c r="D1850" t="s">
        <v>17</v>
      </c>
      <c r="E1850" t="s">
        <v>22</v>
      </c>
      <c r="F1850" t="s">
        <v>18</v>
      </c>
      <c r="G1850" t="s">
        <v>28</v>
      </c>
      <c r="H1850">
        <v>135</v>
      </c>
      <c r="I1850" s="13">
        <v>8</v>
      </c>
      <c r="J1850">
        <v>0</v>
      </c>
      <c r="K1850">
        <v>0</v>
      </c>
      <c r="L1850">
        <v>0</v>
      </c>
      <c r="M1850">
        <v>0</v>
      </c>
      <c r="O1850">
        <f t="shared" si="28"/>
        <v>1</v>
      </c>
    </row>
    <row r="1851" spans="1:15">
      <c r="A1851">
        <v>2358</v>
      </c>
      <c r="B1851" s="1">
        <v>45669</v>
      </c>
      <c r="C1851">
        <v>30</v>
      </c>
      <c r="D1851" t="s">
        <v>14</v>
      </c>
      <c r="E1851" t="s">
        <v>22</v>
      </c>
      <c r="F1851" t="s">
        <v>16</v>
      </c>
      <c r="H1851">
        <v>119.6</v>
      </c>
      <c r="I1851" s="13">
        <v>6</v>
      </c>
      <c r="J1851">
        <v>0</v>
      </c>
      <c r="K1851">
        <v>0</v>
      </c>
      <c r="L1851">
        <v>0</v>
      </c>
      <c r="M1851">
        <v>0</v>
      </c>
      <c r="O1851">
        <f t="shared" si="28"/>
        <v>1</v>
      </c>
    </row>
    <row r="1852" spans="1:15">
      <c r="A1852">
        <v>3727</v>
      </c>
      <c r="B1852" s="1">
        <v>45669</v>
      </c>
      <c r="C1852">
        <v>35</v>
      </c>
      <c r="D1852" t="s">
        <v>14</v>
      </c>
      <c r="E1852" t="s">
        <v>22</v>
      </c>
      <c r="F1852" t="s">
        <v>16</v>
      </c>
      <c r="H1852">
        <v>106.2</v>
      </c>
      <c r="I1852" s="13">
        <v>5</v>
      </c>
      <c r="J1852">
        <v>0</v>
      </c>
      <c r="K1852">
        <v>0</v>
      </c>
      <c r="L1852">
        <v>0</v>
      </c>
      <c r="M1852">
        <v>0</v>
      </c>
      <c r="O1852">
        <f t="shared" si="28"/>
        <v>1</v>
      </c>
    </row>
    <row r="1853" spans="1:15">
      <c r="A1853">
        <v>2760</v>
      </c>
      <c r="B1853" s="1">
        <v>45669</v>
      </c>
      <c r="C1853">
        <v>34</v>
      </c>
      <c r="D1853" t="s">
        <v>17</v>
      </c>
      <c r="E1853" t="s">
        <v>22</v>
      </c>
      <c r="F1853" t="s">
        <v>16</v>
      </c>
      <c r="H1853">
        <v>97.7</v>
      </c>
      <c r="I1853" s="13">
        <v>4</v>
      </c>
      <c r="J1853">
        <v>0</v>
      </c>
      <c r="K1853">
        <v>0</v>
      </c>
      <c r="L1853">
        <v>0</v>
      </c>
      <c r="M1853">
        <v>0</v>
      </c>
      <c r="O1853">
        <f t="shared" si="28"/>
        <v>1</v>
      </c>
    </row>
    <row r="1854" spans="1:15">
      <c r="A1854">
        <v>705</v>
      </c>
      <c r="B1854" s="1">
        <v>45669</v>
      </c>
      <c r="C1854">
        <v>18</v>
      </c>
      <c r="D1854" t="s">
        <v>17</v>
      </c>
      <c r="E1854" t="s">
        <v>24</v>
      </c>
      <c r="F1854" t="s">
        <v>18</v>
      </c>
      <c r="G1854" t="s">
        <v>28</v>
      </c>
      <c r="H1854">
        <v>80.400000000000006</v>
      </c>
      <c r="I1854" s="13">
        <v>4</v>
      </c>
      <c r="J1854">
        <v>0</v>
      </c>
      <c r="K1854">
        <v>0</v>
      </c>
      <c r="L1854">
        <v>0</v>
      </c>
      <c r="M1854">
        <v>0</v>
      </c>
      <c r="O1854">
        <f t="shared" si="28"/>
        <v>1</v>
      </c>
    </row>
    <row r="1855" spans="1:15">
      <c r="A1855">
        <v>3322</v>
      </c>
      <c r="B1855" s="1">
        <v>45669</v>
      </c>
      <c r="C1855">
        <v>46</v>
      </c>
      <c r="D1855" t="s">
        <v>17</v>
      </c>
      <c r="E1855" t="s">
        <v>15</v>
      </c>
      <c r="F1855" t="s">
        <v>18</v>
      </c>
      <c r="G1855" t="s">
        <v>28</v>
      </c>
      <c r="H1855">
        <v>77.5</v>
      </c>
      <c r="I1855" s="13">
        <v>7</v>
      </c>
      <c r="J1855">
        <v>0</v>
      </c>
      <c r="K1855">
        <v>0</v>
      </c>
      <c r="L1855">
        <v>0</v>
      </c>
      <c r="M1855">
        <v>0</v>
      </c>
      <c r="O1855">
        <f t="shared" si="28"/>
        <v>1</v>
      </c>
    </row>
    <row r="1856" spans="1:15">
      <c r="A1856">
        <v>2012</v>
      </c>
      <c r="B1856" s="1">
        <v>45669</v>
      </c>
      <c r="C1856">
        <v>41</v>
      </c>
      <c r="D1856" t="s">
        <v>17</v>
      </c>
      <c r="E1856" t="s">
        <v>15</v>
      </c>
      <c r="F1856" t="s">
        <v>18</v>
      </c>
      <c r="G1856" t="s">
        <v>26</v>
      </c>
      <c r="H1856">
        <v>13</v>
      </c>
      <c r="I1856" s="13">
        <v>7</v>
      </c>
      <c r="J1856">
        <v>0</v>
      </c>
      <c r="K1856">
        <v>0</v>
      </c>
      <c r="L1856">
        <v>0</v>
      </c>
      <c r="M1856">
        <v>0</v>
      </c>
      <c r="O1856">
        <f t="shared" si="28"/>
        <v>1</v>
      </c>
    </row>
    <row r="1857" spans="1:15">
      <c r="A1857">
        <v>33</v>
      </c>
      <c r="B1857" s="1">
        <v>45669</v>
      </c>
      <c r="C1857">
        <v>27</v>
      </c>
      <c r="D1857" t="s">
        <v>17</v>
      </c>
      <c r="E1857" t="s">
        <v>22</v>
      </c>
      <c r="F1857" t="s">
        <v>16</v>
      </c>
      <c r="H1857">
        <v>10</v>
      </c>
      <c r="I1857" s="13">
        <v>6</v>
      </c>
      <c r="J1857">
        <v>0</v>
      </c>
      <c r="K1857">
        <v>0</v>
      </c>
      <c r="L1857">
        <v>0</v>
      </c>
      <c r="M1857">
        <v>0</v>
      </c>
      <c r="O1857">
        <f t="shared" si="28"/>
        <v>1</v>
      </c>
    </row>
    <row r="1858" spans="1:15">
      <c r="A1858">
        <v>3684</v>
      </c>
      <c r="B1858" s="1">
        <v>45700</v>
      </c>
      <c r="C1858">
        <v>42</v>
      </c>
      <c r="D1858" t="s">
        <v>14</v>
      </c>
      <c r="E1858" t="s">
        <v>22</v>
      </c>
      <c r="F1858" t="s">
        <v>16</v>
      </c>
      <c r="H1858">
        <v>595.4</v>
      </c>
      <c r="I1858" s="13">
        <v>3</v>
      </c>
      <c r="J1858">
        <v>1</v>
      </c>
      <c r="K1858">
        <v>509</v>
      </c>
      <c r="L1858">
        <v>3</v>
      </c>
      <c r="M1858">
        <v>3</v>
      </c>
      <c r="N1858">
        <v>5</v>
      </c>
      <c r="O1858">
        <f t="shared" si="28"/>
        <v>2</v>
      </c>
    </row>
    <row r="1859" spans="1:15">
      <c r="A1859">
        <v>216</v>
      </c>
      <c r="B1859" s="1">
        <v>45700</v>
      </c>
      <c r="C1859">
        <v>23</v>
      </c>
      <c r="D1859" t="s">
        <v>17</v>
      </c>
      <c r="E1859" t="s">
        <v>15</v>
      </c>
      <c r="F1859" t="s">
        <v>16</v>
      </c>
      <c r="H1859">
        <v>815.6</v>
      </c>
      <c r="I1859" s="13">
        <v>8</v>
      </c>
      <c r="J1859">
        <v>1</v>
      </c>
      <c r="K1859">
        <v>221</v>
      </c>
      <c r="L1859">
        <v>2</v>
      </c>
      <c r="M1859">
        <v>2</v>
      </c>
      <c r="N1859">
        <v>3</v>
      </c>
      <c r="O1859">
        <f t="shared" ref="O1859:O1922" si="29">MONTH(B1859)</f>
        <v>2</v>
      </c>
    </row>
    <row r="1860" spans="1:15">
      <c r="A1860">
        <v>4874</v>
      </c>
      <c r="B1860" s="1">
        <v>45700</v>
      </c>
      <c r="C1860">
        <v>51</v>
      </c>
      <c r="D1860" t="s">
        <v>17</v>
      </c>
      <c r="E1860" t="s">
        <v>20</v>
      </c>
      <c r="F1860" t="s">
        <v>23</v>
      </c>
      <c r="H1860">
        <v>884.6</v>
      </c>
      <c r="I1860" s="13">
        <v>7</v>
      </c>
      <c r="J1860">
        <v>1</v>
      </c>
      <c r="K1860">
        <v>310</v>
      </c>
      <c r="L1860">
        <v>1</v>
      </c>
      <c r="M1860">
        <v>7</v>
      </c>
      <c r="N1860">
        <v>4</v>
      </c>
      <c r="O1860">
        <f t="shared" si="29"/>
        <v>2</v>
      </c>
    </row>
    <row r="1861" spans="1:15">
      <c r="A1861">
        <v>3671</v>
      </c>
      <c r="B1861" s="1">
        <v>45700</v>
      </c>
      <c r="C1861">
        <v>29</v>
      </c>
      <c r="D1861" t="s">
        <v>14</v>
      </c>
      <c r="E1861" t="s">
        <v>20</v>
      </c>
      <c r="F1861" t="s">
        <v>21</v>
      </c>
      <c r="H1861">
        <v>32.9</v>
      </c>
      <c r="I1861" s="13">
        <v>4</v>
      </c>
      <c r="J1861">
        <v>1</v>
      </c>
      <c r="K1861">
        <v>40.880000000000003</v>
      </c>
      <c r="L1861">
        <v>3</v>
      </c>
      <c r="M1861">
        <v>15</v>
      </c>
      <c r="N1861">
        <v>5</v>
      </c>
      <c r="O1861">
        <f t="shared" si="29"/>
        <v>2</v>
      </c>
    </row>
    <row r="1862" spans="1:15">
      <c r="A1862">
        <v>1562</v>
      </c>
      <c r="B1862" s="1">
        <v>45700</v>
      </c>
      <c r="C1862">
        <v>18</v>
      </c>
      <c r="D1862" t="s">
        <v>17</v>
      </c>
      <c r="E1862" t="s">
        <v>22</v>
      </c>
      <c r="F1862" t="s">
        <v>23</v>
      </c>
      <c r="H1862">
        <v>200.6</v>
      </c>
      <c r="I1862" s="13">
        <v>5</v>
      </c>
      <c r="J1862">
        <v>1</v>
      </c>
      <c r="K1862">
        <v>35.32</v>
      </c>
      <c r="L1862">
        <v>2</v>
      </c>
      <c r="M1862">
        <v>5</v>
      </c>
      <c r="N1862">
        <v>4</v>
      </c>
      <c r="O1862">
        <f t="shared" si="29"/>
        <v>2</v>
      </c>
    </row>
    <row r="1863" spans="1:15">
      <c r="A1863">
        <v>2269</v>
      </c>
      <c r="B1863" s="1">
        <v>45700</v>
      </c>
      <c r="C1863">
        <v>43</v>
      </c>
      <c r="D1863" t="s">
        <v>14</v>
      </c>
      <c r="E1863" t="s">
        <v>20</v>
      </c>
      <c r="F1863" t="s">
        <v>18</v>
      </c>
      <c r="G1863" t="s">
        <v>25</v>
      </c>
      <c r="H1863">
        <v>764.3</v>
      </c>
      <c r="I1863" s="13">
        <v>6</v>
      </c>
      <c r="J1863">
        <v>1</v>
      </c>
      <c r="K1863">
        <v>26.95</v>
      </c>
      <c r="L1863">
        <v>4</v>
      </c>
      <c r="M1863">
        <v>1</v>
      </c>
      <c r="N1863">
        <v>3</v>
      </c>
      <c r="O1863">
        <f t="shared" si="29"/>
        <v>2</v>
      </c>
    </row>
    <row r="1864" spans="1:15">
      <c r="A1864">
        <v>664</v>
      </c>
      <c r="B1864" s="1">
        <v>45700</v>
      </c>
      <c r="C1864">
        <v>24</v>
      </c>
      <c r="D1864" t="s">
        <v>17</v>
      </c>
      <c r="E1864" t="s">
        <v>20</v>
      </c>
      <c r="F1864" t="s">
        <v>21</v>
      </c>
      <c r="H1864">
        <v>519.9</v>
      </c>
      <c r="I1864" s="13">
        <v>5</v>
      </c>
      <c r="J1864">
        <v>1</v>
      </c>
      <c r="K1864">
        <v>25.98</v>
      </c>
      <c r="L1864">
        <v>2</v>
      </c>
      <c r="M1864">
        <v>13</v>
      </c>
      <c r="N1864">
        <v>4</v>
      </c>
      <c r="O1864">
        <f t="shared" si="29"/>
        <v>2</v>
      </c>
    </row>
    <row r="1865" spans="1:15">
      <c r="A1865">
        <v>1072</v>
      </c>
      <c r="B1865" s="1">
        <v>45700</v>
      </c>
      <c r="C1865">
        <v>24</v>
      </c>
      <c r="D1865" t="s">
        <v>17</v>
      </c>
      <c r="E1865" t="s">
        <v>22</v>
      </c>
      <c r="F1865" t="s">
        <v>16</v>
      </c>
      <c r="H1865">
        <v>662.7</v>
      </c>
      <c r="I1865" s="13">
        <v>3</v>
      </c>
      <c r="J1865">
        <v>0</v>
      </c>
      <c r="K1865">
        <v>0</v>
      </c>
      <c r="L1865">
        <v>0</v>
      </c>
      <c r="M1865">
        <v>0</v>
      </c>
      <c r="O1865">
        <f t="shared" si="29"/>
        <v>2</v>
      </c>
    </row>
    <row r="1866" spans="1:15">
      <c r="A1866">
        <v>4780</v>
      </c>
      <c r="B1866" s="1">
        <v>45700</v>
      </c>
      <c r="C1866">
        <v>52</v>
      </c>
      <c r="D1866" t="s">
        <v>14</v>
      </c>
      <c r="E1866" t="s">
        <v>20</v>
      </c>
      <c r="F1866" t="s">
        <v>23</v>
      </c>
      <c r="H1866">
        <v>638.1</v>
      </c>
      <c r="I1866" s="13">
        <v>7</v>
      </c>
      <c r="J1866">
        <v>0</v>
      </c>
      <c r="K1866">
        <v>0</v>
      </c>
      <c r="L1866">
        <v>0</v>
      </c>
      <c r="M1866">
        <v>0</v>
      </c>
      <c r="O1866">
        <f t="shared" si="29"/>
        <v>2</v>
      </c>
    </row>
    <row r="1867" spans="1:15">
      <c r="A1867">
        <v>159</v>
      </c>
      <c r="B1867" s="1">
        <v>45700</v>
      </c>
      <c r="C1867">
        <v>18</v>
      </c>
      <c r="D1867" t="s">
        <v>17</v>
      </c>
      <c r="E1867" t="s">
        <v>15</v>
      </c>
      <c r="F1867" t="s">
        <v>16</v>
      </c>
      <c r="H1867">
        <v>486.7</v>
      </c>
      <c r="I1867" s="13">
        <v>7</v>
      </c>
      <c r="J1867">
        <v>0</v>
      </c>
      <c r="K1867">
        <v>0</v>
      </c>
      <c r="L1867">
        <v>0</v>
      </c>
      <c r="M1867">
        <v>0</v>
      </c>
      <c r="O1867">
        <f t="shared" si="29"/>
        <v>2</v>
      </c>
    </row>
    <row r="1868" spans="1:15">
      <c r="A1868">
        <v>3694</v>
      </c>
      <c r="B1868" s="1">
        <v>45700</v>
      </c>
      <c r="C1868">
        <v>32</v>
      </c>
      <c r="D1868" t="s">
        <v>17</v>
      </c>
      <c r="E1868" t="s">
        <v>24</v>
      </c>
      <c r="F1868" t="s">
        <v>18</v>
      </c>
      <c r="G1868" t="s">
        <v>25</v>
      </c>
      <c r="H1868">
        <v>430.8</v>
      </c>
      <c r="I1868" s="13">
        <v>7</v>
      </c>
      <c r="J1868">
        <v>0</v>
      </c>
      <c r="K1868">
        <v>0</v>
      </c>
      <c r="L1868">
        <v>0</v>
      </c>
      <c r="M1868">
        <v>0</v>
      </c>
      <c r="O1868">
        <f t="shared" si="29"/>
        <v>2</v>
      </c>
    </row>
    <row r="1869" spans="1:15">
      <c r="A1869">
        <v>1391</v>
      </c>
      <c r="B1869" s="1">
        <v>45700</v>
      </c>
      <c r="C1869">
        <v>26</v>
      </c>
      <c r="D1869" t="s">
        <v>17</v>
      </c>
      <c r="E1869" t="s">
        <v>24</v>
      </c>
      <c r="F1869" t="s">
        <v>21</v>
      </c>
      <c r="H1869">
        <v>414.4</v>
      </c>
      <c r="I1869" s="13">
        <v>5</v>
      </c>
      <c r="J1869">
        <v>0</v>
      </c>
      <c r="K1869">
        <v>0</v>
      </c>
      <c r="L1869">
        <v>0</v>
      </c>
      <c r="M1869">
        <v>0</v>
      </c>
      <c r="O1869">
        <f t="shared" si="29"/>
        <v>2</v>
      </c>
    </row>
    <row r="1870" spans="1:15">
      <c r="A1870">
        <v>4773</v>
      </c>
      <c r="B1870" s="1">
        <v>45700</v>
      </c>
      <c r="C1870">
        <v>61</v>
      </c>
      <c r="D1870" t="s">
        <v>17</v>
      </c>
      <c r="E1870" t="s">
        <v>24</v>
      </c>
      <c r="F1870" t="s">
        <v>18</v>
      </c>
      <c r="G1870" t="s">
        <v>25</v>
      </c>
      <c r="H1870">
        <v>390.9</v>
      </c>
      <c r="I1870" s="13">
        <v>4</v>
      </c>
      <c r="J1870">
        <v>0</v>
      </c>
      <c r="K1870">
        <v>0</v>
      </c>
      <c r="L1870">
        <v>0</v>
      </c>
      <c r="M1870">
        <v>0</v>
      </c>
      <c r="O1870">
        <f t="shared" si="29"/>
        <v>2</v>
      </c>
    </row>
    <row r="1871" spans="1:15">
      <c r="A1871">
        <v>2077</v>
      </c>
      <c r="B1871" s="1">
        <v>45700</v>
      </c>
      <c r="C1871">
        <v>34</v>
      </c>
      <c r="D1871" t="s">
        <v>14</v>
      </c>
      <c r="E1871" t="s">
        <v>24</v>
      </c>
      <c r="F1871" t="s">
        <v>18</v>
      </c>
      <c r="G1871" t="s">
        <v>28</v>
      </c>
      <c r="H1871">
        <v>340.4</v>
      </c>
      <c r="I1871" s="13">
        <v>3</v>
      </c>
      <c r="J1871">
        <v>0</v>
      </c>
      <c r="K1871">
        <v>0</v>
      </c>
      <c r="L1871">
        <v>0</v>
      </c>
      <c r="M1871">
        <v>0</v>
      </c>
      <c r="O1871">
        <f t="shared" si="29"/>
        <v>2</v>
      </c>
    </row>
    <row r="1872" spans="1:15">
      <c r="A1872">
        <v>1491</v>
      </c>
      <c r="B1872" s="1">
        <v>45700</v>
      </c>
      <c r="C1872">
        <v>26</v>
      </c>
      <c r="D1872" t="s">
        <v>14</v>
      </c>
      <c r="E1872" t="s">
        <v>20</v>
      </c>
      <c r="F1872" t="s">
        <v>16</v>
      </c>
      <c r="H1872">
        <v>338.8</v>
      </c>
      <c r="I1872" s="13">
        <v>9</v>
      </c>
      <c r="J1872">
        <v>0</v>
      </c>
      <c r="K1872">
        <v>0</v>
      </c>
      <c r="L1872">
        <v>0</v>
      </c>
      <c r="M1872">
        <v>0</v>
      </c>
      <c r="O1872">
        <f t="shared" si="29"/>
        <v>2</v>
      </c>
    </row>
    <row r="1873" spans="1:15">
      <c r="A1873">
        <v>3641</v>
      </c>
      <c r="B1873" s="1">
        <v>45700</v>
      </c>
      <c r="C1873">
        <v>35</v>
      </c>
      <c r="D1873" t="s">
        <v>17</v>
      </c>
      <c r="E1873" t="s">
        <v>22</v>
      </c>
      <c r="F1873" t="s">
        <v>18</v>
      </c>
      <c r="G1873" t="s">
        <v>28</v>
      </c>
      <c r="H1873">
        <v>307.2</v>
      </c>
      <c r="I1873" s="13">
        <v>5</v>
      </c>
      <c r="J1873">
        <v>0</v>
      </c>
      <c r="K1873">
        <v>0</v>
      </c>
      <c r="L1873">
        <v>0</v>
      </c>
      <c r="M1873">
        <v>0</v>
      </c>
      <c r="O1873">
        <f t="shared" si="29"/>
        <v>2</v>
      </c>
    </row>
    <row r="1874" spans="1:15">
      <c r="A1874">
        <v>1370</v>
      </c>
      <c r="B1874" s="1">
        <v>45700</v>
      </c>
      <c r="C1874">
        <v>31</v>
      </c>
      <c r="D1874" t="s">
        <v>17</v>
      </c>
      <c r="E1874" t="s">
        <v>15</v>
      </c>
      <c r="F1874" t="s">
        <v>21</v>
      </c>
      <c r="H1874">
        <v>294.7</v>
      </c>
      <c r="I1874" s="13">
        <v>4</v>
      </c>
      <c r="J1874">
        <v>0</v>
      </c>
      <c r="K1874">
        <v>0</v>
      </c>
      <c r="L1874">
        <v>0</v>
      </c>
      <c r="M1874">
        <v>0</v>
      </c>
      <c r="O1874">
        <f t="shared" si="29"/>
        <v>2</v>
      </c>
    </row>
    <row r="1875" spans="1:15">
      <c r="A1875">
        <v>4214</v>
      </c>
      <c r="B1875" s="1">
        <v>45700</v>
      </c>
      <c r="C1875">
        <v>46</v>
      </c>
      <c r="D1875" t="s">
        <v>17</v>
      </c>
      <c r="E1875" t="s">
        <v>22</v>
      </c>
      <c r="F1875" t="s">
        <v>18</v>
      </c>
      <c r="G1875" t="s">
        <v>31</v>
      </c>
      <c r="H1875">
        <v>249.8</v>
      </c>
      <c r="I1875" s="13">
        <v>4</v>
      </c>
      <c r="J1875">
        <v>0</v>
      </c>
      <c r="K1875">
        <v>0</v>
      </c>
      <c r="L1875">
        <v>0</v>
      </c>
      <c r="M1875">
        <v>0</v>
      </c>
      <c r="O1875">
        <f t="shared" si="29"/>
        <v>2</v>
      </c>
    </row>
    <row r="1876" spans="1:15">
      <c r="A1876">
        <v>2982</v>
      </c>
      <c r="B1876" s="1">
        <v>45700</v>
      </c>
      <c r="C1876">
        <v>29</v>
      </c>
      <c r="D1876" t="s">
        <v>14</v>
      </c>
      <c r="E1876" t="s">
        <v>15</v>
      </c>
      <c r="F1876" t="s">
        <v>16</v>
      </c>
      <c r="H1876">
        <v>247.8</v>
      </c>
      <c r="I1876" s="13">
        <v>6</v>
      </c>
      <c r="J1876">
        <v>0</v>
      </c>
      <c r="K1876">
        <v>0</v>
      </c>
      <c r="L1876">
        <v>0</v>
      </c>
      <c r="M1876">
        <v>0</v>
      </c>
      <c r="O1876">
        <f t="shared" si="29"/>
        <v>2</v>
      </c>
    </row>
    <row r="1877" spans="1:15">
      <c r="A1877">
        <v>1636</v>
      </c>
      <c r="B1877" s="1">
        <v>45700</v>
      </c>
      <c r="C1877">
        <v>26</v>
      </c>
      <c r="D1877" t="s">
        <v>17</v>
      </c>
      <c r="E1877" t="s">
        <v>24</v>
      </c>
      <c r="F1877" t="s">
        <v>16</v>
      </c>
      <c r="H1877">
        <v>223.4</v>
      </c>
      <c r="I1877" s="13">
        <v>3</v>
      </c>
      <c r="J1877">
        <v>0</v>
      </c>
      <c r="K1877">
        <v>0</v>
      </c>
      <c r="L1877">
        <v>0</v>
      </c>
      <c r="M1877">
        <v>0</v>
      </c>
      <c r="O1877">
        <f t="shared" si="29"/>
        <v>2</v>
      </c>
    </row>
    <row r="1878" spans="1:15">
      <c r="A1878">
        <v>3236</v>
      </c>
      <c r="B1878" s="1">
        <v>45700</v>
      </c>
      <c r="C1878">
        <v>27</v>
      </c>
      <c r="D1878" t="s">
        <v>17</v>
      </c>
      <c r="E1878" t="s">
        <v>20</v>
      </c>
      <c r="F1878" t="s">
        <v>16</v>
      </c>
      <c r="H1878">
        <v>208.1</v>
      </c>
      <c r="I1878" s="13">
        <v>11</v>
      </c>
      <c r="J1878">
        <v>0</v>
      </c>
      <c r="K1878">
        <v>0</v>
      </c>
      <c r="L1878">
        <v>0</v>
      </c>
      <c r="M1878">
        <v>0</v>
      </c>
      <c r="O1878">
        <f t="shared" si="29"/>
        <v>2</v>
      </c>
    </row>
    <row r="1879" spans="1:15">
      <c r="A1879">
        <v>1609</v>
      </c>
      <c r="B1879" s="1">
        <v>45700</v>
      </c>
      <c r="C1879">
        <v>20</v>
      </c>
      <c r="D1879" t="s">
        <v>14</v>
      </c>
      <c r="E1879" t="s">
        <v>22</v>
      </c>
      <c r="F1879" t="s">
        <v>18</v>
      </c>
      <c r="G1879" t="s">
        <v>30</v>
      </c>
      <c r="H1879">
        <v>207.6</v>
      </c>
      <c r="I1879" s="13">
        <v>7</v>
      </c>
      <c r="J1879">
        <v>0</v>
      </c>
      <c r="K1879">
        <v>0</v>
      </c>
      <c r="L1879">
        <v>0</v>
      </c>
      <c r="M1879">
        <v>0</v>
      </c>
      <c r="O1879">
        <f t="shared" si="29"/>
        <v>2</v>
      </c>
    </row>
    <row r="1880" spans="1:15">
      <c r="A1880">
        <v>4427</v>
      </c>
      <c r="B1880" s="1">
        <v>45700</v>
      </c>
      <c r="C1880">
        <v>66</v>
      </c>
      <c r="D1880" t="s">
        <v>14</v>
      </c>
      <c r="E1880" t="s">
        <v>15</v>
      </c>
      <c r="F1880" t="s">
        <v>21</v>
      </c>
      <c r="H1880">
        <v>167</v>
      </c>
      <c r="I1880" s="13">
        <v>6</v>
      </c>
      <c r="J1880">
        <v>0</v>
      </c>
      <c r="K1880">
        <v>0</v>
      </c>
      <c r="L1880">
        <v>0</v>
      </c>
      <c r="M1880">
        <v>0</v>
      </c>
      <c r="O1880">
        <f t="shared" si="29"/>
        <v>2</v>
      </c>
    </row>
    <row r="1881" spans="1:15">
      <c r="A1881">
        <v>3950</v>
      </c>
      <c r="B1881" s="1">
        <v>45700</v>
      </c>
      <c r="C1881">
        <v>61</v>
      </c>
      <c r="D1881" t="s">
        <v>17</v>
      </c>
      <c r="E1881" t="s">
        <v>24</v>
      </c>
      <c r="F1881" t="s">
        <v>16</v>
      </c>
      <c r="H1881">
        <v>127.8</v>
      </c>
      <c r="I1881" s="13">
        <v>8</v>
      </c>
      <c r="J1881">
        <v>0</v>
      </c>
      <c r="K1881">
        <v>0</v>
      </c>
      <c r="L1881">
        <v>0</v>
      </c>
      <c r="M1881">
        <v>0</v>
      </c>
      <c r="O1881">
        <f t="shared" si="29"/>
        <v>2</v>
      </c>
    </row>
    <row r="1882" spans="1:15">
      <c r="A1882">
        <v>1067</v>
      </c>
      <c r="B1882" s="1">
        <v>45700</v>
      </c>
      <c r="C1882">
        <v>21</v>
      </c>
      <c r="D1882" t="s">
        <v>17</v>
      </c>
      <c r="E1882" t="s">
        <v>22</v>
      </c>
      <c r="F1882" t="s">
        <v>21</v>
      </c>
      <c r="H1882">
        <v>89.5</v>
      </c>
      <c r="I1882" s="13">
        <v>6</v>
      </c>
      <c r="J1882">
        <v>0</v>
      </c>
      <c r="K1882">
        <v>0</v>
      </c>
      <c r="L1882">
        <v>0</v>
      </c>
      <c r="M1882">
        <v>0</v>
      </c>
      <c r="O1882">
        <f t="shared" si="29"/>
        <v>2</v>
      </c>
    </row>
    <row r="1883" spans="1:15">
      <c r="A1883">
        <v>888</v>
      </c>
      <c r="B1883" s="1">
        <v>45700</v>
      </c>
      <c r="C1883">
        <v>20</v>
      </c>
      <c r="D1883" t="s">
        <v>14</v>
      </c>
      <c r="E1883" t="s">
        <v>24</v>
      </c>
      <c r="F1883" t="s">
        <v>18</v>
      </c>
      <c r="G1883" t="s">
        <v>31</v>
      </c>
      <c r="H1883">
        <v>1</v>
      </c>
      <c r="I1883" s="13">
        <v>7</v>
      </c>
      <c r="J1883">
        <v>0</v>
      </c>
      <c r="K1883">
        <v>0</v>
      </c>
      <c r="L1883">
        <v>0</v>
      </c>
      <c r="M1883">
        <v>0</v>
      </c>
      <c r="O1883">
        <f t="shared" si="29"/>
        <v>2</v>
      </c>
    </row>
    <row r="1884" spans="1:15">
      <c r="A1884">
        <v>3259</v>
      </c>
      <c r="B1884" s="1">
        <v>45728</v>
      </c>
      <c r="C1884">
        <v>36</v>
      </c>
      <c r="D1884" t="s">
        <v>17</v>
      </c>
      <c r="E1884" t="s">
        <v>22</v>
      </c>
      <c r="F1884" t="s">
        <v>18</v>
      </c>
      <c r="G1884" t="s">
        <v>29</v>
      </c>
      <c r="H1884">
        <v>614.4</v>
      </c>
      <c r="I1884" s="13">
        <v>5</v>
      </c>
      <c r="J1884">
        <v>1</v>
      </c>
      <c r="K1884">
        <v>113.08</v>
      </c>
      <c r="L1884">
        <v>2</v>
      </c>
      <c r="M1884">
        <v>10</v>
      </c>
      <c r="N1884">
        <v>5</v>
      </c>
      <c r="O1884">
        <f t="shared" si="29"/>
        <v>3</v>
      </c>
    </row>
    <row r="1885" spans="1:15">
      <c r="A1885">
        <v>1461</v>
      </c>
      <c r="B1885" s="1">
        <v>45728</v>
      </c>
      <c r="C1885">
        <v>28</v>
      </c>
      <c r="D1885" t="s">
        <v>14</v>
      </c>
      <c r="E1885" t="s">
        <v>15</v>
      </c>
      <c r="F1885" t="s">
        <v>16</v>
      </c>
      <c r="H1885">
        <v>225.1</v>
      </c>
      <c r="I1885" s="13">
        <v>3</v>
      </c>
      <c r="J1885">
        <v>1</v>
      </c>
      <c r="K1885">
        <v>55.38</v>
      </c>
      <c r="L1885">
        <v>2</v>
      </c>
      <c r="M1885">
        <v>4</v>
      </c>
      <c r="N1885">
        <v>3</v>
      </c>
      <c r="O1885">
        <f t="shared" si="29"/>
        <v>3</v>
      </c>
    </row>
    <row r="1886" spans="1:15">
      <c r="A1886">
        <v>4587</v>
      </c>
      <c r="B1886" s="1">
        <v>45728</v>
      </c>
      <c r="C1886">
        <v>60</v>
      </c>
      <c r="D1886" t="s">
        <v>14</v>
      </c>
      <c r="E1886" t="s">
        <v>15</v>
      </c>
      <c r="F1886" t="s">
        <v>18</v>
      </c>
      <c r="G1886" t="s">
        <v>29</v>
      </c>
      <c r="H1886">
        <v>511</v>
      </c>
      <c r="I1886" s="13">
        <v>5</v>
      </c>
      <c r="J1886">
        <v>1</v>
      </c>
      <c r="K1886">
        <v>40.83</v>
      </c>
      <c r="L1886">
        <v>2</v>
      </c>
      <c r="M1886">
        <v>1</v>
      </c>
      <c r="N1886">
        <v>3</v>
      </c>
      <c r="O1886">
        <f t="shared" si="29"/>
        <v>3</v>
      </c>
    </row>
    <row r="1887" spans="1:15">
      <c r="A1887">
        <v>4280</v>
      </c>
      <c r="B1887" s="1">
        <v>45728</v>
      </c>
      <c r="C1887">
        <v>60</v>
      </c>
      <c r="D1887" t="s">
        <v>17</v>
      </c>
      <c r="E1887" t="s">
        <v>15</v>
      </c>
      <c r="F1887" t="s">
        <v>18</v>
      </c>
      <c r="G1887" t="s">
        <v>25</v>
      </c>
      <c r="H1887">
        <v>277.3</v>
      </c>
      <c r="I1887" s="13">
        <v>8</v>
      </c>
      <c r="J1887">
        <v>1</v>
      </c>
      <c r="K1887">
        <v>29.93</v>
      </c>
      <c r="L1887">
        <v>3</v>
      </c>
      <c r="M1887">
        <v>5</v>
      </c>
      <c r="N1887">
        <v>5</v>
      </c>
      <c r="O1887">
        <f t="shared" si="29"/>
        <v>3</v>
      </c>
    </row>
    <row r="1888" spans="1:15">
      <c r="A1888">
        <v>3235</v>
      </c>
      <c r="B1888" s="1">
        <v>45728</v>
      </c>
      <c r="C1888">
        <v>44</v>
      </c>
      <c r="D1888" t="s">
        <v>17</v>
      </c>
      <c r="E1888" t="s">
        <v>22</v>
      </c>
      <c r="F1888" t="s">
        <v>16</v>
      </c>
      <c r="H1888">
        <v>630.5</v>
      </c>
      <c r="I1888" s="13">
        <v>8</v>
      </c>
      <c r="J1888">
        <v>1</v>
      </c>
      <c r="K1888">
        <v>28.67</v>
      </c>
      <c r="L1888">
        <v>5</v>
      </c>
      <c r="M1888">
        <v>8</v>
      </c>
      <c r="N1888">
        <v>4</v>
      </c>
      <c r="O1888">
        <f t="shared" si="29"/>
        <v>3</v>
      </c>
    </row>
    <row r="1889" spans="1:15">
      <c r="A1889">
        <v>3293</v>
      </c>
      <c r="B1889" s="1">
        <v>45728</v>
      </c>
      <c r="C1889">
        <v>30</v>
      </c>
      <c r="D1889" t="s">
        <v>17</v>
      </c>
      <c r="E1889" t="s">
        <v>22</v>
      </c>
      <c r="F1889" t="s">
        <v>18</v>
      </c>
      <c r="G1889" t="s">
        <v>25</v>
      </c>
      <c r="H1889">
        <v>598.29999999999995</v>
      </c>
      <c r="I1889" s="13">
        <v>4</v>
      </c>
      <c r="J1889">
        <v>1</v>
      </c>
      <c r="K1889">
        <v>27.51</v>
      </c>
      <c r="L1889">
        <v>4</v>
      </c>
      <c r="M1889">
        <v>1</v>
      </c>
      <c r="N1889">
        <v>5</v>
      </c>
      <c r="O1889">
        <f t="shared" si="29"/>
        <v>3</v>
      </c>
    </row>
    <row r="1890" spans="1:15">
      <c r="A1890">
        <v>4749</v>
      </c>
      <c r="B1890" s="1">
        <v>45728</v>
      </c>
      <c r="C1890">
        <v>55</v>
      </c>
      <c r="D1890" t="s">
        <v>14</v>
      </c>
      <c r="E1890" t="s">
        <v>20</v>
      </c>
      <c r="F1890" t="s">
        <v>18</v>
      </c>
      <c r="G1890" t="s">
        <v>19</v>
      </c>
      <c r="H1890">
        <v>797.7</v>
      </c>
      <c r="I1890" s="13">
        <v>4</v>
      </c>
      <c r="J1890">
        <v>1</v>
      </c>
      <c r="K1890">
        <v>15.25</v>
      </c>
      <c r="L1890">
        <v>3</v>
      </c>
      <c r="M1890">
        <v>5</v>
      </c>
      <c r="N1890">
        <v>4</v>
      </c>
      <c r="O1890">
        <f t="shared" si="29"/>
        <v>3</v>
      </c>
    </row>
    <row r="1891" spans="1:15">
      <c r="A1891">
        <v>3944</v>
      </c>
      <c r="B1891" s="1">
        <v>45728</v>
      </c>
      <c r="C1891">
        <v>55</v>
      </c>
      <c r="D1891" t="s">
        <v>14</v>
      </c>
      <c r="E1891" t="s">
        <v>20</v>
      </c>
      <c r="F1891" t="s">
        <v>16</v>
      </c>
      <c r="H1891">
        <v>816.5</v>
      </c>
      <c r="I1891" s="13">
        <v>3</v>
      </c>
      <c r="J1891">
        <v>0</v>
      </c>
      <c r="K1891">
        <v>0</v>
      </c>
      <c r="L1891">
        <v>0</v>
      </c>
      <c r="M1891">
        <v>0</v>
      </c>
      <c r="O1891">
        <f t="shared" si="29"/>
        <v>3</v>
      </c>
    </row>
    <row r="1892" spans="1:15">
      <c r="A1892">
        <v>1582</v>
      </c>
      <c r="B1892" s="1">
        <v>45728</v>
      </c>
      <c r="C1892">
        <v>22</v>
      </c>
      <c r="D1892" t="s">
        <v>17</v>
      </c>
      <c r="E1892" t="s">
        <v>20</v>
      </c>
      <c r="F1892" t="s">
        <v>21</v>
      </c>
      <c r="H1892">
        <v>637.1</v>
      </c>
      <c r="I1892" s="13">
        <v>7</v>
      </c>
      <c r="J1892">
        <v>0</v>
      </c>
      <c r="K1892">
        <v>0</v>
      </c>
      <c r="L1892">
        <v>0</v>
      </c>
      <c r="M1892">
        <v>0</v>
      </c>
      <c r="O1892">
        <f t="shared" si="29"/>
        <v>3</v>
      </c>
    </row>
    <row r="1893" spans="1:15">
      <c r="A1893">
        <v>4686</v>
      </c>
      <c r="B1893" s="1">
        <v>45728</v>
      </c>
      <c r="C1893">
        <v>60</v>
      </c>
      <c r="D1893" t="s">
        <v>14</v>
      </c>
      <c r="E1893" t="s">
        <v>20</v>
      </c>
      <c r="F1893" t="s">
        <v>18</v>
      </c>
      <c r="G1893" t="s">
        <v>25</v>
      </c>
      <c r="H1893">
        <v>505.4</v>
      </c>
      <c r="I1893" s="13">
        <v>5</v>
      </c>
      <c r="J1893">
        <v>0</v>
      </c>
      <c r="K1893">
        <v>0</v>
      </c>
      <c r="L1893">
        <v>0</v>
      </c>
      <c r="M1893">
        <v>0</v>
      </c>
      <c r="O1893">
        <f t="shared" si="29"/>
        <v>3</v>
      </c>
    </row>
    <row r="1894" spans="1:15">
      <c r="A1894">
        <v>3200</v>
      </c>
      <c r="B1894" s="1">
        <v>45728</v>
      </c>
      <c r="C1894">
        <v>38</v>
      </c>
      <c r="D1894" t="s">
        <v>17</v>
      </c>
      <c r="E1894" t="s">
        <v>22</v>
      </c>
      <c r="F1894" t="s">
        <v>16</v>
      </c>
      <c r="H1894">
        <v>446.6</v>
      </c>
      <c r="I1894" s="13">
        <v>10</v>
      </c>
      <c r="J1894">
        <v>0</v>
      </c>
      <c r="K1894">
        <v>0</v>
      </c>
      <c r="L1894">
        <v>0</v>
      </c>
      <c r="M1894">
        <v>0</v>
      </c>
      <c r="O1894">
        <f t="shared" si="29"/>
        <v>3</v>
      </c>
    </row>
    <row r="1895" spans="1:15">
      <c r="A1895">
        <v>4426</v>
      </c>
      <c r="B1895" s="1">
        <v>45728</v>
      </c>
      <c r="C1895">
        <v>54</v>
      </c>
      <c r="D1895" t="s">
        <v>14</v>
      </c>
      <c r="E1895" t="s">
        <v>20</v>
      </c>
      <c r="F1895" t="s">
        <v>23</v>
      </c>
      <c r="H1895">
        <v>435.9</v>
      </c>
      <c r="I1895" s="13">
        <v>7</v>
      </c>
      <c r="J1895">
        <v>0</v>
      </c>
      <c r="K1895">
        <v>0</v>
      </c>
      <c r="L1895">
        <v>0</v>
      </c>
      <c r="M1895">
        <v>0</v>
      </c>
      <c r="O1895">
        <f t="shared" si="29"/>
        <v>3</v>
      </c>
    </row>
    <row r="1896" spans="1:15">
      <c r="A1896">
        <v>228</v>
      </c>
      <c r="B1896" s="1">
        <v>45728</v>
      </c>
      <c r="C1896">
        <v>21</v>
      </c>
      <c r="D1896" t="s">
        <v>17</v>
      </c>
      <c r="E1896" t="s">
        <v>20</v>
      </c>
      <c r="F1896" t="s">
        <v>18</v>
      </c>
      <c r="G1896" t="s">
        <v>26</v>
      </c>
      <c r="H1896">
        <v>431.8</v>
      </c>
      <c r="I1896" s="13">
        <v>4</v>
      </c>
      <c r="J1896">
        <v>0</v>
      </c>
      <c r="K1896">
        <v>0</v>
      </c>
      <c r="L1896">
        <v>0</v>
      </c>
      <c r="M1896">
        <v>0</v>
      </c>
      <c r="O1896">
        <f t="shared" si="29"/>
        <v>3</v>
      </c>
    </row>
    <row r="1897" spans="1:15">
      <c r="A1897">
        <v>407</v>
      </c>
      <c r="B1897" s="1">
        <v>45728</v>
      </c>
      <c r="C1897">
        <v>20</v>
      </c>
      <c r="D1897" t="s">
        <v>14</v>
      </c>
      <c r="E1897" t="s">
        <v>22</v>
      </c>
      <c r="F1897" t="s">
        <v>18</v>
      </c>
      <c r="G1897" t="s">
        <v>19</v>
      </c>
      <c r="H1897">
        <v>421.2</v>
      </c>
      <c r="I1897" s="13">
        <v>6</v>
      </c>
      <c r="J1897">
        <v>0</v>
      </c>
      <c r="K1897">
        <v>0</v>
      </c>
      <c r="L1897">
        <v>0</v>
      </c>
      <c r="M1897">
        <v>0</v>
      </c>
      <c r="O1897">
        <f t="shared" si="29"/>
        <v>3</v>
      </c>
    </row>
    <row r="1898" spans="1:15">
      <c r="A1898">
        <v>964</v>
      </c>
      <c r="B1898" s="1">
        <v>45728</v>
      </c>
      <c r="C1898">
        <v>30</v>
      </c>
      <c r="D1898" t="s">
        <v>17</v>
      </c>
      <c r="E1898" t="s">
        <v>22</v>
      </c>
      <c r="F1898" t="s">
        <v>23</v>
      </c>
      <c r="H1898">
        <v>390</v>
      </c>
      <c r="I1898" s="13">
        <v>4</v>
      </c>
      <c r="J1898">
        <v>0</v>
      </c>
      <c r="K1898">
        <v>0</v>
      </c>
      <c r="L1898">
        <v>0</v>
      </c>
      <c r="M1898">
        <v>0</v>
      </c>
      <c r="O1898">
        <f t="shared" si="29"/>
        <v>3</v>
      </c>
    </row>
    <row r="1899" spans="1:15">
      <c r="A1899">
        <v>4846</v>
      </c>
      <c r="B1899" s="1">
        <v>45728</v>
      </c>
      <c r="C1899">
        <v>47</v>
      </c>
      <c r="D1899" t="s">
        <v>27</v>
      </c>
      <c r="E1899" t="s">
        <v>20</v>
      </c>
      <c r="F1899" t="s">
        <v>16</v>
      </c>
      <c r="H1899">
        <v>321</v>
      </c>
      <c r="I1899" s="13">
        <v>3</v>
      </c>
      <c r="J1899">
        <v>0</v>
      </c>
      <c r="K1899">
        <v>0</v>
      </c>
      <c r="L1899">
        <v>0</v>
      </c>
      <c r="M1899">
        <v>0</v>
      </c>
      <c r="O1899">
        <f t="shared" si="29"/>
        <v>3</v>
      </c>
    </row>
    <row r="1900" spans="1:15">
      <c r="A1900">
        <v>1382</v>
      </c>
      <c r="B1900" s="1">
        <v>45728</v>
      </c>
      <c r="C1900">
        <v>26</v>
      </c>
      <c r="D1900" t="s">
        <v>17</v>
      </c>
      <c r="E1900" t="s">
        <v>22</v>
      </c>
      <c r="F1900" t="s">
        <v>21</v>
      </c>
      <c r="H1900">
        <v>314.3</v>
      </c>
      <c r="I1900" s="13">
        <v>8</v>
      </c>
      <c r="J1900">
        <v>0</v>
      </c>
      <c r="K1900">
        <v>0</v>
      </c>
      <c r="L1900">
        <v>0</v>
      </c>
      <c r="M1900">
        <v>0</v>
      </c>
      <c r="O1900">
        <f t="shared" si="29"/>
        <v>3</v>
      </c>
    </row>
    <row r="1901" spans="1:15">
      <c r="A1901">
        <v>3436</v>
      </c>
      <c r="B1901" s="1">
        <v>45728</v>
      </c>
      <c r="C1901">
        <v>40</v>
      </c>
      <c r="D1901" t="s">
        <v>17</v>
      </c>
      <c r="E1901" t="s">
        <v>22</v>
      </c>
      <c r="F1901" t="s">
        <v>16</v>
      </c>
      <c r="H1901">
        <v>270.7</v>
      </c>
      <c r="I1901" s="13">
        <v>8</v>
      </c>
      <c r="J1901">
        <v>0</v>
      </c>
      <c r="K1901">
        <v>0</v>
      </c>
      <c r="L1901">
        <v>0</v>
      </c>
      <c r="M1901">
        <v>0</v>
      </c>
      <c r="O1901">
        <f t="shared" si="29"/>
        <v>3</v>
      </c>
    </row>
    <row r="1902" spans="1:15">
      <c r="A1902">
        <v>567</v>
      </c>
      <c r="B1902" s="1">
        <v>45728</v>
      </c>
      <c r="C1902">
        <v>28</v>
      </c>
      <c r="D1902" t="s">
        <v>17</v>
      </c>
      <c r="E1902" t="s">
        <v>15</v>
      </c>
      <c r="F1902" t="s">
        <v>23</v>
      </c>
      <c r="H1902">
        <v>269.10000000000002</v>
      </c>
      <c r="I1902" s="13">
        <v>5</v>
      </c>
      <c r="J1902">
        <v>0</v>
      </c>
      <c r="K1902">
        <v>0</v>
      </c>
      <c r="L1902">
        <v>0</v>
      </c>
      <c r="M1902">
        <v>0</v>
      </c>
      <c r="O1902">
        <f t="shared" si="29"/>
        <v>3</v>
      </c>
    </row>
    <row r="1903" spans="1:15">
      <c r="A1903">
        <v>1267</v>
      </c>
      <c r="B1903" s="1">
        <v>45728</v>
      </c>
      <c r="C1903">
        <v>20</v>
      </c>
      <c r="D1903" t="s">
        <v>17</v>
      </c>
      <c r="E1903" t="s">
        <v>15</v>
      </c>
      <c r="F1903" t="s">
        <v>16</v>
      </c>
      <c r="H1903">
        <v>239</v>
      </c>
      <c r="I1903" s="13">
        <v>3</v>
      </c>
      <c r="J1903">
        <v>0</v>
      </c>
      <c r="K1903">
        <v>0</v>
      </c>
      <c r="L1903">
        <v>0</v>
      </c>
      <c r="M1903">
        <v>0</v>
      </c>
      <c r="O1903">
        <f t="shared" si="29"/>
        <v>3</v>
      </c>
    </row>
    <row r="1904" spans="1:15">
      <c r="A1904">
        <v>2436</v>
      </c>
      <c r="B1904" s="1">
        <v>45728</v>
      </c>
      <c r="C1904">
        <v>36</v>
      </c>
      <c r="D1904" t="s">
        <v>17</v>
      </c>
      <c r="E1904" t="s">
        <v>15</v>
      </c>
      <c r="F1904" t="s">
        <v>16</v>
      </c>
      <c r="H1904">
        <v>191</v>
      </c>
      <c r="I1904" s="13">
        <v>3</v>
      </c>
      <c r="J1904">
        <v>0</v>
      </c>
      <c r="K1904">
        <v>0</v>
      </c>
      <c r="L1904">
        <v>0</v>
      </c>
      <c r="M1904">
        <v>0</v>
      </c>
      <c r="O1904">
        <f t="shared" si="29"/>
        <v>3</v>
      </c>
    </row>
    <row r="1905" spans="1:15">
      <c r="A1905">
        <v>3680</v>
      </c>
      <c r="B1905" s="1">
        <v>45728</v>
      </c>
      <c r="C1905">
        <v>31</v>
      </c>
      <c r="D1905" t="s">
        <v>17</v>
      </c>
      <c r="E1905" t="s">
        <v>20</v>
      </c>
      <c r="F1905" t="s">
        <v>16</v>
      </c>
      <c r="H1905">
        <v>175</v>
      </c>
      <c r="I1905" s="13">
        <v>7</v>
      </c>
      <c r="J1905">
        <v>0</v>
      </c>
      <c r="K1905">
        <v>0</v>
      </c>
      <c r="L1905">
        <v>0</v>
      </c>
      <c r="M1905">
        <v>0</v>
      </c>
      <c r="O1905">
        <f t="shared" si="29"/>
        <v>3</v>
      </c>
    </row>
    <row r="1906" spans="1:15">
      <c r="A1906">
        <v>4012</v>
      </c>
      <c r="B1906" s="1">
        <v>45728</v>
      </c>
      <c r="C1906">
        <v>36</v>
      </c>
      <c r="D1906" t="s">
        <v>17</v>
      </c>
      <c r="E1906" t="s">
        <v>15</v>
      </c>
      <c r="F1906" t="s">
        <v>21</v>
      </c>
      <c r="H1906">
        <v>158.4</v>
      </c>
      <c r="I1906" s="13">
        <v>7</v>
      </c>
      <c r="J1906">
        <v>0</v>
      </c>
      <c r="K1906">
        <v>0</v>
      </c>
      <c r="L1906">
        <v>0</v>
      </c>
      <c r="M1906">
        <v>0</v>
      </c>
      <c r="O1906">
        <f t="shared" si="29"/>
        <v>3</v>
      </c>
    </row>
    <row r="1907" spans="1:15">
      <c r="A1907">
        <v>4824</v>
      </c>
      <c r="B1907" s="1">
        <v>45728</v>
      </c>
      <c r="C1907">
        <v>45</v>
      </c>
      <c r="D1907" t="s">
        <v>14</v>
      </c>
      <c r="E1907" t="s">
        <v>22</v>
      </c>
      <c r="F1907" t="s">
        <v>16</v>
      </c>
      <c r="H1907">
        <v>150.1</v>
      </c>
      <c r="I1907" s="13">
        <v>5</v>
      </c>
      <c r="J1907">
        <v>0</v>
      </c>
      <c r="K1907">
        <v>0</v>
      </c>
      <c r="L1907">
        <v>0</v>
      </c>
      <c r="M1907">
        <v>0</v>
      </c>
      <c r="O1907">
        <f t="shared" si="29"/>
        <v>3</v>
      </c>
    </row>
    <row r="1908" spans="1:15">
      <c r="A1908">
        <v>2930</v>
      </c>
      <c r="B1908" s="1">
        <v>45728</v>
      </c>
      <c r="C1908">
        <v>40</v>
      </c>
      <c r="D1908" t="s">
        <v>17</v>
      </c>
      <c r="E1908" t="s">
        <v>15</v>
      </c>
      <c r="F1908" t="s">
        <v>21</v>
      </c>
      <c r="H1908">
        <v>122.6</v>
      </c>
      <c r="I1908" s="13">
        <v>8</v>
      </c>
      <c r="J1908">
        <v>0</v>
      </c>
      <c r="K1908">
        <v>0</v>
      </c>
      <c r="L1908">
        <v>0</v>
      </c>
      <c r="M1908">
        <v>0</v>
      </c>
      <c r="O1908">
        <f t="shared" si="29"/>
        <v>3</v>
      </c>
    </row>
    <row r="1909" spans="1:15">
      <c r="A1909">
        <v>737</v>
      </c>
      <c r="B1909" s="1">
        <v>45728</v>
      </c>
      <c r="C1909">
        <v>29</v>
      </c>
      <c r="D1909" t="s">
        <v>14</v>
      </c>
      <c r="E1909" t="s">
        <v>22</v>
      </c>
      <c r="F1909" t="s">
        <v>16</v>
      </c>
      <c r="H1909">
        <v>105.5</v>
      </c>
      <c r="I1909" s="13">
        <v>7</v>
      </c>
      <c r="J1909">
        <v>0</v>
      </c>
      <c r="K1909">
        <v>0</v>
      </c>
      <c r="L1909">
        <v>0</v>
      </c>
      <c r="M1909">
        <v>0</v>
      </c>
      <c r="O1909">
        <f t="shared" si="29"/>
        <v>3</v>
      </c>
    </row>
    <row r="1910" spans="1:15">
      <c r="A1910">
        <v>2841</v>
      </c>
      <c r="B1910" s="1">
        <v>45728</v>
      </c>
      <c r="C1910">
        <v>35</v>
      </c>
      <c r="D1910" t="s">
        <v>17</v>
      </c>
      <c r="E1910" t="s">
        <v>22</v>
      </c>
      <c r="F1910" t="s">
        <v>23</v>
      </c>
      <c r="H1910">
        <v>102.6</v>
      </c>
      <c r="I1910" s="13">
        <v>5</v>
      </c>
      <c r="J1910">
        <v>0</v>
      </c>
      <c r="K1910">
        <v>0</v>
      </c>
      <c r="L1910">
        <v>0</v>
      </c>
      <c r="M1910">
        <v>0</v>
      </c>
      <c r="O1910">
        <f t="shared" si="29"/>
        <v>3</v>
      </c>
    </row>
    <row r="1911" spans="1:15">
      <c r="A1911">
        <v>3962</v>
      </c>
      <c r="B1911" s="1">
        <v>45728</v>
      </c>
      <c r="C1911">
        <v>38</v>
      </c>
      <c r="D1911" t="s">
        <v>14</v>
      </c>
      <c r="E1911" t="s">
        <v>20</v>
      </c>
      <c r="F1911" t="s">
        <v>16</v>
      </c>
      <c r="H1911">
        <v>94.3</v>
      </c>
      <c r="I1911" s="13">
        <v>4</v>
      </c>
      <c r="J1911">
        <v>0</v>
      </c>
      <c r="K1911">
        <v>0</v>
      </c>
      <c r="L1911">
        <v>0</v>
      </c>
      <c r="M1911">
        <v>0</v>
      </c>
      <c r="O1911">
        <f t="shared" si="29"/>
        <v>3</v>
      </c>
    </row>
    <row r="1912" spans="1:15">
      <c r="A1912">
        <v>1919</v>
      </c>
      <c r="B1912" s="1">
        <v>45728</v>
      </c>
      <c r="C1912">
        <v>45</v>
      </c>
      <c r="D1912" t="s">
        <v>14</v>
      </c>
      <c r="E1912" t="s">
        <v>22</v>
      </c>
      <c r="F1912" t="s">
        <v>18</v>
      </c>
      <c r="G1912" t="s">
        <v>26</v>
      </c>
      <c r="H1912">
        <v>74.400000000000006</v>
      </c>
      <c r="I1912" s="13">
        <v>6</v>
      </c>
      <c r="J1912">
        <v>0</v>
      </c>
      <c r="K1912">
        <v>0</v>
      </c>
      <c r="L1912">
        <v>0</v>
      </c>
      <c r="M1912">
        <v>0</v>
      </c>
      <c r="O1912">
        <f t="shared" si="29"/>
        <v>3</v>
      </c>
    </row>
    <row r="1913" spans="1:15">
      <c r="A1913">
        <v>4160</v>
      </c>
      <c r="B1913" s="1">
        <v>45759</v>
      </c>
      <c r="C1913">
        <v>43</v>
      </c>
      <c r="D1913" t="s">
        <v>14</v>
      </c>
      <c r="E1913" t="s">
        <v>20</v>
      </c>
      <c r="F1913" t="s">
        <v>16</v>
      </c>
      <c r="H1913">
        <v>869.4</v>
      </c>
      <c r="I1913" s="13">
        <v>8</v>
      </c>
      <c r="J1913">
        <v>1</v>
      </c>
      <c r="K1913">
        <v>158.46</v>
      </c>
      <c r="L1913">
        <v>2</v>
      </c>
      <c r="M1913">
        <v>4</v>
      </c>
      <c r="N1913">
        <v>4</v>
      </c>
      <c r="O1913">
        <f t="shared" si="29"/>
        <v>4</v>
      </c>
    </row>
    <row r="1914" spans="1:15">
      <c r="A1914">
        <v>3686</v>
      </c>
      <c r="B1914" s="1">
        <v>45759</v>
      </c>
      <c r="C1914">
        <v>39</v>
      </c>
      <c r="D1914" t="s">
        <v>17</v>
      </c>
      <c r="E1914" t="s">
        <v>20</v>
      </c>
      <c r="F1914" t="s">
        <v>16</v>
      </c>
      <c r="H1914">
        <v>535.20000000000005</v>
      </c>
      <c r="I1914" s="13">
        <v>7</v>
      </c>
      <c r="J1914">
        <v>1</v>
      </c>
      <c r="K1914">
        <v>114.44</v>
      </c>
      <c r="L1914">
        <v>3</v>
      </c>
      <c r="M1914">
        <v>8</v>
      </c>
      <c r="N1914">
        <v>4</v>
      </c>
      <c r="O1914">
        <f t="shared" si="29"/>
        <v>4</v>
      </c>
    </row>
    <row r="1915" spans="1:15">
      <c r="A1915">
        <v>2032</v>
      </c>
      <c r="B1915" s="1">
        <v>45759</v>
      </c>
      <c r="C1915">
        <v>18</v>
      </c>
      <c r="D1915" t="s">
        <v>17</v>
      </c>
      <c r="E1915" t="s">
        <v>24</v>
      </c>
      <c r="F1915" t="s">
        <v>16</v>
      </c>
      <c r="H1915">
        <v>349.3</v>
      </c>
      <c r="I1915" s="13">
        <v>5</v>
      </c>
      <c r="J1915">
        <v>1</v>
      </c>
      <c r="K1915">
        <v>108.43</v>
      </c>
      <c r="L1915">
        <v>2</v>
      </c>
      <c r="M1915">
        <v>2</v>
      </c>
      <c r="N1915">
        <v>4</v>
      </c>
      <c r="O1915">
        <f t="shared" si="29"/>
        <v>4</v>
      </c>
    </row>
    <row r="1916" spans="1:15">
      <c r="A1916">
        <v>4293</v>
      </c>
      <c r="B1916" s="1">
        <v>45759</v>
      </c>
      <c r="C1916">
        <v>61</v>
      </c>
      <c r="D1916" t="s">
        <v>17</v>
      </c>
      <c r="E1916" t="s">
        <v>15</v>
      </c>
      <c r="F1916" t="s">
        <v>16</v>
      </c>
      <c r="H1916">
        <v>699.7</v>
      </c>
      <c r="I1916" s="13">
        <v>6</v>
      </c>
      <c r="J1916">
        <v>1</v>
      </c>
      <c r="K1916">
        <v>104.61</v>
      </c>
      <c r="L1916">
        <v>4</v>
      </c>
      <c r="M1916">
        <v>8</v>
      </c>
      <c r="N1916">
        <v>4</v>
      </c>
      <c r="O1916">
        <f t="shared" si="29"/>
        <v>4</v>
      </c>
    </row>
    <row r="1917" spans="1:15">
      <c r="A1917">
        <v>3848</v>
      </c>
      <c r="B1917" s="1">
        <v>45759</v>
      </c>
      <c r="C1917">
        <v>61</v>
      </c>
      <c r="D1917" t="s">
        <v>17</v>
      </c>
      <c r="E1917" t="s">
        <v>24</v>
      </c>
      <c r="F1917" t="s">
        <v>16</v>
      </c>
      <c r="H1917">
        <v>339.7</v>
      </c>
      <c r="I1917" s="13">
        <v>10</v>
      </c>
      <c r="J1917">
        <v>1</v>
      </c>
      <c r="K1917">
        <v>30.74</v>
      </c>
      <c r="L1917">
        <v>3</v>
      </c>
      <c r="M1917">
        <v>11</v>
      </c>
      <c r="N1917">
        <v>4</v>
      </c>
      <c r="O1917">
        <f t="shared" si="29"/>
        <v>4</v>
      </c>
    </row>
    <row r="1918" spans="1:15">
      <c r="A1918">
        <v>3778</v>
      </c>
      <c r="B1918" s="1">
        <v>45759</v>
      </c>
      <c r="C1918">
        <v>38</v>
      </c>
      <c r="D1918" t="s">
        <v>14</v>
      </c>
      <c r="E1918" t="s">
        <v>20</v>
      </c>
      <c r="F1918" t="s">
        <v>23</v>
      </c>
      <c r="H1918">
        <v>160.1</v>
      </c>
      <c r="I1918" s="13">
        <v>8</v>
      </c>
      <c r="J1918">
        <v>1</v>
      </c>
      <c r="K1918">
        <v>22.69</v>
      </c>
      <c r="L1918">
        <v>7</v>
      </c>
      <c r="M1918">
        <v>10</v>
      </c>
      <c r="N1918">
        <v>4</v>
      </c>
      <c r="O1918">
        <f t="shared" si="29"/>
        <v>4</v>
      </c>
    </row>
    <row r="1919" spans="1:15">
      <c r="A1919">
        <v>94</v>
      </c>
      <c r="B1919" s="1">
        <v>45759</v>
      </c>
      <c r="C1919">
        <v>30</v>
      </c>
      <c r="D1919" t="s">
        <v>14</v>
      </c>
      <c r="E1919" t="s">
        <v>15</v>
      </c>
      <c r="F1919" t="s">
        <v>16</v>
      </c>
      <c r="H1919">
        <v>485.1</v>
      </c>
      <c r="I1919" s="13">
        <v>2</v>
      </c>
      <c r="J1919">
        <v>1</v>
      </c>
      <c r="K1919">
        <v>21.37</v>
      </c>
      <c r="L1919">
        <v>3</v>
      </c>
      <c r="M1919">
        <v>7</v>
      </c>
      <c r="N1919">
        <v>5</v>
      </c>
      <c r="O1919">
        <f t="shared" si="29"/>
        <v>4</v>
      </c>
    </row>
    <row r="1920" spans="1:15">
      <c r="A1920">
        <v>1623</v>
      </c>
      <c r="B1920" s="1">
        <v>45759</v>
      </c>
      <c r="C1920">
        <v>25</v>
      </c>
      <c r="D1920" t="s">
        <v>14</v>
      </c>
      <c r="E1920" t="s">
        <v>15</v>
      </c>
      <c r="F1920" t="s">
        <v>16</v>
      </c>
      <c r="H1920">
        <v>338.4</v>
      </c>
      <c r="I1920" s="13">
        <v>3</v>
      </c>
      <c r="J1920">
        <v>1</v>
      </c>
      <c r="K1920">
        <v>17.93</v>
      </c>
      <c r="L1920">
        <v>2</v>
      </c>
      <c r="M1920">
        <v>8</v>
      </c>
      <c r="N1920">
        <v>4</v>
      </c>
      <c r="O1920">
        <f t="shared" si="29"/>
        <v>4</v>
      </c>
    </row>
    <row r="1921" spans="1:15">
      <c r="A1921">
        <v>1144</v>
      </c>
      <c r="B1921" s="1">
        <v>45759</v>
      </c>
      <c r="C1921">
        <v>37</v>
      </c>
      <c r="D1921" t="s">
        <v>14</v>
      </c>
      <c r="E1921" t="s">
        <v>22</v>
      </c>
      <c r="F1921" t="s">
        <v>16</v>
      </c>
      <c r="H1921">
        <v>531.6</v>
      </c>
      <c r="I1921" s="13">
        <v>4</v>
      </c>
      <c r="J1921">
        <v>1</v>
      </c>
      <c r="K1921">
        <v>13.18</v>
      </c>
      <c r="L1921">
        <v>3</v>
      </c>
      <c r="M1921">
        <v>7</v>
      </c>
      <c r="N1921">
        <v>4</v>
      </c>
      <c r="O1921">
        <f t="shared" si="29"/>
        <v>4</v>
      </c>
    </row>
    <row r="1922" spans="1:15">
      <c r="A1922">
        <v>3550</v>
      </c>
      <c r="B1922" s="1">
        <v>45759</v>
      </c>
      <c r="C1922">
        <v>29</v>
      </c>
      <c r="D1922" t="s">
        <v>14</v>
      </c>
      <c r="E1922" t="s">
        <v>20</v>
      </c>
      <c r="F1922" t="s">
        <v>23</v>
      </c>
      <c r="H1922">
        <v>865</v>
      </c>
      <c r="I1922" s="13">
        <v>5</v>
      </c>
      <c r="J1922">
        <v>0</v>
      </c>
      <c r="K1922">
        <v>0</v>
      </c>
      <c r="L1922">
        <v>0</v>
      </c>
      <c r="M1922">
        <v>0</v>
      </c>
      <c r="O1922">
        <f t="shared" si="29"/>
        <v>4</v>
      </c>
    </row>
    <row r="1923" spans="1:15">
      <c r="A1923">
        <v>3427</v>
      </c>
      <c r="B1923" s="1">
        <v>45759</v>
      </c>
      <c r="C1923">
        <v>25</v>
      </c>
      <c r="D1923" t="s">
        <v>14</v>
      </c>
      <c r="E1923" t="s">
        <v>24</v>
      </c>
      <c r="F1923" t="s">
        <v>18</v>
      </c>
      <c r="G1923" t="s">
        <v>30</v>
      </c>
      <c r="H1923">
        <v>548.4</v>
      </c>
      <c r="I1923" s="13">
        <v>5</v>
      </c>
      <c r="J1923">
        <v>0</v>
      </c>
      <c r="K1923">
        <v>0</v>
      </c>
      <c r="L1923">
        <v>0</v>
      </c>
      <c r="M1923">
        <v>0</v>
      </c>
      <c r="O1923">
        <f t="shared" ref="O1923:O1986" si="30">MONTH(B1923)</f>
        <v>4</v>
      </c>
    </row>
    <row r="1924" spans="1:15">
      <c r="A1924">
        <v>2042</v>
      </c>
      <c r="B1924" s="1">
        <v>45759</v>
      </c>
      <c r="C1924">
        <v>38</v>
      </c>
      <c r="D1924" t="s">
        <v>14</v>
      </c>
      <c r="E1924" t="s">
        <v>20</v>
      </c>
      <c r="F1924" t="s">
        <v>21</v>
      </c>
      <c r="H1924">
        <v>411.6</v>
      </c>
      <c r="I1924" s="13">
        <v>7</v>
      </c>
      <c r="J1924">
        <v>0</v>
      </c>
      <c r="K1924">
        <v>0</v>
      </c>
      <c r="L1924">
        <v>0</v>
      </c>
      <c r="M1924">
        <v>0</v>
      </c>
      <c r="O1924">
        <f t="shared" si="30"/>
        <v>4</v>
      </c>
    </row>
    <row r="1925" spans="1:15">
      <c r="A1925">
        <v>4048</v>
      </c>
      <c r="B1925" s="1">
        <v>45759</v>
      </c>
      <c r="C1925">
        <v>56</v>
      </c>
      <c r="D1925" t="s">
        <v>14</v>
      </c>
      <c r="E1925" t="s">
        <v>15</v>
      </c>
      <c r="F1925" t="s">
        <v>23</v>
      </c>
      <c r="H1925">
        <v>345.2</v>
      </c>
      <c r="I1925" s="13">
        <v>4</v>
      </c>
      <c r="J1925">
        <v>0</v>
      </c>
      <c r="K1925">
        <v>0</v>
      </c>
      <c r="L1925">
        <v>0</v>
      </c>
      <c r="M1925">
        <v>0</v>
      </c>
      <c r="O1925">
        <f t="shared" si="30"/>
        <v>4</v>
      </c>
    </row>
    <row r="1926" spans="1:15">
      <c r="A1926">
        <v>1932</v>
      </c>
      <c r="B1926" s="1">
        <v>45759</v>
      </c>
      <c r="C1926">
        <v>28</v>
      </c>
      <c r="D1926" t="s">
        <v>14</v>
      </c>
      <c r="E1926" t="s">
        <v>15</v>
      </c>
      <c r="F1926" t="s">
        <v>16</v>
      </c>
      <c r="H1926">
        <v>336.6</v>
      </c>
      <c r="I1926" s="13">
        <v>10</v>
      </c>
      <c r="J1926">
        <v>0</v>
      </c>
      <c r="K1926">
        <v>0</v>
      </c>
      <c r="L1926">
        <v>0</v>
      </c>
      <c r="M1926">
        <v>0</v>
      </c>
      <c r="O1926">
        <f t="shared" si="30"/>
        <v>4</v>
      </c>
    </row>
    <row r="1927" spans="1:15">
      <c r="A1927">
        <v>2968</v>
      </c>
      <c r="B1927" s="1">
        <v>45759</v>
      </c>
      <c r="C1927">
        <v>28</v>
      </c>
      <c r="D1927" t="s">
        <v>14</v>
      </c>
      <c r="E1927" t="s">
        <v>22</v>
      </c>
      <c r="F1927" t="s">
        <v>16</v>
      </c>
      <c r="H1927">
        <v>334.1</v>
      </c>
      <c r="I1927" s="13">
        <v>6</v>
      </c>
      <c r="J1927">
        <v>0</v>
      </c>
      <c r="K1927">
        <v>0</v>
      </c>
      <c r="L1927">
        <v>0</v>
      </c>
      <c r="M1927">
        <v>0</v>
      </c>
      <c r="O1927">
        <f t="shared" si="30"/>
        <v>4</v>
      </c>
    </row>
    <row r="1928" spans="1:15">
      <c r="A1928">
        <v>4490</v>
      </c>
      <c r="B1928" s="1">
        <v>45759</v>
      </c>
      <c r="C1928">
        <v>49</v>
      </c>
      <c r="D1928" t="s">
        <v>14</v>
      </c>
      <c r="E1928" t="s">
        <v>22</v>
      </c>
      <c r="F1928" t="s">
        <v>23</v>
      </c>
      <c r="H1928">
        <v>315</v>
      </c>
      <c r="I1928" s="13">
        <v>8</v>
      </c>
      <c r="J1928">
        <v>0</v>
      </c>
      <c r="K1928">
        <v>0</v>
      </c>
      <c r="L1928">
        <v>0</v>
      </c>
      <c r="M1928">
        <v>0</v>
      </c>
      <c r="O1928">
        <f t="shared" si="30"/>
        <v>4</v>
      </c>
    </row>
    <row r="1929" spans="1:15">
      <c r="A1929">
        <v>2815</v>
      </c>
      <c r="B1929" s="1">
        <v>45759</v>
      </c>
      <c r="C1929">
        <v>38</v>
      </c>
      <c r="D1929" t="s">
        <v>14</v>
      </c>
      <c r="E1929" t="s">
        <v>15</v>
      </c>
      <c r="F1929" t="s">
        <v>18</v>
      </c>
      <c r="G1929" t="s">
        <v>26</v>
      </c>
      <c r="H1929">
        <v>287.5</v>
      </c>
      <c r="I1929" s="13">
        <v>5</v>
      </c>
      <c r="J1929">
        <v>0</v>
      </c>
      <c r="K1929">
        <v>0</v>
      </c>
      <c r="L1929">
        <v>0</v>
      </c>
      <c r="M1929">
        <v>0</v>
      </c>
      <c r="O1929">
        <f t="shared" si="30"/>
        <v>4</v>
      </c>
    </row>
    <row r="1930" spans="1:15">
      <c r="A1930">
        <v>4384</v>
      </c>
      <c r="B1930" s="1">
        <v>45759</v>
      </c>
      <c r="C1930">
        <v>67</v>
      </c>
      <c r="D1930" t="s">
        <v>14</v>
      </c>
      <c r="E1930" t="s">
        <v>24</v>
      </c>
      <c r="F1930" t="s">
        <v>18</v>
      </c>
      <c r="G1930" t="s">
        <v>25</v>
      </c>
      <c r="H1930">
        <v>219.4</v>
      </c>
      <c r="I1930" s="13">
        <v>6</v>
      </c>
      <c r="J1930">
        <v>0</v>
      </c>
      <c r="K1930">
        <v>0</v>
      </c>
      <c r="L1930">
        <v>0</v>
      </c>
      <c r="M1930">
        <v>0</v>
      </c>
      <c r="O1930">
        <f t="shared" si="30"/>
        <v>4</v>
      </c>
    </row>
    <row r="1931" spans="1:15">
      <c r="A1931">
        <v>859</v>
      </c>
      <c r="B1931" s="1">
        <v>45759</v>
      </c>
      <c r="C1931">
        <v>28</v>
      </c>
      <c r="D1931" t="s">
        <v>14</v>
      </c>
      <c r="E1931" t="s">
        <v>24</v>
      </c>
      <c r="F1931" t="s">
        <v>21</v>
      </c>
      <c r="H1931">
        <v>213.7</v>
      </c>
      <c r="I1931" s="13">
        <v>3</v>
      </c>
      <c r="J1931">
        <v>0</v>
      </c>
      <c r="K1931">
        <v>0</v>
      </c>
      <c r="L1931">
        <v>0</v>
      </c>
      <c r="M1931">
        <v>0</v>
      </c>
      <c r="O1931">
        <f t="shared" si="30"/>
        <v>4</v>
      </c>
    </row>
    <row r="1932" spans="1:15">
      <c r="A1932">
        <v>4111</v>
      </c>
      <c r="B1932" s="1">
        <v>45759</v>
      </c>
      <c r="C1932">
        <v>46</v>
      </c>
      <c r="D1932" t="s">
        <v>17</v>
      </c>
      <c r="E1932" t="s">
        <v>15</v>
      </c>
      <c r="F1932" t="s">
        <v>18</v>
      </c>
      <c r="G1932" t="s">
        <v>29</v>
      </c>
      <c r="H1932">
        <v>162.5</v>
      </c>
      <c r="I1932" s="13">
        <v>9</v>
      </c>
      <c r="J1932">
        <v>0</v>
      </c>
      <c r="K1932">
        <v>0</v>
      </c>
      <c r="L1932">
        <v>0</v>
      </c>
      <c r="M1932">
        <v>0</v>
      </c>
      <c r="O1932">
        <f t="shared" si="30"/>
        <v>4</v>
      </c>
    </row>
    <row r="1933" spans="1:15">
      <c r="A1933">
        <v>1880</v>
      </c>
      <c r="B1933" s="1">
        <v>45759</v>
      </c>
      <c r="C1933">
        <v>37</v>
      </c>
      <c r="D1933" t="s">
        <v>17</v>
      </c>
      <c r="E1933" t="s">
        <v>22</v>
      </c>
      <c r="F1933" t="s">
        <v>18</v>
      </c>
      <c r="G1933" t="s">
        <v>19</v>
      </c>
      <c r="H1933">
        <v>137.1</v>
      </c>
      <c r="I1933" s="13">
        <v>9</v>
      </c>
      <c r="J1933">
        <v>0</v>
      </c>
      <c r="K1933">
        <v>0</v>
      </c>
      <c r="L1933">
        <v>0</v>
      </c>
      <c r="M1933">
        <v>0</v>
      </c>
      <c r="O1933">
        <f t="shared" si="30"/>
        <v>4</v>
      </c>
    </row>
    <row r="1934" spans="1:15">
      <c r="A1934">
        <v>798</v>
      </c>
      <c r="B1934" s="1">
        <v>45759</v>
      </c>
      <c r="C1934">
        <v>29</v>
      </c>
      <c r="D1934" t="s">
        <v>17</v>
      </c>
      <c r="E1934" t="s">
        <v>15</v>
      </c>
      <c r="F1934" t="s">
        <v>23</v>
      </c>
      <c r="H1934">
        <v>126.6</v>
      </c>
      <c r="I1934" s="13">
        <v>6</v>
      </c>
      <c r="J1934">
        <v>0</v>
      </c>
      <c r="K1934">
        <v>0</v>
      </c>
      <c r="L1934">
        <v>0</v>
      </c>
      <c r="M1934">
        <v>0</v>
      </c>
      <c r="O1934">
        <f t="shared" si="30"/>
        <v>4</v>
      </c>
    </row>
    <row r="1935" spans="1:15">
      <c r="A1935">
        <v>4556</v>
      </c>
      <c r="B1935" s="1">
        <v>45759</v>
      </c>
      <c r="C1935">
        <v>62</v>
      </c>
      <c r="D1935" t="s">
        <v>14</v>
      </c>
      <c r="E1935" t="s">
        <v>15</v>
      </c>
      <c r="F1935" t="s">
        <v>16</v>
      </c>
      <c r="H1935">
        <v>72.7</v>
      </c>
      <c r="I1935" s="13">
        <v>6</v>
      </c>
      <c r="J1935">
        <v>0</v>
      </c>
      <c r="K1935">
        <v>0</v>
      </c>
      <c r="L1935">
        <v>0</v>
      </c>
      <c r="M1935">
        <v>0</v>
      </c>
      <c r="O1935">
        <f t="shared" si="30"/>
        <v>4</v>
      </c>
    </row>
    <row r="1936" spans="1:15">
      <c r="A1936">
        <v>2849</v>
      </c>
      <c r="B1936" s="1">
        <v>45759</v>
      </c>
      <c r="C1936">
        <v>34</v>
      </c>
      <c r="D1936" t="s">
        <v>17</v>
      </c>
      <c r="E1936" t="s">
        <v>22</v>
      </c>
      <c r="F1936" t="s">
        <v>18</v>
      </c>
      <c r="G1936" t="s">
        <v>19</v>
      </c>
      <c r="H1936">
        <v>69.900000000000006</v>
      </c>
      <c r="I1936" s="13">
        <v>5</v>
      </c>
      <c r="J1936">
        <v>0</v>
      </c>
      <c r="K1936">
        <v>0</v>
      </c>
      <c r="L1936">
        <v>0</v>
      </c>
      <c r="M1936">
        <v>0</v>
      </c>
      <c r="O1936">
        <f t="shared" si="30"/>
        <v>4</v>
      </c>
    </row>
    <row r="1937" spans="1:15">
      <c r="A1937">
        <v>3416</v>
      </c>
      <c r="B1937" s="1">
        <v>45759</v>
      </c>
      <c r="C1937">
        <v>33</v>
      </c>
      <c r="D1937" t="s">
        <v>17</v>
      </c>
      <c r="E1937" t="s">
        <v>22</v>
      </c>
      <c r="F1937" t="s">
        <v>18</v>
      </c>
      <c r="G1937" t="s">
        <v>31</v>
      </c>
      <c r="H1937">
        <v>54.9</v>
      </c>
      <c r="I1937" s="13">
        <v>7</v>
      </c>
      <c r="J1937">
        <v>0</v>
      </c>
      <c r="K1937">
        <v>0</v>
      </c>
      <c r="L1937">
        <v>0</v>
      </c>
      <c r="M1937">
        <v>0</v>
      </c>
      <c r="O1937">
        <f t="shared" si="30"/>
        <v>4</v>
      </c>
    </row>
    <row r="1938" spans="1:15">
      <c r="A1938">
        <v>969</v>
      </c>
      <c r="B1938" s="1">
        <v>45759</v>
      </c>
      <c r="C1938">
        <v>22</v>
      </c>
      <c r="D1938" t="s">
        <v>14</v>
      </c>
      <c r="E1938" t="s">
        <v>15</v>
      </c>
      <c r="F1938" t="s">
        <v>16</v>
      </c>
      <c r="H1938">
        <v>39.299999999999997</v>
      </c>
      <c r="I1938" s="13">
        <v>6</v>
      </c>
      <c r="J1938">
        <v>0</v>
      </c>
      <c r="K1938">
        <v>0</v>
      </c>
      <c r="L1938">
        <v>0</v>
      </c>
      <c r="M1938">
        <v>0</v>
      </c>
      <c r="O1938">
        <f t="shared" si="30"/>
        <v>4</v>
      </c>
    </row>
    <row r="1939" spans="1:15">
      <c r="A1939">
        <v>4194</v>
      </c>
      <c r="B1939" s="1">
        <v>45789</v>
      </c>
      <c r="C1939">
        <v>49</v>
      </c>
      <c r="D1939" t="s">
        <v>14</v>
      </c>
      <c r="E1939" t="s">
        <v>15</v>
      </c>
      <c r="F1939" t="s">
        <v>16</v>
      </c>
      <c r="H1939">
        <v>228.8</v>
      </c>
      <c r="I1939" s="13">
        <v>6</v>
      </c>
      <c r="J1939">
        <v>1</v>
      </c>
      <c r="K1939">
        <v>228</v>
      </c>
      <c r="L1939">
        <v>2</v>
      </c>
      <c r="M1939">
        <v>5</v>
      </c>
      <c r="N1939">
        <v>3</v>
      </c>
      <c r="O1939">
        <f t="shared" si="30"/>
        <v>5</v>
      </c>
    </row>
    <row r="1940" spans="1:15">
      <c r="A1940">
        <v>4590</v>
      </c>
      <c r="B1940" s="1">
        <v>45789</v>
      </c>
      <c r="C1940">
        <v>36</v>
      </c>
      <c r="D1940" t="s">
        <v>17</v>
      </c>
      <c r="E1940" t="s">
        <v>24</v>
      </c>
      <c r="F1940" t="s">
        <v>16</v>
      </c>
      <c r="H1940">
        <v>606.29999999999995</v>
      </c>
      <c r="I1940" s="13">
        <v>7</v>
      </c>
      <c r="J1940">
        <v>1</v>
      </c>
      <c r="K1940">
        <v>129.94999999999999</v>
      </c>
      <c r="L1940">
        <v>2</v>
      </c>
      <c r="M1940">
        <v>10</v>
      </c>
      <c r="N1940">
        <v>4</v>
      </c>
      <c r="O1940">
        <f t="shared" si="30"/>
        <v>5</v>
      </c>
    </row>
    <row r="1941" spans="1:15">
      <c r="A1941">
        <v>1875</v>
      </c>
      <c r="B1941" s="1">
        <v>45789</v>
      </c>
      <c r="C1941">
        <v>28</v>
      </c>
      <c r="D1941" t="s">
        <v>27</v>
      </c>
      <c r="E1941" t="s">
        <v>22</v>
      </c>
      <c r="F1941" t="s">
        <v>16</v>
      </c>
      <c r="H1941">
        <v>870.6</v>
      </c>
      <c r="I1941" s="13">
        <v>7</v>
      </c>
      <c r="J1941">
        <v>1</v>
      </c>
      <c r="K1941">
        <v>76.03</v>
      </c>
      <c r="L1941">
        <v>2</v>
      </c>
      <c r="M1941">
        <v>13</v>
      </c>
      <c r="N1941">
        <v>5</v>
      </c>
      <c r="O1941">
        <f t="shared" si="30"/>
        <v>5</v>
      </c>
    </row>
    <row r="1942" spans="1:15">
      <c r="A1942">
        <v>4989</v>
      </c>
      <c r="B1942" s="1">
        <v>45789</v>
      </c>
      <c r="C1942">
        <v>46</v>
      </c>
      <c r="D1942" t="s">
        <v>17</v>
      </c>
      <c r="E1942" t="s">
        <v>22</v>
      </c>
      <c r="F1942" t="s">
        <v>16</v>
      </c>
      <c r="H1942">
        <v>852.6</v>
      </c>
      <c r="I1942" s="13">
        <v>8</v>
      </c>
      <c r="J1942">
        <v>1</v>
      </c>
      <c r="K1942">
        <v>49.48</v>
      </c>
      <c r="L1942">
        <v>2</v>
      </c>
      <c r="M1942">
        <v>6</v>
      </c>
      <c r="N1942">
        <v>4</v>
      </c>
      <c r="O1942">
        <f t="shared" si="30"/>
        <v>5</v>
      </c>
    </row>
    <row r="1943" spans="1:15">
      <c r="A1943">
        <v>3917</v>
      </c>
      <c r="B1943" s="1">
        <v>45789</v>
      </c>
      <c r="C1943">
        <v>21</v>
      </c>
      <c r="D1943" t="s">
        <v>14</v>
      </c>
      <c r="E1943" t="s">
        <v>24</v>
      </c>
      <c r="F1943" t="s">
        <v>16</v>
      </c>
      <c r="H1943">
        <v>521.4</v>
      </c>
      <c r="I1943" s="13">
        <v>7</v>
      </c>
      <c r="J1943">
        <v>1</v>
      </c>
      <c r="K1943">
        <v>46.33</v>
      </c>
      <c r="L1943">
        <v>5</v>
      </c>
      <c r="M1943">
        <v>8</v>
      </c>
      <c r="N1943">
        <v>4</v>
      </c>
      <c r="O1943">
        <f t="shared" si="30"/>
        <v>5</v>
      </c>
    </row>
    <row r="1944" spans="1:15">
      <c r="A1944">
        <v>4226</v>
      </c>
      <c r="B1944" s="1">
        <v>45789</v>
      </c>
      <c r="C1944">
        <v>57</v>
      </c>
      <c r="D1944" t="s">
        <v>14</v>
      </c>
      <c r="E1944" t="s">
        <v>20</v>
      </c>
      <c r="F1944" t="s">
        <v>21</v>
      </c>
      <c r="H1944">
        <v>348.9</v>
      </c>
      <c r="I1944" s="13">
        <v>8</v>
      </c>
      <c r="J1944">
        <v>1</v>
      </c>
      <c r="K1944">
        <v>33.76</v>
      </c>
      <c r="L1944">
        <v>3</v>
      </c>
      <c r="M1944">
        <v>13</v>
      </c>
      <c r="N1944">
        <v>4</v>
      </c>
      <c r="O1944">
        <f t="shared" si="30"/>
        <v>5</v>
      </c>
    </row>
    <row r="1945" spans="1:15">
      <c r="A1945">
        <v>4137</v>
      </c>
      <c r="B1945" s="1">
        <v>45789</v>
      </c>
      <c r="C1945">
        <v>54</v>
      </c>
      <c r="D1945" t="s">
        <v>17</v>
      </c>
      <c r="E1945" t="s">
        <v>15</v>
      </c>
      <c r="F1945" t="s">
        <v>16</v>
      </c>
      <c r="H1945">
        <v>418.2</v>
      </c>
      <c r="I1945" s="13">
        <v>7</v>
      </c>
      <c r="J1945">
        <v>1</v>
      </c>
      <c r="K1945">
        <v>32.03</v>
      </c>
      <c r="L1945">
        <v>3</v>
      </c>
      <c r="M1945">
        <v>12</v>
      </c>
      <c r="N1945">
        <v>5</v>
      </c>
      <c r="O1945">
        <f t="shared" si="30"/>
        <v>5</v>
      </c>
    </row>
    <row r="1946" spans="1:15">
      <c r="A1946">
        <v>1004</v>
      </c>
      <c r="B1946" s="1">
        <v>45789</v>
      </c>
      <c r="C1946">
        <v>30</v>
      </c>
      <c r="D1946" t="s">
        <v>17</v>
      </c>
      <c r="E1946" t="s">
        <v>24</v>
      </c>
      <c r="F1946" t="s">
        <v>18</v>
      </c>
      <c r="G1946" t="s">
        <v>25</v>
      </c>
      <c r="H1946">
        <v>577.6</v>
      </c>
      <c r="I1946" s="13">
        <v>8</v>
      </c>
      <c r="J1946">
        <v>1</v>
      </c>
      <c r="K1946">
        <v>25.13</v>
      </c>
      <c r="L1946">
        <v>3</v>
      </c>
      <c r="M1946">
        <v>13</v>
      </c>
      <c r="N1946">
        <v>4</v>
      </c>
      <c r="O1946">
        <f t="shared" si="30"/>
        <v>5</v>
      </c>
    </row>
    <row r="1947" spans="1:15">
      <c r="A1947">
        <v>1620</v>
      </c>
      <c r="B1947" s="1">
        <v>45789</v>
      </c>
      <c r="C1947">
        <v>25</v>
      </c>
      <c r="D1947" t="s">
        <v>17</v>
      </c>
      <c r="E1947" t="s">
        <v>15</v>
      </c>
      <c r="F1947" t="s">
        <v>18</v>
      </c>
      <c r="G1947" t="s">
        <v>25</v>
      </c>
      <c r="H1947">
        <v>664.4</v>
      </c>
      <c r="I1947" s="13">
        <v>5</v>
      </c>
      <c r="J1947">
        <v>1</v>
      </c>
      <c r="K1947">
        <v>20.57</v>
      </c>
      <c r="L1947">
        <v>2</v>
      </c>
      <c r="M1947">
        <v>11</v>
      </c>
      <c r="N1947">
        <v>4</v>
      </c>
      <c r="O1947">
        <f t="shared" si="30"/>
        <v>5</v>
      </c>
    </row>
    <row r="1948" spans="1:15">
      <c r="A1948">
        <v>1318</v>
      </c>
      <c r="B1948" s="1">
        <v>45789</v>
      </c>
      <c r="C1948">
        <v>35</v>
      </c>
      <c r="D1948" t="s">
        <v>17</v>
      </c>
      <c r="E1948" t="s">
        <v>24</v>
      </c>
      <c r="F1948" t="s">
        <v>16</v>
      </c>
      <c r="H1948">
        <v>628.6</v>
      </c>
      <c r="I1948" s="13">
        <v>5</v>
      </c>
      <c r="J1948">
        <v>0</v>
      </c>
      <c r="K1948">
        <v>0</v>
      </c>
      <c r="L1948">
        <v>0</v>
      </c>
      <c r="M1948">
        <v>0</v>
      </c>
      <c r="O1948">
        <f t="shared" si="30"/>
        <v>5</v>
      </c>
    </row>
    <row r="1949" spans="1:15">
      <c r="A1949">
        <v>3</v>
      </c>
      <c r="B1949" s="1">
        <v>45789</v>
      </c>
      <c r="C1949">
        <v>23</v>
      </c>
      <c r="D1949" t="s">
        <v>17</v>
      </c>
      <c r="E1949" t="s">
        <v>24</v>
      </c>
      <c r="F1949" t="s">
        <v>18</v>
      </c>
      <c r="G1949" t="s">
        <v>28</v>
      </c>
      <c r="H1949">
        <v>620</v>
      </c>
      <c r="I1949" s="13">
        <v>8</v>
      </c>
      <c r="J1949">
        <v>0</v>
      </c>
      <c r="K1949">
        <v>0</v>
      </c>
      <c r="L1949">
        <v>0</v>
      </c>
      <c r="M1949">
        <v>0</v>
      </c>
      <c r="O1949">
        <f t="shared" si="30"/>
        <v>5</v>
      </c>
    </row>
    <row r="1950" spans="1:15">
      <c r="A1950">
        <v>2913</v>
      </c>
      <c r="B1950" s="1">
        <v>45789</v>
      </c>
      <c r="C1950">
        <v>35</v>
      </c>
      <c r="D1950" t="s">
        <v>17</v>
      </c>
      <c r="E1950" t="s">
        <v>22</v>
      </c>
      <c r="F1950" t="s">
        <v>16</v>
      </c>
      <c r="H1950">
        <v>473.1</v>
      </c>
      <c r="I1950" s="13">
        <v>5</v>
      </c>
      <c r="J1950">
        <v>0</v>
      </c>
      <c r="K1950">
        <v>0</v>
      </c>
      <c r="L1950">
        <v>0</v>
      </c>
      <c r="M1950">
        <v>0</v>
      </c>
      <c r="O1950">
        <f t="shared" si="30"/>
        <v>5</v>
      </c>
    </row>
    <row r="1951" spans="1:15">
      <c r="A1951">
        <v>3017</v>
      </c>
      <c r="B1951" s="1">
        <v>45789</v>
      </c>
      <c r="C1951">
        <v>56</v>
      </c>
      <c r="D1951" t="s">
        <v>14</v>
      </c>
      <c r="E1951" t="s">
        <v>22</v>
      </c>
      <c r="F1951" t="s">
        <v>18</v>
      </c>
      <c r="G1951" t="s">
        <v>25</v>
      </c>
      <c r="H1951">
        <v>455.3</v>
      </c>
      <c r="I1951" s="13">
        <v>5</v>
      </c>
      <c r="J1951">
        <v>0</v>
      </c>
      <c r="K1951">
        <v>0</v>
      </c>
      <c r="L1951">
        <v>0</v>
      </c>
      <c r="M1951">
        <v>0</v>
      </c>
      <c r="O1951">
        <f t="shared" si="30"/>
        <v>5</v>
      </c>
    </row>
    <row r="1952" spans="1:15">
      <c r="A1952">
        <v>973</v>
      </c>
      <c r="B1952" s="1">
        <v>45789</v>
      </c>
      <c r="C1952">
        <v>19</v>
      </c>
      <c r="D1952" t="s">
        <v>14</v>
      </c>
      <c r="E1952" t="s">
        <v>22</v>
      </c>
      <c r="F1952" t="s">
        <v>16</v>
      </c>
      <c r="H1952">
        <v>445.8</v>
      </c>
      <c r="I1952" s="13">
        <v>5</v>
      </c>
      <c r="J1952">
        <v>0</v>
      </c>
      <c r="K1952">
        <v>0</v>
      </c>
      <c r="L1952">
        <v>0</v>
      </c>
      <c r="M1952">
        <v>0</v>
      </c>
      <c r="O1952">
        <f t="shared" si="30"/>
        <v>5</v>
      </c>
    </row>
    <row r="1953" spans="1:15">
      <c r="A1953">
        <v>76</v>
      </c>
      <c r="B1953" s="1">
        <v>45789</v>
      </c>
      <c r="C1953">
        <v>28</v>
      </c>
      <c r="D1953" t="s">
        <v>17</v>
      </c>
      <c r="E1953" t="s">
        <v>24</v>
      </c>
      <c r="F1953" t="s">
        <v>16</v>
      </c>
      <c r="H1953">
        <v>426.3</v>
      </c>
      <c r="I1953" s="13">
        <v>7</v>
      </c>
      <c r="J1953">
        <v>0</v>
      </c>
      <c r="K1953">
        <v>0</v>
      </c>
      <c r="L1953">
        <v>0</v>
      </c>
      <c r="M1953">
        <v>0</v>
      </c>
      <c r="O1953">
        <f t="shared" si="30"/>
        <v>5</v>
      </c>
    </row>
    <row r="1954" spans="1:15">
      <c r="A1954">
        <v>4424</v>
      </c>
      <c r="B1954" s="1">
        <v>45789</v>
      </c>
      <c r="C1954">
        <v>54</v>
      </c>
      <c r="D1954" t="s">
        <v>17</v>
      </c>
      <c r="E1954" t="s">
        <v>24</v>
      </c>
      <c r="F1954" t="s">
        <v>18</v>
      </c>
      <c r="G1954" t="s">
        <v>28</v>
      </c>
      <c r="H1954">
        <v>384.1</v>
      </c>
      <c r="I1954" s="13">
        <v>4</v>
      </c>
      <c r="J1954">
        <v>0</v>
      </c>
      <c r="K1954">
        <v>0</v>
      </c>
      <c r="L1954">
        <v>0</v>
      </c>
      <c r="M1954">
        <v>0</v>
      </c>
      <c r="O1954">
        <f t="shared" si="30"/>
        <v>5</v>
      </c>
    </row>
    <row r="1955" spans="1:15">
      <c r="A1955">
        <v>1987</v>
      </c>
      <c r="B1955" s="1">
        <v>45789</v>
      </c>
      <c r="C1955">
        <v>44</v>
      </c>
      <c r="D1955" t="s">
        <v>17</v>
      </c>
      <c r="E1955" t="s">
        <v>15</v>
      </c>
      <c r="F1955" t="s">
        <v>18</v>
      </c>
      <c r="G1955" t="s">
        <v>31</v>
      </c>
      <c r="H1955">
        <v>378</v>
      </c>
      <c r="I1955" s="13">
        <v>6</v>
      </c>
      <c r="J1955">
        <v>0</v>
      </c>
      <c r="K1955">
        <v>0</v>
      </c>
      <c r="L1955">
        <v>0</v>
      </c>
      <c r="M1955">
        <v>0</v>
      </c>
      <c r="O1955">
        <f t="shared" si="30"/>
        <v>5</v>
      </c>
    </row>
    <row r="1956" spans="1:15">
      <c r="A1956">
        <v>3895</v>
      </c>
      <c r="B1956" s="1">
        <v>45789</v>
      </c>
      <c r="C1956">
        <v>57</v>
      </c>
      <c r="D1956" t="s">
        <v>17</v>
      </c>
      <c r="E1956" t="s">
        <v>22</v>
      </c>
      <c r="F1956" t="s">
        <v>18</v>
      </c>
      <c r="G1956" t="s">
        <v>26</v>
      </c>
      <c r="H1956">
        <v>313.7</v>
      </c>
      <c r="I1956" s="13">
        <v>4</v>
      </c>
      <c r="J1956">
        <v>0</v>
      </c>
      <c r="K1956">
        <v>0</v>
      </c>
      <c r="L1956">
        <v>0</v>
      </c>
      <c r="M1956">
        <v>0</v>
      </c>
      <c r="O1956">
        <f t="shared" si="30"/>
        <v>5</v>
      </c>
    </row>
    <row r="1957" spans="1:15">
      <c r="A1957">
        <v>3125</v>
      </c>
      <c r="B1957" s="1">
        <v>45789</v>
      </c>
      <c r="C1957">
        <v>32</v>
      </c>
      <c r="D1957" t="s">
        <v>17</v>
      </c>
      <c r="E1957" t="s">
        <v>24</v>
      </c>
      <c r="F1957" t="s">
        <v>16</v>
      </c>
      <c r="H1957">
        <v>289</v>
      </c>
      <c r="I1957" s="13">
        <v>7</v>
      </c>
      <c r="J1957">
        <v>0</v>
      </c>
      <c r="K1957">
        <v>0</v>
      </c>
      <c r="L1957">
        <v>0</v>
      </c>
      <c r="M1957">
        <v>0</v>
      </c>
      <c r="O1957">
        <f t="shared" si="30"/>
        <v>5</v>
      </c>
    </row>
    <row r="1958" spans="1:15">
      <c r="A1958">
        <v>3220</v>
      </c>
      <c r="B1958" s="1">
        <v>45789</v>
      </c>
      <c r="C1958">
        <v>35</v>
      </c>
      <c r="D1958" t="s">
        <v>17</v>
      </c>
      <c r="E1958" t="s">
        <v>22</v>
      </c>
      <c r="F1958" t="s">
        <v>23</v>
      </c>
      <c r="H1958">
        <v>288.39999999999998</v>
      </c>
      <c r="I1958" s="13">
        <v>7</v>
      </c>
      <c r="J1958">
        <v>0</v>
      </c>
      <c r="K1958">
        <v>0</v>
      </c>
      <c r="L1958">
        <v>0</v>
      </c>
      <c r="M1958">
        <v>0</v>
      </c>
      <c r="O1958">
        <f t="shared" si="30"/>
        <v>5</v>
      </c>
    </row>
    <row r="1959" spans="1:15">
      <c r="A1959">
        <v>3774</v>
      </c>
      <c r="B1959" s="1">
        <v>45789</v>
      </c>
      <c r="C1959">
        <v>57</v>
      </c>
      <c r="D1959" t="s">
        <v>17</v>
      </c>
      <c r="E1959" t="s">
        <v>22</v>
      </c>
      <c r="F1959" t="s">
        <v>16</v>
      </c>
      <c r="H1959">
        <v>283.3</v>
      </c>
      <c r="I1959" s="13">
        <v>7</v>
      </c>
      <c r="J1959">
        <v>0</v>
      </c>
      <c r="K1959">
        <v>0</v>
      </c>
      <c r="L1959">
        <v>0</v>
      </c>
      <c r="M1959">
        <v>0</v>
      </c>
      <c r="O1959">
        <f t="shared" si="30"/>
        <v>5</v>
      </c>
    </row>
    <row r="1960" spans="1:15">
      <c r="A1960">
        <v>720</v>
      </c>
      <c r="B1960" s="1">
        <v>45789</v>
      </c>
      <c r="C1960">
        <v>24</v>
      </c>
      <c r="D1960" t="s">
        <v>14</v>
      </c>
      <c r="E1960" t="s">
        <v>22</v>
      </c>
      <c r="F1960" t="s">
        <v>18</v>
      </c>
      <c r="G1960" t="s">
        <v>29</v>
      </c>
      <c r="H1960">
        <v>259.60000000000002</v>
      </c>
      <c r="I1960" s="13">
        <v>4</v>
      </c>
      <c r="J1960">
        <v>0</v>
      </c>
      <c r="K1960">
        <v>0</v>
      </c>
      <c r="L1960">
        <v>0</v>
      </c>
      <c r="M1960">
        <v>0</v>
      </c>
      <c r="O1960">
        <f t="shared" si="30"/>
        <v>5</v>
      </c>
    </row>
    <row r="1961" spans="1:15">
      <c r="A1961">
        <v>87</v>
      </c>
      <c r="B1961" s="1">
        <v>45789</v>
      </c>
      <c r="C1961">
        <v>33</v>
      </c>
      <c r="D1961" t="s">
        <v>17</v>
      </c>
      <c r="E1961" t="s">
        <v>15</v>
      </c>
      <c r="F1961" t="s">
        <v>21</v>
      </c>
      <c r="H1961">
        <v>245.2</v>
      </c>
      <c r="I1961" s="13">
        <v>4</v>
      </c>
      <c r="J1961">
        <v>0</v>
      </c>
      <c r="K1961">
        <v>0</v>
      </c>
      <c r="L1961">
        <v>0</v>
      </c>
      <c r="M1961">
        <v>0</v>
      </c>
      <c r="O1961">
        <f t="shared" si="30"/>
        <v>5</v>
      </c>
    </row>
    <row r="1962" spans="1:15">
      <c r="A1962">
        <v>2370</v>
      </c>
      <c r="B1962" s="1">
        <v>45789</v>
      </c>
      <c r="C1962">
        <v>45</v>
      </c>
      <c r="D1962" t="s">
        <v>14</v>
      </c>
      <c r="E1962" t="s">
        <v>22</v>
      </c>
      <c r="F1962" t="s">
        <v>16</v>
      </c>
      <c r="H1962">
        <v>236.1</v>
      </c>
      <c r="I1962" s="13">
        <v>11</v>
      </c>
      <c r="J1962">
        <v>0</v>
      </c>
      <c r="K1962">
        <v>0</v>
      </c>
      <c r="L1962">
        <v>0</v>
      </c>
      <c r="M1962">
        <v>0</v>
      </c>
      <c r="O1962">
        <f t="shared" si="30"/>
        <v>5</v>
      </c>
    </row>
    <row r="1963" spans="1:15">
      <c r="A1963">
        <v>2138</v>
      </c>
      <c r="B1963" s="1">
        <v>45789</v>
      </c>
      <c r="C1963">
        <v>46</v>
      </c>
      <c r="D1963" t="s">
        <v>14</v>
      </c>
      <c r="E1963" t="s">
        <v>15</v>
      </c>
      <c r="F1963" t="s">
        <v>23</v>
      </c>
      <c r="H1963">
        <v>220.7</v>
      </c>
      <c r="I1963" s="13">
        <v>10</v>
      </c>
      <c r="J1963">
        <v>0</v>
      </c>
      <c r="K1963">
        <v>0</v>
      </c>
      <c r="L1963">
        <v>0</v>
      </c>
      <c r="M1963">
        <v>0</v>
      </c>
      <c r="O1963">
        <f t="shared" si="30"/>
        <v>5</v>
      </c>
    </row>
    <row r="1964" spans="1:15">
      <c r="A1964">
        <v>1860</v>
      </c>
      <c r="B1964" s="1">
        <v>45789</v>
      </c>
      <c r="C1964">
        <v>33</v>
      </c>
      <c r="D1964" t="s">
        <v>14</v>
      </c>
      <c r="E1964" t="s">
        <v>20</v>
      </c>
      <c r="F1964" t="s">
        <v>16</v>
      </c>
      <c r="H1964">
        <v>185.4</v>
      </c>
      <c r="I1964" s="13">
        <v>5</v>
      </c>
      <c r="J1964">
        <v>0</v>
      </c>
      <c r="K1964">
        <v>0</v>
      </c>
      <c r="L1964">
        <v>0</v>
      </c>
      <c r="M1964">
        <v>0</v>
      </c>
      <c r="O1964">
        <f t="shared" si="30"/>
        <v>5</v>
      </c>
    </row>
    <row r="1965" spans="1:15">
      <c r="A1965">
        <v>2827</v>
      </c>
      <c r="B1965" s="1">
        <v>45789</v>
      </c>
      <c r="C1965">
        <v>48</v>
      </c>
      <c r="D1965" t="s">
        <v>14</v>
      </c>
      <c r="E1965" t="s">
        <v>20</v>
      </c>
      <c r="F1965" t="s">
        <v>16</v>
      </c>
      <c r="H1965">
        <v>179.9</v>
      </c>
      <c r="I1965" s="13">
        <v>6</v>
      </c>
      <c r="J1965">
        <v>0</v>
      </c>
      <c r="K1965">
        <v>0</v>
      </c>
      <c r="L1965">
        <v>0</v>
      </c>
      <c r="M1965">
        <v>0</v>
      </c>
      <c r="O1965">
        <f t="shared" si="30"/>
        <v>5</v>
      </c>
    </row>
    <row r="1966" spans="1:15">
      <c r="A1966">
        <v>4987</v>
      </c>
      <c r="B1966" s="1">
        <v>45789</v>
      </c>
      <c r="C1966">
        <v>40</v>
      </c>
      <c r="D1966" t="s">
        <v>14</v>
      </c>
      <c r="E1966" t="s">
        <v>24</v>
      </c>
      <c r="F1966" t="s">
        <v>16</v>
      </c>
      <c r="H1966">
        <v>165.3</v>
      </c>
      <c r="I1966" s="13">
        <v>2</v>
      </c>
      <c r="J1966">
        <v>0</v>
      </c>
      <c r="K1966">
        <v>0</v>
      </c>
      <c r="L1966">
        <v>0</v>
      </c>
      <c r="M1966">
        <v>0</v>
      </c>
      <c r="O1966">
        <f t="shared" si="30"/>
        <v>5</v>
      </c>
    </row>
    <row r="1967" spans="1:15">
      <c r="A1967">
        <v>4450</v>
      </c>
      <c r="B1967" s="1">
        <v>45789</v>
      </c>
      <c r="C1967">
        <v>49</v>
      </c>
      <c r="D1967" t="s">
        <v>14</v>
      </c>
      <c r="E1967" t="s">
        <v>20</v>
      </c>
      <c r="F1967" t="s">
        <v>23</v>
      </c>
      <c r="H1967">
        <v>163.5</v>
      </c>
      <c r="I1967" s="13">
        <v>5</v>
      </c>
      <c r="J1967">
        <v>0</v>
      </c>
      <c r="K1967">
        <v>0</v>
      </c>
      <c r="L1967">
        <v>0</v>
      </c>
      <c r="M1967">
        <v>0</v>
      </c>
      <c r="O1967">
        <f t="shared" si="30"/>
        <v>5</v>
      </c>
    </row>
    <row r="1968" spans="1:15">
      <c r="A1968">
        <v>1896</v>
      </c>
      <c r="B1968" s="1">
        <v>45789</v>
      </c>
      <c r="C1968">
        <v>47</v>
      </c>
      <c r="D1968" t="s">
        <v>17</v>
      </c>
      <c r="E1968" t="s">
        <v>20</v>
      </c>
      <c r="F1968" t="s">
        <v>18</v>
      </c>
      <c r="G1968" t="s">
        <v>29</v>
      </c>
      <c r="H1968">
        <v>148</v>
      </c>
      <c r="I1968" s="13">
        <v>6</v>
      </c>
      <c r="J1968">
        <v>0</v>
      </c>
      <c r="K1968">
        <v>0</v>
      </c>
      <c r="L1968">
        <v>0</v>
      </c>
      <c r="M1968">
        <v>0</v>
      </c>
      <c r="O1968">
        <f t="shared" si="30"/>
        <v>5</v>
      </c>
    </row>
    <row r="1969" spans="1:15">
      <c r="A1969">
        <v>4149</v>
      </c>
      <c r="B1969" s="1">
        <v>45789</v>
      </c>
      <c r="C1969">
        <v>39</v>
      </c>
      <c r="D1969" t="s">
        <v>14</v>
      </c>
      <c r="E1969" t="s">
        <v>15</v>
      </c>
      <c r="F1969" t="s">
        <v>16</v>
      </c>
      <c r="H1969">
        <v>142</v>
      </c>
      <c r="I1969" s="13">
        <v>7</v>
      </c>
      <c r="J1969">
        <v>0</v>
      </c>
      <c r="K1969">
        <v>0</v>
      </c>
      <c r="L1969">
        <v>0</v>
      </c>
      <c r="M1969">
        <v>0</v>
      </c>
      <c r="O1969">
        <f t="shared" si="30"/>
        <v>5</v>
      </c>
    </row>
    <row r="1970" spans="1:15">
      <c r="A1970">
        <v>2027</v>
      </c>
      <c r="B1970" s="1">
        <v>45789</v>
      </c>
      <c r="C1970">
        <v>38</v>
      </c>
      <c r="D1970" t="s">
        <v>14</v>
      </c>
      <c r="E1970" t="s">
        <v>24</v>
      </c>
      <c r="F1970" t="s">
        <v>16</v>
      </c>
      <c r="H1970">
        <v>114.6</v>
      </c>
      <c r="I1970" s="13">
        <v>4</v>
      </c>
      <c r="J1970">
        <v>0</v>
      </c>
      <c r="K1970">
        <v>0</v>
      </c>
      <c r="L1970">
        <v>0</v>
      </c>
      <c r="M1970">
        <v>0</v>
      </c>
      <c r="O1970">
        <f t="shared" si="30"/>
        <v>5</v>
      </c>
    </row>
    <row r="1971" spans="1:15">
      <c r="A1971">
        <v>160</v>
      </c>
      <c r="B1971" s="1">
        <v>45789</v>
      </c>
      <c r="C1971">
        <v>21</v>
      </c>
      <c r="D1971" t="s">
        <v>14</v>
      </c>
      <c r="E1971" t="s">
        <v>22</v>
      </c>
      <c r="F1971" t="s">
        <v>16</v>
      </c>
      <c r="H1971">
        <v>108.9</v>
      </c>
      <c r="I1971" s="13">
        <v>7</v>
      </c>
      <c r="J1971">
        <v>0</v>
      </c>
      <c r="K1971">
        <v>0</v>
      </c>
      <c r="L1971">
        <v>0</v>
      </c>
      <c r="M1971">
        <v>0</v>
      </c>
      <c r="O1971">
        <f t="shared" si="30"/>
        <v>5</v>
      </c>
    </row>
    <row r="1972" spans="1:15">
      <c r="A1972">
        <v>1365</v>
      </c>
      <c r="B1972" s="1">
        <v>45789</v>
      </c>
      <c r="C1972">
        <v>24</v>
      </c>
      <c r="D1972" t="s">
        <v>17</v>
      </c>
      <c r="E1972" t="s">
        <v>20</v>
      </c>
      <c r="F1972" t="s">
        <v>18</v>
      </c>
      <c r="G1972" t="s">
        <v>26</v>
      </c>
      <c r="H1972">
        <v>90.9</v>
      </c>
      <c r="I1972" s="13">
        <v>5</v>
      </c>
      <c r="J1972">
        <v>0</v>
      </c>
      <c r="K1972">
        <v>0</v>
      </c>
      <c r="L1972">
        <v>0</v>
      </c>
      <c r="M1972">
        <v>0</v>
      </c>
      <c r="O1972">
        <f t="shared" si="30"/>
        <v>5</v>
      </c>
    </row>
    <row r="1973" spans="1:15">
      <c r="A1973">
        <v>985</v>
      </c>
      <c r="B1973" s="1">
        <v>45789</v>
      </c>
      <c r="C1973">
        <v>23</v>
      </c>
      <c r="D1973" t="s">
        <v>17</v>
      </c>
      <c r="E1973" t="s">
        <v>20</v>
      </c>
      <c r="F1973" t="s">
        <v>23</v>
      </c>
      <c r="H1973">
        <v>81.099999999999994</v>
      </c>
      <c r="I1973" s="13">
        <v>7</v>
      </c>
      <c r="J1973">
        <v>0</v>
      </c>
      <c r="K1973">
        <v>0</v>
      </c>
      <c r="L1973">
        <v>0</v>
      </c>
      <c r="M1973">
        <v>0</v>
      </c>
      <c r="O1973">
        <f t="shared" si="30"/>
        <v>5</v>
      </c>
    </row>
    <row r="1974" spans="1:15">
      <c r="A1974">
        <v>1990</v>
      </c>
      <c r="B1974" s="1">
        <v>45789</v>
      </c>
      <c r="C1974">
        <v>29</v>
      </c>
      <c r="D1974" t="s">
        <v>14</v>
      </c>
      <c r="E1974" t="s">
        <v>24</v>
      </c>
      <c r="F1974" t="s">
        <v>18</v>
      </c>
      <c r="G1974" t="s">
        <v>26</v>
      </c>
      <c r="H1974">
        <v>63.1</v>
      </c>
      <c r="I1974" s="13">
        <v>3</v>
      </c>
      <c r="J1974">
        <v>0</v>
      </c>
      <c r="K1974">
        <v>0</v>
      </c>
      <c r="L1974">
        <v>0</v>
      </c>
      <c r="M1974">
        <v>0</v>
      </c>
      <c r="O1974">
        <f t="shared" si="30"/>
        <v>5</v>
      </c>
    </row>
    <row r="1975" spans="1:15">
      <c r="A1975">
        <v>3882</v>
      </c>
      <c r="B1975" s="1">
        <v>45789</v>
      </c>
      <c r="C1975">
        <v>53</v>
      </c>
      <c r="D1975" t="s">
        <v>14</v>
      </c>
      <c r="E1975" t="s">
        <v>20</v>
      </c>
      <c r="F1975" t="s">
        <v>16</v>
      </c>
      <c r="H1975">
        <v>55.4</v>
      </c>
      <c r="I1975" s="13">
        <v>4</v>
      </c>
      <c r="J1975">
        <v>0</v>
      </c>
      <c r="K1975">
        <v>0</v>
      </c>
      <c r="L1975">
        <v>0</v>
      </c>
      <c r="M1975">
        <v>0</v>
      </c>
      <c r="O1975">
        <f t="shared" si="30"/>
        <v>5</v>
      </c>
    </row>
    <row r="1976" spans="1:15">
      <c r="A1976">
        <v>2957</v>
      </c>
      <c r="B1976" s="1">
        <v>45789</v>
      </c>
      <c r="C1976">
        <v>35</v>
      </c>
      <c r="D1976" t="s">
        <v>17</v>
      </c>
      <c r="E1976" t="s">
        <v>20</v>
      </c>
      <c r="F1976" t="s">
        <v>16</v>
      </c>
      <c r="H1976">
        <v>43.7</v>
      </c>
      <c r="I1976" s="13">
        <v>6</v>
      </c>
      <c r="J1976">
        <v>0</v>
      </c>
      <c r="K1976">
        <v>0</v>
      </c>
      <c r="L1976">
        <v>0</v>
      </c>
      <c r="M1976">
        <v>0</v>
      </c>
      <c r="O1976">
        <f t="shared" si="30"/>
        <v>5</v>
      </c>
    </row>
    <row r="1977" spans="1:15">
      <c r="A1977">
        <v>2926</v>
      </c>
      <c r="B1977" s="1">
        <v>45820</v>
      </c>
      <c r="C1977">
        <v>29</v>
      </c>
      <c r="D1977" t="s">
        <v>17</v>
      </c>
      <c r="E1977" t="s">
        <v>20</v>
      </c>
      <c r="F1977" t="s">
        <v>23</v>
      </c>
      <c r="H1977">
        <v>478</v>
      </c>
      <c r="I1977" s="13">
        <v>7</v>
      </c>
      <c r="J1977">
        <v>1</v>
      </c>
      <c r="K1977">
        <v>552</v>
      </c>
      <c r="L1977">
        <v>2</v>
      </c>
      <c r="M1977">
        <v>11</v>
      </c>
      <c r="N1977">
        <v>4</v>
      </c>
      <c r="O1977">
        <f t="shared" si="30"/>
        <v>6</v>
      </c>
    </row>
    <row r="1978" spans="1:15">
      <c r="A1978">
        <v>948</v>
      </c>
      <c r="B1978" s="1">
        <v>45820</v>
      </c>
      <c r="C1978">
        <v>28</v>
      </c>
      <c r="D1978" t="s">
        <v>14</v>
      </c>
      <c r="E1978" t="s">
        <v>15</v>
      </c>
      <c r="F1978" t="s">
        <v>16</v>
      </c>
      <c r="H1978">
        <v>366.8</v>
      </c>
      <c r="I1978" s="13">
        <v>6</v>
      </c>
      <c r="J1978">
        <v>1</v>
      </c>
      <c r="K1978">
        <v>87.88</v>
      </c>
      <c r="L1978">
        <v>3</v>
      </c>
      <c r="M1978">
        <v>12</v>
      </c>
      <c r="N1978">
        <v>3</v>
      </c>
      <c r="O1978">
        <f t="shared" si="30"/>
        <v>6</v>
      </c>
    </row>
    <row r="1979" spans="1:15">
      <c r="A1979">
        <v>569</v>
      </c>
      <c r="B1979" s="1">
        <v>45820</v>
      </c>
      <c r="C1979">
        <v>19</v>
      </c>
      <c r="D1979" t="s">
        <v>17</v>
      </c>
      <c r="E1979" t="s">
        <v>22</v>
      </c>
      <c r="F1979" t="s">
        <v>21</v>
      </c>
      <c r="H1979">
        <v>305.89999999999998</v>
      </c>
      <c r="I1979" s="13">
        <v>3</v>
      </c>
      <c r="J1979">
        <v>1</v>
      </c>
      <c r="K1979">
        <v>87.17</v>
      </c>
      <c r="L1979">
        <v>5</v>
      </c>
      <c r="M1979">
        <v>2</v>
      </c>
      <c r="N1979">
        <v>4</v>
      </c>
      <c r="O1979">
        <f t="shared" si="30"/>
        <v>6</v>
      </c>
    </row>
    <row r="1980" spans="1:15">
      <c r="A1980">
        <v>193</v>
      </c>
      <c r="B1980" s="1">
        <v>45820</v>
      </c>
      <c r="C1980">
        <v>24</v>
      </c>
      <c r="D1980" t="s">
        <v>17</v>
      </c>
      <c r="E1980" t="s">
        <v>24</v>
      </c>
      <c r="F1980" t="s">
        <v>18</v>
      </c>
      <c r="G1980" t="s">
        <v>25</v>
      </c>
      <c r="H1980">
        <v>438.1</v>
      </c>
      <c r="I1980" s="13">
        <v>7</v>
      </c>
      <c r="J1980">
        <v>1</v>
      </c>
      <c r="K1980">
        <v>73</v>
      </c>
      <c r="L1980">
        <v>3</v>
      </c>
      <c r="M1980">
        <v>9</v>
      </c>
      <c r="N1980">
        <v>5</v>
      </c>
      <c r="O1980">
        <f t="shared" si="30"/>
        <v>6</v>
      </c>
    </row>
    <row r="1981" spans="1:15">
      <c r="A1981">
        <v>4338</v>
      </c>
      <c r="B1981" s="1">
        <v>45820</v>
      </c>
      <c r="C1981">
        <v>61</v>
      </c>
      <c r="D1981" t="s">
        <v>14</v>
      </c>
      <c r="E1981" t="s">
        <v>20</v>
      </c>
      <c r="F1981" t="s">
        <v>16</v>
      </c>
      <c r="H1981">
        <v>369.8</v>
      </c>
      <c r="I1981" s="13">
        <v>7</v>
      </c>
      <c r="J1981">
        <v>1</v>
      </c>
      <c r="K1981">
        <v>47.65</v>
      </c>
      <c r="L1981">
        <v>2</v>
      </c>
      <c r="M1981">
        <v>14</v>
      </c>
      <c r="N1981">
        <v>5</v>
      </c>
      <c r="O1981">
        <f t="shared" si="30"/>
        <v>6</v>
      </c>
    </row>
    <row r="1982" spans="1:15">
      <c r="A1982">
        <v>3289</v>
      </c>
      <c r="B1982" s="1">
        <v>45820</v>
      </c>
      <c r="C1982">
        <v>27</v>
      </c>
      <c r="D1982" t="s">
        <v>14</v>
      </c>
      <c r="E1982" t="s">
        <v>20</v>
      </c>
      <c r="F1982" t="s">
        <v>18</v>
      </c>
      <c r="G1982" t="s">
        <v>31</v>
      </c>
      <c r="H1982">
        <v>924.7</v>
      </c>
      <c r="I1982" s="13">
        <v>6</v>
      </c>
      <c r="J1982">
        <v>1</v>
      </c>
      <c r="K1982">
        <v>40.86</v>
      </c>
      <c r="L1982">
        <v>4</v>
      </c>
      <c r="M1982">
        <v>3</v>
      </c>
      <c r="N1982">
        <v>4</v>
      </c>
      <c r="O1982">
        <f t="shared" si="30"/>
        <v>6</v>
      </c>
    </row>
    <row r="1983" spans="1:15">
      <c r="A1983">
        <v>3741</v>
      </c>
      <c r="B1983" s="1">
        <v>45820</v>
      </c>
      <c r="C1983">
        <v>33</v>
      </c>
      <c r="D1983" t="s">
        <v>14</v>
      </c>
      <c r="E1983" t="s">
        <v>22</v>
      </c>
      <c r="F1983" t="s">
        <v>18</v>
      </c>
      <c r="G1983" t="s">
        <v>25</v>
      </c>
      <c r="H1983">
        <v>357.8</v>
      </c>
      <c r="I1983" s="13">
        <v>4</v>
      </c>
      <c r="J1983">
        <v>1</v>
      </c>
      <c r="K1983">
        <v>32.14</v>
      </c>
      <c r="L1983">
        <v>3</v>
      </c>
      <c r="M1983">
        <v>12</v>
      </c>
      <c r="N1983">
        <v>5</v>
      </c>
      <c r="O1983">
        <f t="shared" si="30"/>
        <v>6</v>
      </c>
    </row>
    <row r="1984" spans="1:15">
      <c r="A1984">
        <v>1782</v>
      </c>
      <c r="B1984" s="1">
        <v>45820</v>
      </c>
      <c r="C1984">
        <v>30</v>
      </c>
      <c r="D1984" t="s">
        <v>17</v>
      </c>
      <c r="E1984" t="s">
        <v>20</v>
      </c>
      <c r="F1984" t="s">
        <v>16</v>
      </c>
      <c r="H1984">
        <v>651.5</v>
      </c>
      <c r="I1984" s="13">
        <v>4</v>
      </c>
      <c r="J1984">
        <v>1</v>
      </c>
      <c r="K1984">
        <v>32.119999999999997</v>
      </c>
      <c r="L1984">
        <v>4</v>
      </c>
      <c r="M1984">
        <v>2</v>
      </c>
      <c r="N1984">
        <v>5</v>
      </c>
      <c r="O1984">
        <f t="shared" si="30"/>
        <v>6</v>
      </c>
    </row>
    <row r="1985" spans="1:15">
      <c r="A1985">
        <v>402</v>
      </c>
      <c r="B1985" s="1">
        <v>45820</v>
      </c>
      <c r="C1985">
        <v>30</v>
      </c>
      <c r="D1985" t="s">
        <v>17</v>
      </c>
      <c r="E1985" t="s">
        <v>22</v>
      </c>
      <c r="F1985" t="s">
        <v>23</v>
      </c>
      <c r="H1985">
        <v>48</v>
      </c>
      <c r="I1985" s="13">
        <v>1</v>
      </c>
      <c r="J1985">
        <v>1</v>
      </c>
      <c r="K1985">
        <v>16.48</v>
      </c>
      <c r="L1985">
        <v>1</v>
      </c>
      <c r="M1985">
        <v>13</v>
      </c>
      <c r="N1985">
        <v>5</v>
      </c>
      <c r="O1985">
        <f t="shared" si="30"/>
        <v>6</v>
      </c>
    </row>
    <row r="1986" spans="1:15">
      <c r="A1986">
        <v>3772</v>
      </c>
      <c r="B1986" s="1">
        <v>45820</v>
      </c>
      <c r="C1986">
        <v>53</v>
      </c>
      <c r="D1986" t="s">
        <v>14</v>
      </c>
      <c r="E1986" t="s">
        <v>15</v>
      </c>
      <c r="F1986" t="s">
        <v>16</v>
      </c>
      <c r="H1986">
        <v>585.9</v>
      </c>
      <c r="I1986" s="13">
        <v>10</v>
      </c>
      <c r="J1986">
        <v>1</v>
      </c>
      <c r="K1986">
        <v>13.85</v>
      </c>
      <c r="L1986">
        <v>4</v>
      </c>
      <c r="M1986">
        <v>12</v>
      </c>
      <c r="N1986">
        <v>5</v>
      </c>
      <c r="O1986">
        <f t="shared" si="30"/>
        <v>6</v>
      </c>
    </row>
    <row r="1987" spans="1:15">
      <c r="A1987">
        <v>2426</v>
      </c>
      <c r="B1987" s="1">
        <v>45820</v>
      </c>
      <c r="C1987">
        <v>18</v>
      </c>
      <c r="D1987" t="s">
        <v>17</v>
      </c>
      <c r="E1987" t="s">
        <v>15</v>
      </c>
      <c r="F1987" t="s">
        <v>23</v>
      </c>
      <c r="H1987">
        <v>460.7</v>
      </c>
      <c r="I1987" s="13">
        <v>6</v>
      </c>
      <c r="J1987">
        <v>1</v>
      </c>
      <c r="K1987">
        <v>13.77</v>
      </c>
      <c r="L1987">
        <v>2</v>
      </c>
      <c r="M1987">
        <v>9</v>
      </c>
      <c r="N1987">
        <v>3</v>
      </c>
      <c r="O1987">
        <f t="shared" ref="O1987:O2050" si="31">MONTH(B1987)</f>
        <v>6</v>
      </c>
    </row>
    <row r="1988" spans="1:15">
      <c r="A1988">
        <v>2233</v>
      </c>
      <c r="B1988" s="1">
        <v>45820</v>
      </c>
      <c r="C1988">
        <v>38</v>
      </c>
      <c r="D1988" t="s">
        <v>17</v>
      </c>
      <c r="E1988" t="s">
        <v>15</v>
      </c>
      <c r="F1988" t="s">
        <v>16</v>
      </c>
      <c r="H1988">
        <v>638.20000000000005</v>
      </c>
      <c r="I1988" s="13">
        <v>6</v>
      </c>
      <c r="J1988">
        <v>0</v>
      </c>
      <c r="K1988">
        <v>0</v>
      </c>
      <c r="L1988">
        <v>0</v>
      </c>
      <c r="M1988">
        <v>0</v>
      </c>
      <c r="O1988">
        <f t="shared" si="31"/>
        <v>6</v>
      </c>
    </row>
    <row r="1989" spans="1:15">
      <c r="A1989">
        <v>486</v>
      </c>
      <c r="B1989" s="1">
        <v>45820</v>
      </c>
      <c r="C1989">
        <v>21</v>
      </c>
      <c r="D1989" t="s">
        <v>14</v>
      </c>
      <c r="E1989" t="s">
        <v>24</v>
      </c>
      <c r="F1989" t="s">
        <v>16</v>
      </c>
      <c r="H1989">
        <v>573.4</v>
      </c>
      <c r="I1989" s="13">
        <v>4</v>
      </c>
      <c r="J1989">
        <v>0</v>
      </c>
      <c r="K1989">
        <v>0</v>
      </c>
      <c r="L1989">
        <v>0</v>
      </c>
      <c r="M1989">
        <v>0</v>
      </c>
      <c r="O1989">
        <f t="shared" si="31"/>
        <v>6</v>
      </c>
    </row>
    <row r="1990" spans="1:15">
      <c r="A1990">
        <v>368</v>
      </c>
      <c r="B1990" s="1">
        <v>45820</v>
      </c>
      <c r="C1990">
        <v>23</v>
      </c>
      <c r="D1990" t="s">
        <v>17</v>
      </c>
      <c r="E1990" t="s">
        <v>15</v>
      </c>
      <c r="F1990" t="s">
        <v>16</v>
      </c>
      <c r="H1990">
        <v>525.29999999999995</v>
      </c>
      <c r="I1990" s="13">
        <v>8</v>
      </c>
      <c r="J1990">
        <v>0</v>
      </c>
      <c r="K1990">
        <v>0</v>
      </c>
      <c r="L1990">
        <v>0</v>
      </c>
      <c r="M1990">
        <v>0</v>
      </c>
      <c r="O1990">
        <f t="shared" si="31"/>
        <v>6</v>
      </c>
    </row>
    <row r="1991" spans="1:15">
      <c r="A1991">
        <v>4788</v>
      </c>
      <c r="B1991" s="1">
        <v>45820</v>
      </c>
      <c r="C1991">
        <v>48</v>
      </c>
      <c r="D1991" t="s">
        <v>14</v>
      </c>
      <c r="E1991" t="s">
        <v>22</v>
      </c>
      <c r="F1991" t="s">
        <v>18</v>
      </c>
      <c r="G1991" t="s">
        <v>19</v>
      </c>
      <c r="H1991">
        <v>494.4</v>
      </c>
      <c r="I1991" s="13">
        <v>7</v>
      </c>
      <c r="J1991">
        <v>0</v>
      </c>
      <c r="K1991">
        <v>0</v>
      </c>
      <c r="L1991">
        <v>0</v>
      </c>
      <c r="M1991">
        <v>0</v>
      </c>
      <c r="O1991">
        <f t="shared" si="31"/>
        <v>6</v>
      </c>
    </row>
    <row r="1992" spans="1:15">
      <c r="A1992">
        <v>2357</v>
      </c>
      <c r="B1992" s="1">
        <v>45820</v>
      </c>
      <c r="C1992">
        <v>32</v>
      </c>
      <c r="D1992" t="s">
        <v>14</v>
      </c>
      <c r="E1992" t="s">
        <v>22</v>
      </c>
      <c r="F1992" t="s">
        <v>23</v>
      </c>
      <c r="H1992">
        <v>247.9</v>
      </c>
      <c r="I1992" s="13">
        <v>5</v>
      </c>
      <c r="J1992">
        <v>0</v>
      </c>
      <c r="K1992">
        <v>0</v>
      </c>
      <c r="L1992">
        <v>0</v>
      </c>
      <c r="M1992">
        <v>0</v>
      </c>
      <c r="O1992">
        <f t="shared" si="31"/>
        <v>6</v>
      </c>
    </row>
    <row r="1993" spans="1:15">
      <c r="A1993">
        <v>3395</v>
      </c>
      <c r="B1993" s="1">
        <v>45820</v>
      </c>
      <c r="C1993">
        <v>35</v>
      </c>
      <c r="D1993" t="s">
        <v>17</v>
      </c>
      <c r="E1993" t="s">
        <v>20</v>
      </c>
      <c r="F1993" t="s">
        <v>16</v>
      </c>
      <c r="H1993">
        <v>219.2</v>
      </c>
      <c r="I1993" s="13">
        <v>8</v>
      </c>
      <c r="J1993">
        <v>0</v>
      </c>
      <c r="K1993">
        <v>0</v>
      </c>
      <c r="L1993">
        <v>0</v>
      </c>
      <c r="M1993">
        <v>0</v>
      </c>
      <c r="O1993">
        <f t="shared" si="31"/>
        <v>6</v>
      </c>
    </row>
    <row r="1994" spans="1:15">
      <c r="A1994">
        <v>1357</v>
      </c>
      <c r="B1994" s="1">
        <v>45820</v>
      </c>
      <c r="C1994">
        <v>28</v>
      </c>
      <c r="D1994" t="s">
        <v>17</v>
      </c>
      <c r="E1994" t="s">
        <v>22</v>
      </c>
      <c r="F1994" t="s">
        <v>18</v>
      </c>
      <c r="G1994" t="s">
        <v>29</v>
      </c>
      <c r="H1994">
        <v>161.5</v>
      </c>
      <c r="I1994" s="13">
        <v>5</v>
      </c>
      <c r="J1994">
        <v>0</v>
      </c>
      <c r="K1994">
        <v>0</v>
      </c>
      <c r="L1994">
        <v>0</v>
      </c>
      <c r="M1994">
        <v>0</v>
      </c>
      <c r="O1994">
        <f t="shared" si="31"/>
        <v>6</v>
      </c>
    </row>
    <row r="1995" spans="1:15">
      <c r="A1995">
        <v>4124</v>
      </c>
      <c r="B1995" s="1">
        <v>45820</v>
      </c>
      <c r="C1995">
        <v>51</v>
      </c>
      <c r="D1995" t="s">
        <v>14</v>
      </c>
      <c r="E1995" t="s">
        <v>22</v>
      </c>
      <c r="F1995" t="s">
        <v>16</v>
      </c>
      <c r="H1995">
        <v>160.9</v>
      </c>
      <c r="I1995" s="13">
        <v>7</v>
      </c>
      <c r="J1995">
        <v>0</v>
      </c>
      <c r="K1995">
        <v>0</v>
      </c>
      <c r="L1995">
        <v>0</v>
      </c>
      <c r="M1995">
        <v>0</v>
      </c>
      <c r="O1995">
        <f t="shared" si="31"/>
        <v>6</v>
      </c>
    </row>
    <row r="1996" spans="1:15">
      <c r="A1996">
        <v>1560</v>
      </c>
      <c r="B1996" s="1">
        <v>45820</v>
      </c>
      <c r="C1996">
        <v>28</v>
      </c>
      <c r="D1996" t="s">
        <v>17</v>
      </c>
      <c r="E1996" t="s">
        <v>24</v>
      </c>
      <c r="F1996" t="s">
        <v>18</v>
      </c>
      <c r="G1996" t="s">
        <v>30</v>
      </c>
      <c r="H1996">
        <v>160.1</v>
      </c>
      <c r="I1996" s="13">
        <v>6</v>
      </c>
      <c r="J1996">
        <v>0</v>
      </c>
      <c r="K1996">
        <v>0</v>
      </c>
      <c r="L1996">
        <v>0</v>
      </c>
      <c r="M1996">
        <v>0</v>
      </c>
      <c r="O1996">
        <f t="shared" si="31"/>
        <v>6</v>
      </c>
    </row>
    <row r="1997" spans="1:15">
      <c r="A1997">
        <v>3976</v>
      </c>
      <c r="B1997" s="1">
        <v>45820</v>
      </c>
      <c r="C1997">
        <v>45</v>
      </c>
      <c r="D1997" t="s">
        <v>14</v>
      </c>
      <c r="E1997" t="s">
        <v>22</v>
      </c>
      <c r="F1997" t="s">
        <v>16</v>
      </c>
      <c r="H1997">
        <v>143.6</v>
      </c>
      <c r="I1997" s="13">
        <v>5</v>
      </c>
      <c r="J1997">
        <v>0</v>
      </c>
      <c r="K1997">
        <v>0</v>
      </c>
      <c r="L1997">
        <v>0</v>
      </c>
      <c r="M1997">
        <v>0</v>
      </c>
      <c r="O1997">
        <f t="shared" si="31"/>
        <v>6</v>
      </c>
    </row>
    <row r="1998" spans="1:15">
      <c r="A1998">
        <v>409</v>
      </c>
      <c r="B1998" s="1">
        <v>45820</v>
      </c>
      <c r="C1998">
        <v>18</v>
      </c>
      <c r="D1998" t="s">
        <v>17</v>
      </c>
      <c r="E1998" t="s">
        <v>22</v>
      </c>
      <c r="F1998" t="s">
        <v>23</v>
      </c>
      <c r="H1998">
        <v>116</v>
      </c>
      <c r="I1998" s="13">
        <v>7</v>
      </c>
      <c r="J1998">
        <v>0</v>
      </c>
      <c r="K1998">
        <v>0</v>
      </c>
      <c r="L1998">
        <v>0</v>
      </c>
      <c r="M1998">
        <v>0</v>
      </c>
      <c r="O1998">
        <f t="shared" si="31"/>
        <v>6</v>
      </c>
    </row>
    <row r="1999" spans="1:15">
      <c r="A1999">
        <v>1605</v>
      </c>
      <c r="B1999" s="1">
        <v>45670</v>
      </c>
      <c r="C1999">
        <v>35</v>
      </c>
      <c r="D1999" t="s">
        <v>14</v>
      </c>
      <c r="E1999" t="s">
        <v>20</v>
      </c>
      <c r="F1999" t="s">
        <v>16</v>
      </c>
      <c r="H1999">
        <v>503.9</v>
      </c>
      <c r="I1999" s="13">
        <v>6</v>
      </c>
      <c r="J1999">
        <v>1</v>
      </c>
      <c r="K1999">
        <v>354</v>
      </c>
      <c r="L1999">
        <v>4</v>
      </c>
      <c r="M1999">
        <v>4</v>
      </c>
      <c r="N1999">
        <v>4</v>
      </c>
      <c r="O1999">
        <f t="shared" si="31"/>
        <v>1</v>
      </c>
    </row>
    <row r="2000" spans="1:15">
      <c r="A2000">
        <v>2172</v>
      </c>
      <c r="B2000" s="1">
        <v>45670</v>
      </c>
      <c r="C2000">
        <v>28</v>
      </c>
      <c r="D2000" t="s">
        <v>14</v>
      </c>
      <c r="E2000" t="s">
        <v>22</v>
      </c>
      <c r="F2000" t="s">
        <v>16</v>
      </c>
      <c r="H2000">
        <v>719.8</v>
      </c>
      <c r="I2000" s="13">
        <v>2</v>
      </c>
      <c r="J2000">
        <v>1</v>
      </c>
      <c r="K2000">
        <v>430</v>
      </c>
      <c r="L2000">
        <v>3</v>
      </c>
      <c r="M2000">
        <v>10</v>
      </c>
      <c r="N2000">
        <v>5</v>
      </c>
      <c r="O2000">
        <f t="shared" si="31"/>
        <v>1</v>
      </c>
    </row>
    <row r="2001" spans="1:15">
      <c r="A2001">
        <v>4382</v>
      </c>
      <c r="B2001" s="1">
        <v>45670</v>
      </c>
      <c r="C2001">
        <v>66</v>
      </c>
      <c r="D2001" t="s">
        <v>14</v>
      </c>
      <c r="E2001" t="s">
        <v>24</v>
      </c>
      <c r="F2001" t="s">
        <v>18</v>
      </c>
      <c r="G2001" t="s">
        <v>28</v>
      </c>
      <c r="H2001">
        <v>1051.9000000000001</v>
      </c>
      <c r="I2001" s="13">
        <v>2</v>
      </c>
      <c r="J2001">
        <v>1</v>
      </c>
      <c r="K2001">
        <v>367</v>
      </c>
      <c r="L2001">
        <v>6</v>
      </c>
      <c r="M2001">
        <v>6</v>
      </c>
      <c r="N2001">
        <v>3</v>
      </c>
      <c r="O2001">
        <f t="shared" si="31"/>
        <v>1</v>
      </c>
    </row>
    <row r="2002" spans="1:15">
      <c r="A2002">
        <v>2402</v>
      </c>
      <c r="B2002" s="1">
        <v>45670</v>
      </c>
      <c r="C2002">
        <v>34</v>
      </c>
      <c r="D2002" t="s">
        <v>14</v>
      </c>
      <c r="E2002" t="s">
        <v>24</v>
      </c>
      <c r="F2002" t="s">
        <v>23</v>
      </c>
      <c r="H2002">
        <v>182.7</v>
      </c>
      <c r="I2002" s="13">
        <v>10</v>
      </c>
      <c r="J2002">
        <v>1</v>
      </c>
      <c r="K2002">
        <v>448</v>
      </c>
      <c r="L2002">
        <v>3</v>
      </c>
      <c r="M2002">
        <v>8</v>
      </c>
      <c r="N2002">
        <v>3</v>
      </c>
      <c r="O2002">
        <f t="shared" si="31"/>
        <v>1</v>
      </c>
    </row>
    <row r="2003" spans="1:15">
      <c r="A2003">
        <v>355</v>
      </c>
      <c r="B2003" s="1">
        <v>45670</v>
      </c>
      <c r="C2003">
        <v>20</v>
      </c>
      <c r="D2003" t="s">
        <v>14</v>
      </c>
      <c r="E2003" t="s">
        <v>22</v>
      </c>
      <c r="F2003" t="s">
        <v>16</v>
      </c>
      <c r="H2003">
        <v>336.1</v>
      </c>
      <c r="I2003" s="13">
        <v>8</v>
      </c>
      <c r="J2003">
        <v>1</v>
      </c>
      <c r="K2003">
        <v>265</v>
      </c>
      <c r="L2003">
        <v>4</v>
      </c>
      <c r="M2003">
        <v>7</v>
      </c>
      <c r="N2003">
        <v>5</v>
      </c>
      <c r="O2003">
        <f t="shared" si="31"/>
        <v>1</v>
      </c>
    </row>
    <row r="2004" spans="1:15">
      <c r="A2004">
        <v>2884</v>
      </c>
      <c r="B2004" s="1">
        <v>45670</v>
      </c>
      <c r="C2004">
        <v>30</v>
      </c>
      <c r="D2004" t="s">
        <v>17</v>
      </c>
      <c r="E2004" t="s">
        <v>22</v>
      </c>
      <c r="F2004" t="s">
        <v>18</v>
      </c>
      <c r="G2004" t="s">
        <v>31</v>
      </c>
      <c r="H2004">
        <v>709.2</v>
      </c>
      <c r="I2004" s="13">
        <v>3</v>
      </c>
      <c r="J2004">
        <v>1</v>
      </c>
      <c r="K2004">
        <v>209.32</v>
      </c>
      <c r="L2004">
        <v>2</v>
      </c>
      <c r="M2004">
        <v>15</v>
      </c>
      <c r="N2004">
        <v>3</v>
      </c>
      <c r="O2004">
        <f t="shared" si="31"/>
        <v>1</v>
      </c>
    </row>
    <row r="2005" spans="1:15">
      <c r="A2005">
        <v>3291</v>
      </c>
      <c r="B2005" s="1">
        <v>45670</v>
      </c>
      <c r="C2005">
        <v>37</v>
      </c>
      <c r="D2005" t="s">
        <v>17</v>
      </c>
      <c r="E2005" t="s">
        <v>20</v>
      </c>
      <c r="F2005" t="s">
        <v>18</v>
      </c>
      <c r="G2005" t="s">
        <v>26</v>
      </c>
      <c r="H2005">
        <v>1006</v>
      </c>
      <c r="I2005" s="13">
        <v>4</v>
      </c>
      <c r="J2005">
        <v>1</v>
      </c>
      <c r="K2005">
        <v>135.63999999999999</v>
      </c>
      <c r="L2005">
        <v>2</v>
      </c>
      <c r="M2005">
        <v>9</v>
      </c>
      <c r="N2005">
        <v>5</v>
      </c>
      <c r="O2005">
        <f t="shared" si="31"/>
        <v>1</v>
      </c>
    </row>
    <row r="2006" spans="1:15">
      <c r="A2006">
        <v>3308</v>
      </c>
      <c r="B2006" s="1">
        <v>45670</v>
      </c>
      <c r="C2006">
        <v>23</v>
      </c>
      <c r="D2006" t="s">
        <v>14</v>
      </c>
      <c r="E2006" t="s">
        <v>22</v>
      </c>
      <c r="F2006" t="s">
        <v>16</v>
      </c>
      <c r="H2006">
        <v>588.6</v>
      </c>
      <c r="I2006" s="13">
        <v>3</v>
      </c>
      <c r="J2006">
        <v>1</v>
      </c>
      <c r="K2006">
        <v>87.82</v>
      </c>
      <c r="L2006">
        <v>1</v>
      </c>
      <c r="M2006">
        <v>1</v>
      </c>
      <c r="N2006">
        <v>4</v>
      </c>
      <c r="O2006">
        <f t="shared" si="31"/>
        <v>1</v>
      </c>
    </row>
    <row r="2007" spans="1:15">
      <c r="A2007">
        <v>4802</v>
      </c>
      <c r="B2007" s="1">
        <v>45670</v>
      </c>
      <c r="C2007">
        <v>59</v>
      </c>
      <c r="D2007" t="s">
        <v>14</v>
      </c>
      <c r="E2007" t="s">
        <v>22</v>
      </c>
      <c r="F2007" t="s">
        <v>16</v>
      </c>
      <c r="H2007">
        <v>719.9</v>
      </c>
      <c r="I2007" s="13">
        <v>2</v>
      </c>
      <c r="J2007">
        <v>1</v>
      </c>
      <c r="K2007">
        <v>71.739999999999995</v>
      </c>
      <c r="L2007">
        <v>1</v>
      </c>
      <c r="M2007">
        <v>9</v>
      </c>
      <c r="N2007">
        <v>5</v>
      </c>
      <c r="O2007">
        <f t="shared" si="31"/>
        <v>1</v>
      </c>
    </row>
    <row r="2008" spans="1:15">
      <c r="A2008">
        <v>3870</v>
      </c>
      <c r="B2008" s="1">
        <v>45670</v>
      </c>
      <c r="C2008">
        <v>48</v>
      </c>
      <c r="D2008" t="s">
        <v>14</v>
      </c>
      <c r="E2008" t="s">
        <v>22</v>
      </c>
      <c r="F2008" t="s">
        <v>21</v>
      </c>
      <c r="H2008">
        <v>159.19999999999999</v>
      </c>
      <c r="I2008" s="13">
        <v>4</v>
      </c>
      <c r="J2008">
        <v>1</v>
      </c>
      <c r="K2008">
        <v>71.36</v>
      </c>
      <c r="L2008">
        <v>6</v>
      </c>
      <c r="M2008">
        <v>8</v>
      </c>
      <c r="N2008">
        <v>4</v>
      </c>
      <c r="O2008">
        <f t="shared" si="31"/>
        <v>1</v>
      </c>
    </row>
    <row r="2009" spans="1:15">
      <c r="A2009">
        <v>3175</v>
      </c>
      <c r="B2009" s="1">
        <v>45670</v>
      </c>
      <c r="C2009">
        <v>49</v>
      </c>
      <c r="D2009" t="s">
        <v>17</v>
      </c>
      <c r="E2009" t="s">
        <v>24</v>
      </c>
      <c r="F2009" t="s">
        <v>16</v>
      </c>
      <c r="H2009">
        <v>1056</v>
      </c>
      <c r="I2009" s="13">
        <v>5</v>
      </c>
      <c r="J2009">
        <v>1</v>
      </c>
      <c r="K2009">
        <v>60.32</v>
      </c>
      <c r="L2009">
        <v>3</v>
      </c>
      <c r="M2009">
        <v>11</v>
      </c>
      <c r="N2009">
        <v>4</v>
      </c>
      <c r="O2009">
        <f t="shared" si="31"/>
        <v>1</v>
      </c>
    </row>
    <row r="2010" spans="1:15">
      <c r="A2010">
        <v>375</v>
      </c>
      <c r="B2010" s="1">
        <v>45670</v>
      </c>
      <c r="C2010">
        <v>19</v>
      </c>
      <c r="D2010" t="s">
        <v>14</v>
      </c>
      <c r="E2010" t="s">
        <v>22</v>
      </c>
      <c r="F2010" t="s">
        <v>18</v>
      </c>
      <c r="G2010" t="s">
        <v>25</v>
      </c>
      <c r="H2010">
        <v>720</v>
      </c>
      <c r="I2010" s="13">
        <v>6</v>
      </c>
      <c r="J2010">
        <v>1</v>
      </c>
      <c r="K2010">
        <v>43.97</v>
      </c>
      <c r="L2010">
        <v>3</v>
      </c>
      <c r="M2010">
        <v>14</v>
      </c>
      <c r="N2010">
        <v>4</v>
      </c>
      <c r="O2010">
        <f t="shared" si="31"/>
        <v>1</v>
      </c>
    </row>
    <row r="2011" spans="1:15">
      <c r="A2011">
        <v>3792</v>
      </c>
      <c r="B2011" s="1">
        <v>45670</v>
      </c>
      <c r="C2011">
        <v>50</v>
      </c>
      <c r="D2011" t="s">
        <v>14</v>
      </c>
      <c r="E2011" t="s">
        <v>22</v>
      </c>
      <c r="F2011" t="s">
        <v>18</v>
      </c>
      <c r="G2011" t="s">
        <v>28</v>
      </c>
      <c r="H2011">
        <v>273.39999999999998</v>
      </c>
      <c r="I2011" s="13">
        <v>10</v>
      </c>
      <c r="J2011">
        <v>1</v>
      </c>
      <c r="K2011">
        <v>38.14</v>
      </c>
      <c r="L2011">
        <v>2</v>
      </c>
      <c r="M2011">
        <v>13</v>
      </c>
      <c r="N2011">
        <v>3</v>
      </c>
      <c r="O2011">
        <f t="shared" si="31"/>
        <v>1</v>
      </c>
    </row>
    <row r="2012" spans="1:15">
      <c r="A2012">
        <v>2885</v>
      </c>
      <c r="B2012" s="1">
        <v>45670</v>
      </c>
      <c r="C2012">
        <v>23</v>
      </c>
      <c r="D2012" t="s">
        <v>14</v>
      </c>
      <c r="E2012" t="s">
        <v>24</v>
      </c>
      <c r="F2012" t="s">
        <v>16</v>
      </c>
      <c r="H2012">
        <v>313.39999999999998</v>
      </c>
      <c r="I2012" s="13">
        <v>13</v>
      </c>
      <c r="J2012">
        <v>1</v>
      </c>
      <c r="K2012">
        <v>35.090000000000003</v>
      </c>
      <c r="L2012">
        <v>2</v>
      </c>
      <c r="M2012">
        <v>6</v>
      </c>
      <c r="N2012">
        <v>4</v>
      </c>
      <c r="O2012">
        <f t="shared" si="31"/>
        <v>1</v>
      </c>
    </row>
    <row r="2013" spans="1:15">
      <c r="A2013">
        <v>370</v>
      </c>
      <c r="B2013" s="1">
        <v>45670</v>
      </c>
      <c r="C2013">
        <v>18</v>
      </c>
      <c r="D2013" t="s">
        <v>17</v>
      </c>
      <c r="E2013" t="s">
        <v>15</v>
      </c>
      <c r="F2013" t="s">
        <v>18</v>
      </c>
      <c r="G2013" t="s">
        <v>19</v>
      </c>
      <c r="H2013">
        <v>317.39999999999998</v>
      </c>
      <c r="I2013" s="13">
        <v>7</v>
      </c>
      <c r="J2013">
        <v>1</v>
      </c>
      <c r="K2013">
        <v>32.65</v>
      </c>
      <c r="L2013">
        <v>3</v>
      </c>
      <c r="M2013">
        <v>9</v>
      </c>
      <c r="N2013">
        <v>4</v>
      </c>
      <c r="O2013">
        <f t="shared" si="31"/>
        <v>1</v>
      </c>
    </row>
    <row r="2014" spans="1:15">
      <c r="A2014">
        <v>1799</v>
      </c>
      <c r="B2014" s="1">
        <v>45670</v>
      </c>
      <c r="C2014">
        <v>38</v>
      </c>
      <c r="D2014" t="s">
        <v>17</v>
      </c>
      <c r="E2014" t="s">
        <v>24</v>
      </c>
      <c r="F2014" t="s">
        <v>23</v>
      </c>
      <c r="H2014">
        <v>193.7</v>
      </c>
      <c r="I2014" s="13">
        <v>4</v>
      </c>
      <c r="J2014">
        <v>1</v>
      </c>
      <c r="K2014">
        <v>31.97</v>
      </c>
      <c r="L2014">
        <v>2</v>
      </c>
      <c r="M2014">
        <v>11</v>
      </c>
      <c r="N2014">
        <v>3</v>
      </c>
      <c r="O2014">
        <f t="shared" si="31"/>
        <v>1</v>
      </c>
    </row>
    <row r="2015" spans="1:15">
      <c r="A2015">
        <v>2047</v>
      </c>
      <c r="B2015" s="1">
        <v>45670</v>
      </c>
      <c r="C2015">
        <v>38</v>
      </c>
      <c r="D2015" t="s">
        <v>17</v>
      </c>
      <c r="E2015" t="s">
        <v>15</v>
      </c>
      <c r="F2015" t="s">
        <v>16</v>
      </c>
      <c r="H2015">
        <v>338.9</v>
      </c>
      <c r="I2015" s="13">
        <v>7</v>
      </c>
      <c r="J2015">
        <v>1</v>
      </c>
      <c r="K2015">
        <v>21.35</v>
      </c>
      <c r="L2015">
        <v>1</v>
      </c>
      <c r="M2015">
        <v>2</v>
      </c>
      <c r="N2015">
        <v>4</v>
      </c>
      <c r="O2015">
        <f t="shared" si="31"/>
        <v>1</v>
      </c>
    </row>
    <row r="2016" spans="1:15">
      <c r="A2016">
        <v>1607</v>
      </c>
      <c r="B2016" s="1">
        <v>45670</v>
      </c>
      <c r="C2016">
        <v>23</v>
      </c>
      <c r="D2016" t="s">
        <v>17</v>
      </c>
      <c r="E2016" t="s">
        <v>15</v>
      </c>
      <c r="F2016" t="s">
        <v>18</v>
      </c>
      <c r="G2016" t="s">
        <v>30</v>
      </c>
      <c r="H2016">
        <v>626.20000000000005</v>
      </c>
      <c r="I2016" s="13">
        <v>6</v>
      </c>
      <c r="J2016">
        <v>0</v>
      </c>
      <c r="K2016">
        <v>0</v>
      </c>
      <c r="L2016">
        <v>0</v>
      </c>
      <c r="M2016">
        <v>0</v>
      </c>
      <c r="O2016">
        <f t="shared" si="31"/>
        <v>1</v>
      </c>
    </row>
    <row r="2017" spans="1:15">
      <c r="A2017">
        <v>1188</v>
      </c>
      <c r="B2017" s="1">
        <v>45670</v>
      </c>
      <c r="C2017">
        <v>25</v>
      </c>
      <c r="D2017" t="s">
        <v>17</v>
      </c>
      <c r="E2017" t="s">
        <v>24</v>
      </c>
      <c r="F2017" t="s">
        <v>16</v>
      </c>
      <c r="H2017">
        <v>513.5</v>
      </c>
      <c r="I2017" s="13">
        <v>9</v>
      </c>
      <c r="J2017">
        <v>0</v>
      </c>
      <c r="K2017">
        <v>0</v>
      </c>
      <c r="L2017">
        <v>0</v>
      </c>
      <c r="M2017">
        <v>0</v>
      </c>
      <c r="O2017">
        <f t="shared" si="31"/>
        <v>1</v>
      </c>
    </row>
    <row r="2018" spans="1:15">
      <c r="A2018">
        <v>2280</v>
      </c>
      <c r="B2018" s="1">
        <v>45670</v>
      </c>
      <c r="C2018">
        <v>35</v>
      </c>
      <c r="D2018" t="s">
        <v>14</v>
      </c>
      <c r="E2018" t="s">
        <v>22</v>
      </c>
      <c r="F2018" t="s">
        <v>16</v>
      </c>
      <c r="H2018">
        <v>512.9</v>
      </c>
      <c r="I2018" s="13">
        <v>9</v>
      </c>
      <c r="J2018">
        <v>0</v>
      </c>
      <c r="K2018">
        <v>0</v>
      </c>
      <c r="L2018">
        <v>0</v>
      </c>
      <c r="M2018">
        <v>0</v>
      </c>
      <c r="O2018">
        <f t="shared" si="31"/>
        <v>1</v>
      </c>
    </row>
    <row r="2019" spans="1:15">
      <c r="A2019">
        <v>3519</v>
      </c>
      <c r="B2019" s="1">
        <v>45670</v>
      </c>
      <c r="C2019">
        <v>30</v>
      </c>
      <c r="D2019" t="s">
        <v>14</v>
      </c>
      <c r="E2019" t="s">
        <v>24</v>
      </c>
      <c r="F2019" t="s">
        <v>16</v>
      </c>
      <c r="H2019">
        <v>512.5</v>
      </c>
      <c r="I2019" s="13">
        <v>5</v>
      </c>
      <c r="J2019">
        <v>0</v>
      </c>
      <c r="K2019">
        <v>0</v>
      </c>
      <c r="L2019">
        <v>0</v>
      </c>
      <c r="M2019">
        <v>0</v>
      </c>
      <c r="O2019">
        <f t="shared" si="31"/>
        <v>1</v>
      </c>
    </row>
    <row r="2020" spans="1:15">
      <c r="A2020">
        <v>2587</v>
      </c>
      <c r="B2020" s="1">
        <v>45670</v>
      </c>
      <c r="C2020">
        <v>35</v>
      </c>
      <c r="D2020" t="s">
        <v>17</v>
      </c>
      <c r="E2020" t="s">
        <v>22</v>
      </c>
      <c r="F2020" t="s">
        <v>18</v>
      </c>
      <c r="G2020" t="s">
        <v>28</v>
      </c>
      <c r="H2020">
        <v>507.3</v>
      </c>
      <c r="I2020" s="13">
        <v>4</v>
      </c>
      <c r="J2020">
        <v>0</v>
      </c>
      <c r="K2020">
        <v>0</v>
      </c>
      <c r="L2020">
        <v>0</v>
      </c>
      <c r="M2020">
        <v>0</v>
      </c>
      <c r="O2020">
        <f t="shared" si="31"/>
        <v>1</v>
      </c>
    </row>
    <row r="2021" spans="1:15">
      <c r="A2021">
        <v>3039</v>
      </c>
      <c r="B2021" s="1">
        <v>45670</v>
      </c>
      <c r="C2021">
        <v>24</v>
      </c>
      <c r="D2021" t="s">
        <v>17</v>
      </c>
      <c r="E2021" t="s">
        <v>20</v>
      </c>
      <c r="F2021" t="s">
        <v>23</v>
      </c>
      <c r="H2021">
        <v>465.7</v>
      </c>
      <c r="I2021" s="13">
        <v>2</v>
      </c>
      <c r="J2021">
        <v>0</v>
      </c>
      <c r="K2021">
        <v>0</v>
      </c>
      <c r="L2021">
        <v>0</v>
      </c>
      <c r="M2021">
        <v>0</v>
      </c>
      <c r="O2021">
        <f t="shared" si="31"/>
        <v>1</v>
      </c>
    </row>
    <row r="2022" spans="1:15">
      <c r="A2022">
        <v>3850</v>
      </c>
      <c r="B2022" s="1">
        <v>45670</v>
      </c>
      <c r="C2022">
        <v>42</v>
      </c>
      <c r="D2022" t="s">
        <v>14</v>
      </c>
      <c r="E2022" t="s">
        <v>20</v>
      </c>
      <c r="F2022" t="s">
        <v>16</v>
      </c>
      <c r="H2022">
        <v>367.1</v>
      </c>
      <c r="I2022" s="13">
        <v>7</v>
      </c>
      <c r="J2022">
        <v>0</v>
      </c>
      <c r="K2022">
        <v>0</v>
      </c>
      <c r="L2022">
        <v>0</v>
      </c>
      <c r="M2022">
        <v>0</v>
      </c>
      <c r="O2022">
        <f t="shared" si="31"/>
        <v>1</v>
      </c>
    </row>
    <row r="2023" spans="1:15">
      <c r="A2023">
        <v>4781</v>
      </c>
      <c r="B2023" s="1">
        <v>45670</v>
      </c>
      <c r="C2023">
        <v>53</v>
      </c>
      <c r="D2023" t="s">
        <v>17</v>
      </c>
      <c r="E2023" t="s">
        <v>15</v>
      </c>
      <c r="F2023" t="s">
        <v>18</v>
      </c>
      <c r="G2023" t="s">
        <v>25</v>
      </c>
      <c r="H2023">
        <v>345.5</v>
      </c>
      <c r="I2023" s="13">
        <v>7</v>
      </c>
      <c r="J2023">
        <v>0</v>
      </c>
      <c r="K2023">
        <v>0</v>
      </c>
      <c r="L2023">
        <v>0</v>
      </c>
      <c r="M2023">
        <v>0</v>
      </c>
      <c r="O2023">
        <f t="shared" si="31"/>
        <v>1</v>
      </c>
    </row>
    <row r="2024" spans="1:15">
      <c r="A2024">
        <v>1191</v>
      </c>
      <c r="B2024" s="1">
        <v>45670</v>
      </c>
      <c r="C2024">
        <v>27</v>
      </c>
      <c r="D2024" t="s">
        <v>14</v>
      </c>
      <c r="E2024" t="s">
        <v>20</v>
      </c>
      <c r="F2024" t="s">
        <v>21</v>
      </c>
      <c r="H2024">
        <v>314.89999999999998</v>
      </c>
      <c r="I2024" s="13">
        <v>6</v>
      </c>
      <c r="J2024">
        <v>0</v>
      </c>
      <c r="K2024">
        <v>0</v>
      </c>
      <c r="L2024">
        <v>0</v>
      </c>
      <c r="M2024">
        <v>0</v>
      </c>
      <c r="O2024">
        <f t="shared" si="31"/>
        <v>1</v>
      </c>
    </row>
    <row r="2025" spans="1:15">
      <c r="A2025">
        <v>3266</v>
      </c>
      <c r="B2025" s="1">
        <v>45670</v>
      </c>
      <c r="C2025">
        <v>47</v>
      </c>
      <c r="D2025" t="s">
        <v>14</v>
      </c>
      <c r="E2025" t="s">
        <v>24</v>
      </c>
      <c r="F2025" t="s">
        <v>16</v>
      </c>
      <c r="H2025">
        <v>275.89999999999998</v>
      </c>
      <c r="I2025" s="13">
        <v>9</v>
      </c>
      <c r="J2025">
        <v>0</v>
      </c>
      <c r="K2025">
        <v>0</v>
      </c>
      <c r="L2025">
        <v>0</v>
      </c>
      <c r="M2025">
        <v>0</v>
      </c>
      <c r="O2025">
        <f t="shared" si="31"/>
        <v>1</v>
      </c>
    </row>
    <row r="2026" spans="1:15">
      <c r="A2026">
        <v>1339</v>
      </c>
      <c r="B2026" s="1">
        <v>45670</v>
      </c>
      <c r="C2026">
        <v>22</v>
      </c>
      <c r="D2026" t="s">
        <v>14</v>
      </c>
      <c r="E2026" t="s">
        <v>15</v>
      </c>
      <c r="F2026" t="s">
        <v>21</v>
      </c>
      <c r="H2026">
        <v>271.5</v>
      </c>
      <c r="I2026" s="13">
        <v>3</v>
      </c>
      <c r="J2026">
        <v>0</v>
      </c>
      <c r="K2026">
        <v>0</v>
      </c>
      <c r="L2026">
        <v>0</v>
      </c>
      <c r="M2026">
        <v>0</v>
      </c>
      <c r="O2026">
        <f t="shared" si="31"/>
        <v>1</v>
      </c>
    </row>
    <row r="2027" spans="1:15">
      <c r="A2027">
        <v>4113</v>
      </c>
      <c r="B2027" s="1">
        <v>45670</v>
      </c>
      <c r="C2027">
        <v>45</v>
      </c>
      <c r="D2027" t="s">
        <v>14</v>
      </c>
      <c r="E2027" t="s">
        <v>22</v>
      </c>
      <c r="F2027" t="s">
        <v>23</v>
      </c>
      <c r="H2027">
        <v>234.5</v>
      </c>
      <c r="I2027" s="13">
        <v>3</v>
      </c>
      <c r="J2027">
        <v>0</v>
      </c>
      <c r="K2027">
        <v>0</v>
      </c>
      <c r="L2027">
        <v>0</v>
      </c>
      <c r="M2027">
        <v>0</v>
      </c>
      <c r="O2027">
        <f t="shared" si="31"/>
        <v>1</v>
      </c>
    </row>
    <row r="2028" spans="1:15">
      <c r="A2028">
        <v>4863</v>
      </c>
      <c r="B2028" s="1">
        <v>45670</v>
      </c>
      <c r="C2028">
        <v>54</v>
      </c>
      <c r="D2028" t="s">
        <v>14</v>
      </c>
      <c r="E2028" t="s">
        <v>15</v>
      </c>
      <c r="F2028" t="s">
        <v>18</v>
      </c>
      <c r="G2028" t="s">
        <v>25</v>
      </c>
      <c r="H2028">
        <v>175.2</v>
      </c>
      <c r="I2028" s="13">
        <v>4</v>
      </c>
      <c r="J2028">
        <v>0</v>
      </c>
      <c r="K2028">
        <v>0</v>
      </c>
      <c r="L2028">
        <v>0</v>
      </c>
      <c r="M2028">
        <v>0</v>
      </c>
      <c r="O2028">
        <f t="shared" si="31"/>
        <v>1</v>
      </c>
    </row>
    <row r="2029" spans="1:15">
      <c r="A2029">
        <v>2342</v>
      </c>
      <c r="B2029" s="1">
        <v>45670</v>
      </c>
      <c r="C2029">
        <v>43</v>
      </c>
      <c r="D2029" t="s">
        <v>17</v>
      </c>
      <c r="E2029" t="s">
        <v>22</v>
      </c>
      <c r="F2029" t="s">
        <v>21</v>
      </c>
      <c r="H2029">
        <v>170.6</v>
      </c>
      <c r="I2029" s="13">
        <v>3</v>
      </c>
      <c r="J2029">
        <v>0</v>
      </c>
      <c r="K2029">
        <v>0</v>
      </c>
      <c r="L2029">
        <v>0</v>
      </c>
      <c r="M2029">
        <v>0</v>
      </c>
      <c r="O2029">
        <f t="shared" si="31"/>
        <v>1</v>
      </c>
    </row>
    <row r="2030" spans="1:15">
      <c r="A2030">
        <v>3512</v>
      </c>
      <c r="B2030" s="1">
        <v>45670</v>
      </c>
      <c r="C2030">
        <v>43</v>
      </c>
      <c r="D2030" t="s">
        <v>14</v>
      </c>
      <c r="E2030" t="s">
        <v>24</v>
      </c>
      <c r="F2030" t="s">
        <v>23</v>
      </c>
      <c r="H2030">
        <v>170.5</v>
      </c>
      <c r="I2030" s="13">
        <v>7</v>
      </c>
      <c r="J2030">
        <v>0</v>
      </c>
      <c r="K2030">
        <v>0</v>
      </c>
      <c r="L2030">
        <v>0</v>
      </c>
      <c r="M2030">
        <v>0</v>
      </c>
      <c r="O2030">
        <f t="shared" si="31"/>
        <v>1</v>
      </c>
    </row>
    <row r="2031" spans="1:15">
      <c r="A2031">
        <v>3140</v>
      </c>
      <c r="B2031" s="1">
        <v>45670</v>
      </c>
      <c r="C2031">
        <v>45</v>
      </c>
      <c r="D2031" t="s">
        <v>17</v>
      </c>
      <c r="E2031" t="s">
        <v>22</v>
      </c>
      <c r="F2031" t="s">
        <v>18</v>
      </c>
      <c r="G2031" t="s">
        <v>19</v>
      </c>
      <c r="H2031">
        <v>170</v>
      </c>
      <c r="I2031" s="13">
        <v>6</v>
      </c>
      <c r="J2031">
        <v>0</v>
      </c>
      <c r="K2031">
        <v>0</v>
      </c>
      <c r="L2031">
        <v>0</v>
      </c>
      <c r="M2031">
        <v>0</v>
      </c>
      <c r="O2031">
        <f t="shared" si="31"/>
        <v>1</v>
      </c>
    </row>
    <row r="2032" spans="1:15">
      <c r="A2032">
        <v>1696</v>
      </c>
      <c r="B2032" s="1">
        <v>45670</v>
      </c>
      <c r="C2032">
        <v>20</v>
      </c>
      <c r="D2032" t="s">
        <v>17</v>
      </c>
      <c r="E2032" t="s">
        <v>24</v>
      </c>
      <c r="F2032" t="s">
        <v>16</v>
      </c>
      <c r="H2032">
        <v>138.6</v>
      </c>
      <c r="I2032" s="13">
        <v>7</v>
      </c>
      <c r="J2032">
        <v>0</v>
      </c>
      <c r="K2032">
        <v>0</v>
      </c>
      <c r="L2032">
        <v>0</v>
      </c>
      <c r="M2032">
        <v>0</v>
      </c>
      <c r="O2032">
        <f t="shared" si="31"/>
        <v>1</v>
      </c>
    </row>
    <row r="2033" spans="1:15">
      <c r="A2033">
        <v>1998</v>
      </c>
      <c r="B2033" s="1">
        <v>45670</v>
      </c>
      <c r="C2033">
        <v>53</v>
      </c>
      <c r="D2033" t="s">
        <v>17</v>
      </c>
      <c r="E2033" t="s">
        <v>20</v>
      </c>
      <c r="F2033" t="s">
        <v>16</v>
      </c>
      <c r="H2033">
        <v>132.9</v>
      </c>
      <c r="I2033" s="13">
        <v>2</v>
      </c>
      <c r="J2033">
        <v>0</v>
      </c>
      <c r="K2033">
        <v>0</v>
      </c>
      <c r="L2033">
        <v>0</v>
      </c>
      <c r="M2033">
        <v>0</v>
      </c>
      <c r="O2033">
        <f t="shared" si="31"/>
        <v>1</v>
      </c>
    </row>
    <row r="2034" spans="1:15">
      <c r="A2034">
        <v>4995</v>
      </c>
      <c r="B2034" s="1">
        <v>45670</v>
      </c>
      <c r="C2034">
        <v>40</v>
      </c>
      <c r="D2034" t="s">
        <v>14</v>
      </c>
      <c r="E2034" t="s">
        <v>20</v>
      </c>
      <c r="F2034" t="s">
        <v>18</v>
      </c>
      <c r="G2034" t="s">
        <v>28</v>
      </c>
      <c r="H2034">
        <v>119.7</v>
      </c>
      <c r="I2034" s="13">
        <v>5</v>
      </c>
      <c r="J2034">
        <v>0</v>
      </c>
      <c r="K2034">
        <v>0</v>
      </c>
      <c r="L2034">
        <v>0</v>
      </c>
      <c r="M2034">
        <v>0</v>
      </c>
      <c r="O2034">
        <f t="shared" si="31"/>
        <v>1</v>
      </c>
    </row>
    <row r="2035" spans="1:15">
      <c r="A2035">
        <v>3401</v>
      </c>
      <c r="B2035" s="1">
        <v>45670</v>
      </c>
      <c r="C2035">
        <v>42</v>
      </c>
      <c r="D2035" t="s">
        <v>14</v>
      </c>
      <c r="E2035" t="s">
        <v>15</v>
      </c>
      <c r="F2035" t="s">
        <v>18</v>
      </c>
      <c r="G2035" t="s">
        <v>26</v>
      </c>
      <c r="H2035">
        <v>92.5</v>
      </c>
      <c r="I2035" s="13">
        <v>5</v>
      </c>
      <c r="J2035">
        <v>0</v>
      </c>
      <c r="K2035">
        <v>0</v>
      </c>
      <c r="L2035">
        <v>0</v>
      </c>
      <c r="M2035">
        <v>0</v>
      </c>
      <c r="O2035">
        <f t="shared" si="31"/>
        <v>1</v>
      </c>
    </row>
    <row r="2036" spans="1:15">
      <c r="A2036">
        <v>4732</v>
      </c>
      <c r="B2036" s="1">
        <v>45670</v>
      </c>
      <c r="C2036">
        <v>62</v>
      </c>
      <c r="D2036" t="s">
        <v>17</v>
      </c>
      <c r="E2036" t="s">
        <v>15</v>
      </c>
      <c r="F2036" t="s">
        <v>16</v>
      </c>
      <c r="H2036">
        <v>86.4</v>
      </c>
      <c r="I2036" s="13">
        <v>9</v>
      </c>
      <c r="J2036">
        <v>0</v>
      </c>
      <c r="K2036">
        <v>0</v>
      </c>
      <c r="L2036">
        <v>0</v>
      </c>
      <c r="M2036">
        <v>0</v>
      </c>
      <c r="O2036">
        <f t="shared" si="31"/>
        <v>1</v>
      </c>
    </row>
    <row r="2037" spans="1:15">
      <c r="A2037">
        <v>851</v>
      </c>
      <c r="B2037" s="1">
        <v>45670</v>
      </c>
      <c r="C2037">
        <v>24</v>
      </c>
      <c r="D2037" t="s">
        <v>14</v>
      </c>
      <c r="E2037" t="s">
        <v>20</v>
      </c>
      <c r="F2037" t="s">
        <v>16</v>
      </c>
      <c r="H2037">
        <v>72.5</v>
      </c>
      <c r="I2037" s="13">
        <v>4</v>
      </c>
      <c r="J2037">
        <v>0</v>
      </c>
      <c r="K2037">
        <v>0</v>
      </c>
      <c r="L2037">
        <v>0</v>
      </c>
      <c r="M2037">
        <v>0</v>
      </c>
      <c r="O2037">
        <f t="shared" si="31"/>
        <v>1</v>
      </c>
    </row>
    <row r="2038" spans="1:15">
      <c r="A2038">
        <v>3019</v>
      </c>
      <c r="B2038" s="1">
        <v>45670</v>
      </c>
      <c r="C2038">
        <v>44</v>
      </c>
      <c r="D2038" t="s">
        <v>14</v>
      </c>
      <c r="E2038" t="s">
        <v>24</v>
      </c>
      <c r="F2038" t="s">
        <v>23</v>
      </c>
      <c r="H2038">
        <v>51.2</v>
      </c>
      <c r="I2038" s="13">
        <v>6</v>
      </c>
      <c r="J2038">
        <v>0</v>
      </c>
      <c r="K2038">
        <v>0</v>
      </c>
      <c r="L2038">
        <v>0</v>
      </c>
      <c r="M2038">
        <v>0</v>
      </c>
      <c r="O2038">
        <f t="shared" si="31"/>
        <v>1</v>
      </c>
    </row>
    <row r="2039" spans="1:15">
      <c r="A2039">
        <v>1798</v>
      </c>
      <c r="B2039" s="1">
        <v>45670</v>
      </c>
      <c r="C2039">
        <v>36</v>
      </c>
      <c r="D2039" t="s">
        <v>14</v>
      </c>
      <c r="E2039" t="s">
        <v>24</v>
      </c>
      <c r="F2039" t="s">
        <v>18</v>
      </c>
      <c r="G2039" t="s">
        <v>29</v>
      </c>
      <c r="H2039">
        <v>47.9</v>
      </c>
      <c r="I2039" s="13">
        <v>7</v>
      </c>
      <c r="J2039">
        <v>0</v>
      </c>
      <c r="K2039">
        <v>0</v>
      </c>
      <c r="L2039">
        <v>0</v>
      </c>
      <c r="M2039">
        <v>0</v>
      </c>
      <c r="O2039">
        <f t="shared" si="31"/>
        <v>1</v>
      </c>
    </row>
    <row r="2040" spans="1:15">
      <c r="A2040">
        <v>190</v>
      </c>
      <c r="B2040" s="1">
        <v>45701</v>
      </c>
      <c r="C2040">
        <v>25</v>
      </c>
      <c r="D2040" t="s">
        <v>17</v>
      </c>
      <c r="E2040" t="s">
        <v>15</v>
      </c>
      <c r="F2040" t="s">
        <v>23</v>
      </c>
      <c r="H2040">
        <v>1006.6</v>
      </c>
      <c r="I2040" s="13">
        <v>7</v>
      </c>
      <c r="J2040">
        <v>1</v>
      </c>
      <c r="K2040">
        <v>86</v>
      </c>
      <c r="L2040">
        <v>1</v>
      </c>
      <c r="M2040">
        <v>9</v>
      </c>
      <c r="N2040">
        <v>4</v>
      </c>
      <c r="O2040">
        <f t="shared" si="31"/>
        <v>2</v>
      </c>
    </row>
    <row r="2041" spans="1:15">
      <c r="A2041">
        <v>4573</v>
      </c>
      <c r="B2041" s="1">
        <v>45701</v>
      </c>
      <c r="C2041">
        <v>46</v>
      </c>
      <c r="D2041" t="s">
        <v>14</v>
      </c>
      <c r="E2041" t="s">
        <v>20</v>
      </c>
      <c r="F2041" t="s">
        <v>16</v>
      </c>
      <c r="H2041">
        <v>1265.4000000000001</v>
      </c>
      <c r="I2041" s="13">
        <v>3</v>
      </c>
      <c r="J2041">
        <v>1</v>
      </c>
      <c r="K2041">
        <v>348</v>
      </c>
      <c r="L2041">
        <v>1</v>
      </c>
      <c r="M2041">
        <v>6</v>
      </c>
      <c r="N2041">
        <v>4</v>
      </c>
      <c r="O2041">
        <f t="shared" si="31"/>
        <v>2</v>
      </c>
    </row>
    <row r="2042" spans="1:15">
      <c r="A2042">
        <v>638</v>
      </c>
      <c r="B2042" s="1">
        <v>45701</v>
      </c>
      <c r="C2042">
        <v>29</v>
      </c>
      <c r="D2042" t="s">
        <v>17</v>
      </c>
      <c r="E2042" t="s">
        <v>24</v>
      </c>
      <c r="F2042" t="s">
        <v>21</v>
      </c>
      <c r="H2042">
        <v>840.8</v>
      </c>
      <c r="I2042" s="13">
        <v>3</v>
      </c>
      <c r="J2042">
        <v>1</v>
      </c>
      <c r="K2042">
        <v>435</v>
      </c>
      <c r="L2042">
        <v>2</v>
      </c>
      <c r="M2042">
        <v>1</v>
      </c>
      <c r="N2042">
        <v>4</v>
      </c>
      <c r="O2042">
        <f t="shared" si="31"/>
        <v>2</v>
      </c>
    </row>
    <row r="2043" spans="1:15">
      <c r="A2043">
        <v>1277</v>
      </c>
      <c r="B2043" s="1">
        <v>45701</v>
      </c>
      <c r="C2043">
        <v>22</v>
      </c>
      <c r="D2043" t="s">
        <v>17</v>
      </c>
      <c r="E2043" t="s">
        <v>24</v>
      </c>
      <c r="F2043" t="s">
        <v>18</v>
      </c>
      <c r="G2043" t="s">
        <v>30</v>
      </c>
      <c r="H2043">
        <v>248.4</v>
      </c>
      <c r="I2043" s="13">
        <v>8</v>
      </c>
      <c r="J2043">
        <v>1</v>
      </c>
      <c r="K2043">
        <v>112.28</v>
      </c>
      <c r="L2043">
        <v>1</v>
      </c>
      <c r="M2043">
        <v>3</v>
      </c>
      <c r="N2043">
        <v>4</v>
      </c>
      <c r="O2043">
        <f t="shared" si="31"/>
        <v>2</v>
      </c>
    </row>
    <row r="2044" spans="1:15">
      <c r="A2044">
        <v>2589</v>
      </c>
      <c r="B2044" s="1">
        <v>45701</v>
      </c>
      <c r="C2044">
        <v>40</v>
      </c>
      <c r="D2044" t="s">
        <v>17</v>
      </c>
      <c r="E2044" t="s">
        <v>15</v>
      </c>
      <c r="F2044" t="s">
        <v>21</v>
      </c>
      <c r="H2044">
        <v>410.3</v>
      </c>
      <c r="I2044" s="13">
        <v>8</v>
      </c>
      <c r="J2044">
        <v>1</v>
      </c>
      <c r="K2044">
        <v>102.32</v>
      </c>
      <c r="L2044">
        <v>5</v>
      </c>
      <c r="M2044">
        <v>2</v>
      </c>
      <c r="N2044">
        <v>4</v>
      </c>
      <c r="O2044">
        <f t="shared" si="31"/>
        <v>2</v>
      </c>
    </row>
    <row r="2045" spans="1:15">
      <c r="A2045">
        <v>3227</v>
      </c>
      <c r="B2045" s="1">
        <v>45701</v>
      </c>
      <c r="C2045">
        <v>44</v>
      </c>
      <c r="D2045" t="s">
        <v>17</v>
      </c>
      <c r="E2045" t="s">
        <v>24</v>
      </c>
      <c r="F2045" t="s">
        <v>21</v>
      </c>
      <c r="H2045">
        <v>345.3</v>
      </c>
      <c r="I2045" s="13">
        <v>7</v>
      </c>
      <c r="J2045">
        <v>1</v>
      </c>
      <c r="K2045">
        <v>94.07</v>
      </c>
      <c r="L2045">
        <v>4</v>
      </c>
      <c r="M2045">
        <v>3</v>
      </c>
      <c r="N2045">
        <v>3</v>
      </c>
      <c r="O2045">
        <f t="shared" si="31"/>
        <v>2</v>
      </c>
    </row>
    <row r="2046" spans="1:15">
      <c r="A2046">
        <v>2240</v>
      </c>
      <c r="B2046" s="1">
        <v>45701</v>
      </c>
      <c r="C2046">
        <v>33</v>
      </c>
      <c r="D2046" t="s">
        <v>14</v>
      </c>
      <c r="E2046" t="s">
        <v>22</v>
      </c>
      <c r="F2046" t="s">
        <v>23</v>
      </c>
      <c r="H2046">
        <v>725.4</v>
      </c>
      <c r="I2046" s="13">
        <v>9</v>
      </c>
      <c r="J2046">
        <v>1</v>
      </c>
      <c r="K2046">
        <v>49.57</v>
      </c>
      <c r="L2046">
        <v>2</v>
      </c>
      <c r="M2046">
        <v>13</v>
      </c>
      <c r="N2046">
        <v>5</v>
      </c>
      <c r="O2046">
        <f t="shared" si="31"/>
        <v>2</v>
      </c>
    </row>
    <row r="2047" spans="1:15">
      <c r="A2047">
        <v>1754</v>
      </c>
      <c r="B2047" s="1">
        <v>45701</v>
      </c>
      <c r="C2047">
        <v>39</v>
      </c>
      <c r="D2047" t="s">
        <v>17</v>
      </c>
      <c r="E2047" t="s">
        <v>24</v>
      </c>
      <c r="F2047" t="s">
        <v>18</v>
      </c>
      <c r="G2047" t="s">
        <v>31</v>
      </c>
      <c r="H2047">
        <v>1016.5</v>
      </c>
      <c r="I2047" s="13">
        <v>6</v>
      </c>
      <c r="J2047">
        <v>1</v>
      </c>
      <c r="K2047">
        <v>40.51</v>
      </c>
      <c r="L2047">
        <v>1</v>
      </c>
      <c r="M2047">
        <v>9</v>
      </c>
      <c r="N2047">
        <v>5</v>
      </c>
      <c r="O2047">
        <f t="shared" si="31"/>
        <v>2</v>
      </c>
    </row>
    <row r="2048" spans="1:15">
      <c r="A2048">
        <v>4894</v>
      </c>
      <c r="B2048" s="1">
        <v>45701</v>
      </c>
      <c r="C2048">
        <v>50</v>
      </c>
      <c r="D2048" t="s">
        <v>17</v>
      </c>
      <c r="E2048" t="s">
        <v>20</v>
      </c>
      <c r="F2048" t="s">
        <v>16</v>
      </c>
      <c r="H2048">
        <v>1131.9000000000001</v>
      </c>
      <c r="I2048" s="13">
        <v>7</v>
      </c>
      <c r="J2048">
        <v>1</v>
      </c>
      <c r="K2048">
        <v>35.090000000000003</v>
      </c>
      <c r="L2048">
        <v>1</v>
      </c>
      <c r="M2048">
        <v>7</v>
      </c>
      <c r="N2048">
        <v>5</v>
      </c>
      <c r="O2048">
        <f t="shared" si="31"/>
        <v>2</v>
      </c>
    </row>
    <row r="2049" spans="1:15">
      <c r="A2049">
        <v>2156</v>
      </c>
      <c r="B2049" s="1">
        <v>45701</v>
      </c>
      <c r="C2049">
        <v>36</v>
      </c>
      <c r="D2049" t="s">
        <v>17</v>
      </c>
      <c r="E2049" t="s">
        <v>15</v>
      </c>
      <c r="F2049" t="s">
        <v>16</v>
      </c>
      <c r="H2049">
        <v>563.20000000000005</v>
      </c>
      <c r="I2049" s="13">
        <v>7</v>
      </c>
      <c r="J2049">
        <v>1</v>
      </c>
      <c r="K2049">
        <v>23.79</v>
      </c>
      <c r="L2049">
        <v>3</v>
      </c>
      <c r="M2049">
        <v>6</v>
      </c>
      <c r="N2049">
        <v>3</v>
      </c>
      <c r="O2049">
        <f t="shared" si="31"/>
        <v>2</v>
      </c>
    </row>
    <row r="2050" spans="1:15">
      <c r="A2050">
        <v>3112</v>
      </c>
      <c r="B2050" s="1">
        <v>45701</v>
      </c>
      <c r="C2050">
        <v>38</v>
      </c>
      <c r="D2050" t="s">
        <v>17</v>
      </c>
      <c r="E2050" t="s">
        <v>15</v>
      </c>
      <c r="F2050" t="s">
        <v>18</v>
      </c>
      <c r="G2050" t="s">
        <v>31</v>
      </c>
      <c r="H2050">
        <v>872.4</v>
      </c>
      <c r="I2050" s="13">
        <v>6</v>
      </c>
      <c r="J2050">
        <v>1</v>
      </c>
      <c r="K2050">
        <v>23.16</v>
      </c>
      <c r="L2050">
        <v>4</v>
      </c>
      <c r="M2050">
        <v>3</v>
      </c>
      <c r="N2050">
        <v>4</v>
      </c>
      <c r="O2050">
        <f t="shared" si="31"/>
        <v>2</v>
      </c>
    </row>
    <row r="2051" spans="1:15">
      <c r="A2051">
        <v>4440</v>
      </c>
      <c r="B2051" s="1">
        <v>45701</v>
      </c>
      <c r="C2051">
        <v>53</v>
      </c>
      <c r="D2051" t="s">
        <v>14</v>
      </c>
      <c r="E2051" t="s">
        <v>20</v>
      </c>
      <c r="F2051" t="s">
        <v>18</v>
      </c>
      <c r="G2051" t="s">
        <v>28</v>
      </c>
      <c r="H2051">
        <v>806</v>
      </c>
      <c r="I2051" s="13">
        <v>5</v>
      </c>
      <c r="J2051">
        <v>0</v>
      </c>
      <c r="K2051">
        <v>0</v>
      </c>
      <c r="L2051">
        <v>0</v>
      </c>
      <c r="M2051">
        <v>0</v>
      </c>
      <c r="O2051">
        <f t="shared" ref="O2051:O2114" si="32">MONTH(B2051)</f>
        <v>2</v>
      </c>
    </row>
    <row r="2052" spans="1:15">
      <c r="A2052">
        <v>3350</v>
      </c>
      <c r="B2052" s="1">
        <v>45701</v>
      </c>
      <c r="C2052">
        <v>30</v>
      </c>
      <c r="D2052" t="s">
        <v>17</v>
      </c>
      <c r="E2052" t="s">
        <v>22</v>
      </c>
      <c r="F2052" t="s">
        <v>16</v>
      </c>
      <c r="H2052">
        <v>716.9</v>
      </c>
      <c r="I2052" s="13">
        <v>3</v>
      </c>
      <c r="J2052">
        <v>0</v>
      </c>
      <c r="K2052">
        <v>0</v>
      </c>
      <c r="L2052">
        <v>0</v>
      </c>
      <c r="M2052">
        <v>0</v>
      </c>
      <c r="O2052">
        <f t="shared" si="32"/>
        <v>2</v>
      </c>
    </row>
    <row r="2053" spans="1:15">
      <c r="A2053">
        <v>2852</v>
      </c>
      <c r="B2053" s="1">
        <v>45701</v>
      </c>
      <c r="C2053">
        <v>30</v>
      </c>
      <c r="D2053" t="s">
        <v>17</v>
      </c>
      <c r="E2053" t="s">
        <v>15</v>
      </c>
      <c r="F2053" t="s">
        <v>18</v>
      </c>
      <c r="G2053" t="s">
        <v>31</v>
      </c>
      <c r="H2053">
        <v>529.5</v>
      </c>
      <c r="I2053" s="13">
        <v>7</v>
      </c>
      <c r="J2053">
        <v>0</v>
      </c>
      <c r="K2053">
        <v>0</v>
      </c>
      <c r="L2053">
        <v>0</v>
      </c>
      <c r="M2053">
        <v>0</v>
      </c>
      <c r="O2053">
        <f t="shared" si="32"/>
        <v>2</v>
      </c>
    </row>
    <row r="2054" spans="1:15">
      <c r="A2054">
        <v>4982</v>
      </c>
      <c r="B2054" s="1">
        <v>45701</v>
      </c>
      <c r="C2054">
        <v>49</v>
      </c>
      <c r="D2054" t="s">
        <v>14</v>
      </c>
      <c r="E2054" t="s">
        <v>22</v>
      </c>
      <c r="F2054" t="s">
        <v>16</v>
      </c>
      <c r="H2054">
        <v>486.6</v>
      </c>
      <c r="I2054" s="13">
        <v>5</v>
      </c>
      <c r="J2054">
        <v>0</v>
      </c>
      <c r="K2054">
        <v>0</v>
      </c>
      <c r="L2054">
        <v>0</v>
      </c>
      <c r="M2054">
        <v>0</v>
      </c>
      <c r="O2054">
        <f t="shared" si="32"/>
        <v>2</v>
      </c>
    </row>
    <row r="2055" spans="1:15">
      <c r="A2055">
        <v>226</v>
      </c>
      <c r="B2055" s="1">
        <v>45701</v>
      </c>
      <c r="C2055">
        <v>24</v>
      </c>
      <c r="D2055" t="s">
        <v>17</v>
      </c>
      <c r="E2055" t="s">
        <v>20</v>
      </c>
      <c r="F2055" t="s">
        <v>23</v>
      </c>
      <c r="H2055">
        <v>465.9</v>
      </c>
      <c r="I2055" s="13">
        <v>4</v>
      </c>
      <c r="J2055">
        <v>0</v>
      </c>
      <c r="K2055">
        <v>0</v>
      </c>
      <c r="L2055">
        <v>0</v>
      </c>
      <c r="M2055">
        <v>0</v>
      </c>
      <c r="O2055">
        <f t="shared" si="32"/>
        <v>2</v>
      </c>
    </row>
    <row r="2056" spans="1:15">
      <c r="A2056">
        <v>2786</v>
      </c>
      <c r="B2056" s="1">
        <v>45701</v>
      </c>
      <c r="C2056">
        <v>33</v>
      </c>
      <c r="D2056" t="s">
        <v>14</v>
      </c>
      <c r="E2056" t="s">
        <v>20</v>
      </c>
      <c r="F2056" t="s">
        <v>18</v>
      </c>
      <c r="G2056" t="s">
        <v>30</v>
      </c>
      <c r="H2056">
        <v>351.8</v>
      </c>
      <c r="I2056" s="13">
        <v>6</v>
      </c>
      <c r="J2056">
        <v>0</v>
      </c>
      <c r="K2056">
        <v>0</v>
      </c>
      <c r="L2056">
        <v>0</v>
      </c>
      <c r="M2056">
        <v>0</v>
      </c>
      <c r="O2056">
        <f t="shared" si="32"/>
        <v>2</v>
      </c>
    </row>
    <row r="2057" spans="1:15">
      <c r="A2057">
        <v>4779</v>
      </c>
      <c r="B2057" s="1">
        <v>45701</v>
      </c>
      <c r="C2057">
        <v>47</v>
      </c>
      <c r="D2057" t="s">
        <v>17</v>
      </c>
      <c r="E2057" t="s">
        <v>22</v>
      </c>
      <c r="F2057" t="s">
        <v>16</v>
      </c>
      <c r="H2057">
        <v>343.3</v>
      </c>
      <c r="I2057" s="13">
        <v>9</v>
      </c>
      <c r="J2057">
        <v>0</v>
      </c>
      <c r="K2057">
        <v>0</v>
      </c>
      <c r="L2057">
        <v>0</v>
      </c>
      <c r="M2057">
        <v>0</v>
      </c>
      <c r="O2057">
        <f t="shared" si="32"/>
        <v>2</v>
      </c>
    </row>
    <row r="2058" spans="1:15">
      <c r="A2058">
        <v>1720</v>
      </c>
      <c r="B2058" s="1">
        <v>45701</v>
      </c>
      <c r="C2058">
        <v>20</v>
      </c>
      <c r="D2058" t="s">
        <v>17</v>
      </c>
      <c r="E2058" t="s">
        <v>24</v>
      </c>
      <c r="F2058" t="s">
        <v>16</v>
      </c>
      <c r="H2058">
        <v>287.2</v>
      </c>
      <c r="I2058" s="13">
        <v>8</v>
      </c>
      <c r="J2058">
        <v>0</v>
      </c>
      <c r="K2058">
        <v>0</v>
      </c>
      <c r="L2058">
        <v>0</v>
      </c>
      <c r="M2058">
        <v>0</v>
      </c>
      <c r="O2058">
        <f t="shared" si="32"/>
        <v>2</v>
      </c>
    </row>
    <row r="2059" spans="1:15">
      <c r="A2059">
        <v>4167</v>
      </c>
      <c r="B2059" s="1">
        <v>45701</v>
      </c>
      <c r="C2059">
        <v>61</v>
      </c>
      <c r="D2059" t="s">
        <v>14</v>
      </c>
      <c r="E2059" t="s">
        <v>22</v>
      </c>
      <c r="F2059" t="s">
        <v>16</v>
      </c>
      <c r="H2059">
        <v>281.3</v>
      </c>
      <c r="I2059" s="13">
        <v>6</v>
      </c>
      <c r="J2059">
        <v>0</v>
      </c>
      <c r="K2059">
        <v>0</v>
      </c>
      <c r="L2059">
        <v>0</v>
      </c>
      <c r="M2059">
        <v>0</v>
      </c>
      <c r="O2059">
        <f t="shared" si="32"/>
        <v>2</v>
      </c>
    </row>
    <row r="2060" spans="1:15">
      <c r="A2060">
        <v>156</v>
      </c>
      <c r="B2060" s="1">
        <v>45701</v>
      </c>
      <c r="C2060">
        <v>22</v>
      </c>
      <c r="D2060" t="s">
        <v>17</v>
      </c>
      <c r="E2060" t="s">
        <v>15</v>
      </c>
      <c r="F2060" t="s">
        <v>16</v>
      </c>
      <c r="H2060">
        <v>280.8</v>
      </c>
      <c r="I2060" s="13">
        <v>9</v>
      </c>
      <c r="J2060">
        <v>0</v>
      </c>
      <c r="K2060">
        <v>0</v>
      </c>
      <c r="L2060">
        <v>0</v>
      </c>
      <c r="M2060">
        <v>0</v>
      </c>
      <c r="O2060">
        <f t="shared" si="32"/>
        <v>2</v>
      </c>
    </row>
    <row r="2061" spans="1:15">
      <c r="A2061">
        <v>4022</v>
      </c>
      <c r="B2061" s="1">
        <v>45701</v>
      </c>
      <c r="C2061">
        <v>57</v>
      </c>
      <c r="D2061" t="s">
        <v>14</v>
      </c>
      <c r="E2061" t="s">
        <v>20</v>
      </c>
      <c r="F2061" t="s">
        <v>23</v>
      </c>
      <c r="H2061">
        <v>262.7</v>
      </c>
      <c r="I2061" s="13">
        <v>2</v>
      </c>
      <c r="J2061">
        <v>0</v>
      </c>
      <c r="K2061">
        <v>0</v>
      </c>
      <c r="L2061">
        <v>0</v>
      </c>
      <c r="M2061">
        <v>0</v>
      </c>
      <c r="O2061">
        <f t="shared" si="32"/>
        <v>2</v>
      </c>
    </row>
    <row r="2062" spans="1:15">
      <c r="A2062">
        <v>2768</v>
      </c>
      <c r="B2062" s="1">
        <v>45701</v>
      </c>
      <c r="C2062">
        <v>33</v>
      </c>
      <c r="D2062" t="s">
        <v>17</v>
      </c>
      <c r="E2062" t="s">
        <v>22</v>
      </c>
      <c r="F2062" t="s">
        <v>18</v>
      </c>
      <c r="G2062" t="s">
        <v>28</v>
      </c>
      <c r="H2062">
        <v>253.4</v>
      </c>
      <c r="I2062" s="13">
        <v>4</v>
      </c>
      <c r="J2062">
        <v>0</v>
      </c>
      <c r="K2062">
        <v>0</v>
      </c>
      <c r="L2062">
        <v>0</v>
      </c>
      <c r="M2062">
        <v>0</v>
      </c>
      <c r="O2062">
        <f t="shared" si="32"/>
        <v>2</v>
      </c>
    </row>
    <row r="2063" spans="1:15">
      <c r="A2063">
        <v>3409</v>
      </c>
      <c r="B2063" s="1">
        <v>45701</v>
      </c>
      <c r="C2063">
        <v>28</v>
      </c>
      <c r="D2063" t="s">
        <v>17</v>
      </c>
      <c r="E2063" t="s">
        <v>15</v>
      </c>
      <c r="F2063" t="s">
        <v>18</v>
      </c>
      <c r="G2063" t="s">
        <v>25</v>
      </c>
      <c r="H2063">
        <v>216.4</v>
      </c>
      <c r="I2063" s="13">
        <v>8</v>
      </c>
      <c r="J2063">
        <v>0</v>
      </c>
      <c r="K2063">
        <v>0</v>
      </c>
      <c r="L2063">
        <v>0</v>
      </c>
      <c r="M2063">
        <v>0</v>
      </c>
      <c r="O2063">
        <f t="shared" si="32"/>
        <v>2</v>
      </c>
    </row>
    <row r="2064" spans="1:15">
      <c r="A2064">
        <v>3387</v>
      </c>
      <c r="B2064" s="1">
        <v>45701</v>
      </c>
      <c r="C2064">
        <v>24</v>
      </c>
      <c r="D2064" t="s">
        <v>14</v>
      </c>
      <c r="E2064" t="s">
        <v>20</v>
      </c>
      <c r="F2064" t="s">
        <v>18</v>
      </c>
      <c r="G2064" t="s">
        <v>25</v>
      </c>
      <c r="H2064">
        <v>209.5</v>
      </c>
      <c r="I2064" s="13">
        <v>7</v>
      </c>
      <c r="J2064">
        <v>0</v>
      </c>
      <c r="K2064">
        <v>0</v>
      </c>
      <c r="L2064">
        <v>0</v>
      </c>
      <c r="M2064">
        <v>0</v>
      </c>
      <c r="O2064">
        <f t="shared" si="32"/>
        <v>2</v>
      </c>
    </row>
    <row r="2065" spans="1:15">
      <c r="A2065">
        <v>694</v>
      </c>
      <c r="B2065" s="1">
        <v>45701</v>
      </c>
      <c r="C2065">
        <v>18</v>
      </c>
      <c r="D2065" t="s">
        <v>17</v>
      </c>
      <c r="E2065" t="s">
        <v>24</v>
      </c>
      <c r="F2065" t="s">
        <v>18</v>
      </c>
      <c r="G2065" t="s">
        <v>26</v>
      </c>
      <c r="H2065">
        <v>182.4</v>
      </c>
      <c r="I2065" s="13">
        <v>8</v>
      </c>
      <c r="J2065">
        <v>0</v>
      </c>
      <c r="K2065">
        <v>0</v>
      </c>
      <c r="L2065">
        <v>0</v>
      </c>
      <c r="M2065">
        <v>0</v>
      </c>
      <c r="O2065">
        <f t="shared" si="32"/>
        <v>2</v>
      </c>
    </row>
    <row r="2066" spans="1:15">
      <c r="A2066">
        <v>586</v>
      </c>
      <c r="B2066" s="1">
        <v>45701</v>
      </c>
      <c r="C2066">
        <v>29</v>
      </c>
      <c r="D2066" t="s">
        <v>14</v>
      </c>
      <c r="E2066" t="s">
        <v>20</v>
      </c>
      <c r="F2066" t="s">
        <v>16</v>
      </c>
      <c r="H2066">
        <v>151.9</v>
      </c>
      <c r="I2066" s="13">
        <v>5</v>
      </c>
      <c r="J2066">
        <v>0</v>
      </c>
      <c r="K2066">
        <v>0</v>
      </c>
      <c r="L2066">
        <v>0</v>
      </c>
      <c r="M2066">
        <v>0</v>
      </c>
      <c r="O2066">
        <f t="shared" si="32"/>
        <v>2</v>
      </c>
    </row>
    <row r="2067" spans="1:15">
      <c r="A2067">
        <v>152</v>
      </c>
      <c r="B2067" s="1">
        <v>45701</v>
      </c>
      <c r="C2067">
        <v>26</v>
      </c>
      <c r="D2067" t="s">
        <v>14</v>
      </c>
      <c r="E2067" t="s">
        <v>15</v>
      </c>
      <c r="F2067" t="s">
        <v>21</v>
      </c>
      <c r="H2067">
        <v>138.6</v>
      </c>
      <c r="I2067" s="13">
        <v>4</v>
      </c>
      <c r="J2067">
        <v>0</v>
      </c>
      <c r="K2067">
        <v>0</v>
      </c>
      <c r="L2067">
        <v>0</v>
      </c>
      <c r="M2067">
        <v>0</v>
      </c>
      <c r="O2067">
        <f t="shared" si="32"/>
        <v>2</v>
      </c>
    </row>
    <row r="2068" spans="1:15">
      <c r="A2068">
        <v>890</v>
      </c>
      <c r="B2068" s="1">
        <v>45701</v>
      </c>
      <c r="C2068">
        <v>19</v>
      </c>
      <c r="D2068" t="s">
        <v>17</v>
      </c>
      <c r="E2068" t="s">
        <v>20</v>
      </c>
      <c r="F2068" t="s">
        <v>16</v>
      </c>
      <c r="H2068">
        <v>121.5</v>
      </c>
      <c r="I2068" s="13">
        <v>6</v>
      </c>
      <c r="J2068">
        <v>0</v>
      </c>
      <c r="K2068">
        <v>0</v>
      </c>
      <c r="L2068">
        <v>0</v>
      </c>
      <c r="M2068">
        <v>0</v>
      </c>
      <c r="O2068">
        <f t="shared" si="32"/>
        <v>2</v>
      </c>
    </row>
    <row r="2069" spans="1:15">
      <c r="A2069">
        <v>1519</v>
      </c>
      <c r="B2069" s="1">
        <v>45701</v>
      </c>
      <c r="C2069">
        <v>25</v>
      </c>
      <c r="D2069" t="s">
        <v>17</v>
      </c>
      <c r="E2069" t="s">
        <v>24</v>
      </c>
      <c r="F2069" t="s">
        <v>21</v>
      </c>
      <c r="H2069">
        <v>110.8</v>
      </c>
      <c r="I2069" s="13">
        <v>4</v>
      </c>
      <c r="J2069">
        <v>0</v>
      </c>
      <c r="K2069">
        <v>0</v>
      </c>
      <c r="L2069">
        <v>0</v>
      </c>
      <c r="M2069">
        <v>0</v>
      </c>
      <c r="O2069">
        <f t="shared" si="32"/>
        <v>2</v>
      </c>
    </row>
    <row r="2070" spans="1:15">
      <c r="A2070">
        <v>1846</v>
      </c>
      <c r="B2070" s="1">
        <v>45701</v>
      </c>
      <c r="C2070">
        <v>51</v>
      </c>
      <c r="D2070" t="s">
        <v>14</v>
      </c>
      <c r="E2070" t="s">
        <v>22</v>
      </c>
      <c r="F2070" t="s">
        <v>23</v>
      </c>
      <c r="H2070">
        <v>103.6</v>
      </c>
      <c r="I2070" s="13">
        <v>3</v>
      </c>
      <c r="J2070">
        <v>0</v>
      </c>
      <c r="K2070">
        <v>0</v>
      </c>
      <c r="L2070">
        <v>0</v>
      </c>
      <c r="M2070">
        <v>0</v>
      </c>
      <c r="O2070">
        <f t="shared" si="32"/>
        <v>2</v>
      </c>
    </row>
    <row r="2071" spans="1:15">
      <c r="A2071">
        <v>2224</v>
      </c>
      <c r="B2071" s="1">
        <v>45701</v>
      </c>
      <c r="C2071">
        <v>30</v>
      </c>
      <c r="D2071" t="s">
        <v>17</v>
      </c>
      <c r="E2071" t="s">
        <v>22</v>
      </c>
      <c r="F2071" t="s">
        <v>16</v>
      </c>
      <c r="H2071">
        <v>69</v>
      </c>
      <c r="I2071" s="13">
        <v>5</v>
      </c>
      <c r="J2071">
        <v>0</v>
      </c>
      <c r="K2071">
        <v>0</v>
      </c>
      <c r="L2071">
        <v>0</v>
      </c>
      <c r="M2071">
        <v>0</v>
      </c>
      <c r="O2071">
        <f t="shared" si="32"/>
        <v>2</v>
      </c>
    </row>
    <row r="2072" spans="1:15">
      <c r="A2072">
        <v>1487</v>
      </c>
      <c r="B2072" s="1">
        <v>45729</v>
      </c>
      <c r="C2072">
        <v>21</v>
      </c>
      <c r="D2072" t="s">
        <v>17</v>
      </c>
      <c r="E2072" t="s">
        <v>15</v>
      </c>
      <c r="F2072" t="s">
        <v>16</v>
      </c>
      <c r="H2072">
        <v>597.20000000000005</v>
      </c>
      <c r="I2072" s="13">
        <v>3</v>
      </c>
      <c r="J2072">
        <v>1</v>
      </c>
      <c r="K2072">
        <v>419</v>
      </c>
      <c r="L2072">
        <v>2</v>
      </c>
      <c r="M2072">
        <v>4</v>
      </c>
      <c r="N2072">
        <v>4</v>
      </c>
      <c r="O2072">
        <f t="shared" si="32"/>
        <v>3</v>
      </c>
    </row>
    <row r="2073" spans="1:15">
      <c r="A2073">
        <v>2994</v>
      </c>
      <c r="B2073" s="1">
        <v>45729</v>
      </c>
      <c r="C2073">
        <v>39</v>
      </c>
      <c r="D2073" t="s">
        <v>17</v>
      </c>
      <c r="E2073" t="s">
        <v>24</v>
      </c>
      <c r="F2073" t="s">
        <v>16</v>
      </c>
      <c r="H2073">
        <v>847.5</v>
      </c>
      <c r="I2073" s="13">
        <v>4</v>
      </c>
      <c r="J2073">
        <v>1</v>
      </c>
      <c r="K2073">
        <v>120</v>
      </c>
      <c r="L2073">
        <v>4</v>
      </c>
      <c r="M2073">
        <v>4</v>
      </c>
      <c r="N2073">
        <v>5</v>
      </c>
      <c r="O2073">
        <f t="shared" si="32"/>
        <v>3</v>
      </c>
    </row>
    <row r="2074" spans="1:15">
      <c r="A2074">
        <v>4444</v>
      </c>
      <c r="B2074" s="1">
        <v>45729</v>
      </c>
      <c r="C2074">
        <v>35</v>
      </c>
      <c r="D2074" t="s">
        <v>14</v>
      </c>
      <c r="E2074" t="s">
        <v>20</v>
      </c>
      <c r="F2074" t="s">
        <v>16</v>
      </c>
      <c r="H2074">
        <v>410.8</v>
      </c>
      <c r="I2074" s="13">
        <v>4</v>
      </c>
      <c r="J2074">
        <v>1</v>
      </c>
      <c r="K2074">
        <v>117.82</v>
      </c>
      <c r="L2074">
        <v>1</v>
      </c>
      <c r="M2074">
        <v>6</v>
      </c>
      <c r="N2074">
        <v>4</v>
      </c>
      <c r="O2074">
        <f t="shared" si="32"/>
        <v>3</v>
      </c>
    </row>
    <row r="2075" spans="1:15">
      <c r="A2075">
        <v>4242</v>
      </c>
      <c r="B2075" s="1">
        <v>45729</v>
      </c>
      <c r="C2075">
        <v>51</v>
      </c>
      <c r="D2075" t="s">
        <v>14</v>
      </c>
      <c r="E2075" t="s">
        <v>22</v>
      </c>
      <c r="F2075" t="s">
        <v>16</v>
      </c>
      <c r="H2075">
        <v>202.7</v>
      </c>
      <c r="I2075" s="13">
        <v>8</v>
      </c>
      <c r="J2075">
        <v>1</v>
      </c>
      <c r="K2075">
        <v>111</v>
      </c>
      <c r="L2075">
        <v>5</v>
      </c>
      <c r="M2075">
        <v>12</v>
      </c>
      <c r="N2075">
        <v>4</v>
      </c>
      <c r="O2075">
        <f t="shared" si="32"/>
        <v>3</v>
      </c>
    </row>
    <row r="2076" spans="1:15">
      <c r="A2076">
        <v>3998</v>
      </c>
      <c r="B2076" s="1">
        <v>45729</v>
      </c>
      <c r="C2076">
        <v>47</v>
      </c>
      <c r="D2076" t="s">
        <v>17</v>
      </c>
      <c r="E2076" t="s">
        <v>24</v>
      </c>
      <c r="F2076" t="s">
        <v>18</v>
      </c>
      <c r="G2076" t="s">
        <v>25</v>
      </c>
      <c r="H2076">
        <v>411.7</v>
      </c>
      <c r="I2076" s="13">
        <v>8</v>
      </c>
      <c r="J2076">
        <v>1</v>
      </c>
      <c r="K2076">
        <v>76.63</v>
      </c>
      <c r="L2076">
        <v>2</v>
      </c>
      <c r="M2076">
        <v>2</v>
      </c>
      <c r="N2076">
        <v>4</v>
      </c>
      <c r="O2076">
        <f t="shared" si="32"/>
        <v>3</v>
      </c>
    </row>
    <row r="2077" spans="1:15">
      <c r="A2077">
        <v>4374</v>
      </c>
      <c r="B2077" s="1">
        <v>45729</v>
      </c>
      <c r="C2077">
        <v>58</v>
      </c>
      <c r="D2077" t="s">
        <v>17</v>
      </c>
      <c r="E2077" t="s">
        <v>15</v>
      </c>
      <c r="F2077" t="s">
        <v>16</v>
      </c>
      <c r="H2077">
        <v>118</v>
      </c>
      <c r="I2077" s="13">
        <v>5</v>
      </c>
      <c r="J2077">
        <v>1</v>
      </c>
      <c r="K2077">
        <v>61.32</v>
      </c>
      <c r="L2077">
        <v>3</v>
      </c>
      <c r="M2077">
        <v>3</v>
      </c>
      <c r="N2077">
        <v>4</v>
      </c>
      <c r="O2077">
        <f t="shared" si="32"/>
        <v>3</v>
      </c>
    </row>
    <row r="2078" spans="1:15">
      <c r="A2078">
        <v>1659</v>
      </c>
      <c r="B2078" s="1">
        <v>45729</v>
      </c>
      <c r="C2078">
        <v>24</v>
      </c>
      <c r="D2078" t="s">
        <v>14</v>
      </c>
      <c r="E2078" t="s">
        <v>15</v>
      </c>
      <c r="F2078" t="s">
        <v>18</v>
      </c>
      <c r="G2078" t="s">
        <v>28</v>
      </c>
      <c r="H2078">
        <v>396</v>
      </c>
      <c r="I2078" s="13">
        <v>8</v>
      </c>
      <c r="J2078">
        <v>1</v>
      </c>
      <c r="K2078">
        <v>55.88</v>
      </c>
      <c r="L2078">
        <v>1</v>
      </c>
      <c r="M2078">
        <v>2</v>
      </c>
      <c r="N2078">
        <v>4</v>
      </c>
      <c r="O2078">
        <f t="shared" si="32"/>
        <v>3</v>
      </c>
    </row>
    <row r="2079" spans="1:15">
      <c r="A2079">
        <v>1291</v>
      </c>
      <c r="B2079" s="1">
        <v>45729</v>
      </c>
      <c r="C2079">
        <v>20</v>
      </c>
      <c r="D2079" t="s">
        <v>14</v>
      </c>
      <c r="E2079" t="s">
        <v>22</v>
      </c>
      <c r="F2079" t="s">
        <v>23</v>
      </c>
      <c r="H2079">
        <v>1035.5</v>
      </c>
      <c r="I2079" s="13">
        <v>7</v>
      </c>
      <c r="J2079">
        <v>1</v>
      </c>
      <c r="K2079">
        <v>54.16</v>
      </c>
      <c r="L2079">
        <v>2</v>
      </c>
      <c r="M2079">
        <v>15</v>
      </c>
      <c r="N2079">
        <v>4</v>
      </c>
      <c r="O2079">
        <f t="shared" si="32"/>
        <v>3</v>
      </c>
    </row>
    <row r="2080" spans="1:15">
      <c r="A2080">
        <v>1506</v>
      </c>
      <c r="B2080" s="1">
        <v>45729</v>
      </c>
      <c r="C2080">
        <v>34</v>
      </c>
      <c r="D2080" t="s">
        <v>14</v>
      </c>
      <c r="E2080" t="s">
        <v>20</v>
      </c>
      <c r="F2080" t="s">
        <v>23</v>
      </c>
      <c r="H2080">
        <v>239.9</v>
      </c>
      <c r="I2080" s="13">
        <v>6</v>
      </c>
      <c r="J2080">
        <v>1</v>
      </c>
      <c r="K2080">
        <v>44.56</v>
      </c>
      <c r="L2080">
        <v>3</v>
      </c>
      <c r="M2080">
        <v>9</v>
      </c>
      <c r="N2080">
        <v>4</v>
      </c>
      <c r="O2080">
        <f t="shared" si="32"/>
        <v>3</v>
      </c>
    </row>
    <row r="2081" spans="1:15">
      <c r="A2081">
        <v>1227</v>
      </c>
      <c r="B2081" s="1">
        <v>45729</v>
      </c>
      <c r="C2081">
        <v>21</v>
      </c>
      <c r="D2081" t="s">
        <v>17</v>
      </c>
      <c r="E2081" t="s">
        <v>24</v>
      </c>
      <c r="F2081" t="s">
        <v>18</v>
      </c>
      <c r="G2081" t="s">
        <v>26</v>
      </c>
      <c r="H2081">
        <v>689.6</v>
      </c>
      <c r="I2081" s="13">
        <v>10</v>
      </c>
      <c r="J2081">
        <v>1</v>
      </c>
      <c r="K2081">
        <v>42.08</v>
      </c>
      <c r="L2081">
        <v>3</v>
      </c>
      <c r="M2081">
        <v>2</v>
      </c>
      <c r="N2081">
        <v>4</v>
      </c>
      <c r="O2081">
        <f t="shared" si="32"/>
        <v>3</v>
      </c>
    </row>
    <row r="2082" spans="1:15">
      <c r="A2082">
        <v>2306</v>
      </c>
      <c r="B2082" s="1">
        <v>45729</v>
      </c>
      <c r="C2082">
        <v>40</v>
      </c>
      <c r="D2082" t="s">
        <v>14</v>
      </c>
      <c r="E2082" t="s">
        <v>20</v>
      </c>
      <c r="F2082" t="s">
        <v>21</v>
      </c>
      <c r="H2082">
        <v>1080.9000000000001</v>
      </c>
      <c r="I2082" s="13">
        <v>3</v>
      </c>
      <c r="J2082">
        <v>1</v>
      </c>
      <c r="K2082">
        <v>41.3</v>
      </c>
      <c r="L2082">
        <v>3</v>
      </c>
      <c r="M2082">
        <v>7</v>
      </c>
      <c r="N2082">
        <v>4</v>
      </c>
      <c r="O2082">
        <f t="shared" si="32"/>
        <v>3</v>
      </c>
    </row>
    <row r="2083" spans="1:15">
      <c r="A2083">
        <v>1637</v>
      </c>
      <c r="B2083" s="1">
        <v>45729</v>
      </c>
      <c r="C2083">
        <v>18</v>
      </c>
      <c r="D2083" t="s">
        <v>14</v>
      </c>
      <c r="E2083" t="s">
        <v>20</v>
      </c>
      <c r="F2083" t="s">
        <v>16</v>
      </c>
      <c r="H2083">
        <v>820.8</v>
      </c>
      <c r="I2083" s="13">
        <v>5</v>
      </c>
      <c r="J2083">
        <v>1</v>
      </c>
      <c r="K2083">
        <v>35.130000000000003</v>
      </c>
      <c r="L2083">
        <v>1</v>
      </c>
      <c r="M2083">
        <v>13</v>
      </c>
      <c r="N2083">
        <v>4</v>
      </c>
      <c r="O2083">
        <f t="shared" si="32"/>
        <v>3</v>
      </c>
    </row>
    <row r="2084" spans="1:15">
      <c r="A2084">
        <v>345</v>
      </c>
      <c r="B2084" s="1">
        <v>45729</v>
      </c>
      <c r="C2084">
        <v>23</v>
      </c>
      <c r="D2084" t="s">
        <v>17</v>
      </c>
      <c r="E2084" t="s">
        <v>22</v>
      </c>
      <c r="F2084" t="s">
        <v>21</v>
      </c>
      <c r="H2084">
        <v>233.4</v>
      </c>
      <c r="I2084" s="13">
        <v>3</v>
      </c>
      <c r="J2084">
        <v>1</v>
      </c>
      <c r="K2084">
        <v>32.21</v>
      </c>
      <c r="L2084">
        <v>3</v>
      </c>
      <c r="M2084">
        <v>12</v>
      </c>
      <c r="N2084">
        <v>3</v>
      </c>
      <c r="O2084">
        <f t="shared" si="32"/>
        <v>3</v>
      </c>
    </row>
    <row r="2085" spans="1:15">
      <c r="A2085">
        <v>3652</v>
      </c>
      <c r="B2085" s="1">
        <v>45729</v>
      </c>
      <c r="C2085">
        <v>34</v>
      </c>
      <c r="D2085" t="s">
        <v>14</v>
      </c>
      <c r="E2085" t="s">
        <v>24</v>
      </c>
      <c r="F2085" t="s">
        <v>16</v>
      </c>
      <c r="H2085">
        <v>411.3</v>
      </c>
      <c r="I2085" s="13">
        <v>7</v>
      </c>
      <c r="J2085">
        <v>1</v>
      </c>
      <c r="K2085">
        <v>22.39</v>
      </c>
      <c r="L2085">
        <v>2</v>
      </c>
      <c r="M2085">
        <v>6</v>
      </c>
      <c r="N2085">
        <v>4</v>
      </c>
      <c r="O2085">
        <f t="shared" si="32"/>
        <v>3</v>
      </c>
    </row>
    <row r="2086" spans="1:15">
      <c r="A2086">
        <v>678</v>
      </c>
      <c r="B2086" s="1">
        <v>45729</v>
      </c>
      <c r="C2086">
        <v>24</v>
      </c>
      <c r="D2086" t="s">
        <v>14</v>
      </c>
      <c r="E2086" t="s">
        <v>20</v>
      </c>
      <c r="F2086" t="s">
        <v>16</v>
      </c>
      <c r="H2086">
        <v>862.6</v>
      </c>
      <c r="I2086" s="13">
        <v>5</v>
      </c>
      <c r="J2086">
        <v>0</v>
      </c>
      <c r="K2086">
        <v>0</v>
      </c>
      <c r="L2086">
        <v>0</v>
      </c>
      <c r="M2086">
        <v>0</v>
      </c>
      <c r="O2086">
        <f t="shared" si="32"/>
        <v>3</v>
      </c>
    </row>
    <row r="2087" spans="1:15">
      <c r="A2087">
        <v>3093</v>
      </c>
      <c r="B2087" s="1">
        <v>45729</v>
      </c>
      <c r="C2087">
        <v>48</v>
      </c>
      <c r="D2087" t="s">
        <v>17</v>
      </c>
      <c r="E2087" t="s">
        <v>22</v>
      </c>
      <c r="F2087" t="s">
        <v>23</v>
      </c>
      <c r="H2087">
        <v>598.79999999999995</v>
      </c>
      <c r="I2087" s="13">
        <v>5</v>
      </c>
      <c r="J2087">
        <v>0</v>
      </c>
      <c r="K2087">
        <v>0</v>
      </c>
      <c r="L2087">
        <v>0</v>
      </c>
      <c r="M2087">
        <v>0</v>
      </c>
      <c r="O2087">
        <f t="shared" si="32"/>
        <v>3</v>
      </c>
    </row>
    <row r="2088" spans="1:15">
      <c r="A2088">
        <v>1693</v>
      </c>
      <c r="B2088" s="1">
        <v>45729</v>
      </c>
      <c r="C2088">
        <v>21</v>
      </c>
      <c r="D2088" t="s">
        <v>17</v>
      </c>
      <c r="E2088" t="s">
        <v>20</v>
      </c>
      <c r="F2088" t="s">
        <v>16</v>
      </c>
      <c r="H2088">
        <v>541.79999999999995</v>
      </c>
      <c r="I2088" s="13">
        <v>3</v>
      </c>
      <c r="J2088">
        <v>0</v>
      </c>
      <c r="K2088">
        <v>0</v>
      </c>
      <c r="L2088">
        <v>0</v>
      </c>
      <c r="M2088">
        <v>0</v>
      </c>
      <c r="O2088">
        <f t="shared" si="32"/>
        <v>3</v>
      </c>
    </row>
    <row r="2089" spans="1:15">
      <c r="A2089">
        <v>4295</v>
      </c>
      <c r="B2089" s="1">
        <v>45729</v>
      </c>
      <c r="C2089">
        <v>59</v>
      </c>
      <c r="D2089" t="s">
        <v>17</v>
      </c>
      <c r="E2089" t="s">
        <v>15</v>
      </c>
      <c r="F2089" t="s">
        <v>16</v>
      </c>
      <c r="H2089">
        <v>420.1</v>
      </c>
      <c r="I2089" s="13">
        <v>4</v>
      </c>
      <c r="J2089">
        <v>0</v>
      </c>
      <c r="K2089">
        <v>0</v>
      </c>
      <c r="L2089">
        <v>0</v>
      </c>
      <c r="M2089">
        <v>0</v>
      </c>
      <c r="O2089">
        <f t="shared" si="32"/>
        <v>3</v>
      </c>
    </row>
    <row r="2090" spans="1:15">
      <c r="A2090">
        <v>2672</v>
      </c>
      <c r="B2090" s="1">
        <v>45729</v>
      </c>
      <c r="C2090">
        <v>53</v>
      </c>
      <c r="D2090" t="s">
        <v>14</v>
      </c>
      <c r="E2090" t="s">
        <v>22</v>
      </c>
      <c r="F2090" t="s">
        <v>21</v>
      </c>
      <c r="H2090">
        <v>409.4</v>
      </c>
      <c r="I2090" s="13">
        <v>7</v>
      </c>
      <c r="J2090">
        <v>0</v>
      </c>
      <c r="K2090">
        <v>0</v>
      </c>
      <c r="L2090">
        <v>0</v>
      </c>
      <c r="M2090">
        <v>0</v>
      </c>
      <c r="O2090">
        <f t="shared" si="32"/>
        <v>3</v>
      </c>
    </row>
    <row r="2091" spans="1:15">
      <c r="A2091">
        <v>3970</v>
      </c>
      <c r="B2091" s="1">
        <v>45729</v>
      </c>
      <c r="C2091">
        <v>56</v>
      </c>
      <c r="D2091" t="s">
        <v>17</v>
      </c>
      <c r="E2091" t="s">
        <v>24</v>
      </c>
      <c r="F2091" t="s">
        <v>16</v>
      </c>
      <c r="H2091">
        <v>329.2</v>
      </c>
      <c r="I2091" s="13">
        <v>5</v>
      </c>
      <c r="J2091">
        <v>0</v>
      </c>
      <c r="K2091">
        <v>0</v>
      </c>
      <c r="L2091">
        <v>0</v>
      </c>
      <c r="M2091">
        <v>0</v>
      </c>
      <c r="O2091">
        <f t="shared" si="32"/>
        <v>3</v>
      </c>
    </row>
    <row r="2092" spans="1:15">
      <c r="A2092">
        <v>894</v>
      </c>
      <c r="B2092" s="1">
        <v>45729</v>
      </c>
      <c r="C2092">
        <v>25</v>
      </c>
      <c r="D2092" t="s">
        <v>14</v>
      </c>
      <c r="E2092" t="s">
        <v>15</v>
      </c>
      <c r="F2092" t="s">
        <v>21</v>
      </c>
      <c r="H2092">
        <v>311.8</v>
      </c>
      <c r="I2092" s="13">
        <v>6</v>
      </c>
      <c r="J2092">
        <v>0</v>
      </c>
      <c r="K2092">
        <v>0</v>
      </c>
      <c r="L2092">
        <v>0</v>
      </c>
      <c r="M2092">
        <v>0</v>
      </c>
      <c r="O2092">
        <f t="shared" si="32"/>
        <v>3</v>
      </c>
    </row>
    <row r="2093" spans="1:15">
      <c r="A2093">
        <v>4466</v>
      </c>
      <c r="B2093" s="1">
        <v>45729</v>
      </c>
      <c r="C2093">
        <v>33</v>
      </c>
      <c r="D2093" t="s">
        <v>14</v>
      </c>
      <c r="E2093" t="s">
        <v>22</v>
      </c>
      <c r="F2093" t="s">
        <v>16</v>
      </c>
      <c r="H2093">
        <v>287.60000000000002</v>
      </c>
      <c r="I2093" s="13">
        <v>8</v>
      </c>
      <c r="J2093">
        <v>0</v>
      </c>
      <c r="K2093">
        <v>0</v>
      </c>
      <c r="L2093">
        <v>0</v>
      </c>
      <c r="M2093">
        <v>0</v>
      </c>
      <c r="O2093">
        <f t="shared" si="32"/>
        <v>3</v>
      </c>
    </row>
    <row r="2094" spans="1:15">
      <c r="A2094">
        <v>2835</v>
      </c>
      <c r="B2094" s="1">
        <v>45729</v>
      </c>
      <c r="C2094">
        <v>42</v>
      </c>
      <c r="D2094" t="s">
        <v>17</v>
      </c>
      <c r="E2094" t="s">
        <v>15</v>
      </c>
      <c r="F2094" t="s">
        <v>18</v>
      </c>
      <c r="G2094" t="s">
        <v>29</v>
      </c>
      <c r="H2094">
        <v>283.8</v>
      </c>
      <c r="I2094" s="13">
        <v>7</v>
      </c>
      <c r="J2094">
        <v>0</v>
      </c>
      <c r="K2094">
        <v>0</v>
      </c>
      <c r="L2094">
        <v>0</v>
      </c>
      <c r="M2094">
        <v>0</v>
      </c>
      <c r="O2094">
        <f t="shared" si="32"/>
        <v>3</v>
      </c>
    </row>
    <row r="2095" spans="1:15">
      <c r="A2095">
        <v>1107</v>
      </c>
      <c r="B2095" s="1">
        <v>45729</v>
      </c>
      <c r="C2095">
        <v>31</v>
      </c>
      <c r="D2095" t="s">
        <v>14</v>
      </c>
      <c r="E2095" t="s">
        <v>24</v>
      </c>
      <c r="F2095" t="s">
        <v>18</v>
      </c>
      <c r="G2095" t="s">
        <v>29</v>
      </c>
      <c r="H2095">
        <v>269.2</v>
      </c>
      <c r="I2095" s="13">
        <v>2</v>
      </c>
      <c r="J2095">
        <v>0</v>
      </c>
      <c r="K2095">
        <v>0</v>
      </c>
      <c r="L2095">
        <v>0</v>
      </c>
      <c r="M2095">
        <v>0</v>
      </c>
      <c r="O2095">
        <f t="shared" si="32"/>
        <v>3</v>
      </c>
    </row>
    <row r="2096" spans="1:15">
      <c r="A2096">
        <v>3049</v>
      </c>
      <c r="B2096" s="1">
        <v>45729</v>
      </c>
      <c r="C2096">
        <v>40</v>
      </c>
      <c r="D2096" t="s">
        <v>17</v>
      </c>
      <c r="E2096" t="s">
        <v>20</v>
      </c>
      <c r="F2096" t="s">
        <v>23</v>
      </c>
      <c r="H2096">
        <v>239.2</v>
      </c>
      <c r="I2096" s="13">
        <v>7</v>
      </c>
      <c r="J2096">
        <v>0</v>
      </c>
      <c r="K2096">
        <v>0</v>
      </c>
      <c r="L2096">
        <v>0</v>
      </c>
      <c r="M2096">
        <v>0</v>
      </c>
      <c r="O2096">
        <f t="shared" si="32"/>
        <v>3</v>
      </c>
    </row>
    <row r="2097" spans="1:15">
      <c r="A2097">
        <v>2318</v>
      </c>
      <c r="B2097" s="1">
        <v>45729</v>
      </c>
      <c r="C2097">
        <v>32</v>
      </c>
      <c r="D2097" t="s">
        <v>17</v>
      </c>
      <c r="E2097" t="s">
        <v>24</v>
      </c>
      <c r="F2097" t="s">
        <v>16</v>
      </c>
      <c r="H2097">
        <v>228.8</v>
      </c>
      <c r="I2097" s="13">
        <v>3</v>
      </c>
      <c r="J2097">
        <v>0</v>
      </c>
      <c r="K2097">
        <v>0</v>
      </c>
      <c r="L2097">
        <v>0</v>
      </c>
      <c r="M2097">
        <v>0</v>
      </c>
      <c r="O2097">
        <f t="shared" si="32"/>
        <v>3</v>
      </c>
    </row>
    <row r="2098" spans="1:15">
      <c r="A2098">
        <v>3871</v>
      </c>
      <c r="B2098" s="1">
        <v>45729</v>
      </c>
      <c r="C2098">
        <v>52</v>
      </c>
      <c r="D2098" t="s">
        <v>14</v>
      </c>
      <c r="E2098" t="s">
        <v>22</v>
      </c>
      <c r="F2098" t="s">
        <v>16</v>
      </c>
      <c r="H2098">
        <v>215.2</v>
      </c>
      <c r="I2098" s="13">
        <v>4</v>
      </c>
      <c r="J2098">
        <v>0</v>
      </c>
      <c r="K2098">
        <v>0</v>
      </c>
      <c r="L2098">
        <v>0</v>
      </c>
      <c r="M2098">
        <v>0</v>
      </c>
      <c r="O2098">
        <f t="shared" si="32"/>
        <v>3</v>
      </c>
    </row>
    <row r="2099" spans="1:15">
      <c r="A2099">
        <v>2467</v>
      </c>
      <c r="B2099" s="1">
        <v>45729</v>
      </c>
      <c r="C2099">
        <v>31</v>
      </c>
      <c r="D2099" t="s">
        <v>17</v>
      </c>
      <c r="E2099" t="s">
        <v>24</v>
      </c>
      <c r="F2099" t="s">
        <v>16</v>
      </c>
      <c r="H2099">
        <v>210</v>
      </c>
      <c r="I2099" s="13">
        <v>8</v>
      </c>
      <c r="J2099">
        <v>0</v>
      </c>
      <c r="K2099">
        <v>0</v>
      </c>
      <c r="L2099">
        <v>0</v>
      </c>
      <c r="M2099">
        <v>0</v>
      </c>
      <c r="O2099">
        <f t="shared" si="32"/>
        <v>3</v>
      </c>
    </row>
    <row r="2100" spans="1:15">
      <c r="A2100">
        <v>774</v>
      </c>
      <c r="B2100" s="1">
        <v>45729</v>
      </c>
      <c r="C2100">
        <v>25</v>
      </c>
      <c r="D2100" t="s">
        <v>14</v>
      </c>
      <c r="E2100" t="s">
        <v>24</v>
      </c>
      <c r="F2100" t="s">
        <v>18</v>
      </c>
      <c r="G2100" t="s">
        <v>30</v>
      </c>
      <c r="H2100">
        <v>207.4</v>
      </c>
      <c r="I2100" s="13">
        <v>6</v>
      </c>
      <c r="J2100">
        <v>0</v>
      </c>
      <c r="K2100">
        <v>0</v>
      </c>
      <c r="L2100">
        <v>0</v>
      </c>
      <c r="M2100">
        <v>0</v>
      </c>
      <c r="O2100">
        <f t="shared" si="32"/>
        <v>3</v>
      </c>
    </row>
    <row r="2101" spans="1:15">
      <c r="A2101">
        <v>818</v>
      </c>
      <c r="B2101" s="1">
        <v>45729</v>
      </c>
      <c r="C2101">
        <v>29</v>
      </c>
      <c r="D2101" t="s">
        <v>17</v>
      </c>
      <c r="E2101" t="s">
        <v>22</v>
      </c>
      <c r="F2101" t="s">
        <v>21</v>
      </c>
      <c r="H2101">
        <v>164.7</v>
      </c>
      <c r="I2101" s="13">
        <v>3</v>
      </c>
      <c r="J2101">
        <v>0</v>
      </c>
      <c r="K2101">
        <v>0</v>
      </c>
      <c r="L2101">
        <v>0</v>
      </c>
      <c r="M2101">
        <v>0</v>
      </c>
      <c r="O2101">
        <f t="shared" si="32"/>
        <v>3</v>
      </c>
    </row>
    <row r="2102" spans="1:15">
      <c r="A2102">
        <v>3781</v>
      </c>
      <c r="B2102" s="1">
        <v>45729</v>
      </c>
      <c r="C2102">
        <v>52</v>
      </c>
      <c r="D2102" t="s">
        <v>14</v>
      </c>
      <c r="E2102" t="s">
        <v>15</v>
      </c>
      <c r="F2102" t="s">
        <v>18</v>
      </c>
      <c r="G2102" t="s">
        <v>31</v>
      </c>
      <c r="H2102">
        <v>154.69999999999999</v>
      </c>
      <c r="I2102" s="13">
        <v>9</v>
      </c>
      <c r="J2102">
        <v>0</v>
      </c>
      <c r="K2102">
        <v>0</v>
      </c>
      <c r="L2102">
        <v>0</v>
      </c>
      <c r="M2102">
        <v>0</v>
      </c>
      <c r="O2102">
        <f t="shared" si="32"/>
        <v>3</v>
      </c>
    </row>
    <row r="2103" spans="1:15">
      <c r="A2103">
        <v>2100</v>
      </c>
      <c r="B2103" s="1">
        <v>45729</v>
      </c>
      <c r="C2103">
        <v>45</v>
      </c>
      <c r="D2103" t="s">
        <v>14</v>
      </c>
      <c r="E2103" t="s">
        <v>20</v>
      </c>
      <c r="F2103" t="s">
        <v>16</v>
      </c>
      <c r="H2103">
        <v>151.69999999999999</v>
      </c>
      <c r="I2103" s="13">
        <v>11</v>
      </c>
      <c r="J2103">
        <v>0</v>
      </c>
      <c r="K2103">
        <v>0</v>
      </c>
      <c r="L2103">
        <v>0</v>
      </c>
      <c r="M2103">
        <v>0</v>
      </c>
      <c r="O2103">
        <f t="shared" si="32"/>
        <v>3</v>
      </c>
    </row>
    <row r="2104" spans="1:15">
      <c r="A2104">
        <v>573</v>
      </c>
      <c r="B2104" s="1">
        <v>45729</v>
      </c>
      <c r="C2104">
        <v>24</v>
      </c>
      <c r="D2104" t="s">
        <v>14</v>
      </c>
      <c r="E2104" t="s">
        <v>22</v>
      </c>
      <c r="F2104" t="s">
        <v>18</v>
      </c>
      <c r="G2104" t="s">
        <v>28</v>
      </c>
      <c r="H2104">
        <v>116.7</v>
      </c>
      <c r="I2104" s="13">
        <v>7</v>
      </c>
      <c r="J2104">
        <v>0</v>
      </c>
      <c r="K2104">
        <v>0</v>
      </c>
      <c r="L2104">
        <v>0</v>
      </c>
      <c r="M2104">
        <v>0</v>
      </c>
      <c r="O2104">
        <f t="shared" si="32"/>
        <v>3</v>
      </c>
    </row>
    <row r="2105" spans="1:15">
      <c r="A2105">
        <v>4027</v>
      </c>
      <c r="B2105" s="1">
        <v>45729</v>
      </c>
      <c r="C2105">
        <v>46</v>
      </c>
      <c r="D2105" t="s">
        <v>14</v>
      </c>
      <c r="E2105" t="s">
        <v>24</v>
      </c>
      <c r="F2105" t="s">
        <v>16</v>
      </c>
      <c r="H2105">
        <v>101.3</v>
      </c>
      <c r="I2105" s="13">
        <v>5</v>
      </c>
      <c r="J2105">
        <v>0</v>
      </c>
      <c r="K2105">
        <v>0</v>
      </c>
      <c r="L2105">
        <v>0</v>
      </c>
      <c r="M2105">
        <v>0</v>
      </c>
      <c r="O2105">
        <f t="shared" si="32"/>
        <v>3</v>
      </c>
    </row>
    <row r="2106" spans="1:15">
      <c r="A2106">
        <v>3916</v>
      </c>
      <c r="B2106" s="1">
        <v>45729</v>
      </c>
      <c r="C2106">
        <v>41</v>
      </c>
      <c r="D2106" t="s">
        <v>17</v>
      </c>
      <c r="E2106" t="s">
        <v>24</v>
      </c>
      <c r="F2106" t="s">
        <v>18</v>
      </c>
      <c r="G2106" t="s">
        <v>26</v>
      </c>
      <c r="H2106">
        <v>96.6</v>
      </c>
      <c r="I2106" s="13">
        <v>6</v>
      </c>
      <c r="J2106">
        <v>0</v>
      </c>
      <c r="K2106">
        <v>0</v>
      </c>
      <c r="L2106">
        <v>0</v>
      </c>
      <c r="M2106">
        <v>0</v>
      </c>
      <c r="O2106">
        <f t="shared" si="32"/>
        <v>3</v>
      </c>
    </row>
    <row r="2107" spans="1:15">
      <c r="A2107">
        <v>2725</v>
      </c>
      <c r="B2107" s="1">
        <v>45729</v>
      </c>
      <c r="C2107">
        <v>25</v>
      </c>
      <c r="D2107" t="s">
        <v>14</v>
      </c>
      <c r="E2107" t="s">
        <v>20</v>
      </c>
      <c r="F2107" t="s">
        <v>16</v>
      </c>
      <c r="H2107">
        <v>95.2</v>
      </c>
      <c r="I2107" s="13">
        <v>10</v>
      </c>
      <c r="J2107">
        <v>0</v>
      </c>
      <c r="K2107">
        <v>0</v>
      </c>
      <c r="L2107">
        <v>0</v>
      </c>
      <c r="M2107">
        <v>0</v>
      </c>
      <c r="O2107">
        <f t="shared" si="32"/>
        <v>3</v>
      </c>
    </row>
    <row r="2108" spans="1:15">
      <c r="A2108">
        <v>1770</v>
      </c>
      <c r="B2108" s="1">
        <v>45729</v>
      </c>
      <c r="C2108">
        <v>27</v>
      </c>
      <c r="D2108" t="s">
        <v>14</v>
      </c>
      <c r="E2108" t="s">
        <v>22</v>
      </c>
      <c r="F2108" t="s">
        <v>16</v>
      </c>
      <c r="H2108">
        <v>81.7</v>
      </c>
      <c r="I2108" s="13">
        <v>6</v>
      </c>
      <c r="J2108">
        <v>0</v>
      </c>
      <c r="K2108">
        <v>0</v>
      </c>
      <c r="L2108">
        <v>0</v>
      </c>
      <c r="M2108">
        <v>0</v>
      </c>
      <c r="O2108">
        <f t="shared" si="32"/>
        <v>3</v>
      </c>
    </row>
    <row r="2109" spans="1:15">
      <c r="A2109">
        <v>824</v>
      </c>
      <c r="B2109" s="1">
        <v>45729</v>
      </c>
      <c r="C2109">
        <v>26</v>
      </c>
      <c r="D2109" t="s">
        <v>17</v>
      </c>
      <c r="E2109" t="s">
        <v>22</v>
      </c>
      <c r="F2109" t="s">
        <v>16</v>
      </c>
      <c r="H2109">
        <v>60.3</v>
      </c>
      <c r="I2109" s="13">
        <v>5</v>
      </c>
      <c r="J2109">
        <v>0</v>
      </c>
      <c r="K2109">
        <v>0</v>
      </c>
      <c r="L2109">
        <v>0</v>
      </c>
      <c r="M2109">
        <v>0</v>
      </c>
      <c r="O2109">
        <f t="shared" si="32"/>
        <v>3</v>
      </c>
    </row>
    <row r="2110" spans="1:15">
      <c r="A2110">
        <v>4951</v>
      </c>
      <c r="B2110" s="1">
        <v>45729</v>
      </c>
      <c r="C2110">
        <v>41</v>
      </c>
      <c r="D2110" t="s">
        <v>17</v>
      </c>
      <c r="E2110" t="s">
        <v>22</v>
      </c>
      <c r="F2110" t="s">
        <v>16</v>
      </c>
      <c r="H2110">
        <v>48.9</v>
      </c>
      <c r="I2110" s="13">
        <v>6</v>
      </c>
      <c r="J2110">
        <v>0</v>
      </c>
      <c r="K2110">
        <v>0</v>
      </c>
      <c r="L2110">
        <v>0</v>
      </c>
      <c r="M2110">
        <v>0</v>
      </c>
      <c r="O2110">
        <f t="shared" si="32"/>
        <v>3</v>
      </c>
    </row>
    <row r="2111" spans="1:15">
      <c r="A2111">
        <v>4938</v>
      </c>
      <c r="B2111" s="1">
        <v>45760</v>
      </c>
      <c r="C2111">
        <v>44</v>
      </c>
      <c r="D2111" t="s">
        <v>17</v>
      </c>
      <c r="E2111" t="s">
        <v>24</v>
      </c>
      <c r="F2111" t="s">
        <v>16</v>
      </c>
      <c r="H2111">
        <v>365.3</v>
      </c>
      <c r="I2111" s="13">
        <v>6</v>
      </c>
      <c r="J2111">
        <v>1</v>
      </c>
      <c r="K2111">
        <v>509</v>
      </c>
      <c r="L2111">
        <v>2</v>
      </c>
      <c r="M2111">
        <v>8</v>
      </c>
      <c r="N2111">
        <v>4</v>
      </c>
      <c r="O2111">
        <f t="shared" si="32"/>
        <v>4</v>
      </c>
    </row>
    <row r="2112" spans="1:15">
      <c r="A2112">
        <v>1293</v>
      </c>
      <c r="B2112" s="1">
        <v>45760</v>
      </c>
      <c r="C2112">
        <v>27</v>
      </c>
      <c r="D2112" t="s">
        <v>17</v>
      </c>
      <c r="E2112" t="s">
        <v>22</v>
      </c>
      <c r="F2112" t="s">
        <v>18</v>
      </c>
      <c r="G2112" t="s">
        <v>30</v>
      </c>
      <c r="H2112">
        <v>266.3</v>
      </c>
      <c r="I2112" s="13">
        <v>4</v>
      </c>
      <c r="J2112">
        <v>1</v>
      </c>
      <c r="K2112">
        <v>107.94</v>
      </c>
      <c r="L2112">
        <v>3</v>
      </c>
      <c r="M2112">
        <v>4</v>
      </c>
      <c r="N2112">
        <v>5</v>
      </c>
      <c r="O2112">
        <f t="shared" si="32"/>
        <v>4</v>
      </c>
    </row>
    <row r="2113" spans="1:15">
      <c r="A2113">
        <v>4359</v>
      </c>
      <c r="B2113" s="1">
        <v>45760</v>
      </c>
      <c r="C2113">
        <v>65</v>
      </c>
      <c r="D2113" t="s">
        <v>17</v>
      </c>
      <c r="E2113" t="s">
        <v>15</v>
      </c>
      <c r="F2113" t="s">
        <v>16</v>
      </c>
      <c r="H2113">
        <v>367.8</v>
      </c>
      <c r="I2113" s="13">
        <v>11</v>
      </c>
      <c r="J2113">
        <v>1</v>
      </c>
      <c r="K2113">
        <v>72.78</v>
      </c>
      <c r="L2113">
        <v>3</v>
      </c>
      <c r="M2113">
        <v>9</v>
      </c>
      <c r="N2113">
        <v>5</v>
      </c>
      <c r="O2113">
        <f t="shared" si="32"/>
        <v>4</v>
      </c>
    </row>
    <row r="2114" spans="1:15">
      <c r="A2114">
        <v>687</v>
      </c>
      <c r="B2114" s="1">
        <v>45760</v>
      </c>
      <c r="C2114">
        <v>30</v>
      </c>
      <c r="D2114" t="s">
        <v>14</v>
      </c>
      <c r="E2114" t="s">
        <v>24</v>
      </c>
      <c r="F2114" t="s">
        <v>18</v>
      </c>
      <c r="G2114" t="s">
        <v>26</v>
      </c>
      <c r="H2114">
        <v>513.6</v>
      </c>
      <c r="I2114" s="13">
        <v>3</v>
      </c>
      <c r="J2114">
        <v>1</v>
      </c>
      <c r="K2114">
        <v>64.569999999999993</v>
      </c>
      <c r="L2114">
        <v>2</v>
      </c>
      <c r="M2114">
        <v>4</v>
      </c>
      <c r="N2114">
        <v>5</v>
      </c>
      <c r="O2114">
        <f t="shared" si="32"/>
        <v>4</v>
      </c>
    </row>
    <row r="2115" spans="1:15">
      <c r="A2115">
        <v>1018</v>
      </c>
      <c r="B2115" s="1">
        <v>45760</v>
      </c>
      <c r="C2115">
        <v>28</v>
      </c>
      <c r="D2115" t="s">
        <v>14</v>
      </c>
      <c r="E2115" t="s">
        <v>20</v>
      </c>
      <c r="F2115" t="s">
        <v>23</v>
      </c>
      <c r="H2115">
        <v>196.9</v>
      </c>
      <c r="I2115" s="13">
        <v>7</v>
      </c>
      <c r="J2115">
        <v>1</v>
      </c>
      <c r="K2115">
        <v>42.68</v>
      </c>
      <c r="L2115">
        <v>2</v>
      </c>
      <c r="M2115">
        <v>12</v>
      </c>
      <c r="N2115">
        <v>4</v>
      </c>
      <c r="O2115">
        <f t="shared" ref="O2115:O2178" si="33">MONTH(B2115)</f>
        <v>4</v>
      </c>
    </row>
    <row r="2116" spans="1:15">
      <c r="A2116">
        <v>1454</v>
      </c>
      <c r="B2116" s="1">
        <v>45760</v>
      </c>
      <c r="C2116">
        <v>29</v>
      </c>
      <c r="D2116" t="s">
        <v>14</v>
      </c>
      <c r="E2116" t="s">
        <v>22</v>
      </c>
      <c r="F2116" t="s">
        <v>21</v>
      </c>
      <c r="H2116">
        <v>135.5</v>
      </c>
      <c r="I2116" s="13">
        <v>7</v>
      </c>
      <c r="J2116">
        <v>1</v>
      </c>
      <c r="K2116">
        <v>38.54</v>
      </c>
      <c r="L2116">
        <v>4</v>
      </c>
      <c r="M2116">
        <v>5</v>
      </c>
      <c r="N2116">
        <v>3</v>
      </c>
      <c r="O2116">
        <f t="shared" si="33"/>
        <v>4</v>
      </c>
    </row>
    <row r="2117" spans="1:15">
      <c r="A2117">
        <v>4001</v>
      </c>
      <c r="B2117" s="1">
        <v>45760</v>
      </c>
      <c r="C2117">
        <v>36</v>
      </c>
      <c r="D2117" t="s">
        <v>14</v>
      </c>
      <c r="E2117" t="s">
        <v>15</v>
      </c>
      <c r="F2117" t="s">
        <v>16</v>
      </c>
      <c r="H2117">
        <v>220.4</v>
      </c>
      <c r="I2117" s="13">
        <v>11</v>
      </c>
      <c r="J2117">
        <v>1</v>
      </c>
      <c r="K2117">
        <v>35.57</v>
      </c>
      <c r="L2117">
        <v>3</v>
      </c>
      <c r="M2117">
        <v>8</v>
      </c>
      <c r="N2117">
        <v>4</v>
      </c>
      <c r="O2117">
        <f t="shared" si="33"/>
        <v>4</v>
      </c>
    </row>
    <row r="2118" spans="1:15">
      <c r="A2118">
        <v>2302</v>
      </c>
      <c r="B2118" s="1">
        <v>45760</v>
      </c>
      <c r="C2118">
        <v>42</v>
      </c>
      <c r="D2118" t="s">
        <v>17</v>
      </c>
      <c r="E2118" t="s">
        <v>15</v>
      </c>
      <c r="F2118" t="s">
        <v>16</v>
      </c>
      <c r="H2118">
        <v>100.8</v>
      </c>
      <c r="I2118" s="13">
        <v>1</v>
      </c>
      <c r="J2118">
        <v>1</v>
      </c>
      <c r="K2118">
        <v>25.95</v>
      </c>
      <c r="L2118">
        <v>4</v>
      </c>
      <c r="M2118">
        <v>15</v>
      </c>
      <c r="N2118">
        <v>4</v>
      </c>
      <c r="O2118">
        <f t="shared" si="33"/>
        <v>4</v>
      </c>
    </row>
    <row r="2119" spans="1:15">
      <c r="A2119">
        <v>1471</v>
      </c>
      <c r="B2119" s="1">
        <v>45760</v>
      </c>
      <c r="C2119">
        <v>21</v>
      </c>
      <c r="D2119" t="s">
        <v>17</v>
      </c>
      <c r="E2119" t="s">
        <v>15</v>
      </c>
      <c r="F2119" t="s">
        <v>16</v>
      </c>
      <c r="H2119">
        <v>986.9</v>
      </c>
      <c r="I2119" s="13">
        <v>2</v>
      </c>
      <c r="J2119">
        <v>1</v>
      </c>
      <c r="K2119">
        <v>24.44</v>
      </c>
      <c r="L2119">
        <v>2</v>
      </c>
      <c r="M2119">
        <v>14</v>
      </c>
      <c r="N2119">
        <v>5</v>
      </c>
      <c r="O2119">
        <f t="shared" si="33"/>
        <v>4</v>
      </c>
    </row>
    <row r="2120" spans="1:15">
      <c r="A2120">
        <v>2464</v>
      </c>
      <c r="B2120" s="1">
        <v>45760</v>
      </c>
      <c r="C2120">
        <v>46</v>
      </c>
      <c r="D2120" t="s">
        <v>14</v>
      </c>
      <c r="E2120" t="s">
        <v>22</v>
      </c>
      <c r="F2120" t="s">
        <v>21</v>
      </c>
      <c r="H2120">
        <v>761.4</v>
      </c>
      <c r="I2120" s="13">
        <v>5</v>
      </c>
      <c r="J2120">
        <v>0</v>
      </c>
      <c r="K2120">
        <v>0</v>
      </c>
      <c r="L2120">
        <v>0</v>
      </c>
      <c r="M2120">
        <v>0</v>
      </c>
      <c r="O2120">
        <f t="shared" si="33"/>
        <v>4</v>
      </c>
    </row>
    <row r="2121" spans="1:15">
      <c r="A2121">
        <v>3593</v>
      </c>
      <c r="B2121" s="1">
        <v>45760</v>
      </c>
      <c r="C2121">
        <v>31</v>
      </c>
      <c r="D2121" t="s">
        <v>14</v>
      </c>
      <c r="E2121" t="s">
        <v>20</v>
      </c>
      <c r="F2121" t="s">
        <v>18</v>
      </c>
      <c r="G2121" t="s">
        <v>30</v>
      </c>
      <c r="H2121">
        <v>548.70000000000005</v>
      </c>
      <c r="I2121" s="13">
        <v>5</v>
      </c>
      <c r="J2121">
        <v>0</v>
      </c>
      <c r="K2121">
        <v>0</v>
      </c>
      <c r="L2121">
        <v>0</v>
      </c>
      <c r="M2121">
        <v>0</v>
      </c>
      <c r="O2121">
        <f t="shared" si="33"/>
        <v>4</v>
      </c>
    </row>
    <row r="2122" spans="1:15">
      <c r="A2122">
        <v>4484</v>
      </c>
      <c r="B2122" s="1">
        <v>45760</v>
      </c>
      <c r="C2122">
        <v>50</v>
      </c>
      <c r="D2122" t="s">
        <v>14</v>
      </c>
      <c r="E2122" t="s">
        <v>20</v>
      </c>
      <c r="F2122" t="s">
        <v>16</v>
      </c>
      <c r="H2122">
        <v>427.2</v>
      </c>
      <c r="I2122" s="13">
        <v>4</v>
      </c>
      <c r="J2122">
        <v>0</v>
      </c>
      <c r="K2122">
        <v>0</v>
      </c>
      <c r="L2122">
        <v>0</v>
      </c>
      <c r="M2122">
        <v>0</v>
      </c>
      <c r="O2122">
        <f t="shared" si="33"/>
        <v>4</v>
      </c>
    </row>
    <row r="2123" spans="1:15">
      <c r="A2123">
        <v>660</v>
      </c>
      <c r="B2123" s="1">
        <v>45760</v>
      </c>
      <c r="C2123">
        <v>30</v>
      </c>
      <c r="D2123" t="s">
        <v>14</v>
      </c>
      <c r="E2123" t="s">
        <v>15</v>
      </c>
      <c r="F2123" t="s">
        <v>16</v>
      </c>
      <c r="H2123">
        <v>398.1</v>
      </c>
      <c r="I2123" s="13">
        <v>6</v>
      </c>
      <c r="J2123">
        <v>0</v>
      </c>
      <c r="K2123">
        <v>0</v>
      </c>
      <c r="L2123">
        <v>0</v>
      </c>
      <c r="M2123">
        <v>0</v>
      </c>
      <c r="O2123">
        <f t="shared" si="33"/>
        <v>4</v>
      </c>
    </row>
    <row r="2124" spans="1:15">
      <c r="A2124">
        <v>4493</v>
      </c>
      <c r="B2124" s="1">
        <v>45760</v>
      </c>
      <c r="C2124">
        <v>47</v>
      </c>
      <c r="D2124" t="s">
        <v>14</v>
      </c>
      <c r="E2124" t="s">
        <v>20</v>
      </c>
      <c r="F2124" t="s">
        <v>23</v>
      </c>
      <c r="H2124">
        <v>372.5</v>
      </c>
      <c r="I2124" s="13">
        <v>9</v>
      </c>
      <c r="J2124">
        <v>0</v>
      </c>
      <c r="K2124">
        <v>0</v>
      </c>
      <c r="L2124">
        <v>0</v>
      </c>
      <c r="M2124">
        <v>0</v>
      </c>
      <c r="O2124">
        <f t="shared" si="33"/>
        <v>4</v>
      </c>
    </row>
    <row r="2125" spans="1:15">
      <c r="A2125">
        <v>766</v>
      </c>
      <c r="B2125" s="1">
        <v>45760</v>
      </c>
      <c r="C2125">
        <v>23</v>
      </c>
      <c r="D2125" t="s">
        <v>17</v>
      </c>
      <c r="E2125" t="s">
        <v>15</v>
      </c>
      <c r="F2125" t="s">
        <v>21</v>
      </c>
      <c r="H2125">
        <v>337.1</v>
      </c>
      <c r="I2125" s="13">
        <v>6</v>
      </c>
      <c r="J2125">
        <v>0</v>
      </c>
      <c r="K2125">
        <v>0</v>
      </c>
      <c r="L2125">
        <v>0</v>
      </c>
      <c r="M2125">
        <v>0</v>
      </c>
      <c r="O2125">
        <f t="shared" si="33"/>
        <v>4</v>
      </c>
    </row>
    <row r="2126" spans="1:15">
      <c r="A2126">
        <v>3005</v>
      </c>
      <c r="B2126" s="1">
        <v>45760</v>
      </c>
      <c r="C2126">
        <v>20</v>
      </c>
      <c r="D2126" t="s">
        <v>14</v>
      </c>
      <c r="E2126" t="s">
        <v>20</v>
      </c>
      <c r="F2126" t="s">
        <v>18</v>
      </c>
      <c r="G2126" t="s">
        <v>25</v>
      </c>
      <c r="H2126">
        <v>272</v>
      </c>
      <c r="I2126" s="13">
        <v>7</v>
      </c>
      <c r="J2126">
        <v>0</v>
      </c>
      <c r="K2126">
        <v>0</v>
      </c>
      <c r="L2126">
        <v>0</v>
      </c>
      <c r="M2126">
        <v>0</v>
      </c>
      <c r="O2126">
        <f t="shared" si="33"/>
        <v>4</v>
      </c>
    </row>
    <row r="2127" spans="1:15">
      <c r="A2127">
        <v>222</v>
      </c>
      <c r="B2127" s="1">
        <v>45760</v>
      </c>
      <c r="C2127">
        <v>18</v>
      </c>
      <c r="D2127" t="s">
        <v>17</v>
      </c>
      <c r="E2127" t="s">
        <v>22</v>
      </c>
      <c r="F2127" t="s">
        <v>16</v>
      </c>
      <c r="H2127">
        <v>209.8</v>
      </c>
      <c r="I2127" s="13">
        <v>4</v>
      </c>
      <c r="J2127">
        <v>0</v>
      </c>
      <c r="K2127">
        <v>0</v>
      </c>
      <c r="L2127">
        <v>0</v>
      </c>
      <c r="M2127">
        <v>0</v>
      </c>
      <c r="O2127">
        <f t="shared" si="33"/>
        <v>4</v>
      </c>
    </row>
    <row r="2128" spans="1:15">
      <c r="A2128">
        <v>2256</v>
      </c>
      <c r="B2128" s="1">
        <v>45760</v>
      </c>
      <c r="C2128">
        <v>31</v>
      </c>
      <c r="D2128" t="s">
        <v>17</v>
      </c>
      <c r="E2128" t="s">
        <v>15</v>
      </c>
      <c r="F2128" t="s">
        <v>16</v>
      </c>
      <c r="H2128">
        <v>187.9</v>
      </c>
      <c r="I2128" s="13">
        <v>9</v>
      </c>
      <c r="J2128">
        <v>0</v>
      </c>
      <c r="K2128">
        <v>0</v>
      </c>
      <c r="L2128">
        <v>0</v>
      </c>
      <c r="M2128">
        <v>0</v>
      </c>
      <c r="O2128">
        <f t="shared" si="33"/>
        <v>4</v>
      </c>
    </row>
    <row r="2129" spans="1:15">
      <c r="A2129">
        <v>3611</v>
      </c>
      <c r="B2129" s="1">
        <v>45760</v>
      </c>
      <c r="C2129">
        <v>23</v>
      </c>
      <c r="D2129" t="s">
        <v>17</v>
      </c>
      <c r="E2129" t="s">
        <v>20</v>
      </c>
      <c r="F2129" t="s">
        <v>16</v>
      </c>
      <c r="H2129">
        <v>167.5</v>
      </c>
      <c r="I2129" s="13">
        <v>6</v>
      </c>
      <c r="J2129">
        <v>0</v>
      </c>
      <c r="K2129">
        <v>0</v>
      </c>
      <c r="L2129">
        <v>0</v>
      </c>
      <c r="M2129">
        <v>0</v>
      </c>
      <c r="O2129">
        <f t="shared" si="33"/>
        <v>4</v>
      </c>
    </row>
    <row r="2130" spans="1:15">
      <c r="A2130">
        <v>1543</v>
      </c>
      <c r="B2130" s="1">
        <v>45760</v>
      </c>
      <c r="C2130">
        <v>18</v>
      </c>
      <c r="D2130" t="s">
        <v>17</v>
      </c>
      <c r="E2130" t="s">
        <v>22</v>
      </c>
      <c r="F2130" t="s">
        <v>16</v>
      </c>
      <c r="H2130">
        <v>158.69999999999999</v>
      </c>
      <c r="I2130" s="13">
        <v>4</v>
      </c>
      <c r="J2130">
        <v>0</v>
      </c>
      <c r="K2130">
        <v>0</v>
      </c>
      <c r="L2130">
        <v>0</v>
      </c>
      <c r="M2130">
        <v>0</v>
      </c>
      <c r="O2130">
        <f t="shared" si="33"/>
        <v>4</v>
      </c>
    </row>
    <row r="2131" spans="1:15">
      <c r="A2131">
        <v>4529</v>
      </c>
      <c r="B2131" s="1">
        <v>45760</v>
      </c>
      <c r="C2131">
        <v>49</v>
      </c>
      <c r="D2131" t="s">
        <v>14</v>
      </c>
      <c r="E2131" t="s">
        <v>15</v>
      </c>
      <c r="F2131" t="s">
        <v>16</v>
      </c>
      <c r="H2131">
        <v>133.69999999999999</v>
      </c>
      <c r="I2131" s="13">
        <v>10</v>
      </c>
      <c r="J2131">
        <v>0</v>
      </c>
      <c r="K2131">
        <v>0</v>
      </c>
      <c r="L2131">
        <v>0</v>
      </c>
      <c r="M2131">
        <v>0</v>
      </c>
      <c r="O2131">
        <f t="shared" si="33"/>
        <v>4</v>
      </c>
    </row>
    <row r="2132" spans="1:15">
      <c r="A2132">
        <v>259</v>
      </c>
      <c r="B2132" s="1">
        <v>45760</v>
      </c>
      <c r="C2132">
        <v>26</v>
      </c>
      <c r="D2132" t="s">
        <v>14</v>
      </c>
      <c r="E2132" t="s">
        <v>22</v>
      </c>
      <c r="F2132" t="s">
        <v>21</v>
      </c>
      <c r="H2132">
        <v>117</v>
      </c>
      <c r="I2132" s="13">
        <v>9</v>
      </c>
      <c r="J2132">
        <v>0</v>
      </c>
      <c r="K2132">
        <v>0</v>
      </c>
      <c r="L2132">
        <v>0</v>
      </c>
      <c r="M2132">
        <v>0</v>
      </c>
      <c r="O2132">
        <f t="shared" si="33"/>
        <v>4</v>
      </c>
    </row>
    <row r="2133" spans="1:15">
      <c r="A2133">
        <v>1965</v>
      </c>
      <c r="B2133" s="1">
        <v>45760</v>
      </c>
      <c r="C2133">
        <v>34</v>
      </c>
      <c r="D2133" t="s">
        <v>17</v>
      </c>
      <c r="E2133" t="s">
        <v>20</v>
      </c>
      <c r="F2133" t="s">
        <v>16</v>
      </c>
      <c r="H2133">
        <v>115</v>
      </c>
      <c r="I2133" s="13">
        <v>6</v>
      </c>
      <c r="J2133">
        <v>0</v>
      </c>
      <c r="K2133">
        <v>0</v>
      </c>
      <c r="L2133">
        <v>0</v>
      </c>
      <c r="M2133">
        <v>0</v>
      </c>
      <c r="O2133">
        <f t="shared" si="33"/>
        <v>4</v>
      </c>
    </row>
    <row r="2134" spans="1:15">
      <c r="A2134">
        <v>2793</v>
      </c>
      <c r="B2134" s="1">
        <v>45760</v>
      </c>
      <c r="C2134">
        <v>40</v>
      </c>
      <c r="D2134" t="s">
        <v>14</v>
      </c>
      <c r="E2134" t="s">
        <v>15</v>
      </c>
      <c r="F2134" t="s">
        <v>16</v>
      </c>
      <c r="H2134">
        <v>108.3</v>
      </c>
      <c r="I2134" s="13">
        <v>4</v>
      </c>
      <c r="J2134">
        <v>0</v>
      </c>
      <c r="K2134">
        <v>0</v>
      </c>
      <c r="L2134">
        <v>0</v>
      </c>
      <c r="M2134">
        <v>0</v>
      </c>
      <c r="O2134">
        <f t="shared" si="33"/>
        <v>4</v>
      </c>
    </row>
    <row r="2135" spans="1:15">
      <c r="A2135">
        <v>3602</v>
      </c>
      <c r="B2135" s="1">
        <v>45760</v>
      </c>
      <c r="C2135">
        <v>46</v>
      </c>
      <c r="D2135" t="s">
        <v>17</v>
      </c>
      <c r="E2135" t="s">
        <v>22</v>
      </c>
      <c r="F2135" t="s">
        <v>21</v>
      </c>
      <c r="H2135">
        <v>80</v>
      </c>
      <c r="I2135" s="13">
        <v>5</v>
      </c>
      <c r="J2135">
        <v>0</v>
      </c>
      <c r="K2135">
        <v>0</v>
      </c>
      <c r="L2135">
        <v>0</v>
      </c>
      <c r="M2135">
        <v>0</v>
      </c>
      <c r="O2135">
        <f t="shared" si="33"/>
        <v>4</v>
      </c>
    </row>
    <row r="2136" spans="1:15">
      <c r="A2136">
        <v>3800</v>
      </c>
      <c r="B2136" s="1">
        <v>45760</v>
      </c>
      <c r="C2136">
        <v>49</v>
      </c>
      <c r="D2136" t="s">
        <v>14</v>
      </c>
      <c r="E2136" t="s">
        <v>24</v>
      </c>
      <c r="F2136" t="s">
        <v>23</v>
      </c>
      <c r="H2136">
        <v>31.2</v>
      </c>
      <c r="I2136" s="13">
        <v>7</v>
      </c>
      <c r="J2136">
        <v>0</v>
      </c>
      <c r="K2136">
        <v>0</v>
      </c>
      <c r="L2136">
        <v>0</v>
      </c>
      <c r="M2136">
        <v>0</v>
      </c>
      <c r="O2136">
        <f t="shared" si="33"/>
        <v>4</v>
      </c>
    </row>
    <row r="2137" spans="1:15">
      <c r="A2137">
        <v>3045</v>
      </c>
      <c r="B2137" s="1">
        <v>45790</v>
      </c>
      <c r="C2137">
        <v>24</v>
      </c>
      <c r="D2137" t="s">
        <v>27</v>
      </c>
      <c r="E2137" t="s">
        <v>24</v>
      </c>
      <c r="F2137" t="s">
        <v>16</v>
      </c>
      <c r="H2137">
        <v>533.70000000000005</v>
      </c>
      <c r="I2137" s="13">
        <v>6</v>
      </c>
      <c r="J2137">
        <v>1</v>
      </c>
      <c r="K2137">
        <v>238.61</v>
      </c>
      <c r="L2137">
        <v>4</v>
      </c>
      <c r="M2137">
        <v>13</v>
      </c>
      <c r="N2137">
        <v>5</v>
      </c>
      <c r="O2137">
        <f t="shared" si="33"/>
        <v>5</v>
      </c>
    </row>
    <row r="2138" spans="1:15">
      <c r="A2138">
        <v>3138</v>
      </c>
      <c r="B2138" s="1">
        <v>45790</v>
      </c>
      <c r="C2138">
        <v>34</v>
      </c>
      <c r="D2138" t="s">
        <v>17</v>
      </c>
      <c r="E2138" t="s">
        <v>20</v>
      </c>
      <c r="F2138" t="s">
        <v>18</v>
      </c>
      <c r="G2138" t="s">
        <v>28</v>
      </c>
      <c r="H2138">
        <v>744</v>
      </c>
      <c r="I2138" s="13">
        <v>3</v>
      </c>
      <c r="J2138">
        <v>1</v>
      </c>
      <c r="K2138">
        <v>107.21</v>
      </c>
      <c r="L2138">
        <v>4</v>
      </c>
      <c r="M2138">
        <v>9</v>
      </c>
      <c r="N2138">
        <v>4</v>
      </c>
      <c r="O2138">
        <f t="shared" si="33"/>
        <v>5</v>
      </c>
    </row>
    <row r="2139" spans="1:15">
      <c r="A2139">
        <v>385</v>
      </c>
      <c r="B2139" s="1">
        <v>45790</v>
      </c>
      <c r="C2139">
        <v>22</v>
      </c>
      <c r="D2139" t="s">
        <v>17</v>
      </c>
      <c r="E2139" t="s">
        <v>24</v>
      </c>
      <c r="F2139" t="s">
        <v>21</v>
      </c>
      <c r="H2139">
        <v>675.7</v>
      </c>
      <c r="I2139" s="13">
        <v>6</v>
      </c>
      <c r="J2139">
        <v>1</v>
      </c>
      <c r="K2139">
        <v>89.56</v>
      </c>
      <c r="L2139">
        <v>4</v>
      </c>
      <c r="M2139">
        <v>3</v>
      </c>
      <c r="N2139">
        <v>4</v>
      </c>
      <c r="O2139">
        <f t="shared" si="33"/>
        <v>5</v>
      </c>
    </row>
    <row r="2140" spans="1:15">
      <c r="A2140">
        <v>1802</v>
      </c>
      <c r="B2140" s="1">
        <v>45790</v>
      </c>
      <c r="C2140">
        <v>23</v>
      </c>
      <c r="D2140" t="s">
        <v>17</v>
      </c>
      <c r="E2140" t="s">
        <v>22</v>
      </c>
      <c r="F2140" t="s">
        <v>16</v>
      </c>
      <c r="H2140">
        <v>301.7</v>
      </c>
      <c r="I2140" s="13">
        <v>5</v>
      </c>
      <c r="J2140">
        <v>1</v>
      </c>
      <c r="K2140">
        <v>88.3</v>
      </c>
      <c r="L2140">
        <v>5</v>
      </c>
      <c r="M2140">
        <v>8</v>
      </c>
      <c r="N2140">
        <v>4</v>
      </c>
      <c r="O2140">
        <f t="shared" si="33"/>
        <v>5</v>
      </c>
    </row>
    <row r="2141" spans="1:15">
      <c r="A2141">
        <v>960</v>
      </c>
      <c r="B2141" s="1">
        <v>45790</v>
      </c>
      <c r="C2141">
        <v>20</v>
      </c>
      <c r="D2141" t="s">
        <v>27</v>
      </c>
      <c r="E2141" t="s">
        <v>15</v>
      </c>
      <c r="F2141" t="s">
        <v>16</v>
      </c>
      <c r="H2141">
        <v>303.3</v>
      </c>
      <c r="I2141" s="13">
        <v>4</v>
      </c>
      <c r="J2141">
        <v>1</v>
      </c>
      <c r="K2141">
        <v>64.069999999999993</v>
      </c>
      <c r="L2141">
        <v>2</v>
      </c>
      <c r="M2141">
        <v>9</v>
      </c>
      <c r="N2141">
        <v>4</v>
      </c>
      <c r="O2141">
        <f t="shared" si="33"/>
        <v>5</v>
      </c>
    </row>
    <row r="2142" spans="1:15">
      <c r="A2142">
        <v>2669</v>
      </c>
      <c r="B2142" s="1">
        <v>45790</v>
      </c>
      <c r="C2142">
        <v>40</v>
      </c>
      <c r="D2142" t="s">
        <v>14</v>
      </c>
      <c r="E2142" t="s">
        <v>15</v>
      </c>
      <c r="F2142" t="s">
        <v>16</v>
      </c>
      <c r="H2142">
        <v>667.2</v>
      </c>
      <c r="I2142" s="13">
        <v>7</v>
      </c>
      <c r="J2142">
        <v>1</v>
      </c>
      <c r="K2142">
        <v>60.56</v>
      </c>
      <c r="L2142">
        <v>3</v>
      </c>
      <c r="M2142">
        <v>10</v>
      </c>
      <c r="N2142">
        <v>4</v>
      </c>
      <c r="O2142">
        <f t="shared" si="33"/>
        <v>5</v>
      </c>
    </row>
    <row r="2143" spans="1:15">
      <c r="A2143">
        <v>1767</v>
      </c>
      <c r="B2143" s="1">
        <v>45790</v>
      </c>
      <c r="C2143">
        <v>29</v>
      </c>
      <c r="D2143" t="s">
        <v>17</v>
      </c>
      <c r="E2143" t="s">
        <v>15</v>
      </c>
      <c r="F2143" t="s">
        <v>23</v>
      </c>
      <c r="H2143">
        <v>636</v>
      </c>
      <c r="I2143" s="13">
        <v>5</v>
      </c>
      <c r="J2143">
        <v>1</v>
      </c>
      <c r="K2143">
        <v>54.44</v>
      </c>
      <c r="L2143">
        <v>3</v>
      </c>
      <c r="M2143">
        <v>9</v>
      </c>
      <c r="N2143">
        <v>4</v>
      </c>
      <c r="O2143">
        <f t="shared" si="33"/>
        <v>5</v>
      </c>
    </row>
    <row r="2144" spans="1:15">
      <c r="A2144">
        <v>1792</v>
      </c>
      <c r="B2144" s="1">
        <v>45790</v>
      </c>
      <c r="C2144">
        <v>33</v>
      </c>
      <c r="D2144" t="s">
        <v>14</v>
      </c>
      <c r="E2144" t="s">
        <v>22</v>
      </c>
      <c r="F2144" t="s">
        <v>23</v>
      </c>
      <c r="H2144">
        <v>728.5</v>
      </c>
      <c r="I2144" s="13">
        <v>5</v>
      </c>
      <c r="J2144">
        <v>1</v>
      </c>
      <c r="K2144">
        <v>52.48</v>
      </c>
      <c r="L2144">
        <v>3</v>
      </c>
      <c r="M2144">
        <v>10</v>
      </c>
      <c r="N2144">
        <v>4</v>
      </c>
      <c r="O2144">
        <f t="shared" si="33"/>
        <v>5</v>
      </c>
    </row>
    <row r="2145" spans="1:15">
      <c r="A2145">
        <v>1066</v>
      </c>
      <c r="B2145" s="1">
        <v>45790</v>
      </c>
      <c r="C2145">
        <v>27</v>
      </c>
      <c r="D2145" t="s">
        <v>14</v>
      </c>
      <c r="E2145" t="s">
        <v>15</v>
      </c>
      <c r="F2145" t="s">
        <v>16</v>
      </c>
      <c r="H2145">
        <v>419.1</v>
      </c>
      <c r="I2145" s="13">
        <v>6</v>
      </c>
      <c r="J2145">
        <v>1</v>
      </c>
      <c r="K2145">
        <v>42.29</v>
      </c>
      <c r="L2145">
        <v>2</v>
      </c>
      <c r="M2145">
        <v>7</v>
      </c>
      <c r="N2145">
        <v>5</v>
      </c>
      <c r="O2145">
        <f t="shared" si="33"/>
        <v>5</v>
      </c>
    </row>
    <row r="2146" spans="1:15">
      <c r="A2146">
        <v>326</v>
      </c>
      <c r="B2146" s="1">
        <v>45790</v>
      </c>
      <c r="C2146">
        <v>18</v>
      </c>
      <c r="D2146" t="s">
        <v>14</v>
      </c>
      <c r="E2146" t="s">
        <v>15</v>
      </c>
      <c r="F2146" t="s">
        <v>16</v>
      </c>
      <c r="H2146">
        <v>233.8</v>
      </c>
      <c r="I2146" s="13">
        <v>5</v>
      </c>
      <c r="J2146">
        <v>1</v>
      </c>
      <c r="K2146">
        <v>34.61</v>
      </c>
      <c r="L2146">
        <v>2</v>
      </c>
      <c r="M2146">
        <v>5</v>
      </c>
      <c r="N2146">
        <v>4</v>
      </c>
      <c r="O2146">
        <f t="shared" si="33"/>
        <v>5</v>
      </c>
    </row>
    <row r="2147" spans="1:15">
      <c r="A2147">
        <v>806</v>
      </c>
      <c r="B2147" s="1">
        <v>45790</v>
      </c>
      <c r="C2147">
        <v>20</v>
      </c>
      <c r="D2147" t="s">
        <v>27</v>
      </c>
      <c r="E2147" t="s">
        <v>15</v>
      </c>
      <c r="F2147" t="s">
        <v>21</v>
      </c>
      <c r="H2147">
        <v>552.79999999999995</v>
      </c>
      <c r="I2147" s="13">
        <v>5</v>
      </c>
      <c r="J2147">
        <v>1</v>
      </c>
      <c r="K2147">
        <v>33.35</v>
      </c>
      <c r="L2147">
        <v>4</v>
      </c>
      <c r="M2147">
        <v>3</v>
      </c>
      <c r="N2147">
        <v>5</v>
      </c>
      <c r="O2147">
        <f t="shared" si="33"/>
        <v>5</v>
      </c>
    </row>
    <row r="2148" spans="1:15">
      <c r="A2148">
        <v>4922</v>
      </c>
      <c r="B2148" s="1">
        <v>45790</v>
      </c>
      <c r="C2148">
        <v>33</v>
      </c>
      <c r="D2148" t="s">
        <v>14</v>
      </c>
      <c r="E2148" t="s">
        <v>15</v>
      </c>
      <c r="F2148" t="s">
        <v>23</v>
      </c>
      <c r="H2148">
        <v>306.10000000000002</v>
      </c>
      <c r="I2148" s="13">
        <v>7</v>
      </c>
      <c r="J2148">
        <v>1</v>
      </c>
      <c r="K2148">
        <v>29.71</v>
      </c>
      <c r="L2148">
        <v>5</v>
      </c>
      <c r="M2148">
        <v>7</v>
      </c>
      <c r="N2148">
        <v>4</v>
      </c>
      <c r="O2148">
        <f t="shared" si="33"/>
        <v>5</v>
      </c>
    </row>
    <row r="2149" spans="1:15">
      <c r="A2149">
        <v>4507</v>
      </c>
      <c r="B2149" s="1">
        <v>45790</v>
      </c>
      <c r="C2149">
        <v>42</v>
      </c>
      <c r="D2149" t="s">
        <v>14</v>
      </c>
      <c r="E2149" t="s">
        <v>22</v>
      </c>
      <c r="F2149" t="s">
        <v>16</v>
      </c>
      <c r="H2149">
        <v>231.5</v>
      </c>
      <c r="I2149" s="13">
        <v>5</v>
      </c>
      <c r="J2149">
        <v>1</v>
      </c>
      <c r="K2149">
        <v>28.48</v>
      </c>
      <c r="L2149">
        <v>2</v>
      </c>
      <c r="M2149">
        <v>4</v>
      </c>
      <c r="N2149">
        <v>4</v>
      </c>
      <c r="O2149">
        <f t="shared" si="33"/>
        <v>5</v>
      </c>
    </row>
    <row r="2150" spans="1:15">
      <c r="A2150">
        <v>3500</v>
      </c>
      <c r="B2150" s="1">
        <v>45790</v>
      </c>
      <c r="C2150">
        <v>57</v>
      </c>
      <c r="D2150" t="s">
        <v>14</v>
      </c>
      <c r="E2150" t="s">
        <v>15</v>
      </c>
      <c r="F2150" t="s">
        <v>16</v>
      </c>
      <c r="H2150">
        <v>104.4</v>
      </c>
      <c r="I2150" s="13">
        <v>5</v>
      </c>
      <c r="J2150">
        <v>1</v>
      </c>
      <c r="K2150">
        <v>23</v>
      </c>
      <c r="L2150">
        <v>3</v>
      </c>
      <c r="M2150">
        <v>14</v>
      </c>
      <c r="N2150">
        <v>4</v>
      </c>
      <c r="O2150">
        <f t="shared" si="33"/>
        <v>5</v>
      </c>
    </row>
    <row r="2151" spans="1:15">
      <c r="A2151">
        <v>2974</v>
      </c>
      <c r="B2151" s="1">
        <v>45790</v>
      </c>
      <c r="C2151">
        <v>25</v>
      </c>
      <c r="D2151" t="s">
        <v>17</v>
      </c>
      <c r="E2151" t="s">
        <v>20</v>
      </c>
      <c r="F2151" t="s">
        <v>18</v>
      </c>
      <c r="G2151" t="s">
        <v>25</v>
      </c>
      <c r="H2151">
        <v>902.9</v>
      </c>
      <c r="I2151" s="13">
        <v>5</v>
      </c>
      <c r="J2151">
        <v>1</v>
      </c>
      <c r="K2151">
        <v>21.78</v>
      </c>
      <c r="L2151">
        <v>4</v>
      </c>
      <c r="M2151">
        <v>5</v>
      </c>
      <c r="N2151">
        <v>4</v>
      </c>
      <c r="O2151">
        <f t="shared" si="33"/>
        <v>5</v>
      </c>
    </row>
    <row r="2152" spans="1:15">
      <c r="A2152">
        <v>4282</v>
      </c>
      <c r="B2152" s="1">
        <v>45790</v>
      </c>
      <c r="C2152">
        <v>54</v>
      </c>
      <c r="D2152" t="s">
        <v>17</v>
      </c>
      <c r="E2152" t="s">
        <v>22</v>
      </c>
      <c r="F2152" t="s">
        <v>16</v>
      </c>
      <c r="H2152">
        <v>62.6</v>
      </c>
      <c r="I2152" s="13">
        <v>6</v>
      </c>
      <c r="J2152">
        <v>1</v>
      </c>
      <c r="K2152">
        <v>21.47</v>
      </c>
      <c r="L2152">
        <v>6</v>
      </c>
      <c r="M2152">
        <v>10</v>
      </c>
      <c r="N2152">
        <v>4</v>
      </c>
      <c r="O2152">
        <f t="shared" si="33"/>
        <v>5</v>
      </c>
    </row>
    <row r="2153" spans="1:15">
      <c r="A2153">
        <v>2535</v>
      </c>
      <c r="B2153" s="1">
        <v>45790</v>
      </c>
      <c r="C2153">
        <v>43</v>
      </c>
      <c r="D2153" t="s">
        <v>14</v>
      </c>
      <c r="E2153" t="s">
        <v>20</v>
      </c>
      <c r="F2153" t="s">
        <v>23</v>
      </c>
      <c r="H2153">
        <v>581</v>
      </c>
      <c r="I2153" s="13">
        <v>9</v>
      </c>
      <c r="J2153">
        <v>0</v>
      </c>
      <c r="K2153">
        <v>0</v>
      </c>
      <c r="L2153">
        <v>0</v>
      </c>
      <c r="M2153">
        <v>0</v>
      </c>
      <c r="O2153">
        <f t="shared" si="33"/>
        <v>5</v>
      </c>
    </row>
    <row r="2154" spans="1:15">
      <c r="A2154">
        <v>4091</v>
      </c>
      <c r="B2154" s="1">
        <v>45790</v>
      </c>
      <c r="C2154">
        <v>64</v>
      </c>
      <c r="D2154" t="s">
        <v>17</v>
      </c>
      <c r="E2154" t="s">
        <v>22</v>
      </c>
      <c r="F2154" t="s">
        <v>23</v>
      </c>
      <c r="H2154">
        <v>574.6</v>
      </c>
      <c r="I2154" s="13">
        <v>3</v>
      </c>
      <c r="J2154">
        <v>0</v>
      </c>
      <c r="K2154">
        <v>0</v>
      </c>
      <c r="L2154">
        <v>0</v>
      </c>
      <c r="M2154">
        <v>0</v>
      </c>
      <c r="O2154">
        <f t="shared" si="33"/>
        <v>5</v>
      </c>
    </row>
    <row r="2155" spans="1:15">
      <c r="A2155">
        <v>4029</v>
      </c>
      <c r="B2155" s="1">
        <v>45790</v>
      </c>
      <c r="C2155">
        <v>66</v>
      </c>
      <c r="D2155" t="s">
        <v>14</v>
      </c>
      <c r="E2155" t="s">
        <v>15</v>
      </c>
      <c r="F2155" t="s">
        <v>18</v>
      </c>
      <c r="G2155" t="s">
        <v>25</v>
      </c>
      <c r="H2155">
        <v>446.5</v>
      </c>
      <c r="I2155" s="13">
        <v>7</v>
      </c>
      <c r="J2155">
        <v>0</v>
      </c>
      <c r="K2155">
        <v>0</v>
      </c>
      <c r="L2155">
        <v>0</v>
      </c>
      <c r="M2155">
        <v>0</v>
      </c>
      <c r="O2155">
        <f t="shared" si="33"/>
        <v>5</v>
      </c>
    </row>
    <row r="2156" spans="1:15">
      <c r="A2156">
        <v>1742</v>
      </c>
      <c r="B2156" s="1">
        <v>45790</v>
      </c>
      <c r="C2156">
        <v>25</v>
      </c>
      <c r="D2156" t="s">
        <v>17</v>
      </c>
      <c r="E2156" t="s">
        <v>24</v>
      </c>
      <c r="F2156" t="s">
        <v>18</v>
      </c>
      <c r="G2156" t="s">
        <v>26</v>
      </c>
      <c r="H2156">
        <v>414.6</v>
      </c>
      <c r="I2156" s="13">
        <v>6</v>
      </c>
      <c r="J2156">
        <v>0</v>
      </c>
      <c r="K2156">
        <v>0</v>
      </c>
      <c r="L2156">
        <v>0</v>
      </c>
      <c r="M2156">
        <v>0</v>
      </c>
      <c r="O2156">
        <f t="shared" si="33"/>
        <v>5</v>
      </c>
    </row>
    <row r="2157" spans="1:15">
      <c r="A2157">
        <v>3117</v>
      </c>
      <c r="B2157" s="1">
        <v>45790</v>
      </c>
      <c r="C2157">
        <v>51</v>
      </c>
      <c r="D2157" t="s">
        <v>17</v>
      </c>
      <c r="E2157" t="s">
        <v>22</v>
      </c>
      <c r="F2157" t="s">
        <v>16</v>
      </c>
      <c r="H2157">
        <v>326.3</v>
      </c>
      <c r="I2157" s="13">
        <v>7</v>
      </c>
      <c r="J2157">
        <v>0</v>
      </c>
      <c r="K2157">
        <v>0</v>
      </c>
      <c r="L2157">
        <v>0</v>
      </c>
      <c r="M2157">
        <v>0</v>
      </c>
      <c r="O2157">
        <f t="shared" si="33"/>
        <v>5</v>
      </c>
    </row>
    <row r="2158" spans="1:15">
      <c r="A2158">
        <v>1573</v>
      </c>
      <c r="B2158" s="1">
        <v>45790</v>
      </c>
      <c r="C2158">
        <v>31</v>
      </c>
      <c r="D2158" t="s">
        <v>14</v>
      </c>
      <c r="E2158" t="s">
        <v>20</v>
      </c>
      <c r="F2158" t="s">
        <v>23</v>
      </c>
      <c r="H2158">
        <v>253.8</v>
      </c>
      <c r="I2158" s="13">
        <v>4</v>
      </c>
      <c r="J2158">
        <v>0</v>
      </c>
      <c r="K2158">
        <v>0</v>
      </c>
      <c r="L2158">
        <v>0</v>
      </c>
      <c r="M2158">
        <v>0</v>
      </c>
      <c r="O2158">
        <f t="shared" si="33"/>
        <v>5</v>
      </c>
    </row>
    <row r="2159" spans="1:15">
      <c r="A2159">
        <v>3794</v>
      </c>
      <c r="B2159" s="1">
        <v>45790</v>
      </c>
      <c r="C2159">
        <v>33</v>
      </c>
      <c r="D2159" t="s">
        <v>17</v>
      </c>
      <c r="E2159" t="s">
        <v>22</v>
      </c>
      <c r="F2159" t="s">
        <v>23</v>
      </c>
      <c r="H2159">
        <v>200.1</v>
      </c>
      <c r="I2159" s="13">
        <v>5</v>
      </c>
      <c r="J2159">
        <v>0</v>
      </c>
      <c r="K2159">
        <v>0</v>
      </c>
      <c r="L2159">
        <v>0</v>
      </c>
      <c r="M2159">
        <v>0</v>
      </c>
      <c r="O2159">
        <f t="shared" si="33"/>
        <v>5</v>
      </c>
    </row>
    <row r="2160" spans="1:15">
      <c r="A2160">
        <v>1954</v>
      </c>
      <c r="B2160" s="1">
        <v>45790</v>
      </c>
      <c r="C2160">
        <v>43</v>
      </c>
      <c r="D2160" t="s">
        <v>14</v>
      </c>
      <c r="E2160" t="s">
        <v>22</v>
      </c>
      <c r="F2160" t="s">
        <v>16</v>
      </c>
      <c r="H2160">
        <v>155.69999999999999</v>
      </c>
      <c r="I2160" s="13">
        <v>8</v>
      </c>
      <c r="J2160">
        <v>0</v>
      </c>
      <c r="K2160">
        <v>0</v>
      </c>
      <c r="L2160">
        <v>0</v>
      </c>
      <c r="M2160">
        <v>0</v>
      </c>
      <c r="O2160">
        <f t="shared" si="33"/>
        <v>5</v>
      </c>
    </row>
    <row r="2161" spans="1:15">
      <c r="A2161">
        <v>3081</v>
      </c>
      <c r="B2161" s="1">
        <v>45790</v>
      </c>
      <c r="C2161">
        <v>31</v>
      </c>
      <c r="D2161" t="s">
        <v>14</v>
      </c>
      <c r="E2161" t="s">
        <v>22</v>
      </c>
      <c r="F2161" t="s">
        <v>16</v>
      </c>
      <c r="H2161">
        <v>155.4</v>
      </c>
      <c r="I2161" s="13">
        <v>5</v>
      </c>
      <c r="J2161">
        <v>0</v>
      </c>
      <c r="K2161">
        <v>0</v>
      </c>
      <c r="L2161">
        <v>0</v>
      </c>
      <c r="M2161">
        <v>0</v>
      </c>
      <c r="O2161">
        <f t="shared" si="33"/>
        <v>5</v>
      </c>
    </row>
    <row r="2162" spans="1:15">
      <c r="A2162">
        <v>4495</v>
      </c>
      <c r="B2162" s="1">
        <v>45790</v>
      </c>
      <c r="C2162">
        <v>52</v>
      </c>
      <c r="D2162" t="s">
        <v>17</v>
      </c>
      <c r="E2162" t="s">
        <v>15</v>
      </c>
      <c r="F2162" t="s">
        <v>18</v>
      </c>
      <c r="G2162" t="s">
        <v>19</v>
      </c>
      <c r="H2162">
        <v>147.1</v>
      </c>
      <c r="I2162" s="13">
        <v>5</v>
      </c>
      <c r="J2162">
        <v>0</v>
      </c>
      <c r="K2162">
        <v>0</v>
      </c>
      <c r="L2162">
        <v>0</v>
      </c>
      <c r="M2162">
        <v>0</v>
      </c>
      <c r="O2162">
        <f t="shared" si="33"/>
        <v>5</v>
      </c>
    </row>
    <row r="2163" spans="1:15">
      <c r="A2163">
        <v>1472</v>
      </c>
      <c r="B2163" s="1">
        <v>45790</v>
      </c>
      <c r="C2163">
        <v>29</v>
      </c>
      <c r="D2163" t="s">
        <v>17</v>
      </c>
      <c r="E2163" t="s">
        <v>22</v>
      </c>
      <c r="F2163" t="s">
        <v>16</v>
      </c>
      <c r="H2163">
        <v>101.2</v>
      </c>
      <c r="I2163" s="13">
        <v>5</v>
      </c>
      <c r="J2163">
        <v>0</v>
      </c>
      <c r="K2163">
        <v>0</v>
      </c>
      <c r="L2163">
        <v>0</v>
      </c>
      <c r="M2163">
        <v>0</v>
      </c>
      <c r="O2163">
        <f t="shared" si="33"/>
        <v>5</v>
      </c>
    </row>
    <row r="2164" spans="1:15">
      <c r="A2164">
        <v>3762</v>
      </c>
      <c r="B2164" s="1">
        <v>45790</v>
      </c>
      <c r="C2164">
        <v>60</v>
      </c>
      <c r="D2164" t="s">
        <v>14</v>
      </c>
      <c r="E2164" t="s">
        <v>22</v>
      </c>
      <c r="F2164" t="s">
        <v>23</v>
      </c>
      <c r="H2164">
        <v>76.3</v>
      </c>
      <c r="I2164" s="13">
        <v>2</v>
      </c>
      <c r="J2164">
        <v>0</v>
      </c>
      <c r="K2164">
        <v>0</v>
      </c>
      <c r="L2164">
        <v>0</v>
      </c>
      <c r="M2164">
        <v>0</v>
      </c>
      <c r="O2164">
        <f t="shared" si="33"/>
        <v>5</v>
      </c>
    </row>
    <row r="2165" spans="1:15">
      <c r="A2165">
        <v>829</v>
      </c>
      <c r="B2165" s="1">
        <v>45790</v>
      </c>
      <c r="C2165">
        <v>25</v>
      </c>
      <c r="D2165" t="s">
        <v>14</v>
      </c>
      <c r="E2165" t="s">
        <v>22</v>
      </c>
      <c r="F2165" t="s">
        <v>18</v>
      </c>
      <c r="G2165" t="s">
        <v>19</v>
      </c>
      <c r="H2165">
        <v>73.7</v>
      </c>
      <c r="I2165" s="13">
        <v>6</v>
      </c>
      <c r="J2165">
        <v>0</v>
      </c>
      <c r="K2165">
        <v>0</v>
      </c>
      <c r="L2165">
        <v>0</v>
      </c>
      <c r="M2165">
        <v>0</v>
      </c>
      <c r="O2165">
        <f t="shared" si="33"/>
        <v>5</v>
      </c>
    </row>
    <row r="2166" spans="1:15">
      <c r="A2166">
        <v>1404</v>
      </c>
      <c r="B2166" s="1">
        <v>45790</v>
      </c>
      <c r="C2166">
        <v>33</v>
      </c>
      <c r="D2166" t="s">
        <v>17</v>
      </c>
      <c r="E2166" t="s">
        <v>24</v>
      </c>
      <c r="F2166" t="s">
        <v>23</v>
      </c>
      <c r="H2166">
        <v>72.2</v>
      </c>
      <c r="I2166" s="13">
        <v>5</v>
      </c>
      <c r="J2166">
        <v>0</v>
      </c>
      <c r="K2166">
        <v>0</v>
      </c>
      <c r="L2166">
        <v>0</v>
      </c>
      <c r="M2166">
        <v>0</v>
      </c>
      <c r="O2166">
        <f t="shared" si="33"/>
        <v>5</v>
      </c>
    </row>
    <row r="2167" spans="1:15">
      <c r="A2167">
        <v>2013</v>
      </c>
      <c r="B2167" s="1">
        <v>45821</v>
      </c>
      <c r="C2167">
        <v>39</v>
      </c>
      <c r="D2167" t="s">
        <v>14</v>
      </c>
      <c r="E2167" t="s">
        <v>15</v>
      </c>
      <c r="F2167" t="s">
        <v>21</v>
      </c>
      <c r="H2167">
        <v>302.39999999999998</v>
      </c>
      <c r="I2167" s="13">
        <v>5</v>
      </c>
      <c r="J2167">
        <v>1</v>
      </c>
      <c r="K2167">
        <v>267</v>
      </c>
      <c r="L2167">
        <v>2</v>
      </c>
      <c r="M2167">
        <v>14</v>
      </c>
      <c r="N2167">
        <v>5</v>
      </c>
      <c r="O2167">
        <f t="shared" si="33"/>
        <v>6</v>
      </c>
    </row>
    <row r="2168" spans="1:15">
      <c r="A2168">
        <v>749</v>
      </c>
      <c r="B2168" s="1">
        <v>45821</v>
      </c>
      <c r="C2168">
        <v>25</v>
      </c>
      <c r="D2168" t="s">
        <v>14</v>
      </c>
      <c r="E2168" t="s">
        <v>15</v>
      </c>
      <c r="F2168" t="s">
        <v>16</v>
      </c>
      <c r="H2168">
        <v>681</v>
      </c>
      <c r="I2168" s="13">
        <v>8</v>
      </c>
      <c r="J2168">
        <v>1</v>
      </c>
      <c r="K2168">
        <v>63</v>
      </c>
      <c r="L2168">
        <v>3</v>
      </c>
      <c r="M2168">
        <v>11</v>
      </c>
      <c r="N2168">
        <v>3</v>
      </c>
      <c r="O2168">
        <f t="shared" si="33"/>
        <v>6</v>
      </c>
    </row>
    <row r="2169" spans="1:15">
      <c r="A2169">
        <v>3642</v>
      </c>
      <c r="B2169" s="1">
        <v>45821</v>
      </c>
      <c r="C2169">
        <v>46</v>
      </c>
      <c r="D2169" t="s">
        <v>14</v>
      </c>
      <c r="E2169" t="s">
        <v>24</v>
      </c>
      <c r="F2169" t="s">
        <v>23</v>
      </c>
      <c r="H2169">
        <v>794.8</v>
      </c>
      <c r="I2169" s="13">
        <v>5</v>
      </c>
      <c r="J2169">
        <v>1</v>
      </c>
      <c r="K2169">
        <v>90.7</v>
      </c>
      <c r="L2169">
        <v>2</v>
      </c>
      <c r="M2169">
        <v>7</v>
      </c>
      <c r="N2169">
        <v>4</v>
      </c>
      <c r="O2169">
        <f t="shared" si="33"/>
        <v>6</v>
      </c>
    </row>
    <row r="2170" spans="1:15">
      <c r="A2170">
        <v>4603</v>
      </c>
      <c r="B2170" s="1">
        <v>45821</v>
      </c>
      <c r="C2170">
        <v>51</v>
      </c>
      <c r="D2170" t="s">
        <v>14</v>
      </c>
      <c r="E2170" t="s">
        <v>24</v>
      </c>
      <c r="F2170" t="s">
        <v>18</v>
      </c>
      <c r="G2170" t="s">
        <v>26</v>
      </c>
      <c r="H2170">
        <v>881.9</v>
      </c>
      <c r="I2170" s="13">
        <v>6</v>
      </c>
      <c r="J2170">
        <v>1</v>
      </c>
      <c r="K2170">
        <v>82.49</v>
      </c>
      <c r="L2170">
        <v>4</v>
      </c>
      <c r="M2170">
        <v>8</v>
      </c>
      <c r="N2170">
        <v>5</v>
      </c>
      <c r="O2170">
        <f t="shared" si="33"/>
        <v>6</v>
      </c>
    </row>
    <row r="2171" spans="1:15">
      <c r="A2171">
        <v>2572</v>
      </c>
      <c r="B2171" s="1">
        <v>45821</v>
      </c>
      <c r="C2171">
        <v>33</v>
      </c>
      <c r="D2171" t="s">
        <v>17</v>
      </c>
      <c r="E2171" t="s">
        <v>22</v>
      </c>
      <c r="F2171" t="s">
        <v>16</v>
      </c>
      <c r="H2171">
        <v>545.1</v>
      </c>
      <c r="I2171" s="13">
        <v>6</v>
      </c>
      <c r="J2171">
        <v>1</v>
      </c>
      <c r="K2171">
        <v>74.209999999999994</v>
      </c>
      <c r="L2171">
        <v>4</v>
      </c>
      <c r="M2171">
        <v>7</v>
      </c>
      <c r="N2171">
        <v>4</v>
      </c>
      <c r="O2171">
        <f t="shared" si="33"/>
        <v>6</v>
      </c>
    </row>
    <row r="2172" spans="1:15">
      <c r="A2172">
        <v>4803</v>
      </c>
      <c r="B2172" s="1">
        <v>45821</v>
      </c>
      <c r="C2172">
        <v>71</v>
      </c>
      <c r="D2172" t="s">
        <v>17</v>
      </c>
      <c r="E2172" t="s">
        <v>24</v>
      </c>
      <c r="F2172" t="s">
        <v>16</v>
      </c>
      <c r="H2172">
        <v>353.1</v>
      </c>
      <c r="I2172" s="13">
        <v>4</v>
      </c>
      <c r="J2172">
        <v>1</v>
      </c>
      <c r="K2172">
        <v>63.06</v>
      </c>
      <c r="L2172">
        <v>1</v>
      </c>
      <c r="M2172">
        <v>1</v>
      </c>
      <c r="N2172">
        <v>4</v>
      </c>
      <c r="O2172">
        <f t="shared" si="33"/>
        <v>6</v>
      </c>
    </row>
    <row r="2173" spans="1:15">
      <c r="A2173">
        <v>2192</v>
      </c>
      <c r="B2173" s="1">
        <v>45821</v>
      </c>
      <c r="C2173">
        <v>35</v>
      </c>
      <c r="D2173" t="s">
        <v>17</v>
      </c>
      <c r="E2173" t="s">
        <v>24</v>
      </c>
      <c r="F2173" t="s">
        <v>16</v>
      </c>
      <c r="H2173">
        <v>143.30000000000001</v>
      </c>
      <c r="I2173" s="13">
        <v>7</v>
      </c>
      <c r="J2173">
        <v>1</v>
      </c>
      <c r="K2173">
        <v>57.95</v>
      </c>
      <c r="L2173">
        <v>6</v>
      </c>
      <c r="M2173">
        <v>7</v>
      </c>
      <c r="N2173">
        <v>5</v>
      </c>
      <c r="O2173">
        <f t="shared" si="33"/>
        <v>6</v>
      </c>
    </row>
    <row r="2174" spans="1:15">
      <c r="A2174">
        <v>2084</v>
      </c>
      <c r="B2174" s="1">
        <v>45821</v>
      </c>
      <c r="C2174">
        <v>36</v>
      </c>
      <c r="D2174" t="s">
        <v>14</v>
      </c>
      <c r="E2174" t="s">
        <v>20</v>
      </c>
      <c r="F2174" t="s">
        <v>16</v>
      </c>
      <c r="H2174">
        <v>679.6</v>
      </c>
      <c r="I2174" s="13">
        <v>4</v>
      </c>
      <c r="J2174">
        <v>1</v>
      </c>
      <c r="K2174">
        <v>57.2</v>
      </c>
      <c r="L2174">
        <v>1</v>
      </c>
      <c r="M2174">
        <v>2</v>
      </c>
      <c r="N2174">
        <v>4</v>
      </c>
      <c r="O2174">
        <f t="shared" si="33"/>
        <v>6</v>
      </c>
    </row>
    <row r="2175" spans="1:15">
      <c r="A2175">
        <v>151</v>
      </c>
      <c r="B2175" s="1">
        <v>45821</v>
      </c>
      <c r="C2175">
        <v>24</v>
      </c>
      <c r="D2175" t="s">
        <v>27</v>
      </c>
      <c r="E2175" t="s">
        <v>15</v>
      </c>
      <c r="F2175" t="s">
        <v>18</v>
      </c>
      <c r="G2175" t="s">
        <v>25</v>
      </c>
      <c r="H2175">
        <v>335.7</v>
      </c>
      <c r="I2175" s="13">
        <v>8</v>
      </c>
      <c r="J2175">
        <v>1</v>
      </c>
      <c r="K2175">
        <v>48.94</v>
      </c>
      <c r="L2175">
        <v>4</v>
      </c>
      <c r="M2175">
        <v>7</v>
      </c>
      <c r="N2175">
        <v>3</v>
      </c>
      <c r="O2175">
        <f t="shared" si="33"/>
        <v>6</v>
      </c>
    </row>
    <row r="2176" spans="1:15">
      <c r="A2176">
        <v>105</v>
      </c>
      <c r="B2176" s="1">
        <v>45821</v>
      </c>
      <c r="C2176">
        <v>29</v>
      </c>
      <c r="D2176" t="s">
        <v>14</v>
      </c>
      <c r="E2176" t="s">
        <v>15</v>
      </c>
      <c r="F2176" t="s">
        <v>16</v>
      </c>
      <c r="H2176">
        <v>87.1</v>
      </c>
      <c r="I2176" s="13">
        <v>4</v>
      </c>
      <c r="J2176">
        <v>1</v>
      </c>
      <c r="K2176">
        <v>37.090000000000003</v>
      </c>
      <c r="L2176">
        <v>4</v>
      </c>
      <c r="M2176">
        <v>15</v>
      </c>
      <c r="N2176">
        <v>4</v>
      </c>
      <c r="O2176">
        <f t="shared" si="33"/>
        <v>6</v>
      </c>
    </row>
    <row r="2177" spans="1:15">
      <c r="A2177">
        <v>3660</v>
      </c>
      <c r="B2177" s="1">
        <v>45821</v>
      </c>
      <c r="C2177">
        <v>31</v>
      </c>
      <c r="D2177" t="s">
        <v>14</v>
      </c>
      <c r="E2177" t="s">
        <v>15</v>
      </c>
      <c r="F2177" t="s">
        <v>16</v>
      </c>
      <c r="H2177">
        <v>232.4</v>
      </c>
      <c r="I2177" s="13">
        <v>4</v>
      </c>
      <c r="J2177">
        <v>1</v>
      </c>
      <c r="K2177">
        <v>21.43</v>
      </c>
      <c r="L2177">
        <v>5</v>
      </c>
      <c r="M2177">
        <v>8</v>
      </c>
      <c r="N2177">
        <v>5</v>
      </c>
      <c r="O2177">
        <f t="shared" si="33"/>
        <v>6</v>
      </c>
    </row>
    <row r="2178" spans="1:15">
      <c r="A2178">
        <v>2003</v>
      </c>
      <c r="B2178" s="1">
        <v>45821</v>
      </c>
      <c r="C2178">
        <v>39</v>
      </c>
      <c r="D2178" t="s">
        <v>17</v>
      </c>
      <c r="E2178" t="s">
        <v>15</v>
      </c>
      <c r="F2178" t="s">
        <v>16</v>
      </c>
      <c r="H2178">
        <v>514.70000000000005</v>
      </c>
      <c r="I2178" s="13">
        <v>2</v>
      </c>
      <c r="J2178">
        <v>1</v>
      </c>
      <c r="K2178">
        <v>21.14</v>
      </c>
      <c r="L2178">
        <v>4</v>
      </c>
      <c r="M2178">
        <v>15</v>
      </c>
      <c r="N2178">
        <v>4</v>
      </c>
      <c r="O2178">
        <f t="shared" si="33"/>
        <v>6</v>
      </c>
    </row>
    <row r="2179" spans="1:15">
      <c r="A2179">
        <v>2108</v>
      </c>
      <c r="B2179" s="1">
        <v>45821</v>
      </c>
      <c r="C2179">
        <v>28</v>
      </c>
      <c r="D2179" t="s">
        <v>14</v>
      </c>
      <c r="E2179" t="s">
        <v>20</v>
      </c>
      <c r="F2179" t="s">
        <v>16</v>
      </c>
      <c r="H2179">
        <v>277.89999999999998</v>
      </c>
      <c r="I2179" s="13">
        <v>7</v>
      </c>
      <c r="J2179">
        <v>1</v>
      </c>
      <c r="K2179">
        <v>17.170000000000002</v>
      </c>
      <c r="L2179">
        <v>4</v>
      </c>
      <c r="M2179">
        <v>15</v>
      </c>
      <c r="N2179">
        <v>4</v>
      </c>
      <c r="O2179">
        <f t="shared" ref="O2179:O2242" si="34">MONTH(B2179)</f>
        <v>6</v>
      </c>
    </row>
    <row r="2180" spans="1:15">
      <c r="A2180">
        <v>454</v>
      </c>
      <c r="B2180" s="1">
        <v>45821</v>
      </c>
      <c r="C2180">
        <v>18</v>
      </c>
      <c r="D2180" t="s">
        <v>14</v>
      </c>
      <c r="E2180" t="s">
        <v>15</v>
      </c>
      <c r="F2180" t="s">
        <v>18</v>
      </c>
      <c r="G2180" t="s">
        <v>30</v>
      </c>
      <c r="H2180">
        <v>610.20000000000005</v>
      </c>
      <c r="I2180" s="13">
        <v>7</v>
      </c>
      <c r="J2180">
        <v>0</v>
      </c>
      <c r="K2180">
        <v>0</v>
      </c>
      <c r="L2180">
        <v>0</v>
      </c>
      <c r="M2180">
        <v>0</v>
      </c>
      <c r="O2180">
        <f t="shared" si="34"/>
        <v>6</v>
      </c>
    </row>
    <row r="2181" spans="1:15">
      <c r="A2181">
        <v>4817</v>
      </c>
      <c r="B2181" s="1">
        <v>45821</v>
      </c>
      <c r="C2181">
        <v>52</v>
      </c>
      <c r="D2181" t="s">
        <v>17</v>
      </c>
      <c r="E2181" t="s">
        <v>20</v>
      </c>
      <c r="F2181" t="s">
        <v>18</v>
      </c>
      <c r="G2181" t="s">
        <v>30</v>
      </c>
      <c r="H2181">
        <v>487.5</v>
      </c>
      <c r="I2181" s="13">
        <v>5</v>
      </c>
      <c r="J2181">
        <v>0</v>
      </c>
      <c r="K2181">
        <v>0</v>
      </c>
      <c r="L2181">
        <v>0</v>
      </c>
      <c r="M2181">
        <v>0</v>
      </c>
      <c r="O2181">
        <f t="shared" si="34"/>
        <v>6</v>
      </c>
    </row>
    <row r="2182" spans="1:15">
      <c r="A2182">
        <v>2473</v>
      </c>
      <c r="B2182" s="1">
        <v>45821</v>
      </c>
      <c r="C2182">
        <v>38</v>
      </c>
      <c r="D2182" t="s">
        <v>17</v>
      </c>
      <c r="E2182" t="s">
        <v>20</v>
      </c>
      <c r="F2182" t="s">
        <v>16</v>
      </c>
      <c r="H2182">
        <v>483.5</v>
      </c>
      <c r="I2182" s="13">
        <v>2</v>
      </c>
      <c r="J2182">
        <v>0</v>
      </c>
      <c r="K2182">
        <v>0</v>
      </c>
      <c r="L2182">
        <v>0</v>
      </c>
      <c r="M2182">
        <v>0</v>
      </c>
      <c r="O2182">
        <f t="shared" si="34"/>
        <v>6</v>
      </c>
    </row>
    <row r="2183" spans="1:15">
      <c r="A2183">
        <v>4937</v>
      </c>
      <c r="B2183" s="1">
        <v>45821</v>
      </c>
      <c r="C2183">
        <v>56</v>
      </c>
      <c r="D2183" t="s">
        <v>14</v>
      </c>
      <c r="E2183" t="s">
        <v>22</v>
      </c>
      <c r="F2183" t="s">
        <v>18</v>
      </c>
      <c r="G2183" t="s">
        <v>31</v>
      </c>
      <c r="H2183">
        <v>367.2</v>
      </c>
      <c r="I2183" s="13">
        <v>4</v>
      </c>
      <c r="J2183">
        <v>0</v>
      </c>
      <c r="K2183">
        <v>0</v>
      </c>
      <c r="L2183">
        <v>0</v>
      </c>
      <c r="M2183">
        <v>0</v>
      </c>
      <c r="O2183">
        <f t="shared" si="34"/>
        <v>6</v>
      </c>
    </row>
    <row r="2184" spans="1:15">
      <c r="A2184">
        <v>2802</v>
      </c>
      <c r="B2184" s="1">
        <v>45821</v>
      </c>
      <c r="C2184">
        <v>23</v>
      </c>
      <c r="D2184" t="s">
        <v>14</v>
      </c>
      <c r="E2184" t="s">
        <v>24</v>
      </c>
      <c r="F2184" t="s">
        <v>18</v>
      </c>
      <c r="G2184" t="s">
        <v>26</v>
      </c>
      <c r="H2184">
        <v>339.7</v>
      </c>
      <c r="I2184" s="13">
        <v>6</v>
      </c>
      <c r="J2184">
        <v>0</v>
      </c>
      <c r="K2184">
        <v>0</v>
      </c>
      <c r="L2184">
        <v>0</v>
      </c>
      <c r="M2184">
        <v>0</v>
      </c>
      <c r="O2184">
        <f t="shared" si="34"/>
        <v>6</v>
      </c>
    </row>
    <row r="2185" spans="1:15">
      <c r="A2185">
        <v>4471</v>
      </c>
      <c r="B2185" s="1">
        <v>45821</v>
      </c>
      <c r="C2185">
        <v>39</v>
      </c>
      <c r="D2185" t="s">
        <v>14</v>
      </c>
      <c r="E2185" t="s">
        <v>22</v>
      </c>
      <c r="F2185" t="s">
        <v>16</v>
      </c>
      <c r="H2185">
        <v>331.5</v>
      </c>
      <c r="I2185" s="13">
        <v>5</v>
      </c>
      <c r="J2185">
        <v>0</v>
      </c>
      <c r="K2185">
        <v>0</v>
      </c>
      <c r="L2185">
        <v>0</v>
      </c>
      <c r="M2185">
        <v>0</v>
      </c>
      <c r="O2185">
        <f t="shared" si="34"/>
        <v>6</v>
      </c>
    </row>
    <row r="2186" spans="1:15">
      <c r="A2186">
        <v>4900</v>
      </c>
      <c r="B2186" s="1">
        <v>45821</v>
      </c>
      <c r="C2186">
        <v>57</v>
      </c>
      <c r="D2186" t="s">
        <v>14</v>
      </c>
      <c r="E2186" t="s">
        <v>22</v>
      </c>
      <c r="F2186" t="s">
        <v>16</v>
      </c>
      <c r="H2186">
        <v>325.7</v>
      </c>
      <c r="I2186" s="13">
        <v>8</v>
      </c>
      <c r="J2186">
        <v>0</v>
      </c>
      <c r="K2186">
        <v>0</v>
      </c>
      <c r="L2186">
        <v>0</v>
      </c>
      <c r="M2186">
        <v>0</v>
      </c>
      <c r="O2186">
        <f t="shared" si="34"/>
        <v>6</v>
      </c>
    </row>
    <row r="2187" spans="1:15">
      <c r="A2187">
        <v>507</v>
      </c>
      <c r="B2187" s="1">
        <v>45821</v>
      </c>
      <c r="C2187">
        <v>27</v>
      </c>
      <c r="D2187" t="s">
        <v>14</v>
      </c>
      <c r="E2187" t="s">
        <v>20</v>
      </c>
      <c r="F2187" t="s">
        <v>18</v>
      </c>
      <c r="G2187" t="s">
        <v>29</v>
      </c>
      <c r="H2187">
        <v>305.39999999999998</v>
      </c>
      <c r="I2187" s="13">
        <v>6</v>
      </c>
      <c r="J2187">
        <v>0</v>
      </c>
      <c r="K2187">
        <v>0</v>
      </c>
      <c r="L2187">
        <v>0</v>
      </c>
      <c r="M2187">
        <v>0</v>
      </c>
      <c r="O2187">
        <f t="shared" si="34"/>
        <v>6</v>
      </c>
    </row>
    <row r="2188" spans="1:15">
      <c r="A2188">
        <v>3752</v>
      </c>
      <c r="B2188" s="1">
        <v>45821</v>
      </c>
      <c r="C2188">
        <v>48</v>
      </c>
      <c r="D2188" t="s">
        <v>14</v>
      </c>
      <c r="E2188" t="s">
        <v>22</v>
      </c>
      <c r="F2188" t="s">
        <v>16</v>
      </c>
      <c r="H2188">
        <v>290.60000000000002</v>
      </c>
      <c r="I2188" s="13">
        <v>3</v>
      </c>
      <c r="J2188">
        <v>0</v>
      </c>
      <c r="K2188">
        <v>0</v>
      </c>
      <c r="L2188">
        <v>0</v>
      </c>
      <c r="M2188">
        <v>0</v>
      </c>
      <c r="O2188">
        <f t="shared" si="34"/>
        <v>6</v>
      </c>
    </row>
    <row r="2189" spans="1:15">
      <c r="A2189">
        <v>2624</v>
      </c>
      <c r="B2189" s="1">
        <v>45821</v>
      </c>
      <c r="C2189">
        <v>41</v>
      </c>
      <c r="D2189" t="s">
        <v>17</v>
      </c>
      <c r="E2189" t="s">
        <v>24</v>
      </c>
      <c r="F2189" t="s">
        <v>23</v>
      </c>
      <c r="H2189">
        <v>248.7</v>
      </c>
      <c r="I2189" s="13">
        <v>7</v>
      </c>
      <c r="J2189">
        <v>0</v>
      </c>
      <c r="K2189">
        <v>0</v>
      </c>
      <c r="L2189">
        <v>0</v>
      </c>
      <c r="M2189">
        <v>0</v>
      </c>
      <c r="O2189">
        <f t="shared" si="34"/>
        <v>6</v>
      </c>
    </row>
    <row r="2190" spans="1:15">
      <c r="A2190">
        <v>2210</v>
      </c>
      <c r="B2190" s="1">
        <v>45821</v>
      </c>
      <c r="C2190">
        <v>28</v>
      </c>
      <c r="D2190" t="s">
        <v>14</v>
      </c>
      <c r="E2190" t="s">
        <v>20</v>
      </c>
      <c r="F2190" t="s">
        <v>21</v>
      </c>
      <c r="H2190">
        <v>233.3</v>
      </c>
      <c r="I2190" s="13">
        <v>7</v>
      </c>
      <c r="J2190">
        <v>0</v>
      </c>
      <c r="K2190">
        <v>0</v>
      </c>
      <c r="L2190">
        <v>0</v>
      </c>
      <c r="M2190">
        <v>0</v>
      </c>
      <c r="O2190">
        <f t="shared" si="34"/>
        <v>6</v>
      </c>
    </row>
    <row r="2191" spans="1:15">
      <c r="A2191">
        <v>3007</v>
      </c>
      <c r="B2191" s="1">
        <v>45821</v>
      </c>
      <c r="C2191">
        <v>32</v>
      </c>
      <c r="D2191" t="s">
        <v>14</v>
      </c>
      <c r="E2191" t="s">
        <v>20</v>
      </c>
      <c r="F2191" t="s">
        <v>18</v>
      </c>
      <c r="G2191" t="s">
        <v>19</v>
      </c>
      <c r="H2191">
        <v>188</v>
      </c>
      <c r="I2191" s="13">
        <v>7</v>
      </c>
      <c r="J2191">
        <v>0</v>
      </c>
      <c r="K2191">
        <v>0</v>
      </c>
      <c r="L2191">
        <v>0</v>
      </c>
      <c r="M2191">
        <v>0</v>
      </c>
      <c r="O2191">
        <f t="shared" si="34"/>
        <v>6</v>
      </c>
    </row>
    <row r="2192" spans="1:15">
      <c r="A2192">
        <v>2321</v>
      </c>
      <c r="B2192" s="1">
        <v>45821</v>
      </c>
      <c r="C2192">
        <v>34</v>
      </c>
      <c r="D2192" t="s">
        <v>17</v>
      </c>
      <c r="E2192" t="s">
        <v>15</v>
      </c>
      <c r="F2192" t="s">
        <v>16</v>
      </c>
      <c r="H2192">
        <v>180.1</v>
      </c>
      <c r="I2192" s="13">
        <v>10</v>
      </c>
      <c r="J2192">
        <v>0</v>
      </c>
      <c r="K2192">
        <v>0</v>
      </c>
      <c r="L2192">
        <v>0</v>
      </c>
      <c r="M2192">
        <v>0</v>
      </c>
      <c r="O2192">
        <f t="shared" si="34"/>
        <v>6</v>
      </c>
    </row>
    <row r="2193" spans="1:15">
      <c r="A2193">
        <v>4294</v>
      </c>
      <c r="B2193" s="1">
        <v>45821</v>
      </c>
      <c r="C2193">
        <v>58</v>
      </c>
      <c r="D2193" t="s">
        <v>14</v>
      </c>
      <c r="E2193" t="s">
        <v>20</v>
      </c>
      <c r="F2193" t="s">
        <v>18</v>
      </c>
      <c r="G2193" t="s">
        <v>29</v>
      </c>
      <c r="H2193">
        <v>157.4</v>
      </c>
      <c r="I2193" s="13">
        <v>6</v>
      </c>
      <c r="J2193">
        <v>0</v>
      </c>
      <c r="K2193">
        <v>0</v>
      </c>
      <c r="L2193">
        <v>0</v>
      </c>
      <c r="M2193">
        <v>0</v>
      </c>
      <c r="O2193">
        <f t="shared" si="34"/>
        <v>6</v>
      </c>
    </row>
    <row r="2194" spans="1:15">
      <c r="A2194">
        <v>1368</v>
      </c>
      <c r="B2194" s="1">
        <v>45821</v>
      </c>
      <c r="C2194">
        <v>20</v>
      </c>
      <c r="D2194" t="s">
        <v>14</v>
      </c>
      <c r="E2194" t="s">
        <v>22</v>
      </c>
      <c r="F2194" t="s">
        <v>18</v>
      </c>
      <c r="G2194" t="s">
        <v>25</v>
      </c>
      <c r="H2194">
        <v>121.6</v>
      </c>
      <c r="I2194" s="13">
        <v>5</v>
      </c>
      <c r="J2194">
        <v>0</v>
      </c>
      <c r="K2194">
        <v>0</v>
      </c>
      <c r="L2194">
        <v>0</v>
      </c>
      <c r="M2194">
        <v>0</v>
      </c>
      <c r="O2194">
        <f t="shared" si="34"/>
        <v>6</v>
      </c>
    </row>
    <row r="2195" spans="1:15">
      <c r="A2195">
        <v>3353</v>
      </c>
      <c r="B2195" s="1">
        <v>45821</v>
      </c>
      <c r="C2195">
        <v>36</v>
      </c>
      <c r="D2195" t="s">
        <v>14</v>
      </c>
      <c r="E2195" t="s">
        <v>20</v>
      </c>
      <c r="F2195" t="s">
        <v>16</v>
      </c>
      <c r="H2195">
        <v>116.3</v>
      </c>
      <c r="I2195" s="13">
        <v>5</v>
      </c>
      <c r="J2195">
        <v>0</v>
      </c>
      <c r="K2195">
        <v>0</v>
      </c>
      <c r="L2195">
        <v>0</v>
      </c>
      <c r="M2195">
        <v>0</v>
      </c>
      <c r="O2195">
        <f t="shared" si="34"/>
        <v>6</v>
      </c>
    </row>
    <row r="2196" spans="1:15">
      <c r="A2196">
        <v>3337</v>
      </c>
      <c r="B2196" s="1">
        <v>45821</v>
      </c>
      <c r="C2196">
        <v>34</v>
      </c>
      <c r="D2196" t="s">
        <v>14</v>
      </c>
      <c r="E2196" t="s">
        <v>24</v>
      </c>
      <c r="F2196" t="s">
        <v>16</v>
      </c>
      <c r="H2196">
        <v>107.7</v>
      </c>
      <c r="I2196" s="13">
        <v>9</v>
      </c>
      <c r="J2196">
        <v>0</v>
      </c>
      <c r="K2196">
        <v>0</v>
      </c>
      <c r="L2196">
        <v>0</v>
      </c>
      <c r="M2196">
        <v>0</v>
      </c>
      <c r="O2196">
        <f t="shared" si="34"/>
        <v>6</v>
      </c>
    </row>
    <row r="2197" spans="1:15">
      <c r="A2197">
        <v>786</v>
      </c>
      <c r="B2197" s="1">
        <v>45821</v>
      </c>
      <c r="C2197">
        <v>23</v>
      </c>
      <c r="D2197" t="s">
        <v>14</v>
      </c>
      <c r="E2197" t="s">
        <v>24</v>
      </c>
      <c r="F2197" t="s">
        <v>18</v>
      </c>
      <c r="G2197" t="s">
        <v>28</v>
      </c>
      <c r="H2197">
        <v>81.2</v>
      </c>
      <c r="I2197" s="13">
        <v>8</v>
      </c>
      <c r="J2197">
        <v>0</v>
      </c>
      <c r="K2197">
        <v>0</v>
      </c>
      <c r="L2197">
        <v>0</v>
      </c>
      <c r="M2197">
        <v>0</v>
      </c>
      <c r="O2197">
        <f t="shared" si="34"/>
        <v>6</v>
      </c>
    </row>
    <row r="2198" spans="1:15">
      <c r="A2198">
        <v>44</v>
      </c>
      <c r="B2198" s="1">
        <v>45821</v>
      </c>
      <c r="C2198">
        <v>18</v>
      </c>
      <c r="D2198" t="s">
        <v>17</v>
      </c>
      <c r="E2198" t="s">
        <v>15</v>
      </c>
      <c r="F2198" t="s">
        <v>16</v>
      </c>
      <c r="H2198">
        <v>77.8</v>
      </c>
      <c r="I2198" s="13">
        <v>5</v>
      </c>
      <c r="J2198">
        <v>0</v>
      </c>
      <c r="K2198">
        <v>0</v>
      </c>
      <c r="L2198">
        <v>0</v>
      </c>
      <c r="M2198">
        <v>0</v>
      </c>
      <c r="O2198">
        <f t="shared" si="34"/>
        <v>6</v>
      </c>
    </row>
    <row r="2199" spans="1:15">
      <c r="A2199">
        <v>2252</v>
      </c>
      <c r="B2199" s="1">
        <v>45821</v>
      </c>
      <c r="C2199">
        <v>43</v>
      </c>
      <c r="D2199" t="s">
        <v>17</v>
      </c>
      <c r="E2199" t="s">
        <v>22</v>
      </c>
      <c r="F2199" t="s">
        <v>18</v>
      </c>
      <c r="G2199" t="s">
        <v>19</v>
      </c>
      <c r="H2199">
        <v>56.6</v>
      </c>
      <c r="I2199" s="13">
        <v>5</v>
      </c>
      <c r="J2199">
        <v>0</v>
      </c>
      <c r="K2199">
        <v>0</v>
      </c>
      <c r="L2199">
        <v>0</v>
      </c>
      <c r="M2199">
        <v>0</v>
      </c>
      <c r="O2199">
        <f t="shared" si="34"/>
        <v>6</v>
      </c>
    </row>
    <row r="2200" spans="1:15">
      <c r="A2200">
        <v>2797</v>
      </c>
      <c r="B2200" s="1">
        <v>45671</v>
      </c>
      <c r="C2200">
        <v>58</v>
      </c>
      <c r="D2200" t="s">
        <v>27</v>
      </c>
      <c r="E2200" t="s">
        <v>22</v>
      </c>
      <c r="F2200" t="s">
        <v>21</v>
      </c>
      <c r="H2200">
        <v>475.8</v>
      </c>
      <c r="I2200" s="13">
        <v>7</v>
      </c>
      <c r="J2200">
        <v>1</v>
      </c>
      <c r="K2200">
        <v>84.43</v>
      </c>
      <c r="L2200">
        <v>4</v>
      </c>
      <c r="M2200">
        <v>6</v>
      </c>
      <c r="N2200">
        <v>3</v>
      </c>
      <c r="O2200">
        <f t="shared" si="34"/>
        <v>1</v>
      </c>
    </row>
    <row r="2201" spans="1:15">
      <c r="A2201">
        <v>1392</v>
      </c>
      <c r="B2201" s="1">
        <v>45671</v>
      </c>
      <c r="C2201">
        <v>31</v>
      </c>
      <c r="D2201" t="s">
        <v>17</v>
      </c>
      <c r="E2201" t="s">
        <v>22</v>
      </c>
      <c r="F2201" t="s">
        <v>21</v>
      </c>
      <c r="H2201">
        <v>486.2</v>
      </c>
      <c r="I2201" s="13">
        <v>8</v>
      </c>
      <c r="J2201">
        <v>1</v>
      </c>
      <c r="K2201">
        <v>73.91</v>
      </c>
      <c r="L2201">
        <v>4</v>
      </c>
      <c r="M2201">
        <v>1</v>
      </c>
      <c r="N2201">
        <v>3</v>
      </c>
      <c r="O2201">
        <f t="shared" si="34"/>
        <v>1</v>
      </c>
    </row>
    <row r="2202" spans="1:15">
      <c r="A2202">
        <v>3286</v>
      </c>
      <c r="B2202" s="1">
        <v>45671</v>
      </c>
      <c r="C2202">
        <v>35</v>
      </c>
      <c r="D2202" t="s">
        <v>17</v>
      </c>
      <c r="E2202" t="s">
        <v>15</v>
      </c>
      <c r="F2202" t="s">
        <v>18</v>
      </c>
      <c r="G2202" t="s">
        <v>31</v>
      </c>
      <c r="H2202">
        <v>422.6</v>
      </c>
      <c r="I2202" s="13">
        <v>11</v>
      </c>
      <c r="J2202">
        <v>1</v>
      </c>
      <c r="K2202">
        <v>53.74</v>
      </c>
      <c r="L2202">
        <v>1</v>
      </c>
      <c r="M2202">
        <v>9</v>
      </c>
      <c r="N2202">
        <v>4</v>
      </c>
      <c r="O2202">
        <f t="shared" si="34"/>
        <v>1</v>
      </c>
    </row>
    <row r="2203" spans="1:15">
      <c r="A2203">
        <v>3298</v>
      </c>
      <c r="B2203" s="1">
        <v>45671</v>
      </c>
      <c r="C2203">
        <v>27</v>
      </c>
      <c r="D2203" t="s">
        <v>17</v>
      </c>
      <c r="E2203" t="s">
        <v>22</v>
      </c>
      <c r="F2203" t="s">
        <v>16</v>
      </c>
      <c r="H2203">
        <v>506.9</v>
      </c>
      <c r="I2203" s="13">
        <v>6</v>
      </c>
      <c r="J2203">
        <v>1</v>
      </c>
      <c r="K2203">
        <v>52.66</v>
      </c>
      <c r="L2203">
        <v>3</v>
      </c>
      <c r="M2203">
        <v>1</v>
      </c>
      <c r="N2203">
        <v>5</v>
      </c>
      <c r="O2203">
        <f t="shared" si="34"/>
        <v>1</v>
      </c>
    </row>
    <row r="2204" spans="1:15">
      <c r="A2204">
        <v>4398</v>
      </c>
      <c r="B2204" s="1">
        <v>45671</v>
      </c>
      <c r="C2204">
        <v>48</v>
      </c>
      <c r="D2204" t="s">
        <v>17</v>
      </c>
      <c r="E2204" t="s">
        <v>15</v>
      </c>
      <c r="F2204" t="s">
        <v>23</v>
      </c>
      <c r="H2204">
        <v>200.1</v>
      </c>
      <c r="I2204" s="13">
        <v>5</v>
      </c>
      <c r="J2204">
        <v>1</v>
      </c>
      <c r="K2204">
        <v>49.92</v>
      </c>
      <c r="L2204">
        <v>4</v>
      </c>
      <c r="M2204">
        <v>4</v>
      </c>
      <c r="N2204">
        <v>5</v>
      </c>
      <c r="O2204">
        <f t="shared" si="34"/>
        <v>1</v>
      </c>
    </row>
    <row r="2205" spans="1:15">
      <c r="A2205">
        <v>3856</v>
      </c>
      <c r="B2205" s="1">
        <v>45671</v>
      </c>
      <c r="C2205">
        <v>47</v>
      </c>
      <c r="D2205" t="s">
        <v>14</v>
      </c>
      <c r="E2205" t="s">
        <v>20</v>
      </c>
      <c r="F2205" t="s">
        <v>23</v>
      </c>
      <c r="H2205">
        <v>421</v>
      </c>
      <c r="I2205" s="13">
        <v>4</v>
      </c>
      <c r="J2205">
        <v>1</v>
      </c>
      <c r="K2205">
        <v>41.23</v>
      </c>
      <c r="L2205">
        <v>2</v>
      </c>
      <c r="M2205">
        <v>11</v>
      </c>
      <c r="N2205">
        <v>5</v>
      </c>
      <c r="O2205">
        <f t="shared" si="34"/>
        <v>1</v>
      </c>
    </row>
    <row r="2206" spans="1:15">
      <c r="A2206">
        <v>1136</v>
      </c>
      <c r="B2206" s="1">
        <v>45671</v>
      </c>
      <c r="C2206">
        <v>30</v>
      </c>
      <c r="D2206" t="s">
        <v>14</v>
      </c>
      <c r="E2206" t="s">
        <v>15</v>
      </c>
      <c r="F2206" t="s">
        <v>21</v>
      </c>
      <c r="H2206">
        <v>901.8</v>
      </c>
      <c r="I2206" s="13">
        <v>7</v>
      </c>
      <c r="J2206">
        <v>1</v>
      </c>
      <c r="K2206">
        <v>27.75</v>
      </c>
      <c r="L2206">
        <v>3</v>
      </c>
      <c r="M2206">
        <v>4</v>
      </c>
      <c r="N2206">
        <v>4</v>
      </c>
      <c r="O2206">
        <f t="shared" si="34"/>
        <v>1</v>
      </c>
    </row>
    <row r="2207" spans="1:15">
      <c r="A2207">
        <v>78</v>
      </c>
      <c r="B2207" s="1">
        <v>45671</v>
      </c>
      <c r="C2207">
        <v>25</v>
      </c>
      <c r="D2207" t="s">
        <v>17</v>
      </c>
      <c r="E2207" t="s">
        <v>24</v>
      </c>
      <c r="F2207" t="s">
        <v>18</v>
      </c>
      <c r="G2207" t="s">
        <v>25</v>
      </c>
      <c r="H2207">
        <v>522.29999999999995</v>
      </c>
      <c r="I2207" s="13">
        <v>6</v>
      </c>
      <c r="J2207">
        <v>1</v>
      </c>
      <c r="K2207">
        <v>20.350000000000001</v>
      </c>
      <c r="L2207">
        <v>6</v>
      </c>
      <c r="M2207">
        <v>8</v>
      </c>
      <c r="N2207">
        <v>5</v>
      </c>
      <c r="O2207">
        <f t="shared" si="34"/>
        <v>1</v>
      </c>
    </row>
    <row r="2208" spans="1:15">
      <c r="A2208">
        <v>2771</v>
      </c>
      <c r="B2208" s="1">
        <v>45671</v>
      </c>
      <c r="C2208">
        <v>46</v>
      </c>
      <c r="D2208" t="s">
        <v>14</v>
      </c>
      <c r="E2208" t="s">
        <v>20</v>
      </c>
      <c r="F2208" t="s">
        <v>16</v>
      </c>
      <c r="H2208">
        <v>445.4</v>
      </c>
      <c r="I2208" s="13">
        <v>4</v>
      </c>
      <c r="J2208">
        <v>1</v>
      </c>
      <c r="K2208">
        <v>15.57</v>
      </c>
      <c r="L2208">
        <v>3</v>
      </c>
      <c r="M2208">
        <v>11</v>
      </c>
      <c r="N2208">
        <v>4</v>
      </c>
      <c r="O2208">
        <f t="shared" si="34"/>
        <v>1</v>
      </c>
    </row>
    <row r="2209" spans="1:15">
      <c r="A2209">
        <v>984</v>
      </c>
      <c r="B2209" s="1">
        <v>45671</v>
      </c>
      <c r="C2209">
        <v>22</v>
      </c>
      <c r="D2209" t="s">
        <v>14</v>
      </c>
      <c r="E2209" t="s">
        <v>20</v>
      </c>
      <c r="F2209" t="s">
        <v>16</v>
      </c>
      <c r="H2209">
        <v>1306.5</v>
      </c>
      <c r="I2209" s="13">
        <v>8</v>
      </c>
      <c r="J2209">
        <v>0</v>
      </c>
      <c r="K2209">
        <v>0</v>
      </c>
      <c r="L2209">
        <v>0</v>
      </c>
      <c r="M2209">
        <v>0</v>
      </c>
      <c r="O2209">
        <f t="shared" si="34"/>
        <v>1</v>
      </c>
    </row>
    <row r="2210" spans="1:15">
      <c r="A2210">
        <v>498</v>
      </c>
      <c r="B2210" s="1">
        <v>45671</v>
      </c>
      <c r="C2210">
        <v>28</v>
      </c>
      <c r="D2210" t="s">
        <v>14</v>
      </c>
      <c r="E2210" t="s">
        <v>24</v>
      </c>
      <c r="F2210" t="s">
        <v>21</v>
      </c>
      <c r="H2210">
        <v>728.5</v>
      </c>
      <c r="I2210" s="13">
        <v>3</v>
      </c>
      <c r="J2210">
        <v>0</v>
      </c>
      <c r="K2210">
        <v>0</v>
      </c>
      <c r="L2210">
        <v>0</v>
      </c>
      <c r="M2210">
        <v>0</v>
      </c>
      <c r="O2210">
        <f t="shared" si="34"/>
        <v>1</v>
      </c>
    </row>
    <row r="2211" spans="1:15">
      <c r="A2211">
        <v>2555</v>
      </c>
      <c r="B2211" s="1">
        <v>45671</v>
      </c>
      <c r="C2211">
        <v>43</v>
      </c>
      <c r="D2211" t="s">
        <v>17</v>
      </c>
      <c r="E2211" t="s">
        <v>20</v>
      </c>
      <c r="F2211" t="s">
        <v>16</v>
      </c>
      <c r="H2211">
        <v>531.6</v>
      </c>
      <c r="I2211" s="13">
        <v>8</v>
      </c>
      <c r="J2211">
        <v>0</v>
      </c>
      <c r="K2211">
        <v>0</v>
      </c>
      <c r="L2211">
        <v>0</v>
      </c>
      <c r="M2211">
        <v>0</v>
      </c>
      <c r="O2211">
        <f t="shared" si="34"/>
        <v>1</v>
      </c>
    </row>
    <row r="2212" spans="1:15">
      <c r="A2212">
        <v>4411</v>
      </c>
      <c r="B2212" s="1">
        <v>45671</v>
      </c>
      <c r="C2212">
        <v>54</v>
      </c>
      <c r="D2212" t="s">
        <v>17</v>
      </c>
      <c r="E2212" t="s">
        <v>15</v>
      </c>
      <c r="F2212" t="s">
        <v>16</v>
      </c>
      <c r="H2212">
        <v>518.9</v>
      </c>
      <c r="I2212" s="13">
        <v>12</v>
      </c>
      <c r="J2212">
        <v>0</v>
      </c>
      <c r="K2212">
        <v>0</v>
      </c>
      <c r="L2212">
        <v>0</v>
      </c>
      <c r="M2212">
        <v>0</v>
      </c>
      <c r="O2212">
        <f t="shared" si="34"/>
        <v>1</v>
      </c>
    </row>
    <row r="2213" spans="1:15">
      <c r="A2213">
        <v>1494</v>
      </c>
      <c r="B2213" s="1">
        <v>45671</v>
      </c>
      <c r="C2213">
        <v>22</v>
      </c>
      <c r="D2213" t="s">
        <v>14</v>
      </c>
      <c r="E2213" t="s">
        <v>20</v>
      </c>
      <c r="F2213" t="s">
        <v>18</v>
      </c>
      <c r="G2213" t="s">
        <v>26</v>
      </c>
      <c r="H2213">
        <v>492.1</v>
      </c>
      <c r="I2213" s="13">
        <v>4</v>
      </c>
      <c r="J2213">
        <v>0</v>
      </c>
      <c r="K2213">
        <v>0</v>
      </c>
      <c r="L2213">
        <v>0</v>
      </c>
      <c r="M2213">
        <v>0</v>
      </c>
      <c r="O2213">
        <f t="shared" si="34"/>
        <v>1</v>
      </c>
    </row>
    <row r="2214" spans="1:15">
      <c r="A2214">
        <v>69</v>
      </c>
      <c r="B2214" s="1">
        <v>45671</v>
      </c>
      <c r="C2214">
        <v>25</v>
      </c>
      <c r="D2214" t="s">
        <v>14</v>
      </c>
      <c r="E2214" t="s">
        <v>15</v>
      </c>
      <c r="F2214" t="s">
        <v>18</v>
      </c>
      <c r="G2214" t="s">
        <v>29</v>
      </c>
      <c r="H2214">
        <v>474.3</v>
      </c>
      <c r="I2214" s="13">
        <v>3</v>
      </c>
      <c r="J2214">
        <v>0</v>
      </c>
      <c r="K2214">
        <v>0</v>
      </c>
      <c r="L2214">
        <v>0</v>
      </c>
      <c r="M2214">
        <v>0</v>
      </c>
      <c r="O2214">
        <f t="shared" si="34"/>
        <v>1</v>
      </c>
    </row>
    <row r="2215" spans="1:15">
      <c r="A2215">
        <v>477</v>
      </c>
      <c r="B2215" s="1">
        <v>45671</v>
      </c>
      <c r="C2215">
        <v>23</v>
      </c>
      <c r="D2215" t="s">
        <v>14</v>
      </c>
      <c r="E2215" t="s">
        <v>20</v>
      </c>
      <c r="F2215" t="s">
        <v>18</v>
      </c>
      <c r="G2215" t="s">
        <v>19</v>
      </c>
      <c r="H2215">
        <v>446.9</v>
      </c>
      <c r="I2215" s="13">
        <v>4</v>
      </c>
      <c r="J2215">
        <v>0</v>
      </c>
      <c r="K2215">
        <v>0</v>
      </c>
      <c r="L2215">
        <v>0</v>
      </c>
      <c r="M2215">
        <v>0</v>
      </c>
      <c r="O2215">
        <f t="shared" si="34"/>
        <v>1</v>
      </c>
    </row>
    <row r="2216" spans="1:15">
      <c r="A2216">
        <v>4435</v>
      </c>
      <c r="B2216" s="1">
        <v>45671</v>
      </c>
      <c r="C2216">
        <v>36</v>
      </c>
      <c r="D2216" t="s">
        <v>17</v>
      </c>
      <c r="E2216" t="s">
        <v>22</v>
      </c>
      <c r="F2216" t="s">
        <v>23</v>
      </c>
      <c r="H2216">
        <v>425</v>
      </c>
      <c r="I2216" s="13">
        <v>8</v>
      </c>
      <c r="J2216">
        <v>0</v>
      </c>
      <c r="K2216">
        <v>0</v>
      </c>
      <c r="L2216">
        <v>0</v>
      </c>
      <c r="M2216">
        <v>0</v>
      </c>
      <c r="O2216">
        <f t="shared" si="34"/>
        <v>1</v>
      </c>
    </row>
    <row r="2217" spans="1:15">
      <c r="A2217">
        <v>2740</v>
      </c>
      <c r="B2217" s="1">
        <v>45671</v>
      </c>
      <c r="C2217">
        <v>37</v>
      </c>
      <c r="D2217" t="s">
        <v>17</v>
      </c>
      <c r="E2217" t="s">
        <v>24</v>
      </c>
      <c r="F2217" t="s">
        <v>18</v>
      </c>
      <c r="G2217" t="s">
        <v>28</v>
      </c>
      <c r="H2217">
        <v>411.5</v>
      </c>
      <c r="I2217" s="13">
        <v>6</v>
      </c>
      <c r="J2217">
        <v>0</v>
      </c>
      <c r="K2217">
        <v>0</v>
      </c>
      <c r="L2217">
        <v>0</v>
      </c>
      <c r="M2217">
        <v>0</v>
      </c>
      <c r="O2217">
        <f t="shared" si="34"/>
        <v>1</v>
      </c>
    </row>
    <row r="2218" spans="1:15">
      <c r="A2218">
        <v>3058</v>
      </c>
      <c r="B2218" s="1">
        <v>45671</v>
      </c>
      <c r="C2218">
        <v>38</v>
      </c>
      <c r="D2218" t="s">
        <v>14</v>
      </c>
      <c r="E2218" t="s">
        <v>22</v>
      </c>
      <c r="F2218" t="s">
        <v>18</v>
      </c>
      <c r="G2218" t="s">
        <v>28</v>
      </c>
      <c r="H2218">
        <v>409.2</v>
      </c>
      <c r="I2218" s="13">
        <v>5</v>
      </c>
      <c r="J2218">
        <v>0</v>
      </c>
      <c r="K2218">
        <v>0</v>
      </c>
      <c r="L2218">
        <v>0</v>
      </c>
      <c r="M2218">
        <v>0</v>
      </c>
      <c r="O2218">
        <f t="shared" si="34"/>
        <v>1</v>
      </c>
    </row>
    <row r="2219" spans="1:15">
      <c r="A2219">
        <v>1035</v>
      </c>
      <c r="B2219" s="1">
        <v>45671</v>
      </c>
      <c r="C2219">
        <v>32</v>
      </c>
      <c r="D2219" t="s">
        <v>17</v>
      </c>
      <c r="E2219" t="s">
        <v>15</v>
      </c>
      <c r="F2219" t="s">
        <v>16</v>
      </c>
      <c r="H2219">
        <v>352.8</v>
      </c>
      <c r="I2219" s="13">
        <v>3</v>
      </c>
      <c r="J2219">
        <v>0</v>
      </c>
      <c r="K2219">
        <v>0</v>
      </c>
      <c r="L2219">
        <v>0</v>
      </c>
      <c r="M2219">
        <v>0</v>
      </c>
      <c r="O2219">
        <f t="shared" si="34"/>
        <v>1</v>
      </c>
    </row>
    <row r="2220" spans="1:15">
      <c r="A2220">
        <v>1266</v>
      </c>
      <c r="B2220" s="1">
        <v>45671</v>
      </c>
      <c r="C2220">
        <v>22</v>
      </c>
      <c r="D2220" t="s">
        <v>17</v>
      </c>
      <c r="E2220" t="s">
        <v>22</v>
      </c>
      <c r="F2220" t="s">
        <v>16</v>
      </c>
      <c r="H2220">
        <v>352.1</v>
      </c>
      <c r="I2220" s="13">
        <v>5</v>
      </c>
      <c r="J2220">
        <v>0</v>
      </c>
      <c r="K2220">
        <v>0</v>
      </c>
      <c r="L2220">
        <v>0</v>
      </c>
      <c r="M2220">
        <v>0</v>
      </c>
      <c r="O2220">
        <f t="shared" si="34"/>
        <v>1</v>
      </c>
    </row>
    <row r="2221" spans="1:15">
      <c r="A2221">
        <v>2564</v>
      </c>
      <c r="B2221" s="1">
        <v>45671</v>
      </c>
      <c r="C2221">
        <v>33</v>
      </c>
      <c r="D2221" t="s">
        <v>17</v>
      </c>
      <c r="E2221" t="s">
        <v>22</v>
      </c>
      <c r="F2221" t="s">
        <v>23</v>
      </c>
      <c r="H2221">
        <v>350</v>
      </c>
      <c r="I2221" s="13">
        <v>6</v>
      </c>
      <c r="J2221">
        <v>0</v>
      </c>
      <c r="K2221">
        <v>0</v>
      </c>
      <c r="L2221">
        <v>0</v>
      </c>
      <c r="M2221">
        <v>0</v>
      </c>
      <c r="O2221">
        <f t="shared" si="34"/>
        <v>1</v>
      </c>
    </row>
    <row r="2222" spans="1:15">
      <c r="A2222">
        <v>3356</v>
      </c>
      <c r="B2222" s="1">
        <v>45671</v>
      </c>
      <c r="C2222">
        <v>27</v>
      </c>
      <c r="D2222" t="s">
        <v>17</v>
      </c>
      <c r="E2222" t="s">
        <v>22</v>
      </c>
      <c r="F2222" t="s">
        <v>18</v>
      </c>
      <c r="G2222" t="s">
        <v>31</v>
      </c>
      <c r="H2222">
        <v>269.8</v>
      </c>
      <c r="I2222" s="13">
        <v>5</v>
      </c>
      <c r="J2222">
        <v>0</v>
      </c>
      <c r="K2222">
        <v>0</v>
      </c>
      <c r="L2222">
        <v>0</v>
      </c>
      <c r="M2222">
        <v>0</v>
      </c>
      <c r="O2222">
        <f t="shared" si="34"/>
        <v>1</v>
      </c>
    </row>
    <row r="2223" spans="1:15">
      <c r="A2223">
        <v>2547</v>
      </c>
      <c r="B2223" s="1">
        <v>45671</v>
      </c>
      <c r="C2223">
        <v>38</v>
      </c>
      <c r="D2223" t="s">
        <v>17</v>
      </c>
      <c r="E2223" t="s">
        <v>20</v>
      </c>
      <c r="F2223" t="s">
        <v>16</v>
      </c>
      <c r="H2223">
        <v>263.5</v>
      </c>
      <c r="I2223" s="13">
        <v>3</v>
      </c>
      <c r="J2223">
        <v>0</v>
      </c>
      <c r="K2223">
        <v>0</v>
      </c>
      <c r="L2223">
        <v>0</v>
      </c>
      <c r="M2223">
        <v>0</v>
      </c>
      <c r="O2223">
        <f t="shared" si="34"/>
        <v>1</v>
      </c>
    </row>
    <row r="2224" spans="1:15">
      <c r="A2224">
        <v>4702</v>
      </c>
      <c r="B2224" s="1">
        <v>45671</v>
      </c>
      <c r="C2224">
        <v>52</v>
      </c>
      <c r="D2224" t="s">
        <v>14</v>
      </c>
      <c r="E2224" t="s">
        <v>20</v>
      </c>
      <c r="F2224" t="s">
        <v>16</v>
      </c>
      <c r="H2224">
        <v>221.2</v>
      </c>
      <c r="I2224" s="13">
        <v>7</v>
      </c>
      <c r="J2224">
        <v>0</v>
      </c>
      <c r="K2224">
        <v>0</v>
      </c>
      <c r="L2224">
        <v>0</v>
      </c>
      <c r="M2224">
        <v>0</v>
      </c>
      <c r="O2224">
        <f t="shared" si="34"/>
        <v>1</v>
      </c>
    </row>
    <row r="2225" spans="1:15">
      <c r="A2225">
        <v>437</v>
      </c>
      <c r="B2225" s="1">
        <v>45671</v>
      </c>
      <c r="C2225">
        <v>26</v>
      </c>
      <c r="D2225" t="s">
        <v>17</v>
      </c>
      <c r="E2225" t="s">
        <v>22</v>
      </c>
      <c r="F2225" t="s">
        <v>16</v>
      </c>
      <c r="H2225">
        <v>189.2</v>
      </c>
      <c r="I2225" s="13">
        <v>8</v>
      </c>
      <c r="J2225">
        <v>0</v>
      </c>
      <c r="K2225">
        <v>0</v>
      </c>
      <c r="L2225">
        <v>0</v>
      </c>
      <c r="M2225">
        <v>0</v>
      </c>
      <c r="O2225">
        <f t="shared" si="34"/>
        <v>1</v>
      </c>
    </row>
    <row r="2226" spans="1:15">
      <c r="A2226">
        <v>1940</v>
      </c>
      <c r="B2226" s="1">
        <v>45671</v>
      </c>
      <c r="C2226">
        <v>46</v>
      </c>
      <c r="D2226" t="s">
        <v>14</v>
      </c>
      <c r="E2226" t="s">
        <v>15</v>
      </c>
      <c r="F2226" t="s">
        <v>16</v>
      </c>
      <c r="H2226">
        <v>181.8</v>
      </c>
      <c r="I2226" s="13">
        <v>6</v>
      </c>
      <c r="J2226">
        <v>0</v>
      </c>
      <c r="K2226">
        <v>0</v>
      </c>
      <c r="L2226">
        <v>0</v>
      </c>
      <c r="M2226">
        <v>0</v>
      </c>
      <c r="O2226">
        <f t="shared" si="34"/>
        <v>1</v>
      </c>
    </row>
    <row r="2227" spans="1:15">
      <c r="A2227">
        <v>110</v>
      </c>
      <c r="B2227" s="1">
        <v>45671</v>
      </c>
      <c r="C2227">
        <v>26</v>
      </c>
      <c r="D2227" t="s">
        <v>17</v>
      </c>
      <c r="E2227" t="s">
        <v>22</v>
      </c>
      <c r="F2227" t="s">
        <v>23</v>
      </c>
      <c r="H2227">
        <v>156.9</v>
      </c>
      <c r="I2227" s="13">
        <v>5</v>
      </c>
      <c r="J2227">
        <v>0</v>
      </c>
      <c r="K2227">
        <v>0</v>
      </c>
      <c r="L2227">
        <v>0</v>
      </c>
      <c r="M2227">
        <v>0</v>
      </c>
      <c r="O2227">
        <f t="shared" si="34"/>
        <v>1</v>
      </c>
    </row>
    <row r="2228" spans="1:15">
      <c r="A2228">
        <v>587</v>
      </c>
      <c r="B2228" s="1">
        <v>45671</v>
      </c>
      <c r="C2228">
        <v>25</v>
      </c>
      <c r="D2228" t="s">
        <v>14</v>
      </c>
      <c r="E2228" t="s">
        <v>24</v>
      </c>
      <c r="F2228" t="s">
        <v>16</v>
      </c>
      <c r="H2228">
        <v>105.4</v>
      </c>
      <c r="I2228" s="13">
        <v>3</v>
      </c>
      <c r="J2228">
        <v>0</v>
      </c>
      <c r="K2228">
        <v>0</v>
      </c>
      <c r="L2228">
        <v>0</v>
      </c>
      <c r="M2228">
        <v>0</v>
      </c>
      <c r="O2228">
        <f t="shared" si="34"/>
        <v>1</v>
      </c>
    </row>
    <row r="2229" spans="1:15">
      <c r="A2229">
        <v>3059</v>
      </c>
      <c r="B2229" s="1">
        <v>45671</v>
      </c>
      <c r="C2229">
        <v>41</v>
      </c>
      <c r="D2229" t="s">
        <v>17</v>
      </c>
      <c r="E2229" t="s">
        <v>22</v>
      </c>
      <c r="F2229" t="s">
        <v>16</v>
      </c>
      <c r="H2229">
        <v>73.099999999999994</v>
      </c>
      <c r="I2229" s="13">
        <v>4</v>
      </c>
      <c r="J2229">
        <v>0</v>
      </c>
      <c r="K2229">
        <v>0</v>
      </c>
      <c r="L2229">
        <v>0</v>
      </c>
      <c r="M2229">
        <v>0</v>
      </c>
      <c r="O2229">
        <f t="shared" si="34"/>
        <v>1</v>
      </c>
    </row>
    <row r="2230" spans="1:15">
      <c r="A2230">
        <v>2559</v>
      </c>
      <c r="B2230" s="1">
        <v>45671</v>
      </c>
      <c r="C2230">
        <v>45</v>
      </c>
      <c r="D2230" t="s">
        <v>17</v>
      </c>
      <c r="E2230" t="s">
        <v>20</v>
      </c>
      <c r="F2230" t="s">
        <v>18</v>
      </c>
      <c r="G2230" t="s">
        <v>28</v>
      </c>
      <c r="H2230">
        <v>52.5</v>
      </c>
      <c r="I2230" s="13">
        <v>7</v>
      </c>
      <c r="J2230">
        <v>0</v>
      </c>
      <c r="K2230">
        <v>0</v>
      </c>
      <c r="L2230">
        <v>0</v>
      </c>
      <c r="M2230">
        <v>0</v>
      </c>
      <c r="O2230">
        <f t="shared" si="34"/>
        <v>1</v>
      </c>
    </row>
    <row r="2231" spans="1:15">
      <c r="A2231">
        <v>1321</v>
      </c>
      <c r="B2231" s="1">
        <v>45702</v>
      </c>
      <c r="C2231">
        <v>26</v>
      </c>
      <c r="D2231" t="s">
        <v>17</v>
      </c>
      <c r="E2231" t="s">
        <v>15</v>
      </c>
      <c r="F2231" t="s">
        <v>16</v>
      </c>
      <c r="H2231">
        <v>327.3</v>
      </c>
      <c r="I2231" s="13">
        <v>7</v>
      </c>
      <c r="J2231">
        <v>1</v>
      </c>
      <c r="K2231">
        <v>554</v>
      </c>
      <c r="L2231">
        <v>2</v>
      </c>
      <c r="M2231">
        <v>4</v>
      </c>
      <c r="N2231">
        <v>5</v>
      </c>
      <c r="O2231">
        <f t="shared" si="34"/>
        <v>2</v>
      </c>
    </row>
    <row r="2232" spans="1:15">
      <c r="A2232">
        <v>989</v>
      </c>
      <c r="B2232" s="1">
        <v>45702</v>
      </c>
      <c r="C2232">
        <v>30</v>
      </c>
      <c r="D2232" t="s">
        <v>17</v>
      </c>
      <c r="E2232" t="s">
        <v>22</v>
      </c>
      <c r="F2232" t="s">
        <v>16</v>
      </c>
      <c r="H2232">
        <v>354.9</v>
      </c>
      <c r="I2232" s="13">
        <v>8</v>
      </c>
      <c r="J2232">
        <v>1</v>
      </c>
      <c r="K2232">
        <v>51</v>
      </c>
      <c r="L2232">
        <v>3</v>
      </c>
      <c r="M2232">
        <v>15</v>
      </c>
      <c r="N2232">
        <v>5</v>
      </c>
      <c r="O2232">
        <f t="shared" si="34"/>
        <v>2</v>
      </c>
    </row>
    <row r="2233" spans="1:15">
      <c r="A2233">
        <v>4701</v>
      </c>
      <c r="B2233" s="1">
        <v>45702</v>
      </c>
      <c r="C2233">
        <v>61</v>
      </c>
      <c r="D2233" t="s">
        <v>14</v>
      </c>
      <c r="E2233" t="s">
        <v>22</v>
      </c>
      <c r="F2233" t="s">
        <v>16</v>
      </c>
      <c r="H2233">
        <v>297</v>
      </c>
      <c r="I2233" s="13">
        <v>2</v>
      </c>
      <c r="J2233">
        <v>1</v>
      </c>
      <c r="K2233">
        <v>552</v>
      </c>
      <c r="L2233">
        <v>2</v>
      </c>
      <c r="M2233">
        <v>2</v>
      </c>
      <c r="N2233">
        <v>4</v>
      </c>
      <c r="O2233">
        <f t="shared" si="34"/>
        <v>2</v>
      </c>
    </row>
    <row r="2234" spans="1:15">
      <c r="A2234">
        <v>963</v>
      </c>
      <c r="B2234" s="1">
        <v>45702</v>
      </c>
      <c r="C2234">
        <v>28</v>
      </c>
      <c r="D2234" t="s">
        <v>14</v>
      </c>
      <c r="E2234" t="s">
        <v>15</v>
      </c>
      <c r="F2234" t="s">
        <v>23</v>
      </c>
      <c r="H2234">
        <v>267.60000000000002</v>
      </c>
      <c r="I2234" s="13">
        <v>6</v>
      </c>
      <c r="J2234">
        <v>1</v>
      </c>
      <c r="K2234">
        <v>91</v>
      </c>
      <c r="L2234">
        <v>3</v>
      </c>
      <c r="M2234">
        <v>13</v>
      </c>
      <c r="N2234">
        <v>5</v>
      </c>
      <c r="O2234">
        <f t="shared" si="34"/>
        <v>2</v>
      </c>
    </row>
    <row r="2235" spans="1:15">
      <c r="A2235">
        <v>4809</v>
      </c>
      <c r="B2235" s="1">
        <v>45702</v>
      </c>
      <c r="C2235">
        <v>59</v>
      </c>
      <c r="D2235" t="s">
        <v>17</v>
      </c>
      <c r="E2235" t="s">
        <v>24</v>
      </c>
      <c r="F2235" t="s">
        <v>16</v>
      </c>
      <c r="H2235">
        <v>110.2</v>
      </c>
      <c r="I2235" s="13">
        <v>11</v>
      </c>
      <c r="J2235">
        <v>1</v>
      </c>
      <c r="K2235">
        <v>166.98</v>
      </c>
      <c r="L2235">
        <v>1</v>
      </c>
      <c r="M2235">
        <v>5</v>
      </c>
      <c r="N2235">
        <v>5</v>
      </c>
      <c r="O2235">
        <f t="shared" si="34"/>
        <v>2</v>
      </c>
    </row>
    <row r="2236" spans="1:15">
      <c r="A2236">
        <v>667</v>
      </c>
      <c r="B2236" s="1">
        <v>45702</v>
      </c>
      <c r="C2236">
        <v>28</v>
      </c>
      <c r="D2236" t="s">
        <v>17</v>
      </c>
      <c r="E2236" t="s">
        <v>24</v>
      </c>
      <c r="F2236" t="s">
        <v>16</v>
      </c>
      <c r="H2236">
        <v>633.79999999999995</v>
      </c>
      <c r="I2236" s="13">
        <v>3</v>
      </c>
      <c r="J2236">
        <v>1</v>
      </c>
      <c r="K2236">
        <v>125.45</v>
      </c>
      <c r="L2236">
        <v>2</v>
      </c>
      <c r="M2236">
        <v>6</v>
      </c>
      <c r="N2236">
        <v>5</v>
      </c>
      <c r="O2236">
        <f t="shared" si="34"/>
        <v>2</v>
      </c>
    </row>
    <row r="2237" spans="1:15">
      <c r="A2237">
        <v>2004</v>
      </c>
      <c r="B2237" s="1">
        <v>45702</v>
      </c>
      <c r="C2237">
        <v>42</v>
      </c>
      <c r="D2237" t="s">
        <v>14</v>
      </c>
      <c r="E2237" t="s">
        <v>15</v>
      </c>
      <c r="F2237" t="s">
        <v>16</v>
      </c>
      <c r="H2237">
        <v>684.1</v>
      </c>
      <c r="I2237" s="13">
        <v>3</v>
      </c>
      <c r="J2237">
        <v>1</v>
      </c>
      <c r="K2237">
        <v>87.55</v>
      </c>
      <c r="L2237">
        <v>4</v>
      </c>
      <c r="M2237">
        <v>9</v>
      </c>
      <c r="N2237">
        <v>5</v>
      </c>
      <c r="O2237">
        <f t="shared" si="34"/>
        <v>2</v>
      </c>
    </row>
    <row r="2238" spans="1:15">
      <c r="A2238">
        <v>1009</v>
      </c>
      <c r="B2238" s="1">
        <v>45702</v>
      </c>
      <c r="C2238">
        <v>26</v>
      </c>
      <c r="D2238" t="s">
        <v>17</v>
      </c>
      <c r="E2238" t="s">
        <v>22</v>
      </c>
      <c r="F2238" t="s">
        <v>23</v>
      </c>
      <c r="H2238">
        <v>579.4</v>
      </c>
      <c r="I2238" s="13">
        <v>3</v>
      </c>
      <c r="J2238">
        <v>1</v>
      </c>
      <c r="K2238">
        <v>73.19</v>
      </c>
      <c r="L2238">
        <v>3</v>
      </c>
      <c r="M2238">
        <v>13</v>
      </c>
      <c r="N2238">
        <v>4</v>
      </c>
      <c r="O2238">
        <f t="shared" si="34"/>
        <v>2</v>
      </c>
    </row>
    <row r="2239" spans="1:15">
      <c r="A2239">
        <v>4615</v>
      </c>
      <c r="B2239" s="1">
        <v>45702</v>
      </c>
      <c r="C2239">
        <v>46</v>
      </c>
      <c r="D2239" t="s">
        <v>14</v>
      </c>
      <c r="E2239" t="s">
        <v>15</v>
      </c>
      <c r="F2239" t="s">
        <v>16</v>
      </c>
      <c r="H2239">
        <v>366.6</v>
      </c>
      <c r="I2239" s="13">
        <v>7</v>
      </c>
      <c r="J2239">
        <v>1</v>
      </c>
      <c r="K2239">
        <v>71.25</v>
      </c>
      <c r="L2239">
        <v>5</v>
      </c>
      <c r="M2239">
        <v>15</v>
      </c>
      <c r="N2239">
        <v>4</v>
      </c>
      <c r="O2239">
        <f t="shared" si="34"/>
        <v>2</v>
      </c>
    </row>
    <row r="2240" spans="1:15">
      <c r="A2240">
        <v>1398</v>
      </c>
      <c r="B2240" s="1">
        <v>45702</v>
      </c>
      <c r="C2240">
        <v>29</v>
      </c>
      <c r="D2240" t="s">
        <v>14</v>
      </c>
      <c r="E2240" t="s">
        <v>22</v>
      </c>
      <c r="F2240" t="s">
        <v>16</v>
      </c>
      <c r="H2240">
        <v>233.9</v>
      </c>
      <c r="I2240" s="13">
        <v>8</v>
      </c>
      <c r="J2240">
        <v>1</v>
      </c>
      <c r="K2240">
        <v>52.25</v>
      </c>
      <c r="L2240">
        <v>2</v>
      </c>
      <c r="M2240">
        <v>1</v>
      </c>
      <c r="N2240">
        <v>4</v>
      </c>
      <c r="O2240">
        <f t="shared" si="34"/>
        <v>2</v>
      </c>
    </row>
    <row r="2241" spans="1:15">
      <c r="A2241">
        <v>3184</v>
      </c>
      <c r="B2241" s="1">
        <v>45702</v>
      </c>
      <c r="C2241">
        <v>20</v>
      </c>
      <c r="D2241" t="s">
        <v>14</v>
      </c>
      <c r="E2241" t="s">
        <v>20</v>
      </c>
      <c r="F2241" t="s">
        <v>16</v>
      </c>
      <c r="H2241">
        <v>568.20000000000005</v>
      </c>
      <c r="I2241" s="13">
        <v>3</v>
      </c>
      <c r="J2241">
        <v>1</v>
      </c>
      <c r="K2241">
        <v>49.01</v>
      </c>
      <c r="L2241">
        <v>4</v>
      </c>
      <c r="M2241">
        <v>1</v>
      </c>
      <c r="N2241">
        <v>3</v>
      </c>
      <c r="O2241">
        <f t="shared" si="34"/>
        <v>2</v>
      </c>
    </row>
    <row r="2242" spans="1:15">
      <c r="A2242">
        <v>330</v>
      </c>
      <c r="B2242" s="1">
        <v>45702</v>
      </c>
      <c r="C2242">
        <v>22</v>
      </c>
      <c r="D2242" t="s">
        <v>17</v>
      </c>
      <c r="E2242" t="s">
        <v>20</v>
      </c>
      <c r="F2242" t="s">
        <v>18</v>
      </c>
      <c r="G2242" t="s">
        <v>29</v>
      </c>
      <c r="H2242">
        <v>211.4</v>
      </c>
      <c r="I2242" s="13">
        <v>11</v>
      </c>
      <c r="J2242">
        <v>1</v>
      </c>
      <c r="K2242">
        <v>37.54</v>
      </c>
      <c r="L2242">
        <v>4</v>
      </c>
      <c r="M2242">
        <v>9</v>
      </c>
      <c r="N2242">
        <v>3</v>
      </c>
      <c r="O2242">
        <f t="shared" si="34"/>
        <v>2</v>
      </c>
    </row>
    <row r="2243" spans="1:15">
      <c r="A2243">
        <v>2613</v>
      </c>
      <c r="B2243" s="1">
        <v>45702</v>
      </c>
      <c r="C2243">
        <v>33</v>
      </c>
      <c r="D2243" t="s">
        <v>17</v>
      </c>
      <c r="E2243" t="s">
        <v>20</v>
      </c>
      <c r="F2243" t="s">
        <v>16</v>
      </c>
      <c r="H2243">
        <v>571.4</v>
      </c>
      <c r="I2243" s="13">
        <v>6</v>
      </c>
      <c r="J2243">
        <v>1</v>
      </c>
      <c r="K2243">
        <v>34.14</v>
      </c>
      <c r="L2243">
        <v>2</v>
      </c>
      <c r="M2243">
        <v>5</v>
      </c>
      <c r="N2243">
        <v>5</v>
      </c>
      <c r="O2243">
        <f t="shared" ref="O2243:O2306" si="35">MONTH(B2243)</f>
        <v>2</v>
      </c>
    </row>
    <row r="2244" spans="1:15">
      <c r="A2244">
        <v>3152</v>
      </c>
      <c r="B2244" s="1">
        <v>45702</v>
      </c>
      <c r="C2244">
        <v>45</v>
      </c>
      <c r="D2244" t="s">
        <v>17</v>
      </c>
      <c r="E2244" t="s">
        <v>15</v>
      </c>
      <c r="F2244" t="s">
        <v>16</v>
      </c>
      <c r="H2244">
        <v>267.89999999999998</v>
      </c>
      <c r="I2244" s="13">
        <v>5</v>
      </c>
      <c r="J2244">
        <v>1</v>
      </c>
      <c r="K2244">
        <v>31.13</v>
      </c>
      <c r="L2244">
        <v>2</v>
      </c>
      <c r="M2244">
        <v>3</v>
      </c>
      <c r="N2244">
        <v>4</v>
      </c>
      <c r="O2244">
        <f t="shared" si="35"/>
        <v>2</v>
      </c>
    </row>
    <row r="2245" spans="1:15">
      <c r="A2245">
        <v>2002</v>
      </c>
      <c r="B2245" s="1">
        <v>45702</v>
      </c>
      <c r="C2245">
        <v>23</v>
      </c>
      <c r="D2245" t="s">
        <v>14</v>
      </c>
      <c r="E2245" t="s">
        <v>20</v>
      </c>
      <c r="F2245" t="s">
        <v>18</v>
      </c>
      <c r="G2245" t="s">
        <v>29</v>
      </c>
      <c r="H2245">
        <v>492.6</v>
      </c>
      <c r="I2245" s="13">
        <v>7</v>
      </c>
      <c r="J2245">
        <v>1</v>
      </c>
      <c r="K2245">
        <v>29.49</v>
      </c>
      <c r="L2245">
        <v>3</v>
      </c>
      <c r="M2245">
        <v>11</v>
      </c>
      <c r="N2245">
        <v>4</v>
      </c>
      <c r="O2245">
        <f t="shared" si="35"/>
        <v>2</v>
      </c>
    </row>
    <row r="2246" spans="1:15">
      <c r="A2246">
        <v>1375</v>
      </c>
      <c r="B2246" s="1">
        <v>45702</v>
      </c>
      <c r="C2246">
        <v>18</v>
      </c>
      <c r="D2246" t="s">
        <v>14</v>
      </c>
      <c r="E2246" t="s">
        <v>20</v>
      </c>
      <c r="F2246" t="s">
        <v>16</v>
      </c>
      <c r="H2246">
        <v>421.1</v>
      </c>
      <c r="I2246" s="13">
        <v>9</v>
      </c>
      <c r="J2246">
        <v>1</v>
      </c>
      <c r="K2246">
        <v>28.25</v>
      </c>
      <c r="L2246">
        <v>3</v>
      </c>
      <c r="M2246">
        <v>6</v>
      </c>
      <c r="N2246">
        <v>4</v>
      </c>
      <c r="O2246">
        <f t="shared" si="35"/>
        <v>2</v>
      </c>
    </row>
    <row r="2247" spans="1:15">
      <c r="A2247">
        <v>106</v>
      </c>
      <c r="B2247" s="1">
        <v>45702</v>
      </c>
      <c r="C2247">
        <v>39</v>
      </c>
      <c r="D2247" t="s">
        <v>17</v>
      </c>
      <c r="E2247" t="s">
        <v>22</v>
      </c>
      <c r="F2247" t="s">
        <v>16</v>
      </c>
      <c r="H2247">
        <v>740.7</v>
      </c>
      <c r="I2247" s="13">
        <v>6</v>
      </c>
      <c r="J2247">
        <v>1</v>
      </c>
      <c r="K2247">
        <v>20.94</v>
      </c>
      <c r="L2247">
        <v>1</v>
      </c>
      <c r="M2247">
        <v>2</v>
      </c>
      <c r="N2247">
        <v>5</v>
      </c>
      <c r="O2247">
        <f t="shared" si="35"/>
        <v>2</v>
      </c>
    </row>
    <row r="2248" spans="1:15">
      <c r="A2248">
        <v>4403</v>
      </c>
      <c r="B2248" s="1">
        <v>45702</v>
      </c>
      <c r="C2248">
        <v>30</v>
      </c>
      <c r="D2248" t="s">
        <v>17</v>
      </c>
      <c r="E2248" t="s">
        <v>20</v>
      </c>
      <c r="F2248" t="s">
        <v>18</v>
      </c>
      <c r="G2248" t="s">
        <v>30</v>
      </c>
      <c r="H2248">
        <v>1489.3</v>
      </c>
      <c r="I2248" s="13">
        <v>2</v>
      </c>
      <c r="J2248">
        <v>1</v>
      </c>
      <c r="K2248">
        <v>18.420000000000002</v>
      </c>
      <c r="L2248">
        <v>2</v>
      </c>
      <c r="M2248">
        <v>5</v>
      </c>
      <c r="N2248">
        <v>5</v>
      </c>
      <c r="O2248">
        <f t="shared" si="35"/>
        <v>2</v>
      </c>
    </row>
    <row r="2249" spans="1:15">
      <c r="A2249">
        <v>3735</v>
      </c>
      <c r="B2249" s="1">
        <v>45702</v>
      </c>
      <c r="C2249">
        <v>33</v>
      </c>
      <c r="D2249" t="s">
        <v>14</v>
      </c>
      <c r="E2249" t="s">
        <v>20</v>
      </c>
      <c r="F2249" t="s">
        <v>21</v>
      </c>
      <c r="H2249">
        <v>331.3</v>
      </c>
      <c r="I2249" s="13">
        <v>6</v>
      </c>
      <c r="J2249">
        <v>1</v>
      </c>
      <c r="K2249">
        <v>15.94</v>
      </c>
      <c r="L2249">
        <v>3</v>
      </c>
      <c r="M2249">
        <v>10</v>
      </c>
      <c r="N2249">
        <v>4</v>
      </c>
      <c r="O2249">
        <f t="shared" si="35"/>
        <v>2</v>
      </c>
    </row>
    <row r="2250" spans="1:15">
      <c r="A2250">
        <v>3399</v>
      </c>
      <c r="B2250" s="1">
        <v>45702</v>
      </c>
      <c r="C2250">
        <v>30</v>
      </c>
      <c r="D2250" t="s">
        <v>17</v>
      </c>
      <c r="E2250" t="s">
        <v>22</v>
      </c>
      <c r="F2250" t="s">
        <v>18</v>
      </c>
      <c r="G2250" t="s">
        <v>25</v>
      </c>
      <c r="H2250">
        <v>461.1</v>
      </c>
      <c r="I2250" s="13">
        <v>4</v>
      </c>
      <c r="J2250">
        <v>0</v>
      </c>
      <c r="K2250">
        <v>0</v>
      </c>
      <c r="L2250">
        <v>0</v>
      </c>
      <c r="M2250">
        <v>0</v>
      </c>
      <c r="O2250">
        <f t="shared" si="35"/>
        <v>2</v>
      </c>
    </row>
    <row r="2251" spans="1:15">
      <c r="A2251">
        <v>2811</v>
      </c>
      <c r="B2251" s="1">
        <v>45702</v>
      </c>
      <c r="C2251">
        <v>33</v>
      </c>
      <c r="D2251" t="s">
        <v>14</v>
      </c>
      <c r="E2251" t="s">
        <v>15</v>
      </c>
      <c r="F2251" t="s">
        <v>16</v>
      </c>
      <c r="H2251">
        <v>361.8</v>
      </c>
      <c r="I2251" s="13">
        <v>6</v>
      </c>
      <c r="J2251">
        <v>0</v>
      </c>
      <c r="K2251">
        <v>0</v>
      </c>
      <c r="L2251">
        <v>0</v>
      </c>
      <c r="M2251">
        <v>0</v>
      </c>
      <c r="O2251">
        <f t="shared" si="35"/>
        <v>2</v>
      </c>
    </row>
    <row r="2252" spans="1:15">
      <c r="A2252">
        <v>2729</v>
      </c>
      <c r="B2252" s="1">
        <v>45702</v>
      </c>
      <c r="C2252">
        <v>37</v>
      </c>
      <c r="D2252" t="s">
        <v>17</v>
      </c>
      <c r="E2252" t="s">
        <v>20</v>
      </c>
      <c r="F2252" t="s">
        <v>16</v>
      </c>
      <c r="H2252">
        <v>346.6</v>
      </c>
      <c r="I2252" s="13">
        <v>7</v>
      </c>
      <c r="J2252">
        <v>0</v>
      </c>
      <c r="K2252">
        <v>0</v>
      </c>
      <c r="L2252">
        <v>0</v>
      </c>
      <c r="M2252">
        <v>0</v>
      </c>
      <c r="O2252">
        <f t="shared" si="35"/>
        <v>2</v>
      </c>
    </row>
    <row r="2253" spans="1:15">
      <c r="A2253">
        <v>3625</v>
      </c>
      <c r="B2253" s="1">
        <v>45702</v>
      </c>
      <c r="C2253">
        <v>32</v>
      </c>
      <c r="D2253" t="s">
        <v>14</v>
      </c>
      <c r="E2253" t="s">
        <v>15</v>
      </c>
      <c r="F2253" t="s">
        <v>16</v>
      </c>
      <c r="H2253">
        <v>334.9</v>
      </c>
      <c r="I2253" s="13">
        <v>4</v>
      </c>
      <c r="J2253">
        <v>0</v>
      </c>
      <c r="K2253">
        <v>0</v>
      </c>
      <c r="L2253">
        <v>0</v>
      </c>
      <c r="M2253">
        <v>0</v>
      </c>
      <c r="O2253">
        <f t="shared" si="35"/>
        <v>2</v>
      </c>
    </row>
    <row r="2254" spans="1:15">
      <c r="A2254">
        <v>3122</v>
      </c>
      <c r="B2254" s="1">
        <v>45702</v>
      </c>
      <c r="C2254">
        <v>36</v>
      </c>
      <c r="D2254" t="s">
        <v>17</v>
      </c>
      <c r="E2254" t="s">
        <v>20</v>
      </c>
      <c r="F2254" t="s">
        <v>16</v>
      </c>
      <c r="H2254">
        <v>211.4</v>
      </c>
      <c r="I2254" s="13">
        <v>7</v>
      </c>
      <c r="J2254">
        <v>0</v>
      </c>
      <c r="K2254">
        <v>0</v>
      </c>
      <c r="L2254">
        <v>0</v>
      </c>
      <c r="M2254">
        <v>0</v>
      </c>
      <c r="O2254">
        <f t="shared" si="35"/>
        <v>2</v>
      </c>
    </row>
    <row r="2255" spans="1:15">
      <c r="A2255">
        <v>763</v>
      </c>
      <c r="B2255" s="1">
        <v>45702</v>
      </c>
      <c r="C2255">
        <v>28</v>
      </c>
      <c r="D2255" t="s">
        <v>14</v>
      </c>
      <c r="E2255" t="s">
        <v>22</v>
      </c>
      <c r="F2255" t="s">
        <v>16</v>
      </c>
      <c r="H2255">
        <v>173.2</v>
      </c>
      <c r="I2255" s="13">
        <v>5</v>
      </c>
      <c r="J2255">
        <v>0</v>
      </c>
      <c r="K2255">
        <v>0</v>
      </c>
      <c r="L2255">
        <v>0</v>
      </c>
      <c r="M2255">
        <v>0</v>
      </c>
      <c r="O2255">
        <f t="shared" si="35"/>
        <v>2</v>
      </c>
    </row>
    <row r="2256" spans="1:15">
      <c r="A2256">
        <v>4682</v>
      </c>
      <c r="B2256" s="1">
        <v>45702</v>
      </c>
      <c r="C2256">
        <v>62</v>
      </c>
      <c r="D2256" t="s">
        <v>14</v>
      </c>
      <c r="E2256" t="s">
        <v>20</v>
      </c>
      <c r="F2256" t="s">
        <v>16</v>
      </c>
      <c r="H2256">
        <v>171.7</v>
      </c>
      <c r="I2256" s="13">
        <v>8</v>
      </c>
      <c r="J2256">
        <v>0</v>
      </c>
      <c r="K2256">
        <v>0</v>
      </c>
      <c r="L2256">
        <v>0</v>
      </c>
      <c r="M2256">
        <v>0</v>
      </c>
      <c r="O2256">
        <f t="shared" si="35"/>
        <v>2</v>
      </c>
    </row>
    <row r="2257" spans="1:15">
      <c r="A2257">
        <v>4764</v>
      </c>
      <c r="B2257" s="1">
        <v>45702</v>
      </c>
      <c r="C2257">
        <v>57</v>
      </c>
      <c r="D2257" t="s">
        <v>17</v>
      </c>
      <c r="E2257" t="s">
        <v>20</v>
      </c>
      <c r="F2257" t="s">
        <v>16</v>
      </c>
      <c r="H2257">
        <v>167.4</v>
      </c>
      <c r="I2257" s="13">
        <v>4</v>
      </c>
      <c r="J2257">
        <v>0</v>
      </c>
      <c r="K2257">
        <v>0</v>
      </c>
      <c r="L2257">
        <v>0</v>
      </c>
      <c r="M2257">
        <v>0</v>
      </c>
      <c r="O2257">
        <f t="shared" si="35"/>
        <v>2</v>
      </c>
    </row>
    <row r="2258" spans="1:15">
      <c r="A2258">
        <v>3233</v>
      </c>
      <c r="B2258" s="1">
        <v>45702</v>
      </c>
      <c r="C2258">
        <v>46</v>
      </c>
      <c r="D2258" t="s">
        <v>14</v>
      </c>
      <c r="E2258" t="s">
        <v>24</v>
      </c>
      <c r="F2258" t="s">
        <v>18</v>
      </c>
      <c r="G2258" t="s">
        <v>19</v>
      </c>
      <c r="H2258">
        <v>149.1</v>
      </c>
      <c r="I2258" s="13">
        <v>6</v>
      </c>
      <c r="J2258">
        <v>0</v>
      </c>
      <c r="K2258">
        <v>0</v>
      </c>
      <c r="L2258">
        <v>0</v>
      </c>
      <c r="M2258">
        <v>0</v>
      </c>
      <c r="O2258">
        <f t="shared" si="35"/>
        <v>2</v>
      </c>
    </row>
    <row r="2259" spans="1:15">
      <c r="A2259">
        <v>1888</v>
      </c>
      <c r="B2259" s="1">
        <v>45702</v>
      </c>
      <c r="C2259">
        <v>46</v>
      </c>
      <c r="D2259" t="s">
        <v>17</v>
      </c>
      <c r="E2259" t="s">
        <v>22</v>
      </c>
      <c r="F2259" t="s">
        <v>18</v>
      </c>
      <c r="G2259" t="s">
        <v>28</v>
      </c>
      <c r="H2259">
        <v>145.1</v>
      </c>
      <c r="I2259" s="13">
        <v>8</v>
      </c>
      <c r="J2259">
        <v>0</v>
      </c>
      <c r="K2259">
        <v>0</v>
      </c>
      <c r="L2259">
        <v>0</v>
      </c>
      <c r="M2259">
        <v>0</v>
      </c>
      <c r="O2259">
        <f t="shared" si="35"/>
        <v>2</v>
      </c>
    </row>
    <row r="2260" spans="1:15">
      <c r="A2260">
        <v>538</v>
      </c>
      <c r="B2260" s="1">
        <v>45702</v>
      </c>
      <c r="C2260">
        <v>30</v>
      </c>
      <c r="D2260" t="s">
        <v>17</v>
      </c>
      <c r="E2260" t="s">
        <v>15</v>
      </c>
      <c r="F2260" t="s">
        <v>16</v>
      </c>
      <c r="H2260">
        <v>122</v>
      </c>
      <c r="I2260" s="13">
        <v>8</v>
      </c>
      <c r="J2260">
        <v>0</v>
      </c>
      <c r="K2260">
        <v>0</v>
      </c>
      <c r="L2260">
        <v>0</v>
      </c>
      <c r="M2260">
        <v>0</v>
      </c>
      <c r="O2260">
        <f t="shared" si="35"/>
        <v>2</v>
      </c>
    </row>
    <row r="2261" spans="1:15">
      <c r="A2261">
        <v>4533</v>
      </c>
      <c r="B2261" s="1">
        <v>45702</v>
      </c>
      <c r="C2261">
        <v>55</v>
      </c>
      <c r="D2261" t="s">
        <v>14</v>
      </c>
      <c r="E2261" t="s">
        <v>24</v>
      </c>
      <c r="F2261" t="s">
        <v>16</v>
      </c>
      <c r="H2261">
        <v>98.3</v>
      </c>
      <c r="I2261" s="13">
        <v>6</v>
      </c>
      <c r="J2261">
        <v>0</v>
      </c>
      <c r="K2261">
        <v>0</v>
      </c>
      <c r="L2261">
        <v>0</v>
      </c>
      <c r="M2261">
        <v>0</v>
      </c>
      <c r="O2261">
        <f t="shared" si="35"/>
        <v>2</v>
      </c>
    </row>
    <row r="2262" spans="1:15">
      <c r="A2262">
        <v>3119</v>
      </c>
      <c r="B2262" s="1">
        <v>45702</v>
      </c>
      <c r="C2262">
        <v>47</v>
      </c>
      <c r="D2262" t="s">
        <v>14</v>
      </c>
      <c r="E2262" t="s">
        <v>22</v>
      </c>
      <c r="F2262" t="s">
        <v>16</v>
      </c>
      <c r="H2262">
        <v>33.9</v>
      </c>
      <c r="I2262" s="13">
        <v>5</v>
      </c>
      <c r="J2262">
        <v>0</v>
      </c>
      <c r="K2262">
        <v>0</v>
      </c>
      <c r="L2262">
        <v>0</v>
      </c>
      <c r="M2262">
        <v>0</v>
      </c>
      <c r="O2262">
        <f t="shared" si="35"/>
        <v>2</v>
      </c>
    </row>
    <row r="2263" spans="1:15">
      <c r="A2263">
        <v>1588</v>
      </c>
      <c r="B2263" s="1">
        <v>45730</v>
      </c>
      <c r="C2263">
        <v>24</v>
      </c>
      <c r="D2263" t="s">
        <v>17</v>
      </c>
      <c r="E2263" t="s">
        <v>15</v>
      </c>
      <c r="F2263" t="s">
        <v>16</v>
      </c>
      <c r="H2263">
        <v>516.6</v>
      </c>
      <c r="I2263" s="13">
        <v>6</v>
      </c>
      <c r="J2263">
        <v>1</v>
      </c>
      <c r="K2263">
        <v>437</v>
      </c>
      <c r="L2263">
        <v>4</v>
      </c>
      <c r="M2263">
        <v>13</v>
      </c>
      <c r="N2263">
        <v>4</v>
      </c>
      <c r="O2263">
        <f t="shared" si="35"/>
        <v>3</v>
      </c>
    </row>
    <row r="2264" spans="1:15">
      <c r="A2264">
        <v>2565</v>
      </c>
      <c r="B2264" s="1">
        <v>45730</v>
      </c>
      <c r="C2264">
        <v>45</v>
      </c>
      <c r="D2264" t="s">
        <v>17</v>
      </c>
      <c r="E2264" t="s">
        <v>15</v>
      </c>
      <c r="F2264" t="s">
        <v>16</v>
      </c>
      <c r="H2264">
        <v>263</v>
      </c>
      <c r="I2264" s="13">
        <v>6</v>
      </c>
      <c r="J2264">
        <v>1</v>
      </c>
      <c r="K2264">
        <v>123.9</v>
      </c>
      <c r="L2264">
        <v>2</v>
      </c>
      <c r="M2264">
        <v>7</v>
      </c>
      <c r="N2264">
        <v>5</v>
      </c>
      <c r="O2264">
        <f t="shared" si="35"/>
        <v>3</v>
      </c>
    </row>
    <row r="2265" spans="1:15">
      <c r="A2265">
        <v>2690</v>
      </c>
      <c r="B2265" s="1">
        <v>45730</v>
      </c>
      <c r="C2265">
        <v>39</v>
      </c>
      <c r="D2265" t="s">
        <v>17</v>
      </c>
      <c r="E2265" t="s">
        <v>22</v>
      </c>
      <c r="F2265" t="s">
        <v>23</v>
      </c>
      <c r="H2265">
        <v>1094.7</v>
      </c>
      <c r="I2265" s="13">
        <v>3</v>
      </c>
      <c r="J2265">
        <v>1</v>
      </c>
      <c r="K2265">
        <v>40.81</v>
      </c>
      <c r="L2265">
        <v>5</v>
      </c>
      <c r="M2265">
        <v>14</v>
      </c>
      <c r="N2265">
        <v>4</v>
      </c>
      <c r="O2265">
        <f t="shared" si="35"/>
        <v>3</v>
      </c>
    </row>
    <row r="2266" spans="1:15">
      <c r="A2266">
        <v>2460</v>
      </c>
      <c r="B2266" s="1">
        <v>45730</v>
      </c>
      <c r="C2266">
        <v>28</v>
      </c>
      <c r="D2266" t="s">
        <v>14</v>
      </c>
      <c r="E2266" t="s">
        <v>20</v>
      </c>
      <c r="F2266" t="s">
        <v>16</v>
      </c>
      <c r="H2266">
        <v>131.30000000000001</v>
      </c>
      <c r="I2266" s="13">
        <v>3</v>
      </c>
      <c r="J2266">
        <v>1</v>
      </c>
      <c r="K2266">
        <v>40.1</v>
      </c>
      <c r="L2266">
        <v>1</v>
      </c>
      <c r="M2266">
        <v>14</v>
      </c>
      <c r="N2266">
        <v>5</v>
      </c>
      <c r="O2266">
        <f t="shared" si="35"/>
        <v>3</v>
      </c>
    </row>
    <row r="2267" spans="1:15">
      <c r="A2267">
        <v>4260</v>
      </c>
      <c r="B2267" s="1">
        <v>45730</v>
      </c>
      <c r="C2267">
        <v>62</v>
      </c>
      <c r="D2267" t="s">
        <v>14</v>
      </c>
      <c r="E2267" t="s">
        <v>20</v>
      </c>
      <c r="F2267" t="s">
        <v>23</v>
      </c>
      <c r="H2267">
        <v>485.9</v>
      </c>
      <c r="I2267" s="13">
        <v>8</v>
      </c>
      <c r="J2267">
        <v>1</v>
      </c>
      <c r="K2267">
        <v>38.47</v>
      </c>
      <c r="L2267">
        <v>3</v>
      </c>
      <c r="M2267">
        <v>7</v>
      </c>
      <c r="N2267">
        <v>3</v>
      </c>
      <c r="O2267">
        <f t="shared" si="35"/>
        <v>3</v>
      </c>
    </row>
    <row r="2268" spans="1:15">
      <c r="A2268">
        <v>556</v>
      </c>
      <c r="B2268" s="1">
        <v>45730</v>
      </c>
      <c r="C2268">
        <v>30</v>
      </c>
      <c r="D2268" t="s">
        <v>14</v>
      </c>
      <c r="E2268" t="s">
        <v>15</v>
      </c>
      <c r="F2268" t="s">
        <v>23</v>
      </c>
      <c r="H2268">
        <v>710.8</v>
      </c>
      <c r="I2268" s="13">
        <v>4</v>
      </c>
      <c r="J2268">
        <v>1</v>
      </c>
      <c r="K2268">
        <v>16.77</v>
      </c>
      <c r="L2268">
        <v>1</v>
      </c>
      <c r="M2268">
        <v>4</v>
      </c>
      <c r="N2268">
        <v>5</v>
      </c>
      <c r="O2268">
        <f t="shared" si="35"/>
        <v>3</v>
      </c>
    </row>
    <row r="2269" spans="1:15">
      <c r="A2269">
        <v>4319</v>
      </c>
      <c r="B2269" s="1">
        <v>45730</v>
      </c>
      <c r="C2269">
        <v>45</v>
      </c>
      <c r="D2269" t="s">
        <v>14</v>
      </c>
      <c r="E2269" t="s">
        <v>15</v>
      </c>
      <c r="F2269" t="s">
        <v>16</v>
      </c>
      <c r="H2269">
        <v>557.70000000000005</v>
      </c>
      <c r="I2269" s="13">
        <v>5</v>
      </c>
      <c r="J2269">
        <v>0</v>
      </c>
      <c r="K2269">
        <v>0</v>
      </c>
      <c r="L2269">
        <v>0</v>
      </c>
      <c r="M2269">
        <v>0</v>
      </c>
      <c r="O2269">
        <f t="shared" si="35"/>
        <v>3</v>
      </c>
    </row>
    <row r="2270" spans="1:15">
      <c r="A2270">
        <v>4953</v>
      </c>
      <c r="B2270" s="1">
        <v>45730</v>
      </c>
      <c r="C2270">
        <v>39</v>
      </c>
      <c r="D2270" t="s">
        <v>17</v>
      </c>
      <c r="E2270" t="s">
        <v>22</v>
      </c>
      <c r="F2270" t="s">
        <v>18</v>
      </c>
      <c r="G2270" t="s">
        <v>28</v>
      </c>
      <c r="H2270">
        <v>443.5</v>
      </c>
      <c r="I2270" s="13">
        <v>7</v>
      </c>
      <c r="J2270">
        <v>0</v>
      </c>
      <c r="K2270">
        <v>0</v>
      </c>
      <c r="L2270">
        <v>0</v>
      </c>
      <c r="M2270">
        <v>0</v>
      </c>
      <c r="O2270">
        <f t="shared" si="35"/>
        <v>3</v>
      </c>
    </row>
    <row r="2271" spans="1:15">
      <c r="A2271">
        <v>4599</v>
      </c>
      <c r="B2271" s="1">
        <v>45730</v>
      </c>
      <c r="C2271">
        <v>47</v>
      </c>
      <c r="D2271" t="s">
        <v>17</v>
      </c>
      <c r="E2271" t="s">
        <v>24</v>
      </c>
      <c r="F2271" t="s">
        <v>16</v>
      </c>
      <c r="H2271">
        <v>440.2</v>
      </c>
      <c r="I2271" s="13">
        <v>8</v>
      </c>
      <c r="J2271">
        <v>0</v>
      </c>
      <c r="K2271">
        <v>0</v>
      </c>
      <c r="L2271">
        <v>0</v>
      </c>
      <c r="M2271">
        <v>0</v>
      </c>
      <c r="O2271">
        <f t="shared" si="35"/>
        <v>3</v>
      </c>
    </row>
    <row r="2272" spans="1:15">
      <c r="A2272">
        <v>1678</v>
      </c>
      <c r="B2272" s="1">
        <v>45730</v>
      </c>
      <c r="C2272">
        <v>24</v>
      </c>
      <c r="D2272" t="s">
        <v>14</v>
      </c>
      <c r="E2272" t="s">
        <v>24</v>
      </c>
      <c r="F2272" t="s">
        <v>16</v>
      </c>
      <c r="H2272">
        <v>439.2</v>
      </c>
      <c r="I2272" s="13">
        <v>8</v>
      </c>
      <c r="J2272">
        <v>0</v>
      </c>
      <c r="K2272">
        <v>0</v>
      </c>
      <c r="L2272">
        <v>0</v>
      </c>
      <c r="M2272">
        <v>0</v>
      </c>
      <c r="O2272">
        <f t="shared" si="35"/>
        <v>3</v>
      </c>
    </row>
    <row r="2273" spans="1:15">
      <c r="A2273">
        <v>2571</v>
      </c>
      <c r="B2273" s="1">
        <v>45730</v>
      </c>
      <c r="C2273">
        <v>29</v>
      </c>
      <c r="D2273" t="s">
        <v>14</v>
      </c>
      <c r="E2273" t="s">
        <v>15</v>
      </c>
      <c r="F2273" t="s">
        <v>18</v>
      </c>
      <c r="G2273" t="s">
        <v>19</v>
      </c>
      <c r="H2273">
        <v>431.9</v>
      </c>
      <c r="I2273" s="13">
        <v>6</v>
      </c>
      <c r="J2273">
        <v>0</v>
      </c>
      <c r="K2273">
        <v>0</v>
      </c>
      <c r="L2273">
        <v>0</v>
      </c>
      <c r="M2273">
        <v>0</v>
      </c>
      <c r="O2273">
        <f t="shared" si="35"/>
        <v>3</v>
      </c>
    </row>
    <row r="2274" spans="1:15">
      <c r="A2274">
        <v>1892</v>
      </c>
      <c r="B2274" s="1">
        <v>45730</v>
      </c>
      <c r="C2274">
        <v>42</v>
      </c>
      <c r="D2274" t="s">
        <v>17</v>
      </c>
      <c r="E2274" t="s">
        <v>22</v>
      </c>
      <c r="F2274" t="s">
        <v>16</v>
      </c>
      <c r="H2274">
        <v>396</v>
      </c>
      <c r="I2274" s="13">
        <v>6</v>
      </c>
      <c r="J2274">
        <v>0</v>
      </c>
      <c r="K2274">
        <v>0</v>
      </c>
      <c r="L2274">
        <v>0</v>
      </c>
      <c r="M2274">
        <v>0</v>
      </c>
      <c r="O2274">
        <f t="shared" si="35"/>
        <v>3</v>
      </c>
    </row>
    <row r="2275" spans="1:15">
      <c r="A2275">
        <v>4277</v>
      </c>
      <c r="B2275" s="1">
        <v>45730</v>
      </c>
      <c r="C2275">
        <v>48</v>
      </c>
      <c r="D2275" t="s">
        <v>17</v>
      </c>
      <c r="E2275" t="s">
        <v>24</v>
      </c>
      <c r="F2275" t="s">
        <v>16</v>
      </c>
      <c r="H2275">
        <v>385.1</v>
      </c>
      <c r="I2275" s="13">
        <v>8</v>
      </c>
      <c r="J2275">
        <v>0</v>
      </c>
      <c r="K2275">
        <v>0</v>
      </c>
      <c r="L2275">
        <v>0</v>
      </c>
      <c r="M2275">
        <v>0</v>
      </c>
      <c r="O2275">
        <f t="shared" si="35"/>
        <v>3</v>
      </c>
    </row>
    <row r="2276" spans="1:15">
      <c r="A2276">
        <v>1058</v>
      </c>
      <c r="B2276" s="1">
        <v>45730</v>
      </c>
      <c r="C2276">
        <v>21</v>
      </c>
      <c r="D2276" t="s">
        <v>17</v>
      </c>
      <c r="E2276" t="s">
        <v>20</v>
      </c>
      <c r="F2276" t="s">
        <v>23</v>
      </c>
      <c r="H2276">
        <v>322.3</v>
      </c>
      <c r="I2276" s="13">
        <v>5</v>
      </c>
      <c r="J2276">
        <v>0</v>
      </c>
      <c r="K2276">
        <v>0</v>
      </c>
      <c r="L2276">
        <v>0</v>
      </c>
      <c r="M2276">
        <v>0</v>
      </c>
      <c r="O2276">
        <f t="shared" si="35"/>
        <v>3</v>
      </c>
    </row>
    <row r="2277" spans="1:15">
      <c r="A2277">
        <v>4148</v>
      </c>
      <c r="B2277" s="1">
        <v>45730</v>
      </c>
      <c r="C2277">
        <v>45</v>
      </c>
      <c r="D2277" t="s">
        <v>17</v>
      </c>
      <c r="E2277" t="s">
        <v>20</v>
      </c>
      <c r="F2277" t="s">
        <v>23</v>
      </c>
      <c r="H2277">
        <v>317.89999999999998</v>
      </c>
      <c r="I2277" s="13">
        <v>4</v>
      </c>
      <c r="J2277">
        <v>0</v>
      </c>
      <c r="K2277">
        <v>0</v>
      </c>
      <c r="L2277">
        <v>0</v>
      </c>
      <c r="M2277">
        <v>0</v>
      </c>
      <c r="O2277">
        <f t="shared" si="35"/>
        <v>3</v>
      </c>
    </row>
    <row r="2278" spans="1:15">
      <c r="A2278">
        <v>865</v>
      </c>
      <c r="B2278" s="1">
        <v>45730</v>
      </c>
      <c r="C2278">
        <v>21</v>
      </c>
      <c r="D2278" t="s">
        <v>17</v>
      </c>
      <c r="E2278" t="s">
        <v>15</v>
      </c>
      <c r="F2278" t="s">
        <v>16</v>
      </c>
      <c r="H2278">
        <v>312.10000000000002</v>
      </c>
      <c r="I2278" s="13">
        <v>2</v>
      </c>
      <c r="J2278">
        <v>0</v>
      </c>
      <c r="K2278">
        <v>0</v>
      </c>
      <c r="L2278">
        <v>0</v>
      </c>
      <c r="M2278">
        <v>0</v>
      </c>
      <c r="O2278">
        <f t="shared" si="35"/>
        <v>3</v>
      </c>
    </row>
    <row r="2279" spans="1:15">
      <c r="A2279">
        <v>3044</v>
      </c>
      <c r="B2279" s="1">
        <v>45730</v>
      </c>
      <c r="C2279">
        <v>31</v>
      </c>
      <c r="D2279" t="s">
        <v>14</v>
      </c>
      <c r="E2279" t="s">
        <v>15</v>
      </c>
      <c r="F2279" t="s">
        <v>16</v>
      </c>
      <c r="H2279">
        <v>305.8</v>
      </c>
      <c r="I2279" s="13">
        <v>6</v>
      </c>
      <c r="J2279">
        <v>0</v>
      </c>
      <c r="K2279">
        <v>0</v>
      </c>
      <c r="L2279">
        <v>0</v>
      </c>
      <c r="M2279">
        <v>0</v>
      </c>
      <c r="O2279">
        <f t="shared" si="35"/>
        <v>3</v>
      </c>
    </row>
    <row r="2280" spans="1:15">
      <c r="A2280">
        <v>3749</v>
      </c>
      <c r="B2280" s="1">
        <v>45730</v>
      </c>
      <c r="C2280">
        <v>38</v>
      </c>
      <c r="D2280" t="s">
        <v>17</v>
      </c>
      <c r="E2280" t="s">
        <v>15</v>
      </c>
      <c r="F2280" t="s">
        <v>16</v>
      </c>
      <c r="H2280">
        <v>298.39999999999998</v>
      </c>
      <c r="I2280" s="13">
        <v>7</v>
      </c>
      <c r="J2280">
        <v>0</v>
      </c>
      <c r="K2280">
        <v>0</v>
      </c>
      <c r="L2280">
        <v>0</v>
      </c>
      <c r="M2280">
        <v>0</v>
      </c>
      <c r="O2280">
        <f t="shared" si="35"/>
        <v>3</v>
      </c>
    </row>
    <row r="2281" spans="1:15">
      <c r="A2281">
        <v>1474</v>
      </c>
      <c r="B2281" s="1">
        <v>45730</v>
      </c>
      <c r="C2281">
        <v>28</v>
      </c>
      <c r="D2281" t="s">
        <v>17</v>
      </c>
      <c r="E2281" t="s">
        <v>20</v>
      </c>
      <c r="F2281" t="s">
        <v>21</v>
      </c>
      <c r="H2281">
        <v>290.5</v>
      </c>
      <c r="I2281" s="13">
        <v>2</v>
      </c>
      <c r="J2281">
        <v>0</v>
      </c>
      <c r="K2281">
        <v>0</v>
      </c>
      <c r="L2281">
        <v>0</v>
      </c>
      <c r="M2281">
        <v>0</v>
      </c>
      <c r="O2281">
        <f t="shared" si="35"/>
        <v>3</v>
      </c>
    </row>
    <row r="2282" spans="1:15">
      <c r="A2282">
        <v>788</v>
      </c>
      <c r="B2282" s="1">
        <v>45730</v>
      </c>
      <c r="C2282">
        <v>25</v>
      </c>
      <c r="D2282" t="s">
        <v>14</v>
      </c>
      <c r="E2282" t="s">
        <v>24</v>
      </c>
      <c r="F2282" t="s">
        <v>16</v>
      </c>
      <c r="H2282">
        <v>287.5</v>
      </c>
      <c r="I2282" s="13">
        <v>9</v>
      </c>
      <c r="J2282">
        <v>0</v>
      </c>
      <c r="K2282">
        <v>0</v>
      </c>
      <c r="L2282">
        <v>0</v>
      </c>
      <c r="M2282">
        <v>0</v>
      </c>
      <c r="O2282">
        <f t="shared" si="35"/>
        <v>3</v>
      </c>
    </row>
    <row r="2283" spans="1:15">
      <c r="A2283">
        <v>3859</v>
      </c>
      <c r="B2283" s="1">
        <v>45730</v>
      </c>
      <c r="C2283">
        <v>42</v>
      </c>
      <c r="D2283" t="s">
        <v>14</v>
      </c>
      <c r="E2283" t="s">
        <v>24</v>
      </c>
      <c r="F2283" t="s">
        <v>23</v>
      </c>
      <c r="H2283">
        <v>232</v>
      </c>
      <c r="I2283" s="13">
        <v>2</v>
      </c>
      <c r="J2283">
        <v>0</v>
      </c>
      <c r="K2283">
        <v>0</v>
      </c>
      <c r="L2283">
        <v>0</v>
      </c>
      <c r="M2283">
        <v>0</v>
      </c>
      <c r="O2283">
        <f t="shared" si="35"/>
        <v>3</v>
      </c>
    </row>
    <row r="2284" spans="1:15">
      <c r="A2284">
        <v>3480</v>
      </c>
      <c r="B2284" s="1">
        <v>45730</v>
      </c>
      <c r="C2284">
        <v>35</v>
      </c>
      <c r="D2284" t="s">
        <v>17</v>
      </c>
      <c r="E2284" t="s">
        <v>20</v>
      </c>
      <c r="F2284" t="s">
        <v>21</v>
      </c>
      <c r="H2284">
        <v>206.9</v>
      </c>
      <c r="I2284" s="13">
        <v>8</v>
      </c>
      <c r="J2284">
        <v>0</v>
      </c>
      <c r="K2284">
        <v>0</v>
      </c>
      <c r="L2284">
        <v>0</v>
      </c>
      <c r="M2284">
        <v>0</v>
      </c>
      <c r="O2284">
        <f t="shared" si="35"/>
        <v>3</v>
      </c>
    </row>
    <row r="2285" spans="1:15">
      <c r="A2285">
        <v>3018</v>
      </c>
      <c r="B2285" s="1">
        <v>45730</v>
      </c>
      <c r="C2285">
        <v>36</v>
      </c>
      <c r="D2285" t="s">
        <v>14</v>
      </c>
      <c r="E2285" t="s">
        <v>15</v>
      </c>
      <c r="F2285" t="s">
        <v>18</v>
      </c>
      <c r="G2285" t="s">
        <v>28</v>
      </c>
      <c r="H2285">
        <v>180.1</v>
      </c>
      <c r="I2285" s="13">
        <v>4</v>
      </c>
      <c r="J2285">
        <v>0</v>
      </c>
      <c r="K2285">
        <v>0</v>
      </c>
      <c r="L2285">
        <v>0</v>
      </c>
      <c r="M2285">
        <v>0</v>
      </c>
      <c r="O2285">
        <f t="shared" si="35"/>
        <v>3</v>
      </c>
    </row>
    <row r="2286" spans="1:15">
      <c r="A2286">
        <v>4772</v>
      </c>
      <c r="B2286" s="1">
        <v>45730</v>
      </c>
      <c r="C2286">
        <v>47</v>
      </c>
      <c r="D2286" t="s">
        <v>14</v>
      </c>
      <c r="E2286" t="s">
        <v>15</v>
      </c>
      <c r="F2286" t="s">
        <v>21</v>
      </c>
      <c r="H2286">
        <v>179.9</v>
      </c>
      <c r="I2286" s="13">
        <v>6</v>
      </c>
      <c r="J2286">
        <v>0</v>
      </c>
      <c r="K2286">
        <v>0</v>
      </c>
      <c r="L2286">
        <v>0</v>
      </c>
      <c r="M2286">
        <v>0</v>
      </c>
      <c r="O2286">
        <f t="shared" si="35"/>
        <v>3</v>
      </c>
    </row>
    <row r="2287" spans="1:15">
      <c r="A2287">
        <v>3922</v>
      </c>
      <c r="B2287" s="1">
        <v>45730</v>
      </c>
      <c r="C2287">
        <v>44</v>
      </c>
      <c r="D2287" t="s">
        <v>17</v>
      </c>
      <c r="E2287" t="s">
        <v>22</v>
      </c>
      <c r="F2287" t="s">
        <v>16</v>
      </c>
      <c r="H2287">
        <v>141.1</v>
      </c>
      <c r="I2287" s="13">
        <v>10</v>
      </c>
      <c r="J2287">
        <v>0</v>
      </c>
      <c r="K2287">
        <v>0</v>
      </c>
      <c r="L2287">
        <v>0</v>
      </c>
      <c r="M2287">
        <v>0</v>
      </c>
      <c r="O2287">
        <f t="shared" si="35"/>
        <v>3</v>
      </c>
    </row>
    <row r="2288" spans="1:15">
      <c r="A2288">
        <v>4181</v>
      </c>
      <c r="B2288" s="1">
        <v>45730</v>
      </c>
      <c r="C2288">
        <v>54</v>
      </c>
      <c r="D2288" t="s">
        <v>14</v>
      </c>
      <c r="E2288" t="s">
        <v>20</v>
      </c>
      <c r="F2288" t="s">
        <v>21</v>
      </c>
      <c r="H2288">
        <v>135.1</v>
      </c>
      <c r="I2288" s="13">
        <v>8</v>
      </c>
      <c r="J2288">
        <v>0</v>
      </c>
      <c r="K2288">
        <v>0</v>
      </c>
      <c r="L2288">
        <v>0</v>
      </c>
      <c r="M2288">
        <v>0</v>
      </c>
      <c r="O2288">
        <f t="shared" si="35"/>
        <v>3</v>
      </c>
    </row>
    <row r="2289" spans="1:15">
      <c r="A2289">
        <v>4545</v>
      </c>
      <c r="B2289" s="1">
        <v>45730</v>
      </c>
      <c r="C2289">
        <v>54</v>
      </c>
      <c r="D2289" t="s">
        <v>17</v>
      </c>
      <c r="E2289" t="s">
        <v>24</v>
      </c>
      <c r="F2289" t="s">
        <v>16</v>
      </c>
      <c r="H2289">
        <v>111.7</v>
      </c>
      <c r="I2289" s="13">
        <v>8</v>
      </c>
      <c r="J2289">
        <v>0</v>
      </c>
      <c r="K2289">
        <v>0</v>
      </c>
      <c r="L2289">
        <v>0</v>
      </c>
      <c r="M2289">
        <v>0</v>
      </c>
      <c r="O2289">
        <f t="shared" si="35"/>
        <v>3</v>
      </c>
    </row>
    <row r="2290" spans="1:15">
      <c r="A2290">
        <v>3890</v>
      </c>
      <c r="B2290" s="1">
        <v>45730</v>
      </c>
      <c r="C2290">
        <v>57</v>
      </c>
      <c r="D2290" t="s">
        <v>17</v>
      </c>
      <c r="E2290" t="s">
        <v>20</v>
      </c>
      <c r="F2290" t="s">
        <v>16</v>
      </c>
      <c r="H2290">
        <v>104.3</v>
      </c>
      <c r="I2290" s="13">
        <v>4</v>
      </c>
      <c r="J2290">
        <v>0</v>
      </c>
      <c r="K2290">
        <v>0</v>
      </c>
      <c r="L2290">
        <v>0</v>
      </c>
      <c r="M2290">
        <v>0</v>
      </c>
      <c r="O2290">
        <f t="shared" si="35"/>
        <v>3</v>
      </c>
    </row>
    <row r="2291" spans="1:15">
      <c r="A2291">
        <v>4461</v>
      </c>
      <c r="B2291" s="1">
        <v>45730</v>
      </c>
      <c r="C2291">
        <v>56</v>
      </c>
      <c r="D2291" t="s">
        <v>14</v>
      </c>
      <c r="E2291" t="s">
        <v>20</v>
      </c>
      <c r="F2291" t="s">
        <v>16</v>
      </c>
      <c r="H2291">
        <v>52.6</v>
      </c>
      <c r="I2291" s="13">
        <v>5</v>
      </c>
      <c r="J2291">
        <v>0</v>
      </c>
      <c r="K2291">
        <v>0</v>
      </c>
      <c r="L2291">
        <v>0</v>
      </c>
      <c r="M2291">
        <v>0</v>
      </c>
      <c r="O2291">
        <f t="shared" si="35"/>
        <v>3</v>
      </c>
    </row>
    <row r="2292" spans="1:15">
      <c r="A2292">
        <v>414</v>
      </c>
      <c r="B2292" s="1">
        <v>45761</v>
      </c>
      <c r="C2292">
        <v>29</v>
      </c>
      <c r="D2292" t="s">
        <v>17</v>
      </c>
      <c r="E2292" t="s">
        <v>24</v>
      </c>
      <c r="F2292" t="s">
        <v>18</v>
      </c>
      <c r="G2292" t="s">
        <v>30</v>
      </c>
      <c r="H2292">
        <v>343.6</v>
      </c>
      <c r="I2292" s="13">
        <v>12</v>
      </c>
      <c r="J2292">
        <v>1</v>
      </c>
      <c r="K2292">
        <v>411</v>
      </c>
      <c r="L2292">
        <v>1</v>
      </c>
      <c r="M2292">
        <v>5</v>
      </c>
      <c r="N2292">
        <v>4</v>
      </c>
      <c r="O2292">
        <f t="shared" si="35"/>
        <v>4</v>
      </c>
    </row>
    <row r="2293" spans="1:15">
      <c r="A2293">
        <v>3787</v>
      </c>
      <c r="B2293" s="1">
        <v>45761</v>
      </c>
      <c r="C2293">
        <v>54</v>
      </c>
      <c r="D2293" t="s">
        <v>17</v>
      </c>
      <c r="E2293" t="s">
        <v>22</v>
      </c>
      <c r="F2293" t="s">
        <v>21</v>
      </c>
      <c r="H2293">
        <v>325.5</v>
      </c>
      <c r="I2293" s="13">
        <v>4</v>
      </c>
      <c r="J2293">
        <v>1</v>
      </c>
      <c r="K2293">
        <v>415</v>
      </c>
      <c r="L2293">
        <v>4</v>
      </c>
      <c r="M2293">
        <v>9</v>
      </c>
      <c r="N2293">
        <v>4</v>
      </c>
      <c r="O2293">
        <f t="shared" si="35"/>
        <v>4</v>
      </c>
    </row>
    <row r="2294" spans="1:15">
      <c r="A2294">
        <v>4591</v>
      </c>
      <c r="B2294" s="1">
        <v>45761</v>
      </c>
      <c r="C2294">
        <v>55</v>
      </c>
      <c r="D2294" t="s">
        <v>17</v>
      </c>
      <c r="E2294" t="s">
        <v>22</v>
      </c>
      <c r="F2294" t="s">
        <v>16</v>
      </c>
      <c r="H2294">
        <v>487.3</v>
      </c>
      <c r="I2294" s="13">
        <v>6</v>
      </c>
      <c r="J2294">
        <v>1</v>
      </c>
      <c r="K2294">
        <v>151.07</v>
      </c>
      <c r="L2294">
        <v>3</v>
      </c>
      <c r="M2294">
        <v>5</v>
      </c>
      <c r="N2294">
        <v>4</v>
      </c>
      <c r="O2294">
        <f t="shared" si="35"/>
        <v>4</v>
      </c>
    </row>
    <row r="2295" spans="1:15">
      <c r="A2295">
        <v>4383</v>
      </c>
      <c r="B2295" s="1">
        <v>45761</v>
      </c>
      <c r="C2295">
        <v>51</v>
      </c>
      <c r="D2295" t="s">
        <v>14</v>
      </c>
      <c r="E2295" t="s">
        <v>22</v>
      </c>
      <c r="F2295" t="s">
        <v>16</v>
      </c>
      <c r="H2295">
        <v>328.5</v>
      </c>
      <c r="I2295" s="13">
        <v>4</v>
      </c>
      <c r="J2295">
        <v>1</v>
      </c>
      <c r="K2295">
        <v>115.6</v>
      </c>
      <c r="L2295">
        <v>4</v>
      </c>
      <c r="M2295">
        <v>12</v>
      </c>
      <c r="N2295">
        <v>5</v>
      </c>
      <c r="O2295">
        <f t="shared" si="35"/>
        <v>4</v>
      </c>
    </row>
    <row r="2296" spans="1:15">
      <c r="A2296">
        <v>3567</v>
      </c>
      <c r="B2296" s="1">
        <v>45761</v>
      </c>
      <c r="C2296">
        <v>29</v>
      </c>
      <c r="D2296" t="s">
        <v>17</v>
      </c>
      <c r="E2296" t="s">
        <v>22</v>
      </c>
      <c r="F2296" t="s">
        <v>21</v>
      </c>
      <c r="H2296">
        <v>754</v>
      </c>
      <c r="I2296" s="13">
        <v>10</v>
      </c>
      <c r="J2296">
        <v>1</v>
      </c>
      <c r="K2296">
        <v>57.98</v>
      </c>
      <c r="L2296">
        <v>2</v>
      </c>
      <c r="M2296">
        <v>8</v>
      </c>
      <c r="N2296">
        <v>4</v>
      </c>
      <c r="O2296">
        <f t="shared" si="35"/>
        <v>4</v>
      </c>
    </row>
    <row r="2297" spans="1:15">
      <c r="A2297">
        <v>2845</v>
      </c>
      <c r="B2297" s="1">
        <v>45761</v>
      </c>
      <c r="C2297">
        <v>43</v>
      </c>
      <c r="D2297" t="s">
        <v>14</v>
      </c>
      <c r="E2297" t="s">
        <v>20</v>
      </c>
      <c r="F2297" t="s">
        <v>23</v>
      </c>
      <c r="H2297">
        <v>366.7</v>
      </c>
      <c r="I2297" s="13">
        <v>5</v>
      </c>
      <c r="J2297">
        <v>1</v>
      </c>
      <c r="K2297">
        <v>33.03</v>
      </c>
      <c r="L2297">
        <v>2</v>
      </c>
      <c r="M2297">
        <v>11</v>
      </c>
      <c r="N2297">
        <v>4</v>
      </c>
      <c r="O2297">
        <f t="shared" si="35"/>
        <v>4</v>
      </c>
    </row>
    <row r="2298" spans="1:15">
      <c r="A2298">
        <v>4992</v>
      </c>
      <c r="B2298" s="1">
        <v>45761</v>
      </c>
      <c r="C2298">
        <v>40</v>
      </c>
      <c r="D2298" t="s">
        <v>14</v>
      </c>
      <c r="E2298" t="s">
        <v>22</v>
      </c>
      <c r="F2298" t="s">
        <v>16</v>
      </c>
      <c r="H2298">
        <v>136.30000000000001</v>
      </c>
      <c r="I2298" s="13">
        <v>5</v>
      </c>
      <c r="J2298">
        <v>1</v>
      </c>
      <c r="K2298">
        <v>32.909999999999997</v>
      </c>
      <c r="L2298">
        <v>2</v>
      </c>
      <c r="M2298">
        <v>1</v>
      </c>
      <c r="N2298">
        <v>5</v>
      </c>
      <c r="O2298">
        <f t="shared" si="35"/>
        <v>4</v>
      </c>
    </row>
    <row r="2299" spans="1:15">
      <c r="A2299">
        <v>725</v>
      </c>
      <c r="B2299" s="1">
        <v>45761</v>
      </c>
      <c r="C2299">
        <v>22</v>
      </c>
      <c r="D2299" t="s">
        <v>14</v>
      </c>
      <c r="E2299" t="s">
        <v>22</v>
      </c>
      <c r="F2299" t="s">
        <v>16</v>
      </c>
      <c r="H2299">
        <v>141.69999999999999</v>
      </c>
      <c r="I2299" s="13">
        <v>5</v>
      </c>
      <c r="J2299">
        <v>1</v>
      </c>
      <c r="K2299">
        <v>26.89</v>
      </c>
      <c r="L2299">
        <v>2</v>
      </c>
      <c r="M2299">
        <v>8</v>
      </c>
      <c r="N2299">
        <v>4</v>
      </c>
      <c r="O2299">
        <f t="shared" si="35"/>
        <v>4</v>
      </c>
    </row>
    <row r="2300" spans="1:15">
      <c r="A2300">
        <v>2097</v>
      </c>
      <c r="B2300" s="1">
        <v>45761</v>
      </c>
      <c r="C2300">
        <v>42</v>
      </c>
      <c r="D2300" t="s">
        <v>17</v>
      </c>
      <c r="E2300" t="s">
        <v>22</v>
      </c>
      <c r="F2300" t="s">
        <v>18</v>
      </c>
      <c r="G2300" t="s">
        <v>26</v>
      </c>
      <c r="H2300">
        <v>427.1</v>
      </c>
      <c r="I2300" s="13">
        <v>5</v>
      </c>
      <c r="J2300">
        <v>1</v>
      </c>
      <c r="K2300">
        <v>25.17</v>
      </c>
      <c r="L2300">
        <v>2</v>
      </c>
      <c r="M2300">
        <v>8</v>
      </c>
      <c r="N2300">
        <v>4</v>
      </c>
      <c r="O2300">
        <f t="shared" si="35"/>
        <v>4</v>
      </c>
    </row>
    <row r="2301" spans="1:15">
      <c r="A2301">
        <v>2503</v>
      </c>
      <c r="B2301" s="1">
        <v>45761</v>
      </c>
      <c r="C2301">
        <v>41</v>
      </c>
      <c r="D2301" t="s">
        <v>17</v>
      </c>
      <c r="E2301" t="s">
        <v>22</v>
      </c>
      <c r="F2301" t="s">
        <v>16</v>
      </c>
      <c r="H2301">
        <v>466.8</v>
      </c>
      <c r="I2301" s="13">
        <v>6</v>
      </c>
      <c r="J2301">
        <v>0</v>
      </c>
      <c r="K2301">
        <v>0</v>
      </c>
      <c r="L2301">
        <v>0</v>
      </c>
      <c r="M2301">
        <v>0</v>
      </c>
      <c r="O2301">
        <f t="shared" si="35"/>
        <v>4</v>
      </c>
    </row>
    <row r="2302" spans="1:15">
      <c r="A2302">
        <v>4288</v>
      </c>
      <c r="B2302" s="1">
        <v>45761</v>
      </c>
      <c r="C2302">
        <v>57</v>
      </c>
      <c r="D2302" t="s">
        <v>17</v>
      </c>
      <c r="E2302" t="s">
        <v>22</v>
      </c>
      <c r="F2302" t="s">
        <v>23</v>
      </c>
      <c r="H2302">
        <v>413.5</v>
      </c>
      <c r="I2302" s="13">
        <v>6</v>
      </c>
      <c r="J2302">
        <v>0</v>
      </c>
      <c r="K2302">
        <v>0</v>
      </c>
      <c r="L2302">
        <v>0</v>
      </c>
      <c r="M2302">
        <v>0</v>
      </c>
      <c r="O2302">
        <f t="shared" si="35"/>
        <v>4</v>
      </c>
    </row>
    <row r="2303" spans="1:15">
      <c r="A2303">
        <v>3909</v>
      </c>
      <c r="B2303" s="1">
        <v>45761</v>
      </c>
      <c r="C2303">
        <v>70</v>
      </c>
      <c r="D2303" t="s">
        <v>14</v>
      </c>
      <c r="E2303" t="s">
        <v>22</v>
      </c>
      <c r="F2303" t="s">
        <v>23</v>
      </c>
      <c r="H2303">
        <v>406.5</v>
      </c>
      <c r="I2303" s="13">
        <v>6</v>
      </c>
      <c r="J2303">
        <v>0</v>
      </c>
      <c r="K2303">
        <v>0</v>
      </c>
      <c r="L2303">
        <v>0</v>
      </c>
      <c r="M2303">
        <v>0</v>
      </c>
      <c r="O2303">
        <f t="shared" si="35"/>
        <v>4</v>
      </c>
    </row>
    <row r="2304" spans="1:15">
      <c r="A2304">
        <v>233</v>
      </c>
      <c r="B2304" s="1">
        <v>45761</v>
      </c>
      <c r="C2304">
        <v>24</v>
      </c>
      <c r="D2304" t="s">
        <v>17</v>
      </c>
      <c r="E2304" t="s">
        <v>24</v>
      </c>
      <c r="F2304" t="s">
        <v>16</v>
      </c>
      <c r="H2304">
        <v>382.9</v>
      </c>
      <c r="I2304" s="13">
        <v>6</v>
      </c>
      <c r="J2304">
        <v>0</v>
      </c>
      <c r="K2304">
        <v>0</v>
      </c>
      <c r="L2304">
        <v>0</v>
      </c>
      <c r="M2304">
        <v>0</v>
      </c>
      <c r="O2304">
        <f t="shared" si="35"/>
        <v>4</v>
      </c>
    </row>
    <row r="2305" spans="1:15">
      <c r="A2305">
        <v>4480</v>
      </c>
      <c r="B2305" s="1">
        <v>45761</v>
      </c>
      <c r="C2305">
        <v>59</v>
      </c>
      <c r="D2305" t="s">
        <v>14</v>
      </c>
      <c r="E2305" t="s">
        <v>24</v>
      </c>
      <c r="F2305" t="s">
        <v>18</v>
      </c>
      <c r="G2305" t="s">
        <v>30</v>
      </c>
      <c r="H2305">
        <v>354.4</v>
      </c>
      <c r="I2305" s="13">
        <v>6</v>
      </c>
      <c r="J2305">
        <v>0</v>
      </c>
      <c r="K2305">
        <v>0</v>
      </c>
      <c r="L2305">
        <v>0</v>
      </c>
      <c r="M2305">
        <v>0</v>
      </c>
      <c r="O2305">
        <f t="shared" si="35"/>
        <v>4</v>
      </c>
    </row>
    <row r="2306" spans="1:15">
      <c r="A2306">
        <v>2365</v>
      </c>
      <c r="B2306" s="1">
        <v>45761</v>
      </c>
      <c r="C2306">
        <v>29</v>
      </c>
      <c r="D2306" t="s">
        <v>17</v>
      </c>
      <c r="E2306" t="s">
        <v>22</v>
      </c>
      <c r="F2306" t="s">
        <v>16</v>
      </c>
      <c r="H2306">
        <v>317.89999999999998</v>
      </c>
      <c r="I2306" s="13">
        <v>6</v>
      </c>
      <c r="J2306">
        <v>0</v>
      </c>
      <c r="K2306">
        <v>0</v>
      </c>
      <c r="L2306">
        <v>0</v>
      </c>
      <c r="M2306">
        <v>0</v>
      </c>
      <c r="O2306">
        <f t="shared" si="35"/>
        <v>4</v>
      </c>
    </row>
    <row r="2307" spans="1:15">
      <c r="A2307">
        <v>3482</v>
      </c>
      <c r="B2307" s="1">
        <v>45761</v>
      </c>
      <c r="C2307">
        <v>43</v>
      </c>
      <c r="D2307" t="s">
        <v>14</v>
      </c>
      <c r="E2307" t="s">
        <v>22</v>
      </c>
      <c r="F2307" t="s">
        <v>21</v>
      </c>
      <c r="H2307">
        <v>268.5</v>
      </c>
      <c r="I2307" s="13">
        <v>9</v>
      </c>
      <c r="J2307">
        <v>0</v>
      </c>
      <c r="K2307">
        <v>0</v>
      </c>
      <c r="L2307">
        <v>0</v>
      </c>
      <c r="M2307">
        <v>0</v>
      </c>
      <c r="O2307">
        <f t="shared" ref="O2307:O2370" si="36">MONTH(B2307)</f>
        <v>4</v>
      </c>
    </row>
    <row r="2308" spans="1:15">
      <c r="A2308">
        <v>2497</v>
      </c>
      <c r="B2308" s="1">
        <v>45761</v>
      </c>
      <c r="C2308">
        <v>39</v>
      </c>
      <c r="D2308" t="s">
        <v>17</v>
      </c>
      <c r="E2308" t="s">
        <v>20</v>
      </c>
      <c r="F2308" t="s">
        <v>18</v>
      </c>
      <c r="G2308" t="s">
        <v>25</v>
      </c>
      <c r="H2308">
        <v>259.7</v>
      </c>
      <c r="I2308" s="13">
        <v>2</v>
      </c>
      <c r="J2308">
        <v>0</v>
      </c>
      <c r="K2308">
        <v>0</v>
      </c>
      <c r="L2308">
        <v>0</v>
      </c>
      <c r="M2308">
        <v>0</v>
      </c>
      <c r="O2308">
        <f t="shared" si="36"/>
        <v>4</v>
      </c>
    </row>
    <row r="2309" spans="1:15">
      <c r="A2309">
        <v>4522</v>
      </c>
      <c r="B2309" s="1">
        <v>45761</v>
      </c>
      <c r="C2309">
        <v>39</v>
      </c>
      <c r="D2309" t="s">
        <v>14</v>
      </c>
      <c r="E2309" t="s">
        <v>24</v>
      </c>
      <c r="F2309" t="s">
        <v>16</v>
      </c>
      <c r="H2309">
        <v>255.8</v>
      </c>
      <c r="I2309" s="13">
        <v>6</v>
      </c>
      <c r="J2309">
        <v>0</v>
      </c>
      <c r="K2309">
        <v>0</v>
      </c>
      <c r="L2309">
        <v>0</v>
      </c>
      <c r="M2309">
        <v>0</v>
      </c>
      <c r="O2309">
        <f t="shared" si="36"/>
        <v>4</v>
      </c>
    </row>
    <row r="2310" spans="1:15">
      <c r="A2310">
        <v>803</v>
      </c>
      <c r="B2310" s="1">
        <v>45761</v>
      </c>
      <c r="C2310">
        <v>33</v>
      </c>
      <c r="D2310" t="s">
        <v>14</v>
      </c>
      <c r="E2310" t="s">
        <v>15</v>
      </c>
      <c r="F2310" t="s">
        <v>23</v>
      </c>
      <c r="H2310">
        <v>211.9</v>
      </c>
      <c r="I2310" s="13">
        <v>8</v>
      </c>
      <c r="J2310">
        <v>0</v>
      </c>
      <c r="K2310">
        <v>0</v>
      </c>
      <c r="L2310">
        <v>0</v>
      </c>
      <c r="M2310">
        <v>0</v>
      </c>
      <c r="O2310">
        <f t="shared" si="36"/>
        <v>4</v>
      </c>
    </row>
    <row r="2311" spans="1:15">
      <c r="A2311">
        <v>3961</v>
      </c>
      <c r="B2311" s="1">
        <v>45761</v>
      </c>
      <c r="C2311">
        <v>54</v>
      </c>
      <c r="D2311" t="s">
        <v>17</v>
      </c>
      <c r="E2311" t="s">
        <v>22</v>
      </c>
      <c r="F2311" t="s">
        <v>18</v>
      </c>
      <c r="G2311" t="s">
        <v>31</v>
      </c>
      <c r="H2311">
        <v>154.4</v>
      </c>
      <c r="I2311" s="13">
        <v>6</v>
      </c>
      <c r="J2311">
        <v>0</v>
      </c>
      <c r="K2311">
        <v>0</v>
      </c>
      <c r="L2311">
        <v>0</v>
      </c>
      <c r="M2311">
        <v>0</v>
      </c>
      <c r="O2311">
        <f t="shared" si="36"/>
        <v>4</v>
      </c>
    </row>
    <row r="2312" spans="1:15">
      <c r="A2312">
        <v>4076</v>
      </c>
      <c r="B2312" s="1">
        <v>45761</v>
      </c>
      <c r="C2312">
        <v>43</v>
      </c>
      <c r="D2312" t="s">
        <v>17</v>
      </c>
      <c r="E2312" t="s">
        <v>15</v>
      </c>
      <c r="F2312" t="s">
        <v>16</v>
      </c>
      <c r="H2312">
        <v>151.5</v>
      </c>
      <c r="I2312" s="13">
        <v>4</v>
      </c>
      <c r="J2312">
        <v>0</v>
      </c>
      <c r="K2312">
        <v>0</v>
      </c>
      <c r="L2312">
        <v>0</v>
      </c>
      <c r="M2312">
        <v>0</v>
      </c>
      <c r="O2312">
        <f t="shared" si="36"/>
        <v>4</v>
      </c>
    </row>
    <row r="2313" spans="1:15">
      <c r="A2313">
        <v>940</v>
      </c>
      <c r="B2313" s="1">
        <v>45761</v>
      </c>
      <c r="C2313">
        <v>32</v>
      </c>
      <c r="D2313" t="s">
        <v>14</v>
      </c>
      <c r="E2313" t="s">
        <v>15</v>
      </c>
      <c r="F2313" t="s">
        <v>18</v>
      </c>
      <c r="G2313" t="s">
        <v>31</v>
      </c>
      <c r="H2313">
        <v>150.80000000000001</v>
      </c>
      <c r="I2313" s="13">
        <v>6</v>
      </c>
      <c r="J2313">
        <v>0</v>
      </c>
      <c r="K2313">
        <v>0</v>
      </c>
      <c r="L2313">
        <v>0</v>
      </c>
      <c r="M2313">
        <v>0</v>
      </c>
      <c r="O2313">
        <f t="shared" si="36"/>
        <v>4</v>
      </c>
    </row>
    <row r="2314" spans="1:15">
      <c r="A2314">
        <v>4110</v>
      </c>
      <c r="B2314" s="1">
        <v>45761</v>
      </c>
      <c r="C2314">
        <v>38</v>
      </c>
      <c r="D2314" t="s">
        <v>17</v>
      </c>
      <c r="E2314" t="s">
        <v>15</v>
      </c>
      <c r="F2314" t="s">
        <v>16</v>
      </c>
      <c r="H2314">
        <v>121.6</v>
      </c>
      <c r="I2314" s="13">
        <v>8</v>
      </c>
      <c r="J2314">
        <v>0</v>
      </c>
      <c r="K2314">
        <v>0</v>
      </c>
      <c r="L2314">
        <v>0</v>
      </c>
      <c r="M2314">
        <v>0</v>
      </c>
      <c r="O2314">
        <f t="shared" si="36"/>
        <v>4</v>
      </c>
    </row>
    <row r="2315" spans="1:15">
      <c r="A2315">
        <v>360</v>
      </c>
      <c r="B2315" s="1">
        <v>45761</v>
      </c>
      <c r="C2315">
        <v>18</v>
      </c>
      <c r="D2315" t="s">
        <v>14</v>
      </c>
      <c r="E2315" t="s">
        <v>22</v>
      </c>
      <c r="F2315" t="s">
        <v>23</v>
      </c>
      <c r="H2315">
        <v>116.6</v>
      </c>
      <c r="I2315" s="13">
        <v>4</v>
      </c>
      <c r="J2315">
        <v>0</v>
      </c>
      <c r="K2315">
        <v>0</v>
      </c>
      <c r="L2315">
        <v>0</v>
      </c>
      <c r="M2315">
        <v>0</v>
      </c>
      <c r="O2315">
        <f t="shared" si="36"/>
        <v>4</v>
      </c>
    </row>
    <row r="2316" spans="1:15">
      <c r="A2316">
        <v>3816</v>
      </c>
      <c r="B2316" s="1">
        <v>45761</v>
      </c>
      <c r="C2316">
        <v>73</v>
      </c>
      <c r="D2316" t="s">
        <v>14</v>
      </c>
      <c r="E2316" t="s">
        <v>20</v>
      </c>
      <c r="F2316" t="s">
        <v>21</v>
      </c>
      <c r="H2316">
        <v>101.6</v>
      </c>
      <c r="I2316" s="13">
        <v>5</v>
      </c>
      <c r="J2316">
        <v>0</v>
      </c>
      <c r="K2316">
        <v>0</v>
      </c>
      <c r="L2316">
        <v>0</v>
      </c>
      <c r="M2316">
        <v>0</v>
      </c>
      <c r="O2316">
        <f t="shared" si="36"/>
        <v>4</v>
      </c>
    </row>
    <row r="2317" spans="1:15">
      <c r="A2317">
        <v>3400</v>
      </c>
      <c r="B2317" s="1">
        <v>45761</v>
      </c>
      <c r="C2317">
        <v>38</v>
      </c>
      <c r="D2317" t="s">
        <v>14</v>
      </c>
      <c r="E2317" t="s">
        <v>15</v>
      </c>
      <c r="F2317" t="s">
        <v>16</v>
      </c>
      <c r="H2317">
        <v>48.8</v>
      </c>
      <c r="I2317" s="13">
        <v>5</v>
      </c>
      <c r="J2317">
        <v>0</v>
      </c>
      <c r="K2317">
        <v>0</v>
      </c>
      <c r="L2317">
        <v>0</v>
      </c>
      <c r="M2317">
        <v>0</v>
      </c>
      <c r="O2317">
        <f t="shared" si="36"/>
        <v>4</v>
      </c>
    </row>
    <row r="2318" spans="1:15">
      <c r="A2318">
        <v>3332</v>
      </c>
      <c r="B2318" s="1">
        <v>45791</v>
      </c>
      <c r="C2318">
        <v>33</v>
      </c>
      <c r="D2318" t="s">
        <v>17</v>
      </c>
      <c r="E2318" t="s">
        <v>20</v>
      </c>
      <c r="F2318" t="s">
        <v>18</v>
      </c>
      <c r="G2318" t="s">
        <v>26</v>
      </c>
      <c r="H2318">
        <v>230.2</v>
      </c>
      <c r="I2318" s="13">
        <v>7</v>
      </c>
      <c r="J2318">
        <v>1</v>
      </c>
      <c r="K2318">
        <v>106</v>
      </c>
      <c r="L2318">
        <v>4</v>
      </c>
      <c r="M2318">
        <v>11</v>
      </c>
      <c r="N2318">
        <v>4</v>
      </c>
      <c r="O2318">
        <f t="shared" si="36"/>
        <v>5</v>
      </c>
    </row>
    <row r="2319" spans="1:15">
      <c r="A2319">
        <v>764</v>
      </c>
      <c r="B2319" s="1">
        <v>45791</v>
      </c>
      <c r="C2319">
        <v>24</v>
      </c>
      <c r="D2319" t="s">
        <v>14</v>
      </c>
      <c r="E2319" t="s">
        <v>22</v>
      </c>
      <c r="F2319" t="s">
        <v>18</v>
      </c>
      <c r="G2319" t="s">
        <v>19</v>
      </c>
      <c r="H2319">
        <v>424.9</v>
      </c>
      <c r="I2319" s="13">
        <v>5</v>
      </c>
      <c r="J2319">
        <v>1</v>
      </c>
      <c r="K2319">
        <v>86.8</v>
      </c>
      <c r="L2319">
        <v>2</v>
      </c>
      <c r="M2319">
        <v>6</v>
      </c>
      <c r="N2319">
        <v>5</v>
      </c>
      <c r="O2319">
        <f t="shared" si="36"/>
        <v>5</v>
      </c>
    </row>
    <row r="2320" spans="1:15">
      <c r="A2320">
        <v>1345</v>
      </c>
      <c r="B2320" s="1">
        <v>45791</v>
      </c>
      <c r="C2320">
        <v>19</v>
      </c>
      <c r="D2320" t="s">
        <v>17</v>
      </c>
      <c r="E2320" t="s">
        <v>22</v>
      </c>
      <c r="F2320" t="s">
        <v>23</v>
      </c>
      <c r="H2320">
        <v>328</v>
      </c>
      <c r="I2320" s="13">
        <v>6</v>
      </c>
      <c r="J2320">
        <v>1</v>
      </c>
      <c r="K2320">
        <v>56.5</v>
      </c>
      <c r="L2320">
        <v>6</v>
      </c>
      <c r="M2320">
        <v>13</v>
      </c>
      <c r="N2320">
        <v>4</v>
      </c>
      <c r="O2320">
        <f t="shared" si="36"/>
        <v>5</v>
      </c>
    </row>
    <row r="2321" spans="1:15">
      <c r="A2321">
        <v>2231</v>
      </c>
      <c r="B2321" s="1">
        <v>45791</v>
      </c>
      <c r="C2321">
        <v>32</v>
      </c>
      <c r="D2321" t="s">
        <v>17</v>
      </c>
      <c r="E2321" t="s">
        <v>22</v>
      </c>
      <c r="F2321" t="s">
        <v>16</v>
      </c>
      <c r="H2321">
        <v>299.7</v>
      </c>
      <c r="I2321" s="13">
        <v>4</v>
      </c>
      <c r="J2321">
        <v>1</v>
      </c>
      <c r="K2321">
        <v>38.32</v>
      </c>
      <c r="L2321">
        <v>4</v>
      </c>
      <c r="M2321">
        <v>12</v>
      </c>
      <c r="N2321">
        <v>5</v>
      </c>
      <c r="O2321">
        <f t="shared" si="36"/>
        <v>5</v>
      </c>
    </row>
    <row r="2322" spans="1:15">
      <c r="A2322">
        <v>2614</v>
      </c>
      <c r="B2322" s="1">
        <v>45791</v>
      </c>
      <c r="C2322">
        <v>24</v>
      </c>
      <c r="D2322" t="s">
        <v>14</v>
      </c>
      <c r="E2322" t="s">
        <v>22</v>
      </c>
      <c r="F2322" t="s">
        <v>16</v>
      </c>
      <c r="H2322">
        <v>743.2</v>
      </c>
      <c r="I2322" s="13">
        <v>6</v>
      </c>
      <c r="J2322">
        <v>1</v>
      </c>
      <c r="K2322">
        <v>33.53</v>
      </c>
      <c r="L2322">
        <v>3</v>
      </c>
      <c r="M2322">
        <v>14</v>
      </c>
      <c r="N2322">
        <v>4</v>
      </c>
      <c r="O2322">
        <f t="shared" si="36"/>
        <v>5</v>
      </c>
    </row>
    <row r="2323" spans="1:15">
      <c r="A2323">
        <v>2205</v>
      </c>
      <c r="B2323" s="1">
        <v>45791</v>
      </c>
      <c r="C2323">
        <v>36</v>
      </c>
      <c r="D2323" t="s">
        <v>17</v>
      </c>
      <c r="E2323" t="s">
        <v>20</v>
      </c>
      <c r="F2323" t="s">
        <v>18</v>
      </c>
      <c r="G2323" t="s">
        <v>31</v>
      </c>
      <c r="H2323">
        <v>314.60000000000002</v>
      </c>
      <c r="I2323" s="13">
        <v>7</v>
      </c>
      <c r="J2323">
        <v>1</v>
      </c>
      <c r="K2323">
        <v>32.200000000000003</v>
      </c>
      <c r="L2323">
        <v>3</v>
      </c>
      <c r="M2323">
        <v>10</v>
      </c>
      <c r="N2323">
        <v>5</v>
      </c>
      <c r="O2323">
        <f t="shared" si="36"/>
        <v>5</v>
      </c>
    </row>
    <row r="2324" spans="1:15">
      <c r="A2324">
        <v>1164</v>
      </c>
      <c r="B2324" s="1">
        <v>45791</v>
      </c>
      <c r="C2324">
        <v>26</v>
      </c>
      <c r="D2324" t="s">
        <v>14</v>
      </c>
      <c r="E2324" t="s">
        <v>15</v>
      </c>
      <c r="F2324" t="s">
        <v>18</v>
      </c>
      <c r="G2324" t="s">
        <v>30</v>
      </c>
      <c r="H2324">
        <v>115.2</v>
      </c>
      <c r="I2324" s="13">
        <v>5</v>
      </c>
      <c r="J2324">
        <v>1</v>
      </c>
      <c r="K2324">
        <v>29.72</v>
      </c>
      <c r="L2324">
        <v>1</v>
      </c>
      <c r="M2324">
        <v>8</v>
      </c>
      <c r="N2324">
        <v>4</v>
      </c>
      <c r="O2324">
        <f t="shared" si="36"/>
        <v>5</v>
      </c>
    </row>
    <row r="2325" spans="1:15">
      <c r="A2325">
        <v>4729</v>
      </c>
      <c r="B2325" s="1">
        <v>45791</v>
      </c>
      <c r="C2325">
        <v>61</v>
      </c>
      <c r="D2325" t="s">
        <v>17</v>
      </c>
      <c r="E2325" t="s">
        <v>22</v>
      </c>
      <c r="F2325" t="s">
        <v>16</v>
      </c>
      <c r="H2325">
        <v>327.10000000000002</v>
      </c>
      <c r="I2325" s="13">
        <v>5</v>
      </c>
      <c r="J2325">
        <v>1</v>
      </c>
      <c r="K2325">
        <v>13.27</v>
      </c>
      <c r="L2325">
        <v>3</v>
      </c>
      <c r="M2325">
        <v>1</v>
      </c>
      <c r="N2325">
        <v>4</v>
      </c>
      <c r="O2325">
        <f t="shared" si="36"/>
        <v>5</v>
      </c>
    </row>
    <row r="2326" spans="1:15">
      <c r="A2326">
        <v>3579</v>
      </c>
      <c r="B2326" s="1">
        <v>45791</v>
      </c>
      <c r="C2326">
        <v>43</v>
      </c>
      <c r="D2326" t="s">
        <v>14</v>
      </c>
      <c r="E2326" t="s">
        <v>20</v>
      </c>
      <c r="F2326" t="s">
        <v>23</v>
      </c>
      <c r="H2326">
        <v>755</v>
      </c>
      <c r="I2326" s="13">
        <v>8</v>
      </c>
      <c r="J2326">
        <v>0</v>
      </c>
      <c r="K2326">
        <v>0</v>
      </c>
      <c r="L2326">
        <v>0</v>
      </c>
      <c r="M2326">
        <v>0</v>
      </c>
      <c r="O2326">
        <f t="shared" si="36"/>
        <v>5</v>
      </c>
    </row>
    <row r="2327" spans="1:15">
      <c r="A2327">
        <v>724</v>
      </c>
      <c r="B2327" s="1">
        <v>45791</v>
      </c>
      <c r="C2327">
        <v>24</v>
      </c>
      <c r="D2327" t="s">
        <v>14</v>
      </c>
      <c r="E2327" t="s">
        <v>22</v>
      </c>
      <c r="F2327" t="s">
        <v>16</v>
      </c>
      <c r="H2327">
        <v>548.79999999999995</v>
      </c>
      <c r="I2327" s="13">
        <v>9</v>
      </c>
      <c r="J2327">
        <v>0</v>
      </c>
      <c r="K2327">
        <v>0</v>
      </c>
      <c r="L2327">
        <v>0</v>
      </c>
      <c r="M2327">
        <v>0</v>
      </c>
      <c r="O2327">
        <f t="shared" si="36"/>
        <v>5</v>
      </c>
    </row>
    <row r="2328" spans="1:15">
      <c r="A2328">
        <v>3707</v>
      </c>
      <c r="B2328" s="1">
        <v>45791</v>
      </c>
      <c r="C2328">
        <v>27</v>
      </c>
      <c r="D2328" t="s">
        <v>17</v>
      </c>
      <c r="E2328" t="s">
        <v>20</v>
      </c>
      <c r="F2328" t="s">
        <v>16</v>
      </c>
      <c r="H2328">
        <v>519.29999999999995</v>
      </c>
      <c r="I2328" s="13">
        <v>7</v>
      </c>
      <c r="J2328">
        <v>0</v>
      </c>
      <c r="K2328">
        <v>0</v>
      </c>
      <c r="L2328">
        <v>0</v>
      </c>
      <c r="M2328">
        <v>0</v>
      </c>
      <c r="O2328">
        <f t="shared" si="36"/>
        <v>5</v>
      </c>
    </row>
    <row r="2329" spans="1:15">
      <c r="A2329">
        <v>4909</v>
      </c>
      <c r="B2329" s="1">
        <v>45791</v>
      </c>
      <c r="C2329">
        <v>69</v>
      </c>
      <c r="D2329" t="s">
        <v>14</v>
      </c>
      <c r="E2329" t="s">
        <v>15</v>
      </c>
      <c r="F2329" t="s">
        <v>23</v>
      </c>
      <c r="H2329">
        <v>496.1</v>
      </c>
      <c r="I2329" s="13">
        <v>10</v>
      </c>
      <c r="J2329">
        <v>0</v>
      </c>
      <c r="K2329">
        <v>0</v>
      </c>
      <c r="L2329">
        <v>0</v>
      </c>
      <c r="M2329">
        <v>0</v>
      </c>
      <c r="O2329">
        <f t="shared" si="36"/>
        <v>5</v>
      </c>
    </row>
    <row r="2330" spans="1:15">
      <c r="A2330">
        <v>2537</v>
      </c>
      <c r="B2330" s="1">
        <v>45791</v>
      </c>
      <c r="C2330">
        <v>33</v>
      </c>
      <c r="D2330" t="s">
        <v>17</v>
      </c>
      <c r="E2330" t="s">
        <v>15</v>
      </c>
      <c r="F2330" t="s">
        <v>16</v>
      </c>
      <c r="H2330">
        <v>484.7</v>
      </c>
      <c r="I2330" s="13">
        <v>3</v>
      </c>
      <c r="J2330">
        <v>0</v>
      </c>
      <c r="K2330">
        <v>0</v>
      </c>
      <c r="L2330">
        <v>0</v>
      </c>
      <c r="M2330">
        <v>0</v>
      </c>
      <c r="O2330">
        <f t="shared" si="36"/>
        <v>5</v>
      </c>
    </row>
    <row r="2331" spans="1:15">
      <c r="A2331">
        <v>4832</v>
      </c>
      <c r="B2331" s="1">
        <v>45791</v>
      </c>
      <c r="C2331">
        <v>57</v>
      </c>
      <c r="D2331" t="s">
        <v>14</v>
      </c>
      <c r="E2331" t="s">
        <v>22</v>
      </c>
      <c r="F2331" t="s">
        <v>16</v>
      </c>
      <c r="H2331">
        <v>403.9</v>
      </c>
      <c r="I2331" s="13">
        <v>3</v>
      </c>
      <c r="J2331">
        <v>0</v>
      </c>
      <c r="K2331">
        <v>0</v>
      </c>
      <c r="L2331">
        <v>0</v>
      </c>
      <c r="M2331">
        <v>0</v>
      </c>
      <c r="O2331">
        <f t="shared" si="36"/>
        <v>5</v>
      </c>
    </row>
    <row r="2332" spans="1:15">
      <c r="A2332">
        <v>4929</v>
      </c>
      <c r="B2332" s="1">
        <v>45791</v>
      </c>
      <c r="C2332">
        <v>61</v>
      </c>
      <c r="D2332" t="s">
        <v>14</v>
      </c>
      <c r="E2332" t="s">
        <v>22</v>
      </c>
      <c r="F2332" t="s">
        <v>16</v>
      </c>
      <c r="H2332">
        <v>318</v>
      </c>
      <c r="I2332" s="13">
        <v>4</v>
      </c>
      <c r="J2332">
        <v>0</v>
      </c>
      <c r="K2332">
        <v>0</v>
      </c>
      <c r="L2332">
        <v>0</v>
      </c>
      <c r="M2332">
        <v>0</v>
      </c>
      <c r="O2332">
        <f t="shared" si="36"/>
        <v>5</v>
      </c>
    </row>
    <row r="2333" spans="1:15">
      <c r="A2333">
        <v>4948</v>
      </c>
      <c r="B2333" s="1">
        <v>45791</v>
      </c>
      <c r="C2333">
        <v>47</v>
      </c>
      <c r="D2333" t="s">
        <v>14</v>
      </c>
      <c r="E2333" t="s">
        <v>22</v>
      </c>
      <c r="F2333" t="s">
        <v>23</v>
      </c>
      <c r="H2333">
        <v>302.8</v>
      </c>
      <c r="I2333" s="13">
        <v>10</v>
      </c>
      <c r="J2333">
        <v>0</v>
      </c>
      <c r="K2333">
        <v>0</v>
      </c>
      <c r="L2333">
        <v>0</v>
      </c>
      <c r="M2333">
        <v>0</v>
      </c>
      <c r="O2333">
        <f t="shared" si="36"/>
        <v>5</v>
      </c>
    </row>
    <row r="2334" spans="1:15">
      <c r="A2334">
        <v>4486</v>
      </c>
      <c r="B2334" s="1">
        <v>45791</v>
      </c>
      <c r="C2334">
        <v>41</v>
      </c>
      <c r="D2334" t="s">
        <v>17</v>
      </c>
      <c r="E2334" t="s">
        <v>22</v>
      </c>
      <c r="F2334" t="s">
        <v>16</v>
      </c>
      <c r="H2334">
        <v>300.39999999999998</v>
      </c>
      <c r="I2334" s="13">
        <v>3</v>
      </c>
      <c r="J2334">
        <v>0</v>
      </c>
      <c r="K2334">
        <v>0</v>
      </c>
      <c r="L2334">
        <v>0</v>
      </c>
      <c r="M2334">
        <v>0</v>
      </c>
      <c r="O2334">
        <f t="shared" si="36"/>
        <v>5</v>
      </c>
    </row>
    <row r="2335" spans="1:15">
      <c r="A2335">
        <v>2917</v>
      </c>
      <c r="B2335" s="1">
        <v>45791</v>
      </c>
      <c r="C2335">
        <v>30</v>
      </c>
      <c r="D2335" t="s">
        <v>17</v>
      </c>
      <c r="E2335" t="s">
        <v>24</v>
      </c>
      <c r="F2335" t="s">
        <v>21</v>
      </c>
      <c r="H2335">
        <v>229.7</v>
      </c>
      <c r="I2335" s="13">
        <v>4</v>
      </c>
      <c r="J2335">
        <v>0</v>
      </c>
      <c r="K2335">
        <v>0</v>
      </c>
      <c r="L2335">
        <v>0</v>
      </c>
      <c r="M2335">
        <v>0</v>
      </c>
      <c r="O2335">
        <f t="shared" si="36"/>
        <v>5</v>
      </c>
    </row>
    <row r="2336" spans="1:15">
      <c r="A2336">
        <v>266</v>
      </c>
      <c r="B2336" s="1">
        <v>45791</v>
      </c>
      <c r="C2336">
        <v>18</v>
      </c>
      <c r="D2336" t="s">
        <v>14</v>
      </c>
      <c r="E2336" t="s">
        <v>15</v>
      </c>
      <c r="F2336" t="s">
        <v>18</v>
      </c>
      <c r="G2336" t="s">
        <v>28</v>
      </c>
      <c r="H2336">
        <v>195.9</v>
      </c>
      <c r="I2336" s="13">
        <v>3</v>
      </c>
      <c r="J2336">
        <v>0</v>
      </c>
      <c r="K2336">
        <v>0</v>
      </c>
      <c r="L2336">
        <v>0</v>
      </c>
      <c r="M2336">
        <v>0</v>
      </c>
      <c r="O2336">
        <f t="shared" si="36"/>
        <v>5</v>
      </c>
    </row>
    <row r="2337" spans="1:15">
      <c r="A2337">
        <v>2277</v>
      </c>
      <c r="B2337" s="1">
        <v>45791</v>
      </c>
      <c r="C2337">
        <v>33</v>
      </c>
      <c r="D2337" t="s">
        <v>14</v>
      </c>
      <c r="E2337" t="s">
        <v>22</v>
      </c>
      <c r="F2337" t="s">
        <v>16</v>
      </c>
      <c r="H2337">
        <v>163</v>
      </c>
      <c r="I2337" s="13">
        <v>7</v>
      </c>
      <c r="J2337">
        <v>0</v>
      </c>
      <c r="K2337">
        <v>0</v>
      </c>
      <c r="L2337">
        <v>0</v>
      </c>
      <c r="M2337">
        <v>0</v>
      </c>
      <c r="O2337">
        <f t="shared" si="36"/>
        <v>5</v>
      </c>
    </row>
    <row r="2338" spans="1:15">
      <c r="A2338">
        <v>3137</v>
      </c>
      <c r="B2338" s="1">
        <v>45791</v>
      </c>
      <c r="C2338">
        <v>39</v>
      </c>
      <c r="D2338" t="s">
        <v>17</v>
      </c>
      <c r="E2338" t="s">
        <v>15</v>
      </c>
      <c r="F2338" t="s">
        <v>16</v>
      </c>
      <c r="H2338">
        <v>135.5</v>
      </c>
      <c r="I2338" s="13">
        <v>10</v>
      </c>
      <c r="J2338">
        <v>0</v>
      </c>
      <c r="K2338">
        <v>0</v>
      </c>
      <c r="L2338">
        <v>0</v>
      </c>
      <c r="M2338">
        <v>0</v>
      </c>
      <c r="O2338">
        <f t="shared" si="36"/>
        <v>5</v>
      </c>
    </row>
    <row r="2339" spans="1:15">
      <c r="A2339">
        <v>4646</v>
      </c>
      <c r="B2339" s="1">
        <v>45791</v>
      </c>
      <c r="C2339">
        <v>29</v>
      </c>
      <c r="D2339" t="s">
        <v>17</v>
      </c>
      <c r="E2339" t="s">
        <v>15</v>
      </c>
      <c r="F2339" t="s">
        <v>18</v>
      </c>
      <c r="G2339" t="s">
        <v>26</v>
      </c>
      <c r="H2339">
        <v>57.5</v>
      </c>
      <c r="I2339" s="13">
        <v>7</v>
      </c>
      <c r="J2339">
        <v>0</v>
      </c>
      <c r="K2339">
        <v>0</v>
      </c>
      <c r="L2339">
        <v>0</v>
      </c>
      <c r="M2339">
        <v>0</v>
      </c>
      <c r="O2339">
        <f t="shared" si="36"/>
        <v>5</v>
      </c>
    </row>
    <row r="2340" spans="1:15">
      <c r="A2340">
        <v>938</v>
      </c>
      <c r="B2340" s="1">
        <v>45822</v>
      </c>
      <c r="C2340">
        <v>30</v>
      </c>
      <c r="D2340" t="s">
        <v>17</v>
      </c>
      <c r="E2340" t="s">
        <v>22</v>
      </c>
      <c r="F2340" t="s">
        <v>23</v>
      </c>
      <c r="H2340">
        <v>341.4</v>
      </c>
      <c r="I2340" s="13">
        <v>5</v>
      </c>
      <c r="J2340">
        <v>1</v>
      </c>
      <c r="K2340">
        <v>150.36000000000001</v>
      </c>
      <c r="L2340">
        <v>1</v>
      </c>
      <c r="M2340">
        <v>10</v>
      </c>
      <c r="N2340">
        <v>4</v>
      </c>
      <c r="O2340">
        <f t="shared" si="36"/>
        <v>6</v>
      </c>
    </row>
    <row r="2341" spans="1:15">
      <c r="A2341">
        <v>2383</v>
      </c>
      <c r="B2341" s="1">
        <v>45822</v>
      </c>
      <c r="C2341">
        <v>31</v>
      </c>
      <c r="D2341" t="s">
        <v>14</v>
      </c>
      <c r="E2341" t="s">
        <v>20</v>
      </c>
      <c r="F2341" t="s">
        <v>21</v>
      </c>
      <c r="H2341">
        <v>513.1</v>
      </c>
      <c r="I2341" s="13">
        <v>3</v>
      </c>
      <c r="J2341">
        <v>1</v>
      </c>
      <c r="K2341">
        <v>91.12</v>
      </c>
      <c r="L2341">
        <v>1</v>
      </c>
      <c r="M2341">
        <v>1</v>
      </c>
      <c r="N2341">
        <v>5</v>
      </c>
      <c r="O2341">
        <f t="shared" si="36"/>
        <v>6</v>
      </c>
    </row>
    <row r="2342" spans="1:15">
      <c r="A2342">
        <v>1361</v>
      </c>
      <c r="B2342" s="1">
        <v>45822</v>
      </c>
      <c r="C2342">
        <v>29</v>
      </c>
      <c r="D2342" t="s">
        <v>14</v>
      </c>
      <c r="E2342" t="s">
        <v>22</v>
      </c>
      <c r="F2342" t="s">
        <v>23</v>
      </c>
      <c r="H2342">
        <v>573.9</v>
      </c>
      <c r="I2342" s="13">
        <v>8</v>
      </c>
      <c r="J2342">
        <v>1</v>
      </c>
      <c r="K2342">
        <v>53.19</v>
      </c>
      <c r="L2342">
        <v>6</v>
      </c>
      <c r="M2342">
        <v>9</v>
      </c>
      <c r="N2342">
        <v>5</v>
      </c>
      <c r="O2342">
        <f t="shared" si="36"/>
        <v>6</v>
      </c>
    </row>
    <row r="2343" spans="1:15">
      <c r="A2343">
        <v>4727</v>
      </c>
      <c r="B2343" s="1">
        <v>45822</v>
      </c>
      <c r="C2343">
        <v>54</v>
      </c>
      <c r="D2343" t="s">
        <v>17</v>
      </c>
      <c r="E2343" t="s">
        <v>24</v>
      </c>
      <c r="F2343" t="s">
        <v>16</v>
      </c>
      <c r="H2343">
        <v>630.29999999999995</v>
      </c>
      <c r="I2343" s="13">
        <v>7</v>
      </c>
      <c r="J2343">
        <v>1</v>
      </c>
      <c r="K2343">
        <v>44.45</v>
      </c>
      <c r="L2343">
        <v>5</v>
      </c>
      <c r="M2343">
        <v>11</v>
      </c>
      <c r="N2343">
        <v>4</v>
      </c>
      <c r="O2343">
        <f t="shared" si="36"/>
        <v>6</v>
      </c>
    </row>
    <row r="2344" spans="1:15">
      <c r="A2344">
        <v>1019</v>
      </c>
      <c r="B2344" s="1">
        <v>45822</v>
      </c>
      <c r="C2344">
        <v>23</v>
      </c>
      <c r="D2344" t="s">
        <v>17</v>
      </c>
      <c r="E2344" t="s">
        <v>22</v>
      </c>
      <c r="F2344" t="s">
        <v>16</v>
      </c>
      <c r="H2344">
        <v>396.1</v>
      </c>
      <c r="I2344" s="13">
        <v>4</v>
      </c>
      <c r="J2344">
        <v>1</v>
      </c>
      <c r="K2344">
        <v>33.94</v>
      </c>
      <c r="L2344">
        <v>2</v>
      </c>
      <c r="M2344">
        <v>11</v>
      </c>
      <c r="N2344">
        <v>5</v>
      </c>
      <c r="O2344">
        <f t="shared" si="36"/>
        <v>6</v>
      </c>
    </row>
    <row r="2345" spans="1:15">
      <c r="A2345">
        <v>3103</v>
      </c>
      <c r="B2345" s="1">
        <v>45822</v>
      </c>
      <c r="C2345">
        <v>41</v>
      </c>
      <c r="D2345" t="s">
        <v>14</v>
      </c>
      <c r="E2345" t="s">
        <v>15</v>
      </c>
      <c r="F2345" t="s">
        <v>18</v>
      </c>
      <c r="G2345" t="s">
        <v>28</v>
      </c>
      <c r="H2345">
        <v>345.6</v>
      </c>
      <c r="I2345" s="13">
        <v>2</v>
      </c>
      <c r="J2345">
        <v>1</v>
      </c>
      <c r="K2345">
        <v>25.97</v>
      </c>
      <c r="L2345">
        <v>3</v>
      </c>
      <c r="M2345">
        <v>7</v>
      </c>
      <c r="N2345">
        <v>4</v>
      </c>
      <c r="O2345">
        <f t="shared" si="36"/>
        <v>6</v>
      </c>
    </row>
    <row r="2346" spans="1:15">
      <c r="A2346">
        <v>3192</v>
      </c>
      <c r="B2346" s="1">
        <v>45822</v>
      </c>
      <c r="C2346">
        <v>36</v>
      </c>
      <c r="D2346" t="s">
        <v>14</v>
      </c>
      <c r="E2346" t="s">
        <v>22</v>
      </c>
      <c r="F2346" t="s">
        <v>16</v>
      </c>
      <c r="H2346">
        <v>913.8</v>
      </c>
      <c r="I2346" s="13">
        <v>8</v>
      </c>
      <c r="J2346">
        <v>0</v>
      </c>
      <c r="K2346">
        <v>0</v>
      </c>
      <c r="L2346">
        <v>0</v>
      </c>
      <c r="M2346">
        <v>0</v>
      </c>
      <c r="O2346">
        <f t="shared" si="36"/>
        <v>6</v>
      </c>
    </row>
    <row r="2347" spans="1:15">
      <c r="A2347">
        <v>3903</v>
      </c>
      <c r="B2347" s="1">
        <v>45822</v>
      </c>
      <c r="C2347">
        <v>66</v>
      </c>
      <c r="D2347" t="s">
        <v>14</v>
      </c>
      <c r="E2347" t="s">
        <v>22</v>
      </c>
      <c r="F2347" t="s">
        <v>18</v>
      </c>
      <c r="G2347" t="s">
        <v>31</v>
      </c>
      <c r="H2347">
        <v>368</v>
      </c>
      <c r="I2347" s="13">
        <v>1</v>
      </c>
      <c r="J2347">
        <v>0</v>
      </c>
      <c r="K2347">
        <v>0</v>
      </c>
      <c r="L2347">
        <v>0</v>
      </c>
      <c r="M2347">
        <v>0</v>
      </c>
      <c r="O2347">
        <f t="shared" si="36"/>
        <v>6</v>
      </c>
    </row>
    <row r="2348" spans="1:15">
      <c r="A2348">
        <v>243</v>
      </c>
      <c r="B2348" s="1">
        <v>45822</v>
      </c>
      <c r="C2348">
        <v>23</v>
      </c>
      <c r="D2348" t="s">
        <v>17</v>
      </c>
      <c r="E2348" t="s">
        <v>24</v>
      </c>
      <c r="F2348" t="s">
        <v>16</v>
      </c>
      <c r="H2348">
        <v>359.4</v>
      </c>
      <c r="I2348" s="13">
        <v>5</v>
      </c>
      <c r="J2348">
        <v>0</v>
      </c>
      <c r="K2348">
        <v>0</v>
      </c>
      <c r="L2348">
        <v>0</v>
      </c>
      <c r="M2348">
        <v>0</v>
      </c>
      <c r="O2348">
        <f t="shared" si="36"/>
        <v>6</v>
      </c>
    </row>
    <row r="2349" spans="1:15">
      <c r="A2349">
        <v>2352</v>
      </c>
      <c r="B2349" s="1">
        <v>45822</v>
      </c>
      <c r="C2349">
        <v>38</v>
      </c>
      <c r="D2349" t="s">
        <v>14</v>
      </c>
      <c r="E2349" t="s">
        <v>24</v>
      </c>
      <c r="F2349" t="s">
        <v>21</v>
      </c>
      <c r="H2349">
        <v>351</v>
      </c>
      <c r="I2349" s="13">
        <v>6</v>
      </c>
      <c r="J2349">
        <v>0</v>
      </c>
      <c r="K2349">
        <v>0</v>
      </c>
      <c r="L2349">
        <v>0</v>
      </c>
      <c r="M2349">
        <v>0</v>
      </c>
      <c r="O2349">
        <f t="shared" si="36"/>
        <v>6</v>
      </c>
    </row>
    <row r="2350" spans="1:15">
      <c r="A2350">
        <v>954</v>
      </c>
      <c r="B2350" s="1">
        <v>45822</v>
      </c>
      <c r="C2350">
        <v>25</v>
      </c>
      <c r="D2350" t="s">
        <v>14</v>
      </c>
      <c r="E2350" t="s">
        <v>15</v>
      </c>
      <c r="F2350" t="s">
        <v>18</v>
      </c>
      <c r="G2350" t="s">
        <v>25</v>
      </c>
      <c r="H2350">
        <v>334.6</v>
      </c>
      <c r="I2350" s="13">
        <v>4</v>
      </c>
      <c r="J2350">
        <v>0</v>
      </c>
      <c r="K2350">
        <v>0</v>
      </c>
      <c r="L2350">
        <v>0</v>
      </c>
      <c r="M2350">
        <v>0</v>
      </c>
      <c r="O2350">
        <f t="shared" si="36"/>
        <v>6</v>
      </c>
    </row>
    <row r="2351" spans="1:15">
      <c r="A2351">
        <v>274</v>
      </c>
      <c r="B2351" s="1">
        <v>45822</v>
      </c>
      <c r="C2351">
        <v>28</v>
      </c>
      <c r="D2351" t="s">
        <v>17</v>
      </c>
      <c r="E2351" t="s">
        <v>20</v>
      </c>
      <c r="F2351" t="s">
        <v>23</v>
      </c>
      <c r="H2351">
        <v>314.8</v>
      </c>
      <c r="I2351" s="13">
        <v>6</v>
      </c>
      <c r="J2351">
        <v>0</v>
      </c>
      <c r="K2351">
        <v>0</v>
      </c>
      <c r="L2351">
        <v>0</v>
      </c>
      <c r="M2351">
        <v>0</v>
      </c>
      <c r="O2351">
        <f t="shared" si="36"/>
        <v>6</v>
      </c>
    </row>
    <row r="2352" spans="1:15">
      <c r="A2352">
        <v>2101</v>
      </c>
      <c r="B2352" s="1">
        <v>45822</v>
      </c>
      <c r="C2352">
        <v>53</v>
      </c>
      <c r="D2352" t="s">
        <v>17</v>
      </c>
      <c r="E2352" t="s">
        <v>22</v>
      </c>
      <c r="F2352" t="s">
        <v>16</v>
      </c>
      <c r="H2352">
        <v>237.1</v>
      </c>
      <c r="I2352" s="13">
        <v>7</v>
      </c>
      <c r="J2352">
        <v>0</v>
      </c>
      <c r="K2352">
        <v>0</v>
      </c>
      <c r="L2352">
        <v>0</v>
      </c>
      <c r="M2352">
        <v>0</v>
      </c>
      <c r="O2352">
        <f t="shared" si="36"/>
        <v>6</v>
      </c>
    </row>
    <row r="2353" spans="1:15">
      <c r="A2353">
        <v>4528</v>
      </c>
      <c r="B2353" s="1">
        <v>45822</v>
      </c>
      <c r="C2353">
        <v>44</v>
      </c>
      <c r="D2353" t="s">
        <v>14</v>
      </c>
      <c r="E2353" t="s">
        <v>20</v>
      </c>
      <c r="F2353" t="s">
        <v>16</v>
      </c>
      <c r="H2353">
        <v>223.8</v>
      </c>
      <c r="I2353" s="13">
        <v>3</v>
      </c>
      <c r="J2353">
        <v>0</v>
      </c>
      <c r="K2353">
        <v>0</v>
      </c>
      <c r="L2353">
        <v>0</v>
      </c>
      <c r="M2353">
        <v>0</v>
      </c>
      <c r="O2353">
        <f t="shared" si="36"/>
        <v>6</v>
      </c>
    </row>
    <row r="2354" spans="1:15">
      <c r="A2354">
        <v>837</v>
      </c>
      <c r="B2354" s="1">
        <v>45822</v>
      </c>
      <c r="C2354">
        <v>20</v>
      </c>
      <c r="D2354" t="s">
        <v>14</v>
      </c>
      <c r="E2354" t="s">
        <v>22</v>
      </c>
      <c r="F2354" t="s">
        <v>18</v>
      </c>
      <c r="G2354" t="s">
        <v>19</v>
      </c>
      <c r="H2354">
        <v>115.7</v>
      </c>
      <c r="I2354" s="13">
        <v>5</v>
      </c>
      <c r="J2354">
        <v>0</v>
      </c>
      <c r="K2354">
        <v>0</v>
      </c>
      <c r="L2354">
        <v>0</v>
      </c>
      <c r="M2354">
        <v>0</v>
      </c>
      <c r="O2354">
        <f t="shared" si="36"/>
        <v>6</v>
      </c>
    </row>
    <row r="2355" spans="1:15">
      <c r="A2355">
        <v>4234</v>
      </c>
      <c r="B2355" s="1">
        <v>45822</v>
      </c>
      <c r="C2355">
        <v>61</v>
      </c>
      <c r="D2355" t="s">
        <v>17</v>
      </c>
      <c r="E2355" t="s">
        <v>22</v>
      </c>
      <c r="F2355" t="s">
        <v>23</v>
      </c>
      <c r="H2355">
        <v>79</v>
      </c>
      <c r="I2355" s="13">
        <v>6</v>
      </c>
      <c r="J2355">
        <v>0</v>
      </c>
      <c r="K2355">
        <v>0</v>
      </c>
      <c r="L2355">
        <v>0</v>
      </c>
      <c r="M2355">
        <v>0</v>
      </c>
      <c r="O2355">
        <f t="shared" si="36"/>
        <v>6</v>
      </c>
    </row>
    <row r="2356" spans="1:15">
      <c r="A2356">
        <v>3887</v>
      </c>
      <c r="B2356" s="1">
        <v>45822</v>
      </c>
      <c r="C2356">
        <v>52</v>
      </c>
      <c r="D2356" t="s">
        <v>14</v>
      </c>
      <c r="E2356" t="s">
        <v>22</v>
      </c>
      <c r="F2356" t="s">
        <v>18</v>
      </c>
      <c r="G2356" t="s">
        <v>25</v>
      </c>
      <c r="H2356">
        <v>41.2</v>
      </c>
      <c r="I2356" s="13">
        <v>4</v>
      </c>
      <c r="J2356">
        <v>0</v>
      </c>
      <c r="K2356">
        <v>0</v>
      </c>
      <c r="L2356">
        <v>0</v>
      </c>
      <c r="M2356">
        <v>0</v>
      </c>
      <c r="O2356">
        <f t="shared" si="36"/>
        <v>6</v>
      </c>
    </row>
    <row r="2357" spans="1:15">
      <c r="A2357">
        <v>4916</v>
      </c>
      <c r="B2357" s="1">
        <v>45822</v>
      </c>
      <c r="C2357">
        <v>51</v>
      </c>
      <c r="D2357" t="s">
        <v>17</v>
      </c>
      <c r="E2357" t="s">
        <v>20</v>
      </c>
      <c r="F2357" t="s">
        <v>23</v>
      </c>
      <c r="H2357">
        <v>35.799999999999997</v>
      </c>
      <c r="I2357" s="13">
        <v>3</v>
      </c>
      <c r="J2357">
        <v>0</v>
      </c>
      <c r="K2357">
        <v>0</v>
      </c>
      <c r="L2357">
        <v>0</v>
      </c>
      <c r="M2357">
        <v>0</v>
      </c>
      <c r="O2357">
        <f t="shared" si="36"/>
        <v>6</v>
      </c>
    </row>
    <row r="2358" spans="1:15">
      <c r="A2358">
        <v>1319</v>
      </c>
      <c r="B2358" s="1">
        <v>45672</v>
      </c>
      <c r="C2358">
        <v>31</v>
      </c>
      <c r="D2358" t="s">
        <v>14</v>
      </c>
      <c r="E2358" t="s">
        <v>15</v>
      </c>
      <c r="F2358" t="s">
        <v>18</v>
      </c>
      <c r="G2358" t="s">
        <v>31</v>
      </c>
      <c r="H2358">
        <v>525</v>
      </c>
      <c r="I2358" s="13">
        <v>3</v>
      </c>
      <c r="J2358">
        <v>1</v>
      </c>
      <c r="K2358">
        <v>270</v>
      </c>
      <c r="L2358">
        <v>4</v>
      </c>
      <c r="M2358">
        <v>5</v>
      </c>
      <c r="N2358">
        <v>5</v>
      </c>
      <c r="O2358">
        <f t="shared" si="36"/>
        <v>1</v>
      </c>
    </row>
    <row r="2359" spans="1:15">
      <c r="A2359">
        <v>1815</v>
      </c>
      <c r="B2359" s="1">
        <v>45672</v>
      </c>
      <c r="C2359">
        <v>40</v>
      </c>
      <c r="D2359" t="s">
        <v>17</v>
      </c>
      <c r="E2359" t="s">
        <v>24</v>
      </c>
      <c r="F2359" t="s">
        <v>16</v>
      </c>
      <c r="H2359">
        <v>667.6</v>
      </c>
      <c r="I2359" s="13">
        <v>12</v>
      </c>
      <c r="J2359">
        <v>1</v>
      </c>
      <c r="K2359">
        <v>426</v>
      </c>
      <c r="L2359">
        <v>2</v>
      </c>
      <c r="M2359">
        <v>12</v>
      </c>
      <c r="N2359">
        <v>4</v>
      </c>
      <c r="O2359">
        <f t="shared" si="36"/>
        <v>1</v>
      </c>
    </row>
    <row r="2360" spans="1:15">
      <c r="A2360">
        <v>4539</v>
      </c>
      <c r="B2360" s="1">
        <v>45672</v>
      </c>
      <c r="C2360">
        <v>47</v>
      </c>
      <c r="D2360" t="s">
        <v>14</v>
      </c>
      <c r="E2360" t="s">
        <v>15</v>
      </c>
      <c r="F2360" t="s">
        <v>18</v>
      </c>
      <c r="G2360" t="s">
        <v>28</v>
      </c>
      <c r="H2360">
        <v>428.7</v>
      </c>
      <c r="I2360" s="13">
        <v>4</v>
      </c>
      <c r="J2360">
        <v>1</v>
      </c>
      <c r="K2360">
        <v>436</v>
      </c>
      <c r="L2360">
        <v>2</v>
      </c>
      <c r="M2360">
        <v>13</v>
      </c>
      <c r="N2360">
        <v>3</v>
      </c>
      <c r="O2360">
        <f t="shared" si="36"/>
        <v>1</v>
      </c>
    </row>
    <row r="2361" spans="1:15">
      <c r="A2361">
        <v>2933</v>
      </c>
      <c r="B2361" s="1">
        <v>45672</v>
      </c>
      <c r="C2361">
        <v>24</v>
      </c>
      <c r="D2361" t="s">
        <v>17</v>
      </c>
      <c r="E2361" t="s">
        <v>20</v>
      </c>
      <c r="F2361" t="s">
        <v>23</v>
      </c>
      <c r="H2361">
        <v>569.5</v>
      </c>
      <c r="I2361" s="13">
        <v>4</v>
      </c>
      <c r="J2361">
        <v>1</v>
      </c>
      <c r="K2361">
        <v>428</v>
      </c>
      <c r="L2361">
        <v>2</v>
      </c>
      <c r="M2361">
        <v>12</v>
      </c>
      <c r="N2361">
        <v>5</v>
      </c>
      <c r="O2361">
        <f t="shared" si="36"/>
        <v>1</v>
      </c>
    </row>
    <row r="2362" spans="1:15">
      <c r="A2362">
        <v>4301</v>
      </c>
      <c r="B2362" s="1">
        <v>45672</v>
      </c>
      <c r="C2362">
        <v>48</v>
      </c>
      <c r="D2362" t="s">
        <v>17</v>
      </c>
      <c r="E2362" t="s">
        <v>22</v>
      </c>
      <c r="F2362" t="s">
        <v>18</v>
      </c>
      <c r="G2362" t="s">
        <v>25</v>
      </c>
      <c r="H2362">
        <v>1348.6</v>
      </c>
      <c r="I2362" s="13">
        <v>13</v>
      </c>
      <c r="J2362">
        <v>1</v>
      </c>
      <c r="K2362">
        <v>182.51</v>
      </c>
      <c r="L2362">
        <v>4</v>
      </c>
      <c r="M2362">
        <v>9</v>
      </c>
      <c r="N2362">
        <v>4</v>
      </c>
      <c r="O2362">
        <f t="shared" si="36"/>
        <v>1</v>
      </c>
    </row>
    <row r="2363" spans="1:15">
      <c r="A2363">
        <v>3128</v>
      </c>
      <c r="B2363" s="1">
        <v>45672</v>
      </c>
      <c r="C2363">
        <v>18</v>
      </c>
      <c r="D2363" t="s">
        <v>17</v>
      </c>
      <c r="E2363" t="s">
        <v>15</v>
      </c>
      <c r="F2363" t="s">
        <v>16</v>
      </c>
      <c r="H2363">
        <v>1009.9</v>
      </c>
      <c r="I2363" s="13">
        <v>6</v>
      </c>
      <c r="J2363">
        <v>1</v>
      </c>
      <c r="K2363">
        <v>77.900000000000006</v>
      </c>
      <c r="L2363">
        <v>2</v>
      </c>
      <c r="M2363">
        <v>13</v>
      </c>
      <c r="N2363">
        <v>4</v>
      </c>
      <c r="O2363">
        <f t="shared" si="36"/>
        <v>1</v>
      </c>
    </row>
    <row r="2364" spans="1:15">
      <c r="A2364">
        <v>614</v>
      </c>
      <c r="B2364" s="1">
        <v>45672</v>
      </c>
      <c r="C2364">
        <v>23</v>
      </c>
      <c r="D2364" t="s">
        <v>14</v>
      </c>
      <c r="E2364" t="s">
        <v>15</v>
      </c>
      <c r="F2364" t="s">
        <v>16</v>
      </c>
      <c r="H2364">
        <v>109.2</v>
      </c>
      <c r="I2364" s="13">
        <v>6</v>
      </c>
      <c r="J2364">
        <v>1</v>
      </c>
      <c r="K2364">
        <v>67.349999999999994</v>
      </c>
      <c r="L2364">
        <v>5</v>
      </c>
      <c r="M2364">
        <v>3</v>
      </c>
      <c r="N2364">
        <v>5</v>
      </c>
      <c r="O2364">
        <f t="shared" si="36"/>
        <v>1</v>
      </c>
    </row>
    <row r="2365" spans="1:15">
      <c r="A2365">
        <v>1217</v>
      </c>
      <c r="B2365" s="1">
        <v>45672</v>
      </c>
      <c r="C2365">
        <v>24</v>
      </c>
      <c r="D2365" t="s">
        <v>14</v>
      </c>
      <c r="E2365" t="s">
        <v>24</v>
      </c>
      <c r="F2365" t="s">
        <v>21</v>
      </c>
      <c r="H2365">
        <v>227.2</v>
      </c>
      <c r="I2365" s="13">
        <v>4</v>
      </c>
      <c r="J2365">
        <v>1</v>
      </c>
      <c r="K2365">
        <v>47.32</v>
      </c>
      <c r="L2365">
        <v>3</v>
      </c>
      <c r="M2365">
        <v>3</v>
      </c>
      <c r="N2365">
        <v>4</v>
      </c>
      <c r="O2365">
        <f t="shared" si="36"/>
        <v>1</v>
      </c>
    </row>
    <row r="2366" spans="1:15">
      <c r="A2366">
        <v>4306</v>
      </c>
      <c r="B2366" s="1">
        <v>45672</v>
      </c>
      <c r="C2366">
        <v>46</v>
      </c>
      <c r="D2366" t="s">
        <v>17</v>
      </c>
      <c r="E2366" t="s">
        <v>24</v>
      </c>
      <c r="F2366" t="s">
        <v>18</v>
      </c>
      <c r="G2366" t="s">
        <v>19</v>
      </c>
      <c r="H2366">
        <v>401.8</v>
      </c>
      <c r="I2366" s="13">
        <v>3</v>
      </c>
      <c r="J2366">
        <v>1</v>
      </c>
      <c r="K2366">
        <v>43.2</v>
      </c>
      <c r="L2366">
        <v>3</v>
      </c>
      <c r="M2366">
        <v>7</v>
      </c>
      <c r="N2366">
        <v>3</v>
      </c>
      <c r="O2366">
        <f t="shared" si="36"/>
        <v>1</v>
      </c>
    </row>
    <row r="2367" spans="1:15">
      <c r="A2367">
        <v>1598</v>
      </c>
      <c r="B2367" s="1">
        <v>45672</v>
      </c>
      <c r="C2367">
        <v>30</v>
      </c>
      <c r="D2367" t="s">
        <v>17</v>
      </c>
      <c r="E2367" t="s">
        <v>24</v>
      </c>
      <c r="F2367" t="s">
        <v>18</v>
      </c>
      <c r="G2367" t="s">
        <v>31</v>
      </c>
      <c r="H2367">
        <v>157.9</v>
      </c>
      <c r="I2367" s="13">
        <v>9</v>
      </c>
      <c r="J2367">
        <v>1</v>
      </c>
      <c r="K2367">
        <v>41.72</v>
      </c>
      <c r="L2367">
        <v>3</v>
      </c>
      <c r="M2367">
        <v>15</v>
      </c>
      <c r="N2367">
        <v>4</v>
      </c>
      <c r="O2367">
        <f t="shared" si="36"/>
        <v>1</v>
      </c>
    </row>
    <row r="2368" spans="1:15">
      <c r="A2368">
        <v>3559</v>
      </c>
      <c r="B2368" s="1">
        <v>45672</v>
      </c>
      <c r="C2368">
        <v>49</v>
      </c>
      <c r="D2368" t="s">
        <v>17</v>
      </c>
      <c r="E2368" t="s">
        <v>24</v>
      </c>
      <c r="F2368" t="s">
        <v>18</v>
      </c>
      <c r="G2368" t="s">
        <v>30</v>
      </c>
      <c r="H2368">
        <v>621.9</v>
      </c>
      <c r="I2368" s="13">
        <v>6</v>
      </c>
      <c r="J2368">
        <v>1</v>
      </c>
      <c r="K2368">
        <v>31</v>
      </c>
      <c r="L2368">
        <v>1</v>
      </c>
      <c r="M2368">
        <v>11</v>
      </c>
      <c r="N2368">
        <v>4</v>
      </c>
      <c r="O2368">
        <f t="shared" si="36"/>
        <v>1</v>
      </c>
    </row>
    <row r="2369" spans="1:15">
      <c r="A2369">
        <v>4292</v>
      </c>
      <c r="B2369" s="1">
        <v>45672</v>
      </c>
      <c r="C2369">
        <v>44</v>
      </c>
      <c r="D2369" t="s">
        <v>14</v>
      </c>
      <c r="E2369" t="s">
        <v>22</v>
      </c>
      <c r="F2369" t="s">
        <v>16</v>
      </c>
      <c r="H2369">
        <v>246.5</v>
      </c>
      <c r="I2369" s="13">
        <v>3</v>
      </c>
      <c r="J2369">
        <v>1</v>
      </c>
      <c r="K2369">
        <v>26.88</v>
      </c>
      <c r="L2369">
        <v>5</v>
      </c>
      <c r="M2369">
        <v>2</v>
      </c>
      <c r="N2369">
        <v>4</v>
      </c>
      <c r="O2369">
        <f t="shared" si="36"/>
        <v>1</v>
      </c>
    </row>
    <row r="2370" spans="1:15">
      <c r="A2370">
        <v>1290</v>
      </c>
      <c r="B2370" s="1">
        <v>45672</v>
      </c>
      <c r="C2370">
        <v>28</v>
      </c>
      <c r="D2370" t="s">
        <v>14</v>
      </c>
      <c r="E2370" t="s">
        <v>15</v>
      </c>
      <c r="F2370" t="s">
        <v>18</v>
      </c>
      <c r="G2370" t="s">
        <v>29</v>
      </c>
      <c r="H2370">
        <v>506.1</v>
      </c>
      <c r="I2370" s="13">
        <v>3</v>
      </c>
      <c r="J2370">
        <v>0</v>
      </c>
      <c r="K2370">
        <v>0</v>
      </c>
      <c r="L2370">
        <v>0</v>
      </c>
      <c r="M2370">
        <v>0</v>
      </c>
      <c r="O2370">
        <f t="shared" si="36"/>
        <v>1</v>
      </c>
    </row>
    <row r="2371" spans="1:15">
      <c r="A2371">
        <v>4367</v>
      </c>
      <c r="B2371" s="1">
        <v>45672</v>
      </c>
      <c r="C2371">
        <v>44</v>
      </c>
      <c r="D2371" t="s">
        <v>14</v>
      </c>
      <c r="E2371" t="s">
        <v>24</v>
      </c>
      <c r="F2371" t="s">
        <v>16</v>
      </c>
      <c r="H2371">
        <v>490.8</v>
      </c>
      <c r="I2371" s="13">
        <v>3</v>
      </c>
      <c r="J2371">
        <v>0</v>
      </c>
      <c r="K2371">
        <v>0</v>
      </c>
      <c r="L2371">
        <v>0</v>
      </c>
      <c r="M2371">
        <v>0</v>
      </c>
      <c r="O2371">
        <f t="shared" ref="O2371:O2434" si="37">MONTH(B2371)</f>
        <v>1</v>
      </c>
    </row>
    <row r="2372" spans="1:15">
      <c r="A2372">
        <v>2137</v>
      </c>
      <c r="B2372" s="1">
        <v>45672</v>
      </c>
      <c r="C2372">
        <v>24</v>
      </c>
      <c r="D2372" t="s">
        <v>27</v>
      </c>
      <c r="E2372" t="s">
        <v>15</v>
      </c>
      <c r="F2372" t="s">
        <v>16</v>
      </c>
      <c r="H2372">
        <v>489.7</v>
      </c>
      <c r="I2372" s="13">
        <v>6</v>
      </c>
      <c r="J2372">
        <v>0</v>
      </c>
      <c r="K2372">
        <v>0</v>
      </c>
      <c r="L2372">
        <v>0</v>
      </c>
      <c r="M2372">
        <v>0</v>
      </c>
      <c r="O2372">
        <f t="shared" si="37"/>
        <v>1</v>
      </c>
    </row>
    <row r="2373" spans="1:15">
      <c r="A2373">
        <v>440</v>
      </c>
      <c r="B2373" s="1">
        <v>45672</v>
      </c>
      <c r="C2373">
        <v>26</v>
      </c>
      <c r="D2373" t="s">
        <v>14</v>
      </c>
      <c r="E2373" t="s">
        <v>24</v>
      </c>
      <c r="F2373" t="s">
        <v>16</v>
      </c>
      <c r="H2373">
        <v>433.3</v>
      </c>
      <c r="I2373" s="13">
        <v>7</v>
      </c>
      <c r="J2373">
        <v>0</v>
      </c>
      <c r="K2373">
        <v>0</v>
      </c>
      <c r="L2373">
        <v>0</v>
      </c>
      <c r="M2373">
        <v>0</v>
      </c>
      <c r="O2373">
        <f t="shared" si="37"/>
        <v>1</v>
      </c>
    </row>
    <row r="2374" spans="1:15">
      <c r="A2374">
        <v>312</v>
      </c>
      <c r="B2374" s="1">
        <v>45672</v>
      </c>
      <c r="C2374">
        <v>20</v>
      </c>
      <c r="D2374" t="s">
        <v>17</v>
      </c>
      <c r="E2374" t="s">
        <v>20</v>
      </c>
      <c r="F2374" t="s">
        <v>16</v>
      </c>
      <c r="H2374">
        <v>361.6</v>
      </c>
      <c r="I2374" s="13">
        <v>9</v>
      </c>
      <c r="J2374">
        <v>0</v>
      </c>
      <c r="K2374">
        <v>0</v>
      </c>
      <c r="L2374">
        <v>0</v>
      </c>
      <c r="M2374">
        <v>0</v>
      </c>
      <c r="O2374">
        <f t="shared" si="37"/>
        <v>1</v>
      </c>
    </row>
    <row r="2375" spans="1:15">
      <c r="A2375">
        <v>3718</v>
      </c>
      <c r="B2375" s="1">
        <v>45672</v>
      </c>
      <c r="C2375">
        <v>28</v>
      </c>
      <c r="D2375" t="s">
        <v>14</v>
      </c>
      <c r="E2375" t="s">
        <v>20</v>
      </c>
      <c r="F2375" t="s">
        <v>23</v>
      </c>
      <c r="H2375">
        <v>352.6</v>
      </c>
      <c r="I2375" s="13">
        <v>4</v>
      </c>
      <c r="J2375">
        <v>0</v>
      </c>
      <c r="K2375">
        <v>0</v>
      </c>
      <c r="L2375">
        <v>0</v>
      </c>
      <c r="M2375">
        <v>0</v>
      </c>
      <c r="O2375">
        <f t="shared" si="37"/>
        <v>1</v>
      </c>
    </row>
    <row r="2376" spans="1:15">
      <c r="A2376">
        <v>1986</v>
      </c>
      <c r="B2376" s="1">
        <v>45672</v>
      </c>
      <c r="C2376">
        <v>36</v>
      </c>
      <c r="D2376" t="s">
        <v>17</v>
      </c>
      <c r="E2376" t="s">
        <v>22</v>
      </c>
      <c r="F2376" t="s">
        <v>16</v>
      </c>
      <c r="H2376">
        <v>350.2</v>
      </c>
      <c r="I2376" s="13">
        <v>5</v>
      </c>
      <c r="J2376">
        <v>0</v>
      </c>
      <c r="K2376">
        <v>0</v>
      </c>
      <c r="L2376">
        <v>0</v>
      </c>
      <c r="M2376">
        <v>0</v>
      </c>
      <c r="O2376">
        <f t="shared" si="37"/>
        <v>1</v>
      </c>
    </row>
    <row r="2377" spans="1:15">
      <c r="A2377">
        <v>1677</v>
      </c>
      <c r="B2377" s="1">
        <v>45672</v>
      </c>
      <c r="C2377">
        <v>27</v>
      </c>
      <c r="D2377" t="s">
        <v>14</v>
      </c>
      <c r="E2377" t="s">
        <v>22</v>
      </c>
      <c r="F2377" t="s">
        <v>23</v>
      </c>
      <c r="H2377">
        <v>285.3</v>
      </c>
      <c r="I2377" s="13">
        <v>2</v>
      </c>
      <c r="J2377">
        <v>0</v>
      </c>
      <c r="K2377">
        <v>0</v>
      </c>
      <c r="L2377">
        <v>0</v>
      </c>
      <c r="M2377">
        <v>0</v>
      </c>
      <c r="O2377">
        <f t="shared" si="37"/>
        <v>1</v>
      </c>
    </row>
    <row r="2378" spans="1:15">
      <c r="A2378">
        <v>2239</v>
      </c>
      <c r="B2378" s="1">
        <v>45672</v>
      </c>
      <c r="C2378">
        <v>43</v>
      </c>
      <c r="D2378" t="s">
        <v>14</v>
      </c>
      <c r="E2378" t="s">
        <v>22</v>
      </c>
      <c r="F2378" t="s">
        <v>21</v>
      </c>
      <c r="H2378">
        <v>258.39999999999998</v>
      </c>
      <c r="I2378" s="13">
        <v>3</v>
      </c>
      <c r="J2378">
        <v>0</v>
      </c>
      <c r="K2378">
        <v>0</v>
      </c>
      <c r="L2378">
        <v>0</v>
      </c>
      <c r="M2378">
        <v>0</v>
      </c>
      <c r="O2378">
        <f t="shared" si="37"/>
        <v>1</v>
      </c>
    </row>
    <row r="2379" spans="1:15">
      <c r="A2379">
        <v>1133</v>
      </c>
      <c r="B2379" s="1">
        <v>45672</v>
      </c>
      <c r="C2379">
        <v>26</v>
      </c>
      <c r="D2379" t="s">
        <v>14</v>
      </c>
      <c r="E2379" t="s">
        <v>15</v>
      </c>
      <c r="F2379" t="s">
        <v>23</v>
      </c>
      <c r="H2379">
        <v>243.1</v>
      </c>
      <c r="I2379" s="13">
        <v>4</v>
      </c>
      <c r="J2379">
        <v>0</v>
      </c>
      <c r="K2379">
        <v>0</v>
      </c>
      <c r="L2379">
        <v>0</v>
      </c>
      <c r="M2379">
        <v>0</v>
      </c>
      <c r="O2379">
        <f t="shared" si="37"/>
        <v>1</v>
      </c>
    </row>
    <row r="2380" spans="1:15">
      <c r="A2380">
        <v>4033</v>
      </c>
      <c r="B2380" s="1">
        <v>45672</v>
      </c>
      <c r="C2380">
        <v>51</v>
      </c>
      <c r="D2380" t="s">
        <v>14</v>
      </c>
      <c r="E2380" t="s">
        <v>24</v>
      </c>
      <c r="F2380" t="s">
        <v>18</v>
      </c>
      <c r="G2380" t="s">
        <v>19</v>
      </c>
      <c r="H2380">
        <v>225.5</v>
      </c>
      <c r="I2380" s="13">
        <v>9</v>
      </c>
      <c r="J2380">
        <v>0</v>
      </c>
      <c r="K2380">
        <v>0</v>
      </c>
      <c r="L2380">
        <v>0</v>
      </c>
      <c r="M2380">
        <v>0</v>
      </c>
      <c r="O2380">
        <f t="shared" si="37"/>
        <v>1</v>
      </c>
    </row>
    <row r="2381" spans="1:15">
      <c r="A2381">
        <v>4896</v>
      </c>
      <c r="B2381" s="1">
        <v>45672</v>
      </c>
      <c r="C2381">
        <v>37</v>
      </c>
      <c r="D2381" t="s">
        <v>17</v>
      </c>
      <c r="E2381" t="s">
        <v>24</v>
      </c>
      <c r="F2381" t="s">
        <v>16</v>
      </c>
      <c r="H2381">
        <v>220.6</v>
      </c>
      <c r="I2381" s="13">
        <v>5</v>
      </c>
      <c r="J2381">
        <v>0</v>
      </c>
      <c r="K2381">
        <v>0</v>
      </c>
      <c r="L2381">
        <v>0</v>
      </c>
      <c r="M2381">
        <v>0</v>
      </c>
      <c r="O2381">
        <f t="shared" si="37"/>
        <v>1</v>
      </c>
    </row>
    <row r="2382" spans="1:15">
      <c r="A2382">
        <v>4098</v>
      </c>
      <c r="B2382" s="1">
        <v>45672</v>
      </c>
      <c r="C2382">
        <v>73</v>
      </c>
      <c r="D2382" t="s">
        <v>14</v>
      </c>
      <c r="E2382" t="s">
        <v>15</v>
      </c>
      <c r="F2382" t="s">
        <v>21</v>
      </c>
      <c r="H2382">
        <v>193.5</v>
      </c>
      <c r="I2382" s="13">
        <v>7</v>
      </c>
      <c r="J2382">
        <v>0</v>
      </c>
      <c r="K2382">
        <v>0</v>
      </c>
      <c r="L2382">
        <v>0</v>
      </c>
      <c r="M2382">
        <v>0</v>
      </c>
      <c r="O2382">
        <f t="shared" si="37"/>
        <v>1</v>
      </c>
    </row>
    <row r="2383" spans="1:15">
      <c r="A2383">
        <v>961</v>
      </c>
      <c r="B2383" s="1">
        <v>45672</v>
      </c>
      <c r="C2383">
        <v>20</v>
      </c>
      <c r="D2383" t="s">
        <v>14</v>
      </c>
      <c r="E2383" t="s">
        <v>15</v>
      </c>
      <c r="F2383" t="s">
        <v>23</v>
      </c>
      <c r="H2383">
        <v>165</v>
      </c>
      <c r="I2383" s="13">
        <v>3</v>
      </c>
      <c r="J2383">
        <v>0</v>
      </c>
      <c r="K2383">
        <v>0</v>
      </c>
      <c r="L2383">
        <v>0</v>
      </c>
      <c r="M2383">
        <v>0</v>
      </c>
      <c r="O2383">
        <f t="shared" si="37"/>
        <v>1</v>
      </c>
    </row>
    <row r="2384" spans="1:15">
      <c r="A2384">
        <v>1311</v>
      </c>
      <c r="B2384" s="1">
        <v>45672</v>
      </c>
      <c r="C2384">
        <v>23</v>
      </c>
      <c r="D2384" t="s">
        <v>14</v>
      </c>
      <c r="E2384" t="s">
        <v>15</v>
      </c>
      <c r="F2384" t="s">
        <v>21</v>
      </c>
      <c r="H2384">
        <v>151.1</v>
      </c>
      <c r="I2384" s="13">
        <v>8</v>
      </c>
      <c r="J2384">
        <v>0</v>
      </c>
      <c r="K2384">
        <v>0</v>
      </c>
      <c r="L2384">
        <v>0</v>
      </c>
      <c r="M2384">
        <v>0</v>
      </c>
      <c r="O2384">
        <f t="shared" si="37"/>
        <v>1</v>
      </c>
    </row>
    <row r="2385" spans="1:15">
      <c r="A2385">
        <v>4807</v>
      </c>
      <c r="B2385" s="1">
        <v>45672</v>
      </c>
      <c r="C2385">
        <v>30</v>
      </c>
      <c r="D2385" t="s">
        <v>17</v>
      </c>
      <c r="E2385" t="s">
        <v>20</v>
      </c>
      <c r="F2385" t="s">
        <v>18</v>
      </c>
      <c r="G2385" t="s">
        <v>19</v>
      </c>
      <c r="H2385">
        <v>135.6</v>
      </c>
      <c r="I2385" s="13">
        <v>7</v>
      </c>
      <c r="J2385">
        <v>0</v>
      </c>
      <c r="K2385">
        <v>0</v>
      </c>
      <c r="L2385">
        <v>0</v>
      </c>
      <c r="M2385">
        <v>0</v>
      </c>
      <c r="O2385">
        <f t="shared" si="37"/>
        <v>1</v>
      </c>
    </row>
    <row r="2386" spans="1:15">
      <c r="A2386">
        <v>673</v>
      </c>
      <c r="B2386" s="1">
        <v>45672</v>
      </c>
      <c r="C2386">
        <v>25</v>
      </c>
      <c r="D2386" t="s">
        <v>17</v>
      </c>
      <c r="E2386" t="s">
        <v>15</v>
      </c>
      <c r="F2386" t="s">
        <v>16</v>
      </c>
      <c r="H2386">
        <v>135</v>
      </c>
      <c r="I2386" s="13">
        <v>11</v>
      </c>
      <c r="J2386">
        <v>0</v>
      </c>
      <c r="K2386">
        <v>0</v>
      </c>
      <c r="L2386">
        <v>0</v>
      </c>
      <c r="M2386">
        <v>0</v>
      </c>
      <c r="O2386">
        <f t="shared" si="37"/>
        <v>1</v>
      </c>
    </row>
    <row r="2387" spans="1:15">
      <c r="A2387">
        <v>3547</v>
      </c>
      <c r="B2387" s="1">
        <v>45672</v>
      </c>
      <c r="C2387">
        <v>37</v>
      </c>
      <c r="D2387" t="s">
        <v>14</v>
      </c>
      <c r="E2387" t="s">
        <v>22</v>
      </c>
      <c r="F2387" t="s">
        <v>16</v>
      </c>
      <c r="H2387">
        <v>123.8</v>
      </c>
      <c r="I2387" s="13">
        <v>1</v>
      </c>
      <c r="J2387">
        <v>0</v>
      </c>
      <c r="K2387">
        <v>0</v>
      </c>
      <c r="L2387">
        <v>0</v>
      </c>
      <c r="M2387">
        <v>0</v>
      </c>
      <c r="O2387">
        <f t="shared" si="37"/>
        <v>1</v>
      </c>
    </row>
    <row r="2388" spans="1:15">
      <c r="A2388">
        <v>2343</v>
      </c>
      <c r="B2388" s="1">
        <v>45672</v>
      </c>
      <c r="C2388">
        <v>30</v>
      </c>
      <c r="D2388" t="s">
        <v>14</v>
      </c>
      <c r="E2388" t="s">
        <v>20</v>
      </c>
      <c r="F2388" t="s">
        <v>18</v>
      </c>
      <c r="G2388" t="s">
        <v>29</v>
      </c>
      <c r="H2388">
        <v>77.599999999999994</v>
      </c>
      <c r="I2388" s="13">
        <v>8</v>
      </c>
      <c r="J2388">
        <v>0</v>
      </c>
      <c r="K2388">
        <v>0</v>
      </c>
      <c r="L2388">
        <v>0</v>
      </c>
      <c r="M2388">
        <v>0</v>
      </c>
      <c r="O2388">
        <f t="shared" si="37"/>
        <v>1</v>
      </c>
    </row>
    <row r="2389" spans="1:15">
      <c r="A2389">
        <v>2050</v>
      </c>
      <c r="B2389" s="1">
        <v>45672</v>
      </c>
      <c r="C2389">
        <v>37</v>
      </c>
      <c r="D2389" t="s">
        <v>14</v>
      </c>
      <c r="E2389" t="s">
        <v>22</v>
      </c>
      <c r="F2389" t="s">
        <v>21</v>
      </c>
      <c r="H2389">
        <v>32</v>
      </c>
      <c r="I2389" s="13">
        <v>7</v>
      </c>
      <c r="J2389">
        <v>0</v>
      </c>
      <c r="K2389">
        <v>0</v>
      </c>
      <c r="L2389">
        <v>0</v>
      </c>
      <c r="M2389">
        <v>0</v>
      </c>
      <c r="O2389">
        <f t="shared" si="37"/>
        <v>1</v>
      </c>
    </row>
    <row r="2390" spans="1:15">
      <c r="A2390">
        <v>1856</v>
      </c>
      <c r="B2390" s="1">
        <v>45703</v>
      </c>
      <c r="C2390">
        <v>33</v>
      </c>
      <c r="D2390" t="s">
        <v>14</v>
      </c>
      <c r="E2390" t="s">
        <v>15</v>
      </c>
      <c r="F2390" t="s">
        <v>16</v>
      </c>
      <c r="H2390">
        <v>519.4</v>
      </c>
      <c r="I2390" s="13">
        <v>7</v>
      </c>
      <c r="J2390">
        <v>1</v>
      </c>
      <c r="K2390">
        <v>351</v>
      </c>
      <c r="L2390">
        <v>2</v>
      </c>
      <c r="M2390">
        <v>9</v>
      </c>
      <c r="N2390">
        <v>4</v>
      </c>
      <c r="O2390">
        <f t="shared" si="37"/>
        <v>2</v>
      </c>
    </row>
    <row r="2391" spans="1:15">
      <c r="A2391">
        <v>2848</v>
      </c>
      <c r="B2391" s="1">
        <v>45703</v>
      </c>
      <c r="C2391">
        <v>40</v>
      </c>
      <c r="D2391" t="s">
        <v>14</v>
      </c>
      <c r="E2391" t="s">
        <v>22</v>
      </c>
      <c r="F2391" t="s">
        <v>18</v>
      </c>
      <c r="G2391" t="s">
        <v>26</v>
      </c>
      <c r="H2391">
        <v>382.7</v>
      </c>
      <c r="I2391" s="13">
        <v>4</v>
      </c>
      <c r="J2391">
        <v>1</v>
      </c>
      <c r="K2391">
        <v>395</v>
      </c>
      <c r="L2391">
        <v>4</v>
      </c>
      <c r="M2391">
        <v>7</v>
      </c>
      <c r="N2391">
        <v>5</v>
      </c>
      <c r="O2391">
        <f t="shared" si="37"/>
        <v>2</v>
      </c>
    </row>
    <row r="2392" spans="1:15">
      <c r="A2392">
        <v>2040</v>
      </c>
      <c r="B2392" s="1">
        <v>45703</v>
      </c>
      <c r="C2392">
        <v>48</v>
      </c>
      <c r="D2392" t="s">
        <v>14</v>
      </c>
      <c r="E2392" t="s">
        <v>22</v>
      </c>
      <c r="F2392" t="s">
        <v>16</v>
      </c>
      <c r="H2392">
        <v>645.4</v>
      </c>
      <c r="I2392" s="13">
        <v>9</v>
      </c>
      <c r="J2392">
        <v>1</v>
      </c>
      <c r="K2392">
        <v>89.51</v>
      </c>
      <c r="L2392">
        <v>3</v>
      </c>
      <c r="M2392">
        <v>15</v>
      </c>
      <c r="N2392">
        <v>4</v>
      </c>
      <c r="O2392">
        <f t="shared" si="37"/>
        <v>2</v>
      </c>
    </row>
    <row r="2393" spans="1:15">
      <c r="A2393">
        <v>320</v>
      </c>
      <c r="B2393" s="1">
        <v>45703</v>
      </c>
      <c r="C2393">
        <v>24</v>
      </c>
      <c r="D2393" t="s">
        <v>17</v>
      </c>
      <c r="E2393" t="s">
        <v>15</v>
      </c>
      <c r="F2393" t="s">
        <v>18</v>
      </c>
      <c r="G2393" t="s">
        <v>19</v>
      </c>
      <c r="H2393">
        <v>121.4</v>
      </c>
      <c r="I2393" s="13">
        <v>2</v>
      </c>
      <c r="J2393">
        <v>1</v>
      </c>
      <c r="K2393">
        <v>75.14</v>
      </c>
      <c r="L2393">
        <v>5</v>
      </c>
      <c r="M2393">
        <v>14</v>
      </c>
      <c r="N2393">
        <v>4</v>
      </c>
      <c r="O2393">
        <f t="shared" si="37"/>
        <v>2</v>
      </c>
    </row>
    <row r="2394" spans="1:15">
      <c r="A2394">
        <v>3864</v>
      </c>
      <c r="B2394" s="1">
        <v>45703</v>
      </c>
      <c r="C2394">
        <v>44</v>
      </c>
      <c r="D2394" t="s">
        <v>17</v>
      </c>
      <c r="E2394" t="s">
        <v>20</v>
      </c>
      <c r="F2394" t="s">
        <v>18</v>
      </c>
      <c r="G2394" t="s">
        <v>19</v>
      </c>
      <c r="H2394">
        <v>541.79999999999995</v>
      </c>
      <c r="I2394" s="13">
        <v>5</v>
      </c>
      <c r="J2394">
        <v>1</v>
      </c>
      <c r="K2394">
        <v>62.19</v>
      </c>
      <c r="L2394">
        <v>5</v>
      </c>
      <c r="M2394">
        <v>13</v>
      </c>
      <c r="N2394">
        <v>4</v>
      </c>
      <c r="O2394">
        <f t="shared" si="37"/>
        <v>2</v>
      </c>
    </row>
    <row r="2395" spans="1:15">
      <c r="A2395">
        <v>3271</v>
      </c>
      <c r="B2395" s="1">
        <v>45703</v>
      </c>
      <c r="C2395">
        <v>25</v>
      </c>
      <c r="D2395" t="s">
        <v>17</v>
      </c>
      <c r="E2395" t="s">
        <v>20</v>
      </c>
      <c r="F2395" t="s">
        <v>21</v>
      </c>
      <c r="H2395">
        <v>621.9</v>
      </c>
      <c r="I2395" s="13">
        <v>5</v>
      </c>
      <c r="J2395">
        <v>1</v>
      </c>
      <c r="K2395">
        <v>48.05</v>
      </c>
      <c r="L2395">
        <v>6</v>
      </c>
      <c r="M2395">
        <v>9</v>
      </c>
      <c r="N2395">
        <v>5</v>
      </c>
      <c r="O2395">
        <f t="shared" si="37"/>
        <v>2</v>
      </c>
    </row>
    <row r="2396" spans="1:15">
      <c r="A2396">
        <v>3090</v>
      </c>
      <c r="B2396" s="1">
        <v>45703</v>
      </c>
      <c r="C2396">
        <v>31</v>
      </c>
      <c r="D2396" t="s">
        <v>17</v>
      </c>
      <c r="E2396" t="s">
        <v>20</v>
      </c>
      <c r="F2396" t="s">
        <v>16</v>
      </c>
      <c r="H2396">
        <v>530.9</v>
      </c>
      <c r="I2396" s="13">
        <v>4</v>
      </c>
      <c r="J2396">
        <v>1</v>
      </c>
      <c r="K2396">
        <v>36.53</v>
      </c>
      <c r="L2396">
        <v>5</v>
      </c>
      <c r="M2396">
        <v>5</v>
      </c>
      <c r="N2396">
        <v>3</v>
      </c>
      <c r="O2396">
        <f t="shared" si="37"/>
        <v>2</v>
      </c>
    </row>
    <row r="2397" spans="1:15">
      <c r="A2397">
        <v>3815</v>
      </c>
      <c r="B2397" s="1">
        <v>45703</v>
      </c>
      <c r="C2397">
        <v>40</v>
      </c>
      <c r="D2397" t="s">
        <v>14</v>
      </c>
      <c r="E2397" t="s">
        <v>15</v>
      </c>
      <c r="F2397" t="s">
        <v>18</v>
      </c>
      <c r="G2397" t="s">
        <v>26</v>
      </c>
      <c r="H2397">
        <v>819.2</v>
      </c>
      <c r="I2397" s="13">
        <v>8</v>
      </c>
      <c r="J2397">
        <v>1</v>
      </c>
      <c r="K2397">
        <v>20.239999999999998</v>
      </c>
      <c r="L2397">
        <v>5</v>
      </c>
      <c r="M2397">
        <v>2</v>
      </c>
      <c r="N2397">
        <v>3</v>
      </c>
      <c r="O2397">
        <f t="shared" si="37"/>
        <v>2</v>
      </c>
    </row>
    <row r="2398" spans="1:15">
      <c r="A2398">
        <v>630</v>
      </c>
      <c r="B2398" s="1">
        <v>45703</v>
      </c>
      <c r="C2398">
        <v>24</v>
      </c>
      <c r="D2398" t="s">
        <v>14</v>
      </c>
      <c r="E2398" t="s">
        <v>20</v>
      </c>
      <c r="F2398" t="s">
        <v>23</v>
      </c>
      <c r="H2398">
        <v>436.9</v>
      </c>
      <c r="I2398" s="13">
        <v>3</v>
      </c>
      <c r="J2398">
        <v>0</v>
      </c>
      <c r="K2398">
        <v>0</v>
      </c>
      <c r="L2398">
        <v>0</v>
      </c>
      <c r="M2398">
        <v>0</v>
      </c>
      <c r="O2398">
        <f t="shared" si="37"/>
        <v>2</v>
      </c>
    </row>
    <row r="2399" spans="1:15">
      <c r="A2399">
        <v>709</v>
      </c>
      <c r="B2399" s="1">
        <v>45703</v>
      </c>
      <c r="C2399">
        <v>24</v>
      </c>
      <c r="D2399" t="s">
        <v>17</v>
      </c>
      <c r="E2399" t="s">
        <v>22</v>
      </c>
      <c r="F2399" t="s">
        <v>16</v>
      </c>
      <c r="H2399">
        <v>403.2</v>
      </c>
      <c r="I2399" s="13">
        <v>4</v>
      </c>
      <c r="J2399">
        <v>0</v>
      </c>
      <c r="K2399">
        <v>0</v>
      </c>
      <c r="L2399">
        <v>0</v>
      </c>
      <c r="M2399">
        <v>0</v>
      </c>
      <c r="O2399">
        <f t="shared" si="37"/>
        <v>2</v>
      </c>
    </row>
    <row r="2400" spans="1:15">
      <c r="A2400">
        <v>4220</v>
      </c>
      <c r="B2400" s="1">
        <v>45703</v>
      </c>
      <c r="C2400">
        <v>59</v>
      </c>
      <c r="D2400" t="s">
        <v>14</v>
      </c>
      <c r="E2400" t="s">
        <v>20</v>
      </c>
      <c r="F2400" t="s">
        <v>18</v>
      </c>
      <c r="G2400" t="s">
        <v>26</v>
      </c>
      <c r="H2400">
        <v>390</v>
      </c>
      <c r="I2400" s="13">
        <v>8</v>
      </c>
      <c r="J2400">
        <v>0</v>
      </c>
      <c r="K2400">
        <v>0</v>
      </c>
      <c r="L2400">
        <v>0</v>
      </c>
      <c r="M2400">
        <v>0</v>
      </c>
      <c r="O2400">
        <f t="shared" si="37"/>
        <v>2</v>
      </c>
    </row>
    <row r="2401" spans="1:15">
      <c r="A2401">
        <v>3069</v>
      </c>
      <c r="B2401" s="1">
        <v>45703</v>
      </c>
      <c r="C2401">
        <v>37</v>
      </c>
      <c r="D2401" t="s">
        <v>14</v>
      </c>
      <c r="E2401" t="s">
        <v>24</v>
      </c>
      <c r="F2401" t="s">
        <v>23</v>
      </c>
      <c r="H2401">
        <v>285</v>
      </c>
      <c r="I2401" s="13">
        <v>3</v>
      </c>
      <c r="J2401">
        <v>0</v>
      </c>
      <c r="K2401">
        <v>0</v>
      </c>
      <c r="L2401">
        <v>0</v>
      </c>
      <c r="M2401">
        <v>0</v>
      </c>
      <c r="O2401">
        <f t="shared" si="37"/>
        <v>2</v>
      </c>
    </row>
    <row r="2402" spans="1:15">
      <c r="A2402">
        <v>142</v>
      </c>
      <c r="B2402" s="1">
        <v>45703</v>
      </c>
      <c r="C2402">
        <v>18</v>
      </c>
      <c r="D2402" t="s">
        <v>14</v>
      </c>
      <c r="E2402" t="s">
        <v>22</v>
      </c>
      <c r="F2402" t="s">
        <v>18</v>
      </c>
      <c r="G2402" t="s">
        <v>28</v>
      </c>
      <c r="H2402">
        <v>261.7</v>
      </c>
      <c r="I2402" s="13">
        <v>6</v>
      </c>
      <c r="J2402">
        <v>0</v>
      </c>
      <c r="K2402">
        <v>0</v>
      </c>
      <c r="L2402">
        <v>0</v>
      </c>
      <c r="M2402">
        <v>0</v>
      </c>
      <c r="O2402">
        <f t="shared" si="37"/>
        <v>2</v>
      </c>
    </row>
    <row r="2403" spans="1:15">
      <c r="A2403">
        <v>4155</v>
      </c>
      <c r="B2403" s="1">
        <v>45703</v>
      </c>
      <c r="C2403">
        <v>62</v>
      </c>
      <c r="D2403" t="s">
        <v>17</v>
      </c>
      <c r="E2403" t="s">
        <v>22</v>
      </c>
      <c r="F2403" t="s">
        <v>16</v>
      </c>
      <c r="H2403">
        <v>241.9</v>
      </c>
      <c r="I2403" s="13">
        <v>6</v>
      </c>
      <c r="J2403">
        <v>0</v>
      </c>
      <c r="K2403">
        <v>0</v>
      </c>
      <c r="L2403">
        <v>0</v>
      </c>
      <c r="M2403">
        <v>0</v>
      </c>
      <c r="O2403">
        <f t="shared" si="37"/>
        <v>2</v>
      </c>
    </row>
    <row r="2404" spans="1:15">
      <c r="A2404">
        <v>4648</v>
      </c>
      <c r="B2404" s="1">
        <v>45703</v>
      </c>
      <c r="C2404">
        <v>48</v>
      </c>
      <c r="D2404" t="s">
        <v>17</v>
      </c>
      <c r="E2404" t="s">
        <v>22</v>
      </c>
      <c r="F2404" t="s">
        <v>21</v>
      </c>
      <c r="H2404">
        <v>240.5</v>
      </c>
      <c r="I2404" s="13">
        <v>9</v>
      </c>
      <c r="J2404">
        <v>0</v>
      </c>
      <c r="K2404">
        <v>0</v>
      </c>
      <c r="L2404">
        <v>0</v>
      </c>
      <c r="M2404">
        <v>0</v>
      </c>
      <c r="O2404">
        <f t="shared" si="37"/>
        <v>2</v>
      </c>
    </row>
    <row r="2405" spans="1:15">
      <c r="A2405">
        <v>4064</v>
      </c>
      <c r="B2405" s="1">
        <v>45703</v>
      </c>
      <c r="C2405">
        <v>56</v>
      </c>
      <c r="D2405" t="s">
        <v>17</v>
      </c>
      <c r="E2405" t="s">
        <v>20</v>
      </c>
      <c r="F2405" t="s">
        <v>16</v>
      </c>
      <c r="H2405">
        <v>219.2</v>
      </c>
      <c r="I2405" s="13">
        <v>8</v>
      </c>
      <c r="J2405">
        <v>0</v>
      </c>
      <c r="K2405">
        <v>0</v>
      </c>
      <c r="L2405">
        <v>0</v>
      </c>
      <c r="M2405">
        <v>0</v>
      </c>
      <c r="O2405">
        <f t="shared" si="37"/>
        <v>2</v>
      </c>
    </row>
    <row r="2406" spans="1:15">
      <c r="A2406">
        <v>1779</v>
      </c>
      <c r="B2406" s="1">
        <v>45703</v>
      </c>
      <c r="C2406">
        <v>32</v>
      </c>
      <c r="D2406" t="s">
        <v>14</v>
      </c>
      <c r="E2406" t="s">
        <v>20</v>
      </c>
      <c r="F2406" t="s">
        <v>18</v>
      </c>
      <c r="G2406" t="s">
        <v>30</v>
      </c>
      <c r="H2406">
        <v>162.80000000000001</v>
      </c>
      <c r="I2406" s="13">
        <v>6</v>
      </c>
      <c r="J2406">
        <v>0</v>
      </c>
      <c r="K2406">
        <v>0</v>
      </c>
      <c r="L2406">
        <v>0</v>
      </c>
      <c r="M2406">
        <v>0</v>
      </c>
      <c r="O2406">
        <f t="shared" si="37"/>
        <v>2</v>
      </c>
    </row>
    <row r="2407" spans="1:15">
      <c r="A2407">
        <v>4975</v>
      </c>
      <c r="B2407" s="1">
        <v>45703</v>
      </c>
      <c r="C2407">
        <v>68</v>
      </c>
      <c r="D2407" t="s">
        <v>14</v>
      </c>
      <c r="E2407" t="s">
        <v>15</v>
      </c>
      <c r="F2407" t="s">
        <v>18</v>
      </c>
      <c r="G2407" t="s">
        <v>25</v>
      </c>
      <c r="H2407">
        <v>144.9</v>
      </c>
      <c r="I2407" s="13">
        <v>6</v>
      </c>
      <c r="J2407">
        <v>0</v>
      </c>
      <c r="K2407">
        <v>0</v>
      </c>
      <c r="L2407">
        <v>0</v>
      </c>
      <c r="M2407">
        <v>0</v>
      </c>
      <c r="O2407">
        <f t="shared" si="37"/>
        <v>2</v>
      </c>
    </row>
    <row r="2408" spans="1:15">
      <c r="A2408">
        <v>3003</v>
      </c>
      <c r="B2408" s="1">
        <v>45703</v>
      </c>
      <c r="C2408">
        <v>21</v>
      </c>
      <c r="D2408" t="s">
        <v>27</v>
      </c>
      <c r="E2408" t="s">
        <v>20</v>
      </c>
      <c r="F2408" t="s">
        <v>23</v>
      </c>
      <c r="H2408">
        <v>139.5</v>
      </c>
      <c r="I2408" s="13">
        <v>4</v>
      </c>
      <c r="J2408">
        <v>0</v>
      </c>
      <c r="K2408">
        <v>0</v>
      </c>
      <c r="L2408">
        <v>0</v>
      </c>
      <c r="M2408">
        <v>0</v>
      </c>
      <c r="O2408">
        <f t="shared" si="37"/>
        <v>2</v>
      </c>
    </row>
    <row r="2409" spans="1:15">
      <c r="A2409">
        <v>783</v>
      </c>
      <c r="B2409" s="1">
        <v>45703</v>
      </c>
      <c r="C2409">
        <v>25</v>
      </c>
      <c r="D2409" t="s">
        <v>14</v>
      </c>
      <c r="E2409" t="s">
        <v>20</v>
      </c>
      <c r="F2409" t="s">
        <v>16</v>
      </c>
      <c r="H2409">
        <v>114.8</v>
      </c>
      <c r="I2409" s="13">
        <v>7</v>
      </c>
      <c r="J2409">
        <v>0</v>
      </c>
      <c r="K2409">
        <v>0</v>
      </c>
      <c r="L2409">
        <v>0</v>
      </c>
      <c r="M2409">
        <v>0</v>
      </c>
      <c r="O2409">
        <f t="shared" si="37"/>
        <v>2</v>
      </c>
    </row>
    <row r="2410" spans="1:15">
      <c r="A2410">
        <v>2281</v>
      </c>
      <c r="B2410" s="1">
        <v>45703</v>
      </c>
      <c r="C2410">
        <v>34</v>
      </c>
      <c r="D2410" t="s">
        <v>14</v>
      </c>
      <c r="E2410" t="s">
        <v>20</v>
      </c>
      <c r="F2410" t="s">
        <v>16</v>
      </c>
      <c r="H2410">
        <v>93.4</v>
      </c>
      <c r="I2410" s="13">
        <v>9</v>
      </c>
      <c r="J2410">
        <v>0</v>
      </c>
      <c r="K2410">
        <v>0</v>
      </c>
      <c r="L2410">
        <v>0</v>
      </c>
      <c r="M2410">
        <v>0</v>
      </c>
      <c r="O2410">
        <f t="shared" si="37"/>
        <v>2</v>
      </c>
    </row>
    <row r="2411" spans="1:15">
      <c r="A2411">
        <v>3904</v>
      </c>
      <c r="B2411" s="1">
        <v>45703</v>
      </c>
      <c r="C2411">
        <v>65</v>
      </c>
      <c r="D2411" t="s">
        <v>14</v>
      </c>
      <c r="E2411" t="s">
        <v>15</v>
      </c>
      <c r="F2411" t="s">
        <v>21</v>
      </c>
      <c r="H2411">
        <v>68.3</v>
      </c>
      <c r="I2411" s="13">
        <v>11</v>
      </c>
      <c r="J2411">
        <v>0</v>
      </c>
      <c r="K2411">
        <v>0</v>
      </c>
      <c r="L2411">
        <v>0</v>
      </c>
      <c r="M2411">
        <v>0</v>
      </c>
      <c r="O2411">
        <f t="shared" si="37"/>
        <v>2</v>
      </c>
    </row>
    <row r="2412" spans="1:15">
      <c r="A2412">
        <v>4247</v>
      </c>
      <c r="B2412" s="1">
        <v>45703</v>
      </c>
      <c r="C2412">
        <v>57</v>
      </c>
      <c r="D2412" t="s">
        <v>14</v>
      </c>
      <c r="E2412" t="s">
        <v>15</v>
      </c>
      <c r="F2412" t="s">
        <v>16</v>
      </c>
      <c r="H2412">
        <v>42.3</v>
      </c>
      <c r="I2412" s="13">
        <v>7</v>
      </c>
      <c r="J2412">
        <v>0</v>
      </c>
      <c r="K2412">
        <v>0</v>
      </c>
      <c r="L2412">
        <v>0</v>
      </c>
      <c r="M2412">
        <v>0</v>
      </c>
      <c r="O2412">
        <f t="shared" si="37"/>
        <v>2</v>
      </c>
    </row>
    <row r="2413" spans="1:15">
      <c r="A2413">
        <v>317</v>
      </c>
      <c r="B2413" s="1">
        <v>45731</v>
      </c>
      <c r="C2413">
        <v>25</v>
      </c>
      <c r="D2413" t="s">
        <v>17</v>
      </c>
      <c r="E2413" t="s">
        <v>15</v>
      </c>
      <c r="F2413" t="s">
        <v>23</v>
      </c>
      <c r="H2413">
        <v>91.2</v>
      </c>
      <c r="I2413" s="13">
        <v>5</v>
      </c>
      <c r="J2413">
        <v>1</v>
      </c>
      <c r="K2413">
        <v>401</v>
      </c>
      <c r="L2413">
        <v>3</v>
      </c>
      <c r="M2413">
        <v>7</v>
      </c>
      <c r="N2413">
        <v>4</v>
      </c>
      <c r="O2413">
        <f t="shared" si="37"/>
        <v>3</v>
      </c>
    </row>
    <row r="2414" spans="1:15">
      <c r="A2414">
        <v>1962</v>
      </c>
      <c r="B2414" s="1">
        <v>45731</v>
      </c>
      <c r="C2414">
        <v>43</v>
      </c>
      <c r="D2414" t="s">
        <v>14</v>
      </c>
      <c r="E2414" t="s">
        <v>15</v>
      </c>
      <c r="F2414" t="s">
        <v>16</v>
      </c>
      <c r="H2414">
        <v>579.70000000000005</v>
      </c>
      <c r="I2414" s="13">
        <v>7</v>
      </c>
      <c r="J2414">
        <v>1</v>
      </c>
      <c r="K2414">
        <v>399</v>
      </c>
      <c r="L2414">
        <v>1</v>
      </c>
      <c r="M2414">
        <v>9</v>
      </c>
      <c r="N2414">
        <v>4</v>
      </c>
      <c r="O2414">
        <f t="shared" si="37"/>
        <v>3</v>
      </c>
    </row>
    <row r="2415" spans="1:15">
      <c r="A2415">
        <v>4118</v>
      </c>
      <c r="B2415" s="1">
        <v>45731</v>
      </c>
      <c r="C2415">
        <v>40</v>
      </c>
      <c r="D2415" t="s">
        <v>14</v>
      </c>
      <c r="E2415" t="s">
        <v>20</v>
      </c>
      <c r="F2415" t="s">
        <v>18</v>
      </c>
      <c r="G2415" t="s">
        <v>28</v>
      </c>
      <c r="H2415">
        <v>992.4</v>
      </c>
      <c r="I2415" s="13">
        <v>6</v>
      </c>
      <c r="J2415">
        <v>1</v>
      </c>
      <c r="K2415">
        <v>225</v>
      </c>
      <c r="L2415">
        <v>3</v>
      </c>
      <c r="M2415">
        <v>13</v>
      </c>
      <c r="N2415">
        <v>4</v>
      </c>
      <c r="O2415">
        <f t="shared" si="37"/>
        <v>3</v>
      </c>
    </row>
    <row r="2416" spans="1:15">
      <c r="A2416">
        <v>4675</v>
      </c>
      <c r="B2416" s="1">
        <v>45731</v>
      </c>
      <c r="C2416">
        <v>35</v>
      </c>
      <c r="D2416" t="s">
        <v>17</v>
      </c>
      <c r="E2416" t="s">
        <v>24</v>
      </c>
      <c r="F2416" t="s">
        <v>21</v>
      </c>
      <c r="H2416">
        <v>902.2</v>
      </c>
      <c r="I2416" s="13">
        <v>8</v>
      </c>
      <c r="J2416">
        <v>1</v>
      </c>
      <c r="K2416">
        <v>175.24</v>
      </c>
      <c r="L2416">
        <v>3</v>
      </c>
      <c r="M2416">
        <v>10</v>
      </c>
      <c r="N2416">
        <v>4</v>
      </c>
      <c r="O2416">
        <f t="shared" si="37"/>
        <v>3</v>
      </c>
    </row>
    <row r="2417" spans="1:15">
      <c r="A2417">
        <v>3585</v>
      </c>
      <c r="B2417" s="1">
        <v>45731</v>
      </c>
      <c r="C2417">
        <v>43</v>
      </c>
      <c r="D2417" t="s">
        <v>14</v>
      </c>
      <c r="E2417" t="s">
        <v>15</v>
      </c>
      <c r="F2417" t="s">
        <v>21</v>
      </c>
      <c r="H2417">
        <v>757.5</v>
      </c>
      <c r="I2417" s="13">
        <v>6</v>
      </c>
      <c r="J2417">
        <v>1</v>
      </c>
      <c r="K2417">
        <v>163.69999999999999</v>
      </c>
      <c r="L2417">
        <v>3</v>
      </c>
      <c r="M2417">
        <v>9</v>
      </c>
      <c r="N2417">
        <v>4</v>
      </c>
      <c r="O2417">
        <f t="shared" si="37"/>
        <v>3</v>
      </c>
    </row>
    <row r="2418" spans="1:15">
      <c r="A2418">
        <v>4516</v>
      </c>
      <c r="B2418" s="1">
        <v>45731</v>
      </c>
      <c r="C2418">
        <v>50</v>
      </c>
      <c r="D2418" t="s">
        <v>17</v>
      </c>
      <c r="E2418" t="s">
        <v>15</v>
      </c>
      <c r="F2418" t="s">
        <v>16</v>
      </c>
      <c r="H2418">
        <v>709.2</v>
      </c>
      <c r="I2418" s="13">
        <v>8</v>
      </c>
      <c r="J2418">
        <v>1</v>
      </c>
      <c r="K2418">
        <v>80.739999999999995</v>
      </c>
      <c r="L2418">
        <v>6</v>
      </c>
      <c r="M2418">
        <v>14</v>
      </c>
      <c r="N2418">
        <v>5</v>
      </c>
      <c r="O2418">
        <f t="shared" si="37"/>
        <v>3</v>
      </c>
    </row>
    <row r="2419" spans="1:15">
      <c r="A2419">
        <v>4445</v>
      </c>
      <c r="B2419" s="1">
        <v>45731</v>
      </c>
      <c r="C2419">
        <v>66</v>
      </c>
      <c r="D2419" t="s">
        <v>17</v>
      </c>
      <c r="E2419" t="s">
        <v>24</v>
      </c>
      <c r="F2419" t="s">
        <v>16</v>
      </c>
      <c r="H2419">
        <v>461.5</v>
      </c>
      <c r="I2419" s="13">
        <v>3</v>
      </c>
      <c r="J2419">
        <v>1</v>
      </c>
      <c r="K2419">
        <v>69.7</v>
      </c>
      <c r="L2419">
        <v>4</v>
      </c>
      <c r="M2419">
        <v>2</v>
      </c>
      <c r="N2419">
        <v>4</v>
      </c>
      <c r="O2419">
        <f t="shared" si="37"/>
        <v>3</v>
      </c>
    </row>
    <row r="2420" spans="1:15">
      <c r="A2420">
        <v>3170</v>
      </c>
      <c r="B2420" s="1">
        <v>45731</v>
      </c>
      <c r="C2420">
        <v>36</v>
      </c>
      <c r="D2420" t="s">
        <v>17</v>
      </c>
      <c r="E2420" t="s">
        <v>24</v>
      </c>
      <c r="F2420" t="s">
        <v>16</v>
      </c>
      <c r="H2420">
        <v>187.3</v>
      </c>
      <c r="I2420" s="13">
        <v>5</v>
      </c>
      <c r="J2420">
        <v>1</v>
      </c>
      <c r="K2420">
        <v>41.08</v>
      </c>
      <c r="L2420">
        <v>1</v>
      </c>
      <c r="M2420">
        <v>15</v>
      </c>
      <c r="N2420">
        <v>4</v>
      </c>
      <c r="O2420">
        <f t="shared" si="37"/>
        <v>3</v>
      </c>
    </row>
    <row r="2421" spans="1:15">
      <c r="A2421">
        <v>4415</v>
      </c>
      <c r="B2421" s="1">
        <v>45731</v>
      </c>
      <c r="C2421">
        <v>49</v>
      </c>
      <c r="D2421" t="s">
        <v>14</v>
      </c>
      <c r="E2421" t="s">
        <v>15</v>
      </c>
      <c r="F2421" t="s">
        <v>18</v>
      </c>
      <c r="G2421" t="s">
        <v>30</v>
      </c>
      <c r="H2421">
        <v>593.6</v>
      </c>
      <c r="I2421" s="13">
        <v>4</v>
      </c>
      <c r="J2421">
        <v>1</v>
      </c>
      <c r="K2421">
        <v>37.57</v>
      </c>
      <c r="L2421">
        <v>3</v>
      </c>
      <c r="M2421">
        <v>13</v>
      </c>
      <c r="N2421">
        <v>4</v>
      </c>
      <c r="O2421">
        <f t="shared" si="37"/>
        <v>3</v>
      </c>
    </row>
    <row r="2422" spans="1:15">
      <c r="A2422">
        <v>2016</v>
      </c>
      <c r="B2422" s="1">
        <v>45731</v>
      </c>
      <c r="C2422">
        <v>40</v>
      </c>
      <c r="D2422" t="s">
        <v>14</v>
      </c>
      <c r="E2422" t="s">
        <v>20</v>
      </c>
      <c r="F2422" t="s">
        <v>23</v>
      </c>
      <c r="H2422">
        <v>583.6</v>
      </c>
      <c r="I2422" s="13">
        <v>10</v>
      </c>
      <c r="J2422">
        <v>1</v>
      </c>
      <c r="K2422">
        <v>37.130000000000003</v>
      </c>
      <c r="L2422">
        <v>4</v>
      </c>
      <c r="M2422">
        <v>10</v>
      </c>
      <c r="N2422">
        <v>4</v>
      </c>
      <c r="O2422">
        <f t="shared" si="37"/>
        <v>3</v>
      </c>
    </row>
    <row r="2423" spans="1:15">
      <c r="A2423">
        <v>1558</v>
      </c>
      <c r="B2423" s="1">
        <v>45731</v>
      </c>
      <c r="C2423">
        <v>33</v>
      </c>
      <c r="D2423" t="s">
        <v>14</v>
      </c>
      <c r="E2423" t="s">
        <v>15</v>
      </c>
      <c r="F2423" t="s">
        <v>21</v>
      </c>
      <c r="H2423">
        <v>541.70000000000005</v>
      </c>
      <c r="I2423" s="13">
        <v>5</v>
      </c>
      <c r="J2423">
        <v>1</v>
      </c>
      <c r="K2423">
        <v>31.94</v>
      </c>
      <c r="L2423">
        <v>3</v>
      </c>
      <c r="M2423">
        <v>14</v>
      </c>
      <c r="N2423">
        <v>4</v>
      </c>
      <c r="O2423">
        <f t="shared" si="37"/>
        <v>3</v>
      </c>
    </row>
    <row r="2424" spans="1:15">
      <c r="A2424">
        <v>2320</v>
      </c>
      <c r="B2424" s="1">
        <v>45731</v>
      </c>
      <c r="C2424">
        <v>41</v>
      </c>
      <c r="D2424" t="s">
        <v>14</v>
      </c>
      <c r="E2424" t="s">
        <v>24</v>
      </c>
      <c r="F2424" t="s">
        <v>18</v>
      </c>
      <c r="G2424" t="s">
        <v>19</v>
      </c>
      <c r="H2424">
        <v>439.6</v>
      </c>
      <c r="I2424" s="13">
        <v>6</v>
      </c>
      <c r="J2424">
        <v>1</v>
      </c>
      <c r="K2424">
        <v>26.22</v>
      </c>
      <c r="L2424">
        <v>1</v>
      </c>
      <c r="M2424">
        <v>15</v>
      </c>
      <c r="N2424">
        <v>4</v>
      </c>
      <c r="O2424">
        <f t="shared" si="37"/>
        <v>3</v>
      </c>
    </row>
    <row r="2425" spans="1:15">
      <c r="A2425">
        <v>1230</v>
      </c>
      <c r="B2425" s="1">
        <v>45731</v>
      </c>
      <c r="C2425">
        <v>19</v>
      </c>
      <c r="D2425" t="s">
        <v>14</v>
      </c>
      <c r="E2425" t="s">
        <v>20</v>
      </c>
      <c r="F2425" t="s">
        <v>16</v>
      </c>
      <c r="H2425">
        <v>541.29999999999995</v>
      </c>
      <c r="I2425" s="13">
        <v>7</v>
      </c>
      <c r="J2425">
        <v>1</v>
      </c>
      <c r="K2425">
        <v>24.45</v>
      </c>
      <c r="L2425">
        <v>3</v>
      </c>
      <c r="M2425">
        <v>9</v>
      </c>
      <c r="N2425">
        <v>4</v>
      </c>
      <c r="O2425">
        <f t="shared" si="37"/>
        <v>3</v>
      </c>
    </row>
    <row r="2426" spans="1:15">
      <c r="A2426">
        <v>2548</v>
      </c>
      <c r="B2426" s="1">
        <v>45731</v>
      </c>
      <c r="C2426">
        <v>46</v>
      </c>
      <c r="D2426" t="s">
        <v>14</v>
      </c>
      <c r="E2426" t="s">
        <v>15</v>
      </c>
      <c r="F2426" t="s">
        <v>16</v>
      </c>
      <c r="H2426">
        <v>210.2</v>
      </c>
      <c r="I2426" s="13">
        <v>4</v>
      </c>
      <c r="J2426">
        <v>1</v>
      </c>
      <c r="K2426">
        <v>16.54</v>
      </c>
      <c r="L2426">
        <v>3</v>
      </c>
      <c r="M2426">
        <v>8</v>
      </c>
      <c r="N2426">
        <v>4</v>
      </c>
      <c r="O2426">
        <f t="shared" si="37"/>
        <v>3</v>
      </c>
    </row>
    <row r="2427" spans="1:15">
      <c r="A2427">
        <v>1468</v>
      </c>
      <c r="B2427" s="1">
        <v>45731</v>
      </c>
      <c r="C2427">
        <v>31</v>
      </c>
      <c r="D2427" t="s">
        <v>14</v>
      </c>
      <c r="E2427" t="s">
        <v>15</v>
      </c>
      <c r="F2427" t="s">
        <v>21</v>
      </c>
      <c r="H2427">
        <v>574.6</v>
      </c>
      <c r="I2427" s="13">
        <v>6</v>
      </c>
      <c r="J2427">
        <v>0</v>
      </c>
      <c r="K2427">
        <v>0</v>
      </c>
      <c r="L2427">
        <v>0</v>
      </c>
      <c r="M2427">
        <v>0</v>
      </c>
      <c r="O2427">
        <f t="shared" si="37"/>
        <v>3</v>
      </c>
    </row>
    <row r="2428" spans="1:15">
      <c r="A2428">
        <v>2403</v>
      </c>
      <c r="B2428" s="1">
        <v>45731</v>
      </c>
      <c r="C2428">
        <v>35</v>
      </c>
      <c r="D2428" t="s">
        <v>17</v>
      </c>
      <c r="E2428" t="s">
        <v>20</v>
      </c>
      <c r="F2428" t="s">
        <v>16</v>
      </c>
      <c r="H2428">
        <v>494.1</v>
      </c>
      <c r="I2428" s="13">
        <v>3</v>
      </c>
      <c r="J2428">
        <v>0</v>
      </c>
      <c r="K2428">
        <v>0</v>
      </c>
      <c r="L2428">
        <v>0</v>
      </c>
      <c r="M2428">
        <v>0</v>
      </c>
      <c r="O2428">
        <f t="shared" si="37"/>
        <v>3</v>
      </c>
    </row>
    <row r="2429" spans="1:15">
      <c r="A2429">
        <v>2888</v>
      </c>
      <c r="B2429" s="1">
        <v>45731</v>
      </c>
      <c r="C2429">
        <v>32</v>
      </c>
      <c r="D2429" t="s">
        <v>14</v>
      </c>
      <c r="E2429" t="s">
        <v>24</v>
      </c>
      <c r="F2429" t="s">
        <v>18</v>
      </c>
      <c r="G2429" t="s">
        <v>25</v>
      </c>
      <c r="H2429">
        <v>492.6</v>
      </c>
      <c r="I2429" s="13">
        <v>9</v>
      </c>
      <c r="J2429">
        <v>0</v>
      </c>
      <c r="K2429">
        <v>0</v>
      </c>
      <c r="L2429">
        <v>0</v>
      </c>
      <c r="M2429">
        <v>0</v>
      </c>
      <c r="O2429">
        <f t="shared" si="37"/>
        <v>3</v>
      </c>
    </row>
    <row r="2430" spans="1:15">
      <c r="A2430">
        <v>3844</v>
      </c>
      <c r="B2430" s="1">
        <v>45731</v>
      </c>
      <c r="C2430">
        <v>51</v>
      </c>
      <c r="D2430" t="s">
        <v>14</v>
      </c>
      <c r="E2430" t="s">
        <v>15</v>
      </c>
      <c r="F2430" t="s">
        <v>23</v>
      </c>
      <c r="H2430">
        <v>404.2</v>
      </c>
      <c r="I2430" s="13">
        <v>5</v>
      </c>
      <c r="J2430">
        <v>0</v>
      </c>
      <c r="K2430">
        <v>0</v>
      </c>
      <c r="L2430">
        <v>0</v>
      </c>
      <c r="M2430">
        <v>0</v>
      </c>
      <c r="O2430">
        <f t="shared" si="37"/>
        <v>3</v>
      </c>
    </row>
    <row r="2431" spans="1:15">
      <c r="A2431">
        <v>107</v>
      </c>
      <c r="B2431" s="1">
        <v>45731</v>
      </c>
      <c r="C2431">
        <v>24</v>
      </c>
      <c r="D2431" t="s">
        <v>14</v>
      </c>
      <c r="E2431" t="s">
        <v>15</v>
      </c>
      <c r="F2431" t="s">
        <v>18</v>
      </c>
      <c r="G2431" t="s">
        <v>26</v>
      </c>
      <c r="H2431">
        <v>257.2</v>
      </c>
      <c r="I2431" s="13">
        <v>8</v>
      </c>
      <c r="J2431">
        <v>0</v>
      </c>
      <c r="K2431">
        <v>0</v>
      </c>
      <c r="L2431">
        <v>0</v>
      </c>
      <c r="M2431">
        <v>0</v>
      </c>
      <c r="O2431">
        <f t="shared" si="37"/>
        <v>3</v>
      </c>
    </row>
    <row r="2432" spans="1:15">
      <c r="A2432">
        <v>4577</v>
      </c>
      <c r="B2432" s="1">
        <v>45731</v>
      </c>
      <c r="C2432">
        <v>44</v>
      </c>
      <c r="D2432" t="s">
        <v>14</v>
      </c>
      <c r="E2432" t="s">
        <v>20</v>
      </c>
      <c r="F2432" t="s">
        <v>16</v>
      </c>
      <c r="H2432">
        <v>247</v>
      </c>
      <c r="I2432" s="13">
        <v>10</v>
      </c>
      <c r="J2432">
        <v>0</v>
      </c>
      <c r="K2432">
        <v>0</v>
      </c>
      <c r="L2432">
        <v>0</v>
      </c>
      <c r="M2432">
        <v>0</v>
      </c>
      <c r="O2432">
        <f t="shared" si="37"/>
        <v>3</v>
      </c>
    </row>
    <row r="2433" spans="1:15">
      <c r="A2433">
        <v>675</v>
      </c>
      <c r="B2433" s="1">
        <v>45731</v>
      </c>
      <c r="C2433">
        <v>31</v>
      </c>
      <c r="D2433" t="s">
        <v>17</v>
      </c>
      <c r="E2433" t="s">
        <v>22</v>
      </c>
      <c r="F2433" t="s">
        <v>18</v>
      </c>
      <c r="G2433" t="s">
        <v>26</v>
      </c>
      <c r="H2433">
        <v>202</v>
      </c>
      <c r="I2433" s="13">
        <v>5</v>
      </c>
      <c r="J2433">
        <v>0</v>
      </c>
      <c r="K2433">
        <v>0</v>
      </c>
      <c r="L2433">
        <v>0</v>
      </c>
      <c r="M2433">
        <v>0</v>
      </c>
      <c r="O2433">
        <f t="shared" si="37"/>
        <v>3</v>
      </c>
    </row>
    <row r="2434" spans="1:15">
      <c r="A2434">
        <v>2500</v>
      </c>
      <c r="B2434" s="1">
        <v>45731</v>
      </c>
      <c r="C2434">
        <v>34</v>
      </c>
      <c r="D2434" t="s">
        <v>14</v>
      </c>
      <c r="E2434" t="s">
        <v>15</v>
      </c>
      <c r="F2434" t="s">
        <v>18</v>
      </c>
      <c r="G2434" t="s">
        <v>31</v>
      </c>
      <c r="H2434">
        <v>166.4</v>
      </c>
      <c r="I2434" s="13">
        <v>7</v>
      </c>
      <c r="J2434">
        <v>0</v>
      </c>
      <c r="K2434">
        <v>0</v>
      </c>
      <c r="L2434">
        <v>0</v>
      </c>
      <c r="M2434">
        <v>0</v>
      </c>
      <c r="O2434">
        <f t="shared" si="37"/>
        <v>3</v>
      </c>
    </row>
    <row r="2435" spans="1:15">
      <c r="A2435">
        <v>1128</v>
      </c>
      <c r="B2435" s="1">
        <v>45731</v>
      </c>
      <c r="C2435">
        <v>26</v>
      </c>
      <c r="D2435" t="s">
        <v>14</v>
      </c>
      <c r="E2435" t="s">
        <v>15</v>
      </c>
      <c r="F2435" t="s">
        <v>18</v>
      </c>
      <c r="G2435" t="s">
        <v>25</v>
      </c>
      <c r="H2435">
        <v>129.5</v>
      </c>
      <c r="I2435" s="13">
        <v>8</v>
      </c>
      <c r="J2435">
        <v>0</v>
      </c>
      <c r="K2435">
        <v>0</v>
      </c>
      <c r="L2435">
        <v>0</v>
      </c>
      <c r="M2435">
        <v>0</v>
      </c>
      <c r="O2435">
        <f t="shared" ref="O2435:O2498" si="38">MONTH(B2435)</f>
        <v>3</v>
      </c>
    </row>
    <row r="2436" spans="1:15">
      <c r="A2436">
        <v>3087</v>
      </c>
      <c r="B2436" s="1">
        <v>45731</v>
      </c>
      <c r="C2436">
        <v>26</v>
      </c>
      <c r="D2436" t="s">
        <v>17</v>
      </c>
      <c r="E2436" t="s">
        <v>22</v>
      </c>
      <c r="F2436" t="s">
        <v>16</v>
      </c>
      <c r="H2436">
        <v>111.5</v>
      </c>
      <c r="I2436" s="13">
        <v>7</v>
      </c>
      <c r="J2436">
        <v>0</v>
      </c>
      <c r="K2436">
        <v>0</v>
      </c>
      <c r="L2436">
        <v>0</v>
      </c>
      <c r="M2436">
        <v>0</v>
      </c>
      <c r="O2436">
        <f t="shared" si="38"/>
        <v>3</v>
      </c>
    </row>
    <row r="2437" spans="1:15">
      <c r="A2437">
        <v>2549</v>
      </c>
      <c r="B2437" s="1">
        <v>45731</v>
      </c>
      <c r="C2437">
        <v>36</v>
      </c>
      <c r="D2437" t="s">
        <v>17</v>
      </c>
      <c r="E2437" t="s">
        <v>20</v>
      </c>
      <c r="F2437" t="s">
        <v>16</v>
      </c>
      <c r="H2437">
        <v>105.8</v>
      </c>
      <c r="I2437" s="13">
        <v>6</v>
      </c>
      <c r="J2437">
        <v>0</v>
      </c>
      <c r="K2437">
        <v>0</v>
      </c>
      <c r="L2437">
        <v>0</v>
      </c>
      <c r="M2437">
        <v>0</v>
      </c>
      <c r="O2437">
        <f t="shared" si="38"/>
        <v>3</v>
      </c>
    </row>
    <row r="2438" spans="1:15">
      <c r="A2438">
        <v>874</v>
      </c>
      <c r="B2438" s="1">
        <v>45731</v>
      </c>
      <c r="C2438">
        <v>24</v>
      </c>
      <c r="D2438" t="s">
        <v>14</v>
      </c>
      <c r="E2438" t="s">
        <v>15</v>
      </c>
      <c r="F2438" t="s">
        <v>18</v>
      </c>
      <c r="G2438" t="s">
        <v>26</v>
      </c>
      <c r="H2438">
        <v>81.3</v>
      </c>
      <c r="I2438" s="13">
        <v>4</v>
      </c>
      <c r="J2438">
        <v>0</v>
      </c>
      <c r="K2438">
        <v>0</v>
      </c>
      <c r="L2438">
        <v>0</v>
      </c>
      <c r="M2438">
        <v>0</v>
      </c>
      <c r="O2438">
        <f t="shared" si="38"/>
        <v>3</v>
      </c>
    </row>
    <row r="2439" spans="1:15">
      <c r="A2439">
        <v>4008</v>
      </c>
      <c r="B2439" s="1">
        <v>45731</v>
      </c>
      <c r="C2439">
        <v>50</v>
      </c>
      <c r="D2439" t="s">
        <v>17</v>
      </c>
      <c r="E2439" t="s">
        <v>22</v>
      </c>
      <c r="F2439" t="s">
        <v>16</v>
      </c>
      <c r="H2439">
        <v>56.6</v>
      </c>
      <c r="I2439" s="13">
        <v>3</v>
      </c>
      <c r="J2439">
        <v>0</v>
      </c>
      <c r="K2439">
        <v>0</v>
      </c>
      <c r="L2439">
        <v>0</v>
      </c>
      <c r="M2439">
        <v>0</v>
      </c>
      <c r="O2439">
        <f t="shared" si="38"/>
        <v>3</v>
      </c>
    </row>
    <row r="2440" spans="1:15">
      <c r="A2440">
        <v>914</v>
      </c>
      <c r="B2440" s="1">
        <v>45731</v>
      </c>
      <c r="C2440">
        <v>37</v>
      </c>
      <c r="D2440" t="s">
        <v>17</v>
      </c>
      <c r="E2440" t="s">
        <v>22</v>
      </c>
      <c r="F2440" t="s">
        <v>18</v>
      </c>
      <c r="G2440" t="s">
        <v>25</v>
      </c>
      <c r="H2440">
        <v>28</v>
      </c>
      <c r="I2440" s="13">
        <v>7</v>
      </c>
      <c r="J2440">
        <v>0</v>
      </c>
      <c r="K2440">
        <v>0</v>
      </c>
      <c r="L2440">
        <v>0</v>
      </c>
      <c r="M2440">
        <v>0</v>
      </c>
      <c r="O2440">
        <f t="shared" si="38"/>
        <v>3</v>
      </c>
    </row>
    <row r="2441" spans="1:15">
      <c r="A2441">
        <v>3740</v>
      </c>
      <c r="B2441" s="1">
        <v>45762</v>
      </c>
      <c r="C2441">
        <v>29</v>
      </c>
      <c r="D2441" t="s">
        <v>14</v>
      </c>
      <c r="E2441" t="s">
        <v>22</v>
      </c>
      <c r="F2441" t="s">
        <v>16</v>
      </c>
      <c r="H2441">
        <v>466.6</v>
      </c>
      <c r="I2441" s="13">
        <v>7</v>
      </c>
      <c r="J2441">
        <v>1</v>
      </c>
      <c r="K2441">
        <v>396</v>
      </c>
      <c r="L2441">
        <v>1</v>
      </c>
      <c r="M2441">
        <v>15</v>
      </c>
      <c r="N2441">
        <v>5</v>
      </c>
      <c r="O2441">
        <f t="shared" si="38"/>
        <v>4</v>
      </c>
    </row>
    <row r="2442" spans="1:15">
      <c r="A2442">
        <v>2866</v>
      </c>
      <c r="B2442" s="1">
        <v>45762</v>
      </c>
      <c r="C2442">
        <v>41</v>
      </c>
      <c r="D2442" t="s">
        <v>17</v>
      </c>
      <c r="E2442" t="s">
        <v>22</v>
      </c>
      <c r="F2442" t="s">
        <v>18</v>
      </c>
      <c r="G2442" t="s">
        <v>30</v>
      </c>
      <c r="H2442">
        <v>648</v>
      </c>
      <c r="I2442" s="13">
        <v>4</v>
      </c>
      <c r="J2442">
        <v>1</v>
      </c>
      <c r="K2442">
        <v>355.23</v>
      </c>
      <c r="L2442">
        <v>2</v>
      </c>
      <c r="M2442">
        <v>2</v>
      </c>
      <c r="N2442">
        <v>5</v>
      </c>
      <c r="O2442">
        <f t="shared" si="38"/>
        <v>4</v>
      </c>
    </row>
    <row r="2443" spans="1:15">
      <c r="A2443">
        <v>1260</v>
      </c>
      <c r="B2443" s="1">
        <v>45762</v>
      </c>
      <c r="C2443">
        <v>22</v>
      </c>
      <c r="D2443" t="s">
        <v>17</v>
      </c>
      <c r="E2443" t="s">
        <v>15</v>
      </c>
      <c r="F2443" t="s">
        <v>23</v>
      </c>
      <c r="H2443">
        <v>187.7</v>
      </c>
      <c r="I2443" s="13">
        <v>3</v>
      </c>
      <c r="J2443">
        <v>1</v>
      </c>
      <c r="K2443">
        <v>154.31</v>
      </c>
      <c r="L2443">
        <v>2</v>
      </c>
      <c r="M2443">
        <v>7</v>
      </c>
      <c r="N2443">
        <v>4</v>
      </c>
      <c r="O2443">
        <f t="shared" si="38"/>
        <v>4</v>
      </c>
    </row>
    <row r="2444" spans="1:15">
      <c r="A2444">
        <v>3431</v>
      </c>
      <c r="B2444" s="1">
        <v>45762</v>
      </c>
      <c r="C2444">
        <v>32</v>
      </c>
      <c r="D2444" t="s">
        <v>17</v>
      </c>
      <c r="E2444" t="s">
        <v>20</v>
      </c>
      <c r="F2444" t="s">
        <v>16</v>
      </c>
      <c r="H2444">
        <v>516.6</v>
      </c>
      <c r="I2444" s="13">
        <v>11</v>
      </c>
      <c r="J2444">
        <v>1</v>
      </c>
      <c r="K2444">
        <v>78.44</v>
      </c>
      <c r="L2444">
        <v>1</v>
      </c>
      <c r="M2444">
        <v>2</v>
      </c>
      <c r="N2444">
        <v>3</v>
      </c>
      <c r="O2444">
        <f t="shared" si="38"/>
        <v>4</v>
      </c>
    </row>
    <row r="2445" spans="1:15">
      <c r="A2445">
        <v>3089</v>
      </c>
      <c r="B2445" s="1">
        <v>45762</v>
      </c>
      <c r="C2445">
        <v>24</v>
      </c>
      <c r="D2445" t="s">
        <v>17</v>
      </c>
      <c r="E2445" t="s">
        <v>22</v>
      </c>
      <c r="F2445" t="s">
        <v>23</v>
      </c>
      <c r="H2445">
        <v>387</v>
      </c>
      <c r="I2445" s="13">
        <v>7</v>
      </c>
      <c r="J2445">
        <v>1</v>
      </c>
      <c r="K2445">
        <v>74.39</v>
      </c>
      <c r="L2445">
        <v>3</v>
      </c>
      <c r="M2445">
        <v>7</v>
      </c>
      <c r="N2445">
        <v>5</v>
      </c>
      <c r="O2445">
        <f t="shared" si="38"/>
        <v>4</v>
      </c>
    </row>
    <row r="2446" spans="1:15">
      <c r="A2446">
        <v>1116</v>
      </c>
      <c r="B2446" s="1">
        <v>45762</v>
      </c>
      <c r="C2446">
        <v>25</v>
      </c>
      <c r="D2446" t="s">
        <v>14</v>
      </c>
      <c r="E2446" t="s">
        <v>22</v>
      </c>
      <c r="F2446" t="s">
        <v>21</v>
      </c>
      <c r="H2446">
        <v>219.3</v>
      </c>
      <c r="I2446" s="13">
        <v>3</v>
      </c>
      <c r="J2446">
        <v>1</v>
      </c>
      <c r="K2446">
        <v>73.02</v>
      </c>
      <c r="L2446">
        <v>4</v>
      </c>
      <c r="M2446">
        <v>15</v>
      </c>
      <c r="N2446">
        <v>4</v>
      </c>
      <c r="O2446">
        <f t="shared" si="38"/>
        <v>4</v>
      </c>
    </row>
    <row r="2447" spans="1:15">
      <c r="A2447">
        <v>3553</v>
      </c>
      <c r="B2447" s="1">
        <v>45762</v>
      </c>
      <c r="C2447">
        <v>27</v>
      </c>
      <c r="D2447" t="s">
        <v>17</v>
      </c>
      <c r="E2447" t="s">
        <v>15</v>
      </c>
      <c r="F2447" t="s">
        <v>16</v>
      </c>
      <c r="H2447">
        <v>601</v>
      </c>
      <c r="I2447" s="13">
        <v>5</v>
      </c>
      <c r="J2447">
        <v>1</v>
      </c>
      <c r="K2447">
        <v>53.48</v>
      </c>
      <c r="L2447">
        <v>2</v>
      </c>
      <c r="M2447">
        <v>4</v>
      </c>
      <c r="N2447">
        <v>4</v>
      </c>
      <c r="O2447">
        <f t="shared" si="38"/>
        <v>4</v>
      </c>
    </row>
    <row r="2448" spans="1:15">
      <c r="A2448">
        <v>4276</v>
      </c>
      <c r="B2448" s="1">
        <v>45762</v>
      </c>
      <c r="C2448">
        <v>30</v>
      </c>
      <c r="D2448" t="s">
        <v>17</v>
      </c>
      <c r="E2448" t="s">
        <v>15</v>
      </c>
      <c r="F2448" t="s">
        <v>23</v>
      </c>
      <c r="H2448">
        <v>279.10000000000002</v>
      </c>
      <c r="I2448" s="13">
        <v>5</v>
      </c>
      <c r="J2448">
        <v>1</v>
      </c>
      <c r="K2448">
        <v>47.73</v>
      </c>
      <c r="L2448">
        <v>1</v>
      </c>
      <c r="M2448">
        <v>7</v>
      </c>
      <c r="N2448">
        <v>4</v>
      </c>
      <c r="O2448">
        <f t="shared" si="38"/>
        <v>4</v>
      </c>
    </row>
    <row r="2449" spans="1:15">
      <c r="A2449">
        <v>3594</v>
      </c>
      <c r="B2449" s="1">
        <v>45762</v>
      </c>
      <c r="C2449">
        <v>26</v>
      </c>
      <c r="D2449" t="s">
        <v>14</v>
      </c>
      <c r="E2449" t="s">
        <v>24</v>
      </c>
      <c r="F2449" t="s">
        <v>18</v>
      </c>
      <c r="G2449" t="s">
        <v>29</v>
      </c>
      <c r="H2449">
        <v>584.6</v>
      </c>
      <c r="I2449" s="13">
        <v>6</v>
      </c>
      <c r="J2449">
        <v>1</v>
      </c>
      <c r="K2449">
        <v>27.52</v>
      </c>
      <c r="L2449">
        <v>2</v>
      </c>
      <c r="M2449">
        <v>11</v>
      </c>
      <c r="N2449">
        <v>5</v>
      </c>
      <c r="O2449">
        <f t="shared" si="38"/>
        <v>4</v>
      </c>
    </row>
    <row r="2450" spans="1:15">
      <c r="A2450">
        <v>2243</v>
      </c>
      <c r="B2450" s="1">
        <v>45762</v>
      </c>
      <c r="C2450">
        <v>35</v>
      </c>
      <c r="D2450" t="s">
        <v>14</v>
      </c>
      <c r="E2450" t="s">
        <v>20</v>
      </c>
      <c r="F2450" t="s">
        <v>16</v>
      </c>
      <c r="H2450">
        <v>529.29999999999995</v>
      </c>
      <c r="I2450" s="13">
        <v>7</v>
      </c>
      <c r="J2450">
        <v>1</v>
      </c>
      <c r="K2450">
        <v>25.82</v>
      </c>
      <c r="L2450">
        <v>2</v>
      </c>
      <c r="M2450">
        <v>6</v>
      </c>
      <c r="N2450">
        <v>4</v>
      </c>
      <c r="O2450">
        <f t="shared" si="38"/>
        <v>4</v>
      </c>
    </row>
    <row r="2451" spans="1:15">
      <c r="A2451">
        <v>4225</v>
      </c>
      <c r="B2451" s="1">
        <v>45762</v>
      </c>
      <c r="C2451">
        <v>67</v>
      </c>
      <c r="D2451" t="s">
        <v>17</v>
      </c>
      <c r="E2451" t="s">
        <v>22</v>
      </c>
      <c r="F2451" t="s">
        <v>16</v>
      </c>
      <c r="H2451">
        <v>285.39999999999998</v>
      </c>
      <c r="I2451" s="13">
        <v>8</v>
      </c>
      <c r="J2451">
        <v>1</v>
      </c>
      <c r="K2451">
        <v>24.26</v>
      </c>
      <c r="L2451">
        <v>2</v>
      </c>
      <c r="M2451">
        <v>12</v>
      </c>
      <c r="N2451">
        <v>3</v>
      </c>
      <c r="O2451">
        <f t="shared" si="38"/>
        <v>4</v>
      </c>
    </row>
    <row r="2452" spans="1:15">
      <c r="A2452">
        <v>1507</v>
      </c>
      <c r="B2452" s="1">
        <v>45762</v>
      </c>
      <c r="C2452">
        <v>27</v>
      </c>
      <c r="D2452" t="s">
        <v>14</v>
      </c>
      <c r="E2452" t="s">
        <v>15</v>
      </c>
      <c r="F2452" t="s">
        <v>16</v>
      </c>
      <c r="H2452">
        <v>905.4</v>
      </c>
      <c r="I2452" s="13">
        <v>3</v>
      </c>
      <c r="J2452">
        <v>1</v>
      </c>
      <c r="K2452">
        <v>20.89</v>
      </c>
      <c r="L2452">
        <v>3</v>
      </c>
      <c r="M2452">
        <v>14</v>
      </c>
      <c r="N2452">
        <v>4</v>
      </c>
      <c r="O2452">
        <f t="shared" si="38"/>
        <v>4</v>
      </c>
    </row>
    <row r="2453" spans="1:15">
      <c r="A2453">
        <v>1596</v>
      </c>
      <c r="B2453" s="1">
        <v>45762</v>
      </c>
      <c r="C2453">
        <v>23</v>
      </c>
      <c r="D2453" t="s">
        <v>17</v>
      </c>
      <c r="E2453" t="s">
        <v>24</v>
      </c>
      <c r="F2453" t="s">
        <v>21</v>
      </c>
      <c r="H2453">
        <v>412.8</v>
      </c>
      <c r="I2453" s="13">
        <v>4</v>
      </c>
      <c r="J2453">
        <v>1</v>
      </c>
      <c r="K2453">
        <v>20.23</v>
      </c>
      <c r="L2453">
        <v>5</v>
      </c>
      <c r="M2453">
        <v>14</v>
      </c>
      <c r="N2453">
        <v>4</v>
      </c>
      <c r="O2453">
        <f t="shared" si="38"/>
        <v>4</v>
      </c>
    </row>
    <row r="2454" spans="1:15">
      <c r="A2454">
        <v>698</v>
      </c>
      <c r="B2454" s="1">
        <v>45762</v>
      </c>
      <c r="C2454">
        <v>18</v>
      </c>
      <c r="D2454" t="s">
        <v>14</v>
      </c>
      <c r="E2454" t="s">
        <v>22</v>
      </c>
      <c r="F2454" t="s">
        <v>16</v>
      </c>
      <c r="H2454">
        <v>830.2</v>
      </c>
      <c r="I2454" s="13">
        <v>4</v>
      </c>
      <c r="J2454">
        <v>1</v>
      </c>
      <c r="K2454">
        <v>16.440000000000001</v>
      </c>
      <c r="L2454">
        <v>3</v>
      </c>
      <c r="M2454">
        <v>4</v>
      </c>
      <c r="N2454">
        <v>3</v>
      </c>
      <c r="O2454">
        <f t="shared" si="38"/>
        <v>4</v>
      </c>
    </row>
    <row r="2455" spans="1:15">
      <c r="A2455">
        <v>3342</v>
      </c>
      <c r="B2455" s="1">
        <v>45762</v>
      </c>
      <c r="C2455">
        <v>35</v>
      </c>
      <c r="D2455" t="s">
        <v>17</v>
      </c>
      <c r="E2455" t="s">
        <v>15</v>
      </c>
      <c r="F2455" t="s">
        <v>21</v>
      </c>
      <c r="H2455">
        <v>490.9</v>
      </c>
      <c r="I2455" s="13">
        <v>8</v>
      </c>
      <c r="J2455">
        <v>0</v>
      </c>
      <c r="K2455">
        <v>0</v>
      </c>
      <c r="L2455">
        <v>0</v>
      </c>
      <c r="M2455">
        <v>0</v>
      </c>
      <c r="O2455">
        <f t="shared" si="38"/>
        <v>4</v>
      </c>
    </row>
    <row r="2456" spans="1:15">
      <c r="A2456">
        <v>1931</v>
      </c>
      <c r="B2456" s="1">
        <v>45762</v>
      </c>
      <c r="C2456">
        <v>38</v>
      </c>
      <c r="D2456" t="s">
        <v>14</v>
      </c>
      <c r="E2456" t="s">
        <v>22</v>
      </c>
      <c r="F2456" t="s">
        <v>21</v>
      </c>
      <c r="H2456">
        <v>443.5</v>
      </c>
      <c r="I2456" s="13">
        <v>7</v>
      </c>
      <c r="J2456">
        <v>0</v>
      </c>
      <c r="K2456">
        <v>0</v>
      </c>
      <c r="L2456">
        <v>0</v>
      </c>
      <c r="M2456">
        <v>0</v>
      </c>
      <c r="O2456">
        <f t="shared" si="38"/>
        <v>4</v>
      </c>
    </row>
    <row r="2457" spans="1:15">
      <c r="A2457">
        <v>2386</v>
      </c>
      <c r="B2457" s="1">
        <v>45762</v>
      </c>
      <c r="C2457">
        <v>40</v>
      </c>
      <c r="D2457" t="s">
        <v>14</v>
      </c>
      <c r="E2457" t="s">
        <v>24</v>
      </c>
      <c r="F2457" t="s">
        <v>21</v>
      </c>
      <c r="H2457">
        <v>433.4</v>
      </c>
      <c r="I2457" s="13">
        <v>6</v>
      </c>
      <c r="J2457">
        <v>0</v>
      </c>
      <c r="K2457">
        <v>0</v>
      </c>
      <c r="L2457">
        <v>0</v>
      </c>
      <c r="M2457">
        <v>0</v>
      </c>
      <c r="O2457">
        <f t="shared" si="38"/>
        <v>4</v>
      </c>
    </row>
    <row r="2458" spans="1:15">
      <c r="A2458">
        <v>4452</v>
      </c>
      <c r="B2458" s="1">
        <v>45762</v>
      </c>
      <c r="C2458">
        <v>47</v>
      </c>
      <c r="D2458" t="s">
        <v>17</v>
      </c>
      <c r="E2458" t="s">
        <v>20</v>
      </c>
      <c r="F2458" t="s">
        <v>18</v>
      </c>
      <c r="G2458" t="s">
        <v>31</v>
      </c>
      <c r="H2458">
        <v>338.1</v>
      </c>
      <c r="I2458" s="13">
        <v>5</v>
      </c>
      <c r="J2458">
        <v>0</v>
      </c>
      <c r="K2458">
        <v>0</v>
      </c>
      <c r="L2458">
        <v>0</v>
      </c>
      <c r="M2458">
        <v>0</v>
      </c>
      <c r="O2458">
        <f t="shared" si="38"/>
        <v>4</v>
      </c>
    </row>
    <row r="2459" spans="1:15">
      <c r="A2459">
        <v>1352</v>
      </c>
      <c r="B2459" s="1">
        <v>45762</v>
      </c>
      <c r="C2459">
        <v>20</v>
      </c>
      <c r="D2459" t="s">
        <v>14</v>
      </c>
      <c r="E2459" t="s">
        <v>20</v>
      </c>
      <c r="F2459" t="s">
        <v>18</v>
      </c>
      <c r="G2459" t="s">
        <v>28</v>
      </c>
      <c r="H2459">
        <v>325.8</v>
      </c>
      <c r="I2459" s="13">
        <v>6</v>
      </c>
      <c r="J2459">
        <v>0</v>
      </c>
      <c r="K2459">
        <v>0</v>
      </c>
      <c r="L2459">
        <v>0</v>
      </c>
      <c r="M2459">
        <v>0</v>
      </c>
      <c r="O2459">
        <f t="shared" si="38"/>
        <v>4</v>
      </c>
    </row>
    <row r="2460" spans="1:15">
      <c r="A2460">
        <v>4177</v>
      </c>
      <c r="B2460" s="1">
        <v>45762</v>
      </c>
      <c r="C2460">
        <v>48</v>
      </c>
      <c r="D2460" t="s">
        <v>14</v>
      </c>
      <c r="E2460" t="s">
        <v>22</v>
      </c>
      <c r="F2460" t="s">
        <v>23</v>
      </c>
      <c r="H2460">
        <v>314.60000000000002</v>
      </c>
      <c r="I2460" s="13">
        <v>6</v>
      </c>
      <c r="J2460">
        <v>0</v>
      </c>
      <c r="K2460">
        <v>0</v>
      </c>
      <c r="L2460">
        <v>0</v>
      </c>
      <c r="M2460">
        <v>0</v>
      </c>
      <c r="O2460">
        <f t="shared" si="38"/>
        <v>4</v>
      </c>
    </row>
    <row r="2461" spans="1:15">
      <c r="A2461">
        <v>1833</v>
      </c>
      <c r="B2461" s="1">
        <v>45762</v>
      </c>
      <c r="C2461">
        <v>37</v>
      </c>
      <c r="D2461" t="s">
        <v>14</v>
      </c>
      <c r="E2461" t="s">
        <v>15</v>
      </c>
      <c r="F2461" t="s">
        <v>18</v>
      </c>
      <c r="G2461" t="s">
        <v>29</v>
      </c>
      <c r="H2461">
        <v>302</v>
      </c>
      <c r="I2461" s="13">
        <v>6</v>
      </c>
      <c r="J2461">
        <v>0</v>
      </c>
      <c r="K2461">
        <v>0</v>
      </c>
      <c r="L2461">
        <v>0</v>
      </c>
      <c r="M2461">
        <v>0</v>
      </c>
      <c r="O2461">
        <f t="shared" si="38"/>
        <v>4</v>
      </c>
    </row>
    <row r="2462" spans="1:15">
      <c r="A2462">
        <v>3964</v>
      </c>
      <c r="B2462" s="1">
        <v>45762</v>
      </c>
      <c r="C2462">
        <v>49</v>
      </c>
      <c r="D2462" t="s">
        <v>17</v>
      </c>
      <c r="E2462" t="s">
        <v>24</v>
      </c>
      <c r="F2462" t="s">
        <v>16</v>
      </c>
      <c r="H2462">
        <v>292.10000000000002</v>
      </c>
      <c r="I2462" s="13">
        <v>4</v>
      </c>
      <c r="J2462">
        <v>0</v>
      </c>
      <c r="K2462">
        <v>0</v>
      </c>
      <c r="L2462">
        <v>0</v>
      </c>
      <c r="M2462">
        <v>0</v>
      </c>
      <c r="O2462">
        <f t="shared" si="38"/>
        <v>4</v>
      </c>
    </row>
    <row r="2463" spans="1:15">
      <c r="A2463">
        <v>2864</v>
      </c>
      <c r="B2463" s="1">
        <v>45762</v>
      </c>
      <c r="C2463">
        <v>34</v>
      </c>
      <c r="D2463" t="s">
        <v>14</v>
      </c>
      <c r="E2463" t="s">
        <v>22</v>
      </c>
      <c r="F2463" t="s">
        <v>21</v>
      </c>
      <c r="H2463">
        <v>283.39999999999998</v>
      </c>
      <c r="I2463" s="13">
        <v>8</v>
      </c>
      <c r="J2463">
        <v>0</v>
      </c>
      <c r="K2463">
        <v>0</v>
      </c>
      <c r="L2463">
        <v>0</v>
      </c>
      <c r="M2463">
        <v>0</v>
      </c>
      <c r="O2463">
        <f t="shared" si="38"/>
        <v>4</v>
      </c>
    </row>
    <row r="2464" spans="1:15">
      <c r="A2464">
        <v>839</v>
      </c>
      <c r="B2464" s="1">
        <v>45762</v>
      </c>
      <c r="C2464">
        <v>26</v>
      </c>
      <c r="D2464" t="s">
        <v>14</v>
      </c>
      <c r="E2464" t="s">
        <v>22</v>
      </c>
      <c r="F2464" t="s">
        <v>16</v>
      </c>
      <c r="H2464">
        <v>280</v>
      </c>
      <c r="I2464" s="13">
        <v>11</v>
      </c>
      <c r="J2464">
        <v>0</v>
      </c>
      <c r="K2464">
        <v>0</v>
      </c>
      <c r="L2464">
        <v>0</v>
      </c>
      <c r="M2464">
        <v>0</v>
      </c>
      <c r="O2464">
        <f t="shared" si="38"/>
        <v>4</v>
      </c>
    </row>
    <row r="2465" spans="1:15">
      <c r="A2465">
        <v>2455</v>
      </c>
      <c r="B2465" s="1">
        <v>45762</v>
      </c>
      <c r="C2465">
        <v>36</v>
      </c>
      <c r="D2465" t="s">
        <v>14</v>
      </c>
      <c r="E2465" t="s">
        <v>20</v>
      </c>
      <c r="F2465" t="s">
        <v>18</v>
      </c>
      <c r="G2465" t="s">
        <v>28</v>
      </c>
      <c r="H2465">
        <v>252.3</v>
      </c>
      <c r="I2465" s="13">
        <v>4</v>
      </c>
      <c r="J2465">
        <v>0</v>
      </c>
      <c r="K2465">
        <v>0</v>
      </c>
      <c r="L2465">
        <v>0</v>
      </c>
      <c r="M2465">
        <v>0</v>
      </c>
      <c r="O2465">
        <f t="shared" si="38"/>
        <v>4</v>
      </c>
    </row>
    <row r="2466" spans="1:15">
      <c r="A2466">
        <v>3485</v>
      </c>
      <c r="B2466" s="1">
        <v>45762</v>
      </c>
      <c r="C2466">
        <v>32</v>
      </c>
      <c r="D2466" t="s">
        <v>14</v>
      </c>
      <c r="E2466" t="s">
        <v>22</v>
      </c>
      <c r="F2466" t="s">
        <v>18</v>
      </c>
      <c r="G2466" t="s">
        <v>26</v>
      </c>
      <c r="H2466">
        <v>241.1</v>
      </c>
      <c r="I2466" s="13">
        <v>3</v>
      </c>
      <c r="J2466">
        <v>0</v>
      </c>
      <c r="K2466">
        <v>0</v>
      </c>
      <c r="L2466">
        <v>0</v>
      </c>
      <c r="M2466">
        <v>0</v>
      </c>
      <c r="O2466">
        <f t="shared" si="38"/>
        <v>4</v>
      </c>
    </row>
    <row r="2467" spans="1:15">
      <c r="A2467">
        <v>4188</v>
      </c>
      <c r="B2467" s="1">
        <v>45762</v>
      </c>
      <c r="C2467">
        <v>53</v>
      </c>
      <c r="D2467" t="s">
        <v>14</v>
      </c>
      <c r="E2467" t="s">
        <v>15</v>
      </c>
      <c r="F2467" t="s">
        <v>23</v>
      </c>
      <c r="H2467">
        <v>212.7</v>
      </c>
      <c r="I2467" s="13">
        <v>4</v>
      </c>
      <c r="J2467">
        <v>0</v>
      </c>
      <c r="K2467">
        <v>0</v>
      </c>
      <c r="L2467">
        <v>0</v>
      </c>
      <c r="M2467">
        <v>0</v>
      </c>
      <c r="O2467">
        <f t="shared" si="38"/>
        <v>4</v>
      </c>
    </row>
    <row r="2468" spans="1:15">
      <c r="A2468">
        <v>285</v>
      </c>
      <c r="B2468" s="1">
        <v>45762</v>
      </c>
      <c r="C2468">
        <v>34</v>
      </c>
      <c r="D2468" t="s">
        <v>14</v>
      </c>
      <c r="E2468" t="s">
        <v>22</v>
      </c>
      <c r="F2468" t="s">
        <v>18</v>
      </c>
      <c r="G2468" t="s">
        <v>19</v>
      </c>
      <c r="H2468">
        <v>212.5</v>
      </c>
      <c r="I2468" s="13">
        <v>5</v>
      </c>
      <c r="J2468">
        <v>0</v>
      </c>
      <c r="K2468">
        <v>0</v>
      </c>
      <c r="L2468">
        <v>0</v>
      </c>
      <c r="M2468">
        <v>0</v>
      </c>
      <c r="O2468">
        <f t="shared" si="38"/>
        <v>4</v>
      </c>
    </row>
    <row r="2469" spans="1:15">
      <c r="A2469">
        <v>4321</v>
      </c>
      <c r="B2469" s="1">
        <v>45762</v>
      </c>
      <c r="C2469">
        <v>48</v>
      </c>
      <c r="D2469" t="s">
        <v>17</v>
      </c>
      <c r="E2469" t="s">
        <v>20</v>
      </c>
      <c r="F2469" t="s">
        <v>16</v>
      </c>
      <c r="H2469">
        <v>179.2</v>
      </c>
      <c r="I2469" s="13">
        <v>5</v>
      </c>
      <c r="J2469">
        <v>0</v>
      </c>
      <c r="K2469">
        <v>0</v>
      </c>
      <c r="L2469">
        <v>0</v>
      </c>
      <c r="M2469">
        <v>0</v>
      </c>
      <c r="O2469">
        <f t="shared" si="38"/>
        <v>4</v>
      </c>
    </row>
    <row r="2470" spans="1:15">
      <c r="A2470">
        <v>4040</v>
      </c>
      <c r="B2470" s="1">
        <v>45762</v>
      </c>
      <c r="C2470">
        <v>45</v>
      </c>
      <c r="D2470" t="s">
        <v>14</v>
      </c>
      <c r="E2470" t="s">
        <v>15</v>
      </c>
      <c r="F2470" t="s">
        <v>18</v>
      </c>
      <c r="G2470" t="s">
        <v>19</v>
      </c>
      <c r="H2470">
        <v>127.3</v>
      </c>
      <c r="I2470" s="13">
        <v>5</v>
      </c>
      <c r="J2470">
        <v>0</v>
      </c>
      <c r="K2470">
        <v>0</v>
      </c>
      <c r="L2470">
        <v>0</v>
      </c>
      <c r="M2470">
        <v>0</v>
      </c>
      <c r="O2470">
        <f t="shared" si="38"/>
        <v>4</v>
      </c>
    </row>
    <row r="2471" spans="1:15">
      <c r="A2471">
        <v>1192</v>
      </c>
      <c r="B2471" s="1">
        <v>45762</v>
      </c>
      <c r="C2471">
        <v>27</v>
      </c>
      <c r="D2471" t="s">
        <v>17</v>
      </c>
      <c r="E2471" t="s">
        <v>22</v>
      </c>
      <c r="F2471" t="s">
        <v>23</v>
      </c>
      <c r="H2471">
        <v>101.7</v>
      </c>
      <c r="I2471" s="13">
        <v>4</v>
      </c>
      <c r="J2471">
        <v>0</v>
      </c>
      <c r="K2471">
        <v>0</v>
      </c>
      <c r="L2471">
        <v>0</v>
      </c>
      <c r="M2471">
        <v>0</v>
      </c>
      <c r="O2471">
        <f t="shared" si="38"/>
        <v>4</v>
      </c>
    </row>
    <row r="2472" spans="1:15">
      <c r="A2472">
        <v>2747</v>
      </c>
      <c r="B2472" s="1">
        <v>45762</v>
      </c>
      <c r="C2472">
        <v>21</v>
      </c>
      <c r="D2472" t="s">
        <v>17</v>
      </c>
      <c r="E2472" t="s">
        <v>15</v>
      </c>
      <c r="F2472" t="s">
        <v>21</v>
      </c>
      <c r="H2472">
        <v>45.9</v>
      </c>
      <c r="I2472" s="13">
        <v>2</v>
      </c>
      <c r="J2472">
        <v>0</v>
      </c>
      <c r="K2472">
        <v>0</v>
      </c>
      <c r="L2472">
        <v>0</v>
      </c>
      <c r="M2472">
        <v>0</v>
      </c>
      <c r="O2472">
        <f t="shared" si="38"/>
        <v>4</v>
      </c>
    </row>
    <row r="2473" spans="1:15">
      <c r="A2473">
        <v>904</v>
      </c>
      <c r="B2473" s="1">
        <v>45762</v>
      </c>
      <c r="C2473">
        <v>28</v>
      </c>
      <c r="D2473" t="s">
        <v>17</v>
      </c>
      <c r="E2473" t="s">
        <v>20</v>
      </c>
      <c r="F2473" t="s">
        <v>23</v>
      </c>
      <c r="H2473">
        <v>43.6</v>
      </c>
      <c r="I2473" s="13">
        <v>7</v>
      </c>
      <c r="J2473">
        <v>0</v>
      </c>
      <c r="K2473">
        <v>0</v>
      </c>
      <c r="L2473">
        <v>0</v>
      </c>
      <c r="M2473">
        <v>0</v>
      </c>
      <c r="O2473">
        <f t="shared" si="38"/>
        <v>4</v>
      </c>
    </row>
    <row r="2474" spans="1:15">
      <c r="A2474">
        <v>628</v>
      </c>
      <c r="B2474" s="1">
        <v>45792</v>
      </c>
      <c r="C2474">
        <v>25</v>
      </c>
      <c r="D2474" t="s">
        <v>17</v>
      </c>
      <c r="E2474" t="s">
        <v>15</v>
      </c>
      <c r="F2474" t="s">
        <v>18</v>
      </c>
      <c r="G2474" t="s">
        <v>25</v>
      </c>
      <c r="H2474">
        <v>570</v>
      </c>
      <c r="I2474" s="13">
        <v>3</v>
      </c>
      <c r="J2474">
        <v>1</v>
      </c>
      <c r="K2474">
        <v>158.12</v>
      </c>
      <c r="L2474">
        <v>4</v>
      </c>
      <c r="M2474">
        <v>6</v>
      </c>
      <c r="N2474">
        <v>2</v>
      </c>
      <c r="O2474">
        <f t="shared" si="38"/>
        <v>5</v>
      </c>
    </row>
    <row r="2475" spans="1:15">
      <c r="A2475">
        <v>4960</v>
      </c>
      <c r="B2475" s="1">
        <v>45792</v>
      </c>
      <c r="C2475">
        <v>52</v>
      </c>
      <c r="D2475" t="s">
        <v>17</v>
      </c>
      <c r="E2475" t="s">
        <v>22</v>
      </c>
      <c r="F2475" t="s">
        <v>16</v>
      </c>
      <c r="H2475">
        <v>427.9</v>
      </c>
      <c r="I2475" s="13">
        <v>6</v>
      </c>
      <c r="J2475">
        <v>1</v>
      </c>
      <c r="K2475">
        <v>138.44</v>
      </c>
      <c r="L2475">
        <v>1</v>
      </c>
      <c r="M2475">
        <v>7</v>
      </c>
      <c r="N2475">
        <v>4</v>
      </c>
      <c r="O2475">
        <f t="shared" si="38"/>
        <v>5</v>
      </c>
    </row>
    <row r="2476" spans="1:15">
      <c r="A2476">
        <v>4956</v>
      </c>
      <c r="B2476" s="1">
        <v>45792</v>
      </c>
      <c r="C2476">
        <v>53</v>
      </c>
      <c r="D2476" t="s">
        <v>17</v>
      </c>
      <c r="E2476" t="s">
        <v>22</v>
      </c>
      <c r="F2476" t="s">
        <v>21</v>
      </c>
      <c r="H2476">
        <v>247</v>
      </c>
      <c r="I2476" s="13">
        <v>8</v>
      </c>
      <c r="J2476">
        <v>1</v>
      </c>
      <c r="K2476">
        <v>70.42</v>
      </c>
      <c r="L2476">
        <v>3</v>
      </c>
      <c r="M2476">
        <v>3</v>
      </c>
      <c r="N2476">
        <v>4</v>
      </c>
      <c r="O2476">
        <f t="shared" si="38"/>
        <v>5</v>
      </c>
    </row>
    <row r="2477" spans="1:15">
      <c r="A2477">
        <v>4527</v>
      </c>
      <c r="B2477" s="1">
        <v>45792</v>
      </c>
      <c r="C2477">
        <v>38</v>
      </c>
      <c r="D2477" t="s">
        <v>14</v>
      </c>
      <c r="E2477" t="s">
        <v>22</v>
      </c>
      <c r="F2477" t="s">
        <v>21</v>
      </c>
      <c r="H2477">
        <v>502.4</v>
      </c>
      <c r="I2477" s="13">
        <v>5</v>
      </c>
      <c r="J2477">
        <v>1</v>
      </c>
      <c r="K2477">
        <v>68.14</v>
      </c>
      <c r="L2477">
        <v>3</v>
      </c>
      <c r="M2477">
        <v>13</v>
      </c>
      <c r="N2477">
        <v>4</v>
      </c>
      <c r="O2477">
        <f t="shared" si="38"/>
        <v>5</v>
      </c>
    </row>
    <row r="2478" spans="1:15">
      <c r="A2478">
        <v>3102</v>
      </c>
      <c r="B2478" s="1">
        <v>45792</v>
      </c>
      <c r="C2478">
        <v>23</v>
      </c>
      <c r="D2478" t="s">
        <v>14</v>
      </c>
      <c r="E2478" t="s">
        <v>20</v>
      </c>
      <c r="F2478" t="s">
        <v>23</v>
      </c>
      <c r="H2478">
        <v>935.1</v>
      </c>
      <c r="I2478" s="13">
        <v>7</v>
      </c>
      <c r="J2478">
        <v>1</v>
      </c>
      <c r="K2478">
        <v>54.13</v>
      </c>
      <c r="L2478">
        <v>5</v>
      </c>
      <c r="M2478">
        <v>8</v>
      </c>
      <c r="N2478">
        <v>4</v>
      </c>
      <c r="O2478">
        <f t="shared" si="38"/>
        <v>5</v>
      </c>
    </row>
    <row r="2479" spans="1:15">
      <c r="A2479">
        <v>2160</v>
      </c>
      <c r="B2479" s="1">
        <v>45792</v>
      </c>
      <c r="C2479">
        <v>37</v>
      </c>
      <c r="D2479" t="s">
        <v>14</v>
      </c>
      <c r="E2479" t="s">
        <v>24</v>
      </c>
      <c r="F2479" t="s">
        <v>18</v>
      </c>
      <c r="G2479" t="s">
        <v>25</v>
      </c>
      <c r="H2479">
        <v>609.1</v>
      </c>
      <c r="I2479" s="13">
        <v>7</v>
      </c>
      <c r="J2479">
        <v>1</v>
      </c>
      <c r="K2479">
        <v>49.92</v>
      </c>
      <c r="L2479">
        <v>3</v>
      </c>
      <c r="M2479">
        <v>7</v>
      </c>
      <c r="N2479">
        <v>4</v>
      </c>
      <c r="O2479">
        <f t="shared" si="38"/>
        <v>5</v>
      </c>
    </row>
    <row r="2480" spans="1:15">
      <c r="A2480">
        <v>2603</v>
      </c>
      <c r="B2480" s="1">
        <v>45792</v>
      </c>
      <c r="C2480">
        <v>36</v>
      </c>
      <c r="D2480" t="s">
        <v>17</v>
      </c>
      <c r="E2480" t="s">
        <v>15</v>
      </c>
      <c r="F2480" t="s">
        <v>18</v>
      </c>
      <c r="G2480" t="s">
        <v>25</v>
      </c>
      <c r="H2480">
        <v>569.5</v>
      </c>
      <c r="I2480" s="13">
        <v>7</v>
      </c>
      <c r="J2480">
        <v>1</v>
      </c>
      <c r="K2480">
        <v>37.78</v>
      </c>
      <c r="L2480">
        <v>3</v>
      </c>
      <c r="M2480">
        <v>10</v>
      </c>
      <c r="N2480">
        <v>5</v>
      </c>
      <c r="O2480">
        <f t="shared" si="38"/>
        <v>5</v>
      </c>
    </row>
    <row r="2481" spans="1:15">
      <c r="A2481">
        <v>3336</v>
      </c>
      <c r="B2481" s="1">
        <v>45792</v>
      </c>
      <c r="C2481">
        <v>34</v>
      </c>
      <c r="D2481" t="s">
        <v>17</v>
      </c>
      <c r="E2481" t="s">
        <v>24</v>
      </c>
      <c r="F2481" t="s">
        <v>16</v>
      </c>
      <c r="H2481">
        <v>301.5</v>
      </c>
      <c r="I2481" s="13">
        <v>4</v>
      </c>
      <c r="J2481">
        <v>1</v>
      </c>
      <c r="K2481">
        <v>14.36</v>
      </c>
      <c r="L2481">
        <v>3</v>
      </c>
      <c r="M2481">
        <v>10</v>
      </c>
      <c r="N2481">
        <v>4</v>
      </c>
      <c r="O2481">
        <f t="shared" si="38"/>
        <v>5</v>
      </c>
    </row>
    <row r="2482" spans="1:15">
      <c r="A2482">
        <v>620</v>
      </c>
      <c r="B2482" s="1">
        <v>45792</v>
      </c>
      <c r="C2482">
        <v>34</v>
      </c>
      <c r="D2482" t="s">
        <v>14</v>
      </c>
      <c r="E2482" t="s">
        <v>20</v>
      </c>
      <c r="F2482" t="s">
        <v>23</v>
      </c>
      <c r="H2482">
        <v>1509</v>
      </c>
      <c r="I2482" s="13">
        <v>6</v>
      </c>
      <c r="J2482">
        <v>0</v>
      </c>
      <c r="K2482">
        <v>0</v>
      </c>
      <c r="L2482">
        <v>0</v>
      </c>
      <c r="M2482">
        <v>0</v>
      </c>
      <c r="O2482">
        <f t="shared" si="38"/>
        <v>5</v>
      </c>
    </row>
    <row r="2483" spans="1:15">
      <c r="A2483">
        <v>4964</v>
      </c>
      <c r="B2483" s="1">
        <v>45792</v>
      </c>
      <c r="C2483">
        <v>42</v>
      </c>
      <c r="D2483" t="s">
        <v>17</v>
      </c>
      <c r="E2483" t="s">
        <v>24</v>
      </c>
      <c r="F2483" t="s">
        <v>23</v>
      </c>
      <c r="H2483">
        <v>699.8</v>
      </c>
      <c r="I2483" s="13">
        <v>5</v>
      </c>
      <c r="J2483">
        <v>0</v>
      </c>
      <c r="K2483">
        <v>0</v>
      </c>
      <c r="L2483">
        <v>0</v>
      </c>
      <c r="M2483">
        <v>0</v>
      </c>
      <c r="O2483">
        <f t="shared" si="38"/>
        <v>5</v>
      </c>
    </row>
    <row r="2484" spans="1:15">
      <c r="A2484">
        <v>654</v>
      </c>
      <c r="B2484" s="1">
        <v>45792</v>
      </c>
      <c r="C2484">
        <v>26</v>
      </c>
      <c r="D2484" t="s">
        <v>17</v>
      </c>
      <c r="E2484" t="s">
        <v>22</v>
      </c>
      <c r="F2484" t="s">
        <v>23</v>
      </c>
      <c r="H2484">
        <v>605.4</v>
      </c>
      <c r="I2484" s="13">
        <v>6</v>
      </c>
      <c r="J2484">
        <v>0</v>
      </c>
      <c r="K2484">
        <v>0</v>
      </c>
      <c r="L2484">
        <v>0</v>
      </c>
      <c r="M2484">
        <v>0</v>
      </c>
      <c r="O2484">
        <f t="shared" si="38"/>
        <v>5</v>
      </c>
    </row>
    <row r="2485" spans="1:15">
      <c r="A2485">
        <v>3208</v>
      </c>
      <c r="B2485" s="1">
        <v>45792</v>
      </c>
      <c r="C2485">
        <v>29</v>
      </c>
      <c r="D2485" t="s">
        <v>14</v>
      </c>
      <c r="E2485" t="s">
        <v>22</v>
      </c>
      <c r="F2485" t="s">
        <v>21</v>
      </c>
      <c r="H2485">
        <v>438.8</v>
      </c>
      <c r="I2485" s="13">
        <v>6</v>
      </c>
      <c r="J2485">
        <v>0</v>
      </c>
      <c r="K2485">
        <v>0</v>
      </c>
      <c r="L2485">
        <v>0</v>
      </c>
      <c r="M2485">
        <v>0</v>
      </c>
      <c r="O2485">
        <f t="shared" si="38"/>
        <v>5</v>
      </c>
    </row>
    <row r="2486" spans="1:15">
      <c r="A2486">
        <v>463</v>
      </c>
      <c r="B2486" s="1">
        <v>45792</v>
      </c>
      <c r="C2486">
        <v>24</v>
      </c>
      <c r="D2486" t="s">
        <v>17</v>
      </c>
      <c r="E2486" t="s">
        <v>15</v>
      </c>
      <c r="F2486" t="s">
        <v>18</v>
      </c>
      <c r="G2486" t="s">
        <v>30</v>
      </c>
      <c r="H2486">
        <v>399</v>
      </c>
      <c r="I2486" s="13">
        <v>2</v>
      </c>
      <c r="J2486">
        <v>0</v>
      </c>
      <c r="K2486">
        <v>0</v>
      </c>
      <c r="L2486">
        <v>0</v>
      </c>
      <c r="M2486">
        <v>0</v>
      </c>
      <c r="O2486">
        <f t="shared" si="38"/>
        <v>5</v>
      </c>
    </row>
    <row r="2487" spans="1:15">
      <c r="A2487">
        <v>2731</v>
      </c>
      <c r="B2487" s="1">
        <v>45792</v>
      </c>
      <c r="C2487">
        <v>38</v>
      </c>
      <c r="D2487" t="s">
        <v>17</v>
      </c>
      <c r="E2487" t="s">
        <v>24</v>
      </c>
      <c r="F2487" t="s">
        <v>18</v>
      </c>
      <c r="G2487" t="s">
        <v>26</v>
      </c>
      <c r="H2487">
        <v>291</v>
      </c>
      <c r="I2487" s="13">
        <v>5</v>
      </c>
      <c r="J2487">
        <v>0</v>
      </c>
      <c r="K2487">
        <v>0</v>
      </c>
      <c r="L2487">
        <v>0</v>
      </c>
      <c r="M2487">
        <v>0</v>
      </c>
      <c r="O2487">
        <f t="shared" si="38"/>
        <v>5</v>
      </c>
    </row>
    <row r="2488" spans="1:15">
      <c r="A2488">
        <v>1199</v>
      </c>
      <c r="B2488" s="1">
        <v>45792</v>
      </c>
      <c r="C2488">
        <v>22</v>
      </c>
      <c r="D2488" t="s">
        <v>14</v>
      </c>
      <c r="E2488" t="s">
        <v>22</v>
      </c>
      <c r="F2488" t="s">
        <v>18</v>
      </c>
      <c r="G2488" t="s">
        <v>30</v>
      </c>
      <c r="H2488">
        <v>267.39999999999998</v>
      </c>
      <c r="I2488" s="13">
        <v>8</v>
      </c>
      <c r="J2488">
        <v>0</v>
      </c>
      <c r="K2488">
        <v>0</v>
      </c>
      <c r="L2488">
        <v>0</v>
      </c>
      <c r="M2488">
        <v>0</v>
      </c>
      <c r="O2488">
        <f t="shared" si="38"/>
        <v>5</v>
      </c>
    </row>
    <row r="2489" spans="1:15">
      <c r="A2489">
        <v>218</v>
      </c>
      <c r="B2489" s="1">
        <v>45792</v>
      </c>
      <c r="C2489">
        <v>25</v>
      </c>
      <c r="D2489" t="s">
        <v>17</v>
      </c>
      <c r="E2489" t="s">
        <v>24</v>
      </c>
      <c r="F2489" t="s">
        <v>23</v>
      </c>
      <c r="H2489">
        <v>248.7</v>
      </c>
      <c r="I2489" s="13">
        <v>10</v>
      </c>
      <c r="J2489">
        <v>0</v>
      </c>
      <c r="K2489">
        <v>0</v>
      </c>
      <c r="L2489">
        <v>0</v>
      </c>
      <c r="M2489">
        <v>0</v>
      </c>
      <c r="O2489">
        <f t="shared" si="38"/>
        <v>5</v>
      </c>
    </row>
    <row r="2490" spans="1:15">
      <c r="A2490">
        <v>852</v>
      </c>
      <c r="B2490" s="1">
        <v>45792</v>
      </c>
      <c r="C2490">
        <v>26</v>
      </c>
      <c r="D2490" t="s">
        <v>27</v>
      </c>
      <c r="E2490" t="s">
        <v>20</v>
      </c>
      <c r="F2490" t="s">
        <v>16</v>
      </c>
      <c r="H2490">
        <v>240.4</v>
      </c>
      <c r="I2490" s="13">
        <v>10</v>
      </c>
      <c r="J2490">
        <v>0</v>
      </c>
      <c r="K2490">
        <v>0</v>
      </c>
      <c r="L2490">
        <v>0</v>
      </c>
      <c r="M2490">
        <v>0</v>
      </c>
      <c r="O2490">
        <f t="shared" si="38"/>
        <v>5</v>
      </c>
    </row>
    <row r="2491" spans="1:15">
      <c r="A2491">
        <v>4084</v>
      </c>
      <c r="B2491" s="1">
        <v>45792</v>
      </c>
      <c r="C2491">
        <v>49</v>
      </c>
      <c r="D2491" t="s">
        <v>14</v>
      </c>
      <c r="E2491" t="s">
        <v>15</v>
      </c>
      <c r="F2491" t="s">
        <v>16</v>
      </c>
      <c r="H2491">
        <v>221.4</v>
      </c>
      <c r="I2491" s="13">
        <v>8</v>
      </c>
      <c r="J2491">
        <v>0</v>
      </c>
      <c r="K2491">
        <v>0</v>
      </c>
      <c r="L2491">
        <v>0</v>
      </c>
      <c r="M2491">
        <v>0</v>
      </c>
      <c r="O2491">
        <f t="shared" si="38"/>
        <v>5</v>
      </c>
    </row>
    <row r="2492" spans="1:15">
      <c r="A2492">
        <v>3405</v>
      </c>
      <c r="B2492" s="1">
        <v>45792</v>
      </c>
      <c r="C2492">
        <v>28</v>
      </c>
      <c r="D2492" t="s">
        <v>17</v>
      </c>
      <c r="E2492" t="s">
        <v>20</v>
      </c>
      <c r="F2492" t="s">
        <v>18</v>
      </c>
      <c r="G2492" t="s">
        <v>30</v>
      </c>
      <c r="H2492">
        <v>209.7</v>
      </c>
      <c r="I2492" s="13">
        <v>4</v>
      </c>
      <c r="J2492">
        <v>0</v>
      </c>
      <c r="K2492">
        <v>0</v>
      </c>
      <c r="L2492">
        <v>0</v>
      </c>
      <c r="M2492">
        <v>0</v>
      </c>
      <c r="O2492">
        <f t="shared" si="38"/>
        <v>5</v>
      </c>
    </row>
    <row r="2493" spans="1:15">
      <c r="A2493">
        <v>743</v>
      </c>
      <c r="B2493" s="1">
        <v>45792</v>
      </c>
      <c r="C2493">
        <v>20</v>
      </c>
      <c r="D2493" t="s">
        <v>17</v>
      </c>
      <c r="E2493" t="s">
        <v>24</v>
      </c>
      <c r="F2493" t="s">
        <v>18</v>
      </c>
      <c r="G2493" t="s">
        <v>19</v>
      </c>
      <c r="H2493">
        <v>167.9</v>
      </c>
      <c r="I2493" s="13">
        <v>12</v>
      </c>
      <c r="J2493">
        <v>0</v>
      </c>
      <c r="K2493">
        <v>0</v>
      </c>
      <c r="L2493">
        <v>0</v>
      </c>
      <c r="M2493">
        <v>0</v>
      </c>
      <c r="O2493">
        <f t="shared" si="38"/>
        <v>5</v>
      </c>
    </row>
    <row r="2494" spans="1:15">
      <c r="A2494">
        <v>1905</v>
      </c>
      <c r="B2494" s="1">
        <v>45792</v>
      </c>
      <c r="C2494">
        <v>58</v>
      </c>
      <c r="D2494" t="s">
        <v>14</v>
      </c>
      <c r="E2494" t="s">
        <v>22</v>
      </c>
      <c r="F2494" t="s">
        <v>16</v>
      </c>
      <c r="H2494">
        <v>112.6</v>
      </c>
      <c r="I2494" s="13">
        <v>10</v>
      </c>
      <c r="J2494">
        <v>0</v>
      </c>
      <c r="K2494">
        <v>0</v>
      </c>
      <c r="L2494">
        <v>0</v>
      </c>
      <c r="M2494">
        <v>0</v>
      </c>
      <c r="O2494">
        <f t="shared" si="38"/>
        <v>5</v>
      </c>
    </row>
    <row r="2495" spans="1:15">
      <c r="A2495">
        <v>4597</v>
      </c>
      <c r="B2495" s="1">
        <v>45792</v>
      </c>
      <c r="C2495">
        <v>53</v>
      </c>
      <c r="D2495" t="s">
        <v>17</v>
      </c>
      <c r="E2495" t="s">
        <v>22</v>
      </c>
      <c r="F2495" t="s">
        <v>21</v>
      </c>
      <c r="H2495">
        <v>103.7</v>
      </c>
      <c r="I2495" s="13">
        <v>5</v>
      </c>
      <c r="J2495">
        <v>0</v>
      </c>
      <c r="K2495">
        <v>0</v>
      </c>
      <c r="L2495">
        <v>0</v>
      </c>
      <c r="M2495">
        <v>0</v>
      </c>
      <c r="O2495">
        <f t="shared" si="38"/>
        <v>5</v>
      </c>
    </row>
    <row r="2496" spans="1:15">
      <c r="A2496">
        <v>1834</v>
      </c>
      <c r="B2496" s="1">
        <v>45792</v>
      </c>
      <c r="C2496">
        <v>25</v>
      </c>
      <c r="D2496" t="s">
        <v>14</v>
      </c>
      <c r="E2496" t="s">
        <v>15</v>
      </c>
      <c r="F2496" t="s">
        <v>23</v>
      </c>
      <c r="H2496">
        <v>48.8</v>
      </c>
      <c r="I2496" s="13">
        <v>9</v>
      </c>
      <c r="J2496">
        <v>0</v>
      </c>
      <c r="K2496">
        <v>0</v>
      </c>
      <c r="L2496">
        <v>0</v>
      </c>
      <c r="M2496">
        <v>0</v>
      </c>
      <c r="O2496">
        <f t="shared" si="38"/>
        <v>5</v>
      </c>
    </row>
    <row r="2497" spans="1:15">
      <c r="A2497">
        <v>997</v>
      </c>
      <c r="B2497" s="1">
        <v>45823</v>
      </c>
      <c r="C2497">
        <v>30</v>
      </c>
      <c r="D2497" t="s">
        <v>14</v>
      </c>
      <c r="E2497" t="s">
        <v>24</v>
      </c>
      <c r="F2497" t="s">
        <v>18</v>
      </c>
      <c r="G2497" t="s">
        <v>31</v>
      </c>
      <c r="H2497">
        <v>282.10000000000002</v>
      </c>
      <c r="I2497" s="13">
        <v>4</v>
      </c>
      <c r="J2497">
        <v>1</v>
      </c>
      <c r="K2497">
        <v>270</v>
      </c>
      <c r="L2497">
        <v>4</v>
      </c>
      <c r="M2497">
        <v>14</v>
      </c>
      <c r="N2497">
        <v>3</v>
      </c>
      <c r="O2497">
        <f t="shared" si="38"/>
        <v>6</v>
      </c>
    </row>
    <row r="2498" spans="1:15">
      <c r="A2498">
        <v>1249</v>
      </c>
      <c r="B2498" s="1">
        <v>45823</v>
      </c>
      <c r="C2498">
        <v>22</v>
      </c>
      <c r="D2498" t="s">
        <v>17</v>
      </c>
      <c r="E2498" t="s">
        <v>24</v>
      </c>
      <c r="F2498" t="s">
        <v>16</v>
      </c>
      <c r="H2498">
        <v>903.5</v>
      </c>
      <c r="I2498" s="13">
        <v>6</v>
      </c>
      <c r="J2498">
        <v>1</v>
      </c>
      <c r="K2498">
        <v>394</v>
      </c>
      <c r="L2498">
        <v>2</v>
      </c>
      <c r="M2498">
        <v>2</v>
      </c>
      <c r="N2498">
        <v>3</v>
      </c>
      <c r="O2498">
        <f t="shared" si="38"/>
        <v>6</v>
      </c>
    </row>
    <row r="2499" spans="1:15">
      <c r="A2499">
        <v>4720</v>
      </c>
      <c r="B2499" s="1">
        <v>45823</v>
      </c>
      <c r="C2499">
        <v>36</v>
      </c>
      <c r="D2499" t="s">
        <v>17</v>
      </c>
      <c r="E2499" t="s">
        <v>22</v>
      </c>
      <c r="F2499" t="s">
        <v>16</v>
      </c>
      <c r="H2499">
        <v>531.1</v>
      </c>
      <c r="I2499" s="13">
        <v>9</v>
      </c>
      <c r="J2499">
        <v>1</v>
      </c>
      <c r="K2499">
        <v>113.97</v>
      </c>
      <c r="L2499">
        <v>2</v>
      </c>
      <c r="M2499">
        <v>7</v>
      </c>
      <c r="N2499">
        <v>4</v>
      </c>
      <c r="O2499">
        <f t="shared" ref="O2499:O2562" si="39">MONTH(B2499)</f>
        <v>6</v>
      </c>
    </row>
    <row r="2500" spans="1:15">
      <c r="A2500">
        <v>56</v>
      </c>
      <c r="B2500" s="1">
        <v>45823</v>
      </c>
      <c r="C2500">
        <v>23</v>
      </c>
      <c r="D2500" t="s">
        <v>14</v>
      </c>
      <c r="E2500" t="s">
        <v>15</v>
      </c>
      <c r="F2500" t="s">
        <v>18</v>
      </c>
      <c r="G2500" t="s">
        <v>26</v>
      </c>
      <c r="H2500">
        <v>437.2</v>
      </c>
      <c r="I2500" s="13">
        <v>7</v>
      </c>
      <c r="J2500">
        <v>1</v>
      </c>
      <c r="K2500">
        <v>75.510000000000005</v>
      </c>
      <c r="L2500">
        <v>3</v>
      </c>
      <c r="M2500">
        <v>15</v>
      </c>
      <c r="N2500">
        <v>4</v>
      </c>
      <c r="O2500">
        <f t="shared" si="39"/>
        <v>6</v>
      </c>
    </row>
    <row r="2501" spans="1:15">
      <c r="A2501">
        <v>826</v>
      </c>
      <c r="B2501" s="1">
        <v>45823</v>
      </c>
      <c r="C2501">
        <v>24</v>
      </c>
      <c r="D2501" t="s">
        <v>14</v>
      </c>
      <c r="E2501" t="s">
        <v>20</v>
      </c>
      <c r="F2501" t="s">
        <v>18</v>
      </c>
      <c r="G2501" t="s">
        <v>30</v>
      </c>
      <c r="H2501">
        <v>931.8</v>
      </c>
      <c r="I2501" s="13">
        <v>7</v>
      </c>
      <c r="J2501">
        <v>1</v>
      </c>
      <c r="K2501">
        <v>50.82</v>
      </c>
      <c r="L2501">
        <v>2</v>
      </c>
      <c r="M2501">
        <v>8</v>
      </c>
      <c r="N2501">
        <v>4</v>
      </c>
      <c r="O2501">
        <f t="shared" si="39"/>
        <v>6</v>
      </c>
    </row>
    <row r="2502" spans="1:15">
      <c r="A2502">
        <v>814</v>
      </c>
      <c r="B2502" s="1">
        <v>45823</v>
      </c>
      <c r="C2502">
        <v>26</v>
      </c>
      <c r="D2502" t="s">
        <v>14</v>
      </c>
      <c r="E2502" t="s">
        <v>24</v>
      </c>
      <c r="F2502" t="s">
        <v>16</v>
      </c>
      <c r="H2502">
        <v>641.5</v>
      </c>
      <c r="I2502" s="13">
        <v>6</v>
      </c>
      <c r="J2502">
        <v>1</v>
      </c>
      <c r="K2502">
        <v>49.06</v>
      </c>
      <c r="L2502">
        <v>4</v>
      </c>
      <c r="M2502">
        <v>14</v>
      </c>
      <c r="N2502">
        <v>5</v>
      </c>
      <c r="O2502">
        <f t="shared" si="39"/>
        <v>6</v>
      </c>
    </row>
    <row r="2503" spans="1:15">
      <c r="A2503">
        <v>2955</v>
      </c>
      <c r="B2503" s="1">
        <v>45823</v>
      </c>
      <c r="C2503">
        <v>29</v>
      </c>
      <c r="D2503" t="s">
        <v>14</v>
      </c>
      <c r="E2503" t="s">
        <v>24</v>
      </c>
      <c r="F2503" t="s">
        <v>18</v>
      </c>
      <c r="G2503" t="s">
        <v>26</v>
      </c>
      <c r="H2503">
        <v>263.5</v>
      </c>
      <c r="I2503" s="13">
        <v>7</v>
      </c>
      <c r="J2503">
        <v>1</v>
      </c>
      <c r="K2503">
        <v>47.58</v>
      </c>
      <c r="L2503">
        <v>4</v>
      </c>
      <c r="M2503">
        <v>12</v>
      </c>
      <c r="N2503">
        <v>3</v>
      </c>
      <c r="O2503">
        <f t="shared" si="39"/>
        <v>6</v>
      </c>
    </row>
    <row r="2504" spans="1:15">
      <c r="A2504">
        <v>2843</v>
      </c>
      <c r="B2504" s="1">
        <v>45823</v>
      </c>
      <c r="C2504">
        <v>40</v>
      </c>
      <c r="D2504" t="s">
        <v>17</v>
      </c>
      <c r="E2504" t="s">
        <v>24</v>
      </c>
      <c r="F2504" t="s">
        <v>18</v>
      </c>
      <c r="G2504" t="s">
        <v>31</v>
      </c>
      <c r="H2504">
        <v>736.6</v>
      </c>
      <c r="I2504" s="13">
        <v>8</v>
      </c>
      <c r="J2504">
        <v>1</v>
      </c>
      <c r="K2504">
        <v>36.979999999999997</v>
      </c>
      <c r="L2504">
        <v>4</v>
      </c>
      <c r="M2504">
        <v>2</v>
      </c>
      <c r="N2504">
        <v>4</v>
      </c>
      <c r="O2504">
        <f t="shared" si="39"/>
        <v>6</v>
      </c>
    </row>
    <row r="2505" spans="1:15">
      <c r="A2505">
        <v>2854</v>
      </c>
      <c r="B2505" s="1">
        <v>45823</v>
      </c>
      <c r="C2505">
        <v>46</v>
      </c>
      <c r="D2505" t="s">
        <v>17</v>
      </c>
      <c r="E2505" t="s">
        <v>15</v>
      </c>
      <c r="F2505" t="s">
        <v>21</v>
      </c>
      <c r="H2505">
        <v>953.8</v>
      </c>
      <c r="I2505" s="13">
        <v>6</v>
      </c>
      <c r="J2505">
        <v>1</v>
      </c>
      <c r="K2505">
        <v>28.62</v>
      </c>
      <c r="L2505">
        <v>4</v>
      </c>
      <c r="M2505">
        <v>7</v>
      </c>
      <c r="N2505">
        <v>4</v>
      </c>
      <c r="O2505">
        <f t="shared" si="39"/>
        <v>6</v>
      </c>
    </row>
    <row r="2506" spans="1:15">
      <c r="A2506">
        <v>4145</v>
      </c>
      <c r="B2506" s="1">
        <v>45823</v>
      </c>
      <c r="C2506">
        <v>30</v>
      </c>
      <c r="D2506" t="s">
        <v>17</v>
      </c>
      <c r="E2506" t="s">
        <v>15</v>
      </c>
      <c r="F2506" t="s">
        <v>16</v>
      </c>
      <c r="H2506">
        <v>433.5</v>
      </c>
      <c r="I2506" s="13">
        <v>7</v>
      </c>
      <c r="J2506">
        <v>1</v>
      </c>
      <c r="K2506">
        <v>13.19</v>
      </c>
      <c r="L2506">
        <v>5</v>
      </c>
      <c r="M2506">
        <v>5</v>
      </c>
      <c r="N2506">
        <v>4</v>
      </c>
      <c r="O2506">
        <f t="shared" si="39"/>
        <v>6</v>
      </c>
    </row>
    <row r="2507" spans="1:15">
      <c r="A2507">
        <v>616</v>
      </c>
      <c r="B2507" s="1">
        <v>45823</v>
      </c>
      <c r="C2507">
        <v>27</v>
      </c>
      <c r="D2507" t="s">
        <v>14</v>
      </c>
      <c r="E2507" t="s">
        <v>15</v>
      </c>
      <c r="F2507" t="s">
        <v>16</v>
      </c>
      <c r="H2507">
        <v>508.5</v>
      </c>
      <c r="I2507" s="13">
        <v>6</v>
      </c>
      <c r="J2507">
        <v>0</v>
      </c>
      <c r="K2507">
        <v>0</v>
      </c>
      <c r="L2507">
        <v>0</v>
      </c>
      <c r="M2507">
        <v>0</v>
      </c>
      <c r="O2507">
        <f t="shared" si="39"/>
        <v>6</v>
      </c>
    </row>
    <row r="2508" spans="1:15">
      <c r="A2508">
        <v>4930</v>
      </c>
      <c r="B2508" s="1">
        <v>45823</v>
      </c>
      <c r="C2508">
        <v>51</v>
      </c>
      <c r="D2508" t="s">
        <v>14</v>
      </c>
      <c r="E2508" t="s">
        <v>20</v>
      </c>
      <c r="F2508" t="s">
        <v>18</v>
      </c>
      <c r="G2508" t="s">
        <v>29</v>
      </c>
      <c r="H2508">
        <v>480.8</v>
      </c>
      <c r="I2508" s="13">
        <v>4</v>
      </c>
      <c r="J2508">
        <v>0</v>
      </c>
      <c r="K2508">
        <v>0</v>
      </c>
      <c r="L2508">
        <v>0</v>
      </c>
      <c r="M2508">
        <v>0</v>
      </c>
      <c r="O2508">
        <f t="shared" si="39"/>
        <v>6</v>
      </c>
    </row>
    <row r="2509" spans="1:15">
      <c r="A2509">
        <v>4117</v>
      </c>
      <c r="B2509" s="1">
        <v>45823</v>
      </c>
      <c r="C2509">
        <v>52</v>
      </c>
      <c r="D2509" t="s">
        <v>17</v>
      </c>
      <c r="E2509" t="s">
        <v>20</v>
      </c>
      <c r="F2509" t="s">
        <v>16</v>
      </c>
      <c r="H2509">
        <v>379</v>
      </c>
      <c r="I2509" s="13">
        <v>4</v>
      </c>
      <c r="J2509">
        <v>0</v>
      </c>
      <c r="K2509">
        <v>0</v>
      </c>
      <c r="L2509">
        <v>0</v>
      </c>
      <c r="M2509">
        <v>0</v>
      </c>
      <c r="O2509">
        <f t="shared" si="39"/>
        <v>6</v>
      </c>
    </row>
    <row r="2510" spans="1:15">
      <c r="A2510">
        <v>4859</v>
      </c>
      <c r="B2510" s="1">
        <v>45823</v>
      </c>
      <c r="C2510">
        <v>42</v>
      </c>
      <c r="D2510" t="s">
        <v>17</v>
      </c>
      <c r="E2510" t="s">
        <v>20</v>
      </c>
      <c r="F2510" t="s">
        <v>18</v>
      </c>
      <c r="G2510" t="s">
        <v>30</v>
      </c>
      <c r="H2510">
        <v>327</v>
      </c>
      <c r="I2510" s="13">
        <v>3</v>
      </c>
      <c r="J2510">
        <v>0</v>
      </c>
      <c r="K2510">
        <v>0</v>
      </c>
      <c r="L2510">
        <v>0</v>
      </c>
      <c r="M2510">
        <v>0</v>
      </c>
      <c r="O2510">
        <f t="shared" si="39"/>
        <v>6</v>
      </c>
    </row>
    <row r="2511" spans="1:15">
      <c r="A2511">
        <v>3484</v>
      </c>
      <c r="B2511" s="1">
        <v>45823</v>
      </c>
      <c r="C2511">
        <v>39</v>
      </c>
      <c r="D2511" t="s">
        <v>17</v>
      </c>
      <c r="E2511" t="s">
        <v>22</v>
      </c>
      <c r="F2511" t="s">
        <v>23</v>
      </c>
      <c r="H2511">
        <v>317.60000000000002</v>
      </c>
      <c r="I2511" s="13">
        <v>4</v>
      </c>
      <c r="J2511">
        <v>0</v>
      </c>
      <c r="K2511">
        <v>0</v>
      </c>
      <c r="L2511">
        <v>0</v>
      </c>
      <c r="M2511">
        <v>0</v>
      </c>
      <c r="O2511">
        <f t="shared" si="39"/>
        <v>6</v>
      </c>
    </row>
    <row r="2512" spans="1:15">
      <c r="A2512">
        <v>1855</v>
      </c>
      <c r="B2512" s="1">
        <v>45823</v>
      </c>
      <c r="C2512">
        <v>60</v>
      </c>
      <c r="D2512" t="s">
        <v>17</v>
      </c>
      <c r="E2512" t="s">
        <v>15</v>
      </c>
      <c r="F2512" t="s">
        <v>18</v>
      </c>
      <c r="G2512" t="s">
        <v>19</v>
      </c>
      <c r="H2512">
        <v>292.2</v>
      </c>
      <c r="I2512" s="13">
        <v>4</v>
      </c>
      <c r="J2512">
        <v>0</v>
      </c>
      <c r="K2512">
        <v>0</v>
      </c>
      <c r="L2512">
        <v>0</v>
      </c>
      <c r="M2512">
        <v>0</v>
      </c>
      <c r="O2512">
        <f t="shared" si="39"/>
        <v>6</v>
      </c>
    </row>
    <row r="2513" spans="1:15">
      <c r="A2513">
        <v>3142</v>
      </c>
      <c r="B2513" s="1">
        <v>45823</v>
      </c>
      <c r="C2513">
        <v>30</v>
      </c>
      <c r="D2513" t="s">
        <v>14</v>
      </c>
      <c r="E2513" t="s">
        <v>22</v>
      </c>
      <c r="F2513" t="s">
        <v>18</v>
      </c>
      <c r="G2513" t="s">
        <v>26</v>
      </c>
      <c r="H2513">
        <v>209.8</v>
      </c>
      <c r="I2513" s="13">
        <v>8</v>
      </c>
      <c r="J2513">
        <v>0</v>
      </c>
      <c r="K2513">
        <v>0</v>
      </c>
      <c r="L2513">
        <v>0</v>
      </c>
      <c r="M2513">
        <v>0</v>
      </c>
      <c r="O2513">
        <f t="shared" si="39"/>
        <v>6</v>
      </c>
    </row>
    <row r="2514" spans="1:15">
      <c r="A2514">
        <v>2836</v>
      </c>
      <c r="B2514" s="1">
        <v>45823</v>
      </c>
      <c r="C2514">
        <v>38</v>
      </c>
      <c r="D2514" t="s">
        <v>17</v>
      </c>
      <c r="E2514" t="s">
        <v>20</v>
      </c>
      <c r="F2514" t="s">
        <v>16</v>
      </c>
      <c r="H2514">
        <v>157</v>
      </c>
      <c r="I2514" s="13">
        <v>6</v>
      </c>
      <c r="J2514">
        <v>0</v>
      </c>
      <c r="K2514">
        <v>0</v>
      </c>
      <c r="L2514">
        <v>0</v>
      </c>
      <c r="M2514">
        <v>0</v>
      </c>
      <c r="O2514">
        <f t="shared" si="39"/>
        <v>6</v>
      </c>
    </row>
    <row r="2515" spans="1:15">
      <c r="A2515">
        <v>2755</v>
      </c>
      <c r="B2515" s="1">
        <v>45823</v>
      </c>
      <c r="C2515">
        <v>43</v>
      </c>
      <c r="D2515" t="s">
        <v>17</v>
      </c>
      <c r="E2515" t="s">
        <v>24</v>
      </c>
      <c r="F2515" t="s">
        <v>16</v>
      </c>
      <c r="H2515">
        <v>138.9</v>
      </c>
      <c r="I2515" s="13">
        <v>6</v>
      </c>
      <c r="J2515">
        <v>0</v>
      </c>
      <c r="K2515">
        <v>0</v>
      </c>
      <c r="L2515">
        <v>0</v>
      </c>
      <c r="M2515">
        <v>0</v>
      </c>
      <c r="O2515">
        <f t="shared" si="39"/>
        <v>6</v>
      </c>
    </row>
    <row r="2516" spans="1:15">
      <c r="A2516">
        <v>2206</v>
      </c>
      <c r="B2516" s="1">
        <v>45823</v>
      </c>
      <c r="C2516">
        <v>32</v>
      </c>
      <c r="D2516" t="s">
        <v>14</v>
      </c>
      <c r="E2516" t="s">
        <v>20</v>
      </c>
      <c r="F2516" t="s">
        <v>16</v>
      </c>
      <c r="H2516">
        <v>109.7</v>
      </c>
      <c r="I2516" s="13">
        <v>5</v>
      </c>
      <c r="J2516">
        <v>0</v>
      </c>
      <c r="K2516">
        <v>0</v>
      </c>
      <c r="L2516">
        <v>0</v>
      </c>
      <c r="M2516">
        <v>0</v>
      </c>
      <c r="O2516">
        <f t="shared" si="39"/>
        <v>6</v>
      </c>
    </row>
    <row r="2517" spans="1:15">
      <c r="A2517">
        <v>3637</v>
      </c>
      <c r="B2517" s="1">
        <v>45823</v>
      </c>
      <c r="C2517">
        <v>31</v>
      </c>
      <c r="D2517" t="s">
        <v>17</v>
      </c>
      <c r="E2517" t="s">
        <v>15</v>
      </c>
      <c r="F2517" t="s">
        <v>18</v>
      </c>
      <c r="G2517" t="s">
        <v>28</v>
      </c>
      <c r="H2517">
        <v>81.599999999999994</v>
      </c>
      <c r="I2517" s="13">
        <v>7</v>
      </c>
      <c r="J2517">
        <v>0</v>
      </c>
      <c r="K2517">
        <v>0</v>
      </c>
      <c r="L2517">
        <v>0</v>
      </c>
      <c r="M2517">
        <v>0</v>
      </c>
      <c r="O2517">
        <f t="shared" si="39"/>
        <v>6</v>
      </c>
    </row>
    <row r="2518" spans="1:15">
      <c r="A2518">
        <v>1663</v>
      </c>
      <c r="B2518" s="1">
        <v>45823</v>
      </c>
      <c r="C2518">
        <v>27</v>
      </c>
      <c r="D2518" t="s">
        <v>14</v>
      </c>
      <c r="E2518" t="s">
        <v>22</v>
      </c>
      <c r="F2518" t="s">
        <v>16</v>
      </c>
      <c r="H2518">
        <v>48</v>
      </c>
      <c r="I2518" s="13">
        <v>8</v>
      </c>
      <c r="J2518">
        <v>0</v>
      </c>
      <c r="K2518">
        <v>0</v>
      </c>
      <c r="L2518">
        <v>0</v>
      </c>
      <c r="M2518">
        <v>0</v>
      </c>
      <c r="O2518">
        <f t="shared" si="39"/>
        <v>6</v>
      </c>
    </row>
    <row r="2519" spans="1:15">
      <c r="A2519">
        <v>3491</v>
      </c>
      <c r="B2519" s="1">
        <v>45673</v>
      </c>
      <c r="C2519">
        <v>39</v>
      </c>
      <c r="D2519" t="s">
        <v>17</v>
      </c>
      <c r="E2519" t="s">
        <v>24</v>
      </c>
      <c r="F2519" t="s">
        <v>16</v>
      </c>
      <c r="H2519">
        <v>439</v>
      </c>
      <c r="I2519" s="13">
        <v>6</v>
      </c>
      <c r="J2519">
        <v>1</v>
      </c>
      <c r="K2519">
        <v>83.73</v>
      </c>
      <c r="L2519">
        <v>1</v>
      </c>
      <c r="M2519">
        <v>9</v>
      </c>
      <c r="N2519">
        <v>4</v>
      </c>
      <c r="O2519">
        <f t="shared" si="39"/>
        <v>1</v>
      </c>
    </row>
    <row r="2520" spans="1:15">
      <c r="A2520">
        <v>4209</v>
      </c>
      <c r="B2520" s="1">
        <v>45673</v>
      </c>
      <c r="C2520">
        <v>55</v>
      </c>
      <c r="D2520" t="s">
        <v>14</v>
      </c>
      <c r="E2520" t="s">
        <v>20</v>
      </c>
      <c r="F2520" t="s">
        <v>16</v>
      </c>
      <c r="H2520">
        <v>179.3</v>
      </c>
      <c r="I2520" s="13">
        <v>6</v>
      </c>
      <c r="J2520">
        <v>1</v>
      </c>
      <c r="K2520">
        <v>59.95</v>
      </c>
      <c r="L2520">
        <v>4</v>
      </c>
      <c r="M2520">
        <v>10</v>
      </c>
      <c r="N2520">
        <v>5</v>
      </c>
      <c r="O2520">
        <f t="shared" si="39"/>
        <v>1</v>
      </c>
    </row>
    <row r="2521" spans="1:15">
      <c r="A2521">
        <v>2119</v>
      </c>
      <c r="B2521" s="1">
        <v>45673</v>
      </c>
      <c r="C2521">
        <v>35</v>
      </c>
      <c r="D2521" t="s">
        <v>14</v>
      </c>
      <c r="E2521" t="s">
        <v>15</v>
      </c>
      <c r="F2521" t="s">
        <v>21</v>
      </c>
      <c r="H2521">
        <v>671.8</v>
      </c>
      <c r="I2521" s="13">
        <v>6</v>
      </c>
      <c r="J2521">
        <v>1</v>
      </c>
      <c r="K2521">
        <v>48.55</v>
      </c>
      <c r="L2521">
        <v>5</v>
      </c>
      <c r="M2521">
        <v>14</v>
      </c>
      <c r="N2521">
        <v>4</v>
      </c>
      <c r="O2521">
        <f t="shared" si="39"/>
        <v>1</v>
      </c>
    </row>
    <row r="2522" spans="1:15">
      <c r="A2522">
        <v>1287</v>
      </c>
      <c r="B2522" s="1">
        <v>45673</v>
      </c>
      <c r="C2522">
        <v>28</v>
      </c>
      <c r="D2522" t="s">
        <v>17</v>
      </c>
      <c r="E2522" t="s">
        <v>15</v>
      </c>
      <c r="F2522" t="s">
        <v>18</v>
      </c>
      <c r="G2522" t="s">
        <v>26</v>
      </c>
      <c r="H2522">
        <v>823.6</v>
      </c>
      <c r="I2522" s="13">
        <v>6</v>
      </c>
      <c r="J2522">
        <v>1</v>
      </c>
      <c r="K2522">
        <v>42.23</v>
      </c>
      <c r="L2522">
        <v>4</v>
      </c>
      <c r="M2522">
        <v>6</v>
      </c>
      <c r="N2522">
        <v>5</v>
      </c>
      <c r="O2522">
        <f t="shared" si="39"/>
        <v>1</v>
      </c>
    </row>
    <row r="2523" spans="1:15">
      <c r="A2523">
        <v>1655</v>
      </c>
      <c r="B2523" s="1">
        <v>45673</v>
      </c>
      <c r="C2523">
        <v>27</v>
      </c>
      <c r="D2523" t="s">
        <v>14</v>
      </c>
      <c r="E2523" t="s">
        <v>22</v>
      </c>
      <c r="F2523" t="s">
        <v>23</v>
      </c>
      <c r="H2523">
        <v>377.3</v>
      </c>
      <c r="I2523" s="13">
        <v>8</v>
      </c>
      <c r="J2523">
        <v>1</v>
      </c>
      <c r="K2523">
        <v>40.08</v>
      </c>
      <c r="L2523">
        <v>3</v>
      </c>
      <c r="M2523">
        <v>5</v>
      </c>
      <c r="N2523">
        <v>5</v>
      </c>
      <c r="O2523">
        <f t="shared" si="39"/>
        <v>1</v>
      </c>
    </row>
    <row r="2524" spans="1:15">
      <c r="A2524">
        <v>4836</v>
      </c>
      <c r="B2524" s="1">
        <v>45673</v>
      </c>
      <c r="C2524">
        <v>61</v>
      </c>
      <c r="D2524" t="s">
        <v>14</v>
      </c>
      <c r="E2524" t="s">
        <v>22</v>
      </c>
      <c r="F2524" t="s">
        <v>16</v>
      </c>
      <c r="H2524">
        <v>1343.4</v>
      </c>
      <c r="I2524" s="13">
        <v>5</v>
      </c>
      <c r="J2524">
        <v>1</v>
      </c>
      <c r="K2524">
        <v>32.4</v>
      </c>
      <c r="L2524">
        <v>3</v>
      </c>
      <c r="M2524">
        <v>6</v>
      </c>
      <c r="N2524">
        <v>4</v>
      </c>
      <c r="O2524">
        <f t="shared" si="39"/>
        <v>1</v>
      </c>
    </row>
    <row r="2525" spans="1:15">
      <c r="A2525">
        <v>3826</v>
      </c>
      <c r="B2525" s="1">
        <v>45673</v>
      </c>
      <c r="C2525">
        <v>33</v>
      </c>
      <c r="D2525" t="s">
        <v>17</v>
      </c>
      <c r="E2525" t="s">
        <v>20</v>
      </c>
      <c r="F2525" t="s">
        <v>21</v>
      </c>
      <c r="H2525">
        <v>350.3</v>
      </c>
      <c r="I2525" s="13">
        <v>7</v>
      </c>
      <c r="J2525">
        <v>1</v>
      </c>
      <c r="K2525">
        <v>26.72</v>
      </c>
      <c r="L2525">
        <v>3</v>
      </c>
      <c r="M2525">
        <v>11</v>
      </c>
      <c r="N2525">
        <v>4</v>
      </c>
      <c r="O2525">
        <f t="shared" si="39"/>
        <v>1</v>
      </c>
    </row>
    <row r="2526" spans="1:15">
      <c r="A2526">
        <v>604</v>
      </c>
      <c r="B2526" s="1">
        <v>45673</v>
      </c>
      <c r="C2526">
        <v>28</v>
      </c>
      <c r="D2526" t="s">
        <v>17</v>
      </c>
      <c r="E2526" t="s">
        <v>24</v>
      </c>
      <c r="F2526" t="s">
        <v>16</v>
      </c>
      <c r="H2526">
        <v>488</v>
      </c>
      <c r="I2526" s="13">
        <v>5</v>
      </c>
      <c r="J2526">
        <v>1</v>
      </c>
      <c r="K2526">
        <v>24.28</v>
      </c>
      <c r="L2526">
        <v>5</v>
      </c>
      <c r="M2526">
        <v>6</v>
      </c>
      <c r="N2526">
        <v>4</v>
      </c>
      <c r="O2526">
        <f t="shared" si="39"/>
        <v>1</v>
      </c>
    </row>
    <row r="2527" spans="1:15">
      <c r="A2527">
        <v>3223</v>
      </c>
      <c r="B2527" s="1">
        <v>45673</v>
      </c>
      <c r="C2527">
        <v>29</v>
      </c>
      <c r="D2527" t="s">
        <v>14</v>
      </c>
      <c r="E2527" t="s">
        <v>24</v>
      </c>
      <c r="F2527" t="s">
        <v>16</v>
      </c>
      <c r="H2527">
        <v>430.2</v>
      </c>
      <c r="I2527" s="13">
        <v>2</v>
      </c>
      <c r="J2527">
        <v>1</v>
      </c>
      <c r="K2527">
        <v>21.46</v>
      </c>
      <c r="L2527">
        <v>4</v>
      </c>
      <c r="M2527">
        <v>13</v>
      </c>
      <c r="N2527">
        <v>5</v>
      </c>
      <c r="O2527">
        <f t="shared" si="39"/>
        <v>1</v>
      </c>
    </row>
    <row r="2528" spans="1:15">
      <c r="A2528">
        <v>450</v>
      </c>
      <c r="B2528" s="1">
        <v>45673</v>
      </c>
      <c r="C2528">
        <v>29</v>
      </c>
      <c r="D2528" t="s">
        <v>14</v>
      </c>
      <c r="E2528" t="s">
        <v>24</v>
      </c>
      <c r="F2528" t="s">
        <v>21</v>
      </c>
      <c r="H2528">
        <v>424.5</v>
      </c>
      <c r="I2528" s="13">
        <v>5</v>
      </c>
      <c r="J2528">
        <v>1</v>
      </c>
      <c r="K2528">
        <v>19.93</v>
      </c>
      <c r="L2528">
        <v>2</v>
      </c>
      <c r="M2528">
        <v>14</v>
      </c>
      <c r="N2528">
        <v>3</v>
      </c>
      <c r="O2528">
        <f t="shared" si="39"/>
        <v>1</v>
      </c>
    </row>
    <row r="2529" spans="1:15">
      <c r="A2529">
        <v>1796</v>
      </c>
      <c r="B2529" s="1">
        <v>45673</v>
      </c>
      <c r="C2529">
        <v>46</v>
      </c>
      <c r="D2529" t="s">
        <v>17</v>
      </c>
      <c r="E2529" t="s">
        <v>24</v>
      </c>
      <c r="F2529" t="s">
        <v>18</v>
      </c>
      <c r="G2529" t="s">
        <v>26</v>
      </c>
      <c r="H2529">
        <v>636.79999999999995</v>
      </c>
      <c r="I2529" s="13">
        <v>6</v>
      </c>
      <c r="J2529">
        <v>0</v>
      </c>
      <c r="K2529">
        <v>0</v>
      </c>
      <c r="L2529">
        <v>0</v>
      </c>
      <c r="M2529">
        <v>0</v>
      </c>
      <c r="O2529">
        <f t="shared" si="39"/>
        <v>1</v>
      </c>
    </row>
    <row r="2530" spans="1:15">
      <c r="A2530">
        <v>2545</v>
      </c>
      <c r="B2530" s="1">
        <v>45673</v>
      </c>
      <c r="C2530">
        <v>33</v>
      </c>
      <c r="D2530" t="s">
        <v>17</v>
      </c>
      <c r="E2530" t="s">
        <v>20</v>
      </c>
      <c r="F2530" t="s">
        <v>16</v>
      </c>
      <c r="H2530">
        <v>539.9</v>
      </c>
      <c r="I2530" s="13">
        <v>2</v>
      </c>
      <c r="J2530">
        <v>0</v>
      </c>
      <c r="K2530">
        <v>0</v>
      </c>
      <c r="L2530">
        <v>0</v>
      </c>
      <c r="M2530">
        <v>0</v>
      </c>
      <c r="O2530">
        <f t="shared" si="39"/>
        <v>1</v>
      </c>
    </row>
    <row r="2531" spans="1:15">
      <c r="A2531">
        <v>4162</v>
      </c>
      <c r="B2531" s="1">
        <v>45673</v>
      </c>
      <c r="C2531">
        <v>31</v>
      </c>
      <c r="D2531" t="s">
        <v>17</v>
      </c>
      <c r="E2531" t="s">
        <v>15</v>
      </c>
      <c r="F2531" t="s">
        <v>18</v>
      </c>
      <c r="G2531" t="s">
        <v>26</v>
      </c>
      <c r="H2531">
        <v>510.8</v>
      </c>
      <c r="I2531" s="13">
        <v>7</v>
      </c>
      <c r="J2531">
        <v>0</v>
      </c>
      <c r="K2531">
        <v>0</v>
      </c>
      <c r="L2531">
        <v>0</v>
      </c>
      <c r="M2531">
        <v>0</v>
      </c>
      <c r="O2531">
        <f t="shared" si="39"/>
        <v>1</v>
      </c>
    </row>
    <row r="2532" spans="1:15">
      <c r="A2532">
        <v>3517</v>
      </c>
      <c r="B2532" s="1">
        <v>45673</v>
      </c>
      <c r="C2532">
        <v>30</v>
      </c>
      <c r="D2532" t="s">
        <v>14</v>
      </c>
      <c r="E2532" t="s">
        <v>20</v>
      </c>
      <c r="F2532" t="s">
        <v>18</v>
      </c>
      <c r="G2532" t="s">
        <v>28</v>
      </c>
      <c r="H2532">
        <v>509.1</v>
      </c>
      <c r="I2532" s="13">
        <v>10</v>
      </c>
      <c r="J2532">
        <v>0</v>
      </c>
      <c r="K2532">
        <v>0</v>
      </c>
      <c r="L2532">
        <v>0</v>
      </c>
      <c r="M2532">
        <v>0</v>
      </c>
      <c r="O2532">
        <f t="shared" si="39"/>
        <v>1</v>
      </c>
    </row>
    <row r="2533" spans="1:15">
      <c r="A2533">
        <v>900</v>
      </c>
      <c r="B2533" s="1">
        <v>45673</v>
      </c>
      <c r="C2533">
        <v>25</v>
      </c>
      <c r="D2533" t="s">
        <v>14</v>
      </c>
      <c r="E2533" t="s">
        <v>22</v>
      </c>
      <c r="F2533" t="s">
        <v>18</v>
      </c>
      <c r="G2533" t="s">
        <v>30</v>
      </c>
      <c r="H2533">
        <v>485.6</v>
      </c>
      <c r="I2533" s="13">
        <v>9</v>
      </c>
      <c r="J2533">
        <v>0</v>
      </c>
      <c r="K2533">
        <v>0</v>
      </c>
      <c r="L2533">
        <v>0</v>
      </c>
      <c r="M2533">
        <v>0</v>
      </c>
      <c r="O2533">
        <f t="shared" si="39"/>
        <v>1</v>
      </c>
    </row>
    <row r="2534" spans="1:15">
      <c r="A2534">
        <v>2307</v>
      </c>
      <c r="B2534" s="1">
        <v>45673</v>
      </c>
      <c r="C2534">
        <v>21</v>
      </c>
      <c r="D2534" t="s">
        <v>17</v>
      </c>
      <c r="E2534" t="s">
        <v>24</v>
      </c>
      <c r="F2534" t="s">
        <v>18</v>
      </c>
      <c r="G2534" t="s">
        <v>26</v>
      </c>
      <c r="H2534">
        <v>482.2</v>
      </c>
      <c r="I2534" s="13">
        <v>9</v>
      </c>
      <c r="J2534">
        <v>0</v>
      </c>
      <c r="K2534">
        <v>0</v>
      </c>
      <c r="L2534">
        <v>0</v>
      </c>
      <c r="M2534">
        <v>0</v>
      </c>
      <c r="O2534">
        <f t="shared" si="39"/>
        <v>1</v>
      </c>
    </row>
    <row r="2535" spans="1:15">
      <c r="A2535">
        <v>651</v>
      </c>
      <c r="B2535" s="1">
        <v>45673</v>
      </c>
      <c r="C2535">
        <v>28</v>
      </c>
      <c r="D2535" t="s">
        <v>14</v>
      </c>
      <c r="E2535" t="s">
        <v>22</v>
      </c>
      <c r="F2535" t="s">
        <v>21</v>
      </c>
      <c r="H2535">
        <v>398.6</v>
      </c>
      <c r="I2535" s="13">
        <v>4</v>
      </c>
      <c r="J2535">
        <v>0</v>
      </c>
      <c r="K2535">
        <v>0</v>
      </c>
      <c r="L2535">
        <v>0</v>
      </c>
      <c r="M2535">
        <v>0</v>
      </c>
      <c r="O2535">
        <f t="shared" si="39"/>
        <v>1</v>
      </c>
    </row>
    <row r="2536" spans="1:15">
      <c r="A2536">
        <v>1599</v>
      </c>
      <c r="B2536" s="1">
        <v>45673</v>
      </c>
      <c r="C2536">
        <v>33</v>
      </c>
      <c r="D2536" t="s">
        <v>17</v>
      </c>
      <c r="E2536" t="s">
        <v>20</v>
      </c>
      <c r="F2536" t="s">
        <v>23</v>
      </c>
      <c r="H2536">
        <v>357.8</v>
      </c>
      <c r="I2536" s="13">
        <v>6</v>
      </c>
      <c r="J2536">
        <v>0</v>
      </c>
      <c r="K2536">
        <v>0</v>
      </c>
      <c r="L2536">
        <v>0</v>
      </c>
      <c r="M2536">
        <v>0</v>
      </c>
      <c r="O2536">
        <f t="shared" si="39"/>
        <v>1</v>
      </c>
    </row>
    <row r="2537" spans="1:15">
      <c r="A2537">
        <v>202</v>
      </c>
      <c r="B2537" s="1">
        <v>45673</v>
      </c>
      <c r="C2537">
        <v>27</v>
      </c>
      <c r="D2537" t="s">
        <v>14</v>
      </c>
      <c r="E2537" t="s">
        <v>22</v>
      </c>
      <c r="F2537" t="s">
        <v>16</v>
      </c>
      <c r="H2537">
        <v>338.5</v>
      </c>
      <c r="I2537" s="13">
        <v>7</v>
      </c>
      <c r="J2537">
        <v>0</v>
      </c>
      <c r="K2537">
        <v>0</v>
      </c>
      <c r="L2537">
        <v>0</v>
      </c>
      <c r="M2537">
        <v>0</v>
      </c>
      <c r="O2537">
        <f t="shared" si="39"/>
        <v>1</v>
      </c>
    </row>
    <row r="2538" spans="1:15">
      <c r="A2538">
        <v>4540</v>
      </c>
      <c r="B2538" s="1">
        <v>45673</v>
      </c>
      <c r="C2538">
        <v>50</v>
      </c>
      <c r="D2538" t="s">
        <v>27</v>
      </c>
      <c r="E2538" t="s">
        <v>15</v>
      </c>
      <c r="F2538" t="s">
        <v>16</v>
      </c>
      <c r="H2538">
        <v>307.7</v>
      </c>
      <c r="I2538" s="13">
        <v>8</v>
      </c>
      <c r="J2538">
        <v>0</v>
      </c>
      <c r="K2538">
        <v>0</v>
      </c>
      <c r="L2538">
        <v>0</v>
      </c>
      <c r="M2538">
        <v>0</v>
      </c>
      <c r="O2538">
        <f t="shared" si="39"/>
        <v>1</v>
      </c>
    </row>
    <row r="2539" spans="1:15">
      <c r="A2539">
        <v>435</v>
      </c>
      <c r="B2539" s="1">
        <v>45673</v>
      </c>
      <c r="C2539">
        <v>18</v>
      </c>
      <c r="D2539" t="s">
        <v>17</v>
      </c>
      <c r="E2539" t="s">
        <v>15</v>
      </c>
      <c r="F2539" t="s">
        <v>23</v>
      </c>
      <c r="H2539">
        <v>294.10000000000002</v>
      </c>
      <c r="I2539" s="13">
        <v>2</v>
      </c>
      <c r="J2539">
        <v>0</v>
      </c>
      <c r="K2539">
        <v>0</v>
      </c>
      <c r="L2539">
        <v>0</v>
      </c>
      <c r="M2539">
        <v>0</v>
      </c>
      <c r="O2539">
        <f t="shared" si="39"/>
        <v>1</v>
      </c>
    </row>
    <row r="2540" spans="1:15">
      <c r="A2540">
        <v>3379</v>
      </c>
      <c r="B2540" s="1">
        <v>45673</v>
      </c>
      <c r="C2540">
        <v>40</v>
      </c>
      <c r="D2540" t="s">
        <v>27</v>
      </c>
      <c r="E2540" t="s">
        <v>22</v>
      </c>
      <c r="F2540" t="s">
        <v>23</v>
      </c>
      <c r="H2540">
        <v>272.60000000000002</v>
      </c>
      <c r="I2540" s="13">
        <v>10</v>
      </c>
      <c r="J2540">
        <v>0</v>
      </c>
      <c r="K2540">
        <v>0</v>
      </c>
      <c r="L2540">
        <v>0</v>
      </c>
      <c r="M2540">
        <v>0</v>
      </c>
      <c r="O2540">
        <f t="shared" si="39"/>
        <v>1</v>
      </c>
    </row>
    <row r="2541" spans="1:15">
      <c r="A2541">
        <v>300</v>
      </c>
      <c r="B2541" s="1">
        <v>45673</v>
      </c>
      <c r="C2541">
        <v>29</v>
      </c>
      <c r="D2541" t="s">
        <v>14</v>
      </c>
      <c r="E2541" t="s">
        <v>24</v>
      </c>
      <c r="F2541" t="s">
        <v>16</v>
      </c>
      <c r="H2541">
        <v>259.10000000000002</v>
      </c>
      <c r="I2541" s="13">
        <v>4</v>
      </c>
      <c r="J2541">
        <v>0</v>
      </c>
      <c r="K2541">
        <v>0</v>
      </c>
      <c r="L2541">
        <v>0</v>
      </c>
      <c r="M2541">
        <v>0</v>
      </c>
      <c r="O2541">
        <f t="shared" si="39"/>
        <v>1</v>
      </c>
    </row>
    <row r="2542" spans="1:15">
      <c r="A2542">
        <v>3991</v>
      </c>
      <c r="B2542" s="1">
        <v>45673</v>
      </c>
      <c r="C2542">
        <v>48</v>
      </c>
      <c r="D2542" t="s">
        <v>14</v>
      </c>
      <c r="E2542" t="s">
        <v>15</v>
      </c>
      <c r="F2542" t="s">
        <v>18</v>
      </c>
      <c r="G2542" t="s">
        <v>31</v>
      </c>
      <c r="H2542">
        <v>245.9</v>
      </c>
      <c r="I2542" s="13">
        <v>7</v>
      </c>
      <c r="J2542">
        <v>0</v>
      </c>
      <c r="K2542">
        <v>0</v>
      </c>
      <c r="L2542">
        <v>0</v>
      </c>
      <c r="M2542">
        <v>0</v>
      </c>
      <c r="O2542">
        <f t="shared" si="39"/>
        <v>1</v>
      </c>
    </row>
    <row r="2543" spans="1:15">
      <c r="A2543">
        <v>3616</v>
      </c>
      <c r="B2543" s="1">
        <v>45673</v>
      </c>
      <c r="C2543">
        <v>35</v>
      </c>
      <c r="D2543" t="s">
        <v>17</v>
      </c>
      <c r="E2543" t="s">
        <v>24</v>
      </c>
      <c r="F2543" t="s">
        <v>23</v>
      </c>
      <c r="H2543">
        <v>233.1</v>
      </c>
      <c r="I2543" s="13">
        <v>5</v>
      </c>
      <c r="J2543">
        <v>0</v>
      </c>
      <c r="K2543">
        <v>0</v>
      </c>
      <c r="L2543">
        <v>0</v>
      </c>
      <c r="M2543">
        <v>0</v>
      </c>
      <c r="O2543">
        <f t="shared" si="39"/>
        <v>1</v>
      </c>
    </row>
    <row r="2544" spans="1:15">
      <c r="A2544">
        <v>4329</v>
      </c>
      <c r="B2544" s="1">
        <v>45673</v>
      </c>
      <c r="C2544">
        <v>35</v>
      </c>
      <c r="D2544" t="s">
        <v>14</v>
      </c>
      <c r="E2544" t="s">
        <v>22</v>
      </c>
      <c r="F2544" t="s">
        <v>18</v>
      </c>
      <c r="G2544" t="s">
        <v>26</v>
      </c>
      <c r="H2544">
        <v>170</v>
      </c>
      <c r="I2544" s="13">
        <v>9</v>
      </c>
      <c r="J2544">
        <v>0</v>
      </c>
      <c r="K2544">
        <v>0</v>
      </c>
      <c r="L2544">
        <v>0</v>
      </c>
      <c r="M2544">
        <v>0</v>
      </c>
      <c r="O2544">
        <f t="shared" si="39"/>
        <v>1</v>
      </c>
    </row>
    <row r="2545" spans="1:15">
      <c r="A2545">
        <v>441</v>
      </c>
      <c r="B2545" s="1">
        <v>45673</v>
      </c>
      <c r="C2545">
        <v>22</v>
      </c>
      <c r="D2545" t="s">
        <v>17</v>
      </c>
      <c r="E2545" t="s">
        <v>20</v>
      </c>
      <c r="F2545" t="s">
        <v>18</v>
      </c>
      <c r="G2545" t="s">
        <v>29</v>
      </c>
      <c r="H2545">
        <v>168.8</v>
      </c>
      <c r="I2545" s="13">
        <v>3</v>
      </c>
      <c r="J2545">
        <v>0</v>
      </c>
      <c r="K2545">
        <v>0</v>
      </c>
      <c r="L2545">
        <v>0</v>
      </c>
      <c r="M2545">
        <v>0</v>
      </c>
      <c r="O2545">
        <f t="shared" si="39"/>
        <v>1</v>
      </c>
    </row>
    <row r="2546" spans="1:15">
      <c r="A2546">
        <v>1951</v>
      </c>
      <c r="B2546" s="1">
        <v>45673</v>
      </c>
      <c r="C2546">
        <v>24</v>
      </c>
      <c r="D2546" t="s">
        <v>14</v>
      </c>
      <c r="E2546" t="s">
        <v>22</v>
      </c>
      <c r="F2546" t="s">
        <v>18</v>
      </c>
      <c r="G2546" t="s">
        <v>29</v>
      </c>
      <c r="H2546">
        <v>145.9</v>
      </c>
      <c r="I2546" s="13">
        <v>7</v>
      </c>
      <c r="J2546">
        <v>0</v>
      </c>
      <c r="K2546">
        <v>0</v>
      </c>
      <c r="L2546">
        <v>0</v>
      </c>
      <c r="M2546">
        <v>0</v>
      </c>
      <c r="O2546">
        <f t="shared" si="39"/>
        <v>1</v>
      </c>
    </row>
    <row r="2547" spans="1:15">
      <c r="A2547">
        <v>1127</v>
      </c>
      <c r="B2547" s="1">
        <v>45673</v>
      </c>
      <c r="C2547">
        <v>25</v>
      </c>
      <c r="D2547" t="s">
        <v>17</v>
      </c>
      <c r="E2547" t="s">
        <v>15</v>
      </c>
      <c r="F2547" t="s">
        <v>21</v>
      </c>
      <c r="H2547">
        <v>130.80000000000001</v>
      </c>
      <c r="I2547" s="13">
        <v>5</v>
      </c>
      <c r="J2547">
        <v>0</v>
      </c>
      <c r="K2547">
        <v>0</v>
      </c>
      <c r="L2547">
        <v>0</v>
      </c>
      <c r="M2547">
        <v>0</v>
      </c>
      <c r="O2547">
        <f t="shared" si="39"/>
        <v>1</v>
      </c>
    </row>
    <row r="2548" spans="1:15">
      <c r="A2548">
        <v>847</v>
      </c>
      <c r="B2548" s="1">
        <v>45673</v>
      </c>
      <c r="C2548">
        <v>18</v>
      </c>
      <c r="D2548" t="s">
        <v>17</v>
      </c>
      <c r="E2548" t="s">
        <v>24</v>
      </c>
      <c r="F2548" t="s">
        <v>16</v>
      </c>
      <c r="H2548">
        <v>121.6</v>
      </c>
      <c r="I2548" s="13">
        <v>6</v>
      </c>
      <c r="J2548">
        <v>0</v>
      </c>
      <c r="K2548">
        <v>0</v>
      </c>
      <c r="L2548">
        <v>0</v>
      </c>
      <c r="M2548">
        <v>0</v>
      </c>
      <c r="O2548">
        <f t="shared" si="39"/>
        <v>1</v>
      </c>
    </row>
    <row r="2549" spans="1:15">
      <c r="A2549">
        <v>57</v>
      </c>
      <c r="B2549" s="1">
        <v>45673</v>
      </c>
      <c r="C2549">
        <v>33</v>
      </c>
      <c r="D2549" t="s">
        <v>14</v>
      </c>
      <c r="E2549" t="s">
        <v>22</v>
      </c>
      <c r="F2549" t="s">
        <v>18</v>
      </c>
      <c r="G2549" t="s">
        <v>31</v>
      </c>
      <c r="H2549">
        <v>83.8</v>
      </c>
      <c r="I2549" s="13">
        <v>8</v>
      </c>
      <c r="J2549">
        <v>0</v>
      </c>
      <c r="K2549">
        <v>0</v>
      </c>
      <c r="L2549">
        <v>0</v>
      </c>
      <c r="M2549">
        <v>0</v>
      </c>
      <c r="O2549">
        <f t="shared" si="39"/>
        <v>1</v>
      </c>
    </row>
    <row r="2550" spans="1:15">
      <c r="A2550">
        <v>3943</v>
      </c>
      <c r="B2550" s="1">
        <v>45673</v>
      </c>
      <c r="C2550">
        <v>51</v>
      </c>
      <c r="D2550" t="s">
        <v>17</v>
      </c>
      <c r="E2550" t="s">
        <v>20</v>
      </c>
      <c r="F2550" t="s">
        <v>18</v>
      </c>
      <c r="G2550" t="s">
        <v>25</v>
      </c>
      <c r="H2550">
        <v>75.2</v>
      </c>
      <c r="I2550" s="13">
        <v>4</v>
      </c>
      <c r="J2550">
        <v>0</v>
      </c>
      <c r="K2550">
        <v>0</v>
      </c>
      <c r="L2550">
        <v>0</v>
      </c>
      <c r="M2550">
        <v>0</v>
      </c>
      <c r="O2550">
        <f t="shared" si="39"/>
        <v>1</v>
      </c>
    </row>
    <row r="2551" spans="1:15">
      <c r="A2551">
        <v>45</v>
      </c>
      <c r="B2551" s="1">
        <v>45704</v>
      </c>
      <c r="C2551">
        <v>28</v>
      </c>
      <c r="D2551" t="s">
        <v>14</v>
      </c>
      <c r="E2551" t="s">
        <v>22</v>
      </c>
      <c r="F2551" t="s">
        <v>18</v>
      </c>
      <c r="G2551" t="s">
        <v>30</v>
      </c>
      <c r="H2551">
        <v>373.3</v>
      </c>
      <c r="I2551" s="13">
        <v>12</v>
      </c>
      <c r="J2551">
        <v>1</v>
      </c>
      <c r="K2551">
        <v>425</v>
      </c>
      <c r="L2551">
        <v>3</v>
      </c>
      <c r="M2551">
        <v>15</v>
      </c>
      <c r="N2551">
        <v>4</v>
      </c>
      <c r="O2551">
        <f t="shared" si="39"/>
        <v>2</v>
      </c>
    </row>
    <row r="2552" spans="1:15">
      <c r="A2552">
        <v>3384</v>
      </c>
      <c r="B2552" s="1">
        <v>45704</v>
      </c>
      <c r="C2552">
        <v>41</v>
      </c>
      <c r="D2552" t="s">
        <v>17</v>
      </c>
      <c r="E2552" t="s">
        <v>15</v>
      </c>
      <c r="F2552" t="s">
        <v>16</v>
      </c>
      <c r="H2552">
        <v>91.9</v>
      </c>
      <c r="I2552" s="13">
        <v>7</v>
      </c>
      <c r="J2552">
        <v>1</v>
      </c>
      <c r="K2552">
        <v>166.92</v>
      </c>
      <c r="L2552">
        <v>3</v>
      </c>
      <c r="M2552">
        <v>10</v>
      </c>
      <c r="N2552">
        <v>5</v>
      </c>
      <c r="O2552">
        <f t="shared" si="39"/>
        <v>2</v>
      </c>
    </row>
    <row r="2553" spans="1:15">
      <c r="A2553">
        <v>580</v>
      </c>
      <c r="B2553" s="1">
        <v>45704</v>
      </c>
      <c r="C2553">
        <v>30</v>
      </c>
      <c r="D2553" t="s">
        <v>17</v>
      </c>
      <c r="E2553" t="s">
        <v>20</v>
      </c>
      <c r="F2553" t="s">
        <v>16</v>
      </c>
      <c r="H2553">
        <v>234.4</v>
      </c>
      <c r="I2553" s="13">
        <v>6</v>
      </c>
      <c r="J2553">
        <v>1</v>
      </c>
      <c r="K2553">
        <v>118.81</v>
      </c>
      <c r="L2553">
        <v>2</v>
      </c>
      <c r="M2553">
        <v>12</v>
      </c>
      <c r="N2553">
        <v>4</v>
      </c>
      <c r="O2553">
        <f t="shared" si="39"/>
        <v>2</v>
      </c>
    </row>
    <row r="2554" spans="1:15">
      <c r="A2554">
        <v>2794</v>
      </c>
      <c r="B2554" s="1">
        <v>45704</v>
      </c>
      <c r="C2554">
        <v>39</v>
      </c>
      <c r="D2554" t="s">
        <v>14</v>
      </c>
      <c r="E2554" t="s">
        <v>15</v>
      </c>
      <c r="F2554" t="s">
        <v>16</v>
      </c>
      <c r="H2554">
        <v>479.4</v>
      </c>
      <c r="I2554" s="13">
        <v>7</v>
      </c>
      <c r="J2554">
        <v>1</v>
      </c>
      <c r="K2554">
        <v>103.34</v>
      </c>
      <c r="L2554">
        <v>4</v>
      </c>
      <c r="M2554">
        <v>5</v>
      </c>
      <c r="N2554">
        <v>3</v>
      </c>
      <c r="O2554">
        <f t="shared" si="39"/>
        <v>2</v>
      </c>
    </row>
    <row r="2555" spans="1:15">
      <c r="A2555">
        <v>185</v>
      </c>
      <c r="B2555" s="1">
        <v>45704</v>
      </c>
      <c r="C2555">
        <v>21</v>
      </c>
      <c r="D2555" t="s">
        <v>17</v>
      </c>
      <c r="E2555" t="s">
        <v>22</v>
      </c>
      <c r="F2555" t="s">
        <v>23</v>
      </c>
      <c r="H2555">
        <v>805.5</v>
      </c>
      <c r="I2555" s="13">
        <v>5</v>
      </c>
      <c r="J2555">
        <v>1</v>
      </c>
      <c r="K2555">
        <v>90.03</v>
      </c>
      <c r="L2555">
        <v>3</v>
      </c>
      <c r="M2555">
        <v>3</v>
      </c>
      <c r="N2555">
        <v>5</v>
      </c>
      <c r="O2555">
        <f t="shared" si="39"/>
        <v>2</v>
      </c>
    </row>
    <row r="2556" spans="1:15">
      <c r="A2556">
        <v>682</v>
      </c>
      <c r="B2556" s="1">
        <v>45704</v>
      </c>
      <c r="C2556">
        <v>29</v>
      </c>
      <c r="D2556" t="s">
        <v>17</v>
      </c>
      <c r="E2556" t="s">
        <v>15</v>
      </c>
      <c r="F2556" t="s">
        <v>23</v>
      </c>
      <c r="H2556">
        <v>367.5</v>
      </c>
      <c r="I2556" s="13">
        <v>8</v>
      </c>
      <c r="J2556">
        <v>1</v>
      </c>
      <c r="K2556">
        <v>80.69</v>
      </c>
      <c r="L2556">
        <v>2</v>
      </c>
      <c r="M2556">
        <v>5</v>
      </c>
      <c r="N2556">
        <v>4</v>
      </c>
      <c r="O2556">
        <f t="shared" si="39"/>
        <v>2</v>
      </c>
    </row>
    <row r="2557" spans="1:15">
      <c r="A2557">
        <v>1748</v>
      </c>
      <c r="B2557" s="1">
        <v>45704</v>
      </c>
      <c r="C2557">
        <v>24</v>
      </c>
      <c r="D2557" t="s">
        <v>17</v>
      </c>
      <c r="E2557" t="s">
        <v>24</v>
      </c>
      <c r="F2557" t="s">
        <v>16</v>
      </c>
      <c r="H2557">
        <v>355.2</v>
      </c>
      <c r="I2557" s="13">
        <v>6</v>
      </c>
      <c r="J2557">
        <v>1</v>
      </c>
      <c r="K2557">
        <v>72.069999999999993</v>
      </c>
      <c r="L2557">
        <v>2</v>
      </c>
      <c r="M2557">
        <v>3</v>
      </c>
      <c r="N2557">
        <v>4</v>
      </c>
      <c r="O2557">
        <f t="shared" si="39"/>
        <v>2</v>
      </c>
    </row>
    <row r="2558" spans="1:15">
      <c r="A2558">
        <v>930</v>
      </c>
      <c r="B2558" s="1">
        <v>45704</v>
      </c>
      <c r="C2558">
        <v>32</v>
      </c>
      <c r="D2558" t="s">
        <v>17</v>
      </c>
      <c r="E2558" t="s">
        <v>22</v>
      </c>
      <c r="F2558" t="s">
        <v>16</v>
      </c>
      <c r="H2558">
        <v>605.5</v>
      </c>
      <c r="I2558" s="13">
        <v>5</v>
      </c>
      <c r="J2558">
        <v>1</v>
      </c>
      <c r="K2558">
        <v>70.55</v>
      </c>
      <c r="L2558">
        <v>2</v>
      </c>
      <c r="M2558">
        <v>9</v>
      </c>
      <c r="N2558">
        <v>3</v>
      </c>
      <c r="O2558">
        <f t="shared" si="39"/>
        <v>2</v>
      </c>
    </row>
    <row r="2559" spans="1:15">
      <c r="A2559">
        <v>3105</v>
      </c>
      <c r="B2559" s="1">
        <v>45704</v>
      </c>
      <c r="C2559">
        <v>35</v>
      </c>
      <c r="D2559" t="s">
        <v>17</v>
      </c>
      <c r="E2559" t="s">
        <v>20</v>
      </c>
      <c r="F2559" t="s">
        <v>16</v>
      </c>
      <c r="H2559">
        <v>332.1</v>
      </c>
      <c r="I2559" s="13">
        <v>6</v>
      </c>
      <c r="J2559">
        <v>1</v>
      </c>
      <c r="K2559">
        <v>69.5</v>
      </c>
      <c r="L2559">
        <v>4</v>
      </c>
      <c r="M2559">
        <v>6</v>
      </c>
      <c r="N2559">
        <v>5</v>
      </c>
      <c r="O2559">
        <f t="shared" si="39"/>
        <v>2</v>
      </c>
    </row>
    <row r="2560" spans="1:15">
      <c r="A2560">
        <v>4099</v>
      </c>
      <c r="B2560" s="1">
        <v>45704</v>
      </c>
      <c r="C2560">
        <v>48</v>
      </c>
      <c r="D2560" t="s">
        <v>14</v>
      </c>
      <c r="E2560" t="s">
        <v>15</v>
      </c>
      <c r="F2560" t="s">
        <v>21</v>
      </c>
      <c r="H2560">
        <v>628.6</v>
      </c>
      <c r="I2560" s="13">
        <v>7</v>
      </c>
      <c r="J2560">
        <v>1</v>
      </c>
      <c r="K2560">
        <v>68.16</v>
      </c>
      <c r="L2560">
        <v>2</v>
      </c>
      <c r="M2560">
        <v>5</v>
      </c>
      <c r="N2560">
        <v>4</v>
      </c>
      <c r="O2560">
        <f t="shared" si="39"/>
        <v>2</v>
      </c>
    </row>
    <row r="2561" spans="1:15">
      <c r="A2561">
        <v>909</v>
      </c>
      <c r="B2561" s="1">
        <v>45704</v>
      </c>
      <c r="C2561">
        <v>18</v>
      </c>
      <c r="D2561" t="s">
        <v>17</v>
      </c>
      <c r="E2561" t="s">
        <v>22</v>
      </c>
      <c r="F2561" t="s">
        <v>16</v>
      </c>
      <c r="H2561">
        <v>229.1</v>
      </c>
      <c r="I2561" s="13">
        <v>5</v>
      </c>
      <c r="J2561">
        <v>1</v>
      </c>
      <c r="K2561">
        <v>61.59</v>
      </c>
      <c r="L2561">
        <v>2</v>
      </c>
      <c r="M2561">
        <v>7</v>
      </c>
      <c r="N2561">
        <v>3</v>
      </c>
      <c r="O2561">
        <f t="shared" si="39"/>
        <v>2</v>
      </c>
    </row>
    <row r="2562" spans="1:15">
      <c r="A2562">
        <v>4016</v>
      </c>
      <c r="B2562" s="1">
        <v>45704</v>
      </c>
      <c r="C2562">
        <v>72</v>
      </c>
      <c r="D2562" t="s">
        <v>14</v>
      </c>
      <c r="E2562" t="s">
        <v>20</v>
      </c>
      <c r="F2562" t="s">
        <v>18</v>
      </c>
      <c r="G2562" t="s">
        <v>31</v>
      </c>
      <c r="H2562">
        <v>411.6</v>
      </c>
      <c r="I2562" s="13">
        <v>6</v>
      </c>
      <c r="J2562">
        <v>1</v>
      </c>
      <c r="K2562">
        <v>59.24</v>
      </c>
      <c r="L2562">
        <v>1</v>
      </c>
      <c r="M2562">
        <v>12</v>
      </c>
      <c r="N2562">
        <v>4</v>
      </c>
      <c r="O2562">
        <f t="shared" si="39"/>
        <v>2</v>
      </c>
    </row>
    <row r="2563" spans="1:15">
      <c r="A2563">
        <v>2029</v>
      </c>
      <c r="B2563" s="1">
        <v>45704</v>
      </c>
      <c r="C2563">
        <v>43</v>
      </c>
      <c r="D2563" t="s">
        <v>17</v>
      </c>
      <c r="E2563" t="s">
        <v>15</v>
      </c>
      <c r="F2563" t="s">
        <v>16</v>
      </c>
      <c r="H2563">
        <v>259.7</v>
      </c>
      <c r="I2563" s="13">
        <v>2</v>
      </c>
      <c r="J2563">
        <v>1</v>
      </c>
      <c r="K2563">
        <v>55.08</v>
      </c>
      <c r="L2563">
        <v>4</v>
      </c>
      <c r="M2563">
        <v>11</v>
      </c>
      <c r="N2563">
        <v>4</v>
      </c>
      <c r="O2563">
        <f t="shared" ref="O2563:O2626" si="40">MONTH(B2563)</f>
        <v>2</v>
      </c>
    </row>
    <row r="2564" spans="1:15">
      <c r="A2564">
        <v>4926</v>
      </c>
      <c r="B2564" s="1">
        <v>45704</v>
      </c>
      <c r="C2564">
        <v>42</v>
      </c>
      <c r="D2564" t="s">
        <v>17</v>
      </c>
      <c r="E2564" t="s">
        <v>20</v>
      </c>
      <c r="F2564" t="s">
        <v>18</v>
      </c>
      <c r="G2564" t="s">
        <v>28</v>
      </c>
      <c r="H2564">
        <v>581.5</v>
      </c>
      <c r="I2564" s="13">
        <v>7</v>
      </c>
      <c r="J2564">
        <v>1</v>
      </c>
      <c r="K2564">
        <v>48.73</v>
      </c>
      <c r="L2564">
        <v>5</v>
      </c>
      <c r="M2564">
        <v>13</v>
      </c>
      <c r="N2564">
        <v>4</v>
      </c>
      <c r="O2564">
        <f t="shared" si="40"/>
        <v>2</v>
      </c>
    </row>
    <row r="2565" spans="1:15">
      <c r="A2565">
        <v>2191</v>
      </c>
      <c r="B2565" s="1">
        <v>45704</v>
      </c>
      <c r="C2565">
        <v>50</v>
      </c>
      <c r="D2565" t="s">
        <v>17</v>
      </c>
      <c r="E2565" t="s">
        <v>24</v>
      </c>
      <c r="F2565" t="s">
        <v>18</v>
      </c>
      <c r="G2565" t="s">
        <v>30</v>
      </c>
      <c r="H2565">
        <v>389.7</v>
      </c>
      <c r="I2565" s="13">
        <v>6</v>
      </c>
      <c r="J2565">
        <v>1</v>
      </c>
      <c r="K2565">
        <v>36.119999999999997</v>
      </c>
      <c r="L2565">
        <v>5</v>
      </c>
      <c r="M2565">
        <v>10</v>
      </c>
      <c r="N2565">
        <v>4</v>
      </c>
      <c r="O2565">
        <f t="shared" si="40"/>
        <v>2</v>
      </c>
    </row>
    <row r="2566" spans="1:15">
      <c r="A2566">
        <v>4567</v>
      </c>
      <c r="B2566" s="1">
        <v>45704</v>
      </c>
      <c r="C2566">
        <v>44</v>
      </c>
      <c r="D2566" t="s">
        <v>17</v>
      </c>
      <c r="E2566" t="s">
        <v>24</v>
      </c>
      <c r="F2566" t="s">
        <v>16</v>
      </c>
      <c r="H2566">
        <v>439.7</v>
      </c>
      <c r="I2566" s="13">
        <v>6</v>
      </c>
      <c r="J2566">
        <v>1</v>
      </c>
      <c r="K2566">
        <v>22</v>
      </c>
      <c r="L2566">
        <v>2</v>
      </c>
      <c r="M2566">
        <v>2</v>
      </c>
      <c r="N2566">
        <v>4</v>
      </c>
      <c r="O2566">
        <f t="shared" si="40"/>
        <v>2</v>
      </c>
    </row>
    <row r="2567" spans="1:15">
      <c r="A2567">
        <v>2068</v>
      </c>
      <c r="B2567" s="1">
        <v>45704</v>
      </c>
      <c r="C2567">
        <v>28</v>
      </c>
      <c r="D2567" t="s">
        <v>14</v>
      </c>
      <c r="E2567" t="s">
        <v>22</v>
      </c>
      <c r="F2567" t="s">
        <v>16</v>
      </c>
      <c r="H2567">
        <v>417.7</v>
      </c>
      <c r="I2567" s="13">
        <v>6</v>
      </c>
      <c r="J2567">
        <v>1</v>
      </c>
      <c r="K2567">
        <v>20.75</v>
      </c>
      <c r="L2567">
        <v>1</v>
      </c>
      <c r="M2567">
        <v>10</v>
      </c>
      <c r="N2567">
        <v>4</v>
      </c>
      <c r="O2567">
        <f t="shared" si="40"/>
        <v>2</v>
      </c>
    </row>
    <row r="2568" spans="1:15">
      <c r="A2568">
        <v>2753</v>
      </c>
      <c r="B2568" s="1">
        <v>45704</v>
      </c>
      <c r="C2568">
        <v>39</v>
      </c>
      <c r="D2568" t="s">
        <v>14</v>
      </c>
      <c r="E2568" t="s">
        <v>15</v>
      </c>
      <c r="F2568" t="s">
        <v>18</v>
      </c>
      <c r="G2568" t="s">
        <v>25</v>
      </c>
      <c r="H2568">
        <v>782.6</v>
      </c>
      <c r="I2568" s="13">
        <v>7</v>
      </c>
      <c r="J2568">
        <v>1</v>
      </c>
      <c r="K2568">
        <v>20.61</v>
      </c>
      <c r="L2568">
        <v>2</v>
      </c>
      <c r="M2568">
        <v>5</v>
      </c>
      <c r="N2568">
        <v>3</v>
      </c>
      <c r="O2568">
        <f t="shared" si="40"/>
        <v>2</v>
      </c>
    </row>
    <row r="2569" spans="1:15">
      <c r="A2569">
        <v>1977</v>
      </c>
      <c r="B2569" s="1">
        <v>45704</v>
      </c>
      <c r="C2569">
        <v>40</v>
      </c>
      <c r="D2569" t="s">
        <v>14</v>
      </c>
      <c r="E2569" t="s">
        <v>20</v>
      </c>
      <c r="F2569" t="s">
        <v>16</v>
      </c>
      <c r="H2569">
        <v>817.3</v>
      </c>
      <c r="I2569" s="13">
        <v>5</v>
      </c>
      <c r="J2569">
        <v>1</v>
      </c>
      <c r="K2569">
        <v>18.489999999999998</v>
      </c>
      <c r="L2569">
        <v>3</v>
      </c>
      <c r="M2569">
        <v>13</v>
      </c>
      <c r="N2569">
        <v>4</v>
      </c>
      <c r="O2569">
        <f t="shared" si="40"/>
        <v>2</v>
      </c>
    </row>
    <row r="2570" spans="1:15">
      <c r="A2570">
        <v>1544</v>
      </c>
      <c r="B2570" s="1">
        <v>45704</v>
      </c>
      <c r="C2570">
        <v>29</v>
      </c>
      <c r="D2570" t="s">
        <v>17</v>
      </c>
      <c r="E2570" t="s">
        <v>20</v>
      </c>
      <c r="F2570" t="s">
        <v>18</v>
      </c>
      <c r="G2570" t="s">
        <v>26</v>
      </c>
      <c r="H2570">
        <v>305.8</v>
      </c>
      <c r="I2570" s="13">
        <v>6</v>
      </c>
      <c r="J2570">
        <v>1</v>
      </c>
      <c r="K2570">
        <v>15.92</v>
      </c>
      <c r="L2570">
        <v>6</v>
      </c>
      <c r="M2570">
        <v>4</v>
      </c>
      <c r="N2570">
        <v>4</v>
      </c>
      <c r="O2570">
        <f t="shared" si="40"/>
        <v>2</v>
      </c>
    </row>
    <row r="2571" spans="1:15">
      <c r="A2571">
        <v>3720</v>
      </c>
      <c r="B2571" s="1">
        <v>45704</v>
      </c>
      <c r="C2571">
        <v>36</v>
      </c>
      <c r="D2571" t="s">
        <v>14</v>
      </c>
      <c r="E2571" t="s">
        <v>22</v>
      </c>
      <c r="F2571" t="s">
        <v>18</v>
      </c>
      <c r="G2571" t="s">
        <v>30</v>
      </c>
      <c r="H2571">
        <v>224.9</v>
      </c>
      <c r="I2571" s="13">
        <v>7</v>
      </c>
      <c r="J2571">
        <v>1</v>
      </c>
      <c r="K2571">
        <v>15.77</v>
      </c>
      <c r="L2571">
        <v>2</v>
      </c>
      <c r="M2571">
        <v>14</v>
      </c>
      <c r="N2571">
        <v>5</v>
      </c>
      <c r="O2571">
        <f t="shared" si="40"/>
        <v>2</v>
      </c>
    </row>
    <row r="2572" spans="1:15">
      <c r="A2572">
        <v>3172</v>
      </c>
      <c r="B2572" s="1">
        <v>45704</v>
      </c>
      <c r="C2572">
        <v>27</v>
      </c>
      <c r="D2572" t="s">
        <v>14</v>
      </c>
      <c r="E2572" t="s">
        <v>15</v>
      </c>
      <c r="F2572" t="s">
        <v>16</v>
      </c>
      <c r="H2572">
        <v>611</v>
      </c>
      <c r="I2572" s="13">
        <v>10</v>
      </c>
      <c r="J2572">
        <v>0</v>
      </c>
      <c r="K2572">
        <v>0</v>
      </c>
      <c r="L2572">
        <v>0</v>
      </c>
      <c r="M2572">
        <v>0</v>
      </c>
      <c r="O2572">
        <f t="shared" si="40"/>
        <v>2</v>
      </c>
    </row>
    <row r="2573" spans="1:15">
      <c r="A2573">
        <v>3805</v>
      </c>
      <c r="B2573" s="1">
        <v>45704</v>
      </c>
      <c r="C2573">
        <v>64</v>
      </c>
      <c r="D2573" t="s">
        <v>17</v>
      </c>
      <c r="E2573" t="s">
        <v>22</v>
      </c>
      <c r="F2573" t="s">
        <v>21</v>
      </c>
      <c r="H2573">
        <v>555.1</v>
      </c>
      <c r="I2573" s="13">
        <v>8</v>
      </c>
      <c r="J2573">
        <v>0</v>
      </c>
      <c r="K2573">
        <v>0</v>
      </c>
      <c r="L2573">
        <v>0</v>
      </c>
      <c r="M2573">
        <v>0</v>
      </c>
      <c r="O2573">
        <f t="shared" si="40"/>
        <v>2</v>
      </c>
    </row>
    <row r="2574" spans="1:15">
      <c r="A2574">
        <v>2026</v>
      </c>
      <c r="B2574" s="1">
        <v>45704</v>
      </c>
      <c r="C2574">
        <v>45</v>
      </c>
      <c r="D2574" t="s">
        <v>14</v>
      </c>
      <c r="E2574" t="s">
        <v>22</v>
      </c>
      <c r="F2574" t="s">
        <v>16</v>
      </c>
      <c r="H2574">
        <v>521.6</v>
      </c>
      <c r="I2574" s="13">
        <v>7</v>
      </c>
      <c r="J2574">
        <v>0</v>
      </c>
      <c r="K2574">
        <v>0</v>
      </c>
      <c r="L2574">
        <v>0</v>
      </c>
      <c r="M2574">
        <v>0</v>
      </c>
      <c r="O2574">
        <f t="shared" si="40"/>
        <v>2</v>
      </c>
    </row>
    <row r="2575" spans="1:15">
      <c r="A2575">
        <v>1526</v>
      </c>
      <c r="B2575" s="1">
        <v>45704</v>
      </c>
      <c r="C2575">
        <v>26</v>
      </c>
      <c r="D2575" t="s">
        <v>17</v>
      </c>
      <c r="E2575" t="s">
        <v>15</v>
      </c>
      <c r="F2575" t="s">
        <v>16</v>
      </c>
      <c r="H2575">
        <v>405.7</v>
      </c>
      <c r="I2575" s="13">
        <v>6</v>
      </c>
      <c r="J2575">
        <v>0</v>
      </c>
      <c r="K2575">
        <v>0</v>
      </c>
      <c r="L2575">
        <v>0</v>
      </c>
      <c r="M2575">
        <v>0</v>
      </c>
      <c r="O2575">
        <f t="shared" si="40"/>
        <v>2</v>
      </c>
    </row>
    <row r="2576" spans="1:15">
      <c r="A2576">
        <v>3537</v>
      </c>
      <c r="B2576" s="1">
        <v>45704</v>
      </c>
      <c r="C2576">
        <v>50</v>
      </c>
      <c r="D2576" t="s">
        <v>17</v>
      </c>
      <c r="E2576" t="s">
        <v>24</v>
      </c>
      <c r="F2576" t="s">
        <v>18</v>
      </c>
      <c r="G2576" t="s">
        <v>31</v>
      </c>
      <c r="H2576">
        <v>303.7</v>
      </c>
      <c r="I2576" s="13">
        <v>5</v>
      </c>
      <c r="J2576">
        <v>0</v>
      </c>
      <c r="K2576">
        <v>0</v>
      </c>
      <c r="L2576">
        <v>0</v>
      </c>
      <c r="M2576">
        <v>0</v>
      </c>
      <c r="O2576">
        <f t="shared" si="40"/>
        <v>2</v>
      </c>
    </row>
    <row r="2577" spans="1:15">
      <c r="A2577">
        <v>1384</v>
      </c>
      <c r="B2577" s="1">
        <v>45704</v>
      </c>
      <c r="C2577">
        <v>25</v>
      </c>
      <c r="D2577" t="s">
        <v>17</v>
      </c>
      <c r="E2577" t="s">
        <v>24</v>
      </c>
      <c r="F2577" t="s">
        <v>16</v>
      </c>
      <c r="H2577">
        <v>270.89999999999998</v>
      </c>
      <c r="I2577" s="13">
        <v>4</v>
      </c>
      <c r="J2577">
        <v>0</v>
      </c>
      <c r="K2577">
        <v>0</v>
      </c>
      <c r="L2577">
        <v>0</v>
      </c>
      <c r="M2577">
        <v>0</v>
      </c>
      <c r="O2577">
        <f t="shared" si="40"/>
        <v>2</v>
      </c>
    </row>
    <row r="2578" spans="1:15">
      <c r="A2578">
        <v>1341</v>
      </c>
      <c r="B2578" s="1">
        <v>45704</v>
      </c>
      <c r="C2578">
        <v>30</v>
      </c>
      <c r="D2578" t="s">
        <v>17</v>
      </c>
      <c r="E2578" t="s">
        <v>24</v>
      </c>
      <c r="F2578" t="s">
        <v>18</v>
      </c>
      <c r="G2578" t="s">
        <v>28</v>
      </c>
      <c r="H2578">
        <v>157.9</v>
      </c>
      <c r="I2578" s="13">
        <v>5</v>
      </c>
      <c r="J2578">
        <v>0</v>
      </c>
      <c r="K2578">
        <v>0</v>
      </c>
      <c r="L2578">
        <v>0</v>
      </c>
      <c r="M2578">
        <v>0</v>
      </c>
      <c r="O2578">
        <f t="shared" si="40"/>
        <v>2</v>
      </c>
    </row>
    <row r="2579" spans="1:15">
      <c r="A2579">
        <v>1174</v>
      </c>
      <c r="B2579" s="1">
        <v>45704</v>
      </c>
      <c r="C2579">
        <v>28</v>
      </c>
      <c r="D2579" t="s">
        <v>27</v>
      </c>
      <c r="E2579" t="s">
        <v>22</v>
      </c>
      <c r="F2579" t="s">
        <v>18</v>
      </c>
      <c r="G2579" t="s">
        <v>26</v>
      </c>
      <c r="H2579">
        <v>135.4</v>
      </c>
      <c r="I2579" s="13">
        <v>7</v>
      </c>
      <c r="J2579">
        <v>0</v>
      </c>
      <c r="K2579">
        <v>0</v>
      </c>
      <c r="L2579">
        <v>0</v>
      </c>
      <c r="M2579">
        <v>0</v>
      </c>
      <c r="O2579">
        <f t="shared" si="40"/>
        <v>2</v>
      </c>
    </row>
    <row r="2580" spans="1:15">
      <c r="A2580">
        <v>1130</v>
      </c>
      <c r="B2580" s="1">
        <v>45704</v>
      </c>
      <c r="C2580">
        <v>24</v>
      </c>
      <c r="D2580" t="s">
        <v>17</v>
      </c>
      <c r="E2580" t="s">
        <v>20</v>
      </c>
      <c r="F2580" t="s">
        <v>16</v>
      </c>
      <c r="H2580">
        <v>115.2</v>
      </c>
      <c r="I2580" s="13">
        <v>5</v>
      </c>
      <c r="J2580">
        <v>0</v>
      </c>
      <c r="K2580">
        <v>0</v>
      </c>
      <c r="L2580">
        <v>0</v>
      </c>
      <c r="M2580">
        <v>0</v>
      </c>
      <c r="O2580">
        <f t="shared" si="40"/>
        <v>2</v>
      </c>
    </row>
    <row r="2581" spans="1:15">
      <c r="A2581">
        <v>2331</v>
      </c>
      <c r="B2581" s="1">
        <v>45704</v>
      </c>
      <c r="C2581">
        <v>34</v>
      </c>
      <c r="D2581" t="s">
        <v>14</v>
      </c>
      <c r="E2581" t="s">
        <v>24</v>
      </c>
      <c r="F2581" t="s">
        <v>18</v>
      </c>
      <c r="G2581" t="s">
        <v>30</v>
      </c>
      <c r="H2581">
        <v>112.9</v>
      </c>
      <c r="I2581" s="13">
        <v>4</v>
      </c>
      <c r="J2581">
        <v>0</v>
      </c>
      <c r="K2581">
        <v>0</v>
      </c>
      <c r="L2581">
        <v>0</v>
      </c>
      <c r="M2581">
        <v>0</v>
      </c>
      <c r="O2581">
        <f t="shared" si="40"/>
        <v>2</v>
      </c>
    </row>
    <row r="2582" spans="1:15">
      <c r="A2582">
        <v>4713</v>
      </c>
      <c r="B2582" s="1">
        <v>45704</v>
      </c>
      <c r="C2582">
        <v>58</v>
      </c>
      <c r="D2582" t="s">
        <v>17</v>
      </c>
      <c r="E2582" t="s">
        <v>15</v>
      </c>
      <c r="F2582" t="s">
        <v>18</v>
      </c>
      <c r="G2582" t="s">
        <v>26</v>
      </c>
      <c r="H2582">
        <v>49.7</v>
      </c>
      <c r="I2582" s="13">
        <v>2</v>
      </c>
      <c r="J2582">
        <v>0</v>
      </c>
      <c r="K2582">
        <v>0</v>
      </c>
      <c r="L2582">
        <v>0</v>
      </c>
      <c r="M2582">
        <v>0</v>
      </c>
      <c r="O2582">
        <f t="shared" si="40"/>
        <v>2</v>
      </c>
    </row>
    <row r="2583" spans="1:15">
      <c r="A2583">
        <v>2447</v>
      </c>
      <c r="B2583" s="1">
        <v>45704</v>
      </c>
      <c r="C2583">
        <v>42</v>
      </c>
      <c r="D2583" t="s">
        <v>17</v>
      </c>
      <c r="E2583" t="s">
        <v>22</v>
      </c>
      <c r="F2583" t="s">
        <v>23</v>
      </c>
      <c r="H2583">
        <v>37.799999999999997</v>
      </c>
      <c r="I2583" s="13">
        <v>6</v>
      </c>
      <c r="J2583">
        <v>0</v>
      </c>
      <c r="K2583">
        <v>0</v>
      </c>
      <c r="L2583">
        <v>0</v>
      </c>
      <c r="M2583">
        <v>0</v>
      </c>
      <c r="O2583">
        <f t="shared" si="40"/>
        <v>2</v>
      </c>
    </row>
    <row r="2584" spans="1:15">
      <c r="A2584">
        <v>4263</v>
      </c>
      <c r="B2584" s="1">
        <v>45732</v>
      </c>
      <c r="C2584">
        <v>46</v>
      </c>
      <c r="D2584" t="s">
        <v>14</v>
      </c>
      <c r="E2584" t="s">
        <v>15</v>
      </c>
      <c r="F2584" t="s">
        <v>18</v>
      </c>
      <c r="G2584" t="s">
        <v>31</v>
      </c>
      <c r="H2584">
        <v>444</v>
      </c>
      <c r="I2584" s="13">
        <v>8</v>
      </c>
      <c r="J2584">
        <v>1</v>
      </c>
      <c r="K2584">
        <v>543.29999999999995</v>
      </c>
      <c r="L2584">
        <v>2</v>
      </c>
      <c r="M2584">
        <v>3</v>
      </c>
      <c r="N2584">
        <v>4</v>
      </c>
      <c r="O2584">
        <f t="shared" si="40"/>
        <v>3</v>
      </c>
    </row>
    <row r="2585" spans="1:15">
      <c r="A2585">
        <v>527</v>
      </c>
      <c r="B2585" s="1">
        <v>45732</v>
      </c>
      <c r="C2585">
        <v>26</v>
      </c>
      <c r="D2585" t="s">
        <v>14</v>
      </c>
      <c r="E2585" t="s">
        <v>15</v>
      </c>
      <c r="F2585" t="s">
        <v>16</v>
      </c>
      <c r="H2585">
        <v>520.29999999999995</v>
      </c>
      <c r="I2585" s="13">
        <v>8</v>
      </c>
      <c r="J2585">
        <v>1</v>
      </c>
      <c r="K2585">
        <v>506.55</v>
      </c>
      <c r="L2585">
        <v>5</v>
      </c>
      <c r="M2585">
        <v>2</v>
      </c>
      <c r="N2585">
        <v>4</v>
      </c>
      <c r="O2585">
        <f t="shared" si="40"/>
        <v>3</v>
      </c>
    </row>
    <row r="2586" spans="1:15">
      <c r="A2586">
        <v>1920</v>
      </c>
      <c r="B2586" s="1">
        <v>45732</v>
      </c>
      <c r="C2586">
        <v>45</v>
      </c>
      <c r="D2586" t="s">
        <v>14</v>
      </c>
      <c r="E2586" t="s">
        <v>15</v>
      </c>
      <c r="F2586" t="s">
        <v>16</v>
      </c>
      <c r="H2586">
        <v>396.3</v>
      </c>
      <c r="I2586" s="13">
        <v>9</v>
      </c>
      <c r="J2586">
        <v>1</v>
      </c>
      <c r="K2586">
        <v>72.930000000000007</v>
      </c>
      <c r="L2586">
        <v>3</v>
      </c>
      <c r="M2586">
        <v>5</v>
      </c>
      <c r="N2586">
        <v>4</v>
      </c>
      <c r="O2586">
        <f t="shared" si="40"/>
        <v>3</v>
      </c>
    </row>
    <row r="2587" spans="1:15">
      <c r="A2587">
        <v>4245</v>
      </c>
      <c r="B2587" s="1">
        <v>45732</v>
      </c>
      <c r="C2587">
        <v>56</v>
      </c>
      <c r="D2587" t="s">
        <v>17</v>
      </c>
      <c r="E2587" t="s">
        <v>22</v>
      </c>
      <c r="F2587" t="s">
        <v>16</v>
      </c>
      <c r="H2587">
        <v>275.5</v>
      </c>
      <c r="I2587" s="13">
        <v>6</v>
      </c>
      <c r="J2587">
        <v>1</v>
      </c>
      <c r="K2587">
        <v>60.15</v>
      </c>
      <c r="L2587">
        <v>3</v>
      </c>
      <c r="M2587">
        <v>5</v>
      </c>
      <c r="N2587">
        <v>3</v>
      </c>
      <c r="O2587">
        <f t="shared" si="40"/>
        <v>3</v>
      </c>
    </row>
    <row r="2588" spans="1:15">
      <c r="A2588">
        <v>714</v>
      </c>
      <c r="B2588" s="1">
        <v>45732</v>
      </c>
      <c r="C2588">
        <v>36</v>
      </c>
      <c r="D2588" t="s">
        <v>17</v>
      </c>
      <c r="E2588" t="s">
        <v>24</v>
      </c>
      <c r="F2588" t="s">
        <v>18</v>
      </c>
      <c r="G2588" t="s">
        <v>30</v>
      </c>
      <c r="H2588">
        <v>530.5</v>
      </c>
      <c r="I2588" s="13">
        <v>9</v>
      </c>
      <c r="J2588">
        <v>1</v>
      </c>
      <c r="K2588">
        <v>46.17</v>
      </c>
      <c r="L2588">
        <v>1</v>
      </c>
      <c r="M2588">
        <v>3</v>
      </c>
      <c r="N2588">
        <v>5</v>
      </c>
      <c r="O2588">
        <f t="shared" si="40"/>
        <v>3</v>
      </c>
    </row>
    <row r="2589" spans="1:15">
      <c r="A2589">
        <v>2058</v>
      </c>
      <c r="B2589" s="1">
        <v>45732</v>
      </c>
      <c r="C2589">
        <v>26</v>
      </c>
      <c r="D2589" t="s">
        <v>17</v>
      </c>
      <c r="E2589" t="s">
        <v>22</v>
      </c>
      <c r="F2589" t="s">
        <v>16</v>
      </c>
      <c r="H2589">
        <v>280</v>
      </c>
      <c r="I2589" s="13">
        <v>8</v>
      </c>
      <c r="J2589">
        <v>1</v>
      </c>
      <c r="K2589">
        <v>32.01</v>
      </c>
      <c r="L2589">
        <v>4</v>
      </c>
      <c r="M2589">
        <v>12</v>
      </c>
      <c r="N2589">
        <v>4</v>
      </c>
      <c r="O2589">
        <f t="shared" si="40"/>
        <v>3</v>
      </c>
    </row>
    <row r="2590" spans="1:15">
      <c r="A2590">
        <v>3411</v>
      </c>
      <c r="B2590" s="1">
        <v>45732</v>
      </c>
      <c r="C2590">
        <v>31</v>
      </c>
      <c r="D2590" t="s">
        <v>14</v>
      </c>
      <c r="E2590" t="s">
        <v>15</v>
      </c>
      <c r="F2590" t="s">
        <v>18</v>
      </c>
      <c r="G2590" t="s">
        <v>28</v>
      </c>
      <c r="H2590">
        <v>717.4</v>
      </c>
      <c r="I2590" s="13">
        <v>5</v>
      </c>
      <c r="J2590">
        <v>1</v>
      </c>
      <c r="K2590">
        <v>23.08</v>
      </c>
      <c r="L2590">
        <v>4</v>
      </c>
      <c r="M2590">
        <v>5</v>
      </c>
      <c r="N2590">
        <v>4</v>
      </c>
      <c r="O2590">
        <f t="shared" si="40"/>
        <v>3</v>
      </c>
    </row>
    <row r="2591" spans="1:15">
      <c r="A2591">
        <v>2904</v>
      </c>
      <c r="B2591" s="1">
        <v>45732</v>
      </c>
      <c r="C2591">
        <v>38</v>
      </c>
      <c r="D2591" t="s">
        <v>17</v>
      </c>
      <c r="E2591" t="s">
        <v>20</v>
      </c>
      <c r="F2591" t="s">
        <v>16</v>
      </c>
      <c r="H2591">
        <v>225.7</v>
      </c>
      <c r="I2591" s="13">
        <v>6</v>
      </c>
      <c r="J2591">
        <v>1</v>
      </c>
      <c r="K2591">
        <v>14.48</v>
      </c>
      <c r="L2591">
        <v>2</v>
      </c>
      <c r="M2591">
        <v>12</v>
      </c>
      <c r="N2591">
        <v>5</v>
      </c>
      <c r="O2591">
        <f t="shared" si="40"/>
        <v>3</v>
      </c>
    </row>
    <row r="2592" spans="1:15">
      <c r="A2592">
        <v>3241</v>
      </c>
      <c r="B2592" s="1">
        <v>45732</v>
      </c>
      <c r="C2592">
        <v>41</v>
      </c>
      <c r="D2592" t="s">
        <v>14</v>
      </c>
      <c r="E2592" t="s">
        <v>20</v>
      </c>
      <c r="F2592" t="s">
        <v>16</v>
      </c>
      <c r="H2592">
        <v>324.10000000000002</v>
      </c>
      <c r="I2592" s="13">
        <v>6</v>
      </c>
      <c r="J2592">
        <v>1</v>
      </c>
      <c r="K2592">
        <v>13.34</v>
      </c>
      <c r="L2592">
        <v>2</v>
      </c>
      <c r="M2592">
        <v>12</v>
      </c>
      <c r="N2592">
        <v>4</v>
      </c>
      <c r="O2592">
        <f t="shared" si="40"/>
        <v>3</v>
      </c>
    </row>
    <row r="2593" spans="1:15">
      <c r="A2593">
        <v>4838</v>
      </c>
      <c r="B2593" s="1">
        <v>45732</v>
      </c>
      <c r="C2593">
        <v>48</v>
      </c>
      <c r="D2593" t="s">
        <v>14</v>
      </c>
      <c r="E2593" t="s">
        <v>20</v>
      </c>
      <c r="F2593" t="s">
        <v>18</v>
      </c>
      <c r="G2593" t="s">
        <v>31</v>
      </c>
      <c r="H2593">
        <v>900</v>
      </c>
      <c r="I2593" s="13">
        <v>6</v>
      </c>
      <c r="J2593">
        <v>0</v>
      </c>
      <c r="K2593">
        <v>0</v>
      </c>
      <c r="L2593">
        <v>0</v>
      </c>
      <c r="M2593">
        <v>0</v>
      </c>
      <c r="O2593">
        <f t="shared" si="40"/>
        <v>3</v>
      </c>
    </row>
    <row r="2594" spans="1:15">
      <c r="A2594">
        <v>3248</v>
      </c>
      <c r="B2594" s="1">
        <v>45732</v>
      </c>
      <c r="C2594">
        <v>19</v>
      </c>
      <c r="D2594" t="s">
        <v>14</v>
      </c>
      <c r="E2594" t="s">
        <v>22</v>
      </c>
      <c r="F2594" t="s">
        <v>16</v>
      </c>
      <c r="H2594">
        <v>651.70000000000005</v>
      </c>
      <c r="I2594" s="13">
        <v>6</v>
      </c>
      <c r="J2594">
        <v>0</v>
      </c>
      <c r="K2594">
        <v>0</v>
      </c>
      <c r="L2594">
        <v>0</v>
      </c>
      <c r="M2594">
        <v>0</v>
      </c>
      <c r="O2594">
        <f t="shared" si="40"/>
        <v>3</v>
      </c>
    </row>
    <row r="2595" spans="1:15">
      <c r="A2595">
        <v>2656</v>
      </c>
      <c r="B2595" s="1">
        <v>45732</v>
      </c>
      <c r="C2595">
        <v>30</v>
      </c>
      <c r="D2595" t="s">
        <v>14</v>
      </c>
      <c r="E2595" t="s">
        <v>22</v>
      </c>
      <c r="F2595" t="s">
        <v>21</v>
      </c>
      <c r="H2595">
        <v>547.20000000000005</v>
      </c>
      <c r="I2595" s="13">
        <v>7</v>
      </c>
      <c r="J2595">
        <v>0</v>
      </c>
      <c r="K2595">
        <v>0</v>
      </c>
      <c r="L2595">
        <v>0</v>
      </c>
      <c r="M2595">
        <v>0</v>
      </c>
      <c r="O2595">
        <f t="shared" si="40"/>
        <v>3</v>
      </c>
    </row>
    <row r="2596" spans="1:15">
      <c r="A2596">
        <v>4021</v>
      </c>
      <c r="B2596" s="1">
        <v>45732</v>
      </c>
      <c r="C2596">
        <v>42</v>
      </c>
      <c r="D2596" t="s">
        <v>14</v>
      </c>
      <c r="E2596" t="s">
        <v>15</v>
      </c>
      <c r="F2596" t="s">
        <v>16</v>
      </c>
      <c r="H2596">
        <v>439.6</v>
      </c>
      <c r="I2596" s="13">
        <v>6</v>
      </c>
      <c r="J2596">
        <v>0</v>
      </c>
      <c r="K2596">
        <v>0</v>
      </c>
      <c r="L2596">
        <v>0</v>
      </c>
      <c r="M2596">
        <v>0</v>
      </c>
      <c r="O2596">
        <f t="shared" si="40"/>
        <v>3</v>
      </c>
    </row>
    <row r="2597" spans="1:15">
      <c r="A2597">
        <v>3867</v>
      </c>
      <c r="B2597" s="1">
        <v>45732</v>
      </c>
      <c r="C2597">
        <v>66</v>
      </c>
      <c r="D2597" t="s">
        <v>14</v>
      </c>
      <c r="E2597" t="s">
        <v>22</v>
      </c>
      <c r="F2597" t="s">
        <v>16</v>
      </c>
      <c r="H2597">
        <v>433.9</v>
      </c>
      <c r="I2597" s="13">
        <v>4</v>
      </c>
      <c r="J2597">
        <v>0</v>
      </c>
      <c r="K2597">
        <v>0</v>
      </c>
      <c r="L2597">
        <v>0</v>
      </c>
      <c r="M2597">
        <v>0</v>
      </c>
      <c r="O2597">
        <f t="shared" si="40"/>
        <v>3</v>
      </c>
    </row>
    <row r="2598" spans="1:15">
      <c r="A2598">
        <v>846</v>
      </c>
      <c r="B2598" s="1">
        <v>45732</v>
      </c>
      <c r="C2598">
        <v>22</v>
      </c>
      <c r="D2598" t="s">
        <v>17</v>
      </c>
      <c r="E2598" t="s">
        <v>24</v>
      </c>
      <c r="F2598" t="s">
        <v>16</v>
      </c>
      <c r="H2598">
        <v>425</v>
      </c>
      <c r="I2598" s="13">
        <v>6</v>
      </c>
      <c r="J2598">
        <v>0</v>
      </c>
      <c r="K2598">
        <v>0</v>
      </c>
      <c r="L2598">
        <v>0</v>
      </c>
      <c r="M2598">
        <v>0</v>
      </c>
      <c r="O2598">
        <f t="shared" si="40"/>
        <v>3</v>
      </c>
    </row>
    <row r="2599" spans="1:15">
      <c r="A2599">
        <v>3748</v>
      </c>
      <c r="B2599" s="1">
        <v>45732</v>
      </c>
      <c r="C2599">
        <v>33</v>
      </c>
      <c r="D2599" t="s">
        <v>17</v>
      </c>
      <c r="E2599" t="s">
        <v>22</v>
      </c>
      <c r="F2599" t="s">
        <v>18</v>
      </c>
      <c r="G2599" t="s">
        <v>25</v>
      </c>
      <c r="H2599">
        <v>381.3</v>
      </c>
      <c r="I2599" s="13">
        <v>5</v>
      </c>
      <c r="J2599">
        <v>0</v>
      </c>
      <c r="K2599">
        <v>0</v>
      </c>
      <c r="L2599">
        <v>0</v>
      </c>
      <c r="M2599">
        <v>0</v>
      </c>
      <c r="O2599">
        <f t="shared" si="40"/>
        <v>3</v>
      </c>
    </row>
    <row r="2600" spans="1:15">
      <c r="A2600">
        <v>1740</v>
      </c>
      <c r="B2600" s="1">
        <v>45732</v>
      </c>
      <c r="C2600">
        <v>23</v>
      </c>
      <c r="D2600" t="s">
        <v>14</v>
      </c>
      <c r="E2600" t="s">
        <v>24</v>
      </c>
      <c r="F2600" t="s">
        <v>18</v>
      </c>
      <c r="G2600" t="s">
        <v>31</v>
      </c>
      <c r="H2600">
        <v>379.2</v>
      </c>
      <c r="I2600" s="13">
        <v>7</v>
      </c>
      <c r="J2600">
        <v>0</v>
      </c>
      <c r="K2600">
        <v>0</v>
      </c>
      <c r="L2600">
        <v>0</v>
      </c>
      <c r="M2600">
        <v>0</v>
      </c>
      <c r="O2600">
        <f t="shared" si="40"/>
        <v>3</v>
      </c>
    </row>
    <row r="2601" spans="1:15">
      <c r="A2601">
        <v>1535</v>
      </c>
      <c r="B2601" s="1">
        <v>45732</v>
      </c>
      <c r="C2601">
        <v>24</v>
      </c>
      <c r="D2601" t="s">
        <v>17</v>
      </c>
      <c r="E2601" t="s">
        <v>22</v>
      </c>
      <c r="F2601" t="s">
        <v>18</v>
      </c>
      <c r="G2601" t="s">
        <v>30</v>
      </c>
      <c r="H2601">
        <v>298.39999999999998</v>
      </c>
      <c r="I2601" s="13">
        <v>5</v>
      </c>
      <c r="J2601">
        <v>0</v>
      </c>
      <c r="K2601">
        <v>0</v>
      </c>
      <c r="L2601">
        <v>0</v>
      </c>
      <c r="M2601">
        <v>0</v>
      </c>
      <c r="O2601">
        <f t="shared" si="40"/>
        <v>3</v>
      </c>
    </row>
    <row r="2602" spans="1:15">
      <c r="A2602">
        <v>4417</v>
      </c>
      <c r="B2602" s="1">
        <v>45732</v>
      </c>
      <c r="C2602">
        <v>44</v>
      </c>
      <c r="D2602" t="s">
        <v>14</v>
      </c>
      <c r="E2602" t="s">
        <v>15</v>
      </c>
      <c r="F2602" t="s">
        <v>18</v>
      </c>
      <c r="G2602" t="s">
        <v>29</v>
      </c>
      <c r="H2602">
        <v>255.3</v>
      </c>
      <c r="I2602" s="13">
        <v>5</v>
      </c>
      <c r="J2602">
        <v>0</v>
      </c>
      <c r="K2602">
        <v>0</v>
      </c>
      <c r="L2602">
        <v>0</v>
      </c>
      <c r="M2602">
        <v>0</v>
      </c>
      <c r="O2602">
        <f t="shared" si="40"/>
        <v>3</v>
      </c>
    </row>
    <row r="2603" spans="1:15">
      <c r="A2603">
        <v>4705</v>
      </c>
      <c r="B2603" s="1">
        <v>45732</v>
      </c>
      <c r="C2603">
        <v>28</v>
      </c>
      <c r="D2603" t="s">
        <v>17</v>
      </c>
      <c r="E2603" t="s">
        <v>15</v>
      </c>
      <c r="F2603" t="s">
        <v>16</v>
      </c>
      <c r="H2603">
        <v>216</v>
      </c>
      <c r="I2603" s="13">
        <v>3</v>
      </c>
      <c r="J2603">
        <v>0</v>
      </c>
      <c r="K2603">
        <v>0</v>
      </c>
      <c r="L2603">
        <v>0</v>
      </c>
      <c r="M2603">
        <v>0</v>
      </c>
      <c r="O2603">
        <f t="shared" si="40"/>
        <v>3</v>
      </c>
    </row>
    <row r="2604" spans="1:15">
      <c r="A2604">
        <v>2688</v>
      </c>
      <c r="B2604" s="1">
        <v>45732</v>
      </c>
      <c r="C2604">
        <v>39</v>
      </c>
      <c r="D2604" t="s">
        <v>27</v>
      </c>
      <c r="E2604" t="s">
        <v>20</v>
      </c>
      <c r="F2604" t="s">
        <v>16</v>
      </c>
      <c r="H2604">
        <v>214.9</v>
      </c>
      <c r="I2604" s="13">
        <v>7</v>
      </c>
      <c r="J2604">
        <v>0</v>
      </c>
      <c r="K2604">
        <v>0</v>
      </c>
      <c r="L2604">
        <v>0</v>
      </c>
      <c r="M2604">
        <v>0</v>
      </c>
      <c r="O2604">
        <f t="shared" si="40"/>
        <v>3</v>
      </c>
    </row>
    <row r="2605" spans="1:15">
      <c r="A2605">
        <v>1745</v>
      </c>
      <c r="B2605" s="1">
        <v>45732</v>
      </c>
      <c r="C2605">
        <v>31</v>
      </c>
      <c r="D2605" t="s">
        <v>17</v>
      </c>
      <c r="E2605" t="s">
        <v>20</v>
      </c>
      <c r="F2605" t="s">
        <v>18</v>
      </c>
      <c r="G2605" t="s">
        <v>19</v>
      </c>
      <c r="H2605">
        <v>147.6</v>
      </c>
      <c r="I2605" s="13">
        <v>8</v>
      </c>
      <c r="J2605">
        <v>0</v>
      </c>
      <c r="K2605">
        <v>0</v>
      </c>
      <c r="L2605">
        <v>0</v>
      </c>
      <c r="M2605">
        <v>0</v>
      </c>
      <c r="O2605">
        <f t="shared" si="40"/>
        <v>3</v>
      </c>
    </row>
    <row r="2606" spans="1:15">
      <c r="A2606">
        <v>392</v>
      </c>
      <c r="B2606" s="1">
        <v>45732</v>
      </c>
      <c r="C2606">
        <v>26</v>
      </c>
      <c r="D2606" t="s">
        <v>14</v>
      </c>
      <c r="E2606" t="s">
        <v>24</v>
      </c>
      <c r="F2606" t="s">
        <v>16</v>
      </c>
      <c r="H2606">
        <v>126.6</v>
      </c>
      <c r="I2606" s="13">
        <v>6</v>
      </c>
      <c r="J2606">
        <v>0</v>
      </c>
      <c r="K2606">
        <v>0</v>
      </c>
      <c r="L2606">
        <v>0</v>
      </c>
      <c r="M2606">
        <v>0</v>
      </c>
      <c r="O2606">
        <f t="shared" si="40"/>
        <v>3</v>
      </c>
    </row>
    <row r="2607" spans="1:15">
      <c r="A2607">
        <v>4045</v>
      </c>
      <c r="B2607" s="1">
        <v>45732</v>
      </c>
      <c r="C2607">
        <v>52</v>
      </c>
      <c r="D2607" t="s">
        <v>17</v>
      </c>
      <c r="E2607" t="s">
        <v>24</v>
      </c>
      <c r="F2607" t="s">
        <v>21</v>
      </c>
      <c r="H2607">
        <v>113.1</v>
      </c>
      <c r="I2607" s="13">
        <v>5</v>
      </c>
      <c r="J2607">
        <v>0</v>
      </c>
      <c r="K2607">
        <v>0</v>
      </c>
      <c r="L2607">
        <v>0</v>
      </c>
      <c r="M2607">
        <v>0</v>
      </c>
      <c r="O2607">
        <f t="shared" si="40"/>
        <v>3</v>
      </c>
    </row>
    <row r="2608" spans="1:15">
      <c r="A2608">
        <v>4353</v>
      </c>
      <c r="B2608" s="1">
        <v>45732</v>
      </c>
      <c r="C2608">
        <v>59</v>
      </c>
      <c r="D2608" t="s">
        <v>17</v>
      </c>
      <c r="E2608" t="s">
        <v>24</v>
      </c>
      <c r="F2608" t="s">
        <v>23</v>
      </c>
      <c r="H2608">
        <v>108</v>
      </c>
      <c r="I2608" s="13">
        <v>8</v>
      </c>
      <c r="J2608">
        <v>0</v>
      </c>
      <c r="K2608">
        <v>0</v>
      </c>
      <c r="L2608">
        <v>0</v>
      </c>
      <c r="M2608">
        <v>0</v>
      </c>
      <c r="O2608">
        <f t="shared" si="40"/>
        <v>3</v>
      </c>
    </row>
    <row r="2609" spans="1:15">
      <c r="A2609">
        <v>4459</v>
      </c>
      <c r="B2609" s="1">
        <v>45732</v>
      </c>
      <c r="C2609">
        <v>52</v>
      </c>
      <c r="D2609" t="s">
        <v>14</v>
      </c>
      <c r="E2609" t="s">
        <v>24</v>
      </c>
      <c r="F2609" t="s">
        <v>18</v>
      </c>
      <c r="G2609" t="s">
        <v>28</v>
      </c>
      <c r="H2609">
        <v>80.2</v>
      </c>
      <c r="I2609" s="13">
        <v>7</v>
      </c>
      <c r="J2609">
        <v>0</v>
      </c>
      <c r="K2609">
        <v>0</v>
      </c>
      <c r="L2609">
        <v>0</v>
      </c>
      <c r="M2609">
        <v>0</v>
      </c>
      <c r="O2609">
        <f t="shared" si="40"/>
        <v>3</v>
      </c>
    </row>
    <row r="2610" spans="1:15">
      <c r="A2610">
        <v>653</v>
      </c>
      <c r="B2610" s="1">
        <v>45763</v>
      </c>
      <c r="C2610">
        <v>25</v>
      </c>
      <c r="D2610" t="s">
        <v>14</v>
      </c>
      <c r="E2610" t="s">
        <v>20</v>
      </c>
      <c r="F2610" t="s">
        <v>18</v>
      </c>
      <c r="G2610" t="s">
        <v>19</v>
      </c>
      <c r="H2610">
        <v>128.1</v>
      </c>
      <c r="I2610" s="13">
        <v>4</v>
      </c>
      <c r="J2610">
        <v>1</v>
      </c>
      <c r="K2610">
        <v>432</v>
      </c>
      <c r="L2610">
        <v>2</v>
      </c>
      <c r="M2610">
        <v>8</v>
      </c>
      <c r="N2610">
        <v>4</v>
      </c>
      <c r="O2610">
        <f t="shared" si="40"/>
        <v>4</v>
      </c>
    </row>
    <row r="2611" spans="1:15">
      <c r="A2611">
        <v>358</v>
      </c>
      <c r="B2611" s="1">
        <v>45763</v>
      </c>
      <c r="C2611">
        <v>21</v>
      </c>
      <c r="D2611" t="s">
        <v>14</v>
      </c>
      <c r="E2611" t="s">
        <v>15</v>
      </c>
      <c r="F2611" t="s">
        <v>16</v>
      </c>
      <c r="H2611">
        <v>596.6</v>
      </c>
      <c r="I2611" s="13">
        <v>6</v>
      </c>
      <c r="J2611">
        <v>1</v>
      </c>
      <c r="K2611">
        <v>424</v>
      </c>
      <c r="L2611">
        <v>4</v>
      </c>
      <c r="M2611">
        <v>3</v>
      </c>
      <c r="N2611">
        <v>4</v>
      </c>
      <c r="O2611">
        <f t="shared" si="40"/>
        <v>4</v>
      </c>
    </row>
    <row r="2612" spans="1:15">
      <c r="A2612">
        <v>3430</v>
      </c>
      <c r="B2612" s="1">
        <v>45763</v>
      </c>
      <c r="C2612">
        <v>35</v>
      </c>
      <c r="D2612" t="s">
        <v>14</v>
      </c>
      <c r="E2612" t="s">
        <v>20</v>
      </c>
      <c r="F2612" t="s">
        <v>16</v>
      </c>
      <c r="H2612">
        <v>266.39999999999998</v>
      </c>
      <c r="I2612" s="13">
        <v>6</v>
      </c>
      <c r="J2612">
        <v>1</v>
      </c>
      <c r="K2612">
        <v>283.20999999999998</v>
      </c>
      <c r="L2612">
        <v>3</v>
      </c>
      <c r="M2612">
        <v>12</v>
      </c>
      <c r="N2612">
        <v>4</v>
      </c>
      <c r="O2612">
        <f t="shared" si="40"/>
        <v>4</v>
      </c>
    </row>
    <row r="2613" spans="1:15">
      <c r="A2613">
        <v>4345</v>
      </c>
      <c r="B2613" s="1">
        <v>45763</v>
      </c>
      <c r="C2613">
        <v>52</v>
      </c>
      <c r="D2613" t="s">
        <v>17</v>
      </c>
      <c r="E2613" t="s">
        <v>24</v>
      </c>
      <c r="F2613" t="s">
        <v>16</v>
      </c>
      <c r="H2613">
        <v>210</v>
      </c>
      <c r="I2613" s="13">
        <v>7</v>
      </c>
      <c r="J2613">
        <v>1</v>
      </c>
      <c r="K2613">
        <v>108</v>
      </c>
      <c r="L2613">
        <v>4</v>
      </c>
      <c r="M2613">
        <v>14</v>
      </c>
      <c r="N2613">
        <v>4</v>
      </c>
      <c r="O2613">
        <f t="shared" si="40"/>
        <v>4</v>
      </c>
    </row>
    <row r="2614" spans="1:15">
      <c r="A2614">
        <v>4249</v>
      </c>
      <c r="B2614" s="1">
        <v>45763</v>
      </c>
      <c r="C2614">
        <v>56</v>
      </c>
      <c r="D2614" t="s">
        <v>17</v>
      </c>
      <c r="E2614" t="s">
        <v>22</v>
      </c>
      <c r="F2614" t="s">
        <v>18</v>
      </c>
      <c r="G2614" t="s">
        <v>26</v>
      </c>
      <c r="H2614">
        <v>38.700000000000003</v>
      </c>
      <c r="I2614" s="13">
        <v>3</v>
      </c>
      <c r="J2614">
        <v>1</v>
      </c>
      <c r="K2614">
        <v>93.05</v>
      </c>
      <c r="L2614">
        <v>2</v>
      </c>
      <c r="M2614">
        <v>9</v>
      </c>
      <c r="N2614">
        <v>5</v>
      </c>
      <c r="O2614">
        <f t="shared" si="40"/>
        <v>4</v>
      </c>
    </row>
    <row r="2615" spans="1:15">
      <c r="A2615">
        <v>2585</v>
      </c>
      <c r="B2615" s="1">
        <v>45763</v>
      </c>
      <c r="C2615">
        <v>32</v>
      </c>
      <c r="D2615" t="s">
        <v>17</v>
      </c>
      <c r="E2615" t="s">
        <v>24</v>
      </c>
      <c r="F2615" t="s">
        <v>18</v>
      </c>
      <c r="G2615" t="s">
        <v>28</v>
      </c>
      <c r="H2615">
        <v>115.9</v>
      </c>
      <c r="I2615" s="13">
        <v>7</v>
      </c>
      <c r="J2615">
        <v>1</v>
      </c>
      <c r="K2615">
        <v>82.09</v>
      </c>
      <c r="L2615">
        <v>3</v>
      </c>
      <c r="M2615">
        <v>12</v>
      </c>
      <c r="N2615">
        <v>4</v>
      </c>
      <c r="O2615">
        <f t="shared" si="40"/>
        <v>4</v>
      </c>
    </row>
    <row r="2616" spans="1:15">
      <c r="A2616">
        <v>4536</v>
      </c>
      <c r="B2616" s="1">
        <v>45763</v>
      </c>
      <c r="C2616">
        <v>34</v>
      </c>
      <c r="D2616" t="s">
        <v>14</v>
      </c>
      <c r="E2616" t="s">
        <v>15</v>
      </c>
      <c r="F2616" t="s">
        <v>16</v>
      </c>
      <c r="H2616">
        <v>71.099999999999994</v>
      </c>
      <c r="I2616" s="13">
        <v>6</v>
      </c>
      <c r="J2616">
        <v>1</v>
      </c>
      <c r="K2616">
        <v>59.23</v>
      </c>
      <c r="L2616">
        <v>2</v>
      </c>
      <c r="M2616">
        <v>1</v>
      </c>
      <c r="N2616">
        <v>4</v>
      </c>
      <c r="O2616">
        <f t="shared" si="40"/>
        <v>4</v>
      </c>
    </row>
    <row r="2617" spans="1:15">
      <c r="A2617">
        <v>1409</v>
      </c>
      <c r="B2617" s="1">
        <v>45763</v>
      </c>
      <c r="C2617">
        <v>28</v>
      </c>
      <c r="D2617" t="s">
        <v>14</v>
      </c>
      <c r="E2617" t="s">
        <v>15</v>
      </c>
      <c r="F2617" t="s">
        <v>18</v>
      </c>
      <c r="G2617" t="s">
        <v>29</v>
      </c>
      <c r="H2617">
        <v>555.29999999999995</v>
      </c>
      <c r="I2617" s="13">
        <v>8</v>
      </c>
      <c r="J2617">
        <v>1</v>
      </c>
      <c r="K2617">
        <v>56.16</v>
      </c>
      <c r="L2617">
        <v>3</v>
      </c>
      <c r="M2617">
        <v>11</v>
      </c>
      <c r="N2617">
        <v>4</v>
      </c>
      <c r="O2617">
        <f t="shared" si="40"/>
        <v>4</v>
      </c>
    </row>
    <row r="2618" spans="1:15">
      <c r="A2618">
        <v>3084</v>
      </c>
      <c r="B2618" s="1">
        <v>45763</v>
      </c>
      <c r="C2618">
        <v>38</v>
      </c>
      <c r="D2618" t="s">
        <v>14</v>
      </c>
      <c r="E2618" t="s">
        <v>15</v>
      </c>
      <c r="F2618" t="s">
        <v>21</v>
      </c>
      <c r="H2618">
        <v>236.3</v>
      </c>
      <c r="I2618" s="13">
        <v>3</v>
      </c>
      <c r="J2618">
        <v>1</v>
      </c>
      <c r="K2618">
        <v>47.72</v>
      </c>
      <c r="L2618">
        <v>2</v>
      </c>
      <c r="M2618">
        <v>8</v>
      </c>
      <c r="N2618">
        <v>5</v>
      </c>
      <c r="O2618">
        <f t="shared" si="40"/>
        <v>4</v>
      </c>
    </row>
    <row r="2619" spans="1:15">
      <c r="A2619">
        <v>3143</v>
      </c>
      <c r="B2619" s="1">
        <v>45763</v>
      </c>
      <c r="C2619">
        <v>33</v>
      </c>
      <c r="D2619" t="s">
        <v>27</v>
      </c>
      <c r="E2619" t="s">
        <v>24</v>
      </c>
      <c r="F2619" t="s">
        <v>16</v>
      </c>
      <c r="H2619">
        <v>257.7</v>
      </c>
      <c r="I2619" s="13">
        <v>9</v>
      </c>
      <c r="J2619">
        <v>1</v>
      </c>
      <c r="K2619">
        <v>27.24</v>
      </c>
      <c r="L2619">
        <v>5</v>
      </c>
      <c r="M2619">
        <v>5</v>
      </c>
      <c r="N2619">
        <v>3</v>
      </c>
      <c r="O2619">
        <f t="shared" si="40"/>
        <v>4</v>
      </c>
    </row>
    <row r="2620" spans="1:15">
      <c r="A2620">
        <v>787</v>
      </c>
      <c r="B2620" s="1">
        <v>45763</v>
      </c>
      <c r="C2620">
        <v>33</v>
      </c>
      <c r="D2620" t="s">
        <v>14</v>
      </c>
      <c r="E2620" t="s">
        <v>22</v>
      </c>
      <c r="F2620" t="s">
        <v>18</v>
      </c>
      <c r="G2620" t="s">
        <v>30</v>
      </c>
      <c r="H2620">
        <v>458.8</v>
      </c>
      <c r="I2620" s="13">
        <v>5</v>
      </c>
      <c r="J2620">
        <v>0</v>
      </c>
      <c r="K2620">
        <v>0</v>
      </c>
      <c r="L2620">
        <v>0</v>
      </c>
      <c r="M2620">
        <v>0</v>
      </c>
      <c r="O2620">
        <f t="shared" si="40"/>
        <v>4</v>
      </c>
    </row>
    <row r="2621" spans="1:15">
      <c r="A2621">
        <v>1571</v>
      </c>
      <c r="B2621" s="1">
        <v>45763</v>
      </c>
      <c r="C2621">
        <v>28</v>
      </c>
      <c r="D2621" t="s">
        <v>14</v>
      </c>
      <c r="E2621" t="s">
        <v>24</v>
      </c>
      <c r="F2621" t="s">
        <v>18</v>
      </c>
      <c r="G2621" t="s">
        <v>26</v>
      </c>
      <c r="H2621">
        <v>346.6</v>
      </c>
      <c r="I2621" s="13">
        <v>4</v>
      </c>
      <c r="J2621">
        <v>0</v>
      </c>
      <c r="K2621">
        <v>0</v>
      </c>
      <c r="L2621">
        <v>0</v>
      </c>
      <c r="M2621">
        <v>0</v>
      </c>
      <c r="O2621">
        <f t="shared" si="40"/>
        <v>4</v>
      </c>
    </row>
    <row r="2622" spans="1:15">
      <c r="A2622">
        <v>4304</v>
      </c>
      <c r="B2622" s="1">
        <v>45763</v>
      </c>
      <c r="C2622">
        <v>37</v>
      </c>
      <c r="D2622" t="s">
        <v>14</v>
      </c>
      <c r="E2622" t="s">
        <v>20</v>
      </c>
      <c r="F2622" t="s">
        <v>16</v>
      </c>
      <c r="H2622">
        <v>324.10000000000002</v>
      </c>
      <c r="I2622" s="13">
        <v>5</v>
      </c>
      <c r="J2622">
        <v>0</v>
      </c>
      <c r="K2622">
        <v>0</v>
      </c>
      <c r="L2622">
        <v>0</v>
      </c>
      <c r="M2622">
        <v>0</v>
      </c>
      <c r="O2622">
        <f t="shared" si="40"/>
        <v>4</v>
      </c>
    </row>
    <row r="2623" spans="1:15">
      <c r="A2623">
        <v>3969</v>
      </c>
      <c r="B2623" s="1">
        <v>45763</v>
      </c>
      <c r="C2623">
        <v>53</v>
      </c>
      <c r="D2623" t="s">
        <v>14</v>
      </c>
      <c r="E2623" t="s">
        <v>22</v>
      </c>
      <c r="F2623" t="s">
        <v>16</v>
      </c>
      <c r="H2623">
        <v>280.8</v>
      </c>
      <c r="I2623" s="13">
        <v>7</v>
      </c>
      <c r="J2623">
        <v>0</v>
      </c>
      <c r="K2623">
        <v>0</v>
      </c>
      <c r="L2623">
        <v>0</v>
      </c>
      <c r="M2623">
        <v>0</v>
      </c>
      <c r="O2623">
        <f t="shared" si="40"/>
        <v>4</v>
      </c>
    </row>
    <row r="2624" spans="1:15">
      <c r="A2624">
        <v>1966</v>
      </c>
      <c r="B2624" s="1">
        <v>45763</v>
      </c>
      <c r="C2624">
        <v>18</v>
      </c>
      <c r="D2624" t="s">
        <v>14</v>
      </c>
      <c r="E2624" t="s">
        <v>24</v>
      </c>
      <c r="F2624" t="s">
        <v>18</v>
      </c>
      <c r="G2624" t="s">
        <v>31</v>
      </c>
      <c r="H2624">
        <v>264.3</v>
      </c>
      <c r="I2624" s="13">
        <v>3</v>
      </c>
      <c r="J2624">
        <v>0</v>
      </c>
      <c r="K2624">
        <v>0</v>
      </c>
      <c r="L2624">
        <v>0</v>
      </c>
      <c r="M2624">
        <v>0</v>
      </c>
      <c r="O2624">
        <f t="shared" si="40"/>
        <v>4</v>
      </c>
    </row>
    <row r="2625" spans="1:15">
      <c r="A2625">
        <v>2938</v>
      </c>
      <c r="B2625" s="1">
        <v>45763</v>
      </c>
      <c r="C2625">
        <v>22</v>
      </c>
      <c r="D2625" t="s">
        <v>14</v>
      </c>
      <c r="E2625" t="s">
        <v>20</v>
      </c>
      <c r="F2625" t="s">
        <v>16</v>
      </c>
      <c r="H2625">
        <v>205.9</v>
      </c>
      <c r="I2625" s="13">
        <v>6</v>
      </c>
      <c r="J2625">
        <v>0</v>
      </c>
      <c r="K2625">
        <v>0</v>
      </c>
      <c r="L2625">
        <v>0</v>
      </c>
      <c r="M2625">
        <v>0</v>
      </c>
      <c r="O2625">
        <f t="shared" si="40"/>
        <v>4</v>
      </c>
    </row>
    <row r="2626" spans="1:15">
      <c r="A2626">
        <v>792</v>
      </c>
      <c r="B2626" s="1">
        <v>45763</v>
      </c>
      <c r="C2626">
        <v>27</v>
      </c>
      <c r="D2626" t="s">
        <v>17</v>
      </c>
      <c r="E2626" t="s">
        <v>24</v>
      </c>
      <c r="F2626" t="s">
        <v>23</v>
      </c>
      <c r="H2626">
        <v>200.9</v>
      </c>
      <c r="I2626" s="13">
        <v>5</v>
      </c>
      <c r="J2626">
        <v>0</v>
      </c>
      <c r="K2626">
        <v>0</v>
      </c>
      <c r="L2626">
        <v>0</v>
      </c>
      <c r="M2626">
        <v>0</v>
      </c>
      <c r="O2626">
        <f t="shared" si="40"/>
        <v>4</v>
      </c>
    </row>
    <row r="2627" spans="1:15">
      <c r="A2627">
        <v>485</v>
      </c>
      <c r="B2627" s="1">
        <v>45763</v>
      </c>
      <c r="C2627">
        <v>27</v>
      </c>
      <c r="D2627" t="s">
        <v>17</v>
      </c>
      <c r="E2627" t="s">
        <v>15</v>
      </c>
      <c r="F2627" t="s">
        <v>16</v>
      </c>
      <c r="H2627">
        <v>190.8</v>
      </c>
      <c r="I2627" s="13">
        <v>7</v>
      </c>
      <c r="J2627">
        <v>0</v>
      </c>
      <c r="K2627">
        <v>0</v>
      </c>
      <c r="L2627">
        <v>0</v>
      </c>
      <c r="M2627">
        <v>0</v>
      </c>
      <c r="O2627">
        <f t="shared" ref="O2627:O2690" si="41">MONTH(B2627)</f>
        <v>4</v>
      </c>
    </row>
    <row r="2628" spans="1:15">
      <c r="A2628">
        <v>464</v>
      </c>
      <c r="B2628" s="1">
        <v>45763</v>
      </c>
      <c r="C2628">
        <v>29</v>
      </c>
      <c r="D2628" t="s">
        <v>17</v>
      </c>
      <c r="E2628" t="s">
        <v>22</v>
      </c>
      <c r="F2628" t="s">
        <v>18</v>
      </c>
      <c r="G2628" t="s">
        <v>30</v>
      </c>
      <c r="H2628">
        <v>190</v>
      </c>
      <c r="I2628" s="13">
        <v>2</v>
      </c>
      <c r="J2628">
        <v>0</v>
      </c>
      <c r="K2628">
        <v>0</v>
      </c>
      <c r="L2628">
        <v>0</v>
      </c>
      <c r="M2628">
        <v>0</v>
      </c>
      <c r="O2628">
        <f t="shared" si="41"/>
        <v>4</v>
      </c>
    </row>
    <row r="2629" spans="1:15">
      <c r="A2629">
        <v>4212</v>
      </c>
      <c r="B2629" s="1">
        <v>45763</v>
      </c>
      <c r="C2629">
        <v>35</v>
      </c>
      <c r="D2629" t="s">
        <v>14</v>
      </c>
      <c r="E2629" t="s">
        <v>20</v>
      </c>
      <c r="F2629" t="s">
        <v>16</v>
      </c>
      <c r="H2629">
        <v>147.19999999999999</v>
      </c>
      <c r="I2629" s="13">
        <v>10</v>
      </c>
      <c r="J2629">
        <v>0</v>
      </c>
      <c r="K2629">
        <v>0</v>
      </c>
      <c r="L2629">
        <v>0</v>
      </c>
      <c r="M2629">
        <v>0</v>
      </c>
      <c r="O2629">
        <f t="shared" si="41"/>
        <v>4</v>
      </c>
    </row>
    <row r="2630" spans="1:15">
      <c r="A2630">
        <v>4207</v>
      </c>
      <c r="B2630" s="1">
        <v>45763</v>
      </c>
      <c r="C2630">
        <v>53</v>
      </c>
      <c r="D2630" t="s">
        <v>17</v>
      </c>
      <c r="E2630" t="s">
        <v>24</v>
      </c>
      <c r="F2630" t="s">
        <v>16</v>
      </c>
      <c r="H2630">
        <v>146.69999999999999</v>
      </c>
      <c r="I2630" s="13">
        <v>4</v>
      </c>
      <c r="J2630">
        <v>0</v>
      </c>
      <c r="K2630">
        <v>0</v>
      </c>
      <c r="L2630">
        <v>0</v>
      </c>
      <c r="M2630">
        <v>0</v>
      </c>
      <c r="O2630">
        <f t="shared" si="41"/>
        <v>4</v>
      </c>
    </row>
    <row r="2631" spans="1:15">
      <c r="A2631">
        <v>2489</v>
      </c>
      <c r="B2631" s="1">
        <v>45763</v>
      </c>
      <c r="C2631">
        <v>30</v>
      </c>
      <c r="D2631" t="s">
        <v>17</v>
      </c>
      <c r="E2631" t="s">
        <v>22</v>
      </c>
      <c r="F2631" t="s">
        <v>16</v>
      </c>
      <c r="H2631">
        <v>140.5</v>
      </c>
      <c r="I2631" s="13">
        <v>6</v>
      </c>
      <c r="J2631">
        <v>0</v>
      </c>
      <c r="K2631">
        <v>0</v>
      </c>
      <c r="L2631">
        <v>0</v>
      </c>
      <c r="M2631">
        <v>0</v>
      </c>
      <c r="O2631">
        <f t="shared" si="41"/>
        <v>4</v>
      </c>
    </row>
    <row r="2632" spans="1:15">
      <c r="A2632">
        <v>4509</v>
      </c>
      <c r="B2632" s="1">
        <v>45763</v>
      </c>
      <c r="C2632">
        <v>32</v>
      </c>
      <c r="D2632" t="s">
        <v>17</v>
      </c>
      <c r="E2632" t="s">
        <v>24</v>
      </c>
      <c r="F2632" t="s">
        <v>18</v>
      </c>
      <c r="G2632" t="s">
        <v>30</v>
      </c>
      <c r="H2632">
        <v>139.1</v>
      </c>
      <c r="I2632" s="13">
        <v>5</v>
      </c>
      <c r="J2632">
        <v>0</v>
      </c>
      <c r="K2632">
        <v>0</v>
      </c>
      <c r="L2632">
        <v>0</v>
      </c>
      <c r="M2632">
        <v>0</v>
      </c>
      <c r="O2632">
        <f t="shared" si="41"/>
        <v>4</v>
      </c>
    </row>
    <row r="2633" spans="1:15">
      <c r="A2633">
        <v>1927</v>
      </c>
      <c r="B2633" s="1">
        <v>45763</v>
      </c>
      <c r="C2633">
        <v>30</v>
      </c>
      <c r="D2633" t="s">
        <v>17</v>
      </c>
      <c r="E2633" t="s">
        <v>20</v>
      </c>
      <c r="F2633" t="s">
        <v>21</v>
      </c>
      <c r="H2633">
        <v>133.19999999999999</v>
      </c>
      <c r="I2633" s="13">
        <v>5</v>
      </c>
      <c r="J2633">
        <v>0</v>
      </c>
      <c r="K2633">
        <v>0</v>
      </c>
      <c r="L2633">
        <v>0</v>
      </c>
      <c r="M2633">
        <v>0</v>
      </c>
      <c r="O2633">
        <f t="shared" si="41"/>
        <v>4</v>
      </c>
    </row>
    <row r="2634" spans="1:15">
      <c r="A2634">
        <v>497</v>
      </c>
      <c r="B2634" s="1">
        <v>45763</v>
      </c>
      <c r="C2634">
        <v>23</v>
      </c>
      <c r="D2634" t="s">
        <v>17</v>
      </c>
      <c r="E2634" t="s">
        <v>22</v>
      </c>
      <c r="F2634" t="s">
        <v>21</v>
      </c>
      <c r="H2634">
        <v>69.8</v>
      </c>
      <c r="I2634" s="13">
        <v>6</v>
      </c>
      <c r="J2634">
        <v>0</v>
      </c>
      <c r="K2634">
        <v>0</v>
      </c>
      <c r="L2634">
        <v>0</v>
      </c>
      <c r="M2634">
        <v>0</v>
      </c>
      <c r="O2634">
        <f t="shared" si="41"/>
        <v>4</v>
      </c>
    </row>
    <row r="2635" spans="1:15">
      <c r="A2635">
        <v>3324</v>
      </c>
      <c r="B2635" s="1">
        <v>45763</v>
      </c>
      <c r="C2635">
        <v>30</v>
      </c>
      <c r="D2635" t="s">
        <v>14</v>
      </c>
      <c r="E2635" t="s">
        <v>24</v>
      </c>
      <c r="F2635" t="s">
        <v>23</v>
      </c>
      <c r="H2635">
        <v>22</v>
      </c>
      <c r="I2635" s="13">
        <v>3</v>
      </c>
      <c r="J2635">
        <v>0</v>
      </c>
      <c r="K2635">
        <v>0</v>
      </c>
      <c r="L2635">
        <v>0</v>
      </c>
      <c r="M2635">
        <v>0</v>
      </c>
      <c r="O2635">
        <f t="shared" si="41"/>
        <v>4</v>
      </c>
    </row>
    <row r="2636" spans="1:15">
      <c r="A2636">
        <v>3681</v>
      </c>
      <c r="B2636" s="1">
        <v>45793</v>
      </c>
      <c r="C2636">
        <v>29</v>
      </c>
      <c r="D2636" t="s">
        <v>17</v>
      </c>
      <c r="E2636" t="s">
        <v>15</v>
      </c>
      <c r="F2636" t="s">
        <v>18</v>
      </c>
      <c r="G2636" t="s">
        <v>26</v>
      </c>
      <c r="H2636">
        <v>647.5</v>
      </c>
      <c r="I2636" s="13">
        <v>3</v>
      </c>
      <c r="J2636">
        <v>1</v>
      </c>
      <c r="K2636">
        <v>330</v>
      </c>
      <c r="L2636">
        <v>4</v>
      </c>
      <c r="M2636">
        <v>14</v>
      </c>
      <c r="N2636">
        <v>4</v>
      </c>
      <c r="O2636">
        <f t="shared" si="41"/>
        <v>5</v>
      </c>
    </row>
    <row r="2637" spans="1:15">
      <c r="A2637">
        <v>2929</v>
      </c>
      <c r="B2637" s="1">
        <v>45793</v>
      </c>
      <c r="C2637">
        <v>38</v>
      </c>
      <c r="D2637" t="s">
        <v>14</v>
      </c>
      <c r="E2637" t="s">
        <v>24</v>
      </c>
      <c r="F2637" t="s">
        <v>18</v>
      </c>
      <c r="G2637" t="s">
        <v>30</v>
      </c>
      <c r="H2637">
        <v>640.20000000000005</v>
      </c>
      <c r="I2637" s="13">
        <v>7</v>
      </c>
      <c r="J2637">
        <v>1</v>
      </c>
      <c r="K2637">
        <v>216.56</v>
      </c>
      <c r="L2637">
        <v>5</v>
      </c>
      <c r="M2637">
        <v>12</v>
      </c>
      <c r="N2637">
        <v>5</v>
      </c>
      <c r="O2637">
        <f t="shared" si="41"/>
        <v>5</v>
      </c>
    </row>
    <row r="2638" spans="1:15">
      <c r="A2638">
        <v>4763</v>
      </c>
      <c r="B2638" s="1">
        <v>45793</v>
      </c>
      <c r="C2638">
        <v>67</v>
      </c>
      <c r="D2638" t="s">
        <v>17</v>
      </c>
      <c r="E2638" t="s">
        <v>15</v>
      </c>
      <c r="F2638" t="s">
        <v>18</v>
      </c>
      <c r="G2638" t="s">
        <v>26</v>
      </c>
      <c r="H2638">
        <v>614.20000000000005</v>
      </c>
      <c r="I2638" s="13">
        <v>9</v>
      </c>
      <c r="J2638">
        <v>1</v>
      </c>
      <c r="K2638">
        <v>212.46</v>
      </c>
      <c r="L2638">
        <v>2</v>
      </c>
      <c r="M2638">
        <v>4</v>
      </c>
      <c r="N2638">
        <v>4</v>
      </c>
      <c r="O2638">
        <f t="shared" si="41"/>
        <v>5</v>
      </c>
    </row>
    <row r="2639" spans="1:15">
      <c r="A2639">
        <v>1857</v>
      </c>
      <c r="B2639" s="1">
        <v>45793</v>
      </c>
      <c r="C2639">
        <v>39</v>
      </c>
      <c r="D2639" t="s">
        <v>14</v>
      </c>
      <c r="E2639" t="s">
        <v>22</v>
      </c>
      <c r="F2639" t="s">
        <v>18</v>
      </c>
      <c r="G2639" t="s">
        <v>19</v>
      </c>
      <c r="H2639">
        <v>447.2</v>
      </c>
      <c r="I2639" s="13">
        <v>5</v>
      </c>
      <c r="J2639">
        <v>1</v>
      </c>
      <c r="K2639">
        <v>158.04</v>
      </c>
      <c r="L2639">
        <v>6</v>
      </c>
      <c r="M2639">
        <v>1</v>
      </c>
      <c r="N2639">
        <v>5</v>
      </c>
      <c r="O2639">
        <f t="shared" si="41"/>
        <v>5</v>
      </c>
    </row>
    <row r="2640" spans="1:15">
      <c r="A2640">
        <v>3739</v>
      </c>
      <c r="B2640" s="1">
        <v>45793</v>
      </c>
      <c r="C2640">
        <v>39</v>
      </c>
      <c r="D2640" t="s">
        <v>14</v>
      </c>
      <c r="E2640" t="s">
        <v>15</v>
      </c>
      <c r="F2640" t="s">
        <v>16</v>
      </c>
      <c r="H2640">
        <v>289.2</v>
      </c>
      <c r="I2640" s="13">
        <v>8</v>
      </c>
      <c r="J2640">
        <v>1</v>
      </c>
      <c r="K2640">
        <v>102.07</v>
      </c>
      <c r="L2640">
        <v>1</v>
      </c>
      <c r="M2640">
        <v>14</v>
      </c>
      <c r="N2640">
        <v>5</v>
      </c>
      <c r="O2640">
        <f t="shared" si="41"/>
        <v>5</v>
      </c>
    </row>
    <row r="2641" spans="1:15">
      <c r="A2641">
        <v>420</v>
      </c>
      <c r="B2641" s="1">
        <v>45793</v>
      </c>
      <c r="C2641">
        <v>21</v>
      </c>
      <c r="D2641" t="s">
        <v>14</v>
      </c>
      <c r="E2641" t="s">
        <v>24</v>
      </c>
      <c r="F2641" t="s">
        <v>16</v>
      </c>
      <c r="H2641">
        <v>372.5</v>
      </c>
      <c r="I2641" s="13">
        <v>4</v>
      </c>
      <c r="J2641">
        <v>1</v>
      </c>
      <c r="K2641">
        <v>87.33</v>
      </c>
      <c r="L2641">
        <v>4</v>
      </c>
      <c r="M2641">
        <v>6</v>
      </c>
      <c r="N2641">
        <v>4</v>
      </c>
      <c r="O2641">
        <f t="shared" si="41"/>
        <v>5</v>
      </c>
    </row>
    <row r="2642" spans="1:15">
      <c r="A2642">
        <v>2842</v>
      </c>
      <c r="B2642" s="1">
        <v>45793</v>
      </c>
      <c r="C2642">
        <v>33</v>
      </c>
      <c r="D2642" t="s">
        <v>14</v>
      </c>
      <c r="E2642" t="s">
        <v>20</v>
      </c>
      <c r="F2642" t="s">
        <v>16</v>
      </c>
      <c r="H2642">
        <v>542.20000000000005</v>
      </c>
      <c r="I2642" s="13">
        <v>6</v>
      </c>
      <c r="J2642">
        <v>1</v>
      </c>
      <c r="K2642">
        <v>34.15</v>
      </c>
      <c r="L2642">
        <v>4</v>
      </c>
      <c r="M2642">
        <v>2</v>
      </c>
      <c r="N2642">
        <v>5</v>
      </c>
      <c r="O2642">
        <f t="shared" si="41"/>
        <v>5</v>
      </c>
    </row>
    <row r="2643" spans="1:15">
      <c r="A2643">
        <v>1995</v>
      </c>
      <c r="B2643" s="1">
        <v>45793</v>
      </c>
      <c r="C2643">
        <v>45</v>
      </c>
      <c r="D2643" t="s">
        <v>14</v>
      </c>
      <c r="E2643" t="s">
        <v>20</v>
      </c>
      <c r="F2643" t="s">
        <v>18</v>
      </c>
      <c r="G2643" t="s">
        <v>25</v>
      </c>
      <c r="H2643">
        <v>308.2</v>
      </c>
      <c r="I2643" s="13">
        <v>4</v>
      </c>
      <c r="J2643">
        <v>1</v>
      </c>
      <c r="K2643">
        <v>30.59</v>
      </c>
      <c r="L2643">
        <v>3</v>
      </c>
      <c r="M2643">
        <v>14</v>
      </c>
      <c r="N2643">
        <v>4</v>
      </c>
      <c r="O2643">
        <f t="shared" si="41"/>
        <v>5</v>
      </c>
    </row>
    <row r="2644" spans="1:15">
      <c r="A2644">
        <v>2341</v>
      </c>
      <c r="B2644" s="1">
        <v>45793</v>
      </c>
      <c r="C2644">
        <v>42</v>
      </c>
      <c r="D2644" t="s">
        <v>17</v>
      </c>
      <c r="E2644" t="s">
        <v>15</v>
      </c>
      <c r="F2644" t="s">
        <v>23</v>
      </c>
      <c r="H2644">
        <v>234.4</v>
      </c>
      <c r="I2644" s="13">
        <v>6</v>
      </c>
      <c r="J2644">
        <v>1</v>
      </c>
      <c r="K2644">
        <v>29.99</v>
      </c>
      <c r="L2644">
        <v>3</v>
      </c>
      <c r="M2644">
        <v>13</v>
      </c>
      <c r="N2644">
        <v>4</v>
      </c>
      <c r="O2644">
        <f t="shared" si="41"/>
        <v>5</v>
      </c>
    </row>
    <row r="2645" spans="1:15">
      <c r="A2645">
        <v>4639</v>
      </c>
      <c r="B2645" s="1">
        <v>45793</v>
      </c>
      <c r="C2645">
        <v>52</v>
      </c>
      <c r="D2645" t="s">
        <v>17</v>
      </c>
      <c r="E2645" t="s">
        <v>24</v>
      </c>
      <c r="F2645" t="s">
        <v>23</v>
      </c>
      <c r="H2645">
        <v>183.4</v>
      </c>
      <c r="I2645" s="13">
        <v>7</v>
      </c>
      <c r="J2645">
        <v>1</v>
      </c>
      <c r="K2645">
        <v>29.54</v>
      </c>
      <c r="L2645">
        <v>2</v>
      </c>
      <c r="M2645">
        <v>15</v>
      </c>
      <c r="N2645">
        <v>4</v>
      </c>
      <c r="O2645">
        <f t="shared" si="41"/>
        <v>5</v>
      </c>
    </row>
    <row r="2646" spans="1:15">
      <c r="A2646">
        <v>389</v>
      </c>
      <c r="B2646" s="1">
        <v>45793</v>
      </c>
      <c r="C2646">
        <v>28</v>
      </c>
      <c r="D2646" t="s">
        <v>17</v>
      </c>
      <c r="E2646" t="s">
        <v>22</v>
      </c>
      <c r="F2646" t="s">
        <v>23</v>
      </c>
      <c r="H2646">
        <v>252.2</v>
      </c>
      <c r="I2646" s="13">
        <v>7</v>
      </c>
      <c r="J2646">
        <v>1</v>
      </c>
      <c r="K2646">
        <v>15.98</v>
      </c>
      <c r="L2646">
        <v>2</v>
      </c>
      <c r="M2646">
        <v>10</v>
      </c>
      <c r="N2646">
        <v>5</v>
      </c>
      <c r="O2646">
        <f t="shared" si="41"/>
        <v>5</v>
      </c>
    </row>
    <row r="2647" spans="1:15">
      <c r="A2647">
        <v>3631</v>
      </c>
      <c r="B2647" s="1">
        <v>45793</v>
      </c>
      <c r="C2647">
        <v>30</v>
      </c>
      <c r="D2647" t="s">
        <v>17</v>
      </c>
      <c r="E2647" t="s">
        <v>22</v>
      </c>
      <c r="F2647" t="s">
        <v>16</v>
      </c>
      <c r="H2647">
        <v>450.9</v>
      </c>
      <c r="I2647" s="13">
        <v>4</v>
      </c>
      <c r="J2647">
        <v>1</v>
      </c>
      <c r="K2647">
        <v>15.81</v>
      </c>
      <c r="L2647">
        <v>3</v>
      </c>
      <c r="M2647">
        <v>2</v>
      </c>
      <c r="N2647">
        <v>4</v>
      </c>
      <c r="O2647">
        <f t="shared" si="41"/>
        <v>5</v>
      </c>
    </row>
    <row r="2648" spans="1:15">
      <c r="A2648">
        <v>108</v>
      </c>
      <c r="B2648" s="1">
        <v>45793</v>
      </c>
      <c r="C2648">
        <v>27</v>
      </c>
      <c r="D2648" t="s">
        <v>14</v>
      </c>
      <c r="E2648" t="s">
        <v>22</v>
      </c>
      <c r="F2648" t="s">
        <v>16</v>
      </c>
      <c r="H2648">
        <v>999.7</v>
      </c>
      <c r="I2648" s="13">
        <v>7</v>
      </c>
      <c r="J2648">
        <v>0</v>
      </c>
      <c r="K2648">
        <v>0</v>
      </c>
      <c r="L2648">
        <v>0</v>
      </c>
      <c r="M2648">
        <v>0</v>
      </c>
      <c r="O2648">
        <f t="shared" si="41"/>
        <v>5</v>
      </c>
    </row>
    <row r="2649" spans="1:15">
      <c r="A2649">
        <v>3738</v>
      </c>
      <c r="B2649" s="1">
        <v>45793</v>
      </c>
      <c r="C2649">
        <v>28</v>
      </c>
      <c r="D2649" t="s">
        <v>14</v>
      </c>
      <c r="E2649" t="s">
        <v>22</v>
      </c>
      <c r="F2649" t="s">
        <v>16</v>
      </c>
      <c r="H2649">
        <v>559.20000000000005</v>
      </c>
      <c r="I2649" s="13">
        <v>5</v>
      </c>
      <c r="J2649">
        <v>0</v>
      </c>
      <c r="K2649">
        <v>0</v>
      </c>
      <c r="L2649">
        <v>0</v>
      </c>
      <c r="M2649">
        <v>0</v>
      </c>
      <c r="O2649">
        <f t="shared" si="41"/>
        <v>5</v>
      </c>
    </row>
    <row r="2650" spans="1:15">
      <c r="A2650">
        <v>3326</v>
      </c>
      <c r="B2650" s="1">
        <v>45793</v>
      </c>
      <c r="C2650">
        <v>36</v>
      </c>
      <c r="D2650" t="s">
        <v>17</v>
      </c>
      <c r="E2650" t="s">
        <v>24</v>
      </c>
      <c r="F2650" t="s">
        <v>16</v>
      </c>
      <c r="H2650">
        <v>497.2</v>
      </c>
      <c r="I2650" s="13">
        <v>5</v>
      </c>
      <c r="J2650">
        <v>0</v>
      </c>
      <c r="K2650">
        <v>0</v>
      </c>
      <c r="L2650">
        <v>0</v>
      </c>
      <c r="M2650">
        <v>0</v>
      </c>
      <c r="O2650">
        <f t="shared" si="41"/>
        <v>5</v>
      </c>
    </row>
    <row r="2651" spans="1:15">
      <c r="A2651">
        <v>559</v>
      </c>
      <c r="B2651" s="1">
        <v>45793</v>
      </c>
      <c r="C2651">
        <v>20</v>
      </c>
      <c r="D2651" t="s">
        <v>17</v>
      </c>
      <c r="E2651" t="s">
        <v>22</v>
      </c>
      <c r="F2651" t="s">
        <v>18</v>
      </c>
      <c r="G2651" t="s">
        <v>29</v>
      </c>
      <c r="H2651">
        <v>492.5</v>
      </c>
      <c r="I2651" s="13">
        <v>6</v>
      </c>
      <c r="J2651">
        <v>0</v>
      </c>
      <c r="K2651">
        <v>0</v>
      </c>
      <c r="L2651">
        <v>0</v>
      </c>
      <c r="M2651">
        <v>0</v>
      </c>
      <c r="O2651">
        <f t="shared" si="41"/>
        <v>5</v>
      </c>
    </row>
    <row r="2652" spans="1:15">
      <c r="A2652">
        <v>3993</v>
      </c>
      <c r="B2652" s="1">
        <v>45793</v>
      </c>
      <c r="C2652">
        <v>48</v>
      </c>
      <c r="D2652" t="s">
        <v>14</v>
      </c>
      <c r="E2652" t="s">
        <v>15</v>
      </c>
      <c r="F2652" t="s">
        <v>18</v>
      </c>
      <c r="G2652" t="s">
        <v>28</v>
      </c>
      <c r="H2652">
        <v>475.2</v>
      </c>
      <c r="I2652" s="13">
        <v>5</v>
      </c>
      <c r="J2652">
        <v>0</v>
      </c>
      <c r="K2652">
        <v>0</v>
      </c>
      <c r="L2652">
        <v>0</v>
      </c>
      <c r="M2652">
        <v>0</v>
      </c>
      <c r="O2652">
        <f t="shared" si="41"/>
        <v>5</v>
      </c>
    </row>
    <row r="2653" spans="1:15">
      <c r="A2653">
        <v>3033</v>
      </c>
      <c r="B2653" s="1">
        <v>45793</v>
      </c>
      <c r="C2653">
        <v>46</v>
      </c>
      <c r="D2653" t="s">
        <v>14</v>
      </c>
      <c r="E2653" t="s">
        <v>24</v>
      </c>
      <c r="F2653" t="s">
        <v>16</v>
      </c>
      <c r="H2653">
        <v>474</v>
      </c>
      <c r="I2653" s="13">
        <v>8</v>
      </c>
      <c r="J2653">
        <v>0</v>
      </c>
      <c r="K2653">
        <v>0</v>
      </c>
      <c r="L2653">
        <v>0</v>
      </c>
      <c r="M2653">
        <v>0</v>
      </c>
      <c r="O2653">
        <f t="shared" si="41"/>
        <v>5</v>
      </c>
    </row>
    <row r="2654" spans="1:15">
      <c r="A2654">
        <v>2539</v>
      </c>
      <c r="B2654" s="1">
        <v>45793</v>
      </c>
      <c r="C2654">
        <v>41</v>
      </c>
      <c r="D2654" t="s">
        <v>14</v>
      </c>
      <c r="E2654" t="s">
        <v>15</v>
      </c>
      <c r="F2654" t="s">
        <v>16</v>
      </c>
      <c r="H2654">
        <v>426.2</v>
      </c>
      <c r="I2654" s="13">
        <v>5</v>
      </c>
      <c r="J2654">
        <v>0</v>
      </c>
      <c r="K2654">
        <v>0</v>
      </c>
      <c r="L2654">
        <v>0</v>
      </c>
      <c r="M2654">
        <v>0</v>
      </c>
      <c r="O2654">
        <f t="shared" si="41"/>
        <v>5</v>
      </c>
    </row>
    <row r="2655" spans="1:15">
      <c r="A2655">
        <v>3891</v>
      </c>
      <c r="B2655" s="1">
        <v>45793</v>
      </c>
      <c r="C2655">
        <v>56</v>
      </c>
      <c r="D2655" t="s">
        <v>17</v>
      </c>
      <c r="E2655" t="s">
        <v>20</v>
      </c>
      <c r="F2655" t="s">
        <v>16</v>
      </c>
      <c r="H2655">
        <v>407.7</v>
      </c>
      <c r="I2655" s="13">
        <v>8</v>
      </c>
      <c r="J2655">
        <v>0</v>
      </c>
      <c r="K2655">
        <v>0</v>
      </c>
      <c r="L2655">
        <v>0</v>
      </c>
      <c r="M2655">
        <v>0</v>
      </c>
      <c r="O2655">
        <f t="shared" si="41"/>
        <v>5</v>
      </c>
    </row>
    <row r="2656" spans="1:15">
      <c r="A2656">
        <v>2211</v>
      </c>
      <c r="B2656" s="1">
        <v>45793</v>
      </c>
      <c r="C2656">
        <v>29</v>
      </c>
      <c r="D2656" t="s">
        <v>14</v>
      </c>
      <c r="E2656" t="s">
        <v>15</v>
      </c>
      <c r="F2656" t="s">
        <v>16</v>
      </c>
      <c r="H2656">
        <v>299</v>
      </c>
      <c r="I2656" s="13">
        <v>6</v>
      </c>
      <c r="J2656">
        <v>0</v>
      </c>
      <c r="K2656">
        <v>0</v>
      </c>
      <c r="L2656">
        <v>0</v>
      </c>
      <c r="M2656">
        <v>0</v>
      </c>
      <c r="O2656">
        <f t="shared" si="41"/>
        <v>5</v>
      </c>
    </row>
    <row r="2657" spans="1:15">
      <c r="A2657">
        <v>400</v>
      </c>
      <c r="B2657" s="1">
        <v>45793</v>
      </c>
      <c r="C2657">
        <v>26</v>
      </c>
      <c r="D2657" t="s">
        <v>17</v>
      </c>
      <c r="E2657" t="s">
        <v>15</v>
      </c>
      <c r="F2657" t="s">
        <v>16</v>
      </c>
      <c r="H2657">
        <v>277.10000000000002</v>
      </c>
      <c r="I2657" s="13">
        <v>6</v>
      </c>
      <c r="J2657">
        <v>0</v>
      </c>
      <c r="K2657">
        <v>0</v>
      </c>
      <c r="L2657">
        <v>0</v>
      </c>
      <c r="M2657">
        <v>0</v>
      </c>
      <c r="O2657">
        <f t="shared" si="41"/>
        <v>5</v>
      </c>
    </row>
    <row r="2658" spans="1:15">
      <c r="A2658">
        <v>448</v>
      </c>
      <c r="B2658" s="1">
        <v>45793</v>
      </c>
      <c r="C2658">
        <v>28</v>
      </c>
      <c r="D2658" t="s">
        <v>14</v>
      </c>
      <c r="E2658" t="s">
        <v>22</v>
      </c>
      <c r="F2658" t="s">
        <v>18</v>
      </c>
      <c r="G2658" t="s">
        <v>19</v>
      </c>
      <c r="H2658">
        <v>259.5</v>
      </c>
      <c r="I2658" s="13">
        <v>4</v>
      </c>
      <c r="J2658">
        <v>0</v>
      </c>
      <c r="K2658">
        <v>0</v>
      </c>
      <c r="L2658">
        <v>0</v>
      </c>
      <c r="M2658">
        <v>0</v>
      </c>
      <c r="O2658">
        <f t="shared" si="41"/>
        <v>5</v>
      </c>
    </row>
    <row r="2659" spans="1:15">
      <c r="A2659">
        <v>4605</v>
      </c>
      <c r="B2659" s="1">
        <v>45793</v>
      </c>
      <c r="C2659">
        <v>51</v>
      </c>
      <c r="D2659" t="s">
        <v>14</v>
      </c>
      <c r="E2659" t="s">
        <v>15</v>
      </c>
      <c r="F2659" t="s">
        <v>16</v>
      </c>
      <c r="H2659">
        <v>228.6</v>
      </c>
      <c r="I2659" s="13">
        <v>5</v>
      </c>
      <c r="J2659">
        <v>0</v>
      </c>
      <c r="K2659">
        <v>0</v>
      </c>
      <c r="L2659">
        <v>0</v>
      </c>
      <c r="M2659">
        <v>0</v>
      </c>
      <c r="O2659">
        <f t="shared" si="41"/>
        <v>5</v>
      </c>
    </row>
    <row r="2660" spans="1:15">
      <c r="A2660">
        <v>4303</v>
      </c>
      <c r="B2660" s="1">
        <v>45793</v>
      </c>
      <c r="C2660">
        <v>43</v>
      </c>
      <c r="D2660" t="s">
        <v>14</v>
      </c>
      <c r="E2660" t="s">
        <v>15</v>
      </c>
      <c r="F2660" t="s">
        <v>16</v>
      </c>
      <c r="H2660">
        <v>220.3</v>
      </c>
      <c r="I2660" s="13">
        <v>4</v>
      </c>
      <c r="J2660">
        <v>0</v>
      </c>
      <c r="K2660">
        <v>0</v>
      </c>
      <c r="L2660">
        <v>0</v>
      </c>
      <c r="M2660">
        <v>0</v>
      </c>
      <c r="O2660">
        <f t="shared" si="41"/>
        <v>5</v>
      </c>
    </row>
    <row r="2661" spans="1:15">
      <c r="A2661">
        <v>399</v>
      </c>
      <c r="B2661" s="1">
        <v>45793</v>
      </c>
      <c r="C2661">
        <v>30</v>
      </c>
      <c r="D2661" t="s">
        <v>14</v>
      </c>
      <c r="E2661" t="s">
        <v>15</v>
      </c>
      <c r="F2661" t="s">
        <v>18</v>
      </c>
      <c r="G2661" t="s">
        <v>19</v>
      </c>
      <c r="H2661">
        <v>219</v>
      </c>
      <c r="I2661" s="13">
        <v>5</v>
      </c>
      <c r="J2661">
        <v>0</v>
      </c>
      <c r="K2661">
        <v>0</v>
      </c>
      <c r="L2661">
        <v>0</v>
      </c>
      <c r="M2661">
        <v>0</v>
      </c>
      <c r="O2661">
        <f t="shared" si="41"/>
        <v>5</v>
      </c>
    </row>
    <row r="2662" spans="1:15">
      <c r="A2662">
        <v>1156</v>
      </c>
      <c r="B2662" s="1">
        <v>45793</v>
      </c>
      <c r="C2662">
        <v>19</v>
      </c>
      <c r="D2662" t="s">
        <v>14</v>
      </c>
      <c r="E2662" t="s">
        <v>24</v>
      </c>
      <c r="F2662" t="s">
        <v>16</v>
      </c>
      <c r="H2662">
        <v>156.5</v>
      </c>
      <c r="I2662" s="13">
        <v>5</v>
      </c>
      <c r="J2662">
        <v>0</v>
      </c>
      <c r="K2662">
        <v>0</v>
      </c>
      <c r="L2662">
        <v>0</v>
      </c>
      <c r="M2662">
        <v>0</v>
      </c>
      <c r="O2662">
        <f t="shared" si="41"/>
        <v>5</v>
      </c>
    </row>
    <row r="2663" spans="1:15">
      <c r="A2663">
        <v>4191</v>
      </c>
      <c r="B2663" s="1">
        <v>45793</v>
      </c>
      <c r="C2663">
        <v>53</v>
      </c>
      <c r="D2663" t="s">
        <v>17</v>
      </c>
      <c r="E2663" t="s">
        <v>24</v>
      </c>
      <c r="F2663" t="s">
        <v>18</v>
      </c>
      <c r="G2663" t="s">
        <v>31</v>
      </c>
      <c r="H2663">
        <v>121.4</v>
      </c>
      <c r="I2663" s="13">
        <v>7</v>
      </c>
      <c r="J2663">
        <v>0</v>
      </c>
      <c r="K2663">
        <v>0</v>
      </c>
      <c r="L2663">
        <v>0</v>
      </c>
      <c r="M2663">
        <v>0</v>
      </c>
      <c r="O2663">
        <f t="shared" si="41"/>
        <v>5</v>
      </c>
    </row>
    <row r="2664" spans="1:15">
      <c r="A2664">
        <v>4714</v>
      </c>
      <c r="B2664" s="1">
        <v>45793</v>
      </c>
      <c r="C2664">
        <v>38</v>
      </c>
      <c r="D2664" t="s">
        <v>17</v>
      </c>
      <c r="E2664" t="s">
        <v>20</v>
      </c>
      <c r="F2664" t="s">
        <v>23</v>
      </c>
      <c r="H2664">
        <v>108.7</v>
      </c>
      <c r="I2664" s="13">
        <v>4</v>
      </c>
      <c r="J2664">
        <v>0</v>
      </c>
      <c r="K2664">
        <v>0</v>
      </c>
      <c r="L2664">
        <v>0</v>
      </c>
      <c r="M2664">
        <v>0</v>
      </c>
      <c r="O2664">
        <f t="shared" si="41"/>
        <v>5</v>
      </c>
    </row>
    <row r="2665" spans="1:15">
      <c r="A2665">
        <v>1646</v>
      </c>
      <c r="B2665" s="1">
        <v>45793</v>
      </c>
      <c r="C2665">
        <v>18</v>
      </c>
      <c r="D2665" t="s">
        <v>17</v>
      </c>
      <c r="E2665" t="s">
        <v>15</v>
      </c>
      <c r="F2665" t="s">
        <v>18</v>
      </c>
      <c r="G2665" t="s">
        <v>29</v>
      </c>
      <c r="H2665">
        <v>89.9</v>
      </c>
      <c r="I2665" s="13">
        <v>9</v>
      </c>
      <c r="J2665">
        <v>0</v>
      </c>
      <c r="K2665">
        <v>0</v>
      </c>
      <c r="L2665">
        <v>0</v>
      </c>
      <c r="M2665">
        <v>0</v>
      </c>
      <c r="O2665">
        <f t="shared" si="41"/>
        <v>5</v>
      </c>
    </row>
    <row r="2666" spans="1:15">
      <c r="A2666">
        <v>1023</v>
      </c>
      <c r="B2666" s="1">
        <v>45824</v>
      </c>
      <c r="C2666">
        <v>22</v>
      </c>
      <c r="D2666" t="s">
        <v>14</v>
      </c>
      <c r="E2666" t="s">
        <v>15</v>
      </c>
      <c r="F2666" t="s">
        <v>16</v>
      </c>
      <c r="H2666">
        <v>153.4</v>
      </c>
      <c r="I2666" s="13">
        <v>5</v>
      </c>
      <c r="J2666">
        <v>1</v>
      </c>
      <c r="K2666">
        <v>24</v>
      </c>
      <c r="L2666">
        <v>3</v>
      </c>
      <c r="M2666">
        <v>13</v>
      </c>
      <c r="N2666">
        <v>4</v>
      </c>
      <c r="O2666">
        <f t="shared" si="41"/>
        <v>6</v>
      </c>
    </row>
    <row r="2667" spans="1:15">
      <c r="A2667">
        <v>3957</v>
      </c>
      <c r="B2667" s="1">
        <v>45824</v>
      </c>
      <c r="C2667">
        <v>37</v>
      </c>
      <c r="D2667" t="s">
        <v>14</v>
      </c>
      <c r="E2667" t="s">
        <v>24</v>
      </c>
      <c r="F2667" t="s">
        <v>16</v>
      </c>
      <c r="H2667">
        <v>294.8</v>
      </c>
      <c r="I2667" s="13">
        <v>8</v>
      </c>
      <c r="J2667">
        <v>1</v>
      </c>
      <c r="K2667">
        <v>424</v>
      </c>
      <c r="L2667">
        <v>2</v>
      </c>
      <c r="M2667">
        <v>7</v>
      </c>
      <c r="N2667">
        <v>4</v>
      </c>
      <c r="O2667">
        <f t="shared" si="41"/>
        <v>6</v>
      </c>
    </row>
    <row r="2668" spans="1:15">
      <c r="A2668">
        <v>1104</v>
      </c>
      <c r="B2668" s="1">
        <v>45824</v>
      </c>
      <c r="C2668">
        <v>30</v>
      </c>
      <c r="D2668" t="s">
        <v>17</v>
      </c>
      <c r="E2668" t="s">
        <v>20</v>
      </c>
      <c r="F2668" t="s">
        <v>16</v>
      </c>
      <c r="H2668">
        <v>136.6</v>
      </c>
      <c r="I2668" s="13">
        <v>9</v>
      </c>
      <c r="J2668">
        <v>1</v>
      </c>
      <c r="K2668">
        <v>272.43</v>
      </c>
      <c r="L2668">
        <v>4</v>
      </c>
      <c r="M2668">
        <v>12</v>
      </c>
      <c r="N2668">
        <v>4</v>
      </c>
      <c r="O2668">
        <f t="shared" si="41"/>
        <v>6</v>
      </c>
    </row>
    <row r="2669" spans="1:15">
      <c r="A2669">
        <v>578</v>
      </c>
      <c r="B2669" s="1">
        <v>45824</v>
      </c>
      <c r="C2669">
        <v>21</v>
      </c>
      <c r="D2669" t="s">
        <v>14</v>
      </c>
      <c r="E2669" t="s">
        <v>24</v>
      </c>
      <c r="F2669" t="s">
        <v>16</v>
      </c>
      <c r="H2669">
        <v>562.79999999999995</v>
      </c>
      <c r="I2669" s="13">
        <v>3</v>
      </c>
      <c r="J2669">
        <v>1</v>
      </c>
      <c r="K2669">
        <v>100.81</v>
      </c>
      <c r="L2669">
        <v>1</v>
      </c>
      <c r="M2669">
        <v>9</v>
      </c>
      <c r="N2669">
        <v>4</v>
      </c>
      <c r="O2669">
        <f t="shared" si="41"/>
        <v>6</v>
      </c>
    </row>
    <row r="2670" spans="1:15">
      <c r="A2670">
        <v>4905</v>
      </c>
      <c r="B2670" s="1">
        <v>45824</v>
      </c>
      <c r="C2670">
        <v>47</v>
      </c>
      <c r="D2670" t="s">
        <v>14</v>
      </c>
      <c r="E2670" t="s">
        <v>15</v>
      </c>
      <c r="F2670" t="s">
        <v>23</v>
      </c>
      <c r="H2670">
        <v>1118.8</v>
      </c>
      <c r="I2670" s="13">
        <v>4</v>
      </c>
      <c r="J2670">
        <v>1</v>
      </c>
      <c r="K2670">
        <v>24.28</v>
      </c>
      <c r="L2670">
        <v>1</v>
      </c>
      <c r="M2670">
        <v>6</v>
      </c>
      <c r="N2670">
        <v>5</v>
      </c>
      <c r="O2670">
        <f t="shared" si="41"/>
        <v>6</v>
      </c>
    </row>
    <row r="2671" spans="1:15">
      <c r="A2671">
        <v>1016</v>
      </c>
      <c r="B2671" s="1">
        <v>45824</v>
      </c>
      <c r="C2671">
        <v>30</v>
      </c>
      <c r="D2671" t="s">
        <v>17</v>
      </c>
      <c r="E2671" t="s">
        <v>15</v>
      </c>
      <c r="F2671" t="s">
        <v>16</v>
      </c>
      <c r="H2671">
        <v>553.5</v>
      </c>
      <c r="I2671" s="13">
        <v>3</v>
      </c>
      <c r="J2671">
        <v>0</v>
      </c>
      <c r="K2671">
        <v>0</v>
      </c>
      <c r="L2671">
        <v>0</v>
      </c>
      <c r="M2671">
        <v>0</v>
      </c>
      <c r="O2671">
        <f t="shared" si="41"/>
        <v>6</v>
      </c>
    </row>
    <row r="2672" spans="1:15">
      <c r="A2672">
        <v>1640</v>
      </c>
      <c r="B2672" s="1">
        <v>45824</v>
      </c>
      <c r="C2672">
        <v>30</v>
      </c>
      <c r="D2672" t="s">
        <v>14</v>
      </c>
      <c r="E2672" t="s">
        <v>20</v>
      </c>
      <c r="F2672" t="s">
        <v>21</v>
      </c>
      <c r="H2672">
        <v>519.5</v>
      </c>
      <c r="I2672" s="13">
        <v>11</v>
      </c>
      <c r="J2672">
        <v>0</v>
      </c>
      <c r="K2672">
        <v>0</v>
      </c>
      <c r="L2672">
        <v>0</v>
      </c>
      <c r="M2672">
        <v>0</v>
      </c>
      <c r="O2672">
        <f t="shared" si="41"/>
        <v>6</v>
      </c>
    </row>
    <row r="2673" spans="1:15">
      <c r="A2673">
        <v>800</v>
      </c>
      <c r="B2673" s="1">
        <v>45824</v>
      </c>
      <c r="C2673">
        <v>27</v>
      </c>
      <c r="D2673" t="s">
        <v>14</v>
      </c>
      <c r="E2673" t="s">
        <v>22</v>
      </c>
      <c r="F2673" t="s">
        <v>16</v>
      </c>
      <c r="H2673">
        <v>427.1</v>
      </c>
      <c r="I2673" s="13">
        <v>7</v>
      </c>
      <c r="J2673">
        <v>0</v>
      </c>
      <c r="K2673">
        <v>0</v>
      </c>
      <c r="L2673">
        <v>0</v>
      </c>
      <c r="M2673">
        <v>0</v>
      </c>
      <c r="O2673">
        <f t="shared" si="41"/>
        <v>6</v>
      </c>
    </row>
    <row r="2674" spans="1:15">
      <c r="A2674">
        <v>1635</v>
      </c>
      <c r="B2674" s="1">
        <v>45824</v>
      </c>
      <c r="C2674">
        <v>22</v>
      </c>
      <c r="D2674" t="s">
        <v>17</v>
      </c>
      <c r="E2674" t="s">
        <v>15</v>
      </c>
      <c r="F2674" t="s">
        <v>16</v>
      </c>
      <c r="H2674">
        <v>407.3</v>
      </c>
      <c r="I2674" s="13">
        <v>6</v>
      </c>
      <c r="J2674">
        <v>0</v>
      </c>
      <c r="K2674">
        <v>0</v>
      </c>
      <c r="L2674">
        <v>0</v>
      </c>
      <c r="M2674">
        <v>0</v>
      </c>
      <c r="O2674">
        <f t="shared" si="41"/>
        <v>6</v>
      </c>
    </row>
    <row r="2675" spans="1:15">
      <c r="A2675">
        <v>1687</v>
      </c>
      <c r="B2675" s="1">
        <v>45824</v>
      </c>
      <c r="C2675">
        <v>21</v>
      </c>
      <c r="D2675" t="s">
        <v>14</v>
      </c>
      <c r="E2675" t="s">
        <v>22</v>
      </c>
      <c r="F2675" t="s">
        <v>16</v>
      </c>
      <c r="H2675">
        <v>343.4</v>
      </c>
      <c r="I2675" s="13">
        <v>8</v>
      </c>
      <c r="J2675">
        <v>0</v>
      </c>
      <c r="K2675">
        <v>0</v>
      </c>
      <c r="L2675">
        <v>0</v>
      </c>
      <c r="M2675">
        <v>0</v>
      </c>
      <c r="O2675">
        <f t="shared" si="41"/>
        <v>6</v>
      </c>
    </row>
    <row r="2676" spans="1:15">
      <c r="A2676">
        <v>2821</v>
      </c>
      <c r="B2676" s="1">
        <v>45824</v>
      </c>
      <c r="C2676">
        <v>37</v>
      </c>
      <c r="D2676" t="s">
        <v>17</v>
      </c>
      <c r="E2676" t="s">
        <v>22</v>
      </c>
      <c r="F2676" t="s">
        <v>18</v>
      </c>
      <c r="G2676" t="s">
        <v>25</v>
      </c>
      <c r="H2676">
        <v>332.8</v>
      </c>
      <c r="I2676" s="13">
        <v>5</v>
      </c>
      <c r="J2676">
        <v>0</v>
      </c>
      <c r="K2676">
        <v>0</v>
      </c>
      <c r="L2676">
        <v>0</v>
      </c>
      <c r="M2676">
        <v>0</v>
      </c>
      <c r="O2676">
        <f t="shared" si="41"/>
        <v>6</v>
      </c>
    </row>
    <row r="2677" spans="1:15">
      <c r="A2677">
        <v>2516</v>
      </c>
      <c r="B2677" s="1">
        <v>45824</v>
      </c>
      <c r="C2677">
        <v>43</v>
      </c>
      <c r="D2677" t="s">
        <v>17</v>
      </c>
      <c r="E2677" t="s">
        <v>15</v>
      </c>
      <c r="F2677" t="s">
        <v>18</v>
      </c>
      <c r="G2677" t="s">
        <v>28</v>
      </c>
      <c r="H2677">
        <v>288.10000000000002</v>
      </c>
      <c r="I2677" s="13">
        <v>7</v>
      </c>
      <c r="J2677">
        <v>0</v>
      </c>
      <c r="K2677">
        <v>0</v>
      </c>
      <c r="L2677">
        <v>0</v>
      </c>
      <c r="M2677">
        <v>0</v>
      </c>
      <c r="O2677">
        <f t="shared" si="41"/>
        <v>6</v>
      </c>
    </row>
    <row r="2678" spans="1:15">
      <c r="A2678">
        <v>4434</v>
      </c>
      <c r="B2678" s="1">
        <v>45824</v>
      </c>
      <c r="C2678">
        <v>48</v>
      </c>
      <c r="D2678" t="s">
        <v>17</v>
      </c>
      <c r="E2678" t="s">
        <v>20</v>
      </c>
      <c r="F2678" t="s">
        <v>16</v>
      </c>
      <c r="H2678">
        <v>280.89999999999998</v>
      </c>
      <c r="I2678" s="13">
        <v>7</v>
      </c>
      <c r="J2678">
        <v>0</v>
      </c>
      <c r="K2678">
        <v>0</v>
      </c>
      <c r="L2678">
        <v>0</v>
      </c>
      <c r="M2678">
        <v>0</v>
      </c>
      <c r="O2678">
        <f t="shared" si="41"/>
        <v>6</v>
      </c>
    </row>
    <row r="2679" spans="1:15">
      <c r="A2679">
        <v>3609</v>
      </c>
      <c r="B2679" s="1">
        <v>45824</v>
      </c>
      <c r="C2679">
        <v>38</v>
      </c>
      <c r="D2679" t="s">
        <v>14</v>
      </c>
      <c r="E2679" t="s">
        <v>15</v>
      </c>
      <c r="F2679" t="s">
        <v>18</v>
      </c>
      <c r="G2679" t="s">
        <v>30</v>
      </c>
      <c r="H2679">
        <v>240.3</v>
      </c>
      <c r="I2679" s="13">
        <v>6</v>
      </c>
      <c r="J2679">
        <v>0</v>
      </c>
      <c r="K2679">
        <v>0</v>
      </c>
      <c r="L2679">
        <v>0</v>
      </c>
      <c r="M2679">
        <v>0</v>
      </c>
      <c r="O2679">
        <f t="shared" si="41"/>
        <v>6</v>
      </c>
    </row>
    <row r="2680" spans="1:15">
      <c r="A2680">
        <v>808</v>
      </c>
      <c r="B2680" s="1">
        <v>45824</v>
      </c>
      <c r="C2680">
        <v>25</v>
      </c>
      <c r="D2680" t="s">
        <v>14</v>
      </c>
      <c r="E2680" t="s">
        <v>24</v>
      </c>
      <c r="F2680" t="s">
        <v>16</v>
      </c>
      <c r="H2680">
        <v>214.2</v>
      </c>
      <c r="I2680" s="13">
        <v>5</v>
      </c>
      <c r="J2680">
        <v>0</v>
      </c>
      <c r="K2680">
        <v>0</v>
      </c>
      <c r="L2680">
        <v>0</v>
      </c>
      <c r="M2680">
        <v>0</v>
      </c>
      <c r="O2680">
        <f t="shared" si="41"/>
        <v>6</v>
      </c>
    </row>
    <row r="2681" spans="1:15">
      <c r="A2681">
        <v>3167</v>
      </c>
      <c r="B2681" s="1">
        <v>45824</v>
      </c>
      <c r="C2681">
        <v>18</v>
      </c>
      <c r="D2681" t="s">
        <v>14</v>
      </c>
      <c r="E2681" t="s">
        <v>22</v>
      </c>
      <c r="F2681" t="s">
        <v>16</v>
      </c>
      <c r="H2681">
        <v>205.7</v>
      </c>
      <c r="I2681" s="13">
        <v>3</v>
      </c>
      <c r="J2681">
        <v>0</v>
      </c>
      <c r="K2681">
        <v>0</v>
      </c>
      <c r="L2681">
        <v>0</v>
      </c>
      <c r="M2681">
        <v>0</v>
      </c>
      <c r="O2681">
        <f t="shared" si="41"/>
        <v>6</v>
      </c>
    </row>
    <row r="2682" spans="1:15">
      <c r="A2682">
        <v>183</v>
      </c>
      <c r="B2682" s="1">
        <v>45824</v>
      </c>
      <c r="C2682">
        <v>27</v>
      </c>
      <c r="D2682" t="s">
        <v>17</v>
      </c>
      <c r="E2682" t="s">
        <v>20</v>
      </c>
      <c r="F2682" t="s">
        <v>23</v>
      </c>
      <c r="H2682">
        <v>190.6</v>
      </c>
      <c r="I2682" s="13">
        <v>5</v>
      </c>
      <c r="J2682">
        <v>0</v>
      </c>
      <c r="K2682">
        <v>0</v>
      </c>
      <c r="L2682">
        <v>0</v>
      </c>
      <c r="M2682">
        <v>0</v>
      </c>
      <c r="O2682">
        <f t="shared" si="41"/>
        <v>6</v>
      </c>
    </row>
    <row r="2683" spans="1:15">
      <c r="A2683">
        <v>1520</v>
      </c>
      <c r="B2683" s="1">
        <v>45824</v>
      </c>
      <c r="C2683">
        <v>28</v>
      </c>
      <c r="D2683" t="s">
        <v>17</v>
      </c>
      <c r="E2683" t="s">
        <v>20</v>
      </c>
      <c r="F2683" t="s">
        <v>23</v>
      </c>
      <c r="H2683">
        <v>84</v>
      </c>
      <c r="I2683" s="13">
        <v>4</v>
      </c>
      <c r="J2683">
        <v>0</v>
      </c>
      <c r="K2683">
        <v>0</v>
      </c>
      <c r="L2683">
        <v>0</v>
      </c>
      <c r="M2683">
        <v>0</v>
      </c>
      <c r="O2683">
        <f t="shared" si="41"/>
        <v>6</v>
      </c>
    </row>
    <row r="2684" spans="1:15">
      <c r="A2684">
        <v>1082</v>
      </c>
      <c r="B2684" s="1">
        <v>45674</v>
      </c>
      <c r="C2684">
        <v>18</v>
      </c>
      <c r="D2684" t="s">
        <v>14</v>
      </c>
      <c r="E2684" t="s">
        <v>22</v>
      </c>
      <c r="F2684" t="s">
        <v>16</v>
      </c>
      <c r="H2684">
        <v>485.4</v>
      </c>
      <c r="I2684" s="13">
        <v>6</v>
      </c>
      <c r="J2684">
        <v>1</v>
      </c>
      <c r="K2684">
        <v>555</v>
      </c>
      <c r="L2684">
        <v>2</v>
      </c>
      <c r="M2684">
        <v>13</v>
      </c>
      <c r="N2684">
        <v>3</v>
      </c>
      <c r="O2684">
        <f t="shared" si="41"/>
        <v>1</v>
      </c>
    </row>
    <row r="2685" spans="1:15">
      <c r="A2685">
        <v>3062</v>
      </c>
      <c r="B2685" s="1">
        <v>45674</v>
      </c>
      <c r="C2685">
        <v>33</v>
      </c>
      <c r="D2685" t="s">
        <v>14</v>
      </c>
      <c r="E2685" t="s">
        <v>22</v>
      </c>
      <c r="F2685" t="s">
        <v>18</v>
      </c>
      <c r="G2685" t="s">
        <v>30</v>
      </c>
      <c r="H2685">
        <v>845.5</v>
      </c>
      <c r="I2685" s="13">
        <v>8</v>
      </c>
      <c r="J2685">
        <v>1</v>
      </c>
      <c r="K2685">
        <v>227.7</v>
      </c>
      <c r="L2685">
        <v>2</v>
      </c>
      <c r="M2685">
        <v>9</v>
      </c>
      <c r="N2685">
        <v>4</v>
      </c>
      <c r="O2685">
        <f t="shared" si="41"/>
        <v>1</v>
      </c>
    </row>
    <row r="2686" spans="1:15">
      <c r="A2686">
        <v>165</v>
      </c>
      <c r="B2686" s="1">
        <v>45674</v>
      </c>
      <c r="C2686">
        <v>24</v>
      </c>
      <c r="D2686" t="s">
        <v>14</v>
      </c>
      <c r="E2686" t="s">
        <v>24</v>
      </c>
      <c r="F2686" t="s">
        <v>18</v>
      </c>
      <c r="G2686" t="s">
        <v>25</v>
      </c>
      <c r="H2686">
        <v>154.6</v>
      </c>
      <c r="I2686" s="13">
        <v>7</v>
      </c>
      <c r="J2686">
        <v>1</v>
      </c>
      <c r="K2686">
        <v>161.83000000000001</v>
      </c>
      <c r="L2686">
        <v>4</v>
      </c>
      <c r="M2686">
        <v>14</v>
      </c>
      <c r="N2686">
        <v>4</v>
      </c>
      <c r="O2686">
        <f t="shared" si="41"/>
        <v>1</v>
      </c>
    </row>
    <row r="2687" spans="1:15">
      <c r="A2687">
        <v>2627</v>
      </c>
      <c r="B2687" s="1">
        <v>45674</v>
      </c>
      <c r="C2687">
        <v>37</v>
      </c>
      <c r="D2687" t="s">
        <v>17</v>
      </c>
      <c r="E2687" t="s">
        <v>22</v>
      </c>
      <c r="F2687" t="s">
        <v>18</v>
      </c>
      <c r="G2687" t="s">
        <v>29</v>
      </c>
      <c r="H2687">
        <v>663.8</v>
      </c>
      <c r="I2687" s="13">
        <v>9</v>
      </c>
      <c r="J2687">
        <v>1</v>
      </c>
      <c r="K2687">
        <v>88.78</v>
      </c>
      <c r="L2687">
        <v>2</v>
      </c>
      <c r="M2687">
        <v>11</v>
      </c>
      <c r="N2687">
        <v>4</v>
      </c>
      <c r="O2687">
        <f t="shared" si="41"/>
        <v>1</v>
      </c>
    </row>
    <row r="2688" spans="1:15">
      <c r="A2688">
        <v>1645</v>
      </c>
      <c r="B2688" s="1">
        <v>45674</v>
      </c>
      <c r="C2688">
        <v>22</v>
      </c>
      <c r="D2688" t="s">
        <v>14</v>
      </c>
      <c r="E2688" t="s">
        <v>24</v>
      </c>
      <c r="F2688" t="s">
        <v>23</v>
      </c>
      <c r="H2688">
        <v>517.70000000000005</v>
      </c>
      <c r="I2688" s="13">
        <v>3</v>
      </c>
      <c r="J2688">
        <v>1</v>
      </c>
      <c r="K2688">
        <v>61.24</v>
      </c>
      <c r="L2688">
        <v>3</v>
      </c>
      <c r="M2688">
        <v>2</v>
      </c>
      <c r="N2688">
        <v>4</v>
      </c>
      <c r="O2688">
        <f t="shared" si="41"/>
        <v>1</v>
      </c>
    </row>
    <row r="2689" spans="1:15">
      <c r="A2689">
        <v>1117</v>
      </c>
      <c r="B2689" s="1">
        <v>45674</v>
      </c>
      <c r="C2689">
        <v>24</v>
      </c>
      <c r="D2689" t="s">
        <v>14</v>
      </c>
      <c r="E2689" t="s">
        <v>15</v>
      </c>
      <c r="F2689" t="s">
        <v>16</v>
      </c>
      <c r="H2689">
        <v>439.8</v>
      </c>
      <c r="I2689" s="13">
        <v>6</v>
      </c>
      <c r="J2689">
        <v>1</v>
      </c>
      <c r="K2689">
        <v>51.25</v>
      </c>
      <c r="L2689">
        <v>4</v>
      </c>
      <c r="M2689">
        <v>3</v>
      </c>
      <c r="N2689">
        <v>4</v>
      </c>
      <c r="O2689">
        <f t="shared" si="41"/>
        <v>1</v>
      </c>
    </row>
    <row r="2690" spans="1:15">
      <c r="A2690">
        <v>3114</v>
      </c>
      <c r="B2690" s="1">
        <v>45674</v>
      </c>
      <c r="C2690">
        <v>21</v>
      </c>
      <c r="D2690" t="s">
        <v>14</v>
      </c>
      <c r="E2690" t="s">
        <v>22</v>
      </c>
      <c r="F2690" t="s">
        <v>16</v>
      </c>
      <c r="H2690">
        <v>193.3</v>
      </c>
      <c r="I2690" s="13">
        <v>9</v>
      </c>
      <c r="J2690">
        <v>1</v>
      </c>
      <c r="K2690">
        <v>25.74</v>
      </c>
      <c r="L2690">
        <v>3</v>
      </c>
      <c r="M2690">
        <v>8</v>
      </c>
      <c r="N2690">
        <v>4</v>
      </c>
      <c r="O2690">
        <f t="shared" si="41"/>
        <v>1</v>
      </c>
    </row>
    <row r="2691" spans="1:15">
      <c r="A2691">
        <v>191</v>
      </c>
      <c r="B2691" s="1">
        <v>45674</v>
      </c>
      <c r="C2691">
        <v>30</v>
      </c>
      <c r="D2691" t="s">
        <v>17</v>
      </c>
      <c r="E2691" t="s">
        <v>22</v>
      </c>
      <c r="F2691" t="s">
        <v>16</v>
      </c>
      <c r="H2691">
        <v>523.20000000000005</v>
      </c>
      <c r="I2691" s="13">
        <v>7</v>
      </c>
      <c r="J2691">
        <v>1</v>
      </c>
      <c r="K2691">
        <v>14.83</v>
      </c>
      <c r="L2691">
        <v>1</v>
      </c>
      <c r="M2691">
        <v>3</v>
      </c>
      <c r="N2691">
        <v>5</v>
      </c>
      <c r="O2691">
        <f t="shared" ref="O2691:O2754" si="42">MONTH(B2691)</f>
        <v>1</v>
      </c>
    </row>
    <row r="2692" spans="1:15">
      <c r="A2692">
        <v>1926</v>
      </c>
      <c r="B2692" s="1">
        <v>45674</v>
      </c>
      <c r="C2692">
        <v>29</v>
      </c>
      <c r="D2692" t="s">
        <v>14</v>
      </c>
      <c r="E2692" t="s">
        <v>22</v>
      </c>
      <c r="F2692" t="s">
        <v>18</v>
      </c>
      <c r="G2692" t="s">
        <v>31</v>
      </c>
      <c r="H2692">
        <v>924.5</v>
      </c>
      <c r="I2692" s="13">
        <v>6</v>
      </c>
      <c r="J2692">
        <v>0</v>
      </c>
      <c r="K2692">
        <v>0</v>
      </c>
      <c r="L2692">
        <v>0</v>
      </c>
      <c r="M2692">
        <v>0</v>
      </c>
      <c r="O2692">
        <f t="shared" si="42"/>
        <v>1</v>
      </c>
    </row>
    <row r="2693" spans="1:15">
      <c r="A2693">
        <v>423</v>
      </c>
      <c r="B2693" s="1">
        <v>45674</v>
      </c>
      <c r="C2693">
        <v>22</v>
      </c>
      <c r="D2693" t="s">
        <v>17</v>
      </c>
      <c r="E2693" t="s">
        <v>20</v>
      </c>
      <c r="F2693" t="s">
        <v>16</v>
      </c>
      <c r="H2693">
        <v>462.5</v>
      </c>
      <c r="I2693" s="13">
        <v>5</v>
      </c>
      <c r="J2693">
        <v>0</v>
      </c>
      <c r="K2693">
        <v>0</v>
      </c>
      <c r="L2693">
        <v>0</v>
      </c>
      <c r="M2693">
        <v>0</v>
      </c>
      <c r="O2693">
        <f t="shared" si="42"/>
        <v>1</v>
      </c>
    </row>
    <row r="2694" spans="1:15">
      <c r="A2694">
        <v>3635</v>
      </c>
      <c r="B2694" s="1">
        <v>45674</v>
      </c>
      <c r="C2694">
        <v>18</v>
      </c>
      <c r="D2694" t="s">
        <v>17</v>
      </c>
      <c r="E2694" t="s">
        <v>22</v>
      </c>
      <c r="F2694" t="s">
        <v>18</v>
      </c>
      <c r="G2694" t="s">
        <v>19</v>
      </c>
      <c r="H2694">
        <v>384.7</v>
      </c>
      <c r="I2694" s="13">
        <v>9</v>
      </c>
      <c r="J2694">
        <v>0</v>
      </c>
      <c r="K2694">
        <v>0</v>
      </c>
      <c r="L2694">
        <v>0</v>
      </c>
      <c r="M2694">
        <v>0</v>
      </c>
      <c r="O2694">
        <f t="shared" si="42"/>
        <v>1</v>
      </c>
    </row>
    <row r="2695" spans="1:15">
      <c r="A2695">
        <v>996</v>
      </c>
      <c r="B2695" s="1">
        <v>45674</v>
      </c>
      <c r="C2695">
        <v>31</v>
      </c>
      <c r="D2695" t="s">
        <v>14</v>
      </c>
      <c r="E2695" t="s">
        <v>22</v>
      </c>
      <c r="F2695" t="s">
        <v>16</v>
      </c>
      <c r="H2695">
        <v>347.1</v>
      </c>
      <c r="I2695" s="13">
        <v>4</v>
      </c>
      <c r="J2695">
        <v>0</v>
      </c>
      <c r="K2695">
        <v>0</v>
      </c>
      <c r="L2695">
        <v>0</v>
      </c>
      <c r="M2695">
        <v>0</v>
      </c>
      <c r="O2695">
        <f t="shared" si="42"/>
        <v>1</v>
      </c>
    </row>
    <row r="2696" spans="1:15">
      <c r="A2696">
        <v>4899</v>
      </c>
      <c r="B2696" s="1">
        <v>45674</v>
      </c>
      <c r="C2696">
        <v>43</v>
      </c>
      <c r="D2696" t="s">
        <v>17</v>
      </c>
      <c r="E2696" t="s">
        <v>15</v>
      </c>
      <c r="F2696" t="s">
        <v>23</v>
      </c>
      <c r="H2696">
        <v>338.2</v>
      </c>
      <c r="I2696" s="13">
        <v>6</v>
      </c>
      <c r="J2696">
        <v>0</v>
      </c>
      <c r="K2696">
        <v>0</v>
      </c>
      <c r="L2696">
        <v>0</v>
      </c>
      <c r="M2696">
        <v>0</v>
      </c>
      <c r="O2696">
        <f t="shared" si="42"/>
        <v>1</v>
      </c>
    </row>
    <row r="2697" spans="1:15">
      <c r="A2697">
        <v>284</v>
      </c>
      <c r="B2697" s="1">
        <v>45674</v>
      </c>
      <c r="C2697">
        <v>28</v>
      </c>
      <c r="D2697" t="s">
        <v>17</v>
      </c>
      <c r="E2697" t="s">
        <v>22</v>
      </c>
      <c r="F2697" t="s">
        <v>23</v>
      </c>
      <c r="H2697">
        <v>334</v>
      </c>
      <c r="I2697" s="13">
        <v>6</v>
      </c>
      <c r="J2697">
        <v>0</v>
      </c>
      <c r="K2697">
        <v>0</v>
      </c>
      <c r="L2697">
        <v>0</v>
      </c>
      <c r="M2697">
        <v>0</v>
      </c>
      <c r="O2697">
        <f t="shared" si="42"/>
        <v>1</v>
      </c>
    </row>
    <row r="2698" spans="1:15">
      <c r="A2698">
        <v>373</v>
      </c>
      <c r="B2698" s="1">
        <v>45674</v>
      </c>
      <c r="C2698">
        <v>23</v>
      </c>
      <c r="D2698" t="s">
        <v>14</v>
      </c>
      <c r="E2698" t="s">
        <v>22</v>
      </c>
      <c r="F2698" t="s">
        <v>16</v>
      </c>
      <c r="H2698">
        <v>274.39999999999998</v>
      </c>
      <c r="I2698" s="13">
        <v>6</v>
      </c>
      <c r="J2698">
        <v>0</v>
      </c>
      <c r="K2698">
        <v>0</v>
      </c>
      <c r="L2698">
        <v>0</v>
      </c>
      <c r="M2698">
        <v>0</v>
      </c>
      <c r="O2698">
        <f t="shared" si="42"/>
        <v>1</v>
      </c>
    </row>
    <row r="2699" spans="1:15">
      <c r="A2699">
        <v>4114</v>
      </c>
      <c r="B2699" s="1">
        <v>45674</v>
      </c>
      <c r="C2699">
        <v>55</v>
      </c>
      <c r="D2699" t="s">
        <v>14</v>
      </c>
      <c r="E2699" t="s">
        <v>22</v>
      </c>
      <c r="F2699" t="s">
        <v>16</v>
      </c>
      <c r="H2699">
        <v>260.10000000000002</v>
      </c>
      <c r="I2699" s="13">
        <v>11</v>
      </c>
      <c r="J2699">
        <v>0</v>
      </c>
      <c r="K2699">
        <v>0</v>
      </c>
      <c r="L2699">
        <v>0</v>
      </c>
      <c r="M2699">
        <v>0</v>
      </c>
      <c r="O2699">
        <f t="shared" si="42"/>
        <v>1</v>
      </c>
    </row>
    <row r="2700" spans="1:15">
      <c r="A2700">
        <v>223</v>
      </c>
      <c r="B2700" s="1">
        <v>45674</v>
      </c>
      <c r="C2700">
        <v>23</v>
      </c>
      <c r="D2700" t="s">
        <v>14</v>
      </c>
      <c r="E2700" t="s">
        <v>22</v>
      </c>
      <c r="F2700" t="s">
        <v>21</v>
      </c>
      <c r="H2700">
        <v>254.4</v>
      </c>
      <c r="I2700" s="13">
        <v>7</v>
      </c>
      <c r="J2700">
        <v>0</v>
      </c>
      <c r="K2700">
        <v>0</v>
      </c>
      <c r="L2700">
        <v>0</v>
      </c>
      <c r="M2700">
        <v>0</v>
      </c>
      <c r="O2700">
        <f t="shared" si="42"/>
        <v>1</v>
      </c>
    </row>
    <row r="2701" spans="1:15">
      <c r="A2701">
        <v>4143</v>
      </c>
      <c r="B2701" s="1">
        <v>45674</v>
      </c>
      <c r="C2701">
        <v>35</v>
      </c>
      <c r="D2701" t="s">
        <v>17</v>
      </c>
      <c r="E2701" t="s">
        <v>24</v>
      </c>
      <c r="F2701" t="s">
        <v>23</v>
      </c>
      <c r="H2701">
        <v>253.9</v>
      </c>
      <c r="I2701" s="13">
        <v>3</v>
      </c>
      <c r="J2701">
        <v>0</v>
      </c>
      <c r="K2701">
        <v>0</v>
      </c>
      <c r="L2701">
        <v>0</v>
      </c>
      <c r="M2701">
        <v>0</v>
      </c>
      <c r="O2701">
        <f t="shared" si="42"/>
        <v>1</v>
      </c>
    </row>
    <row r="2702" spans="1:15">
      <c r="A2702">
        <v>2251</v>
      </c>
      <c r="B2702" s="1">
        <v>45674</v>
      </c>
      <c r="C2702">
        <v>30</v>
      </c>
      <c r="D2702" t="s">
        <v>17</v>
      </c>
      <c r="E2702" t="s">
        <v>20</v>
      </c>
      <c r="F2702" t="s">
        <v>21</v>
      </c>
      <c r="H2702">
        <v>239.8</v>
      </c>
      <c r="I2702" s="13">
        <v>5</v>
      </c>
      <c r="J2702">
        <v>0</v>
      </c>
      <c r="K2702">
        <v>0</v>
      </c>
      <c r="L2702">
        <v>0</v>
      </c>
      <c r="M2702">
        <v>0</v>
      </c>
      <c r="O2702">
        <f t="shared" si="42"/>
        <v>1</v>
      </c>
    </row>
    <row r="2703" spans="1:15">
      <c r="A2703">
        <v>410</v>
      </c>
      <c r="B2703" s="1">
        <v>45674</v>
      </c>
      <c r="C2703">
        <v>25</v>
      </c>
      <c r="D2703" t="s">
        <v>14</v>
      </c>
      <c r="E2703" t="s">
        <v>20</v>
      </c>
      <c r="F2703" t="s">
        <v>21</v>
      </c>
      <c r="H2703">
        <v>220.2</v>
      </c>
      <c r="I2703" s="13">
        <v>4</v>
      </c>
      <c r="J2703">
        <v>0</v>
      </c>
      <c r="K2703">
        <v>0</v>
      </c>
      <c r="L2703">
        <v>0</v>
      </c>
      <c r="M2703">
        <v>0</v>
      </c>
      <c r="O2703">
        <f t="shared" si="42"/>
        <v>1</v>
      </c>
    </row>
    <row r="2704" spans="1:15">
      <c r="A2704">
        <v>3728</v>
      </c>
      <c r="B2704" s="1">
        <v>45674</v>
      </c>
      <c r="C2704">
        <v>35</v>
      </c>
      <c r="D2704" t="s">
        <v>17</v>
      </c>
      <c r="E2704" t="s">
        <v>24</v>
      </c>
      <c r="F2704" t="s">
        <v>18</v>
      </c>
      <c r="G2704" t="s">
        <v>31</v>
      </c>
      <c r="H2704">
        <v>216.6</v>
      </c>
      <c r="I2704" s="13">
        <v>5</v>
      </c>
      <c r="J2704">
        <v>0</v>
      </c>
      <c r="K2704">
        <v>0</v>
      </c>
      <c r="L2704">
        <v>0</v>
      </c>
      <c r="M2704">
        <v>0</v>
      </c>
      <c r="O2704">
        <f t="shared" si="42"/>
        <v>1</v>
      </c>
    </row>
    <row r="2705" spans="1:15">
      <c r="A2705">
        <v>3101</v>
      </c>
      <c r="B2705" s="1">
        <v>45674</v>
      </c>
      <c r="C2705">
        <v>39</v>
      </c>
      <c r="D2705" t="s">
        <v>17</v>
      </c>
      <c r="E2705" t="s">
        <v>24</v>
      </c>
      <c r="F2705" t="s">
        <v>18</v>
      </c>
      <c r="G2705" t="s">
        <v>19</v>
      </c>
      <c r="H2705">
        <v>157.1</v>
      </c>
      <c r="I2705" s="13">
        <v>7</v>
      </c>
      <c r="J2705">
        <v>0</v>
      </c>
      <c r="K2705">
        <v>0</v>
      </c>
      <c r="L2705">
        <v>0</v>
      </c>
      <c r="M2705">
        <v>0</v>
      </c>
      <c r="O2705">
        <f t="shared" si="42"/>
        <v>1</v>
      </c>
    </row>
    <row r="2706" spans="1:15">
      <c r="A2706">
        <v>4513</v>
      </c>
      <c r="B2706" s="1">
        <v>45674</v>
      </c>
      <c r="C2706">
        <v>39</v>
      </c>
      <c r="D2706" t="s">
        <v>17</v>
      </c>
      <c r="E2706" t="s">
        <v>20</v>
      </c>
      <c r="F2706" t="s">
        <v>16</v>
      </c>
      <c r="H2706">
        <v>126.4</v>
      </c>
      <c r="I2706" s="13">
        <v>3</v>
      </c>
      <c r="J2706">
        <v>0</v>
      </c>
      <c r="K2706">
        <v>0</v>
      </c>
      <c r="L2706">
        <v>0</v>
      </c>
      <c r="M2706">
        <v>0</v>
      </c>
      <c r="O2706">
        <f t="shared" si="42"/>
        <v>1</v>
      </c>
    </row>
    <row r="2707" spans="1:15">
      <c r="A2707">
        <v>1442</v>
      </c>
      <c r="B2707" s="1">
        <v>45674</v>
      </c>
      <c r="C2707">
        <v>33</v>
      </c>
      <c r="D2707" t="s">
        <v>17</v>
      </c>
      <c r="E2707" t="s">
        <v>22</v>
      </c>
      <c r="F2707" t="s">
        <v>23</v>
      </c>
      <c r="H2707">
        <v>68.8</v>
      </c>
      <c r="I2707" s="13">
        <v>3</v>
      </c>
      <c r="J2707">
        <v>0</v>
      </c>
      <c r="K2707">
        <v>0</v>
      </c>
      <c r="L2707">
        <v>0</v>
      </c>
      <c r="M2707">
        <v>0</v>
      </c>
      <c r="O2707">
        <f t="shared" si="42"/>
        <v>1</v>
      </c>
    </row>
    <row r="2708" spans="1:15">
      <c r="A2708">
        <v>1119</v>
      </c>
      <c r="B2708" s="1">
        <v>45705</v>
      </c>
      <c r="C2708">
        <v>23</v>
      </c>
      <c r="D2708" t="s">
        <v>17</v>
      </c>
      <c r="E2708" t="s">
        <v>22</v>
      </c>
      <c r="F2708" t="s">
        <v>18</v>
      </c>
      <c r="G2708" t="s">
        <v>30</v>
      </c>
      <c r="H2708">
        <v>476.4</v>
      </c>
      <c r="I2708" s="13">
        <v>7</v>
      </c>
      <c r="J2708">
        <v>1</v>
      </c>
      <c r="K2708">
        <v>61</v>
      </c>
      <c r="L2708">
        <v>4</v>
      </c>
      <c r="M2708">
        <v>3</v>
      </c>
      <c r="N2708">
        <v>4</v>
      </c>
      <c r="O2708">
        <f t="shared" si="42"/>
        <v>2</v>
      </c>
    </row>
    <row r="2709" spans="1:15">
      <c r="A2709">
        <v>2708</v>
      </c>
      <c r="B2709" s="1">
        <v>45705</v>
      </c>
      <c r="C2709">
        <v>37</v>
      </c>
      <c r="D2709" t="s">
        <v>14</v>
      </c>
      <c r="E2709" t="s">
        <v>20</v>
      </c>
      <c r="F2709" t="s">
        <v>21</v>
      </c>
      <c r="H2709">
        <v>924.7</v>
      </c>
      <c r="I2709" s="13">
        <v>5</v>
      </c>
      <c r="J2709">
        <v>1</v>
      </c>
      <c r="K2709">
        <v>291</v>
      </c>
      <c r="L2709">
        <v>3</v>
      </c>
      <c r="M2709">
        <v>13</v>
      </c>
      <c r="N2709">
        <v>5</v>
      </c>
      <c r="O2709">
        <f t="shared" si="42"/>
        <v>2</v>
      </c>
    </row>
    <row r="2710" spans="1:15">
      <c r="A2710">
        <v>3626</v>
      </c>
      <c r="B2710" s="1">
        <v>45705</v>
      </c>
      <c r="C2710">
        <v>25</v>
      </c>
      <c r="D2710" t="s">
        <v>14</v>
      </c>
      <c r="E2710" t="s">
        <v>20</v>
      </c>
      <c r="F2710" t="s">
        <v>21</v>
      </c>
      <c r="H2710">
        <v>234.1</v>
      </c>
      <c r="I2710" s="13">
        <v>2</v>
      </c>
      <c r="J2710">
        <v>1</v>
      </c>
      <c r="K2710">
        <v>349</v>
      </c>
      <c r="L2710">
        <v>1</v>
      </c>
      <c r="M2710">
        <v>14</v>
      </c>
      <c r="N2710">
        <v>4</v>
      </c>
      <c r="O2710">
        <f t="shared" si="42"/>
        <v>2</v>
      </c>
    </row>
    <row r="2711" spans="1:15">
      <c r="A2711">
        <v>1813</v>
      </c>
      <c r="B2711" s="1">
        <v>45705</v>
      </c>
      <c r="C2711">
        <v>33</v>
      </c>
      <c r="D2711" t="s">
        <v>17</v>
      </c>
      <c r="E2711" t="s">
        <v>15</v>
      </c>
      <c r="F2711" t="s">
        <v>21</v>
      </c>
      <c r="H2711">
        <v>372.4</v>
      </c>
      <c r="I2711" s="13">
        <v>5</v>
      </c>
      <c r="J2711">
        <v>1</v>
      </c>
      <c r="K2711">
        <v>350</v>
      </c>
      <c r="L2711">
        <v>2</v>
      </c>
      <c r="M2711">
        <v>3</v>
      </c>
      <c r="N2711">
        <v>5</v>
      </c>
      <c r="O2711">
        <f t="shared" si="42"/>
        <v>2</v>
      </c>
    </row>
    <row r="2712" spans="1:15">
      <c r="A2712">
        <v>3050</v>
      </c>
      <c r="B2712" s="1">
        <v>45705</v>
      </c>
      <c r="C2712">
        <v>43</v>
      </c>
      <c r="D2712" t="s">
        <v>17</v>
      </c>
      <c r="E2712" t="s">
        <v>22</v>
      </c>
      <c r="F2712" t="s">
        <v>16</v>
      </c>
      <c r="H2712">
        <v>878.1</v>
      </c>
      <c r="I2712" s="13">
        <v>12</v>
      </c>
      <c r="J2712">
        <v>1</v>
      </c>
      <c r="K2712">
        <v>211.72</v>
      </c>
      <c r="L2712">
        <v>1</v>
      </c>
      <c r="M2712">
        <v>5</v>
      </c>
      <c r="N2712">
        <v>4</v>
      </c>
      <c r="O2712">
        <f t="shared" si="42"/>
        <v>2</v>
      </c>
    </row>
    <row r="2713" spans="1:15">
      <c r="A2713">
        <v>2941</v>
      </c>
      <c r="B2713" s="1">
        <v>45705</v>
      </c>
      <c r="C2713">
        <v>29</v>
      </c>
      <c r="D2713" t="s">
        <v>14</v>
      </c>
      <c r="E2713" t="s">
        <v>20</v>
      </c>
      <c r="F2713" t="s">
        <v>16</v>
      </c>
      <c r="H2713">
        <v>715.5</v>
      </c>
      <c r="I2713" s="13">
        <v>8</v>
      </c>
      <c r="J2713">
        <v>1</v>
      </c>
      <c r="K2713">
        <v>30.22</v>
      </c>
      <c r="L2713">
        <v>7</v>
      </c>
      <c r="M2713">
        <v>6</v>
      </c>
      <c r="N2713">
        <v>3</v>
      </c>
      <c r="O2713">
        <f t="shared" si="42"/>
        <v>2</v>
      </c>
    </row>
    <row r="2714" spans="1:15">
      <c r="A2714">
        <v>4491</v>
      </c>
      <c r="B2714" s="1">
        <v>45705</v>
      </c>
      <c r="C2714">
        <v>44</v>
      </c>
      <c r="D2714" t="s">
        <v>17</v>
      </c>
      <c r="E2714" t="s">
        <v>20</v>
      </c>
      <c r="F2714" t="s">
        <v>16</v>
      </c>
      <c r="H2714">
        <v>395.5</v>
      </c>
      <c r="I2714" s="13">
        <v>10</v>
      </c>
      <c r="J2714">
        <v>1</v>
      </c>
      <c r="K2714">
        <v>14.52</v>
      </c>
      <c r="L2714">
        <v>1</v>
      </c>
      <c r="M2714">
        <v>9</v>
      </c>
      <c r="N2714">
        <v>3</v>
      </c>
      <c r="O2714">
        <f t="shared" si="42"/>
        <v>2</v>
      </c>
    </row>
    <row r="2715" spans="1:15">
      <c r="A2715">
        <v>2001</v>
      </c>
      <c r="B2715" s="1">
        <v>45705</v>
      </c>
      <c r="C2715">
        <v>35</v>
      </c>
      <c r="D2715" t="s">
        <v>17</v>
      </c>
      <c r="E2715" t="s">
        <v>22</v>
      </c>
      <c r="F2715" t="s">
        <v>16</v>
      </c>
      <c r="H2715">
        <v>857.2</v>
      </c>
      <c r="I2715" s="13">
        <v>8</v>
      </c>
      <c r="J2715">
        <v>0</v>
      </c>
      <c r="K2715">
        <v>0</v>
      </c>
      <c r="L2715">
        <v>0</v>
      </c>
      <c r="M2715">
        <v>0</v>
      </c>
      <c r="O2715">
        <f t="shared" si="42"/>
        <v>2</v>
      </c>
    </row>
    <row r="2716" spans="1:15">
      <c r="A2716">
        <v>3364</v>
      </c>
      <c r="B2716" s="1">
        <v>45705</v>
      </c>
      <c r="C2716">
        <v>18</v>
      </c>
      <c r="D2716" t="s">
        <v>14</v>
      </c>
      <c r="E2716" t="s">
        <v>22</v>
      </c>
      <c r="F2716" t="s">
        <v>16</v>
      </c>
      <c r="H2716">
        <v>700.6</v>
      </c>
      <c r="I2716" s="13">
        <v>5</v>
      </c>
      <c r="J2716">
        <v>0</v>
      </c>
      <c r="K2716">
        <v>0</v>
      </c>
      <c r="L2716">
        <v>0</v>
      </c>
      <c r="M2716">
        <v>0</v>
      </c>
      <c r="O2716">
        <f t="shared" si="42"/>
        <v>2</v>
      </c>
    </row>
    <row r="2717" spans="1:15">
      <c r="A2717">
        <v>976</v>
      </c>
      <c r="B2717" s="1">
        <v>45705</v>
      </c>
      <c r="C2717">
        <v>23</v>
      </c>
      <c r="D2717" t="s">
        <v>17</v>
      </c>
      <c r="E2717" t="s">
        <v>24</v>
      </c>
      <c r="F2717" t="s">
        <v>18</v>
      </c>
      <c r="G2717" t="s">
        <v>30</v>
      </c>
      <c r="H2717">
        <v>663.3</v>
      </c>
      <c r="I2717" s="13">
        <v>5</v>
      </c>
      <c r="J2717">
        <v>0</v>
      </c>
      <c r="K2717">
        <v>0</v>
      </c>
      <c r="L2717">
        <v>0</v>
      </c>
      <c r="M2717">
        <v>0</v>
      </c>
      <c r="O2717">
        <f t="shared" si="42"/>
        <v>2</v>
      </c>
    </row>
    <row r="2718" spans="1:15">
      <c r="A2718">
        <v>3373</v>
      </c>
      <c r="B2718" s="1">
        <v>45705</v>
      </c>
      <c r="C2718">
        <v>26</v>
      </c>
      <c r="D2718" t="s">
        <v>14</v>
      </c>
      <c r="E2718" t="s">
        <v>22</v>
      </c>
      <c r="F2718" t="s">
        <v>18</v>
      </c>
      <c r="G2718" t="s">
        <v>30</v>
      </c>
      <c r="H2718">
        <v>516.79999999999995</v>
      </c>
      <c r="I2718" s="13">
        <v>3</v>
      </c>
      <c r="J2718">
        <v>0</v>
      </c>
      <c r="K2718">
        <v>0</v>
      </c>
      <c r="L2718">
        <v>0</v>
      </c>
      <c r="M2718">
        <v>0</v>
      </c>
      <c r="O2718">
        <f t="shared" si="42"/>
        <v>2</v>
      </c>
    </row>
    <row r="2719" spans="1:15">
      <c r="A2719">
        <v>3924</v>
      </c>
      <c r="B2719" s="1">
        <v>45705</v>
      </c>
      <c r="C2719">
        <v>40</v>
      </c>
      <c r="D2719" t="s">
        <v>14</v>
      </c>
      <c r="E2719" t="s">
        <v>20</v>
      </c>
      <c r="F2719" t="s">
        <v>16</v>
      </c>
      <c r="H2719">
        <v>199.6</v>
      </c>
      <c r="I2719" s="13">
        <v>8</v>
      </c>
      <c r="J2719">
        <v>0</v>
      </c>
      <c r="K2719">
        <v>0</v>
      </c>
      <c r="L2719">
        <v>0</v>
      </c>
      <c r="M2719">
        <v>0</v>
      </c>
      <c r="O2719">
        <f t="shared" si="42"/>
        <v>2</v>
      </c>
    </row>
    <row r="2720" spans="1:15">
      <c r="A2720">
        <v>4499</v>
      </c>
      <c r="B2720" s="1">
        <v>45705</v>
      </c>
      <c r="C2720">
        <v>42</v>
      </c>
      <c r="D2720" t="s">
        <v>14</v>
      </c>
      <c r="E2720" t="s">
        <v>24</v>
      </c>
      <c r="F2720" t="s">
        <v>16</v>
      </c>
      <c r="H2720">
        <v>189.9</v>
      </c>
      <c r="I2720" s="13">
        <v>4</v>
      </c>
      <c r="J2720">
        <v>0</v>
      </c>
      <c r="K2720">
        <v>0</v>
      </c>
      <c r="L2720">
        <v>0</v>
      </c>
      <c r="M2720">
        <v>0</v>
      </c>
      <c r="O2720">
        <f t="shared" si="42"/>
        <v>2</v>
      </c>
    </row>
    <row r="2721" spans="1:15">
      <c r="A2721">
        <v>3700</v>
      </c>
      <c r="B2721" s="1">
        <v>45705</v>
      </c>
      <c r="C2721">
        <v>36</v>
      </c>
      <c r="D2721" t="s">
        <v>17</v>
      </c>
      <c r="E2721" t="s">
        <v>15</v>
      </c>
      <c r="F2721" t="s">
        <v>16</v>
      </c>
      <c r="H2721">
        <v>165.2</v>
      </c>
      <c r="I2721" s="13">
        <v>4</v>
      </c>
      <c r="J2721">
        <v>0</v>
      </c>
      <c r="K2721">
        <v>0</v>
      </c>
      <c r="L2721">
        <v>0</v>
      </c>
      <c r="M2721">
        <v>0</v>
      </c>
      <c r="O2721">
        <f t="shared" si="42"/>
        <v>2</v>
      </c>
    </row>
    <row r="2722" spans="1:15">
      <c r="A2722">
        <v>225</v>
      </c>
      <c r="B2722" s="1">
        <v>45705</v>
      </c>
      <c r="C2722">
        <v>24</v>
      </c>
      <c r="D2722" t="s">
        <v>17</v>
      </c>
      <c r="E2722" t="s">
        <v>24</v>
      </c>
      <c r="F2722" t="s">
        <v>18</v>
      </c>
      <c r="G2722" t="s">
        <v>29</v>
      </c>
      <c r="H2722">
        <v>136.19999999999999</v>
      </c>
      <c r="I2722" s="13">
        <v>1</v>
      </c>
      <c r="J2722">
        <v>0</v>
      </c>
      <c r="K2722">
        <v>0</v>
      </c>
      <c r="L2722">
        <v>0</v>
      </c>
      <c r="M2722">
        <v>0</v>
      </c>
      <c r="O2722">
        <f t="shared" si="42"/>
        <v>2</v>
      </c>
    </row>
    <row r="2723" spans="1:15">
      <c r="A2723">
        <v>1653</v>
      </c>
      <c r="B2723" s="1">
        <v>45705</v>
      </c>
      <c r="C2723">
        <v>31</v>
      </c>
      <c r="D2723" t="s">
        <v>27</v>
      </c>
      <c r="E2723" t="s">
        <v>22</v>
      </c>
      <c r="F2723" t="s">
        <v>18</v>
      </c>
      <c r="G2723" t="s">
        <v>26</v>
      </c>
      <c r="H2723">
        <v>101.2</v>
      </c>
      <c r="I2723" s="13">
        <v>4</v>
      </c>
      <c r="J2723">
        <v>0</v>
      </c>
      <c r="K2723">
        <v>0</v>
      </c>
      <c r="L2723">
        <v>0</v>
      </c>
      <c r="M2723">
        <v>0</v>
      </c>
      <c r="O2723">
        <f t="shared" si="42"/>
        <v>2</v>
      </c>
    </row>
    <row r="2724" spans="1:15">
      <c r="A2724">
        <v>1064</v>
      </c>
      <c r="B2724" s="1">
        <v>45733</v>
      </c>
      <c r="C2724">
        <v>19</v>
      </c>
      <c r="D2724" t="s">
        <v>14</v>
      </c>
      <c r="E2724" t="s">
        <v>22</v>
      </c>
      <c r="F2724" t="s">
        <v>16</v>
      </c>
      <c r="H2724">
        <v>450.9</v>
      </c>
      <c r="I2724" s="13">
        <v>5</v>
      </c>
      <c r="J2724">
        <v>1</v>
      </c>
      <c r="K2724">
        <v>395</v>
      </c>
      <c r="L2724">
        <v>2</v>
      </c>
      <c r="M2724">
        <v>8</v>
      </c>
      <c r="N2724">
        <v>5</v>
      </c>
      <c r="O2724">
        <f t="shared" si="42"/>
        <v>3</v>
      </c>
    </row>
    <row r="2725" spans="1:15">
      <c r="A2725">
        <v>3851</v>
      </c>
      <c r="B2725" s="1">
        <v>45733</v>
      </c>
      <c r="C2725">
        <v>41</v>
      </c>
      <c r="D2725" t="s">
        <v>17</v>
      </c>
      <c r="E2725" t="s">
        <v>20</v>
      </c>
      <c r="F2725" t="s">
        <v>16</v>
      </c>
      <c r="H2725">
        <v>413.1</v>
      </c>
      <c r="I2725" s="13">
        <v>10</v>
      </c>
      <c r="J2725">
        <v>1</v>
      </c>
      <c r="K2725">
        <v>331.14</v>
      </c>
      <c r="L2725">
        <v>4</v>
      </c>
      <c r="M2725">
        <v>7</v>
      </c>
      <c r="N2725">
        <v>4</v>
      </c>
      <c r="O2725">
        <f t="shared" si="42"/>
        <v>3</v>
      </c>
    </row>
    <row r="2726" spans="1:15">
      <c r="A2726">
        <v>3263</v>
      </c>
      <c r="B2726" s="1">
        <v>45733</v>
      </c>
      <c r="C2726">
        <v>21</v>
      </c>
      <c r="D2726" t="s">
        <v>17</v>
      </c>
      <c r="E2726" t="s">
        <v>20</v>
      </c>
      <c r="F2726" t="s">
        <v>16</v>
      </c>
      <c r="H2726">
        <v>723</v>
      </c>
      <c r="I2726" s="13">
        <v>7</v>
      </c>
      <c r="J2726">
        <v>1</v>
      </c>
      <c r="K2726">
        <v>203.68</v>
      </c>
      <c r="L2726">
        <v>4</v>
      </c>
      <c r="M2726">
        <v>6</v>
      </c>
      <c r="N2726">
        <v>4</v>
      </c>
      <c r="O2726">
        <f t="shared" si="42"/>
        <v>3</v>
      </c>
    </row>
    <row r="2727" spans="1:15">
      <c r="A2727">
        <v>1083</v>
      </c>
      <c r="B2727" s="1">
        <v>45733</v>
      </c>
      <c r="C2727">
        <v>36</v>
      </c>
      <c r="D2727" t="s">
        <v>27</v>
      </c>
      <c r="E2727" t="s">
        <v>22</v>
      </c>
      <c r="F2727" t="s">
        <v>16</v>
      </c>
      <c r="H2727">
        <v>196.4</v>
      </c>
      <c r="I2727" s="13">
        <v>6</v>
      </c>
      <c r="J2727">
        <v>1</v>
      </c>
      <c r="K2727">
        <v>122.12</v>
      </c>
      <c r="L2727">
        <v>3</v>
      </c>
      <c r="M2727">
        <v>6</v>
      </c>
      <c r="N2727">
        <v>5</v>
      </c>
      <c r="O2727">
        <f t="shared" si="42"/>
        <v>3</v>
      </c>
    </row>
    <row r="2728" spans="1:15">
      <c r="A2728">
        <v>836</v>
      </c>
      <c r="B2728" s="1">
        <v>45733</v>
      </c>
      <c r="C2728">
        <v>31</v>
      </c>
      <c r="D2728" t="s">
        <v>14</v>
      </c>
      <c r="E2728" t="s">
        <v>22</v>
      </c>
      <c r="F2728" t="s">
        <v>18</v>
      </c>
      <c r="G2728" t="s">
        <v>30</v>
      </c>
      <c r="H2728">
        <v>102.9</v>
      </c>
      <c r="I2728" s="13">
        <v>10</v>
      </c>
      <c r="J2728">
        <v>1</v>
      </c>
      <c r="K2728">
        <v>120.34</v>
      </c>
      <c r="L2728">
        <v>4</v>
      </c>
      <c r="M2728">
        <v>1</v>
      </c>
      <c r="N2728">
        <v>5</v>
      </c>
      <c r="O2728">
        <f t="shared" si="42"/>
        <v>3</v>
      </c>
    </row>
    <row r="2729" spans="1:15">
      <c r="A2729">
        <v>1065</v>
      </c>
      <c r="B2729" s="1">
        <v>45733</v>
      </c>
      <c r="C2729">
        <v>30</v>
      </c>
      <c r="D2729" t="s">
        <v>17</v>
      </c>
      <c r="E2729" t="s">
        <v>22</v>
      </c>
      <c r="F2729" t="s">
        <v>18</v>
      </c>
      <c r="G2729" t="s">
        <v>25</v>
      </c>
      <c r="H2729">
        <v>470.2</v>
      </c>
      <c r="I2729" s="13">
        <v>6</v>
      </c>
      <c r="J2729">
        <v>1</v>
      </c>
      <c r="K2729">
        <v>78.83</v>
      </c>
      <c r="L2729">
        <v>1</v>
      </c>
      <c r="M2729">
        <v>9</v>
      </c>
      <c r="N2729">
        <v>4</v>
      </c>
      <c r="O2729">
        <f t="shared" si="42"/>
        <v>3</v>
      </c>
    </row>
    <row r="2730" spans="1:15">
      <c r="A2730">
        <v>1958</v>
      </c>
      <c r="B2730" s="1">
        <v>45733</v>
      </c>
      <c r="C2730">
        <v>44</v>
      </c>
      <c r="D2730" t="s">
        <v>17</v>
      </c>
      <c r="E2730" t="s">
        <v>22</v>
      </c>
      <c r="F2730" t="s">
        <v>18</v>
      </c>
      <c r="G2730" t="s">
        <v>25</v>
      </c>
      <c r="H2730">
        <v>829</v>
      </c>
      <c r="I2730" s="13">
        <v>6</v>
      </c>
      <c r="J2730">
        <v>1</v>
      </c>
      <c r="K2730">
        <v>49.65</v>
      </c>
      <c r="L2730">
        <v>1</v>
      </c>
      <c r="M2730">
        <v>6</v>
      </c>
      <c r="N2730">
        <v>5</v>
      </c>
      <c r="O2730">
        <f t="shared" si="42"/>
        <v>3</v>
      </c>
    </row>
    <row r="2731" spans="1:15">
      <c r="A2731">
        <v>3876</v>
      </c>
      <c r="B2731" s="1">
        <v>45733</v>
      </c>
      <c r="C2731">
        <v>41</v>
      </c>
      <c r="D2731" t="s">
        <v>17</v>
      </c>
      <c r="E2731" t="s">
        <v>20</v>
      </c>
      <c r="F2731" t="s">
        <v>16</v>
      </c>
      <c r="H2731">
        <v>75.099999999999994</v>
      </c>
      <c r="I2731" s="13">
        <v>4</v>
      </c>
      <c r="J2731">
        <v>1</v>
      </c>
      <c r="K2731">
        <v>43.66</v>
      </c>
      <c r="L2731">
        <v>2</v>
      </c>
      <c r="M2731">
        <v>1</v>
      </c>
      <c r="N2731">
        <v>5</v>
      </c>
      <c r="O2731">
        <f t="shared" si="42"/>
        <v>3</v>
      </c>
    </row>
    <row r="2732" spans="1:15">
      <c r="A2732">
        <v>512</v>
      </c>
      <c r="B2732" s="1">
        <v>45733</v>
      </c>
      <c r="C2732">
        <v>26</v>
      </c>
      <c r="D2732" t="s">
        <v>17</v>
      </c>
      <c r="E2732" t="s">
        <v>24</v>
      </c>
      <c r="F2732" t="s">
        <v>21</v>
      </c>
      <c r="H2732">
        <v>258.7</v>
      </c>
      <c r="I2732" s="13">
        <v>6</v>
      </c>
      <c r="J2732">
        <v>1</v>
      </c>
      <c r="K2732">
        <v>34.97</v>
      </c>
      <c r="L2732">
        <v>3</v>
      </c>
      <c r="M2732">
        <v>12</v>
      </c>
      <c r="N2732">
        <v>3</v>
      </c>
      <c r="O2732">
        <f t="shared" si="42"/>
        <v>3</v>
      </c>
    </row>
    <row r="2733" spans="1:15">
      <c r="A2733">
        <v>4500</v>
      </c>
      <c r="B2733" s="1">
        <v>45733</v>
      </c>
      <c r="C2733">
        <v>64</v>
      </c>
      <c r="D2733" t="s">
        <v>17</v>
      </c>
      <c r="E2733" t="s">
        <v>20</v>
      </c>
      <c r="F2733" t="s">
        <v>18</v>
      </c>
      <c r="G2733" t="s">
        <v>26</v>
      </c>
      <c r="H2733">
        <v>1010.8</v>
      </c>
      <c r="I2733" s="13">
        <v>6</v>
      </c>
      <c r="J2733">
        <v>1</v>
      </c>
      <c r="K2733">
        <v>20.88</v>
      </c>
      <c r="L2733">
        <v>4</v>
      </c>
      <c r="M2733">
        <v>8</v>
      </c>
      <c r="N2733">
        <v>5</v>
      </c>
      <c r="O2733">
        <f t="shared" si="42"/>
        <v>3</v>
      </c>
    </row>
    <row r="2734" spans="1:15">
      <c r="A2734">
        <v>2362</v>
      </c>
      <c r="B2734" s="1">
        <v>45733</v>
      </c>
      <c r="C2734">
        <v>44</v>
      </c>
      <c r="D2734" t="s">
        <v>17</v>
      </c>
      <c r="E2734" t="s">
        <v>20</v>
      </c>
      <c r="F2734" t="s">
        <v>16</v>
      </c>
      <c r="H2734">
        <v>410.7</v>
      </c>
      <c r="I2734" s="13">
        <v>6</v>
      </c>
      <c r="J2734">
        <v>1</v>
      </c>
      <c r="K2734">
        <v>17.940000000000001</v>
      </c>
      <c r="L2734">
        <v>2</v>
      </c>
      <c r="M2734">
        <v>3</v>
      </c>
      <c r="N2734">
        <v>5</v>
      </c>
      <c r="O2734">
        <f t="shared" si="42"/>
        <v>3</v>
      </c>
    </row>
    <row r="2735" spans="1:15">
      <c r="A2735">
        <v>1358</v>
      </c>
      <c r="B2735" s="1">
        <v>45733</v>
      </c>
      <c r="C2735">
        <v>26</v>
      </c>
      <c r="D2735" t="s">
        <v>14</v>
      </c>
      <c r="E2735" t="s">
        <v>15</v>
      </c>
      <c r="F2735" t="s">
        <v>23</v>
      </c>
      <c r="H2735">
        <v>648.4</v>
      </c>
      <c r="I2735" s="13">
        <v>9</v>
      </c>
      <c r="J2735">
        <v>1</v>
      </c>
      <c r="K2735">
        <v>15.42</v>
      </c>
      <c r="L2735">
        <v>4</v>
      </c>
      <c r="M2735">
        <v>10</v>
      </c>
      <c r="N2735">
        <v>3</v>
      </c>
      <c r="O2735">
        <f t="shared" si="42"/>
        <v>3</v>
      </c>
    </row>
    <row r="2736" spans="1:15">
      <c r="A2736">
        <v>2124</v>
      </c>
      <c r="B2736" s="1">
        <v>45733</v>
      </c>
      <c r="C2736">
        <v>33</v>
      </c>
      <c r="D2736" t="s">
        <v>17</v>
      </c>
      <c r="E2736" t="s">
        <v>20</v>
      </c>
      <c r="F2736" t="s">
        <v>18</v>
      </c>
      <c r="G2736" t="s">
        <v>29</v>
      </c>
      <c r="H2736">
        <v>659</v>
      </c>
      <c r="I2736" s="13">
        <v>6</v>
      </c>
      <c r="J2736">
        <v>0</v>
      </c>
      <c r="K2736">
        <v>0</v>
      </c>
      <c r="L2736">
        <v>0</v>
      </c>
      <c r="M2736">
        <v>0</v>
      </c>
      <c r="O2736">
        <f t="shared" si="42"/>
        <v>3</v>
      </c>
    </row>
    <row r="2737" spans="1:15">
      <c r="A2737">
        <v>2025</v>
      </c>
      <c r="B2737" s="1">
        <v>45733</v>
      </c>
      <c r="C2737">
        <v>42</v>
      </c>
      <c r="D2737" t="s">
        <v>17</v>
      </c>
      <c r="E2737" t="s">
        <v>22</v>
      </c>
      <c r="F2737" t="s">
        <v>16</v>
      </c>
      <c r="H2737">
        <v>564.70000000000005</v>
      </c>
      <c r="I2737" s="13">
        <v>6</v>
      </c>
      <c r="J2737">
        <v>0</v>
      </c>
      <c r="K2737">
        <v>0</v>
      </c>
      <c r="L2737">
        <v>0</v>
      </c>
      <c r="M2737">
        <v>0</v>
      </c>
      <c r="O2737">
        <f t="shared" si="42"/>
        <v>3</v>
      </c>
    </row>
    <row r="2738" spans="1:15">
      <c r="A2738">
        <v>3937</v>
      </c>
      <c r="B2738" s="1">
        <v>45733</v>
      </c>
      <c r="C2738">
        <v>44</v>
      </c>
      <c r="D2738" t="s">
        <v>17</v>
      </c>
      <c r="E2738" t="s">
        <v>22</v>
      </c>
      <c r="F2738" t="s">
        <v>16</v>
      </c>
      <c r="H2738">
        <v>534.20000000000005</v>
      </c>
      <c r="I2738" s="13">
        <v>5</v>
      </c>
      <c r="J2738">
        <v>0</v>
      </c>
      <c r="K2738">
        <v>0</v>
      </c>
      <c r="L2738">
        <v>0</v>
      </c>
      <c r="M2738">
        <v>0</v>
      </c>
      <c r="O2738">
        <f t="shared" si="42"/>
        <v>3</v>
      </c>
    </row>
    <row r="2739" spans="1:15">
      <c r="A2739">
        <v>2340</v>
      </c>
      <c r="B2739" s="1">
        <v>45733</v>
      </c>
      <c r="C2739">
        <v>36</v>
      </c>
      <c r="D2739" t="s">
        <v>14</v>
      </c>
      <c r="E2739" t="s">
        <v>24</v>
      </c>
      <c r="F2739" t="s">
        <v>16</v>
      </c>
      <c r="H2739">
        <v>499.8</v>
      </c>
      <c r="I2739" s="13">
        <v>1</v>
      </c>
      <c r="J2739">
        <v>0</v>
      </c>
      <c r="K2739">
        <v>0</v>
      </c>
      <c r="L2739">
        <v>0</v>
      </c>
      <c r="M2739">
        <v>0</v>
      </c>
      <c r="O2739">
        <f t="shared" si="42"/>
        <v>3</v>
      </c>
    </row>
    <row r="2740" spans="1:15">
      <c r="A2740">
        <v>4711</v>
      </c>
      <c r="B2740" s="1">
        <v>45733</v>
      </c>
      <c r="C2740">
        <v>56</v>
      </c>
      <c r="D2740" t="s">
        <v>17</v>
      </c>
      <c r="E2740" t="s">
        <v>20</v>
      </c>
      <c r="F2740" t="s">
        <v>18</v>
      </c>
      <c r="G2740" t="s">
        <v>31</v>
      </c>
      <c r="H2740">
        <v>496</v>
      </c>
      <c r="I2740" s="13">
        <v>9</v>
      </c>
      <c r="J2740">
        <v>0</v>
      </c>
      <c r="K2740">
        <v>0</v>
      </c>
      <c r="L2740">
        <v>0</v>
      </c>
      <c r="M2740">
        <v>0</v>
      </c>
      <c r="O2740">
        <f t="shared" si="42"/>
        <v>3</v>
      </c>
    </row>
    <row r="2741" spans="1:15">
      <c r="A2741">
        <v>4706</v>
      </c>
      <c r="B2741" s="1">
        <v>45733</v>
      </c>
      <c r="C2741">
        <v>48</v>
      </c>
      <c r="D2741" t="s">
        <v>17</v>
      </c>
      <c r="E2741" t="s">
        <v>22</v>
      </c>
      <c r="F2741" t="s">
        <v>18</v>
      </c>
      <c r="G2741" t="s">
        <v>26</v>
      </c>
      <c r="H2741">
        <v>458.1</v>
      </c>
      <c r="I2741" s="13">
        <v>8</v>
      </c>
      <c r="J2741">
        <v>0</v>
      </c>
      <c r="K2741">
        <v>0</v>
      </c>
      <c r="L2741">
        <v>0</v>
      </c>
      <c r="M2741">
        <v>0</v>
      </c>
      <c r="O2741">
        <f t="shared" si="42"/>
        <v>3</v>
      </c>
    </row>
    <row r="2742" spans="1:15">
      <c r="A2742">
        <v>3032</v>
      </c>
      <c r="B2742" s="1">
        <v>45733</v>
      </c>
      <c r="C2742">
        <v>44</v>
      </c>
      <c r="D2742" t="s">
        <v>14</v>
      </c>
      <c r="E2742" t="s">
        <v>15</v>
      </c>
      <c r="F2742" t="s">
        <v>16</v>
      </c>
      <c r="H2742">
        <v>413.9</v>
      </c>
      <c r="I2742" s="13">
        <v>7</v>
      </c>
      <c r="J2742">
        <v>0</v>
      </c>
      <c r="K2742">
        <v>0</v>
      </c>
      <c r="L2742">
        <v>0</v>
      </c>
      <c r="M2742">
        <v>0</v>
      </c>
      <c r="O2742">
        <f t="shared" si="42"/>
        <v>3</v>
      </c>
    </row>
    <row r="2743" spans="1:15">
      <c r="A2743">
        <v>4477</v>
      </c>
      <c r="B2743" s="1">
        <v>45733</v>
      </c>
      <c r="C2743">
        <v>45</v>
      </c>
      <c r="D2743" t="s">
        <v>14</v>
      </c>
      <c r="E2743" t="s">
        <v>22</v>
      </c>
      <c r="F2743" t="s">
        <v>16</v>
      </c>
      <c r="H2743">
        <v>403.5</v>
      </c>
      <c r="I2743" s="13">
        <v>6</v>
      </c>
      <c r="J2743">
        <v>0</v>
      </c>
      <c r="K2743">
        <v>0</v>
      </c>
      <c r="L2743">
        <v>0</v>
      </c>
      <c r="M2743">
        <v>0</v>
      </c>
      <c r="O2743">
        <f t="shared" si="42"/>
        <v>3</v>
      </c>
    </row>
    <row r="2744" spans="1:15">
      <c r="A2744">
        <v>2874</v>
      </c>
      <c r="B2744" s="1">
        <v>45733</v>
      </c>
      <c r="C2744">
        <v>36</v>
      </c>
      <c r="D2744" t="s">
        <v>14</v>
      </c>
      <c r="E2744" t="s">
        <v>24</v>
      </c>
      <c r="F2744" t="s">
        <v>16</v>
      </c>
      <c r="H2744">
        <v>336.4</v>
      </c>
      <c r="I2744" s="13">
        <v>6</v>
      </c>
      <c r="J2744">
        <v>0</v>
      </c>
      <c r="K2744">
        <v>0</v>
      </c>
      <c r="L2744">
        <v>0</v>
      </c>
      <c r="M2744">
        <v>0</v>
      </c>
      <c r="O2744">
        <f t="shared" si="42"/>
        <v>3</v>
      </c>
    </row>
    <row r="2745" spans="1:15">
      <c r="A2745">
        <v>3940</v>
      </c>
      <c r="B2745" s="1">
        <v>45733</v>
      </c>
      <c r="C2745">
        <v>48</v>
      </c>
      <c r="D2745" t="s">
        <v>17</v>
      </c>
      <c r="E2745" t="s">
        <v>24</v>
      </c>
      <c r="F2745" t="s">
        <v>16</v>
      </c>
      <c r="H2745">
        <v>297.60000000000002</v>
      </c>
      <c r="I2745" s="13">
        <v>4</v>
      </c>
      <c r="J2745">
        <v>0</v>
      </c>
      <c r="K2745">
        <v>0</v>
      </c>
      <c r="L2745">
        <v>0</v>
      </c>
      <c r="M2745">
        <v>0</v>
      </c>
      <c r="O2745">
        <f t="shared" si="42"/>
        <v>3</v>
      </c>
    </row>
    <row r="2746" spans="1:15">
      <c r="A2746">
        <v>3958</v>
      </c>
      <c r="B2746" s="1">
        <v>45733</v>
      </c>
      <c r="C2746">
        <v>45</v>
      </c>
      <c r="D2746" t="s">
        <v>17</v>
      </c>
      <c r="E2746" t="s">
        <v>20</v>
      </c>
      <c r="F2746" t="s">
        <v>18</v>
      </c>
      <c r="G2746" t="s">
        <v>26</v>
      </c>
      <c r="H2746">
        <v>235.8</v>
      </c>
      <c r="I2746" s="13">
        <v>5</v>
      </c>
      <c r="J2746">
        <v>0</v>
      </c>
      <c r="K2746">
        <v>0</v>
      </c>
      <c r="L2746">
        <v>0</v>
      </c>
      <c r="M2746">
        <v>0</v>
      </c>
      <c r="O2746">
        <f t="shared" si="42"/>
        <v>3</v>
      </c>
    </row>
    <row r="2747" spans="1:15">
      <c r="A2747">
        <v>4451</v>
      </c>
      <c r="B2747" s="1">
        <v>45733</v>
      </c>
      <c r="C2747">
        <v>66</v>
      </c>
      <c r="D2747" t="s">
        <v>14</v>
      </c>
      <c r="E2747" t="s">
        <v>22</v>
      </c>
      <c r="F2747" t="s">
        <v>16</v>
      </c>
      <c r="H2747">
        <v>194.2</v>
      </c>
      <c r="I2747" s="13">
        <v>7</v>
      </c>
      <c r="J2747">
        <v>0</v>
      </c>
      <c r="K2747">
        <v>0</v>
      </c>
      <c r="L2747">
        <v>0</v>
      </c>
      <c r="M2747">
        <v>0</v>
      </c>
      <c r="O2747">
        <f t="shared" si="42"/>
        <v>3</v>
      </c>
    </row>
    <row r="2748" spans="1:15">
      <c r="A2748">
        <v>2319</v>
      </c>
      <c r="B2748" s="1">
        <v>45733</v>
      </c>
      <c r="C2748">
        <v>46</v>
      </c>
      <c r="D2748" t="s">
        <v>17</v>
      </c>
      <c r="E2748" t="s">
        <v>24</v>
      </c>
      <c r="F2748" t="s">
        <v>16</v>
      </c>
      <c r="H2748">
        <v>147.9</v>
      </c>
      <c r="I2748" s="13">
        <v>4</v>
      </c>
      <c r="J2748">
        <v>0</v>
      </c>
      <c r="K2748">
        <v>0</v>
      </c>
      <c r="L2748">
        <v>0</v>
      </c>
      <c r="M2748">
        <v>0</v>
      </c>
      <c r="O2748">
        <f t="shared" si="42"/>
        <v>3</v>
      </c>
    </row>
    <row r="2749" spans="1:15">
      <c r="A2749">
        <v>4785</v>
      </c>
      <c r="B2749" s="1">
        <v>45733</v>
      </c>
      <c r="C2749">
        <v>82</v>
      </c>
      <c r="D2749" t="s">
        <v>14</v>
      </c>
      <c r="E2749" t="s">
        <v>22</v>
      </c>
      <c r="F2749" t="s">
        <v>16</v>
      </c>
      <c r="H2749">
        <v>132.6</v>
      </c>
      <c r="I2749" s="13">
        <v>2</v>
      </c>
      <c r="J2749">
        <v>0</v>
      </c>
      <c r="K2749">
        <v>0</v>
      </c>
      <c r="L2749">
        <v>0</v>
      </c>
      <c r="M2749">
        <v>0</v>
      </c>
      <c r="O2749">
        <f t="shared" si="42"/>
        <v>3</v>
      </c>
    </row>
    <row r="2750" spans="1:15">
      <c r="A2750">
        <v>4724</v>
      </c>
      <c r="B2750" s="1">
        <v>45733</v>
      </c>
      <c r="C2750">
        <v>59</v>
      </c>
      <c r="D2750" t="s">
        <v>17</v>
      </c>
      <c r="E2750" t="s">
        <v>22</v>
      </c>
      <c r="F2750" t="s">
        <v>18</v>
      </c>
      <c r="G2750" t="s">
        <v>19</v>
      </c>
      <c r="H2750">
        <v>93.2</v>
      </c>
      <c r="I2750" s="13">
        <v>5</v>
      </c>
      <c r="J2750">
        <v>0</v>
      </c>
      <c r="K2750">
        <v>0</v>
      </c>
      <c r="L2750">
        <v>0</v>
      </c>
      <c r="M2750">
        <v>0</v>
      </c>
      <c r="O2750">
        <f t="shared" si="42"/>
        <v>3</v>
      </c>
    </row>
    <row r="2751" spans="1:15">
      <c r="A2751">
        <v>1225</v>
      </c>
      <c r="B2751" s="1">
        <v>45733</v>
      </c>
      <c r="C2751">
        <v>22</v>
      </c>
      <c r="D2751" t="s">
        <v>17</v>
      </c>
      <c r="E2751" t="s">
        <v>22</v>
      </c>
      <c r="F2751" t="s">
        <v>21</v>
      </c>
      <c r="H2751">
        <v>92.2</v>
      </c>
      <c r="I2751" s="13">
        <v>7</v>
      </c>
      <c r="J2751">
        <v>0</v>
      </c>
      <c r="K2751">
        <v>0</v>
      </c>
      <c r="L2751">
        <v>0</v>
      </c>
      <c r="M2751">
        <v>0</v>
      </c>
      <c r="O2751">
        <f t="shared" si="42"/>
        <v>3</v>
      </c>
    </row>
    <row r="2752" spans="1:15">
      <c r="A2752">
        <v>131</v>
      </c>
      <c r="B2752" s="1">
        <v>45733</v>
      </c>
      <c r="C2752">
        <v>18</v>
      </c>
      <c r="D2752" t="s">
        <v>14</v>
      </c>
      <c r="E2752" t="s">
        <v>20</v>
      </c>
      <c r="F2752" t="s">
        <v>16</v>
      </c>
      <c r="H2752">
        <v>88.7</v>
      </c>
      <c r="I2752" s="13">
        <v>4</v>
      </c>
      <c r="J2752">
        <v>0</v>
      </c>
      <c r="K2752">
        <v>0</v>
      </c>
      <c r="L2752">
        <v>0</v>
      </c>
      <c r="M2752">
        <v>0</v>
      </c>
      <c r="O2752">
        <f t="shared" si="42"/>
        <v>3</v>
      </c>
    </row>
    <row r="2753" spans="1:15">
      <c r="A2753">
        <v>905</v>
      </c>
      <c r="B2753" s="1">
        <v>45733</v>
      </c>
      <c r="C2753">
        <v>18</v>
      </c>
      <c r="D2753" t="s">
        <v>14</v>
      </c>
      <c r="E2753" t="s">
        <v>22</v>
      </c>
      <c r="F2753" t="s">
        <v>23</v>
      </c>
      <c r="H2753">
        <v>48</v>
      </c>
      <c r="I2753" s="13">
        <v>5</v>
      </c>
      <c r="J2753">
        <v>0</v>
      </c>
      <c r="K2753">
        <v>0</v>
      </c>
      <c r="L2753">
        <v>0</v>
      </c>
      <c r="M2753">
        <v>0</v>
      </c>
      <c r="O2753">
        <f t="shared" si="42"/>
        <v>3</v>
      </c>
    </row>
    <row r="2754" spans="1:15">
      <c r="A2754">
        <v>329</v>
      </c>
      <c r="B2754" s="1">
        <v>45733</v>
      </c>
      <c r="C2754">
        <v>24</v>
      </c>
      <c r="D2754" t="s">
        <v>14</v>
      </c>
      <c r="E2754" t="s">
        <v>20</v>
      </c>
      <c r="F2754" t="s">
        <v>16</v>
      </c>
      <c r="H2754">
        <v>45.1</v>
      </c>
      <c r="I2754" s="13">
        <v>4</v>
      </c>
      <c r="J2754">
        <v>0</v>
      </c>
      <c r="K2754">
        <v>0</v>
      </c>
      <c r="L2754">
        <v>0</v>
      </c>
      <c r="M2754">
        <v>0</v>
      </c>
      <c r="O2754">
        <f t="shared" si="42"/>
        <v>3</v>
      </c>
    </row>
    <row r="2755" spans="1:15">
      <c r="A2755">
        <v>3564</v>
      </c>
      <c r="B2755" s="1">
        <v>45733</v>
      </c>
      <c r="C2755">
        <v>18</v>
      </c>
      <c r="D2755" t="s">
        <v>17</v>
      </c>
      <c r="E2755" t="s">
        <v>22</v>
      </c>
      <c r="F2755" t="s">
        <v>16</v>
      </c>
      <c r="H2755">
        <v>42.4</v>
      </c>
      <c r="I2755" s="13">
        <v>8</v>
      </c>
      <c r="J2755">
        <v>0</v>
      </c>
      <c r="K2755">
        <v>0</v>
      </c>
      <c r="L2755">
        <v>0</v>
      </c>
      <c r="M2755">
        <v>0</v>
      </c>
      <c r="O2755">
        <f t="shared" ref="O2755:O2818" si="43">MONTH(B2755)</f>
        <v>3</v>
      </c>
    </row>
    <row r="2756" spans="1:15">
      <c r="A2756">
        <v>955</v>
      </c>
      <c r="B2756" s="1">
        <v>45733</v>
      </c>
      <c r="C2756">
        <v>18</v>
      </c>
      <c r="D2756" t="s">
        <v>17</v>
      </c>
      <c r="E2756" t="s">
        <v>22</v>
      </c>
      <c r="F2756" t="s">
        <v>16</v>
      </c>
      <c r="H2756">
        <v>42</v>
      </c>
      <c r="I2756" s="13">
        <v>6</v>
      </c>
      <c r="J2756">
        <v>0</v>
      </c>
      <c r="K2756">
        <v>0</v>
      </c>
      <c r="L2756">
        <v>0</v>
      </c>
      <c r="M2756">
        <v>0</v>
      </c>
      <c r="O2756">
        <f t="shared" si="43"/>
        <v>3</v>
      </c>
    </row>
    <row r="2757" spans="1:15">
      <c r="A2757">
        <v>2267</v>
      </c>
      <c r="B2757" s="1">
        <v>45764</v>
      </c>
      <c r="C2757">
        <v>34</v>
      </c>
      <c r="D2757" t="s">
        <v>14</v>
      </c>
      <c r="E2757" t="s">
        <v>22</v>
      </c>
      <c r="F2757" t="s">
        <v>23</v>
      </c>
      <c r="H2757">
        <v>575.20000000000005</v>
      </c>
      <c r="I2757" s="13">
        <v>7</v>
      </c>
      <c r="J2757">
        <v>1</v>
      </c>
      <c r="K2757">
        <v>74</v>
      </c>
      <c r="L2757">
        <v>2</v>
      </c>
      <c r="M2757">
        <v>15</v>
      </c>
      <c r="N2757">
        <v>4</v>
      </c>
      <c r="O2757">
        <f t="shared" si="43"/>
        <v>4</v>
      </c>
    </row>
    <row r="2758" spans="1:15">
      <c r="A2758">
        <v>1140</v>
      </c>
      <c r="B2758" s="1">
        <v>45764</v>
      </c>
      <c r="C2758">
        <v>26</v>
      </c>
      <c r="D2758" t="s">
        <v>17</v>
      </c>
      <c r="E2758" t="s">
        <v>20</v>
      </c>
      <c r="F2758" t="s">
        <v>23</v>
      </c>
      <c r="H2758">
        <v>863.5</v>
      </c>
      <c r="I2758" s="13">
        <v>2</v>
      </c>
      <c r="J2758">
        <v>1</v>
      </c>
      <c r="K2758">
        <v>194</v>
      </c>
      <c r="L2758">
        <v>2</v>
      </c>
      <c r="M2758">
        <v>10</v>
      </c>
      <c r="N2758">
        <v>3</v>
      </c>
      <c r="O2758">
        <f t="shared" si="43"/>
        <v>4</v>
      </c>
    </row>
    <row r="2759" spans="1:15">
      <c r="A2759">
        <v>2349</v>
      </c>
      <c r="B2759" s="1">
        <v>45764</v>
      </c>
      <c r="C2759">
        <v>33</v>
      </c>
      <c r="D2759" t="s">
        <v>14</v>
      </c>
      <c r="E2759" t="s">
        <v>15</v>
      </c>
      <c r="F2759" t="s">
        <v>18</v>
      </c>
      <c r="G2759" t="s">
        <v>31</v>
      </c>
      <c r="H2759">
        <v>937.8</v>
      </c>
      <c r="I2759" s="13">
        <v>5</v>
      </c>
      <c r="J2759">
        <v>1</v>
      </c>
      <c r="K2759">
        <v>188.13</v>
      </c>
      <c r="L2759">
        <v>5</v>
      </c>
      <c r="M2759">
        <v>2</v>
      </c>
      <c r="N2759">
        <v>4</v>
      </c>
      <c r="O2759">
        <f t="shared" si="43"/>
        <v>4</v>
      </c>
    </row>
    <row r="2760" spans="1:15">
      <c r="A2760">
        <v>3449</v>
      </c>
      <c r="B2760" s="1">
        <v>45764</v>
      </c>
      <c r="C2760">
        <v>45</v>
      </c>
      <c r="D2760" t="s">
        <v>17</v>
      </c>
      <c r="E2760" t="s">
        <v>24</v>
      </c>
      <c r="F2760" t="s">
        <v>16</v>
      </c>
      <c r="H2760">
        <v>302.89999999999998</v>
      </c>
      <c r="I2760" s="13">
        <v>4</v>
      </c>
      <c r="J2760">
        <v>1</v>
      </c>
      <c r="K2760">
        <v>73.55</v>
      </c>
      <c r="L2760">
        <v>3</v>
      </c>
      <c r="M2760">
        <v>2</v>
      </c>
      <c r="N2760">
        <v>4</v>
      </c>
      <c r="O2760">
        <f t="shared" si="43"/>
        <v>4</v>
      </c>
    </row>
    <row r="2761" spans="1:15">
      <c r="A2761">
        <v>1115</v>
      </c>
      <c r="B2761" s="1">
        <v>45764</v>
      </c>
      <c r="C2761">
        <v>29</v>
      </c>
      <c r="D2761" t="s">
        <v>17</v>
      </c>
      <c r="E2761" t="s">
        <v>15</v>
      </c>
      <c r="F2761" t="s">
        <v>18</v>
      </c>
      <c r="G2761" t="s">
        <v>30</v>
      </c>
      <c r="H2761">
        <v>840.9</v>
      </c>
      <c r="I2761" s="13">
        <v>6</v>
      </c>
      <c r="J2761">
        <v>1</v>
      </c>
      <c r="K2761">
        <v>68.39</v>
      </c>
      <c r="L2761">
        <v>5</v>
      </c>
      <c r="M2761">
        <v>7</v>
      </c>
      <c r="N2761">
        <v>2</v>
      </c>
      <c r="O2761">
        <f t="shared" si="43"/>
        <v>4</v>
      </c>
    </row>
    <row r="2762" spans="1:15">
      <c r="A2762">
        <v>170</v>
      </c>
      <c r="B2762" s="1">
        <v>45764</v>
      </c>
      <c r="C2762">
        <v>21</v>
      </c>
      <c r="D2762" t="s">
        <v>14</v>
      </c>
      <c r="E2762" t="s">
        <v>20</v>
      </c>
      <c r="F2762" t="s">
        <v>23</v>
      </c>
      <c r="H2762">
        <v>937.5</v>
      </c>
      <c r="I2762" s="13">
        <v>5</v>
      </c>
      <c r="J2762">
        <v>1</v>
      </c>
      <c r="K2762">
        <v>59.43</v>
      </c>
      <c r="L2762">
        <v>2</v>
      </c>
      <c r="M2762">
        <v>13</v>
      </c>
      <c r="N2762">
        <v>5</v>
      </c>
      <c r="O2762">
        <f t="shared" si="43"/>
        <v>4</v>
      </c>
    </row>
    <row r="2763" spans="1:15">
      <c r="A2763">
        <v>647</v>
      </c>
      <c r="B2763" s="1">
        <v>45764</v>
      </c>
      <c r="C2763">
        <v>23</v>
      </c>
      <c r="D2763" t="s">
        <v>14</v>
      </c>
      <c r="E2763" t="s">
        <v>22</v>
      </c>
      <c r="F2763" t="s">
        <v>21</v>
      </c>
      <c r="H2763">
        <v>229.5</v>
      </c>
      <c r="I2763" s="13">
        <v>5</v>
      </c>
      <c r="J2763">
        <v>1</v>
      </c>
      <c r="K2763">
        <v>54.54</v>
      </c>
      <c r="L2763">
        <v>2</v>
      </c>
      <c r="M2763">
        <v>10</v>
      </c>
      <c r="N2763">
        <v>4</v>
      </c>
      <c r="O2763">
        <f t="shared" si="43"/>
        <v>4</v>
      </c>
    </row>
    <row r="2764" spans="1:15">
      <c r="A2764">
        <v>29</v>
      </c>
      <c r="B2764" s="1">
        <v>45764</v>
      </c>
      <c r="C2764">
        <v>23</v>
      </c>
      <c r="D2764" t="s">
        <v>14</v>
      </c>
      <c r="E2764" t="s">
        <v>20</v>
      </c>
      <c r="F2764" t="s">
        <v>16</v>
      </c>
      <c r="H2764">
        <v>836.1</v>
      </c>
      <c r="I2764" s="13">
        <v>4</v>
      </c>
      <c r="J2764">
        <v>1</v>
      </c>
      <c r="K2764">
        <v>40.299999999999997</v>
      </c>
      <c r="L2764">
        <v>2</v>
      </c>
      <c r="M2764">
        <v>13</v>
      </c>
      <c r="N2764">
        <v>3</v>
      </c>
      <c r="O2764">
        <f t="shared" si="43"/>
        <v>4</v>
      </c>
    </row>
    <row r="2765" spans="1:15">
      <c r="A2765">
        <v>4135</v>
      </c>
      <c r="B2765" s="1">
        <v>45764</v>
      </c>
      <c r="C2765">
        <v>49</v>
      </c>
      <c r="D2765" t="s">
        <v>17</v>
      </c>
      <c r="E2765" t="s">
        <v>20</v>
      </c>
      <c r="F2765" t="s">
        <v>23</v>
      </c>
      <c r="H2765">
        <v>605.29999999999995</v>
      </c>
      <c r="I2765" s="13">
        <v>12</v>
      </c>
      <c r="J2765">
        <v>1</v>
      </c>
      <c r="K2765">
        <v>31.35</v>
      </c>
      <c r="L2765">
        <v>2</v>
      </c>
      <c r="M2765">
        <v>1</v>
      </c>
      <c r="N2765">
        <v>4</v>
      </c>
      <c r="O2765">
        <f t="shared" si="43"/>
        <v>4</v>
      </c>
    </row>
    <row r="2766" spans="1:15">
      <c r="A2766">
        <v>4073</v>
      </c>
      <c r="B2766" s="1">
        <v>45764</v>
      </c>
      <c r="C2766">
        <v>46</v>
      </c>
      <c r="D2766" t="s">
        <v>17</v>
      </c>
      <c r="E2766" t="s">
        <v>20</v>
      </c>
      <c r="F2766" t="s">
        <v>16</v>
      </c>
      <c r="H2766">
        <v>193.4</v>
      </c>
      <c r="I2766" s="13">
        <v>6</v>
      </c>
      <c r="J2766">
        <v>1</v>
      </c>
      <c r="K2766">
        <v>28.22</v>
      </c>
      <c r="L2766">
        <v>4</v>
      </c>
      <c r="M2766">
        <v>3</v>
      </c>
      <c r="N2766">
        <v>3</v>
      </c>
      <c r="O2766">
        <f t="shared" si="43"/>
        <v>4</v>
      </c>
    </row>
    <row r="2767" spans="1:15">
      <c r="A2767">
        <v>911</v>
      </c>
      <c r="B2767" s="1">
        <v>45764</v>
      </c>
      <c r="C2767">
        <v>28</v>
      </c>
      <c r="D2767" t="s">
        <v>14</v>
      </c>
      <c r="E2767" t="s">
        <v>22</v>
      </c>
      <c r="F2767" t="s">
        <v>16</v>
      </c>
      <c r="H2767">
        <v>475.4</v>
      </c>
      <c r="I2767" s="13">
        <v>7</v>
      </c>
      <c r="J2767">
        <v>1</v>
      </c>
      <c r="K2767">
        <v>16.739999999999998</v>
      </c>
      <c r="L2767">
        <v>1</v>
      </c>
      <c r="M2767">
        <v>11</v>
      </c>
      <c r="N2767">
        <v>5</v>
      </c>
      <c r="O2767">
        <f t="shared" si="43"/>
        <v>4</v>
      </c>
    </row>
    <row r="2768" spans="1:15">
      <c r="A2768">
        <v>817</v>
      </c>
      <c r="B2768" s="1">
        <v>45764</v>
      </c>
      <c r="C2768">
        <v>22</v>
      </c>
      <c r="D2768" t="s">
        <v>14</v>
      </c>
      <c r="E2768" t="s">
        <v>24</v>
      </c>
      <c r="F2768" t="s">
        <v>18</v>
      </c>
      <c r="G2768" t="s">
        <v>29</v>
      </c>
      <c r="H2768">
        <v>184.5</v>
      </c>
      <c r="I2768" s="13">
        <v>7</v>
      </c>
      <c r="J2768">
        <v>1</v>
      </c>
      <c r="K2768">
        <v>15.78</v>
      </c>
      <c r="L2768">
        <v>3</v>
      </c>
      <c r="M2768">
        <v>3</v>
      </c>
      <c r="N2768">
        <v>4</v>
      </c>
      <c r="O2768">
        <f t="shared" si="43"/>
        <v>4</v>
      </c>
    </row>
    <row r="2769" spans="1:15">
      <c r="A2769">
        <v>521</v>
      </c>
      <c r="B2769" s="1">
        <v>45764</v>
      </c>
      <c r="C2769">
        <v>29</v>
      </c>
      <c r="D2769" t="s">
        <v>17</v>
      </c>
      <c r="E2769" t="s">
        <v>24</v>
      </c>
      <c r="F2769" t="s">
        <v>18</v>
      </c>
      <c r="G2769" t="s">
        <v>30</v>
      </c>
      <c r="H2769">
        <v>443.4</v>
      </c>
      <c r="I2769" s="13">
        <v>10</v>
      </c>
      <c r="J2769">
        <v>0</v>
      </c>
      <c r="K2769">
        <v>0</v>
      </c>
      <c r="L2769">
        <v>0</v>
      </c>
      <c r="M2769">
        <v>0</v>
      </c>
      <c r="O2769">
        <f t="shared" si="43"/>
        <v>4</v>
      </c>
    </row>
    <row r="2770" spans="1:15">
      <c r="A2770">
        <v>2236</v>
      </c>
      <c r="B2770" s="1">
        <v>45764</v>
      </c>
      <c r="C2770">
        <v>25</v>
      </c>
      <c r="D2770" t="s">
        <v>17</v>
      </c>
      <c r="E2770" t="s">
        <v>22</v>
      </c>
      <c r="F2770" t="s">
        <v>16</v>
      </c>
      <c r="H2770">
        <v>312.60000000000002</v>
      </c>
      <c r="I2770" s="13">
        <v>5</v>
      </c>
      <c r="J2770">
        <v>0</v>
      </c>
      <c r="K2770">
        <v>0</v>
      </c>
      <c r="L2770">
        <v>0</v>
      </c>
      <c r="M2770">
        <v>0</v>
      </c>
      <c r="O2770">
        <f t="shared" si="43"/>
        <v>4</v>
      </c>
    </row>
    <row r="2771" spans="1:15">
      <c r="A2771">
        <v>1877</v>
      </c>
      <c r="B2771" s="1">
        <v>45764</v>
      </c>
      <c r="C2771">
        <v>25</v>
      </c>
      <c r="D2771" t="s">
        <v>14</v>
      </c>
      <c r="E2771" t="s">
        <v>22</v>
      </c>
      <c r="F2771" t="s">
        <v>18</v>
      </c>
      <c r="G2771" t="s">
        <v>28</v>
      </c>
      <c r="H2771">
        <v>265.10000000000002</v>
      </c>
      <c r="I2771" s="13">
        <v>7</v>
      </c>
      <c r="J2771">
        <v>0</v>
      </c>
      <c r="K2771">
        <v>0</v>
      </c>
      <c r="L2771">
        <v>0</v>
      </c>
      <c r="M2771">
        <v>0</v>
      </c>
      <c r="O2771">
        <f t="shared" si="43"/>
        <v>4</v>
      </c>
    </row>
    <row r="2772" spans="1:15">
      <c r="A2772">
        <v>3486</v>
      </c>
      <c r="B2772" s="1">
        <v>45764</v>
      </c>
      <c r="C2772">
        <v>26</v>
      </c>
      <c r="D2772" t="s">
        <v>17</v>
      </c>
      <c r="E2772" t="s">
        <v>20</v>
      </c>
      <c r="F2772" t="s">
        <v>16</v>
      </c>
      <c r="H2772">
        <v>223.8</v>
      </c>
      <c r="I2772" s="13">
        <v>10</v>
      </c>
      <c r="J2772">
        <v>0</v>
      </c>
      <c r="K2772">
        <v>0</v>
      </c>
      <c r="L2772">
        <v>0</v>
      </c>
      <c r="M2772">
        <v>0</v>
      </c>
      <c r="O2772">
        <f t="shared" si="43"/>
        <v>4</v>
      </c>
    </row>
    <row r="2773" spans="1:15">
      <c r="A2773">
        <v>4479</v>
      </c>
      <c r="B2773" s="1">
        <v>45764</v>
      </c>
      <c r="C2773">
        <v>53</v>
      </c>
      <c r="D2773" t="s">
        <v>17</v>
      </c>
      <c r="E2773" t="s">
        <v>22</v>
      </c>
      <c r="F2773" t="s">
        <v>23</v>
      </c>
      <c r="H2773">
        <v>203.8</v>
      </c>
      <c r="I2773" s="13">
        <v>11</v>
      </c>
      <c r="J2773">
        <v>0</v>
      </c>
      <c r="K2773">
        <v>0</v>
      </c>
      <c r="L2773">
        <v>0</v>
      </c>
      <c r="M2773">
        <v>0</v>
      </c>
      <c r="O2773">
        <f t="shared" si="43"/>
        <v>4</v>
      </c>
    </row>
    <row r="2774" spans="1:15">
      <c r="A2774">
        <v>2796</v>
      </c>
      <c r="B2774" s="1">
        <v>45764</v>
      </c>
      <c r="C2774">
        <v>38</v>
      </c>
      <c r="D2774" t="s">
        <v>14</v>
      </c>
      <c r="E2774" t="s">
        <v>20</v>
      </c>
      <c r="F2774" t="s">
        <v>18</v>
      </c>
      <c r="G2774" t="s">
        <v>25</v>
      </c>
      <c r="H2774">
        <v>196.4</v>
      </c>
      <c r="I2774" s="13">
        <v>6</v>
      </c>
      <c r="J2774">
        <v>0</v>
      </c>
      <c r="K2774">
        <v>0</v>
      </c>
      <c r="L2774">
        <v>0</v>
      </c>
      <c r="M2774">
        <v>0</v>
      </c>
      <c r="O2774">
        <f t="shared" si="43"/>
        <v>4</v>
      </c>
    </row>
    <row r="2775" spans="1:15">
      <c r="A2775">
        <v>566</v>
      </c>
      <c r="B2775" s="1">
        <v>45764</v>
      </c>
      <c r="C2775">
        <v>26</v>
      </c>
      <c r="D2775" t="s">
        <v>14</v>
      </c>
      <c r="E2775" t="s">
        <v>22</v>
      </c>
      <c r="F2775" t="s">
        <v>18</v>
      </c>
      <c r="G2775" t="s">
        <v>29</v>
      </c>
      <c r="H2775">
        <v>190</v>
      </c>
      <c r="I2775" s="13">
        <v>3</v>
      </c>
      <c r="J2775">
        <v>0</v>
      </c>
      <c r="K2775">
        <v>0</v>
      </c>
      <c r="L2775">
        <v>0</v>
      </c>
      <c r="M2775">
        <v>0</v>
      </c>
      <c r="O2775">
        <f t="shared" si="43"/>
        <v>4</v>
      </c>
    </row>
    <row r="2776" spans="1:15">
      <c r="A2776">
        <v>994</v>
      </c>
      <c r="B2776" s="1">
        <v>45764</v>
      </c>
      <c r="C2776">
        <v>28</v>
      </c>
      <c r="D2776" t="s">
        <v>14</v>
      </c>
      <c r="E2776" t="s">
        <v>22</v>
      </c>
      <c r="F2776" t="s">
        <v>16</v>
      </c>
      <c r="H2776">
        <v>153.19999999999999</v>
      </c>
      <c r="I2776" s="13">
        <v>9</v>
      </c>
      <c r="J2776">
        <v>0</v>
      </c>
      <c r="K2776">
        <v>0</v>
      </c>
      <c r="L2776">
        <v>0</v>
      </c>
      <c r="M2776">
        <v>0</v>
      </c>
      <c r="O2776">
        <f t="shared" si="43"/>
        <v>4</v>
      </c>
    </row>
    <row r="2777" spans="1:15">
      <c r="A2777">
        <v>2879</v>
      </c>
      <c r="B2777" s="1">
        <v>45764</v>
      </c>
      <c r="C2777">
        <v>51</v>
      </c>
      <c r="D2777" t="s">
        <v>14</v>
      </c>
      <c r="E2777" t="s">
        <v>20</v>
      </c>
      <c r="F2777" t="s">
        <v>23</v>
      </c>
      <c r="H2777">
        <v>100.6</v>
      </c>
      <c r="I2777" s="13">
        <v>9</v>
      </c>
      <c r="J2777">
        <v>0</v>
      </c>
      <c r="K2777">
        <v>0</v>
      </c>
      <c r="L2777">
        <v>0</v>
      </c>
      <c r="M2777">
        <v>0</v>
      </c>
      <c r="O2777">
        <f t="shared" si="43"/>
        <v>4</v>
      </c>
    </row>
    <row r="2778" spans="1:15">
      <c r="A2778">
        <v>1380</v>
      </c>
      <c r="B2778" s="1">
        <v>45764</v>
      </c>
      <c r="C2778">
        <v>19</v>
      </c>
      <c r="D2778" t="s">
        <v>14</v>
      </c>
      <c r="E2778" t="s">
        <v>20</v>
      </c>
      <c r="F2778" t="s">
        <v>18</v>
      </c>
      <c r="G2778" t="s">
        <v>29</v>
      </c>
      <c r="H2778">
        <v>85.6</v>
      </c>
      <c r="I2778" s="13">
        <v>5</v>
      </c>
      <c r="J2778">
        <v>0</v>
      </c>
      <c r="K2778">
        <v>0</v>
      </c>
      <c r="L2778">
        <v>0</v>
      </c>
      <c r="M2778">
        <v>0</v>
      </c>
      <c r="O2778">
        <f t="shared" si="43"/>
        <v>4</v>
      </c>
    </row>
    <row r="2779" spans="1:15">
      <c r="A2779">
        <v>2931</v>
      </c>
      <c r="B2779" s="1">
        <v>45764</v>
      </c>
      <c r="C2779">
        <v>24</v>
      </c>
      <c r="D2779" t="s">
        <v>14</v>
      </c>
      <c r="E2779" t="s">
        <v>15</v>
      </c>
      <c r="F2779" t="s">
        <v>16</v>
      </c>
      <c r="H2779">
        <v>82.7</v>
      </c>
      <c r="I2779" s="13">
        <v>4</v>
      </c>
      <c r="J2779">
        <v>0</v>
      </c>
      <c r="K2779">
        <v>0</v>
      </c>
      <c r="L2779">
        <v>0</v>
      </c>
      <c r="M2779">
        <v>0</v>
      </c>
      <c r="O2779">
        <f t="shared" si="43"/>
        <v>4</v>
      </c>
    </row>
    <row r="2780" spans="1:15">
      <c r="A2780">
        <v>1918</v>
      </c>
      <c r="B2780" s="1">
        <v>45764</v>
      </c>
      <c r="C2780">
        <v>30</v>
      </c>
      <c r="D2780" t="s">
        <v>17</v>
      </c>
      <c r="E2780" t="s">
        <v>15</v>
      </c>
      <c r="F2780" t="s">
        <v>23</v>
      </c>
      <c r="H2780">
        <v>75.7</v>
      </c>
      <c r="I2780" s="13">
        <v>6</v>
      </c>
      <c r="J2780">
        <v>0</v>
      </c>
      <c r="K2780">
        <v>0</v>
      </c>
      <c r="L2780">
        <v>0</v>
      </c>
      <c r="M2780">
        <v>0</v>
      </c>
      <c r="O2780">
        <f t="shared" si="43"/>
        <v>4</v>
      </c>
    </row>
    <row r="2781" spans="1:15">
      <c r="A2781">
        <v>290</v>
      </c>
      <c r="B2781" s="1">
        <v>45764</v>
      </c>
      <c r="C2781">
        <v>32</v>
      </c>
      <c r="D2781" t="s">
        <v>14</v>
      </c>
      <c r="E2781" t="s">
        <v>22</v>
      </c>
      <c r="F2781" t="s">
        <v>21</v>
      </c>
      <c r="H2781">
        <v>67.400000000000006</v>
      </c>
      <c r="I2781" s="13">
        <v>7</v>
      </c>
      <c r="J2781">
        <v>0</v>
      </c>
      <c r="K2781">
        <v>0</v>
      </c>
      <c r="L2781">
        <v>0</v>
      </c>
      <c r="M2781">
        <v>0</v>
      </c>
      <c r="O2781">
        <f t="shared" si="43"/>
        <v>4</v>
      </c>
    </row>
    <row r="2782" spans="1:15">
      <c r="A2782">
        <v>1360</v>
      </c>
      <c r="B2782" s="1">
        <v>45764</v>
      </c>
      <c r="C2782">
        <v>23</v>
      </c>
      <c r="D2782" t="s">
        <v>17</v>
      </c>
      <c r="E2782" t="s">
        <v>22</v>
      </c>
      <c r="F2782" t="s">
        <v>16</v>
      </c>
      <c r="H2782">
        <v>66.2</v>
      </c>
      <c r="I2782" s="13">
        <v>6</v>
      </c>
      <c r="J2782">
        <v>0</v>
      </c>
      <c r="K2782">
        <v>0</v>
      </c>
      <c r="L2782">
        <v>0</v>
      </c>
      <c r="M2782">
        <v>0</v>
      </c>
      <c r="O2782">
        <f t="shared" si="43"/>
        <v>4</v>
      </c>
    </row>
    <row r="2783" spans="1:15">
      <c r="A2783">
        <v>3109</v>
      </c>
      <c r="B2783" s="1">
        <v>45764</v>
      </c>
      <c r="C2783">
        <v>43</v>
      </c>
      <c r="D2783" t="s">
        <v>27</v>
      </c>
      <c r="E2783" t="s">
        <v>24</v>
      </c>
      <c r="F2783" t="s">
        <v>18</v>
      </c>
      <c r="G2783" t="s">
        <v>26</v>
      </c>
      <c r="H2783">
        <v>66</v>
      </c>
      <c r="I2783" s="13">
        <v>4</v>
      </c>
      <c r="J2783">
        <v>0</v>
      </c>
      <c r="K2783">
        <v>0</v>
      </c>
      <c r="L2783">
        <v>0</v>
      </c>
      <c r="M2783">
        <v>0</v>
      </c>
      <c r="O2783">
        <f t="shared" si="43"/>
        <v>4</v>
      </c>
    </row>
    <row r="2784" spans="1:15">
      <c r="A2784">
        <v>2868</v>
      </c>
      <c r="B2784" s="1">
        <v>45794</v>
      </c>
      <c r="C2784">
        <v>25</v>
      </c>
      <c r="D2784" t="s">
        <v>17</v>
      </c>
      <c r="E2784" t="s">
        <v>22</v>
      </c>
      <c r="F2784" t="s">
        <v>18</v>
      </c>
      <c r="G2784" t="s">
        <v>25</v>
      </c>
      <c r="H2784">
        <v>91.7</v>
      </c>
      <c r="I2784" s="13">
        <v>8</v>
      </c>
      <c r="J2784">
        <v>1</v>
      </c>
      <c r="K2784">
        <v>459</v>
      </c>
      <c r="L2784">
        <v>1</v>
      </c>
      <c r="M2784">
        <v>10</v>
      </c>
      <c r="N2784">
        <v>5</v>
      </c>
      <c r="O2784">
        <f t="shared" si="43"/>
        <v>5</v>
      </c>
    </row>
    <row r="2785" spans="1:15">
      <c r="A2785">
        <v>2071</v>
      </c>
      <c r="B2785" s="1">
        <v>45794</v>
      </c>
      <c r="C2785">
        <v>37</v>
      </c>
      <c r="D2785" t="s">
        <v>14</v>
      </c>
      <c r="E2785" t="s">
        <v>20</v>
      </c>
      <c r="F2785" t="s">
        <v>18</v>
      </c>
      <c r="G2785" t="s">
        <v>26</v>
      </c>
      <c r="H2785">
        <v>528.9</v>
      </c>
      <c r="I2785" s="13">
        <v>4</v>
      </c>
      <c r="J2785">
        <v>1</v>
      </c>
      <c r="K2785">
        <v>13</v>
      </c>
      <c r="L2785">
        <v>4</v>
      </c>
      <c r="M2785">
        <v>6</v>
      </c>
      <c r="N2785">
        <v>4</v>
      </c>
      <c r="O2785">
        <f t="shared" si="43"/>
        <v>5</v>
      </c>
    </row>
    <row r="2786" spans="1:15">
      <c r="A2786">
        <v>3645</v>
      </c>
      <c r="B2786" s="1">
        <v>45794</v>
      </c>
      <c r="C2786">
        <v>27</v>
      </c>
      <c r="D2786" t="s">
        <v>14</v>
      </c>
      <c r="E2786" t="s">
        <v>22</v>
      </c>
      <c r="F2786" t="s">
        <v>16</v>
      </c>
      <c r="H2786">
        <v>99.2</v>
      </c>
      <c r="I2786" s="13">
        <v>6</v>
      </c>
      <c r="J2786">
        <v>1</v>
      </c>
      <c r="K2786">
        <v>200.27</v>
      </c>
      <c r="L2786">
        <v>4</v>
      </c>
      <c r="M2786">
        <v>7</v>
      </c>
      <c r="N2786">
        <v>5</v>
      </c>
      <c r="O2786">
        <f t="shared" si="43"/>
        <v>5</v>
      </c>
    </row>
    <row r="2787" spans="1:15">
      <c r="A2787">
        <v>1903</v>
      </c>
      <c r="B2787" s="1">
        <v>45794</v>
      </c>
      <c r="C2787">
        <v>41</v>
      </c>
      <c r="D2787" t="s">
        <v>14</v>
      </c>
      <c r="E2787" t="s">
        <v>20</v>
      </c>
      <c r="F2787" t="s">
        <v>16</v>
      </c>
      <c r="H2787">
        <v>344.4</v>
      </c>
      <c r="I2787" s="13">
        <v>7</v>
      </c>
      <c r="J2787">
        <v>1</v>
      </c>
      <c r="K2787">
        <v>147.51</v>
      </c>
      <c r="L2787">
        <v>2</v>
      </c>
      <c r="M2787">
        <v>2</v>
      </c>
      <c r="N2787">
        <v>4</v>
      </c>
      <c r="O2787">
        <f t="shared" si="43"/>
        <v>5</v>
      </c>
    </row>
    <row r="2788" spans="1:15">
      <c r="A2788">
        <v>3528</v>
      </c>
      <c r="B2788" s="1">
        <v>45794</v>
      </c>
      <c r="C2788">
        <v>40</v>
      </c>
      <c r="D2788" t="s">
        <v>14</v>
      </c>
      <c r="E2788" t="s">
        <v>15</v>
      </c>
      <c r="F2788" t="s">
        <v>16</v>
      </c>
      <c r="H2788">
        <v>1010.8</v>
      </c>
      <c r="I2788" s="13">
        <v>6</v>
      </c>
      <c r="J2788">
        <v>1</v>
      </c>
      <c r="K2788">
        <v>111</v>
      </c>
      <c r="L2788">
        <v>5</v>
      </c>
      <c r="M2788">
        <v>10</v>
      </c>
      <c r="N2788">
        <v>4</v>
      </c>
      <c r="O2788">
        <f t="shared" si="43"/>
        <v>5</v>
      </c>
    </row>
    <row r="2789" spans="1:15">
      <c r="A2789">
        <v>1108</v>
      </c>
      <c r="B2789" s="1">
        <v>45794</v>
      </c>
      <c r="C2789">
        <v>24</v>
      </c>
      <c r="D2789" t="s">
        <v>17</v>
      </c>
      <c r="E2789" t="s">
        <v>15</v>
      </c>
      <c r="F2789" t="s">
        <v>16</v>
      </c>
      <c r="H2789">
        <v>372.4</v>
      </c>
      <c r="I2789" s="13">
        <v>4</v>
      </c>
      <c r="J2789">
        <v>1</v>
      </c>
      <c r="K2789">
        <v>91.63</v>
      </c>
      <c r="L2789">
        <v>2</v>
      </c>
      <c r="M2789">
        <v>6</v>
      </c>
      <c r="N2789">
        <v>4</v>
      </c>
      <c r="O2789">
        <f t="shared" si="43"/>
        <v>5</v>
      </c>
    </row>
    <row r="2790" spans="1:15">
      <c r="A2790">
        <v>2839</v>
      </c>
      <c r="B2790" s="1">
        <v>45794</v>
      </c>
      <c r="C2790">
        <v>45</v>
      </c>
      <c r="D2790" t="s">
        <v>14</v>
      </c>
      <c r="E2790" t="s">
        <v>22</v>
      </c>
      <c r="F2790" t="s">
        <v>21</v>
      </c>
      <c r="H2790">
        <v>766.2</v>
      </c>
      <c r="I2790" s="13">
        <v>5</v>
      </c>
      <c r="J2790">
        <v>1</v>
      </c>
      <c r="K2790">
        <v>88.71</v>
      </c>
      <c r="L2790">
        <v>5</v>
      </c>
      <c r="M2790">
        <v>3</v>
      </c>
      <c r="N2790">
        <v>4</v>
      </c>
      <c r="O2790">
        <f t="shared" si="43"/>
        <v>5</v>
      </c>
    </row>
    <row r="2791" spans="1:15">
      <c r="A2791">
        <v>2638</v>
      </c>
      <c r="B2791" s="1">
        <v>45794</v>
      </c>
      <c r="C2791">
        <v>21</v>
      </c>
      <c r="D2791" t="s">
        <v>14</v>
      </c>
      <c r="E2791" t="s">
        <v>24</v>
      </c>
      <c r="F2791" t="s">
        <v>18</v>
      </c>
      <c r="G2791" t="s">
        <v>28</v>
      </c>
      <c r="H2791">
        <v>394</v>
      </c>
      <c r="I2791" s="13">
        <v>8</v>
      </c>
      <c r="J2791">
        <v>1</v>
      </c>
      <c r="K2791">
        <v>65.459999999999994</v>
      </c>
      <c r="L2791">
        <v>4</v>
      </c>
      <c r="M2791">
        <v>10</v>
      </c>
      <c r="N2791">
        <v>4</v>
      </c>
      <c r="O2791">
        <f t="shared" si="43"/>
        <v>5</v>
      </c>
    </row>
    <row r="2792" spans="1:15">
      <c r="A2792">
        <v>3338</v>
      </c>
      <c r="B2792" s="1">
        <v>45794</v>
      </c>
      <c r="C2792">
        <v>41</v>
      </c>
      <c r="D2792" t="s">
        <v>27</v>
      </c>
      <c r="E2792" t="s">
        <v>15</v>
      </c>
      <c r="F2792" t="s">
        <v>16</v>
      </c>
      <c r="H2792">
        <v>67.7</v>
      </c>
      <c r="I2792" s="13">
        <v>9</v>
      </c>
      <c r="J2792">
        <v>1</v>
      </c>
      <c r="K2792">
        <v>58.71</v>
      </c>
      <c r="L2792">
        <v>3</v>
      </c>
      <c r="M2792">
        <v>2</v>
      </c>
      <c r="N2792">
        <v>5</v>
      </c>
      <c r="O2792">
        <f t="shared" si="43"/>
        <v>5</v>
      </c>
    </row>
    <row r="2793" spans="1:15">
      <c r="A2793">
        <v>3941</v>
      </c>
      <c r="B2793" s="1">
        <v>45794</v>
      </c>
      <c r="C2793">
        <v>63</v>
      </c>
      <c r="D2793" t="s">
        <v>17</v>
      </c>
      <c r="E2793" t="s">
        <v>22</v>
      </c>
      <c r="F2793" t="s">
        <v>16</v>
      </c>
      <c r="H2793">
        <v>325.3</v>
      </c>
      <c r="I2793" s="13">
        <v>5</v>
      </c>
      <c r="J2793">
        <v>1</v>
      </c>
      <c r="K2793">
        <v>45.75</v>
      </c>
      <c r="L2793">
        <v>2</v>
      </c>
      <c r="M2793">
        <v>2</v>
      </c>
      <c r="N2793">
        <v>5</v>
      </c>
      <c r="O2793">
        <f t="shared" si="43"/>
        <v>5</v>
      </c>
    </row>
    <row r="2794" spans="1:15">
      <c r="A2794">
        <v>4575</v>
      </c>
      <c r="B2794" s="1">
        <v>45794</v>
      </c>
      <c r="C2794">
        <v>41</v>
      </c>
      <c r="D2794" t="s">
        <v>17</v>
      </c>
      <c r="E2794" t="s">
        <v>24</v>
      </c>
      <c r="F2794" t="s">
        <v>16</v>
      </c>
      <c r="H2794">
        <v>273.7</v>
      </c>
      <c r="I2794" s="13">
        <v>3</v>
      </c>
      <c r="J2794">
        <v>1</v>
      </c>
      <c r="K2794">
        <v>40.909999999999997</v>
      </c>
      <c r="L2794">
        <v>2</v>
      </c>
      <c r="M2794">
        <v>5</v>
      </c>
      <c r="N2794">
        <v>3</v>
      </c>
      <c r="O2794">
        <f t="shared" si="43"/>
        <v>5</v>
      </c>
    </row>
    <row r="2795" spans="1:15">
      <c r="A2795">
        <v>3433</v>
      </c>
      <c r="B2795" s="1">
        <v>45794</v>
      </c>
      <c r="C2795">
        <v>39</v>
      </c>
      <c r="D2795" t="s">
        <v>14</v>
      </c>
      <c r="E2795" t="s">
        <v>24</v>
      </c>
      <c r="F2795" t="s">
        <v>18</v>
      </c>
      <c r="G2795" t="s">
        <v>29</v>
      </c>
      <c r="H2795">
        <v>262.60000000000002</v>
      </c>
      <c r="I2795" s="13">
        <v>10</v>
      </c>
      <c r="J2795">
        <v>1</v>
      </c>
      <c r="K2795">
        <v>15.64</v>
      </c>
      <c r="L2795">
        <v>5</v>
      </c>
      <c r="M2795">
        <v>4</v>
      </c>
      <c r="N2795">
        <v>4</v>
      </c>
      <c r="O2795">
        <f t="shared" si="43"/>
        <v>5</v>
      </c>
    </row>
    <row r="2796" spans="1:15">
      <c r="A2796">
        <v>93</v>
      </c>
      <c r="B2796" s="1">
        <v>45794</v>
      </c>
      <c r="C2796">
        <v>21</v>
      </c>
      <c r="D2796" t="s">
        <v>14</v>
      </c>
      <c r="E2796" t="s">
        <v>22</v>
      </c>
      <c r="F2796" t="s">
        <v>16</v>
      </c>
      <c r="H2796">
        <v>517.1</v>
      </c>
      <c r="I2796" s="13">
        <v>3</v>
      </c>
      <c r="J2796">
        <v>0</v>
      </c>
      <c r="K2796">
        <v>0</v>
      </c>
      <c r="L2796">
        <v>0</v>
      </c>
      <c r="M2796">
        <v>0</v>
      </c>
      <c r="O2796">
        <f t="shared" si="43"/>
        <v>5</v>
      </c>
    </row>
    <row r="2797" spans="1:15">
      <c r="A2797">
        <v>1201</v>
      </c>
      <c r="B2797" s="1">
        <v>45794</v>
      </c>
      <c r="C2797">
        <v>30</v>
      </c>
      <c r="D2797" t="s">
        <v>17</v>
      </c>
      <c r="E2797" t="s">
        <v>15</v>
      </c>
      <c r="F2797" t="s">
        <v>16</v>
      </c>
      <c r="H2797">
        <v>506.8</v>
      </c>
      <c r="I2797" s="13">
        <v>5</v>
      </c>
      <c r="J2797">
        <v>0</v>
      </c>
      <c r="K2797">
        <v>0</v>
      </c>
      <c r="L2797">
        <v>0</v>
      </c>
      <c r="M2797">
        <v>0</v>
      </c>
      <c r="O2797">
        <f t="shared" si="43"/>
        <v>5</v>
      </c>
    </row>
    <row r="2798" spans="1:15">
      <c r="A2798">
        <v>2006</v>
      </c>
      <c r="B2798" s="1">
        <v>45794</v>
      </c>
      <c r="C2798">
        <v>44</v>
      </c>
      <c r="D2798" t="s">
        <v>14</v>
      </c>
      <c r="E2798" t="s">
        <v>20</v>
      </c>
      <c r="F2798" t="s">
        <v>18</v>
      </c>
      <c r="G2798" t="s">
        <v>31</v>
      </c>
      <c r="H2798">
        <v>476.7</v>
      </c>
      <c r="I2798" s="13">
        <v>5</v>
      </c>
      <c r="J2798">
        <v>0</v>
      </c>
      <c r="K2798">
        <v>0</v>
      </c>
      <c r="L2798">
        <v>0</v>
      </c>
      <c r="M2798">
        <v>0</v>
      </c>
      <c r="O2798">
        <f t="shared" si="43"/>
        <v>5</v>
      </c>
    </row>
    <row r="2799" spans="1:15">
      <c r="A2799">
        <v>332</v>
      </c>
      <c r="B2799" s="1">
        <v>45794</v>
      </c>
      <c r="C2799">
        <v>20</v>
      </c>
      <c r="D2799" t="s">
        <v>14</v>
      </c>
      <c r="E2799" t="s">
        <v>24</v>
      </c>
      <c r="F2799" t="s">
        <v>16</v>
      </c>
      <c r="H2799">
        <v>435.6</v>
      </c>
      <c r="I2799" s="13">
        <v>3</v>
      </c>
      <c r="J2799">
        <v>0</v>
      </c>
      <c r="K2799">
        <v>0</v>
      </c>
      <c r="L2799">
        <v>0</v>
      </c>
      <c r="M2799">
        <v>0</v>
      </c>
      <c r="O2799">
        <f t="shared" si="43"/>
        <v>5</v>
      </c>
    </row>
    <row r="2800" spans="1:15">
      <c r="A2800">
        <v>3743</v>
      </c>
      <c r="B2800" s="1">
        <v>45794</v>
      </c>
      <c r="C2800">
        <v>43</v>
      </c>
      <c r="D2800" t="s">
        <v>14</v>
      </c>
      <c r="E2800" t="s">
        <v>24</v>
      </c>
      <c r="F2800" t="s">
        <v>18</v>
      </c>
      <c r="G2800" t="s">
        <v>31</v>
      </c>
      <c r="H2800">
        <v>402.1</v>
      </c>
      <c r="I2800" s="13">
        <v>5</v>
      </c>
      <c r="J2800">
        <v>0</v>
      </c>
      <c r="K2800">
        <v>0</v>
      </c>
      <c r="L2800">
        <v>0</v>
      </c>
      <c r="M2800">
        <v>0</v>
      </c>
      <c r="O2800">
        <f t="shared" si="43"/>
        <v>5</v>
      </c>
    </row>
    <row r="2801" spans="1:15">
      <c r="A2801">
        <v>711</v>
      </c>
      <c r="B2801" s="1">
        <v>45794</v>
      </c>
      <c r="C2801">
        <v>25</v>
      </c>
      <c r="D2801" t="s">
        <v>17</v>
      </c>
      <c r="E2801" t="s">
        <v>15</v>
      </c>
      <c r="F2801" t="s">
        <v>18</v>
      </c>
      <c r="G2801" t="s">
        <v>30</v>
      </c>
      <c r="H2801">
        <v>354</v>
      </c>
      <c r="I2801" s="13">
        <v>7</v>
      </c>
      <c r="J2801">
        <v>0</v>
      </c>
      <c r="K2801">
        <v>0</v>
      </c>
      <c r="L2801">
        <v>0</v>
      </c>
      <c r="M2801">
        <v>0</v>
      </c>
      <c r="O2801">
        <f t="shared" si="43"/>
        <v>5</v>
      </c>
    </row>
    <row r="2802" spans="1:15">
      <c r="A2802">
        <v>1245</v>
      </c>
      <c r="B2802" s="1">
        <v>45794</v>
      </c>
      <c r="C2802">
        <v>23</v>
      </c>
      <c r="D2802" t="s">
        <v>17</v>
      </c>
      <c r="E2802" t="s">
        <v>22</v>
      </c>
      <c r="F2802" t="s">
        <v>16</v>
      </c>
      <c r="H2802">
        <v>324.8</v>
      </c>
      <c r="I2802" s="13">
        <v>7</v>
      </c>
      <c r="J2802">
        <v>0</v>
      </c>
      <c r="K2802">
        <v>0</v>
      </c>
      <c r="L2802">
        <v>0</v>
      </c>
      <c r="M2802">
        <v>0</v>
      </c>
      <c r="O2802">
        <f t="shared" si="43"/>
        <v>5</v>
      </c>
    </row>
    <row r="2803" spans="1:15">
      <c r="A2803">
        <v>4919</v>
      </c>
      <c r="B2803" s="1">
        <v>45794</v>
      </c>
      <c r="C2803">
        <v>53</v>
      </c>
      <c r="D2803" t="s">
        <v>17</v>
      </c>
      <c r="E2803" t="s">
        <v>24</v>
      </c>
      <c r="F2803" t="s">
        <v>16</v>
      </c>
      <c r="H2803">
        <v>314</v>
      </c>
      <c r="I2803" s="13">
        <v>10</v>
      </c>
      <c r="J2803">
        <v>0</v>
      </c>
      <c r="K2803">
        <v>0</v>
      </c>
      <c r="L2803">
        <v>0</v>
      </c>
      <c r="M2803">
        <v>0</v>
      </c>
      <c r="O2803">
        <f t="shared" si="43"/>
        <v>5</v>
      </c>
    </row>
    <row r="2804" spans="1:15">
      <c r="A2804">
        <v>4003</v>
      </c>
      <c r="B2804" s="1">
        <v>45794</v>
      </c>
      <c r="C2804">
        <v>54</v>
      </c>
      <c r="D2804" t="s">
        <v>14</v>
      </c>
      <c r="E2804" t="s">
        <v>20</v>
      </c>
      <c r="F2804" t="s">
        <v>18</v>
      </c>
      <c r="G2804" t="s">
        <v>31</v>
      </c>
      <c r="H2804">
        <v>305.60000000000002</v>
      </c>
      <c r="I2804" s="13">
        <v>4</v>
      </c>
      <c r="J2804">
        <v>0</v>
      </c>
      <c r="K2804">
        <v>0</v>
      </c>
      <c r="L2804">
        <v>0</v>
      </c>
      <c r="M2804">
        <v>0</v>
      </c>
      <c r="O2804">
        <f t="shared" si="43"/>
        <v>5</v>
      </c>
    </row>
    <row r="2805" spans="1:15">
      <c r="A2805">
        <v>4243</v>
      </c>
      <c r="B2805" s="1">
        <v>45794</v>
      </c>
      <c r="C2805">
        <v>51</v>
      </c>
      <c r="D2805" t="s">
        <v>14</v>
      </c>
      <c r="E2805" t="s">
        <v>22</v>
      </c>
      <c r="F2805" t="s">
        <v>16</v>
      </c>
      <c r="H2805">
        <v>241.1</v>
      </c>
      <c r="I2805" s="13">
        <v>2</v>
      </c>
      <c r="J2805">
        <v>0</v>
      </c>
      <c r="K2805">
        <v>0</v>
      </c>
      <c r="L2805">
        <v>0</v>
      </c>
      <c r="M2805">
        <v>0</v>
      </c>
      <c r="O2805">
        <f t="shared" si="43"/>
        <v>5</v>
      </c>
    </row>
    <row r="2806" spans="1:15">
      <c r="A2806">
        <v>1179</v>
      </c>
      <c r="B2806" s="1">
        <v>45794</v>
      </c>
      <c r="C2806">
        <v>18</v>
      </c>
      <c r="D2806" t="s">
        <v>17</v>
      </c>
      <c r="E2806" t="s">
        <v>20</v>
      </c>
      <c r="F2806" t="s">
        <v>16</v>
      </c>
      <c r="H2806">
        <v>210.9</v>
      </c>
      <c r="I2806" s="13">
        <v>5</v>
      </c>
      <c r="J2806">
        <v>0</v>
      </c>
      <c r="K2806">
        <v>0</v>
      </c>
      <c r="L2806">
        <v>0</v>
      </c>
      <c r="M2806">
        <v>0</v>
      </c>
      <c r="O2806">
        <f t="shared" si="43"/>
        <v>5</v>
      </c>
    </row>
    <row r="2807" spans="1:15">
      <c r="A2807">
        <v>2945</v>
      </c>
      <c r="B2807" s="1">
        <v>45794</v>
      </c>
      <c r="C2807">
        <v>23</v>
      </c>
      <c r="D2807" t="s">
        <v>17</v>
      </c>
      <c r="E2807" t="s">
        <v>20</v>
      </c>
      <c r="F2807" t="s">
        <v>21</v>
      </c>
      <c r="H2807">
        <v>207.8</v>
      </c>
      <c r="I2807" s="13">
        <v>6</v>
      </c>
      <c r="J2807">
        <v>0</v>
      </c>
      <c r="K2807">
        <v>0</v>
      </c>
      <c r="L2807">
        <v>0</v>
      </c>
      <c r="M2807">
        <v>0</v>
      </c>
      <c r="O2807">
        <f t="shared" si="43"/>
        <v>5</v>
      </c>
    </row>
    <row r="2808" spans="1:15">
      <c r="A2808">
        <v>1749</v>
      </c>
      <c r="B2808" s="1">
        <v>45794</v>
      </c>
      <c r="C2808">
        <v>25</v>
      </c>
      <c r="D2808" t="s">
        <v>14</v>
      </c>
      <c r="E2808" t="s">
        <v>24</v>
      </c>
      <c r="F2808" t="s">
        <v>18</v>
      </c>
      <c r="G2808" t="s">
        <v>31</v>
      </c>
      <c r="H2808">
        <v>206.8</v>
      </c>
      <c r="I2808" s="13">
        <v>5</v>
      </c>
      <c r="J2808">
        <v>0</v>
      </c>
      <c r="K2808">
        <v>0</v>
      </c>
      <c r="L2808">
        <v>0</v>
      </c>
      <c r="M2808">
        <v>0</v>
      </c>
      <c r="O2808">
        <f t="shared" si="43"/>
        <v>5</v>
      </c>
    </row>
    <row r="2809" spans="1:15">
      <c r="A2809">
        <v>1631</v>
      </c>
      <c r="B2809" s="1">
        <v>45794</v>
      </c>
      <c r="C2809">
        <v>23</v>
      </c>
      <c r="D2809" t="s">
        <v>17</v>
      </c>
      <c r="E2809" t="s">
        <v>20</v>
      </c>
      <c r="F2809" t="s">
        <v>18</v>
      </c>
      <c r="G2809" t="s">
        <v>31</v>
      </c>
      <c r="H2809">
        <v>168.6</v>
      </c>
      <c r="I2809" s="13">
        <v>7</v>
      </c>
      <c r="J2809">
        <v>0</v>
      </c>
      <c r="K2809">
        <v>0</v>
      </c>
      <c r="L2809">
        <v>0</v>
      </c>
      <c r="M2809">
        <v>0</v>
      </c>
      <c r="O2809">
        <f t="shared" si="43"/>
        <v>5</v>
      </c>
    </row>
    <row r="2810" spans="1:15">
      <c r="A2810">
        <v>4574</v>
      </c>
      <c r="B2810" s="1">
        <v>45794</v>
      </c>
      <c r="C2810">
        <v>52</v>
      </c>
      <c r="D2810" t="s">
        <v>14</v>
      </c>
      <c r="E2810" t="s">
        <v>20</v>
      </c>
      <c r="F2810" t="s">
        <v>21</v>
      </c>
      <c r="H2810">
        <v>145</v>
      </c>
      <c r="I2810" s="13">
        <v>4</v>
      </c>
      <c r="J2810">
        <v>0</v>
      </c>
      <c r="K2810">
        <v>0</v>
      </c>
      <c r="L2810">
        <v>0</v>
      </c>
      <c r="M2810">
        <v>0</v>
      </c>
      <c r="O2810">
        <f t="shared" si="43"/>
        <v>5</v>
      </c>
    </row>
    <row r="2811" spans="1:15">
      <c r="A2811">
        <v>2423</v>
      </c>
      <c r="B2811" s="1">
        <v>45794</v>
      </c>
      <c r="C2811">
        <v>46</v>
      </c>
      <c r="D2811" t="s">
        <v>14</v>
      </c>
      <c r="E2811" t="s">
        <v>20</v>
      </c>
      <c r="F2811" t="s">
        <v>16</v>
      </c>
      <c r="H2811">
        <v>132.1</v>
      </c>
      <c r="I2811" s="13">
        <v>5</v>
      </c>
      <c r="J2811">
        <v>0</v>
      </c>
      <c r="K2811">
        <v>0</v>
      </c>
      <c r="L2811">
        <v>0</v>
      </c>
      <c r="M2811">
        <v>0</v>
      </c>
      <c r="O2811">
        <f t="shared" si="43"/>
        <v>5</v>
      </c>
    </row>
    <row r="2812" spans="1:15">
      <c r="A2812">
        <v>3377</v>
      </c>
      <c r="B2812" s="1">
        <v>45794</v>
      </c>
      <c r="C2812">
        <v>38</v>
      </c>
      <c r="D2812" t="s">
        <v>14</v>
      </c>
      <c r="E2812" t="s">
        <v>15</v>
      </c>
      <c r="F2812" t="s">
        <v>23</v>
      </c>
      <c r="H2812">
        <v>108</v>
      </c>
      <c r="I2812" s="13">
        <v>6</v>
      </c>
      <c r="J2812">
        <v>0</v>
      </c>
      <c r="K2812">
        <v>0</v>
      </c>
      <c r="L2812">
        <v>0</v>
      </c>
      <c r="M2812">
        <v>0</v>
      </c>
      <c r="O2812">
        <f t="shared" si="43"/>
        <v>5</v>
      </c>
    </row>
    <row r="2813" spans="1:15">
      <c r="A2813">
        <v>2807</v>
      </c>
      <c r="B2813" s="1">
        <v>45794</v>
      </c>
      <c r="C2813">
        <v>31</v>
      </c>
      <c r="D2813" t="s">
        <v>17</v>
      </c>
      <c r="E2813" t="s">
        <v>24</v>
      </c>
      <c r="F2813" t="s">
        <v>18</v>
      </c>
      <c r="G2813" t="s">
        <v>25</v>
      </c>
      <c r="H2813">
        <v>91.7</v>
      </c>
      <c r="I2813" s="13">
        <v>1</v>
      </c>
      <c r="J2813">
        <v>0</v>
      </c>
      <c r="K2813">
        <v>0</v>
      </c>
      <c r="L2813">
        <v>0</v>
      </c>
      <c r="M2813">
        <v>0</v>
      </c>
      <c r="O2813">
        <f t="shared" si="43"/>
        <v>5</v>
      </c>
    </row>
    <row r="2814" spans="1:15">
      <c r="A2814">
        <v>1668</v>
      </c>
      <c r="B2814" s="1">
        <v>45825</v>
      </c>
      <c r="C2814">
        <v>25</v>
      </c>
      <c r="D2814" t="s">
        <v>14</v>
      </c>
      <c r="E2814" t="s">
        <v>20</v>
      </c>
      <c r="F2814" t="s">
        <v>23</v>
      </c>
      <c r="H2814">
        <v>447.4</v>
      </c>
      <c r="I2814" s="13">
        <v>12</v>
      </c>
      <c r="J2814">
        <v>1</v>
      </c>
      <c r="K2814">
        <v>491</v>
      </c>
      <c r="L2814">
        <v>5</v>
      </c>
      <c r="M2814">
        <v>10</v>
      </c>
      <c r="N2814">
        <v>5</v>
      </c>
      <c r="O2814">
        <f t="shared" si="43"/>
        <v>6</v>
      </c>
    </row>
    <row r="2815" spans="1:15">
      <c r="A2815">
        <v>685</v>
      </c>
      <c r="B2815" s="1">
        <v>45825</v>
      </c>
      <c r="C2815">
        <v>22</v>
      </c>
      <c r="D2815" t="s">
        <v>14</v>
      </c>
      <c r="E2815" t="s">
        <v>15</v>
      </c>
      <c r="F2815" t="s">
        <v>18</v>
      </c>
      <c r="G2815" t="s">
        <v>28</v>
      </c>
      <c r="H2815">
        <v>660.9</v>
      </c>
      <c r="I2815" s="13">
        <v>5</v>
      </c>
      <c r="J2815">
        <v>1</v>
      </c>
      <c r="K2815">
        <v>300</v>
      </c>
      <c r="L2815">
        <v>1</v>
      </c>
      <c r="M2815">
        <v>4</v>
      </c>
      <c r="N2815">
        <v>3</v>
      </c>
      <c r="O2815">
        <f t="shared" si="43"/>
        <v>6</v>
      </c>
    </row>
    <row r="2816" spans="1:15">
      <c r="A2816">
        <v>396</v>
      </c>
      <c r="B2816" s="1">
        <v>45825</v>
      </c>
      <c r="C2816">
        <v>28</v>
      </c>
      <c r="D2816" t="s">
        <v>17</v>
      </c>
      <c r="E2816" t="s">
        <v>20</v>
      </c>
      <c r="F2816" t="s">
        <v>18</v>
      </c>
      <c r="G2816" t="s">
        <v>19</v>
      </c>
      <c r="H2816">
        <v>370.2</v>
      </c>
      <c r="I2816" s="13">
        <v>8</v>
      </c>
      <c r="J2816">
        <v>1</v>
      </c>
      <c r="K2816">
        <v>143.09</v>
      </c>
      <c r="L2816">
        <v>1</v>
      </c>
      <c r="M2816">
        <v>2</v>
      </c>
      <c r="N2816">
        <v>5</v>
      </c>
      <c r="O2816">
        <f t="shared" si="43"/>
        <v>6</v>
      </c>
    </row>
    <row r="2817" spans="1:15">
      <c r="A2817">
        <v>2570</v>
      </c>
      <c r="B2817" s="1">
        <v>45825</v>
      </c>
      <c r="C2817">
        <v>42</v>
      </c>
      <c r="D2817" t="s">
        <v>17</v>
      </c>
      <c r="E2817" t="s">
        <v>15</v>
      </c>
      <c r="F2817" t="s">
        <v>16</v>
      </c>
      <c r="H2817">
        <v>348.9</v>
      </c>
      <c r="I2817" s="13">
        <v>5</v>
      </c>
      <c r="J2817">
        <v>1</v>
      </c>
      <c r="K2817">
        <v>85.48</v>
      </c>
      <c r="L2817">
        <v>3</v>
      </c>
      <c r="M2817">
        <v>6</v>
      </c>
      <c r="N2817">
        <v>3</v>
      </c>
      <c r="O2817">
        <f t="shared" si="43"/>
        <v>6</v>
      </c>
    </row>
    <row r="2818" spans="1:15">
      <c r="A2818">
        <v>4551</v>
      </c>
      <c r="B2818" s="1">
        <v>45825</v>
      </c>
      <c r="C2818">
        <v>49</v>
      </c>
      <c r="D2818" t="s">
        <v>17</v>
      </c>
      <c r="E2818" t="s">
        <v>20</v>
      </c>
      <c r="F2818" t="s">
        <v>21</v>
      </c>
      <c r="H2818">
        <v>1194.9000000000001</v>
      </c>
      <c r="I2818" s="13">
        <v>6</v>
      </c>
      <c r="J2818">
        <v>1</v>
      </c>
      <c r="K2818">
        <v>30.71</v>
      </c>
      <c r="L2818">
        <v>4</v>
      </c>
      <c r="M2818">
        <v>2</v>
      </c>
      <c r="N2818">
        <v>3</v>
      </c>
      <c r="O2818">
        <f t="shared" si="43"/>
        <v>6</v>
      </c>
    </row>
    <row r="2819" spans="1:15">
      <c r="A2819">
        <v>4559</v>
      </c>
      <c r="B2819" s="1">
        <v>45825</v>
      </c>
      <c r="C2819">
        <v>75</v>
      </c>
      <c r="D2819" t="s">
        <v>14</v>
      </c>
      <c r="E2819" t="s">
        <v>15</v>
      </c>
      <c r="F2819" t="s">
        <v>18</v>
      </c>
      <c r="G2819" t="s">
        <v>26</v>
      </c>
      <c r="H2819">
        <v>686.6</v>
      </c>
      <c r="I2819" s="13">
        <v>2</v>
      </c>
      <c r="J2819">
        <v>1</v>
      </c>
      <c r="K2819">
        <v>30.71</v>
      </c>
      <c r="L2819">
        <v>4</v>
      </c>
      <c r="M2819">
        <v>9</v>
      </c>
      <c r="N2819">
        <v>4</v>
      </c>
      <c r="O2819">
        <f t="shared" ref="O2819:O2882" si="44">MONTH(B2819)</f>
        <v>6</v>
      </c>
    </row>
    <row r="2820" spans="1:15">
      <c r="A2820">
        <v>3837</v>
      </c>
      <c r="B2820" s="1">
        <v>45825</v>
      </c>
      <c r="C2820">
        <v>48</v>
      </c>
      <c r="D2820" t="s">
        <v>14</v>
      </c>
      <c r="E2820" t="s">
        <v>20</v>
      </c>
      <c r="F2820" t="s">
        <v>21</v>
      </c>
      <c r="H2820">
        <v>274</v>
      </c>
      <c r="I2820" s="13">
        <v>6</v>
      </c>
      <c r="J2820">
        <v>1</v>
      </c>
      <c r="K2820">
        <v>28.85</v>
      </c>
      <c r="L2820">
        <v>2</v>
      </c>
      <c r="M2820">
        <v>7</v>
      </c>
      <c r="N2820">
        <v>4</v>
      </c>
      <c r="O2820">
        <f t="shared" si="44"/>
        <v>6</v>
      </c>
    </row>
    <row r="2821" spans="1:15">
      <c r="A2821">
        <v>716</v>
      </c>
      <c r="B2821" s="1">
        <v>45825</v>
      </c>
      <c r="C2821">
        <v>20</v>
      </c>
      <c r="D2821" t="s">
        <v>17</v>
      </c>
      <c r="E2821" t="s">
        <v>20</v>
      </c>
      <c r="F2821" t="s">
        <v>16</v>
      </c>
      <c r="H2821">
        <v>800.1</v>
      </c>
      <c r="I2821" s="13">
        <v>2</v>
      </c>
      <c r="J2821">
        <v>1</v>
      </c>
      <c r="K2821">
        <v>15.25</v>
      </c>
      <c r="L2821">
        <v>2</v>
      </c>
      <c r="M2821">
        <v>10</v>
      </c>
      <c r="N2821">
        <v>4</v>
      </c>
      <c r="O2821">
        <f t="shared" si="44"/>
        <v>6</v>
      </c>
    </row>
    <row r="2822" spans="1:15">
      <c r="A2822">
        <v>3440</v>
      </c>
      <c r="B2822" s="1">
        <v>45825</v>
      </c>
      <c r="C2822">
        <v>38</v>
      </c>
      <c r="D2822" t="s">
        <v>17</v>
      </c>
      <c r="E2822" t="s">
        <v>24</v>
      </c>
      <c r="F2822" t="s">
        <v>16</v>
      </c>
      <c r="H2822">
        <v>742.9</v>
      </c>
      <c r="I2822" s="13">
        <v>10</v>
      </c>
      <c r="J2822">
        <v>0</v>
      </c>
      <c r="K2822">
        <v>0</v>
      </c>
      <c r="L2822">
        <v>0</v>
      </c>
      <c r="M2822">
        <v>0</v>
      </c>
      <c r="O2822">
        <f t="shared" si="44"/>
        <v>6</v>
      </c>
    </row>
    <row r="2823" spans="1:15">
      <c r="A2823">
        <v>3776</v>
      </c>
      <c r="B2823" s="1">
        <v>45825</v>
      </c>
      <c r="C2823">
        <v>62</v>
      </c>
      <c r="D2823" t="s">
        <v>17</v>
      </c>
      <c r="E2823" t="s">
        <v>22</v>
      </c>
      <c r="F2823" t="s">
        <v>21</v>
      </c>
      <c r="H2823">
        <v>659.1</v>
      </c>
      <c r="I2823" s="13">
        <v>8</v>
      </c>
      <c r="J2823">
        <v>0</v>
      </c>
      <c r="K2823">
        <v>0</v>
      </c>
      <c r="L2823">
        <v>0</v>
      </c>
      <c r="M2823">
        <v>0</v>
      </c>
      <c r="O2823">
        <f t="shared" si="44"/>
        <v>6</v>
      </c>
    </row>
    <row r="2824" spans="1:15">
      <c r="A2824">
        <v>4094</v>
      </c>
      <c r="B2824" s="1">
        <v>45825</v>
      </c>
      <c r="C2824">
        <v>70</v>
      </c>
      <c r="D2824" t="s">
        <v>17</v>
      </c>
      <c r="E2824" t="s">
        <v>20</v>
      </c>
      <c r="F2824" t="s">
        <v>16</v>
      </c>
      <c r="H2824">
        <v>645.79999999999995</v>
      </c>
      <c r="I2824" s="13">
        <v>7</v>
      </c>
      <c r="J2824">
        <v>0</v>
      </c>
      <c r="K2824">
        <v>0</v>
      </c>
      <c r="L2824">
        <v>0</v>
      </c>
      <c r="M2824">
        <v>0</v>
      </c>
      <c r="O2824">
        <f t="shared" si="44"/>
        <v>6</v>
      </c>
    </row>
    <row r="2825" spans="1:15">
      <c r="A2825">
        <v>1456</v>
      </c>
      <c r="B2825" s="1">
        <v>45825</v>
      </c>
      <c r="C2825">
        <v>29</v>
      </c>
      <c r="D2825" t="s">
        <v>17</v>
      </c>
      <c r="E2825" t="s">
        <v>20</v>
      </c>
      <c r="F2825" t="s">
        <v>16</v>
      </c>
      <c r="H2825">
        <v>480.4</v>
      </c>
      <c r="I2825" s="13">
        <v>5</v>
      </c>
      <c r="J2825">
        <v>0</v>
      </c>
      <c r="K2825">
        <v>0</v>
      </c>
      <c r="L2825">
        <v>0</v>
      </c>
      <c r="M2825">
        <v>0</v>
      </c>
      <c r="O2825">
        <f t="shared" si="44"/>
        <v>6</v>
      </c>
    </row>
    <row r="2826" spans="1:15">
      <c r="A2826">
        <v>113</v>
      </c>
      <c r="B2826" s="1">
        <v>45825</v>
      </c>
      <c r="C2826">
        <v>20</v>
      </c>
      <c r="D2826" t="s">
        <v>17</v>
      </c>
      <c r="E2826" t="s">
        <v>15</v>
      </c>
      <c r="F2826" t="s">
        <v>16</v>
      </c>
      <c r="H2826">
        <v>461.9</v>
      </c>
      <c r="I2826" s="13">
        <v>8</v>
      </c>
      <c r="J2826">
        <v>0</v>
      </c>
      <c r="K2826">
        <v>0</v>
      </c>
      <c r="L2826">
        <v>0</v>
      </c>
      <c r="M2826">
        <v>0</v>
      </c>
      <c r="O2826">
        <f t="shared" si="44"/>
        <v>6</v>
      </c>
    </row>
    <row r="2827" spans="1:15">
      <c r="A2827">
        <v>3439</v>
      </c>
      <c r="B2827" s="1">
        <v>45825</v>
      </c>
      <c r="C2827">
        <v>42</v>
      </c>
      <c r="D2827" t="s">
        <v>17</v>
      </c>
      <c r="E2827" t="s">
        <v>22</v>
      </c>
      <c r="F2827" t="s">
        <v>16</v>
      </c>
      <c r="H2827">
        <v>366.6</v>
      </c>
      <c r="I2827" s="13">
        <v>4</v>
      </c>
      <c r="J2827">
        <v>0</v>
      </c>
      <c r="K2827">
        <v>0</v>
      </c>
      <c r="L2827">
        <v>0</v>
      </c>
      <c r="M2827">
        <v>0</v>
      </c>
      <c r="O2827">
        <f t="shared" si="44"/>
        <v>6</v>
      </c>
    </row>
    <row r="2828" spans="1:15">
      <c r="A2828">
        <v>4734</v>
      </c>
      <c r="B2828" s="1">
        <v>45825</v>
      </c>
      <c r="C2828">
        <v>59</v>
      </c>
      <c r="D2828" t="s">
        <v>17</v>
      </c>
      <c r="E2828" t="s">
        <v>22</v>
      </c>
      <c r="F2828" t="s">
        <v>16</v>
      </c>
      <c r="H2828">
        <v>321.8</v>
      </c>
      <c r="I2828" s="13">
        <v>5</v>
      </c>
      <c r="J2828">
        <v>0</v>
      </c>
      <c r="K2828">
        <v>0</v>
      </c>
      <c r="L2828">
        <v>0</v>
      </c>
      <c r="M2828">
        <v>0</v>
      </c>
      <c r="O2828">
        <f t="shared" si="44"/>
        <v>6</v>
      </c>
    </row>
    <row r="2829" spans="1:15">
      <c r="A2829">
        <v>2950</v>
      </c>
      <c r="B2829" s="1">
        <v>45825</v>
      </c>
      <c r="C2829">
        <v>63</v>
      </c>
      <c r="D2829" t="s">
        <v>14</v>
      </c>
      <c r="E2829" t="s">
        <v>24</v>
      </c>
      <c r="F2829" t="s">
        <v>16</v>
      </c>
      <c r="H2829">
        <v>311</v>
      </c>
      <c r="I2829" s="13">
        <v>11</v>
      </c>
      <c r="J2829">
        <v>0</v>
      </c>
      <c r="K2829">
        <v>0</v>
      </c>
      <c r="L2829">
        <v>0</v>
      </c>
      <c r="M2829">
        <v>0</v>
      </c>
      <c r="O2829">
        <f t="shared" si="44"/>
        <v>6</v>
      </c>
    </row>
    <row r="2830" spans="1:15">
      <c r="A2830">
        <v>2305</v>
      </c>
      <c r="B2830" s="1">
        <v>45825</v>
      </c>
      <c r="C2830">
        <v>39</v>
      </c>
      <c r="D2830" t="s">
        <v>17</v>
      </c>
      <c r="E2830" t="s">
        <v>20</v>
      </c>
      <c r="F2830" t="s">
        <v>18</v>
      </c>
      <c r="G2830" t="s">
        <v>25</v>
      </c>
      <c r="H2830">
        <v>268</v>
      </c>
      <c r="I2830" s="13">
        <v>10</v>
      </c>
      <c r="J2830">
        <v>0</v>
      </c>
      <c r="K2830">
        <v>0</v>
      </c>
      <c r="L2830">
        <v>0</v>
      </c>
      <c r="M2830">
        <v>0</v>
      </c>
      <c r="O2830">
        <f t="shared" si="44"/>
        <v>6</v>
      </c>
    </row>
    <row r="2831" spans="1:15">
      <c r="A2831">
        <v>1184</v>
      </c>
      <c r="B2831" s="1">
        <v>45825</v>
      </c>
      <c r="C2831">
        <v>22</v>
      </c>
      <c r="D2831" t="s">
        <v>27</v>
      </c>
      <c r="E2831" t="s">
        <v>22</v>
      </c>
      <c r="F2831" t="s">
        <v>18</v>
      </c>
      <c r="G2831" t="s">
        <v>26</v>
      </c>
      <c r="H2831">
        <v>261.60000000000002</v>
      </c>
      <c r="I2831" s="13">
        <v>7</v>
      </c>
      <c r="J2831">
        <v>0</v>
      </c>
      <c r="K2831">
        <v>0</v>
      </c>
      <c r="L2831">
        <v>0</v>
      </c>
      <c r="M2831">
        <v>0</v>
      </c>
      <c r="O2831">
        <f t="shared" si="44"/>
        <v>6</v>
      </c>
    </row>
    <row r="2832" spans="1:15">
      <c r="A2832">
        <v>3687</v>
      </c>
      <c r="B2832" s="1">
        <v>45825</v>
      </c>
      <c r="C2832">
        <v>22</v>
      </c>
      <c r="D2832" t="s">
        <v>17</v>
      </c>
      <c r="E2832" t="s">
        <v>22</v>
      </c>
      <c r="F2832" t="s">
        <v>16</v>
      </c>
      <c r="H2832">
        <v>249.5</v>
      </c>
      <c r="I2832" s="13">
        <v>6</v>
      </c>
      <c r="J2832">
        <v>0</v>
      </c>
      <c r="K2832">
        <v>0</v>
      </c>
      <c r="L2832">
        <v>0</v>
      </c>
      <c r="M2832">
        <v>0</v>
      </c>
      <c r="O2832">
        <f t="shared" si="44"/>
        <v>6</v>
      </c>
    </row>
    <row r="2833" spans="1:15">
      <c r="A2833">
        <v>797</v>
      </c>
      <c r="B2833" s="1">
        <v>45825</v>
      </c>
      <c r="C2833">
        <v>18</v>
      </c>
      <c r="D2833" t="s">
        <v>17</v>
      </c>
      <c r="E2833" t="s">
        <v>22</v>
      </c>
      <c r="F2833" t="s">
        <v>21</v>
      </c>
      <c r="H2833">
        <v>218</v>
      </c>
      <c r="I2833" s="13">
        <v>6</v>
      </c>
      <c r="J2833">
        <v>0</v>
      </c>
      <c r="K2833">
        <v>0</v>
      </c>
      <c r="L2833">
        <v>0</v>
      </c>
      <c r="M2833">
        <v>0</v>
      </c>
      <c r="O2833">
        <f t="shared" si="44"/>
        <v>6</v>
      </c>
    </row>
    <row r="2834" spans="1:15">
      <c r="A2834">
        <v>1839</v>
      </c>
      <c r="B2834" s="1">
        <v>45825</v>
      </c>
      <c r="C2834">
        <v>25</v>
      </c>
      <c r="D2834" t="s">
        <v>17</v>
      </c>
      <c r="E2834" t="s">
        <v>22</v>
      </c>
      <c r="F2834" t="s">
        <v>21</v>
      </c>
      <c r="H2834">
        <v>213.8</v>
      </c>
      <c r="I2834" s="13">
        <v>8</v>
      </c>
      <c r="J2834">
        <v>0</v>
      </c>
      <c r="K2834">
        <v>0</v>
      </c>
      <c r="L2834">
        <v>0</v>
      </c>
      <c r="M2834">
        <v>0</v>
      </c>
      <c r="O2834">
        <f t="shared" si="44"/>
        <v>6</v>
      </c>
    </row>
    <row r="2835" spans="1:15">
      <c r="A2835">
        <v>3726</v>
      </c>
      <c r="B2835" s="1">
        <v>45825</v>
      </c>
      <c r="C2835">
        <v>31</v>
      </c>
      <c r="D2835" t="s">
        <v>14</v>
      </c>
      <c r="E2835" t="s">
        <v>20</v>
      </c>
      <c r="F2835" t="s">
        <v>16</v>
      </c>
      <c r="H2835">
        <v>157</v>
      </c>
      <c r="I2835" s="13">
        <v>9</v>
      </c>
      <c r="J2835">
        <v>0</v>
      </c>
      <c r="K2835">
        <v>0</v>
      </c>
      <c r="L2835">
        <v>0</v>
      </c>
      <c r="M2835">
        <v>0</v>
      </c>
      <c r="O2835">
        <f t="shared" si="44"/>
        <v>6</v>
      </c>
    </row>
    <row r="2836" spans="1:15">
      <c r="A2836">
        <v>3986</v>
      </c>
      <c r="B2836" s="1">
        <v>45825</v>
      </c>
      <c r="C2836">
        <v>51</v>
      </c>
      <c r="D2836" t="s">
        <v>17</v>
      </c>
      <c r="E2836" t="s">
        <v>20</v>
      </c>
      <c r="F2836" t="s">
        <v>23</v>
      </c>
      <c r="H2836">
        <v>151.19999999999999</v>
      </c>
      <c r="I2836" s="13">
        <v>9</v>
      </c>
      <c r="J2836">
        <v>0</v>
      </c>
      <c r="K2836">
        <v>0</v>
      </c>
      <c r="L2836">
        <v>0</v>
      </c>
      <c r="M2836">
        <v>0</v>
      </c>
      <c r="O2836">
        <f t="shared" si="44"/>
        <v>6</v>
      </c>
    </row>
    <row r="2837" spans="1:15">
      <c r="A2837">
        <v>3699</v>
      </c>
      <c r="B2837" s="1">
        <v>45825</v>
      </c>
      <c r="C2837">
        <v>18</v>
      </c>
      <c r="D2837" t="s">
        <v>14</v>
      </c>
      <c r="E2837" t="s">
        <v>15</v>
      </c>
      <c r="F2837" t="s">
        <v>16</v>
      </c>
      <c r="H2837">
        <v>144.19999999999999</v>
      </c>
      <c r="I2837" s="13">
        <v>6</v>
      </c>
      <c r="J2837">
        <v>0</v>
      </c>
      <c r="K2837">
        <v>0</v>
      </c>
      <c r="L2837">
        <v>0</v>
      </c>
      <c r="M2837">
        <v>0</v>
      </c>
      <c r="O2837">
        <f t="shared" si="44"/>
        <v>6</v>
      </c>
    </row>
    <row r="2838" spans="1:15">
      <c r="A2838">
        <v>513</v>
      </c>
      <c r="B2838" s="1">
        <v>45825</v>
      </c>
      <c r="C2838">
        <v>31</v>
      </c>
      <c r="D2838" t="s">
        <v>17</v>
      </c>
      <c r="E2838" t="s">
        <v>22</v>
      </c>
      <c r="F2838" t="s">
        <v>23</v>
      </c>
      <c r="H2838">
        <v>142.5</v>
      </c>
      <c r="I2838" s="13">
        <v>4</v>
      </c>
      <c r="J2838">
        <v>0</v>
      </c>
      <c r="K2838">
        <v>0</v>
      </c>
      <c r="L2838">
        <v>0</v>
      </c>
      <c r="M2838">
        <v>0</v>
      </c>
      <c r="O2838">
        <f t="shared" si="44"/>
        <v>6</v>
      </c>
    </row>
    <row r="2839" spans="1:15">
      <c r="A2839">
        <v>3133</v>
      </c>
      <c r="B2839" s="1">
        <v>45825</v>
      </c>
      <c r="C2839">
        <v>41</v>
      </c>
      <c r="D2839" t="s">
        <v>14</v>
      </c>
      <c r="E2839" t="s">
        <v>22</v>
      </c>
      <c r="F2839" t="s">
        <v>18</v>
      </c>
      <c r="G2839" t="s">
        <v>25</v>
      </c>
      <c r="H2839">
        <v>138.80000000000001</v>
      </c>
      <c r="I2839" s="13">
        <v>6</v>
      </c>
      <c r="J2839">
        <v>0</v>
      </c>
      <c r="K2839">
        <v>0</v>
      </c>
      <c r="L2839">
        <v>0</v>
      </c>
      <c r="M2839">
        <v>0</v>
      </c>
      <c r="O2839">
        <f t="shared" si="44"/>
        <v>6</v>
      </c>
    </row>
    <row r="2840" spans="1:15">
      <c r="A2840">
        <v>246</v>
      </c>
      <c r="B2840" s="1">
        <v>45825</v>
      </c>
      <c r="C2840">
        <v>21</v>
      </c>
      <c r="D2840" t="s">
        <v>17</v>
      </c>
      <c r="E2840" t="s">
        <v>22</v>
      </c>
      <c r="F2840" t="s">
        <v>16</v>
      </c>
      <c r="H2840">
        <v>97.7</v>
      </c>
      <c r="I2840" s="13">
        <v>8</v>
      </c>
      <c r="J2840">
        <v>0</v>
      </c>
      <c r="K2840">
        <v>0</v>
      </c>
      <c r="L2840">
        <v>0</v>
      </c>
      <c r="M2840">
        <v>0</v>
      </c>
      <c r="O2840">
        <f t="shared" si="44"/>
        <v>6</v>
      </c>
    </row>
    <row r="2841" spans="1:15">
      <c r="A2841">
        <v>1956</v>
      </c>
      <c r="B2841" s="1">
        <v>45825</v>
      </c>
      <c r="C2841">
        <v>44</v>
      </c>
      <c r="D2841" t="s">
        <v>17</v>
      </c>
      <c r="E2841" t="s">
        <v>15</v>
      </c>
      <c r="F2841" t="s">
        <v>18</v>
      </c>
      <c r="G2841" t="s">
        <v>26</v>
      </c>
      <c r="H2841">
        <v>86.1</v>
      </c>
      <c r="I2841" s="13">
        <v>4</v>
      </c>
      <c r="J2841">
        <v>0</v>
      </c>
      <c r="K2841">
        <v>0</v>
      </c>
      <c r="L2841">
        <v>0</v>
      </c>
      <c r="M2841">
        <v>0</v>
      </c>
      <c r="O2841">
        <f t="shared" si="44"/>
        <v>6</v>
      </c>
    </row>
    <row r="2842" spans="1:15">
      <c r="A2842">
        <v>1576</v>
      </c>
      <c r="B2842" s="1">
        <v>45675</v>
      </c>
      <c r="C2842">
        <v>28</v>
      </c>
      <c r="D2842" t="s">
        <v>17</v>
      </c>
      <c r="E2842" t="s">
        <v>24</v>
      </c>
      <c r="F2842" t="s">
        <v>16</v>
      </c>
      <c r="H2842">
        <v>216.7</v>
      </c>
      <c r="I2842" s="13">
        <v>4</v>
      </c>
      <c r="J2842">
        <v>1</v>
      </c>
      <c r="K2842">
        <v>327.44</v>
      </c>
      <c r="L2842">
        <v>3</v>
      </c>
      <c r="M2842">
        <v>4</v>
      </c>
      <c r="N2842">
        <v>5</v>
      </c>
      <c r="O2842">
        <f t="shared" si="44"/>
        <v>1</v>
      </c>
    </row>
    <row r="2843" spans="1:15">
      <c r="A2843">
        <v>1629</v>
      </c>
      <c r="B2843" s="1">
        <v>45675</v>
      </c>
      <c r="C2843">
        <v>25</v>
      </c>
      <c r="D2843" t="s">
        <v>14</v>
      </c>
      <c r="E2843" t="s">
        <v>22</v>
      </c>
      <c r="F2843" t="s">
        <v>16</v>
      </c>
      <c r="H2843">
        <v>339.3</v>
      </c>
      <c r="I2843" s="13">
        <v>8</v>
      </c>
      <c r="J2843">
        <v>1</v>
      </c>
      <c r="K2843">
        <v>154.99</v>
      </c>
      <c r="L2843">
        <v>2</v>
      </c>
      <c r="M2843">
        <v>6</v>
      </c>
      <c r="N2843">
        <v>4</v>
      </c>
      <c r="O2843">
        <f t="shared" si="44"/>
        <v>1</v>
      </c>
    </row>
    <row r="2844" spans="1:15">
      <c r="A2844">
        <v>2828</v>
      </c>
      <c r="B2844" s="1">
        <v>45675</v>
      </c>
      <c r="C2844">
        <v>30</v>
      </c>
      <c r="D2844" t="s">
        <v>14</v>
      </c>
      <c r="E2844" t="s">
        <v>24</v>
      </c>
      <c r="F2844" t="s">
        <v>16</v>
      </c>
      <c r="H2844">
        <v>322.39999999999998</v>
      </c>
      <c r="I2844" s="13">
        <v>8</v>
      </c>
      <c r="J2844">
        <v>1</v>
      </c>
      <c r="K2844">
        <v>139.44</v>
      </c>
      <c r="L2844">
        <v>3</v>
      </c>
      <c r="M2844">
        <v>13</v>
      </c>
      <c r="N2844">
        <v>4</v>
      </c>
      <c r="O2844">
        <f t="shared" si="44"/>
        <v>1</v>
      </c>
    </row>
    <row r="2845" spans="1:15">
      <c r="A2845">
        <v>4768</v>
      </c>
      <c r="B2845" s="1">
        <v>45675</v>
      </c>
      <c r="C2845">
        <v>41</v>
      </c>
      <c r="D2845" t="s">
        <v>17</v>
      </c>
      <c r="E2845" t="s">
        <v>22</v>
      </c>
      <c r="F2845" t="s">
        <v>16</v>
      </c>
      <c r="H2845">
        <v>479.1</v>
      </c>
      <c r="I2845" s="13">
        <v>3</v>
      </c>
      <c r="J2845">
        <v>1</v>
      </c>
      <c r="K2845">
        <v>96.85</v>
      </c>
      <c r="L2845">
        <v>2</v>
      </c>
      <c r="M2845">
        <v>6</v>
      </c>
      <c r="N2845">
        <v>4</v>
      </c>
      <c r="O2845">
        <f t="shared" si="44"/>
        <v>1</v>
      </c>
    </row>
    <row r="2846" spans="1:15">
      <c r="A2846">
        <v>3987</v>
      </c>
      <c r="B2846" s="1">
        <v>45675</v>
      </c>
      <c r="C2846">
        <v>53</v>
      </c>
      <c r="D2846" t="s">
        <v>17</v>
      </c>
      <c r="E2846" t="s">
        <v>22</v>
      </c>
      <c r="F2846" t="s">
        <v>18</v>
      </c>
      <c r="G2846" t="s">
        <v>28</v>
      </c>
      <c r="H2846">
        <v>381.5</v>
      </c>
      <c r="I2846" s="13">
        <v>8</v>
      </c>
      <c r="J2846">
        <v>1</v>
      </c>
      <c r="K2846">
        <v>90.37</v>
      </c>
      <c r="L2846">
        <v>2</v>
      </c>
      <c r="M2846">
        <v>6</v>
      </c>
      <c r="N2846">
        <v>5</v>
      </c>
      <c r="O2846">
        <f t="shared" si="44"/>
        <v>1</v>
      </c>
    </row>
    <row r="2847" spans="1:15">
      <c r="A2847">
        <v>1763</v>
      </c>
      <c r="B2847" s="1">
        <v>45675</v>
      </c>
      <c r="C2847">
        <v>32</v>
      </c>
      <c r="D2847" t="s">
        <v>14</v>
      </c>
      <c r="E2847" t="s">
        <v>24</v>
      </c>
      <c r="F2847" t="s">
        <v>18</v>
      </c>
      <c r="G2847" t="s">
        <v>30</v>
      </c>
      <c r="H2847">
        <v>243.1</v>
      </c>
      <c r="I2847" s="13">
        <v>6</v>
      </c>
      <c r="J2847">
        <v>1</v>
      </c>
      <c r="K2847">
        <v>45.85</v>
      </c>
      <c r="L2847">
        <v>1</v>
      </c>
      <c r="M2847">
        <v>4</v>
      </c>
      <c r="N2847">
        <v>4</v>
      </c>
      <c r="O2847">
        <f t="shared" si="44"/>
        <v>1</v>
      </c>
    </row>
    <row r="2848" spans="1:15">
      <c r="A2848">
        <v>1810</v>
      </c>
      <c r="B2848" s="1">
        <v>45675</v>
      </c>
      <c r="C2848">
        <v>25</v>
      </c>
      <c r="D2848" t="s">
        <v>14</v>
      </c>
      <c r="E2848" t="s">
        <v>15</v>
      </c>
      <c r="F2848" t="s">
        <v>16</v>
      </c>
      <c r="H2848">
        <v>433.4</v>
      </c>
      <c r="I2848" s="13">
        <v>8</v>
      </c>
      <c r="J2848">
        <v>1</v>
      </c>
      <c r="K2848">
        <v>28.78</v>
      </c>
      <c r="L2848">
        <v>1</v>
      </c>
      <c r="M2848">
        <v>12</v>
      </c>
      <c r="N2848">
        <v>4</v>
      </c>
      <c r="O2848">
        <f t="shared" si="44"/>
        <v>1</v>
      </c>
    </row>
    <row r="2849" spans="1:15">
      <c r="A2849">
        <v>340</v>
      </c>
      <c r="B2849" s="1">
        <v>45675</v>
      </c>
      <c r="C2849">
        <v>18</v>
      </c>
      <c r="D2849" t="s">
        <v>27</v>
      </c>
      <c r="E2849" t="s">
        <v>20</v>
      </c>
      <c r="F2849" t="s">
        <v>16</v>
      </c>
      <c r="H2849">
        <v>1151.4000000000001</v>
      </c>
      <c r="I2849" s="13">
        <v>5</v>
      </c>
      <c r="J2849">
        <v>1</v>
      </c>
      <c r="K2849">
        <v>19.329999999999998</v>
      </c>
      <c r="L2849">
        <v>5</v>
      </c>
      <c r="M2849">
        <v>13</v>
      </c>
      <c r="N2849">
        <v>5</v>
      </c>
      <c r="O2849">
        <f t="shared" si="44"/>
        <v>1</v>
      </c>
    </row>
    <row r="2850" spans="1:15">
      <c r="A2850">
        <v>38</v>
      </c>
      <c r="B2850" s="1">
        <v>45675</v>
      </c>
      <c r="C2850">
        <v>20</v>
      </c>
      <c r="D2850" t="s">
        <v>17</v>
      </c>
      <c r="E2850" t="s">
        <v>24</v>
      </c>
      <c r="F2850" t="s">
        <v>23</v>
      </c>
      <c r="H2850">
        <v>658.4</v>
      </c>
      <c r="I2850" s="13">
        <v>6</v>
      </c>
      <c r="J2850">
        <v>0</v>
      </c>
      <c r="K2850">
        <v>0</v>
      </c>
      <c r="L2850">
        <v>0</v>
      </c>
      <c r="M2850">
        <v>0</v>
      </c>
      <c r="O2850">
        <f t="shared" si="44"/>
        <v>1</v>
      </c>
    </row>
    <row r="2851" spans="1:15">
      <c r="A2851">
        <v>889</v>
      </c>
      <c r="B2851" s="1">
        <v>45675</v>
      </c>
      <c r="C2851">
        <v>29</v>
      </c>
      <c r="D2851" t="s">
        <v>17</v>
      </c>
      <c r="E2851" t="s">
        <v>22</v>
      </c>
      <c r="F2851" t="s">
        <v>18</v>
      </c>
      <c r="G2851" t="s">
        <v>29</v>
      </c>
      <c r="H2851">
        <v>657.1</v>
      </c>
      <c r="I2851" s="13">
        <v>11</v>
      </c>
      <c r="J2851">
        <v>0</v>
      </c>
      <c r="K2851">
        <v>0</v>
      </c>
      <c r="L2851">
        <v>0</v>
      </c>
      <c r="M2851">
        <v>0</v>
      </c>
      <c r="O2851">
        <f t="shared" si="44"/>
        <v>1</v>
      </c>
    </row>
    <row r="2852" spans="1:15">
      <c r="A2852">
        <v>4421</v>
      </c>
      <c r="B2852" s="1">
        <v>45675</v>
      </c>
      <c r="C2852">
        <v>37</v>
      </c>
      <c r="D2852" t="s">
        <v>17</v>
      </c>
      <c r="E2852" t="s">
        <v>22</v>
      </c>
      <c r="F2852" t="s">
        <v>16</v>
      </c>
      <c r="H2852">
        <v>523.70000000000005</v>
      </c>
      <c r="I2852" s="13">
        <v>6</v>
      </c>
      <c r="J2852">
        <v>0</v>
      </c>
      <c r="K2852">
        <v>0</v>
      </c>
      <c r="L2852">
        <v>0</v>
      </c>
      <c r="M2852">
        <v>0</v>
      </c>
      <c r="O2852">
        <f t="shared" si="44"/>
        <v>1</v>
      </c>
    </row>
    <row r="2853" spans="1:15">
      <c r="A2853">
        <v>4168</v>
      </c>
      <c r="B2853" s="1">
        <v>45675</v>
      </c>
      <c r="C2853">
        <v>54</v>
      </c>
      <c r="D2853" t="s">
        <v>17</v>
      </c>
      <c r="E2853" t="s">
        <v>20</v>
      </c>
      <c r="F2853" t="s">
        <v>18</v>
      </c>
      <c r="G2853" t="s">
        <v>31</v>
      </c>
      <c r="H2853">
        <v>299.8</v>
      </c>
      <c r="I2853" s="13">
        <v>5</v>
      </c>
      <c r="J2853">
        <v>0</v>
      </c>
      <c r="K2853">
        <v>0</v>
      </c>
      <c r="L2853">
        <v>0</v>
      </c>
      <c r="M2853">
        <v>0</v>
      </c>
      <c r="O2853">
        <f t="shared" si="44"/>
        <v>1</v>
      </c>
    </row>
    <row r="2854" spans="1:15">
      <c r="A2854">
        <v>4428</v>
      </c>
      <c r="B2854" s="1">
        <v>45675</v>
      </c>
      <c r="C2854">
        <v>52</v>
      </c>
      <c r="D2854" t="s">
        <v>14</v>
      </c>
      <c r="E2854" t="s">
        <v>15</v>
      </c>
      <c r="F2854" t="s">
        <v>16</v>
      </c>
      <c r="H2854">
        <v>192.8</v>
      </c>
      <c r="I2854" s="13">
        <v>3</v>
      </c>
      <c r="J2854">
        <v>0</v>
      </c>
      <c r="K2854">
        <v>0</v>
      </c>
      <c r="L2854">
        <v>0</v>
      </c>
      <c r="M2854">
        <v>0</v>
      </c>
      <c r="O2854">
        <f t="shared" si="44"/>
        <v>1</v>
      </c>
    </row>
    <row r="2855" spans="1:15">
      <c r="A2855">
        <v>4170</v>
      </c>
      <c r="B2855" s="1">
        <v>45675</v>
      </c>
      <c r="C2855">
        <v>31</v>
      </c>
      <c r="D2855" t="s">
        <v>14</v>
      </c>
      <c r="E2855" t="s">
        <v>20</v>
      </c>
      <c r="F2855" t="s">
        <v>16</v>
      </c>
      <c r="H2855">
        <v>176.9</v>
      </c>
      <c r="I2855" s="13">
        <v>4</v>
      </c>
      <c r="J2855">
        <v>0</v>
      </c>
      <c r="K2855">
        <v>0</v>
      </c>
      <c r="L2855">
        <v>0</v>
      </c>
      <c r="M2855">
        <v>0</v>
      </c>
      <c r="O2855">
        <f t="shared" si="44"/>
        <v>1</v>
      </c>
    </row>
    <row r="2856" spans="1:15">
      <c r="A2856">
        <v>1891</v>
      </c>
      <c r="B2856" s="1">
        <v>45675</v>
      </c>
      <c r="C2856">
        <v>26</v>
      </c>
      <c r="D2856" t="s">
        <v>14</v>
      </c>
      <c r="E2856" t="s">
        <v>20</v>
      </c>
      <c r="F2856" t="s">
        <v>18</v>
      </c>
      <c r="G2856" t="s">
        <v>28</v>
      </c>
      <c r="H2856">
        <v>162.9</v>
      </c>
      <c r="I2856" s="13">
        <v>5</v>
      </c>
      <c r="J2856">
        <v>0</v>
      </c>
      <c r="K2856">
        <v>0</v>
      </c>
      <c r="L2856">
        <v>0</v>
      </c>
      <c r="M2856">
        <v>0</v>
      </c>
      <c r="O2856">
        <f t="shared" si="44"/>
        <v>1</v>
      </c>
    </row>
    <row r="2857" spans="1:15">
      <c r="A2857">
        <v>260</v>
      </c>
      <c r="B2857" s="1">
        <v>45675</v>
      </c>
      <c r="C2857">
        <v>20</v>
      </c>
      <c r="D2857" t="s">
        <v>14</v>
      </c>
      <c r="E2857" t="s">
        <v>22</v>
      </c>
      <c r="F2857" t="s">
        <v>18</v>
      </c>
      <c r="G2857" t="s">
        <v>25</v>
      </c>
      <c r="H2857">
        <v>101.1</v>
      </c>
      <c r="I2857" s="13">
        <v>5</v>
      </c>
      <c r="J2857">
        <v>0</v>
      </c>
      <c r="K2857">
        <v>0</v>
      </c>
      <c r="L2857">
        <v>0</v>
      </c>
      <c r="M2857">
        <v>0</v>
      </c>
      <c r="O2857">
        <f t="shared" si="44"/>
        <v>1</v>
      </c>
    </row>
    <row r="2858" spans="1:15">
      <c r="A2858">
        <v>4389</v>
      </c>
      <c r="B2858" s="1">
        <v>45675</v>
      </c>
      <c r="C2858">
        <v>48</v>
      </c>
      <c r="D2858" t="s">
        <v>14</v>
      </c>
      <c r="E2858" t="s">
        <v>22</v>
      </c>
      <c r="F2858" t="s">
        <v>16</v>
      </c>
      <c r="H2858">
        <v>91.5</v>
      </c>
      <c r="I2858" s="13">
        <v>5</v>
      </c>
      <c r="J2858">
        <v>0</v>
      </c>
      <c r="K2858">
        <v>0</v>
      </c>
      <c r="L2858">
        <v>0</v>
      </c>
      <c r="M2858">
        <v>0</v>
      </c>
      <c r="O2858">
        <f t="shared" si="44"/>
        <v>1</v>
      </c>
    </row>
    <row r="2859" spans="1:15">
      <c r="A2859">
        <v>2223</v>
      </c>
      <c r="B2859" s="1">
        <v>45675</v>
      </c>
      <c r="C2859">
        <v>48</v>
      </c>
      <c r="D2859" t="s">
        <v>14</v>
      </c>
      <c r="E2859" t="s">
        <v>15</v>
      </c>
      <c r="F2859" t="s">
        <v>23</v>
      </c>
      <c r="H2859">
        <v>90.2</v>
      </c>
      <c r="I2859" s="13">
        <v>12</v>
      </c>
      <c r="J2859">
        <v>0</v>
      </c>
      <c r="K2859">
        <v>0</v>
      </c>
      <c r="L2859">
        <v>0</v>
      </c>
      <c r="M2859">
        <v>0</v>
      </c>
      <c r="O2859">
        <f t="shared" si="44"/>
        <v>1</v>
      </c>
    </row>
    <row r="2860" spans="1:15">
      <c r="A2860">
        <v>1568</v>
      </c>
      <c r="B2860" s="1">
        <v>45675</v>
      </c>
      <c r="C2860">
        <v>24</v>
      </c>
      <c r="D2860" t="s">
        <v>17</v>
      </c>
      <c r="E2860" t="s">
        <v>22</v>
      </c>
      <c r="F2860" t="s">
        <v>18</v>
      </c>
      <c r="G2860" t="s">
        <v>25</v>
      </c>
      <c r="H2860">
        <v>56.4</v>
      </c>
      <c r="I2860" s="13">
        <v>9</v>
      </c>
      <c r="J2860">
        <v>0</v>
      </c>
      <c r="K2860">
        <v>0</v>
      </c>
      <c r="L2860">
        <v>0</v>
      </c>
      <c r="M2860">
        <v>0</v>
      </c>
      <c r="O2860">
        <f t="shared" si="44"/>
        <v>1</v>
      </c>
    </row>
    <row r="2861" spans="1:15">
      <c r="A2861">
        <v>3402</v>
      </c>
      <c r="B2861" s="1">
        <v>45675</v>
      </c>
      <c r="C2861">
        <v>28</v>
      </c>
      <c r="D2861" t="s">
        <v>14</v>
      </c>
      <c r="E2861" t="s">
        <v>15</v>
      </c>
      <c r="F2861" t="s">
        <v>16</v>
      </c>
      <c r="H2861">
        <v>36.200000000000003</v>
      </c>
      <c r="I2861" s="13">
        <v>4</v>
      </c>
      <c r="J2861">
        <v>0</v>
      </c>
      <c r="K2861">
        <v>0</v>
      </c>
      <c r="L2861">
        <v>0</v>
      </c>
      <c r="M2861">
        <v>0</v>
      </c>
      <c r="O2861">
        <f t="shared" si="44"/>
        <v>1</v>
      </c>
    </row>
    <row r="2862" spans="1:15">
      <c r="A2862">
        <v>912</v>
      </c>
      <c r="B2862" s="1">
        <v>45706</v>
      </c>
      <c r="C2862">
        <v>26</v>
      </c>
      <c r="D2862" t="s">
        <v>14</v>
      </c>
      <c r="E2862" t="s">
        <v>22</v>
      </c>
      <c r="F2862" t="s">
        <v>23</v>
      </c>
      <c r="H2862">
        <v>54.8</v>
      </c>
      <c r="I2862" s="13">
        <v>3</v>
      </c>
      <c r="J2862">
        <v>1</v>
      </c>
      <c r="K2862">
        <v>275.45999999999998</v>
      </c>
      <c r="L2862">
        <v>5</v>
      </c>
      <c r="M2862">
        <v>4</v>
      </c>
      <c r="N2862">
        <v>4</v>
      </c>
      <c r="O2862">
        <f t="shared" si="44"/>
        <v>2</v>
      </c>
    </row>
    <row r="2863" spans="1:15">
      <c r="A2863">
        <v>4531</v>
      </c>
      <c r="B2863" s="1">
        <v>45706</v>
      </c>
      <c r="C2863">
        <v>43</v>
      </c>
      <c r="D2863" t="s">
        <v>14</v>
      </c>
      <c r="E2863" t="s">
        <v>20</v>
      </c>
      <c r="F2863" t="s">
        <v>18</v>
      </c>
      <c r="G2863" t="s">
        <v>26</v>
      </c>
      <c r="H2863">
        <v>89.5</v>
      </c>
      <c r="I2863" s="13">
        <v>8</v>
      </c>
      <c r="J2863">
        <v>1</v>
      </c>
      <c r="K2863">
        <v>172.19</v>
      </c>
      <c r="L2863">
        <v>3</v>
      </c>
      <c r="M2863">
        <v>12</v>
      </c>
      <c r="N2863">
        <v>5</v>
      </c>
      <c r="O2863">
        <f t="shared" si="44"/>
        <v>2</v>
      </c>
    </row>
    <row r="2864" spans="1:15">
      <c r="A2864">
        <v>4681</v>
      </c>
      <c r="B2864" s="1">
        <v>45706</v>
      </c>
      <c r="C2864">
        <v>47</v>
      </c>
      <c r="D2864" t="s">
        <v>14</v>
      </c>
      <c r="E2864" t="s">
        <v>22</v>
      </c>
      <c r="F2864" t="s">
        <v>18</v>
      </c>
      <c r="G2864" t="s">
        <v>30</v>
      </c>
      <c r="H2864">
        <v>237.9</v>
      </c>
      <c r="I2864" s="13">
        <v>8</v>
      </c>
      <c r="J2864">
        <v>1</v>
      </c>
      <c r="K2864">
        <v>143.28</v>
      </c>
      <c r="L2864">
        <v>2</v>
      </c>
      <c r="M2864">
        <v>5</v>
      </c>
      <c r="N2864">
        <v>4</v>
      </c>
      <c r="O2864">
        <f t="shared" si="44"/>
        <v>2</v>
      </c>
    </row>
    <row r="2865" spans="1:15">
      <c r="A2865">
        <v>1413</v>
      </c>
      <c r="B2865" s="1">
        <v>45706</v>
      </c>
      <c r="C2865">
        <v>22</v>
      </c>
      <c r="D2865" t="s">
        <v>14</v>
      </c>
      <c r="E2865" t="s">
        <v>22</v>
      </c>
      <c r="F2865" t="s">
        <v>18</v>
      </c>
      <c r="G2865" t="s">
        <v>30</v>
      </c>
      <c r="H2865">
        <v>639.6</v>
      </c>
      <c r="I2865" s="13">
        <v>8</v>
      </c>
      <c r="J2865">
        <v>1</v>
      </c>
      <c r="K2865">
        <v>121.24</v>
      </c>
      <c r="L2865">
        <v>4</v>
      </c>
      <c r="M2865">
        <v>6</v>
      </c>
      <c r="N2865">
        <v>4</v>
      </c>
      <c r="O2865">
        <f t="shared" si="44"/>
        <v>2</v>
      </c>
    </row>
    <row r="2866" spans="1:15">
      <c r="A2866">
        <v>310</v>
      </c>
      <c r="B2866" s="1">
        <v>45706</v>
      </c>
      <c r="C2866">
        <v>26</v>
      </c>
      <c r="D2866" t="s">
        <v>17</v>
      </c>
      <c r="E2866" t="s">
        <v>22</v>
      </c>
      <c r="F2866" t="s">
        <v>18</v>
      </c>
      <c r="G2866" t="s">
        <v>26</v>
      </c>
      <c r="H2866">
        <v>572.70000000000005</v>
      </c>
      <c r="I2866" s="13">
        <v>7</v>
      </c>
      <c r="J2866">
        <v>1</v>
      </c>
      <c r="K2866">
        <v>74.510000000000005</v>
      </c>
      <c r="L2866">
        <v>2</v>
      </c>
      <c r="M2866">
        <v>5</v>
      </c>
      <c r="N2866">
        <v>5</v>
      </c>
      <c r="O2866">
        <f t="shared" si="44"/>
        <v>2</v>
      </c>
    </row>
    <row r="2867" spans="1:15">
      <c r="A2867">
        <v>993</v>
      </c>
      <c r="B2867" s="1">
        <v>45706</v>
      </c>
      <c r="C2867">
        <v>23</v>
      </c>
      <c r="D2867" t="s">
        <v>17</v>
      </c>
      <c r="E2867" t="s">
        <v>22</v>
      </c>
      <c r="F2867" t="s">
        <v>21</v>
      </c>
      <c r="H2867">
        <v>522.70000000000005</v>
      </c>
      <c r="I2867" s="13">
        <v>6</v>
      </c>
      <c r="J2867">
        <v>1</v>
      </c>
      <c r="K2867">
        <v>53.94</v>
      </c>
      <c r="L2867">
        <v>5</v>
      </c>
      <c r="M2867">
        <v>2</v>
      </c>
      <c r="N2867">
        <v>4</v>
      </c>
      <c r="O2867">
        <f t="shared" si="44"/>
        <v>2</v>
      </c>
    </row>
    <row r="2868" spans="1:15">
      <c r="A2868">
        <v>639</v>
      </c>
      <c r="B2868" s="1">
        <v>45706</v>
      </c>
      <c r="C2868">
        <v>26</v>
      </c>
      <c r="D2868" t="s">
        <v>17</v>
      </c>
      <c r="E2868" t="s">
        <v>22</v>
      </c>
      <c r="F2868" t="s">
        <v>16</v>
      </c>
      <c r="H2868">
        <v>185.1</v>
      </c>
      <c r="I2868" s="13">
        <v>6</v>
      </c>
      <c r="J2868">
        <v>1</v>
      </c>
      <c r="K2868">
        <v>41.86</v>
      </c>
      <c r="L2868">
        <v>6</v>
      </c>
      <c r="M2868">
        <v>1</v>
      </c>
      <c r="N2868">
        <v>5</v>
      </c>
      <c r="O2868">
        <f t="shared" si="44"/>
        <v>2</v>
      </c>
    </row>
    <row r="2869" spans="1:15">
      <c r="A2869">
        <v>1937</v>
      </c>
      <c r="B2869" s="1">
        <v>45706</v>
      </c>
      <c r="C2869">
        <v>28</v>
      </c>
      <c r="D2869" t="s">
        <v>14</v>
      </c>
      <c r="E2869" t="s">
        <v>22</v>
      </c>
      <c r="F2869" t="s">
        <v>16</v>
      </c>
      <c r="H2869">
        <v>142</v>
      </c>
      <c r="I2869" s="13">
        <v>3</v>
      </c>
      <c r="J2869">
        <v>1</v>
      </c>
      <c r="K2869">
        <v>40.409999999999997</v>
      </c>
      <c r="L2869">
        <v>3</v>
      </c>
      <c r="M2869">
        <v>3</v>
      </c>
      <c r="N2869">
        <v>4</v>
      </c>
      <c r="O2869">
        <f t="shared" si="44"/>
        <v>2</v>
      </c>
    </row>
    <row r="2870" spans="1:15">
      <c r="A2870">
        <v>4006</v>
      </c>
      <c r="B2870" s="1">
        <v>45706</v>
      </c>
      <c r="C2870">
        <v>58</v>
      </c>
      <c r="D2870" t="s">
        <v>14</v>
      </c>
      <c r="E2870" t="s">
        <v>22</v>
      </c>
      <c r="F2870" t="s">
        <v>16</v>
      </c>
      <c r="H2870">
        <v>878.7</v>
      </c>
      <c r="I2870" s="13">
        <v>7</v>
      </c>
      <c r="J2870">
        <v>1</v>
      </c>
      <c r="K2870">
        <v>34.25</v>
      </c>
      <c r="L2870">
        <v>1</v>
      </c>
      <c r="M2870">
        <v>5</v>
      </c>
      <c r="N2870">
        <v>4</v>
      </c>
      <c r="O2870">
        <f t="shared" si="44"/>
        <v>2</v>
      </c>
    </row>
    <row r="2871" spans="1:15">
      <c r="A2871">
        <v>927</v>
      </c>
      <c r="B2871" s="1">
        <v>45706</v>
      </c>
      <c r="C2871">
        <v>26</v>
      </c>
      <c r="D2871" t="s">
        <v>14</v>
      </c>
      <c r="E2871" t="s">
        <v>24</v>
      </c>
      <c r="F2871" t="s">
        <v>23</v>
      </c>
      <c r="H2871">
        <v>87.5</v>
      </c>
      <c r="I2871" s="13">
        <v>6</v>
      </c>
      <c r="J2871">
        <v>1</v>
      </c>
      <c r="K2871">
        <v>32.229999999999997</v>
      </c>
      <c r="L2871">
        <v>2</v>
      </c>
      <c r="M2871">
        <v>15</v>
      </c>
      <c r="N2871">
        <v>4</v>
      </c>
      <c r="O2871">
        <f t="shared" si="44"/>
        <v>2</v>
      </c>
    </row>
    <row r="2872" spans="1:15">
      <c r="A2872">
        <v>2597</v>
      </c>
      <c r="B2872" s="1">
        <v>45706</v>
      </c>
      <c r="C2872">
        <v>31</v>
      </c>
      <c r="D2872" t="s">
        <v>17</v>
      </c>
      <c r="E2872" t="s">
        <v>15</v>
      </c>
      <c r="F2872" t="s">
        <v>16</v>
      </c>
      <c r="H2872">
        <v>1050.3</v>
      </c>
      <c r="I2872" s="13">
        <v>3</v>
      </c>
      <c r="J2872">
        <v>1</v>
      </c>
      <c r="K2872">
        <v>28.63</v>
      </c>
      <c r="L2872">
        <v>3</v>
      </c>
      <c r="M2872">
        <v>1</v>
      </c>
      <c r="N2872">
        <v>3</v>
      </c>
      <c r="O2872">
        <f t="shared" si="44"/>
        <v>2</v>
      </c>
    </row>
    <row r="2873" spans="1:15">
      <c r="A2873">
        <v>4032</v>
      </c>
      <c r="B2873" s="1">
        <v>45706</v>
      </c>
      <c r="C2873">
        <v>45</v>
      </c>
      <c r="D2873" t="s">
        <v>17</v>
      </c>
      <c r="E2873" t="s">
        <v>22</v>
      </c>
      <c r="F2873" t="s">
        <v>23</v>
      </c>
      <c r="H2873">
        <v>788.3</v>
      </c>
      <c r="I2873" s="13">
        <v>7</v>
      </c>
      <c r="J2873">
        <v>1</v>
      </c>
      <c r="K2873">
        <v>25.45</v>
      </c>
      <c r="L2873">
        <v>6</v>
      </c>
      <c r="M2873">
        <v>5</v>
      </c>
      <c r="N2873">
        <v>3</v>
      </c>
      <c r="O2873">
        <f t="shared" si="44"/>
        <v>2</v>
      </c>
    </row>
    <row r="2874" spans="1:15">
      <c r="A2874">
        <v>3755</v>
      </c>
      <c r="B2874" s="1">
        <v>45706</v>
      </c>
      <c r="C2874">
        <v>60</v>
      </c>
      <c r="D2874" t="s">
        <v>14</v>
      </c>
      <c r="E2874" t="s">
        <v>20</v>
      </c>
      <c r="F2874" t="s">
        <v>21</v>
      </c>
      <c r="H2874">
        <v>404.8</v>
      </c>
      <c r="I2874" s="13">
        <v>3</v>
      </c>
      <c r="J2874">
        <v>1</v>
      </c>
      <c r="K2874">
        <v>17.38</v>
      </c>
      <c r="L2874">
        <v>2</v>
      </c>
      <c r="M2874">
        <v>8</v>
      </c>
      <c r="N2874">
        <v>4</v>
      </c>
      <c r="O2874">
        <f t="shared" si="44"/>
        <v>2</v>
      </c>
    </row>
    <row r="2875" spans="1:15">
      <c r="A2875">
        <v>3053</v>
      </c>
      <c r="B2875" s="1">
        <v>45706</v>
      </c>
      <c r="C2875">
        <v>30</v>
      </c>
      <c r="D2875" t="s">
        <v>17</v>
      </c>
      <c r="E2875" t="s">
        <v>22</v>
      </c>
      <c r="F2875" t="s">
        <v>21</v>
      </c>
      <c r="H2875">
        <v>302.2</v>
      </c>
      <c r="I2875" s="13">
        <v>10</v>
      </c>
      <c r="J2875">
        <v>1</v>
      </c>
      <c r="K2875">
        <v>13.56</v>
      </c>
      <c r="L2875">
        <v>4</v>
      </c>
      <c r="M2875">
        <v>8</v>
      </c>
      <c r="N2875">
        <v>4</v>
      </c>
      <c r="O2875">
        <f t="shared" si="44"/>
        <v>2</v>
      </c>
    </row>
    <row r="2876" spans="1:15">
      <c r="A2876">
        <v>3145</v>
      </c>
      <c r="B2876" s="1">
        <v>45706</v>
      </c>
      <c r="C2876">
        <v>36</v>
      </c>
      <c r="D2876" t="s">
        <v>14</v>
      </c>
      <c r="E2876" t="s">
        <v>24</v>
      </c>
      <c r="F2876" t="s">
        <v>18</v>
      </c>
      <c r="G2876" t="s">
        <v>28</v>
      </c>
      <c r="H2876">
        <v>618.29999999999995</v>
      </c>
      <c r="I2876" s="13">
        <v>3</v>
      </c>
      <c r="J2876">
        <v>1</v>
      </c>
      <c r="K2876">
        <v>13.49</v>
      </c>
      <c r="L2876">
        <v>1</v>
      </c>
      <c r="M2876">
        <v>2</v>
      </c>
      <c r="N2876">
        <v>4</v>
      </c>
      <c r="O2876">
        <f t="shared" si="44"/>
        <v>2</v>
      </c>
    </row>
    <row r="2877" spans="1:15">
      <c r="A2877">
        <v>2005</v>
      </c>
      <c r="B2877" s="1">
        <v>45706</v>
      </c>
      <c r="C2877">
        <v>30</v>
      </c>
      <c r="D2877" t="s">
        <v>17</v>
      </c>
      <c r="E2877" t="s">
        <v>22</v>
      </c>
      <c r="F2877" t="s">
        <v>23</v>
      </c>
      <c r="H2877">
        <v>573.5</v>
      </c>
      <c r="I2877" s="13">
        <v>3</v>
      </c>
      <c r="J2877">
        <v>0</v>
      </c>
      <c r="K2877">
        <v>0</v>
      </c>
      <c r="L2877">
        <v>0</v>
      </c>
      <c r="M2877">
        <v>0</v>
      </c>
      <c r="O2877">
        <f t="shared" si="44"/>
        <v>2</v>
      </c>
    </row>
    <row r="2878" spans="1:15">
      <c r="A2878">
        <v>2618</v>
      </c>
      <c r="B2878" s="1">
        <v>45706</v>
      </c>
      <c r="C2878">
        <v>46</v>
      </c>
      <c r="D2878" t="s">
        <v>17</v>
      </c>
      <c r="E2878" t="s">
        <v>15</v>
      </c>
      <c r="F2878" t="s">
        <v>16</v>
      </c>
      <c r="H2878">
        <v>550</v>
      </c>
      <c r="I2878" s="13">
        <v>4</v>
      </c>
      <c r="J2878">
        <v>0</v>
      </c>
      <c r="K2878">
        <v>0</v>
      </c>
      <c r="L2878">
        <v>0</v>
      </c>
      <c r="M2878">
        <v>0</v>
      </c>
      <c r="O2878">
        <f t="shared" si="44"/>
        <v>2</v>
      </c>
    </row>
    <row r="2879" spans="1:15">
      <c r="A2879">
        <v>3347</v>
      </c>
      <c r="B2879" s="1">
        <v>45706</v>
      </c>
      <c r="C2879">
        <v>42</v>
      </c>
      <c r="D2879" t="s">
        <v>17</v>
      </c>
      <c r="E2879" t="s">
        <v>20</v>
      </c>
      <c r="F2879" t="s">
        <v>16</v>
      </c>
      <c r="H2879">
        <v>337.9</v>
      </c>
      <c r="I2879" s="13">
        <v>5</v>
      </c>
      <c r="J2879">
        <v>0</v>
      </c>
      <c r="K2879">
        <v>0</v>
      </c>
      <c r="L2879">
        <v>0</v>
      </c>
      <c r="M2879">
        <v>0</v>
      </c>
      <c r="O2879">
        <f t="shared" si="44"/>
        <v>2</v>
      </c>
    </row>
    <row r="2880" spans="1:15">
      <c r="A2880">
        <v>3066</v>
      </c>
      <c r="B2880" s="1">
        <v>45706</v>
      </c>
      <c r="C2880">
        <v>46</v>
      </c>
      <c r="D2880" t="s">
        <v>17</v>
      </c>
      <c r="E2880" t="s">
        <v>22</v>
      </c>
      <c r="F2880" t="s">
        <v>21</v>
      </c>
      <c r="H2880">
        <v>336.7</v>
      </c>
      <c r="I2880" s="13">
        <v>8</v>
      </c>
      <c r="J2880">
        <v>0</v>
      </c>
      <c r="K2880">
        <v>0</v>
      </c>
      <c r="L2880">
        <v>0</v>
      </c>
      <c r="M2880">
        <v>0</v>
      </c>
      <c r="O2880">
        <f t="shared" si="44"/>
        <v>2</v>
      </c>
    </row>
    <row r="2881" spans="1:15">
      <c r="A2881">
        <v>2681</v>
      </c>
      <c r="B2881" s="1">
        <v>45706</v>
      </c>
      <c r="C2881">
        <v>38</v>
      </c>
      <c r="D2881" t="s">
        <v>17</v>
      </c>
      <c r="E2881" t="s">
        <v>20</v>
      </c>
      <c r="F2881" t="s">
        <v>16</v>
      </c>
      <c r="H2881">
        <v>335.9</v>
      </c>
      <c r="I2881" s="13">
        <v>9</v>
      </c>
      <c r="J2881">
        <v>0</v>
      </c>
      <c r="K2881">
        <v>0</v>
      </c>
      <c r="L2881">
        <v>0</v>
      </c>
      <c r="M2881">
        <v>0</v>
      </c>
      <c r="O2881">
        <f t="shared" si="44"/>
        <v>2</v>
      </c>
    </row>
    <row r="2882" spans="1:15">
      <c r="A2882">
        <v>3368</v>
      </c>
      <c r="B2882" s="1">
        <v>45706</v>
      </c>
      <c r="C2882">
        <v>27</v>
      </c>
      <c r="D2882" t="s">
        <v>14</v>
      </c>
      <c r="E2882" t="s">
        <v>15</v>
      </c>
      <c r="F2882" t="s">
        <v>23</v>
      </c>
      <c r="H2882">
        <v>324.5</v>
      </c>
      <c r="I2882" s="13">
        <v>11</v>
      </c>
      <c r="J2882">
        <v>0</v>
      </c>
      <c r="K2882">
        <v>0</v>
      </c>
      <c r="L2882">
        <v>0</v>
      </c>
      <c r="M2882">
        <v>0</v>
      </c>
      <c r="O2882">
        <f t="shared" si="44"/>
        <v>2</v>
      </c>
    </row>
    <row r="2883" spans="1:15">
      <c r="A2883">
        <v>1261</v>
      </c>
      <c r="B2883" s="1">
        <v>45706</v>
      </c>
      <c r="C2883">
        <v>26</v>
      </c>
      <c r="D2883" t="s">
        <v>17</v>
      </c>
      <c r="E2883" t="s">
        <v>20</v>
      </c>
      <c r="F2883" t="s">
        <v>16</v>
      </c>
      <c r="H2883">
        <v>276.7</v>
      </c>
      <c r="I2883" s="13">
        <v>6</v>
      </c>
      <c r="J2883">
        <v>0</v>
      </c>
      <c r="K2883">
        <v>0</v>
      </c>
      <c r="L2883">
        <v>0</v>
      </c>
      <c r="M2883">
        <v>0</v>
      </c>
      <c r="O2883">
        <f t="shared" ref="O2883:O2946" si="45">MONTH(B2883)</f>
        <v>2</v>
      </c>
    </row>
    <row r="2884" spans="1:15">
      <c r="A2884">
        <v>3362</v>
      </c>
      <c r="B2884" s="1">
        <v>45706</v>
      </c>
      <c r="C2884">
        <v>38</v>
      </c>
      <c r="D2884" t="s">
        <v>14</v>
      </c>
      <c r="E2884" t="s">
        <v>24</v>
      </c>
      <c r="F2884" t="s">
        <v>16</v>
      </c>
      <c r="H2884">
        <v>271.3</v>
      </c>
      <c r="I2884" s="13">
        <v>5</v>
      </c>
      <c r="J2884">
        <v>0</v>
      </c>
      <c r="K2884">
        <v>0</v>
      </c>
      <c r="L2884">
        <v>0</v>
      </c>
      <c r="M2884">
        <v>0</v>
      </c>
      <c r="O2884">
        <f t="shared" si="45"/>
        <v>2</v>
      </c>
    </row>
    <row r="2885" spans="1:15">
      <c r="A2885">
        <v>3523</v>
      </c>
      <c r="B2885" s="1">
        <v>45706</v>
      </c>
      <c r="C2885">
        <v>52</v>
      </c>
      <c r="D2885" t="s">
        <v>17</v>
      </c>
      <c r="E2885" t="s">
        <v>22</v>
      </c>
      <c r="F2885" t="s">
        <v>16</v>
      </c>
      <c r="H2885">
        <v>254.4</v>
      </c>
      <c r="I2885" s="13">
        <v>3</v>
      </c>
      <c r="J2885">
        <v>0</v>
      </c>
      <c r="K2885">
        <v>0</v>
      </c>
      <c r="L2885">
        <v>0</v>
      </c>
      <c r="M2885">
        <v>0</v>
      </c>
      <c r="O2885">
        <f t="shared" si="45"/>
        <v>2</v>
      </c>
    </row>
    <row r="2886" spans="1:15">
      <c r="A2886">
        <v>3074</v>
      </c>
      <c r="B2886" s="1">
        <v>45706</v>
      </c>
      <c r="C2886">
        <v>38</v>
      </c>
      <c r="D2886" t="s">
        <v>17</v>
      </c>
      <c r="E2886" t="s">
        <v>22</v>
      </c>
      <c r="F2886" t="s">
        <v>16</v>
      </c>
      <c r="H2886">
        <v>228.7</v>
      </c>
      <c r="I2886" s="13">
        <v>6</v>
      </c>
      <c r="J2886">
        <v>0</v>
      </c>
      <c r="K2886">
        <v>0</v>
      </c>
      <c r="L2886">
        <v>0</v>
      </c>
      <c r="M2886">
        <v>0</v>
      </c>
      <c r="O2886">
        <f t="shared" si="45"/>
        <v>2</v>
      </c>
    </row>
    <row r="2887" spans="1:15">
      <c r="A2887">
        <v>4131</v>
      </c>
      <c r="B2887" s="1">
        <v>45706</v>
      </c>
      <c r="C2887">
        <v>44</v>
      </c>
      <c r="D2887" t="s">
        <v>27</v>
      </c>
      <c r="E2887" t="s">
        <v>22</v>
      </c>
      <c r="F2887" t="s">
        <v>16</v>
      </c>
      <c r="H2887">
        <v>227.8</v>
      </c>
      <c r="I2887" s="13">
        <v>5</v>
      </c>
      <c r="J2887">
        <v>0</v>
      </c>
      <c r="K2887">
        <v>0</v>
      </c>
      <c r="L2887">
        <v>0</v>
      </c>
      <c r="M2887">
        <v>0</v>
      </c>
      <c r="O2887">
        <f t="shared" si="45"/>
        <v>2</v>
      </c>
    </row>
    <row r="2888" spans="1:15">
      <c r="A2888">
        <v>3912</v>
      </c>
      <c r="B2888" s="1">
        <v>45706</v>
      </c>
      <c r="C2888">
        <v>55</v>
      </c>
      <c r="D2888" t="s">
        <v>14</v>
      </c>
      <c r="E2888" t="s">
        <v>22</v>
      </c>
      <c r="F2888" t="s">
        <v>16</v>
      </c>
      <c r="H2888">
        <v>195.7</v>
      </c>
      <c r="I2888" s="13">
        <v>9</v>
      </c>
      <c r="J2888">
        <v>0</v>
      </c>
      <c r="K2888">
        <v>0</v>
      </c>
      <c r="L2888">
        <v>0</v>
      </c>
      <c r="M2888">
        <v>0</v>
      </c>
      <c r="O2888">
        <f t="shared" si="45"/>
        <v>2</v>
      </c>
    </row>
    <row r="2889" spans="1:15">
      <c r="A2889">
        <v>2451</v>
      </c>
      <c r="B2889" s="1">
        <v>45706</v>
      </c>
      <c r="C2889">
        <v>22</v>
      </c>
      <c r="D2889" t="s">
        <v>17</v>
      </c>
      <c r="E2889" t="s">
        <v>22</v>
      </c>
      <c r="F2889" t="s">
        <v>18</v>
      </c>
      <c r="G2889" t="s">
        <v>26</v>
      </c>
      <c r="H2889">
        <v>186.6</v>
      </c>
      <c r="I2889" s="13">
        <v>5</v>
      </c>
      <c r="J2889">
        <v>0</v>
      </c>
      <c r="K2889">
        <v>0</v>
      </c>
      <c r="L2889">
        <v>0</v>
      </c>
      <c r="M2889">
        <v>0</v>
      </c>
      <c r="O2889">
        <f t="shared" si="45"/>
        <v>2</v>
      </c>
    </row>
    <row r="2890" spans="1:15">
      <c r="A2890">
        <v>1145</v>
      </c>
      <c r="B2890" s="1">
        <v>45706</v>
      </c>
      <c r="C2890">
        <v>25</v>
      </c>
      <c r="D2890" t="s">
        <v>14</v>
      </c>
      <c r="E2890" t="s">
        <v>15</v>
      </c>
      <c r="F2890" t="s">
        <v>23</v>
      </c>
      <c r="H2890">
        <v>179.5</v>
      </c>
      <c r="I2890" s="13">
        <v>4</v>
      </c>
      <c r="J2890">
        <v>0</v>
      </c>
      <c r="K2890">
        <v>0</v>
      </c>
      <c r="L2890">
        <v>0</v>
      </c>
      <c r="M2890">
        <v>0</v>
      </c>
      <c r="O2890">
        <f t="shared" si="45"/>
        <v>2</v>
      </c>
    </row>
    <row r="2891" spans="1:15">
      <c r="A2891">
        <v>4600</v>
      </c>
      <c r="B2891" s="1">
        <v>45706</v>
      </c>
      <c r="C2891">
        <v>36</v>
      </c>
      <c r="D2891" t="s">
        <v>17</v>
      </c>
      <c r="E2891" t="s">
        <v>22</v>
      </c>
      <c r="F2891" t="s">
        <v>21</v>
      </c>
      <c r="H2891">
        <v>163.30000000000001</v>
      </c>
      <c r="I2891" s="13">
        <v>5</v>
      </c>
      <c r="J2891">
        <v>0</v>
      </c>
      <c r="K2891">
        <v>0</v>
      </c>
      <c r="L2891">
        <v>0</v>
      </c>
      <c r="M2891">
        <v>0</v>
      </c>
      <c r="O2891">
        <f t="shared" si="45"/>
        <v>2</v>
      </c>
    </row>
    <row r="2892" spans="1:15">
      <c r="A2892">
        <v>872</v>
      </c>
      <c r="B2892" s="1">
        <v>45706</v>
      </c>
      <c r="C2892">
        <v>21</v>
      </c>
      <c r="D2892" t="s">
        <v>17</v>
      </c>
      <c r="E2892" t="s">
        <v>15</v>
      </c>
      <c r="F2892" t="s">
        <v>16</v>
      </c>
      <c r="H2892">
        <v>139.30000000000001</v>
      </c>
      <c r="I2892" s="13">
        <v>3</v>
      </c>
      <c r="J2892">
        <v>0</v>
      </c>
      <c r="K2892">
        <v>0</v>
      </c>
      <c r="L2892">
        <v>0</v>
      </c>
      <c r="M2892">
        <v>0</v>
      </c>
      <c r="O2892">
        <f t="shared" si="45"/>
        <v>2</v>
      </c>
    </row>
    <row r="2893" spans="1:15">
      <c r="A2893">
        <v>3975</v>
      </c>
      <c r="B2893" s="1">
        <v>45706</v>
      </c>
      <c r="C2893">
        <v>47</v>
      </c>
      <c r="D2893" t="s">
        <v>17</v>
      </c>
      <c r="E2893" t="s">
        <v>22</v>
      </c>
      <c r="F2893" t="s">
        <v>23</v>
      </c>
      <c r="H2893">
        <v>136</v>
      </c>
      <c r="I2893" s="13">
        <v>5</v>
      </c>
      <c r="J2893">
        <v>0</v>
      </c>
      <c r="K2893">
        <v>0</v>
      </c>
      <c r="L2893">
        <v>0</v>
      </c>
      <c r="M2893">
        <v>0</v>
      </c>
      <c r="O2893">
        <f t="shared" si="45"/>
        <v>2</v>
      </c>
    </row>
    <row r="2894" spans="1:15">
      <c r="A2894">
        <v>62</v>
      </c>
      <c r="B2894" s="1">
        <v>45706</v>
      </c>
      <c r="C2894">
        <v>27</v>
      </c>
      <c r="D2894" t="s">
        <v>17</v>
      </c>
      <c r="E2894" t="s">
        <v>22</v>
      </c>
      <c r="F2894" t="s">
        <v>18</v>
      </c>
      <c r="G2894" t="s">
        <v>29</v>
      </c>
      <c r="H2894">
        <v>113.3</v>
      </c>
      <c r="I2894" s="13">
        <v>6</v>
      </c>
      <c r="J2894">
        <v>0</v>
      </c>
      <c r="K2894">
        <v>0</v>
      </c>
      <c r="L2894">
        <v>0</v>
      </c>
      <c r="M2894">
        <v>0</v>
      </c>
      <c r="O2894">
        <f t="shared" si="45"/>
        <v>2</v>
      </c>
    </row>
    <row r="2895" spans="1:15">
      <c r="A2895">
        <v>3121</v>
      </c>
      <c r="B2895" s="1">
        <v>45706</v>
      </c>
      <c r="C2895">
        <v>29</v>
      </c>
      <c r="D2895" t="s">
        <v>14</v>
      </c>
      <c r="E2895" t="s">
        <v>20</v>
      </c>
      <c r="F2895" t="s">
        <v>16</v>
      </c>
      <c r="H2895">
        <v>111.3</v>
      </c>
      <c r="I2895" s="13">
        <v>9</v>
      </c>
      <c r="J2895">
        <v>0</v>
      </c>
      <c r="K2895">
        <v>0</v>
      </c>
      <c r="L2895">
        <v>0</v>
      </c>
      <c r="M2895">
        <v>0</v>
      </c>
      <c r="O2895">
        <f t="shared" si="45"/>
        <v>2</v>
      </c>
    </row>
    <row r="2896" spans="1:15">
      <c r="A2896">
        <v>126</v>
      </c>
      <c r="B2896" s="1">
        <v>45734</v>
      </c>
      <c r="C2896">
        <v>26</v>
      </c>
      <c r="D2896" t="s">
        <v>14</v>
      </c>
      <c r="E2896" t="s">
        <v>24</v>
      </c>
      <c r="F2896" t="s">
        <v>16</v>
      </c>
      <c r="H2896">
        <v>670.6</v>
      </c>
      <c r="I2896" s="13">
        <v>5</v>
      </c>
      <c r="J2896">
        <v>1</v>
      </c>
      <c r="K2896">
        <v>91</v>
      </c>
      <c r="L2896">
        <v>5</v>
      </c>
      <c r="M2896">
        <v>12</v>
      </c>
      <c r="N2896">
        <v>4</v>
      </c>
      <c r="O2896">
        <f t="shared" si="45"/>
        <v>3</v>
      </c>
    </row>
    <row r="2897" spans="1:15">
      <c r="A2897">
        <v>2899</v>
      </c>
      <c r="B2897" s="1">
        <v>45734</v>
      </c>
      <c r="C2897">
        <v>30</v>
      </c>
      <c r="D2897" t="s">
        <v>17</v>
      </c>
      <c r="E2897" t="s">
        <v>20</v>
      </c>
      <c r="F2897" t="s">
        <v>23</v>
      </c>
      <c r="H2897">
        <v>1392.7</v>
      </c>
      <c r="I2897" s="13">
        <v>5</v>
      </c>
      <c r="J2897">
        <v>1</v>
      </c>
      <c r="K2897">
        <v>390</v>
      </c>
      <c r="L2897">
        <v>4</v>
      </c>
      <c r="M2897">
        <v>4</v>
      </c>
      <c r="N2897">
        <v>3</v>
      </c>
      <c r="O2897">
        <f t="shared" si="45"/>
        <v>3</v>
      </c>
    </row>
    <row r="2898" spans="1:15">
      <c r="A2898">
        <v>3352</v>
      </c>
      <c r="B2898" s="1">
        <v>45734</v>
      </c>
      <c r="C2898">
        <v>27</v>
      </c>
      <c r="D2898" t="s">
        <v>17</v>
      </c>
      <c r="E2898" t="s">
        <v>22</v>
      </c>
      <c r="F2898" t="s">
        <v>18</v>
      </c>
      <c r="G2898" t="s">
        <v>29</v>
      </c>
      <c r="H2898">
        <v>419.9</v>
      </c>
      <c r="I2898" s="13">
        <v>5</v>
      </c>
      <c r="J2898">
        <v>1</v>
      </c>
      <c r="K2898">
        <v>92.15</v>
      </c>
      <c r="L2898">
        <v>6</v>
      </c>
      <c r="M2898">
        <v>6</v>
      </c>
      <c r="N2898">
        <v>5</v>
      </c>
      <c r="O2898">
        <f t="shared" si="45"/>
        <v>3</v>
      </c>
    </row>
    <row r="2899" spans="1:15">
      <c r="A2899">
        <v>1566</v>
      </c>
      <c r="B2899" s="1">
        <v>45734</v>
      </c>
      <c r="C2899">
        <v>18</v>
      </c>
      <c r="D2899" t="s">
        <v>14</v>
      </c>
      <c r="E2899" t="s">
        <v>22</v>
      </c>
      <c r="F2899" t="s">
        <v>16</v>
      </c>
      <c r="H2899">
        <v>84.9</v>
      </c>
      <c r="I2899" s="13">
        <v>9</v>
      </c>
      <c r="J2899">
        <v>1</v>
      </c>
      <c r="K2899">
        <v>81.67</v>
      </c>
      <c r="L2899">
        <v>6</v>
      </c>
      <c r="M2899">
        <v>10</v>
      </c>
      <c r="N2899">
        <v>4</v>
      </c>
      <c r="O2899">
        <f t="shared" si="45"/>
        <v>3</v>
      </c>
    </row>
    <row r="2900" spans="1:15">
      <c r="A2900">
        <v>2203</v>
      </c>
      <c r="B2900" s="1">
        <v>45734</v>
      </c>
      <c r="C2900">
        <v>40</v>
      </c>
      <c r="D2900" t="s">
        <v>17</v>
      </c>
      <c r="E2900" t="s">
        <v>15</v>
      </c>
      <c r="F2900" t="s">
        <v>16</v>
      </c>
      <c r="H2900">
        <v>380</v>
      </c>
      <c r="I2900" s="13">
        <v>7</v>
      </c>
      <c r="J2900">
        <v>1</v>
      </c>
      <c r="K2900">
        <v>48.96</v>
      </c>
      <c r="L2900">
        <v>3</v>
      </c>
      <c r="M2900">
        <v>11</v>
      </c>
      <c r="N2900">
        <v>4</v>
      </c>
      <c r="O2900">
        <f t="shared" si="45"/>
        <v>3</v>
      </c>
    </row>
    <row r="2901" spans="1:15">
      <c r="A2901">
        <v>2919</v>
      </c>
      <c r="B2901" s="1">
        <v>45734</v>
      </c>
      <c r="C2901">
        <v>28</v>
      </c>
      <c r="D2901" t="s">
        <v>17</v>
      </c>
      <c r="E2901" t="s">
        <v>22</v>
      </c>
      <c r="F2901" t="s">
        <v>18</v>
      </c>
      <c r="G2901" t="s">
        <v>28</v>
      </c>
      <c r="H2901">
        <v>149</v>
      </c>
      <c r="I2901" s="13">
        <v>3</v>
      </c>
      <c r="J2901">
        <v>1</v>
      </c>
      <c r="K2901">
        <v>40.770000000000003</v>
      </c>
      <c r="L2901">
        <v>3</v>
      </c>
      <c r="M2901">
        <v>11</v>
      </c>
      <c r="N2901">
        <v>3</v>
      </c>
      <c r="O2901">
        <f t="shared" si="45"/>
        <v>3</v>
      </c>
    </row>
    <row r="2902" spans="1:15">
      <c r="A2902">
        <v>3047</v>
      </c>
      <c r="B2902" s="1">
        <v>45734</v>
      </c>
      <c r="C2902">
        <v>35</v>
      </c>
      <c r="D2902" t="s">
        <v>17</v>
      </c>
      <c r="E2902" t="s">
        <v>22</v>
      </c>
      <c r="F2902" t="s">
        <v>16</v>
      </c>
      <c r="H2902">
        <v>695.7</v>
      </c>
      <c r="I2902" s="13">
        <v>4</v>
      </c>
      <c r="J2902">
        <v>1</v>
      </c>
      <c r="K2902">
        <v>36.47</v>
      </c>
      <c r="L2902">
        <v>3</v>
      </c>
      <c r="M2902">
        <v>13</v>
      </c>
      <c r="N2902">
        <v>4</v>
      </c>
      <c r="O2902">
        <f t="shared" si="45"/>
        <v>3</v>
      </c>
    </row>
    <row r="2903" spans="1:15">
      <c r="A2903">
        <v>1211</v>
      </c>
      <c r="B2903" s="1">
        <v>45734</v>
      </c>
      <c r="C2903">
        <v>28</v>
      </c>
      <c r="D2903" t="s">
        <v>14</v>
      </c>
      <c r="E2903" t="s">
        <v>15</v>
      </c>
      <c r="F2903" t="s">
        <v>21</v>
      </c>
      <c r="H2903">
        <v>431.4</v>
      </c>
      <c r="I2903" s="13">
        <v>6</v>
      </c>
      <c r="J2903">
        <v>1</v>
      </c>
      <c r="K2903">
        <v>29.55</v>
      </c>
      <c r="L2903">
        <v>2</v>
      </c>
      <c r="M2903">
        <v>3</v>
      </c>
      <c r="N2903">
        <v>3</v>
      </c>
      <c r="O2903">
        <f t="shared" si="45"/>
        <v>3</v>
      </c>
    </row>
    <row r="2904" spans="1:15">
      <c r="A2904">
        <v>925</v>
      </c>
      <c r="B2904" s="1">
        <v>45734</v>
      </c>
      <c r="C2904">
        <v>26</v>
      </c>
      <c r="D2904" t="s">
        <v>14</v>
      </c>
      <c r="E2904" t="s">
        <v>20</v>
      </c>
      <c r="F2904" t="s">
        <v>18</v>
      </c>
      <c r="G2904" t="s">
        <v>31</v>
      </c>
      <c r="H2904">
        <v>925.4</v>
      </c>
      <c r="I2904" s="13">
        <v>3</v>
      </c>
      <c r="J2904">
        <v>1</v>
      </c>
      <c r="K2904">
        <v>19.829999999999998</v>
      </c>
      <c r="L2904">
        <v>3</v>
      </c>
      <c r="M2904">
        <v>14</v>
      </c>
      <c r="N2904">
        <v>4</v>
      </c>
      <c r="O2904">
        <f t="shared" si="45"/>
        <v>3</v>
      </c>
    </row>
    <row r="2905" spans="1:15">
      <c r="A2905">
        <v>453</v>
      </c>
      <c r="B2905" s="1">
        <v>45734</v>
      </c>
      <c r="C2905">
        <v>29</v>
      </c>
      <c r="D2905" t="s">
        <v>27</v>
      </c>
      <c r="E2905" t="s">
        <v>22</v>
      </c>
      <c r="F2905" t="s">
        <v>16</v>
      </c>
      <c r="H2905">
        <v>803.8</v>
      </c>
      <c r="I2905" s="13">
        <v>5</v>
      </c>
      <c r="J2905">
        <v>0</v>
      </c>
      <c r="K2905">
        <v>0</v>
      </c>
      <c r="L2905">
        <v>0</v>
      </c>
      <c r="M2905">
        <v>0</v>
      </c>
      <c r="O2905">
        <f t="shared" si="45"/>
        <v>3</v>
      </c>
    </row>
    <row r="2906" spans="1:15">
      <c r="A2906">
        <v>98</v>
      </c>
      <c r="B2906" s="1">
        <v>45734</v>
      </c>
      <c r="C2906">
        <v>22</v>
      </c>
      <c r="D2906" t="s">
        <v>17</v>
      </c>
      <c r="E2906" t="s">
        <v>15</v>
      </c>
      <c r="F2906" t="s">
        <v>18</v>
      </c>
      <c r="G2906" t="s">
        <v>30</v>
      </c>
      <c r="H2906">
        <v>562.5</v>
      </c>
      <c r="I2906" s="13">
        <v>8</v>
      </c>
      <c r="J2906">
        <v>0</v>
      </c>
      <c r="K2906">
        <v>0</v>
      </c>
      <c r="L2906">
        <v>0</v>
      </c>
      <c r="M2906">
        <v>0</v>
      </c>
      <c r="O2906">
        <f t="shared" si="45"/>
        <v>3</v>
      </c>
    </row>
    <row r="2907" spans="1:15">
      <c r="A2907">
        <v>1076</v>
      </c>
      <c r="B2907" s="1">
        <v>45734</v>
      </c>
      <c r="C2907">
        <v>35</v>
      </c>
      <c r="D2907" t="s">
        <v>14</v>
      </c>
      <c r="E2907" t="s">
        <v>22</v>
      </c>
      <c r="F2907" t="s">
        <v>16</v>
      </c>
      <c r="H2907">
        <v>531.6</v>
      </c>
      <c r="I2907" s="13">
        <v>11</v>
      </c>
      <c r="J2907">
        <v>0</v>
      </c>
      <c r="K2907">
        <v>0</v>
      </c>
      <c r="L2907">
        <v>0</v>
      </c>
      <c r="M2907">
        <v>0</v>
      </c>
      <c r="O2907">
        <f t="shared" si="45"/>
        <v>3</v>
      </c>
    </row>
    <row r="2908" spans="1:15">
      <c r="A2908">
        <v>3490</v>
      </c>
      <c r="B2908" s="1">
        <v>45734</v>
      </c>
      <c r="C2908">
        <v>24</v>
      </c>
      <c r="D2908" t="s">
        <v>17</v>
      </c>
      <c r="E2908" t="s">
        <v>24</v>
      </c>
      <c r="F2908" t="s">
        <v>18</v>
      </c>
      <c r="G2908" t="s">
        <v>29</v>
      </c>
      <c r="H2908">
        <v>413.1</v>
      </c>
      <c r="I2908" s="13">
        <v>8</v>
      </c>
      <c r="J2908">
        <v>0</v>
      </c>
      <c r="K2908">
        <v>0</v>
      </c>
      <c r="L2908">
        <v>0</v>
      </c>
      <c r="M2908">
        <v>0</v>
      </c>
      <c r="O2908">
        <f t="shared" si="45"/>
        <v>3</v>
      </c>
    </row>
    <row r="2909" spans="1:15">
      <c r="A2909">
        <v>4595</v>
      </c>
      <c r="B2909" s="1">
        <v>45734</v>
      </c>
      <c r="C2909">
        <v>56</v>
      </c>
      <c r="D2909" t="s">
        <v>14</v>
      </c>
      <c r="E2909" t="s">
        <v>22</v>
      </c>
      <c r="F2909" t="s">
        <v>18</v>
      </c>
      <c r="G2909" t="s">
        <v>30</v>
      </c>
      <c r="H2909">
        <v>359.7</v>
      </c>
      <c r="I2909" s="13">
        <v>8</v>
      </c>
      <c r="J2909">
        <v>0</v>
      </c>
      <c r="K2909">
        <v>0</v>
      </c>
      <c r="L2909">
        <v>0</v>
      </c>
      <c r="M2909">
        <v>0</v>
      </c>
      <c r="O2909">
        <f t="shared" si="45"/>
        <v>3</v>
      </c>
    </row>
    <row r="2910" spans="1:15">
      <c r="A2910">
        <v>3154</v>
      </c>
      <c r="B2910" s="1">
        <v>45734</v>
      </c>
      <c r="C2910">
        <v>21</v>
      </c>
      <c r="D2910" t="s">
        <v>17</v>
      </c>
      <c r="E2910" t="s">
        <v>20</v>
      </c>
      <c r="F2910" t="s">
        <v>16</v>
      </c>
      <c r="H2910">
        <v>352.2</v>
      </c>
      <c r="I2910" s="13">
        <v>5</v>
      </c>
      <c r="J2910">
        <v>0</v>
      </c>
      <c r="K2910">
        <v>0</v>
      </c>
      <c r="L2910">
        <v>0</v>
      </c>
      <c r="M2910">
        <v>0</v>
      </c>
      <c r="O2910">
        <f t="shared" si="45"/>
        <v>3</v>
      </c>
    </row>
    <row r="2911" spans="1:15">
      <c r="A2911">
        <v>4931</v>
      </c>
      <c r="B2911" s="1">
        <v>45734</v>
      </c>
      <c r="C2911">
        <v>32</v>
      </c>
      <c r="D2911" t="s">
        <v>14</v>
      </c>
      <c r="E2911" t="s">
        <v>20</v>
      </c>
      <c r="F2911" t="s">
        <v>21</v>
      </c>
      <c r="H2911">
        <v>317.10000000000002</v>
      </c>
      <c r="I2911" s="13">
        <v>6</v>
      </c>
      <c r="J2911">
        <v>0</v>
      </c>
      <c r="K2911">
        <v>0</v>
      </c>
      <c r="L2911">
        <v>0</v>
      </c>
      <c r="M2911">
        <v>0</v>
      </c>
      <c r="O2911">
        <f t="shared" si="45"/>
        <v>3</v>
      </c>
    </row>
    <row r="2912" spans="1:15">
      <c r="A2912">
        <v>3980</v>
      </c>
      <c r="B2912" s="1">
        <v>45734</v>
      </c>
      <c r="C2912">
        <v>62</v>
      </c>
      <c r="D2912" t="s">
        <v>14</v>
      </c>
      <c r="E2912" t="s">
        <v>15</v>
      </c>
      <c r="F2912" t="s">
        <v>18</v>
      </c>
      <c r="G2912" t="s">
        <v>28</v>
      </c>
      <c r="H2912">
        <v>304.39999999999998</v>
      </c>
      <c r="I2912" s="13">
        <v>6</v>
      </c>
      <c r="J2912">
        <v>0</v>
      </c>
      <c r="K2912">
        <v>0</v>
      </c>
      <c r="L2912">
        <v>0</v>
      </c>
      <c r="M2912">
        <v>0</v>
      </c>
      <c r="O2912">
        <f t="shared" si="45"/>
        <v>3</v>
      </c>
    </row>
    <row r="2913" spans="1:15">
      <c r="A2913">
        <v>692</v>
      </c>
      <c r="B2913" s="1">
        <v>45734</v>
      </c>
      <c r="C2913">
        <v>29</v>
      </c>
      <c r="D2913" t="s">
        <v>17</v>
      </c>
      <c r="E2913" t="s">
        <v>20</v>
      </c>
      <c r="F2913" t="s">
        <v>16</v>
      </c>
      <c r="H2913">
        <v>271.5</v>
      </c>
      <c r="I2913" s="13">
        <v>10</v>
      </c>
      <c r="J2913">
        <v>0</v>
      </c>
      <c r="K2913">
        <v>0</v>
      </c>
      <c r="L2913">
        <v>0</v>
      </c>
      <c r="M2913">
        <v>0</v>
      </c>
      <c r="O2913">
        <f t="shared" si="45"/>
        <v>3</v>
      </c>
    </row>
    <row r="2914" spans="1:15">
      <c r="A2914">
        <v>1346</v>
      </c>
      <c r="B2914" s="1">
        <v>45734</v>
      </c>
      <c r="C2914">
        <v>32</v>
      </c>
      <c r="D2914" t="s">
        <v>17</v>
      </c>
      <c r="E2914" t="s">
        <v>22</v>
      </c>
      <c r="F2914" t="s">
        <v>23</v>
      </c>
      <c r="H2914">
        <v>254.7</v>
      </c>
      <c r="I2914" s="13">
        <v>6</v>
      </c>
      <c r="J2914">
        <v>0</v>
      </c>
      <c r="K2914">
        <v>0</v>
      </c>
      <c r="L2914">
        <v>0</v>
      </c>
      <c r="M2914">
        <v>0</v>
      </c>
      <c r="O2914">
        <f t="shared" si="45"/>
        <v>3</v>
      </c>
    </row>
    <row r="2915" spans="1:15">
      <c r="A2915">
        <v>4046</v>
      </c>
      <c r="B2915" s="1">
        <v>45734</v>
      </c>
      <c r="C2915">
        <v>46</v>
      </c>
      <c r="D2915" t="s">
        <v>14</v>
      </c>
      <c r="E2915" t="s">
        <v>22</v>
      </c>
      <c r="F2915" t="s">
        <v>16</v>
      </c>
      <c r="H2915">
        <v>147.80000000000001</v>
      </c>
      <c r="I2915" s="13">
        <v>6</v>
      </c>
      <c r="J2915">
        <v>0</v>
      </c>
      <c r="K2915">
        <v>0</v>
      </c>
      <c r="L2915">
        <v>0</v>
      </c>
      <c r="M2915">
        <v>0</v>
      </c>
      <c r="O2915">
        <f t="shared" si="45"/>
        <v>3</v>
      </c>
    </row>
    <row r="2916" spans="1:15">
      <c r="A2916">
        <v>4537</v>
      </c>
      <c r="B2916" s="1">
        <v>45734</v>
      </c>
      <c r="C2916">
        <v>72</v>
      </c>
      <c r="D2916" t="s">
        <v>14</v>
      </c>
      <c r="E2916" t="s">
        <v>24</v>
      </c>
      <c r="F2916" t="s">
        <v>21</v>
      </c>
      <c r="H2916">
        <v>139.19999999999999</v>
      </c>
      <c r="I2916" s="13">
        <v>4</v>
      </c>
      <c r="J2916">
        <v>0</v>
      </c>
      <c r="K2916">
        <v>0</v>
      </c>
      <c r="L2916">
        <v>0</v>
      </c>
      <c r="M2916">
        <v>0</v>
      </c>
      <c r="O2916">
        <f t="shared" si="45"/>
        <v>3</v>
      </c>
    </row>
    <row r="2917" spans="1:15">
      <c r="A2917">
        <v>4970</v>
      </c>
      <c r="B2917" s="1">
        <v>45734</v>
      </c>
      <c r="C2917">
        <v>42</v>
      </c>
      <c r="D2917" t="s">
        <v>14</v>
      </c>
      <c r="E2917" t="s">
        <v>15</v>
      </c>
      <c r="F2917" t="s">
        <v>16</v>
      </c>
      <c r="H2917">
        <v>138.5</v>
      </c>
      <c r="I2917" s="13">
        <v>5</v>
      </c>
      <c r="J2917">
        <v>0</v>
      </c>
      <c r="K2917">
        <v>0</v>
      </c>
      <c r="L2917">
        <v>0</v>
      </c>
      <c r="M2917">
        <v>0</v>
      </c>
      <c r="O2917">
        <f t="shared" si="45"/>
        <v>3</v>
      </c>
    </row>
    <row r="2918" spans="1:15">
      <c r="A2918">
        <v>805</v>
      </c>
      <c r="B2918" s="1">
        <v>45734</v>
      </c>
      <c r="C2918">
        <v>26</v>
      </c>
      <c r="D2918" t="s">
        <v>14</v>
      </c>
      <c r="E2918" t="s">
        <v>20</v>
      </c>
      <c r="F2918" t="s">
        <v>16</v>
      </c>
      <c r="H2918">
        <v>104.7</v>
      </c>
      <c r="I2918" s="13">
        <v>4</v>
      </c>
      <c r="J2918">
        <v>0</v>
      </c>
      <c r="K2918">
        <v>0</v>
      </c>
      <c r="L2918">
        <v>0</v>
      </c>
      <c r="M2918">
        <v>0</v>
      </c>
      <c r="O2918">
        <f t="shared" si="45"/>
        <v>3</v>
      </c>
    </row>
    <row r="2919" spans="1:15">
      <c r="A2919">
        <v>1734</v>
      </c>
      <c r="B2919" s="1">
        <v>45734</v>
      </c>
      <c r="C2919">
        <v>25</v>
      </c>
      <c r="D2919" t="s">
        <v>17</v>
      </c>
      <c r="E2919" t="s">
        <v>22</v>
      </c>
      <c r="F2919" t="s">
        <v>16</v>
      </c>
      <c r="H2919">
        <v>78.8</v>
      </c>
      <c r="I2919" s="13">
        <v>2</v>
      </c>
      <c r="J2919">
        <v>0</v>
      </c>
      <c r="K2919">
        <v>0</v>
      </c>
      <c r="L2919">
        <v>0</v>
      </c>
      <c r="M2919">
        <v>0</v>
      </c>
      <c r="O2919">
        <f t="shared" si="45"/>
        <v>3</v>
      </c>
    </row>
    <row r="2920" spans="1:15">
      <c r="A2920">
        <v>2130</v>
      </c>
      <c r="B2920" s="1">
        <v>45734</v>
      </c>
      <c r="C2920">
        <v>23</v>
      </c>
      <c r="D2920" t="s">
        <v>17</v>
      </c>
      <c r="E2920" t="s">
        <v>22</v>
      </c>
      <c r="F2920" t="s">
        <v>21</v>
      </c>
      <c r="H2920">
        <v>52.6</v>
      </c>
      <c r="I2920" s="13">
        <v>4</v>
      </c>
      <c r="J2920">
        <v>0</v>
      </c>
      <c r="K2920">
        <v>0</v>
      </c>
      <c r="L2920">
        <v>0</v>
      </c>
      <c r="M2920">
        <v>0</v>
      </c>
      <c r="O2920">
        <f t="shared" si="45"/>
        <v>3</v>
      </c>
    </row>
    <row r="2921" spans="1:15">
      <c r="A2921">
        <v>4102</v>
      </c>
      <c r="B2921" s="1">
        <v>45734</v>
      </c>
      <c r="C2921">
        <v>59</v>
      </c>
      <c r="D2921" t="s">
        <v>17</v>
      </c>
      <c r="E2921" t="s">
        <v>22</v>
      </c>
      <c r="F2921" t="s">
        <v>16</v>
      </c>
      <c r="H2921">
        <v>43.6</v>
      </c>
      <c r="I2921" s="13">
        <v>7</v>
      </c>
      <c r="J2921">
        <v>0</v>
      </c>
      <c r="K2921">
        <v>0</v>
      </c>
      <c r="L2921">
        <v>0</v>
      </c>
      <c r="M2921">
        <v>0</v>
      </c>
      <c r="O2921">
        <f t="shared" si="45"/>
        <v>3</v>
      </c>
    </row>
    <row r="2922" spans="1:15">
      <c r="A2922">
        <v>3438</v>
      </c>
      <c r="B2922" s="1">
        <v>45765</v>
      </c>
      <c r="C2922">
        <v>38</v>
      </c>
      <c r="D2922" t="s">
        <v>14</v>
      </c>
      <c r="E2922" t="s">
        <v>15</v>
      </c>
      <c r="F2922" t="s">
        <v>21</v>
      </c>
      <c r="H2922">
        <v>575.6</v>
      </c>
      <c r="I2922" s="13">
        <v>6</v>
      </c>
      <c r="J2922">
        <v>1</v>
      </c>
      <c r="K2922">
        <v>166.04</v>
      </c>
      <c r="L2922">
        <v>3</v>
      </c>
      <c r="M2922">
        <v>6</v>
      </c>
      <c r="N2922">
        <v>4</v>
      </c>
      <c r="O2922">
        <f t="shared" si="45"/>
        <v>4</v>
      </c>
    </row>
    <row r="2923" spans="1:15">
      <c r="A2923">
        <v>2228</v>
      </c>
      <c r="B2923" s="1">
        <v>45765</v>
      </c>
      <c r="C2923">
        <v>39</v>
      </c>
      <c r="D2923" t="s">
        <v>14</v>
      </c>
      <c r="E2923" t="s">
        <v>20</v>
      </c>
      <c r="F2923" t="s">
        <v>16</v>
      </c>
      <c r="H2923">
        <v>595.29999999999995</v>
      </c>
      <c r="I2923" s="13">
        <v>9</v>
      </c>
      <c r="J2923">
        <v>1</v>
      </c>
      <c r="K2923">
        <v>132.86000000000001</v>
      </c>
      <c r="L2923">
        <v>2</v>
      </c>
      <c r="M2923">
        <v>9</v>
      </c>
      <c r="N2923">
        <v>4</v>
      </c>
      <c r="O2923">
        <f t="shared" si="45"/>
        <v>4</v>
      </c>
    </row>
    <row r="2924" spans="1:15">
      <c r="A2924">
        <v>4923</v>
      </c>
      <c r="B2924" s="1">
        <v>45765</v>
      </c>
      <c r="C2924">
        <v>55</v>
      </c>
      <c r="D2924" t="s">
        <v>17</v>
      </c>
      <c r="E2924" t="s">
        <v>15</v>
      </c>
      <c r="F2924" t="s">
        <v>16</v>
      </c>
      <c r="H2924">
        <v>203.2</v>
      </c>
      <c r="I2924" s="13">
        <v>4</v>
      </c>
      <c r="J2924">
        <v>1</v>
      </c>
      <c r="K2924">
        <v>130.4</v>
      </c>
      <c r="L2924">
        <v>2</v>
      </c>
      <c r="M2924">
        <v>6</v>
      </c>
      <c r="N2924">
        <v>4</v>
      </c>
      <c r="O2924">
        <f t="shared" si="45"/>
        <v>4</v>
      </c>
    </row>
    <row r="2925" spans="1:15">
      <c r="A2925">
        <v>3730</v>
      </c>
      <c r="B2925" s="1">
        <v>45765</v>
      </c>
      <c r="C2925">
        <v>19</v>
      </c>
      <c r="D2925" t="s">
        <v>17</v>
      </c>
      <c r="E2925" t="s">
        <v>22</v>
      </c>
      <c r="F2925" t="s">
        <v>18</v>
      </c>
      <c r="G2925" t="s">
        <v>26</v>
      </c>
      <c r="H2925">
        <v>601.20000000000005</v>
      </c>
      <c r="I2925" s="13">
        <v>7</v>
      </c>
      <c r="J2925">
        <v>1</v>
      </c>
      <c r="K2925">
        <v>105.24</v>
      </c>
      <c r="L2925">
        <v>6</v>
      </c>
      <c r="M2925">
        <v>4</v>
      </c>
      <c r="N2925">
        <v>4</v>
      </c>
      <c r="O2925">
        <f t="shared" si="45"/>
        <v>4</v>
      </c>
    </row>
    <row r="2926" spans="1:15">
      <c r="A2926">
        <v>4524</v>
      </c>
      <c r="B2926" s="1">
        <v>45765</v>
      </c>
      <c r="C2926">
        <v>46</v>
      </c>
      <c r="D2926" t="s">
        <v>17</v>
      </c>
      <c r="E2926" t="s">
        <v>24</v>
      </c>
      <c r="F2926" t="s">
        <v>23</v>
      </c>
      <c r="H2926">
        <v>582</v>
      </c>
      <c r="I2926" s="13">
        <v>5</v>
      </c>
      <c r="J2926">
        <v>1</v>
      </c>
      <c r="K2926">
        <v>104.38</v>
      </c>
      <c r="L2926">
        <v>2</v>
      </c>
      <c r="M2926">
        <v>8</v>
      </c>
      <c r="N2926">
        <v>3</v>
      </c>
      <c r="O2926">
        <f t="shared" si="45"/>
        <v>4</v>
      </c>
    </row>
    <row r="2927" spans="1:15">
      <c r="A2927">
        <v>4337</v>
      </c>
      <c r="B2927" s="1">
        <v>45765</v>
      </c>
      <c r="C2927">
        <v>41</v>
      </c>
      <c r="D2927" t="s">
        <v>14</v>
      </c>
      <c r="E2927" t="s">
        <v>20</v>
      </c>
      <c r="F2927" t="s">
        <v>16</v>
      </c>
      <c r="H2927">
        <v>109.6</v>
      </c>
      <c r="I2927" s="13">
        <v>7</v>
      </c>
      <c r="J2927">
        <v>1</v>
      </c>
      <c r="K2927">
        <v>99.64</v>
      </c>
      <c r="L2927">
        <v>3</v>
      </c>
      <c r="M2927">
        <v>1</v>
      </c>
      <c r="N2927">
        <v>4</v>
      </c>
      <c r="O2927">
        <f t="shared" si="45"/>
        <v>4</v>
      </c>
    </row>
    <row r="2928" spans="1:15">
      <c r="A2928">
        <v>850</v>
      </c>
      <c r="B2928" s="1">
        <v>45765</v>
      </c>
      <c r="C2928">
        <v>23</v>
      </c>
      <c r="D2928" t="s">
        <v>17</v>
      </c>
      <c r="E2928" t="s">
        <v>20</v>
      </c>
      <c r="F2928" t="s">
        <v>18</v>
      </c>
      <c r="G2928" t="s">
        <v>26</v>
      </c>
      <c r="H2928">
        <v>1255.5</v>
      </c>
      <c r="I2928" s="13">
        <v>8</v>
      </c>
      <c r="J2928">
        <v>1</v>
      </c>
      <c r="K2928">
        <v>73.33</v>
      </c>
      <c r="L2928">
        <v>2</v>
      </c>
      <c r="M2928">
        <v>14</v>
      </c>
      <c r="N2928">
        <v>5</v>
      </c>
      <c r="O2928">
        <f t="shared" si="45"/>
        <v>4</v>
      </c>
    </row>
    <row r="2929" spans="1:15">
      <c r="A2929">
        <v>1032</v>
      </c>
      <c r="B2929" s="1">
        <v>45765</v>
      </c>
      <c r="C2929">
        <v>18</v>
      </c>
      <c r="D2929" t="s">
        <v>14</v>
      </c>
      <c r="E2929" t="s">
        <v>20</v>
      </c>
      <c r="F2929" t="s">
        <v>21</v>
      </c>
      <c r="H2929">
        <v>254.1</v>
      </c>
      <c r="I2929" s="13">
        <v>6</v>
      </c>
      <c r="J2929">
        <v>1</v>
      </c>
      <c r="K2929">
        <v>57.3</v>
      </c>
      <c r="L2929">
        <v>1</v>
      </c>
      <c r="M2929">
        <v>7</v>
      </c>
      <c r="N2929">
        <v>3</v>
      </c>
      <c r="O2929">
        <f t="shared" si="45"/>
        <v>4</v>
      </c>
    </row>
    <row r="2930" spans="1:15">
      <c r="A2930">
        <v>977</v>
      </c>
      <c r="B2930" s="1">
        <v>45765</v>
      </c>
      <c r="C2930">
        <v>32</v>
      </c>
      <c r="D2930" t="s">
        <v>14</v>
      </c>
      <c r="E2930" t="s">
        <v>22</v>
      </c>
      <c r="F2930" t="s">
        <v>16</v>
      </c>
      <c r="H2930">
        <v>780.9</v>
      </c>
      <c r="I2930" s="13">
        <v>8</v>
      </c>
      <c r="J2930">
        <v>1</v>
      </c>
      <c r="K2930">
        <v>55.7</v>
      </c>
      <c r="L2930">
        <v>2</v>
      </c>
      <c r="M2930">
        <v>2</v>
      </c>
      <c r="N2930">
        <v>4</v>
      </c>
      <c r="O2930">
        <f t="shared" si="45"/>
        <v>4</v>
      </c>
    </row>
    <row r="2931" spans="1:15">
      <c r="A2931">
        <v>950</v>
      </c>
      <c r="B2931" s="1">
        <v>45765</v>
      </c>
      <c r="C2931">
        <v>19</v>
      </c>
      <c r="D2931" t="s">
        <v>14</v>
      </c>
      <c r="E2931" t="s">
        <v>24</v>
      </c>
      <c r="F2931" t="s">
        <v>18</v>
      </c>
      <c r="G2931" t="s">
        <v>29</v>
      </c>
      <c r="H2931">
        <v>236</v>
      </c>
      <c r="I2931" s="13">
        <v>5</v>
      </c>
      <c r="J2931">
        <v>1</v>
      </c>
      <c r="K2931">
        <v>53.18</v>
      </c>
      <c r="L2931">
        <v>4</v>
      </c>
      <c r="M2931">
        <v>14</v>
      </c>
      <c r="N2931">
        <v>4</v>
      </c>
      <c r="O2931">
        <f t="shared" si="45"/>
        <v>4</v>
      </c>
    </row>
    <row r="2932" spans="1:15">
      <c r="A2932">
        <v>4352</v>
      </c>
      <c r="B2932" s="1">
        <v>45765</v>
      </c>
      <c r="C2932">
        <v>72</v>
      </c>
      <c r="D2932" t="s">
        <v>17</v>
      </c>
      <c r="E2932" t="s">
        <v>15</v>
      </c>
      <c r="F2932" t="s">
        <v>18</v>
      </c>
      <c r="G2932" t="s">
        <v>31</v>
      </c>
      <c r="H2932">
        <v>219.4</v>
      </c>
      <c r="I2932" s="13">
        <v>8</v>
      </c>
      <c r="J2932">
        <v>1</v>
      </c>
      <c r="K2932">
        <v>42.34</v>
      </c>
      <c r="L2932">
        <v>2</v>
      </c>
      <c r="M2932">
        <v>4</v>
      </c>
      <c r="N2932">
        <v>5</v>
      </c>
      <c r="O2932">
        <f t="shared" si="45"/>
        <v>4</v>
      </c>
    </row>
    <row r="2933" spans="1:15">
      <c r="A2933">
        <v>3767</v>
      </c>
      <c r="B2933" s="1">
        <v>45765</v>
      </c>
      <c r="C2933">
        <v>43</v>
      </c>
      <c r="D2933" t="s">
        <v>17</v>
      </c>
      <c r="E2933" t="s">
        <v>22</v>
      </c>
      <c r="F2933" t="s">
        <v>18</v>
      </c>
      <c r="G2933" t="s">
        <v>29</v>
      </c>
      <c r="H2933">
        <v>890.9</v>
      </c>
      <c r="I2933" s="13">
        <v>7</v>
      </c>
      <c r="J2933">
        <v>1</v>
      </c>
      <c r="K2933">
        <v>37.21</v>
      </c>
      <c r="L2933">
        <v>7</v>
      </c>
      <c r="M2933">
        <v>14</v>
      </c>
      <c r="N2933">
        <v>3</v>
      </c>
      <c r="O2933">
        <f t="shared" si="45"/>
        <v>4</v>
      </c>
    </row>
    <row r="2934" spans="1:15">
      <c r="A2934">
        <v>4501</v>
      </c>
      <c r="B2934" s="1">
        <v>45765</v>
      </c>
      <c r="C2934">
        <v>48</v>
      </c>
      <c r="D2934" t="s">
        <v>17</v>
      </c>
      <c r="E2934" t="s">
        <v>24</v>
      </c>
      <c r="F2934" t="s">
        <v>18</v>
      </c>
      <c r="G2934" t="s">
        <v>25</v>
      </c>
      <c r="H2934">
        <v>854.1</v>
      </c>
      <c r="I2934" s="13">
        <v>6</v>
      </c>
      <c r="J2934">
        <v>1</v>
      </c>
      <c r="K2934">
        <v>33.43</v>
      </c>
      <c r="L2934">
        <v>4</v>
      </c>
      <c r="M2934">
        <v>9</v>
      </c>
      <c r="N2934">
        <v>3</v>
      </c>
      <c r="O2934">
        <f t="shared" si="45"/>
        <v>4</v>
      </c>
    </row>
    <row r="2935" spans="1:15">
      <c r="A2935">
        <v>3339</v>
      </c>
      <c r="B2935" s="1">
        <v>45765</v>
      </c>
      <c r="C2935">
        <v>29</v>
      </c>
      <c r="D2935" t="s">
        <v>17</v>
      </c>
      <c r="E2935" t="s">
        <v>24</v>
      </c>
      <c r="F2935" t="s">
        <v>18</v>
      </c>
      <c r="G2935" t="s">
        <v>31</v>
      </c>
      <c r="H2935">
        <v>575.1</v>
      </c>
      <c r="I2935" s="13">
        <v>5</v>
      </c>
      <c r="J2935">
        <v>1</v>
      </c>
      <c r="K2935">
        <v>29.31</v>
      </c>
      <c r="L2935">
        <v>5</v>
      </c>
      <c r="M2935">
        <v>11</v>
      </c>
      <c r="N2935">
        <v>4</v>
      </c>
      <c r="O2935">
        <f t="shared" si="45"/>
        <v>4</v>
      </c>
    </row>
    <row r="2936" spans="1:15">
      <c r="A2936">
        <v>3793</v>
      </c>
      <c r="B2936" s="1">
        <v>45765</v>
      </c>
      <c r="C2936">
        <v>51</v>
      </c>
      <c r="D2936" t="s">
        <v>14</v>
      </c>
      <c r="E2936" t="s">
        <v>22</v>
      </c>
      <c r="F2936" t="s">
        <v>16</v>
      </c>
      <c r="H2936">
        <v>510.9</v>
      </c>
      <c r="I2936" s="13">
        <v>7</v>
      </c>
      <c r="J2936">
        <v>1</v>
      </c>
      <c r="K2936">
        <v>19.36</v>
      </c>
      <c r="L2936">
        <v>4</v>
      </c>
      <c r="M2936">
        <v>5</v>
      </c>
      <c r="N2936">
        <v>4</v>
      </c>
      <c r="O2936">
        <f t="shared" si="45"/>
        <v>4</v>
      </c>
    </row>
    <row r="2937" spans="1:15">
      <c r="A2937">
        <v>3063</v>
      </c>
      <c r="B2937" s="1">
        <v>45765</v>
      </c>
      <c r="C2937">
        <v>41</v>
      </c>
      <c r="D2937" t="s">
        <v>17</v>
      </c>
      <c r="E2937" t="s">
        <v>24</v>
      </c>
      <c r="F2937" t="s">
        <v>23</v>
      </c>
      <c r="H2937">
        <v>52.9</v>
      </c>
      <c r="I2937" s="13">
        <v>6</v>
      </c>
      <c r="J2937">
        <v>1</v>
      </c>
      <c r="K2937">
        <v>16.78</v>
      </c>
      <c r="L2937">
        <v>1</v>
      </c>
      <c r="M2937">
        <v>15</v>
      </c>
      <c r="N2937">
        <v>4</v>
      </c>
      <c r="O2937">
        <f t="shared" si="45"/>
        <v>4</v>
      </c>
    </row>
    <row r="2938" spans="1:15">
      <c r="A2938">
        <v>3075</v>
      </c>
      <c r="B2938" s="1">
        <v>45765</v>
      </c>
      <c r="C2938">
        <v>35</v>
      </c>
      <c r="D2938" t="s">
        <v>17</v>
      </c>
      <c r="E2938" t="s">
        <v>22</v>
      </c>
      <c r="F2938" t="s">
        <v>16</v>
      </c>
      <c r="H2938">
        <v>498.6</v>
      </c>
      <c r="I2938" s="13">
        <v>7</v>
      </c>
      <c r="J2938">
        <v>0</v>
      </c>
      <c r="K2938">
        <v>0</v>
      </c>
      <c r="L2938">
        <v>0</v>
      </c>
      <c r="M2938">
        <v>0</v>
      </c>
      <c r="O2938">
        <f t="shared" si="45"/>
        <v>4</v>
      </c>
    </row>
    <row r="2939" spans="1:15">
      <c r="A2939">
        <v>1953</v>
      </c>
      <c r="B2939" s="1">
        <v>45765</v>
      </c>
      <c r="C2939">
        <v>39</v>
      </c>
      <c r="D2939" t="s">
        <v>17</v>
      </c>
      <c r="E2939" t="s">
        <v>22</v>
      </c>
      <c r="F2939" t="s">
        <v>16</v>
      </c>
      <c r="H2939">
        <v>434.6</v>
      </c>
      <c r="I2939" s="13">
        <v>4</v>
      </c>
      <c r="J2939">
        <v>0</v>
      </c>
      <c r="K2939">
        <v>0</v>
      </c>
      <c r="L2939">
        <v>0</v>
      </c>
      <c r="M2939">
        <v>0</v>
      </c>
      <c r="O2939">
        <f t="shared" si="45"/>
        <v>4</v>
      </c>
    </row>
    <row r="2940" spans="1:15">
      <c r="A2940">
        <v>4286</v>
      </c>
      <c r="B2940" s="1">
        <v>45765</v>
      </c>
      <c r="C2940">
        <v>72</v>
      </c>
      <c r="D2940" t="s">
        <v>17</v>
      </c>
      <c r="E2940" t="s">
        <v>20</v>
      </c>
      <c r="F2940" t="s">
        <v>18</v>
      </c>
      <c r="G2940" t="s">
        <v>31</v>
      </c>
      <c r="H2940">
        <v>358.6</v>
      </c>
      <c r="I2940" s="13">
        <v>8</v>
      </c>
      <c r="J2940">
        <v>0</v>
      </c>
      <c r="K2940">
        <v>0</v>
      </c>
      <c r="L2940">
        <v>0</v>
      </c>
      <c r="M2940">
        <v>0</v>
      </c>
      <c r="O2940">
        <f t="shared" si="45"/>
        <v>4</v>
      </c>
    </row>
    <row r="2941" spans="1:15">
      <c r="A2941">
        <v>2692</v>
      </c>
      <c r="B2941" s="1">
        <v>45765</v>
      </c>
      <c r="C2941">
        <v>29</v>
      </c>
      <c r="D2941" t="s">
        <v>17</v>
      </c>
      <c r="E2941" t="s">
        <v>20</v>
      </c>
      <c r="F2941" t="s">
        <v>18</v>
      </c>
      <c r="G2941" t="s">
        <v>26</v>
      </c>
      <c r="H2941">
        <v>341.1</v>
      </c>
      <c r="I2941" s="13">
        <v>5</v>
      </c>
      <c r="J2941">
        <v>0</v>
      </c>
      <c r="K2941">
        <v>0</v>
      </c>
      <c r="L2941">
        <v>0</v>
      </c>
      <c r="M2941">
        <v>0</v>
      </c>
      <c r="O2941">
        <f t="shared" si="45"/>
        <v>4</v>
      </c>
    </row>
    <row r="2942" spans="1:15">
      <c r="A2942">
        <v>712</v>
      </c>
      <c r="B2942" s="1">
        <v>45765</v>
      </c>
      <c r="C2942">
        <v>28</v>
      </c>
      <c r="D2942" t="s">
        <v>17</v>
      </c>
      <c r="E2942" t="s">
        <v>24</v>
      </c>
      <c r="F2942" t="s">
        <v>21</v>
      </c>
      <c r="H2942">
        <v>331.7</v>
      </c>
      <c r="I2942" s="13">
        <v>5</v>
      </c>
      <c r="J2942">
        <v>0</v>
      </c>
      <c r="K2942">
        <v>0</v>
      </c>
      <c r="L2942">
        <v>0</v>
      </c>
      <c r="M2942">
        <v>0</v>
      </c>
      <c r="O2942">
        <f t="shared" si="45"/>
        <v>4</v>
      </c>
    </row>
    <row r="2943" spans="1:15">
      <c r="A2943">
        <v>3464</v>
      </c>
      <c r="B2943" s="1">
        <v>45765</v>
      </c>
      <c r="C2943">
        <v>48</v>
      </c>
      <c r="D2943" t="s">
        <v>17</v>
      </c>
      <c r="E2943" t="s">
        <v>22</v>
      </c>
      <c r="F2943" t="s">
        <v>16</v>
      </c>
      <c r="H2943">
        <v>290.60000000000002</v>
      </c>
      <c r="I2943" s="13">
        <v>5</v>
      </c>
      <c r="J2943">
        <v>0</v>
      </c>
      <c r="K2943">
        <v>0</v>
      </c>
      <c r="L2943">
        <v>0</v>
      </c>
      <c r="M2943">
        <v>0</v>
      </c>
      <c r="O2943">
        <f t="shared" si="45"/>
        <v>4</v>
      </c>
    </row>
    <row r="2944" spans="1:15">
      <c r="A2944">
        <v>4300</v>
      </c>
      <c r="B2944" s="1">
        <v>45765</v>
      </c>
      <c r="C2944">
        <v>50</v>
      </c>
      <c r="D2944" t="s">
        <v>17</v>
      </c>
      <c r="E2944" t="s">
        <v>24</v>
      </c>
      <c r="F2944" t="s">
        <v>18</v>
      </c>
      <c r="G2944" t="s">
        <v>31</v>
      </c>
      <c r="H2944">
        <v>271.3</v>
      </c>
      <c r="I2944" s="13">
        <v>3</v>
      </c>
      <c r="J2944">
        <v>0</v>
      </c>
      <c r="K2944">
        <v>0</v>
      </c>
      <c r="L2944">
        <v>0</v>
      </c>
      <c r="M2944">
        <v>0</v>
      </c>
      <c r="O2944">
        <f t="shared" si="45"/>
        <v>4</v>
      </c>
    </row>
    <row r="2945" spans="1:15">
      <c r="A2945">
        <v>4717</v>
      </c>
      <c r="B2945" s="1">
        <v>45765</v>
      </c>
      <c r="C2945">
        <v>51</v>
      </c>
      <c r="D2945" t="s">
        <v>17</v>
      </c>
      <c r="E2945" t="s">
        <v>22</v>
      </c>
      <c r="F2945" t="s">
        <v>16</v>
      </c>
      <c r="H2945">
        <v>226.1</v>
      </c>
      <c r="I2945" s="13">
        <v>5</v>
      </c>
      <c r="J2945">
        <v>0</v>
      </c>
      <c r="K2945">
        <v>0</v>
      </c>
      <c r="L2945">
        <v>0</v>
      </c>
      <c r="M2945">
        <v>0</v>
      </c>
      <c r="O2945">
        <f t="shared" si="45"/>
        <v>4</v>
      </c>
    </row>
    <row r="2946" spans="1:15">
      <c r="A2946">
        <v>3649</v>
      </c>
      <c r="B2946" s="1">
        <v>45765</v>
      </c>
      <c r="C2946">
        <v>28</v>
      </c>
      <c r="D2946" t="s">
        <v>27</v>
      </c>
      <c r="E2946" t="s">
        <v>15</v>
      </c>
      <c r="F2946" t="s">
        <v>16</v>
      </c>
      <c r="H2946">
        <v>212.9</v>
      </c>
      <c r="I2946" s="13">
        <v>5</v>
      </c>
      <c r="J2946">
        <v>0</v>
      </c>
      <c r="K2946">
        <v>0</v>
      </c>
      <c r="L2946">
        <v>0</v>
      </c>
      <c r="M2946">
        <v>0</v>
      </c>
      <c r="O2946">
        <f t="shared" si="45"/>
        <v>4</v>
      </c>
    </row>
    <row r="2947" spans="1:15">
      <c r="A2947">
        <v>980</v>
      </c>
      <c r="B2947" s="1">
        <v>45765</v>
      </c>
      <c r="C2947">
        <v>27</v>
      </c>
      <c r="D2947" t="s">
        <v>17</v>
      </c>
      <c r="E2947" t="s">
        <v>22</v>
      </c>
      <c r="F2947" t="s">
        <v>23</v>
      </c>
      <c r="H2947">
        <v>197.1</v>
      </c>
      <c r="I2947" s="13">
        <v>7</v>
      </c>
      <c r="J2947">
        <v>0</v>
      </c>
      <c r="K2947">
        <v>0</v>
      </c>
      <c r="L2947">
        <v>0</v>
      </c>
      <c r="M2947">
        <v>0</v>
      </c>
      <c r="O2947">
        <f t="shared" ref="O2947:O3010" si="46">MONTH(B2947)</f>
        <v>4</v>
      </c>
    </row>
    <row r="2948" spans="1:15">
      <c r="A2948">
        <v>1583</v>
      </c>
      <c r="B2948" s="1">
        <v>45765</v>
      </c>
      <c r="C2948">
        <v>21</v>
      </c>
      <c r="D2948" t="s">
        <v>17</v>
      </c>
      <c r="E2948" t="s">
        <v>15</v>
      </c>
      <c r="F2948" t="s">
        <v>16</v>
      </c>
      <c r="H2948">
        <v>192.8</v>
      </c>
      <c r="I2948" s="13">
        <v>6</v>
      </c>
      <c r="J2948">
        <v>0</v>
      </c>
      <c r="K2948">
        <v>0</v>
      </c>
      <c r="L2948">
        <v>0</v>
      </c>
      <c r="M2948">
        <v>0</v>
      </c>
      <c r="O2948">
        <f t="shared" si="46"/>
        <v>4</v>
      </c>
    </row>
    <row r="2949" spans="1:15">
      <c r="A2949">
        <v>3372</v>
      </c>
      <c r="B2949" s="1">
        <v>45765</v>
      </c>
      <c r="C2949">
        <v>19</v>
      </c>
      <c r="D2949" t="s">
        <v>17</v>
      </c>
      <c r="E2949" t="s">
        <v>15</v>
      </c>
      <c r="F2949" t="s">
        <v>16</v>
      </c>
      <c r="H2949">
        <v>160.6</v>
      </c>
      <c r="I2949" s="13">
        <v>5</v>
      </c>
      <c r="J2949">
        <v>0</v>
      </c>
      <c r="K2949">
        <v>0</v>
      </c>
      <c r="L2949">
        <v>0</v>
      </c>
      <c r="M2949">
        <v>0</v>
      </c>
      <c r="O2949">
        <f t="shared" si="46"/>
        <v>4</v>
      </c>
    </row>
    <row r="2950" spans="1:15">
      <c r="A2950">
        <v>4704</v>
      </c>
      <c r="B2950" s="1">
        <v>45765</v>
      </c>
      <c r="C2950">
        <v>30</v>
      </c>
      <c r="D2950" t="s">
        <v>17</v>
      </c>
      <c r="E2950" t="s">
        <v>24</v>
      </c>
      <c r="F2950" t="s">
        <v>16</v>
      </c>
      <c r="H2950">
        <v>150.6</v>
      </c>
      <c r="I2950" s="13">
        <v>8</v>
      </c>
      <c r="J2950">
        <v>0</v>
      </c>
      <c r="K2950">
        <v>0</v>
      </c>
      <c r="L2950">
        <v>0</v>
      </c>
      <c r="M2950">
        <v>0</v>
      </c>
      <c r="O2950">
        <f t="shared" si="46"/>
        <v>4</v>
      </c>
    </row>
    <row r="2951" spans="1:15">
      <c r="A2951">
        <v>55</v>
      </c>
      <c r="B2951" s="1">
        <v>45765</v>
      </c>
      <c r="C2951">
        <v>18</v>
      </c>
      <c r="D2951" t="s">
        <v>17</v>
      </c>
      <c r="E2951" t="s">
        <v>20</v>
      </c>
      <c r="F2951" t="s">
        <v>16</v>
      </c>
      <c r="H2951">
        <v>104.4</v>
      </c>
      <c r="I2951" s="13">
        <v>3</v>
      </c>
      <c r="J2951">
        <v>0</v>
      </c>
      <c r="K2951">
        <v>0</v>
      </c>
      <c r="L2951">
        <v>0</v>
      </c>
      <c r="M2951">
        <v>0</v>
      </c>
      <c r="O2951">
        <f t="shared" si="46"/>
        <v>4</v>
      </c>
    </row>
    <row r="2952" spans="1:15">
      <c r="A2952">
        <v>2249</v>
      </c>
      <c r="B2952" s="1">
        <v>45765</v>
      </c>
      <c r="C2952">
        <v>44</v>
      </c>
      <c r="D2952" t="s">
        <v>14</v>
      </c>
      <c r="E2952" t="s">
        <v>20</v>
      </c>
      <c r="F2952" t="s">
        <v>16</v>
      </c>
      <c r="H2952">
        <v>86.6</v>
      </c>
      <c r="I2952" s="13">
        <v>7</v>
      </c>
      <c r="J2952">
        <v>0</v>
      </c>
      <c r="K2952">
        <v>0</v>
      </c>
      <c r="L2952">
        <v>0</v>
      </c>
      <c r="M2952">
        <v>0</v>
      </c>
      <c r="O2952">
        <f t="shared" si="46"/>
        <v>4</v>
      </c>
    </row>
    <row r="2953" spans="1:15">
      <c r="A2953">
        <v>4423</v>
      </c>
      <c r="B2953" s="1">
        <v>45765</v>
      </c>
      <c r="C2953">
        <v>59</v>
      </c>
      <c r="D2953" t="s">
        <v>14</v>
      </c>
      <c r="E2953" t="s">
        <v>22</v>
      </c>
      <c r="F2953" t="s">
        <v>18</v>
      </c>
      <c r="G2953" t="s">
        <v>25</v>
      </c>
      <c r="H2953">
        <v>69.5</v>
      </c>
      <c r="I2953" s="13">
        <v>7</v>
      </c>
      <c r="J2953">
        <v>0</v>
      </c>
      <c r="K2953">
        <v>0</v>
      </c>
      <c r="L2953">
        <v>0</v>
      </c>
      <c r="M2953">
        <v>0</v>
      </c>
      <c r="O2953">
        <f t="shared" si="46"/>
        <v>4</v>
      </c>
    </row>
    <row r="2954" spans="1:15">
      <c r="A2954">
        <v>4869</v>
      </c>
      <c r="B2954" s="1">
        <v>45765</v>
      </c>
      <c r="C2954">
        <v>51</v>
      </c>
      <c r="D2954" t="s">
        <v>17</v>
      </c>
      <c r="E2954" t="s">
        <v>15</v>
      </c>
      <c r="F2954" t="s">
        <v>18</v>
      </c>
      <c r="G2954" t="s">
        <v>31</v>
      </c>
      <c r="H2954">
        <v>62.4</v>
      </c>
      <c r="I2954" s="13">
        <v>8</v>
      </c>
      <c r="J2954">
        <v>0</v>
      </c>
      <c r="K2954">
        <v>0</v>
      </c>
      <c r="L2954">
        <v>0</v>
      </c>
      <c r="M2954">
        <v>0</v>
      </c>
      <c r="O2954">
        <f t="shared" si="46"/>
        <v>4</v>
      </c>
    </row>
    <row r="2955" spans="1:15">
      <c r="A2955">
        <v>4</v>
      </c>
      <c r="B2955" s="1">
        <v>45765</v>
      </c>
      <c r="C2955">
        <v>30</v>
      </c>
      <c r="D2955" t="s">
        <v>14</v>
      </c>
      <c r="E2955" t="s">
        <v>20</v>
      </c>
      <c r="F2955" t="s">
        <v>18</v>
      </c>
      <c r="G2955" t="s">
        <v>29</v>
      </c>
      <c r="H2955">
        <v>56.8</v>
      </c>
      <c r="I2955" s="13">
        <v>7</v>
      </c>
      <c r="J2955">
        <v>0</v>
      </c>
      <c r="K2955">
        <v>0</v>
      </c>
      <c r="L2955">
        <v>0</v>
      </c>
      <c r="M2955">
        <v>0</v>
      </c>
      <c r="O2955">
        <f t="shared" si="46"/>
        <v>4</v>
      </c>
    </row>
    <row r="2956" spans="1:15">
      <c r="A2956">
        <v>5000</v>
      </c>
      <c r="B2956" s="1">
        <v>45765</v>
      </c>
      <c r="C2956">
        <v>68</v>
      </c>
      <c r="D2956" t="s">
        <v>17</v>
      </c>
      <c r="E2956" t="s">
        <v>15</v>
      </c>
      <c r="F2956" t="s">
        <v>18</v>
      </c>
      <c r="G2956" t="s">
        <v>30</v>
      </c>
      <c r="H2956">
        <v>50.1</v>
      </c>
      <c r="I2956" s="13">
        <v>6</v>
      </c>
      <c r="J2956">
        <v>0</v>
      </c>
      <c r="K2956">
        <v>0</v>
      </c>
      <c r="L2956">
        <v>0</v>
      </c>
      <c r="M2956">
        <v>0</v>
      </c>
      <c r="O2956">
        <f t="shared" si="46"/>
        <v>4</v>
      </c>
    </row>
    <row r="2957" spans="1:15">
      <c r="A2957">
        <v>4584</v>
      </c>
      <c r="B2957" s="1">
        <v>45795</v>
      </c>
      <c r="C2957">
        <v>39</v>
      </c>
      <c r="D2957" t="s">
        <v>14</v>
      </c>
      <c r="E2957" t="s">
        <v>24</v>
      </c>
      <c r="F2957" t="s">
        <v>16</v>
      </c>
      <c r="H2957">
        <v>997.3</v>
      </c>
      <c r="I2957" s="13">
        <v>6</v>
      </c>
      <c r="J2957">
        <v>1</v>
      </c>
      <c r="K2957">
        <v>226</v>
      </c>
      <c r="L2957">
        <v>4</v>
      </c>
      <c r="M2957">
        <v>15</v>
      </c>
      <c r="N2957">
        <v>4</v>
      </c>
      <c r="O2957">
        <f t="shared" si="46"/>
        <v>5</v>
      </c>
    </row>
    <row r="2958" spans="1:15">
      <c r="A2958">
        <v>1884</v>
      </c>
      <c r="B2958" s="1">
        <v>45795</v>
      </c>
      <c r="C2958">
        <v>22</v>
      </c>
      <c r="D2958" t="s">
        <v>17</v>
      </c>
      <c r="E2958" t="s">
        <v>15</v>
      </c>
      <c r="F2958" t="s">
        <v>18</v>
      </c>
      <c r="G2958" t="s">
        <v>29</v>
      </c>
      <c r="H2958">
        <v>848.1</v>
      </c>
      <c r="I2958" s="13">
        <v>4</v>
      </c>
      <c r="J2958">
        <v>1</v>
      </c>
      <c r="K2958">
        <v>105.16</v>
      </c>
      <c r="L2958">
        <v>3</v>
      </c>
      <c r="M2958">
        <v>3</v>
      </c>
      <c r="N2958">
        <v>4</v>
      </c>
      <c r="O2958">
        <f t="shared" si="46"/>
        <v>5</v>
      </c>
    </row>
    <row r="2959" spans="1:15">
      <c r="A2959">
        <v>1478</v>
      </c>
      <c r="B2959" s="1">
        <v>45795</v>
      </c>
      <c r="C2959">
        <v>19</v>
      </c>
      <c r="D2959" t="s">
        <v>14</v>
      </c>
      <c r="E2959" t="s">
        <v>22</v>
      </c>
      <c r="F2959" t="s">
        <v>16</v>
      </c>
      <c r="H2959">
        <v>1321</v>
      </c>
      <c r="I2959" s="13">
        <v>4</v>
      </c>
      <c r="J2959">
        <v>1</v>
      </c>
      <c r="K2959">
        <v>103.42</v>
      </c>
      <c r="L2959">
        <v>1</v>
      </c>
      <c r="M2959">
        <v>4</v>
      </c>
      <c r="N2959">
        <v>5</v>
      </c>
      <c r="O2959">
        <f t="shared" si="46"/>
        <v>5</v>
      </c>
    </row>
    <row r="2960" spans="1:15">
      <c r="A2960">
        <v>2188</v>
      </c>
      <c r="B2960" s="1">
        <v>45795</v>
      </c>
      <c r="C2960">
        <v>23</v>
      </c>
      <c r="D2960" t="s">
        <v>17</v>
      </c>
      <c r="E2960" t="s">
        <v>15</v>
      </c>
      <c r="F2960" t="s">
        <v>16</v>
      </c>
      <c r="H2960">
        <v>329.3</v>
      </c>
      <c r="I2960" s="13">
        <v>3</v>
      </c>
      <c r="J2960">
        <v>1</v>
      </c>
      <c r="K2960">
        <v>88.71</v>
      </c>
      <c r="L2960">
        <v>4</v>
      </c>
      <c r="M2960">
        <v>5</v>
      </c>
      <c r="N2960">
        <v>5</v>
      </c>
      <c r="O2960">
        <f t="shared" si="46"/>
        <v>5</v>
      </c>
    </row>
    <row r="2961" spans="1:15">
      <c r="A2961">
        <v>2443</v>
      </c>
      <c r="B2961" s="1">
        <v>45795</v>
      </c>
      <c r="C2961">
        <v>39</v>
      </c>
      <c r="D2961" t="s">
        <v>17</v>
      </c>
      <c r="E2961" t="s">
        <v>24</v>
      </c>
      <c r="F2961" t="s">
        <v>16</v>
      </c>
      <c r="H2961">
        <v>758.3</v>
      </c>
      <c r="I2961" s="13">
        <v>4</v>
      </c>
      <c r="J2961">
        <v>1</v>
      </c>
      <c r="K2961">
        <v>39.17</v>
      </c>
      <c r="L2961">
        <v>3</v>
      </c>
      <c r="M2961">
        <v>4</v>
      </c>
      <c r="N2961">
        <v>4</v>
      </c>
      <c r="O2961">
        <f t="shared" si="46"/>
        <v>5</v>
      </c>
    </row>
    <row r="2962" spans="1:15">
      <c r="A2962">
        <v>432</v>
      </c>
      <c r="B2962" s="1">
        <v>45795</v>
      </c>
      <c r="C2962">
        <v>26</v>
      </c>
      <c r="D2962" t="s">
        <v>14</v>
      </c>
      <c r="E2962" t="s">
        <v>15</v>
      </c>
      <c r="F2962" t="s">
        <v>16</v>
      </c>
      <c r="H2962">
        <v>775.7</v>
      </c>
      <c r="I2962" s="13">
        <v>6</v>
      </c>
      <c r="J2962">
        <v>1</v>
      </c>
      <c r="K2962">
        <v>36.78</v>
      </c>
      <c r="L2962">
        <v>5</v>
      </c>
      <c r="M2962">
        <v>2</v>
      </c>
      <c r="N2962">
        <v>3</v>
      </c>
      <c r="O2962">
        <f t="shared" si="46"/>
        <v>5</v>
      </c>
    </row>
    <row r="2963" spans="1:15">
      <c r="A2963">
        <v>1991</v>
      </c>
      <c r="B2963" s="1">
        <v>45795</v>
      </c>
      <c r="C2963">
        <v>36</v>
      </c>
      <c r="D2963" t="s">
        <v>14</v>
      </c>
      <c r="E2963" t="s">
        <v>15</v>
      </c>
      <c r="F2963" t="s">
        <v>16</v>
      </c>
      <c r="H2963">
        <v>819</v>
      </c>
      <c r="I2963" s="13">
        <v>8</v>
      </c>
      <c r="J2963">
        <v>0</v>
      </c>
      <c r="K2963">
        <v>0</v>
      </c>
      <c r="L2963">
        <v>0</v>
      </c>
      <c r="M2963">
        <v>0</v>
      </c>
      <c r="O2963">
        <f t="shared" si="46"/>
        <v>5</v>
      </c>
    </row>
    <row r="2964" spans="1:15">
      <c r="A2964">
        <v>4363</v>
      </c>
      <c r="B2964" s="1">
        <v>45795</v>
      </c>
      <c r="C2964">
        <v>58</v>
      </c>
      <c r="D2964" t="s">
        <v>17</v>
      </c>
      <c r="E2964" t="s">
        <v>15</v>
      </c>
      <c r="F2964" t="s">
        <v>16</v>
      </c>
      <c r="H2964">
        <v>779.7</v>
      </c>
      <c r="I2964" s="13">
        <v>5</v>
      </c>
      <c r="J2964">
        <v>0</v>
      </c>
      <c r="K2964">
        <v>0</v>
      </c>
      <c r="L2964">
        <v>0</v>
      </c>
      <c r="M2964">
        <v>0</v>
      </c>
      <c r="O2964">
        <f t="shared" si="46"/>
        <v>5</v>
      </c>
    </row>
    <row r="2965" spans="1:15">
      <c r="A2965">
        <v>2902</v>
      </c>
      <c r="B2965" s="1">
        <v>45795</v>
      </c>
      <c r="C2965">
        <v>28</v>
      </c>
      <c r="D2965" t="s">
        <v>17</v>
      </c>
      <c r="E2965" t="s">
        <v>24</v>
      </c>
      <c r="F2965" t="s">
        <v>23</v>
      </c>
      <c r="H2965">
        <v>677.5</v>
      </c>
      <c r="I2965" s="13">
        <v>5</v>
      </c>
      <c r="J2965">
        <v>0</v>
      </c>
      <c r="K2965">
        <v>0</v>
      </c>
      <c r="L2965">
        <v>0</v>
      </c>
      <c r="M2965">
        <v>0</v>
      </c>
      <c r="O2965">
        <f t="shared" si="46"/>
        <v>5</v>
      </c>
    </row>
    <row r="2966" spans="1:15">
      <c r="A2966">
        <v>1690</v>
      </c>
      <c r="B2966" s="1">
        <v>45795</v>
      </c>
      <c r="C2966">
        <v>29</v>
      </c>
      <c r="D2966" t="s">
        <v>17</v>
      </c>
      <c r="E2966" t="s">
        <v>24</v>
      </c>
      <c r="F2966" t="s">
        <v>18</v>
      </c>
      <c r="G2966" t="s">
        <v>28</v>
      </c>
      <c r="H2966">
        <v>577.4</v>
      </c>
      <c r="I2966" s="13">
        <v>6</v>
      </c>
      <c r="J2966">
        <v>0</v>
      </c>
      <c r="K2966">
        <v>0</v>
      </c>
      <c r="L2966">
        <v>0</v>
      </c>
      <c r="M2966">
        <v>0</v>
      </c>
      <c r="O2966">
        <f t="shared" si="46"/>
        <v>5</v>
      </c>
    </row>
    <row r="2967" spans="1:15">
      <c r="A2967">
        <v>919</v>
      </c>
      <c r="B2967" s="1">
        <v>45795</v>
      </c>
      <c r="C2967">
        <v>23</v>
      </c>
      <c r="D2967" t="s">
        <v>14</v>
      </c>
      <c r="E2967" t="s">
        <v>20</v>
      </c>
      <c r="F2967" t="s">
        <v>23</v>
      </c>
      <c r="H2967">
        <v>426.4</v>
      </c>
      <c r="I2967" s="13">
        <v>4</v>
      </c>
      <c r="J2967">
        <v>0</v>
      </c>
      <c r="K2967">
        <v>0</v>
      </c>
      <c r="L2967">
        <v>0</v>
      </c>
      <c r="M2967">
        <v>0</v>
      </c>
      <c r="O2967">
        <f t="shared" si="46"/>
        <v>5</v>
      </c>
    </row>
    <row r="2968" spans="1:15">
      <c r="A2968">
        <v>1812</v>
      </c>
      <c r="B2968" s="1">
        <v>45795</v>
      </c>
      <c r="C2968">
        <v>24</v>
      </c>
      <c r="D2968" t="s">
        <v>14</v>
      </c>
      <c r="E2968" t="s">
        <v>22</v>
      </c>
      <c r="F2968" t="s">
        <v>16</v>
      </c>
      <c r="H2968">
        <v>367.8</v>
      </c>
      <c r="I2968" s="13">
        <v>4</v>
      </c>
      <c r="J2968">
        <v>0</v>
      </c>
      <c r="K2968">
        <v>0</v>
      </c>
      <c r="L2968">
        <v>0</v>
      </c>
      <c r="M2968">
        <v>0</v>
      </c>
      <c r="O2968">
        <f t="shared" si="46"/>
        <v>5</v>
      </c>
    </row>
    <row r="2969" spans="1:15">
      <c r="A2969">
        <v>2542</v>
      </c>
      <c r="B2969" s="1">
        <v>45795</v>
      </c>
      <c r="C2969">
        <v>32</v>
      </c>
      <c r="D2969" t="s">
        <v>17</v>
      </c>
      <c r="E2969" t="s">
        <v>20</v>
      </c>
      <c r="F2969" t="s">
        <v>16</v>
      </c>
      <c r="H2969">
        <v>349.6</v>
      </c>
      <c r="I2969" s="13">
        <v>5</v>
      </c>
      <c r="J2969">
        <v>0</v>
      </c>
      <c r="K2969">
        <v>0</v>
      </c>
      <c r="L2969">
        <v>0</v>
      </c>
      <c r="M2969">
        <v>0</v>
      </c>
      <c r="O2969">
        <f t="shared" si="46"/>
        <v>5</v>
      </c>
    </row>
    <row r="2970" spans="1:15">
      <c r="A2970">
        <v>3169</v>
      </c>
      <c r="B2970" s="1">
        <v>45795</v>
      </c>
      <c r="C2970">
        <v>27</v>
      </c>
      <c r="D2970" t="s">
        <v>17</v>
      </c>
      <c r="E2970" t="s">
        <v>24</v>
      </c>
      <c r="F2970" t="s">
        <v>18</v>
      </c>
      <c r="G2970" t="s">
        <v>30</v>
      </c>
      <c r="H2970">
        <v>329.1</v>
      </c>
      <c r="I2970" s="13">
        <v>8</v>
      </c>
      <c r="J2970">
        <v>0</v>
      </c>
      <c r="K2970">
        <v>0</v>
      </c>
      <c r="L2970">
        <v>0</v>
      </c>
      <c r="M2970">
        <v>0</v>
      </c>
      <c r="O2970">
        <f t="shared" si="46"/>
        <v>5</v>
      </c>
    </row>
    <row r="2971" spans="1:15">
      <c r="A2971">
        <v>3421</v>
      </c>
      <c r="B2971" s="1">
        <v>45795</v>
      </c>
      <c r="C2971">
        <v>43</v>
      </c>
      <c r="D2971" t="s">
        <v>17</v>
      </c>
      <c r="E2971" t="s">
        <v>22</v>
      </c>
      <c r="F2971" t="s">
        <v>16</v>
      </c>
      <c r="H2971">
        <v>327.7</v>
      </c>
      <c r="I2971" s="13">
        <v>8</v>
      </c>
      <c r="J2971">
        <v>0</v>
      </c>
      <c r="K2971">
        <v>0</v>
      </c>
      <c r="L2971">
        <v>0</v>
      </c>
      <c r="M2971">
        <v>0</v>
      </c>
      <c r="O2971">
        <f t="shared" si="46"/>
        <v>5</v>
      </c>
    </row>
    <row r="2972" spans="1:15">
      <c r="A2972">
        <v>4063</v>
      </c>
      <c r="B2972" s="1">
        <v>45795</v>
      </c>
      <c r="C2972">
        <v>63</v>
      </c>
      <c r="D2972" t="s">
        <v>17</v>
      </c>
      <c r="E2972" t="s">
        <v>22</v>
      </c>
      <c r="F2972" t="s">
        <v>18</v>
      </c>
      <c r="G2972" t="s">
        <v>26</v>
      </c>
      <c r="H2972">
        <v>286.2</v>
      </c>
      <c r="I2972" s="13">
        <v>3</v>
      </c>
      <c r="J2972">
        <v>0</v>
      </c>
      <c r="K2972">
        <v>0</v>
      </c>
      <c r="L2972">
        <v>0</v>
      </c>
      <c r="M2972">
        <v>0</v>
      </c>
      <c r="O2972">
        <f t="shared" si="46"/>
        <v>5</v>
      </c>
    </row>
    <row r="2973" spans="1:15">
      <c r="A2973">
        <v>1510</v>
      </c>
      <c r="B2973" s="1">
        <v>45795</v>
      </c>
      <c r="C2973">
        <v>26</v>
      </c>
      <c r="D2973" t="s">
        <v>14</v>
      </c>
      <c r="E2973" t="s">
        <v>20</v>
      </c>
      <c r="F2973" t="s">
        <v>16</v>
      </c>
      <c r="H2973">
        <v>268.7</v>
      </c>
      <c r="I2973" s="13">
        <v>6</v>
      </c>
      <c r="J2973">
        <v>0</v>
      </c>
      <c r="K2973">
        <v>0</v>
      </c>
      <c r="L2973">
        <v>0</v>
      </c>
      <c r="M2973">
        <v>0</v>
      </c>
      <c r="O2973">
        <f t="shared" si="46"/>
        <v>5</v>
      </c>
    </row>
    <row r="2974" spans="1:15">
      <c r="A2974">
        <v>4622</v>
      </c>
      <c r="B2974" s="1">
        <v>45795</v>
      </c>
      <c r="C2974">
        <v>52</v>
      </c>
      <c r="D2974" t="s">
        <v>14</v>
      </c>
      <c r="E2974" t="s">
        <v>22</v>
      </c>
      <c r="F2974" t="s">
        <v>23</v>
      </c>
      <c r="H2974">
        <v>260.89999999999998</v>
      </c>
      <c r="I2974" s="13">
        <v>3</v>
      </c>
      <c r="J2974">
        <v>0</v>
      </c>
      <c r="K2974">
        <v>0</v>
      </c>
      <c r="L2974">
        <v>0</v>
      </c>
      <c r="M2974">
        <v>0</v>
      </c>
      <c r="O2974">
        <f t="shared" si="46"/>
        <v>5</v>
      </c>
    </row>
    <row r="2975" spans="1:15">
      <c r="A2975">
        <v>4849</v>
      </c>
      <c r="B2975" s="1">
        <v>45795</v>
      </c>
      <c r="C2975">
        <v>29</v>
      </c>
      <c r="D2975" t="s">
        <v>14</v>
      </c>
      <c r="E2975" t="s">
        <v>24</v>
      </c>
      <c r="F2975" t="s">
        <v>16</v>
      </c>
      <c r="H2975">
        <v>251</v>
      </c>
      <c r="I2975" s="13">
        <v>5</v>
      </c>
      <c r="J2975">
        <v>0</v>
      </c>
      <c r="K2975">
        <v>0</v>
      </c>
      <c r="L2975">
        <v>0</v>
      </c>
      <c r="M2975">
        <v>0</v>
      </c>
      <c r="O2975">
        <f t="shared" si="46"/>
        <v>5</v>
      </c>
    </row>
    <row r="2976" spans="1:15">
      <c r="A2976">
        <v>4939</v>
      </c>
      <c r="B2976" s="1">
        <v>45795</v>
      </c>
      <c r="C2976">
        <v>28</v>
      </c>
      <c r="D2976" t="s">
        <v>14</v>
      </c>
      <c r="E2976" t="s">
        <v>20</v>
      </c>
      <c r="F2976" t="s">
        <v>23</v>
      </c>
      <c r="H2976">
        <v>187.9</v>
      </c>
      <c r="I2976" s="13">
        <v>6</v>
      </c>
      <c r="J2976">
        <v>0</v>
      </c>
      <c r="K2976">
        <v>0</v>
      </c>
      <c r="L2976">
        <v>0</v>
      </c>
      <c r="M2976">
        <v>0</v>
      </c>
      <c r="O2976">
        <f t="shared" si="46"/>
        <v>5</v>
      </c>
    </row>
    <row r="2977" spans="1:15">
      <c r="A2977">
        <v>3323</v>
      </c>
      <c r="B2977" s="1">
        <v>45795</v>
      </c>
      <c r="C2977">
        <v>34</v>
      </c>
      <c r="D2977" t="s">
        <v>17</v>
      </c>
      <c r="E2977" t="s">
        <v>22</v>
      </c>
      <c r="F2977" t="s">
        <v>16</v>
      </c>
      <c r="H2977">
        <v>168.4</v>
      </c>
      <c r="I2977" s="13">
        <v>10</v>
      </c>
      <c r="J2977">
        <v>0</v>
      </c>
      <c r="K2977">
        <v>0</v>
      </c>
      <c r="L2977">
        <v>0</v>
      </c>
      <c r="M2977">
        <v>0</v>
      </c>
      <c r="O2977">
        <f t="shared" si="46"/>
        <v>5</v>
      </c>
    </row>
    <row r="2978" spans="1:15">
      <c r="A2978">
        <v>3588</v>
      </c>
      <c r="B2978" s="1">
        <v>45795</v>
      </c>
      <c r="C2978">
        <v>19</v>
      </c>
      <c r="D2978" t="s">
        <v>14</v>
      </c>
      <c r="E2978" t="s">
        <v>22</v>
      </c>
      <c r="F2978" t="s">
        <v>16</v>
      </c>
      <c r="H2978">
        <v>155.5</v>
      </c>
      <c r="I2978" s="13">
        <v>9</v>
      </c>
      <c r="J2978">
        <v>0</v>
      </c>
      <c r="K2978">
        <v>0</v>
      </c>
      <c r="L2978">
        <v>0</v>
      </c>
      <c r="M2978">
        <v>0</v>
      </c>
      <c r="O2978">
        <f t="shared" si="46"/>
        <v>5</v>
      </c>
    </row>
    <row r="2979" spans="1:15">
      <c r="A2979">
        <v>3423</v>
      </c>
      <c r="B2979" s="1">
        <v>45795</v>
      </c>
      <c r="C2979">
        <v>43</v>
      </c>
      <c r="D2979" t="s">
        <v>14</v>
      </c>
      <c r="E2979" t="s">
        <v>24</v>
      </c>
      <c r="F2979" t="s">
        <v>18</v>
      </c>
      <c r="G2979" t="s">
        <v>25</v>
      </c>
      <c r="H2979">
        <v>152.19999999999999</v>
      </c>
      <c r="I2979" s="13">
        <v>9</v>
      </c>
      <c r="J2979">
        <v>0</v>
      </c>
      <c r="K2979">
        <v>0</v>
      </c>
      <c r="L2979">
        <v>0</v>
      </c>
      <c r="M2979">
        <v>0</v>
      </c>
      <c r="O2979">
        <f t="shared" si="46"/>
        <v>5</v>
      </c>
    </row>
    <row r="2980" spans="1:15">
      <c r="A2980">
        <v>2493</v>
      </c>
      <c r="B2980" s="1">
        <v>45795</v>
      </c>
      <c r="C2980">
        <v>36</v>
      </c>
      <c r="D2980" t="s">
        <v>17</v>
      </c>
      <c r="E2980" t="s">
        <v>15</v>
      </c>
      <c r="F2980" t="s">
        <v>16</v>
      </c>
      <c r="H2980">
        <v>146.19999999999999</v>
      </c>
      <c r="I2980" s="13">
        <v>3</v>
      </c>
      <c r="J2980">
        <v>0</v>
      </c>
      <c r="K2980">
        <v>0</v>
      </c>
      <c r="L2980">
        <v>0</v>
      </c>
      <c r="M2980">
        <v>0</v>
      </c>
      <c r="O2980">
        <f t="shared" si="46"/>
        <v>5</v>
      </c>
    </row>
    <row r="2981" spans="1:15">
      <c r="A2981">
        <v>158</v>
      </c>
      <c r="B2981" s="1">
        <v>45795</v>
      </c>
      <c r="C2981">
        <v>25</v>
      </c>
      <c r="D2981" t="s">
        <v>17</v>
      </c>
      <c r="E2981" t="s">
        <v>22</v>
      </c>
      <c r="F2981" t="s">
        <v>16</v>
      </c>
      <c r="H2981">
        <v>102</v>
      </c>
      <c r="I2981" s="13">
        <v>7</v>
      </c>
      <c r="J2981">
        <v>0</v>
      </c>
      <c r="K2981">
        <v>0</v>
      </c>
      <c r="L2981">
        <v>0</v>
      </c>
      <c r="M2981">
        <v>0</v>
      </c>
      <c r="O2981">
        <f t="shared" si="46"/>
        <v>5</v>
      </c>
    </row>
    <row r="2982" spans="1:15">
      <c r="A2982">
        <v>767</v>
      </c>
      <c r="B2982" s="1">
        <v>45795</v>
      </c>
      <c r="C2982">
        <v>30</v>
      </c>
      <c r="D2982" t="s">
        <v>17</v>
      </c>
      <c r="E2982" t="s">
        <v>22</v>
      </c>
      <c r="F2982" t="s">
        <v>18</v>
      </c>
      <c r="G2982" t="s">
        <v>28</v>
      </c>
      <c r="H2982">
        <v>98.7</v>
      </c>
      <c r="I2982" s="13">
        <v>9</v>
      </c>
      <c r="J2982">
        <v>0</v>
      </c>
      <c r="K2982">
        <v>0</v>
      </c>
      <c r="L2982">
        <v>0</v>
      </c>
      <c r="M2982">
        <v>0</v>
      </c>
      <c r="O2982">
        <f t="shared" si="46"/>
        <v>5</v>
      </c>
    </row>
    <row r="2983" spans="1:15">
      <c r="A2983">
        <v>2502</v>
      </c>
      <c r="B2983" s="1">
        <v>45795</v>
      </c>
      <c r="C2983">
        <v>42</v>
      </c>
      <c r="D2983" t="s">
        <v>14</v>
      </c>
      <c r="E2983" t="s">
        <v>24</v>
      </c>
      <c r="F2983" t="s">
        <v>23</v>
      </c>
      <c r="H2983">
        <v>96.4</v>
      </c>
      <c r="I2983" s="13">
        <v>7</v>
      </c>
      <c r="J2983">
        <v>0</v>
      </c>
      <c r="K2983">
        <v>0</v>
      </c>
      <c r="L2983">
        <v>0</v>
      </c>
      <c r="M2983">
        <v>0</v>
      </c>
      <c r="O2983">
        <f t="shared" si="46"/>
        <v>5</v>
      </c>
    </row>
    <row r="2984" spans="1:15">
      <c r="A2984">
        <v>4238</v>
      </c>
      <c r="B2984" s="1">
        <v>45795</v>
      </c>
      <c r="C2984">
        <v>47</v>
      </c>
      <c r="D2984" t="s">
        <v>17</v>
      </c>
      <c r="E2984" t="s">
        <v>20</v>
      </c>
      <c r="F2984" t="s">
        <v>18</v>
      </c>
      <c r="G2984" t="s">
        <v>28</v>
      </c>
      <c r="H2984">
        <v>43.6</v>
      </c>
      <c r="I2984" s="13">
        <v>8</v>
      </c>
      <c r="J2984">
        <v>0</v>
      </c>
      <c r="K2984">
        <v>0</v>
      </c>
      <c r="L2984">
        <v>0</v>
      </c>
      <c r="M2984">
        <v>0</v>
      </c>
      <c r="O2984">
        <f t="shared" si="46"/>
        <v>5</v>
      </c>
    </row>
    <row r="2985" spans="1:15">
      <c r="A2985">
        <v>257</v>
      </c>
      <c r="B2985" s="1">
        <v>45826</v>
      </c>
      <c r="C2985">
        <v>18</v>
      </c>
      <c r="D2985" t="s">
        <v>17</v>
      </c>
      <c r="E2985" t="s">
        <v>20</v>
      </c>
      <c r="F2985" t="s">
        <v>18</v>
      </c>
      <c r="G2985" t="s">
        <v>29</v>
      </c>
      <c r="H2985">
        <v>495.1</v>
      </c>
      <c r="I2985" s="13">
        <v>10</v>
      </c>
      <c r="J2985">
        <v>1</v>
      </c>
      <c r="K2985">
        <v>139</v>
      </c>
      <c r="L2985">
        <v>1</v>
      </c>
      <c r="M2985">
        <v>11</v>
      </c>
      <c r="N2985">
        <v>4</v>
      </c>
      <c r="O2985">
        <f t="shared" si="46"/>
        <v>6</v>
      </c>
    </row>
    <row r="2986" spans="1:15">
      <c r="A2986">
        <v>4816</v>
      </c>
      <c r="B2986" s="1">
        <v>45826</v>
      </c>
      <c r="C2986">
        <v>53</v>
      </c>
      <c r="D2986" t="s">
        <v>17</v>
      </c>
      <c r="E2986" t="s">
        <v>22</v>
      </c>
      <c r="F2986" t="s">
        <v>18</v>
      </c>
      <c r="G2986" t="s">
        <v>29</v>
      </c>
      <c r="H2986">
        <v>300.39999999999998</v>
      </c>
      <c r="I2986" s="13">
        <v>3</v>
      </c>
      <c r="J2986">
        <v>1</v>
      </c>
      <c r="K2986">
        <v>166.15</v>
      </c>
      <c r="L2986">
        <v>4</v>
      </c>
      <c r="M2986">
        <v>3</v>
      </c>
      <c r="N2986">
        <v>4</v>
      </c>
      <c r="O2986">
        <f t="shared" si="46"/>
        <v>6</v>
      </c>
    </row>
    <row r="2987" spans="1:15">
      <c r="A2987">
        <v>3802</v>
      </c>
      <c r="B2987" s="1">
        <v>45826</v>
      </c>
      <c r="C2987">
        <v>56</v>
      </c>
      <c r="D2987" t="s">
        <v>17</v>
      </c>
      <c r="E2987" t="s">
        <v>22</v>
      </c>
      <c r="F2987" t="s">
        <v>23</v>
      </c>
      <c r="H2987">
        <v>288.39999999999998</v>
      </c>
      <c r="I2987" s="13">
        <v>4</v>
      </c>
      <c r="J2987">
        <v>1</v>
      </c>
      <c r="K2987">
        <v>141.18</v>
      </c>
      <c r="L2987">
        <v>3</v>
      </c>
      <c r="M2987">
        <v>10</v>
      </c>
      <c r="N2987">
        <v>4</v>
      </c>
      <c r="O2987">
        <f t="shared" si="46"/>
        <v>6</v>
      </c>
    </row>
    <row r="2988" spans="1:15">
      <c r="A2988">
        <v>1656</v>
      </c>
      <c r="B2988" s="1">
        <v>45826</v>
      </c>
      <c r="C2988">
        <v>24</v>
      </c>
      <c r="D2988" t="s">
        <v>14</v>
      </c>
      <c r="E2988" t="s">
        <v>20</v>
      </c>
      <c r="F2988" t="s">
        <v>16</v>
      </c>
      <c r="H2988">
        <v>208.5</v>
      </c>
      <c r="I2988" s="13">
        <v>6</v>
      </c>
      <c r="J2988">
        <v>1</v>
      </c>
      <c r="K2988">
        <v>77.16</v>
      </c>
      <c r="L2988">
        <v>4</v>
      </c>
      <c r="M2988">
        <v>13</v>
      </c>
      <c r="N2988">
        <v>5</v>
      </c>
      <c r="O2988">
        <f t="shared" si="46"/>
        <v>6</v>
      </c>
    </row>
    <row r="2989" spans="1:15">
      <c r="A2989">
        <v>2023</v>
      </c>
      <c r="B2989" s="1">
        <v>45826</v>
      </c>
      <c r="C2989">
        <v>46</v>
      </c>
      <c r="D2989" t="s">
        <v>17</v>
      </c>
      <c r="E2989" t="s">
        <v>22</v>
      </c>
      <c r="F2989" t="s">
        <v>23</v>
      </c>
      <c r="H2989">
        <v>544.79999999999995</v>
      </c>
      <c r="I2989" s="13">
        <v>5</v>
      </c>
      <c r="J2989">
        <v>1</v>
      </c>
      <c r="K2989">
        <v>66.13</v>
      </c>
      <c r="L2989">
        <v>4</v>
      </c>
      <c r="M2989">
        <v>3</v>
      </c>
      <c r="N2989">
        <v>4</v>
      </c>
      <c r="O2989">
        <f t="shared" si="46"/>
        <v>6</v>
      </c>
    </row>
    <row r="2990" spans="1:15">
      <c r="A2990">
        <v>3157</v>
      </c>
      <c r="B2990" s="1">
        <v>45826</v>
      </c>
      <c r="C2990">
        <v>28</v>
      </c>
      <c r="D2990" t="s">
        <v>14</v>
      </c>
      <c r="E2990" t="s">
        <v>15</v>
      </c>
      <c r="F2990" t="s">
        <v>18</v>
      </c>
      <c r="G2990" t="s">
        <v>25</v>
      </c>
      <c r="H2990">
        <v>855.6</v>
      </c>
      <c r="I2990" s="13">
        <v>8</v>
      </c>
      <c r="J2990">
        <v>1</v>
      </c>
      <c r="K2990">
        <v>54.6</v>
      </c>
      <c r="L2990">
        <v>2</v>
      </c>
      <c r="M2990">
        <v>8</v>
      </c>
      <c r="N2990">
        <v>4</v>
      </c>
      <c r="O2990">
        <f t="shared" si="46"/>
        <v>6</v>
      </c>
    </row>
    <row r="2991" spans="1:15">
      <c r="A2991">
        <v>3516</v>
      </c>
      <c r="B2991" s="1">
        <v>45826</v>
      </c>
      <c r="C2991">
        <v>41</v>
      </c>
      <c r="D2991" t="s">
        <v>17</v>
      </c>
      <c r="E2991" t="s">
        <v>15</v>
      </c>
      <c r="F2991" t="s">
        <v>23</v>
      </c>
      <c r="H2991">
        <v>271.3</v>
      </c>
      <c r="I2991" s="13">
        <v>7</v>
      </c>
      <c r="J2991">
        <v>1</v>
      </c>
      <c r="K2991">
        <v>47.18</v>
      </c>
      <c r="L2991">
        <v>3</v>
      </c>
      <c r="M2991">
        <v>4</v>
      </c>
      <c r="N2991">
        <v>4</v>
      </c>
      <c r="O2991">
        <f t="shared" si="46"/>
        <v>6</v>
      </c>
    </row>
    <row r="2992" spans="1:15">
      <c r="A2992">
        <v>4246</v>
      </c>
      <c r="B2992" s="1">
        <v>45826</v>
      </c>
      <c r="C2992">
        <v>56</v>
      </c>
      <c r="D2992" t="s">
        <v>14</v>
      </c>
      <c r="E2992" t="s">
        <v>15</v>
      </c>
      <c r="F2992" t="s">
        <v>16</v>
      </c>
      <c r="H2992">
        <v>220.8</v>
      </c>
      <c r="I2992" s="13">
        <v>6</v>
      </c>
      <c r="J2992">
        <v>1</v>
      </c>
      <c r="K2992">
        <v>40.46</v>
      </c>
      <c r="L2992">
        <v>2</v>
      </c>
      <c r="M2992">
        <v>5</v>
      </c>
      <c r="N2992">
        <v>3</v>
      </c>
      <c r="O2992">
        <f t="shared" si="46"/>
        <v>6</v>
      </c>
    </row>
    <row r="2993" spans="1:15">
      <c r="A2993">
        <v>4858</v>
      </c>
      <c r="B2993" s="1">
        <v>45826</v>
      </c>
      <c r="C2993">
        <v>62</v>
      </c>
      <c r="D2993" t="s">
        <v>14</v>
      </c>
      <c r="E2993" t="s">
        <v>15</v>
      </c>
      <c r="F2993" t="s">
        <v>18</v>
      </c>
      <c r="G2993" t="s">
        <v>30</v>
      </c>
      <c r="H2993">
        <v>1061.9000000000001</v>
      </c>
      <c r="I2993" s="13">
        <v>5</v>
      </c>
      <c r="J2993">
        <v>1</v>
      </c>
      <c r="K2993">
        <v>30.56</v>
      </c>
      <c r="L2993">
        <v>4</v>
      </c>
      <c r="M2993">
        <v>4</v>
      </c>
      <c r="N2993">
        <v>3</v>
      </c>
      <c r="O2993">
        <f t="shared" si="46"/>
        <v>6</v>
      </c>
    </row>
    <row r="2994" spans="1:15">
      <c r="A2994">
        <v>3886</v>
      </c>
      <c r="B2994" s="1">
        <v>45826</v>
      </c>
      <c r="C2994">
        <v>48</v>
      </c>
      <c r="D2994" t="s">
        <v>17</v>
      </c>
      <c r="E2994" t="s">
        <v>22</v>
      </c>
      <c r="F2994" t="s">
        <v>16</v>
      </c>
      <c r="H2994">
        <v>462.4</v>
      </c>
      <c r="I2994" s="13">
        <v>2</v>
      </c>
      <c r="J2994">
        <v>1</v>
      </c>
      <c r="K2994">
        <v>16.47</v>
      </c>
      <c r="L2994">
        <v>3</v>
      </c>
      <c r="M2994">
        <v>5</v>
      </c>
      <c r="N2994">
        <v>4</v>
      </c>
      <c r="O2994">
        <f t="shared" si="46"/>
        <v>6</v>
      </c>
    </row>
    <row r="2995" spans="1:15">
      <c r="A2995">
        <v>3723</v>
      </c>
      <c r="B2995" s="1">
        <v>45826</v>
      </c>
      <c r="C2995">
        <v>42</v>
      </c>
      <c r="D2995" t="s">
        <v>17</v>
      </c>
      <c r="E2995" t="s">
        <v>20</v>
      </c>
      <c r="F2995" t="s">
        <v>16</v>
      </c>
      <c r="H2995">
        <v>80.2</v>
      </c>
      <c r="I2995" s="13">
        <v>4</v>
      </c>
      <c r="J2995">
        <v>1</v>
      </c>
      <c r="K2995">
        <v>14.18</v>
      </c>
      <c r="L2995">
        <v>2</v>
      </c>
      <c r="M2995">
        <v>9</v>
      </c>
      <c r="N2995">
        <v>5</v>
      </c>
      <c r="O2995">
        <f t="shared" si="46"/>
        <v>6</v>
      </c>
    </row>
    <row r="2996" spans="1:15">
      <c r="A2996">
        <v>3931</v>
      </c>
      <c r="B2996" s="1">
        <v>45826</v>
      </c>
      <c r="C2996">
        <v>79</v>
      </c>
      <c r="D2996" t="s">
        <v>14</v>
      </c>
      <c r="E2996" t="s">
        <v>24</v>
      </c>
      <c r="F2996" t="s">
        <v>16</v>
      </c>
      <c r="H2996">
        <v>578.5</v>
      </c>
      <c r="I2996" s="13">
        <v>4</v>
      </c>
      <c r="J2996">
        <v>0</v>
      </c>
      <c r="K2996">
        <v>0</v>
      </c>
      <c r="L2996">
        <v>0</v>
      </c>
      <c r="M2996">
        <v>0</v>
      </c>
      <c r="O2996">
        <f t="shared" si="46"/>
        <v>6</v>
      </c>
    </row>
    <row r="2997" spans="1:15">
      <c r="A2997">
        <v>1420</v>
      </c>
      <c r="B2997" s="1">
        <v>45826</v>
      </c>
      <c r="C2997">
        <v>26</v>
      </c>
      <c r="D2997" t="s">
        <v>17</v>
      </c>
      <c r="E2997" t="s">
        <v>20</v>
      </c>
      <c r="F2997" t="s">
        <v>16</v>
      </c>
      <c r="H2997">
        <v>574.70000000000005</v>
      </c>
      <c r="I2997" s="13">
        <v>7</v>
      </c>
      <c r="J2997">
        <v>0</v>
      </c>
      <c r="K2997">
        <v>0</v>
      </c>
      <c r="L2997">
        <v>0</v>
      </c>
      <c r="M2997">
        <v>0</v>
      </c>
      <c r="O2997">
        <f t="shared" si="46"/>
        <v>6</v>
      </c>
    </row>
    <row r="2998" spans="1:15">
      <c r="A2998">
        <v>4322</v>
      </c>
      <c r="B2998" s="1">
        <v>45826</v>
      </c>
      <c r="C2998">
        <v>49</v>
      </c>
      <c r="D2998" t="s">
        <v>14</v>
      </c>
      <c r="E2998" t="s">
        <v>20</v>
      </c>
      <c r="F2998" t="s">
        <v>18</v>
      </c>
      <c r="G2998" t="s">
        <v>29</v>
      </c>
      <c r="H2998">
        <v>470.1</v>
      </c>
      <c r="I2998" s="13">
        <v>4</v>
      </c>
      <c r="J2998">
        <v>0</v>
      </c>
      <c r="K2998">
        <v>0</v>
      </c>
      <c r="L2998">
        <v>0</v>
      </c>
      <c r="M2998">
        <v>0</v>
      </c>
      <c r="O2998">
        <f t="shared" si="46"/>
        <v>6</v>
      </c>
    </row>
    <row r="2999" spans="1:15">
      <c r="A2999">
        <v>3854</v>
      </c>
      <c r="B2999" s="1">
        <v>45826</v>
      </c>
      <c r="C2999">
        <v>62</v>
      </c>
      <c r="D2999" t="s">
        <v>17</v>
      </c>
      <c r="E2999" t="s">
        <v>20</v>
      </c>
      <c r="F2999" t="s">
        <v>23</v>
      </c>
      <c r="H2999">
        <v>443.2</v>
      </c>
      <c r="I2999" s="13">
        <v>4</v>
      </c>
      <c r="J2999">
        <v>0</v>
      </c>
      <c r="K2999">
        <v>0</v>
      </c>
      <c r="L2999">
        <v>0</v>
      </c>
      <c r="M2999">
        <v>0</v>
      </c>
      <c r="O2999">
        <f t="shared" si="46"/>
        <v>6</v>
      </c>
    </row>
    <row r="3000" spans="1:15">
      <c r="A3000">
        <v>972</v>
      </c>
      <c r="B3000" s="1">
        <v>45826</v>
      </c>
      <c r="C3000">
        <v>26</v>
      </c>
      <c r="D3000" t="s">
        <v>14</v>
      </c>
      <c r="E3000" t="s">
        <v>24</v>
      </c>
      <c r="F3000" t="s">
        <v>16</v>
      </c>
      <c r="H3000">
        <v>321.10000000000002</v>
      </c>
      <c r="I3000" s="13">
        <v>8</v>
      </c>
      <c r="J3000">
        <v>0</v>
      </c>
      <c r="K3000">
        <v>0</v>
      </c>
      <c r="L3000">
        <v>0</v>
      </c>
      <c r="M3000">
        <v>0</v>
      </c>
      <c r="O3000">
        <f t="shared" si="46"/>
        <v>6</v>
      </c>
    </row>
    <row r="3001" spans="1:15">
      <c r="A3001">
        <v>3839</v>
      </c>
      <c r="B3001" s="1">
        <v>45826</v>
      </c>
      <c r="C3001">
        <v>46</v>
      </c>
      <c r="D3001" t="s">
        <v>14</v>
      </c>
      <c r="E3001" t="s">
        <v>22</v>
      </c>
      <c r="F3001" t="s">
        <v>16</v>
      </c>
      <c r="H3001">
        <v>293.10000000000002</v>
      </c>
      <c r="I3001" s="13">
        <v>8</v>
      </c>
      <c r="J3001">
        <v>0</v>
      </c>
      <c r="K3001">
        <v>0</v>
      </c>
      <c r="L3001">
        <v>0</v>
      </c>
      <c r="M3001">
        <v>0</v>
      </c>
      <c r="O3001">
        <f t="shared" si="46"/>
        <v>6</v>
      </c>
    </row>
    <row r="3002" spans="1:15">
      <c r="A3002">
        <v>807</v>
      </c>
      <c r="B3002" s="1">
        <v>45826</v>
      </c>
      <c r="C3002">
        <v>21</v>
      </c>
      <c r="D3002" t="s">
        <v>17</v>
      </c>
      <c r="E3002" t="s">
        <v>15</v>
      </c>
      <c r="F3002" t="s">
        <v>18</v>
      </c>
      <c r="G3002" t="s">
        <v>31</v>
      </c>
      <c r="H3002">
        <v>257.39999999999998</v>
      </c>
      <c r="I3002" s="13">
        <v>7</v>
      </c>
      <c r="J3002">
        <v>0</v>
      </c>
      <c r="K3002">
        <v>0</v>
      </c>
      <c r="L3002">
        <v>0</v>
      </c>
      <c r="M3002">
        <v>0</v>
      </c>
      <c r="O3002">
        <f t="shared" si="46"/>
        <v>6</v>
      </c>
    </row>
    <row r="3003" spans="1:15">
      <c r="A3003">
        <v>179</v>
      </c>
      <c r="B3003" s="1">
        <v>45826</v>
      </c>
      <c r="C3003">
        <v>22</v>
      </c>
      <c r="D3003" t="s">
        <v>14</v>
      </c>
      <c r="E3003" t="s">
        <v>15</v>
      </c>
      <c r="F3003" t="s">
        <v>16</v>
      </c>
      <c r="H3003">
        <v>250.7</v>
      </c>
      <c r="I3003" s="13">
        <v>9</v>
      </c>
      <c r="J3003">
        <v>0</v>
      </c>
      <c r="K3003">
        <v>0</v>
      </c>
      <c r="L3003">
        <v>0</v>
      </c>
      <c r="M3003">
        <v>0</v>
      </c>
      <c r="O3003">
        <f t="shared" si="46"/>
        <v>6</v>
      </c>
    </row>
    <row r="3004" spans="1:15">
      <c r="A3004">
        <v>1302</v>
      </c>
      <c r="B3004" s="1">
        <v>45826</v>
      </c>
      <c r="C3004">
        <v>28</v>
      </c>
      <c r="D3004" t="s">
        <v>14</v>
      </c>
      <c r="E3004" t="s">
        <v>24</v>
      </c>
      <c r="F3004" t="s">
        <v>16</v>
      </c>
      <c r="H3004">
        <v>249.3</v>
      </c>
      <c r="I3004" s="13">
        <v>6</v>
      </c>
      <c r="J3004">
        <v>0</v>
      </c>
      <c r="K3004">
        <v>0</v>
      </c>
      <c r="L3004">
        <v>0</v>
      </c>
      <c r="M3004">
        <v>0</v>
      </c>
      <c r="O3004">
        <f t="shared" si="46"/>
        <v>6</v>
      </c>
    </row>
    <row r="3005" spans="1:15">
      <c r="A3005">
        <v>2186</v>
      </c>
      <c r="B3005" s="1">
        <v>45826</v>
      </c>
      <c r="C3005">
        <v>47</v>
      </c>
      <c r="D3005" t="s">
        <v>17</v>
      </c>
      <c r="E3005" t="s">
        <v>22</v>
      </c>
      <c r="F3005" t="s">
        <v>18</v>
      </c>
      <c r="G3005" t="s">
        <v>19</v>
      </c>
      <c r="H3005">
        <v>217.3</v>
      </c>
      <c r="I3005" s="13">
        <v>6</v>
      </c>
      <c r="J3005">
        <v>0</v>
      </c>
      <c r="K3005">
        <v>0</v>
      </c>
      <c r="L3005">
        <v>0</v>
      </c>
      <c r="M3005">
        <v>0</v>
      </c>
      <c r="O3005">
        <f t="shared" si="46"/>
        <v>6</v>
      </c>
    </row>
    <row r="3006" spans="1:15">
      <c r="A3006">
        <v>1186</v>
      </c>
      <c r="B3006" s="1">
        <v>45826</v>
      </c>
      <c r="C3006">
        <v>25</v>
      </c>
      <c r="D3006" t="s">
        <v>17</v>
      </c>
      <c r="E3006" t="s">
        <v>22</v>
      </c>
      <c r="F3006" t="s">
        <v>23</v>
      </c>
      <c r="H3006">
        <v>213.2</v>
      </c>
      <c r="I3006" s="13">
        <v>7</v>
      </c>
      <c r="J3006">
        <v>0</v>
      </c>
      <c r="K3006">
        <v>0</v>
      </c>
      <c r="L3006">
        <v>0</v>
      </c>
      <c r="M3006">
        <v>0</v>
      </c>
      <c r="O3006">
        <f t="shared" si="46"/>
        <v>6</v>
      </c>
    </row>
    <row r="3007" spans="1:15">
      <c r="A3007">
        <v>721</v>
      </c>
      <c r="B3007" s="1">
        <v>45826</v>
      </c>
      <c r="C3007">
        <v>22</v>
      </c>
      <c r="D3007" t="s">
        <v>17</v>
      </c>
      <c r="E3007" t="s">
        <v>20</v>
      </c>
      <c r="F3007" t="s">
        <v>18</v>
      </c>
      <c r="G3007" t="s">
        <v>26</v>
      </c>
      <c r="H3007">
        <v>198.1</v>
      </c>
      <c r="I3007" s="13">
        <v>5</v>
      </c>
      <c r="J3007">
        <v>0</v>
      </c>
      <c r="K3007">
        <v>0</v>
      </c>
      <c r="L3007">
        <v>0</v>
      </c>
      <c r="M3007">
        <v>0</v>
      </c>
      <c r="O3007">
        <f t="shared" si="46"/>
        <v>6</v>
      </c>
    </row>
    <row r="3008" spans="1:15">
      <c r="A3008">
        <v>1866</v>
      </c>
      <c r="B3008" s="1">
        <v>45826</v>
      </c>
      <c r="C3008">
        <v>32</v>
      </c>
      <c r="D3008" t="s">
        <v>17</v>
      </c>
      <c r="E3008" t="s">
        <v>22</v>
      </c>
      <c r="F3008" t="s">
        <v>16</v>
      </c>
      <c r="H3008">
        <v>184.9</v>
      </c>
      <c r="I3008" s="13">
        <v>7</v>
      </c>
      <c r="J3008">
        <v>0</v>
      </c>
      <c r="K3008">
        <v>0</v>
      </c>
      <c r="L3008">
        <v>0</v>
      </c>
      <c r="M3008">
        <v>0</v>
      </c>
      <c r="O3008">
        <f t="shared" si="46"/>
        <v>6</v>
      </c>
    </row>
    <row r="3009" spans="1:15">
      <c r="A3009">
        <v>1416</v>
      </c>
      <c r="B3009" s="1">
        <v>45826</v>
      </c>
      <c r="C3009">
        <v>20</v>
      </c>
      <c r="D3009" t="s">
        <v>17</v>
      </c>
      <c r="E3009" t="s">
        <v>15</v>
      </c>
      <c r="F3009" t="s">
        <v>16</v>
      </c>
      <c r="H3009">
        <v>136.19999999999999</v>
      </c>
      <c r="I3009" s="13">
        <v>5</v>
      </c>
      <c r="J3009">
        <v>0</v>
      </c>
      <c r="K3009">
        <v>0</v>
      </c>
      <c r="L3009">
        <v>0</v>
      </c>
      <c r="M3009">
        <v>0</v>
      </c>
      <c r="O3009">
        <f t="shared" si="46"/>
        <v>6</v>
      </c>
    </row>
    <row r="3010" spans="1:15">
      <c r="A3010">
        <v>1522</v>
      </c>
      <c r="B3010" s="1">
        <v>45826</v>
      </c>
      <c r="C3010">
        <v>21</v>
      </c>
      <c r="D3010" t="s">
        <v>14</v>
      </c>
      <c r="E3010" t="s">
        <v>15</v>
      </c>
      <c r="F3010" t="s">
        <v>23</v>
      </c>
      <c r="H3010">
        <v>129.19999999999999</v>
      </c>
      <c r="I3010" s="13">
        <v>7</v>
      </c>
      <c r="J3010">
        <v>0</v>
      </c>
      <c r="K3010">
        <v>0</v>
      </c>
      <c r="L3010">
        <v>0</v>
      </c>
      <c r="M3010">
        <v>0</v>
      </c>
      <c r="O3010">
        <f t="shared" si="46"/>
        <v>6</v>
      </c>
    </row>
    <row r="3011" spans="1:15">
      <c r="A3011">
        <v>4581</v>
      </c>
      <c r="B3011" s="1">
        <v>45826</v>
      </c>
      <c r="C3011">
        <v>45</v>
      </c>
      <c r="D3011" t="s">
        <v>14</v>
      </c>
      <c r="E3011" t="s">
        <v>22</v>
      </c>
      <c r="F3011" t="s">
        <v>23</v>
      </c>
      <c r="H3011">
        <v>127.9</v>
      </c>
      <c r="I3011" s="13">
        <v>4</v>
      </c>
      <c r="J3011">
        <v>0</v>
      </c>
      <c r="K3011">
        <v>0</v>
      </c>
      <c r="L3011">
        <v>0</v>
      </c>
      <c r="M3011">
        <v>0</v>
      </c>
      <c r="O3011">
        <f t="shared" ref="O3011:O3074" si="47">MONTH(B3011)</f>
        <v>6</v>
      </c>
    </row>
    <row r="3012" spans="1:15">
      <c r="A3012">
        <v>4051</v>
      </c>
      <c r="B3012" s="1">
        <v>45826</v>
      </c>
      <c r="C3012">
        <v>66</v>
      </c>
      <c r="D3012" t="s">
        <v>17</v>
      </c>
      <c r="E3012" t="s">
        <v>22</v>
      </c>
      <c r="F3012" t="s">
        <v>16</v>
      </c>
      <c r="H3012">
        <v>62.9</v>
      </c>
      <c r="I3012" s="13">
        <v>5</v>
      </c>
      <c r="J3012">
        <v>0</v>
      </c>
      <c r="K3012">
        <v>0</v>
      </c>
      <c r="L3012">
        <v>0</v>
      </c>
      <c r="M3012">
        <v>0</v>
      </c>
      <c r="O3012">
        <f t="shared" si="47"/>
        <v>6</v>
      </c>
    </row>
    <row r="3013" spans="1:15">
      <c r="A3013">
        <v>3786</v>
      </c>
      <c r="B3013" s="1">
        <v>45676</v>
      </c>
      <c r="C3013">
        <v>34</v>
      </c>
      <c r="D3013" t="s">
        <v>14</v>
      </c>
      <c r="E3013" t="s">
        <v>24</v>
      </c>
      <c r="F3013" t="s">
        <v>18</v>
      </c>
      <c r="G3013" t="s">
        <v>25</v>
      </c>
      <c r="H3013">
        <v>207</v>
      </c>
      <c r="I3013" s="13">
        <v>3</v>
      </c>
      <c r="J3013">
        <v>1</v>
      </c>
      <c r="K3013">
        <v>151.33000000000001</v>
      </c>
      <c r="L3013">
        <v>4</v>
      </c>
      <c r="M3013">
        <v>12</v>
      </c>
      <c r="N3013">
        <v>5</v>
      </c>
      <c r="O3013">
        <f t="shared" si="47"/>
        <v>1</v>
      </c>
    </row>
    <row r="3014" spans="1:15">
      <c r="A3014">
        <v>4667</v>
      </c>
      <c r="B3014" s="1">
        <v>45676</v>
      </c>
      <c r="C3014">
        <v>25</v>
      </c>
      <c r="D3014" t="s">
        <v>17</v>
      </c>
      <c r="E3014" t="s">
        <v>22</v>
      </c>
      <c r="F3014" t="s">
        <v>21</v>
      </c>
      <c r="H3014">
        <v>1577.6</v>
      </c>
      <c r="I3014" s="13">
        <v>6</v>
      </c>
      <c r="J3014">
        <v>1</v>
      </c>
      <c r="K3014">
        <v>126.2</v>
      </c>
      <c r="L3014">
        <v>5</v>
      </c>
      <c r="M3014">
        <v>15</v>
      </c>
      <c r="N3014">
        <v>3</v>
      </c>
      <c r="O3014">
        <f t="shared" si="47"/>
        <v>1</v>
      </c>
    </row>
    <row r="3015" spans="1:15">
      <c r="A3015">
        <v>3034</v>
      </c>
      <c r="B3015" s="1">
        <v>45676</v>
      </c>
      <c r="C3015">
        <v>35</v>
      </c>
      <c r="D3015" t="s">
        <v>14</v>
      </c>
      <c r="E3015" t="s">
        <v>24</v>
      </c>
      <c r="F3015" t="s">
        <v>21</v>
      </c>
      <c r="H3015">
        <v>354.3</v>
      </c>
      <c r="I3015" s="13">
        <v>10</v>
      </c>
      <c r="J3015">
        <v>1</v>
      </c>
      <c r="K3015">
        <v>61.89</v>
      </c>
      <c r="L3015">
        <v>2</v>
      </c>
      <c r="M3015">
        <v>12</v>
      </c>
      <c r="N3015">
        <v>4</v>
      </c>
      <c r="O3015">
        <f t="shared" si="47"/>
        <v>1</v>
      </c>
    </row>
    <row r="3016" spans="1:15">
      <c r="A3016">
        <v>2616</v>
      </c>
      <c r="B3016" s="1">
        <v>45676</v>
      </c>
      <c r="C3016">
        <v>44</v>
      </c>
      <c r="D3016" t="s">
        <v>17</v>
      </c>
      <c r="E3016" t="s">
        <v>24</v>
      </c>
      <c r="F3016" t="s">
        <v>16</v>
      </c>
      <c r="H3016">
        <v>378.6</v>
      </c>
      <c r="I3016" s="13">
        <v>8</v>
      </c>
      <c r="J3016">
        <v>1</v>
      </c>
      <c r="K3016">
        <v>59.43</v>
      </c>
      <c r="L3016">
        <v>4</v>
      </c>
      <c r="M3016">
        <v>5</v>
      </c>
      <c r="N3016">
        <v>3</v>
      </c>
      <c r="O3016">
        <f t="shared" si="47"/>
        <v>1</v>
      </c>
    </row>
    <row r="3017" spans="1:15">
      <c r="A3017">
        <v>2855</v>
      </c>
      <c r="B3017" s="1">
        <v>45676</v>
      </c>
      <c r="C3017">
        <v>47</v>
      </c>
      <c r="D3017" t="s">
        <v>14</v>
      </c>
      <c r="E3017" t="s">
        <v>22</v>
      </c>
      <c r="F3017" t="s">
        <v>18</v>
      </c>
      <c r="G3017" t="s">
        <v>30</v>
      </c>
      <c r="H3017">
        <v>412.1</v>
      </c>
      <c r="I3017" s="13">
        <v>7</v>
      </c>
      <c r="J3017">
        <v>1</v>
      </c>
      <c r="K3017">
        <v>44.5</v>
      </c>
      <c r="L3017">
        <v>3</v>
      </c>
      <c r="M3017">
        <v>9</v>
      </c>
      <c r="N3017">
        <v>5</v>
      </c>
      <c r="O3017">
        <f t="shared" si="47"/>
        <v>1</v>
      </c>
    </row>
    <row r="3018" spans="1:15">
      <c r="A3018">
        <v>3945</v>
      </c>
      <c r="B3018" s="1">
        <v>45676</v>
      </c>
      <c r="C3018">
        <v>62</v>
      </c>
      <c r="D3018" t="s">
        <v>14</v>
      </c>
      <c r="E3018" t="s">
        <v>22</v>
      </c>
      <c r="F3018" t="s">
        <v>18</v>
      </c>
      <c r="G3018" t="s">
        <v>25</v>
      </c>
      <c r="H3018">
        <v>1128.9000000000001</v>
      </c>
      <c r="I3018" s="13">
        <v>4</v>
      </c>
      <c r="J3018">
        <v>1</v>
      </c>
      <c r="K3018">
        <v>40.99</v>
      </c>
      <c r="L3018">
        <v>4</v>
      </c>
      <c r="M3018">
        <v>8</v>
      </c>
      <c r="N3018">
        <v>5</v>
      </c>
      <c r="O3018">
        <f t="shared" si="47"/>
        <v>1</v>
      </c>
    </row>
    <row r="3019" spans="1:15">
      <c r="A3019">
        <v>3098</v>
      </c>
      <c r="B3019" s="1">
        <v>45676</v>
      </c>
      <c r="C3019">
        <v>29</v>
      </c>
      <c r="D3019" t="s">
        <v>14</v>
      </c>
      <c r="E3019" t="s">
        <v>22</v>
      </c>
      <c r="F3019" t="s">
        <v>16</v>
      </c>
      <c r="H3019">
        <v>1229.5999999999999</v>
      </c>
      <c r="I3019" s="13">
        <v>4</v>
      </c>
      <c r="J3019">
        <v>1</v>
      </c>
      <c r="K3019">
        <v>36.35</v>
      </c>
      <c r="L3019">
        <v>1</v>
      </c>
      <c r="M3019">
        <v>2</v>
      </c>
      <c r="N3019">
        <v>4</v>
      </c>
      <c r="O3019">
        <f t="shared" si="47"/>
        <v>1</v>
      </c>
    </row>
    <row r="3020" spans="1:15">
      <c r="A3020">
        <v>2087</v>
      </c>
      <c r="B3020" s="1">
        <v>45676</v>
      </c>
      <c r="C3020">
        <v>19</v>
      </c>
      <c r="D3020" t="s">
        <v>14</v>
      </c>
      <c r="E3020" t="s">
        <v>15</v>
      </c>
      <c r="F3020" t="s">
        <v>16</v>
      </c>
      <c r="H3020">
        <v>474.8</v>
      </c>
      <c r="I3020" s="13">
        <v>5</v>
      </c>
      <c r="J3020">
        <v>1</v>
      </c>
      <c r="K3020">
        <v>34.89</v>
      </c>
      <c r="L3020">
        <v>4</v>
      </c>
      <c r="M3020">
        <v>2</v>
      </c>
      <c r="N3020">
        <v>5</v>
      </c>
      <c r="O3020">
        <f t="shared" si="47"/>
        <v>1</v>
      </c>
    </row>
    <row r="3021" spans="1:15">
      <c r="A3021">
        <v>4147</v>
      </c>
      <c r="B3021" s="1">
        <v>45676</v>
      </c>
      <c r="C3021">
        <v>54</v>
      </c>
      <c r="D3021" t="s">
        <v>17</v>
      </c>
      <c r="E3021" t="s">
        <v>15</v>
      </c>
      <c r="F3021" t="s">
        <v>23</v>
      </c>
      <c r="H3021">
        <v>227.6</v>
      </c>
      <c r="I3021" s="13">
        <v>11</v>
      </c>
      <c r="J3021">
        <v>1</v>
      </c>
      <c r="K3021">
        <v>28.78</v>
      </c>
      <c r="L3021">
        <v>3</v>
      </c>
      <c r="M3021">
        <v>3</v>
      </c>
      <c r="N3021">
        <v>4</v>
      </c>
      <c r="O3021">
        <f t="shared" si="47"/>
        <v>1</v>
      </c>
    </row>
    <row r="3022" spans="1:15">
      <c r="A3022">
        <v>3168</v>
      </c>
      <c r="B3022" s="1">
        <v>45676</v>
      </c>
      <c r="C3022">
        <v>38</v>
      </c>
      <c r="D3022" t="s">
        <v>14</v>
      </c>
      <c r="E3022" t="s">
        <v>20</v>
      </c>
      <c r="F3022" t="s">
        <v>21</v>
      </c>
      <c r="H3022">
        <v>443.5</v>
      </c>
      <c r="I3022" s="13">
        <v>6</v>
      </c>
      <c r="J3022">
        <v>1</v>
      </c>
      <c r="K3022">
        <v>22.01</v>
      </c>
      <c r="L3022">
        <v>2</v>
      </c>
      <c r="M3022">
        <v>13</v>
      </c>
      <c r="N3022">
        <v>4</v>
      </c>
      <c r="O3022">
        <f t="shared" si="47"/>
        <v>1</v>
      </c>
    </row>
    <row r="3023" spans="1:15">
      <c r="A3023">
        <v>1524</v>
      </c>
      <c r="B3023" s="1">
        <v>45676</v>
      </c>
      <c r="C3023">
        <v>25</v>
      </c>
      <c r="D3023" t="s">
        <v>14</v>
      </c>
      <c r="E3023" t="s">
        <v>15</v>
      </c>
      <c r="F3023" t="s">
        <v>16</v>
      </c>
      <c r="H3023">
        <v>47.4</v>
      </c>
      <c r="I3023" s="13">
        <v>9</v>
      </c>
      <c r="J3023">
        <v>1</v>
      </c>
      <c r="K3023">
        <v>15.27</v>
      </c>
      <c r="L3023">
        <v>5</v>
      </c>
      <c r="M3023">
        <v>7</v>
      </c>
      <c r="N3023">
        <v>4</v>
      </c>
      <c r="O3023">
        <f t="shared" si="47"/>
        <v>1</v>
      </c>
    </row>
    <row r="3024" spans="1:15">
      <c r="A3024">
        <v>2642</v>
      </c>
      <c r="B3024" s="1">
        <v>45676</v>
      </c>
      <c r="C3024">
        <v>23</v>
      </c>
      <c r="D3024" t="s">
        <v>14</v>
      </c>
      <c r="E3024" t="s">
        <v>20</v>
      </c>
      <c r="F3024" t="s">
        <v>16</v>
      </c>
      <c r="H3024">
        <v>989.2</v>
      </c>
      <c r="I3024" s="13">
        <v>5</v>
      </c>
      <c r="J3024">
        <v>0</v>
      </c>
      <c r="K3024">
        <v>0</v>
      </c>
      <c r="L3024">
        <v>0</v>
      </c>
      <c r="M3024">
        <v>0</v>
      </c>
      <c r="O3024">
        <f t="shared" si="47"/>
        <v>1</v>
      </c>
    </row>
    <row r="3025" spans="1:15">
      <c r="A3025">
        <v>434</v>
      </c>
      <c r="B3025" s="1">
        <v>45676</v>
      </c>
      <c r="C3025">
        <v>28</v>
      </c>
      <c r="D3025" t="s">
        <v>17</v>
      </c>
      <c r="E3025" t="s">
        <v>22</v>
      </c>
      <c r="F3025" t="s">
        <v>16</v>
      </c>
      <c r="H3025">
        <v>535.9</v>
      </c>
      <c r="I3025" s="13">
        <v>6</v>
      </c>
      <c r="J3025">
        <v>0</v>
      </c>
      <c r="K3025">
        <v>0</v>
      </c>
      <c r="L3025">
        <v>0</v>
      </c>
      <c r="M3025">
        <v>0</v>
      </c>
      <c r="O3025">
        <f t="shared" si="47"/>
        <v>1</v>
      </c>
    </row>
    <row r="3026" spans="1:15">
      <c r="A3026">
        <v>1276</v>
      </c>
      <c r="B3026" s="1">
        <v>45676</v>
      </c>
      <c r="C3026">
        <v>22</v>
      </c>
      <c r="D3026" t="s">
        <v>14</v>
      </c>
      <c r="E3026" t="s">
        <v>20</v>
      </c>
      <c r="F3026" t="s">
        <v>23</v>
      </c>
      <c r="H3026">
        <v>513.5</v>
      </c>
      <c r="I3026" s="13">
        <v>3</v>
      </c>
      <c r="J3026">
        <v>0</v>
      </c>
      <c r="K3026">
        <v>0</v>
      </c>
      <c r="L3026">
        <v>0</v>
      </c>
      <c r="M3026">
        <v>0</v>
      </c>
      <c r="O3026">
        <f t="shared" si="47"/>
        <v>1</v>
      </c>
    </row>
    <row r="3027" spans="1:15">
      <c r="A3027">
        <v>1298</v>
      </c>
      <c r="B3027" s="1">
        <v>45676</v>
      </c>
      <c r="C3027">
        <v>29</v>
      </c>
      <c r="D3027" t="s">
        <v>17</v>
      </c>
      <c r="E3027" t="s">
        <v>20</v>
      </c>
      <c r="F3027" t="s">
        <v>16</v>
      </c>
      <c r="H3027">
        <v>484</v>
      </c>
      <c r="I3027" s="13">
        <v>4</v>
      </c>
      <c r="J3027">
        <v>0</v>
      </c>
      <c r="K3027">
        <v>0</v>
      </c>
      <c r="L3027">
        <v>0</v>
      </c>
      <c r="M3027">
        <v>0</v>
      </c>
      <c r="O3027">
        <f t="shared" si="47"/>
        <v>1</v>
      </c>
    </row>
    <row r="3028" spans="1:15">
      <c r="A3028">
        <v>1594</v>
      </c>
      <c r="B3028" s="1">
        <v>45676</v>
      </c>
      <c r="C3028">
        <v>38</v>
      </c>
      <c r="D3028" t="s">
        <v>17</v>
      </c>
      <c r="E3028" t="s">
        <v>20</v>
      </c>
      <c r="F3028" t="s">
        <v>18</v>
      </c>
      <c r="G3028" t="s">
        <v>25</v>
      </c>
      <c r="H3028">
        <v>483.8</v>
      </c>
      <c r="I3028" s="13">
        <v>6</v>
      </c>
      <c r="J3028">
        <v>0</v>
      </c>
      <c r="K3028">
        <v>0</v>
      </c>
      <c r="L3028">
        <v>0</v>
      </c>
      <c r="M3028">
        <v>0</v>
      </c>
      <c r="O3028">
        <f t="shared" si="47"/>
        <v>1</v>
      </c>
    </row>
    <row r="3029" spans="1:15">
      <c r="A3029">
        <v>2155</v>
      </c>
      <c r="B3029" s="1">
        <v>45676</v>
      </c>
      <c r="C3029">
        <v>26</v>
      </c>
      <c r="D3029" t="s">
        <v>14</v>
      </c>
      <c r="E3029" t="s">
        <v>22</v>
      </c>
      <c r="F3029" t="s">
        <v>16</v>
      </c>
      <c r="H3029">
        <v>429.9</v>
      </c>
      <c r="I3029" s="13">
        <v>4</v>
      </c>
      <c r="J3029">
        <v>0</v>
      </c>
      <c r="K3029">
        <v>0</v>
      </c>
      <c r="L3029">
        <v>0</v>
      </c>
      <c r="M3029">
        <v>0</v>
      </c>
      <c r="O3029">
        <f t="shared" si="47"/>
        <v>1</v>
      </c>
    </row>
    <row r="3030" spans="1:15">
      <c r="A3030">
        <v>207</v>
      </c>
      <c r="B3030" s="1">
        <v>45676</v>
      </c>
      <c r="C3030">
        <v>22</v>
      </c>
      <c r="D3030" t="s">
        <v>17</v>
      </c>
      <c r="E3030" t="s">
        <v>20</v>
      </c>
      <c r="F3030" t="s">
        <v>16</v>
      </c>
      <c r="H3030">
        <v>429</v>
      </c>
      <c r="I3030" s="13">
        <v>6</v>
      </c>
      <c r="J3030">
        <v>0</v>
      </c>
      <c r="K3030">
        <v>0</v>
      </c>
      <c r="L3030">
        <v>0</v>
      </c>
      <c r="M3030">
        <v>0</v>
      </c>
      <c r="O3030">
        <f t="shared" si="47"/>
        <v>1</v>
      </c>
    </row>
    <row r="3031" spans="1:15">
      <c r="A3031">
        <v>4211</v>
      </c>
      <c r="B3031" s="1">
        <v>45676</v>
      </c>
      <c r="C3031">
        <v>45</v>
      </c>
      <c r="D3031" t="s">
        <v>17</v>
      </c>
      <c r="E3031" t="s">
        <v>15</v>
      </c>
      <c r="F3031" t="s">
        <v>16</v>
      </c>
      <c r="H3031">
        <v>397.7</v>
      </c>
      <c r="I3031" s="13">
        <v>6</v>
      </c>
      <c r="J3031">
        <v>0</v>
      </c>
      <c r="K3031">
        <v>0</v>
      </c>
      <c r="L3031">
        <v>0</v>
      </c>
      <c r="M3031">
        <v>0</v>
      </c>
      <c r="O3031">
        <f t="shared" si="47"/>
        <v>1</v>
      </c>
    </row>
    <row r="3032" spans="1:15">
      <c r="A3032">
        <v>3798</v>
      </c>
      <c r="B3032" s="1">
        <v>45676</v>
      </c>
      <c r="C3032">
        <v>56</v>
      </c>
      <c r="D3032" t="s">
        <v>17</v>
      </c>
      <c r="E3032" t="s">
        <v>15</v>
      </c>
      <c r="F3032" t="s">
        <v>16</v>
      </c>
      <c r="H3032">
        <v>349.3</v>
      </c>
      <c r="I3032" s="13">
        <v>12</v>
      </c>
      <c r="J3032">
        <v>0</v>
      </c>
      <c r="K3032">
        <v>0</v>
      </c>
      <c r="L3032">
        <v>0</v>
      </c>
      <c r="M3032">
        <v>0</v>
      </c>
      <c r="O3032">
        <f t="shared" si="47"/>
        <v>1</v>
      </c>
    </row>
    <row r="3033" spans="1:15">
      <c r="A3033">
        <v>4066</v>
      </c>
      <c r="B3033" s="1">
        <v>45676</v>
      </c>
      <c r="C3033">
        <v>65</v>
      </c>
      <c r="D3033" t="s">
        <v>14</v>
      </c>
      <c r="E3033" t="s">
        <v>22</v>
      </c>
      <c r="F3033" t="s">
        <v>18</v>
      </c>
      <c r="G3033" t="s">
        <v>26</v>
      </c>
      <c r="H3033">
        <v>314.5</v>
      </c>
      <c r="I3033" s="13">
        <v>7</v>
      </c>
      <c r="J3033">
        <v>0</v>
      </c>
      <c r="K3033">
        <v>0</v>
      </c>
      <c r="L3033">
        <v>0</v>
      </c>
      <c r="M3033">
        <v>0</v>
      </c>
      <c r="O3033">
        <f t="shared" si="47"/>
        <v>1</v>
      </c>
    </row>
    <row r="3034" spans="1:15">
      <c r="A3034">
        <v>665</v>
      </c>
      <c r="B3034" s="1">
        <v>45676</v>
      </c>
      <c r="C3034">
        <v>23</v>
      </c>
      <c r="D3034" t="s">
        <v>14</v>
      </c>
      <c r="E3034" t="s">
        <v>15</v>
      </c>
      <c r="F3034" t="s">
        <v>21</v>
      </c>
      <c r="H3034">
        <v>294.10000000000002</v>
      </c>
      <c r="I3034" s="13">
        <v>5</v>
      </c>
      <c r="J3034">
        <v>0</v>
      </c>
      <c r="K3034">
        <v>0</v>
      </c>
      <c r="L3034">
        <v>0</v>
      </c>
      <c r="M3034">
        <v>0</v>
      </c>
      <c r="O3034">
        <f t="shared" si="47"/>
        <v>1</v>
      </c>
    </row>
    <row r="3035" spans="1:15">
      <c r="A3035">
        <v>401</v>
      </c>
      <c r="B3035" s="1">
        <v>45676</v>
      </c>
      <c r="C3035">
        <v>35</v>
      </c>
      <c r="D3035" t="s">
        <v>17</v>
      </c>
      <c r="E3035" t="s">
        <v>22</v>
      </c>
      <c r="F3035" t="s">
        <v>16</v>
      </c>
      <c r="H3035">
        <v>264.10000000000002</v>
      </c>
      <c r="I3035" s="13">
        <v>4</v>
      </c>
      <c r="J3035">
        <v>0</v>
      </c>
      <c r="K3035">
        <v>0</v>
      </c>
      <c r="L3035">
        <v>0</v>
      </c>
      <c r="M3035">
        <v>0</v>
      </c>
      <c r="O3035">
        <f t="shared" si="47"/>
        <v>1</v>
      </c>
    </row>
    <row r="3036" spans="1:15">
      <c r="A3036">
        <v>2946</v>
      </c>
      <c r="B3036" s="1">
        <v>45676</v>
      </c>
      <c r="C3036">
        <v>49</v>
      </c>
      <c r="D3036" t="s">
        <v>14</v>
      </c>
      <c r="E3036" t="s">
        <v>22</v>
      </c>
      <c r="F3036" t="s">
        <v>18</v>
      </c>
      <c r="G3036" t="s">
        <v>19</v>
      </c>
      <c r="H3036">
        <v>255.5</v>
      </c>
      <c r="I3036" s="13">
        <v>6</v>
      </c>
      <c r="J3036">
        <v>0</v>
      </c>
      <c r="K3036">
        <v>0</v>
      </c>
      <c r="L3036">
        <v>0</v>
      </c>
      <c r="M3036">
        <v>0</v>
      </c>
      <c r="O3036">
        <f t="shared" si="47"/>
        <v>1</v>
      </c>
    </row>
    <row r="3037" spans="1:15">
      <c r="A3037">
        <v>1185</v>
      </c>
      <c r="B3037" s="1">
        <v>45676</v>
      </c>
      <c r="C3037">
        <v>24</v>
      </c>
      <c r="D3037" t="s">
        <v>17</v>
      </c>
      <c r="E3037" t="s">
        <v>22</v>
      </c>
      <c r="F3037" t="s">
        <v>18</v>
      </c>
      <c r="G3037" t="s">
        <v>31</v>
      </c>
      <c r="H3037">
        <v>249.4</v>
      </c>
      <c r="I3037" s="13">
        <v>5</v>
      </c>
      <c r="J3037">
        <v>0</v>
      </c>
      <c r="K3037">
        <v>0</v>
      </c>
      <c r="L3037">
        <v>0</v>
      </c>
      <c r="M3037">
        <v>0</v>
      </c>
      <c r="O3037">
        <f t="shared" si="47"/>
        <v>1</v>
      </c>
    </row>
    <row r="3038" spans="1:15">
      <c r="A3038">
        <v>3524</v>
      </c>
      <c r="B3038" s="1">
        <v>45676</v>
      </c>
      <c r="C3038">
        <v>28</v>
      </c>
      <c r="D3038" t="s">
        <v>17</v>
      </c>
      <c r="E3038" t="s">
        <v>20</v>
      </c>
      <c r="F3038" t="s">
        <v>16</v>
      </c>
      <c r="H3038">
        <v>218.3</v>
      </c>
      <c r="I3038" s="13">
        <v>7</v>
      </c>
      <c r="J3038">
        <v>0</v>
      </c>
      <c r="K3038">
        <v>0</v>
      </c>
      <c r="L3038">
        <v>0</v>
      </c>
      <c r="M3038">
        <v>0</v>
      </c>
      <c r="O3038">
        <f t="shared" si="47"/>
        <v>1</v>
      </c>
    </row>
    <row r="3039" spans="1:15">
      <c r="A3039">
        <v>884</v>
      </c>
      <c r="B3039" s="1">
        <v>45676</v>
      </c>
      <c r="C3039">
        <v>26</v>
      </c>
      <c r="D3039" t="s">
        <v>14</v>
      </c>
      <c r="E3039" t="s">
        <v>22</v>
      </c>
      <c r="F3039" t="s">
        <v>16</v>
      </c>
      <c r="H3039">
        <v>207.1</v>
      </c>
      <c r="I3039" s="13">
        <v>5</v>
      </c>
      <c r="J3039">
        <v>0</v>
      </c>
      <c r="K3039">
        <v>0</v>
      </c>
      <c r="L3039">
        <v>0</v>
      </c>
      <c r="M3039">
        <v>0</v>
      </c>
      <c r="O3039">
        <f t="shared" si="47"/>
        <v>1</v>
      </c>
    </row>
    <row r="3040" spans="1:15">
      <c r="A3040">
        <v>371</v>
      </c>
      <c r="B3040" s="1">
        <v>45676</v>
      </c>
      <c r="C3040">
        <v>27</v>
      </c>
      <c r="D3040" t="s">
        <v>17</v>
      </c>
      <c r="E3040" t="s">
        <v>22</v>
      </c>
      <c r="F3040" t="s">
        <v>16</v>
      </c>
      <c r="H3040">
        <v>152.1</v>
      </c>
      <c r="I3040" s="13">
        <v>6</v>
      </c>
      <c r="J3040">
        <v>0</v>
      </c>
      <c r="K3040">
        <v>0</v>
      </c>
      <c r="L3040">
        <v>0</v>
      </c>
      <c r="M3040">
        <v>0</v>
      </c>
      <c r="O3040">
        <f t="shared" si="47"/>
        <v>1</v>
      </c>
    </row>
    <row r="3041" spans="1:15">
      <c r="A3041">
        <v>3199</v>
      </c>
      <c r="B3041" s="1">
        <v>45676</v>
      </c>
      <c r="C3041">
        <v>18</v>
      </c>
      <c r="D3041" t="s">
        <v>17</v>
      </c>
      <c r="E3041" t="s">
        <v>24</v>
      </c>
      <c r="F3041" t="s">
        <v>23</v>
      </c>
      <c r="H3041">
        <v>137.69999999999999</v>
      </c>
      <c r="I3041" s="13">
        <v>3</v>
      </c>
      <c r="J3041">
        <v>0</v>
      </c>
      <c r="K3041">
        <v>0</v>
      </c>
      <c r="L3041">
        <v>0</v>
      </c>
      <c r="M3041">
        <v>0</v>
      </c>
      <c r="O3041">
        <f t="shared" si="47"/>
        <v>1</v>
      </c>
    </row>
    <row r="3042" spans="1:15">
      <c r="A3042">
        <v>3229</v>
      </c>
      <c r="B3042" s="1">
        <v>45676</v>
      </c>
      <c r="C3042">
        <v>31</v>
      </c>
      <c r="D3042" t="s">
        <v>14</v>
      </c>
      <c r="E3042" t="s">
        <v>22</v>
      </c>
      <c r="F3042" t="s">
        <v>16</v>
      </c>
      <c r="H3042">
        <v>130.69999999999999</v>
      </c>
      <c r="I3042" s="13">
        <v>9</v>
      </c>
      <c r="J3042">
        <v>0</v>
      </c>
      <c r="K3042">
        <v>0</v>
      </c>
      <c r="L3042">
        <v>0</v>
      </c>
      <c r="M3042">
        <v>0</v>
      </c>
      <c r="O3042">
        <f t="shared" si="47"/>
        <v>1</v>
      </c>
    </row>
    <row r="3043" spans="1:15">
      <c r="A3043">
        <v>2271</v>
      </c>
      <c r="B3043" s="1">
        <v>45676</v>
      </c>
      <c r="C3043">
        <v>31</v>
      </c>
      <c r="D3043" t="s">
        <v>17</v>
      </c>
      <c r="E3043" t="s">
        <v>15</v>
      </c>
      <c r="F3043" t="s">
        <v>16</v>
      </c>
      <c r="H3043">
        <v>89.3</v>
      </c>
      <c r="I3043" s="13">
        <v>5</v>
      </c>
      <c r="J3043">
        <v>0</v>
      </c>
      <c r="K3043">
        <v>0</v>
      </c>
      <c r="L3043">
        <v>0</v>
      </c>
      <c r="M3043">
        <v>0</v>
      </c>
      <c r="O3043">
        <f t="shared" si="47"/>
        <v>1</v>
      </c>
    </row>
    <row r="3044" spans="1:15">
      <c r="A3044">
        <v>1724</v>
      </c>
      <c r="B3044" s="1">
        <v>45676</v>
      </c>
      <c r="C3044">
        <v>18</v>
      </c>
      <c r="D3044" t="s">
        <v>17</v>
      </c>
      <c r="E3044" t="s">
        <v>22</v>
      </c>
      <c r="F3044" t="s">
        <v>16</v>
      </c>
      <c r="H3044">
        <v>42.7</v>
      </c>
      <c r="I3044" s="13">
        <v>4</v>
      </c>
      <c r="J3044">
        <v>0</v>
      </c>
      <c r="K3044">
        <v>0</v>
      </c>
      <c r="L3044">
        <v>0</v>
      </c>
      <c r="M3044">
        <v>0</v>
      </c>
      <c r="O3044">
        <f t="shared" si="47"/>
        <v>1</v>
      </c>
    </row>
    <row r="3045" spans="1:15">
      <c r="A3045">
        <v>2376</v>
      </c>
      <c r="B3045" s="1">
        <v>45707</v>
      </c>
      <c r="C3045">
        <v>31</v>
      </c>
      <c r="D3045" t="s">
        <v>14</v>
      </c>
      <c r="E3045" t="s">
        <v>15</v>
      </c>
      <c r="F3045" t="s">
        <v>18</v>
      </c>
      <c r="G3045" t="s">
        <v>29</v>
      </c>
      <c r="H3045">
        <v>366.4</v>
      </c>
      <c r="I3045" s="13">
        <v>7</v>
      </c>
      <c r="J3045">
        <v>1</v>
      </c>
      <c r="K3045">
        <v>158.58000000000001</v>
      </c>
      <c r="L3045">
        <v>2</v>
      </c>
      <c r="M3045">
        <v>15</v>
      </c>
      <c r="N3045">
        <v>3</v>
      </c>
      <c r="O3045">
        <f t="shared" si="47"/>
        <v>2</v>
      </c>
    </row>
    <row r="3046" spans="1:15">
      <c r="A3046">
        <v>2608</v>
      </c>
      <c r="B3046" s="1">
        <v>45707</v>
      </c>
      <c r="C3046">
        <v>40</v>
      </c>
      <c r="D3046" t="s">
        <v>17</v>
      </c>
      <c r="E3046" t="s">
        <v>22</v>
      </c>
      <c r="F3046" t="s">
        <v>23</v>
      </c>
      <c r="H3046">
        <v>801.3</v>
      </c>
      <c r="I3046" s="13">
        <v>5</v>
      </c>
      <c r="J3046">
        <v>1</v>
      </c>
      <c r="K3046">
        <v>75.31</v>
      </c>
      <c r="L3046">
        <v>3</v>
      </c>
      <c r="M3046">
        <v>10</v>
      </c>
      <c r="N3046">
        <v>5</v>
      </c>
      <c r="O3046">
        <f t="shared" si="47"/>
        <v>2</v>
      </c>
    </row>
    <row r="3047" spans="1:15">
      <c r="A3047">
        <v>618</v>
      </c>
      <c r="B3047" s="1">
        <v>45707</v>
      </c>
      <c r="C3047">
        <v>28</v>
      </c>
      <c r="D3047" t="s">
        <v>17</v>
      </c>
      <c r="E3047" t="s">
        <v>22</v>
      </c>
      <c r="F3047" t="s">
        <v>23</v>
      </c>
      <c r="H3047">
        <v>369.3</v>
      </c>
      <c r="I3047" s="13">
        <v>4</v>
      </c>
      <c r="J3047">
        <v>1</v>
      </c>
      <c r="K3047">
        <v>73.459999999999994</v>
      </c>
      <c r="L3047">
        <v>3</v>
      </c>
      <c r="M3047">
        <v>6</v>
      </c>
      <c r="N3047">
        <v>3</v>
      </c>
      <c r="O3047">
        <f t="shared" si="47"/>
        <v>2</v>
      </c>
    </row>
    <row r="3048" spans="1:15">
      <c r="A3048">
        <v>941</v>
      </c>
      <c r="B3048" s="1">
        <v>45707</v>
      </c>
      <c r="C3048">
        <v>21</v>
      </c>
      <c r="D3048" t="s">
        <v>17</v>
      </c>
      <c r="E3048" t="s">
        <v>22</v>
      </c>
      <c r="F3048" t="s">
        <v>16</v>
      </c>
      <c r="H3048">
        <v>269.39999999999998</v>
      </c>
      <c r="I3048" s="13">
        <v>9</v>
      </c>
      <c r="J3048">
        <v>1</v>
      </c>
      <c r="K3048">
        <v>46.09</v>
      </c>
      <c r="L3048">
        <v>2</v>
      </c>
      <c r="M3048">
        <v>10</v>
      </c>
      <c r="N3048">
        <v>4</v>
      </c>
      <c r="O3048">
        <f t="shared" si="47"/>
        <v>2</v>
      </c>
    </row>
    <row r="3049" spans="1:15">
      <c r="A3049">
        <v>936</v>
      </c>
      <c r="B3049" s="1">
        <v>45707</v>
      </c>
      <c r="C3049">
        <v>27</v>
      </c>
      <c r="D3049" t="s">
        <v>17</v>
      </c>
      <c r="E3049" t="s">
        <v>24</v>
      </c>
      <c r="F3049" t="s">
        <v>16</v>
      </c>
      <c r="H3049">
        <v>262.3</v>
      </c>
      <c r="I3049" s="13">
        <v>7</v>
      </c>
      <c r="J3049">
        <v>1</v>
      </c>
      <c r="K3049">
        <v>33.46</v>
      </c>
      <c r="L3049">
        <v>3</v>
      </c>
      <c r="M3049">
        <v>14</v>
      </c>
      <c r="N3049">
        <v>4</v>
      </c>
      <c r="O3049">
        <f t="shared" si="47"/>
        <v>2</v>
      </c>
    </row>
    <row r="3050" spans="1:15">
      <c r="A3050">
        <v>1220</v>
      </c>
      <c r="B3050" s="1">
        <v>45707</v>
      </c>
      <c r="C3050">
        <v>18</v>
      </c>
      <c r="D3050" t="s">
        <v>14</v>
      </c>
      <c r="E3050" t="s">
        <v>22</v>
      </c>
      <c r="F3050" t="s">
        <v>16</v>
      </c>
      <c r="H3050">
        <v>463.9</v>
      </c>
      <c r="I3050" s="13">
        <v>9</v>
      </c>
      <c r="J3050">
        <v>1</v>
      </c>
      <c r="K3050">
        <v>29</v>
      </c>
      <c r="L3050">
        <v>3</v>
      </c>
      <c r="M3050">
        <v>1</v>
      </c>
      <c r="N3050">
        <v>5</v>
      </c>
      <c r="O3050">
        <f t="shared" si="47"/>
        <v>2</v>
      </c>
    </row>
    <row r="3051" spans="1:15">
      <c r="A3051">
        <v>1359</v>
      </c>
      <c r="B3051" s="1">
        <v>45707</v>
      </c>
      <c r="C3051">
        <v>24</v>
      </c>
      <c r="D3051" t="s">
        <v>17</v>
      </c>
      <c r="E3051" t="s">
        <v>22</v>
      </c>
      <c r="F3051" t="s">
        <v>23</v>
      </c>
      <c r="H3051">
        <v>970.2</v>
      </c>
      <c r="I3051" s="13">
        <v>4</v>
      </c>
      <c r="J3051">
        <v>1</v>
      </c>
      <c r="K3051">
        <v>24.87</v>
      </c>
      <c r="L3051">
        <v>6</v>
      </c>
      <c r="M3051">
        <v>13</v>
      </c>
      <c r="N3051">
        <v>5</v>
      </c>
      <c r="O3051">
        <f t="shared" si="47"/>
        <v>2</v>
      </c>
    </row>
    <row r="3052" spans="1:15">
      <c r="A3052">
        <v>1228</v>
      </c>
      <c r="B3052" s="1">
        <v>45707</v>
      </c>
      <c r="C3052">
        <v>19</v>
      </c>
      <c r="D3052" t="s">
        <v>17</v>
      </c>
      <c r="E3052" t="s">
        <v>22</v>
      </c>
      <c r="F3052" t="s">
        <v>16</v>
      </c>
      <c r="H3052">
        <v>1156</v>
      </c>
      <c r="I3052" s="13">
        <v>6</v>
      </c>
      <c r="J3052">
        <v>1</v>
      </c>
      <c r="K3052">
        <v>15.76</v>
      </c>
      <c r="L3052">
        <v>3</v>
      </c>
      <c r="M3052">
        <v>1</v>
      </c>
      <c r="N3052">
        <v>4</v>
      </c>
      <c r="O3052">
        <f t="shared" si="47"/>
        <v>2</v>
      </c>
    </row>
    <row r="3053" spans="1:15">
      <c r="A3053">
        <v>2286</v>
      </c>
      <c r="B3053" s="1">
        <v>45707</v>
      </c>
      <c r="C3053">
        <v>38</v>
      </c>
      <c r="D3053" t="s">
        <v>17</v>
      </c>
      <c r="E3053" t="s">
        <v>20</v>
      </c>
      <c r="F3053" t="s">
        <v>18</v>
      </c>
      <c r="G3053" t="s">
        <v>31</v>
      </c>
      <c r="H3053">
        <v>754.3</v>
      </c>
      <c r="I3053" s="13">
        <v>3</v>
      </c>
      <c r="J3053">
        <v>0</v>
      </c>
      <c r="K3053">
        <v>0</v>
      </c>
      <c r="L3053">
        <v>0</v>
      </c>
      <c r="M3053">
        <v>0</v>
      </c>
      <c r="O3053">
        <f t="shared" si="47"/>
        <v>2</v>
      </c>
    </row>
    <row r="3054" spans="1:15">
      <c r="A3054">
        <v>4840</v>
      </c>
      <c r="B3054" s="1">
        <v>45707</v>
      </c>
      <c r="C3054">
        <v>60</v>
      </c>
      <c r="D3054" t="s">
        <v>17</v>
      </c>
      <c r="E3054" t="s">
        <v>20</v>
      </c>
      <c r="F3054" t="s">
        <v>16</v>
      </c>
      <c r="H3054">
        <v>669.5</v>
      </c>
      <c r="I3054" s="13">
        <v>8</v>
      </c>
      <c r="J3054">
        <v>0</v>
      </c>
      <c r="K3054">
        <v>0</v>
      </c>
      <c r="L3054">
        <v>0</v>
      </c>
      <c r="M3054">
        <v>0</v>
      </c>
      <c r="O3054">
        <f t="shared" si="47"/>
        <v>2</v>
      </c>
    </row>
    <row r="3055" spans="1:15">
      <c r="A3055">
        <v>2772</v>
      </c>
      <c r="B3055" s="1">
        <v>45707</v>
      </c>
      <c r="C3055">
        <v>37</v>
      </c>
      <c r="D3055" t="s">
        <v>17</v>
      </c>
      <c r="E3055" t="s">
        <v>20</v>
      </c>
      <c r="F3055" t="s">
        <v>18</v>
      </c>
      <c r="G3055" t="s">
        <v>26</v>
      </c>
      <c r="H3055">
        <v>525.4</v>
      </c>
      <c r="I3055" s="13">
        <v>5</v>
      </c>
      <c r="J3055">
        <v>0</v>
      </c>
      <c r="K3055">
        <v>0</v>
      </c>
      <c r="L3055">
        <v>0</v>
      </c>
      <c r="M3055">
        <v>0</v>
      </c>
      <c r="O3055">
        <f t="shared" si="47"/>
        <v>2</v>
      </c>
    </row>
    <row r="3056" spans="1:15">
      <c r="A3056">
        <v>1209</v>
      </c>
      <c r="B3056" s="1">
        <v>45707</v>
      </c>
      <c r="C3056">
        <v>36</v>
      </c>
      <c r="D3056" t="s">
        <v>14</v>
      </c>
      <c r="E3056" t="s">
        <v>22</v>
      </c>
      <c r="F3056" t="s">
        <v>16</v>
      </c>
      <c r="H3056">
        <v>478.9</v>
      </c>
      <c r="I3056" s="13">
        <v>6</v>
      </c>
      <c r="J3056">
        <v>0</v>
      </c>
      <c r="K3056">
        <v>0</v>
      </c>
      <c r="L3056">
        <v>0</v>
      </c>
      <c r="M3056">
        <v>0</v>
      </c>
      <c r="O3056">
        <f t="shared" si="47"/>
        <v>2</v>
      </c>
    </row>
    <row r="3057" spans="1:15">
      <c r="A3057">
        <v>1597</v>
      </c>
      <c r="B3057" s="1">
        <v>45707</v>
      </c>
      <c r="C3057">
        <v>19</v>
      </c>
      <c r="D3057" t="s">
        <v>14</v>
      </c>
      <c r="E3057" t="s">
        <v>15</v>
      </c>
      <c r="F3057" t="s">
        <v>16</v>
      </c>
      <c r="H3057">
        <v>477.4</v>
      </c>
      <c r="I3057" s="13">
        <v>6</v>
      </c>
      <c r="J3057">
        <v>0</v>
      </c>
      <c r="K3057">
        <v>0</v>
      </c>
      <c r="L3057">
        <v>0</v>
      </c>
      <c r="M3057">
        <v>0</v>
      </c>
      <c r="O3057">
        <f t="shared" si="47"/>
        <v>2</v>
      </c>
    </row>
    <row r="3058" spans="1:15">
      <c r="A3058">
        <v>1973</v>
      </c>
      <c r="B3058" s="1">
        <v>45707</v>
      </c>
      <c r="C3058">
        <v>33</v>
      </c>
      <c r="D3058" t="s">
        <v>14</v>
      </c>
      <c r="E3058" t="s">
        <v>24</v>
      </c>
      <c r="F3058" t="s">
        <v>21</v>
      </c>
      <c r="H3058">
        <v>373</v>
      </c>
      <c r="I3058" s="13">
        <v>7</v>
      </c>
      <c r="J3058">
        <v>0</v>
      </c>
      <c r="K3058">
        <v>0</v>
      </c>
      <c r="L3058">
        <v>0</v>
      </c>
      <c r="M3058">
        <v>0</v>
      </c>
      <c r="O3058">
        <f t="shared" si="47"/>
        <v>2</v>
      </c>
    </row>
    <row r="3059" spans="1:15">
      <c r="A3059">
        <v>3708</v>
      </c>
      <c r="B3059" s="1">
        <v>45707</v>
      </c>
      <c r="C3059">
        <v>27</v>
      </c>
      <c r="D3059" t="s">
        <v>14</v>
      </c>
      <c r="E3059" t="s">
        <v>20</v>
      </c>
      <c r="F3059" t="s">
        <v>16</v>
      </c>
      <c r="H3059">
        <v>352.8</v>
      </c>
      <c r="I3059" s="13">
        <v>7</v>
      </c>
      <c r="J3059">
        <v>0</v>
      </c>
      <c r="K3059">
        <v>0</v>
      </c>
      <c r="L3059">
        <v>0</v>
      </c>
      <c r="M3059">
        <v>0</v>
      </c>
      <c r="O3059">
        <f t="shared" si="47"/>
        <v>2</v>
      </c>
    </row>
    <row r="3060" spans="1:15">
      <c r="A3060">
        <v>3973</v>
      </c>
      <c r="B3060" s="1">
        <v>45707</v>
      </c>
      <c r="C3060">
        <v>47</v>
      </c>
      <c r="D3060" t="s">
        <v>14</v>
      </c>
      <c r="E3060" t="s">
        <v>15</v>
      </c>
      <c r="F3060" t="s">
        <v>16</v>
      </c>
      <c r="H3060">
        <v>344.9</v>
      </c>
      <c r="I3060" s="13">
        <v>8</v>
      </c>
      <c r="J3060">
        <v>0</v>
      </c>
      <c r="K3060">
        <v>0</v>
      </c>
      <c r="L3060">
        <v>0</v>
      </c>
      <c r="M3060">
        <v>0</v>
      </c>
      <c r="O3060">
        <f t="shared" si="47"/>
        <v>2</v>
      </c>
    </row>
    <row r="3061" spans="1:15">
      <c r="A3061">
        <v>2317</v>
      </c>
      <c r="B3061" s="1">
        <v>45707</v>
      </c>
      <c r="C3061">
        <v>27</v>
      </c>
      <c r="D3061" t="s">
        <v>17</v>
      </c>
      <c r="E3061" t="s">
        <v>24</v>
      </c>
      <c r="F3061" t="s">
        <v>16</v>
      </c>
      <c r="H3061">
        <v>342.3</v>
      </c>
      <c r="I3061" s="13">
        <v>5</v>
      </c>
      <c r="J3061">
        <v>0</v>
      </c>
      <c r="K3061">
        <v>0</v>
      </c>
      <c r="L3061">
        <v>0</v>
      </c>
      <c r="M3061">
        <v>0</v>
      </c>
      <c r="O3061">
        <f t="shared" si="47"/>
        <v>2</v>
      </c>
    </row>
    <row r="3062" spans="1:15">
      <c r="A3062">
        <v>4311</v>
      </c>
      <c r="B3062" s="1">
        <v>45707</v>
      </c>
      <c r="C3062">
        <v>31</v>
      </c>
      <c r="D3062" t="s">
        <v>17</v>
      </c>
      <c r="E3062" t="s">
        <v>24</v>
      </c>
      <c r="F3062" t="s">
        <v>16</v>
      </c>
      <c r="H3062">
        <v>336.2</v>
      </c>
      <c r="I3062" s="13">
        <v>5</v>
      </c>
      <c r="J3062">
        <v>0</v>
      </c>
      <c r="K3062">
        <v>0</v>
      </c>
      <c r="L3062">
        <v>0</v>
      </c>
      <c r="M3062">
        <v>0</v>
      </c>
      <c r="O3062">
        <f t="shared" si="47"/>
        <v>2</v>
      </c>
    </row>
    <row r="3063" spans="1:15">
      <c r="A3063">
        <v>2481</v>
      </c>
      <c r="B3063" s="1">
        <v>45707</v>
      </c>
      <c r="C3063">
        <v>45</v>
      </c>
      <c r="D3063" t="s">
        <v>17</v>
      </c>
      <c r="E3063" t="s">
        <v>15</v>
      </c>
      <c r="F3063" t="s">
        <v>16</v>
      </c>
      <c r="H3063">
        <v>229.8</v>
      </c>
      <c r="I3063" s="13">
        <v>4</v>
      </c>
      <c r="J3063">
        <v>0</v>
      </c>
      <c r="K3063">
        <v>0</v>
      </c>
      <c r="L3063">
        <v>0</v>
      </c>
      <c r="M3063">
        <v>0</v>
      </c>
      <c r="O3063">
        <f t="shared" si="47"/>
        <v>2</v>
      </c>
    </row>
    <row r="3064" spans="1:15">
      <c r="A3064">
        <v>2109</v>
      </c>
      <c r="B3064" s="1">
        <v>45707</v>
      </c>
      <c r="C3064">
        <v>46</v>
      </c>
      <c r="D3064" t="s">
        <v>14</v>
      </c>
      <c r="E3064" t="s">
        <v>24</v>
      </c>
      <c r="F3064" t="s">
        <v>21</v>
      </c>
      <c r="H3064">
        <v>223.2</v>
      </c>
      <c r="I3064" s="13">
        <v>7</v>
      </c>
      <c r="J3064">
        <v>0</v>
      </c>
      <c r="K3064">
        <v>0</v>
      </c>
      <c r="L3064">
        <v>0</v>
      </c>
      <c r="M3064">
        <v>0</v>
      </c>
      <c r="O3064">
        <f t="shared" si="47"/>
        <v>2</v>
      </c>
    </row>
    <row r="3065" spans="1:15">
      <c r="A3065">
        <v>528</v>
      </c>
      <c r="B3065" s="1">
        <v>45707</v>
      </c>
      <c r="C3065">
        <v>27</v>
      </c>
      <c r="D3065" t="s">
        <v>17</v>
      </c>
      <c r="E3065" t="s">
        <v>15</v>
      </c>
      <c r="F3065" t="s">
        <v>18</v>
      </c>
      <c r="G3065" t="s">
        <v>28</v>
      </c>
      <c r="H3065">
        <v>189</v>
      </c>
      <c r="I3065" s="13">
        <v>3</v>
      </c>
      <c r="J3065">
        <v>0</v>
      </c>
      <c r="K3065">
        <v>0</v>
      </c>
      <c r="L3065">
        <v>0</v>
      </c>
      <c r="M3065">
        <v>0</v>
      </c>
      <c r="O3065">
        <f t="shared" si="47"/>
        <v>2</v>
      </c>
    </row>
    <row r="3066" spans="1:15">
      <c r="A3066">
        <v>3461</v>
      </c>
      <c r="B3066" s="1">
        <v>45707</v>
      </c>
      <c r="C3066">
        <v>34</v>
      </c>
      <c r="D3066" t="s">
        <v>17</v>
      </c>
      <c r="E3066" t="s">
        <v>15</v>
      </c>
      <c r="F3066" t="s">
        <v>18</v>
      </c>
      <c r="G3066" t="s">
        <v>30</v>
      </c>
      <c r="H3066">
        <v>183.2</v>
      </c>
      <c r="I3066" s="13">
        <v>5</v>
      </c>
      <c r="J3066">
        <v>0</v>
      </c>
      <c r="K3066">
        <v>0</v>
      </c>
      <c r="L3066">
        <v>0</v>
      </c>
      <c r="M3066">
        <v>0</v>
      </c>
      <c r="O3066">
        <f t="shared" si="47"/>
        <v>2</v>
      </c>
    </row>
    <row r="3067" spans="1:15">
      <c r="A3067">
        <v>1534</v>
      </c>
      <c r="B3067" s="1">
        <v>45707</v>
      </c>
      <c r="C3067">
        <v>33</v>
      </c>
      <c r="D3067" t="s">
        <v>14</v>
      </c>
      <c r="E3067" t="s">
        <v>24</v>
      </c>
      <c r="F3067" t="s">
        <v>23</v>
      </c>
      <c r="H3067">
        <v>165.3</v>
      </c>
      <c r="I3067" s="13">
        <v>7</v>
      </c>
      <c r="J3067">
        <v>0</v>
      </c>
      <c r="K3067">
        <v>0</v>
      </c>
      <c r="L3067">
        <v>0</v>
      </c>
      <c r="M3067">
        <v>0</v>
      </c>
      <c r="O3067">
        <f t="shared" si="47"/>
        <v>2</v>
      </c>
    </row>
    <row r="3068" spans="1:15">
      <c r="A3068">
        <v>3483</v>
      </c>
      <c r="B3068" s="1">
        <v>45707</v>
      </c>
      <c r="C3068">
        <v>21</v>
      </c>
      <c r="D3068" t="s">
        <v>14</v>
      </c>
      <c r="E3068" t="s">
        <v>20</v>
      </c>
      <c r="F3068" t="s">
        <v>18</v>
      </c>
      <c r="G3068" t="s">
        <v>25</v>
      </c>
      <c r="H3068">
        <v>153.5</v>
      </c>
      <c r="I3068" s="13">
        <v>8</v>
      </c>
      <c r="J3068">
        <v>0</v>
      </c>
      <c r="K3068">
        <v>0</v>
      </c>
      <c r="L3068">
        <v>0</v>
      </c>
      <c r="M3068">
        <v>0</v>
      </c>
      <c r="O3068">
        <f t="shared" si="47"/>
        <v>2</v>
      </c>
    </row>
    <row r="3069" spans="1:15">
      <c r="A3069">
        <v>1564</v>
      </c>
      <c r="B3069" s="1">
        <v>45707</v>
      </c>
      <c r="C3069">
        <v>29</v>
      </c>
      <c r="D3069" t="s">
        <v>14</v>
      </c>
      <c r="E3069" t="s">
        <v>22</v>
      </c>
      <c r="F3069" t="s">
        <v>23</v>
      </c>
      <c r="H3069">
        <v>144</v>
      </c>
      <c r="I3069" s="13">
        <v>4</v>
      </c>
      <c r="J3069">
        <v>0</v>
      </c>
      <c r="K3069">
        <v>0</v>
      </c>
      <c r="L3069">
        <v>0</v>
      </c>
      <c r="M3069">
        <v>0</v>
      </c>
      <c r="O3069">
        <f t="shared" si="47"/>
        <v>2</v>
      </c>
    </row>
    <row r="3070" spans="1:15">
      <c r="A3070">
        <v>2959</v>
      </c>
      <c r="B3070" s="1">
        <v>45707</v>
      </c>
      <c r="C3070">
        <v>43</v>
      </c>
      <c r="D3070" t="s">
        <v>17</v>
      </c>
      <c r="E3070" t="s">
        <v>15</v>
      </c>
      <c r="F3070" t="s">
        <v>16</v>
      </c>
      <c r="H3070">
        <v>138.5</v>
      </c>
      <c r="I3070" s="13">
        <v>5</v>
      </c>
      <c r="J3070">
        <v>0</v>
      </c>
      <c r="K3070">
        <v>0</v>
      </c>
      <c r="L3070">
        <v>0</v>
      </c>
      <c r="M3070">
        <v>0</v>
      </c>
      <c r="O3070">
        <f t="shared" si="47"/>
        <v>2</v>
      </c>
    </row>
    <row r="3071" spans="1:15">
      <c r="A3071">
        <v>3036</v>
      </c>
      <c r="B3071" s="1">
        <v>45707</v>
      </c>
      <c r="C3071">
        <v>43</v>
      </c>
      <c r="D3071" t="s">
        <v>14</v>
      </c>
      <c r="E3071" t="s">
        <v>24</v>
      </c>
      <c r="F3071" t="s">
        <v>16</v>
      </c>
      <c r="H3071">
        <v>138.4</v>
      </c>
      <c r="I3071" s="13">
        <v>7</v>
      </c>
      <c r="J3071">
        <v>0</v>
      </c>
      <c r="K3071">
        <v>0</v>
      </c>
      <c r="L3071">
        <v>0</v>
      </c>
      <c r="M3071">
        <v>0</v>
      </c>
      <c r="O3071">
        <f t="shared" si="47"/>
        <v>2</v>
      </c>
    </row>
    <row r="3072" spans="1:15">
      <c r="A3072">
        <v>3557</v>
      </c>
      <c r="B3072" s="1">
        <v>45707</v>
      </c>
      <c r="C3072">
        <v>18</v>
      </c>
      <c r="D3072" t="s">
        <v>17</v>
      </c>
      <c r="E3072" t="s">
        <v>15</v>
      </c>
      <c r="F3072" t="s">
        <v>18</v>
      </c>
      <c r="G3072" t="s">
        <v>30</v>
      </c>
      <c r="H3072">
        <v>116.5</v>
      </c>
      <c r="I3072" s="13">
        <v>6</v>
      </c>
      <c r="J3072">
        <v>0</v>
      </c>
      <c r="K3072">
        <v>0</v>
      </c>
      <c r="L3072">
        <v>0</v>
      </c>
      <c r="M3072">
        <v>0</v>
      </c>
      <c r="O3072">
        <f t="shared" si="47"/>
        <v>2</v>
      </c>
    </row>
    <row r="3073" spans="1:15">
      <c r="A3073">
        <v>493</v>
      </c>
      <c r="B3073" s="1">
        <v>45707</v>
      </c>
      <c r="C3073">
        <v>22</v>
      </c>
      <c r="D3073" t="s">
        <v>14</v>
      </c>
      <c r="E3073" t="s">
        <v>22</v>
      </c>
      <c r="F3073" t="s">
        <v>18</v>
      </c>
      <c r="G3073" t="s">
        <v>26</v>
      </c>
      <c r="H3073">
        <v>81.599999999999994</v>
      </c>
      <c r="I3073" s="13">
        <v>8</v>
      </c>
      <c r="J3073">
        <v>0</v>
      </c>
      <c r="K3073">
        <v>0</v>
      </c>
      <c r="L3073">
        <v>0</v>
      </c>
      <c r="M3073">
        <v>0</v>
      </c>
      <c r="O3073">
        <f t="shared" si="47"/>
        <v>2</v>
      </c>
    </row>
    <row r="3074" spans="1:15">
      <c r="A3074">
        <v>4078</v>
      </c>
      <c r="B3074" s="1">
        <v>45707</v>
      </c>
      <c r="C3074">
        <v>60</v>
      </c>
      <c r="D3074" t="s">
        <v>17</v>
      </c>
      <c r="E3074" t="s">
        <v>22</v>
      </c>
      <c r="F3074" t="s">
        <v>23</v>
      </c>
      <c r="H3074">
        <v>52.6</v>
      </c>
      <c r="I3074" s="13">
        <v>8</v>
      </c>
      <c r="J3074">
        <v>0</v>
      </c>
      <c r="K3074">
        <v>0</v>
      </c>
      <c r="L3074">
        <v>0</v>
      </c>
      <c r="M3074">
        <v>0</v>
      </c>
      <c r="O3074">
        <f t="shared" si="47"/>
        <v>2</v>
      </c>
    </row>
    <row r="3075" spans="1:15">
      <c r="A3075">
        <v>1256</v>
      </c>
      <c r="B3075" s="1">
        <v>45735</v>
      </c>
      <c r="C3075">
        <v>23</v>
      </c>
      <c r="D3075" t="s">
        <v>17</v>
      </c>
      <c r="E3075" t="s">
        <v>20</v>
      </c>
      <c r="F3075" t="s">
        <v>18</v>
      </c>
      <c r="G3075" t="s">
        <v>31</v>
      </c>
      <c r="H3075">
        <v>606.29999999999995</v>
      </c>
      <c r="I3075" s="13">
        <v>5</v>
      </c>
      <c r="J3075">
        <v>1</v>
      </c>
      <c r="K3075">
        <v>72.64</v>
      </c>
      <c r="L3075">
        <v>2</v>
      </c>
      <c r="M3075">
        <v>9</v>
      </c>
      <c r="N3075">
        <v>4</v>
      </c>
      <c r="O3075">
        <f t="shared" ref="O3075:O3138" si="48">MONTH(B3075)</f>
        <v>3</v>
      </c>
    </row>
    <row r="3076" spans="1:15">
      <c r="A3076">
        <v>4735</v>
      </c>
      <c r="B3076" s="1">
        <v>45735</v>
      </c>
      <c r="C3076">
        <v>52</v>
      </c>
      <c r="D3076" t="s">
        <v>14</v>
      </c>
      <c r="E3076" t="s">
        <v>24</v>
      </c>
      <c r="F3076" t="s">
        <v>16</v>
      </c>
      <c r="H3076">
        <v>334.7</v>
      </c>
      <c r="I3076" s="13">
        <v>8</v>
      </c>
      <c r="J3076">
        <v>1</v>
      </c>
      <c r="K3076">
        <v>62.09</v>
      </c>
      <c r="L3076">
        <v>3</v>
      </c>
      <c r="M3076">
        <v>10</v>
      </c>
      <c r="N3076">
        <v>4</v>
      </c>
      <c r="O3076">
        <f t="shared" si="48"/>
        <v>3</v>
      </c>
    </row>
    <row r="3077" spans="1:15">
      <c r="A3077">
        <v>398</v>
      </c>
      <c r="B3077" s="1">
        <v>45735</v>
      </c>
      <c r="C3077">
        <v>23</v>
      </c>
      <c r="D3077" t="s">
        <v>14</v>
      </c>
      <c r="E3077" t="s">
        <v>15</v>
      </c>
      <c r="F3077" t="s">
        <v>18</v>
      </c>
      <c r="G3077" t="s">
        <v>28</v>
      </c>
      <c r="H3077">
        <v>766.7</v>
      </c>
      <c r="I3077" s="13">
        <v>10</v>
      </c>
      <c r="J3077">
        <v>1</v>
      </c>
      <c r="K3077">
        <v>52.34</v>
      </c>
      <c r="L3077">
        <v>5</v>
      </c>
      <c r="M3077">
        <v>5</v>
      </c>
      <c r="N3077">
        <v>3</v>
      </c>
      <c r="O3077">
        <f t="shared" si="48"/>
        <v>3</v>
      </c>
    </row>
    <row r="3078" spans="1:15">
      <c r="A3078">
        <v>2649</v>
      </c>
      <c r="B3078" s="1">
        <v>45735</v>
      </c>
      <c r="C3078">
        <v>33</v>
      </c>
      <c r="D3078" t="s">
        <v>14</v>
      </c>
      <c r="E3078" t="s">
        <v>22</v>
      </c>
      <c r="F3078" t="s">
        <v>21</v>
      </c>
      <c r="H3078">
        <v>855.9</v>
      </c>
      <c r="I3078" s="13">
        <v>5</v>
      </c>
      <c r="J3078">
        <v>1</v>
      </c>
      <c r="K3078">
        <v>51.33</v>
      </c>
      <c r="L3078">
        <v>1</v>
      </c>
      <c r="M3078">
        <v>13</v>
      </c>
      <c r="N3078">
        <v>4</v>
      </c>
      <c r="O3078">
        <f t="shared" si="48"/>
        <v>3</v>
      </c>
    </row>
    <row r="3079" spans="1:15">
      <c r="A3079">
        <v>1397</v>
      </c>
      <c r="B3079" s="1">
        <v>45735</v>
      </c>
      <c r="C3079">
        <v>23</v>
      </c>
      <c r="D3079" t="s">
        <v>17</v>
      </c>
      <c r="E3079" t="s">
        <v>20</v>
      </c>
      <c r="F3079" t="s">
        <v>16</v>
      </c>
      <c r="H3079">
        <v>742.5</v>
      </c>
      <c r="I3079" s="13">
        <v>9</v>
      </c>
      <c r="J3079">
        <v>1</v>
      </c>
      <c r="K3079">
        <v>49.65</v>
      </c>
      <c r="L3079">
        <v>2</v>
      </c>
      <c r="M3079">
        <v>5</v>
      </c>
      <c r="N3079">
        <v>5</v>
      </c>
      <c r="O3079">
        <f t="shared" si="48"/>
        <v>3</v>
      </c>
    </row>
    <row r="3080" spans="1:15">
      <c r="A3080">
        <v>3901</v>
      </c>
      <c r="B3080" s="1">
        <v>45735</v>
      </c>
      <c r="C3080">
        <v>57</v>
      </c>
      <c r="D3080" t="s">
        <v>27</v>
      </c>
      <c r="E3080" t="s">
        <v>22</v>
      </c>
      <c r="F3080" t="s">
        <v>16</v>
      </c>
      <c r="H3080">
        <v>709</v>
      </c>
      <c r="I3080" s="13">
        <v>13</v>
      </c>
      <c r="J3080">
        <v>1</v>
      </c>
      <c r="K3080">
        <v>48.45</v>
      </c>
      <c r="L3080">
        <v>7</v>
      </c>
      <c r="M3080">
        <v>3</v>
      </c>
      <c r="N3080">
        <v>4</v>
      </c>
      <c r="O3080">
        <f t="shared" si="48"/>
        <v>3</v>
      </c>
    </row>
    <row r="3081" spans="1:15">
      <c r="A3081">
        <v>2374</v>
      </c>
      <c r="B3081" s="1">
        <v>45735</v>
      </c>
      <c r="C3081">
        <v>41</v>
      </c>
      <c r="D3081" t="s">
        <v>14</v>
      </c>
      <c r="E3081" t="s">
        <v>15</v>
      </c>
      <c r="F3081" t="s">
        <v>18</v>
      </c>
      <c r="G3081" t="s">
        <v>25</v>
      </c>
      <c r="H3081">
        <v>199</v>
      </c>
      <c r="I3081" s="13">
        <v>2</v>
      </c>
      <c r="J3081">
        <v>1</v>
      </c>
      <c r="K3081">
        <v>39.93</v>
      </c>
      <c r="L3081">
        <v>3</v>
      </c>
      <c r="M3081">
        <v>13</v>
      </c>
      <c r="N3081">
        <v>5</v>
      </c>
      <c r="O3081">
        <f t="shared" si="48"/>
        <v>3</v>
      </c>
    </row>
    <row r="3082" spans="1:15">
      <c r="A3082">
        <v>2776</v>
      </c>
      <c r="B3082" s="1">
        <v>45735</v>
      </c>
      <c r="C3082">
        <v>34</v>
      </c>
      <c r="D3082" t="s">
        <v>17</v>
      </c>
      <c r="E3082" t="s">
        <v>22</v>
      </c>
      <c r="F3082" t="s">
        <v>21</v>
      </c>
      <c r="H3082">
        <v>116.5</v>
      </c>
      <c r="I3082" s="13">
        <v>6</v>
      </c>
      <c r="J3082">
        <v>1</v>
      </c>
      <c r="K3082">
        <v>33.19</v>
      </c>
      <c r="L3082">
        <v>2</v>
      </c>
      <c r="M3082">
        <v>5</v>
      </c>
      <c r="N3082">
        <v>4</v>
      </c>
      <c r="O3082">
        <f t="shared" si="48"/>
        <v>3</v>
      </c>
    </row>
    <row r="3083" spans="1:15">
      <c r="A3083">
        <v>1978</v>
      </c>
      <c r="B3083" s="1">
        <v>45735</v>
      </c>
      <c r="C3083">
        <v>26</v>
      </c>
      <c r="D3083" t="s">
        <v>14</v>
      </c>
      <c r="E3083" t="s">
        <v>22</v>
      </c>
      <c r="F3083" t="s">
        <v>16</v>
      </c>
      <c r="H3083">
        <v>526.1</v>
      </c>
      <c r="I3083" s="13">
        <v>5</v>
      </c>
      <c r="J3083">
        <v>1</v>
      </c>
      <c r="K3083">
        <v>28.89</v>
      </c>
      <c r="L3083">
        <v>3</v>
      </c>
      <c r="M3083">
        <v>3</v>
      </c>
      <c r="N3083">
        <v>4</v>
      </c>
      <c r="O3083">
        <f t="shared" si="48"/>
        <v>3</v>
      </c>
    </row>
    <row r="3084" spans="1:15">
      <c r="A3084">
        <v>655</v>
      </c>
      <c r="B3084" s="1">
        <v>45735</v>
      </c>
      <c r="C3084">
        <v>24</v>
      </c>
      <c r="D3084" t="s">
        <v>14</v>
      </c>
      <c r="E3084" t="s">
        <v>20</v>
      </c>
      <c r="F3084" t="s">
        <v>16</v>
      </c>
      <c r="H3084">
        <v>601.9</v>
      </c>
      <c r="I3084" s="13">
        <v>6</v>
      </c>
      <c r="J3084">
        <v>1</v>
      </c>
      <c r="K3084">
        <v>27.87</v>
      </c>
      <c r="L3084">
        <v>2</v>
      </c>
      <c r="M3084">
        <v>11</v>
      </c>
      <c r="N3084">
        <v>4</v>
      </c>
      <c r="O3084">
        <f t="shared" si="48"/>
        <v>3</v>
      </c>
    </row>
    <row r="3085" spans="1:15">
      <c r="A3085">
        <v>3242</v>
      </c>
      <c r="B3085" s="1">
        <v>45735</v>
      </c>
      <c r="C3085">
        <v>28</v>
      </c>
      <c r="D3085" t="s">
        <v>17</v>
      </c>
      <c r="E3085" t="s">
        <v>20</v>
      </c>
      <c r="F3085" t="s">
        <v>18</v>
      </c>
      <c r="G3085" t="s">
        <v>28</v>
      </c>
      <c r="H3085">
        <v>1325.8</v>
      </c>
      <c r="I3085" s="13">
        <v>3</v>
      </c>
      <c r="J3085">
        <v>1</v>
      </c>
      <c r="K3085">
        <v>13.26</v>
      </c>
      <c r="L3085">
        <v>4</v>
      </c>
      <c r="M3085">
        <v>9</v>
      </c>
      <c r="N3085">
        <v>4</v>
      </c>
      <c r="O3085">
        <f t="shared" si="48"/>
        <v>3</v>
      </c>
    </row>
    <row r="3086" spans="1:15">
      <c r="A3086">
        <v>4077</v>
      </c>
      <c r="B3086" s="1">
        <v>45735</v>
      </c>
      <c r="C3086">
        <v>71</v>
      </c>
      <c r="D3086" t="s">
        <v>17</v>
      </c>
      <c r="E3086" t="s">
        <v>24</v>
      </c>
      <c r="F3086" t="s">
        <v>21</v>
      </c>
      <c r="H3086">
        <v>714.7</v>
      </c>
      <c r="I3086" s="13">
        <v>6</v>
      </c>
      <c r="J3086">
        <v>0</v>
      </c>
      <c r="K3086">
        <v>0</v>
      </c>
      <c r="L3086">
        <v>0</v>
      </c>
      <c r="M3086">
        <v>0</v>
      </c>
      <c r="O3086">
        <f t="shared" si="48"/>
        <v>3</v>
      </c>
    </row>
    <row r="3087" spans="1:15">
      <c r="A3087">
        <v>2258</v>
      </c>
      <c r="B3087" s="1">
        <v>45735</v>
      </c>
      <c r="C3087">
        <v>32</v>
      </c>
      <c r="D3087" t="s">
        <v>17</v>
      </c>
      <c r="E3087" t="s">
        <v>15</v>
      </c>
      <c r="F3087" t="s">
        <v>18</v>
      </c>
      <c r="G3087" t="s">
        <v>29</v>
      </c>
      <c r="H3087">
        <v>699</v>
      </c>
      <c r="I3087" s="13">
        <v>5</v>
      </c>
      <c r="J3087">
        <v>0</v>
      </c>
      <c r="K3087">
        <v>0</v>
      </c>
      <c r="L3087">
        <v>0</v>
      </c>
      <c r="M3087">
        <v>0</v>
      </c>
      <c r="O3087">
        <f t="shared" si="48"/>
        <v>3</v>
      </c>
    </row>
    <row r="3088" spans="1:15">
      <c r="A3088">
        <v>1223</v>
      </c>
      <c r="B3088" s="1">
        <v>45735</v>
      </c>
      <c r="C3088">
        <v>29</v>
      </c>
      <c r="D3088" t="s">
        <v>14</v>
      </c>
      <c r="E3088" t="s">
        <v>15</v>
      </c>
      <c r="F3088" t="s">
        <v>23</v>
      </c>
      <c r="H3088">
        <v>575.4</v>
      </c>
      <c r="I3088" s="13">
        <v>10</v>
      </c>
      <c r="J3088">
        <v>0</v>
      </c>
      <c r="K3088">
        <v>0</v>
      </c>
      <c r="L3088">
        <v>0</v>
      </c>
      <c r="M3088">
        <v>0</v>
      </c>
      <c r="O3088">
        <f t="shared" si="48"/>
        <v>3</v>
      </c>
    </row>
    <row r="3089" spans="1:15">
      <c r="A3089">
        <v>3037</v>
      </c>
      <c r="B3089" s="1">
        <v>45735</v>
      </c>
      <c r="C3089">
        <v>47</v>
      </c>
      <c r="D3089" t="s">
        <v>17</v>
      </c>
      <c r="E3089" t="s">
        <v>15</v>
      </c>
      <c r="F3089" t="s">
        <v>18</v>
      </c>
      <c r="G3089" t="s">
        <v>25</v>
      </c>
      <c r="H3089">
        <v>440.4</v>
      </c>
      <c r="I3089" s="13">
        <v>10</v>
      </c>
      <c r="J3089">
        <v>0</v>
      </c>
      <c r="K3089">
        <v>0</v>
      </c>
      <c r="L3089">
        <v>0</v>
      </c>
      <c r="M3089">
        <v>0</v>
      </c>
      <c r="O3089">
        <f t="shared" si="48"/>
        <v>3</v>
      </c>
    </row>
    <row r="3090" spans="1:15">
      <c r="A3090">
        <v>3022</v>
      </c>
      <c r="B3090" s="1">
        <v>45735</v>
      </c>
      <c r="C3090">
        <v>32</v>
      </c>
      <c r="D3090" t="s">
        <v>17</v>
      </c>
      <c r="E3090" t="s">
        <v>22</v>
      </c>
      <c r="F3090" t="s">
        <v>16</v>
      </c>
      <c r="H3090">
        <v>439.7</v>
      </c>
      <c r="I3090" s="13">
        <v>6</v>
      </c>
      <c r="J3090">
        <v>0</v>
      </c>
      <c r="K3090">
        <v>0</v>
      </c>
      <c r="L3090">
        <v>0</v>
      </c>
      <c r="M3090">
        <v>0</v>
      </c>
      <c r="O3090">
        <f t="shared" si="48"/>
        <v>3</v>
      </c>
    </row>
    <row r="3091" spans="1:15">
      <c r="A3091">
        <v>3894</v>
      </c>
      <c r="B3091" s="1">
        <v>45735</v>
      </c>
      <c r="C3091">
        <v>42</v>
      </c>
      <c r="D3091" t="s">
        <v>17</v>
      </c>
      <c r="E3091" t="s">
        <v>15</v>
      </c>
      <c r="F3091" t="s">
        <v>16</v>
      </c>
      <c r="H3091">
        <v>419.7</v>
      </c>
      <c r="I3091" s="13">
        <v>9</v>
      </c>
      <c r="J3091">
        <v>0</v>
      </c>
      <c r="K3091">
        <v>0</v>
      </c>
      <c r="L3091">
        <v>0</v>
      </c>
      <c r="M3091">
        <v>0</v>
      </c>
      <c r="O3091">
        <f t="shared" si="48"/>
        <v>3</v>
      </c>
    </row>
    <row r="3092" spans="1:15">
      <c r="A3092">
        <v>4299</v>
      </c>
      <c r="B3092" s="1">
        <v>45735</v>
      </c>
      <c r="C3092">
        <v>52</v>
      </c>
      <c r="D3092" t="s">
        <v>14</v>
      </c>
      <c r="E3092" t="s">
        <v>15</v>
      </c>
      <c r="F3092" t="s">
        <v>23</v>
      </c>
      <c r="H3092">
        <v>332.6</v>
      </c>
      <c r="I3092" s="13">
        <v>6</v>
      </c>
      <c r="J3092">
        <v>0</v>
      </c>
      <c r="K3092">
        <v>0</v>
      </c>
      <c r="L3092">
        <v>0</v>
      </c>
      <c r="M3092">
        <v>0</v>
      </c>
      <c r="O3092">
        <f t="shared" si="48"/>
        <v>3</v>
      </c>
    </row>
    <row r="3093" spans="1:15">
      <c r="A3093">
        <v>1702</v>
      </c>
      <c r="B3093" s="1">
        <v>45735</v>
      </c>
      <c r="C3093">
        <v>32</v>
      </c>
      <c r="D3093" t="s">
        <v>17</v>
      </c>
      <c r="E3093" t="s">
        <v>24</v>
      </c>
      <c r="F3093" t="s">
        <v>16</v>
      </c>
      <c r="H3093">
        <v>313.7</v>
      </c>
      <c r="I3093" s="13">
        <v>4</v>
      </c>
      <c r="J3093">
        <v>0</v>
      </c>
      <c r="K3093">
        <v>0</v>
      </c>
      <c r="L3093">
        <v>0</v>
      </c>
      <c r="M3093">
        <v>0</v>
      </c>
      <c r="O3093">
        <f t="shared" si="48"/>
        <v>3</v>
      </c>
    </row>
    <row r="3094" spans="1:15">
      <c r="A3094">
        <v>1842</v>
      </c>
      <c r="B3094" s="1">
        <v>45735</v>
      </c>
      <c r="C3094">
        <v>52</v>
      </c>
      <c r="D3094" t="s">
        <v>14</v>
      </c>
      <c r="E3094" t="s">
        <v>22</v>
      </c>
      <c r="F3094" t="s">
        <v>18</v>
      </c>
      <c r="G3094" t="s">
        <v>28</v>
      </c>
      <c r="H3094">
        <v>295.89999999999998</v>
      </c>
      <c r="I3094" s="13">
        <v>3</v>
      </c>
      <c r="J3094">
        <v>0</v>
      </c>
      <c r="K3094">
        <v>0</v>
      </c>
      <c r="L3094">
        <v>0</v>
      </c>
      <c r="M3094">
        <v>0</v>
      </c>
      <c r="O3094">
        <f t="shared" si="48"/>
        <v>3</v>
      </c>
    </row>
    <row r="3095" spans="1:15">
      <c r="A3095">
        <v>3648</v>
      </c>
      <c r="B3095" s="1">
        <v>45735</v>
      </c>
      <c r="C3095">
        <v>36</v>
      </c>
      <c r="D3095" t="s">
        <v>17</v>
      </c>
      <c r="E3095" t="s">
        <v>22</v>
      </c>
      <c r="F3095" t="s">
        <v>16</v>
      </c>
      <c r="H3095">
        <v>230.7</v>
      </c>
      <c r="I3095" s="13">
        <v>7</v>
      </c>
      <c r="J3095">
        <v>0</v>
      </c>
      <c r="K3095">
        <v>0</v>
      </c>
      <c r="L3095">
        <v>0</v>
      </c>
      <c r="M3095">
        <v>0</v>
      </c>
      <c r="O3095">
        <f t="shared" si="48"/>
        <v>3</v>
      </c>
    </row>
    <row r="3096" spans="1:15">
      <c r="A3096">
        <v>19</v>
      </c>
      <c r="B3096" s="1">
        <v>45735</v>
      </c>
      <c r="C3096">
        <v>21</v>
      </c>
      <c r="D3096" t="s">
        <v>14</v>
      </c>
      <c r="E3096" t="s">
        <v>20</v>
      </c>
      <c r="F3096" t="s">
        <v>16</v>
      </c>
      <c r="H3096">
        <v>210.1</v>
      </c>
      <c r="I3096" s="13">
        <v>10</v>
      </c>
      <c r="J3096">
        <v>0</v>
      </c>
      <c r="K3096">
        <v>0</v>
      </c>
      <c r="L3096">
        <v>0</v>
      </c>
      <c r="M3096">
        <v>0</v>
      </c>
      <c r="O3096">
        <f t="shared" si="48"/>
        <v>3</v>
      </c>
    </row>
    <row r="3097" spans="1:15">
      <c r="A3097">
        <v>1589</v>
      </c>
      <c r="B3097" s="1">
        <v>45735</v>
      </c>
      <c r="C3097">
        <v>31</v>
      </c>
      <c r="D3097" t="s">
        <v>17</v>
      </c>
      <c r="E3097" t="s">
        <v>20</v>
      </c>
      <c r="F3097" t="s">
        <v>16</v>
      </c>
      <c r="H3097">
        <v>205.6</v>
      </c>
      <c r="I3097" s="13">
        <v>11</v>
      </c>
      <c r="J3097">
        <v>0</v>
      </c>
      <c r="K3097">
        <v>0</v>
      </c>
      <c r="L3097">
        <v>0</v>
      </c>
      <c r="M3097">
        <v>0</v>
      </c>
      <c r="O3097">
        <f t="shared" si="48"/>
        <v>3</v>
      </c>
    </row>
    <row r="3098" spans="1:15">
      <c r="A3098">
        <v>2393</v>
      </c>
      <c r="B3098" s="1">
        <v>45735</v>
      </c>
      <c r="C3098">
        <v>34</v>
      </c>
      <c r="D3098" t="s">
        <v>14</v>
      </c>
      <c r="E3098" t="s">
        <v>20</v>
      </c>
      <c r="F3098" t="s">
        <v>18</v>
      </c>
      <c r="G3098" t="s">
        <v>31</v>
      </c>
      <c r="H3098">
        <v>193.4</v>
      </c>
      <c r="I3098" s="13">
        <v>8</v>
      </c>
      <c r="J3098">
        <v>0</v>
      </c>
      <c r="K3098">
        <v>0</v>
      </c>
      <c r="L3098">
        <v>0</v>
      </c>
      <c r="M3098">
        <v>0</v>
      </c>
      <c r="O3098">
        <f t="shared" si="48"/>
        <v>3</v>
      </c>
    </row>
    <row r="3099" spans="1:15">
      <c r="A3099">
        <v>3807</v>
      </c>
      <c r="B3099" s="1">
        <v>45735</v>
      </c>
      <c r="C3099">
        <v>57</v>
      </c>
      <c r="D3099" t="s">
        <v>17</v>
      </c>
      <c r="E3099" t="s">
        <v>15</v>
      </c>
      <c r="F3099" t="s">
        <v>16</v>
      </c>
      <c r="H3099">
        <v>176.9</v>
      </c>
      <c r="I3099" s="13">
        <v>6</v>
      </c>
      <c r="J3099">
        <v>0</v>
      </c>
      <c r="K3099">
        <v>0</v>
      </c>
      <c r="L3099">
        <v>0</v>
      </c>
      <c r="M3099">
        <v>0</v>
      </c>
      <c r="O3099">
        <f t="shared" si="48"/>
        <v>3</v>
      </c>
    </row>
    <row r="3100" spans="1:15">
      <c r="A3100">
        <v>247</v>
      </c>
      <c r="B3100" s="1">
        <v>45735</v>
      </c>
      <c r="C3100">
        <v>23</v>
      </c>
      <c r="D3100" t="s">
        <v>14</v>
      </c>
      <c r="E3100" t="s">
        <v>24</v>
      </c>
      <c r="F3100" t="s">
        <v>18</v>
      </c>
      <c r="G3100" t="s">
        <v>29</v>
      </c>
      <c r="H3100">
        <v>170.6</v>
      </c>
      <c r="I3100" s="13">
        <v>4</v>
      </c>
      <c r="J3100">
        <v>0</v>
      </c>
      <c r="K3100">
        <v>0</v>
      </c>
      <c r="L3100">
        <v>0</v>
      </c>
      <c r="M3100">
        <v>0</v>
      </c>
      <c r="O3100">
        <f t="shared" si="48"/>
        <v>3</v>
      </c>
    </row>
    <row r="3101" spans="1:15">
      <c r="A3101">
        <v>2829</v>
      </c>
      <c r="B3101" s="1">
        <v>45735</v>
      </c>
      <c r="C3101">
        <v>35</v>
      </c>
      <c r="D3101" t="s">
        <v>17</v>
      </c>
      <c r="E3101" t="s">
        <v>22</v>
      </c>
      <c r="F3101" t="s">
        <v>18</v>
      </c>
      <c r="G3101" t="s">
        <v>26</v>
      </c>
      <c r="H3101">
        <v>162.4</v>
      </c>
      <c r="I3101" s="13">
        <v>6</v>
      </c>
      <c r="J3101">
        <v>0</v>
      </c>
      <c r="K3101">
        <v>0</v>
      </c>
      <c r="L3101">
        <v>0</v>
      </c>
      <c r="M3101">
        <v>0</v>
      </c>
      <c r="O3101">
        <f t="shared" si="48"/>
        <v>3</v>
      </c>
    </row>
    <row r="3102" spans="1:15">
      <c r="A3102">
        <v>4526</v>
      </c>
      <c r="B3102" s="1">
        <v>45735</v>
      </c>
      <c r="C3102">
        <v>64</v>
      </c>
      <c r="D3102" t="s">
        <v>17</v>
      </c>
      <c r="E3102" t="s">
        <v>20</v>
      </c>
      <c r="F3102" t="s">
        <v>16</v>
      </c>
      <c r="H3102">
        <v>136.80000000000001</v>
      </c>
      <c r="I3102" s="13">
        <v>5</v>
      </c>
      <c r="J3102">
        <v>0</v>
      </c>
      <c r="K3102">
        <v>0</v>
      </c>
      <c r="L3102">
        <v>0</v>
      </c>
      <c r="M3102">
        <v>0</v>
      </c>
      <c r="O3102">
        <f t="shared" si="48"/>
        <v>3</v>
      </c>
    </row>
    <row r="3103" spans="1:15">
      <c r="A3103">
        <v>3382</v>
      </c>
      <c r="B3103" s="1">
        <v>45735</v>
      </c>
      <c r="C3103">
        <v>37</v>
      </c>
      <c r="D3103" t="s">
        <v>17</v>
      </c>
      <c r="E3103" t="s">
        <v>22</v>
      </c>
      <c r="F3103" t="s">
        <v>23</v>
      </c>
      <c r="H3103">
        <v>99.3</v>
      </c>
      <c r="I3103" s="13">
        <v>3</v>
      </c>
      <c r="J3103">
        <v>0</v>
      </c>
      <c r="K3103">
        <v>0</v>
      </c>
      <c r="L3103">
        <v>0</v>
      </c>
      <c r="M3103">
        <v>0</v>
      </c>
      <c r="O3103">
        <f t="shared" si="48"/>
        <v>3</v>
      </c>
    </row>
    <row r="3104" spans="1:15">
      <c r="A3104">
        <v>3759</v>
      </c>
      <c r="B3104" s="1">
        <v>45735</v>
      </c>
      <c r="C3104">
        <v>59</v>
      </c>
      <c r="D3104" t="s">
        <v>17</v>
      </c>
      <c r="E3104" t="s">
        <v>22</v>
      </c>
      <c r="F3104" t="s">
        <v>21</v>
      </c>
      <c r="H3104">
        <v>99.3</v>
      </c>
      <c r="I3104" s="13">
        <v>6</v>
      </c>
      <c r="J3104">
        <v>0</v>
      </c>
      <c r="K3104">
        <v>0</v>
      </c>
      <c r="L3104">
        <v>0</v>
      </c>
      <c r="M3104">
        <v>0</v>
      </c>
      <c r="O3104">
        <f t="shared" si="48"/>
        <v>3</v>
      </c>
    </row>
    <row r="3105" spans="1:15">
      <c r="A3105">
        <v>2384</v>
      </c>
      <c r="B3105" s="1">
        <v>45735</v>
      </c>
      <c r="C3105">
        <v>24</v>
      </c>
      <c r="D3105" t="s">
        <v>14</v>
      </c>
      <c r="E3105" t="s">
        <v>15</v>
      </c>
      <c r="F3105" t="s">
        <v>21</v>
      </c>
      <c r="H3105">
        <v>48.3</v>
      </c>
      <c r="I3105" s="13">
        <v>5</v>
      </c>
      <c r="J3105">
        <v>0</v>
      </c>
      <c r="K3105">
        <v>0</v>
      </c>
      <c r="L3105">
        <v>0</v>
      </c>
      <c r="M3105">
        <v>0</v>
      </c>
      <c r="O3105">
        <f t="shared" si="48"/>
        <v>3</v>
      </c>
    </row>
    <row r="3106" spans="1:15">
      <c r="A3106">
        <v>4362</v>
      </c>
      <c r="B3106" s="1">
        <v>45766</v>
      </c>
      <c r="C3106">
        <v>51</v>
      </c>
      <c r="D3106" t="s">
        <v>17</v>
      </c>
      <c r="E3106" t="s">
        <v>22</v>
      </c>
      <c r="F3106" t="s">
        <v>16</v>
      </c>
      <c r="H3106">
        <v>497.5</v>
      </c>
      <c r="I3106" s="13">
        <v>6</v>
      </c>
      <c r="J3106">
        <v>1</v>
      </c>
      <c r="K3106">
        <v>169.59</v>
      </c>
      <c r="L3106">
        <v>6</v>
      </c>
      <c r="M3106">
        <v>8</v>
      </c>
      <c r="N3106">
        <v>4</v>
      </c>
      <c r="O3106">
        <f t="shared" si="48"/>
        <v>4</v>
      </c>
    </row>
    <row r="3107" spans="1:15">
      <c r="A3107">
        <v>9</v>
      </c>
      <c r="B3107" s="1">
        <v>45766</v>
      </c>
      <c r="C3107">
        <v>28</v>
      </c>
      <c r="D3107" t="s">
        <v>17</v>
      </c>
      <c r="E3107" t="s">
        <v>20</v>
      </c>
      <c r="F3107" t="s">
        <v>16</v>
      </c>
      <c r="H3107">
        <v>619.5</v>
      </c>
      <c r="I3107" s="13">
        <v>3</v>
      </c>
      <c r="J3107">
        <v>1</v>
      </c>
      <c r="K3107">
        <v>118</v>
      </c>
      <c r="L3107">
        <v>3</v>
      </c>
      <c r="M3107">
        <v>5</v>
      </c>
      <c r="N3107">
        <v>5</v>
      </c>
      <c r="O3107">
        <f t="shared" si="48"/>
        <v>4</v>
      </c>
    </row>
    <row r="3108" spans="1:15">
      <c r="A3108">
        <v>4662</v>
      </c>
      <c r="B3108" s="1">
        <v>45766</v>
      </c>
      <c r="C3108">
        <v>54</v>
      </c>
      <c r="D3108" t="s">
        <v>17</v>
      </c>
      <c r="E3108" t="s">
        <v>22</v>
      </c>
      <c r="F3108" t="s">
        <v>21</v>
      </c>
      <c r="H3108">
        <v>646.5</v>
      </c>
      <c r="I3108" s="13">
        <v>7</v>
      </c>
      <c r="J3108">
        <v>1</v>
      </c>
      <c r="K3108">
        <v>44.93</v>
      </c>
      <c r="L3108">
        <v>3</v>
      </c>
      <c r="M3108">
        <v>12</v>
      </c>
      <c r="N3108">
        <v>5</v>
      </c>
      <c r="O3108">
        <f t="shared" si="48"/>
        <v>4</v>
      </c>
    </row>
    <row r="3109" spans="1:15">
      <c r="A3109">
        <v>2388</v>
      </c>
      <c r="B3109" s="1">
        <v>45766</v>
      </c>
      <c r="C3109">
        <v>36</v>
      </c>
      <c r="D3109" t="s">
        <v>17</v>
      </c>
      <c r="E3109" t="s">
        <v>15</v>
      </c>
      <c r="F3109" t="s">
        <v>16</v>
      </c>
      <c r="H3109">
        <v>323.8</v>
      </c>
      <c r="I3109" s="13">
        <v>7</v>
      </c>
      <c r="J3109">
        <v>1</v>
      </c>
      <c r="K3109">
        <v>26.83</v>
      </c>
      <c r="L3109">
        <v>3</v>
      </c>
      <c r="M3109">
        <v>13</v>
      </c>
      <c r="N3109">
        <v>5</v>
      </c>
      <c r="O3109">
        <f t="shared" si="48"/>
        <v>4</v>
      </c>
    </row>
    <row r="3110" spans="1:15">
      <c r="A3110">
        <v>4074</v>
      </c>
      <c r="B3110" s="1">
        <v>45766</v>
      </c>
      <c r="C3110">
        <v>63</v>
      </c>
      <c r="D3110" t="s">
        <v>14</v>
      </c>
      <c r="E3110" t="s">
        <v>15</v>
      </c>
      <c r="F3110" t="s">
        <v>16</v>
      </c>
      <c r="H3110">
        <v>349.6</v>
      </c>
      <c r="I3110" s="13">
        <v>6</v>
      </c>
      <c r="J3110">
        <v>1</v>
      </c>
      <c r="K3110">
        <v>16.41</v>
      </c>
      <c r="L3110">
        <v>3</v>
      </c>
      <c r="M3110">
        <v>3</v>
      </c>
      <c r="N3110">
        <v>4</v>
      </c>
      <c r="O3110">
        <f t="shared" si="48"/>
        <v>4</v>
      </c>
    </row>
    <row r="3111" spans="1:15">
      <c r="A3111">
        <v>2262</v>
      </c>
      <c r="B3111" s="1">
        <v>45766</v>
      </c>
      <c r="C3111">
        <v>50</v>
      </c>
      <c r="D3111" t="s">
        <v>17</v>
      </c>
      <c r="E3111" t="s">
        <v>24</v>
      </c>
      <c r="F3111" t="s">
        <v>16</v>
      </c>
      <c r="H3111">
        <v>1279.3</v>
      </c>
      <c r="I3111" s="13">
        <v>3</v>
      </c>
      <c r="J3111">
        <v>0</v>
      </c>
      <c r="K3111">
        <v>0</v>
      </c>
      <c r="L3111">
        <v>0</v>
      </c>
      <c r="M3111">
        <v>0</v>
      </c>
      <c r="O3111">
        <f t="shared" si="48"/>
        <v>4</v>
      </c>
    </row>
    <row r="3112" spans="1:15">
      <c r="A3112">
        <v>2942</v>
      </c>
      <c r="B3112" s="1">
        <v>45766</v>
      </c>
      <c r="C3112">
        <v>33</v>
      </c>
      <c r="D3112" t="s">
        <v>17</v>
      </c>
      <c r="E3112" t="s">
        <v>20</v>
      </c>
      <c r="F3112" t="s">
        <v>18</v>
      </c>
      <c r="G3112" t="s">
        <v>30</v>
      </c>
      <c r="H3112">
        <v>744.4</v>
      </c>
      <c r="I3112" s="13">
        <v>7</v>
      </c>
      <c r="J3112">
        <v>0</v>
      </c>
      <c r="K3112">
        <v>0</v>
      </c>
      <c r="L3112">
        <v>0</v>
      </c>
      <c r="M3112">
        <v>0</v>
      </c>
      <c r="O3112">
        <f t="shared" si="48"/>
        <v>4</v>
      </c>
    </row>
    <row r="3113" spans="1:15">
      <c r="A3113">
        <v>1661</v>
      </c>
      <c r="B3113" s="1">
        <v>45766</v>
      </c>
      <c r="C3113">
        <v>24</v>
      </c>
      <c r="D3113" t="s">
        <v>14</v>
      </c>
      <c r="E3113" t="s">
        <v>22</v>
      </c>
      <c r="F3113" t="s">
        <v>21</v>
      </c>
      <c r="H3113">
        <v>531.6</v>
      </c>
      <c r="I3113" s="13">
        <v>9</v>
      </c>
      <c r="J3113">
        <v>0</v>
      </c>
      <c r="K3113">
        <v>0</v>
      </c>
      <c r="L3113">
        <v>0</v>
      </c>
      <c r="M3113">
        <v>0</v>
      </c>
      <c r="O3113">
        <f t="shared" si="48"/>
        <v>4</v>
      </c>
    </row>
    <row r="3114" spans="1:15">
      <c r="A3114">
        <v>3927</v>
      </c>
      <c r="B3114" s="1">
        <v>45766</v>
      </c>
      <c r="C3114">
        <v>38</v>
      </c>
      <c r="D3114" t="s">
        <v>17</v>
      </c>
      <c r="E3114" t="s">
        <v>24</v>
      </c>
      <c r="F3114" t="s">
        <v>16</v>
      </c>
      <c r="H3114">
        <v>484.4</v>
      </c>
      <c r="I3114" s="13">
        <v>8</v>
      </c>
      <c r="J3114">
        <v>0</v>
      </c>
      <c r="K3114">
        <v>0</v>
      </c>
      <c r="L3114">
        <v>0</v>
      </c>
      <c r="M3114">
        <v>0</v>
      </c>
      <c r="O3114">
        <f t="shared" si="48"/>
        <v>4</v>
      </c>
    </row>
    <row r="3115" spans="1:15">
      <c r="A3115">
        <v>1832</v>
      </c>
      <c r="B3115" s="1">
        <v>45766</v>
      </c>
      <c r="C3115">
        <v>28</v>
      </c>
      <c r="D3115" t="s">
        <v>14</v>
      </c>
      <c r="E3115" t="s">
        <v>20</v>
      </c>
      <c r="F3115" t="s">
        <v>16</v>
      </c>
      <c r="H3115">
        <v>397.2</v>
      </c>
      <c r="I3115" s="13">
        <v>7</v>
      </c>
      <c r="J3115">
        <v>0</v>
      </c>
      <c r="K3115">
        <v>0</v>
      </c>
      <c r="L3115">
        <v>0</v>
      </c>
      <c r="M3115">
        <v>0</v>
      </c>
      <c r="O3115">
        <f t="shared" si="48"/>
        <v>4</v>
      </c>
    </row>
    <row r="3116" spans="1:15">
      <c r="A3116">
        <v>1495</v>
      </c>
      <c r="B3116" s="1">
        <v>45766</v>
      </c>
      <c r="C3116">
        <v>25</v>
      </c>
      <c r="D3116" t="s">
        <v>17</v>
      </c>
      <c r="E3116" t="s">
        <v>15</v>
      </c>
      <c r="F3116" t="s">
        <v>18</v>
      </c>
      <c r="G3116" t="s">
        <v>19</v>
      </c>
      <c r="H3116">
        <v>391.9</v>
      </c>
      <c r="I3116" s="13">
        <v>3</v>
      </c>
      <c r="J3116">
        <v>0</v>
      </c>
      <c r="K3116">
        <v>0</v>
      </c>
      <c r="L3116">
        <v>0</v>
      </c>
      <c r="M3116">
        <v>0</v>
      </c>
      <c r="O3116">
        <f t="shared" si="48"/>
        <v>4</v>
      </c>
    </row>
    <row r="3117" spans="1:15">
      <c r="A3117">
        <v>2276</v>
      </c>
      <c r="B3117" s="1">
        <v>45766</v>
      </c>
      <c r="C3117">
        <v>25</v>
      </c>
      <c r="D3117" t="s">
        <v>14</v>
      </c>
      <c r="E3117" t="s">
        <v>20</v>
      </c>
      <c r="F3117" t="s">
        <v>16</v>
      </c>
      <c r="H3117">
        <v>367</v>
      </c>
      <c r="I3117" s="13">
        <v>4</v>
      </c>
      <c r="J3117">
        <v>0</v>
      </c>
      <c r="K3117">
        <v>0</v>
      </c>
      <c r="L3117">
        <v>0</v>
      </c>
      <c r="M3117">
        <v>0</v>
      </c>
      <c r="O3117">
        <f t="shared" si="48"/>
        <v>4</v>
      </c>
    </row>
    <row r="3118" spans="1:15">
      <c r="A3118">
        <v>2578</v>
      </c>
      <c r="B3118" s="1">
        <v>45766</v>
      </c>
      <c r="C3118">
        <v>38</v>
      </c>
      <c r="D3118" t="s">
        <v>14</v>
      </c>
      <c r="E3118" t="s">
        <v>15</v>
      </c>
      <c r="F3118" t="s">
        <v>21</v>
      </c>
      <c r="H3118">
        <v>366.1</v>
      </c>
      <c r="I3118" s="13">
        <v>6</v>
      </c>
      <c r="J3118">
        <v>0</v>
      </c>
      <c r="K3118">
        <v>0</v>
      </c>
      <c r="L3118">
        <v>0</v>
      </c>
      <c r="M3118">
        <v>0</v>
      </c>
      <c r="O3118">
        <f t="shared" si="48"/>
        <v>4</v>
      </c>
    </row>
    <row r="3119" spans="1:15">
      <c r="A3119">
        <v>4275</v>
      </c>
      <c r="B3119" s="1">
        <v>45766</v>
      </c>
      <c r="C3119">
        <v>65</v>
      </c>
      <c r="D3119" t="s">
        <v>14</v>
      </c>
      <c r="E3119" t="s">
        <v>15</v>
      </c>
      <c r="F3119" t="s">
        <v>16</v>
      </c>
      <c r="H3119">
        <v>334.3</v>
      </c>
      <c r="I3119" s="13">
        <v>7</v>
      </c>
      <c r="J3119">
        <v>0</v>
      </c>
      <c r="K3119">
        <v>0</v>
      </c>
      <c r="L3119">
        <v>0</v>
      </c>
      <c r="M3119">
        <v>0</v>
      </c>
      <c r="O3119">
        <f t="shared" si="48"/>
        <v>4</v>
      </c>
    </row>
    <row r="3120" spans="1:15">
      <c r="A3120">
        <v>1269</v>
      </c>
      <c r="B3120" s="1">
        <v>45766</v>
      </c>
      <c r="C3120">
        <v>26</v>
      </c>
      <c r="D3120" t="s">
        <v>17</v>
      </c>
      <c r="E3120" t="s">
        <v>15</v>
      </c>
      <c r="F3120" t="s">
        <v>18</v>
      </c>
      <c r="G3120" t="s">
        <v>31</v>
      </c>
      <c r="H3120">
        <v>324</v>
      </c>
      <c r="I3120" s="13">
        <v>5</v>
      </c>
      <c r="J3120">
        <v>0</v>
      </c>
      <c r="K3120">
        <v>0</v>
      </c>
      <c r="L3120">
        <v>0</v>
      </c>
      <c r="M3120">
        <v>0</v>
      </c>
      <c r="O3120">
        <f t="shared" si="48"/>
        <v>4</v>
      </c>
    </row>
    <row r="3121" spans="1:15">
      <c r="A3121">
        <v>3948</v>
      </c>
      <c r="B3121" s="1">
        <v>45766</v>
      </c>
      <c r="C3121">
        <v>47</v>
      </c>
      <c r="D3121" t="s">
        <v>14</v>
      </c>
      <c r="E3121" t="s">
        <v>15</v>
      </c>
      <c r="F3121" t="s">
        <v>18</v>
      </c>
      <c r="G3121" t="s">
        <v>26</v>
      </c>
      <c r="H3121">
        <v>299.89999999999998</v>
      </c>
      <c r="I3121" s="13">
        <v>5</v>
      </c>
      <c r="J3121">
        <v>0</v>
      </c>
      <c r="K3121">
        <v>0</v>
      </c>
      <c r="L3121">
        <v>0</v>
      </c>
      <c r="M3121">
        <v>0</v>
      </c>
      <c r="O3121">
        <f t="shared" si="48"/>
        <v>4</v>
      </c>
    </row>
    <row r="3122" spans="1:15">
      <c r="A3122">
        <v>3057</v>
      </c>
      <c r="B3122" s="1">
        <v>45766</v>
      </c>
      <c r="C3122">
        <v>35</v>
      </c>
      <c r="D3122" t="s">
        <v>14</v>
      </c>
      <c r="E3122" t="s">
        <v>15</v>
      </c>
      <c r="F3122" t="s">
        <v>16</v>
      </c>
      <c r="H3122">
        <v>289.10000000000002</v>
      </c>
      <c r="I3122" s="13">
        <v>5</v>
      </c>
      <c r="J3122">
        <v>0</v>
      </c>
      <c r="K3122">
        <v>0</v>
      </c>
      <c r="L3122">
        <v>0</v>
      </c>
      <c r="M3122">
        <v>0</v>
      </c>
      <c r="O3122">
        <f t="shared" si="48"/>
        <v>4</v>
      </c>
    </row>
    <row r="3123" spans="1:15">
      <c r="A3123">
        <v>1552</v>
      </c>
      <c r="B3123" s="1">
        <v>45766</v>
      </c>
      <c r="C3123">
        <v>35</v>
      </c>
      <c r="D3123" t="s">
        <v>14</v>
      </c>
      <c r="E3123" t="s">
        <v>15</v>
      </c>
      <c r="F3123" t="s">
        <v>18</v>
      </c>
      <c r="G3123" t="s">
        <v>26</v>
      </c>
      <c r="H3123">
        <v>278.10000000000002</v>
      </c>
      <c r="I3123" s="13">
        <v>6</v>
      </c>
      <c r="J3123">
        <v>0</v>
      </c>
      <c r="K3123">
        <v>0</v>
      </c>
      <c r="L3123">
        <v>0</v>
      </c>
      <c r="M3123">
        <v>0</v>
      </c>
      <c r="O3123">
        <f t="shared" si="48"/>
        <v>4</v>
      </c>
    </row>
    <row r="3124" spans="1:15">
      <c r="A3124">
        <v>951</v>
      </c>
      <c r="B3124" s="1">
        <v>45766</v>
      </c>
      <c r="C3124">
        <v>22</v>
      </c>
      <c r="D3124" t="s">
        <v>17</v>
      </c>
      <c r="E3124" t="s">
        <v>22</v>
      </c>
      <c r="F3124" t="s">
        <v>18</v>
      </c>
      <c r="G3124" t="s">
        <v>29</v>
      </c>
      <c r="H3124">
        <v>277.8</v>
      </c>
      <c r="I3124" s="13">
        <v>8</v>
      </c>
      <c r="J3124">
        <v>0</v>
      </c>
      <c r="K3124">
        <v>0</v>
      </c>
      <c r="L3124">
        <v>0</v>
      </c>
      <c r="M3124">
        <v>0</v>
      </c>
      <c r="O3124">
        <f t="shared" si="48"/>
        <v>4</v>
      </c>
    </row>
    <row r="3125" spans="1:15">
      <c r="A3125">
        <v>4115</v>
      </c>
      <c r="B3125" s="1">
        <v>45766</v>
      </c>
      <c r="C3125">
        <v>51</v>
      </c>
      <c r="D3125" t="s">
        <v>17</v>
      </c>
      <c r="E3125" t="s">
        <v>15</v>
      </c>
      <c r="F3125" t="s">
        <v>16</v>
      </c>
      <c r="H3125">
        <v>250.4</v>
      </c>
      <c r="I3125" s="13">
        <v>6</v>
      </c>
      <c r="J3125">
        <v>0</v>
      </c>
      <c r="K3125">
        <v>0</v>
      </c>
      <c r="L3125">
        <v>0</v>
      </c>
      <c r="M3125">
        <v>0</v>
      </c>
      <c r="O3125">
        <f t="shared" si="48"/>
        <v>4</v>
      </c>
    </row>
    <row r="3126" spans="1:15">
      <c r="A3126">
        <v>1934</v>
      </c>
      <c r="B3126" s="1">
        <v>45766</v>
      </c>
      <c r="C3126">
        <v>27</v>
      </c>
      <c r="D3126" t="s">
        <v>14</v>
      </c>
      <c r="E3126" t="s">
        <v>20</v>
      </c>
      <c r="F3126" t="s">
        <v>23</v>
      </c>
      <c r="H3126">
        <v>229.5</v>
      </c>
      <c r="I3126" s="13">
        <v>7</v>
      </c>
      <c r="J3126">
        <v>0</v>
      </c>
      <c r="K3126">
        <v>0</v>
      </c>
      <c r="L3126">
        <v>0</v>
      </c>
      <c r="M3126">
        <v>0</v>
      </c>
      <c r="O3126">
        <f t="shared" si="48"/>
        <v>4</v>
      </c>
    </row>
    <row r="3127" spans="1:15">
      <c r="A3127">
        <v>2431</v>
      </c>
      <c r="B3127" s="1">
        <v>45766</v>
      </c>
      <c r="C3127">
        <v>44</v>
      </c>
      <c r="D3127" t="s">
        <v>14</v>
      </c>
      <c r="E3127" t="s">
        <v>15</v>
      </c>
      <c r="F3127" t="s">
        <v>21</v>
      </c>
      <c r="H3127">
        <v>215.8</v>
      </c>
      <c r="I3127" s="13">
        <v>4</v>
      </c>
      <c r="J3127">
        <v>0</v>
      </c>
      <c r="K3127">
        <v>0</v>
      </c>
      <c r="L3127">
        <v>0</v>
      </c>
      <c r="M3127">
        <v>0</v>
      </c>
      <c r="O3127">
        <f t="shared" si="48"/>
        <v>4</v>
      </c>
    </row>
    <row r="3128" spans="1:15">
      <c r="A3128">
        <v>962</v>
      </c>
      <c r="B3128" s="1">
        <v>45766</v>
      </c>
      <c r="C3128">
        <v>23</v>
      </c>
      <c r="D3128" t="s">
        <v>14</v>
      </c>
      <c r="E3128" t="s">
        <v>22</v>
      </c>
      <c r="F3128" t="s">
        <v>18</v>
      </c>
      <c r="G3128" t="s">
        <v>19</v>
      </c>
      <c r="H3128">
        <v>200.6</v>
      </c>
      <c r="I3128" s="13">
        <v>6</v>
      </c>
      <c r="J3128">
        <v>0</v>
      </c>
      <c r="K3128">
        <v>0</v>
      </c>
      <c r="L3128">
        <v>0</v>
      </c>
      <c r="M3128">
        <v>0</v>
      </c>
      <c r="O3128">
        <f t="shared" si="48"/>
        <v>4</v>
      </c>
    </row>
    <row r="3129" spans="1:15">
      <c r="A3129">
        <v>4988</v>
      </c>
      <c r="B3129" s="1">
        <v>45766</v>
      </c>
      <c r="C3129">
        <v>51</v>
      </c>
      <c r="D3129" t="s">
        <v>14</v>
      </c>
      <c r="E3129" t="s">
        <v>24</v>
      </c>
      <c r="F3129" t="s">
        <v>18</v>
      </c>
      <c r="G3129" t="s">
        <v>28</v>
      </c>
      <c r="H3129">
        <v>175.2</v>
      </c>
      <c r="I3129" s="13">
        <v>5</v>
      </c>
      <c r="J3129">
        <v>0</v>
      </c>
      <c r="K3129">
        <v>0</v>
      </c>
      <c r="L3129">
        <v>0</v>
      </c>
      <c r="M3129">
        <v>0</v>
      </c>
      <c r="O3129">
        <f t="shared" si="48"/>
        <v>4</v>
      </c>
    </row>
    <row r="3130" spans="1:15">
      <c r="A3130">
        <v>4877</v>
      </c>
      <c r="B3130" s="1">
        <v>45766</v>
      </c>
      <c r="C3130">
        <v>55</v>
      </c>
      <c r="D3130" t="s">
        <v>17</v>
      </c>
      <c r="E3130" t="s">
        <v>22</v>
      </c>
      <c r="F3130" t="s">
        <v>21</v>
      </c>
      <c r="H3130">
        <v>166.3</v>
      </c>
      <c r="I3130" s="13">
        <v>1</v>
      </c>
      <c r="J3130">
        <v>0</v>
      </c>
      <c r="K3130">
        <v>0</v>
      </c>
      <c r="L3130">
        <v>0</v>
      </c>
      <c r="M3130">
        <v>0</v>
      </c>
      <c r="O3130">
        <f t="shared" si="48"/>
        <v>4</v>
      </c>
    </row>
    <row r="3131" spans="1:15">
      <c r="A3131">
        <v>2333</v>
      </c>
      <c r="B3131" s="1">
        <v>45766</v>
      </c>
      <c r="C3131">
        <v>32</v>
      </c>
      <c r="D3131" t="s">
        <v>17</v>
      </c>
      <c r="E3131" t="s">
        <v>22</v>
      </c>
      <c r="F3131" t="s">
        <v>18</v>
      </c>
      <c r="G3131" t="s">
        <v>25</v>
      </c>
      <c r="H3131">
        <v>70.3</v>
      </c>
      <c r="I3131" s="13">
        <v>3</v>
      </c>
      <c r="J3131">
        <v>0</v>
      </c>
      <c r="K3131">
        <v>0</v>
      </c>
      <c r="L3131">
        <v>0</v>
      </c>
      <c r="M3131">
        <v>0</v>
      </c>
      <c r="O3131">
        <f t="shared" si="48"/>
        <v>4</v>
      </c>
    </row>
    <row r="3132" spans="1:15">
      <c r="A3132">
        <v>4356</v>
      </c>
      <c r="B3132" s="1">
        <v>45766</v>
      </c>
      <c r="C3132">
        <v>54</v>
      </c>
      <c r="D3132" t="s">
        <v>17</v>
      </c>
      <c r="E3132" t="s">
        <v>20</v>
      </c>
      <c r="F3132" t="s">
        <v>16</v>
      </c>
      <c r="H3132">
        <v>53.1</v>
      </c>
      <c r="I3132" s="13">
        <v>6</v>
      </c>
      <c r="J3132">
        <v>0</v>
      </c>
      <c r="K3132">
        <v>0</v>
      </c>
      <c r="L3132">
        <v>0</v>
      </c>
      <c r="M3132">
        <v>0</v>
      </c>
      <c r="O3132">
        <f t="shared" si="48"/>
        <v>4</v>
      </c>
    </row>
    <row r="3133" spans="1:15">
      <c r="A3133">
        <v>4990</v>
      </c>
      <c r="B3133" s="1">
        <v>45796</v>
      </c>
      <c r="C3133">
        <v>52</v>
      </c>
      <c r="D3133" t="s">
        <v>17</v>
      </c>
      <c r="E3133" t="s">
        <v>24</v>
      </c>
      <c r="F3133" t="s">
        <v>18</v>
      </c>
      <c r="G3133" t="s">
        <v>30</v>
      </c>
      <c r="H3133">
        <v>503.8</v>
      </c>
      <c r="I3133" s="13">
        <v>4</v>
      </c>
      <c r="J3133">
        <v>1</v>
      </c>
      <c r="K3133">
        <v>556</v>
      </c>
      <c r="L3133">
        <v>6</v>
      </c>
      <c r="M3133">
        <v>8</v>
      </c>
      <c r="N3133">
        <v>4</v>
      </c>
      <c r="O3133">
        <f t="shared" si="48"/>
        <v>5</v>
      </c>
    </row>
    <row r="3134" spans="1:15">
      <c r="A3134">
        <v>2080</v>
      </c>
      <c r="B3134" s="1">
        <v>45796</v>
      </c>
      <c r="C3134">
        <v>38</v>
      </c>
      <c r="D3134" t="s">
        <v>17</v>
      </c>
      <c r="E3134" t="s">
        <v>22</v>
      </c>
      <c r="F3134" t="s">
        <v>18</v>
      </c>
      <c r="G3134" t="s">
        <v>30</v>
      </c>
      <c r="H3134">
        <v>637</v>
      </c>
      <c r="I3134" s="13">
        <v>8</v>
      </c>
      <c r="J3134">
        <v>1</v>
      </c>
      <c r="K3134">
        <v>180.06</v>
      </c>
      <c r="L3134">
        <v>3</v>
      </c>
      <c r="M3134">
        <v>9</v>
      </c>
      <c r="N3134">
        <v>3</v>
      </c>
      <c r="O3134">
        <f t="shared" si="48"/>
        <v>5</v>
      </c>
    </row>
    <row r="3135" spans="1:15">
      <c r="A3135">
        <v>1243</v>
      </c>
      <c r="B3135" s="1">
        <v>45796</v>
      </c>
      <c r="C3135">
        <v>30</v>
      </c>
      <c r="D3135" t="s">
        <v>14</v>
      </c>
      <c r="E3135" t="s">
        <v>22</v>
      </c>
      <c r="F3135" t="s">
        <v>18</v>
      </c>
      <c r="G3135" t="s">
        <v>30</v>
      </c>
      <c r="H3135">
        <v>406.9</v>
      </c>
      <c r="I3135" s="13">
        <v>2</v>
      </c>
      <c r="J3135">
        <v>1</v>
      </c>
      <c r="K3135">
        <v>118.29</v>
      </c>
      <c r="L3135">
        <v>3</v>
      </c>
      <c r="M3135">
        <v>11</v>
      </c>
      <c r="N3135">
        <v>4</v>
      </c>
      <c r="O3135">
        <f t="shared" si="48"/>
        <v>5</v>
      </c>
    </row>
    <row r="3136" spans="1:15">
      <c r="A3136">
        <v>2893</v>
      </c>
      <c r="B3136" s="1">
        <v>45796</v>
      </c>
      <c r="C3136">
        <v>38</v>
      </c>
      <c r="D3136" t="s">
        <v>14</v>
      </c>
      <c r="E3136" t="s">
        <v>22</v>
      </c>
      <c r="F3136" t="s">
        <v>23</v>
      </c>
      <c r="H3136">
        <v>387</v>
      </c>
      <c r="I3136" s="13">
        <v>4</v>
      </c>
      <c r="J3136">
        <v>1</v>
      </c>
      <c r="K3136">
        <v>63.47</v>
      </c>
      <c r="L3136">
        <v>3</v>
      </c>
      <c r="M3136">
        <v>14</v>
      </c>
      <c r="N3136">
        <v>5</v>
      </c>
      <c r="O3136">
        <f t="shared" si="48"/>
        <v>5</v>
      </c>
    </row>
    <row r="3137" spans="1:15">
      <c r="A3137">
        <v>4079</v>
      </c>
      <c r="B3137" s="1">
        <v>45796</v>
      </c>
      <c r="C3137">
        <v>26</v>
      </c>
      <c r="D3137" t="s">
        <v>17</v>
      </c>
      <c r="E3137" t="s">
        <v>22</v>
      </c>
      <c r="F3137" t="s">
        <v>18</v>
      </c>
      <c r="G3137" t="s">
        <v>28</v>
      </c>
      <c r="H3137">
        <v>655.6</v>
      </c>
      <c r="I3137" s="13">
        <v>5</v>
      </c>
      <c r="J3137">
        <v>1</v>
      </c>
      <c r="K3137">
        <v>41.12</v>
      </c>
      <c r="L3137">
        <v>2</v>
      </c>
      <c r="M3137">
        <v>6</v>
      </c>
      <c r="N3137">
        <v>4</v>
      </c>
      <c r="O3137">
        <f t="shared" si="48"/>
        <v>5</v>
      </c>
    </row>
    <row r="3138" spans="1:15">
      <c r="A3138">
        <v>535</v>
      </c>
      <c r="B3138" s="1">
        <v>45796</v>
      </c>
      <c r="C3138">
        <v>23</v>
      </c>
      <c r="D3138" t="s">
        <v>17</v>
      </c>
      <c r="E3138" t="s">
        <v>22</v>
      </c>
      <c r="F3138" t="s">
        <v>16</v>
      </c>
      <c r="H3138">
        <v>391.1</v>
      </c>
      <c r="I3138" s="13">
        <v>9</v>
      </c>
      <c r="J3138">
        <v>1</v>
      </c>
      <c r="K3138">
        <v>35.1</v>
      </c>
      <c r="L3138">
        <v>3</v>
      </c>
      <c r="M3138">
        <v>12</v>
      </c>
      <c r="N3138">
        <v>4</v>
      </c>
      <c r="O3138">
        <f t="shared" si="48"/>
        <v>5</v>
      </c>
    </row>
    <row r="3139" spans="1:15">
      <c r="A3139">
        <v>1206</v>
      </c>
      <c r="B3139" s="1">
        <v>45796</v>
      </c>
      <c r="C3139">
        <v>24</v>
      </c>
      <c r="D3139" t="s">
        <v>14</v>
      </c>
      <c r="E3139" t="s">
        <v>24</v>
      </c>
      <c r="F3139" t="s">
        <v>18</v>
      </c>
      <c r="G3139" t="s">
        <v>30</v>
      </c>
      <c r="H3139">
        <v>498.9</v>
      </c>
      <c r="I3139" s="13">
        <v>4</v>
      </c>
      <c r="J3139">
        <v>1</v>
      </c>
      <c r="K3139">
        <v>30.75</v>
      </c>
      <c r="L3139">
        <v>3</v>
      </c>
      <c r="M3139">
        <v>12</v>
      </c>
      <c r="N3139">
        <v>5</v>
      </c>
      <c r="O3139">
        <f t="shared" ref="O3139:O3202" si="49">MONTH(B3139)</f>
        <v>5</v>
      </c>
    </row>
    <row r="3140" spans="1:15">
      <c r="A3140">
        <v>982</v>
      </c>
      <c r="B3140" s="1">
        <v>45796</v>
      </c>
      <c r="C3140">
        <v>32</v>
      </c>
      <c r="D3140" t="s">
        <v>17</v>
      </c>
      <c r="E3140" t="s">
        <v>20</v>
      </c>
      <c r="F3140" t="s">
        <v>18</v>
      </c>
      <c r="G3140" t="s">
        <v>30</v>
      </c>
      <c r="H3140">
        <v>745.3</v>
      </c>
      <c r="I3140" s="13">
        <v>10</v>
      </c>
      <c r="J3140">
        <v>1</v>
      </c>
      <c r="K3140">
        <v>28.96</v>
      </c>
      <c r="L3140">
        <v>3</v>
      </c>
      <c r="M3140">
        <v>6</v>
      </c>
      <c r="N3140">
        <v>4</v>
      </c>
      <c r="O3140">
        <f t="shared" si="49"/>
        <v>5</v>
      </c>
    </row>
    <row r="3141" spans="1:15">
      <c r="A3141">
        <v>2816</v>
      </c>
      <c r="B3141" s="1">
        <v>45796</v>
      </c>
      <c r="C3141">
        <v>39</v>
      </c>
      <c r="D3141" t="s">
        <v>14</v>
      </c>
      <c r="E3141" t="s">
        <v>20</v>
      </c>
      <c r="F3141" t="s">
        <v>18</v>
      </c>
      <c r="G3141" t="s">
        <v>25</v>
      </c>
      <c r="H3141">
        <v>780.8</v>
      </c>
      <c r="I3141" s="13">
        <v>5</v>
      </c>
      <c r="J3141">
        <v>0</v>
      </c>
      <c r="K3141">
        <v>0</v>
      </c>
      <c r="L3141">
        <v>0</v>
      </c>
      <c r="M3141">
        <v>0</v>
      </c>
      <c r="O3141">
        <f t="shared" si="49"/>
        <v>5</v>
      </c>
    </row>
    <row r="3142" spans="1:15">
      <c r="A3142">
        <v>95</v>
      </c>
      <c r="B3142" s="1">
        <v>45796</v>
      </c>
      <c r="C3142">
        <v>28</v>
      </c>
      <c r="D3142" t="s">
        <v>17</v>
      </c>
      <c r="E3142" t="s">
        <v>24</v>
      </c>
      <c r="F3142" t="s">
        <v>16</v>
      </c>
      <c r="H3142">
        <v>474.2</v>
      </c>
      <c r="I3142" s="13">
        <v>2</v>
      </c>
      <c r="J3142">
        <v>0</v>
      </c>
      <c r="K3142">
        <v>0</v>
      </c>
      <c r="L3142">
        <v>0</v>
      </c>
      <c r="M3142">
        <v>0</v>
      </c>
      <c r="O3142">
        <f t="shared" si="49"/>
        <v>5</v>
      </c>
    </row>
    <row r="3143" spans="1:15">
      <c r="A3143">
        <v>77</v>
      </c>
      <c r="B3143" s="1">
        <v>45796</v>
      </c>
      <c r="C3143">
        <v>22</v>
      </c>
      <c r="D3143" t="s">
        <v>14</v>
      </c>
      <c r="E3143" t="s">
        <v>20</v>
      </c>
      <c r="F3143" t="s">
        <v>23</v>
      </c>
      <c r="H3143">
        <v>402.1</v>
      </c>
      <c r="I3143" s="13">
        <v>9</v>
      </c>
      <c r="J3143">
        <v>0</v>
      </c>
      <c r="K3143">
        <v>0</v>
      </c>
      <c r="L3143">
        <v>0</v>
      </c>
      <c r="M3143">
        <v>0</v>
      </c>
      <c r="O3143">
        <f t="shared" si="49"/>
        <v>5</v>
      </c>
    </row>
    <row r="3144" spans="1:15">
      <c r="A3144">
        <v>297</v>
      </c>
      <c r="B3144" s="1">
        <v>45796</v>
      </c>
      <c r="C3144">
        <v>32</v>
      </c>
      <c r="D3144" t="s">
        <v>17</v>
      </c>
      <c r="E3144" t="s">
        <v>20</v>
      </c>
      <c r="F3144" t="s">
        <v>16</v>
      </c>
      <c r="H3144">
        <v>401.8</v>
      </c>
      <c r="I3144" s="13">
        <v>8</v>
      </c>
      <c r="J3144">
        <v>0</v>
      </c>
      <c r="K3144">
        <v>0</v>
      </c>
      <c r="L3144">
        <v>0</v>
      </c>
      <c r="M3144">
        <v>0</v>
      </c>
      <c r="O3144">
        <f t="shared" si="49"/>
        <v>5</v>
      </c>
    </row>
    <row r="3145" spans="1:15">
      <c r="A3145">
        <v>1057</v>
      </c>
      <c r="B3145" s="1">
        <v>45796</v>
      </c>
      <c r="C3145">
        <v>29</v>
      </c>
      <c r="D3145" t="s">
        <v>17</v>
      </c>
      <c r="E3145" t="s">
        <v>24</v>
      </c>
      <c r="F3145" t="s">
        <v>23</v>
      </c>
      <c r="H3145">
        <v>315.89999999999998</v>
      </c>
      <c r="I3145" s="13">
        <v>10</v>
      </c>
      <c r="J3145">
        <v>0</v>
      </c>
      <c r="K3145">
        <v>0</v>
      </c>
      <c r="L3145">
        <v>0</v>
      </c>
      <c r="M3145">
        <v>0</v>
      </c>
      <c r="O3145">
        <f t="shared" si="49"/>
        <v>5</v>
      </c>
    </row>
    <row r="3146" spans="1:15">
      <c r="A3146">
        <v>2540</v>
      </c>
      <c r="B3146" s="1">
        <v>45796</v>
      </c>
      <c r="C3146">
        <v>19</v>
      </c>
      <c r="D3146" t="s">
        <v>14</v>
      </c>
      <c r="E3146" t="s">
        <v>22</v>
      </c>
      <c r="F3146" t="s">
        <v>18</v>
      </c>
      <c r="G3146" t="s">
        <v>29</v>
      </c>
      <c r="H3146">
        <v>293.89999999999998</v>
      </c>
      <c r="I3146" s="13">
        <v>6</v>
      </c>
      <c r="J3146">
        <v>0</v>
      </c>
      <c r="K3146">
        <v>0</v>
      </c>
      <c r="L3146">
        <v>0</v>
      </c>
      <c r="M3146">
        <v>0</v>
      </c>
      <c r="O3146">
        <f t="shared" si="49"/>
        <v>5</v>
      </c>
    </row>
    <row r="3147" spans="1:15">
      <c r="A3147">
        <v>1743</v>
      </c>
      <c r="B3147" s="1">
        <v>45796</v>
      </c>
      <c r="C3147">
        <v>22</v>
      </c>
      <c r="D3147" t="s">
        <v>14</v>
      </c>
      <c r="E3147" t="s">
        <v>22</v>
      </c>
      <c r="F3147" t="s">
        <v>16</v>
      </c>
      <c r="H3147">
        <v>244.6</v>
      </c>
      <c r="I3147" s="13">
        <v>4</v>
      </c>
      <c r="J3147">
        <v>0</v>
      </c>
      <c r="K3147">
        <v>0</v>
      </c>
      <c r="L3147">
        <v>0</v>
      </c>
      <c r="M3147">
        <v>0</v>
      </c>
      <c r="O3147">
        <f t="shared" si="49"/>
        <v>5</v>
      </c>
    </row>
    <row r="3148" spans="1:15">
      <c r="A3148">
        <v>3651</v>
      </c>
      <c r="B3148" s="1">
        <v>45796</v>
      </c>
      <c r="C3148">
        <v>29</v>
      </c>
      <c r="D3148" t="s">
        <v>14</v>
      </c>
      <c r="E3148" t="s">
        <v>22</v>
      </c>
      <c r="F3148" t="s">
        <v>23</v>
      </c>
      <c r="H3148">
        <v>219.4</v>
      </c>
      <c r="I3148" s="13">
        <v>6</v>
      </c>
      <c r="J3148">
        <v>0</v>
      </c>
      <c r="K3148">
        <v>0</v>
      </c>
      <c r="L3148">
        <v>0</v>
      </c>
      <c r="M3148">
        <v>0</v>
      </c>
      <c r="O3148">
        <f t="shared" si="49"/>
        <v>5</v>
      </c>
    </row>
    <row r="3149" spans="1:15">
      <c r="A3149">
        <v>1818</v>
      </c>
      <c r="B3149" s="1">
        <v>45796</v>
      </c>
      <c r="C3149">
        <v>42</v>
      </c>
      <c r="D3149" t="s">
        <v>14</v>
      </c>
      <c r="E3149" t="s">
        <v>24</v>
      </c>
      <c r="F3149" t="s">
        <v>23</v>
      </c>
      <c r="H3149">
        <v>167.6</v>
      </c>
      <c r="I3149" s="13">
        <v>10</v>
      </c>
      <c r="J3149">
        <v>0</v>
      </c>
      <c r="K3149">
        <v>0</v>
      </c>
      <c r="L3149">
        <v>0</v>
      </c>
      <c r="M3149">
        <v>0</v>
      </c>
      <c r="O3149">
        <f t="shared" si="49"/>
        <v>5</v>
      </c>
    </row>
    <row r="3150" spans="1:15">
      <c r="A3150">
        <v>2705</v>
      </c>
      <c r="B3150" s="1">
        <v>45796</v>
      </c>
      <c r="C3150">
        <v>39</v>
      </c>
      <c r="D3150" t="s">
        <v>17</v>
      </c>
      <c r="E3150" t="s">
        <v>20</v>
      </c>
      <c r="F3150" t="s">
        <v>21</v>
      </c>
      <c r="H3150">
        <v>162.9</v>
      </c>
      <c r="I3150" s="13">
        <v>5</v>
      </c>
      <c r="J3150">
        <v>0</v>
      </c>
      <c r="K3150">
        <v>0</v>
      </c>
      <c r="L3150">
        <v>0</v>
      </c>
      <c r="M3150">
        <v>0</v>
      </c>
      <c r="O3150">
        <f t="shared" si="49"/>
        <v>5</v>
      </c>
    </row>
    <row r="3151" spans="1:15">
      <c r="A3151">
        <v>689</v>
      </c>
      <c r="B3151" s="1">
        <v>45796</v>
      </c>
      <c r="C3151">
        <v>18</v>
      </c>
      <c r="D3151" t="s">
        <v>17</v>
      </c>
      <c r="E3151" t="s">
        <v>24</v>
      </c>
      <c r="F3151" t="s">
        <v>21</v>
      </c>
      <c r="H3151">
        <v>123.1</v>
      </c>
      <c r="I3151" s="13">
        <v>5</v>
      </c>
      <c r="J3151">
        <v>0</v>
      </c>
      <c r="K3151">
        <v>0</v>
      </c>
      <c r="L3151">
        <v>0</v>
      </c>
      <c r="M3151">
        <v>0</v>
      </c>
      <c r="O3151">
        <f t="shared" si="49"/>
        <v>5</v>
      </c>
    </row>
    <row r="3152" spans="1:15">
      <c r="A3152">
        <v>2655</v>
      </c>
      <c r="B3152" s="1">
        <v>45796</v>
      </c>
      <c r="C3152">
        <v>31</v>
      </c>
      <c r="D3152" t="s">
        <v>17</v>
      </c>
      <c r="E3152" t="s">
        <v>22</v>
      </c>
      <c r="F3152" t="s">
        <v>16</v>
      </c>
      <c r="H3152">
        <v>90.8</v>
      </c>
      <c r="I3152" s="13">
        <v>5</v>
      </c>
      <c r="J3152">
        <v>0</v>
      </c>
      <c r="K3152">
        <v>0</v>
      </c>
      <c r="L3152">
        <v>0</v>
      </c>
      <c r="M3152">
        <v>0</v>
      </c>
      <c r="O3152">
        <f t="shared" si="49"/>
        <v>5</v>
      </c>
    </row>
    <row r="3153" spans="1:15">
      <c r="A3153">
        <v>1063</v>
      </c>
      <c r="B3153" s="1">
        <v>45796</v>
      </c>
      <c r="C3153">
        <v>29</v>
      </c>
      <c r="D3153" t="s">
        <v>14</v>
      </c>
      <c r="E3153" t="s">
        <v>15</v>
      </c>
      <c r="F3153" t="s">
        <v>16</v>
      </c>
      <c r="H3153">
        <v>84.5</v>
      </c>
      <c r="I3153" s="13">
        <v>1</v>
      </c>
      <c r="J3153">
        <v>0</v>
      </c>
      <c r="K3153">
        <v>0</v>
      </c>
      <c r="L3153">
        <v>0</v>
      </c>
      <c r="M3153">
        <v>0</v>
      </c>
      <c r="O3153">
        <f t="shared" si="49"/>
        <v>5</v>
      </c>
    </row>
    <row r="3154" spans="1:15">
      <c r="A3154">
        <v>4815</v>
      </c>
      <c r="B3154" s="1">
        <v>45796</v>
      </c>
      <c r="C3154">
        <v>45</v>
      </c>
      <c r="D3154" t="s">
        <v>14</v>
      </c>
      <c r="E3154" t="s">
        <v>24</v>
      </c>
      <c r="F3154" t="s">
        <v>18</v>
      </c>
      <c r="G3154" t="s">
        <v>31</v>
      </c>
      <c r="H3154">
        <v>64.3</v>
      </c>
      <c r="I3154" s="13">
        <v>7</v>
      </c>
      <c r="J3154">
        <v>0</v>
      </c>
      <c r="K3154">
        <v>0</v>
      </c>
      <c r="L3154">
        <v>0</v>
      </c>
      <c r="M3154">
        <v>0</v>
      </c>
      <c r="O3154">
        <f t="shared" si="49"/>
        <v>5</v>
      </c>
    </row>
    <row r="3155" spans="1:15">
      <c r="A3155">
        <v>1053</v>
      </c>
      <c r="B3155" s="1">
        <v>45827</v>
      </c>
      <c r="C3155">
        <v>22</v>
      </c>
      <c r="D3155" t="s">
        <v>17</v>
      </c>
      <c r="E3155" t="s">
        <v>15</v>
      </c>
      <c r="F3155" t="s">
        <v>23</v>
      </c>
      <c r="H3155">
        <v>440.9</v>
      </c>
      <c r="I3155" s="13">
        <v>10</v>
      </c>
      <c r="J3155">
        <v>1</v>
      </c>
      <c r="K3155">
        <v>76.87</v>
      </c>
      <c r="L3155">
        <v>1</v>
      </c>
      <c r="M3155">
        <v>4</v>
      </c>
      <c r="N3155">
        <v>3</v>
      </c>
      <c r="O3155">
        <f t="shared" si="49"/>
        <v>6</v>
      </c>
    </row>
    <row r="3156" spans="1:15">
      <c r="A3156">
        <v>4302</v>
      </c>
      <c r="B3156" s="1">
        <v>45827</v>
      </c>
      <c r="C3156">
        <v>63</v>
      </c>
      <c r="D3156" t="s">
        <v>17</v>
      </c>
      <c r="E3156" t="s">
        <v>22</v>
      </c>
      <c r="F3156" t="s">
        <v>16</v>
      </c>
      <c r="H3156">
        <v>330.4</v>
      </c>
      <c r="I3156" s="13">
        <v>8</v>
      </c>
      <c r="J3156">
        <v>1</v>
      </c>
      <c r="K3156">
        <v>70.88</v>
      </c>
      <c r="L3156">
        <v>2</v>
      </c>
      <c r="M3156">
        <v>4</v>
      </c>
      <c r="N3156">
        <v>4</v>
      </c>
      <c r="O3156">
        <f t="shared" si="49"/>
        <v>6</v>
      </c>
    </row>
    <row r="3157" spans="1:15">
      <c r="A3157">
        <v>1224</v>
      </c>
      <c r="B3157" s="1">
        <v>45827</v>
      </c>
      <c r="C3157">
        <v>30</v>
      </c>
      <c r="D3157" t="s">
        <v>14</v>
      </c>
      <c r="E3157" t="s">
        <v>22</v>
      </c>
      <c r="F3157" t="s">
        <v>23</v>
      </c>
      <c r="H3157">
        <v>838.1</v>
      </c>
      <c r="I3157" s="13">
        <v>5</v>
      </c>
      <c r="J3157">
        <v>1</v>
      </c>
      <c r="K3157">
        <v>44.89</v>
      </c>
      <c r="L3157">
        <v>3</v>
      </c>
      <c r="M3157">
        <v>5</v>
      </c>
      <c r="N3157">
        <v>5</v>
      </c>
      <c r="O3157">
        <f t="shared" si="49"/>
        <v>6</v>
      </c>
    </row>
    <row r="3158" spans="1:15">
      <c r="A3158">
        <v>4946</v>
      </c>
      <c r="B3158" s="1">
        <v>45827</v>
      </c>
      <c r="C3158">
        <v>49</v>
      </c>
      <c r="D3158" t="s">
        <v>17</v>
      </c>
      <c r="E3158" t="s">
        <v>22</v>
      </c>
      <c r="F3158" t="s">
        <v>18</v>
      </c>
      <c r="G3158" t="s">
        <v>31</v>
      </c>
      <c r="H3158">
        <v>267.2</v>
      </c>
      <c r="I3158" s="13">
        <v>3</v>
      </c>
      <c r="J3158">
        <v>1</v>
      </c>
      <c r="K3158">
        <v>40.92</v>
      </c>
      <c r="L3158">
        <v>2</v>
      </c>
      <c r="M3158">
        <v>1</v>
      </c>
      <c r="N3158">
        <v>4</v>
      </c>
      <c r="O3158">
        <f t="shared" si="49"/>
        <v>6</v>
      </c>
    </row>
    <row r="3159" spans="1:15">
      <c r="A3159">
        <v>4683</v>
      </c>
      <c r="B3159" s="1">
        <v>45827</v>
      </c>
      <c r="C3159">
        <v>60</v>
      </c>
      <c r="D3159" t="s">
        <v>17</v>
      </c>
      <c r="E3159" t="s">
        <v>20</v>
      </c>
      <c r="F3159" t="s">
        <v>16</v>
      </c>
      <c r="H3159">
        <v>326.3</v>
      </c>
      <c r="I3159" s="13">
        <v>2</v>
      </c>
      <c r="J3159">
        <v>1</v>
      </c>
      <c r="K3159">
        <v>26.23</v>
      </c>
      <c r="L3159">
        <v>1</v>
      </c>
      <c r="M3159">
        <v>9</v>
      </c>
      <c r="N3159">
        <v>3</v>
      </c>
      <c r="O3159">
        <f t="shared" si="49"/>
        <v>6</v>
      </c>
    </row>
    <row r="3160" spans="1:15">
      <c r="A3160">
        <v>2886</v>
      </c>
      <c r="B3160" s="1">
        <v>45827</v>
      </c>
      <c r="C3160">
        <v>35</v>
      </c>
      <c r="D3160" t="s">
        <v>17</v>
      </c>
      <c r="E3160" t="s">
        <v>24</v>
      </c>
      <c r="F3160" t="s">
        <v>18</v>
      </c>
      <c r="G3160" t="s">
        <v>28</v>
      </c>
      <c r="H3160">
        <v>835.6</v>
      </c>
      <c r="I3160" s="13">
        <v>5</v>
      </c>
      <c r="J3160">
        <v>1</v>
      </c>
      <c r="K3160">
        <v>17.47</v>
      </c>
      <c r="L3160">
        <v>3</v>
      </c>
      <c r="M3160">
        <v>6</v>
      </c>
      <c r="N3160">
        <v>4</v>
      </c>
      <c r="O3160">
        <f t="shared" si="49"/>
        <v>6</v>
      </c>
    </row>
    <row r="3161" spans="1:15">
      <c r="A3161">
        <v>4312</v>
      </c>
      <c r="B3161" s="1">
        <v>45827</v>
      </c>
      <c r="C3161">
        <v>40</v>
      </c>
      <c r="D3161" t="s">
        <v>17</v>
      </c>
      <c r="E3161" t="s">
        <v>22</v>
      </c>
      <c r="F3161" t="s">
        <v>16</v>
      </c>
      <c r="H3161">
        <v>592.20000000000005</v>
      </c>
      <c r="I3161" s="13">
        <v>4</v>
      </c>
      <c r="J3161">
        <v>1</v>
      </c>
      <c r="K3161">
        <v>17.329999999999998</v>
      </c>
      <c r="L3161">
        <v>2</v>
      </c>
      <c r="M3161">
        <v>11</v>
      </c>
      <c r="N3161">
        <v>5</v>
      </c>
      <c r="O3161">
        <f t="shared" si="49"/>
        <v>6</v>
      </c>
    </row>
    <row r="3162" spans="1:15">
      <c r="A3162">
        <v>53</v>
      </c>
      <c r="B3162" s="1">
        <v>45827</v>
      </c>
      <c r="C3162">
        <v>18</v>
      </c>
      <c r="D3162" t="s">
        <v>17</v>
      </c>
      <c r="E3162" t="s">
        <v>20</v>
      </c>
      <c r="F3162" t="s">
        <v>18</v>
      </c>
      <c r="G3162" t="s">
        <v>28</v>
      </c>
      <c r="H3162">
        <v>684.2</v>
      </c>
      <c r="I3162" s="13">
        <v>8</v>
      </c>
      <c r="J3162">
        <v>0</v>
      </c>
      <c r="K3162">
        <v>0</v>
      </c>
      <c r="L3162">
        <v>0</v>
      </c>
      <c r="M3162">
        <v>0</v>
      </c>
      <c r="O3162">
        <f t="shared" si="49"/>
        <v>6</v>
      </c>
    </row>
    <row r="3163" spans="1:15">
      <c r="A3163">
        <v>241</v>
      </c>
      <c r="B3163" s="1">
        <v>45827</v>
      </c>
      <c r="C3163">
        <v>21</v>
      </c>
      <c r="D3163" t="s">
        <v>17</v>
      </c>
      <c r="E3163" t="s">
        <v>22</v>
      </c>
      <c r="F3163" t="s">
        <v>16</v>
      </c>
      <c r="H3163">
        <v>660.7</v>
      </c>
      <c r="I3163" s="13">
        <v>3</v>
      </c>
      <c r="J3163">
        <v>0</v>
      </c>
      <c r="K3163">
        <v>0</v>
      </c>
      <c r="L3163">
        <v>0</v>
      </c>
      <c r="M3163">
        <v>0</v>
      </c>
      <c r="O3163">
        <f t="shared" si="49"/>
        <v>6</v>
      </c>
    </row>
    <row r="3164" spans="1:15">
      <c r="A3164">
        <v>2483</v>
      </c>
      <c r="B3164" s="1">
        <v>45827</v>
      </c>
      <c r="C3164">
        <v>31</v>
      </c>
      <c r="D3164" t="s">
        <v>17</v>
      </c>
      <c r="E3164" t="s">
        <v>15</v>
      </c>
      <c r="F3164" t="s">
        <v>16</v>
      </c>
      <c r="H3164">
        <v>408.8</v>
      </c>
      <c r="I3164" s="13">
        <v>9</v>
      </c>
      <c r="J3164">
        <v>0</v>
      </c>
      <c r="K3164">
        <v>0</v>
      </c>
      <c r="L3164">
        <v>0</v>
      </c>
      <c r="M3164">
        <v>0</v>
      </c>
      <c r="O3164">
        <f t="shared" si="49"/>
        <v>6</v>
      </c>
    </row>
    <row r="3165" spans="1:15">
      <c r="A3165">
        <v>359</v>
      </c>
      <c r="B3165" s="1">
        <v>45827</v>
      </c>
      <c r="C3165">
        <v>23</v>
      </c>
      <c r="D3165" t="s">
        <v>14</v>
      </c>
      <c r="E3165" t="s">
        <v>24</v>
      </c>
      <c r="F3165" t="s">
        <v>18</v>
      </c>
      <c r="G3165" t="s">
        <v>31</v>
      </c>
      <c r="H3165">
        <v>356</v>
      </c>
      <c r="I3165" s="13">
        <v>5</v>
      </c>
      <c r="J3165">
        <v>0</v>
      </c>
      <c r="K3165">
        <v>0</v>
      </c>
      <c r="L3165">
        <v>0</v>
      </c>
      <c r="M3165">
        <v>0</v>
      </c>
      <c r="O3165">
        <f t="shared" si="49"/>
        <v>6</v>
      </c>
    </row>
    <row r="3166" spans="1:15">
      <c r="A3166">
        <v>2803</v>
      </c>
      <c r="B3166" s="1">
        <v>45827</v>
      </c>
      <c r="C3166">
        <v>27</v>
      </c>
      <c r="D3166" t="s">
        <v>17</v>
      </c>
      <c r="E3166" t="s">
        <v>24</v>
      </c>
      <c r="F3166" t="s">
        <v>16</v>
      </c>
      <c r="H3166">
        <v>355.6</v>
      </c>
      <c r="I3166" s="13">
        <v>1</v>
      </c>
      <c r="J3166">
        <v>0</v>
      </c>
      <c r="K3166">
        <v>0</v>
      </c>
      <c r="L3166">
        <v>0</v>
      </c>
      <c r="M3166">
        <v>0</v>
      </c>
      <c r="O3166">
        <f t="shared" si="49"/>
        <v>6</v>
      </c>
    </row>
    <row r="3167" spans="1:15">
      <c r="A3167">
        <v>135</v>
      </c>
      <c r="B3167" s="1">
        <v>45827</v>
      </c>
      <c r="C3167">
        <v>23</v>
      </c>
      <c r="D3167" t="s">
        <v>14</v>
      </c>
      <c r="E3167" t="s">
        <v>22</v>
      </c>
      <c r="F3167" t="s">
        <v>16</v>
      </c>
      <c r="H3167">
        <v>351.1</v>
      </c>
      <c r="I3167" s="13">
        <v>4</v>
      </c>
      <c r="J3167">
        <v>0</v>
      </c>
      <c r="K3167">
        <v>0</v>
      </c>
      <c r="L3167">
        <v>0</v>
      </c>
      <c r="M3167">
        <v>0</v>
      </c>
      <c r="O3167">
        <f t="shared" si="49"/>
        <v>6</v>
      </c>
    </row>
    <row r="3168" spans="1:15">
      <c r="A3168">
        <v>365</v>
      </c>
      <c r="B3168" s="1">
        <v>45827</v>
      </c>
      <c r="C3168">
        <v>22</v>
      </c>
      <c r="D3168" t="s">
        <v>14</v>
      </c>
      <c r="E3168" t="s">
        <v>15</v>
      </c>
      <c r="F3168" t="s">
        <v>16</v>
      </c>
      <c r="H3168">
        <v>332.1</v>
      </c>
      <c r="I3168" s="13">
        <v>8</v>
      </c>
      <c r="J3168">
        <v>0</v>
      </c>
      <c r="K3168">
        <v>0</v>
      </c>
      <c r="L3168">
        <v>0</v>
      </c>
      <c r="M3168">
        <v>0</v>
      </c>
      <c r="O3168">
        <f t="shared" si="49"/>
        <v>6</v>
      </c>
    </row>
    <row r="3169" spans="1:15">
      <c r="A3169">
        <v>1091</v>
      </c>
      <c r="B3169" s="1">
        <v>45827</v>
      </c>
      <c r="C3169">
        <v>29</v>
      </c>
      <c r="D3169" t="s">
        <v>14</v>
      </c>
      <c r="E3169" t="s">
        <v>20</v>
      </c>
      <c r="F3169" t="s">
        <v>23</v>
      </c>
      <c r="H3169">
        <v>330.8</v>
      </c>
      <c r="I3169" s="13">
        <v>5</v>
      </c>
      <c r="J3169">
        <v>0</v>
      </c>
      <c r="K3169">
        <v>0</v>
      </c>
      <c r="L3169">
        <v>0</v>
      </c>
      <c r="M3169">
        <v>0</v>
      </c>
      <c r="O3169">
        <f t="shared" si="49"/>
        <v>6</v>
      </c>
    </row>
    <row r="3170" spans="1:15">
      <c r="A3170">
        <v>4510</v>
      </c>
      <c r="B3170" s="1">
        <v>45827</v>
      </c>
      <c r="C3170">
        <v>55</v>
      </c>
      <c r="D3170" t="s">
        <v>14</v>
      </c>
      <c r="E3170" t="s">
        <v>22</v>
      </c>
      <c r="F3170" t="s">
        <v>18</v>
      </c>
      <c r="G3170" t="s">
        <v>31</v>
      </c>
      <c r="H3170">
        <v>322.10000000000002</v>
      </c>
      <c r="I3170" s="13">
        <v>7</v>
      </c>
      <c r="J3170">
        <v>0</v>
      </c>
      <c r="K3170">
        <v>0</v>
      </c>
      <c r="L3170">
        <v>0</v>
      </c>
      <c r="M3170">
        <v>0</v>
      </c>
      <c r="O3170">
        <f t="shared" si="49"/>
        <v>6</v>
      </c>
    </row>
    <row r="3171" spans="1:15">
      <c r="A3171">
        <v>1013</v>
      </c>
      <c r="B3171" s="1">
        <v>45827</v>
      </c>
      <c r="C3171">
        <v>27</v>
      </c>
      <c r="D3171" t="s">
        <v>14</v>
      </c>
      <c r="E3171" t="s">
        <v>20</v>
      </c>
      <c r="F3171" t="s">
        <v>21</v>
      </c>
      <c r="H3171">
        <v>274.3</v>
      </c>
      <c r="I3171" s="13">
        <v>8</v>
      </c>
      <c r="J3171">
        <v>0</v>
      </c>
      <c r="K3171">
        <v>0</v>
      </c>
      <c r="L3171">
        <v>0</v>
      </c>
      <c r="M3171">
        <v>0</v>
      </c>
      <c r="O3171">
        <f t="shared" si="49"/>
        <v>6</v>
      </c>
    </row>
    <row r="3172" spans="1:15">
      <c r="A3172">
        <v>1976</v>
      </c>
      <c r="B3172" s="1">
        <v>45827</v>
      </c>
      <c r="C3172">
        <v>20</v>
      </c>
      <c r="D3172" t="s">
        <v>17</v>
      </c>
      <c r="E3172" t="s">
        <v>24</v>
      </c>
      <c r="F3172" t="s">
        <v>16</v>
      </c>
      <c r="H3172">
        <v>263.2</v>
      </c>
      <c r="I3172" s="13">
        <v>4</v>
      </c>
      <c r="J3172">
        <v>0</v>
      </c>
      <c r="K3172">
        <v>0</v>
      </c>
      <c r="L3172">
        <v>0</v>
      </c>
      <c r="M3172">
        <v>0</v>
      </c>
      <c r="O3172">
        <f t="shared" si="49"/>
        <v>6</v>
      </c>
    </row>
    <row r="3173" spans="1:15">
      <c r="A3173">
        <v>1845</v>
      </c>
      <c r="B3173" s="1">
        <v>45827</v>
      </c>
      <c r="C3173">
        <v>34</v>
      </c>
      <c r="D3173" t="s">
        <v>14</v>
      </c>
      <c r="E3173" t="s">
        <v>24</v>
      </c>
      <c r="F3173" t="s">
        <v>18</v>
      </c>
      <c r="G3173" t="s">
        <v>28</v>
      </c>
      <c r="H3173">
        <v>240.8</v>
      </c>
      <c r="I3173" s="13">
        <v>5</v>
      </c>
      <c r="J3173">
        <v>0</v>
      </c>
      <c r="K3173">
        <v>0</v>
      </c>
      <c r="L3173">
        <v>0</v>
      </c>
      <c r="M3173">
        <v>0</v>
      </c>
      <c r="O3173">
        <f t="shared" si="49"/>
        <v>6</v>
      </c>
    </row>
    <row r="3174" spans="1:15">
      <c r="A3174">
        <v>3455</v>
      </c>
      <c r="B3174" s="1">
        <v>45827</v>
      </c>
      <c r="C3174">
        <v>46</v>
      </c>
      <c r="D3174" t="s">
        <v>14</v>
      </c>
      <c r="E3174" t="s">
        <v>15</v>
      </c>
      <c r="F3174" t="s">
        <v>18</v>
      </c>
      <c r="G3174" t="s">
        <v>31</v>
      </c>
      <c r="H3174">
        <v>223</v>
      </c>
      <c r="I3174" s="13">
        <v>7</v>
      </c>
      <c r="J3174">
        <v>0</v>
      </c>
      <c r="K3174">
        <v>0</v>
      </c>
      <c r="L3174">
        <v>0</v>
      </c>
      <c r="M3174">
        <v>0</v>
      </c>
      <c r="O3174">
        <f t="shared" si="49"/>
        <v>6</v>
      </c>
    </row>
    <row r="3175" spans="1:15">
      <c r="A3175">
        <v>1025</v>
      </c>
      <c r="B3175" s="1">
        <v>45827</v>
      </c>
      <c r="C3175">
        <v>20</v>
      </c>
      <c r="D3175" t="s">
        <v>14</v>
      </c>
      <c r="E3175" t="s">
        <v>15</v>
      </c>
      <c r="F3175" t="s">
        <v>16</v>
      </c>
      <c r="H3175">
        <v>190.1</v>
      </c>
      <c r="I3175" s="13">
        <v>12</v>
      </c>
      <c r="J3175">
        <v>0</v>
      </c>
      <c r="K3175">
        <v>0</v>
      </c>
      <c r="L3175">
        <v>0</v>
      </c>
      <c r="M3175">
        <v>0</v>
      </c>
      <c r="O3175">
        <f t="shared" si="49"/>
        <v>6</v>
      </c>
    </row>
    <row r="3176" spans="1:15">
      <c r="A3176">
        <v>2345</v>
      </c>
      <c r="B3176" s="1">
        <v>45827</v>
      </c>
      <c r="C3176">
        <v>27</v>
      </c>
      <c r="D3176" t="s">
        <v>14</v>
      </c>
      <c r="E3176" t="s">
        <v>22</v>
      </c>
      <c r="F3176" t="s">
        <v>18</v>
      </c>
      <c r="G3176" t="s">
        <v>25</v>
      </c>
      <c r="H3176">
        <v>188.3</v>
      </c>
      <c r="I3176" s="13">
        <v>3</v>
      </c>
      <c r="J3176">
        <v>0</v>
      </c>
      <c r="K3176">
        <v>0</v>
      </c>
      <c r="L3176">
        <v>0</v>
      </c>
      <c r="M3176">
        <v>0</v>
      </c>
      <c r="O3176">
        <f t="shared" si="49"/>
        <v>6</v>
      </c>
    </row>
    <row r="3177" spans="1:15">
      <c r="A3177">
        <v>2735</v>
      </c>
      <c r="B3177" s="1">
        <v>45827</v>
      </c>
      <c r="C3177">
        <v>35</v>
      </c>
      <c r="D3177" t="s">
        <v>17</v>
      </c>
      <c r="E3177" t="s">
        <v>22</v>
      </c>
      <c r="F3177" t="s">
        <v>18</v>
      </c>
      <c r="G3177" t="s">
        <v>29</v>
      </c>
      <c r="H3177">
        <v>136.4</v>
      </c>
      <c r="I3177" s="13">
        <v>10</v>
      </c>
      <c r="J3177">
        <v>0</v>
      </c>
      <c r="K3177">
        <v>0</v>
      </c>
      <c r="L3177">
        <v>0</v>
      </c>
      <c r="M3177">
        <v>0</v>
      </c>
      <c r="O3177">
        <f t="shared" si="49"/>
        <v>6</v>
      </c>
    </row>
    <row r="3178" spans="1:15">
      <c r="A3178">
        <v>4270</v>
      </c>
      <c r="B3178" s="1">
        <v>45827</v>
      </c>
      <c r="C3178">
        <v>56</v>
      </c>
      <c r="D3178" t="s">
        <v>17</v>
      </c>
      <c r="E3178" t="s">
        <v>24</v>
      </c>
      <c r="F3178" t="s">
        <v>23</v>
      </c>
      <c r="H3178">
        <v>93.6</v>
      </c>
      <c r="I3178" s="13">
        <v>3</v>
      </c>
      <c r="J3178">
        <v>0</v>
      </c>
      <c r="K3178">
        <v>0</v>
      </c>
      <c r="L3178">
        <v>0</v>
      </c>
      <c r="M3178">
        <v>0</v>
      </c>
      <c r="O3178">
        <f t="shared" si="49"/>
        <v>6</v>
      </c>
    </row>
    <row r="3179" spans="1:15">
      <c r="A3179">
        <v>752</v>
      </c>
      <c r="B3179" s="1">
        <v>45827</v>
      </c>
      <c r="C3179">
        <v>28</v>
      </c>
      <c r="D3179" t="s">
        <v>17</v>
      </c>
      <c r="E3179" t="s">
        <v>15</v>
      </c>
      <c r="F3179" t="s">
        <v>16</v>
      </c>
      <c r="H3179">
        <v>67.8</v>
      </c>
      <c r="I3179" s="13">
        <v>7</v>
      </c>
      <c r="J3179">
        <v>0</v>
      </c>
      <c r="K3179">
        <v>0</v>
      </c>
      <c r="L3179">
        <v>0</v>
      </c>
      <c r="M3179">
        <v>0</v>
      </c>
      <c r="O3179">
        <f t="shared" si="49"/>
        <v>6</v>
      </c>
    </row>
    <row r="3180" spans="1:15">
      <c r="A3180">
        <v>3197</v>
      </c>
      <c r="B3180" s="1">
        <v>45827</v>
      </c>
      <c r="C3180">
        <v>31</v>
      </c>
      <c r="D3180" t="s">
        <v>17</v>
      </c>
      <c r="E3180" t="s">
        <v>20</v>
      </c>
      <c r="F3180" t="s">
        <v>23</v>
      </c>
      <c r="H3180">
        <v>56.3</v>
      </c>
      <c r="I3180" s="13">
        <v>9</v>
      </c>
      <c r="J3180">
        <v>0</v>
      </c>
      <c r="K3180">
        <v>0</v>
      </c>
      <c r="L3180">
        <v>0</v>
      </c>
      <c r="M3180">
        <v>0</v>
      </c>
      <c r="O3180">
        <f t="shared" si="49"/>
        <v>6</v>
      </c>
    </row>
    <row r="3181" spans="1:15">
      <c r="A3181">
        <v>3365</v>
      </c>
      <c r="B3181" s="1">
        <v>45827</v>
      </c>
      <c r="C3181">
        <v>43</v>
      </c>
      <c r="D3181" t="s">
        <v>14</v>
      </c>
      <c r="E3181" t="s">
        <v>15</v>
      </c>
      <c r="F3181" t="s">
        <v>18</v>
      </c>
      <c r="G3181" t="s">
        <v>25</v>
      </c>
      <c r="H3181">
        <v>33.299999999999997</v>
      </c>
      <c r="I3181" s="13">
        <v>5</v>
      </c>
      <c r="J3181">
        <v>0</v>
      </c>
      <c r="K3181">
        <v>0</v>
      </c>
      <c r="L3181">
        <v>0</v>
      </c>
      <c r="M3181">
        <v>0</v>
      </c>
      <c r="O3181">
        <f t="shared" si="49"/>
        <v>6</v>
      </c>
    </row>
    <row r="3182" spans="1:15">
      <c r="A3182">
        <v>635</v>
      </c>
      <c r="B3182" s="1">
        <v>45677</v>
      </c>
      <c r="C3182">
        <v>19</v>
      </c>
      <c r="D3182" t="s">
        <v>17</v>
      </c>
      <c r="E3182" t="s">
        <v>20</v>
      </c>
      <c r="F3182" t="s">
        <v>21</v>
      </c>
      <c r="H3182">
        <v>196.9</v>
      </c>
      <c r="I3182" s="13">
        <v>6</v>
      </c>
      <c r="J3182">
        <v>1</v>
      </c>
      <c r="K3182">
        <v>249</v>
      </c>
      <c r="L3182">
        <v>4</v>
      </c>
      <c r="M3182">
        <v>12</v>
      </c>
      <c r="N3182">
        <v>5</v>
      </c>
      <c r="O3182">
        <f t="shared" si="49"/>
        <v>1</v>
      </c>
    </row>
    <row r="3183" spans="1:15">
      <c r="A3183">
        <v>100</v>
      </c>
      <c r="B3183" s="1">
        <v>45677</v>
      </c>
      <c r="C3183">
        <v>29</v>
      </c>
      <c r="D3183" t="s">
        <v>14</v>
      </c>
      <c r="E3183" t="s">
        <v>15</v>
      </c>
      <c r="F3183" t="s">
        <v>16</v>
      </c>
      <c r="H3183">
        <v>265</v>
      </c>
      <c r="I3183" s="13">
        <v>3</v>
      </c>
      <c r="J3183">
        <v>1</v>
      </c>
      <c r="K3183">
        <v>80.95</v>
      </c>
      <c r="L3183">
        <v>1</v>
      </c>
      <c r="M3183">
        <v>12</v>
      </c>
      <c r="N3183">
        <v>5</v>
      </c>
      <c r="O3183">
        <f t="shared" si="49"/>
        <v>1</v>
      </c>
    </row>
    <row r="3184" spans="1:15">
      <c r="A3184">
        <v>3181</v>
      </c>
      <c r="B3184" s="1">
        <v>45677</v>
      </c>
      <c r="C3184">
        <v>31</v>
      </c>
      <c r="D3184" t="s">
        <v>14</v>
      </c>
      <c r="E3184" t="s">
        <v>22</v>
      </c>
      <c r="F3184" t="s">
        <v>18</v>
      </c>
      <c r="G3184" t="s">
        <v>29</v>
      </c>
      <c r="H3184">
        <v>248.5</v>
      </c>
      <c r="I3184" s="13">
        <v>9</v>
      </c>
      <c r="J3184">
        <v>1</v>
      </c>
      <c r="K3184">
        <v>47.89</v>
      </c>
      <c r="L3184">
        <v>4</v>
      </c>
      <c r="M3184">
        <v>9</v>
      </c>
      <c r="N3184">
        <v>5</v>
      </c>
      <c r="O3184">
        <f t="shared" si="49"/>
        <v>1</v>
      </c>
    </row>
    <row r="3185" spans="1:15">
      <c r="A3185">
        <v>1542</v>
      </c>
      <c r="B3185" s="1">
        <v>45677</v>
      </c>
      <c r="C3185">
        <v>25</v>
      </c>
      <c r="D3185" t="s">
        <v>14</v>
      </c>
      <c r="E3185" t="s">
        <v>20</v>
      </c>
      <c r="F3185" t="s">
        <v>16</v>
      </c>
      <c r="H3185">
        <v>161.30000000000001</v>
      </c>
      <c r="I3185" s="13">
        <v>6</v>
      </c>
      <c r="J3185">
        <v>1</v>
      </c>
      <c r="K3185">
        <v>46.05</v>
      </c>
      <c r="L3185">
        <v>1</v>
      </c>
      <c r="M3185">
        <v>13</v>
      </c>
      <c r="N3185">
        <v>4</v>
      </c>
      <c r="O3185">
        <f t="shared" si="49"/>
        <v>1</v>
      </c>
    </row>
    <row r="3186" spans="1:15">
      <c r="A3186">
        <v>4742</v>
      </c>
      <c r="B3186" s="1">
        <v>45677</v>
      </c>
      <c r="C3186">
        <v>58</v>
      </c>
      <c r="D3186" t="s">
        <v>14</v>
      </c>
      <c r="E3186" t="s">
        <v>15</v>
      </c>
      <c r="F3186" t="s">
        <v>21</v>
      </c>
      <c r="H3186">
        <v>174.5</v>
      </c>
      <c r="I3186" s="13">
        <v>7</v>
      </c>
      <c r="J3186">
        <v>1</v>
      </c>
      <c r="K3186">
        <v>40.58</v>
      </c>
      <c r="L3186">
        <v>3</v>
      </c>
      <c r="M3186">
        <v>3</v>
      </c>
      <c r="N3186">
        <v>4</v>
      </c>
      <c r="O3186">
        <f t="shared" si="49"/>
        <v>1</v>
      </c>
    </row>
    <row r="3187" spans="1:15">
      <c r="A3187">
        <v>1178</v>
      </c>
      <c r="B3187" s="1">
        <v>45677</v>
      </c>
      <c r="C3187">
        <v>29</v>
      </c>
      <c r="D3187" t="s">
        <v>17</v>
      </c>
      <c r="E3187" t="s">
        <v>24</v>
      </c>
      <c r="F3187" t="s">
        <v>16</v>
      </c>
      <c r="H3187">
        <v>1106.5</v>
      </c>
      <c r="I3187" s="13">
        <v>7</v>
      </c>
      <c r="J3187">
        <v>1</v>
      </c>
      <c r="K3187">
        <v>23.43</v>
      </c>
      <c r="L3187">
        <v>1</v>
      </c>
      <c r="M3187">
        <v>5</v>
      </c>
      <c r="N3187">
        <v>3</v>
      </c>
      <c r="O3187">
        <f t="shared" si="49"/>
        <v>1</v>
      </c>
    </row>
    <row r="3188" spans="1:15">
      <c r="A3188">
        <v>1759</v>
      </c>
      <c r="B3188" s="1">
        <v>45677</v>
      </c>
      <c r="C3188">
        <v>35</v>
      </c>
      <c r="D3188" t="s">
        <v>14</v>
      </c>
      <c r="E3188" t="s">
        <v>15</v>
      </c>
      <c r="F3188" t="s">
        <v>18</v>
      </c>
      <c r="G3188" t="s">
        <v>26</v>
      </c>
      <c r="H3188">
        <v>252.5</v>
      </c>
      <c r="I3188" s="13">
        <v>5</v>
      </c>
      <c r="J3188">
        <v>1</v>
      </c>
      <c r="K3188">
        <v>16.579999999999998</v>
      </c>
      <c r="L3188">
        <v>2</v>
      </c>
      <c r="M3188">
        <v>8</v>
      </c>
      <c r="N3188">
        <v>4</v>
      </c>
      <c r="O3188">
        <f t="shared" si="49"/>
        <v>1</v>
      </c>
    </row>
    <row r="3189" spans="1:15">
      <c r="A3189">
        <v>4205</v>
      </c>
      <c r="B3189" s="1">
        <v>45677</v>
      </c>
      <c r="C3189">
        <v>56</v>
      </c>
      <c r="D3189" t="s">
        <v>17</v>
      </c>
      <c r="E3189" t="s">
        <v>24</v>
      </c>
      <c r="F3189" t="s">
        <v>16</v>
      </c>
      <c r="H3189">
        <v>689.4</v>
      </c>
      <c r="I3189" s="13">
        <v>9</v>
      </c>
      <c r="J3189">
        <v>0</v>
      </c>
      <c r="K3189">
        <v>0</v>
      </c>
      <c r="L3189">
        <v>0</v>
      </c>
      <c r="M3189">
        <v>0</v>
      </c>
      <c r="O3189">
        <f t="shared" si="49"/>
        <v>1</v>
      </c>
    </row>
    <row r="3190" spans="1:15">
      <c r="A3190">
        <v>4885</v>
      </c>
      <c r="B3190" s="1">
        <v>45677</v>
      </c>
      <c r="C3190">
        <v>39</v>
      </c>
      <c r="D3190" t="s">
        <v>17</v>
      </c>
      <c r="E3190" t="s">
        <v>22</v>
      </c>
      <c r="F3190" t="s">
        <v>18</v>
      </c>
      <c r="G3190" t="s">
        <v>28</v>
      </c>
      <c r="H3190">
        <v>518.70000000000005</v>
      </c>
      <c r="I3190" s="13">
        <v>4</v>
      </c>
      <c r="J3190">
        <v>0</v>
      </c>
      <c r="K3190">
        <v>0</v>
      </c>
      <c r="L3190">
        <v>0</v>
      </c>
      <c r="M3190">
        <v>0</v>
      </c>
      <c r="O3190">
        <f t="shared" si="49"/>
        <v>1</v>
      </c>
    </row>
    <row r="3191" spans="1:15">
      <c r="A3191">
        <v>4791</v>
      </c>
      <c r="B3191" s="1">
        <v>45677</v>
      </c>
      <c r="C3191">
        <v>53</v>
      </c>
      <c r="D3191" t="s">
        <v>14</v>
      </c>
      <c r="E3191" t="s">
        <v>22</v>
      </c>
      <c r="F3191" t="s">
        <v>16</v>
      </c>
      <c r="H3191">
        <v>488.4</v>
      </c>
      <c r="I3191" s="13">
        <v>6</v>
      </c>
      <c r="J3191">
        <v>0</v>
      </c>
      <c r="K3191">
        <v>0</v>
      </c>
      <c r="L3191">
        <v>0</v>
      </c>
      <c r="M3191">
        <v>0</v>
      </c>
      <c r="O3191">
        <f t="shared" si="49"/>
        <v>1</v>
      </c>
    </row>
    <row r="3192" spans="1:15">
      <c r="A3192">
        <v>1706</v>
      </c>
      <c r="B3192" s="1">
        <v>45677</v>
      </c>
      <c r="C3192">
        <v>33</v>
      </c>
      <c r="D3192" t="s">
        <v>14</v>
      </c>
      <c r="E3192" t="s">
        <v>22</v>
      </c>
      <c r="F3192" t="s">
        <v>18</v>
      </c>
      <c r="G3192" t="s">
        <v>29</v>
      </c>
      <c r="H3192">
        <v>457.9</v>
      </c>
      <c r="I3192" s="13">
        <v>7</v>
      </c>
      <c r="J3192">
        <v>0</v>
      </c>
      <c r="K3192">
        <v>0</v>
      </c>
      <c r="L3192">
        <v>0</v>
      </c>
      <c r="M3192">
        <v>0</v>
      </c>
      <c r="O3192">
        <f t="shared" si="49"/>
        <v>1</v>
      </c>
    </row>
    <row r="3193" spans="1:15">
      <c r="A3193">
        <v>4850</v>
      </c>
      <c r="B3193" s="1">
        <v>45677</v>
      </c>
      <c r="C3193">
        <v>46</v>
      </c>
      <c r="D3193" t="s">
        <v>17</v>
      </c>
      <c r="E3193" t="s">
        <v>22</v>
      </c>
      <c r="F3193" t="s">
        <v>16</v>
      </c>
      <c r="H3193">
        <v>396.1</v>
      </c>
      <c r="I3193" s="13">
        <v>4</v>
      </c>
      <c r="J3193">
        <v>0</v>
      </c>
      <c r="K3193">
        <v>0</v>
      </c>
      <c r="L3193">
        <v>0</v>
      </c>
      <c r="M3193">
        <v>0</v>
      </c>
      <c r="O3193">
        <f t="shared" si="49"/>
        <v>1</v>
      </c>
    </row>
    <row r="3194" spans="1:15">
      <c r="A3194">
        <v>124</v>
      </c>
      <c r="B3194" s="1">
        <v>45677</v>
      </c>
      <c r="C3194">
        <v>22</v>
      </c>
      <c r="D3194" t="s">
        <v>17</v>
      </c>
      <c r="E3194" t="s">
        <v>24</v>
      </c>
      <c r="F3194" t="s">
        <v>16</v>
      </c>
      <c r="H3194">
        <v>364.6</v>
      </c>
      <c r="I3194" s="13">
        <v>6</v>
      </c>
      <c r="J3194">
        <v>0</v>
      </c>
      <c r="K3194">
        <v>0</v>
      </c>
      <c r="L3194">
        <v>0</v>
      </c>
      <c r="M3194">
        <v>0</v>
      </c>
      <c r="O3194">
        <f t="shared" si="49"/>
        <v>1</v>
      </c>
    </row>
    <row r="3195" spans="1:15">
      <c r="A3195">
        <v>2506</v>
      </c>
      <c r="B3195" s="1">
        <v>45677</v>
      </c>
      <c r="C3195">
        <v>31</v>
      </c>
      <c r="D3195" t="s">
        <v>14</v>
      </c>
      <c r="E3195" t="s">
        <v>24</v>
      </c>
      <c r="F3195" t="s">
        <v>18</v>
      </c>
      <c r="G3195" t="s">
        <v>25</v>
      </c>
      <c r="H3195">
        <v>252.2</v>
      </c>
      <c r="I3195" s="13">
        <v>8</v>
      </c>
      <c r="J3195">
        <v>0</v>
      </c>
      <c r="K3195">
        <v>0</v>
      </c>
      <c r="L3195">
        <v>0</v>
      </c>
      <c r="M3195">
        <v>0</v>
      </c>
      <c r="O3195">
        <f t="shared" si="49"/>
        <v>1</v>
      </c>
    </row>
    <row r="3196" spans="1:15">
      <c r="A3196">
        <v>2202</v>
      </c>
      <c r="B3196" s="1">
        <v>45677</v>
      </c>
      <c r="C3196">
        <v>40</v>
      </c>
      <c r="D3196" t="s">
        <v>17</v>
      </c>
      <c r="E3196" t="s">
        <v>24</v>
      </c>
      <c r="F3196" t="s">
        <v>16</v>
      </c>
      <c r="H3196">
        <v>214</v>
      </c>
      <c r="I3196" s="13">
        <v>9</v>
      </c>
      <c r="J3196">
        <v>0</v>
      </c>
      <c r="K3196">
        <v>0</v>
      </c>
      <c r="L3196">
        <v>0</v>
      </c>
      <c r="M3196">
        <v>0</v>
      </c>
      <c r="O3196">
        <f t="shared" si="49"/>
        <v>1</v>
      </c>
    </row>
    <row r="3197" spans="1:15">
      <c r="A3197">
        <v>1068</v>
      </c>
      <c r="B3197" s="1">
        <v>45677</v>
      </c>
      <c r="C3197">
        <v>24</v>
      </c>
      <c r="D3197" t="s">
        <v>14</v>
      </c>
      <c r="E3197" t="s">
        <v>20</v>
      </c>
      <c r="F3197" t="s">
        <v>16</v>
      </c>
      <c r="H3197">
        <v>183.3</v>
      </c>
      <c r="I3197" s="13">
        <v>6</v>
      </c>
      <c r="J3197">
        <v>0</v>
      </c>
      <c r="K3197">
        <v>0</v>
      </c>
      <c r="L3197">
        <v>0</v>
      </c>
      <c r="M3197">
        <v>0</v>
      </c>
      <c r="O3197">
        <f t="shared" si="49"/>
        <v>1</v>
      </c>
    </row>
    <row r="3198" spans="1:15">
      <c r="A3198">
        <v>771</v>
      </c>
      <c r="B3198" s="1">
        <v>45677</v>
      </c>
      <c r="C3198">
        <v>27</v>
      </c>
      <c r="D3198" t="s">
        <v>14</v>
      </c>
      <c r="E3198" t="s">
        <v>24</v>
      </c>
      <c r="F3198" t="s">
        <v>16</v>
      </c>
      <c r="H3198">
        <v>164.8</v>
      </c>
      <c r="I3198" s="13">
        <v>5</v>
      </c>
      <c r="J3198">
        <v>0</v>
      </c>
      <c r="K3198">
        <v>0</v>
      </c>
      <c r="L3198">
        <v>0</v>
      </c>
      <c r="M3198">
        <v>0</v>
      </c>
      <c r="O3198">
        <f t="shared" si="49"/>
        <v>1</v>
      </c>
    </row>
    <row r="3199" spans="1:15">
      <c r="A3199">
        <v>2195</v>
      </c>
      <c r="B3199" s="1">
        <v>45677</v>
      </c>
      <c r="C3199">
        <v>44</v>
      </c>
      <c r="D3199" t="s">
        <v>14</v>
      </c>
      <c r="E3199" t="s">
        <v>22</v>
      </c>
      <c r="F3199" t="s">
        <v>18</v>
      </c>
      <c r="G3199" t="s">
        <v>25</v>
      </c>
      <c r="H3199">
        <v>160.9</v>
      </c>
      <c r="I3199" s="13">
        <v>3</v>
      </c>
      <c r="J3199">
        <v>0</v>
      </c>
      <c r="K3199">
        <v>0</v>
      </c>
      <c r="L3199">
        <v>0</v>
      </c>
      <c r="M3199">
        <v>0</v>
      </c>
      <c r="O3199">
        <f t="shared" si="49"/>
        <v>1</v>
      </c>
    </row>
    <row r="3200" spans="1:15">
      <c r="A3200">
        <v>2299</v>
      </c>
      <c r="B3200" s="1">
        <v>45677</v>
      </c>
      <c r="C3200">
        <v>33</v>
      </c>
      <c r="D3200" t="s">
        <v>17</v>
      </c>
      <c r="E3200" t="s">
        <v>22</v>
      </c>
      <c r="F3200" t="s">
        <v>23</v>
      </c>
      <c r="H3200">
        <v>159.4</v>
      </c>
      <c r="I3200" s="13">
        <v>3</v>
      </c>
      <c r="J3200">
        <v>0</v>
      </c>
      <c r="K3200">
        <v>0</v>
      </c>
      <c r="L3200">
        <v>0</v>
      </c>
      <c r="M3200">
        <v>0</v>
      </c>
      <c r="O3200">
        <f t="shared" si="49"/>
        <v>1</v>
      </c>
    </row>
    <row r="3201" spans="1:15">
      <c r="A3201">
        <v>1463</v>
      </c>
      <c r="B3201" s="1">
        <v>45677</v>
      </c>
      <c r="C3201">
        <v>21</v>
      </c>
      <c r="D3201" t="s">
        <v>17</v>
      </c>
      <c r="E3201" t="s">
        <v>20</v>
      </c>
      <c r="F3201" t="s">
        <v>16</v>
      </c>
      <c r="H3201">
        <v>155.1</v>
      </c>
      <c r="I3201" s="13">
        <v>5</v>
      </c>
      <c r="J3201">
        <v>0</v>
      </c>
      <c r="K3201">
        <v>0</v>
      </c>
      <c r="L3201">
        <v>0</v>
      </c>
      <c r="M3201">
        <v>0</v>
      </c>
      <c r="O3201">
        <f t="shared" si="49"/>
        <v>1</v>
      </c>
    </row>
    <row r="3202" spans="1:15">
      <c r="A3202">
        <v>4614</v>
      </c>
      <c r="B3202" s="1">
        <v>45677</v>
      </c>
      <c r="C3202">
        <v>52</v>
      </c>
      <c r="D3202" t="s">
        <v>14</v>
      </c>
      <c r="E3202" t="s">
        <v>20</v>
      </c>
      <c r="F3202" t="s">
        <v>18</v>
      </c>
      <c r="G3202" t="s">
        <v>19</v>
      </c>
      <c r="H3202">
        <v>139.69999999999999</v>
      </c>
      <c r="I3202" s="13">
        <v>4</v>
      </c>
      <c r="J3202">
        <v>0</v>
      </c>
      <c r="K3202">
        <v>0</v>
      </c>
      <c r="L3202">
        <v>0</v>
      </c>
      <c r="M3202">
        <v>0</v>
      </c>
      <c r="O3202">
        <f t="shared" si="49"/>
        <v>1</v>
      </c>
    </row>
    <row r="3203" spans="1:15">
      <c r="A3203">
        <v>2552</v>
      </c>
      <c r="B3203" s="1">
        <v>45677</v>
      </c>
      <c r="C3203">
        <v>40</v>
      </c>
      <c r="D3203" t="s">
        <v>17</v>
      </c>
      <c r="E3203" t="s">
        <v>20</v>
      </c>
      <c r="F3203" t="s">
        <v>16</v>
      </c>
      <c r="H3203">
        <v>126.6</v>
      </c>
      <c r="I3203" s="13">
        <v>4</v>
      </c>
      <c r="J3203">
        <v>0</v>
      </c>
      <c r="K3203">
        <v>0</v>
      </c>
      <c r="L3203">
        <v>0</v>
      </c>
      <c r="M3203">
        <v>0</v>
      </c>
      <c r="O3203">
        <f t="shared" ref="O3203:O3266" si="50">MONTH(B3203)</f>
        <v>1</v>
      </c>
    </row>
    <row r="3204" spans="1:15">
      <c r="A3204">
        <v>983</v>
      </c>
      <c r="B3204" s="1">
        <v>45677</v>
      </c>
      <c r="C3204">
        <v>27</v>
      </c>
      <c r="D3204" t="s">
        <v>17</v>
      </c>
      <c r="E3204" t="s">
        <v>24</v>
      </c>
      <c r="F3204" t="s">
        <v>16</v>
      </c>
      <c r="H3204">
        <v>109.7</v>
      </c>
      <c r="I3204" s="13">
        <v>5</v>
      </c>
      <c r="J3204">
        <v>0</v>
      </c>
      <c r="K3204">
        <v>0</v>
      </c>
      <c r="L3204">
        <v>0</v>
      </c>
      <c r="M3204">
        <v>0</v>
      </c>
      <c r="O3204">
        <f t="shared" si="50"/>
        <v>1</v>
      </c>
    </row>
    <row r="3205" spans="1:15">
      <c r="A3205">
        <v>3865</v>
      </c>
      <c r="B3205" s="1">
        <v>45677</v>
      </c>
      <c r="C3205">
        <v>54</v>
      </c>
      <c r="D3205" t="s">
        <v>14</v>
      </c>
      <c r="E3205" t="s">
        <v>20</v>
      </c>
      <c r="F3205" t="s">
        <v>18</v>
      </c>
      <c r="G3205" t="s">
        <v>26</v>
      </c>
      <c r="H3205">
        <v>93.3</v>
      </c>
      <c r="I3205" s="13">
        <v>6</v>
      </c>
      <c r="J3205">
        <v>0</v>
      </c>
      <c r="K3205">
        <v>0</v>
      </c>
      <c r="L3205">
        <v>0</v>
      </c>
      <c r="M3205">
        <v>0</v>
      </c>
      <c r="O3205">
        <f t="shared" si="50"/>
        <v>1</v>
      </c>
    </row>
    <row r="3206" spans="1:15">
      <c r="A3206">
        <v>3078</v>
      </c>
      <c r="B3206" s="1">
        <v>45677</v>
      </c>
      <c r="C3206">
        <v>35</v>
      </c>
      <c r="D3206" t="s">
        <v>14</v>
      </c>
      <c r="E3206" t="s">
        <v>15</v>
      </c>
      <c r="F3206" t="s">
        <v>21</v>
      </c>
      <c r="H3206">
        <v>63.4</v>
      </c>
      <c r="I3206" s="13">
        <v>8</v>
      </c>
      <c r="J3206">
        <v>0</v>
      </c>
      <c r="K3206">
        <v>0</v>
      </c>
      <c r="L3206">
        <v>0</v>
      </c>
      <c r="M3206">
        <v>0</v>
      </c>
      <c r="O3206">
        <f t="shared" si="50"/>
        <v>1</v>
      </c>
    </row>
    <row r="3207" spans="1:15">
      <c r="A3207">
        <v>2862</v>
      </c>
      <c r="B3207" s="1">
        <v>45708</v>
      </c>
      <c r="C3207">
        <v>48</v>
      </c>
      <c r="D3207" t="s">
        <v>14</v>
      </c>
      <c r="E3207" t="s">
        <v>24</v>
      </c>
      <c r="F3207" t="s">
        <v>16</v>
      </c>
      <c r="H3207">
        <v>88.2</v>
      </c>
      <c r="I3207" s="13">
        <v>3</v>
      </c>
      <c r="J3207">
        <v>1</v>
      </c>
      <c r="K3207">
        <v>535</v>
      </c>
      <c r="L3207">
        <v>2</v>
      </c>
      <c r="M3207">
        <v>3</v>
      </c>
      <c r="N3207">
        <v>4</v>
      </c>
      <c r="O3207">
        <f t="shared" si="50"/>
        <v>2</v>
      </c>
    </row>
    <row r="3208" spans="1:15">
      <c r="A3208">
        <v>2207</v>
      </c>
      <c r="B3208" s="1">
        <v>45708</v>
      </c>
      <c r="C3208">
        <v>23</v>
      </c>
      <c r="D3208" t="s">
        <v>17</v>
      </c>
      <c r="E3208" t="s">
        <v>22</v>
      </c>
      <c r="F3208" t="s">
        <v>16</v>
      </c>
      <c r="H3208">
        <v>266</v>
      </c>
      <c r="I3208" s="13">
        <v>4</v>
      </c>
      <c r="J3208">
        <v>1</v>
      </c>
      <c r="K3208">
        <v>551</v>
      </c>
      <c r="L3208">
        <v>4</v>
      </c>
      <c r="M3208">
        <v>10</v>
      </c>
      <c r="N3208">
        <v>4</v>
      </c>
      <c r="O3208">
        <f t="shared" si="50"/>
        <v>2</v>
      </c>
    </row>
    <row r="3209" spans="1:15">
      <c r="A3209">
        <v>2218</v>
      </c>
      <c r="B3209" s="1">
        <v>45708</v>
      </c>
      <c r="C3209">
        <v>22</v>
      </c>
      <c r="D3209" t="s">
        <v>14</v>
      </c>
      <c r="E3209" t="s">
        <v>22</v>
      </c>
      <c r="F3209" t="s">
        <v>18</v>
      </c>
      <c r="G3209" t="s">
        <v>29</v>
      </c>
      <c r="H3209">
        <v>620.20000000000005</v>
      </c>
      <c r="I3209" s="13">
        <v>9</v>
      </c>
      <c r="J3209">
        <v>1</v>
      </c>
      <c r="K3209">
        <v>113.46</v>
      </c>
      <c r="L3209">
        <v>4</v>
      </c>
      <c r="M3209">
        <v>11</v>
      </c>
      <c r="N3209">
        <v>4</v>
      </c>
      <c r="O3209">
        <f t="shared" si="50"/>
        <v>2</v>
      </c>
    </row>
    <row r="3210" spans="1:15">
      <c r="A3210">
        <v>2177</v>
      </c>
      <c r="B3210" s="1">
        <v>45708</v>
      </c>
      <c r="C3210">
        <v>39</v>
      </c>
      <c r="D3210" t="s">
        <v>14</v>
      </c>
      <c r="E3210" t="s">
        <v>20</v>
      </c>
      <c r="F3210" t="s">
        <v>23</v>
      </c>
      <c r="H3210">
        <v>637.1</v>
      </c>
      <c r="I3210" s="13">
        <v>11</v>
      </c>
      <c r="J3210">
        <v>1</v>
      </c>
      <c r="K3210">
        <v>82.36</v>
      </c>
      <c r="L3210">
        <v>4</v>
      </c>
      <c r="M3210">
        <v>1</v>
      </c>
      <c r="N3210">
        <v>5</v>
      </c>
      <c r="O3210">
        <f t="shared" si="50"/>
        <v>2</v>
      </c>
    </row>
    <row r="3211" spans="1:15">
      <c r="A3211">
        <v>324</v>
      </c>
      <c r="B3211" s="1">
        <v>45708</v>
      </c>
      <c r="C3211">
        <v>27</v>
      </c>
      <c r="D3211" t="s">
        <v>14</v>
      </c>
      <c r="E3211" t="s">
        <v>24</v>
      </c>
      <c r="F3211" t="s">
        <v>21</v>
      </c>
      <c r="H3211">
        <v>1085.7</v>
      </c>
      <c r="I3211" s="13">
        <v>5</v>
      </c>
      <c r="J3211">
        <v>1</v>
      </c>
      <c r="K3211">
        <v>65.33</v>
      </c>
      <c r="L3211">
        <v>3</v>
      </c>
      <c r="M3211">
        <v>12</v>
      </c>
      <c r="N3211">
        <v>4</v>
      </c>
      <c r="O3211">
        <f t="shared" si="50"/>
        <v>2</v>
      </c>
    </row>
    <row r="3212" spans="1:15">
      <c r="A3212">
        <v>380</v>
      </c>
      <c r="B3212" s="1">
        <v>45708</v>
      </c>
      <c r="C3212">
        <v>24</v>
      </c>
      <c r="D3212" t="s">
        <v>17</v>
      </c>
      <c r="E3212" t="s">
        <v>20</v>
      </c>
      <c r="F3212" t="s">
        <v>21</v>
      </c>
      <c r="H3212">
        <v>830.8</v>
      </c>
      <c r="I3212" s="13">
        <v>5</v>
      </c>
      <c r="J3212">
        <v>1</v>
      </c>
      <c r="K3212">
        <v>58.18</v>
      </c>
      <c r="L3212">
        <v>3</v>
      </c>
      <c r="M3212">
        <v>12</v>
      </c>
      <c r="N3212">
        <v>4</v>
      </c>
      <c r="O3212">
        <f t="shared" si="50"/>
        <v>2</v>
      </c>
    </row>
    <row r="3213" spans="1:15">
      <c r="A3213">
        <v>488</v>
      </c>
      <c r="B3213" s="1">
        <v>45708</v>
      </c>
      <c r="C3213">
        <v>23</v>
      </c>
      <c r="D3213" t="s">
        <v>14</v>
      </c>
      <c r="E3213" t="s">
        <v>20</v>
      </c>
      <c r="F3213" t="s">
        <v>16</v>
      </c>
      <c r="H3213">
        <v>628</v>
      </c>
      <c r="I3213" s="13">
        <v>3</v>
      </c>
      <c r="J3213">
        <v>1</v>
      </c>
      <c r="K3213">
        <v>54.14</v>
      </c>
      <c r="L3213">
        <v>5</v>
      </c>
      <c r="M3213">
        <v>6</v>
      </c>
      <c r="N3213">
        <v>4</v>
      </c>
      <c r="O3213">
        <f t="shared" si="50"/>
        <v>2</v>
      </c>
    </row>
    <row r="3214" spans="1:15">
      <c r="A3214">
        <v>602</v>
      </c>
      <c r="B3214" s="1">
        <v>45708</v>
      </c>
      <c r="C3214">
        <v>22</v>
      </c>
      <c r="D3214" t="s">
        <v>17</v>
      </c>
      <c r="E3214" t="s">
        <v>22</v>
      </c>
      <c r="F3214" t="s">
        <v>16</v>
      </c>
      <c r="H3214">
        <v>177.1</v>
      </c>
      <c r="I3214" s="13">
        <v>6</v>
      </c>
      <c r="J3214">
        <v>1</v>
      </c>
      <c r="K3214">
        <v>48.62</v>
      </c>
      <c r="L3214">
        <v>2</v>
      </c>
      <c r="M3214">
        <v>7</v>
      </c>
      <c r="N3214">
        <v>5</v>
      </c>
      <c r="O3214">
        <f t="shared" si="50"/>
        <v>2</v>
      </c>
    </row>
    <row r="3215" spans="1:15">
      <c r="A3215">
        <v>3035</v>
      </c>
      <c r="B3215" s="1">
        <v>45708</v>
      </c>
      <c r="C3215">
        <v>38</v>
      </c>
      <c r="D3215" t="s">
        <v>27</v>
      </c>
      <c r="E3215" t="s">
        <v>22</v>
      </c>
      <c r="F3215" t="s">
        <v>18</v>
      </c>
      <c r="G3215" t="s">
        <v>25</v>
      </c>
      <c r="H3215">
        <v>300</v>
      </c>
      <c r="I3215" s="13">
        <v>5</v>
      </c>
      <c r="J3215">
        <v>1</v>
      </c>
      <c r="K3215">
        <v>42.85</v>
      </c>
      <c r="L3215">
        <v>2</v>
      </c>
      <c r="M3215">
        <v>10</v>
      </c>
      <c r="N3215">
        <v>4</v>
      </c>
      <c r="O3215">
        <f t="shared" si="50"/>
        <v>2</v>
      </c>
    </row>
    <row r="3216" spans="1:15">
      <c r="A3216">
        <v>4331</v>
      </c>
      <c r="B3216" s="1">
        <v>45708</v>
      </c>
      <c r="C3216">
        <v>45</v>
      </c>
      <c r="D3216" t="s">
        <v>17</v>
      </c>
      <c r="E3216" t="s">
        <v>15</v>
      </c>
      <c r="F3216" t="s">
        <v>16</v>
      </c>
      <c r="H3216">
        <v>569.20000000000005</v>
      </c>
      <c r="I3216" s="13">
        <v>8</v>
      </c>
      <c r="J3216">
        <v>1</v>
      </c>
      <c r="K3216">
        <v>40.299999999999997</v>
      </c>
      <c r="L3216">
        <v>3</v>
      </c>
      <c r="M3216">
        <v>9</v>
      </c>
      <c r="N3216">
        <v>3</v>
      </c>
      <c r="O3216">
        <f t="shared" si="50"/>
        <v>2</v>
      </c>
    </row>
    <row r="3217" spans="1:15">
      <c r="A3217">
        <v>2898</v>
      </c>
      <c r="B3217" s="1">
        <v>45708</v>
      </c>
      <c r="C3217">
        <v>33</v>
      </c>
      <c r="D3217" t="s">
        <v>17</v>
      </c>
      <c r="E3217" t="s">
        <v>20</v>
      </c>
      <c r="F3217" t="s">
        <v>21</v>
      </c>
      <c r="H3217">
        <v>635.5</v>
      </c>
      <c r="I3217" s="13">
        <v>12</v>
      </c>
      <c r="J3217">
        <v>1</v>
      </c>
      <c r="K3217">
        <v>38.479999999999997</v>
      </c>
      <c r="L3217">
        <v>5</v>
      </c>
      <c r="M3217">
        <v>2</v>
      </c>
      <c r="N3217">
        <v>5</v>
      </c>
      <c r="O3217">
        <f t="shared" si="50"/>
        <v>2</v>
      </c>
    </row>
    <row r="3218" spans="1:15">
      <c r="A3218">
        <v>2568</v>
      </c>
      <c r="B3218" s="1">
        <v>45708</v>
      </c>
      <c r="C3218">
        <v>46</v>
      </c>
      <c r="D3218" t="s">
        <v>17</v>
      </c>
      <c r="E3218" t="s">
        <v>20</v>
      </c>
      <c r="F3218" t="s">
        <v>16</v>
      </c>
      <c r="H3218">
        <v>151</v>
      </c>
      <c r="I3218" s="13">
        <v>5</v>
      </c>
      <c r="J3218">
        <v>1</v>
      </c>
      <c r="K3218">
        <v>38.1</v>
      </c>
      <c r="L3218">
        <v>3</v>
      </c>
      <c r="M3218">
        <v>3</v>
      </c>
      <c r="N3218">
        <v>4</v>
      </c>
      <c r="O3218">
        <f t="shared" si="50"/>
        <v>2</v>
      </c>
    </row>
    <row r="3219" spans="1:15">
      <c r="A3219">
        <v>150</v>
      </c>
      <c r="B3219" s="1">
        <v>45708</v>
      </c>
      <c r="C3219">
        <v>32</v>
      </c>
      <c r="D3219" t="s">
        <v>14</v>
      </c>
      <c r="E3219" t="s">
        <v>22</v>
      </c>
      <c r="F3219" t="s">
        <v>16</v>
      </c>
      <c r="H3219">
        <v>324.89999999999998</v>
      </c>
      <c r="I3219" s="13">
        <v>7</v>
      </c>
      <c r="J3219">
        <v>1</v>
      </c>
      <c r="K3219">
        <v>34.97</v>
      </c>
      <c r="L3219">
        <v>4</v>
      </c>
      <c r="M3219">
        <v>10</v>
      </c>
      <c r="N3219">
        <v>4</v>
      </c>
      <c r="O3219">
        <f t="shared" si="50"/>
        <v>2</v>
      </c>
    </row>
    <row r="3220" spans="1:15">
      <c r="A3220">
        <v>3676</v>
      </c>
      <c r="B3220" s="1">
        <v>45708</v>
      </c>
      <c r="C3220">
        <v>47</v>
      </c>
      <c r="D3220" t="s">
        <v>14</v>
      </c>
      <c r="E3220" t="s">
        <v>15</v>
      </c>
      <c r="F3220" t="s">
        <v>21</v>
      </c>
      <c r="H3220">
        <v>341.4</v>
      </c>
      <c r="I3220" s="13">
        <v>3</v>
      </c>
      <c r="J3220">
        <v>1</v>
      </c>
      <c r="K3220">
        <v>20.32</v>
      </c>
      <c r="L3220">
        <v>2</v>
      </c>
      <c r="M3220">
        <v>13</v>
      </c>
      <c r="N3220">
        <v>4</v>
      </c>
      <c r="O3220">
        <f t="shared" si="50"/>
        <v>2</v>
      </c>
    </row>
    <row r="3221" spans="1:15">
      <c r="A3221">
        <v>3709</v>
      </c>
      <c r="B3221" s="1">
        <v>45708</v>
      </c>
      <c r="C3221">
        <v>44</v>
      </c>
      <c r="D3221" t="s">
        <v>17</v>
      </c>
      <c r="E3221" t="s">
        <v>22</v>
      </c>
      <c r="F3221" t="s">
        <v>18</v>
      </c>
      <c r="G3221" t="s">
        <v>25</v>
      </c>
      <c r="H3221">
        <v>1060.0999999999999</v>
      </c>
      <c r="I3221" s="13">
        <v>6</v>
      </c>
      <c r="J3221">
        <v>0</v>
      </c>
      <c r="K3221">
        <v>0</v>
      </c>
      <c r="L3221">
        <v>0</v>
      </c>
      <c r="M3221">
        <v>0</v>
      </c>
      <c r="O3221">
        <f t="shared" si="50"/>
        <v>2</v>
      </c>
    </row>
    <row r="3222" spans="1:15">
      <c r="A3222">
        <v>237</v>
      </c>
      <c r="B3222" s="1">
        <v>45708</v>
      </c>
      <c r="C3222">
        <v>34</v>
      </c>
      <c r="D3222" t="s">
        <v>14</v>
      </c>
      <c r="E3222" t="s">
        <v>24</v>
      </c>
      <c r="F3222" t="s">
        <v>23</v>
      </c>
      <c r="H3222">
        <v>875.9</v>
      </c>
      <c r="I3222" s="13">
        <v>8</v>
      </c>
      <c r="J3222">
        <v>0</v>
      </c>
      <c r="K3222">
        <v>0</v>
      </c>
      <c r="L3222">
        <v>0</v>
      </c>
      <c r="M3222">
        <v>0</v>
      </c>
      <c r="O3222">
        <f t="shared" si="50"/>
        <v>2</v>
      </c>
    </row>
    <row r="3223" spans="1:15">
      <c r="A3223">
        <v>2869</v>
      </c>
      <c r="B3223" s="1">
        <v>45708</v>
      </c>
      <c r="C3223">
        <v>39</v>
      </c>
      <c r="D3223" t="s">
        <v>14</v>
      </c>
      <c r="E3223" t="s">
        <v>22</v>
      </c>
      <c r="F3223" t="s">
        <v>18</v>
      </c>
      <c r="G3223" t="s">
        <v>29</v>
      </c>
      <c r="H3223">
        <v>683.2</v>
      </c>
      <c r="I3223" s="13">
        <v>5</v>
      </c>
      <c r="J3223">
        <v>0</v>
      </c>
      <c r="K3223">
        <v>0</v>
      </c>
      <c r="L3223">
        <v>0</v>
      </c>
      <c r="M3223">
        <v>0</v>
      </c>
      <c r="O3223">
        <f t="shared" si="50"/>
        <v>2</v>
      </c>
    </row>
    <row r="3224" spans="1:15">
      <c r="A3224">
        <v>688</v>
      </c>
      <c r="B3224" s="1">
        <v>45708</v>
      </c>
      <c r="C3224">
        <v>27</v>
      </c>
      <c r="D3224" t="s">
        <v>17</v>
      </c>
      <c r="E3224" t="s">
        <v>22</v>
      </c>
      <c r="F3224" t="s">
        <v>23</v>
      </c>
      <c r="H3224">
        <v>470.3</v>
      </c>
      <c r="I3224" s="13">
        <v>4</v>
      </c>
      <c r="J3224">
        <v>0</v>
      </c>
      <c r="K3224">
        <v>0</v>
      </c>
      <c r="L3224">
        <v>0</v>
      </c>
      <c r="M3224">
        <v>0</v>
      </c>
      <c r="O3224">
        <f t="shared" si="50"/>
        <v>2</v>
      </c>
    </row>
    <row r="3225" spans="1:15">
      <c r="A3225">
        <v>3604</v>
      </c>
      <c r="B3225" s="1">
        <v>45708</v>
      </c>
      <c r="C3225">
        <v>39</v>
      </c>
      <c r="D3225" t="s">
        <v>14</v>
      </c>
      <c r="E3225" t="s">
        <v>22</v>
      </c>
      <c r="F3225" t="s">
        <v>18</v>
      </c>
      <c r="G3225" t="s">
        <v>25</v>
      </c>
      <c r="H3225">
        <v>373.4</v>
      </c>
      <c r="I3225" s="13">
        <v>5</v>
      </c>
      <c r="J3225">
        <v>0</v>
      </c>
      <c r="K3225">
        <v>0</v>
      </c>
      <c r="L3225">
        <v>0</v>
      </c>
      <c r="M3225">
        <v>0</v>
      </c>
      <c r="O3225">
        <f t="shared" si="50"/>
        <v>2</v>
      </c>
    </row>
    <row r="3226" spans="1:15">
      <c r="A3226">
        <v>2292</v>
      </c>
      <c r="B3226" s="1">
        <v>45708</v>
      </c>
      <c r="C3226">
        <v>18</v>
      </c>
      <c r="D3226" t="s">
        <v>14</v>
      </c>
      <c r="E3226" t="s">
        <v>15</v>
      </c>
      <c r="F3226" t="s">
        <v>16</v>
      </c>
      <c r="H3226">
        <v>368.7</v>
      </c>
      <c r="I3226" s="13">
        <v>11</v>
      </c>
      <c r="J3226">
        <v>0</v>
      </c>
      <c r="K3226">
        <v>0</v>
      </c>
      <c r="L3226">
        <v>0</v>
      </c>
      <c r="M3226">
        <v>0</v>
      </c>
      <c r="O3226">
        <f t="shared" si="50"/>
        <v>2</v>
      </c>
    </row>
    <row r="3227" spans="1:15">
      <c r="A3227">
        <v>2000</v>
      </c>
      <c r="B3227" s="1">
        <v>45708</v>
      </c>
      <c r="C3227">
        <v>41</v>
      </c>
      <c r="D3227" t="s">
        <v>14</v>
      </c>
      <c r="E3227" t="s">
        <v>22</v>
      </c>
      <c r="F3227" t="s">
        <v>16</v>
      </c>
      <c r="H3227">
        <v>319.10000000000002</v>
      </c>
      <c r="I3227" s="13">
        <v>6</v>
      </c>
      <c r="J3227">
        <v>0</v>
      </c>
      <c r="K3227">
        <v>0</v>
      </c>
      <c r="L3227">
        <v>0</v>
      </c>
      <c r="M3227">
        <v>0</v>
      </c>
      <c r="O3227">
        <f t="shared" si="50"/>
        <v>2</v>
      </c>
    </row>
    <row r="3228" spans="1:15">
      <c r="A3228">
        <v>4436</v>
      </c>
      <c r="B3228" s="1">
        <v>45708</v>
      </c>
      <c r="C3228">
        <v>41</v>
      </c>
      <c r="D3228" t="s">
        <v>14</v>
      </c>
      <c r="E3228" t="s">
        <v>24</v>
      </c>
      <c r="F3228" t="s">
        <v>18</v>
      </c>
      <c r="G3228" t="s">
        <v>31</v>
      </c>
      <c r="H3228">
        <v>239.1</v>
      </c>
      <c r="I3228" s="13">
        <v>6</v>
      </c>
      <c r="J3228">
        <v>0</v>
      </c>
      <c r="K3228">
        <v>0</v>
      </c>
      <c r="L3228">
        <v>0</v>
      </c>
      <c r="M3228">
        <v>0</v>
      </c>
      <c r="O3228">
        <f t="shared" si="50"/>
        <v>2</v>
      </c>
    </row>
    <row r="3229" spans="1:15">
      <c r="A3229">
        <v>65</v>
      </c>
      <c r="B3229" s="1">
        <v>45708</v>
      </c>
      <c r="C3229">
        <v>18</v>
      </c>
      <c r="D3229" t="s">
        <v>14</v>
      </c>
      <c r="E3229" t="s">
        <v>20</v>
      </c>
      <c r="F3229" t="s">
        <v>23</v>
      </c>
      <c r="H3229">
        <v>157.69999999999999</v>
      </c>
      <c r="I3229" s="13">
        <v>10</v>
      </c>
      <c r="J3229">
        <v>0</v>
      </c>
      <c r="K3229">
        <v>0</v>
      </c>
      <c r="L3229">
        <v>0</v>
      </c>
      <c r="M3229">
        <v>0</v>
      </c>
      <c r="O3229">
        <f t="shared" si="50"/>
        <v>2</v>
      </c>
    </row>
    <row r="3230" spans="1:15">
      <c r="A3230">
        <v>4544</v>
      </c>
      <c r="B3230" s="1">
        <v>45708</v>
      </c>
      <c r="C3230">
        <v>58</v>
      </c>
      <c r="D3230" t="s">
        <v>14</v>
      </c>
      <c r="E3230" t="s">
        <v>20</v>
      </c>
      <c r="F3230" t="s">
        <v>16</v>
      </c>
      <c r="H3230">
        <v>153.30000000000001</v>
      </c>
      <c r="I3230" s="13">
        <v>8</v>
      </c>
      <c r="J3230">
        <v>0</v>
      </c>
      <c r="K3230">
        <v>0</v>
      </c>
      <c r="L3230">
        <v>0</v>
      </c>
      <c r="M3230">
        <v>0</v>
      </c>
      <c r="O3230">
        <f t="shared" si="50"/>
        <v>2</v>
      </c>
    </row>
    <row r="3231" spans="1:15">
      <c r="A3231">
        <v>387</v>
      </c>
      <c r="B3231" s="1">
        <v>45708</v>
      </c>
      <c r="C3231">
        <v>33</v>
      </c>
      <c r="D3231" t="s">
        <v>14</v>
      </c>
      <c r="E3231" t="s">
        <v>22</v>
      </c>
      <c r="F3231" t="s">
        <v>18</v>
      </c>
      <c r="G3231" t="s">
        <v>26</v>
      </c>
      <c r="H3231">
        <v>68.5</v>
      </c>
      <c r="I3231" s="13">
        <v>6</v>
      </c>
      <c r="J3231">
        <v>0</v>
      </c>
      <c r="K3231">
        <v>0</v>
      </c>
      <c r="L3231">
        <v>0</v>
      </c>
      <c r="M3231">
        <v>0</v>
      </c>
      <c r="O3231">
        <f t="shared" si="50"/>
        <v>2</v>
      </c>
    </row>
    <row r="3232" spans="1:15">
      <c r="A3232">
        <v>2526</v>
      </c>
      <c r="B3232" s="1">
        <v>45708</v>
      </c>
      <c r="C3232">
        <v>31</v>
      </c>
      <c r="D3232" t="s">
        <v>14</v>
      </c>
      <c r="E3232" t="s">
        <v>22</v>
      </c>
      <c r="F3232" t="s">
        <v>23</v>
      </c>
      <c r="H3232">
        <v>41.6</v>
      </c>
      <c r="I3232" s="13">
        <v>3</v>
      </c>
      <c r="J3232">
        <v>0</v>
      </c>
      <c r="K3232">
        <v>0</v>
      </c>
      <c r="L3232">
        <v>0</v>
      </c>
      <c r="M3232">
        <v>0</v>
      </c>
      <c r="O3232">
        <f t="shared" si="50"/>
        <v>2</v>
      </c>
    </row>
    <row r="3233" spans="1:15">
      <c r="A3233">
        <v>3531</v>
      </c>
      <c r="B3233" s="1">
        <v>45708</v>
      </c>
      <c r="C3233">
        <v>25</v>
      </c>
      <c r="D3233" t="s">
        <v>17</v>
      </c>
      <c r="E3233" t="s">
        <v>20</v>
      </c>
      <c r="F3233" t="s">
        <v>18</v>
      </c>
      <c r="G3233" t="s">
        <v>26</v>
      </c>
      <c r="H3233">
        <v>29.2</v>
      </c>
      <c r="I3233" s="13">
        <v>6</v>
      </c>
      <c r="J3233">
        <v>0</v>
      </c>
      <c r="K3233">
        <v>0</v>
      </c>
      <c r="L3233">
        <v>0</v>
      </c>
      <c r="M3233">
        <v>0</v>
      </c>
      <c r="O3233">
        <f t="shared" si="50"/>
        <v>2</v>
      </c>
    </row>
    <row r="3234" spans="1:15">
      <c r="A3234">
        <v>4942</v>
      </c>
      <c r="B3234" s="1">
        <v>45736</v>
      </c>
      <c r="C3234">
        <v>46</v>
      </c>
      <c r="D3234" t="s">
        <v>17</v>
      </c>
      <c r="E3234" t="s">
        <v>24</v>
      </c>
      <c r="F3234" t="s">
        <v>18</v>
      </c>
      <c r="G3234" t="s">
        <v>26</v>
      </c>
      <c r="H3234">
        <v>207.5</v>
      </c>
      <c r="I3234" s="13">
        <v>6</v>
      </c>
      <c r="J3234">
        <v>1</v>
      </c>
      <c r="K3234">
        <v>188.62</v>
      </c>
      <c r="L3234">
        <v>4</v>
      </c>
      <c r="M3234">
        <v>5</v>
      </c>
      <c r="N3234">
        <v>4</v>
      </c>
      <c r="O3234">
        <f t="shared" si="50"/>
        <v>3</v>
      </c>
    </row>
    <row r="3235" spans="1:15">
      <c r="A3235">
        <v>3104</v>
      </c>
      <c r="B3235" s="1">
        <v>45736</v>
      </c>
      <c r="C3235">
        <v>31</v>
      </c>
      <c r="D3235" t="s">
        <v>17</v>
      </c>
      <c r="E3235" t="s">
        <v>15</v>
      </c>
      <c r="F3235" t="s">
        <v>16</v>
      </c>
      <c r="H3235">
        <v>246.5</v>
      </c>
      <c r="I3235" s="13">
        <v>6</v>
      </c>
      <c r="J3235">
        <v>1</v>
      </c>
      <c r="K3235">
        <v>78.67</v>
      </c>
      <c r="L3235">
        <v>2</v>
      </c>
      <c r="M3235">
        <v>12</v>
      </c>
      <c r="N3235">
        <v>4</v>
      </c>
      <c r="O3235">
        <f t="shared" si="50"/>
        <v>3</v>
      </c>
    </row>
    <row r="3236" spans="1:15">
      <c r="A3236">
        <v>4719</v>
      </c>
      <c r="B3236" s="1">
        <v>45736</v>
      </c>
      <c r="C3236">
        <v>73</v>
      </c>
      <c r="D3236" t="s">
        <v>14</v>
      </c>
      <c r="E3236" t="s">
        <v>22</v>
      </c>
      <c r="F3236" t="s">
        <v>16</v>
      </c>
      <c r="H3236">
        <v>598.20000000000005</v>
      </c>
      <c r="I3236" s="13">
        <v>5</v>
      </c>
      <c r="J3236">
        <v>1</v>
      </c>
      <c r="K3236">
        <v>58.33</v>
      </c>
      <c r="L3236">
        <v>4</v>
      </c>
      <c r="M3236">
        <v>4</v>
      </c>
      <c r="N3236">
        <v>3</v>
      </c>
      <c r="O3236">
        <f t="shared" si="50"/>
        <v>3</v>
      </c>
    </row>
    <row r="3237" spans="1:15">
      <c r="A3237">
        <v>3768</v>
      </c>
      <c r="B3237" s="1">
        <v>45736</v>
      </c>
      <c r="C3237">
        <v>41</v>
      </c>
      <c r="D3237" t="s">
        <v>14</v>
      </c>
      <c r="E3237" t="s">
        <v>15</v>
      </c>
      <c r="F3237" t="s">
        <v>18</v>
      </c>
      <c r="G3237" t="s">
        <v>28</v>
      </c>
      <c r="H3237">
        <v>532.20000000000005</v>
      </c>
      <c r="I3237" s="13">
        <v>7</v>
      </c>
      <c r="J3237">
        <v>1</v>
      </c>
      <c r="K3237">
        <v>56.35</v>
      </c>
      <c r="L3237">
        <v>5</v>
      </c>
      <c r="M3237">
        <v>1</v>
      </c>
      <c r="N3237">
        <v>4</v>
      </c>
      <c r="O3237">
        <f t="shared" si="50"/>
        <v>3</v>
      </c>
    </row>
    <row r="3238" spans="1:15">
      <c r="A3238">
        <v>3301</v>
      </c>
      <c r="B3238" s="1">
        <v>45736</v>
      </c>
      <c r="C3238">
        <v>28</v>
      </c>
      <c r="D3238" t="s">
        <v>14</v>
      </c>
      <c r="E3238" t="s">
        <v>15</v>
      </c>
      <c r="F3238" t="s">
        <v>16</v>
      </c>
      <c r="H3238">
        <v>341.4</v>
      </c>
      <c r="I3238" s="13">
        <v>9</v>
      </c>
      <c r="J3238">
        <v>1</v>
      </c>
      <c r="K3238">
        <v>55.66</v>
      </c>
      <c r="L3238">
        <v>5</v>
      </c>
      <c r="M3238">
        <v>5</v>
      </c>
      <c r="N3238">
        <v>5</v>
      </c>
      <c r="O3238">
        <f t="shared" si="50"/>
        <v>3</v>
      </c>
    </row>
    <row r="3239" spans="1:15">
      <c r="A3239">
        <v>3100</v>
      </c>
      <c r="B3239" s="1">
        <v>45736</v>
      </c>
      <c r="C3239">
        <v>32</v>
      </c>
      <c r="D3239" t="s">
        <v>17</v>
      </c>
      <c r="E3239" t="s">
        <v>22</v>
      </c>
      <c r="F3239" t="s">
        <v>23</v>
      </c>
      <c r="H3239">
        <v>443.2</v>
      </c>
      <c r="I3239" s="13">
        <v>5</v>
      </c>
      <c r="J3239">
        <v>1</v>
      </c>
      <c r="K3239">
        <v>49.03</v>
      </c>
      <c r="L3239">
        <v>4</v>
      </c>
      <c r="M3239">
        <v>7</v>
      </c>
      <c r="N3239">
        <v>4</v>
      </c>
      <c r="O3239">
        <f t="shared" si="50"/>
        <v>3</v>
      </c>
    </row>
    <row r="3240" spans="1:15">
      <c r="A3240">
        <v>1989</v>
      </c>
      <c r="B3240" s="1">
        <v>45736</v>
      </c>
      <c r="C3240">
        <v>27</v>
      </c>
      <c r="D3240" t="s">
        <v>14</v>
      </c>
      <c r="E3240" t="s">
        <v>15</v>
      </c>
      <c r="F3240" t="s">
        <v>16</v>
      </c>
      <c r="H3240">
        <v>442.3</v>
      </c>
      <c r="I3240" s="13">
        <v>6</v>
      </c>
      <c r="J3240">
        <v>1</v>
      </c>
      <c r="K3240">
        <v>47.99</v>
      </c>
      <c r="L3240">
        <v>3</v>
      </c>
      <c r="M3240">
        <v>11</v>
      </c>
      <c r="N3240">
        <v>5</v>
      </c>
      <c r="O3240">
        <f t="shared" si="50"/>
        <v>3</v>
      </c>
    </row>
    <row r="3241" spans="1:15">
      <c r="A3241">
        <v>568</v>
      </c>
      <c r="B3241" s="1">
        <v>45736</v>
      </c>
      <c r="C3241">
        <v>25</v>
      </c>
      <c r="D3241" t="s">
        <v>14</v>
      </c>
      <c r="E3241" t="s">
        <v>20</v>
      </c>
      <c r="F3241" t="s">
        <v>16</v>
      </c>
      <c r="H3241">
        <v>151.9</v>
      </c>
      <c r="I3241" s="13">
        <v>8</v>
      </c>
      <c r="J3241">
        <v>1</v>
      </c>
      <c r="K3241">
        <v>47.28</v>
      </c>
      <c r="L3241">
        <v>5</v>
      </c>
      <c r="M3241">
        <v>12</v>
      </c>
      <c r="N3241">
        <v>4</v>
      </c>
      <c r="O3241">
        <f t="shared" si="50"/>
        <v>3</v>
      </c>
    </row>
    <row r="3242" spans="1:15">
      <c r="A3242">
        <v>2865</v>
      </c>
      <c r="B3242" s="1">
        <v>45736</v>
      </c>
      <c r="C3242">
        <v>28</v>
      </c>
      <c r="D3242" t="s">
        <v>14</v>
      </c>
      <c r="E3242" t="s">
        <v>24</v>
      </c>
      <c r="F3242" t="s">
        <v>16</v>
      </c>
      <c r="H3242">
        <v>108.9</v>
      </c>
      <c r="I3242" s="13">
        <v>1</v>
      </c>
      <c r="J3242">
        <v>1</v>
      </c>
      <c r="K3242">
        <v>41.02</v>
      </c>
      <c r="L3242">
        <v>4</v>
      </c>
      <c r="M3242">
        <v>2</v>
      </c>
      <c r="N3242">
        <v>4</v>
      </c>
      <c r="O3242">
        <f t="shared" si="50"/>
        <v>3</v>
      </c>
    </row>
    <row r="3243" spans="1:15">
      <c r="A3243">
        <v>2623</v>
      </c>
      <c r="B3243" s="1">
        <v>45736</v>
      </c>
      <c r="C3243">
        <v>35</v>
      </c>
      <c r="D3243" t="s">
        <v>14</v>
      </c>
      <c r="E3243" t="s">
        <v>15</v>
      </c>
      <c r="F3243" t="s">
        <v>16</v>
      </c>
      <c r="H3243">
        <v>419.7</v>
      </c>
      <c r="I3243" s="13">
        <v>5</v>
      </c>
      <c r="J3243">
        <v>1</v>
      </c>
      <c r="K3243">
        <v>30.81</v>
      </c>
      <c r="L3243">
        <v>4</v>
      </c>
      <c r="M3243">
        <v>12</v>
      </c>
      <c r="N3243">
        <v>4</v>
      </c>
      <c r="O3243">
        <f t="shared" si="50"/>
        <v>3</v>
      </c>
    </row>
    <row r="3244" spans="1:15">
      <c r="A3244">
        <v>2260</v>
      </c>
      <c r="B3244" s="1">
        <v>45736</v>
      </c>
      <c r="C3244">
        <v>26</v>
      </c>
      <c r="D3244" t="s">
        <v>14</v>
      </c>
      <c r="E3244" t="s">
        <v>22</v>
      </c>
      <c r="F3244" t="s">
        <v>21</v>
      </c>
      <c r="H3244">
        <v>214.7</v>
      </c>
      <c r="I3244" s="13">
        <v>8</v>
      </c>
      <c r="J3244">
        <v>1</v>
      </c>
      <c r="K3244">
        <v>24.81</v>
      </c>
      <c r="L3244">
        <v>2</v>
      </c>
      <c r="M3244">
        <v>14</v>
      </c>
      <c r="N3244">
        <v>3</v>
      </c>
      <c r="O3244">
        <f t="shared" si="50"/>
        <v>3</v>
      </c>
    </row>
    <row r="3245" spans="1:15">
      <c r="A3245">
        <v>2981</v>
      </c>
      <c r="B3245" s="1">
        <v>45736</v>
      </c>
      <c r="C3245">
        <v>38</v>
      </c>
      <c r="D3245" t="s">
        <v>14</v>
      </c>
      <c r="E3245" t="s">
        <v>24</v>
      </c>
      <c r="F3245" t="s">
        <v>23</v>
      </c>
      <c r="H3245">
        <v>240.3</v>
      </c>
      <c r="I3245" s="13">
        <v>5</v>
      </c>
      <c r="J3245">
        <v>1</v>
      </c>
      <c r="K3245">
        <v>16.87</v>
      </c>
      <c r="L3245">
        <v>4</v>
      </c>
      <c r="M3245">
        <v>8</v>
      </c>
      <c r="N3245">
        <v>4</v>
      </c>
      <c r="O3245">
        <f t="shared" si="50"/>
        <v>3</v>
      </c>
    </row>
    <row r="3246" spans="1:15">
      <c r="A3246">
        <v>3106</v>
      </c>
      <c r="B3246" s="1">
        <v>45736</v>
      </c>
      <c r="C3246">
        <v>34</v>
      </c>
      <c r="D3246" t="s">
        <v>14</v>
      </c>
      <c r="E3246" t="s">
        <v>15</v>
      </c>
      <c r="F3246" t="s">
        <v>23</v>
      </c>
      <c r="H3246">
        <v>481.1</v>
      </c>
      <c r="I3246" s="13">
        <v>9</v>
      </c>
      <c r="J3246">
        <v>0</v>
      </c>
      <c r="K3246">
        <v>0</v>
      </c>
      <c r="L3246">
        <v>0</v>
      </c>
      <c r="M3246">
        <v>0</v>
      </c>
      <c r="O3246">
        <f t="shared" si="50"/>
        <v>3</v>
      </c>
    </row>
    <row r="3247" spans="1:15">
      <c r="A3247">
        <v>2795</v>
      </c>
      <c r="B3247" s="1">
        <v>45736</v>
      </c>
      <c r="C3247">
        <v>41</v>
      </c>
      <c r="D3247" t="s">
        <v>14</v>
      </c>
      <c r="E3247" t="s">
        <v>15</v>
      </c>
      <c r="F3247" t="s">
        <v>16</v>
      </c>
      <c r="H3247">
        <v>416.1</v>
      </c>
      <c r="I3247" s="13">
        <v>6</v>
      </c>
      <c r="J3247">
        <v>0</v>
      </c>
      <c r="K3247">
        <v>0</v>
      </c>
      <c r="L3247">
        <v>0</v>
      </c>
      <c r="M3247">
        <v>0</v>
      </c>
      <c r="O3247">
        <f t="shared" si="50"/>
        <v>3</v>
      </c>
    </row>
    <row r="3248" spans="1:15">
      <c r="A3248">
        <v>3666</v>
      </c>
      <c r="B3248" s="1">
        <v>45736</v>
      </c>
      <c r="C3248">
        <v>30</v>
      </c>
      <c r="D3248" t="s">
        <v>17</v>
      </c>
      <c r="E3248" t="s">
        <v>22</v>
      </c>
      <c r="F3248" t="s">
        <v>16</v>
      </c>
      <c r="H3248">
        <v>363.1</v>
      </c>
      <c r="I3248" s="13">
        <v>7</v>
      </c>
      <c r="J3248">
        <v>0</v>
      </c>
      <c r="K3248">
        <v>0</v>
      </c>
      <c r="L3248">
        <v>0</v>
      </c>
      <c r="M3248">
        <v>0</v>
      </c>
      <c r="O3248">
        <f t="shared" si="50"/>
        <v>3</v>
      </c>
    </row>
    <row r="3249" spans="1:15">
      <c r="A3249">
        <v>1480</v>
      </c>
      <c r="B3249" s="1">
        <v>45736</v>
      </c>
      <c r="C3249">
        <v>19</v>
      </c>
      <c r="D3249" t="s">
        <v>14</v>
      </c>
      <c r="E3249" t="s">
        <v>24</v>
      </c>
      <c r="F3249" t="s">
        <v>23</v>
      </c>
      <c r="H3249">
        <v>320.39999999999998</v>
      </c>
      <c r="I3249" s="13">
        <v>5</v>
      </c>
      <c r="J3249">
        <v>0</v>
      </c>
      <c r="K3249">
        <v>0</v>
      </c>
      <c r="L3249">
        <v>0</v>
      </c>
      <c r="M3249">
        <v>0</v>
      </c>
      <c r="O3249">
        <f t="shared" si="50"/>
        <v>3</v>
      </c>
    </row>
    <row r="3250" spans="1:15">
      <c r="A3250">
        <v>1950</v>
      </c>
      <c r="B3250" s="1">
        <v>45736</v>
      </c>
      <c r="C3250">
        <v>41</v>
      </c>
      <c r="D3250" t="s">
        <v>14</v>
      </c>
      <c r="E3250" t="s">
        <v>15</v>
      </c>
      <c r="F3250" t="s">
        <v>16</v>
      </c>
      <c r="H3250">
        <v>238.5</v>
      </c>
      <c r="I3250" s="13">
        <v>8</v>
      </c>
      <c r="J3250">
        <v>0</v>
      </c>
      <c r="K3250">
        <v>0</v>
      </c>
      <c r="L3250">
        <v>0</v>
      </c>
      <c r="M3250">
        <v>0</v>
      </c>
      <c r="O3250">
        <f t="shared" si="50"/>
        <v>3</v>
      </c>
    </row>
    <row r="3251" spans="1:15">
      <c r="A3251">
        <v>988</v>
      </c>
      <c r="B3251" s="1">
        <v>45736</v>
      </c>
      <c r="C3251">
        <v>24</v>
      </c>
      <c r="D3251" t="s">
        <v>17</v>
      </c>
      <c r="E3251" t="s">
        <v>15</v>
      </c>
      <c r="F3251" t="s">
        <v>18</v>
      </c>
      <c r="G3251" t="s">
        <v>29</v>
      </c>
      <c r="H3251">
        <v>198.6</v>
      </c>
      <c r="I3251" s="13">
        <v>6</v>
      </c>
      <c r="J3251">
        <v>0</v>
      </c>
      <c r="K3251">
        <v>0</v>
      </c>
      <c r="L3251">
        <v>0</v>
      </c>
      <c r="M3251">
        <v>0</v>
      </c>
      <c r="O3251">
        <f t="shared" si="50"/>
        <v>3</v>
      </c>
    </row>
    <row r="3252" spans="1:15">
      <c r="A3252">
        <v>1778</v>
      </c>
      <c r="B3252" s="1">
        <v>45736</v>
      </c>
      <c r="C3252">
        <v>20</v>
      </c>
      <c r="D3252" t="s">
        <v>14</v>
      </c>
      <c r="E3252" t="s">
        <v>20</v>
      </c>
      <c r="F3252" t="s">
        <v>18</v>
      </c>
      <c r="G3252" t="s">
        <v>29</v>
      </c>
      <c r="H3252">
        <v>169.5</v>
      </c>
      <c r="I3252" s="13">
        <v>9</v>
      </c>
      <c r="J3252">
        <v>0</v>
      </c>
      <c r="K3252">
        <v>0</v>
      </c>
      <c r="L3252">
        <v>0</v>
      </c>
      <c r="M3252">
        <v>0</v>
      </c>
      <c r="O3252">
        <f t="shared" si="50"/>
        <v>3</v>
      </c>
    </row>
    <row r="3253" spans="1:15">
      <c r="A3253">
        <v>1353</v>
      </c>
      <c r="B3253" s="1">
        <v>45736</v>
      </c>
      <c r="C3253">
        <v>32</v>
      </c>
      <c r="D3253" t="s">
        <v>14</v>
      </c>
      <c r="E3253" t="s">
        <v>22</v>
      </c>
      <c r="F3253" t="s">
        <v>16</v>
      </c>
      <c r="H3253">
        <v>150.80000000000001</v>
      </c>
      <c r="I3253" s="13">
        <v>6</v>
      </c>
      <c r="J3253">
        <v>0</v>
      </c>
      <c r="K3253">
        <v>0</v>
      </c>
      <c r="L3253">
        <v>0</v>
      </c>
      <c r="M3253">
        <v>0</v>
      </c>
      <c r="O3253">
        <f t="shared" si="50"/>
        <v>3</v>
      </c>
    </row>
    <row r="3254" spans="1:15">
      <c r="A3254">
        <v>344</v>
      </c>
      <c r="B3254" s="1">
        <v>45736</v>
      </c>
      <c r="C3254">
        <v>26</v>
      </c>
      <c r="D3254" t="s">
        <v>14</v>
      </c>
      <c r="E3254" t="s">
        <v>20</v>
      </c>
      <c r="F3254" t="s">
        <v>23</v>
      </c>
      <c r="H3254">
        <v>106</v>
      </c>
      <c r="I3254" s="13">
        <v>5</v>
      </c>
      <c r="J3254">
        <v>0</v>
      </c>
      <c r="K3254">
        <v>0</v>
      </c>
      <c r="L3254">
        <v>0</v>
      </c>
      <c r="M3254">
        <v>0</v>
      </c>
      <c r="O3254">
        <f t="shared" si="50"/>
        <v>3</v>
      </c>
    </row>
    <row r="3255" spans="1:15">
      <c r="A3255">
        <v>916</v>
      </c>
      <c r="B3255" s="1">
        <v>45736</v>
      </c>
      <c r="C3255">
        <v>30</v>
      </c>
      <c r="D3255" t="s">
        <v>17</v>
      </c>
      <c r="E3255" t="s">
        <v>15</v>
      </c>
      <c r="F3255" t="s">
        <v>21</v>
      </c>
      <c r="H3255">
        <v>49.8</v>
      </c>
      <c r="I3255" s="13">
        <v>6</v>
      </c>
      <c r="J3255">
        <v>0</v>
      </c>
      <c r="K3255">
        <v>0</v>
      </c>
      <c r="L3255">
        <v>0</v>
      </c>
      <c r="M3255">
        <v>0</v>
      </c>
      <c r="O3255">
        <f t="shared" si="50"/>
        <v>3</v>
      </c>
    </row>
    <row r="3256" spans="1:15">
      <c r="A3256">
        <v>1557</v>
      </c>
      <c r="B3256" s="1">
        <v>45767</v>
      </c>
      <c r="C3256">
        <v>18</v>
      </c>
      <c r="D3256" t="s">
        <v>17</v>
      </c>
      <c r="E3256" t="s">
        <v>15</v>
      </c>
      <c r="F3256" t="s">
        <v>18</v>
      </c>
      <c r="G3256" t="s">
        <v>29</v>
      </c>
      <c r="H3256">
        <v>235.2</v>
      </c>
      <c r="I3256" s="13">
        <v>8</v>
      </c>
      <c r="J3256">
        <v>1</v>
      </c>
      <c r="K3256">
        <v>130</v>
      </c>
      <c r="L3256">
        <v>4</v>
      </c>
      <c r="M3256">
        <v>2</v>
      </c>
      <c r="N3256">
        <v>4</v>
      </c>
      <c r="O3256">
        <f t="shared" si="50"/>
        <v>4</v>
      </c>
    </row>
    <row r="3257" spans="1:15">
      <c r="A3257">
        <v>1509</v>
      </c>
      <c r="B3257" s="1">
        <v>45767</v>
      </c>
      <c r="C3257">
        <v>23</v>
      </c>
      <c r="D3257" t="s">
        <v>14</v>
      </c>
      <c r="E3257" t="s">
        <v>20</v>
      </c>
      <c r="F3257" t="s">
        <v>23</v>
      </c>
      <c r="H3257">
        <v>861.1</v>
      </c>
      <c r="I3257" s="13">
        <v>9</v>
      </c>
      <c r="J3257">
        <v>1</v>
      </c>
      <c r="K3257">
        <v>434</v>
      </c>
      <c r="L3257">
        <v>2</v>
      </c>
      <c r="M3257">
        <v>4</v>
      </c>
      <c r="N3257">
        <v>4</v>
      </c>
      <c r="O3257">
        <f t="shared" si="50"/>
        <v>4</v>
      </c>
    </row>
    <row r="3258" spans="1:15">
      <c r="A3258">
        <v>3675</v>
      </c>
      <c r="B3258" s="1">
        <v>45767</v>
      </c>
      <c r="C3258">
        <v>36</v>
      </c>
      <c r="D3258" t="s">
        <v>14</v>
      </c>
      <c r="E3258" t="s">
        <v>20</v>
      </c>
      <c r="F3258" t="s">
        <v>18</v>
      </c>
      <c r="G3258" t="s">
        <v>30</v>
      </c>
      <c r="H3258">
        <v>1123.7</v>
      </c>
      <c r="I3258" s="13">
        <v>4</v>
      </c>
      <c r="J3258">
        <v>1</v>
      </c>
      <c r="K3258">
        <v>528</v>
      </c>
      <c r="L3258">
        <v>1</v>
      </c>
      <c r="M3258">
        <v>12</v>
      </c>
      <c r="N3258">
        <v>4</v>
      </c>
      <c r="O3258">
        <f t="shared" si="50"/>
        <v>4</v>
      </c>
    </row>
    <row r="3259" spans="1:15">
      <c r="A3259">
        <v>542</v>
      </c>
      <c r="B3259" s="1">
        <v>45767</v>
      </c>
      <c r="C3259">
        <v>28</v>
      </c>
      <c r="D3259" t="s">
        <v>17</v>
      </c>
      <c r="E3259" t="s">
        <v>15</v>
      </c>
      <c r="F3259" t="s">
        <v>21</v>
      </c>
      <c r="H3259">
        <v>653.1</v>
      </c>
      <c r="I3259" s="13">
        <v>3</v>
      </c>
      <c r="J3259">
        <v>1</v>
      </c>
      <c r="K3259">
        <v>457</v>
      </c>
      <c r="L3259">
        <v>1</v>
      </c>
      <c r="M3259">
        <v>3</v>
      </c>
      <c r="N3259">
        <v>4</v>
      </c>
      <c r="O3259">
        <f t="shared" si="50"/>
        <v>4</v>
      </c>
    </row>
    <row r="3260" spans="1:15">
      <c r="A3260">
        <v>2291</v>
      </c>
      <c r="B3260" s="1">
        <v>45767</v>
      </c>
      <c r="C3260">
        <v>34</v>
      </c>
      <c r="D3260" t="s">
        <v>14</v>
      </c>
      <c r="E3260" t="s">
        <v>22</v>
      </c>
      <c r="F3260" t="s">
        <v>18</v>
      </c>
      <c r="G3260" t="s">
        <v>31</v>
      </c>
      <c r="H3260">
        <v>361.6</v>
      </c>
      <c r="I3260" s="13">
        <v>4</v>
      </c>
      <c r="J3260">
        <v>1</v>
      </c>
      <c r="K3260">
        <v>534</v>
      </c>
      <c r="L3260">
        <v>3</v>
      </c>
      <c r="M3260">
        <v>13</v>
      </c>
      <c r="N3260">
        <v>5</v>
      </c>
      <c r="O3260">
        <f t="shared" si="50"/>
        <v>4</v>
      </c>
    </row>
    <row r="3261" spans="1:15">
      <c r="A3261">
        <v>2665</v>
      </c>
      <c r="B3261" s="1">
        <v>45767</v>
      </c>
      <c r="C3261">
        <v>29</v>
      </c>
      <c r="D3261" t="s">
        <v>14</v>
      </c>
      <c r="E3261" t="s">
        <v>24</v>
      </c>
      <c r="F3261" t="s">
        <v>16</v>
      </c>
      <c r="H3261">
        <v>652.5</v>
      </c>
      <c r="I3261" s="13">
        <v>4</v>
      </c>
      <c r="J3261">
        <v>1</v>
      </c>
      <c r="K3261">
        <v>163</v>
      </c>
      <c r="L3261">
        <v>2</v>
      </c>
      <c r="M3261">
        <v>7</v>
      </c>
      <c r="N3261">
        <v>5</v>
      </c>
      <c r="O3261">
        <f t="shared" si="50"/>
        <v>4</v>
      </c>
    </row>
    <row r="3262" spans="1:15">
      <c r="A3262">
        <v>3126</v>
      </c>
      <c r="B3262" s="1">
        <v>45767</v>
      </c>
      <c r="C3262">
        <v>33</v>
      </c>
      <c r="D3262" t="s">
        <v>17</v>
      </c>
      <c r="E3262" t="s">
        <v>22</v>
      </c>
      <c r="F3262" t="s">
        <v>16</v>
      </c>
      <c r="H3262">
        <v>243.2</v>
      </c>
      <c r="I3262" s="13">
        <v>3</v>
      </c>
      <c r="J3262">
        <v>1</v>
      </c>
      <c r="K3262">
        <v>108.23</v>
      </c>
      <c r="L3262">
        <v>1</v>
      </c>
      <c r="M3262">
        <v>14</v>
      </c>
      <c r="N3262">
        <v>5</v>
      </c>
      <c r="O3262">
        <f t="shared" si="50"/>
        <v>4</v>
      </c>
    </row>
    <row r="3263" spans="1:15">
      <c r="A3263">
        <v>1689</v>
      </c>
      <c r="B3263" s="1">
        <v>45767</v>
      </c>
      <c r="C3263">
        <v>21</v>
      </c>
      <c r="D3263" t="s">
        <v>17</v>
      </c>
      <c r="E3263" t="s">
        <v>22</v>
      </c>
      <c r="F3263" t="s">
        <v>21</v>
      </c>
      <c r="H3263">
        <v>543.4</v>
      </c>
      <c r="I3263" s="13">
        <v>5</v>
      </c>
      <c r="J3263">
        <v>1</v>
      </c>
      <c r="K3263">
        <v>57.71</v>
      </c>
      <c r="L3263">
        <v>5</v>
      </c>
      <c r="M3263">
        <v>12</v>
      </c>
      <c r="N3263">
        <v>4</v>
      </c>
      <c r="O3263">
        <f t="shared" si="50"/>
        <v>4</v>
      </c>
    </row>
    <row r="3264" spans="1:15">
      <c r="A3264">
        <v>4893</v>
      </c>
      <c r="B3264" s="1">
        <v>45767</v>
      </c>
      <c r="C3264">
        <v>57</v>
      </c>
      <c r="D3264" t="s">
        <v>14</v>
      </c>
      <c r="E3264" t="s">
        <v>22</v>
      </c>
      <c r="F3264" t="s">
        <v>23</v>
      </c>
      <c r="H3264">
        <v>281.89999999999998</v>
      </c>
      <c r="I3264" s="13">
        <v>4</v>
      </c>
      <c r="J3264">
        <v>1</v>
      </c>
      <c r="K3264">
        <v>35.78</v>
      </c>
      <c r="L3264">
        <v>7</v>
      </c>
      <c r="M3264">
        <v>10</v>
      </c>
      <c r="N3264">
        <v>4</v>
      </c>
      <c r="O3264">
        <f t="shared" si="50"/>
        <v>4</v>
      </c>
    </row>
    <row r="3265" spans="1:15">
      <c r="A3265">
        <v>205</v>
      </c>
      <c r="B3265" s="1">
        <v>45767</v>
      </c>
      <c r="C3265">
        <v>27</v>
      </c>
      <c r="D3265" t="s">
        <v>14</v>
      </c>
      <c r="E3265" t="s">
        <v>15</v>
      </c>
      <c r="F3265" t="s">
        <v>18</v>
      </c>
      <c r="G3265" t="s">
        <v>31</v>
      </c>
      <c r="H3265">
        <v>276.89999999999998</v>
      </c>
      <c r="I3265" s="13">
        <v>5</v>
      </c>
      <c r="J3265">
        <v>1</v>
      </c>
      <c r="K3265">
        <v>14.46</v>
      </c>
      <c r="L3265">
        <v>4</v>
      </c>
      <c r="M3265">
        <v>14</v>
      </c>
      <c r="N3265">
        <v>4</v>
      </c>
      <c r="O3265">
        <f t="shared" si="50"/>
        <v>4</v>
      </c>
    </row>
    <row r="3266" spans="1:15">
      <c r="A3266">
        <v>2035</v>
      </c>
      <c r="B3266" s="1">
        <v>45767</v>
      </c>
      <c r="C3266">
        <v>48</v>
      </c>
      <c r="D3266" t="s">
        <v>14</v>
      </c>
      <c r="E3266" t="s">
        <v>20</v>
      </c>
      <c r="F3266" t="s">
        <v>16</v>
      </c>
      <c r="H3266">
        <v>765.1</v>
      </c>
      <c r="I3266" s="13">
        <v>7</v>
      </c>
      <c r="J3266">
        <v>0</v>
      </c>
      <c r="K3266">
        <v>0</v>
      </c>
      <c r="L3266">
        <v>0</v>
      </c>
      <c r="M3266">
        <v>0</v>
      </c>
      <c r="O3266">
        <f t="shared" si="50"/>
        <v>4</v>
      </c>
    </row>
    <row r="3267" spans="1:15">
      <c r="A3267">
        <v>3072</v>
      </c>
      <c r="B3267" s="1">
        <v>45767</v>
      </c>
      <c r="C3267">
        <v>41</v>
      </c>
      <c r="D3267" t="s">
        <v>17</v>
      </c>
      <c r="E3267" t="s">
        <v>22</v>
      </c>
      <c r="F3267" t="s">
        <v>16</v>
      </c>
      <c r="H3267">
        <v>677.2</v>
      </c>
      <c r="I3267" s="13">
        <v>5</v>
      </c>
      <c r="J3267">
        <v>0</v>
      </c>
      <c r="K3267">
        <v>0</v>
      </c>
      <c r="L3267">
        <v>0</v>
      </c>
      <c r="M3267">
        <v>0</v>
      </c>
      <c r="O3267">
        <f t="shared" ref="O3267:O3330" si="51">MONTH(B3267)</f>
        <v>4</v>
      </c>
    </row>
    <row r="3268" spans="1:15">
      <c r="A3268">
        <v>4496</v>
      </c>
      <c r="B3268" s="1">
        <v>45767</v>
      </c>
      <c r="C3268">
        <v>52</v>
      </c>
      <c r="D3268" t="s">
        <v>17</v>
      </c>
      <c r="E3268" t="s">
        <v>15</v>
      </c>
      <c r="F3268" t="s">
        <v>16</v>
      </c>
      <c r="H3268">
        <v>569.79999999999995</v>
      </c>
      <c r="I3268" s="13">
        <v>6</v>
      </c>
      <c r="J3268">
        <v>0</v>
      </c>
      <c r="K3268">
        <v>0</v>
      </c>
      <c r="L3268">
        <v>0</v>
      </c>
      <c r="M3268">
        <v>0</v>
      </c>
      <c r="O3268">
        <f t="shared" si="51"/>
        <v>4</v>
      </c>
    </row>
    <row r="3269" spans="1:15">
      <c r="A3269">
        <v>696</v>
      </c>
      <c r="B3269" s="1">
        <v>45767</v>
      </c>
      <c r="C3269">
        <v>19</v>
      </c>
      <c r="D3269" t="s">
        <v>17</v>
      </c>
      <c r="E3269" t="s">
        <v>20</v>
      </c>
      <c r="F3269" t="s">
        <v>16</v>
      </c>
      <c r="H3269">
        <v>543.70000000000005</v>
      </c>
      <c r="I3269" s="13">
        <v>5</v>
      </c>
      <c r="J3269">
        <v>0</v>
      </c>
      <c r="K3269">
        <v>0</v>
      </c>
      <c r="L3269">
        <v>0</v>
      </c>
      <c r="M3269">
        <v>0</v>
      </c>
      <c r="O3269">
        <f t="shared" si="51"/>
        <v>4</v>
      </c>
    </row>
    <row r="3270" spans="1:15">
      <c r="A3270">
        <v>4165</v>
      </c>
      <c r="B3270" s="1">
        <v>45767</v>
      </c>
      <c r="C3270">
        <v>50</v>
      </c>
      <c r="D3270" t="s">
        <v>17</v>
      </c>
      <c r="E3270" t="s">
        <v>15</v>
      </c>
      <c r="F3270" t="s">
        <v>18</v>
      </c>
      <c r="G3270" t="s">
        <v>31</v>
      </c>
      <c r="H3270">
        <v>513.20000000000005</v>
      </c>
      <c r="I3270" s="13">
        <v>9</v>
      </c>
      <c r="J3270">
        <v>0</v>
      </c>
      <c r="K3270">
        <v>0</v>
      </c>
      <c r="L3270">
        <v>0</v>
      </c>
      <c r="M3270">
        <v>0</v>
      </c>
      <c r="O3270">
        <f t="shared" si="51"/>
        <v>4</v>
      </c>
    </row>
    <row r="3271" spans="1:15">
      <c r="A3271">
        <v>804</v>
      </c>
      <c r="B3271" s="1">
        <v>45767</v>
      </c>
      <c r="C3271">
        <v>24</v>
      </c>
      <c r="D3271" t="s">
        <v>17</v>
      </c>
      <c r="E3271" t="s">
        <v>22</v>
      </c>
      <c r="F3271" t="s">
        <v>16</v>
      </c>
      <c r="H3271">
        <v>504.9</v>
      </c>
      <c r="I3271" s="13">
        <v>6</v>
      </c>
      <c r="J3271">
        <v>0</v>
      </c>
      <c r="K3271">
        <v>0</v>
      </c>
      <c r="L3271">
        <v>0</v>
      </c>
      <c r="M3271">
        <v>0</v>
      </c>
      <c r="O3271">
        <f t="shared" si="51"/>
        <v>4</v>
      </c>
    </row>
    <row r="3272" spans="1:15">
      <c r="A3272">
        <v>4088</v>
      </c>
      <c r="B3272" s="1">
        <v>45767</v>
      </c>
      <c r="C3272">
        <v>51</v>
      </c>
      <c r="D3272" t="s">
        <v>14</v>
      </c>
      <c r="E3272" t="s">
        <v>15</v>
      </c>
      <c r="F3272" t="s">
        <v>18</v>
      </c>
      <c r="G3272" t="s">
        <v>26</v>
      </c>
      <c r="H3272">
        <v>467.9</v>
      </c>
      <c r="I3272" s="13">
        <v>4</v>
      </c>
      <c r="J3272">
        <v>0</v>
      </c>
      <c r="K3272">
        <v>0</v>
      </c>
      <c r="L3272">
        <v>0</v>
      </c>
      <c r="M3272">
        <v>0</v>
      </c>
      <c r="O3272">
        <f t="shared" si="51"/>
        <v>4</v>
      </c>
    </row>
    <row r="3273" spans="1:15">
      <c r="A3273">
        <v>3253</v>
      </c>
      <c r="B3273" s="1">
        <v>45767</v>
      </c>
      <c r="C3273">
        <v>41</v>
      </c>
      <c r="D3273" t="s">
        <v>14</v>
      </c>
      <c r="E3273" t="s">
        <v>22</v>
      </c>
      <c r="F3273" t="s">
        <v>18</v>
      </c>
      <c r="G3273" t="s">
        <v>19</v>
      </c>
      <c r="H3273">
        <v>454.5</v>
      </c>
      <c r="I3273" s="13">
        <v>6</v>
      </c>
      <c r="J3273">
        <v>0</v>
      </c>
      <c r="K3273">
        <v>0</v>
      </c>
      <c r="L3273">
        <v>0</v>
      </c>
      <c r="M3273">
        <v>0</v>
      </c>
      <c r="O3273">
        <f t="shared" si="51"/>
        <v>4</v>
      </c>
    </row>
    <row r="3274" spans="1:15">
      <c r="A3274">
        <v>2265</v>
      </c>
      <c r="B3274" s="1">
        <v>45767</v>
      </c>
      <c r="C3274">
        <v>32</v>
      </c>
      <c r="D3274" t="s">
        <v>17</v>
      </c>
      <c r="E3274" t="s">
        <v>22</v>
      </c>
      <c r="F3274" t="s">
        <v>18</v>
      </c>
      <c r="G3274" t="s">
        <v>31</v>
      </c>
      <c r="H3274">
        <v>401.1</v>
      </c>
      <c r="I3274" s="13">
        <v>3</v>
      </c>
      <c r="J3274">
        <v>0</v>
      </c>
      <c r="K3274">
        <v>0</v>
      </c>
      <c r="L3274">
        <v>0</v>
      </c>
      <c r="M3274">
        <v>0</v>
      </c>
      <c r="O3274">
        <f t="shared" si="51"/>
        <v>4</v>
      </c>
    </row>
    <row r="3275" spans="1:15">
      <c r="A3275">
        <v>1579</v>
      </c>
      <c r="B3275" s="1">
        <v>45767</v>
      </c>
      <c r="C3275">
        <v>21</v>
      </c>
      <c r="D3275" t="s">
        <v>17</v>
      </c>
      <c r="E3275" t="s">
        <v>20</v>
      </c>
      <c r="F3275" t="s">
        <v>16</v>
      </c>
      <c r="H3275">
        <v>380.2</v>
      </c>
      <c r="I3275" s="13">
        <v>6</v>
      </c>
      <c r="J3275">
        <v>0</v>
      </c>
      <c r="K3275">
        <v>0</v>
      </c>
      <c r="L3275">
        <v>0</v>
      </c>
      <c r="M3275">
        <v>0</v>
      </c>
      <c r="O3275">
        <f t="shared" si="51"/>
        <v>4</v>
      </c>
    </row>
    <row r="3276" spans="1:15">
      <c r="A3276">
        <v>147</v>
      </c>
      <c r="B3276" s="1">
        <v>45767</v>
      </c>
      <c r="C3276">
        <v>31</v>
      </c>
      <c r="D3276" t="s">
        <v>14</v>
      </c>
      <c r="E3276" t="s">
        <v>22</v>
      </c>
      <c r="F3276" t="s">
        <v>18</v>
      </c>
      <c r="G3276" t="s">
        <v>19</v>
      </c>
      <c r="H3276">
        <v>374.4</v>
      </c>
      <c r="I3276" s="13">
        <v>4</v>
      </c>
      <c r="J3276">
        <v>0</v>
      </c>
      <c r="K3276">
        <v>0</v>
      </c>
      <c r="L3276">
        <v>0</v>
      </c>
      <c r="M3276">
        <v>0</v>
      </c>
      <c r="O3276">
        <f t="shared" si="51"/>
        <v>4</v>
      </c>
    </row>
    <row r="3277" spans="1:15">
      <c r="A3277">
        <v>31</v>
      </c>
      <c r="B3277" s="1">
        <v>45767</v>
      </c>
      <c r="C3277">
        <v>27</v>
      </c>
      <c r="D3277" t="s">
        <v>14</v>
      </c>
      <c r="E3277" t="s">
        <v>20</v>
      </c>
      <c r="F3277" t="s">
        <v>21</v>
      </c>
      <c r="H3277">
        <v>342</v>
      </c>
      <c r="I3277" s="13">
        <v>8</v>
      </c>
      <c r="J3277">
        <v>0</v>
      </c>
      <c r="K3277">
        <v>0</v>
      </c>
      <c r="L3277">
        <v>0</v>
      </c>
      <c r="M3277">
        <v>0</v>
      </c>
      <c r="O3277">
        <f t="shared" si="51"/>
        <v>4</v>
      </c>
    </row>
    <row r="3278" spans="1:15">
      <c r="A3278">
        <v>3210</v>
      </c>
      <c r="B3278" s="1">
        <v>45767</v>
      </c>
      <c r="C3278">
        <v>41</v>
      </c>
      <c r="D3278" t="s">
        <v>27</v>
      </c>
      <c r="E3278" t="s">
        <v>20</v>
      </c>
      <c r="F3278" t="s">
        <v>23</v>
      </c>
      <c r="H3278">
        <v>314.89999999999998</v>
      </c>
      <c r="I3278" s="13">
        <v>4</v>
      </c>
      <c r="J3278">
        <v>0</v>
      </c>
      <c r="K3278">
        <v>0</v>
      </c>
      <c r="L3278">
        <v>0</v>
      </c>
      <c r="M3278">
        <v>0</v>
      </c>
      <c r="O3278">
        <f t="shared" si="51"/>
        <v>4</v>
      </c>
    </row>
    <row r="3279" spans="1:15">
      <c r="A3279">
        <v>1093</v>
      </c>
      <c r="B3279" s="1">
        <v>45767</v>
      </c>
      <c r="C3279">
        <v>29</v>
      </c>
      <c r="D3279" t="s">
        <v>14</v>
      </c>
      <c r="E3279" t="s">
        <v>20</v>
      </c>
      <c r="F3279" t="s">
        <v>21</v>
      </c>
      <c r="H3279">
        <v>305.5</v>
      </c>
      <c r="I3279" s="13">
        <v>3</v>
      </c>
      <c r="J3279">
        <v>0</v>
      </c>
      <c r="K3279">
        <v>0</v>
      </c>
      <c r="L3279">
        <v>0</v>
      </c>
      <c r="M3279">
        <v>0</v>
      </c>
      <c r="O3279">
        <f t="shared" si="51"/>
        <v>4</v>
      </c>
    </row>
    <row r="3280" spans="1:15">
      <c r="A3280">
        <v>2323</v>
      </c>
      <c r="B3280" s="1">
        <v>45767</v>
      </c>
      <c r="C3280">
        <v>30</v>
      </c>
      <c r="D3280" t="s">
        <v>17</v>
      </c>
      <c r="E3280" t="s">
        <v>24</v>
      </c>
      <c r="F3280" t="s">
        <v>21</v>
      </c>
      <c r="H3280">
        <v>303.60000000000002</v>
      </c>
      <c r="I3280" s="13">
        <v>7</v>
      </c>
      <c r="J3280">
        <v>0</v>
      </c>
      <c r="K3280">
        <v>0</v>
      </c>
      <c r="L3280">
        <v>0</v>
      </c>
      <c r="M3280">
        <v>0</v>
      </c>
      <c r="O3280">
        <f t="shared" si="51"/>
        <v>4</v>
      </c>
    </row>
    <row r="3281" spans="1:15">
      <c r="A3281">
        <v>663</v>
      </c>
      <c r="B3281" s="1">
        <v>45767</v>
      </c>
      <c r="C3281">
        <v>20</v>
      </c>
      <c r="D3281" t="s">
        <v>14</v>
      </c>
      <c r="E3281" t="s">
        <v>15</v>
      </c>
      <c r="F3281" t="s">
        <v>16</v>
      </c>
      <c r="H3281">
        <v>287.5</v>
      </c>
      <c r="I3281" s="13">
        <v>6</v>
      </c>
      <c r="J3281">
        <v>0</v>
      </c>
      <c r="K3281">
        <v>0</v>
      </c>
      <c r="L3281">
        <v>0</v>
      </c>
      <c r="M3281">
        <v>0</v>
      </c>
      <c r="O3281">
        <f t="shared" si="51"/>
        <v>4</v>
      </c>
    </row>
    <row r="3282" spans="1:15">
      <c r="A3282">
        <v>2406</v>
      </c>
      <c r="B3282" s="1">
        <v>45767</v>
      </c>
      <c r="C3282">
        <v>45</v>
      </c>
      <c r="D3282" t="s">
        <v>17</v>
      </c>
      <c r="E3282" t="s">
        <v>20</v>
      </c>
      <c r="F3282" t="s">
        <v>16</v>
      </c>
      <c r="H3282">
        <v>264.7</v>
      </c>
      <c r="I3282" s="13">
        <v>5</v>
      </c>
      <c r="J3282">
        <v>0</v>
      </c>
      <c r="K3282">
        <v>0</v>
      </c>
      <c r="L3282">
        <v>0</v>
      </c>
      <c r="M3282">
        <v>0</v>
      </c>
      <c r="O3282">
        <f t="shared" si="51"/>
        <v>4</v>
      </c>
    </row>
    <row r="3283" spans="1:15">
      <c r="A3283">
        <v>1993</v>
      </c>
      <c r="B3283" s="1">
        <v>45767</v>
      </c>
      <c r="C3283">
        <v>48</v>
      </c>
      <c r="D3283" t="s">
        <v>17</v>
      </c>
      <c r="E3283" t="s">
        <v>24</v>
      </c>
      <c r="F3283" t="s">
        <v>16</v>
      </c>
      <c r="H3283">
        <v>221.1</v>
      </c>
      <c r="I3283" s="13">
        <v>5</v>
      </c>
      <c r="J3283">
        <v>0</v>
      </c>
      <c r="K3283">
        <v>0</v>
      </c>
      <c r="L3283">
        <v>0</v>
      </c>
      <c r="M3283">
        <v>0</v>
      </c>
      <c r="O3283">
        <f t="shared" si="51"/>
        <v>4</v>
      </c>
    </row>
    <row r="3284" spans="1:15">
      <c r="A3284">
        <v>3232</v>
      </c>
      <c r="B3284" s="1">
        <v>45767</v>
      </c>
      <c r="C3284">
        <v>40</v>
      </c>
      <c r="D3284" t="s">
        <v>17</v>
      </c>
      <c r="E3284" t="s">
        <v>15</v>
      </c>
      <c r="F3284" t="s">
        <v>16</v>
      </c>
      <c r="H3284">
        <v>187.4</v>
      </c>
      <c r="I3284" s="13">
        <v>8</v>
      </c>
      <c r="J3284">
        <v>0</v>
      </c>
      <c r="K3284">
        <v>0</v>
      </c>
      <c r="L3284">
        <v>0</v>
      </c>
      <c r="M3284">
        <v>0</v>
      </c>
      <c r="O3284">
        <f t="shared" si="51"/>
        <v>4</v>
      </c>
    </row>
    <row r="3285" spans="1:15">
      <c r="A3285">
        <v>3492</v>
      </c>
      <c r="B3285" s="1">
        <v>45767</v>
      </c>
      <c r="C3285">
        <v>28</v>
      </c>
      <c r="D3285" t="s">
        <v>14</v>
      </c>
      <c r="E3285" t="s">
        <v>15</v>
      </c>
      <c r="F3285" t="s">
        <v>16</v>
      </c>
      <c r="H3285">
        <v>130.5</v>
      </c>
      <c r="I3285" s="13">
        <v>9</v>
      </c>
      <c r="J3285">
        <v>0</v>
      </c>
      <c r="K3285">
        <v>0</v>
      </c>
      <c r="L3285">
        <v>0</v>
      </c>
      <c r="M3285">
        <v>0</v>
      </c>
      <c r="O3285">
        <f t="shared" si="51"/>
        <v>4</v>
      </c>
    </row>
    <row r="3286" spans="1:15">
      <c r="A3286">
        <v>3473</v>
      </c>
      <c r="B3286" s="1">
        <v>45767</v>
      </c>
      <c r="C3286">
        <v>53</v>
      </c>
      <c r="D3286" t="s">
        <v>14</v>
      </c>
      <c r="E3286" t="s">
        <v>22</v>
      </c>
      <c r="F3286" t="s">
        <v>18</v>
      </c>
      <c r="G3286" t="s">
        <v>30</v>
      </c>
      <c r="H3286">
        <v>88.9</v>
      </c>
      <c r="I3286" s="13">
        <v>7</v>
      </c>
      <c r="J3286">
        <v>0</v>
      </c>
      <c r="K3286">
        <v>0</v>
      </c>
      <c r="L3286">
        <v>0</v>
      </c>
      <c r="M3286">
        <v>0</v>
      </c>
      <c r="O3286">
        <f t="shared" si="51"/>
        <v>4</v>
      </c>
    </row>
    <row r="3287" spans="1:15">
      <c r="A3287">
        <v>1532</v>
      </c>
      <c r="B3287" s="1">
        <v>45767</v>
      </c>
      <c r="C3287">
        <v>22</v>
      </c>
      <c r="D3287" t="s">
        <v>17</v>
      </c>
      <c r="E3287" t="s">
        <v>15</v>
      </c>
      <c r="F3287" t="s">
        <v>18</v>
      </c>
      <c r="G3287" t="s">
        <v>25</v>
      </c>
      <c r="H3287">
        <v>49.6</v>
      </c>
      <c r="I3287" s="13">
        <v>6</v>
      </c>
      <c r="J3287">
        <v>0</v>
      </c>
      <c r="K3287">
        <v>0</v>
      </c>
      <c r="L3287">
        <v>0</v>
      </c>
      <c r="M3287">
        <v>0</v>
      </c>
      <c r="O3287">
        <f t="shared" si="51"/>
        <v>4</v>
      </c>
    </row>
    <row r="3288" spans="1:15">
      <c r="A3288">
        <v>1387</v>
      </c>
      <c r="B3288" s="1">
        <v>45797</v>
      </c>
      <c r="C3288">
        <v>27</v>
      </c>
      <c r="D3288" t="s">
        <v>14</v>
      </c>
      <c r="E3288" t="s">
        <v>24</v>
      </c>
      <c r="F3288" t="s">
        <v>16</v>
      </c>
      <c r="H3288">
        <v>814.2</v>
      </c>
      <c r="I3288" s="13">
        <v>6</v>
      </c>
      <c r="J3288">
        <v>1</v>
      </c>
      <c r="K3288">
        <v>102</v>
      </c>
      <c r="L3288">
        <v>1</v>
      </c>
      <c r="M3288">
        <v>14</v>
      </c>
      <c r="N3288">
        <v>4</v>
      </c>
      <c r="O3288">
        <f t="shared" si="51"/>
        <v>5</v>
      </c>
    </row>
    <row r="3289" spans="1:15">
      <c r="A3289">
        <v>1824</v>
      </c>
      <c r="B3289" s="1">
        <v>45797</v>
      </c>
      <c r="C3289">
        <v>32</v>
      </c>
      <c r="D3289" t="s">
        <v>17</v>
      </c>
      <c r="E3289" t="s">
        <v>15</v>
      </c>
      <c r="F3289" t="s">
        <v>18</v>
      </c>
      <c r="G3289" t="s">
        <v>25</v>
      </c>
      <c r="H3289">
        <v>807</v>
      </c>
      <c r="I3289" s="13">
        <v>9</v>
      </c>
      <c r="J3289">
        <v>1</v>
      </c>
      <c r="K3289">
        <v>285</v>
      </c>
      <c r="L3289">
        <v>3</v>
      </c>
      <c r="M3289">
        <v>6</v>
      </c>
      <c r="N3289">
        <v>3</v>
      </c>
      <c r="O3289">
        <f t="shared" si="51"/>
        <v>5</v>
      </c>
    </row>
    <row r="3290" spans="1:15">
      <c r="A3290">
        <v>2700</v>
      </c>
      <c r="B3290" s="1">
        <v>45797</v>
      </c>
      <c r="C3290">
        <v>49</v>
      </c>
      <c r="D3290" t="s">
        <v>14</v>
      </c>
      <c r="E3290" t="s">
        <v>24</v>
      </c>
      <c r="F3290" t="s">
        <v>16</v>
      </c>
      <c r="H3290">
        <v>964.6</v>
      </c>
      <c r="I3290" s="13">
        <v>8</v>
      </c>
      <c r="J3290">
        <v>1</v>
      </c>
      <c r="K3290">
        <v>706.35</v>
      </c>
      <c r="L3290">
        <v>4</v>
      </c>
      <c r="M3290">
        <v>2</v>
      </c>
      <c r="N3290">
        <v>4</v>
      </c>
      <c r="O3290">
        <f t="shared" si="51"/>
        <v>5</v>
      </c>
    </row>
    <row r="3291" spans="1:15">
      <c r="A3291">
        <v>2091</v>
      </c>
      <c r="B3291" s="1">
        <v>45797</v>
      </c>
      <c r="C3291">
        <v>39</v>
      </c>
      <c r="D3291" t="s">
        <v>14</v>
      </c>
      <c r="E3291" t="s">
        <v>24</v>
      </c>
      <c r="F3291" t="s">
        <v>21</v>
      </c>
      <c r="H3291">
        <v>842.5</v>
      </c>
      <c r="I3291" s="13">
        <v>4</v>
      </c>
      <c r="J3291">
        <v>1</v>
      </c>
      <c r="K3291">
        <v>81.900000000000006</v>
      </c>
      <c r="L3291">
        <v>2</v>
      </c>
      <c r="M3291">
        <v>10</v>
      </c>
      <c r="N3291">
        <v>5</v>
      </c>
      <c r="O3291">
        <f t="shared" si="51"/>
        <v>5</v>
      </c>
    </row>
    <row r="3292" spans="1:15">
      <c r="A3292">
        <v>1861</v>
      </c>
      <c r="B3292" s="1">
        <v>45797</v>
      </c>
      <c r="C3292">
        <v>32</v>
      </c>
      <c r="D3292" t="s">
        <v>14</v>
      </c>
      <c r="E3292" t="s">
        <v>20</v>
      </c>
      <c r="F3292" t="s">
        <v>16</v>
      </c>
      <c r="H3292">
        <v>682.4</v>
      </c>
      <c r="I3292" s="13">
        <v>3</v>
      </c>
      <c r="J3292">
        <v>1</v>
      </c>
      <c r="K3292">
        <v>73.7</v>
      </c>
      <c r="L3292">
        <v>3</v>
      </c>
      <c r="M3292">
        <v>11</v>
      </c>
      <c r="N3292">
        <v>5</v>
      </c>
      <c r="O3292">
        <f t="shared" si="51"/>
        <v>5</v>
      </c>
    </row>
    <row r="3293" spans="1:15">
      <c r="A3293">
        <v>4685</v>
      </c>
      <c r="B3293" s="1">
        <v>45797</v>
      </c>
      <c r="C3293">
        <v>47</v>
      </c>
      <c r="D3293" t="s">
        <v>14</v>
      </c>
      <c r="E3293" t="s">
        <v>24</v>
      </c>
      <c r="F3293" t="s">
        <v>16</v>
      </c>
      <c r="H3293">
        <v>424.3</v>
      </c>
      <c r="I3293" s="13">
        <v>4</v>
      </c>
      <c r="J3293">
        <v>1</v>
      </c>
      <c r="K3293">
        <v>68.47</v>
      </c>
      <c r="L3293">
        <v>3</v>
      </c>
      <c r="M3293">
        <v>12</v>
      </c>
      <c r="N3293">
        <v>4</v>
      </c>
      <c r="O3293">
        <f t="shared" si="51"/>
        <v>5</v>
      </c>
    </row>
    <row r="3294" spans="1:15">
      <c r="A3294">
        <v>394</v>
      </c>
      <c r="B3294" s="1">
        <v>45797</v>
      </c>
      <c r="C3294">
        <v>22</v>
      </c>
      <c r="D3294" t="s">
        <v>14</v>
      </c>
      <c r="E3294" t="s">
        <v>24</v>
      </c>
      <c r="F3294" t="s">
        <v>16</v>
      </c>
      <c r="H3294">
        <v>57.2</v>
      </c>
      <c r="I3294" s="13">
        <v>3</v>
      </c>
      <c r="J3294">
        <v>1</v>
      </c>
      <c r="K3294">
        <v>41.88</v>
      </c>
      <c r="L3294">
        <v>6</v>
      </c>
      <c r="M3294">
        <v>5</v>
      </c>
      <c r="N3294">
        <v>4</v>
      </c>
      <c r="O3294">
        <f t="shared" si="51"/>
        <v>5</v>
      </c>
    </row>
    <row r="3295" spans="1:15">
      <c r="A3295">
        <v>550</v>
      </c>
      <c r="B3295" s="1">
        <v>45797</v>
      </c>
      <c r="C3295">
        <v>20</v>
      </c>
      <c r="D3295" t="s">
        <v>14</v>
      </c>
      <c r="E3295" t="s">
        <v>24</v>
      </c>
      <c r="F3295" t="s">
        <v>18</v>
      </c>
      <c r="G3295" t="s">
        <v>28</v>
      </c>
      <c r="H3295">
        <v>959.8</v>
      </c>
      <c r="I3295" s="13">
        <v>7</v>
      </c>
      <c r="J3295">
        <v>0</v>
      </c>
      <c r="K3295">
        <v>0</v>
      </c>
      <c r="L3295">
        <v>0</v>
      </c>
      <c r="M3295">
        <v>0</v>
      </c>
      <c r="O3295">
        <f t="shared" si="51"/>
        <v>5</v>
      </c>
    </row>
    <row r="3296" spans="1:15">
      <c r="A3296">
        <v>4853</v>
      </c>
      <c r="B3296" s="1">
        <v>45797</v>
      </c>
      <c r="C3296">
        <v>38</v>
      </c>
      <c r="D3296" t="s">
        <v>27</v>
      </c>
      <c r="E3296" t="s">
        <v>24</v>
      </c>
      <c r="F3296" t="s">
        <v>16</v>
      </c>
      <c r="H3296">
        <v>679.3</v>
      </c>
      <c r="I3296" s="13">
        <v>7</v>
      </c>
      <c r="J3296">
        <v>0</v>
      </c>
      <c r="K3296">
        <v>0</v>
      </c>
      <c r="L3296">
        <v>0</v>
      </c>
      <c r="M3296">
        <v>0</v>
      </c>
      <c r="O3296">
        <f t="shared" si="51"/>
        <v>5</v>
      </c>
    </row>
    <row r="3297" spans="1:15">
      <c r="A3297">
        <v>451</v>
      </c>
      <c r="B3297" s="1">
        <v>45797</v>
      </c>
      <c r="C3297">
        <v>27</v>
      </c>
      <c r="D3297" t="s">
        <v>14</v>
      </c>
      <c r="E3297" t="s">
        <v>22</v>
      </c>
      <c r="F3297" t="s">
        <v>18</v>
      </c>
      <c r="G3297" t="s">
        <v>19</v>
      </c>
      <c r="H3297">
        <v>600.20000000000005</v>
      </c>
      <c r="I3297" s="13">
        <v>7</v>
      </c>
      <c r="J3297">
        <v>0</v>
      </c>
      <c r="K3297">
        <v>0</v>
      </c>
      <c r="L3297">
        <v>0</v>
      </c>
      <c r="M3297">
        <v>0</v>
      </c>
      <c r="O3297">
        <f t="shared" si="51"/>
        <v>5</v>
      </c>
    </row>
    <row r="3298" spans="1:15">
      <c r="A3298">
        <v>52</v>
      </c>
      <c r="B3298" s="1">
        <v>45797</v>
      </c>
      <c r="C3298">
        <v>29</v>
      </c>
      <c r="D3298" t="s">
        <v>14</v>
      </c>
      <c r="E3298" t="s">
        <v>15</v>
      </c>
      <c r="F3298" t="s">
        <v>16</v>
      </c>
      <c r="H3298">
        <v>525.29999999999995</v>
      </c>
      <c r="I3298" s="13">
        <v>9</v>
      </c>
      <c r="J3298">
        <v>0</v>
      </c>
      <c r="K3298">
        <v>0</v>
      </c>
      <c r="L3298">
        <v>0</v>
      </c>
      <c r="M3298">
        <v>0</v>
      </c>
      <c r="O3298">
        <f t="shared" si="51"/>
        <v>5</v>
      </c>
    </row>
    <row r="3299" spans="1:15">
      <c r="A3299">
        <v>2596</v>
      </c>
      <c r="B3299" s="1">
        <v>45797</v>
      </c>
      <c r="C3299">
        <v>41</v>
      </c>
      <c r="D3299" t="s">
        <v>17</v>
      </c>
      <c r="E3299" t="s">
        <v>24</v>
      </c>
      <c r="F3299" t="s">
        <v>18</v>
      </c>
      <c r="G3299" t="s">
        <v>26</v>
      </c>
      <c r="H3299">
        <v>469.1</v>
      </c>
      <c r="I3299" s="13">
        <v>7</v>
      </c>
      <c r="J3299">
        <v>0</v>
      </c>
      <c r="K3299">
        <v>0</v>
      </c>
      <c r="L3299">
        <v>0</v>
      </c>
      <c r="M3299">
        <v>0</v>
      </c>
      <c r="O3299">
        <f t="shared" si="51"/>
        <v>5</v>
      </c>
    </row>
    <row r="3300" spans="1:15">
      <c r="A3300">
        <v>2261</v>
      </c>
      <c r="B3300" s="1">
        <v>45797</v>
      </c>
      <c r="C3300">
        <v>53</v>
      </c>
      <c r="D3300" t="s">
        <v>14</v>
      </c>
      <c r="E3300" t="s">
        <v>20</v>
      </c>
      <c r="F3300" t="s">
        <v>23</v>
      </c>
      <c r="H3300">
        <v>294.7</v>
      </c>
      <c r="I3300" s="13">
        <v>13</v>
      </c>
      <c r="J3300">
        <v>0</v>
      </c>
      <c r="K3300">
        <v>0</v>
      </c>
      <c r="L3300">
        <v>0</v>
      </c>
      <c r="M3300">
        <v>0</v>
      </c>
      <c r="O3300">
        <f t="shared" si="51"/>
        <v>5</v>
      </c>
    </row>
    <row r="3301" spans="1:15">
      <c r="A3301">
        <v>71</v>
      </c>
      <c r="B3301" s="1">
        <v>45797</v>
      </c>
      <c r="C3301">
        <v>20</v>
      </c>
      <c r="D3301" t="s">
        <v>17</v>
      </c>
      <c r="E3301" t="s">
        <v>22</v>
      </c>
      <c r="F3301" t="s">
        <v>23</v>
      </c>
      <c r="H3301">
        <v>244.2</v>
      </c>
      <c r="I3301" s="13">
        <v>11</v>
      </c>
      <c r="J3301">
        <v>0</v>
      </c>
      <c r="K3301">
        <v>0</v>
      </c>
      <c r="L3301">
        <v>0</v>
      </c>
      <c r="M3301">
        <v>0</v>
      </c>
      <c r="O3301">
        <f t="shared" si="51"/>
        <v>5</v>
      </c>
    </row>
    <row r="3302" spans="1:15">
      <c r="A3302">
        <v>3320</v>
      </c>
      <c r="B3302" s="1">
        <v>45797</v>
      </c>
      <c r="C3302">
        <v>35</v>
      </c>
      <c r="D3302" t="s">
        <v>17</v>
      </c>
      <c r="E3302" t="s">
        <v>24</v>
      </c>
      <c r="F3302" t="s">
        <v>16</v>
      </c>
      <c r="H3302">
        <v>138</v>
      </c>
      <c r="I3302" s="13">
        <v>7</v>
      </c>
      <c r="J3302">
        <v>0</v>
      </c>
      <c r="K3302">
        <v>0</v>
      </c>
      <c r="L3302">
        <v>0</v>
      </c>
      <c r="M3302">
        <v>0</v>
      </c>
      <c r="O3302">
        <f t="shared" si="51"/>
        <v>5</v>
      </c>
    </row>
    <row r="3303" spans="1:15">
      <c r="A3303">
        <v>2008</v>
      </c>
      <c r="B3303" s="1">
        <v>45797</v>
      </c>
      <c r="C3303">
        <v>23</v>
      </c>
      <c r="D3303" t="s">
        <v>17</v>
      </c>
      <c r="E3303" t="s">
        <v>22</v>
      </c>
      <c r="F3303" t="s">
        <v>16</v>
      </c>
      <c r="H3303">
        <v>123.6</v>
      </c>
      <c r="I3303" s="13">
        <v>13</v>
      </c>
      <c r="J3303">
        <v>0</v>
      </c>
      <c r="K3303">
        <v>0</v>
      </c>
      <c r="L3303">
        <v>0</v>
      </c>
      <c r="M3303">
        <v>0</v>
      </c>
      <c r="O3303">
        <f t="shared" si="51"/>
        <v>5</v>
      </c>
    </row>
    <row r="3304" spans="1:15">
      <c r="A3304">
        <v>3569</v>
      </c>
      <c r="B3304" s="1">
        <v>45797</v>
      </c>
      <c r="C3304">
        <v>49</v>
      </c>
      <c r="D3304" t="s">
        <v>17</v>
      </c>
      <c r="E3304" t="s">
        <v>20</v>
      </c>
      <c r="F3304" t="s">
        <v>18</v>
      </c>
      <c r="G3304" t="s">
        <v>31</v>
      </c>
      <c r="H3304">
        <v>117.1</v>
      </c>
      <c r="I3304" s="13">
        <v>7</v>
      </c>
      <c r="J3304">
        <v>0</v>
      </c>
      <c r="K3304">
        <v>0</v>
      </c>
      <c r="L3304">
        <v>0</v>
      </c>
      <c r="M3304">
        <v>0</v>
      </c>
      <c r="O3304">
        <f t="shared" si="51"/>
        <v>5</v>
      </c>
    </row>
    <row r="3305" spans="1:15">
      <c r="A3305">
        <v>2699</v>
      </c>
      <c r="B3305" s="1">
        <v>45797</v>
      </c>
      <c r="C3305">
        <v>26</v>
      </c>
      <c r="D3305" t="s">
        <v>17</v>
      </c>
      <c r="E3305" t="s">
        <v>20</v>
      </c>
      <c r="F3305" t="s">
        <v>16</v>
      </c>
      <c r="H3305">
        <v>105.1</v>
      </c>
      <c r="I3305" s="13">
        <v>5</v>
      </c>
      <c r="J3305">
        <v>0</v>
      </c>
      <c r="K3305">
        <v>0</v>
      </c>
      <c r="L3305">
        <v>0</v>
      </c>
      <c r="M3305">
        <v>0</v>
      </c>
      <c r="O3305">
        <f t="shared" si="51"/>
        <v>5</v>
      </c>
    </row>
    <row r="3306" spans="1:15">
      <c r="A3306">
        <v>861</v>
      </c>
      <c r="B3306" s="1">
        <v>45797</v>
      </c>
      <c r="C3306">
        <v>18</v>
      </c>
      <c r="D3306" t="s">
        <v>17</v>
      </c>
      <c r="E3306" t="s">
        <v>15</v>
      </c>
      <c r="F3306" t="s">
        <v>16</v>
      </c>
      <c r="H3306">
        <v>104</v>
      </c>
      <c r="I3306" s="13">
        <v>6</v>
      </c>
      <c r="J3306">
        <v>0</v>
      </c>
      <c r="K3306">
        <v>0</v>
      </c>
      <c r="L3306">
        <v>0</v>
      </c>
      <c r="M3306">
        <v>0</v>
      </c>
      <c r="O3306">
        <f t="shared" si="51"/>
        <v>5</v>
      </c>
    </row>
    <row r="3307" spans="1:15">
      <c r="A3307">
        <v>1242</v>
      </c>
      <c r="B3307" s="1">
        <v>45797</v>
      </c>
      <c r="C3307">
        <v>27</v>
      </c>
      <c r="D3307" t="s">
        <v>17</v>
      </c>
      <c r="E3307" t="s">
        <v>20</v>
      </c>
      <c r="F3307" t="s">
        <v>18</v>
      </c>
      <c r="G3307" t="s">
        <v>30</v>
      </c>
      <c r="H3307">
        <v>95.3</v>
      </c>
      <c r="I3307" s="13">
        <v>9</v>
      </c>
      <c r="J3307">
        <v>0</v>
      </c>
      <c r="K3307">
        <v>0</v>
      </c>
      <c r="L3307">
        <v>0</v>
      </c>
      <c r="M3307">
        <v>0</v>
      </c>
      <c r="O3307">
        <f t="shared" si="51"/>
        <v>5</v>
      </c>
    </row>
    <row r="3308" spans="1:15">
      <c r="A3308">
        <v>2711</v>
      </c>
      <c r="B3308" s="1">
        <v>45797</v>
      </c>
      <c r="C3308">
        <v>29</v>
      </c>
      <c r="D3308" t="s">
        <v>17</v>
      </c>
      <c r="E3308" t="s">
        <v>24</v>
      </c>
      <c r="F3308" t="s">
        <v>16</v>
      </c>
      <c r="H3308">
        <v>72.599999999999994</v>
      </c>
      <c r="I3308" s="13">
        <v>4</v>
      </c>
      <c r="J3308">
        <v>0</v>
      </c>
      <c r="K3308">
        <v>0</v>
      </c>
      <c r="L3308">
        <v>0</v>
      </c>
      <c r="M3308">
        <v>0</v>
      </c>
      <c r="O3308">
        <f t="shared" si="51"/>
        <v>5</v>
      </c>
    </row>
    <row r="3309" spans="1:15">
      <c r="A3309">
        <v>3683</v>
      </c>
      <c r="B3309" s="1">
        <v>45797</v>
      </c>
      <c r="C3309">
        <v>57</v>
      </c>
      <c r="D3309" t="s">
        <v>14</v>
      </c>
      <c r="E3309" t="s">
        <v>15</v>
      </c>
      <c r="F3309" t="s">
        <v>18</v>
      </c>
      <c r="G3309" t="s">
        <v>19</v>
      </c>
      <c r="H3309">
        <v>50.7</v>
      </c>
      <c r="I3309" s="13">
        <v>6</v>
      </c>
      <c r="J3309">
        <v>0</v>
      </c>
      <c r="K3309">
        <v>0</v>
      </c>
      <c r="L3309">
        <v>0</v>
      </c>
      <c r="M3309">
        <v>0</v>
      </c>
      <c r="O3309">
        <f t="shared" si="51"/>
        <v>5</v>
      </c>
    </row>
    <row r="3310" spans="1:15">
      <c r="A3310">
        <v>3693</v>
      </c>
      <c r="B3310" s="1">
        <v>45797</v>
      </c>
      <c r="C3310">
        <v>50</v>
      </c>
      <c r="D3310" t="s">
        <v>17</v>
      </c>
      <c r="E3310" t="s">
        <v>15</v>
      </c>
      <c r="F3310" t="s">
        <v>16</v>
      </c>
      <c r="H3310">
        <v>50.2</v>
      </c>
      <c r="I3310" s="13">
        <v>7</v>
      </c>
      <c r="J3310">
        <v>0</v>
      </c>
      <c r="K3310">
        <v>0</v>
      </c>
      <c r="L3310">
        <v>0</v>
      </c>
      <c r="M3310">
        <v>0</v>
      </c>
      <c r="O3310">
        <f t="shared" si="51"/>
        <v>5</v>
      </c>
    </row>
    <row r="3311" spans="1:15">
      <c r="A3311">
        <v>1806</v>
      </c>
      <c r="B3311" s="1">
        <v>45797</v>
      </c>
      <c r="C3311">
        <v>37</v>
      </c>
      <c r="D3311" t="s">
        <v>17</v>
      </c>
      <c r="E3311" t="s">
        <v>24</v>
      </c>
      <c r="F3311" t="s">
        <v>16</v>
      </c>
      <c r="H3311">
        <v>37.799999999999997</v>
      </c>
      <c r="I3311" s="13">
        <v>4</v>
      </c>
      <c r="J3311">
        <v>0</v>
      </c>
      <c r="K3311">
        <v>0</v>
      </c>
      <c r="L3311">
        <v>0</v>
      </c>
      <c r="M3311">
        <v>0</v>
      </c>
      <c r="O3311">
        <f t="shared" si="51"/>
        <v>5</v>
      </c>
    </row>
    <row r="3312" spans="1:15">
      <c r="A3312">
        <v>4407</v>
      </c>
      <c r="B3312" s="1">
        <v>45828</v>
      </c>
      <c r="C3312">
        <v>56</v>
      </c>
      <c r="D3312" t="s">
        <v>14</v>
      </c>
      <c r="E3312" t="s">
        <v>24</v>
      </c>
      <c r="F3312" t="s">
        <v>16</v>
      </c>
      <c r="H3312">
        <v>855.4</v>
      </c>
      <c r="I3312" s="13">
        <v>4</v>
      </c>
      <c r="J3312">
        <v>1</v>
      </c>
      <c r="K3312">
        <v>332</v>
      </c>
      <c r="L3312">
        <v>1</v>
      </c>
      <c r="M3312">
        <v>4</v>
      </c>
      <c r="N3312">
        <v>4</v>
      </c>
      <c r="O3312">
        <f t="shared" si="51"/>
        <v>6</v>
      </c>
    </row>
    <row r="3313" spans="1:15">
      <c r="A3313">
        <v>3705</v>
      </c>
      <c r="B3313" s="1">
        <v>45828</v>
      </c>
      <c r="C3313">
        <v>20</v>
      </c>
      <c r="D3313" t="s">
        <v>14</v>
      </c>
      <c r="E3313" t="s">
        <v>20</v>
      </c>
      <c r="F3313" t="s">
        <v>16</v>
      </c>
      <c r="H3313">
        <v>385</v>
      </c>
      <c r="I3313" s="13">
        <v>6</v>
      </c>
      <c r="J3313">
        <v>1</v>
      </c>
      <c r="K3313">
        <v>580.38</v>
      </c>
      <c r="L3313">
        <v>5</v>
      </c>
      <c r="M3313">
        <v>4</v>
      </c>
      <c r="N3313">
        <v>5</v>
      </c>
      <c r="O3313">
        <f t="shared" si="51"/>
        <v>6</v>
      </c>
    </row>
    <row r="3314" spans="1:15">
      <c r="A3314">
        <v>3921</v>
      </c>
      <c r="B3314" s="1">
        <v>45828</v>
      </c>
      <c r="C3314">
        <v>36</v>
      </c>
      <c r="D3314" t="s">
        <v>14</v>
      </c>
      <c r="E3314" t="s">
        <v>24</v>
      </c>
      <c r="F3314" t="s">
        <v>16</v>
      </c>
      <c r="H3314">
        <v>96.4</v>
      </c>
      <c r="I3314" s="13">
        <v>5</v>
      </c>
      <c r="J3314">
        <v>1</v>
      </c>
      <c r="K3314">
        <v>327.41000000000003</v>
      </c>
      <c r="L3314">
        <v>3</v>
      </c>
      <c r="M3314">
        <v>12</v>
      </c>
      <c r="N3314">
        <v>4</v>
      </c>
      <c r="O3314">
        <f t="shared" si="51"/>
        <v>6</v>
      </c>
    </row>
    <row r="3315" spans="1:15">
      <c r="A3315">
        <v>2054</v>
      </c>
      <c r="B3315" s="1">
        <v>45828</v>
      </c>
      <c r="C3315">
        <v>36</v>
      </c>
      <c r="D3315" t="s">
        <v>17</v>
      </c>
      <c r="E3315" t="s">
        <v>24</v>
      </c>
      <c r="F3315" t="s">
        <v>18</v>
      </c>
      <c r="G3315" t="s">
        <v>28</v>
      </c>
      <c r="H3315">
        <v>470.1</v>
      </c>
      <c r="I3315" s="13">
        <v>6</v>
      </c>
      <c r="J3315">
        <v>1</v>
      </c>
      <c r="K3315">
        <v>94.82</v>
      </c>
      <c r="L3315">
        <v>3</v>
      </c>
      <c r="M3315">
        <v>13</v>
      </c>
      <c r="N3315">
        <v>4</v>
      </c>
      <c r="O3315">
        <f t="shared" si="51"/>
        <v>6</v>
      </c>
    </row>
    <row r="3316" spans="1:15">
      <c r="A3316">
        <v>4469</v>
      </c>
      <c r="B3316" s="1">
        <v>45828</v>
      </c>
      <c r="C3316">
        <v>49</v>
      </c>
      <c r="D3316" t="s">
        <v>17</v>
      </c>
      <c r="E3316" t="s">
        <v>20</v>
      </c>
      <c r="F3316" t="s">
        <v>23</v>
      </c>
      <c r="H3316">
        <v>691.6</v>
      </c>
      <c r="I3316" s="13">
        <v>12</v>
      </c>
      <c r="J3316">
        <v>1</v>
      </c>
      <c r="K3316">
        <v>67.03</v>
      </c>
      <c r="L3316">
        <v>7</v>
      </c>
      <c r="M3316">
        <v>12</v>
      </c>
      <c r="N3316">
        <v>5</v>
      </c>
      <c r="O3316">
        <f t="shared" si="51"/>
        <v>6</v>
      </c>
    </row>
    <row r="3317" spans="1:15">
      <c r="A3317">
        <v>4395</v>
      </c>
      <c r="B3317" s="1">
        <v>45828</v>
      </c>
      <c r="C3317">
        <v>40</v>
      </c>
      <c r="D3317" t="s">
        <v>14</v>
      </c>
      <c r="E3317" t="s">
        <v>20</v>
      </c>
      <c r="F3317" t="s">
        <v>16</v>
      </c>
      <c r="H3317">
        <v>390.8</v>
      </c>
      <c r="I3317" s="13">
        <v>7</v>
      </c>
      <c r="J3317">
        <v>1</v>
      </c>
      <c r="K3317">
        <v>48.09</v>
      </c>
      <c r="L3317">
        <v>2</v>
      </c>
      <c r="M3317">
        <v>14</v>
      </c>
      <c r="N3317">
        <v>5</v>
      </c>
      <c r="O3317">
        <f t="shared" si="51"/>
        <v>6</v>
      </c>
    </row>
    <row r="3318" spans="1:15">
      <c r="A3318">
        <v>509</v>
      </c>
      <c r="B3318" s="1">
        <v>45828</v>
      </c>
      <c r="C3318">
        <v>23</v>
      </c>
      <c r="D3318" t="s">
        <v>14</v>
      </c>
      <c r="E3318" t="s">
        <v>22</v>
      </c>
      <c r="F3318" t="s">
        <v>16</v>
      </c>
      <c r="H3318">
        <v>93</v>
      </c>
      <c r="I3318" s="13">
        <v>4</v>
      </c>
      <c r="J3318">
        <v>1</v>
      </c>
      <c r="K3318">
        <v>40.369999999999997</v>
      </c>
      <c r="L3318">
        <v>3</v>
      </c>
      <c r="M3318">
        <v>8</v>
      </c>
      <c r="N3318">
        <v>4</v>
      </c>
      <c r="O3318">
        <f t="shared" si="51"/>
        <v>6</v>
      </c>
    </row>
    <row r="3319" spans="1:15">
      <c r="A3319">
        <v>446</v>
      </c>
      <c r="B3319" s="1">
        <v>45828</v>
      </c>
      <c r="C3319">
        <v>18</v>
      </c>
      <c r="D3319" t="s">
        <v>14</v>
      </c>
      <c r="E3319" t="s">
        <v>20</v>
      </c>
      <c r="F3319" t="s">
        <v>23</v>
      </c>
      <c r="H3319">
        <v>480.6</v>
      </c>
      <c r="I3319" s="13">
        <v>4</v>
      </c>
      <c r="J3319">
        <v>0</v>
      </c>
      <c r="K3319">
        <v>0</v>
      </c>
      <c r="L3319">
        <v>0</v>
      </c>
      <c r="M3319">
        <v>0</v>
      </c>
      <c r="O3319">
        <f t="shared" si="51"/>
        <v>6</v>
      </c>
    </row>
    <row r="3320" spans="1:15">
      <c r="A3320">
        <v>2554</v>
      </c>
      <c r="B3320" s="1">
        <v>45828</v>
      </c>
      <c r="C3320">
        <v>38</v>
      </c>
      <c r="D3320" t="s">
        <v>14</v>
      </c>
      <c r="E3320" t="s">
        <v>24</v>
      </c>
      <c r="F3320" t="s">
        <v>18</v>
      </c>
      <c r="G3320" t="s">
        <v>25</v>
      </c>
      <c r="H3320">
        <v>416.9</v>
      </c>
      <c r="I3320" s="13">
        <v>6</v>
      </c>
      <c r="J3320">
        <v>0</v>
      </c>
      <c r="K3320">
        <v>0</v>
      </c>
      <c r="L3320">
        <v>0</v>
      </c>
      <c r="M3320">
        <v>0</v>
      </c>
      <c r="O3320">
        <f t="shared" si="51"/>
        <v>6</v>
      </c>
    </row>
    <row r="3321" spans="1:15">
      <c r="A3321">
        <v>1080</v>
      </c>
      <c r="B3321" s="1">
        <v>45828</v>
      </c>
      <c r="C3321">
        <v>21</v>
      </c>
      <c r="D3321" t="s">
        <v>17</v>
      </c>
      <c r="E3321" t="s">
        <v>22</v>
      </c>
      <c r="F3321" t="s">
        <v>16</v>
      </c>
      <c r="H3321">
        <v>414.6</v>
      </c>
      <c r="I3321" s="13">
        <v>4</v>
      </c>
      <c r="J3321">
        <v>0</v>
      </c>
      <c r="K3321">
        <v>0</v>
      </c>
      <c r="L3321">
        <v>0</v>
      </c>
      <c r="M3321">
        <v>0</v>
      </c>
      <c r="O3321">
        <f t="shared" si="51"/>
        <v>6</v>
      </c>
    </row>
    <row r="3322" spans="1:15">
      <c r="A3322">
        <v>1449</v>
      </c>
      <c r="B3322" s="1">
        <v>45828</v>
      </c>
      <c r="C3322">
        <v>22</v>
      </c>
      <c r="D3322" t="s">
        <v>17</v>
      </c>
      <c r="E3322" t="s">
        <v>22</v>
      </c>
      <c r="F3322" t="s">
        <v>18</v>
      </c>
      <c r="G3322" t="s">
        <v>30</v>
      </c>
      <c r="H3322">
        <v>380.5</v>
      </c>
      <c r="I3322" s="13">
        <v>6</v>
      </c>
      <c r="J3322">
        <v>0</v>
      </c>
      <c r="K3322">
        <v>0</v>
      </c>
      <c r="L3322">
        <v>0</v>
      </c>
      <c r="M3322">
        <v>0</v>
      </c>
      <c r="O3322">
        <f t="shared" si="51"/>
        <v>6</v>
      </c>
    </row>
    <row r="3323" spans="1:15">
      <c r="A3323">
        <v>3080</v>
      </c>
      <c r="B3323" s="1">
        <v>45828</v>
      </c>
      <c r="C3323">
        <v>22</v>
      </c>
      <c r="D3323" t="s">
        <v>14</v>
      </c>
      <c r="E3323" t="s">
        <v>15</v>
      </c>
      <c r="F3323" t="s">
        <v>16</v>
      </c>
      <c r="H3323">
        <v>368.6</v>
      </c>
      <c r="I3323" s="13">
        <v>7</v>
      </c>
      <c r="J3323">
        <v>0</v>
      </c>
      <c r="K3323">
        <v>0</v>
      </c>
      <c r="L3323">
        <v>0</v>
      </c>
      <c r="M3323">
        <v>0</v>
      </c>
      <c r="O3323">
        <f t="shared" si="51"/>
        <v>6</v>
      </c>
    </row>
    <row r="3324" spans="1:15">
      <c r="A3324">
        <v>790</v>
      </c>
      <c r="B3324" s="1">
        <v>45828</v>
      </c>
      <c r="C3324">
        <v>25</v>
      </c>
      <c r="D3324" t="s">
        <v>17</v>
      </c>
      <c r="E3324" t="s">
        <v>22</v>
      </c>
      <c r="F3324" t="s">
        <v>21</v>
      </c>
      <c r="H3324">
        <v>213.6</v>
      </c>
      <c r="I3324" s="13">
        <v>9</v>
      </c>
      <c r="J3324">
        <v>0</v>
      </c>
      <c r="K3324">
        <v>0</v>
      </c>
      <c r="L3324">
        <v>0</v>
      </c>
      <c r="M3324">
        <v>0</v>
      </c>
      <c r="O3324">
        <f t="shared" si="51"/>
        <v>6</v>
      </c>
    </row>
    <row r="3325" spans="1:15">
      <c r="A3325">
        <v>4625</v>
      </c>
      <c r="B3325" s="1">
        <v>45828</v>
      </c>
      <c r="C3325">
        <v>62</v>
      </c>
      <c r="D3325" t="s">
        <v>14</v>
      </c>
      <c r="E3325" t="s">
        <v>24</v>
      </c>
      <c r="F3325" t="s">
        <v>18</v>
      </c>
      <c r="G3325" t="s">
        <v>28</v>
      </c>
      <c r="H3325">
        <v>206.3</v>
      </c>
      <c r="I3325" s="13">
        <v>7</v>
      </c>
      <c r="J3325">
        <v>0</v>
      </c>
      <c r="K3325">
        <v>0</v>
      </c>
      <c r="L3325">
        <v>0</v>
      </c>
      <c r="M3325">
        <v>0</v>
      </c>
      <c r="O3325">
        <f t="shared" si="51"/>
        <v>6</v>
      </c>
    </row>
    <row r="3326" spans="1:15">
      <c r="A3326">
        <v>3077</v>
      </c>
      <c r="B3326" s="1">
        <v>45828</v>
      </c>
      <c r="C3326">
        <v>45</v>
      </c>
      <c r="D3326" t="s">
        <v>17</v>
      </c>
      <c r="E3326" t="s">
        <v>15</v>
      </c>
      <c r="F3326" t="s">
        <v>16</v>
      </c>
      <c r="H3326">
        <v>199.4</v>
      </c>
      <c r="I3326" s="13">
        <v>8</v>
      </c>
      <c r="J3326">
        <v>0</v>
      </c>
      <c r="K3326">
        <v>0</v>
      </c>
      <c r="L3326">
        <v>0</v>
      </c>
      <c r="M3326">
        <v>0</v>
      </c>
      <c r="O3326">
        <f t="shared" si="51"/>
        <v>6</v>
      </c>
    </row>
    <row r="3327" spans="1:15">
      <c r="A3327">
        <v>536</v>
      </c>
      <c r="B3327" s="1">
        <v>45828</v>
      </c>
      <c r="C3327">
        <v>29</v>
      </c>
      <c r="D3327" t="s">
        <v>14</v>
      </c>
      <c r="E3327" t="s">
        <v>20</v>
      </c>
      <c r="F3327" t="s">
        <v>18</v>
      </c>
      <c r="G3327" t="s">
        <v>19</v>
      </c>
      <c r="H3327">
        <v>191.2</v>
      </c>
      <c r="I3327" s="13">
        <v>7</v>
      </c>
      <c r="J3327">
        <v>0</v>
      </c>
      <c r="K3327">
        <v>0</v>
      </c>
      <c r="L3327">
        <v>0</v>
      </c>
      <c r="M3327">
        <v>0</v>
      </c>
      <c r="O3327">
        <f t="shared" si="51"/>
        <v>6</v>
      </c>
    </row>
    <row r="3328" spans="1:15">
      <c r="A3328">
        <v>576</v>
      </c>
      <c r="B3328" s="1">
        <v>45828</v>
      </c>
      <c r="C3328">
        <v>27</v>
      </c>
      <c r="D3328" t="s">
        <v>17</v>
      </c>
      <c r="E3328" t="s">
        <v>15</v>
      </c>
      <c r="F3328" t="s">
        <v>16</v>
      </c>
      <c r="H3328">
        <v>179.8</v>
      </c>
      <c r="I3328" s="13">
        <v>2</v>
      </c>
      <c r="J3328">
        <v>0</v>
      </c>
      <c r="K3328">
        <v>0</v>
      </c>
      <c r="L3328">
        <v>0</v>
      </c>
      <c r="M3328">
        <v>0</v>
      </c>
      <c r="O3328">
        <f t="shared" si="51"/>
        <v>6</v>
      </c>
    </row>
    <row r="3329" spans="1:15">
      <c r="A3329">
        <v>870</v>
      </c>
      <c r="B3329" s="1">
        <v>45828</v>
      </c>
      <c r="C3329">
        <v>18</v>
      </c>
      <c r="D3329" t="s">
        <v>14</v>
      </c>
      <c r="E3329" t="s">
        <v>22</v>
      </c>
      <c r="F3329" t="s">
        <v>16</v>
      </c>
      <c r="H3329">
        <v>178.7</v>
      </c>
      <c r="I3329" s="13">
        <v>3</v>
      </c>
      <c r="J3329">
        <v>0</v>
      </c>
      <c r="K3329">
        <v>0</v>
      </c>
      <c r="L3329">
        <v>0</v>
      </c>
      <c r="M3329">
        <v>0</v>
      </c>
      <c r="O3329">
        <f t="shared" si="51"/>
        <v>6</v>
      </c>
    </row>
    <row r="3330" spans="1:15">
      <c r="A3330">
        <v>4847</v>
      </c>
      <c r="B3330" s="1">
        <v>45828</v>
      </c>
      <c r="C3330">
        <v>57</v>
      </c>
      <c r="D3330" t="s">
        <v>14</v>
      </c>
      <c r="E3330" t="s">
        <v>24</v>
      </c>
      <c r="F3330" t="s">
        <v>16</v>
      </c>
      <c r="H3330">
        <v>171.3</v>
      </c>
      <c r="I3330" s="13">
        <v>5</v>
      </c>
      <c r="J3330">
        <v>0</v>
      </c>
      <c r="K3330">
        <v>0</v>
      </c>
      <c r="L3330">
        <v>0</v>
      </c>
      <c r="M3330">
        <v>0</v>
      </c>
      <c r="O3330">
        <f t="shared" si="51"/>
        <v>6</v>
      </c>
    </row>
    <row r="3331" spans="1:15">
      <c r="A3331">
        <v>918</v>
      </c>
      <c r="B3331" s="1">
        <v>45828</v>
      </c>
      <c r="C3331">
        <v>24</v>
      </c>
      <c r="D3331" t="s">
        <v>27</v>
      </c>
      <c r="E3331" t="s">
        <v>24</v>
      </c>
      <c r="F3331" t="s">
        <v>16</v>
      </c>
      <c r="H3331">
        <v>164.5</v>
      </c>
      <c r="I3331" s="13">
        <v>3</v>
      </c>
      <c r="J3331">
        <v>0</v>
      </c>
      <c r="K3331">
        <v>0</v>
      </c>
      <c r="L3331">
        <v>0</v>
      </c>
      <c r="M3331">
        <v>0</v>
      </c>
      <c r="O3331">
        <f t="shared" ref="O3331:O3394" si="52">MONTH(B3331)</f>
        <v>6</v>
      </c>
    </row>
    <row r="3332" spans="1:15">
      <c r="A3332">
        <v>3027</v>
      </c>
      <c r="B3332" s="1">
        <v>45828</v>
      </c>
      <c r="C3332">
        <v>35</v>
      </c>
      <c r="D3332" t="s">
        <v>14</v>
      </c>
      <c r="E3332" t="s">
        <v>22</v>
      </c>
      <c r="F3332" t="s">
        <v>18</v>
      </c>
      <c r="G3332" t="s">
        <v>30</v>
      </c>
      <c r="H3332">
        <v>148.1</v>
      </c>
      <c r="I3332" s="13">
        <v>3</v>
      </c>
      <c r="J3332">
        <v>0</v>
      </c>
      <c r="K3332">
        <v>0</v>
      </c>
      <c r="L3332">
        <v>0</v>
      </c>
      <c r="M3332">
        <v>0</v>
      </c>
      <c r="O3332">
        <f t="shared" si="52"/>
        <v>6</v>
      </c>
    </row>
    <row r="3333" spans="1:15">
      <c r="A3333">
        <v>4128</v>
      </c>
      <c r="B3333" s="1">
        <v>45828</v>
      </c>
      <c r="C3333">
        <v>46</v>
      </c>
      <c r="D3333" t="s">
        <v>14</v>
      </c>
      <c r="E3333" t="s">
        <v>24</v>
      </c>
      <c r="F3333" t="s">
        <v>21</v>
      </c>
      <c r="H3333">
        <v>142.4</v>
      </c>
      <c r="I3333" s="13">
        <v>15</v>
      </c>
      <c r="J3333">
        <v>0</v>
      </c>
      <c r="K3333">
        <v>0</v>
      </c>
      <c r="L3333">
        <v>0</v>
      </c>
      <c r="M3333">
        <v>0</v>
      </c>
      <c r="O3333">
        <f t="shared" si="52"/>
        <v>6</v>
      </c>
    </row>
    <row r="3334" spans="1:15">
      <c r="A3334">
        <v>2969</v>
      </c>
      <c r="B3334" s="1">
        <v>45828</v>
      </c>
      <c r="C3334">
        <v>18</v>
      </c>
      <c r="D3334" t="s">
        <v>17</v>
      </c>
      <c r="E3334" t="s">
        <v>22</v>
      </c>
      <c r="F3334" t="s">
        <v>23</v>
      </c>
      <c r="H3334">
        <v>128.5</v>
      </c>
      <c r="I3334" s="13">
        <v>6</v>
      </c>
      <c r="J3334">
        <v>0</v>
      </c>
      <c r="K3334">
        <v>0</v>
      </c>
      <c r="L3334">
        <v>0</v>
      </c>
      <c r="M3334">
        <v>0</v>
      </c>
      <c r="O3334">
        <f t="shared" si="52"/>
        <v>6</v>
      </c>
    </row>
    <row r="3335" spans="1:15">
      <c r="A3335">
        <v>2872</v>
      </c>
      <c r="B3335" s="1">
        <v>45828</v>
      </c>
      <c r="C3335">
        <v>18</v>
      </c>
      <c r="D3335" t="s">
        <v>17</v>
      </c>
      <c r="E3335" t="s">
        <v>15</v>
      </c>
      <c r="F3335" t="s">
        <v>16</v>
      </c>
      <c r="H3335">
        <v>120.8</v>
      </c>
      <c r="I3335" s="13">
        <v>6</v>
      </c>
      <c r="J3335">
        <v>0</v>
      </c>
      <c r="K3335">
        <v>0</v>
      </c>
      <c r="L3335">
        <v>0</v>
      </c>
      <c r="M3335">
        <v>0</v>
      </c>
      <c r="O3335">
        <f t="shared" si="52"/>
        <v>6</v>
      </c>
    </row>
    <row r="3336" spans="1:15">
      <c r="A3336">
        <v>34</v>
      </c>
      <c r="B3336" s="1">
        <v>45828</v>
      </c>
      <c r="C3336">
        <v>26</v>
      </c>
      <c r="D3336" t="s">
        <v>14</v>
      </c>
      <c r="E3336" t="s">
        <v>24</v>
      </c>
      <c r="F3336" t="s">
        <v>16</v>
      </c>
      <c r="H3336">
        <v>94.7</v>
      </c>
      <c r="I3336" s="13">
        <v>3</v>
      </c>
      <c r="J3336">
        <v>0</v>
      </c>
      <c r="K3336">
        <v>0</v>
      </c>
      <c r="L3336">
        <v>0</v>
      </c>
      <c r="M3336">
        <v>0</v>
      </c>
      <c r="O3336">
        <f t="shared" si="52"/>
        <v>6</v>
      </c>
    </row>
    <row r="3337" spans="1:15">
      <c r="A3337">
        <v>4641</v>
      </c>
      <c r="B3337" s="1">
        <v>45828</v>
      </c>
      <c r="C3337">
        <v>34</v>
      </c>
      <c r="D3337" t="s">
        <v>17</v>
      </c>
      <c r="E3337" t="s">
        <v>24</v>
      </c>
      <c r="F3337" t="s">
        <v>16</v>
      </c>
      <c r="H3337">
        <v>74.900000000000006</v>
      </c>
      <c r="I3337" s="13">
        <v>9</v>
      </c>
      <c r="J3337">
        <v>0</v>
      </c>
      <c r="K3337">
        <v>0</v>
      </c>
      <c r="L3337">
        <v>0</v>
      </c>
      <c r="M3337">
        <v>0</v>
      </c>
      <c r="O3337">
        <f t="shared" si="52"/>
        <v>6</v>
      </c>
    </row>
    <row r="3338" spans="1:15">
      <c r="A3338">
        <v>1085</v>
      </c>
      <c r="B3338" s="1">
        <v>45828</v>
      </c>
      <c r="C3338">
        <v>20</v>
      </c>
      <c r="D3338" t="s">
        <v>14</v>
      </c>
      <c r="E3338" t="s">
        <v>15</v>
      </c>
      <c r="F3338" t="s">
        <v>18</v>
      </c>
      <c r="G3338" t="s">
        <v>26</v>
      </c>
      <c r="H3338">
        <v>71.099999999999994</v>
      </c>
      <c r="I3338" s="13">
        <v>5</v>
      </c>
      <c r="J3338">
        <v>0</v>
      </c>
      <c r="K3338">
        <v>0</v>
      </c>
      <c r="L3338">
        <v>0</v>
      </c>
      <c r="M3338">
        <v>0</v>
      </c>
      <c r="O3338">
        <f t="shared" si="52"/>
        <v>6</v>
      </c>
    </row>
    <row r="3339" spans="1:15">
      <c r="A3339">
        <v>182</v>
      </c>
      <c r="B3339" s="1">
        <v>45678</v>
      </c>
      <c r="C3339">
        <v>26</v>
      </c>
      <c r="D3339" t="s">
        <v>14</v>
      </c>
      <c r="E3339" t="s">
        <v>15</v>
      </c>
      <c r="F3339" t="s">
        <v>16</v>
      </c>
      <c r="H3339">
        <v>748.1</v>
      </c>
      <c r="I3339" s="13">
        <v>7</v>
      </c>
      <c r="J3339">
        <v>1</v>
      </c>
      <c r="K3339">
        <v>196.48</v>
      </c>
      <c r="L3339">
        <v>3</v>
      </c>
      <c r="M3339">
        <v>13</v>
      </c>
      <c r="N3339">
        <v>5</v>
      </c>
      <c r="O3339">
        <f t="shared" si="52"/>
        <v>1</v>
      </c>
    </row>
    <row r="3340" spans="1:15">
      <c r="A3340">
        <v>2309</v>
      </c>
      <c r="B3340" s="1">
        <v>45678</v>
      </c>
      <c r="C3340">
        <v>30</v>
      </c>
      <c r="D3340" t="s">
        <v>14</v>
      </c>
      <c r="E3340" t="s">
        <v>24</v>
      </c>
      <c r="F3340" t="s">
        <v>18</v>
      </c>
      <c r="G3340" t="s">
        <v>29</v>
      </c>
      <c r="H3340">
        <v>149.80000000000001</v>
      </c>
      <c r="I3340" s="13">
        <v>9</v>
      </c>
      <c r="J3340">
        <v>1</v>
      </c>
      <c r="K3340">
        <v>40.64</v>
      </c>
      <c r="L3340">
        <v>3</v>
      </c>
      <c r="M3340">
        <v>9</v>
      </c>
      <c r="N3340">
        <v>4</v>
      </c>
      <c r="O3340">
        <f t="shared" si="52"/>
        <v>1</v>
      </c>
    </row>
    <row r="3341" spans="1:15">
      <c r="A3341">
        <v>547</v>
      </c>
      <c r="B3341" s="1">
        <v>45678</v>
      </c>
      <c r="C3341">
        <v>29</v>
      </c>
      <c r="D3341" t="s">
        <v>17</v>
      </c>
      <c r="E3341" t="s">
        <v>20</v>
      </c>
      <c r="F3341" t="s">
        <v>18</v>
      </c>
      <c r="G3341" t="s">
        <v>26</v>
      </c>
      <c r="H3341">
        <v>427</v>
      </c>
      <c r="I3341" s="13">
        <v>6</v>
      </c>
      <c r="J3341">
        <v>1</v>
      </c>
      <c r="K3341">
        <v>38.97</v>
      </c>
      <c r="L3341">
        <v>2</v>
      </c>
      <c r="M3341">
        <v>6</v>
      </c>
      <c r="N3341">
        <v>4</v>
      </c>
      <c r="O3341">
        <f t="shared" si="52"/>
        <v>1</v>
      </c>
    </row>
    <row r="3342" spans="1:15">
      <c r="A3342">
        <v>1412</v>
      </c>
      <c r="B3342" s="1">
        <v>45678</v>
      </c>
      <c r="C3342">
        <v>31</v>
      </c>
      <c r="D3342" t="s">
        <v>14</v>
      </c>
      <c r="E3342" t="s">
        <v>15</v>
      </c>
      <c r="F3342" t="s">
        <v>16</v>
      </c>
      <c r="H3342">
        <v>1027</v>
      </c>
      <c r="I3342" s="13">
        <v>6</v>
      </c>
      <c r="J3342">
        <v>1</v>
      </c>
      <c r="K3342">
        <v>35.51</v>
      </c>
      <c r="L3342">
        <v>1</v>
      </c>
      <c r="M3342">
        <v>10</v>
      </c>
      <c r="N3342">
        <v>4</v>
      </c>
      <c r="O3342">
        <f t="shared" si="52"/>
        <v>1</v>
      </c>
    </row>
    <row r="3343" spans="1:15">
      <c r="A3343">
        <v>2044</v>
      </c>
      <c r="B3343" s="1">
        <v>45678</v>
      </c>
      <c r="C3343">
        <v>30</v>
      </c>
      <c r="D3343" t="s">
        <v>17</v>
      </c>
      <c r="E3343" t="s">
        <v>20</v>
      </c>
      <c r="F3343" t="s">
        <v>18</v>
      </c>
      <c r="G3343" t="s">
        <v>25</v>
      </c>
      <c r="H3343">
        <v>500.4</v>
      </c>
      <c r="I3343" s="13">
        <v>3</v>
      </c>
      <c r="J3343">
        <v>1</v>
      </c>
      <c r="K3343">
        <v>35.299999999999997</v>
      </c>
      <c r="L3343">
        <v>2</v>
      </c>
      <c r="M3343">
        <v>8</v>
      </c>
      <c r="N3343">
        <v>5</v>
      </c>
      <c r="O3343">
        <f t="shared" si="52"/>
        <v>1</v>
      </c>
    </row>
    <row r="3344" spans="1:15">
      <c r="A3344">
        <v>2220</v>
      </c>
      <c r="B3344" s="1">
        <v>45678</v>
      </c>
      <c r="C3344">
        <v>42</v>
      </c>
      <c r="D3344" t="s">
        <v>17</v>
      </c>
      <c r="E3344" t="s">
        <v>24</v>
      </c>
      <c r="F3344" t="s">
        <v>18</v>
      </c>
      <c r="G3344" t="s">
        <v>28</v>
      </c>
      <c r="H3344">
        <v>177.9</v>
      </c>
      <c r="I3344" s="13">
        <v>6</v>
      </c>
      <c r="J3344">
        <v>1</v>
      </c>
      <c r="K3344">
        <v>30.41</v>
      </c>
      <c r="L3344">
        <v>3</v>
      </c>
      <c r="M3344">
        <v>3</v>
      </c>
      <c r="N3344">
        <v>4</v>
      </c>
      <c r="O3344">
        <f t="shared" si="52"/>
        <v>1</v>
      </c>
    </row>
    <row r="3345" spans="1:15">
      <c r="A3345">
        <v>695</v>
      </c>
      <c r="B3345" s="1">
        <v>45678</v>
      </c>
      <c r="C3345">
        <v>28</v>
      </c>
      <c r="D3345" t="s">
        <v>14</v>
      </c>
      <c r="E3345" t="s">
        <v>15</v>
      </c>
      <c r="F3345" t="s">
        <v>23</v>
      </c>
      <c r="H3345">
        <v>148.4</v>
      </c>
      <c r="I3345" s="13">
        <v>5</v>
      </c>
      <c r="J3345">
        <v>1</v>
      </c>
      <c r="K3345">
        <v>20.51</v>
      </c>
      <c r="L3345">
        <v>4</v>
      </c>
      <c r="M3345">
        <v>9</v>
      </c>
      <c r="N3345">
        <v>4</v>
      </c>
      <c r="O3345">
        <f t="shared" si="52"/>
        <v>1</v>
      </c>
    </row>
    <row r="3346" spans="1:15">
      <c r="A3346">
        <v>2427</v>
      </c>
      <c r="B3346" s="1">
        <v>45678</v>
      </c>
      <c r="C3346">
        <v>28</v>
      </c>
      <c r="D3346" t="s">
        <v>17</v>
      </c>
      <c r="E3346" t="s">
        <v>20</v>
      </c>
      <c r="F3346" t="s">
        <v>21</v>
      </c>
      <c r="H3346">
        <v>113.7</v>
      </c>
      <c r="I3346" s="13">
        <v>9</v>
      </c>
      <c r="J3346">
        <v>1</v>
      </c>
      <c r="K3346">
        <v>13.88</v>
      </c>
      <c r="L3346">
        <v>4</v>
      </c>
      <c r="M3346">
        <v>5</v>
      </c>
      <c r="N3346">
        <v>5</v>
      </c>
      <c r="O3346">
        <f t="shared" si="52"/>
        <v>1</v>
      </c>
    </row>
    <row r="3347" spans="1:15">
      <c r="A3347">
        <v>810</v>
      </c>
      <c r="B3347" s="1">
        <v>45678</v>
      </c>
      <c r="C3347">
        <v>24</v>
      </c>
      <c r="D3347" t="s">
        <v>14</v>
      </c>
      <c r="E3347" t="s">
        <v>20</v>
      </c>
      <c r="F3347" t="s">
        <v>16</v>
      </c>
      <c r="H3347">
        <v>1378.1</v>
      </c>
      <c r="I3347" s="13">
        <v>7</v>
      </c>
      <c r="J3347">
        <v>0</v>
      </c>
      <c r="K3347">
        <v>0</v>
      </c>
      <c r="L3347">
        <v>0</v>
      </c>
      <c r="M3347">
        <v>0</v>
      </c>
      <c r="O3347">
        <f t="shared" si="52"/>
        <v>1</v>
      </c>
    </row>
    <row r="3348" spans="1:15">
      <c r="A3348">
        <v>3852</v>
      </c>
      <c r="B3348" s="1">
        <v>45678</v>
      </c>
      <c r="C3348">
        <v>45</v>
      </c>
      <c r="D3348" t="s">
        <v>14</v>
      </c>
      <c r="E3348" t="s">
        <v>20</v>
      </c>
      <c r="F3348" t="s">
        <v>16</v>
      </c>
      <c r="H3348">
        <v>501.9</v>
      </c>
      <c r="I3348" s="13">
        <v>6</v>
      </c>
      <c r="J3348">
        <v>0</v>
      </c>
      <c r="K3348">
        <v>0</v>
      </c>
      <c r="L3348">
        <v>0</v>
      </c>
      <c r="M3348">
        <v>0</v>
      </c>
      <c r="O3348">
        <f t="shared" si="52"/>
        <v>1</v>
      </c>
    </row>
    <row r="3349" spans="1:15">
      <c r="A3349">
        <v>1669</v>
      </c>
      <c r="B3349" s="1">
        <v>45678</v>
      </c>
      <c r="C3349">
        <v>28</v>
      </c>
      <c r="D3349" t="s">
        <v>17</v>
      </c>
      <c r="E3349" t="s">
        <v>15</v>
      </c>
      <c r="F3349" t="s">
        <v>16</v>
      </c>
      <c r="H3349">
        <v>455.7</v>
      </c>
      <c r="I3349" s="13">
        <v>5</v>
      </c>
      <c r="J3349">
        <v>0</v>
      </c>
      <c r="K3349">
        <v>0</v>
      </c>
      <c r="L3349">
        <v>0</v>
      </c>
      <c r="M3349">
        <v>0</v>
      </c>
      <c r="O3349">
        <f t="shared" si="52"/>
        <v>1</v>
      </c>
    </row>
    <row r="3350" spans="1:15">
      <c r="A3350">
        <v>3674</v>
      </c>
      <c r="B3350" s="1">
        <v>45678</v>
      </c>
      <c r="C3350">
        <v>26</v>
      </c>
      <c r="D3350" t="s">
        <v>17</v>
      </c>
      <c r="E3350" t="s">
        <v>24</v>
      </c>
      <c r="F3350" t="s">
        <v>16</v>
      </c>
      <c r="H3350">
        <v>398.1</v>
      </c>
      <c r="I3350" s="13">
        <v>4</v>
      </c>
      <c r="J3350">
        <v>0</v>
      </c>
      <c r="K3350">
        <v>0</v>
      </c>
      <c r="L3350">
        <v>0</v>
      </c>
      <c r="M3350">
        <v>0</v>
      </c>
      <c r="O3350">
        <f t="shared" si="52"/>
        <v>1</v>
      </c>
    </row>
    <row r="3351" spans="1:15">
      <c r="A3351">
        <v>2250</v>
      </c>
      <c r="B3351" s="1">
        <v>45678</v>
      </c>
      <c r="C3351">
        <v>26</v>
      </c>
      <c r="D3351" t="s">
        <v>14</v>
      </c>
      <c r="E3351" t="s">
        <v>15</v>
      </c>
      <c r="F3351" t="s">
        <v>18</v>
      </c>
      <c r="G3351" t="s">
        <v>29</v>
      </c>
      <c r="H3351">
        <v>357.7</v>
      </c>
      <c r="I3351" s="13">
        <v>6</v>
      </c>
      <c r="J3351">
        <v>0</v>
      </c>
      <c r="K3351">
        <v>0</v>
      </c>
      <c r="L3351">
        <v>0</v>
      </c>
      <c r="M3351">
        <v>0</v>
      </c>
      <c r="O3351">
        <f t="shared" si="52"/>
        <v>1</v>
      </c>
    </row>
    <row r="3352" spans="1:15">
      <c r="A3352">
        <v>3770</v>
      </c>
      <c r="B3352" s="1">
        <v>45678</v>
      </c>
      <c r="C3352">
        <v>37</v>
      </c>
      <c r="D3352" t="s">
        <v>17</v>
      </c>
      <c r="E3352" t="s">
        <v>22</v>
      </c>
      <c r="F3352" t="s">
        <v>23</v>
      </c>
      <c r="H3352">
        <v>345.2</v>
      </c>
      <c r="I3352" s="13">
        <v>2</v>
      </c>
      <c r="J3352">
        <v>0</v>
      </c>
      <c r="K3352">
        <v>0</v>
      </c>
      <c r="L3352">
        <v>0</v>
      </c>
      <c r="M3352">
        <v>0</v>
      </c>
      <c r="O3352">
        <f t="shared" si="52"/>
        <v>1</v>
      </c>
    </row>
    <row r="3353" spans="1:15">
      <c r="A3353">
        <v>334</v>
      </c>
      <c r="B3353" s="1">
        <v>45678</v>
      </c>
      <c r="C3353">
        <v>24</v>
      </c>
      <c r="D3353" t="s">
        <v>17</v>
      </c>
      <c r="E3353" t="s">
        <v>22</v>
      </c>
      <c r="F3353" t="s">
        <v>16</v>
      </c>
      <c r="H3353">
        <v>310.8</v>
      </c>
      <c r="I3353" s="13">
        <v>8</v>
      </c>
      <c r="J3353">
        <v>0</v>
      </c>
      <c r="K3353">
        <v>0</v>
      </c>
      <c r="L3353">
        <v>0</v>
      </c>
      <c r="M3353">
        <v>0</v>
      </c>
      <c r="O3353">
        <f t="shared" si="52"/>
        <v>1</v>
      </c>
    </row>
    <row r="3354" spans="1:15">
      <c r="A3354">
        <v>2679</v>
      </c>
      <c r="B3354" s="1">
        <v>45678</v>
      </c>
      <c r="C3354">
        <v>18</v>
      </c>
      <c r="D3354" t="s">
        <v>14</v>
      </c>
      <c r="E3354" t="s">
        <v>15</v>
      </c>
      <c r="F3354" t="s">
        <v>18</v>
      </c>
      <c r="G3354" t="s">
        <v>25</v>
      </c>
      <c r="H3354">
        <v>274.3</v>
      </c>
      <c r="I3354" s="13">
        <v>9</v>
      </c>
      <c r="J3354">
        <v>0</v>
      </c>
      <c r="K3354">
        <v>0</v>
      </c>
      <c r="L3354">
        <v>0</v>
      </c>
      <c r="M3354">
        <v>0</v>
      </c>
      <c r="O3354">
        <f t="shared" si="52"/>
        <v>1</v>
      </c>
    </row>
    <row r="3355" spans="1:15">
      <c r="A3355">
        <v>2037</v>
      </c>
      <c r="B3355" s="1">
        <v>45678</v>
      </c>
      <c r="C3355">
        <v>37</v>
      </c>
      <c r="D3355" t="s">
        <v>17</v>
      </c>
      <c r="E3355" t="s">
        <v>20</v>
      </c>
      <c r="F3355" t="s">
        <v>23</v>
      </c>
      <c r="H3355">
        <v>273.2</v>
      </c>
      <c r="I3355" s="13">
        <v>1</v>
      </c>
      <c r="J3355">
        <v>0</v>
      </c>
      <c r="K3355">
        <v>0</v>
      </c>
      <c r="L3355">
        <v>0</v>
      </c>
      <c r="M3355">
        <v>0</v>
      </c>
      <c r="O3355">
        <f t="shared" si="52"/>
        <v>1</v>
      </c>
    </row>
    <row r="3356" spans="1:15">
      <c r="A3356">
        <v>4261</v>
      </c>
      <c r="B3356" s="1">
        <v>45678</v>
      </c>
      <c r="C3356">
        <v>45</v>
      </c>
      <c r="D3356" t="s">
        <v>14</v>
      </c>
      <c r="E3356" t="s">
        <v>15</v>
      </c>
      <c r="F3356" t="s">
        <v>16</v>
      </c>
      <c r="H3356">
        <v>270.39999999999998</v>
      </c>
      <c r="I3356" s="13">
        <v>5</v>
      </c>
      <c r="J3356">
        <v>0</v>
      </c>
      <c r="K3356">
        <v>0</v>
      </c>
      <c r="L3356">
        <v>0</v>
      </c>
      <c r="M3356">
        <v>0</v>
      </c>
      <c r="O3356">
        <f t="shared" si="52"/>
        <v>1</v>
      </c>
    </row>
    <row r="3357" spans="1:15">
      <c r="A3357">
        <v>455</v>
      </c>
      <c r="B3357" s="1">
        <v>45678</v>
      </c>
      <c r="C3357">
        <v>20</v>
      </c>
      <c r="D3357" t="s">
        <v>14</v>
      </c>
      <c r="E3357" t="s">
        <v>22</v>
      </c>
      <c r="F3357" t="s">
        <v>21</v>
      </c>
      <c r="H3357">
        <v>257.5</v>
      </c>
      <c r="I3357" s="13">
        <v>5</v>
      </c>
      <c r="J3357">
        <v>0</v>
      </c>
      <c r="K3357">
        <v>0</v>
      </c>
      <c r="L3357">
        <v>0</v>
      </c>
      <c r="M3357">
        <v>0</v>
      </c>
      <c r="O3357">
        <f t="shared" si="52"/>
        <v>1</v>
      </c>
    </row>
    <row r="3358" spans="1:15">
      <c r="A3358">
        <v>3043</v>
      </c>
      <c r="B3358" s="1">
        <v>45678</v>
      </c>
      <c r="C3358">
        <v>25</v>
      </c>
      <c r="D3358" t="s">
        <v>14</v>
      </c>
      <c r="E3358" t="s">
        <v>15</v>
      </c>
      <c r="F3358" t="s">
        <v>18</v>
      </c>
      <c r="G3358" t="s">
        <v>28</v>
      </c>
      <c r="H3358">
        <v>229.3</v>
      </c>
      <c r="I3358" s="13">
        <v>8</v>
      </c>
      <c r="J3358">
        <v>0</v>
      </c>
      <c r="K3358">
        <v>0</v>
      </c>
      <c r="L3358">
        <v>0</v>
      </c>
      <c r="M3358">
        <v>0</v>
      </c>
      <c r="O3358">
        <f t="shared" si="52"/>
        <v>1</v>
      </c>
    </row>
    <row r="3359" spans="1:15">
      <c r="A3359">
        <v>80</v>
      </c>
      <c r="B3359" s="1">
        <v>45678</v>
      </c>
      <c r="C3359">
        <v>18</v>
      </c>
      <c r="D3359" t="s">
        <v>14</v>
      </c>
      <c r="E3359" t="s">
        <v>22</v>
      </c>
      <c r="F3359" t="s">
        <v>18</v>
      </c>
      <c r="G3359" t="s">
        <v>31</v>
      </c>
      <c r="H3359">
        <v>161.6</v>
      </c>
      <c r="I3359" s="13">
        <v>3</v>
      </c>
      <c r="J3359">
        <v>0</v>
      </c>
      <c r="K3359">
        <v>0</v>
      </c>
      <c r="L3359">
        <v>0</v>
      </c>
      <c r="M3359">
        <v>0</v>
      </c>
      <c r="O3359">
        <f t="shared" si="52"/>
        <v>1</v>
      </c>
    </row>
    <row r="3360" spans="1:15">
      <c r="A3360">
        <v>3252</v>
      </c>
      <c r="B3360" s="1">
        <v>45678</v>
      </c>
      <c r="C3360">
        <v>43</v>
      </c>
      <c r="D3360" t="s">
        <v>17</v>
      </c>
      <c r="E3360" t="s">
        <v>15</v>
      </c>
      <c r="F3360" t="s">
        <v>16</v>
      </c>
      <c r="H3360">
        <v>138.19999999999999</v>
      </c>
      <c r="I3360" s="13">
        <v>5</v>
      </c>
      <c r="J3360">
        <v>0</v>
      </c>
      <c r="K3360">
        <v>0</v>
      </c>
      <c r="L3360">
        <v>0</v>
      </c>
      <c r="M3360">
        <v>0</v>
      </c>
      <c r="O3360">
        <f t="shared" si="52"/>
        <v>1</v>
      </c>
    </row>
    <row r="3361" spans="1:15">
      <c r="A3361">
        <v>4674</v>
      </c>
      <c r="B3361" s="1">
        <v>45678</v>
      </c>
      <c r="C3361">
        <v>40</v>
      </c>
      <c r="D3361" t="s">
        <v>14</v>
      </c>
      <c r="E3361" t="s">
        <v>20</v>
      </c>
      <c r="F3361" t="s">
        <v>16</v>
      </c>
      <c r="H3361">
        <v>133.30000000000001</v>
      </c>
      <c r="I3361" s="13">
        <v>7</v>
      </c>
      <c r="J3361">
        <v>0</v>
      </c>
      <c r="K3361">
        <v>0</v>
      </c>
      <c r="L3361">
        <v>0</v>
      </c>
      <c r="M3361">
        <v>0</v>
      </c>
      <c r="O3361">
        <f t="shared" si="52"/>
        <v>1</v>
      </c>
    </row>
    <row r="3362" spans="1:15">
      <c r="A3362">
        <v>2335</v>
      </c>
      <c r="B3362" s="1">
        <v>45678</v>
      </c>
      <c r="C3362">
        <v>42</v>
      </c>
      <c r="D3362" t="s">
        <v>14</v>
      </c>
      <c r="E3362" t="s">
        <v>24</v>
      </c>
      <c r="F3362" t="s">
        <v>16</v>
      </c>
      <c r="H3362">
        <v>129.5</v>
      </c>
      <c r="I3362" s="13">
        <v>4</v>
      </c>
      <c r="J3362">
        <v>0</v>
      </c>
      <c r="K3362">
        <v>0</v>
      </c>
      <c r="L3362">
        <v>0</v>
      </c>
      <c r="M3362">
        <v>0</v>
      </c>
      <c r="O3362">
        <f t="shared" si="52"/>
        <v>1</v>
      </c>
    </row>
    <row r="3363" spans="1:15">
      <c r="A3363">
        <v>677</v>
      </c>
      <c r="B3363" s="1">
        <v>45678</v>
      </c>
      <c r="C3363">
        <v>25</v>
      </c>
      <c r="D3363" t="s">
        <v>17</v>
      </c>
      <c r="E3363" t="s">
        <v>22</v>
      </c>
      <c r="F3363" t="s">
        <v>23</v>
      </c>
      <c r="H3363">
        <v>127.7</v>
      </c>
      <c r="I3363" s="13">
        <v>6</v>
      </c>
      <c r="J3363">
        <v>0</v>
      </c>
      <c r="K3363">
        <v>0</v>
      </c>
      <c r="L3363">
        <v>0</v>
      </c>
      <c r="M3363">
        <v>0</v>
      </c>
      <c r="O3363">
        <f t="shared" si="52"/>
        <v>1</v>
      </c>
    </row>
    <row r="3364" spans="1:15">
      <c r="A3364">
        <v>467</v>
      </c>
      <c r="B3364" s="1">
        <v>45709</v>
      </c>
      <c r="C3364">
        <v>28</v>
      </c>
      <c r="D3364" t="s">
        <v>14</v>
      </c>
      <c r="E3364" t="s">
        <v>24</v>
      </c>
      <c r="F3364" t="s">
        <v>18</v>
      </c>
      <c r="G3364" t="s">
        <v>28</v>
      </c>
      <c r="H3364">
        <v>806</v>
      </c>
      <c r="I3364" s="13">
        <v>3</v>
      </c>
      <c r="J3364">
        <v>1</v>
      </c>
      <c r="K3364">
        <v>227.97</v>
      </c>
      <c r="L3364">
        <v>2</v>
      </c>
      <c r="M3364">
        <v>6</v>
      </c>
      <c r="N3364">
        <v>3</v>
      </c>
      <c r="O3364">
        <f t="shared" si="52"/>
        <v>2</v>
      </c>
    </row>
    <row r="3365" spans="1:15">
      <c r="A3365">
        <v>965</v>
      </c>
      <c r="B3365" s="1">
        <v>45709</v>
      </c>
      <c r="C3365">
        <v>23</v>
      </c>
      <c r="D3365" t="s">
        <v>17</v>
      </c>
      <c r="E3365" t="s">
        <v>22</v>
      </c>
      <c r="F3365" t="s">
        <v>23</v>
      </c>
      <c r="H3365">
        <v>364.9</v>
      </c>
      <c r="I3365" s="13">
        <v>3</v>
      </c>
      <c r="J3365">
        <v>1</v>
      </c>
      <c r="K3365">
        <v>75.5</v>
      </c>
      <c r="L3365">
        <v>1</v>
      </c>
      <c r="M3365">
        <v>2</v>
      </c>
      <c r="N3365">
        <v>4</v>
      </c>
      <c r="O3365">
        <f t="shared" si="52"/>
        <v>2</v>
      </c>
    </row>
    <row r="3366" spans="1:15">
      <c r="A3366">
        <v>3608</v>
      </c>
      <c r="B3366" s="1">
        <v>45709</v>
      </c>
      <c r="C3366">
        <v>48</v>
      </c>
      <c r="D3366" t="s">
        <v>14</v>
      </c>
      <c r="E3366" t="s">
        <v>24</v>
      </c>
      <c r="F3366" t="s">
        <v>16</v>
      </c>
      <c r="H3366">
        <v>574.79999999999995</v>
      </c>
      <c r="I3366" s="13">
        <v>5</v>
      </c>
      <c r="J3366">
        <v>1</v>
      </c>
      <c r="K3366">
        <v>72.7</v>
      </c>
      <c r="L3366">
        <v>1</v>
      </c>
      <c r="M3366">
        <v>1</v>
      </c>
      <c r="N3366">
        <v>4</v>
      </c>
      <c r="O3366">
        <f t="shared" si="52"/>
        <v>2</v>
      </c>
    </row>
    <row r="3367" spans="1:15">
      <c r="A3367">
        <v>145</v>
      </c>
      <c r="B3367" s="1">
        <v>45709</v>
      </c>
      <c r="C3367">
        <v>29</v>
      </c>
      <c r="D3367" t="s">
        <v>14</v>
      </c>
      <c r="E3367" t="s">
        <v>15</v>
      </c>
      <c r="F3367" t="s">
        <v>16</v>
      </c>
      <c r="H3367">
        <v>880.2</v>
      </c>
      <c r="I3367" s="13">
        <v>7</v>
      </c>
      <c r="J3367">
        <v>1</v>
      </c>
      <c r="K3367">
        <v>50.3</v>
      </c>
      <c r="L3367">
        <v>3</v>
      </c>
      <c r="M3367">
        <v>5</v>
      </c>
      <c r="N3367">
        <v>3</v>
      </c>
      <c r="O3367">
        <f t="shared" si="52"/>
        <v>2</v>
      </c>
    </row>
    <row r="3368" spans="1:15">
      <c r="A3368">
        <v>4198</v>
      </c>
      <c r="B3368" s="1">
        <v>45709</v>
      </c>
      <c r="C3368">
        <v>53</v>
      </c>
      <c r="D3368" t="s">
        <v>17</v>
      </c>
      <c r="E3368" t="s">
        <v>15</v>
      </c>
      <c r="F3368" t="s">
        <v>23</v>
      </c>
      <c r="H3368">
        <v>848.3</v>
      </c>
      <c r="I3368" s="13">
        <v>5</v>
      </c>
      <c r="J3368">
        <v>1</v>
      </c>
      <c r="K3368">
        <v>46.45</v>
      </c>
      <c r="L3368">
        <v>2</v>
      </c>
      <c r="M3368">
        <v>14</v>
      </c>
      <c r="N3368">
        <v>4</v>
      </c>
      <c r="O3368">
        <f t="shared" si="52"/>
        <v>2</v>
      </c>
    </row>
    <row r="3369" spans="1:15">
      <c r="A3369">
        <v>3021</v>
      </c>
      <c r="B3369" s="1">
        <v>45709</v>
      </c>
      <c r="C3369">
        <v>39</v>
      </c>
      <c r="D3369" t="s">
        <v>14</v>
      </c>
      <c r="E3369" t="s">
        <v>24</v>
      </c>
      <c r="F3369" t="s">
        <v>23</v>
      </c>
      <c r="H3369">
        <v>630.4</v>
      </c>
      <c r="I3369" s="13">
        <v>2</v>
      </c>
      <c r="J3369">
        <v>1</v>
      </c>
      <c r="K3369">
        <v>34.200000000000003</v>
      </c>
      <c r="L3369">
        <v>3</v>
      </c>
      <c r="M3369">
        <v>11</v>
      </c>
      <c r="N3369">
        <v>3</v>
      </c>
      <c r="O3369">
        <f t="shared" si="52"/>
        <v>2</v>
      </c>
    </row>
    <row r="3370" spans="1:15">
      <c r="A3370">
        <v>4506</v>
      </c>
      <c r="B3370" s="1">
        <v>45709</v>
      </c>
      <c r="C3370">
        <v>72</v>
      </c>
      <c r="D3370" t="s">
        <v>17</v>
      </c>
      <c r="E3370" t="s">
        <v>15</v>
      </c>
      <c r="F3370" t="s">
        <v>23</v>
      </c>
      <c r="H3370">
        <v>223.1</v>
      </c>
      <c r="I3370" s="13">
        <v>9</v>
      </c>
      <c r="J3370">
        <v>1</v>
      </c>
      <c r="K3370">
        <v>33.93</v>
      </c>
      <c r="L3370">
        <v>4</v>
      </c>
      <c r="M3370">
        <v>15</v>
      </c>
      <c r="N3370">
        <v>4</v>
      </c>
      <c r="O3370">
        <f t="shared" si="52"/>
        <v>2</v>
      </c>
    </row>
    <row r="3371" spans="1:15">
      <c r="A3371">
        <v>3054</v>
      </c>
      <c r="B3371" s="1">
        <v>45709</v>
      </c>
      <c r="C3371">
        <v>33</v>
      </c>
      <c r="D3371" t="s">
        <v>17</v>
      </c>
      <c r="E3371" t="s">
        <v>22</v>
      </c>
      <c r="F3371" t="s">
        <v>18</v>
      </c>
      <c r="G3371" t="s">
        <v>25</v>
      </c>
      <c r="H3371">
        <v>1150.0999999999999</v>
      </c>
      <c r="I3371" s="13">
        <v>11</v>
      </c>
      <c r="J3371">
        <v>1</v>
      </c>
      <c r="K3371">
        <v>25.83</v>
      </c>
      <c r="L3371">
        <v>4</v>
      </c>
      <c r="M3371">
        <v>13</v>
      </c>
      <c r="N3371">
        <v>4</v>
      </c>
      <c r="O3371">
        <f t="shared" si="52"/>
        <v>2</v>
      </c>
    </row>
    <row r="3372" spans="1:15">
      <c r="A3372">
        <v>3501</v>
      </c>
      <c r="B3372" s="1">
        <v>45709</v>
      </c>
      <c r="C3372">
        <v>36</v>
      </c>
      <c r="D3372" t="s">
        <v>14</v>
      </c>
      <c r="E3372" t="s">
        <v>24</v>
      </c>
      <c r="F3372" t="s">
        <v>18</v>
      </c>
      <c r="G3372" t="s">
        <v>25</v>
      </c>
      <c r="H3372">
        <v>923.1</v>
      </c>
      <c r="I3372" s="13">
        <v>7</v>
      </c>
      <c r="J3372">
        <v>1</v>
      </c>
      <c r="K3372">
        <v>23.51</v>
      </c>
      <c r="L3372">
        <v>2</v>
      </c>
      <c r="M3372">
        <v>3</v>
      </c>
      <c r="N3372">
        <v>4</v>
      </c>
      <c r="O3372">
        <f t="shared" si="52"/>
        <v>2</v>
      </c>
    </row>
    <row r="3373" spans="1:15">
      <c r="A3373">
        <v>1170</v>
      </c>
      <c r="B3373" s="1">
        <v>45709</v>
      </c>
      <c r="C3373">
        <v>38</v>
      </c>
      <c r="D3373" t="s">
        <v>14</v>
      </c>
      <c r="E3373" t="s">
        <v>20</v>
      </c>
      <c r="F3373" t="s">
        <v>16</v>
      </c>
      <c r="H3373">
        <v>618</v>
      </c>
      <c r="I3373" s="13">
        <v>6</v>
      </c>
      <c r="J3373">
        <v>1</v>
      </c>
      <c r="K3373">
        <v>19.690000000000001</v>
      </c>
      <c r="L3373">
        <v>2</v>
      </c>
      <c r="M3373">
        <v>13</v>
      </c>
      <c r="N3373">
        <v>5</v>
      </c>
      <c r="O3373">
        <f t="shared" si="52"/>
        <v>2</v>
      </c>
    </row>
    <row r="3374" spans="1:15">
      <c r="A3374">
        <v>2095</v>
      </c>
      <c r="B3374" s="1">
        <v>45709</v>
      </c>
      <c r="C3374">
        <v>42</v>
      </c>
      <c r="D3374" t="s">
        <v>14</v>
      </c>
      <c r="E3374" t="s">
        <v>20</v>
      </c>
      <c r="F3374" t="s">
        <v>23</v>
      </c>
      <c r="H3374">
        <v>501.3</v>
      </c>
      <c r="I3374" s="13">
        <v>5</v>
      </c>
      <c r="J3374">
        <v>1</v>
      </c>
      <c r="K3374">
        <v>16.98</v>
      </c>
      <c r="L3374">
        <v>3</v>
      </c>
      <c r="M3374">
        <v>5</v>
      </c>
      <c r="N3374">
        <v>4</v>
      </c>
      <c r="O3374">
        <f t="shared" si="52"/>
        <v>2</v>
      </c>
    </row>
    <row r="3375" spans="1:15">
      <c r="A3375">
        <v>3012</v>
      </c>
      <c r="B3375" s="1">
        <v>45709</v>
      </c>
      <c r="C3375">
        <v>30</v>
      </c>
      <c r="D3375" t="s">
        <v>14</v>
      </c>
      <c r="E3375" t="s">
        <v>24</v>
      </c>
      <c r="F3375" t="s">
        <v>18</v>
      </c>
      <c r="G3375" t="s">
        <v>26</v>
      </c>
      <c r="H3375">
        <v>513</v>
      </c>
      <c r="I3375" s="13">
        <v>3</v>
      </c>
      <c r="J3375">
        <v>0</v>
      </c>
      <c r="K3375">
        <v>0</v>
      </c>
      <c r="L3375">
        <v>0</v>
      </c>
      <c r="M3375">
        <v>0</v>
      </c>
      <c r="O3375">
        <f t="shared" si="52"/>
        <v>2</v>
      </c>
    </row>
    <row r="3376" spans="1:15">
      <c r="A3376">
        <v>4821</v>
      </c>
      <c r="B3376" s="1">
        <v>45709</v>
      </c>
      <c r="C3376">
        <v>38</v>
      </c>
      <c r="D3376" t="s">
        <v>17</v>
      </c>
      <c r="E3376" t="s">
        <v>20</v>
      </c>
      <c r="F3376" t="s">
        <v>23</v>
      </c>
      <c r="H3376">
        <v>503.8</v>
      </c>
      <c r="I3376" s="13">
        <v>7</v>
      </c>
      <c r="J3376">
        <v>0</v>
      </c>
      <c r="K3376">
        <v>0</v>
      </c>
      <c r="L3376">
        <v>0</v>
      </c>
      <c r="M3376">
        <v>0</v>
      </c>
      <c r="O3376">
        <f t="shared" si="52"/>
        <v>2</v>
      </c>
    </row>
    <row r="3377" spans="1:15">
      <c r="A3377">
        <v>657</v>
      </c>
      <c r="B3377" s="1">
        <v>45709</v>
      </c>
      <c r="C3377">
        <v>27</v>
      </c>
      <c r="D3377" t="s">
        <v>14</v>
      </c>
      <c r="E3377" t="s">
        <v>20</v>
      </c>
      <c r="F3377" t="s">
        <v>21</v>
      </c>
      <c r="H3377">
        <v>496.1</v>
      </c>
      <c r="I3377" s="13">
        <v>2</v>
      </c>
      <c r="J3377">
        <v>0</v>
      </c>
      <c r="K3377">
        <v>0</v>
      </c>
      <c r="L3377">
        <v>0</v>
      </c>
      <c r="M3377">
        <v>0</v>
      </c>
      <c r="O3377">
        <f t="shared" si="52"/>
        <v>2</v>
      </c>
    </row>
    <row r="3378" spans="1:15">
      <c r="A3378">
        <v>2491</v>
      </c>
      <c r="B3378" s="1">
        <v>45709</v>
      </c>
      <c r="C3378">
        <v>23</v>
      </c>
      <c r="D3378" t="s">
        <v>14</v>
      </c>
      <c r="E3378" t="s">
        <v>15</v>
      </c>
      <c r="F3378" t="s">
        <v>18</v>
      </c>
      <c r="G3378" t="s">
        <v>19</v>
      </c>
      <c r="H3378">
        <v>435.9</v>
      </c>
      <c r="I3378" s="13">
        <v>10</v>
      </c>
      <c r="J3378">
        <v>0</v>
      </c>
      <c r="K3378">
        <v>0</v>
      </c>
      <c r="L3378">
        <v>0</v>
      </c>
      <c r="M3378">
        <v>0</v>
      </c>
      <c r="O3378">
        <f t="shared" si="52"/>
        <v>2</v>
      </c>
    </row>
    <row r="3379" spans="1:15">
      <c r="A3379">
        <v>2676</v>
      </c>
      <c r="B3379" s="1">
        <v>45709</v>
      </c>
      <c r="C3379">
        <v>54</v>
      </c>
      <c r="D3379" t="s">
        <v>17</v>
      </c>
      <c r="E3379" t="s">
        <v>15</v>
      </c>
      <c r="F3379" t="s">
        <v>16</v>
      </c>
      <c r="H3379">
        <v>419.4</v>
      </c>
      <c r="I3379" s="13">
        <v>9</v>
      </c>
      <c r="J3379">
        <v>0</v>
      </c>
      <c r="K3379">
        <v>0</v>
      </c>
      <c r="L3379">
        <v>0</v>
      </c>
      <c r="M3379">
        <v>0</v>
      </c>
      <c r="O3379">
        <f t="shared" si="52"/>
        <v>2</v>
      </c>
    </row>
    <row r="3380" spans="1:15">
      <c r="A3380">
        <v>4562</v>
      </c>
      <c r="B3380" s="1">
        <v>45709</v>
      </c>
      <c r="C3380">
        <v>47</v>
      </c>
      <c r="D3380" t="s">
        <v>14</v>
      </c>
      <c r="E3380" t="s">
        <v>22</v>
      </c>
      <c r="F3380" t="s">
        <v>16</v>
      </c>
      <c r="H3380">
        <v>419.4</v>
      </c>
      <c r="I3380" s="13">
        <v>5</v>
      </c>
      <c r="J3380">
        <v>0</v>
      </c>
      <c r="K3380">
        <v>0</v>
      </c>
      <c r="L3380">
        <v>0</v>
      </c>
      <c r="M3380">
        <v>0</v>
      </c>
      <c r="O3380">
        <f t="shared" si="52"/>
        <v>2</v>
      </c>
    </row>
    <row r="3381" spans="1:15">
      <c r="A3381">
        <v>1070</v>
      </c>
      <c r="B3381" s="1">
        <v>45709</v>
      </c>
      <c r="C3381">
        <v>29</v>
      </c>
      <c r="D3381" t="s">
        <v>17</v>
      </c>
      <c r="E3381" t="s">
        <v>24</v>
      </c>
      <c r="F3381" t="s">
        <v>18</v>
      </c>
      <c r="G3381" t="s">
        <v>25</v>
      </c>
      <c r="H3381">
        <v>341.2</v>
      </c>
      <c r="I3381" s="13">
        <v>9</v>
      </c>
      <c r="J3381">
        <v>0</v>
      </c>
      <c r="K3381">
        <v>0</v>
      </c>
      <c r="L3381">
        <v>0</v>
      </c>
      <c r="M3381">
        <v>0</v>
      </c>
      <c r="O3381">
        <f t="shared" si="52"/>
        <v>2</v>
      </c>
    </row>
    <row r="3382" spans="1:15">
      <c r="A3382">
        <v>289</v>
      </c>
      <c r="B3382" s="1">
        <v>45709</v>
      </c>
      <c r="C3382">
        <v>18</v>
      </c>
      <c r="D3382" t="s">
        <v>17</v>
      </c>
      <c r="E3382" t="s">
        <v>15</v>
      </c>
      <c r="F3382" t="s">
        <v>18</v>
      </c>
      <c r="G3382" t="s">
        <v>30</v>
      </c>
      <c r="H3382">
        <v>313.10000000000002</v>
      </c>
      <c r="I3382" s="13">
        <v>8</v>
      </c>
      <c r="J3382">
        <v>0</v>
      </c>
      <c r="K3382">
        <v>0</v>
      </c>
      <c r="L3382">
        <v>0</v>
      </c>
      <c r="M3382">
        <v>0</v>
      </c>
      <c r="O3382">
        <f t="shared" si="52"/>
        <v>2</v>
      </c>
    </row>
    <row r="3383" spans="1:15">
      <c r="A3383">
        <v>1851</v>
      </c>
      <c r="B3383" s="1">
        <v>45709</v>
      </c>
      <c r="C3383">
        <v>37</v>
      </c>
      <c r="D3383" t="s">
        <v>14</v>
      </c>
      <c r="E3383" t="s">
        <v>20</v>
      </c>
      <c r="F3383" t="s">
        <v>18</v>
      </c>
      <c r="G3383" t="s">
        <v>30</v>
      </c>
      <c r="H3383">
        <v>263.3</v>
      </c>
      <c r="I3383" s="13">
        <v>7</v>
      </c>
      <c r="J3383">
        <v>0</v>
      </c>
      <c r="K3383">
        <v>0</v>
      </c>
      <c r="L3383">
        <v>0</v>
      </c>
      <c r="M3383">
        <v>0</v>
      </c>
      <c r="O3383">
        <f t="shared" si="52"/>
        <v>2</v>
      </c>
    </row>
    <row r="3384" spans="1:15">
      <c r="A3384">
        <v>1527</v>
      </c>
      <c r="B3384" s="1">
        <v>45709</v>
      </c>
      <c r="C3384">
        <v>23</v>
      </c>
      <c r="D3384" t="s">
        <v>14</v>
      </c>
      <c r="E3384" t="s">
        <v>15</v>
      </c>
      <c r="F3384" t="s">
        <v>16</v>
      </c>
      <c r="H3384">
        <v>261.89999999999998</v>
      </c>
      <c r="I3384" s="13">
        <v>7</v>
      </c>
      <c r="J3384">
        <v>0</v>
      </c>
      <c r="K3384">
        <v>0</v>
      </c>
      <c r="L3384">
        <v>0</v>
      </c>
      <c r="M3384">
        <v>0</v>
      </c>
      <c r="O3384">
        <f t="shared" si="52"/>
        <v>2</v>
      </c>
    </row>
    <row r="3385" spans="1:15">
      <c r="A3385">
        <v>3764</v>
      </c>
      <c r="B3385" s="1">
        <v>45709</v>
      </c>
      <c r="C3385">
        <v>47</v>
      </c>
      <c r="D3385" t="s">
        <v>14</v>
      </c>
      <c r="E3385" t="s">
        <v>22</v>
      </c>
      <c r="F3385" t="s">
        <v>23</v>
      </c>
      <c r="H3385">
        <v>244.8</v>
      </c>
      <c r="I3385" s="13">
        <v>8</v>
      </c>
      <c r="J3385">
        <v>0</v>
      </c>
      <c r="K3385">
        <v>0</v>
      </c>
      <c r="L3385">
        <v>0</v>
      </c>
      <c r="M3385">
        <v>0</v>
      </c>
      <c r="O3385">
        <f t="shared" si="52"/>
        <v>2</v>
      </c>
    </row>
    <row r="3386" spans="1:15">
      <c r="A3386">
        <v>4503</v>
      </c>
      <c r="B3386" s="1">
        <v>45709</v>
      </c>
      <c r="C3386">
        <v>52</v>
      </c>
      <c r="D3386" t="s">
        <v>14</v>
      </c>
      <c r="E3386" t="s">
        <v>22</v>
      </c>
      <c r="F3386" t="s">
        <v>18</v>
      </c>
      <c r="G3386" t="s">
        <v>29</v>
      </c>
      <c r="H3386">
        <v>192.9</v>
      </c>
      <c r="I3386" s="13">
        <v>8</v>
      </c>
      <c r="J3386">
        <v>0</v>
      </c>
      <c r="K3386">
        <v>0</v>
      </c>
      <c r="L3386">
        <v>0</v>
      </c>
      <c r="M3386">
        <v>0</v>
      </c>
      <c r="O3386">
        <f t="shared" si="52"/>
        <v>2</v>
      </c>
    </row>
    <row r="3387" spans="1:15">
      <c r="A3387">
        <v>697</v>
      </c>
      <c r="B3387" s="1">
        <v>45709</v>
      </c>
      <c r="C3387">
        <v>18</v>
      </c>
      <c r="D3387" t="s">
        <v>14</v>
      </c>
      <c r="E3387" t="s">
        <v>22</v>
      </c>
      <c r="F3387" t="s">
        <v>21</v>
      </c>
      <c r="H3387">
        <v>149.69999999999999</v>
      </c>
      <c r="I3387" s="13">
        <v>8</v>
      </c>
      <c r="J3387">
        <v>0</v>
      </c>
      <c r="K3387">
        <v>0</v>
      </c>
      <c r="L3387">
        <v>0</v>
      </c>
      <c r="M3387">
        <v>0</v>
      </c>
      <c r="O3387">
        <f t="shared" si="52"/>
        <v>2</v>
      </c>
    </row>
    <row r="3388" spans="1:15">
      <c r="A3388">
        <v>670</v>
      </c>
      <c r="B3388" s="1">
        <v>45709</v>
      </c>
      <c r="C3388">
        <v>18</v>
      </c>
      <c r="D3388" t="s">
        <v>14</v>
      </c>
      <c r="E3388" t="s">
        <v>15</v>
      </c>
      <c r="F3388" t="s">
        <v>16</v>
      </c>
      <c r="H3388">
        <v>130.30000000000001</v>
      </c>
      <c r="I3388" s="13">
        <v>7</v>
      </c>
      <c r="J3388">
        <v>0</v>
      </c>
      <c r="K3388">
        <v>0</v>
      </c>
      <c r="L3388">
        <v>0</v>
      </c>
      <c r="M3388">
        <v>0</v>
      </c>
      <c r="O3388">
        <f t="shared" si="52"/>
        <v>2</v>
      </c>
    </row>
    <row r="3389" spans="1:15">
      <c r="A3389">
        <v>2599</v>
      </c>
      <c r="B3389" s="1">
        <v>45709</v>
      </c>
      <c r="C3389">
        <v>37</v>
      </c>
      <c r="D3389" t="s">
        <v>14</v>
      </c>
      <c r="E3389" t="s">
        <v>15</v>
      </c>
      <c r="F3389" t="s">
        <v>18</v>
      </c>
      <c r="G3389" t="s">
        <v>19</v>
      </c>
      <c r="H3389">
        <v>122.1</v>
      </c>
      <c r="I3389" s="13">
        <v>7</v>
      </c>
      <c r="J3389">
        <v>0</v>
      </c>
      <c r="K3389">
        <v>0</v>
      </c>
      <c r="L3389">
        <v>0</v>
      </c>
      <c r="M3389">
        <v>0</v>
      </c>
      <c r="O3389">
        <f t="shared" si="52"/>
        <v>2</v>
      </c>
    </row>
    <row r="3390" spans="1:15">
      <c r="A3390">
        <v>2434</v>
      </c>
      <c r="B3390" s="1">
        <v>45709</v>
      </c>
      <c r="C3390">
        <v>44</v>
      </c>
      <c r="D3390" t="s">
        <v>17</v>
      </c>
      <c r="E3390" t="s">
        <v>20</v>
      </c>
      <c r="F3390" t="s">
        <v>16</v>
      </c>
      <c r="H3390">
        <v>117.7</v>
      </c>
      <c r="I3390" s="13">
        <v>7</v>
      </c>
      <c r="J3390">
        <v>0</v>
      </c>
      <c r="K3390">
        <v>0</v>
      </c>
      <c r="L3390">
        <v>0</v>
      </c>
      <c r="M3390">
        <v>0</v>
      </c>
      <c r="O3390">
        <f t="shared" si="52"/>
        <v>2</v>
      </c>
    </row>
    <row r="3391" spans="1:15">
      <c r="A3391">
        <v>2834</v>
      </c>
      <c r="B3391" s="1">
        <v>45709</v>
      </c>
      <c r="C3391">
        <v>42</v>
      </c>
      <c r="D3391" t="s">
        <v>17</v>
      </c>
      <c r="E3391" t="s">
        <v>15</v>
      </c>
      <c r="F3391" t="s">
        <v>16</v>
      </c>
      <c r="H3391">
        <v>72.3</v>
      </c>
      <c r="I3391" s="13">
        <v>5</v>
      </c>
      <c r="J3391">
        <v>0</v>
      </c>
      <c r="K3391">
        <v>0</v>
      </c>
      <c r="L3391">
        <v>0</v>
      </c>
      <c r="M3391">
        <v>0</v>
      </c>
      <c r="O3391">
        <f t="shared" si="52"/>
        <v>2</v>
      </c>
    </row>
    <row r="3392" spans="1:15">
      <c r="A3392">
        <v>2508</v>
      </c>
      <c r="B3392" s="1">
        <v>45737</v>
      </c>
      <c r="C3392">
        <v>38</v>
      </c>
      <c r="D3392" t="s">
        <v>14</v>
      </c>
      <c r="E3392" t="s">
        <v>22</v>
      </c>
      <c r="F3392" t="s">
        <v>21</v>
      </c>
      <c r="H3392">
        <v>800.7</v>
      </c>
      <c r="I3392" s="13">
        <v>3</v>
      </c>
      <c r="J3392">
        <v>1</v>
      </c>
      <c r="K3392">
        <v>231</v>
      </c>
      <c r="L3392">
        <v>5</v>
      </c>
      <c r="M3392">
        <v>3</v>
      </c>
      <c r="N3392">
        <v>4</v>
      </c>
      <c r="O3392">
        <f t="shared" si="52"/>
        <v>3</v>
      </c>
    </row>
    <row r="3393" spans="1:15">
      <c r="A3393">
        <v>4333</v>
      </c>
      <c r="B3393" s="1">
        <v>45737</v>
      </c>
      <c r="C3393">
        <v>39</v>
      </c>
      <c r="D3393" t="s">
        <v>17</v>
      </c>
      <c r="E3393" t="s">
        <v>22</v>
      </c>
      <c r="F3393" t="s">
        <v>18</v>
      </c>
      <c r="G3393" t="s">
        <v>31</v>
      </c>
      <c r="H3393">
        <v>634.5</v>
      </c>
      <c r="I3393" s="13">
        <v>4</v>
      </c>
      <c r="J3393">
        <v>1</v>
      </c>
      <c r="K3393">
        <v>195.43</v>
      </c>
      <c r="L3393">
        <v>2</v>
      </c>
      <c r="M3393">
        <v>3</v>
      </c>
      <c r="N3393">
        <v>4</v>
      </c>
      <c r="O3393">
        <f t="shared" si="52"/>
        <v>3</v>
      </c>
    </row>
    <row r="3394" spans="1:15">
      <c r="A3394">
        <v>4695</v>
      </c>
      <c r="B3394" s="1">
        <v>45737</v>
      </c>
      <c r="C3394">
        <v>63</v>
      </c>
      <c r="D3394" t="s">
        <v>27</v>
      </c>
      <c r="E3394" t="s">
        <v>22</v>
      </c>
      <c r="F3394" t="s">
        <v>18</v>
      </c>
      <c r="G3394" t="s">
        <v>28</v>
      </c>
      <c r="H3394">
        <v>355.3</v>
      </c>
      <c r="I3394" s="13">
        <v>5</v>
      </c>
      <c r="J3394">
        <v>1</v>
      </c>
      <c r="K3394">
        <v>91.59</v>
      </c>
      <c r="L3394">
        <v>3</v>
      </c>
      <c r="M3394">
        <v>13</v>
      </c>
      <c r="N3394">
        <v>3</v>
      </c>
      <c r="O3394">
        <f t="shared" si="52"/>
        <v>3</v>
      </c>
    </row>
    <row r="3395" spans="1:15">
      <c r="A3395">
        <v>3161</v>
      </c>
      <c r="B3395" s="1">
        <v>45737</v>
      </c>
      <c r="C3395">
        <v>36</v>
      </c>
      <c r="D3395" t="s">
        <v>14</v>
      </c>
      <c r="E3395" t="s">
        <v>22</v>
      </c>
      <c r="F3395" t="s">
        <v>16</v>
      </c>
      <c r="H3395">
        <v>346.6</v>
      </c>
      <c r="I3395" s="13">
        <v>6</v>
      </c>
      <c r="J3395">
        <v>1</v>
      </c>
      <c r="K3395">
        <v>57.4</v>
      </c>
      <c r="L3395">
        <v>2</v>
      </c>
      <c r="M3395">
        <v>4</v>
      </c>
      <c r="N3395">
        <v>5</v>
      </c>
      <c r="O3395">
        <f t="shared" ref="O3395:O3458" si="53">MONTH(B3395)</f>
        <v>3</v>
      </c>
    </row>
    <row r="3396" spans="1:15">
      <c r="A3396">
        <v>3155</v>
      </c>
      <c r="B3396" s="1">
        <v>45737</v>
      </c>
      <c r="C3396">
        <v>57</v>
      </c>
      <c r="D3396" t="s">
        <v>17</v>
      </c>
      <c r="E3396" t="s">
        <v>20</v>
      </c>
      <c r="F3396" t="s">
        <v>18</v>
      </c>
      <c r="G3396" t="s">
        <v>30</v>
      </c>
      <c r="H3396">
        <v>579</v>
      </c>
      <c r="I3396" s="13">
        <v>10</v>
      </c>
      <c r="J3396">
        <v>1</v>
      </c>
      <c r="K3396">
        <v>50.51</v>
      </c>
      <c r="L3396">
        <v>3</v>
      </c>
      <c r="M3396">
        <v>8</v>
      </c>
      <c r="N3396">
        <v>4</v>
      </c>
      <c r="O3396">
        <f t="shared" si="53"/>
        <v>3</v>
      </c>
    </row>
    <row r="3397" spans="1:15">
      <c r="A3397">
        <v>3719</v>
      </c>
      <c r="B3397" s="1">
        <v>45737</v>
      </c>
      <c r="C3397">
        <v>46</v>
      </c>
      <c r="D3397" t="s">
        <v>17</v>
      </c>
      <c r="E3397" t="s">
        <v>20</v>
      </c>
      <c r="F3397" t="s">
        <v>21</v>
      </c>
      <c r="H3397">
        <v>77.3</v>
      </c>
      <c r="I3397" s="13">
        <v>4</v>
      </c>
      <c r="J3397">
        <v>1</v>
      </c>
      <c r="K3397">
        <v>47.81</v>
      </c>
      <c r="L3397">
        <v>2</v>
      </c>
      <c r="M3397">
        <v>3</v>
      </c>
      <c r="N3397">
        <v>3</v>
      </c>
      <c r="O3397">
        <f t="shared" si="53"/>
        <v>3</v>
      </c>
    </row>
    <row r="3398" spans="1:15">
      <c r="A3398">
        <v>864</v>
      </c>
      <c r="B3398" s="1">
        <v>45737</v>
      </c>
      <c r="C3398">
        <v>18</v>
      </c>
      <c r="D3398" t="s">
        <v>17</v>
      </c>
      <c r="E3398" t="s">
        <v>20</v>
      </c>
      <c r="F3398" t="s">
        <v>16</v>
      </c>
      <c r="H3398">
        <v>283.5</v>
      </c>
      <c r="I3398" s="13">
        <v>8</v>
      </c>
      <c r="J3398">
        <v>1</v>
      </c>
      <c r="K3398">
        <v>33.68</v>
      </c>
      <c r="L3398">
        <v>4</v>
      </c>
      <c r="M3398">
        <v>8</v>
      </c>
      <c r="N3398">
        <v>4</v>
      </c>
      <c r="O3398">
        <f t="shared" si="53"/>
        <v>3</v>
      </c>
    </row>
    <row r="3399" spans="1:15">
      <c r="A3399">
        <v>4199</v>
      </c>
      <c r="B3399" s="1">
        <v>45737</v>
      </c>
      <c r="C3399">
        <v>44</v>
      </c>
      <c r="D3399" t="s">
        <v>14</v>
      </c>
      <c r="E3399" t="s">
        <v>15</v>
      </c>
      <c r="F3399" t="s">
        <v>18</v>
      </c>
      <c r="G3399" t="s">
        <v>31</v>
      </c>
      <c r="H3399">
        <v>138.6</v>
      </c>
      <c r="I3399" s="13">
        <v>9</v>
      </c>
      <c r="J3399">
        <v>1</v>
      </c>
      <c r="K3399">
        <v>32.99</v>
      </c>
      <c r="L3399">
        <v>4</v>
      </c>
      <c r="M3399">
        <v>15</v>
      </c>
      <c r="N3399">
        <v>4</v>
      </c>
      <c r="O3399">
        <f t="shared" si="53"/>
        <v>3</v>
      </c>
    </row>
    <row r="3400" spans="1:15">
      <c r="A3400">
        <v>427</v>
      </c>
      <c r="B3400" s="1">
        <v>45737</v>
      </c>
      <c r="C3400">
        <v>22</v>
      </c>
      <c r="D3400" t="s">
        <v>14</v>
      </c>
      <c r="E3400" t="s">
        <v>22</v>
      </c>
      <c r="F3400" t="s">
        <v>16</v>
      </c>
      <c r="H3400">
        <v>605.1</v>
      </c>
      <c r="I3400" s="13">
        <v>9</v>
      </c>
      <c r="J3400">
        <v>1</v>
      </c>
      <c r="K3400">
        <v>27.86</v>
      </c>
      <c r="L3400">
        <v>2</v>
      </c>
      <c r="M3400">
        <v>11</v>
      </c>
      <c r="N3400">
        <v>3</v>
      </c>
      <c r="O3400">
        <f t="shared" si="53"/>
        <v>3</v>
      </c>
    </row>
    <row r="3401" spans="1:15">
      <c r="A3401">
        <v>2457</v>
      </c>
      <c r="B3401" s="1">
        <v>45737</v>
      </c>
      <c r="C3401">
        <v>42</v>
      </c>
      <c r="D3401" t="s">
        <v>17</v>
      </c>
      <c r="E3401" t="s">
        <v>24</v>
      </c>
      <c r="F3401" t="s">
        <v>18</v>
      </c>
      <c r="G3401" t="s">
        <v>19</v>
      </c>
      <c r="H3401">
        <v>451.1</v>
      </c>
      <c r="I3401" s="13">
        <v>5</v>
      </c>
      <c r="J3401">
        <v>1</v>
      </c>
      <c r="K3401">
        <v>16.809999999999999</v>
      </c>
      <c r="L3401">
        <v>3</v>
      </c>
      <c r="M3401">
        <v>15</v>
      </c>
      <c r="N3401">
        <v>3</v>
      </c>
      <c r="O3401">
        <f t="shared" si="53"/>
        <v>3</v>
      </c>
    </row>
    <row r="3402" spans="1:15">
      <c r="A3402">
        <v>311</v>
      </c>
      <c r="B3402" s="1">
        <v>45737</v>
      </c>
      <c r="C3402">
        <v>26</v>
      </c>
      <c r="D3402" t="s">
        <v>17</v>
      </c>
      <c r="E3402" t="s">
        <v>15</v>
      </c>
      <c r="F3402" t="s">
        <v>18</v>
      </c>
      <c r="G3402" t="s">
        <v>30</v>
      </c>
      <c r="H3402">
        <v>535.29999999999995</v>
      </c>
      <c r="I3402" s="13">
        <v>5</v>
      </c>
      <c r="J3402">
        <v>0</v>
      </c>
      <c r="K3402">
        <v>0</v>
      </c>
      <c r="L3402">
        <v>0</v>
      </c>
      <c r="M3402">
        <v>0</v>
      </c>
      <c r="O3402">
        <f t="shared" si="53"/>
        <v>3</v>
      </c>
    </row>
    <row r="3403" spans="1:15">
      <c r="A3403">
        <v>3209</v>
      </c>
      <c r="B3403" s="1">
        <v>45737</v>
      </c>
      <c r="C3403">
        <v>40</v>
      </c>
      <c r="D3403" t="s">
        <v>17</v>
      </c>
      <c r="E3403" t="s">
        <v>22</v>
      </c>
      <c r="F3403" t="s">
        <v>18</v>
      </c>
      <c r="G3403" t="s">
        <v>28</v>
      </c>
      <c r="H3403">
        <v>523.1</v>
      </c>
      <c r="I3403" s="13">
        <v>9</v>
      </c>
      <c r="J3403">
        <v>0</v>
      </c>
      <c r="K3403">
        <v>0</v>
      </c>
      <c r="L3403">
        <v>0</v>
      </c>
      <c r="M3403">
        <v>0</v>
      </c>
      <c r="O3403">
        <f t="shared" si="53"/>
        <v>3</v>
      </c>
    </row>
    <row r="3404" spans="1:15">
      <c r="A3404">
        <v>4752</v>
      </c>
      <c r="B3404" s="1">
        <v>45737</v>
      </c>
      <c r="C3404">
        <v>49</v>
      </c>
      <c r="D3404" t="s">
        <v>17</v>
      </c>
      <c r="E3404" t="s">
        <v>20</v>
      </c>
      <c r="F3404" t="s">
        <v>16</v>
      </c>
      <c r="H3404">
        <v>507.4</v>
      </c>
      <c r="I3404" s="13">
        <v>4</v>
      </c>
      <c r="J3404">
        <v>0</v>
      </c>
      <c r="K3404">
        <v>0</v>
      </c>
      <c r="L3404">
        <v>0</v>
      </c>
      <c r="M3404">
        <v>0</v>
      </c>
      <c r="O3404">
        <f t="shared" si="53"/>
        <v>3</v>
      </c>
    </row>
    <row r="3405" spans="1:15">
      <c r="A3405">
        <v>2445</v>
      </c>
      <c r="B3405" s="1">
        <v>45737</v>
      </c>
      <c r="C3405">
        <v>35</v>
      </c>
      <c r="D3405" t="s">
        <v>14</v>
      </c>
      <c r="E3405" t="s">
        <v>22</v>
      </c>
      <c r="F3405" t="s">
        <v>23</v>
      </c>
      <c r="H3405">
        <v>478.3</v>
      </c>
      <c r="I3405" s="13">
        <v>4</v>
      </c>
      <c r="J3405">
        <v>0</v>
      </c>
      <c r="K3405">
        <v>0</v>
      </c>
      <c r="L3405">
        <v>0</v>
      </c>
      <c r="M3405">
        <v>0</v>
      </c>
      <c r="O3405">
        <f t="shared" si="53"/>
        <v>3</v>
      </c>
    </row>
    <row r="3406" spans="1:15">
      <c r="A3406">
        <v>3996</v>
      </c>
      <c r="B3406" s="1">
        <v>45737</v>
      </c>
      <c r="C3406">
        <v>74</v>
      </c>
      <c r="D3406" t="s">
        <v>14</v>
      </c>
      <c r="E3406" t="s">
        <v>22</v>
      </c>
      <c r="F3406" t="s">
        <v>16</v>
      </c>
      <c r="H3406">
        <v>374.7</v>
      </c>
      <c r="I3406" s="13">
        <v>5</v>
      </c>
      <c r="J3406">
        <v>0</v>
      </c>
      <c r="K3406">
        <v>0</v>
      </c>
      <c r="L3406">
        <v>0</v>
      </c>
      <c r="M3406">
        <v>0</v>
      </c>
      <c r="O3406">
        <f t="shared" si="53"/>
        <v>3</v>
      </c>
    </row>
    <row r="3407" spans="1:15">
      <c r="A3407">
        <v>3434</v>
      </c>
      <c r="B3407" s="1">
        <v>45737</v>
      </c>
      <c r="C3407">
        <v>51</v>
      </c>
      <c r="D3407" t="s">
        <v>17</v>
      </c>
      <c r="E3407" t="s">
        <v>15</v>
      </c>
      <c r="F3407" t="s">
        <v>18</v>
      </c>
      <c r="G3407" t="s">
        <v>19</v>
      </c>
      <c r="H3407">
        <v>368</v>
      </c>
      <c r="I3407" s="13">
        <v>6</v>
      </c>
      <c r="J3407">
        <v>0</v>
      </c>
      <c r="K3407">
        <v>0</v>
      </c>
      <c r="L3407">
        <v>0</v>
      </c>
      <c r="M3407">
        <v>0</v>
      </c>
      <c r="O3407">
        <f t="shared" si="53"/>
        <v>3</v>
      </c>
    </row>
    <row r="3408" spans="1:15">
      <c r="A3408">
        <v>1843</v>
      </c>
      <c r="B3408" s="1">
        <v>45737</v>
      </c>
      <c r="C3408">
        <v>34</v>
      </c>
      <c r="D3408" t="s">
        <v>14</v>
      </c>
      <c r="E3408" t="s">
        <v>22</v>
      </c>
      <c r="F3408" t="s">
        <v>23</v>
      </c>
      <c r="H3408">
        <v>299.60000000000002</v>
      </c>
      <c r="I3408" s="13">
        <v>4</v>
      </c>
      <c r="J3408">
        <v>0</v>
      </c>
      <c r="K3408">
        <v>0</v>
      </c>
      <c r="L3408">
        <v>0</v>
      </c>
      <c r="M3408">
        <v>0</v>
      </c>
      <c r="O3408">
        <f t="shared" si="53"/>
        <v>3</v>
      </c>
    </row>
    <row r="3409" spans="1:15">
      <c r="A3409">
        <v>739</v>
      </c>
      <c r="B3409" s="1">
        <v>45737</v>
      </c>
      <c r="C3409">
        <v>24</v>
      </c>
      <c r="D3409" t="s">
        <v>17</v>
      </c>
      <c r="E3409" t="s">
        <v>20</v>
      </c>
      <c r="F3409" t="s">
        <v>18</v>
      </c>
      <c r="G3409" t="s">
        <v>26</v>
      </c>
      <c r="H3409">
        <v>297.89999999999998</v>
      </c>
      <c r="I3409" s="13">
        <v>7</v>
      </c>
      <c r="J3409">
        <v>0</v>
      </c>
      <c r="K3409">
        <v>0</v>
      </c>
      <c r="L3409">
        <v>0</v>
      </c>
      <c r="M3409">
        <v>0</v>
      </c>
      <c r="O3409">
        <f t="shared" si="53"/>
        <v>3</v>
      </c>
    </row>
    <row r="3410" spans="1:15">
      <c r="A3410">
        <v>40</v>
      </c>
      <c r="B3410" s="1">
        <v>45737</v>
      </c>
      <c r="C3410">
        <v>33</v>
      </c>
      <c r="D3410" t="s">
        <v>14</v>
      </c>
      <c r="E3410" t="s">
        <v>15</v>
      </c>
      <c r="F3410" t="s">
        <v>16</v>
      </c>
      <c r="H3410">
        <v>249.5</v>
      </c>
      <c r="I3410" s="13">
        <v>4</v>
      </c>
      <c r="J3410">
        <v>0</v>
      </c>
      <c r="K3410">
        <v>0</v>
      </c>
      <c r="L3410">
        <v>0</v>
      </c>
      <c r="M3410">
        <v>0</v>
      </c>
      <c r="O3410">
        <f t="shared" si="53"/>
        <v>3</v>
      </c>
    </row>
    <row r="3411" spans="1:15">
      <c r="A3411">
        <v>1444</v>
      </c>
      <c r="B3411" s="1">
        <v>45737</v>
      </c>
      <c r="C3411">
        <v>25</v>
      </c>
      <c r="D3411" t="s">
        <v>17</v>
      </c>
      <c r="E3411" t="s">
        <v>15</v>
      </c>
      <c r="F3411" t="s">
        <v>18</v>
      </c>
      <c r="G3411" t="s">
        <v>25</v>
      </c>
      <c r="H3411">
        <v>239.3</v>
      </c>
      <c r="I3411" s="13">
        <v>6</v>
      </c>
      <c r="J3411">
        <v>0</v>
      </c>
      <c r="K3411">
        <v>0</v>
      </c>
      <c r="L3411">
        <v>0</v>
      </c>
      <c r="M3411">
        <v>0</v>
      </c>
      <c r="O3411">
        <f t="shared" si="53"/>
        <v>3</v>
      </c>
    </row>
    <row r="3412" spans="1:15">
      <c r="A3412">
        <v>4368</v>
      </c>
      <c r="B3412" s="1">
        <v>45737</v>
      </c>
      <c r="C3412">
        <v>47</v>
      </c>
      <c r="D3412" t="s">
        <v>17</v>
      </c>
      <c r="E3412" t="s">
        <v>22</v>
      </c>
      <c r="F3412" t="s">
        <v>16</v>
      </c>
      <c r="H3412">
        <v>234.6</v>
      </c>
      <c r="I3412" s="13">
        <v>2</v>
      </c>
      <c r="J3412">
        <v>0</v>
      </c>
      <c r="K3412">
        <v>0</v>
      </c>
      <c r="L3412">
        <v>0</v>
      </c>
      <c r="M3412">
        <v>0</v>
      </c>
      <c r="O3412">
        <f t="shared" si="53"/>
        <v>3</v>
      </c>
    </row>
    <row r="3413" spans="1:15">
      <c r="A3413">
        <v>1705</v>
      </c>
      <c r="B3413" s="1">
        <v>45737</v>
      </c>
      <c r="C3413">
        <v>22</v>
      </c>
      <c r="D3413" t="s">
        <v>14</v>
      </c>
      <c r="E3413" t="s">
        <v>15</v>
      </c>
      <c r="F3413" t="s">
        <v>18</v>
      </c>
      <c r="G3413" t="s">
        <v>26</v>
      </c>
      <c r="H3413">
        <v>232.9</v>
      </c>
      <c r="I3413" s="13">
        <v>3</v>
      </c>
      <c r="J3413">
        <v>0</v>
      </c>
      <c r="K3413">
        <v>0</v>
      </c>
      <c r="L3413">
        <v>0</v>
      </c>
      <c r="M3413">
        <v>0</v>
      </c>
      <c r="O3413">
        <f t="shared" si="53"/>
        <v>3</v>
      </c>
    </row>
    <row r="3414" spans="1:15">
      <c r="A3414">
        <v>2264</v>
      </c>
      <c r="B3414" s="1">
        <v>45737</v>
      </c>
      <c r="C3414">
        <v>48</v>
      </c>
      <c r="D3414" t="s">
        <v>14</v>
      </c>
      <c r="E3414" t="s">
        <v>20</v>
      </c>
      <c r="F3414" t="s">
        <v>16</v>
      </c>
      <c r="H3414">
        <v>178.4</v>
      </c>
      <c r="I3414" s="13">
        <v>9</v>
      </c>
      <c r="J3414">
        <v>0</v>
      </c>
      <c r="K3414">
        <v>0</v>
      </c>
      <c r="L3414">
        <v>0</v>
      </c>
      <c r="M3414">
        <v>0</v>
      </c>
      <c r="O3414">
        <f t="shared" si="53"/>
        <v>3</v>
      </c>
    </row>
    <row r="3415" spans="1:15">
      <c r="A3415">
        <v>4173</v>
      </c>
      <c r="B3415" s="1">
        <v>45737</v>
      </c>
      <c r="C3415">
        <v>41</v>
      </c>
      <c r="D3415" t="s">
        <v>14</v>
      </c>
      <c r="E3415" t="s">
        <v>22</v>
      </c>
      <c r="F3415" t="s">
        <v>16</v>
      </c>
      <c r="H3415">
        <v>133.69999999999999</v>
      </c>
      <c r="I3415" s="13">
        <v>7</v>
      </c>
      <c r="J3415">
        <v>0</v>
      </c>
      <c r="K3415">
        <v>0</v>
      </c>
      <c r="L3415">
        <v>0</v>
      </c>
      <c r="M3415">
        <v>0</v>
      </c>
      <c r="O3415">
        <f t="shared" si="53"/>
        <v>3</v>
      </c>
    </row>
    <row r="3416" spans="1:15">
      <c r="A3416">
        <v>2117</v>
      </c>
      <c r="B3416" s="1">
        <v>45737</v>
      </c>
      <c r="C3416">
        <v>56</v>
      </c>
      <c r="D3416" t="s">
        <v>17</v>
      </c>
      <c r="E3416" t="s">
        <v>15</v>
      </c>
      <c r="F3416" t="s">
        <v>16</v>
      </c>
      <c r="H3416">
        <v>116.6</v>
      </c>
      <c r="I3416" s="13">
        <v>2</v>
      </c>
      <c r="J3416">
        <v>0</v>
      </c>
      <c r="K3416">
        <v>0</v>
      </c>
      <c r="L3416">
        <v>0</v>
      </c>
      <c r="M3416">
        <v>0</v>
      </c>
      <c r="O3416">
        <f t="shared" si="53"/>
        <v>3</v>
      </c>
    </row>
    <row r="3417" spans="1:15">
      <c r="A3417">
        <v>4266</v>
      </c>
      <c r="B3417" s="1">
        <v>45737</v>
      </c>
      <c r="C3417">
        <v>34</v>
      </c>
      <c r="D3417" t="s">
        <v>14</v>
      </c>
      <c r="E3417" t="s">
        <v>15</v>
      </c>
      <c r="F3417" t="s">
        <v>16</v>
      </c>
      <c r="H3417">
        <v>110.7</v>
      </c>
      <c r="I3417" s="13">
        <v>7</v>
      </c>
      <c r="J3417">
        <v>0</v>
      </c>
      <c r="K3417">
        <v>0</v>
      </c>
      <c r="L3417">
        <v>0</v>
      </c>
      <c r="M3417">
        <v>0</v>
      </c>
      <c r="O3417">
        <f t="shared" si="53"/>
        <v>3</v>
      </c>
    </row>
    <row r="3418" spans="1:15">
      <c r="A3418">
        <v>1947</v>
      </c>
      <c r="B3418" s="1">
        <v>45737</v>
      </c>
      <c r="C3418">
        <v>18</v>
      </c>
      <c r="D3418" t="s">
        <v>17</v>
      </c>
      <c r="E3418" t="s">
        <v>20</v>
      </c>
      <c r="F3418" t="s">
        <v>18</v>
      </c>
      <c r="G3418" t="s">
        <v>19</v>
      </c>
      <c r="H3418">
        <v>82.2</v>
      </c>
      <c r="I3418" s="13">
        <v>4</v>
      </c>
      <c r="J3418">
        <v>0</v>
      </c>
      <c r="K3418">
        <v>0</v>
      </c>
      <c r="L3418">
        <v>0</v>
      </c>
      <c r="M3418">
        <v>0</v>
      </c>
      <c r="O3418">
        <f t="shared" si="53"/>
        <v>3</v>
      </c>
    </row>
    <row r="3419" spans="1:15">
      <c r="A3419">
        <v>4341</v>
      </c>
      <c r="B3419" s="1">
        <v>45737</v>
      </c>
      <c r="C3419">
        <v>58</v>
      </c>
      <c r="D3419" t="s">
        <v>17</v>
      </c>
      <c r="E3419" t="s">
        <v>20</v>
      </c>
      <c r="F3419" t="s">
        <v>23</v>
      </c>
      <c r="H3419">
        <v>81</v>
      </c>
      <c r="I3419" s="13">
        <v>7</v>
      </c>
      <c r="J3419">
        <v>0</v>
      </c>
      <c r="K3419">
        <v>0</v>
      </c>
      <c r="L3419">
        <v>0</v>
      </c>
      <c r="M3419">
        <v>0</v>
      </c>
      <c r="O3419">
        <f t="shared" si="53"/>
        <v>3</v>
      </c>
    </row>
    <row r="3420" spans="1:15">
      <c r="A3420">
        <v>3530</v>
      </c>
      <c r="B3420" s="1">
        <v>45737</v>
      </c>
      <c r="C3420">
        <v>33</v>
      </c>
      <c r="D3420" t="s">
        <v>17</v>
      </c>
      <c r="E3420" t="s">
        <v>20</v>
      </c>
      <c r="F3420" t="s">
        <v>21</v>
      </c>
      <c r="H3420">
        <v>74</v>
      </c>
      <c r="I3420" s="13">
        <v>8</v>
      </c>
      <c r="J3420">
        <v>0</v>
      </c>
      <c r="K3420">
        <v>0</v>
      </c>
      <c r="L3420">
        <v>0</v>
      </c>
      <c r="M3420">
        <v>0</v>
      </c>
      <c r="O3420">
        <f t="shared" si="53"/>
        <v>3</v>
      </c>
    </row>
    <row r="3421" spans="1:15">
      <c r="A3421">
        <v>3659</v>
      </c>
      <c r="B3421" s="1">
        <v>45768</v>
      </c>
      <c r="C3421">
        <v>34</v>
      </c>
      <c r="D3421" t="s">
        <v>14</v>
      </c>
      <c r="E3421" t="s">
        <v>24</v>
      </c>
      <c r="F3421" t="s">
        <v>18</v>
      </c>
      <c r="G3421" t="s">
        <v>31</v>
      </c>
      <c r="H3421">
        <v>996.6</v>
      </c>
      <c r="I3421" s="13">
        <v>6</v>
      </c>
      <c r="J3421">
        <v>1</v>
      </c>
      <c r="K3421">
        <v>117</v>
      </c>
      <c r="L3421">
        <v>4</v>
      </c>
      <c r="M3421">
        <v>3</v>
      </c>
      <c r="N3421">
        <v>3</v>
      </c>
      <c r="O3421">
        <f t="shared" si="53"/>
        <v>4</v>
      </c>
    </row>
    <row r="3422" spans="1:15">
      <c r="A3422">
        <v>1788</v>
      </c>
      <c r="B3422" s="1">
        <v>45768</v>
      </c>
      <c r="C3422">
        <v>35</v>
      </c>
      <c r="D3422" t="s">
        <v>14</v>
      </c>
      <c r="E3422" t="s">
        <v>20</v>
      </c>
      <c r="F3422" t="s">
        <v>16</v>
      </c>
      <c r="H3422">
        <v>228.9</v>
      </c>
      <c r="I3422" s="13">
        <v>6</v>
      </c>
      <c r="J3422">
        <v>1</v>
      </c>
      <c r="K3422">
        <v>502</v>
      </c>
      <c r="L3422">
        <v>2</v>
      </c>
      <c r="M3422">
        <v>3</v>
      </c>
      <c r="N3422">
        <v>4</v>
      </c>
      <c r="O3422">
        <f t="shared" si="53"/>
        <v>4</v>
      </c>
    </row>
    <row r="3423" spans="1:15">
      <c r="A3423">
        <v>1730</v>
      </c>
      <c r="B3423" s="1">
        <v>45768</v>
      </c>
      <c r="C3423">
        <v>25</v>
      </c>
      <c r="D3423" t="s">
        <v>14</v>
      </c>
      <c r="E3423" t="s">
        <v>24</v>
      </c>
      <c r="F3423" t="s">
        <v>16</v>
      </c>
      <c r="H3423">
        <v>221.4</v>
      </c>
      <c r="I3423" s="13">
        <v>3</v>
      </c>
      <c r="J3423">
        <v>1</v>
      </c>
      <c r="K3423">
        <v>426</v>
      </c>
      <c r="L3423">
        <v>2</v>
      </c>
      <c r="M3423">
        <v>15</v>
      </c>
      <c r="N3423">
        <v>5</v>
      </c>
      <c r="O3423">
        <f t="shared" si="53"/>
        <v>4</v>
      </c>
    </row>
    <row r="3424" spans="1:15">
      <c r="A3424">
        <v>1897</v>
      </c>
      <c r="B3424" s="1">
        <v>45768</v>
      </c>
      <c r="C3424">
        <v>25</v>
      </c>
      <c r="D3424" t="s">
        <v>17</v>
      </c>
      <c r="E3424" t="s">
        <v>20</v>
      </c>
      <c r="F3424" t="s">
        <v>16</v>
      </c>
      <c r="H3424">
        <v>281.60000000000002</v>
      </c>
      <c r="I3424" s="13">
        <v>11</v>
      </c>
      <c r="J3424">
        <v>1</v>
      </c>
      <c r="K3424">
        <v>197.35</v>
      </c>
      <c r="L3424">
        <v>4</v>
      </c>
      <c r="M3424">
        <v>9</v>
      </c>
      <c r="N3424">
        <v>4</v>
      </c>
      <c r="O3424">
        <f t="shared" si="53"/>
        <v>4</v>
      </c>
    </row>
    <row r="3425" spans="1:15">
      <c r="A3425">
        <v>4222</v>
      </c>
      <c r="B3425" s="1">
        <v>45768</v>
      </c>
      <c r="C3425">
        <v>50</v>
      </c>
      <c r="D3425" t="s">
        <v>17</v>
      </c>
      <c r="E3425" t="s">
        <v>20</v>
      </c>
      <c r="F3425" t="s">
        <v>18</v>
      </c>
      <c r="G3425" t="s">
        <v>25</v>
      </c>
      <c r="H3425">
        <v>205.5</v>
      </c>
      <c r="I3425" s="13">
        <v>4</v>
      </c>
      <c r="J3425">
        <v>1</v>
      </c>
      <c r="K3425">
        <v>104.57</v>
      </c>
      <c r="L3425">
        <v>2</v>
      </c>
      <c r="M3425">
        <v>8</v>
      </c>
      <c r="N3425">
        <v>4</v>
      </c>
      <c r="O3425">
        <f t="shared" si="53"/>
        <v>4</v>
      </c>
    </row>
    <row r="3426" spans="1:15">
      <c r="A3426">
        <v>1046</v>
      </c>
      <c r="B3426" s="1">
        <v>45768</v>
      </c>
      <c r="C3426">
        <v>25</v>
      </c>
      <c r="D3426" t="s">
        <v>14</v>
      </c>
      <c r="E3426" t="s">
        <v>24</v>
      </c>
      <c r="F3426" t="s">
        <v>16</v>
      </c>
      <c r="H3426">
        <v>221.1</v>
      </c>
      <c r="I3426" s="13">
        <v>6</v>
      </c>
      <c r="J3426">
        <v>1</v>
      </c>
      <c r="K3426">
        <v>92.23</v>
      </c>
      <c r="L3426">
        <v>1</v>
      </c>
      <c r="M3426">
        <v>14</v>
      </c>
      <c r="N3426">
        <v>5</v>
      </c>
      <c r="O3426">
        <f t="shared" si="53"/>
        <v>4</v>
      </c>
    </row>
    <row r="3427" spans="1:15">
      <c r="A3427">
        <v>3701</v>
      </c>
      <c r="B3427" s="1">
        <v>45768</v>
      </c>
      <c r="C3427">
        <v>31</v>
      </c>
      <c r="D3427" t="s">
        <v>14</v>
      </c>
      <c r="E3427" t="s">
        <v>15</v>
      </c>
      <c r="F3427" t="s">
        <v>18</v>
      </c>
      <c r="G3427" t="s">
        <v>30</v>
      </c>
      <c r="H3427">
        <v>785.8</v>
      </c>
      <c r="I3427" s="13">
        <v>8</v>
      </c>
      <c r="J3427">
        <v>1</v>
      </c>
      <c r="K3427">
        <v>77.680000000000007</v>
      </c>
      <c r="L3427">
        <v>3</v>
      </c>
      <c r="M3427">
        <v>11</v>
      </c>
      <c r="N3427">
        <v>4</v>
      </c>
      <c r="O3427">
        <f t="shared" si="53"/>
        <v>4</v>
      </c>
    </row>
    <row r="3428" spans="1:15">
      <c r="A3428">
        <v>4538</v>
      </c>
      <c r="B3428" s="1">
        <v>45768</v>
      </c>
      <c r="C3428">
        <v>37</v>
      </c>
      <c r="D3428" t="s">
        <v>17</v>
      </c>
      <c r="E3428" t="s">
        <v>22</v>
      </c>
      <c r="F3428" t="s">
        <v>23</v>
      </c>
      <c r="H3428">
        <v>455.3</v>
      </c>
      <c r="I3428" s="13">
        <v>4</v>
      </c>
      <c r="J3428">
        <v>1</v>
      </c>
      <c r="K3428">
        <v>60.38</v>
      </c>
      <c r="L3428">
        <v>2</v>
      </c>
      <c r="M3428">
        <v>2</v>
      </c>
      <c r="N3428">
        <v>4</v>
      </c>
      <c r="O3428">
        <f t="shared" si="53"/>
        <v>4</v>
      </c>
    </row>
    <row r="3429" spans="1:15">
      <c r="A3429">
        <v>511</v>
      </c>
      <c r="B3429" s="1">
        <v>45768</v>
      </c>
      <c r="C3429">
        <v>31</v>
      </c>
      <c r="D3429" t="s">
        <v>17</v>
      </c>
      <c r="E3429" t="s">
        <v>22</v>
      </c>
      <c r="F3429" t="s">
        <v>16</v>
      </c>
      <c r="H3429">
        <v>179</v>
      </c>
      <c r="I3429" s="13">
        <v>5</v>
      </c>
      <c r="J3429">
        <v>1</v>
      </c>
      <c r="K3429">
        <v>57.1</v>
      </c>
      <c r="L3429">
        <v>4</v>
      </c>
      <c r="M3429">
        <v>8</v>
      </c>
      <c r="N3429">
        <v>3</v>
      </c>
      <c r="O3429">
        <f t="shared" si="53"/>
        <v>4</v>
      </c>
    </row>
    <row r="3430" spans="1:15">
      <c r="A3430">
        <v>328</v>
      </c>
      <c r="B3430" s="1">
        <v>45768</v>
      </c>
      <c r="C3430">
        <v>30</v>
      </c>
      <c r="D3430" t="s">
        <v>17</v>
      </c>
      <c r="E3430" t="s">
        <v>15</v>
      </c>
      <c r="F3430" t="s">
        <v>18</v>
      </c>
      <c r="G3430" t="s">
        <v>25</v>
      </c>
      <c r="H3430">
        <v>314.10000000000002</v>
      </c>
      <c r="I3430" s="13">
        <v>10</v>
      </c>
      <c r="J3430">
        <v>1</v>
      </c>
      <c r="K3430">
        <v>42.76</v>
      </c>
      <c r="L3430">
        <v>5</v>
      </c>
      <c r="M3430">
        <v>7</v>
      </c>
      <c r="N3430">
        <v>3</v>
      </c>
      <c r="O3430">
        <f t="shared" si="53"/>
        <v>4</v>
      </c>
    </row>
    <row r="3431" spans="1:15">
      <c r="A3431">
        <v>1844</v>
      </c>
      <c r="B3431" s="1">
        <v>45768</v>
      </c>
      <c r="C3431">
        <v>40</v>
      </c>
      <c r="D3431" t="s">
        <v>14</v>
      </c>
      <c r="E3431" t="s">
        <v>15</v>
      </c>
      <c r="F3431" t="s">
        <v>21</v>
      </c>
      <c r="H3431">
        <v>247.9</v>
      </c>
      <c r="I3431" s="13">
        <v>10</v>
      </c>
      <c r="J3431">
        <v>1</v>
      </c>
      <c r="K3431">
        <v>30.37</v>
      </c>
      <c r="L3431">
        <v>2</v>
      </c>
      <c r="M3431">
        <v>2</v>
      </c>
      <c r="N3431">
        <v>4</v>
      </c>
      <c r="O3431">
        <f t="shared" si="53"/>
        <v>4</v>
      </c>
    </row>
    <row r="3432" spans="1:15">
      <c r="A3432">
        <v>3853</v>
      </c>
      <c r="B3432" s="1">
        <v>45768</v>
      </c>
      <c r="C3432">
        <v>51</v>
      </c>
      <c r="D3432" t="s">
        <v>17</v>
      </c>
      <c r="E3432" t="s">
        <v>15</v>
      </c>
      <c r="F3432" t="s">
        <v>18</v>
      </c>
      <c r="G3432" t="s">
        <v>31</v>
      </c>
      <c r="H3432">
        <v>434.3</v>
      </c>
      <c r="I3432" s="13">
        <v>8</v>
      </c>
      <c r="J3432">
        <v>1</v>
      </c>
      <c r="K3432">
        <v>19.39</v>
      </c>
      <c r="L3432">
        <v>2</v>
      </c>
      <c r="M3432">
        <v>2</v>
      </c>
      <c r="N3432">
        <v>5</v>
      </c>
      <c r="O3432">
        <f t="shared" si="53"/>
        <v>4</v>
      </c>
    </row>
    <row r="3433" spans="1:15">
      <c r="A3433">
        <v>1823</v>
      </c>
      <c r="B3433" s="1">
        <v>45768</v>
      </c>
      <c r="C3433">
        <v>36</v>
      </c>
      <c r="D3433" t="s">
        <v>14</v>
      </c>
      <c r="E3433" t="s">
        <v>20</v>
      </c>
      <c r="F3433" t="s">
        <v>23</v>
      </c>
      <c r="H3433">
        <v>765.9</v>
      </c>
      <c r="I3433" s="13">
        <v>4</v>
      </c>
      <c r="J3433">
        <v>1</v>
      </c>
      <c r="K3433">
        <v>18.55</v>
      </c>
      <c r="L3433">
        <v>2</v>
      </c>
      <c r="M3433">
        <v>12</v>
      </c>
      <c r="N3433">
        <v>4</v>
      </c>
      <c r="O3433">
        <f t="shared" si="53"/>
        <v>4</v>
      </c>
    </row>
    <row r="3434" spans="1:15">
      <c r="A3434">
        <v>2118</v>
      </c>
      <c r="B3434" s="1">
        <v>45768</v>
      </c>
      <c r="C3434">
        <v>40</v>
      </c>
      <c r="D3434" t="s">
        <v>14</v>
      </c>
      <c r="E3434" t="s">
        <v>22</v>
      </c>
      <c r="F3434" t="s">
        <v>18</v>
      </c>
      <c r="G3434" t="s">
        <v>28</v>
      </c>
      <c r="H3434">
        <v>379.6</v>
      </c>
      <c r="I3434" s="13">
        <v>4</v>
      </c>
      <c r="J3434">
        <v>0</v>
      </c>
      <c r="K3434">
        <v>0</v>
      </c>
      <c r="L3434">
        <v>0</v>
      </c>
      <c r="M3434">
        <v>0</v>
      </c>
      <c r="O3434">
        <f t="shared" si="53"/>
        <v>4</v>
      </c>
    </row>
    <row r="3435" spans="1:15">
      <c r="A3435">
        <v>1087</v>
      </c>
      <c r="B3435" s="1">
        <v>45768</v>
      </c>
      <c r="C3435">
        <v>31</v>
      </c>
      <c r="D3435" t="s">
        <v>17</v>
      </c>
      <c r="E3435" t="s">
        <v>20</v>
      </c>
      <c r="F3435" t="s">
        <v>16</v>
      </c>
      <c r="H3435">
        <v>328.3</v>
      </c>
      <c r="I3435" s="13">
        <v>8</v>
      </c>
      <c r="J3435">
        <v>0</v>
      </c>
      <c r="K3435">
        <v>0</v>
      </c>
      <c r="L3435">
        <v>0</v>
      </c>
      <c r="M3435">
        <v>0</v>
      </c>
      <c r="O3435">
        <f t="shared" si="53"/>
        <v>4</v>
      </c>
    </row>
    <row r="3436" spans="1:15">
      <c r="A3436">
        <v>3814</v>
      </c>
      <c r="B3436" s="1">
        <v>45768</v>
      </c>
      <c r="C3436">
        <v>51</v>
      </c>
      <c r="D3436" t="s">
        <v>14</v>
      </c>
      <c r="E3436" t="s">
        <v>20</v>
      </c>
      <c r="F3436" t="s">
        <v>16</v>
      </c>
      <c r="H3436">
        <v>288.5</v>
      </c>
      <c r="I3436" s="13">
        <v>8</v>
      </c>
      <c r="J3436">
        <v>0</v>
      </c>
      <c r="K3436">
        <v>0</v>
      </c>
      <c r="L3436">
        <v>0</v>
      </c>
      <c r="M3436">
        <v>0</v>
      </c>
      <c r="O3436">
        <f t="shared" si="53"/>
        <v>4</v>
      </c>
    </row>
    <row r="3437" spans="1:15">
      <c r="A3437">
        <v>346</v>
      </c>
      <c r="B3437" s="1">
        <v>45768</v>
      </c>
      <c r="C3437">
        <v>26</v>
      </c>
      <c r="D3437" t="s">
        <v>17</v>
      </c>
      <c r="E3437" t="s">
        <v>24</v>
      </c>
      <c r="F3437" t="s">
        <v>18</v>
      </c>
      <c r="G3437" t="s">
        <v>29</v>
      </c>
      <c r="H3437">
        <v>271.2</v>
      </c>
      <c r="I3437" s="13">
        <v>3</v>
      </c>
      <c r="J3437">
        <v>0</v>
      </c>
      <c r="K3437">
        <v>0</v>
      </c>
      <c r="L3437">
        <v>0</v>
      </c>
      <c r="M3437">
        <v>0</v>
      </c>
      <c r="O3437">
        <f t="shared" si="53"/>
        <v>4</v>
      </c>
    </row>
    <row r="3438" spans="1:15">
      <c r="A3438">
        <v>21</v>
      </c>
      <c r="B3438" s="1">
        <v>45768</v>
      </c>
      <c r="C3438">
        <v>25</v>
      </c>
      <c r="D3438" t="s">
        <v>14</v>
      </c>
      <c r="E3438" t="s">
        <v>22</v>
      </c>
      <c r="F3438" t="s">
        <v>18</v>
      </c>
      <c r="G3438" t="s">
        <v>19</v>
      </c>
      <c r="H3438">
        <v>248.8</v>
      </c>
      <c r="I3438" s="13">
        <v>6</v>
      </c>
      <c r="J3438">
        <v>0</v>
      </c>
      <c r="K3438">
        <v>0</v>
      </c>
      <c r="L3438">
        <v>0</v>
      </c>
      <c r="M3438">
        <v>0</v>
      </c>
      <c r="O3438">
        <f t="shared" si="53"/>
        <v>4</v>
      </c>
    </row>
    <row r="3439" spans="1:15">
      <c r="A3439">
        <v>2353</v>
      </c>
      <c r="B3439" s="1">
        <v>45768</v>
      </c>
      <c r="C3439">
        <v>25</v>
      </c>
      <c r="D3439" t="s">
        <v>17</v>
      </c>
      <c r="E3439" t="s">
        <v>20</v>
      </c>
      <c r="F3439" t="s">
        <v>18</v>
      </c>
      <c r="G3439" t="s">
        <v>31</v>
      </c>
      <c r="H3439">
        <v>232.4</v>
      </c>
      <c r="I3439" s="13">
        <v>8</v>
      </c>
      <c r="J3439">
        <v>0</v>
      </c>
      <c r="K3439">
        <v>0</v>
      </c>
      <c r="L3439">
        <v>0</v>
      </c>
      <c r="M3439">
        <v>0</v>
      </c>
      <c r="O3439">
        <f t="shared" si="53"/>
        <v>4</v>
      </c>
    </row>
    <row r="3440" spans="1:15">
      <c r="A3440">
        <v>261</v>
      </c>
      <c r="B3440" s="1">
        <v>45768</v>
      </c>
      <c r="C3440">
        <v>20</v>
      </c>
      <c r="D3440" t="s">
        <v>17</v>
      </c>
      <c r="E3440" t="s">
        <v>22</v>
      </c>
      <c r="F3440" t="s">
        <v>16</v>
      </c>
      <c r="H3440">
        <v>211.7</v>
      </c>
      <c r="I3440" s="13">
        <v>6</v>
      </c>
      <c r="J3440">
        <v>0</v>
      </c>
      <c r="K3440">
        <v>0</v>
      </c>
      <c r="L3440">
        <v>0</v>
      </c>
      <c r="M3440">
        <v>0</v>
      </c>
      <c r="O3440">
        <f t="shared" si="53"/>
        <v>4</v>
      </c>
    </row>
    <row r="3441" spans="1:15">
      <c r="A3441">
        <v>1250</v>
      </c>
      <c r="B3441" s="1">
        <v>45768</v>
      </c>
      <c r="C3441">
        <v>25</v>
      </c>
      <c r="D3441" t="s">
        <v>17</v>
      </c>
      <c r="E3441" t="s">
        <v>24</v>
      </c>
      <c r="F3441" t="s">
        <v>21</v>
      </c>
      <c r="H3441">
        <v>136.1</v>
      </c>
      <c r="I3441" s="13">
        <v>5</v>
      </c>
      <c r="J3441">
        <v>0</v>
      </c>
      <c r="K3441">
        <v>0</v>
      </c>
      <c r="L3441">
        <v>0</v>
      </c>
      <c r="M3441">
        <v>0</v>
      </c>
      <c r="O3441">
        <f t="shared" si="53"/>
        <v>4</v>
      </c>
    </row>
    <row r="3442" spans="1:15">
      <c r="A3442">
        <v>2544</v>
      </c>
      <c r="B3442" s="1">
        <v>45768</v>
      </c>
      <c r="C3442">
        <v>55</v>
      </c>
      <c r="D3442" t="s">
        <v>17</v>
      </c>
      <c r="E3442" t="s">
        <v>20</v>
      </c>
      <c r="F3442" t="s">
        <v>16</v>
      </c>
      <c r="H3442">
        <v>120</v>
      </c>
      <c r="I3442" s="13">
        <v>7</v>
      </c>
      <c r="J3442">
        <v>0</v>
      </c>
      <c r="K3442">
        <v>0</v>
      </c>
      <c r="L3442">
        <v>0</v>
      </c>
      <c r="M3442">
        <v>0</v>
      </c>
      <c r="O3442">
        <f t="shared" si="53"/>
        <v>4</v>
      </c>
    </row>
    <row r="3443" spans="1:15">
      <c r="A3443">
        <v>794</v>
      </c>
      <c r="B3443" s="1">
        <v>45768</v>
      </c>
      <c r="C3443">
        <v>30</v>
      </c>
      <c r="D3443" t="s">
        <v>14</v>
      </c>
      <c r="E3443" t="s">
        <v>15</v>
      </c>
      <c r="F3443" t="s">
        <v>21</v>
      </c>
      <c r="H3443">
        <v>109.3</v>
      </c>
      <c r="I3443" s="13">
        <v>12</v>
      </c>
      <c r="J3443">
        <v>0</v>
      </c>
      <c r="K3443">
        <v>0</v>
      </c>
      <c r="L3443">
        <v>0</v>
      </c>
      <c r="M3443">
        <v>0</v>
      </c>
      <c r="O3443">
        <f t="shared" si="53"/>
        <v>4</v>
      </c>
    </row>
    <row r="3444" spans="1:15">
      <c r="A3444">
        <v>3862</v>
      </c>
      <c r="B3444" s="1">
        <v>45768</v>
      </c>
      <c r="C3444">
        <v>52</v>
      </c>
      <c r="D3444" t="s">
        <v>17</v>
      </c>
      <c r="E3444" t="s">
        <v>24</v>
      </c>
      <c r="F3444" t="s">
        <v>18</v>
      </c>
      <c r="G3444" t="s">
        <v>19</v>
      </c>
      <c r="H3444">
        <v>106.6</v>
      </c>
      <c r="I3444" s="13">
        <v>5</v>
      </c>
      <c r="J3444">
        <v>0</v>
      </c>
      <c r="K3444">
        <v>0</v>
      </c>
      <c r="L3444">
        <v>0</v>
      </c>
      <c r="M3444">
        <v>0</v>
      </c>
      <c r="O3444">
        <f t="shared" si="53"/>
        <v>4</v>
      </c>
    </row>
    <row r="3445" spans="1:15">
      <c r="A3445">
        <v>3239</v>
      </c>
      <c r="B3445" s="1">
        <v>45768</v>
      </c>
      <c r="C3445">
        <v>38</v>
      </c>
      <c r="D3445" t="s">
        <v>17</v>
      </c>
      <c r="E3445" t="s">
        <v>15</v>
      </c>
      <c r="F3445" t="s">
        <v>18</v>
      </c>
      <c r="G3445" t="s">
        <v>31</v>
      </c>
      <c r="H3445">
        <v>95.1</v>
      </c>
      <c r="I3445" s="13">
        <v>6</v>
      </c>
      <c r="J3445">
        <v>0</v>
      </c>
      <c r="K3445">
        <v>0</v>
      </c>
      <c r="L3445">
        <v>0</v>
      </c>
      <c r="M3445">
        <v>0</v>
      </c>
      <c r="O3445">
        <f t="shared" si="53"/>
        <v>4</v>
      </c>
    </row>
    <row r="3446" spans="1:15">
      <c r="A3446">
        <v>3110</v>
      </c>
      <c r="B3446" s="1">
        <v>45768</v>
      </c>
      <c r="C3446">
        <v>38</v>
      </c>
      <c r="D3446" t="s">
        <v>17</v>
      </c>
      <c r="E3446" t="s">
        <v>20</v>
      </c>
      <c r="F3446" t="s">
        <v>16</v>
      </c>
      <c r="H3446">
        <v>93.7</v>
      </c>
      <c r="I3446" s="13">
        <v>5</v>
      </c>
      <c r="J3446">
        <v>0</v>
      </c>
      <c r="K3446">
        <v>0</v>
      </c>
      <c r="L3446">
        <v>0</v>
      </c>
      <c r="M3446">
        <v>0</v>
      </c>
      <c r="O3446">
        <f t="shared" si="53"/>
        <v>4</v>
      </c>
    </row>
    <row r="3447" spans="1:15">
      <c r="A3447">
        <v>2875</v>
      </c>
      <c r="B3447" s="1">
        <v>45798</v>
      </c>
      <c r="C3447">
        <v>19</v>
      </c>
      <c r="D3447" t="s">
        <v>14</v>
      </c>
      <c r="E3447" t="s">
        <v>20</v>
      </c>
      <c r="F3447" t="s">
        <v>18</v>
      </c>
      <c r="G3447" t="s">
        <v>31</v>
      </c>
      <c r="H3447">
        <v>233.2</v>
      </c>
      <c r="I3447" s="13">
        <v>10</v>
      </c>
      <c r="J3447">
        <v>1</v>
      </c>
      <c r="K3447">
        <v>405</v>
      </c>
      <c r="L3447">
        <v>6</v>
      </c>
      <c r="M3447">
        <v>15</v>
      </c>
      <c r="N3447">
        <v>5</v>
      </c>
      <c r="O3447">
        <f t="shared" si="53"/>
        <v>5</v>
      </c>
    </row>
    <row r="3448" spans="1:15">
      <c r="A3448">
        <v>4055</v>
      </c>
      <c r="B3448" s="1">
        <v>45798</v>
      </c>
      <c r="C3448">
        <v>53</v>
      </c>
      <c r="D3448" t="s">
        <v>17</v>
      </c>
      <c r="E3448" t="s">
        <v>22</v>
      </c>
      <c r="F3448" t="s">
        <v>23</v>
      </c>
      <c r="H3448">
        <v>273.7</v>
      </c>
      <c r="I3448" s="13">
        <v>9</v>
      </c>
      <c r="J3448">
        <v>1</v>
      </c>
      <c r="K3448">
        <v>399</v>
      </c>
      <c r="L3448">
        <v>2</v>
      </c>
      <c r="M3448">
        <v>4</v>
      </c>
      <c r="N3448">
        <v>5</v>
      </c>
      <c r="O3448">
        <f t="shared" si="53"/>
        <v>5</v>
      </c>
    </row>
    <row r="3449" spans="1:15">
      <c r="A3449">
        <v>4438</v>
      </c>
      <c r="B3449" s="1">
        <v>45798</v>
      </c>
      <c r="C3449">
        <v>52</v>
      </c>
      <c r="D3449" t="s">
        <v>14</v>
      </c>
      <c r="E3449" t="s">
        <v>22</v>
      </c>
      <c r="F3449" t="s">
        <v>16</v>
      </c>
      <c r="H3449">
        <v>262</v>
      </c>
      <c r="I3449" s="13">
        <v>6</v>
      </c>
      <c r="J3449">
        <v>1</v>
      </c>
      <c r="K3449">
        <v>126.78</v>
      </c>
      <c r="L3449">
        <v>5</v>
      </c>
      <c r="M3449">
        <v>6</v>
      </c>
      <c r="N3449">
        <v>4</v>
      </c>
      <c r="O3449">
        <f t="shared" si="53"/>
        <v>5</v>
      </c>
    </row>
    <row r="3450" spans="1:15">
      <c r="A3450">
        <v>3376</v>
      </c>
      <c r="B3450" s="1">
        <v>45798</v>
      </c>
      <c r="C3450">
        <v>45</v>
      </c>
      <c r="D3450" t="s">
        <v>14</v>
      </c>
      <c r="E3450" t="s">
        <v>22</v>
      </c>
      <c r="F3450" t="s">
        <v>18</v>
      </c>
      <c r="G3450" t="s">
        <v>31</v>
      </c>
      <c r="H3450">
        <v>484.4</v>
      </c>
      <c r="I3450" s="13">
        <v>7</v>
      </c>
      <c r="J3450">
        <v>1</v>
      </c>
      <c r="K3450">
        <v>118.46</v>
      </c>
      <c r="L3450">
        <v>5</v>
      </c>
      <c r="M3450">
        <v>7</v>
      </c>
      <c r="N3450">
        <v>4</v>
      </c>
      <c r="O3450">
        <f t="shared" si="53"/>
        <v>5</v>
      </c>
    </row>
    <row r="3451" spans="1:15">
      <c r="A3451">
        <v>1177</v>
      </c>
      <c r="B3451" s="1">
        <v>45798</v>
      </c>
      <c r="C3451">
        <v>18</v>
      </c>
      <c r="D3451" t="s">
        <v>17</v>
      </c>
      <c r="E3451" t="s">
        <v>15</v>
      </c>
      <c r="F3451" t="s">
        <v>21</v>
      </c>
      <c r="H3451">
        <v>41</v>
      </c>
      <c r="I3451" s="13">
        <v>5</v>
      </c>
      <c r="J3451">
        <v>1</v>
      </c>
      <c r="K3451">
        <v>25.86</v>
      </c>
      <c r="L3451">
        <v>4</v>
      </c>
      <c r="M3451">
        <v>6</v>
      </c>
      <c r="N3451">
        <v>3</v>
      </c>
      <c r="O3451">
        <f t="shared" si="53"/>
        <v>5</v>
      </c>
    </row>
    <row r="3452" spans="1:15">
      <c r="A3452">
        <v>1099</v>
      </c>
      <c r="B3452" s="1">
        <v>45798</v>
      </c>
      <c r="C3452">
        <v>27</v>
      </c>
      <c r="D3452" t="s">
        <v>17</v>
      </c>
      <c r="E3452" t="s">
        <v>24</v>
      </c>
      <c r="F3452" t="s">
        <v>16</v>
      </c>
      <c r="H3452">
        <v>534.1</v>
      </c>
      <c r="I3452" s="13">
        <v>5</v>
      </c>
      <c r="J3452">
        <v>1</v>
      </c>
      <c r="K3452">
        <v>20.21</v>
      </c>
      <c r="L3452">
        <v>3</v>
      </c>
      <c r="M3452">
        <v>4</v>
      </c>
      <c r="N3452">
        <v>4</v>
      </c>
      <c r="O3452">
        <f t="shared" si="53"/>
        <v>5</v>
      </c>
    </row>
    <row r="3453" spans="1:15">
      <c r="A3453">
        <v>4758</v>
      </c>
      <c r="B3453" s="1">
        <v>45798</v>
      </c>
      <c r="C3453">
        <v>38</v>
      </c>
      <c r="D3453" t="s">
        <v>14</v>
      </c>
      <c r="E3453" t="s">
        <v>15</v>
      </c>
      <c r="F3453" t="s">
        <v>21</v>
      </c>
      <c r="H3453">
        <v>656.8</v>
      </c>
      <c r="I3453" s="13">
        <v>7</v>
      </c>
      <c r="J3453">
        <v>0</v>
      </c>
      <c r="K3453">
        <v>0</v>
      </c>
      <c r="L3453">
        <v>0</v>
      </c>
      <c r="M3453">
        <v>0</v>
      </c>
      <c r="O3453">
        <f t="shared" si="53"/>
        <v>5</v>
      </c>
    </row>
    <row r="3454" spans="1:15">
      <c r="A3454">
        <v>3472</v>
      </c>
      <c r="B3454" s="1">
        <v>45798</v>
      </c>
      <c r="C3454">
        <v>38</v>
      </c>
      <c r="D3454" t="s">
        <v>17</v>
      </c>
      <c r="E3454" t="s">
        <v>20</v>
      </c>
      <c r="F3454" t="s">
        <v>18</v>
      </c>
      <c r="G3454" t="s">
        <v>30</v>
      </c>
      <c r="H3454">
        <v>586.79999999999995</v>
      </c>
      <c r="I3454" s="13">
        <v>7</v>
      </c>
      <c r="J3454">
        <v>0</v>
      </c>
      <c r="K3454">
        <v>0</v>
      </c>
      <c r="L3454">
        <v>0</v>
      </c>
      <c r="M3454">
        <v>0</v>
      </c>
      <c r="O3454">
        <f t="shared" si="53"/>
        <v>5</v>
      </c>
    </row>
    <row r="3455" spans="1:15">
      <c r="A3455">
        <v>1470</v>
      </c>
      <c r="B3455" s="1">
        <v>45798</v>
      </c>
      <c r="C3455">
        <v>22</v>
      </c>
      <c r="D3455" t="s">
        <v>14</v>
      </c>
      <c r="E3455" t="s">
        <v>15</v>
      </c>
      <c r="F3455" t="s">
        <v>18</v>
      </c>
      <c r="G3455" t="s">
        <v>31</v>
      </c>
      <c r="H3455">
        <v>533.5</v>
      </c>
      <c r="I3455" s="13">
        <v>9</v>
      </c>
      <c r="J3455">
        <v>0</v>
      </c>
      <c r="K3455">
        <v>0</v>
      </c>
      <c r="L3455">
        <v>0</v>
      </c>
      <c r="M3455">
        <v>0</v>
      </c>
      <c r="O3455">
        <f t="shared" si="53"/>
        <v>5</v>
      </c>
    </row>
    <row r="3456" spans="1:15">
      <c r="A3456">
        <v>2746</v>
      </c>
      <c r="B3456" s="1">
        <v>45798</v>
      </c>
      <c r="C3456">
        <v>28</v>
      </c>
      <c r="D3456" t="s">
        <v>14</v>
      </c>
      <c r="E3456" t="s">
        <v>20</v>
      </c>
      <c r="F3456" t="s">
        <v>16</v>
      </c>
      <c r="H3456">
        <v>432.7</v>
      </c>
      <c r="I3456" s="13">
        <v>5</v>
      </c>
      <c r="J3456">
        <v>0</v>
      </c>
      <c r="K3456">
        <v>0</v>
      </c>
      <c r="L3456">
        <v>0</v>
      </c>
      <c r="M3456">
        <v>0</v>
      </c>
      <c r="O3456">
        <f t="shared" si="53"/>
        <v>5</v>
      </c>
    </row>
    <row r="3457" spans="1:15">
      <c r="A3457">
        <v>1649</v>
      </c>
      <c r="B3457" s="1">
        <v>45798</v>
      </c>
      <c r="C3457">
        <v>22</v>
      </c>
      <c r="D3457" t="s">
        <v>17</v>
      </c>
      <c r="E3457" t="s">
        <v>20</v>
      </c>
      <c r="F3457" t="s">
        <v>18</v>
      </c>
      <c r="G3457" t="s">
        <v>26</v>
      </c>
      <c r="H3457">
        <v>360.2</v>
      </c>
      <c r="I3457" s="13">
        <v>5</v>
      </c>
      <c r="J3457">
        <v>0</v>
      </c>
      <c r="K3457">
        <v>0</v>
      </c>
      <c r="L3457">
        <v>0</v>
      </c>
      <c r="M3457">
        <v>0</v>
      </c>
      <c r="O3457">
        <f t="shared" si="53"/>
        <v>5</v>
      </c>
    </row>
    <row r="3458" spans="1:15">
      <c r="A3458">
        <v>1273</v>
      </c>
      <c r="B3458" s="1">
        <v>45798</v>
      </c>
      <c r="C3458">
        <v>27</v>
      </c>
      <c r="D3458" t="s">
        <v>14</v>
      </c>
      <c r="E3458" t="s">
        <v>22</v>
      </c>
      <c r="F3458" t="s">
        <v>18</v>
      </c>
      <c r="G3458" t="s">
        <v>28</v>
      </c>
      <c r="H3458">
        <v>300.7</v>
      </c>
      <c r="I3458" s="13">
        <v>8</v>
      </c>
      <c r="J3458">
        <v>0</v>
      </c>
      <c r="K3458">
        <v>0</v>
      </c>
      <c r="L3458">
        <v>0</v>
      </c>
      <c r="M3458">
        <v>0</v>
      </c>
      <c r="O3458">
        <f t="shared" si="53"/>
        <v>5</v>
      </c>
    </row>
    <row r="3459" spans="1:15">
      <c r="A3459">
        <v>4583</v>
      </c>
      <c r="B3459" s="1">
        <v>45798</v>
      </c>
      <c r="C3459">
        <v>33</v>
      </c>
      <c r="D3459" t="s">
        <v>14</v>
      </c>
      <c r="E3459" t="s">
        <v>24</v>
      </c>
      <c r="F3459" t="s">
        <v>18</v>
      </c>
      <c r="G3459" t="s">
        <v>31</v>
      </c>
      <c r="H3459">
        <v>299.3</v>
      </c>
      <c r="I3459" s="13">
        <v>6</v>
      </c>
      <c r="J3459">
        <v>0</v>
      </c>
      <c r="K3459">
        <v>0</v>
      </c>
      <c r="L3459">
        <v>0</v>
      </c>
      <c r="M3459">
        <v>0</v>
      </c>
      <c r="O3459">
        <f t="shared" ref="O3459:O3522" si="54">MONTH(B3459)</f>
        <v>5</v>
      </c>
    </row>
    <row r="3460" spans="1:15">
      <c r="A3460">
        <v>4798</v>
      </c>
      <c r="B3460" s="1">
        <v>45798</v>
      </c>
      <c r="C3460">
        <v>35</v>
      </c>
      <c r="D3460" t="s">
        <v>14</v>
      </c>
      <c r="E3460" t="s">
        <v>22</v>
      </c>
      <c r="F3460" t="s">
        <v>16</v>
      </c>
      <c r="H3460">
        <v>277.39999999999998</v>
      </c>
      <c r="I3460" s="13">
        <v>4</v>
      </c>
      <c r="J3460">
        <v>0</v>
      </c>
      <c r="K3460">
        <v>0</v>
      </c>
      <c r="L3460">
        <v>0</v>
      </c>
      <c r="M3460">
        <v>0</v>
      </c>
      <c r="O3460">
        <f t="shared" si="54"/>
        <v>5</v>
      </c>
    </row>
    <row r="3461" spans="1:15">
      <c r="A3461">
        <v>2643</v>
      </c>
      <c r="B3461" s="1">
        <v>45798</v>
      </c>
      <c r="C3461">
        <v>48</v>
      </c>
      <c r="D3461" t="s">
        <v>17</v>
      </c>
      <c r="E3461" t="s">
        <v>15</v>
      </c>
      <c r="F3461" t="s">
        <v>23</v>
      </c>
      <c r="H3461">
        <v>202.4</v>
      </c>
      <c r="I3461" s="13">
        <v>7</v>
      </c>
      <c r="J3461">
        <v>0</v>
      </c>
      <c r="K3461">
        <v>0</v>
      </c>
      <c r="L3461">
        <v>0</v>
      </c>
      <c r="M3461">
        <v>0</v>
      </c>
      <c r="O3461">
        <f t="shared" si="54"/>
        <v>5</v>
      </c>
    </row>
    <row r="3462" spans="1:15">
      <c r="A3462">
        <v>200</v>
      </c>
      <c r="B3462" s="1">
        <v>45798</v>
      </c>
      <c r="C3462">
        <v>33</v>
      </c>
      <c r="D3462" t="s">
        <v>14</v>
      </c>
      <c r="E3462" t="s">
        <v>22</v>
      </c>
      <c r="F3462" t="s">
        <v>21</v>
      </c>
      <c r="H3462">
        <v>201.7</v>
      </c>
      <c r="I3462" s="13">
        <v>6</v>
      </c>
      <c r="J3462">
        <v>0</v>
      </c>
      <c r="K3462">
        <v>0</v>
      </c>
      <c r="L3462">
        <v>0</v>
      </c>
      <c r="M3462">
        <v>0</v>
      </c>
      <c r="O3462">
        <f t="shared" si="54"/>
        <v>5</v>
      </c>
    </row>
    <row r="3463" spans="1:15">
      <c r="A3463">
        <v>4489</v>
      </c>
      <c r="B3463" s="1">
        <v>45798</v>
      </c>
      <c r="C3463">
        <v>42</v>
      </c>
      <c r="D3463" t="s">
        <v>14</v>
      </c>
      <c r="E3463" t="s">
        <v>15</v>
      </c>
      <c r="F3463" t="s">
        <v>18</v>
      </c>
      <c r="G3463" t="s">
        <v>30</v>
      </c>
      <c r="H3463">
        <v>195.3</v>
      </c>
      <c r="I3463" s="13">
        <v>3</v>
      </c>
      <c r="J3463">
        <v>0</v>
      </c>
      <c r="K3463">
        <v>0</v>
      </c>
      <c r="L3463">
        <v>0</v>
      </c>
      <c r="M3463">
        <v>0</v>
      </c>
      <c r="O3463">
        <f t="shared" si="54"/>
        <v>5</v>
      </c>
    </row>
    <row r="3464" spans="1:15">
      <c r="A3464">
        <v>3923</v>
      </c>
      <c r="B3464" s="1">
        <v>45798</v>
      </c>
      <c r="C3464">
        <v>45</v>
      </c>
      <c r="D3464" t="s">
        <v>14</v>
      </c>
      <c r="E3464" t="s">
        <v>22</v>
      </c>
      <c r="F3464" t="s">
        <v>16</v>
      </c>
      <c r="H3464">
        <v>185.9</v>
      </c>
      <c r="I3464" s="13">
        <v>6</v>
      </c>
      <c r="J3464">
        <v>0</v>
      </c>
      <c r="K3464">
        <v>0</v>
      </c>
      <c r="L3464">
        <v>0</v>
      </c>
      <c r="M3464">
        <v>0</v>
      </c>
      <c r="O3464">
        <f t="shared" si="54"/>
        <v>5</v>
      </c>
    </row>
    <row r="3465" spans="1:15">
      <c r="A3465">
        <v>2723</v>
      </c>
      <c r="B3465" s="1">
        <v>45798</v>
      </c>
      <c r="C3465">
        <v>29</v>
      </c>
      <c r="D3465" t="s">
        <v>14</v>
      </c>
      <c r="E3465" t="s">
        <v>22</v>
      </c>
      <c r="F3465" t="s">
        <v>16</v>
      </c>
      <c r="H3465">
        <v>182.6</v>
      </c>
      <c r="I3465" s="13">
        <v>7</v>
      </c>
      <c r="J3465">
        <v>0</v>
      </c>
      <c r="K3465">
        <v>0</v>
      </c>
      <c r="L3465">
        <v>0</v>
      </c>
      <c r="M3465">
        <v>0</v>
      </c>
      <c r="O3465">
        <f t="shared" si="54"/>
        <v>5</v>
      </c>
    </row>
    <row r="3466" spans="1:15">
      <c r="A3466">
        <v>1713</v>
      </c>
      <c r="B3466" s="1">
        <v>45798</v>
      </c>
      <c r="C3466">
        <v>21</v>
      </c>
      <c r="D3466" t="s">
        <v>14</v>
      </c>
      <c r="E3466" t="s">
        <v>24</v>
      </c>
      <c r="F3466" t="s">
        <v>16</v>
      </c>
      <c r="H3466">
        <v>146.80000000000001</v>
      </c>
      <c r="I3466" s="13">
        <v>7</v>
      </c>
      <c r="J3466">
        <v>0</v>
      </c>
      <c r="K3466">
        <v>0</v>
      </c>
      <c r="L3466">
        <v>0</v>
      </c>
      <c r="M3466">
        <v>0</v>
      </c>
      <c r="O3466">
        <f t="shared" si="54"/>
        <v>5</v>
      </c>
    </row>
    <row r="3467" spans="1:15">
      <c r="A3467">
        <v>3325</v>
      </c>
      <c r="B3467" s="1">
        <v>45798</v>
      </c>
      <c r="C3467">
        <v>42</v>
      </c>
      <c r="D3467" t="s">
        <v>17</v>
      </c>
      <c r="E3467" t="s">
        <v>20</v>
      </c>
      <c r="F3467" t="s">
        <v>18</v>
      </c>
      <c r="G3467" t="s">
        <v>29</v>
      </c>
      <c r="H3467">
        <v>137.80000000000001</v>
      </c>
      <c r="I3467" s="13">
        <v>5</v>
      </c>
      <c r="J3467">
        <v>0</v>
      </c>
      <c r="K3467">
        <v>0</v>
      </c>
      <c r="L3467">
        <v>0</v>
      </c>
      <c r="M3467">
        <v>0</v>
      </c>
      <c r="O3467">
        <f t="shared" si="54"/>
        <v>5</v>
      </c>
    </row>
    <row r="3468" spans="1:15">
      <c r="A3468">
        <v>1563</v>
      </c>
      <c r="B3468" s="1">
        <v>45798</v>
      </c>
      <c r="C3468">
        <v>23</v>
      </c>
      <c r="D3468" t="s">
        <v>14</v>
      </c>
      <c r="E3468" t="s">
        <v>20</v>
      </c>
      <c r="F3468" t="s">
        <v>21</v>
      </c>
      <c r="H3468">
        <v>115.9</v>
      </c>
      <c r="I3468" s="13">
        <v>7</v>
      </c>
      <c r="J3468">
        <v>0</v>
      </c>
      <c r="K3468">
        <v>0</v>
      </c>
      <c r="L3468">
        <v>0</v>
      </c>
      <c r="M3468">
        <v>0</v>
      </c>
      <c r="O3468">
        <f t="shared" si="54"/>
        <v>5</v>
      </c>
    </row>
    <row r="3469" spans="1:15">
      <c r="A3469">
        <v>4150</v>
      </c>
      <c r="B3469" s="1">
        <v>45798</v>
      </c>
      <c r="C3469">
        <v>58</v>
      </c>
      <c r="D3469" t="s">
        <v>17</v>
      </c>
      <c r="E3469" t="s">
        <v>20</v>
      </c>
      <c r="F3469" t="s">
        <v>18</v>
      </c>
      <c r="G3469" t="s">
        <v>31</v>
      </c>
      <c r="H3469">
        <v>103.7</v>
      </c>
      <c r="I3469" s="13">
        <v>6</v>
      </c>
      <c r="J3469">
        <v>0</v>
      </c>
      <c r="K3469">
        <v>0</v>
      </c>
      <c r="L3469">
        <v>0</v>
      </c>
      <c r="M3469">
        <v>0</v>
      </c>
      <c r="O3469">
        <f t="shared" si="54"/>
        <v>5</v>
      </c>
    </row>
    <row r="3470" spans="1:15">
      <c r="A3470">
        <v>2722</v>
      </c>
      <c r="B3470" s="1">
        <v>45798</v>
      </c>
      <c r="C3470">
        <v>18</v>
      </c>
      <c r="D3470" t="s">
        <v>14</v>
      </c>
      <c r="E3470" t="s">
        <v>22</v>
      </c>
      <c r="F3470" t="s">
        <v>18</v>
      </c>
      <c r="G3470" t="s">
        <v>30</v>
      </c>
      <c r="H3470">
        <v>73.7</v>
      </c>
      <c r="I3470" s="13">
        <v>8</v>
      </c>
      <c r="J3470">
        <v>0</v>
      </c>
      <c r="K3470">
        <v>0</v>
      </c>
      <c r="L3470">
        <v>0</v>
      </c>
      <c r="M3470">
        <v>0</v>
      </c>
      <c r="O3470">
        <f t="shared" si="54"/>
        <v>5</v>
      </c>
    </row>
    <row r="3471" spans="1:15">
      <c r="A3471">
        <v>2937</v>
      </c>
      <c r="B3471" s="1">
        <v>45798</v>
      </c>
      <c r="C3471">
        <v>33</v>
      </c>
      <c r="D3471" t="s">
        <v>14</v>
      </c>
      <c r="E3471" t="s">
        <v>20</v>
      </c>
      <c r="F3471" t="s">
        <v>21</v>
      </c>
      <c r="H3471">
        <v>34</v>
      </c>
      <c r="I3471" s="13">
        <v>3</v>
      </c>
      <c r="J3471">
        <v>0</v>
      </c>
      <c r="K3471">
        <v>0</v>
      </c>
      <c r="L3471">
        <v>0</v>
      </c>
      <c r="M3471">
        <v>0</v>
      </c>
      <c r="O3471">
        <f t="shared" si="54"/>
        <v>5</v>
      </c>
    </row>
    <row r="3472" spans="1:15">
      <c r="A3472">
        <v>999</v>
      </c>
      <c r="B3472" s="1">
        <v>45829</v>
      </c>
      <c r="C3472">
        <v>28</v>
      </c>
      <c r="D3472" t="s">
        <v>14</v>
      </c>
      <c r="E3472" t="s">
        <v>15</v>
      </c>
      <c r="F3472" t="s">
        <v>18</v>
      </c>
      <c r="G3472" t="s">
        <v>26</v>
      </c>
      <c r="H3472">
        <v>731.5</v>
      </c>
      <c r="I3472" s="13">
        <v>4</v>
      </c>
      <c r="J3472">
        <v>1</v>
      </c>
      <c r="K3472">
        <v>19</v>
      </c>
      <c r="L3472">
        <v>3</v>
      </c>
      <c r="M3472">
        <v>2</v>
      </c>
      <c r="N3472">
        <v>4</v>
      </c>
      <c r="O3472">
        <f t="shared" si="54"/>
        <v>6</v>
      </c>
    </row>
    <row r="3473" spans="1:15">
      <c r="A3473">
        <v>2789</v>
      </c>
      <c r="B3473" s="1">
        <v>45829</v>
      </c>
      <c r="C3473">
        <v>48</v>
      </c>
      <c r="D3473" t="s">
        <v>17</v>
      </c>
      <c r="E3473" t="s">
        <v>22</v>
      </c>
      <c r="F3473" t="s">
        <v>18</v>
      </c>
      <c r="G3473" t="s">
        <v>28</v>
      </c>
      <c r="H3473">
        <v>1645.1</v>
      </c>
      <c r="I3473" s="13">
        <v>7</v>
      </c>
      <c r="J3473">
        <v>1</v>
      </c>
      <c r="K3473">
        <v>527</v>
      </c>
      <c r="L3473">
        <v>5</v>
      </c>
      <c r="M3473">
        <v>6</v>
      </c>
      <c r="N3473">
        <v>4</v>
      </c>
      <c r="O3473">
        <f t="shared" si="54"/>
        <v>6</v>
      </c>
    </row>
    <row r="3474" spans="1:15">
      <c r="A3474">
        <v>3591</v>
      </c>
      <c r="B3474" s="1">
        <v>45829</v>
      </c>
      <c r="C3474">
        <v>36</v>
      </c>
      <c r="D3474" t="s">
        <v>17</v>
      </c>
      <c r="E3474" t="s">
        <v>22</v>
      </c>
      <c r="F3474" t="s">
        <v>16</v>
      </c>
      <c r="H3474">
        <v>400.7</v>
      </c>
      <c r="I3474" s="13">
        <v>5</v>
      </c>
      <c r="J3474">
        <v>1</v>
      </c>
      <c r="K3474">
        <v>72.790000000000006</v>
      </c>
      <c r="L3474">
        <v>3</v>
      </c>
      <c r="M3474">
        <v>2</v>
      </c>
      <c r="N3474">
        <v>4</v>
      </c>
      <c r="O3474">
        <f t="shared" si="54"/>
        <v>6</v>
      </c>
    </row>
    <row r="3475" spans="1:15">
      <c r="A3475">
        <v>2</v>
      </c>
      <c r="B3475" s="1">
        <v>45829</v>
      </c>
      <c r="C3475">
        <v>18</v>
      </c>
      <c r="D3475" t="s">
        <v>14</v>
      </c>
      <c r="E3475" t="s">
        <v>22</v>
      </c>
      <c r="F3475" t="s">
        <v>21</v>
      </c>
      <c r="H3475">
        <v>126.4</v>
      </c>
      <c r="I3475" s="13">
        <v>5</v>
      </c>
      <c r="J3475">
        <v>1</v>
      </c>
      <c r="K3475">
        <v>64.72</v>
      </c>
      <c r="L3475">
        <v>2</v>
      </c>
      <c r="M3475">
        <v>10</v>
      </c>
      <c r="N3475">
        <v>4</v>
      </c>
      <c r="O3475">
        <f t="shared" si="54"/>
        <v>6</v>
      </c>
    </row>
    <row r="3476" spans="1:15">
      <c r="A3476">
        <v>325</v>
      </c>
      <c r="B3476" s="1">
        <v>45829</v>
      </c>
      <c r="C3476">
        <v>26</v>
      </c>
      <c r="D3476" t="s">
        <v>14</v>
      </c>
      <c r="E3476" t="s">
        <v>24</v>
      </c>
      <c r="F3476" t="s">
        <v>23</v>
      </c>
      <c r="H3476">
        <v>275.3</v>
      </c>
      <c r="I3476" s="13">
        <v>6</v>
      </c>
      <c r="J3476">
        <v>1</v>
      </c>
      <c r="K3476">
        <v>39.67</v>
      </c>
      <c r="L3476">
        <v>3</v>
      </c>
      <c r="M3476">
        <v>15</v>
      </c>
      <c r="N3476">
        <v>3</v>
      </c>
      <c r="O3476">
        <f t="shared" si="54"/>
        <v>6</v>
      </c>
    </row>
    <row r="3477" spans="1:15">
      <c r="A3477">
        <v>413</v>
      </c>
      <c r="B3477" s="1">
        <v>45829</v>
      </c>
      <c r="C3477">
        <v>27</v>
      </c>
      <c r="D3477" t="s">
        <v>14</v>
      </c>
      <c r="E3477" t="s">
        <v>24</v>
      </c>
      <c r="F3477" t="s">
        <v>18</v>
      </c>
      <c r="G3477" t="s">
        <v>29</v>
      </c>
      <c r="H3477">
        <v>737.6</v>
      </c>
      <c r="I3477" s="13">
        <v>4</v>
      </c>
      <c r="J3477">
        <v>1</v>
      </c>
      <c r="K3477">
        <v>25.24</v>
      </c>
      <c r="L3477">
        <v>3</v>
      </c>
      <c r="M3477">
        <v>5</v>
      </c>
      <c r="N3477">
        <v>4</v>
      </c>
      <c r="O3477">
        <f t="shared" si="54"/>
        <v>6</v>
      </c>
    </row>
    <row r="3478" spans="1:15">
      <c r="A3478">
        <v>2326</v>
      </c>
      <c r="B3478" s="1">
        <v>45829</v>
      </c>
      <c r="C3478">
        <v>43</v>
      </c>
      <c r="D3478" t="s">
        <v>17</v>
      </c>
      <c r="E3478" t="s">
        <v>22</v>
      </c>
      <c r="F3478" t="s">
        <v>16</v>
      </c>
      <c r="H3478">
        <v>429.1</v>
      </c>
      <c r="I3478" s="13">
        <v>11</v>
      </c>
      <c r="J3478">
        <v>1</v>
      </c>
      <c r="K3478">
        <v>24.99</v>
      </c>
      <c r="L3478">
        <v>3</v>
      </c>
      <c r="M3478">
        <v>5</v>
      </c>
      <c r="N3478">
        <v>4</v>
      </c>
      <c r="O3478">
        <f t="shared" si="54"/>
        <v>6</v>
      </c>
    </row>
    <row r="3479" spans="1:15">
      <c r="A3479">
        <v>1428</v>
      </c>
      <c r="B3479" s="1">
        <v>45829</v>
      </c>
      <c r="C3479">
        <v>33</v>
      </c>
      <c r="D3479" t="s">
        <v>14</v>
      </c>
      <c r="E3479" t="s">
        <v>15</v>
      </c>
      <c r="F3479" t="s">
        <v>16</v>
      </c>
      <c r="H3479">
        <v>831.3</v>
      </c>
      <c r="I3479" s="13">
        <v>10</v>
      </c>
      <c r="J3479">
        <v>1</v>
      </c>
      <c r="K3479">
        <v>16.63</v>
      </c>
      <c r="L3479">
        <v>5</v>
      </c>
      <c r="M3479">
        <v>13</v>
      </c>
      <c r="N3479">
        <v>4</v>
      </c>
      <c r="O3479">
        <f t="shared" si="54"/>
        <v>6</v>
      </c>
    </row>
    <row r="3480" spans="1:15">
      <c r="A3480">
        <v>2939</v>
      </c>
      <c r="B3480" s="1">
        <v>45829</v>
      </c>
      <c r="C3480">
        <v>36</v>
      </c>
      <c r="D3480" t="s">
        <v>14</v>
      </c>
      <c r="E3480" t="s">
        <v>15</v>
      </c>
      <c r="F3480" t="s">
        <v>18</v>
      </c>
      <c r="G3480" t="s">
        <v>26</v>
      </c>
      <c r="H3480">
        <v>221.7</v>
      </c>
      <c r="I3480" s="13">
        <v>8</v>
      </c>
      <c r="J3480">
        <v>1</v>
      </c>
      <c r="K3480">
        <v>14.96</v>
      </c>
      <c r="L3480">
        <v>5</v>
      </c>
      <c r="M3480">
        <v>1</v>
      </c>
      <c r="N3480">
        <v>3</v>
      </c>
      <c r="O3480">
        <f t="shared" si="54"/>
        <v>6</v>
      </c>
    </row>
    <row r="3481" spans="1:15">
      <c r="A3481">
        <v>2844</v>
      </c>
      <c r="B3481" s="1">
        <v>45829</v>
      </c>
      <c r="C3481">
        <v>32</v>
      </c>
      <c r="D3481" t="s">
        <v>14</v>
      </c>
      <c r="E3481" t="s">
        <v>22</v>
      </c>
      <c r="F3481" t="s">
        <v>16</v>
      </c>
      <c r="H3481">
        <v>966.8</v>
      </c>
      <c r="I3481" s="13">
        <v>6</v>
      </c>
      <c r="J3481">
        <v>0</v>
      </c>
      <c r="K3481">
        <v>0</v>
      </c>
      <c r="L3481">
        <v>0</v>
      </c>
      <c r="M3481">
        <v>0</v>
      </c>
      <c r="O3481">
        <f t="shared" si="54"/>
        <v>6</v>
      </c>
    </row>
    <row r="3482" spans="1:15">
      <c r="A3482">
        <v>1513</v>
      </c>
      <c r="B3482" s="1">
        <v>45829</v>
      </c>
      <c r="C3482">
        <v>30</v>
      </c>
      <c r="D3482" t="s">
        <v>14</v>
      </c>
      <c r="E3482" t="s">
        <v>15</v>
      </c>
      <c r="F3482" t="s">
        <v>16</v>
      </c>
      <c r="H3482">
        <v>894.5</v>
      </c>
      <c r="I3482" s="13">
        <v>10</v>
      </c>
      <c r="J3482">
        <v>0</v>
      </c>
      <c r="K3482">
        <v>0</v>
      </c>
      <c r="L3482">
        <v>0</v>
      </c>
      <c r="M3482">
        <v>0</v>
      </c>
      <c r="O3482">
        <f t="shared" si="54"/>
        <v>6</v>
      </c>
    </row>
    <row r="3483" spans="1:15">
      <c r="A3483">
        <v>1774</v>
      </c>
      <c r="B3483" s="1">
        <v>45829</v>
      </c>
      <c r="C3483">
        <v>32</v>
      </c>
      <c r="D3483" t="s">
        <v>27</v>
      </c>
      <c r="E3483" t="s">
        <v>22</v>
      </c>
      <c r="F3483" t="s">
        <v>16</v>
      </c>
      <c r="H3483">
        <v>640.6</v>
      </c>
      <c r="I3483" s="13">
        <v>2</v>
      </c>
      <c r="J3483">
        <v>0</v>
      </c>
      <c r="K3483">
        <v>0</v>
      </c>
      <c r="L3483">
        <v>0</v>
      </c>
      <c r="M3483">
        <v>0</v>
      </c>
      <c r="O3483">
        <f t="shared" si="54"/>
        <v>6</v>
      </c>
    </row>
    <row r="3484" spans="1:15">
      <c r="A3484">
        <v>3060</v>
      </c>
      <c r="B3484" s="1">
        <v>45829</v>
      </c>
      <c r="C3484">
        <v>21</v>
      </c>
      <c r="D3484" t="s">
        <v>17</v>
      </c>
      <c r="E3484" t="s">
        <v>20</v>
      </c>
      <c r="F3484" t="s">
        <v>23</v>
      </c>
      <c r="H3484">
        <v>602.6</v>
      </c>
      <c r="I3484" s="13">
        <v>5</v>
      </c>
      <c r="J3484">
        <v>0</v>
      </c>
      <c r="K3484">
        <v>0</v>
      </c>
      <c r="L3484">
        <v>0</v>
      </c>
      <c r="M3484">
        <v>0</v>
      </c>
      <c r="O3484">
        <f t="shared" si="54"/>
        <v>6</v>
      </c>
    </row>
    <row r="3485" spans="1:15">
      <c r="A3485">
        <v>4842</v>
      </c>
      <c r="B3485" s="1">
        <v>45829</v>
      </c>
      <c r="C3485">
        <v>38</v>
      </c>
      <c r="D3485" t="s">
        <v>14</v>
      </c>
      <c r="E3485" t="s">
        <v>20</v>
      </c>
      <c r="F3485" t="s">
        <v>18</v>
      </c>
      <c r="G3485" t="s">
        <v>25</v>
      </c>
      <c r="H3485">
        <v>386</v>
      </c>
      <c r="I3485" s="13">
        <v>11</v>
      </c>
      <c r="J3485">
        <v>0</v>
      </c>
      <c r="K3485">
        <v>0</v>
      </c>
      <c r="L3485">
        <v>0</v>
      </c>
      <c r="M3485">
        <v>0</v>
      </c>
      <c r="O3485">
        <f t="shared" si="54"/>
        <v>6</v>
      </c>
    </row>
    <row r="3486" spans="1:15">
      <c r="A3486">
        <v>2275</v>
      </c>
      <c r="B3486" s="1">
        <v>45829</v>
      </c>
      <c r="C3486">
        <v>35</v>
      </c>
      <c r="D3486" t="s">
        <v>17</v>
      </c>
      <c r="E3486" t="s">
        <v>20</v>
      </c>
      <c r="F3486" t="s">
        <v>16</v>
      </c>
      <c r="H3486">
        <v>362.9</v>
      </c>
      <c r="I3486" s="13">
        <v>8</v>
      </c>
      <c r="J3486">
        <v>0</v>
      </c>
      <c r="K3486">
        <v>0</v>
      </c>
      <c r="L3486">
        <v>0</v>
      </c>
      <c r="M3486">
        <v>0</v>
      </c>
      <c r="O3486">
        <f t="shared" si="54"/>
        <v>6</v>
      </c>
    </row>
    <row r="3487" spans="1:15">
      <c r="A3487">
        <v>3129</v>
      </c>
      <c r="B3487" s="1">
        <v>45829</v>
      </c>
      <c r="C3487">
        <v>45</v>
      </c>
      <c r="D3487" t="s">
        <v>17</v>
      </c>
      <c r="E3487" t="s">
        <v>15</v>
      </c>
      <c r="F3487" t="s">
        <v>23</v>
      </c>
      <c r="H3487">
        <v>333.6</v>
      </c>
      <c r="I3487" s="13">
        <v>8</v>
      </c>
      <c r="J3487">
        <v>0</v>
      </c>
      <c r="K3487">
        <v>0</v>
      </c>
      <c r="L3487">
        <v>0</v>
      </c>
      <c r="M3487">
        <v>0</v>
      </c>
      <c r="O3487">
        <f t="shared" si="54"/>
        <v>6</v>
      </c>
    </row>
    <row r="3488" spans="1:15">
      <c r="A3488">
        <v>4921</v>
      </c>
      <c r="B3488" s="1">
        <v>45829</v>
      </c>
      <c r="C3488">
        <v>46</v>
      </c>
      <c r="D3488" t="s">
        <v>14</v>
      </c>
      <c r="E3488" t="s">
        <v>20</v>
      </c>
      <c r="F3488" t="s">
        <v>16</v>
      </c>
      <c r="H3488">
        <v>320.7</v>
      </c>
      <c r="I3488" s="13">
        <v>8</v>
      </c>
      <c r="J3488">
        <v>0</v>
      </c>
      <c r="K3488">
        <v>0</v>
      </c>
      <c r="L3488">
        <v>0</v>
      </c>
      <c r="M3488">
        <v>0</v>
      </c>
      <c r="O3488">
        <f t="shared" si="54"/>
        <v>6</v>
      </c>
    </row>
    <row r="3489" spans="1:15">
      <c r="A3489">
        <v>541</v>
      </c>
      <c r="B3489" s="1">
        <v>45829</v>
      </c>
      <c r="C3489">
        <v>21</v>
      </c>
      <c r="D3489" t="s">
        <v>17</v>
      </c>
      <c r="E3489" t="s">
        <v>15</v>
      </c>
      <c r="F3489" t="s">
        <v>18</v>
      </c>
      <c r="G3489" t="s">
        <v>19</v>
      </c>
      <c r="H3489">
        <v>306</v>
      </c>
      <c r="I3489" s="13">
        <v>9</v>
      </c>
      <c r="J3489">
        <v>0</v>
      </c>
      <c r="K3489">
        <v>0</v>
      </c>
      <c r="L3489">
        <v>0</v>
      </c>
      <c r="M3489">
        <v>0</v>
      </c>
      <c r="O3489">
        <f t="shared" si="54"/>
        <v>6</v>
      </c>
    </row>
    <row r="3490" spans="1:15">
      <c r="A3490">
        <v>1551</v>
      </c>
      <c r="B3490" s="1">
        <v>45829</v>
      </c>
      <c r="C3490">
        <v>23</v>
      </c>
      <c r="D3490" t="s">
        <v>14</v>
      </c>
      <c r="E3490" t="s">
        <v>24</v>
      </c>
      <c r="F3490" t="s">
        <v>18</v>
      </c>
      <c r="G3490" t="s">
        <v>31</v>
      </c>
      <c r="H3490">
        <v>290.8</v>
      </c>
      <c r="I3490" s="13">
        <v>7</v>
      </c>
      <c r="J3490">
        <v>0</v>
      </c>
      <c r="K3490">
        <v>0</v>
      </c>
      <c r="L3490">
        <v>0</v>
      </c>
      <c r="M3490">
        <v>0</v>
      </c>
      <c r="O3490">
        <f t="shared" si="54"/>
        <v>6</v>
      </c>
    </row>
    <row r="3491" spans="1:15">
      <c r="A3491">
        <v>2556</v>
      </c>
      <c r="B3491" s="1">
        <v>45829</v>
      </c>
      <c r="C3491">
        <v>44</v>
      </c>
      <c r="D3491" t="s">
        <v>14</v>
      </c>
      <c r="E3491" t="s">
        <v>24</v>
      </c>
      <c r="F3491" t="s">
        <v>18</v>
      </c>
      <c r="G3491" t="s">
        <v>30</v>
      </c>
      <c r="H3491">
        <v>283.8</v>
      </c>
      <c r="I3491" s="13">
        <v>8</v>
      </c>
      <c r="J3491">
        <v>0</v>
      </c>
      <c r="K3491">
        <v>0</v>
      </c>
      <c r="L3491">
        <v>0</v>
      </c>
      <c r="M3491">
        <v>0</v>
      </c>
      <c r="O3491">
        <f t="shared" si="54"/>
        <v>6</v>
      </c>
    </row>
    <row r="3492" spans="1:15">
      <c r="A3492">
        <v>1221</v>
      </c>
      <c r="B3492" s="1">
        <v>45829</v>
      </c>
      <c r="C3492">
        <v>25</v>
      </c>
      <c r="D3492" t="s">
        <v>17</v>
      </c>
      <c r="E3492" t="s">
        <v>22</v>
      </c>
      <c r="F3492" t="s">
        <v>18</v>
      </c>
      <c r="G3492" t="s">
        <v>31</v>
      </c>
      <c r="H3492">
        <v>264.7</v>
      </c>
      <c r="I3492" s="13">
        <v>7</v>
      </c>
      <c r="J3492">
        <v>0</v>
      </c>
      <c r="K3492">
        <v>0</v>
      </c>
      <c r="L3492">
        <v>0</v>
      </c>
      <c r="M3492">
        <v>0</v>
      </c>
      <c r="O3492">
        <f t="shared" si="54"/>
        <v>6</v>
      </c>
    </row>
    <row r="3493" spans="1:15">
      <c r="A3493">
        <v>4808</v>
      </c>
      <c r="B3493" s="1">
        <v>45829</v>
      </c>
      <c r="C3493">
        <v>47</v>
      </c>
      <c r="D3493" t="s">
        <v>14</v>
      </c>
      <c r="E3493" t="s">
        <v>22</v>
      </c>
      <c r="F3493" t="s">
        <v>23</v>
      </c>
      <c r="H3493">
        <v>219.2</v>
      </c>
      <c r="I3493" s="13">
        <v>6</v>
      </c>
      <c r="J3493">
        <v>0</v>
      </c>
      <c r="K3493">
        <v>0</v>
      </c>
      <c r="L3493">
        <v>0</v>
      </c>
      <c r="M3493">
        <v>0</v>
      </c>
      <c r="O3493">
        <f t="shared" si="54"/>
        <v>6</v>
      </c>
    </row>
    <row r="3494" spans="1:15">
      <c r="A3494">
        <v>412</v>
      </c>
      <c r="B3494" s="1">
        <v>45829</v>
      </c>
      <c r="C3494">
        <v>18</v>
      </c>
      <c r="D3494" t="s">
        <v>14</v>
      </c>
      <c r="E3494" t="s">
        <v>22</v>
      </c>
      <c r="F3494" t="s">
        <v>21</v>
      </c>
      <c r="H3494">
        <v>196.3</v>
      </c>
      <c r="I3494" s="13">
        <v>3</v>
      </c>
      <c r="J3494">
        <v>0</v>
      </c>
      <c r="K3494">
        <v>0</v>
      </c>
      <c r="L3494">
        <v>0</v>
      </c>
      <c r="M3494">
        <v>0</v>
      </c>
      <c r="O3494">
        <f t="shared" si="54"/>
        <v>6</v>
      </c>
    </row>
    <row r="3495" spans="1:15">
      <c r="A3495">
        <v>4792</v>
      </c>
      <c r="B3495" s="1">
        <v>45829</v>
      </c>
      <c r="C3495">
        <v>31</v>
      </c>
      <c r="D3495" t="s">
        <v>27</v>
      </c>
      <c r="E3495" t="s">
        <v>20</v>
      </c>
      <c r="F3495" t="s">
        <v>18</v>
      </c>
      <c r="G3495" t="s">
        <v>26</v>
      </c>
      <c r="H3495">
        <v>189</v>
      </c>
      <c r="I3495" s="13">
        <v>7</v>
      </c>
      <c r="J3495">
        <v>0</v>
      </c>
      <c r="K3495">
        <v>0</v>
      </c>
      <c r="L3495">
        <v>0</v>
      </c>
      <c r="M3495">
        <v>0</v>
      </c>
      <c r="O3495">
        <f t="shared" si="54"/>
        <v>6</v>
      </c>
    </row>
    <row r="3496" spans="1:15">
      <c r="A3496">
        <v>4272</v>
      </c>
      <c r="B3496" s="1">
        <v>45829</v>
      </c>
      <c r="C3496">
        <v>40</v>
      </c>
      <c r="D3496" t="s">
        <v>17</v>
      </c>
      <c r="E3496" t="s">
        <v>22</v>
      </c>
      <c r="F3496" t="s">
        <v>18</v>
      </c>
      <c r="G3496" t="s">
        <v>25</v>
      </c>
      <c r="H3496">
        <v>186.7</v>
      </c>
      <c r="I3496" s="13">
        <v>6</v>
      </c>
      <c r="J3496">
        <v>0</v>
      </c>
      <c r="K3496">
        <v>0</v>
      </c>
      <c r="L3496">
        <v>0</v>
      </c>
      <c r="M3496">
        <v>0</v>
      </c>
      <c r="O3496">
        <f t="shared" si="54"/>
        <v>6</v>
      </c>
    </row>
    <row r="3497" spans="1:15">
      <c r="A3497">
        <v>3193</v>
      </c>
      <c r="B3497" s="1">
        <v>45829</v>
      </c>
      <c r="C3497">
        <v>32</v>
      </c>
      <c r="D3497" t="s">
        <v>14</v>
      </c>
      <c r="E3497" t="s">
        <v>22</v>
      </c>
      <c r="F3497" t="s">
        <v>18</v>
      </c>
      <c r="G3497" t="s">
        <v>29</v>
      </c>
      <c r="H3497">
        <v>179.8</v>
      </c>
      <c r="I3497" s="13">
        <v>5</v>
      </c>
      <c r="J3497">
        <v>0</v>
      </c>
      <c r="K3497">
        <v>0</v>
      </c>
      <c r="L3497">
        <v>0</v>
      </c>
      <c r="M3497">
        <v>0</v>
      </c>
      <c r="O3497">
        <f t="shared" si="54"/>
        <v>6</v>
      </c>
    </row>
    <row r="3498" spans="1:15">
      <c r="A3498">
        <v>4636</v>
      </c>
      <c r="B3498" s="1">
        <v>45829</v>
      </c>
      <c r="C3498">
        <v>40</v>
      </c>
      <c r="D3498" t="s">
        <v>17</v>
      </c>
      <c r="E3498" t="s">
        <v>24</v>
      </c>
      <c r="F3498" t="s">
        <v>18</v>
      </c>
      <c r="G3498" t="s">
        <v>26</v>
      </c>
      <c r="H3498">
        <v>139.69999999999999</v>
      </c>
      <c r="I3498" s="13">
        <v>10</v>
      </c>
      <c r="J3498">
        <v>0</v>
      </c>
      <c r="K3498">
        <v>0</v>
      </c>
      <c r="L3498">
        <v>0</v>
      </c>
      <c r="M3498">
        <v>0</v>
      </c>
      <c r="O3498">
        <f t="shared" si="54"/>
        <v>6</v>
      </c>
    </row>
    <row r="3499" spans="1:15">
      <c r="A3499">
        <v>489</v>
      </c>
      <c r="B3499" s="1">
        <v>45829</v>
      </c>
      <c r="C3499">
        <v>18</v>
      </c>
      <c r="D3499" t="s">
        <v>17</v>
      </c>
      <c r="E3499" t="s">
        <v>22</v>
      </c>
      <c r="F3499" t="s">
        <v>16</v>
      </c>
      <c r="H3499">
        <v>123.7</v>
      </c>
      <c r="I3499" s="13">
        <v>6</v>
      </c>
      <c r="J3499">
        <v>0</v>
      </c>
      <c r="K3499">
        <v>0</v>
      </c>
      <c r="L3499">
        <v>0</v>
      </c>
      <c r="M3499">
        <v>0</v>
      </c>
      <c r="O3499">
        <f t="shared" si="54"/>
        <v>6</v>
      </c>
    </row>
    <row r="3500" spans="1:15">
      <c r="A3500">
        <v>2863</v>
      </c>
      <c r="B3500" s="1">
        <v>45829</v>
      </c>
      <c r="C3500">
        <v>28</v>
      </c>
      <c r="D3500" t="s">
        <v>17</v>
      </c>
      <c r="E3500" t="s">
        <v>24</v>
      </c>
      <c r="F3500" t="s">
        <v>16</v>
      </c>
      <c r="H3500">
        <v>107.7</v>
      </c>
      <c r="I3500" s="13">
        <v>3</v>
      </c>
      <c r="J3500">
        <v>0</v>
      </c>
      <c r="K3500">
        <v>0</v>
      </c>
      <c r="L3500">
        <v>0</v>
      </c>
      <c r="M3500">
        <v>0</v>
      </c>
      <c r="O3500">
        <f t="shared" si="54"/>
        <v>6</v>
      </c>
    </row>
    <row r="3501" spans="1:15">
      <c r="A3501">
        <v>4326</v>
      </c>
      <c r="B3501" s="1">
        <v>45829</v>
      </c>
      <c r="C3501">
        <v>39</v>
      </c>
      <c r="D3501" t="s">
        <v>17</v>
      </c>
      <c r="E3501" t="s">
        <v>15</v>
      </c>
      <c r="F3501" t="s">
        <v>16</v>
      </c>
      <c r="H3501">
        <v>64.7</v>
      </c>
      <c r="I3501" s="13">
        <v>6</v>
      </c>
      <c r="J3501">
        <v>0</v>
      </c>
      <c r="K3501">
        <v>0</v>
      </c>
      <c r="L3501">
        <v>0</v>
      </c>
      <c r="M3501">
        <v>0</v>
      </c>
      <c r="O3501">
        <f t="shared" si="54"/>
        <v>6</v>
      </c>
    </row>
    <row r="3502" spans="1:15">
      <c r="A3502">
        <v>2639</v>
      </c>
      <c r="B3502" s="1">
        <v>45829</v>
      </c>
      <c r="C3502">
        <v>33</v>
      </c>
      <c r="D3502" t="s">
        <v>14</v>
      </c>
      <c r="E3502" t="s">
        <v>22</v>
      </c>
      <c r="F3502" t="s">
        <v>18</v>
      </c>
      <c r="G3502" t="s">
        <v>25</v>
      </c>
      <c r="H3502">
        <v>64.599999999999994</v>
      </c>
      <c r="I3502" s="13">
        <v>3</v>
      </c>
      <c r="J3502">
        <v>0</v>
      </c>
      <c r="K3502">
        <v>0</v>
      </c>
      <c r="L3502">
        <v>0</v>
      </c>
      <c r="M3502">
        <v>0</v>
      </c>
      <c r="O3502">
        <f t="shared" si="54"/>
        <v>6</v>
      </c>
    </row>
    <row r="3503" spans="1:15">
      <c r="A3503">
        <v>242</v>
      </c>
      <c r="B3503" s="1">
        <v>45829</v>
      </c>
      <c r="C3503">
        <v>22</v>
      </c>
      <c r="D3503" t="s">
        <v>14</v>
      </c>
      <c r="E3503" t="s">
        <v>22</v>
      </c>
      <c r="F3503" t="s">
        <v>16</v>
      </c>
      <c r="H3503">
        <v>53.9</v>
      </c>
      <c r="I3503" s="13">
        <v>9</v>
      </c>
      <c r="J3503">
        <v>0</v>
      </c>
      <c r="K3503">
        <v>0</v>
      </c>
      <c r="L3503">
        <v>0</v>
      </c>
      <c r="M3503">
        <v>0</v>
      </c>
      <c r="O3503">
        <f t="shared" si="54"/>
        <v>6</v>
      </c>
    </row>
    <row r="3504" spans="1:15">
      <c r="A3504">
        <v>133</v>
      </c>
      <c r="B3504" s="1">
        <v>45679</v>
      </c>
      <c r="C3504">
        <v>23</v>
      </c>
      <c r="D3504" t="s">
        <v>27</v>
      </c>
      <c r="E3504" t="s">
        <v>20</v>
      </c>
      <c r="F3504" t="s">
        <v>18</v>
      </c>
      <c r="G3504" t="s">
        <v>30</v>
      </c>
      <c r="H3504">
        <v>156.80000000000001</v>
      </c>
      <c r="I3504" s="13">
        <v>4</v>
      </c>
      <c r="J3504">
        <v>1</v>
      </c>
      <c r="K3504">
        <v>483</v>
      </c>
      <c r="L3504">
        <v>3</v>
      </c>
      <c r="M3504">
        <v>1</v>
      </c>
      <c r="N3504">
        <v>5</v>
      </c>
      <c r="O3504">
        <f t="shared" si="54"/>
        <v>1</v>
      </c>
    </row>
    <row r="3505" spans="1:15">
      <c r="A3505">
        <v>41</v>
      </c>
      <c r="B3505" s="1">
        <v>45679</v>
      </c>
      <c r="C3505">
        <v>41</v>
      </c>
      <c r="D3505" t="s">
        <v>17</v>
      </c>
      <c r="E3505" t="s">
        <v>24</v>
      </c>
      <c r="F3505" t="s">
        <v>16</v>
      </c>
      <c r="H3505">
        <v>732.5</v>
      </c>
      <c r="I3505" s="13">
        <v>6</v>
      </c>
      <c r="J3505">
        <v>1</v>
      </c>
      <c r="K3505">
        <v>334</v>
      </c>
      <c r="L3505">
        <v>2</v>
      </c>
      <c r="M3505">
        <v>3</v>
      </c>
      <c r="N3505">
        <v>5</v>
      </c>
      <c r="O3505">
        <f t="shared" si="54"/>
        <v>1</v>
      </c>
    </row>
    <row r="3506" spans="1:15">
      <c r="A3506">
        <v>1482</v>
      </c>
      <c r="B3506" s="1">
        <v>45679</v>
      </c>
      <c r="C3506">
        <v>25</v>
      </c>
      <c r="D3506" t="s">
        <v>14</v>
      </c>
      <c r="E3506" t="s">
        <v>20</v>
      </c>
      <c r="F3506" t="s">
        <v>18</v>
      </c>
      <c r="G3506" t="s">
        <v>29</v>
      </c>
      <c r="H3506">
        <v>179.4</v>
      </c>
      <c r="I3506" s="13">
        <v>2</v>
      </c>
      <c r="J3506">
        <v>1</v>
      </c>
      <c r="K3506">
        <v>177</v>
      </c>
      <c r="L3506">
        <v>3</v>
      </c>
      <c r="M3506">
        <v>11</v>
      </c>
      <c r="N3506">
        <v>3</v>
      </c>
      <c r="O3506">
        <f t="shared" si="54"/>
        <v>1</v>
      </c>
    </row>
    <row r="3507" spans="1:15">
      <c r="A3507">
        <v>1536</v>
      </c>
      <c r="B3507" s="1">
        <v>45679</v>
      </c>
      <c r="C3507">
        <v>25</v>
      </c>
      <c r="D3507" t="s">
        <v>17</v>
      </c>
      <c r="E3507" t="s">
        <v>22</v>
      </c>
      <c r="F3507" t="s">
        <v>16</v>
      </c>
      <c r="H3507">
        <v>88.1</v>
      </c>
      <c r="I3507" s="13">
        <v>10</v>
      </c>
      <c r="J3507">
        <v>1</v>
      </c>
      <c r="K3507">
        <v>114</v>
      </c>
      <c r="L3507">
        <v>2</v>
      </c>
      <c r="M3507">
        <v>6</v>
      </c>
      <c r="N3507">
        <v>4</v>
      </c>
      <c r="O3507">
        <f t="shared" si="54"/>
        <v>1</v>
      </c>
    </row>
    <row r="3508" spans="1:15">
      <c r="A3508">
        <v>1961</v>
      </c>
      <c r="B3508" s="1">
        <v>45679</v>
      </c>
      <c r="C3508">
        <v>34</v>
      </c>
      <c r="D3508" t="s">
        <v>17</v>
      </c>
      <c r="E3508" t="s">
        <v>20</v>
      </c>
      <c r="F3508" t="s">
        <v>21</v>
      </c>
      <c r="H3508">
        <v>586.70000000000005</v>
      </c>
      <c r="I3508" s="13">
        <v>11</v>
      </c>
      <c r="J3508">
        <v>1</v>
      </c>
      <c r="K3508">
        <v>53</v>
      </c>
      <c r="L3508">
        <v>3</v>
      </c>
      <c r="M3508">
        <v>12</v>
      </c>
      <c r="N3508">
        <v>4</v>
      </c>
      <c r="O3508">
        <f t="shared" si="54"/>
        <v>1</v>
      </c>
    </row>
    <row r="3509" spans="1:15">
      <c r="A3509">
        <v>1847</v>
      </c>
      <c r="B3509" s="1">
        <v>45679</v>
      </c>
      <c r="C3509">
        <v>21</v>
      </c>
      <c r="D3509" t="s">
        <v>17</v>
      </c>
      <c r="E3509" t="s">
        <v>20</v>
      </c>
      <c r="F3509" t="s">
        <v>16</v>
      </c>
      <c r="H3509">
        <v>735.3</v>
      </c>
      <c r="I3509" s="13">
        <v>9</v>
      </c>
      <c r="J3509">
        <v>1</v>
      </c>
      <c r="K3509">
        <v>158.38999999999999</v>
      </c>
      <c r="L3509">
        <v>4</v>
      </c>
      <c r="M3509">
        <v>14</v>
      </c>
      <c r="N3509">
        <v>3</v>
      </c>
      <c r="O3509">
        <f t="shared" si="54"/>
        <v>1</v>
      </c>
    </row>
    <row r="3510" spans="1:15">
      <c r="A3510">
        <v>2356</v>
      </c>
      <c r="B3510" s="1">
        <v>45679</v>
      </c>
      <c r="C3510">
        <v>26</v>
      </c>
      <c r="D3510" t="s">
        <v>17</v>
      </c>
      <c r="E3510" t="s">
        <v>24</v>
      </c>
      <c r="F3510" t="s">
        <v>18</v>
      </c>
      <c r="G3510" t="s">
        <v>25</v>
      </c>
      <c r="H3510">
        <v>115</v>
      </c>
      <c r="I3510" s="13">
        <v>3</v>
      </c>
      <c r="J3510">
        <v>1</v>
      </c>
      <c r="K3510">
        <v>93.88</v>
      </c>
      <c r="L3510">
        <v>3</v>
      </c>
      <c r="M3510">
        <v>8</v>
      </c>
      <c r="N3510">
        <v>4</v>
      </c>
      <c r="O3510">
        <f t="shared" si="54"/>
        <v>1</v>
      </c>
    </row>
    <row r="3511" spans="1:15">
      <c r="A3511">
        <v>3930</v>
      </c>
      <c r="B3511" s="1">
        <v>45679</v>
      </c>
      <c r="C3511">
        <v>69</v>
      </c>
      <c r="D3511" t="s">
        <v>17</v>
      </c>
      <c r="E3511" t="s">
        <v>15</v>
      </c>
      <c r="F3511" t="s">
        <v>21</v>
      </c>
      <c r="H3511">
        <v>436.9</v>
      </c>
      <c r="I3511" s="13">
        <v>6</v>
      </c>
      <c r="J3511">
        <v>1</v>
      </c>
      <c r="K3511">
        <v>51.46</v>
      </c>
      <c r="L3511">
        <v>3</v>
      </c>
      <c r="M3511">
        <v>15</v>
      </c>
      <c r="N3511">
        <v>3</v>
      </c>
      <c r="O3511">
        <f t="shared" si="54"/>
        <v>1</v>
      </c>
    </row>
    <row r="3512" spans="1:15">
      <c r="A3512">
        <v>4731</v>
      </c>
      <c r="B3512" s="1">
        <v>45679</v>
      </c>
      <c r="C3512">
        <v>49</v>
      </c>
      <c r="D3512" t="s">
        <v>17</v>
      </c>
      <c r="E3512" t="s">
        <v>22</v>
      </c>
      <c r="F3512" t="s">
        <v>18</v>
      </c>
      <c r="G3512" t="s">
        <v>29</v>
      </c>
      <c r="H3512">
        <v>685.2</v>
      </c>
      <c r="I3512" s="13">
        <v>2</v>
      </c>
      <c r="J3512">
        <v>1</v>
      </c>
      <c r="K3512">
        <v>46.27</v>
      </c>
      <c r="L3512">
        <v>1</v>
      </c>
      <c r="M3512">
        <v>3</v>
      </c>
      <c r="N3512">
        <v>3</v>
      </c>
      <c r="O3512">
        <f t="shared" si="54"/>
        <v>1</v>
      </c>
    </row>
    <row r="3513" spans="1:15">
      <c r="A3513">
        <v>1034</v>
      </c>
      <c r="B3513" s="1">
        <v>45679</v>
      </c>
      <c r="C3513">
        <v>18</v>
      </c>
      <c r="D3513" t="s">
        <v>14</v>
      </c>
      <c r="E3513" t="s">
        <v>15</v>
      </c>
      <c r="F3513" t="s">
        <v>16</v>
      </c>
      <c r="H3513">
        <v>131.69999999999999</v>
      </c>
      <c r="I3513" s="13">
        <v>4</v>
      </c>
      <c r="J3513">
        <v>1</v>
      </c>
      <c r="K3513">
        <v>41.81</v>
      </c>
      <c r="L3513">
        <v>6</v>
      </c>
      <c r="M3513">
        <v>4</v>
      </c>
      <c r="N3513">
        <v>4</v>
      </c>
      <c r="O3513">
        <f t="shared" si="54"/>
        <v>1</v>
      </c>
    </row>
    <row r="3514" spans="1:15">
      <c r="A3514">
        <v>4151</v>
      </c>
      <c r="B3514" s="1">
        <v>45679</v>
      </c>
      <c r="C3514">
        <v>49</v>
      </c>
      <c r="D3514" t="s">
        <v>17</v>
      </c>
      <c r="E3514" t="s">
        <v>20</v>
      </c>
      <c r="F3514" t="s">
        <v>23</v>
      </c>
      <c r="H3514">
        <v>482.1</v>
      </c>
      <c r="I3514" s="13">
        <v>6</v>
      </c>
      <c r="J3514">
        <v>1</v>
      </c>
      <c r="K3514">
        <v>40.380000000000003</v>
      </c>
      <c r="L3514">
        <v>4</v>
      </c>
      <c r="M3514">
        <v>9</v>
      </c>
      <c r="N3514">
        <v>3</v>
      </c>
      <c r="O3514">
        <f t="shared" si="54"/>
        <v>1</v>
      </c>
    </row>
    <row r="3515" spans="1:15">
      <c r="A3515">
        <v>2833</v>
      </c>
      <c r="B3515" s="1">
        <v>45679</v>
      </c>
      <c r="C3515">
        <v>26</v>
      </c>
      <c r="D3515" t="s">
        <v>17</v>
      </c>
      <c r="E3515" t="s">
        <v>24</v>
      </c>
      <c r="F3515" t="s">
        <v>23</v>
      </c>
      <c r="H3515">
        <v>305</v>
      </c>
      <c r="I3515" s="13">
        <v>3</v>
      </c>
      <c r="J3515">
        <v>1</v>
      </c>
      <c r="K3515">
        <v>33.119999999999997</v>
      </c>
      <c r="L3515">
        <v>5</v>
      </c>
      <c r="M3515">
        <v>13</v>
      </c>
      <c r="N3515">
        <v>4</v>
      </c>
      <c r="O3515">
        <f t="shared" si="54"/>
        <v>1</v>
      </c>
    </row>
    <row r="3516" spans="1:15">
      <c r="A3516">
        <v>1418</v>
      </c>
      <c r="B3516" s="1">
        <v>45679</v>
      </c>
      <c r="C3516">
        <v>24</v>
      </c>
      <c r="D3516" t="s">
        <v>17</v>
      </c>
      <c r="E3516" t="s">
        <v>15</v>
      </c>
      <c r="F3516" t="s">
        <v>23</v>
      </c>
      <c r="H3516">
        <v>114.1</v>
      </c>
      <c r="I3516" s="13">
        <v>3</v>
      </c>
      <c r="J3516">
        <v>1</v>
      </c>
      <c r="K3516">
        <v>27.64</v>
      </c>
      <c r="L3516">
        <v>2</v>
      </c>
      <c r="M3516">
        <v>13</v>
      </c>
      <c r="N3516">
        <v>5</v>
      </c>
      <c r="O3516">
        <f t="shared" si="54"/>
        <v>1</v>
      </c>
    </row>
    <row r="3517" spans="1:15">
      <c r="A3517">
        <v>4631</v>
      </c>
      <c r="B3517" s="1">
        <v>45679</v>
      </c>
      <c r="C3517">
        <v>54</v>
      </c>
      <c r="D3517" t="s">
        <v>14</v>
      </c>
      <c r="E3517" t="s">
        <v>22</v>
      </c>
      <c r="F3517" t="s">
        <v>16</v>
      </c>
      <c r="H3517">
        <v>126.9</v>
      </c>
      <c r="I3517" s="13">
        <v>6</v>
      </c>
      <c r="J3517">
        <v>1</v>
      </c>
      <c r="K3517">
        <v>20.95</v>
      </c>
      <c r="L3517">
        <v>2</v>
      </c>
      <c r="M3517">
        <v>6</v>
      </c>
      <c r="N3517">
        <v>4</v>
      </c>
      <c r="O3517">
        <f t="shared" si="54"/>
        <v>1</v>
      </c>
    </row>
    <row r="3518" spans="1:15">
      <c r="A3518">
        <v>3216</v>
      </c>
      <c r="B3518" s="1">
        <v>45679</v>
      </c>
      <c r="C3518">
        <v>29</v>
      </c>
      <c r="D3518" t="s">
        <v>14</v>
      </c>
      <c r="E3518" t="s">
        <v>22</v>
      </c>
      <c r="F3518" t="s">
        <v>18</v>
      </c>
      <c r="G3518" t="s">
        <v>31</v>
      </c>
      <c r="H3518">
        <v>394.5</v>
      </c>
      <c r="I3518" s="13">
        <v>3</v>
      </c>
      <c r="J3518">
        <v>1</v>
      </c>
      <c r="K3518">
        <v>7.02</v>
      </c>
      <c r="L3518">
        <v>2</v>
      </c>
      <c r="M3518">
        <v>14</v>
      </c>
      <c r="N3518">
        <v>3</v>
      </c>
      <c r="O3518">
        <f t="shared" si="54"/>
        <v>1</v>
      </c>
    </row>
    <row r="3519" spans="1:15">
      <c r="A3519">
        <v>3789</v>
      </c>
      <c r="B3519" s="1">
        <v>45679</v>
      </c>
      <c r="C3519">
        <v>65</v>
      </c>
      <c r="D3519" t="s">
        <v>17</v>
      </c>
      <c r="E3519" t="s">
        <v>24</v>
      </c>
      <c r="F3519" t="s">
        <v>18</v>
      </c>
      <c r="G3519" t="s">
        <v>30</v>
      </c>
      <c r="H3519">
        <v>814.5</v>
      </c>
      <c r="I3519" s="13">
        <v>3</v>
      </c>
      <c r="J3519">
        <v>0</v>
      </c>
      <c r="K3519">
        <v>0</v>
      </c>
      <c r="L3519">
        <v>0</v>
      </c>
      <c r="M3519">
        <v>0</v>
      </c>
      <c r="O3519">
        <f t="shared" si="54"/>
        <v>1</v>
      </c>
    </row>
    <row r="3520" spans="1:15">
      <c r="A3520">
        <v>4736</v>
      </c>
      <c r="B3520" s="1">
        <v>45679</v>
      </c>
      <c r="C3520">
        <v>54</v>
      </c>
      <c r="D3520" t="s">
        <v>27</v>
      </c>
      <c r="E3520" t="s">
        <v>22</v>
      </c>
      <c r="F3520" t="s">
        <v>16</v>
      </c>
      <c r="H3520">
        <v>635</v>
      </c>
      <c r="I3520" s="13">
        <v>8</v>
      </c>
      <c r="J3520">
        <v>0</v>
      </c>
      <c r="K3520">
        <v>0</v>
      </c>
      <c r="L3520">
        <v>0</v>
      </c>
      <c r="M3520">
        <v>0</v>
      </c>
      <c r="O3520">
        <f t="shared" si="54"/>
        <v>1</v>
      </c>
    </row>
    <row r="3521" spans="1:15">
      <c r="A3521">
        <v>605</v>
      </c>
      <c r="B3521" s="1">
        <v>45679</v>
      </c>
      <c r="C3521">
        <v>24</v>
      </c>
      <c r="D3521" t="s">
        <v>14</v>
      </c>
      <c r="E3521" t="s">
        <v>20</v>
      </c>
      <c r="F3521" t="s">
        <v>16</v>
      </c>
      <c r="H3521">
        <v>631.9</v>
      </c>
      <c r="I3521" s="13">
        <v>10</v>
      </c>
      <c r="J3521">
        <v>0</v>
      </c>
      <c r="K3521">
        <v>0</v>
      </c>
      <c r="L3521">
        <v>0</v>
      </c>
      <c r="M3521">
        <v>0</v>
      </c>
      <c r="O3521">
        <f t="shared" si="54"/>
        <v>1</v>
      </c>
    </row>
    <row r="3522" spans="1:15">
      <c r="A3522">
        <v>645</v>
      </c>
      <c r="B3522" s="1">
        <v>45679</v>
      </c>
      <c r="C3522">
        <v>30</v>
      </c>
      <c r="D3522" t="s">
        <v>17</v>
      </c>
      <c r="E3522" t="s">
        <v>22</v>
      </c>
      <c r="F3522" t="s">
        <v>18</v>
      </c>
      <c r="G3522" t="s">
        <v>26</v>
      </c>
      <c r="H3522">
        <v>596.6</v>
      </c>
      <c r="I3522" s="13">
        <v>5</v>
      </c>
      <c r="J3522">
        <v>0</v>
      </c>
      <c r="K3522">
        <v>0</v>
      </c>
      <c r="L3522">
        <v>0</v>
      </c>
      <c r="M3522">
        <v>0</v>
      </c>
      <c r="O3522">
        <f t="shared" si="54"/>
        <v>1</v>
      </c>
    </row>
    <row r="3523" spans="1:15">
      <c r="A3523">
        <v>3761</v>
      </c>
      <c r="B3523" s="1">
        <v>45679</v>
      </c>
      <c r="C3523">
        <v>43</v>
      </c>
      <c r="D3523" t="s">
        <v>14</v>
      </c>
      <c r="E3523" t="s">
        <v>20</v>
      </c>
      <c r="F3523" t="s">
        <v>18</v>
      </c>
      <c r="G3523" t="s">
        <v>30</v>
      </c>
      <c r="H3523">
        <v>522.6</v>
      </c>
      <c r="I3523" s="13">
        <v>7</v>
      </c>
      <c r="J3523">
        <v>0</v>
      </c>
      <c r="K3523">
        <v>0</v>
      </c>
      <c r="L3523">
        <v>0</v>
      </c>
      <c r="M3523">
        <v>0</v>
      </c>
      <c r="O3523">
        <f t="shared" ref="O3523:O3586" si="55">MONTH(B3523)</f>
        <v>1</v>
      </c>
    </row>
    <row r="3524" spans="1:15">
      <c r="A3524">
        <v>381</v>
      </c>
      <c r="B3524" s="1">
        <v>45679</v>
      </c>
      <c r="C3524">
        <v>31</v>
      </c>
      <c r="D3524" t="s">
        <v>14</v>
      </c>
      <c r="E3524" t="s">
        <v>20</v>
      </c>
      <c r="F3524" t="s">
        <v>21</v>
      </c>
      <c r="H3524">
        <v>468.6</v>
      </c>
      <c r="I3524" s="13">
        <v>11</v>
      </c>
      <c r="J3524">
        <v>0</v>
      </c>
      <c r="K3524">
        <v>0</v>
      </c>
      <c r="L3524">
        <v>0</v>
      </c>
      <c r="M3524">
        <v>0</v>
      </c>
      <c r="O3524">
        <f t="shared" si="55"/>
        <v>1</v>
      </c>
    </row>
    <row r="3525" spans="1:15">
      <c r="A3525">
        <v>4997</v>
      </c>
      <c r="B3525" s="1">
        <v>45679</v>
      </c>
      <c r="C3525">
        <v>55</v>
      </c>
      <c r="D3525" t="s">
        <v>14</v>
      </c>
      <c r="E3525" t="s">
        <v>22</v>
      </c>
      <c r="F3525" t="s">
        <v>18</v>
      </c>
      <c r="G3525" t="s">
        <v>25</v>
      </c>
      <c r="H3525">
        <v>413</v>
      </c>
      <c r="I3525" s="13">
        <v>5</v>
      </c>
      <c r="J3525">
        <v>0</v>
      </c>
      <c r="K3525">
        <v>0</v>
      </c>
      <c r="L3525">
        <v>0</v>
      </c>
      <c r="M3525">
        <v>0</v>
      </c>
      <c r="O3525">
        <f t="shared" si="55"/>
        <v>1</v>
      </c>
    </row>
    <row r="3526" spans="1:15">
      <c r="A3526">
        <v>1822</v>
      </c>
      <c r="B3526" s="1">
        <v>45679</v>
      </c>
      <c r="C3526">
        <v>24</v>
      </c>
      <c r="D3526" t="s">
        <v>14</v>
      </c>
      <c r="E3526" t="s">
        <v>15</v>
      </c>
      <c r="F3526" t="s">
        <v>23</v>
      </c>
      <c r="H3526">
        <v>407.8</v>
      </c>
      <c r="I3526" s="13">
        <v>7</v>
      </c>
      <c r="J3526">
        <v>0</v>
      </c>
      <c r="K3526">
        <v>0</v>
      </c>
      <c r="L3526">
        <v>0</v>
      </c>
      <c r="M3526">
        <v>0</v>
      </c>
      <c r="O3526">
        <f t="shared" si="55"/>
        <v>1</v>
      </c>
    </row>
    <row r="3527" spans="1:15">
      <c r="A3527">
        <v>2707</v>
      </c>
      <c r="B3527" s="1">
        <v>45679</v>
      </c>
      <c r="C3527">
        <v>44</v>
      </c>
      <c r="D3527" t="s">
        <v>14</v>
      </c>
      <c r="E3527" t="s">
        <v>20</v>
      </c>
      <c r="F3527" t="s">
        <v>16</v>
      </c>
      <c r="H3527">
        <v>397.7</v>
      </c>
      <c r="I3527" s="13">
        <v>7</v>
      </c>
      <c r="J3527">
        <v>0</v>
      </c>
      <c r="K3527">
        <v>0</v>
      </c>
      <c r="L3527">
        <v>0</v>
      </c>
      <c r="M3527">
        <v>0</v>
      </c>
      <c r="O3527">
        <f t="shared" si="55"/>
        <v>1</v>
      </c>
    </row>
    <row r="3528" spans="1:15">
      <c r="A3528">
        <v>4248</v>
      </c>
      <c r="B3528" s="1">
        <v>45679</v>
      </c>
      <c r="C3528">
        <v>59</v>
      </c>
      <c r="D3528" t="s">
        <v>14</v>
      </c>
      <c r="E3528" t="s">
        <v>15</v>
      </c>
      <c r="F3528" t="s">
        <v>18</v>
      </c>
      <c r="G3528" t="s">
        <v>26</v>
      </c>
      <c r="H3528">
        <v>391</v>
      </c>
      <c r="I3528" s="13">
        <v>6</v>
      </c>
      <c r="J3528">
        <v>0</v>
      </c>
      <c r="K3528">
        <v>0</v>
      </c>
      <c r="L3528">
        <v>0</v>
      </c>
      <c r="M3528">
        <v>0</v>
      </c>
      <c r="O3528">
        <f t="shared" si="55"/>
        <v>1</v>
      </c>
    </row>
    <row r="3529" spans="1:15">
      <c r="A3529">
        <v>461</v>
      </c>
      <c r="B3529" s="1">
        <v>45679</v>
      </c>
      <c r="C3529">
        <v>21</v>
      </c>
      <c r="D3529" t="s">
        <v>17</v>
      </c>
      <c r="E3529" t="s">
        <v>20</v>
      </c>
      <c r="F3529" t="s">
        <v>21</v>
      </c>
      <c r="H3529">
        <v>364</v>
      </c>
      <c r="I3529" s="13">
        <v>5</v>
      </c>
      <c r="J3529">
        <v>0</v>
      </c>
      <c r="K3529">
        <v>0</v>
      </c>
      <c r="L3529">
        <v>0</v>
      </c>
      <c r="M3529">
        <v>0</v>
      </c>
      <c r="O3529">
        <f t="shared" si="55"/>
        <v>1</v>
      </c>
    </row>
    <row r="3530" spans="1:15">
      <c r="A3530">
        <v>1722</v>
      </c>
      <c r="B3530" s="1">
        <v>45679</v>
      </c>
      <c r="C3530">
        <v>18</v>
      </c>
      <c r="D3530" t="s">
        <v>17</v>
      </c>
      <c r="E3530" t="s">
        <v>20</v>
      </c>
      <c r="F3530" t="s">
        <v>23</v>
      </c>
      <c r="H3530">
        <v>266.60000000000002</v>
      </c>
      <c r="I3530" s="13">
        <v>9</v>
      </c>
      <c r="J3530">
        <v>0</v>
      </c>
      <c r="K3530">
        <v>0</v>
      </c>
      <c r="L3530">
        <v>0</v>
      </c>
      <c r="M3530">
        <v>0</v>
      </c>
      <c r="O3530">
        <f t="shared" si="55"/>
        <v>1</v>
      </c>
    </row>
    <row r="3531" spans="1:15">
      <c r="A3531">
        <v>91</v>
      </c>
      <c r="B3531" s="1">
        <v>45679</v>
      </c>
      <c r="C3531">
        <v>19</v>
      </c>
      <c r="D3531" t="s">
        <v>14</v>
      </c>
      <c r="E3531" t="s">
        <v>22</v>
      </c>
      <c r="F3531" t="s">
        <v>18</v>
      </c>
      <c r="G3531" t="s">
        <v>26</v>
      </c>
      <c r="H3531">
        <v>225.9</v>
      </c>
      <c r="I3531" s="13">
        <v>6</v>
      </c>
      <c r="J3531">
        <v>0</v>
      </c>
      <c r="K3531">
        <v>0</v>
      </c>
      <c r="L3531">
        <v>0</v>
      </c>
      <c r="M3531">
        <v>0</v>
      </c>
      <c r="O3531">
        <f t="shared" si="55"/>
        <v>1</v>
      </c>
    </row>
    <row r="3532" spans="1:15">
      <c r="A3532">
        <v>939</v>
      </c>
      <c r="B3532" s="1">
        <v>45679</v>
      </c>
      <c r="C3532">
        <v>30</v>
      </c>
      <c r="D3532" t="s">
        <v>27</v>
      </c>
      <c r="E3532" t="s">
        <v>22</v>
      </c>
      <c r="F3532" t="s">
        <v>23</v>
      </c>
      <c r="H3532">
        <v>203.8</v>
      </c>
      <c r="I3532" s="13">
        <v>3</v>
      </c>
      <c r="J3532">
        <v>0</v>
      </c>
      <c r="K3532">
        <v>0</v>
      </c>
      <c r="L3532">
        <v>0</v>
      </c>
      <c r="M3532">
        <v>0</v>
      </c>
      <c r="O3532">
        <f t="shared" si="55"/>
        <v>1</v>
      </c>
    </row>
    <row r="3533" spans="1:15">
      <c r="A3533">
        <v>2339</v>
      </c>
      <c r="B3533" s="1">
        <v>45679</v>
      </c>
      <c r="C3533">
        <v>36</v>
      </c>
      <c r="D3533" t="s">
        <v>17</v>
      </c>
      <c r="E3533" t="s">
        <v>20</v>
      </c>
      <c r="F3533" t="s">
        <v>16</v>
      </c>
      <c r="H3533">
        <v>194.9</v>
      </c>
      <c r="I3533" s="13">
        <v>5</v>
      </c>
      <c r="J3533">
        <v>0</v>
      </c>
      <c r="K3533">
        <v>0</v>
      </c>
      <c r="L3533">
        <v>0</v>
      </c>
      <c r="M3533">
        <v>0</v>
      </c>
      <c r="O3533">
        <f t="shared" si="55"/>
        <v>1</v>
      </c>
    </row>
    <row r="3534" spans="1:15">
      <c r="A3534">
        <v>751</v>
      </c>
      <c r="B3534" s="1">
        <v>45679</v>
      </c>
      <c r="C3534">
        <v>30</v>
      </c>
      <c r="D3534" t="s">
        <v>14</v>
      </c>
      <c r="E3534" t="s">
        <v>22</v>
      </c>
      <c r="F3534" t="s">
        <v>16</v>
      </c>
      <c r="H3534">
        <v>192.8</v>
      </c>
      <c r="I3534" s="13">
        <v>7</v>
      </c>
      <c r="J3534">
        <v>0</v>
      </c>
      <c r="K3534">
        <v>0</v>
      </c>
      <c r="L3534">
        <v>0</v>
      </c>
      <c r="M3534">
        <v>0</v>
      </c>
      <c r="O3534">
        <f t="shared" si="55"/>
        <v>1</v>
      </c>
    </row>
    <row r="3535" spans="1:15">
      <c r="A3535">
        <v>430</v>
      </c>
      <c r="B3535" s="1">
        <v>45679</v>
      </c>
      <c r="C3535">
        <v>22</v>
      </c>
      <c r="D3535" t="s">
        <v>17</v>
      </c>
      <c r="E3535" t="s">
        <v>22</v>
      </c>
      <c r="F3535" t="s">
        <v>18</v>
      </c>
      <c r="G3535" t="s">
        <v>31</v>
      </c>
      <c r="H3535">
        <v>190.7</v>
      </c>
      <c r="I3535" s="13">
        <v>3</v>
      </c>
      <c r="J3535">
        <v>0</v>
      </c>
      <c r="K3535">
        <v>0</v>
      </c>
      <c r="L3535">
        <v>0</v>
      </c>
      <c r="M3535">
        <v>0</v>
      </c>
      <c r="O3535">
        <f t="shared" si="55"/>
        <v>1</v>
      </c>
    </row>
    <row r="3536" spans="1:15">
      <c r="A3536">
        <v>3838</v>
      </c>
      <c r="B3536" s="1">
        <v>45679</v>
      </c>
      <c r="C3536">
        <v>41</v>
      </c>
      <c r="D3536" t="s">
        <v>14</v>
      </c>
      <c r="E3536" t="s">
        <v>15</v>
      </c>
      <c r="F3536" t="s">
        <v>18</v>
      </c>
      <c r="G3536" t="s">
        <v>26</v>
      </c>
      <c r="H3536">
        <v>172.4</v>
      </c>
      <c r="I3536" s="13">
        <v>1</v>
      </c>
      <c r="J3536">
        <v>0</v>
      </c>
      <c r="K3536">
        <v>0</v>
      </c>
      <c r="L3536">
        <v>0</v>
      </c>
      <c r="M3536">
        <v>0</v>
      </c>
      <c r="O3536">
        <f t="shared" si="55"/>
        <v>1</v>
      </c>
    </row>
    <row r="3537" spans="1:15">
      <c r="A3537">
        <v>3254</v>
      </c>
      <c r="B3537" s="1">
        <v>45679</v>
      </c>
      <c r="C3537">
        <v>37</v>
      </c>
      <c r="D3537" t="s">
        <v>14</v>
      </c>
      <c r="E3537" t="s">
        <v>20</v>
      </c>
      <c r="F3537" t="s">
        <v>23</v>
      </c>
      <c r="H3537">
        <v>153.19999999999999</v>
      </c>
      <c r="I3537" s="13">
        <v>9</v>
      </c>
      <c r="J3537">
        <v>0</v>
      </c>
      <c r="K3537">
        <v>0</v>
      </c>
      <c r="L3537">
        <v>0</v>
      </c>
      <c r="M3537">
        <v>0</v>
      </c>
      <c r="O3537">
        <f t="shared" si="55"/>
        <v>1</v>
      </c>
    </row>
    <row r="3538" spans="1:15">
      <c r="A3538">
        <v>1253</v>
      </c>
      <c r="B3538" s="1">
        <v>45679</v>
      </c>
      <c r="C3538">
        <v>18</v>
      </c>
      <c r="D3538" t="s">
        <v>17</v>
      </c>
      <c r="E3538" t="s">
        <v>15</v>
      </c>
      <c r="F3538" t="s">
        <v>16</v>
      </c>
      <c r="H3538">
        <v>117.8</v>
      </c>
      <c r="I3538" s="13">
        <v>2</v>
      </c>
      <c r="J3538">
        <v>0</v>
      </c>
      <c r="K3538">
        <v>0</v>
      </c>
      <c r="L3538">
        <v>0</v>
      </c>
      <c r="M3538">
        <v>0</v>
      </c>
      <c r="O3538">
        <f t="shared" si="55"/>
        <v>1</v>
      </c>
    </row>
    <row r="3539" spans="1:15">
      <c r="A3539">
        <v>460</v>
      </c>
      <c r="B3539" s="1">
        <v>45679</v>
      </c>
      <c r="C3539">
        <v>30</v>
      </c>
      <c r="D3539" t="s">
        <v>17</v>
      </c>
      <c r="E3539" t="s">
        <v>15</v>
      </c>
      <c r="F3539" t="s">
        <v>21</v>
      </c>
      <c r="H3539">
        <v>92</v>
      </c>
      <c r="I3539" s="13">
        <v>5</v>
      </c>
      <c r="J3539">
        <v>0</v>
      </c>
      <c r="K3539">
        <v>0</v>
      </c>
      <c r="L3539">
        <v>0</v>
      </c>
      <c r="M3539">
        <v>0</v>
      </c>
      <c r="O3539">
        <f t="shared" si="55"/>
        <v>1</v>
      </c>
    </row>
    <row r="3540" spans="1:15">
      <c r="A3540">
        <v>1830</v>
      </c>
      <c r="B3540" s="1">
        <v>45710</v>
      </c>
      <c r="C3540">
        <v>34</v>
      </c>
      <c r="D3540" t="s">
        <v>14</v>
      </c>
      <c r="E3540" t="s">
        <v>24</v>
      </c>
      <c r="F3540" t="s">
        <v>16</v>
      </c>
      <c r="H3540">
        <v>282.3</v>
      </c>
      <c r="I3540" s="13">
        <v>7</v>
      </c>
      <c r="J3540">
        <v>1</v>
      </c>
      <c r="K3540">
        <v>241</v>
      </c>
      <c r="L3540">
        <v>5</v>
      </c>
      <c r="M3540">
        <v>11</v>
      </c>
      <c r="N3540">
        <v>4</v>
      </c>
      <c r="O3540">
        <f t="shared" si="55"/>
        <v>2</v>
      </c>
    </row>
    <row r="3541" spans="1:15">
      <c r="A3541">
        <v>2710</v>
      </c>
      <c r="B3541" s="1">
        <v>45710</v>
      </c>
      <c r="C3541">
        <v>32</v>
      </c>
      <c r="D3541" t="s">
        <v>17</v>
      </c>
      <c r="E3541" t="s">
        <v>22</v>
      </c>
      <c r="F3541" t="s">
        <v>16</v>
      </c>
      <c r="H3541">
        <v>373.8</v>
      </c>
      <c r="I3541" s="13">
        <v>7</v>
      </c>
      <c r="J3541">
        <v>1</v>
      </c>
      <c r="K3541">
        <v>548</v>
      </c>
      <c r="L3541">
        <v>4</v>
      </c>
      <c r="M3541">
        <v>13</v>
      </c>
      <c r="N3541">
        <v>4</v>
      </c>
      <c r="O3541">
        <f t="shared" si="55"/>
        <v>2</v>
      </c>
    </row>
    <row r="3542" spans="1:15">
      <c r="A3542">
        <v>3639</v>
      </c>
      <c r="B3542" s="1">
        <v>45710</v>
      </c>
      <c r="C3542">
        <v>45</v>
      </c>
      <c r="D3542" t="s">
        <v>17</v>
      </c>
      <c r="E3542" t="s">
        <v>22</v>
      </c>
      <c r="F3542" t="s">
        <v>16</v>
      </c>
      <c r="H3542">
        <v>724</v>
      </c>
      <c r="I3542" s="13">
        <v>5</v>
      </c>
      <c r="J3542">
        <v>1</v>
      </c>
      <c r="K3542">
        <v>695.34</v>
      </c>
      <c r="L3542">
        <v>2</v>
      </c>
      <c r="M3542">
        <v>9</v>
      </c>
      <c r="N3542">
        <v>4</v>
      </c>
      <c r="O3542">
        <f t="shared" si="55"/>
        <v>2</v>
      </c>
    </row>
    <row r="3543" spans="1:15">
      <c r="A3543">
        <v>4963</v>
      </c>
      <c r="B3543" s="1">
        <v>45710</v>
      </c>
      <c r="C3543">
        <v>46</v>
      </c>
      <c r="D3543" t="s">
        <v>14</v>
      </c>
      <c r="E3543" t="s">
        <v>15</v>
      </c>
      <c r="F3543" t="s">
        <v>16</v>
      </c>
      <c r="H3543">
        <v>112.8</v>
      </c>
      <c r="I3543" s="13">
        <v>3</v>
      </c>
      <c r="J3543">
        <v>1</v>
      </c>
      <c r="K3543">
        <v>86.7</v>
      </c>
      <c r="L3543">
        <v>1</v>
      </c>
      <c r="M3543">
        <v>2</v>
      </c>
      <c r="N3543">
        <v>4</v>
      </c>
      <c r="O3543">
        <f t="shared" si="55"/>
        <v>2</v>
      </c>
    </row>
    <row r="3544" spans="1:15">
      <c r="A3544">
        <v>4822</v>
      </c>
      <c r="B3544" s="1">
        <v>45710</v>
      </c>
      <c r="C3544">
        <v>56</v>
      </c>
      <c r="D3544" t="s">
        <v>17</v>
      </c>
      <c r="E3544" t="s">
        <v>22</v>
      </c>
      <c r="F3544" t="s">
        <v>23</v>
      </c>
      <c r="H3544">
        <v>1327.2</v>
      </c>
      <c r="I3544" s="13">
        <v>6</v>
      </c>
      <c r="J3544">
        <v>1</v>
      </c>
      <c r="K3544">
        <v>60.8</v>
      </c>
      <c r="L3544">
        <v>2</v>
      </c>
      <c r="M3544">
        <v>9</v>
      </c>
      <c r="N3544">
        <v>4</v>
      </c>
      <c r="O3544">
        <f t="shared" si="55"/>
        <v>2</v>
      </c>
    </row>
    <row r="3545" spans="1:15">
      <c r="A3545">
        <v>417</v>
      </c>
      <c r="B3545" s="1">
        <v>45710</v>
      </c>
      <c r="C3545">
        <v>28</v>
      </c>
      <c r="D3545" t="s">
        <v>17</v>
      </c>
      <c r="E3545" t="s">
        <v>24</v>
      </c>
      <c r="F3545" t="s">
        <v>16</v>
      </c>
      <c r="H3545">
        <v>352.1</v>
      </c>
      <c r="I3545" s="13">
        <v>9</v>
      </c>
      <c r="J3545">
        <v>1</v>
      </c>
      <c r="K3545">
        <v>57.13</v>
      </c>
      <c r="L3545">
        <v>4</v>
      </c>
      <c r="M3545">
        <v>10</v>
      </c>
      <c r="N3545">
        <v>3</v>
      </c>
      <c r="O3545">
        <f t="shared" si="55"/>
        <v>2</v>
      </c>
    </row>
    <row r="3546" spans="1:15">
      <c r="A3546">
        <v>2209</v>
      </c>
      <c r="B3546" s="1">
        <v>45710</v>
      </c>
      <c r="C3546">
        <v>50</v>
      </c>
      <c r="D3546" t="s">
        <v>17</v>
      </c>
      <c r="E3546" t="s">
        <v>20</v>
      </c>
      <c r="F3546" t="s">
        <v>16</v>
      </c>
      <c r="H3546">
        <v>468.4</v>
      </c>
      <c r="I3546" s="13">
        <v>7</v>
      </c>
      <c r="J3546">
        <v>1</v>
      </c>
      <c r="K3546">
        <v>43.82</v>
      </c>
      <c r="L3546">
        <v>2</v>
      </c>
      <c r="M3546">
        <v>2</v>
      </c>
      <c r="N3546">
        <v>4</v>
      </c>
      <c r="O3546">
        <f t="shared" si="55"/>
        <v>2</v>
      </c>
    </row>
    <row r="3547" spans="1:15">
      <c r="A3547">
        <v>23</v>
      </c>
      <c r="B3547" s="1">
        <v>45710</v>
      </c>
      <c r="C3547">
        <v>22</v>
      </c>
      <c r="D3547" t="s">
        <v>14</v>
      </c>
      <c r="E3547" t="s">
        <v>15</v>
      </c>
      <c r="F3547" t="s">
        <v>16</v>
      </c>
      <c r="H3547">
        <v>236.4</v>
      </c>
      <c r="I3547" s="13">
        <v>3</v>
      </c>
      <c r="J3547">
        <v>1</v>
      </c>
      <c r="K3547">
        <v>32.549999999999997</v>
      </c>
      <c r="L3547">
        <v>3</v>
      </c>
      <c r="M3547">
        <v>5</v>
      </c>
      <c r="N3547">
        <v>4</v>
      </c>
      <c r="O3547">
        <f t="shared" si="55"/>
        <v>2</v>
      </c>
    </row>
    <row r="3548" spans="1:15">
      <c r="A3548">
        <v>3182</v>
      </c>
      <c r="B3548" s="1">
        <v>45710</v>
      </c>
      <c r="C3548">
        <v>35</v>
      </c>
      <c r="D3548" t="s">
        <v>17</v>
      </c>
      <c r="E3548" t="s">
        <v>15</v>
      </c>
      <c r="F3548" t="s">
        <v>23</v>
      </c>
      <c r="H3548">
        <v>424.1</v>
      </c>
      <c r="I3548" s="13">
        <v>4</v>
      </c>
      <c r="J3548">
        <v>1</v>
      </c>
      <c r="K3548">
        <v>30.76</v>
      </c>
      <c r="L3548">
        <v>1</v>
      </c>
      <c r="M3548">
        <v>7</v>
      </c>
      <c r="N3548">
        <v>4</v>
      </c>
      <c r="O3548">
        <f t="shared" si="55"/>
        <v>2</v>
      </c>
    </row>
    <row r="3549" spans="1:15">
      <c r="A3549">
        <v>20</v>
      </c>
      <c r="B3549" s="1">
        <v>45710</v>
      </c>
      <c r="C3549">
        <v>34</v>
      </c>
      <c r="D3549" t="s">
        <v>14</v>
      </c>
      <c r="E3549" t="s">
        <v>22</v>
      </c>
      <c r="F3549" t="s">
        <v>18</v>
      </c>
      <c r="G3549" t="s">
        <v>29</v>
      </c>
      <c r="H3549">
        <v>452.1</v>
      </c>
      <c r="I3549" s="13">
        <v>3</v>
      </c>
      <c r="J3549">
        <v>1</v>
      </c>
      <c r="K3549">
        <v>25.94</v>
      </c>
      <c r="L3549">
        <v>5</v>
      </c>
      <c r="M3549">
        <v>4</v>
      </c>
      <c r="N3549">
        <v>3</v>
      </c>
      <c r="O3549">
        <f t="shared" si="55"/>
        <v>2</v>
      </c>
    </row>
    <row r="3550" spans="1:15">
      <c r="A3550">
        <v>3160</v>
      </c>
      <c r="B3550" s="1">
        <v>45710</v>
      </c>
      <c r="C3550">
        <v>34</v>
      </c>
      <c r="D3550" t="s">
        <v>17</v>
      </c>
      <c r="E3550" t="s">
        <v>20</v>
      </c>
      <c r="F3550" t="s">
        <v>16</v>
      </c>
      <c r="H3550">
        <v>228.5</v>
      </c>
      <c r="I3550" s="13">
        <v>5</v>
      </c>
      <c r="J3550">
        <v>1</v>
      </c>
      <c r="K3550">
        <v>19.38</v>
      </c>
      <c r="L3550">
        <v>4</v>
      </c>
      <c r="M3550">
        <v>12</v>
      </c>
      <c r="N3550">
        <v>5</v>
      </c>
      <c r="O3550">
        <f t="shared" si="55"/>
        <v>2</v>
      </c>
    </row>
    <row r="3551" spans="1:15">
      <c r="A3551">
        <v>4061</v>
      </c>
      <c r="B3551" s="1">
        <v>45710</v>
      </c>
      <c r="C3551">
        <v>48</v>
      </c>
      <c r="D3551" t="s">
        <v>14</v>
      </c>
      <c r="E3551" t="s">
        <v>15</v>
      </c>
      <c r="F3551" t="s">
        <v>16</v>
      </c>
      <c r="H3551">
        <v>545.9</v>
      </c>
      <c r="I3551" s="13">
        <v>8</v>
      </c>
      <c r="J3551">
        <v>0</v>
      </c>
      <c r="K3551">
        <v>0</v>
      </c>
      <c r="L3551">
        <v>0</v>
      </c>
      <c r="M3551">
        <v>0</v>
      </c>
      <c r="O3551">
        <f t="shared" si="55"/>
        <v>2</v>
      </c>
    </row>
    <row r="3552" spans="1:15">
      <c r="A3552">
        <v>111</v>
      </c>
      <c r="B3552" s="1">
        <v>45710</v>
      </c>
      <c r="C3552">
        <v>27</v>
      </c>
      <c r="D3552" t="s">
        <v>17</v>
      </c>
      <c r="E3552" t="s">
        <v>24</v>
      </c>
      <c r="F3552" t="s">
        <v>18</v>
      </c>
      <c r="G3552" t="s">
        <v>19</v>
      </c>
      <c r="H3552">
        <v>530.5</v>
      </c>
      <c r="I3552" s="13">
        <v>10</v>
      </c>
      <c r="J3552">
        <v>0</v>
      </c>
      <c r="K3552">
        <v>0</v>
      </c>
      <c r="L3552">
        <v>0</v>
      </c>
      <c r="M3552">
        <v>0</v>
      </c>
      <c r="O3552">
        <f t="shared" si="55"/>
        <v>2</v>
      </c>
    </row>
    <row r="3553" spans="1:15">
      <c r="A3553">
        <v>2999</v>
      </c>
      <c r="B3553" s="1">
        <v>45710</v>
      </c>
      <c r="C3553">
        <v>32</v>
      </c>
      <c r="D3553" t="s">
        <v>14</v>
      </c>
      <c r="E3553" t="s">
        <v>15</v>
      </c>
      <c r="F3553" t="s">
        <v>18</v>
      </c>
      <c r="G3553" t="s">
        <v>28</v>
      </c>
      <c r="H3553">
        <v>327.3</v>
      </c>
      <c r="I3553" s="13">
        <v>4</v>
      </c>
      <c r="J3553">
        <v>0</v>
      </c>
      <c r="K3553">
        <v>0</v>
      </c>
      <c r="L3553">
        <v>0</v>
      </c>
      <c r="M3553">
        <v>0</v>
      </c>
      <c r="O3553">
        <f t="shared" si="55"/>
        <v>2</v>
      </c>
    </row>
    <row r="3554" spans="1:15">
      <c r="A3554">
        <v>4042</v>
      </c>
      <c r="B3554" s="1">
        <v>45710</v>
      </c>
      <c r="C3554">
        <v>69</v>
      </c>
      <c r="D3554" t="s">
        <v>14</v>
      </c>
      <c r="E3554" t="s">
        <v>24</v>
      </c>
      <c r="F3554" t="s">
        <v>23</v>
      </c>
      <c r="H3554">
        <v>301.60000000000002</v>
      </c>
      <c r="I3554" s="13">
        <v>10</v>
      </c>
      <c r="J3554">
        <v>0</v>
      </c>
      <c r="K3554">
        <v>0</v>
      </c>
      <c r="L3554">
        <v>0</v>
      </c>
      <c r="M3554">
        <v>0</v>
      </c>
      <c r="O3554">
        <f t="shared" si="55"/>
        <v>2</v>
      </c>
    </row>
    <row r="3555" spans="1:15">
      <c r="A3555">
        <v>4784</v>
      </c>
      <c r="B3555" s="1">
        <v>45710</v>
      </c>
      <c r="C3555">
        <v>46</v>
      </c>
      <c r="D3555" t="s">
        <v>14</v>
      </c>
      <c r="E3555" t="s">
        <v>20</v>
      </c>
      <c r="F3555" t="s">
        <v>16</v>
      </c>
      <c r="H3555">
        <v>247.9</v>
      </c>
      <c r="I3555" s="13">
        <v>8</v>
      </c>
      <c r="J3555">
        <v>0</v>
      </c>
      <c r="K3555">
        <v>0</v>
      </c>
      <c r="L3555">
        <v>0</v>
      </c>
      <c r="M3555">
        <v>0</v>
      </c>
      <c r="O3555">
        <f t="shared" si="55"/>
        <v>2</v>
      </c>
    </row>
    <row r="3556" spans="1:15">
      <c r="A3556">
        <v>2756</v>
      </c>
      <c r="B3556" s="1">
        <v>45710</v>
      </c>
      <c r="C3556">
        <v>44</v>
      </c>
      <c r="D3556" t="s">
        <v>14</v>
      </c>
      <c r="E3556" t="s">
        <v>20</v>
      </c>
      <c r="F3556" t="s">
        <v>16</v>
      </c>
      <c r="H3556">
        <v>208.8</v>
      </c>
      <c r="I3556" s="13">
        <v>4</v>
      </c>
      <c r="J3556">
        <v>0</v>
      </c>
      <c r="K3556">
        <v>0</v>
      </c>
      <c r="L3556">
        <v>0</v>
      </c>
      <c r="M3556">
        <v>0</v>
      </c>
      <c r="O3556">
        <f t="shared" si="55"/>
        <v>2</v>
      </c>
    </row>
    <row r="3557" spans="1:15">
      <c r="A3557">
        <v>1270</v>
      </c>
      <c r="B3557" s="1">
        <v>45710</v>
      </c>
      <c r="C3557">
        <v>20</v>
      </c>
      <c r="D3557" t="s">
        <v>17</v>
      </c>
      <c r="E3557" t="s">
        <v>22</v>
      </c>
      <c r="F3557" t="s">
        <v>21</v>
      </c>
      <c r="H3557">
        <v>146</v>
      </c>
      <c r="I3557" s="13">
        <v>7</v>
      </c>
      <c r="J3557">
        <v>0</v>
      </c>
      <c r="K3557">
        <v>0</v>
      </c>
      <c r="L3557">
        <v>0</v>
      </c>
      <c r="M3557">
        <v>0</v>
      </c>
      <c r="O3557">
        <f t="shared" si="55"/>
        <v>2</v>
      </c>
    </row>
    <row r="3558" spans="1:15">
      <c r="A3558">
        <v>2425</v>
      </c>
      <c r="B3558" s="1">
        <v>45710</v>
      </c>
      <c r="C3558">
        <v>33</v>
      </c>
      <c r="D3558" t="s">
        <v>27</v>
      </c>
      <c r="E3558" t="s">
        <v>20</v>
      </c>
      <c r="F3558" t="s">
        <v>16</v>
      </c>
      <c r="H3558">
        <v>131.9</v>
      </c>
      <c r="I3558" s="13">
        <v>7</v>
      </c>
      <c r="J3558">
        <v>0</v>
      </c>
      <c r="K3558">
        <v>0</v>
      </c>
      <c r="L3558">
        <v>0</v>
      </c>
      <c r="M3558">
        <v>0</v>
      </c>
      <c r="O3558">
        <f t="shared" si="55"/>
        <v>2</v>
      </c>
    </row>
    <row r="3559" spans="1:15">
      <c r="A3559">
        <v>897</v>
      </c>
      <c r="B3559" s="1">
        <v>45710</v>
      </c>
      <c r="C3559">
        <v>32</v>
      </c>
      <c r="D3559" t="s">
        <v>14</v>
      </c>
      <c r="E3559" t="s">
        <v>22</v>
      </c>
      <c r="F3559" t="s">
        <v>18</v>
      </c>
      <c r="G3559" t="s">
        <v>26</v>
      </c>
      <c r="H3559">
        <v>121.9</v>
      </c>
      <c r="I3559" s="13">
        <v>5</v>
      </c>
      <c r="J3559">
        <v>0</v>
      </c>
      <c r="K3559">
        <v>0</v>
      </c>
      <c r="L3559">
        <v>0</v>
      </c>
      <c r="M3559">
        <v>0</v>
      </c>
      <c r="O3559">
        <f t="shared" si="55"/>
        <v>2</v>
      </c>
    </row>
    <row r="3560" spans="1:15">
      <c r="A3560">
        <v>4121</v>
      </c>
      <c r="B3560" s="1">
        <v>45710</v>
      </c>
      <c r="C3560">
        <v>35</v>
      </c>
      <c r="D3560" t="s">
        <v>17</v>
      </c>
      <c r="E3560" t="s">
        <v>15</v>
      </c>
      <c r="F3560" t="s">
        <v>16</v>
      </c>
      <c r="H3560">
        <v>111.1</v>
      </c>
      <c r="I3560" s="13">
        <v>3</v>
      </c>
      <c r="J3560">
        <v>0</v>
      </c>
      <c r="K3560">
        <v>0</v>
      </c>
      <c r="L3560">
        <v>0</v>
      </c>
      <c r="M3560">
        <v>0</v>
      </c>
      <c r="O3560">
        <f t="shared" si="55"/>
        <v>2</v>
      </c>
    </row>
    <row r="3561" spans="1:15">
      <c r="A3561">
        <v>270</v>
      </c>
      <c r="B3561" s="1">
        <v>45710</v>
      </c>
      <c r="C3561">
        <v>22</v>
      </c>
      <c r="D3561" t="s">
        <v>17</v>
      </c>
      <c r="E3561" t="s">
        <v>24</v>
      </c>
      <c r="F3561" t="s">
        <v>16</v>
      </c>
      <c r="H3561">
        <v>76.900000000000006</v>
      </c>
      <c r="I3561" s="13">
        <v>7</v>
      </c>
      <c r="J3561">
        <v>0</v>
      </c>
      <c r="K3561">
        <v>0</v>
      </c>
      <c r="L3561">
        <v>0</v>
      </c>
      <c r="M3561">
        <v>0</v>
      </c>
      <c r="O3561">
        <f t="shared" si="55"/>
        <v>2</v>
      </c>
    </row>
    <row r="3562" spans="1:15">
      <c r="A3562">
        <v>2304</v>
      </c>
      <c r="B3562" s="1">
        <v>45710</v>
      </c>
      <c r="C3562">
        <v>39</v>
      </c>
      <c r="D3562" t="s">
        <v>14</v>
      </c>
      <c r="E3562" t="s">
        <v>22</v>
      </c>
      <c r="F3562" t="s">
        <v>18</v>
      </c>
      <c r="G3562" t="s">
        <v>28</v>
      </c>
      <c r="H3562">
        <v>74.099999999999994</v>
      </c>
      <c r="I3562" s="13">
        <v>7</v>
      </c>
      <c r="J3562">
        <v>0</v>
      </c>
      <c r="K3562">
        <v>0</v>
      </c>
      <c r="L3562">
        <v>0</v>
      </c>
      <c r="M3562">
        <v>0</v>
      </c>
      <c r="O3562">
        <f t="shared" si="55"/>
        <v>2</v>
      </c>
    </row>
    <row r="3563" spans="1:15">
      <c r="A3563">
        <v>636</v>
      </c>
      <c r="B3563" s="1">
        <v>45738</v>
      </c>
      <c r="C3563">
        <v>34</v>
      </c>
      <c r="D3563" t="s">
        <v>17</v>
      </c>
      <c r="E3563" t="s">
        <v>20</v>
      </c>
      <c r="F3563" t="s">
        <v>18</v>
      </c>
      <c r="G3563" t="s">
        <v>28</v>
      </c>
      <c r="H3563">
        <v>829.2</v>
      </c>
      <c r="I3563" s="13">
        <v>6</v>
      </c>
      <c r="J3563">
        <v>1</v>
      </c>
      <c r="K3563">
        <v>444</v>
      </c>
      <c r="L3563">
        <v>5</v>
      </c>
      <c r="M3563">
        <v>6</v>
      </c>
      <c r="N3563">
        <v>4</v>
      </c>
      <c r="O3563">
        <f t="shared" si="55"/>
        <v>3</v>
      </c>
    </row>
    <row r="3564" spans="1:15">
      <c r="A3564">
        <v>2584</v>
      </c>
      <c r="B3564" s="1">
        <v>45738</v>
      </c>
      <c r="C3564">
        <v>37</v>
      </c>
      <c r="D3564" t="s">
        <v>14</v>
      </c>
      <c r="E3564" t="s">
        <v>15</v>
      </c>
      <c r="F3564" t="s">
        <v>16</v>
      </c>
      <c r="H3564">
        <v>166.9</v>
      </c>
      <c r="I3564" s="13">
        <v>4</v>
      </c>
      <c r="J3564">
        <v>1</v>
      </c>
      <c r="K3564">
        <v>58.26</v>
      </c>
      <c r="L3564">
        <v>3</v>
      </c>
      <c r="M3564">
        <v>14</v>
      </c>
      <c r="N3564">
        <v>4</v>
      </c>
      <c r="O3564">
        <f t="shared" si="55"/>
        <v>3</v>
      </c>
    </row>
    <row r="3565" spans="1:15">
      <c r="A3565">
        <v>3670</v>
      </c>
      <c r="B3565" s="1">
        <v>45738</v>
      </c>
      <c r="C3565">
        <v>18</v>
      </c>
      <c r="D3565" t="s">
        <v>17</v>
      </c>
      <c r="E3565" t="s">
        <v>22</v>
      </c>
      <c r="F3565" t="s">
        <v>16</v>
      </c>
      <c r="H3565">
        <v>416.6</v>
      </c>
      <c r="I3565" s="13">
        <v>10</v>
      </c>
      <c r="J3565">
        <v>1</v>
      </c>
      <c r="K3565">
        <v>53.57</v>
      </c>
      <c r="L3565">
        <v>4</v>
      </c>
      <c r="M3565">
        <v>3</v>
      </c>
      <c r="N3565">
        <v>4</v>
      </c>
      <c r="O3565">
        <f t="shared" si="55"/>
        <v>3</v>
      </c>
    </row>
    <row r="3566" spans="1:15">
      <c r="A3566">
        <v>1737</v>
      </c>
      <c r="B3566" s="1">
        <v>45738</v>
      </c>
      <c r="C3566">
        <v>27</v>
      </c>
      <c r="D3566" t="s">
        <v>17</v>
      </c>
      <c r="E3566" t="s">
        <v>15</v>
      </c>
      <c r="F3566" t="s">
        <v>16</v>
      </c>
      <c r="H3566">
        <v>173.1</v>
      </c>
      <c r="I3566" s="13">
        <v>4</v>
      </c>
      <c r="J3566">
        <v>1</v>
      </c>
      <c r="K3566">
        <v>44.01</v>
      </c>
      <c r="L3566">
        <v>4</v>
      </c>
      <c r="M3566">
        <v>4</v>
      </c>
      <c r="N3566">
        <v>4</v>
      </c>
      <c r="O3566">
        <f t="shared" si="55"/>
        <v>3</v>
      </c>
    </row>
    <row r="3567" spans="1:15">
      <c r="A3567">
        <v>1377</v>
      </c>
      <c r="B3567" s="1">
        <v>45738</v>
      </c>
      <c r="C3567">
        <v>24</v>
      </c>
      <c r="D3567" t="s">
        <v>17</v>
      </c>
      <c r="E3567" t="s">
        <v>22</v>
      </c>
      <c r="F3567" t="s">
        <v>16</v>
      </c>
      <c r="H3567">
        <v>425.7</v>
      </c>
      <c r="I3567" s="13">
        <v>3</v>
      </c>
      <c r="J3567">
        <v>1</v>
      </c>
      <c r="K3567">
        <v>43.67</v>
      </c>
      <c r="L3567">
        <v>8</v>
      </c>
      <c r="M3567">
        <v>6</v>
      </c>
      <c r="N3567">
        <v>4</v>
      </c>
      <c r="O3567">
        <f t="shared" si="55"/>
        <v>3</v>
      </c>
    </row>
    <row r="3568" spans="1:15">
      <c r="A3568">
        <v>2764</v>
      </c>
      <c r="B3568" s="1">
        <v>45738</v>
      </c>
      <c r="C3568">
        <v>26</v>
      </c>
      <c r="D3568" t="s">
        <v>14</v>
      </c>
      <c r="E3568" t="s">
        <v>22</v>
      </c>
      <c r="F3568" t="s">
        <v>16</v>
      </c>
      <c r="H3568">
        <v>461.9</v>
      </c>
      <c r="I3568" s="13">
        <v>3</v>
      </c>
      <c r="J3568">
        <v>1</v>
      </c>
      <c r="K3568">
        <v>21.24</v>
      </c>
      <c r="L3568">
        <v>3</v>
      </c>
      <c r="M3568">
        <v>12</v>
      </c>
      <c r="N3568">
        <v>5</v>
      </c>
      <c r="O3568">
        <f t="shared" si="55"/>
        <v>3</v>
      </c>
    </row>
    <row r="3569" spans="1:15">
      <c r="A3569">
        <v>2007</v>
      </c>
      <c r="B3569" s="1">
        <v>45738</v>
      </c>
      <c r="C3569">
        <v>22</v>
      </c>
      <c r="D3569" t="s">
        <v>14</v>
      </c>
      <c r="E3569" t="s">
        <v>20</v>
      </c>
      <c r="F3569" t="s">
        <v>18</v>
      </c>
      <c r="G3569" t="s">
        <v>28</v>
      </c>
      <c r="H3569">
        <v>261</v>
      </c>
      <c r="I3569" s="13">
        <v>5</v>
      </c>
      <c r="J3569">
        <v>1</v>
      </c>
      <c r="K3569">
        <v>17.45</v>
      </c>
      <c r="L3569">
        <v>6</v>
      </c>
      <c r="M3569">
        <v>10</v>
      </c>
      <c r="N3569">
        <v>5</v>
      </c>
      <c r="O3569">
        <f t="shared" si="55"/>
        <v>3</v>
      </c>
    </row>
    <row r="3570" spans="1:15">
      <c r="A3570">
        <v>416</v>
      </c>
      <c r="B3570" s="1">
        <v>45738</v>
      </c>
      <c r="C3570">
        <v>23</v>
      </c>
      <c r="D3570" t="s">
        <v>17</v>
      </c>
      <c r="E3570" t="s">
        <v>22</v>
      </c>
      <c r="F3570" t="s">
        <v>18</v>
      </c>
      <c r="G3570" t="s">
        <v>19</v>
      </c>
      <c r="H3570">
        <v>705.6</v>
      </c>
      <c r="I3570" s="13">
        <v>2</v>
      </c>
      <c r="J3570">
        <v>0</v>
      </c>
      <c r="K3570">
        <v>0</v>
      </c>
      <c r="L3570">
        <v>0</v>
      </c>
      <c r="M3570">
        <v>0</v>
      </c>
      <c r="O3570">
        <f t="shared" si="55"/>
        <v>3</v>
      </c>
    </row>
    <row r="3571" spans="1:15">
      <c r="A3571">
        <v>3733</v>
      </c>
      <c r="B3571" s="1">
        <v>45738</v>
      </c>
      <c r="C3571">
        <v>28</v>
      </c>
      <c r="D3571" t="s">
        <v>14</v>
      </c>
      <c r="E3571" t="s">
        <v>22</v>
      </c>
      <c r="F3571" t="s">
        <v>21</v>
      </c>
      <c r="H3571">
        <v>456.5</v>
      </c>
      <c r="I3571" s="13">
        <v>9</v>
      </c>
      <c r="J3571">
        <v>0</v>
      </c>
      <c r="K3571">
        <v>0</v>
      </c>
      <c r="L3571">
        <v>0</v>
      </c>
      <c r="M3571">
        <v>0</v>
      </c>
      <c r="O3571">
        <f t="shared" si="55"/>
        <v>3</v>
      </c>
    </row>
    <row r="3572" spans="1:15">
      <c r="A3572">
        <v>2513</v>
      </c>
      <c r="B3572" s="1">
        <v>45738</v>
      </c>
      <c r="C3572">
        <v>23</v>
      </c>
      <c r="D3572" t="s">
        <v>14</v>
      </c>
      <c r="E3572" t="s">
        <v>22</v>
      </c>
      <c r="F3572" t="s">
        <v>16</v>
      </c>
      <c r="H3572">
        <v>433.5</v>
      </c>
      <c r="I3572" s="13">
        <v>7</v>
      </c>
      <c r="J3572">
        <v>0</v>
      </c>
      <c r="K3572">
        <v>0</v>
      </c>
      <c r="L3572">
        <v>0</v>
      </c>
      <c r="M3572">
        <v>0</v>
      </c>
      <c r="O3572">
        <f t="shared" si="55"/>
        <v>3</v>
      </c>
    </row>
    <row r="3573" spans="1:15">
      <c r="A3573">
        <v>4934</v>
      </c>
      <c r="B3573" s="1">
        <v>45738</v>
      </c>
      <c r="C3573">
        <v>47</v>
      </c>
      <c r="D3573" t="s">
        <v>27</v>
      </c>
      <c r="E3573" t="s">
        <v>20</v>
      </c>
      <c r="F3573" t="s">
        <v>16</v>
      </c>
      <c r="H3573">
        <v>355.6</v>
      </c>
      <c r="I3573" s="13">
        <v>6</v>
      </c>
      <c r="J3573">
        <v>0</v>
      </c>
      <c r="K3573">
        <v>0</v>
      </c>
      <c r="L3573">
        <v>0</v>
      </c>
      <c r="M3573">
        <v>0</v>
      </c>
      <c r="O3573">
        <f t="shared" si="55"/>
        <v>3</v>
      </c>
    </row>
    <row r="3574" spans="1:15">
      <c r="A3574">
        <v>1208</v>
      </c>
      <c r="B3574" s="1">
        <v>45738</v>
      </c>
      <c r="C3574">
        <v>27</v>
      </c>
      <c r="D3574" t="s">
        <v>14</v>
      </c>
      <c r="E3574" t="s">
        <v>22</v>
      </c>
      <c r="F3574" t="s">
        <v>23</v>
      </c>
      <c r="H3574">
        <v>303.3</v>
      </c>
      <c r="I3574" s="13">
        <v>2</v>
      </c>
      <c r="J3574">
        <v>0</v>
      </c>
      <c r="K3574">
        <v>0</v>
      </c>
      <c r="L3574">
        <v>0</v>
      </c>
      <c r="M3574">
        <v>0</v>
      </c>
      <c r="O3574">
        <f t="shared" si="55"/>
        <v>3</v>
      </c>
    </row>
    <row r="3575" spans="1:15">
      <c r="A3575">
        <v>1660</v>
      </c>
      <c r="B3575" s="1">
        <v>45738</v>
      </c>
      <c r="C3575">
        <v>24</v>
      </c>
      <c r="D3575" t="s">
        <v>17</v>
      </c>
      <c r="E3575" t="s">
        <v>20</v>
      </c>
      <c r="F3575" t="s">
        <v>23</v>
      </c>
      <c r="H3575">
        <v>298.3</v>
      </c>
      <c r="I3575" s="13">
        <v>7</v>
      </c>
      <c r="J3575">
        <v>0</v>
      </c>
      <c r="K3575">
        <v>0</v>
      </c>
      <c r="L3575">
        <v>0</v>
      </c>
      <c r="M3575">
        <v>0</v>
      </c>
      <c r="O3575">
        <f t="shared" si="55"/>
        <v>3</v>
      </c>
    </row>
    <row r="3576" spans="1:15">
      <c r="A3576">
        <v>2379</v>
      </c>
      <c r="B3576" s="1">
        <v>45738</v>
      </c>
      <c r="C3576">
        <v>45</v>
      </c>
      <c r="D3576" t="s">
        <v>17</v>
      </c>
      <c r="E3576" t="s">
        <v>15</v>
      </c>
      <c r="F3576" t="s">
        <v>23</v>
      </c>
      <c r="H3576">
        <v>244.3</v>
      </c>
      <c r="I3576" s="13">
        <v>6</v>
      </c>
      <c r="J3576">
        <v>0</v>
      </c>
      <c r="K3576">
        <v>0</v>
      </c>
      <c r="L3576">
        <v>0</v>
      </c>
      <c r="M3576">
        <v>0</v>
      </c>
      <c r="O3576">
        <f t="shared" si="55"/>
        <v>3</v>
      </c>
    </row>
    <row r="3577" spans="1:15">
      <c r="A3577">
        <v>2196</v>
      </c>
      <c r="B3577" s="1">
        <v>45738</v>
      </c>
      <c r="C3577">
        <v>30</v>
      </c>
      <c r="D3577" t="s">
        <v>17</v>
      </c>
      <c r="E3577" t="s">
        <v>15</v>
      </c>
      <c r="F3577" t="s">
        <v>16</v>
      </c>
      <c r="H3577">
        <v>230.1</v>
      </c>
      <c r="I3577" s="13">
        <v>3</v>
      </c>
      <c r="J3577">
        <v>0</v>
      </c>
      <c r="K3577">
        <v>0</v>
      </c>
      <c r="L3577">
        <v>0</v>
      </c>
      <c r="M3577">
        <v>0</v>
      </c>
      <c r="O3577">
        <f t="shared" si="55"/>
        <v>3</v>
      </c>
    </row>
    <row r="3578" spans="1:15">
      <c r="A3578">
        <v>1000</v>
      </c>
      <c r="B3578" s="1">
        <v>45738</v>
      </c>
      <c r="C3578">
        <v>24</v>
      </c>
      <c r="D3578" t="s">
        <v>17</v>
      </c>
      <c r="E3578" t="s">
        <v>20</v>
      </c>
      <c r="F3578" t="s">
        <v>21</v>
      </c>
      <c r="H3578">
        <v>221.4</v>
      </c>
      <c r="I3578" s="13">
        <v>8</v>
      </c>
      <c r="J3578">
        <v>0</v>
      </c>
      <c r="K3578">
        <v>0</v>
      </c>
      <c r="L3578">
        <v>0</v>
      </c>
      <c r="M3578">
        <v>0</v>
      </c>
      <c r="O3578">
        <f t="shared" si="55"/>
        <v>3</v>
      </c>
    </row>
    <row r="3579" spans="1:15">
      <c r="A3579">
        <v>1490</v>
      </c>
      <c r="B3579" s="1">
        <v>45738</v>
      </c>
      <c r="C3579">
        <v>22</v>
      </c>
      <c r="D3579" t="s">
        <v>17</v>
      </c>
      <c r="E3579" t="s">
        <v>20</v>
      </c>
      <c r="F3579" t="s">
        <v>16</v>
      </c>
      <c r="H3579">
        <v>217.8</v>
      </c>
      <c r="I3579" s="13">
        <v>2</v>
      </c>
      <c r="J3579">
        <v>0</v>
      </c>
      <c r="K3579">
        <v>0</v>
      </c>
      <c r="L3579">
        <v>0</v>
      </c>
      <c r="M3579">
        <v>0</v>
      </c>
      <c r="O3579">
        <f t="shared" si="55"/>
        <v>3</v>
      </c>
    </row>
    <row r="3580" spans="1:15">
      <c r="A3580">
        <v>4976</v>
      </c>
      <c r="B3580" s="1">
        <v>45738</v>
      </c>
      <c r="C3580">
        <v>45</v>
      </c>
      <c r="D3580" t="s">
        <v>17</v>
      </c>
      <c r="E3580" t="s">
        <v>15</v>
      </c>
      <c r="F3580" t="s">
        <v>16</v>
      </c>
      <c r="H3580">
        <v>113.3</v>
      </c>
      <c r="I3580" s="13">
        <v>6</v>
      </c>
      <c r="J3580">
        <v>0</v>
      </c>
      <c r="K3580">
        <v>0</v>
      </c>
      <c r="L3580">
        <v>0</v>
      </c>
      <c r="M3580">
        <v>0</v>
      </c>
      <c r="O3580">
        <f t="shared" si="55"/>
        <v>3</v>
      </c>
    </row>
    <row r="3581" spans="1:15">
      <c r="A3581">
        <v>1915</v>
      </c>
      <c r="B3581" s="1">
        <v>45738</v>
      </c>
      <c r="C3581">
        <v>18</v>
      </c>
      <c r="D3581" t="s">
        <v>14</v>
      </c>
      <c r="E3581" t="s">
        <v>15</v>
      </c>
      <c r="F3581" t="s">
        <v>18</v>
      </c>
      <c r="G3581" t="s">
        <v>19</v>
      </c>
      <c r="H3581">
        <v>96.2</v>
      </c>
      <c r="I3581" s="13">
        <v>3</v>
      </c>
      <c r="J3581">
        <v>0</v>
      </c>
      <c r="K3581">
        <v>0</v>
      </c>
      <c r="L3581">
        <v>0</v>
      </c>
      <c r="M3581">
        <v>0</v>
      </c>
      <c r="O3581">
        <f t="shared" si="55"/>
        <v>3</v>
      </c>
    </row>
    <row r="3582" spans="1:15">
      <c r="A3582">
        <v>2779</v>
      </c>
      <c r="B3582" s="1">
        <v>45738</v>
      </c>
      <c r="C3582">
        <v>40</v>
      </c>
      <c r="D3582" t="s">
        <v>17</v>
      </c>
      <c r="E3582" t="s">
        <v>24</v>
      </c>
      <c r="F3582" t="s">
        <v>18</v>
      </c>
      <c r="G3582" t="s">
        <v>25</v>
      </c>
      <c r="H3582">
        <v>89</v>
      </c>
      <c r="I3582" s="13">
        <v>9</v>
      </c>
      <c r="J3582">
        <v>0</v>
      </c>
      <c r="K3582">
        <v>0</v>
      </c>
      <c r="L3582">
        <v>0</v>
      </c>
      <c r="M3582">
        <v>0</v>
      </c>
      <c r="O3582">
        <f t="shared" si="55"/>
        <v>3</v>
      </c>
    </row>
    <row r="3583" spans="1:15">
      <c r="A3583">
        <v>4195</v>
      </c>
      <c r="B3583" s="1">
        <v>45769</v>
      </c>
      <c r="C3583">
        <v>41</v>
      </c>
      <c r="D3583" t="s">
        <v>14</v>
      </c>
      <c r="E3583" t="s">
        <v>15</v>
      </c>
      <c r="F3583" t="s">
        <v>21</v>
      </c>
      <c r="H3583">
        <v>1084.8</v>
      </c>
      <c r="I3583" s="13">
        <v>7</v>
      </c>
      <c r="J3583">
        <v>1</v>
      </c>
      <c r="K3583">
        <v>132</v>
      </c>
      <c r="L3583">
        <v>4</v>
      </c>
      <c r="M3583">
        <v>13</v>
      </c>
      <c r="N3583">
        <v>4</v>
      </c>
      <c r="O3583">
        <f t="shared" si="55"/>
        <v>4</v>
      </c>
    </row>
    <row r="3584" spans="1:15">
      <c r="A3584">
        <v>2465</v>
      </c>
      <c r="B3584" s="1">
        <v>45769</v>
      </c>
      <c r="C3584">
        <v>34</v>
      </c>
      <c r="D3584" t="s">
        <v>17</v>
      </c>
      <c r="E3584" t="s">
        <v>20</v>
      </c>
      <c r="F3584" t="s">
        <v>18</v>
      </c>
      <c r="G3584" t="s">
        <v>26</v>
      </c>
      <c r="H3584">
        <v>446.2</v>
      </c>
      <c r="I3584" s="13">
        <v>4</v>
      </c>
      <c r="J3584">
        <v>1</v>
      </c>
      <c r="K3584">
        <v>185</v>
      </c>
      <c r="L3584">
        <v>2</v>
      </c>
      <c r="M3584">
        <v>9</v>
      </c>
      <c r="N3584">
        <v>4</v>
      </c>
      <c r="O3584">
        <f t="shared" si="55"/>
        <v>4</v>
      </c>
    </row>
    <row r="3585" spans="1:15">
      <c r="A3585">
        <v>625</v>
      </c>
      <c r="B3585" s="1">
        <v>45769</v>
      </c>
      <c r="C3585">
        <v>29</v>
      </c>
      <c r="D3585" t="s">
        <v>14</v>
      </c>
      <c r="E3585" t="s">
        <v>24</v>
      </c>
      <c r="F3585" t="s">
        <v>21</v>
      </c>
      <c r="H3585">
        <v>480.3</v>
      </c>
      <c r="I3585" s="13">
        <v>5</v>
      </c>
      <c r="J3585">
        <v>1</v>
      </c>
      <c r="K3585">
        <v>221</v>
      </c>
      <c r="L3585">
        <v>2</v>
      </c>
      <c r="M3585">
        <v>12</v>
      </c>
      <c r="N3585">
        <v>5</v>
      </c>
      <c r="O3585">
        <f t="shared" si="55"/>
        <v>4</v>
      </c>
    </row>
    <row r="3586" spans="1:15">
      <c r="A3586">
        <v>1452</v>
      </c>
      <c r="B3586" s="1">
        <v>45769</v>
      </c>
      <c r="C3586">
        <v>26</v>
      </c>
      <c r="D3586" t="s">
        <v>14</v>
      </c>
      <c r="E3586" t="s">
        <v>20</v>
      </c>
      <c r="F3586" t="s">
        <v>16</v>
      </c>
      <c r="H3586">
        <v>173.4</v>
      </c>
      <c r="I3586" s="13">
        <v>3</v>
      </c>
      <c r="J3586">
        <v>1</v>
      </c>
      <c r="K3586">
        <v>117.6</v>
      </c>
      <c r="L3586">
        <v>3</v>
      </c>
      <c r="M3586">
        <v>9</v>
      </c>
      <c r="N3586">
        <v>3</v>
      </c>
      <c r="O3586">
        <f t="shared" si="55"/>
        <v>4</v>
      </c>
    </row>
    <row r="3587" spans="1:15">
      <c r="A3587">
        <v>574</v>
      </c>
      <c r="B3587" s="1">
        <v>45769</v>
      </c>
      <c r="C3587">
        <v>20</v>
      </c>
      <c r="D3587" t="s">
        <v>14</v>
      </c>
      <c r="E3587" t="s">
        <v>22</v>
      </c>
      <c r="F3587" t="s">
        <v>18</v>
      </c>
      <c r="G3587" t="s">
        <v>30</v>
      </c>
      <c r="H3587">
        <v>488.8</v>
      </c>
      <c r="I3587" s="13">
        <v>4</v>
      </c>
      <c r="J3587">
        <v>1</v>
      </c>
      <c r="K3587">
        <v>32.47</v>
      </c>
      <c r="L3587">
        <v>2</v>
      </c>
      <c r="M3587">
        <v>2</v>
      </c>
      <c r="N3587">
        <v>4</v>
      </c>
      <c r="O3587">
        <f t="shared" ref="O3587:O3650" si="56">MONTH(B3587)</f>
        <v>4</v>
      </c>
    </row>
    <row r="3588" spans="1:15">
      <c r="A3588">
        <v>1171</v>
      </c>
      <c r="B3588" s="1">
        <v>45769</v>
      </c>
      <c r="C3588">
        <v>25</v>
      </c>
      <c r="D3588" t="s">
        <v>14</v>
      </c>
      <c r="E3588" t="s">
        <v>24</v>
      </c>
      <c r="F3588" t="s">
        <v>23</v>
      </c>
      <c r="H3588">
        <v>1302.3</v>
      </c>
      <c r="I3588" s="13">
        <v>7</v>
      </c>
      <c r="J3588">
        <v>1</v>
      </c>
      <c r="K3588">
        <v>18.63</v>
      </c>
      <c r="L3588">
        <v>4</v>
      </c>
      <c r="M3588">
        <v>5</v>
      </c>
      <c r="N3588">
        <v>4</v>
      </c>
      <c r="O3588">
        <f t="shared" si="56"/>
        <v>4</v>
      </c>
    </row>
    <row r="3589" spans="1:15">
      <c r="A3589">
        <v>3136</v>
      </c>
      <c r="B3589" s="1">
        <v>45769</v>
      </c>
      <c r="C3589">
        <v>51</v>
      </c>
      <c r="D3589" t="s">
        <v>14</v>
      </c>
      <c r="E3589" t="s">
        <v>20</v>
      </c>
      <c r="F3589" t="s">
        <v>16</v>
      </c>
      <c r="H3589">
        <v>897.5</v>
      </c>
      <c r="I3589" s="13">
        <v>8</v>
      </c>
      <c r="J3589">
        <v>1</v>
      </c>
      <c r="K3589">
        <v>18.149999999999999</v>
      </c>
      <c r="L3589">
        <v>3</v>
      </c>
      <c r="M3589">
        <v>3</v>
      </c>
      <c r="N3589">
        <v>4</v>
      </c>
      <c r="O3589">
        <f t="shared" si="56"/>
        <v>4</v>
      </c>
    </row>
    <row r="3590" spans="1:15">
      <c r="A3590">
        <v>4740</v>
      </c>
      <c r="B3590" s="1">
        <v>45769</v>
      </c>
      <c r="C3590">
        <v>51</v>
      </c>
      <c r="D3590" t="s">
        <v>14</v>
      </c>
      <c r="E3590" t="s">
        <v>15</v>
      </c>
      <c r="F3590" t="s">
        <v>18</v>
      </c>
      <c r="G3590" t="s">
        <v>28</v>
      </c>
      <c r="H3590">
        <v>687.9</v>
      </c>
      <c r="I3590" s="13">
        <v>5</v>
      </c>
      <c r="J3590">
        <v>0</v>
      </c>
      <c r="K3590">
        <v>0</v>
      </c>
      <c r="L3590">
        <v>0</v>
      </c>
      <c r="M3590">
        <v>0</v>
      </c>
      <c r="O3590">
        <f t="shared" si="56"/>
        <v>4</v>
      </c>
    </row>
    <row r="3591" spans="1:15">
      <c r="A3591">
        <v>1281</v>
      </c>
      <c r="B3591" s="1">
        <v>45769</v>
      </c>
      <c r="C3591">
        <v>24</v>
      </c>
      <c r="D3591" t="s">
        <v>14</v>
      </c>
      <c r="E3591" t="s">
        <v>20</v>
      </c>
      <c r="F3591" t="s">
        <v>16</v>
      </c>
      <c r="H3591">
        <v>577</v>
      </c>
      <c r="I3591" s="13">
        <v>8</v>
      </c>
      <c r="J3591">
        <v>0</v>
      </c>
      <c r="K3591">
        <v>0</v>
      </c>
      <c r="L3591">
        <v>0</v>
      </c>
      <c r="M3591">
        <v>0</v>
      </c>
      <c r="O3591">
        <f t="shared" si="56"/>
        <v>4</v>
      </c>
    </row>
    <row r="3592" spans="1:15">
      <c r="A3592">
        <v>492</v>
      </c>
      <c r="B3592" s="1">
        <v>45769</v>
      </c>
      <c r="C3592">
        <v>22</v>
      </c>
      <c r="D3592" t="s">
        <v>14</v>
      </c>
      <c r="E3592" t="s">
        <v>15</v>
      </c>
      <c r="F3592" t="s">
        <v>16</v>
      </c>
      <c r="H3592">
        <v>390.8</v>
      </c>
      <c r="I3592" s="13">
        <v>6</v>
      </c>
      <c r="J3592">
        <v>0</v>
      </c>
      <c r="K3592">
        <v>0</v>
      </c>
      <c r="L3592">
        <v>0</v>
      </c>
      <c r="M3592">
        <v>0</v>
      </c>
      <c r="O3592">
        <f t="shared" si="56"/>
        <v>4</v>
      </c>
    </row>
    <row r="3593" spans="1:15">
      <c r="A3593">
        <v>1709</v>
      </c>
      <c r="B3593" s="1">
        <v>45769</v>
      </c>
      <c r="C3593">
        <v>24</v>
      </c>
      <c r="D3593" t="s">
        <v>14</v>
      </c>
      <c r="E3593" t="s">
        <v>22</v>
      </c>
      <c r="F3593" t="s">
        <v>16</v>
      </c>
      <c r="H3593">
        <v>376.1</v>
      </c>
      <c r="I3593" s="13">
        <v>6</v>
      </c>
      <c r="J3593">
        <v>0</v>
      </c>
      <c r="K3593">
        <v>0</v>
      </c>
      <c r="L3593">
        <v>0</v>
      </c>
      <c r="M3593">
        <v>0</v>
      </c>
      <c r="O3593">
        <f t="shared" si="56"/>
        <v>4</v>
      </c>
    </row>
    <row r="3594" spans="1:15">
      <c r="A3594">
        <v>1923</v>
      </c>
      <c r="B3594" s="1">
        <v>45769</v>
      </c>
      <c r="C3594">
        <v>30</v>
      </c>
      <c r="D3594" t="s">
        <v>17</v>
      </c>
      <c r="E3594" t="s">
        <v>15</v>
      </c>
      <c r="F3594" t="s">
        <v>18</v>
      </c>
      <c r="G3594" t="s">
        <v>31</v>
      </c>
      <c r="H3594">
        <v>309.8</v>
      </c>
      <c r="I3594" s="13">
        <v>8</v>
      </c>
      <c r="J3594">
        <v>0</v>
      </c>
      <c r="K3594">
        <v>0</v>
      </c>
      <c r="L3594">
        <v>0</v>
      </c>
      <c r="M3594">
        <v>0</v>
      </c>
      <c r="O3594">
        <f t="shared" si="56"/>
        <v>4</v>
      </c>
    </row>
    <row r="3595" spans="1:15">
      <c r="A3595">
        <v>4200</v>
      </c>
      <c r="B3595" s="1">
        <v>45769</v>
      </c>
      <c r="C3595">
        <v>43</v>
      </c>
      <c r="D3595" t="s">
        <v>27</v>
      </c>
      <c r="E3595" t="s">
        <v>22</v>
      </c>
      <c r="F3595" t="s">
        <v>16</v>
      </c>
      <c r="H3595">
        <v>304.8</v>
      </c>
      <c r="I3595" s="13">
        <v>6</v>
      </c>
      <c r="J3595">
        <v>0</v>
      </c>
      <c r="K3595">
        <v>0</v>
      </c>
      <c r="L3595">
        <v>0</v>
      </c>
      <c r="M3595">
        <v>0</v>
      </c>
      <c r="O3595">
        <f t="shared" si="56"/>
        <v>4</v>
      </c>
    </row>
    <row r="3596" spans="1:15">
      <c r="A3596">
        <v>3426</v>
      </c>
      <c r="B3596" s="1">
        <v>45769</v>
      </c>
      <c r="C3596">
        <v>31</v>
      </c>
      <c r="D3596" t="s">
        <v>17</v>
      </c>
      <c r="E3596" t="s">
        <v>22</v>
      </c>
      <c r="F3596" t="s">
        <v>23</v>
      </c>
      <c r="H3596">
        <v>298.10000000000002</v>
      </c>
      <c r="I3596" s="13">
        <v>6</v>
      </c>
      <c r="J3596">
        <v>0</v>
      </c>
      <c r="K3596">
        <v>0</v>
      </c>
      <c r="L3596">
        <v>0</v>
      </c>
      <c r="M3596">
        <v>0</v>
      </c>
      <c r="O3596">
        <f t="shared" si="56"/>
        <v>4</v>
      </c>
    </row>
    <row r="3597" spans="1:15">
      <c r="A3597">
        <v>1399</v>
      </c>
      <c r="B3597" s="1">
        <v>45769</v>
      </c>
      <c r="C3597">
        <v>20</v>
      </c>
      <c r="D3597" t="s">
        <v>17</v>
      </c>
      <c r="E3597" t="s">
        <v>24</v>
      </c>
      <c r="F3597" t="s">
        <v>18</v>
      </c>
      <c r="G3597" t="s">
        <v>31</v>
      </c>
      <c r="H3597">
        <v>288.3</v>
      </c>
      <c r="I3597" s="13">
        <v>7</v>
      </c>
      <c r="J3597">
        <v>0</v>
      </c>
      <c r="K3597">
        <v>0</v>
      </c>
      <c r="L3597">
        <v>0</v>
      </c>
      <c r="M3597">
        <v>0</v>
      </c>
      <c r="O3597">
        <f t="shared" si="56"/>
        <v>4</v>
      </c>
    </row>
    <row r="3598" spans="1:15">
      <c r="A3598">
        <v>433</v>
      </c>
      <c r="B3598" s="1">
        <v>45769</v>
      </c>
      <c r="C3598">
        <v>30</v>
      </c>
      <c r="D3598" t="s">
        <v>14</v>
      </c>
      <c r="E3598" t="s">
        <v>22</v>
      </c>
      <c r="F3598" t="s">
        <v>16</v>
      </c>
      <c r="H3598">
        <v>283.60000000000002</v>
      </c>
      <c r="I3598" s="13">
        <v>9</v>
      </c>
      <c r="J3598">
        <v>0</v>
      </c>
      <c r="K3598">
        <v>0</v>
      </c>
      <c r="L3598">
        <v>0</v>
      </c>
      <c r="M3598">
        <v>0</v>
      </c>
      <c r="O3598">
        <f t="shared" si="56"/>
        <v>4</v>
      </c>
    </row>
    <row r="3599" spans="1:15">
      <c r="A3599">
        <v>560</v>
      </c>
      <c r="B3599" s="1">
        <v>45769</v>
      </c>
      <c r="C3599">
        <v>18</v>
      </c>
      <c r="D3599" t="s">
        <v>14</v>
      </c>
      <c r="E3599" t="s">
        <v>24</v>
      </c>
      <c r="F3599" t="s">
        <v>18</v>
      </c>
      <c r="G3599" t="s">
        <v>25</v>
      </c>
      <c r="H3599">
        <v>273.7</v>
      </c>
      <c r="I3599" s="13">
        <v>6</v>
      </c>
      <c r="J3599">
        <v>0</v>
      </c>
      <c r="K3599">
        <v>0</v>
      </c>
      <c r="L3599">
        <v>0</v>
      </c>
      <c r="M3599">
        <v>0</v>
      </c>
      <c r="O3599">
        <f t="shared" si="56"/>
        <v>4</v>
      </c>
    </row>
    <row r="3600" spans="1:15">
      <c r="A3600">
        <v>3331</v>
      </c>
      <c r="B3600" s="1">
        <v>45769</v>
      </c>
      <c r="C3600">
        <v>42</v>
      </c>
      <c r="D3600" t="s">
        <v>14</v>
      </c>
      <c r="E3600" t="s">
        <v>22</v>
      </c>
      <c r="F3600" t="s">
        <v>16</v>
      </c>
      <c r="H3600">
        <v>246.7</v>
      </c>
      <c r="I3600" s="13">
        <v>4</v>
      </c>
      <c r="J3600">
        <v>0</v>
      </c>
      <c r="K3600">
        <v>0</v>
      </c>
      <c r="L3600">
        <v>0</v>
      </c>
      <c r="M3600">
        <v>0</v>
      </c>
      <c r="O3600">
        <f t="shared" si="56"/>
        <v>4</v>
      </c>
    </row>
    <row r="3601" spans="1:15">
      <c r="A3601">
        <v>1194</v>
      </c>
      <c r="B3601" s="1">
        <v>45769</v>
      </c>
      <c r="C3601">
        <v>25</v>
      </c>
      <c r="D3601" t="s">
        <v>14</v>
      </c>
      <c r="E3601" t="s">
        <v>24</v>
      </c>
      <c r="F3601" t="s">
        <v>23</v>
      </c>
      <c r="H3601">
        <v>239.4</v>
      </c>
      <c r="I3601" s="13">
        <v>4</v>
      </c>
      <c r="J3601">
        <v>0</v>
      </c>
      <c r="K3601">
        <v>0</v>
      </c>
      <c r="L3601">
        <v>0</v>
      </c>
      <c r="M3601">
        <v>0</v>
      </c>
      <c r="O3601">
        <f t="shared" si="56"/>
        <v>4</v>
      </c>
    </row>
    <row r="3602" spans="1:15">
      <c r="A3602">
        <v>4044</v>
      </c>
      <c r="B3602" s="1">
        <v>45769</v>
      </c>
      <c r="C3602">
        <v>42</v>
      </c>
      <c r="D3602" t="s">
        <v>14</v>
      </c>
      <c r="E3602" t="s">
        <v>22</v>
      </c>
      <c r="F3602" t="s">
        <v>18</v>
      </c>
      <c r="G3602" t="s">
        <v>31</v>
      </c>
      <c r="H3602">
        <v>237.9</v>
      </c>
      <c r="I3602" s="13">
        <v>3</v>
      </c>
      <c r="J3602">
        <v>0</v>
      </c>
      <c r="K3602">
        <v>0</v>
      </c>
      <c r="L3602">
        <v>0</v>
      </c>
      <c r="M3602">
        <v>0</v>
      </c>
      <c r="O3602">
        <f t="shared" si="56"/>
        <v>4</v>
      </c>
    </row>
    <row r="3603" spans="1:15">
      <c r="A3603">
        <v>3015</v>
      </c>
      <c r="B3603" s="1">
        <v>45769</v>
      </c>
      <c r="C3603">
        <v>36</v>
      </c>
      <c r="D3603" t="s">
        <v>17</v>
      </c>
      <c r="E3603" t="s">
        <v>22</v>
      </c>
      <c r="F3603" t="s">
        <v>16</v>
      </c>
      <c r="H3603">
        <v>223.6</v>
      </c>
      <c r="I3603" s="13">
        <v>6</v>
      </c>
      <c r="J3603">
        <v>0</v>
      </c>
      <c r="K3603">
        <v>0</v>
      </c>
      <c r="L3603">
        <v>0</v>
      </c>
      <c r="M3603">
        <v>0</v>
      </c>
      <c r="O3603">
        <f t="shared" si="56"/>
        <v>4</v>
      </c>
    </row>
    <row r="3604" spans="1:15">
      <c r="A3604">
        <v>757</v>
      </c>
      <c r="B3604" s="1">
        <v>45769</v>
      </c>
      <c r="C3604">
        <v>26</v>
      </c>
      <c r="D3604" t="s">
        <v>14</v>
      </c>
      <c r="E3604" t="s">
        <v>22</v>
      </c>
      <c r="F3604" t="s">
        <v>23</v>
      </c>
      <c r="H3604">
        <v>200.4</v>
      </c>
      <c r="I3604" s="13">
        <v>5</v>
      </c>
      <c r="J3604">
        <v>0</v>
      </c>
      <c r="K3604">
        <v>0</v>
      </c>
      <c r="L3604">
        <v>0</v>
      </c>
      <c r="M3604">
        <v>0</v>
      </c>
      <c r="O3604">
        <f t="shared" si="56"/>
        <v>4</v>
      </c>
    </row>
    <row r="3605" spans="1:15">
      <c r="A3605">
        <v>2308</v>
      </c>
      <c r="B3605" s="1">
        <v>45769</v>
      </c>
      <c r="C3605">
        <v>43</v>
      </c>
      <c r="D3605" t="s">
        <v>27</v>
      </c>
      <c r="E3605" t="s">
        <v>22</v>
      </c>
      <c r="F3605" t="s">
        <v>18</v>
      </c>
      <c r="G3605" t="s">
        <v>30</v>
      </c>
      <c r="H3605">
        <v>194.4</v>
      </c>
      <c r="I3605" s="13">
        <v>3</v>
      </c>
      <c r="J3605">
        <v>0</v>
      </c>
      <c r="K3605">
        <v>0</v>
      </c>
      <c r="L3605">
        <v>0</v>
      </c>
      <c r="M3605">
        <v>0</v>
      </c>
      <c r="O3605">
        <f t="shared" si="56"/>
        <v>4</v>
      </c>
    </row>
    <row r="3606" spans="1:15">
      <c r="A3606">
        <v>1155</v>
      </c>
      <c r="B3606" s="1">
        <v>45769</v>
      </c>
      <c r="C3606">
        <v>29</v>
      </c>
      <c r="D3606" t="s">
        <v>14</v>
      </c>
      <c r="E3606" t="s">
        <v>15</v>
      </c>
      <c r="F3606" t="s">
        <v>16</v>
      </c>
      <c r="H3606">
        <v>165.4</v>
      </c>
      <c r="I3606" s="13">
        <v>5</v>
      </c>
      <c r="J3606">
        <v>0</v>
      </c>
      <c r="K3606">
        <v>0</v>
      </c>
      <c r="L3606">
        <v>0</v>
      </c>
      <c r="M3606">
        <v>0</v>
      </c>
      <c r="O3606">
        <f t="shared" si="56"/>
        <v>4</v>
      </c>
    </row>
    <row r="3607" spans="1:15">
      <c r="A3607">
        <v>1497</v>
      </c>
      <c r="B3607" s="1">
        <v>45769</v>
      </c>
      <c r="C3607">
        <v>27</v>
      </c>
      <c r="D3607" t="s">
        <v>14</v>
      </c>
      <c r="E3607" t="s">
        <v>24</v>
      </c>
      <c r="F3607" t="s">
        <v>18</v>
      </c>
      <c r="G3607" t="s">
        <v>31</v>
      </c>
      <c r="H3607">
        <v>160.4</v>
      </c>
      <c r="I3607" s="13">
        <v>10</v>
      </c>
      <c r="J3607">
        <v>0</v>
      </c>
      <c r="K3607">
        <v>0</v>
      </c>
      <c r="L3607">
        <v>0</v>
      </c>
      <c r="M3607">
        <v>0</v>
      </c>
      <c r="O3607">
        <f t="shared" si="56"/>
        <v>4</v>
      </c>
    </row>
    <row r="3608" spans="1:15">
      <c r="A3608">
        <v>2162</v>
      </c>
      <c r="B3608" s="1">
        <v>45769</v>
      </c>
      <c r="C3608">
        <v>38</v>
      </c>
      <c r="D3608" t="s">
        <v>14</v>
      </c>
      <c r="E3608" t="s">
        <v>22</v>
      </c>
      <c r="F3608" t="s">
        <v>21</v>
      </c>
      <c r="H3608">
        <v>77.900000000000006</v>
      </c>
      <c r="I3608" s="13">
        <v>5</v>
      </c>
      <c r="J3608">
        <v>0</v>
      </c>
      <c r="K3608">
        <v>0</v>
      </c>
      <c r="L3608">
        <v>0</v>
      </c>
      <c r="M3608">
        <v>0</v>
      </c>
      <c r="O3608">
        <f t="shared" si="56"/>
        <v>4</v>
      </c>
    </row>
    <row r="3609" spans="1:15">
      <c r="A3609">
        <v>545</v>
      </c>
      <c r="B3609" s="1">
        <v>45769</v>
      </c>
      <c r="C3609">
        <v>27</v>
      </c>
      <c r="D3609" t="s">
        <v>14</v>
      </c>
      <c r="E3609" t="s">
        <v>24</v>
      </c>
      <c r="F3609" t="s">
        <v>18</v>
      </c>
      <c r="G3609" t="s">
        <v>28</v>
      </c>
      <c r="H3609">
        <v>76.900000000000006</v>
      </c>
      <c r="I3609" s="13">
        <v>5</v>
      </c>
      <c r="J3609">
        <v>0</v>
      </c>
      <c r="K3609">
        <v>0</v>
      </c>
      <c r="L3609">
        <v>0</v>
      </c>
      <c r="M3609">
        <v>0</v>
      </c>
      <c r="O3609">
        <f t="shared" si="56"/>
        <v>4</v>
      </c>
    </row>
    <row r="3610" spans="1:15">
      <c r="A3610">
        <v>2736</v>
      </c>
      <c r="B3610" s="1">
        <v>45799</v>
      </c>
      <c r="C3610">
        <v>28</v>
      </c>
      <c r="D3610" t="s">
        <v>17</v>
      </c>
      <c r="E3610" t="s">
        <v>20</v>
      </c>
      <c r="F3610" t="s">
        <v>16</v>
      </c>
      <c r="H3610">
        <v>779.2</v>
      </c>
      <c r="I3610" s="13">
        <v>10</v>
      </c>
      <c r="J3610">
        <v>1</v>
      </c>
      <c r="K3610">
        <v>326</v>
      </c>
      <c r="L3610">
        <v>5</v>
      </c>
      <c r="M3610">
        <v>9</v>
      </c>
      <c r="N3610">
        <v>4</v>
      </c>
      <c r="O3610">
        <f t="shared" si="56"/>
        <v>5</v>
      </c>
    </row>
    <row r="3611" spans="1:15">
      <c r="A3611">
        <v>2847</v>
      </c>
      <c r="B3611" s="1">
        <v>45799</v>
      </c>
      <c r="C3611">
        <v>26</v>
      </c>
      <c r="D3611" t="s">
        <v>14</v>
      </c>
      <c r="E3611" t="s">
        <v>20</v>
      </c>
      <c r="F3611" t="s">
        <v>21</v>
      </c>
      <c r="H3611">
        <v>154.9</v>
      </c>
      <c r="I3611" s="13">
        <v>7</v>
      </c>
      <c r="J3611">
        <v>1</v>
      </c>
      <c r="K3611">
        <v>215.19</v>
      </c>
      <c r="L3611">
        <v>4</v>
      </c>
      <c r="M3611">
        <v>15</v>
      </c>
      <c r="N3611">
        <v>4</v>
      </c>
      <c r="O3611">
        <f t="shared" si="56"/>
        <v>5</v>
      </c>
    </row>
    <row r="3612" spans="1:15">
      <c r="A3612">
        <v>1772</v>
      </c>
      <c r="B3612" s="1">
        <v>45799</v>
      </c>
      <c r="C3612">
        <v>38</v>
      </c>
      <c r="D3612" t="s">
        <v>14</v>
      </c>
      <c r="E3612" t="s">
        <v>15</v>
      </c>
      <c r="F3612" t="s">
        <v>21</v>
      </c>
      <c r="H3612">
        <v>497.3</v>
      </c>
      <c r="I3612" s="13">
        <v>7</v>
      </c>
      <c r="J3612">
        <v>1</v>
      </c>
      <c r="K3612">
        <v>180.23</v>
      </c>
      <c r="L3612">
        <v>3</v>
      </c>
      <c r="M3612">
        <v>8</v>
      </c>
      <c r="N3612">
        <v>3</v>
      </c>
      <c r="O3612">
        <f t="shared" si="56"/>
        <v>5</v>
      </c>
    </row>
    <row r="3613" spans="1:15">
      <c r="A3613">
        <v>572</v>
      </c>
      <c r="B3613" s="1">
        <v>45799</v>
      </c>
      <c r="C3613">
        <v>20</v>
      </c>
      <c r="D3613" t="s">
        <v>17</v>
      </c>
      <c r="E3613" t="s">
        <v>24</v>
      </c>
      <c r="F3613" t="s">
        <v>23</v>
      </c>
      <c r="H3613">
        <v>600.1</v>
      </c>
      <c r="I3613" s="13">
        <v>10</v>
      </c>
      <c r="J3613">
        <v>1</v>
      </c>
      <c r="K3613">
        <v>91.81</v>
      </c>
      <c r="L3613">
        <v>2</v>
      </c>
      <c r="M3613">
        <v>5</v>
      </c>
      <c r="N3613">
        <v>5</v>
      </c>
      <c r="O3613">
        <f t="shared" si="56"/>
        <v>5</v>
      </c>
    </row>
    <row r="3614" spans="1:15">
      <c r="A3614">
        <v>2066</v>
      </c>
      <c r="B3614" s="1">
        <v>45799</v>
      </c>
      <c r="C3614">
        <v>22</v>
      </c>
      <c r="D3614" t="s">
        <v>14</v>
      </c>
      <c r="E3614" t="s">
        <v>20</v>
      </c>
      <c r="F3614" t="s">
        <v>21</v>
      </c>
      <c r="H3614">
        <v>362</v>
      </c>
      <c r="I3614" s="13">
        <v>7</v>
      </c>
      <c r="J3614">
        <v>1</v>
      </c>
      <c r="K3614">
        <v>76.87</v>
      </c>
      <c r="L3614">
        <v>2</v>
      </c>
      <c r="M3614">
        <v>9</v>
      </c>
      <c r="N3614">
        <v>3</v>
      </c>
      <c r="O3614">
        <f t="shared" si="56"/>
        <v>5</v>
      </c>
    </row>
    <row r="3615" spans="1:15">
      <c r="A3615">
        <v>1943</v>
      </c>
      <c r="B3615" s="1">
        <v>45799</v>
      </c>
      <c r="C3615">
        <v>23</v>
      </c>
      <c r="D3615" t="s">
        <v>17</v>
      </c>
      <c r="E3615" t="s">
        <v>22</v>
      </c>
      <c r="F3615" t="s">
        <v>18</v>
      </c>
      <c r="G3615" t="s">
        <v>25</v>
      </c>
      <c r="H3615">
        <v>1142.9000000000001</v>
      </c>
      <c r="I3615" s="13">
        <v>12</v>
      </c>
      <c r="J3615">
        <v>1</v>
      </c>
      <c r="K3615">
        <v>69.099999999999994</v>
      </c>
      <c r="L3615">
        <v>2</v>
      </c>
      <c r="M3615">
        <v>4</v>
      </c>
      <c r="N3615">
        <v>4</v>
      </c>
      <c r="O3615">
        <f t="shared" si="56"/>
        <v>5</v>
      </c>
    </row>
    <row r="3616" spans="1:15">
      <c r="A3616">
        <v>1775</v>
      </c>
      <c r="B3616" s="1">
        <v>45799</v>
      </c>
      <c r="C3616">
        <v>39</v>
      </c>
      <c r="D3616" t="s">
        <v>14</v>
      </c>
      <c r="E3616" t="s">
        <v>20</v>
      </c>
      <c r="F3616" t="s">
        <v>16</v>
      </c>
      <c r="H3616">
        <v>403.4</v>
      </c>
      <c r="I3616" s="13">
        <v>5</v>
      </c>
      <c r="J3616">
        <v>1</v>
      </c>
      <c r="K3616">
        <v>68.03</v>
      </c>
      <c r="L3616">
        <v>3</v>
      </c>
      <c r="M3616">
        <v>2</v>
      </c>
      <c r="N3616">
        <v>4</v>
      </c>
      <c r="O3616">
        <f t="shared" si="56"/>
        <v>5</v>
      </c>
    </row>
    <row r="3617" spans="1:15">
      <c r="A3617">
        <v>1900</v>
      </c>
      <c r="B3617" s="1">
        <v>45799</v>
      </c>
      <c r="C3617">
        <v>25</v>
      </c>
      <c r="D3617" t="s">
        <v>27</v>
      </c>
      <c r="E3617" t="s">
        <v>22</v>
      </c>
      <c r="F3617" t="s">
        <v>16</v>
      </c>
      <c r="H3617">
        <v>387</v>
      </c>
      <c r="I3617" s="13">
        <v>3</v>
      </c>
      <c r="J3617">
        <v>1</v>
      </c>
      <c r="K3617">
        <v>44.21</v>
      </c>
      <c r="L3617">
        <v>3</v>
      </c>
      <c r="M3617">
        <v>13</v>
      </c>
      <c r="N3617">
        <v>3</v>
      </c>
      <c r="O3617">
        <f t="shared" si="56"/>
        <v>5</v>
      </c>
    </row>
    <row r="3618" spans="1:15">
      <c r="A3618">
        <v>4707</v>
      </c>
      <c r="B3618" s="1">
        <v>45799</v>
      </c>
      <c r="C3618">
        <v>52</v>
      </c>
      <c r="D3618" t="s">
        <v>14</v>
      </c>
      <c r="E3618" t="s">
        <v>15</v>
      </c>
      <c r="F3618" t="s">
        <v>16</v>
      </c>
      <c r="H3618">
        <v>253.8</v>
      </c>
      <c r="I3618" s="13">
        <v>7</v>
      </c>
      <c r="J3618">
        <v>1</v>
      </c>
      <c r="K3618">
        <v>42.76</v>
      </c>
      <c r="L3618">
        <v>5</v>
      </c>
      <c r="M3618">
        <v>4</v>
      </c>
      <c r="N3618">
        <v>4</v>
      </c>
      <c r="O3618">
        <f t="shared" si="56"/>
        <v>5</v>
      </c>
    </row>
    <row r="3619" spans="1:15">
      <c r="A3619">
        <v>3149</v>
      </c>
      <c r="B3619" s="1">
        <v>45799</v>
      </c>
      <c r="C3619">
        <v>31</v>
      </c>
      <c r="D3619" t="s">
        <v>17</v>
      </c>
      <c r="E3619" t="s">
        <v>20</v>
      </c>
      <c r="F3619" t="s">
        <v>16</v>
      </c>
      <c r="H3619">
        <v>323.60000000000002</v>
      </c>
      <c r="I3619" s="13">
        <v>3</v>
      </c>
      <c r="J3619">
        <v>1</v>
      </c>
      <c r="K3619">
        <v>13.5</v>
      </c>
      <c r="L3619">
        <v>1</v>
      </c>
      <c r="M3619">
        <v>6</v>
      </c>
      <c r="N3619">
        <v>4</v>
      </c>
      <c r="O3619">
        <f t="shared" si="56"/>
        <v>5</v>
      </c>
    </row>
    <row r="3620" spans="1:15">
      <c r="A3620">
        <v>760</v>
      </c>
      <c r="B3620" s="1">
        <v>45799</v>
      </c>
      <c r="C3620">
        <v>18</v>
      </c>
      <c r="D3620" t="s">
        <v>17</v>
      </c>
      <c r="E3620" t="s">
        <v>22</v>
      </c>
      <c r="F3620" t="s">
        <v>18</v>
      </c>
      <c r="G3620" t="s">
        <v>19</v>
      </c>
      <c r="H3620">
        <v>472.8</v>
      </c>
      <c r="I3620" s="13">
        <v>6</v>
      </c>
      <c r="J3620">
        <v>0</v>
      </c>
      <c r="K3620">
        <v>0</v>
      </c>
      <c r="L3620">
        <v>0</v>
      </c>
      <c r="M3620">
        <v>0</v>
      </c>
      <c r="O3620">
        <f t="shared" si="56"/>
        <v>5</v>
      </c>
    </row>
    <row r="3621" spans="1:15">
      <c r="A3621">
        <v>1081</v>
      </c>
      <c r="B3621" s="1">
        <v>45799</v>
      </c>
      <c r="C3621">
        <v>24</v>
      </c>
      <c r="D3621" t="s">
        <v>14</v>
      </c>
      <c r="E3621" t="s">
        <v>20</v>
      </c>
      <c r="F3621" t="s">
        <v>18</v>
      </c>
      <c r="G3621" t="s">
        <v>26</v>
      </c>
      <c r="H3621">
        <v>428</v>
      </c>
      <c r="I3621" s="13">
        <v>7</v>
      </c>
      <c r="J3621">
        <v>0</v>
      </c>
      <c r="K3621">
        <v>0</v>
      </c>
      <c r="L3621">
        <v>0</v>
      </c>
      <c r="M3621">
        <v>0</v>
      </c>
      <c r="O3621">
        <f t="shared" si="56"/>
        <v>5</v>
      </c>
    </row>
    <row r="3622" spans="1:15">
      <c r="A3622">
        <v>4602</v>
      </c>
      <c r="B3622" s="1">
        <v>45799</v>
      </c>
      <c r="C3622">
        <v>50</v>
      </c>
      <c r="D3622" t="s">
        <v>14</v>
      </c>
      <c r="E3622" t="s">
        <v>15</v>
      </c>
      <c r="F3622" t="s">
        <v>16</v>
      </c>
      <c r="H3622">
        <v>344.1</v>
      </c>
      <c r="I3622" s="13">
        <v>8</v>
      </c>
      <c r="J3622">
        <v>0</v>
      </c>
      <c r="K3622">
        <v>0</v>
      </c>
      <c r="L3622">
        <v>0</v>
      </c>
      <c r="M3622">
        <v>0</v>
      </c>
      <c r="O3622">
        <f t="shared" si="56"/>
        <v>5</v>
      </c>
    </row>
    <row r="3623" spans="1:15">
      <c r="A3623">
        <v>4310</v>
      </c>
      <c r="B3623" s="1">
        <v>45799</v>
      </c>
      <c r="C3623">
        <v>39</v>
      </c>
      <c r="D3623" t="s">
        <v>14</v>
      </c>
      <c r="E3623" t="s">
        <v>22</v>
      </c>
      <c r="F3623" t="s">
        <v>18</v>
      </c>
      <c r="G3623" t="s">
        <v>31</v>
      </c>
      <c r="H3623">
        <v>333.1</v>
      </c>
      <c r="I3623" s="13">
        <v>6</v>
      </c>
      <c r="J3623">
        <v>0</v>
      </c>
      <c r="K3623">
        <v>0</v>
      </c>
      <c r="L3623">
        <v>0</v>
      </c>
      <c r="M3623">
        <v>0</v>
      </c>
      <c r="O3623">
        <f t="shared" si="56"/>
        <v>5</v>
      </c>
    </row>
    <row r="3624" spans="1:15">
      <c r="A3624">
        <v>2189</v>
      </c>
      <c r="B3624" s="1">
        <v>45799</v>
      </c>
      <c r="C3624">
        <v>37</v>
      </c>
      <c r="D3624" t="s">
        <v>17</v>
      </c>
      <c r="E3624" t="s">
        <v>22</v>
      </c>
      <c r="F3624" t="s">
        <v>16</v>
      </c>
      <c r="H3624">
        <v>312.8</v>
      </c>
      <c r="I3624" s="13">
        <v>7</v>
      </c>
      <c r="J3624">
        <v>0</v>
      </c>
      <c r="K3624">
        <v>0</v>
      </c>
      <c r="L3624">
        <v>0</v>
      </c>
      <c r="M3624">
        <v>0</v>
      </c>
      <c r="O3624">
        <f t="shared" si="56"/>
        <v>5</v>
      </c>
    </row>
    <row r="3625" spans="1:15">
      <c r="A3625">
        <v>3415</v>
      </c>
      <c r="B3625" s="1">
        <v>45799</v>
      </c>
      <c r="C3625">
        <v>37</v>
      </c>
      <c r="D3625" t="s">
        <v>14</v>
      </c>
      <c r="E3625" t="s">
        <v>22</v>
      </c>
      <c r="F3625" t="s">
        <v>18</v>
      </c>
      <c r="G3625" t="s">
        <v>25</v>
      </c>
      <c r="H3625">
        <v>281.8</v>
      </c>
      <c r="I3625" s="13">
        <v>4</v>
      </c>
      <c r="J3625">
        <v>0</v>
      </c>
      <c r="K3625">
        <v>0</v>
      </c>
      <c r="L3625">
        <v>0</v>
      </c>
      <c r="M3625">
        <v>0</v>
      </c>
      <c r="O3625">
        <f t="shared" si="56"/>
        <v>5</v>
      </c>
    </row>
    <row r="3626" spans="1:15">
      <c r="A3626">
        <v>1945</v>
      </c>
      <c r="B3626" s="1">
        <v>45799</v>
      </c>
      <c r="C3626">
        <v>29</v>
      </c>
      <c r="D3626" t="s">
        <v>14</v>
      </c>
      <c r="E3626" t="s">
        <v>22</v>
      </c>
      <c r="F3626" t="s">
        <v>16</v>
      </c>
      <c r="H3626">
        <v>225.8</v>
      </c>
      <c r="I3626" s="13">
        <v>7</v>
      </c>
      <c r="J3626">
        <v>0</v>
      </c>
      <c r="K3626">
        <v>0</v>
      </c>
      <c r="L3626">
        <v>0</v>
      </c>
      <c r="M3626">
        <v>0</v>
      </c>
      <c r="O3626">
        <f t="shared" si="56"/>
        <v>5</v>
      </c>
    </row>
    <row r="3627" spans="1:15">
      <c r="A3627">
        <v>1960</v>
      </c>
      <c r="B3627" s="1">
        <v>45799</v>
      </c>
      <c r="C3627">
        <v>18</v>
      </c>
      <c r="D3627" t="s">
        <v>14</v>
      </c>
      <c r="E3627" t="s">
        <v>15</v>
      </c>
      <c r="F3627" t="s">
        <v>16</v>
      </c>
      <c r="H3627">
        <v>171</v>
      </c>
      <c r="I3627" s="13">
        <v>9</v>
      </c>
      <c r="J3627">
        <v>0</v>
      </c>
      <c r="K3627">
        <v>0</v>
      </c>
      <c r="L3627">
        <v>0</v>
      </c>
      <c r="M3627">
        <v>0</v>
      </c>
      <c r="O3627">
        <f t="shared" si="56"/>
        <v>5</v>
      </c>
    </row>
    <row r="3628" spans="1:15">
      <c r="A3628">
        <v>3020</v>
      </c>
      <c r="B3628" s="1">
        <v>45799</v>
      </c>
      <c r="C3628">
        <v>37</v>
      </c>
      <c r="D3628" t="s">
        <v>14</v>
      </c>
      <c r="E3628" t="s">
        <v>22</v>
      </c>
      <c r="F3628" t="s">
        <v>16</v>
      </c>
      <c r="H3628">
        <v>169.5</v>
      </c>
      <c r="I3628" s="13">
        <v>4</v>
      </c>
      <c r="J3628">
        <v>0</v>
      </c>
      <c r="K3628">
        <v>0</v>
      </c>
      <c r="L3628">
        <v>0</v>
      </c>
      <c r="M3628">
        <v>0</v>
      </c>
      <c r="O3628">
        <f t="shared" si="56"/>
        <v>5</v>
      </c>
    </row>
    <row r="3629" spans="1:15">
      <c r="A3629">
        <v>26</v>
      </c>
      <c r="B3629" s="1">
        <v>45799</v>
      </c>
      <c r="C3629">
        <v>18</v>
      </c>
      <c r="D3629" t="s">
        <v>14</v>
      </c>
      <c r="E3629" t="s">
        <v>20</v>
      </c>
      <c r="F3629" t="s">
        <v>21</v>
      </c>
      <c r="H3629">
        <v>154.6</v>
      </c>
      <c r="I3629" s="13">
        <v>10</v>
      </c>
      <c r="J3629">
        <v>0</v>
      </c>
      <c r="K3629">
        <v>0</v>
      </c>
      <c r="L3629">
        <v>0</v>
      </c>
      <c r="M3629">
        <v>0</v>
      </c>
      <c r="O3629">
        <f t="shared" si="56"/>
        <v>5</v>
      </c>
    </row>
    <row r="3630" spans="1:15">
      <c r="A3630">
        <v>3966</v>
      </c>
      <c r="B3630" s="1">
        <v>45799</v>
      </c>
      <c r="C3630">
        <v>47</v>
      </c>
      <c r="D3630" t="s">
        <v>17</v>
      </c>
      <c r="E3630" t="s">
        <v>15</v>
      </c>
      <c r="F3630" t="s">
        <v>23</v>
      </c>
      <c r="H3630">
        <v>82.1</v>
      </c>
      <c r="I3630" s="13">
        <v>8</v>
      </c>
      <c r="J3630">
        <v>0</v>
      </c>
      <c r="K3630">
        <v>0</v>
      </c>
      <c r="L3630">
        <v>0</v>
      </c>
      <c r="M3630">
        <v>0</v>
      </c>
      <c r="O3630">
        <f t="shared" si="56"/>
        <v>5</v>
      </c>
    </row>
    <row r="3631" spans="1:15">
      <c r="A3631">
        <v>2973</v>
      </c>
      <c r="B3631" s="1">
        <v>45799</v>
      </c>
      <c r="C3631">
        <v>44</v>
      </c>
      <c r="D3631" t="s">
        <v>17</v>
      </c>
      <c r="E3631" t="s">
        <v>24</v>
      </c>
      <c r="F3631" t="s">
        <v>16</v>
      </c>
      <c r="H3631">
        <v>77.8</v>
      </c>
      <c r="I3631" s="13">
        <v>6</v>
      </c>
      <c r="J3631">
        <v>0</v>
      </c>
      <c r="K3631">
        <v>0</v>
      </c>
      <c r="L3631">
        <v>0</v>
      </c>
      <c r="M3631">
        <v>0</v>
      </c>
      <c r="O3631">
        <f t="shared" si="56"/>
        <v>5</v>
      </c>
    </row>
    <row r="3632" spans="1:15">
      <c r="A3632">
        <v>4351</v>
      </c>
      <c r="B3632" s="1">
        <v>45799</v>
      </c>
      <c r="C3632">
        <v>58</v>
      </c>
      <c r="D3632" t="s">
        <v>14</v>
      </c>
      <c r="E3632" t="s">
        <v>22</v>
      </c>
      <c r="F3632" t="s">
        <v>18</v>
      </c>
      <c r="G3632" t="s">
        <v>19</v>
      </c>
      <c r="H3632">
        <v>14</v>
      </c>
      <c r="I3632" s="13">
        <v>8</v>
      </c>
      <c r="J3632">
        <v>0</v>
      </c>
      <c r="K3632">
        <v>0</v>
      </c>
      <c r="L3632">
        <v>0</v>
      </c>
      <c r="M3632">
        <v>0</v>
      </c>
      <c r="O3632">
        <f t="shared" si="56"/>
        <v>5</v>
      </c>
    </row>
    <row r="3633" spans="1:15">
      <c r="A3633">
        <v>4841</v>
      </c>
      <c r="B3633" s="1">
        <v>45830</v>
      </c>
      <c r="C3633">
        <v>62</v>
      </c>
      <c r="D3633" t="s">
        <v>17</v>
      </c>
      <c r="E3633" t="s">
        <v>22</v>
      </c>
      <c r="F3633" t="s">
        <v>18</v>
      </c>
      <c r="G3633" t="s">
        <v>31</v>
      </c>
      <c r="H3633">
        <v>531.5</v>
      </c>
      <c r="I3633" s="13">
        <v>8</v>
      </c>
      <c r="J3633">
        <v>1</v>
      </c>
      <c r="K3633">
        <v>127.3</v>
      </c>
      <c r="L3633">
        <v>3</v>
      </c>
      <c r="M3633">
        <v>8</v>
      </c>
      <c r="N3633">
        <v>5</v>
      </c>
      <c r="O3633">
        <f t="shared" si="56"/>
        <v>6</v>
      </c>
    </row>
    <row r="3634" spans="1:15">
      <c r="A3634">
        <v>1997</v>
      </c>
      <c r="B3634" s="1">
        <v>45830</v>
      </c>
      <c r="C3634">
        <v>45</v>
      </c>
      <c r="D3634" t="s">
        <v>17</v>
      </c>
      <c r="E3634" t="s">
        <v>22</v>
      </c>
      <c r="F3634" t="s">
        <v>18</v>
      </c>
      <c r="G3634" t="s">
        <v>30</v>
      </c>
      <c r="H3634">
        <v>410.3</v>
      </c>
      <c r="I3634" s="13">
        <v>6</v>
      </c>
      <c r="J3634">
        <v>1</v>
      </c>
      <c r="K3634">
        <v>55.22</v>
      </c>
      <c r="L3634">
        <v>3</v>
      </c>
      <c r="M3634">
        <v>10</v>
      </c>
      <c r="N3634">
        <v>5</v>
      </c>
      <c r="O3634">
        <f t="shared" si="56"/>
        <v>6</v>
      </c>
    </row>
    <row r="3635" spans="1:15">
      <c r="A3635">
        <v>2647</v>
      </c>
      <c r="B3635" s="1">
        <v>45830</v>
      </c>
      <c r="C3635">
        <v>28</v>
      </c>
      <c r="D3635" t="s">
        <v>17</v>
      </c>
      <c r="E3635" t="s">
        <v>22</v>
      </c>
      <c r="F3635" t="s">
        <v>18</v>
      </c>
      <c r="G3635" t="s">
        <v>31</v>
      </c>
      <c r="H3635">
        <v>890.3</v>
      </c>
      <c r="I3635" s="13">
        <v>3</v>
      </c>
      <c r="J3635">
        <v>0</v>
      </c>
      <c r="K3635">
        <v>0</v>
      </c>
      <c r="L3635">
        <v>0</v>
      </c>
      <c r="M3635">
        <v>0</v>
      </c>
      <c r="O3635">
        <f t="shared" si="56"/>
        <v>6</v>
      </c>
    </row>
    <row r="3636" spans="1:15">
      <c r="A3636">
        <v>844</v>
      </c>
      <c r="B3636" s="1">
        <v>45830</v>
      </c>
      <c r="C3636">
        <v>23</v>
      </c>
      <c r="D3636" t="s">
        <v>17</v>
      </c>
      <c r="E3636" t="s">
        <v>24</v>
      </c>
      <c r="F3636" t="s">
        <v>21</v>
      </c>
      <c r="H3636">
        <v>691.3</v>
      </c>
      <c r="I3636" s="13">
        <v>8</v>
      </c>
      <c r="J3636">
        <v>0</v>
      </c>
      <c r="K3636">
        <v>0</v>
      </c>
      <c r="L3636">
        <v>0</v>
      </c>
      <c r="M3636">
        <v>0</v>
      </c>
      <c r="O3636">
        <f t="shared" si="56"/>
        <v>6</v>
      </c>
    </row>
    <row r="3637" spans="1:15">
      <c r="A3637">
        <v>1757</v>
      </c>
      <c r="B3637" s="1">
        <v>45830</v>
      </c>
      <c r="C3637">
        <v>34</v>
      </c>
      <c r="D3637" t="s">
        <v>17</v>
      </c>
      <c r="E3637" t="s">
        <v>20</v>
      </c>
      <c r="F3637" t="s">
        <v>23</v>
      </c>
      <c r="H3637">
        <v>631.1</v>
      </c>
      <c r="I3637" s="13">
        <v>8</v>
      </c>
      <c r="J3637">
        <v>0</v>
      </c>
      <c r="K3637">
        <v>0</v>
      </c>
      <c r="L3637">
        <v>0</v>
      </c>
      <c r="M3637">
        <v>0</v>
      </c>
      <c r="O3637">
        <f t="shared" si="56"/>
        <v>6</v>
      </c>
    </row>
    <row r="3638" spans="1:15">
      <c r="A3638">
        <v>4609</v>
      </c>
      <c r="B3638" s="1">
        <v>45830</v>
      </c>
      <c r="C3638">
        <v>37</v>
      </c>
      <c r="D3638" t="s">
        <v>14</v>
      </c>
      <c r="E3638" t="s">
        <v>22</v>
      </c>
      <c r="F3638" t="s">
        <v>16</v>
      </c>
      <c r="H3638">
        <v>601</v>
      </c>
      <c r="I3638" s="13">
        <v>5</v>
      </c>
      <c r="J3638">
        <v>0</v>
      </c>
      <c r="K3638">
        <v>0</v>
      </c>
      <c r="L3638">
        <v>0</v>
      </c>
      <c r="M3638">
        <v>0</v>
      </c>
      <c r="O3638">
        <f t="shared" si="56"/>
        <v>6</v>
      </c>
    </row>
    <row r="3639" spans="1:15">
      <c r="A3639">
        <v>1624</v>
      </c>
      <c r="B3639" s="1">
        <v>45830</v>
      </c>
      <c r="C3639">
        <v>28</v>
      </c>
      <c r="D3639" t="s">
        <v>14</v>
      </c>
      <c r="E3639" t="s">
        <v>15</v>
      </c>
      <c r="F3639" t="s">
        <v>23</v>
      </c>
      <c r="H3639">
        <v>404.2</v>
      </c>
      <c r="I3639" s="13">
        <v>5</v>
      </c>
      <c r="J3639">
        <v>0</v>
      </c>
      <c r="K3639">
        <v>0</v>
      </c>
      <c r="L3639">
        <v>0</v>
      </c>
      <c r="M3639">
        <v>0</v>
      </c>
      <c r="O3639">
        <f t="shared" si="56"/>
        <v>6</v>
      </c>
    </row>
    <row r="3640" spans="1:15">
      <c r="A3640">
        <v>4354</v>
      </c>
      <c r="B3640" s="1">
        <v>45830</v>
      </c>
      <c r="C3640">
        <v>60</v>
      </c>
      <c r="D3640" t="s">
        <v>17</v>
      </c>
      <c r="E3640" t="s">
        <v>20</v>
      </c>
      <c r="F3640" t="s">
        <v>23</v>
      </c>
      <c r="H3640">
        <v>358.9</v>
      </c>
      <c r="I3640" s="13">
        <v>4</v>
      </c>
      <c r="J3640">
        <v>0</v>
      </c>
      <c r="K3640">
        <v>0</v>
      </c>
      <c r="L3640">
        <v>0</v>
      </c>
      <c r="M3640">
        <v>0</v>
      </c>
      <c r="O3640">
        <f t="shared" si="56"/>
        <v>6</v>
      </c>
    </row>
    <row r="3641" spans="1:15">
      <c r="A3641">
        <v>2804</v>
      </c>
      <c r="B3641" s="1">
        <v>45830</v>
      </c>
      <c r="C3641">
        <v>28</v>
      </c>
      <c r="D3641" t="s">
        <v>17</v>
      </c>
      <c r="E3641" t="s">
        <v>22</v>
      </c>
      <c r="F3641" t="s">
        <v>18</v>
      </c>
      <c r="G3641" t="s">
        <v>31</v>
      </c>
      <c r="H3641">
        <v>348.3</v>
      </c>
      <c r="I3641" s="13">
        <v>8</v>
      </c>
      <c r="J3641">
        <v>0</v>
      </c>
      <c r="K3641">
        <v>0</v>
      </c>
      <c r="L3641">
        <v>0</v>
      </c>
      <c r="M3641">
        <v>0</v>
      </c>
      <c r="O3641">
        <f t="shared" si="56"/>
        <v>6</v>
      </c>
    </row>
    <row r="3642" spans="1:15">
      <c r="A3642">
        <v>1801</v>
      </c>
      <c r="B3642" s="1">
        <v>45830</v>
      </c>
      <c r="C3642">
        <v>35</v>
      </c>
      <c r="D3642" t="s">
        <v>14</v>
      </c>
      <c r="E3642" t="s">
        <v>22</v>
      </c>
      <c r="F3642" t="s">
        <v>16</v>
      </c>
      <c r="H3642">
        <v>338.2</v>
      </c>
      <c r="I3642" s="13">
        <v>7</v>
      </c>
      <c r="J3642">
        <v>0</v>
      </c>
      <c r="K3642">
        <v>0</v>
      </c>
      <c r="L3642">
        <v>0</v>
      </c>
      <c r="M3642">
        <v>0</v>
      </c>
      <c r="O3642">
        <f t="shared" si="56"/>
        <v>6</v>
      </c>
    </row>
    <row r="3643" spans="1:15">
      <c r="A3643">
        <v>3477</v>
      </c>
      <c r="B3643" s="1">
        <v>45830</v>
      </c>
      <c r="C3643">
        <v>35</v>
      </c>
      <c r="D3643" t="s">
        <v>14</v>
      </c>
      <c r="E3643" t="s">
        <v>24</v>
      </c>
      <c r="F3643" t="s">
        <v>18</v>
      </c>
      <c r="G3643" t="s">
        <v>26</v>
      </c>
      <c r="H3643">
        <v>333</v>
      </c>
      <c r="I3643" s="13">
        <v>6</v>
      </c>
      <c r="J3643">
        <v>0</v>
      </c>
      <c r="K3643">
        <v>0</v>
      </c>
      <c r="L3643">
        <v>0</v>
      </c>
      <c r="M3643">
        <v>0</v>
      </c>
      <c r="O3643">
        <f t="shared" si="56"/>
        <v>6</v>
      </c>
    </row>
    <row r="3644" spans="1:15">
      <c r="A3644">
        <v>4159</v>
      </c>
      <c r="B3644" s="1">
        <v>45830</v>
      </c>
      <c r="C3644">
        <v>26</v>
      </c>
      <c r="D3644" t="s">
        <v>17</v>
      </c>
      <c r="E3644" t="s">
        <v>24</v>
      </c>
      <c r="F3644" t="s">
        <v>16</v>
      </c>
      <c r="H3644">
        <v>312.2</v>
      </c>
      <c r="I3644" s="13">
        <v>4</v>
      </c>
      <c r="J3644">
        <v>0</v>
      </c>
      <c r="K3644">
        <v>0</v>
      </c>
      <c r="L3644">
        <v>0</v>
      </c>
      <c r="M3644">
        <v>0</v>
      </c>
      <c r="O3644">
        <f t="shared" si="56"/>
        <v>6</v>
      </c>
    </row>
    <row r="3645" spans="1:15">
      <c r="A3645">
        <v>2504</v>
      </c>
      <c r="B3645" s="1">
        <v>45830</v>
      </c>
      <c r="C3645">
        <v>28</v>
      </c>
      <c r="D3645" t="s">
        <v>14</v>
      </c>
      <c r="E3645" t="s">
        <v>22</v>
      </c>
      <c r="F3645" t="s">
        <v>23</v>
      </c>
      <c r="H3645">
        <v>311.3</v>
      </c>
      <c r="I3645" s="13">
        <v>6</v>
      </c>
      <c r="J3645">
        <v>0</v>
      </c>
      <c r="K3645">
        <v>0</v>
      </c>
      <c r="L3645">
        <v>0</v>
      </c>
      <c r="M3645">
        <v>0</v>
      </c>
      <c r="O3645">
        <f t="shared" si="56"/>
        <v>6</v>
      </c>
    </row>
    <row r="3646" spans="1:15">
      <c r="A3646">
        <v>4387</v>
      </c>
      <c r="B3646" s="1">
        <v>45830</v>
      </c>
      <c r="C3646">
        <v>51</v>
      </c>
      <c r="D3646" t="s">
        <v>17</v>
      </c>
      <c r="E3646" t="s">
        <v>22</v>
      </c>
      <c r="F3646" t="s">
        <v>16</v>
      </c>
      <c r="H3646">
        <v>278.8</v>
      </c>
      <c r="I3646" s="13">
        <v>3</v>
      </c>
      <c r="J3646">
        <v>0</v>
      </c>
      <c r="K3646">
        <v>0</v>
      </c>
      <c r="L3646">
        <v>0</v>
      </c>
      <c r="M3646">
        <v>0</v>
      </c>
      <c r="O3646">
        <f t="shared" si="56"/>
        <v>6</v>
      </c>
    </row>
    <row r="3647" spans="1:15">
      <c r="A3647">
        <v>2734</v>
      </c>
      <c r="B3647" s="1">
        <v>45830</v>
      </c>
      <c r="C3647">
        <v>41</v>
      </c>
      <c r="D3647" t="s">
        <v>17</v>
      </c>
      <c r="E3647" t="s">
        <v>24</v>
      </c>
      <c r="F3647" t="s">
        <v>21</v>
      </c>
      <c r="H3647">
        <v>259.60000000000002</v>
      </c>
      <c r="I3647" s="13">
        <v>5</v>
      </c>
      <c r="J3647">
        <v>0</v>
      </c>
      <c r="K3647">
        <v>0</v>
      </c>
      <c r="L3647">
        <v>0</v>
      </c>
      <c r="M3647">
        <v>0</v>
      </c>
      <c r="O3647">
        <f t="shared" si="56"/>
        <v>6</v>
      </c>
    </row>
    <row r="3648" spans="1:15">
      <c r="A3648">
        <v>2528</v>
      </c>
      <c r="B3648" s="1">
        <v>45830</v>
      </c>
      <c r="C3648">
        <v>30</v>
      </c>
      <c r="D3648" t="s">
        <v>14</v>
      </c>
      <c r="E3648" t="s">
        <v>22</v>
      </c>
      <c r="F3648" t="s">
        <v>16</v>
      </c>
      <c r="H3648">
        <v>258.3</v>
      </c>
      <c r="I3648" s="13">
        <v>11</v>
      </c>
      <c r="J3648">
        <v>0</v>
      </c>
      <c r="K3648">
        <v>0</v>
      </c>
      <c r="L3648">
        <v>0</v>
      </c>
      <c r="M3648">
        <v>0</v>
      </c>
      <c r="O3648">
        <f t="shared" si="56"/>
        <v>6</v>
      </c>
    </row>
    <row r="3649" spans="1:15">
      <c r="A3649">
        <v>4969</v>
      </c>
      <c r="B3649" s="1">
        <v>45830</v>
      </c>
      <c r="C3649">
        <v>41</v>
      </c>
      <c r="D3649" t="s">
        <v>14</v>
      </c>
      <c r="E3649" t="s">
        <v>24</v>
      </c>
      <c r="F3649" t="s">
        <v>23</v>
      </c>
      <c r="H3649">
        <v>236.3</v>
      </c>
      <c r="I3649" s="13">
        <v>3</v>
      </c>
      <c r="J3649">
        <v>0</v>
      </c>
      <c r="K3649">
        <v>0</v>
      </c>
      <c r="L3649">
        <v>0</v>
      </c>
      <c r="M3649">
        <v>0</v>
      </c>
      <c r="O3649">
        <f t="shared" si="56"/>
        <v>6</v>
      </c>
    </row>
    <row r="3650" spans="1:15">
      <c r="A3650">
        <v>2428</v>
      </c>
      <c r="B3650" s="1">
        <v>45830</v>
      </c>
      <c r="C3650">
        <v>32</v>
      </c>
      <c r="D3650" t="s">
        <v>14</v>
      </c>
      <c r="E3650" t="s">
        <v>22</v>
      </c>
      <c r="F3650" t="s">
        <v>18</v>
      </c>
      <c r="G3650" t="s">
        <v>31</v>
      </c>
      <c r="H3650">
        <v>193.4</v>
      </c>
      <c r="I3650" s="13">
        <v>11</v>
      </c>
      <c r="J3650">
        <v>0</v>
      </c>
      <c r="K3650">
        <v>0</v>
      </c>
      <c r="L3650">
        <v>0</v>
      </c>
      <c r="M3650">
        <v>0</v>
      </c>
      <c r="O3650">
        <f t="shared" si="56"/>
        <v>6</v>
      </c>
    </row>
    <row r="3651" spans="1:15">
      <c r="A3651">
        <v>3238</v>
      </c>
      <c r="B3651" s="1">
        <v>45830</v>
      </c>
      <c r="C3651">
        <v>29</v>
      </c>
      <c r="D3651" t="s">
        <v>14</v>
      </c>
      <c r="E3651" t="s">
        <v>15</v>
      </c>
      <c r="F3651" t="s">
        <v>18</v>
      </c>
      <c r="G3651" t="s">
        <v>25</v>
      </c>
      <c r="H3651">
        <v>171.8</v>
      </c>
      <c r="I3651" s="13">
        <v>2</v>
      </c>
      <c r="J3651">
        <v>0</v>
      </c>
      <c r="K3651">
        <v>0</v>
      </c>
      <c r="L3651">
        <v>0</v>
      </c>
      <c r="M3651">
        <v>0</v>
      </c>
      <c r="O3651">
        <f t="shared" ref="O3651:O3714" si="57">MONTH(B3651)</f>
        <v>6</v>
      </c>
    </row>
    <row r="3652" spans="1:15">
      <c r="A3652">
        <v>3092</v>
      </c>
      <c r="B3652" s="1">
        <v>45830</v>
      </c>
      <c r="C3652">
        <v>27</v>
      </c>
      <c r="D3652" t="s">
        <v>14</v>
      </c>
      <c r="E3652" t="s">
        <v>15</v>
      </c>
      <c r="F3652" t="s">
        <v>18</v>
      </c>
      <c r="G3652" t="s">
        <v>28</v>
      </c>
      <c r="H3652">
        <v>169.9</v>
      </c>
      <c r="I3652" s="13">
        <v>6</v>
      </c>
      <c r="J3652">
        <v>0</v>
      </c>
      <c r="K3652">
        <v>0</v>
      </c>
      <c r="L3652">
        <v>0</v>
      </c>
      <c r="M3652">
        <v>0</v>
      </c>
      <c r="O3652">
        <f t="shared" si="57"/>
        <v>6</v>
      </c>
    </row>
    <row r="3653" spans="1:15">
      <c r="A3653">
        <v>2787</v>
      </c>
      <c r="B3653" s="1">
        <v>45830</v>
      </c>
      <c r="C3653">
        <v>27</v>
      </c>
      <c r="D3653" t="s">
        <v>17</v>
      </c>
      <c r="E3653" t="s">
        <v>24</v>
      </c>
      <c r="F3653" t="s">
        <v>16</v>
      </c>
      <c r="H3653">
        <v>167.1</v>
      </c>
      <c r="I3653" s="13">
        <v>4</v>
      </c>
      <c r="J3653">
        <v>0</v>
      </c>
      <c r="K3653">
        <v>0</v>
      </c>
      <c r="L3653">
        <v>0</v>
      </c>
      <c r="M3653">
        <v>0</v>
      </c>
      <c r="O3653">
        <f t="shared" si="57"/>
        <v>6</v>
      </c>
    </row>
    <row r="3654" spans="1:15">
      <c r="A3654">
        <v>1122</v>
      </c>
      <c r="B3654" s="1">
        <v>45830</v>
      </c>
      <c r="C3654">
        <v>18</v>
      </c>
      <c r="D3654" t="s">
        <v>14</v>
      </c>
      <c r="E3654" t="s">
        <v>20</v>
      </c>
      <c r="F3654" t="s">
        <v>18</v>
      </c>
      <c r="G3654" t="s">
        <v>28</v>
      </c>
      <c r="H3654">
        <v>148</v>
      </c>
      <c r="I3654" s="13">
        <v>5</v>
      </c>
      <c r="J3654">
        <v>0</v>
      </c>
      <c r="K3654">
        <v>0</v>
      </c>
      <c r="L3654">
        <v>0</v>
      </c>
      <c r="M3654">
        <v>0</v>
      </c>
      <c r="O3654">
        <f t="shared" si="57"/>
        <v>6</v>
      </c>
    </row>
    <row r="3655" spans="1:15">
      <c r="A3655">
        <v>1907</v>
      </c>
      <c r="B3655" s="1">
        <v>45830</v>
      </c>
      <c r="C3655">
        <v>28</v>
      </c>
      <c r="D3655" t="s">
        <v>14</v>
      </c>
      <c r="E3655" t="s">
        <v>22</v>
      </c>
      <c r="F3655" t="s">
        <v>16</v>
      </c>
      <c r="H3655">
        <v>140.5</v>
      </c>
      <c r="I3655" s="13">
        <v>7</v>
      </c>
      <c r="J3655">
        <v>0</v>
      </c>
      <c r="K3655">
        <v>0</v>
      </c>
      <c r="L3655">
        <v>0</v>
      </c>
      <c r="M3655">
        <v>0</v>
      </c>
      <c r="O3655">
        <f t="shared" si="57"/>
        <v>6</v>
      </c>
    </row>
    <row r="3656" spans="1:15">
      <c r="A3656">
        <v>4422</v>
      </c>
      <c r="B3656" s="1">
        <v>45830</v>
      </c>
      <c r="C3656">
        <v>46</v>
      </c>
      <c r="D3656" t="s">
        <v>17</v>
      </c>
      <c r="E3656" t="s">
        <v>24</v>
      </c>
      <c r="F3656" t="s">
        <v>16</v>
      </c>
      <c r="H3656">
        <v>107.4</v>
      </c>
      <c r="I3656" s="13">
        <v>8</v>
      </c>
      <c r="J3656">
        <v>0</v>
      </c>
      <c r="K3656">
        <v>0</v>
      </c>
      <c r="L3656">
        <v>0</v>
      </c>
      <c r="M3656">
        <v>0</v>
      </c>
      <c r="O3656">
        <f t="shared" si="57"/>
        <v>6</v>
      </c>
    </row>
    <row r="3657" spans="1:15">
      <c r="A3657">
        <v>3883</v>
      </c>
      <c r="B3657" s="1">
        <v>45830</v>
      </c>
      <c r="C3657">
        <v>60</v>
      </c>
      <c r="D3657" t="s">
        <v>17</v>
      </c>
      <c r="E3657" t="s">
        <v>24</v>
      </c>
      <c r="F3657" t="s">
        <v>18</v>
      </c>
      <c r="G3657" t="s">
        <v>25</v>
      </c>
      <c r="H3657">
        <v>79.5</v>
      </c>
      <c r="I3657" s="13">
        <v>5</v>
      </c>
      <c r="J3657">
        <v>0</v>
      </c>
      <c r="K3657">
        <v>0</v>
      </c>
      <c r="L3657">
        <v>0</v>
      </c>
      <c r="M3657">
        <v>0</v>
      </c>
      <c r="O3657">
        <f t="shared" si="57"/>
        <v>6</v>
      </c>
    </row>
    <row r="3658" spans="1:15">
      <c r="A3658">
        <v>2766</v>
      </c>
      <c r="B3658" s="1">
        <v>45830</v>
      </c>
      <c r="C3658">
        <v>35</v>
      </c>
      <c r="D3658" t="s">
        <v>14</v>
      </c>
      <c r="E3658" t="s">
        <v>24</v>
      </c>
      <c r="F3658" t="s">
        <v>23</v>
      </c>
      <c r="H3658">
        <v>79.2</v>
      </c>
      <c r="I3658" s="13">
        <v>9</v>
      </c>
      <c r="J3658">
        <v>0</v>
      </c>
      <c r="K3658">
        <v>0</v>
      </c>
      <c r="L3658">
        <v>0</v>
      </c>
      <c r="M3658">
        <v>0</v>
      </c>
      <c r="O3658">
        <f t="shared" si="57"/>
        <v>6</v>
      </c>
    </row>
    <row r="3659" spans="1:15">
      <c r="A3659">
        <v>719</v>
      </c>
      <c r="B3659" s="1">
        <v>45680</v>
      </c>
      <c r="C3659">
        <v>32</v>
      </c>
      <c r="D3659" t="s">
        <v>17</v>
      </c>
      <c r="E3659" t="s">
        <v>22</v>
      </c>
      <c r="F3659" t="s">
        <v>18</v>
      </c>
      <c r="G3659" t="s">
        <v>28</v>
      </c>
      <c r="H3659">
        <v>729.6</v>
      </c>
      <c r="I3659" s="13">
        <v>4</v>
      </c>
      <c r="J3659">
        <v>1</v>
      </c>
      <c r="K3659">
        <v>347</v>
      </c>
      <c r="L3659">
        <v>2</v>
      </c>
      <c r="M3659">
        <v>6</v>
      </c>
      <c r="N3659">
        <v>4</v>
      </c>
      <c r="O3659">
        <f t="shared" si="57"/>
        <v>1</v>
      </c>
    </row>
    <row r="3660" spans="1:15">
      <c r="A3660">
        <v>4799</v>
      </c>
      <c r="B3660" s="1">
        <v>45680</v>
      </c>
      <c r="C3660">
        <v>42</v>
      </c>
      <c r="D3660" t="s">
        <v>17</v>
      </c>
      <c r="E3660" t="s">
        <v>15</v>
      </c>
      <c r="F3660" t="s">
        <v>18</v>
      </c>
      <c r="G3660" t="s">
        <v>30</v>
      </c>
      <c r="H3660">
        <v>848.4</v>
      </c>
      <c r="I3660" s="13">
        <v>9</v>
      </c>
      <c r="J3660">
        <v>1</v>
      </c>
      <c r="K3660">
        <v>88</v>
      </c>
      <c r="L3660">
        <v>4</v>
      </c>
      <c r="M3660">
        <v>6</v>
      </c>
      <c r="N3660">
        <v>5</v>
      </c>
      <c r="O3660">
        <f t="shared" si="57"/>
        <v>1</v>
      </c>
    </row>
    <row r="3661" spans="1:15">
      <c r="A3661">
        <v>2703</v>
      </c>
      <c r="B3661" s="1">
        <v>45680</v>
      </c>
      <c r="C3661">
        <v>27</v>
      </c>
      <c r="D3661" t="s">
        <v>17</v>
      </c>
      <c r="E3661" t="s">
        <v>15</v>
      </c>
      <c r="F3661" t="s">
        <v>16</v>
      </c>
      <c r="H3661">
        <v>179.9</v>
      </c>
      <c r="I3661" s="13">
        <v>7</v>
      </c>
      <c r="J3661">
        <v>1</v>
      </c>
      <c r="K3661">
        <v>60.14</v>
      </c>
      <c r="L3661">
        <v>3</v>
      </c>
      <c r="M3661">
        <v>12</v>
      </c>
      <c r="N3661">
        <v>4</v>
      </c>
      <c r="O3661">
        <f t="shared" si="57"/>
        <v>1</v>
      </c>
    </row>
    <row r="3662" spans="1:15">
      <c r="A3662">
        <v>295</v>
      </c>
      <c r="B3662" s="1">
        <v>45680</v>
      </c>
      <c r="C3662">
        <v>32</v>
      </c>
      <c r="D3662" t="s">
        <v>14</v>
      </c>
      <c r="E3662" t="s">
        <v>20</v>
      </c>
      <c r="F3662" t="s">
        <v>16</v>
      </c>
      <c r="H3662">
        <v>449.2</v>
      </c>
      <c r="I3662" s="13">
        <v>9</v>
      </c>
      <c r="J3662">
        <v>1</v>
      </c>
      <c r="K3662">
        <v>53.06</v>
      </c>
      <c r="L3662">
        <v>3</v>
      </c>
      <c r="M3662">
        <v>10</v>
      </c>
      <c r="N3662">
        <v>4</v>
      </c>
      <c r="O3662">
        <f t="shared" si="57"/>
        <v>1</v>
      </c>
    </row>
    <row r="3663" spans="1:15">
      <c r="A3663">
        <v>4313</v>
      </c>
      <c r="B3663" s="1">
        <v>45680</v>
      </c>
      <c r="C3663">
        <v>51</v>
      </c>
      <c r="D3663" t="s">
        <v>14</v>
      </c>
      <c r="E3663" t="s">
        <v>20</v>
      </c>
      <c r="F3663" t="s">
        <v>18</v>
      </c>
      <c r="G3663" t="s">
        <v>31</v>
      </c>
      <c r="H3663">
        <v>41.6</v>
      </c>
      <c r="I3663" s="13">
        <v>6</v>
      </c>
      <c r="J3663">
        <v>1</v>
      </c>
      <c r="K3663">
        <v>49.1</v>
      </c>
      <c r="L3663">
        <v>2</v>
      </c>
      <c r="M3663">
        <v>13</v>
      </c>
      <c r="N3663">
        <v>3</v>
      </c>
      <c r="O3663">
        <f t="shared" si="57"/>
        <v>1</v>
      </c>
    </row>
    <row r="3664" spans="1:15">
      <c r="A3664">
        <v>813</v>
      </c>
      <c r="B3664" s="1">
        <v>45680</v>
      </c>
      <c r="C3664">
        <v>22</v>
      </c>
      <c r="D3664" t="s">
        <v>14</v>
      </c>
      <c r="E3664" t="s">
        <v>24</v>
      </c>
      <c r="F3664" t="s">
        <v>16</v>
      </c>
      <c r="H3664">
        <v>343</v>
      </c>
      <c r="I3664" s="13">
        <v>4</v>
      </c>
      <c r="J3664">
        <v>1</v>
      </c>
      <c r="K3664">
        <v>44.63</v>
      </c>
      <c r="L3664">
        <v>4</v>
      </c>
      <c r="M3664">
        <v>12</v>
      </c>
      <c r="N3664">
        <v>5</v>
      </c>
      <c r="O3664">
        <f t="shared" si="57"/>
        <v>1</v>
      </c>
    </row>
    <row r="3665" spans="1:15">
      <c r="A3665">
        <v>1647</v>
      </c>
      <c r="B3665" s="1">
        <v>45680</v>
      </c>
      <c r="C3665">
        <v>31</v>
      </c>
      <c r="D3665" t="s">
        <v>17</v>
      </c>
      <c r="E3665" t="s">
        <v>15</v>
      </c>
      <c r="F3665" t="s">
        <v>16</v>
      </c>
      <c r="H3665">
        <v>284.60000000000002</v>
      </c>
      <c r="I3665" s="13">
        <v>5</v>
      </c>
      <c r="J3665">
        <v>1</v>
      </c>
      <c r="K3665">
        <v>33.65</v>
      </c>
      <c r="L3665">
        <v>2</v>
      </c>
      <c r="M3665">
        <v>9</v>
      </c>
      <c r="N3665">
        <v>3</v>
      </c>
      <c r="O3665">
        <f t="shared" si="57"/>
        <v>1</v>
      </c>
    </row>
    <row r="3666" spans="1:15">
      <c r="A3666">
        <v>656</v>
      </c>
      <c r="B3666" s="1">
        <v>45680</v>
      </c>
      <c r="C3666">
        <v>31</v>
      </c>
      <c r="D3666" t="s">
        <v>17</v>
      </c>
      <c r="E3666" t="s">
        <v>24</v>
      </c>
      <c r="F3666" t="s">
        <v>16</v>
      </c>
      <c r="H3666">
        <v>637.6</v>
      </c>
      <c r="I3666" s="13">
        <v>2</v>
      </c>
      <c r="J3666">
        <v>1</v>
      </c>
      <c r="K3666">
        <v>24.34</v>
      </c>
      <c r="L3666">
        <v>1</v>
      </c>
      <c r="M3666">
        <v>4</v>
      </c>
      <c r="N3666">
        <v>5</v>
      </c>
      <c r="O3666">
        <f t="shared" si="57"/>
        <v>1</v>
      </c>
    </row>
    <row r="3667" spans="1:15">
      <c r="A3667">
        <v>4067</v>
      </c>
      <c r="B3667" s="1">
        <v>45680</v>
      </c>
      <c r="C3667">
        <v>47</v>
      </c>
      <c r="D3667" t="s">
        <v>14</v>
      </c>
      <c r="E3667" t="s">
        <v>24</v>
      </c>
      <c r="F3667" t="s">
        <v>18</v>
      </c>
      <c r="G3667" t="s">
        <v>28</v>
      </c>
      <c r="H3667">
        <v>147.1</v>
      </c>
      <c r="I3667" s="13">
        <v>5</v>
      </c>
      <c r="J3667">
        <v>1</v>
      </c>
      <c r="K3667">
        <v>22.35</v>
      </c>
      <c r="L3667">
        <v>2</v>
      </c>
      <c r="M3667">
        <v>7</v>
      </c>
      <c r="N3667">
        <v>4</v>
      </c>
      <c r="O3667">
        <f t="shared" si="57"/>
        <v>1</v>
      </c>
    </row>
    <row r="3668" spans="1:15">
      <c r="A3668">
        <v>2367</v>
      </c>
      <c r="B3668" s="1">
        <v>45680</v>
      </c>
      <c r="C3668">
        <v>34</v>
      </c>
      <c r="D3668" t="s">
        <v>14</v>
      </c>
      <c r="E3668" t="s">
        <v>15</v>
      </c>
      <c r="F3668" t="s">
        <v>16</v>
      </c>
      <c r="H3668">
        <v>427.7</v>
      </c>
      <c r="I3668" s="13">
        <v>9</v>
      </c>
      <c r="J3668">
        <v>0</v>
      </c>
      <c r="K3668">
        <v>0</v>
      </c>
      <c r="L3668">
        <v>0</v>
      </c>
      <c r="M3668">
        <v>0</v>
      </c>
      <c r="O3668">
        <f t="shared" si="57"/>
        <v>1</v>
      </c>
    </row>
    <row r="3669" spans="1:15">
      <c r="A3669">
        <v>4903</v>
      </c>
      <c r="B3669" s="1">
        <v>45680</v>
      </c>
      <c r="C3669">
        <v>54</v>
      </c>
      <c r="D3669" t="s">
        <v>14</v>
      </c>
      <c r="E3669" t="s">
        <v>15</v>
      </c>
      <c r="F3669" t="s">
        <v>16</v>
      </c>
      <c r="H3669">
        <v>379.2</v>
      </c>
      <c r="I3669" s="13">
        <v>9</v>
      </c>
      <c r="J3669">
        <v>0</v>
      </c>
      <c r="K3669">
        <v>0</v>
      </c>
      <c r="L3669">
        <v>0</v>
      </c>
      <c r="M3669">
        <v>0</v>
      </c>
      <c r="O3669">
        <f t="shared" si="57"/>
        <v>1</v>
      </c>
    </row>
    <row r="3670" spans="1:15">
      <c r="A3670">
        <v>2687</v>
      </c>
      <c r="B3670" s="1">
        <v>45680</v>
      </c>
      <c r="C3670">
        <v>30</v>
      </c>
      <c r="D3670" t="s">
        <v>17</v>
      </c>
      <c r="E3670" t="s">
        <v>20</v>
      </c>
      <c r="F3670" t="s">
        <v>16</v>
      </c>
      <c r="H3670">
        <v>340.9</v>
      </c>
      <c r="I3670" s="13">
        <v>8</v>
      </c>
      <c r="J3670">
        <v>0</v>
      </c>
      <c r="K3670">
        <v>0</v>
      </c>
      <c r="L3670">
        <v>0</v>
      </c>
      <c r="M3670">
        <v>0</v>
      </c>
      <c r="O3670">
        <f t="shared" si="57"/>
        <v>1</v>
      </c>
    </row>
    <row r="3671" spans="1:15">
      <c r="A3671">
        <v>4801</v>
      </c>
      <c r="B3671" s="1">
        <v>45680</v>
      </c>
      <c r="C3671">
        <v>51</v>
      </c>
      <c r="D3671" t="s">
        <v>14</v>
      </c>
      <c r="E3671" t="s">
        <v>22</v>
      </c>
      <c r="F3671" t="s">
        <v>18</v>
      </c>
      <c r="G3671" t="s">
        <v>31</v>
      </c>
      <c r="H3671">
        <v>306.60000000000002</v>
      </c>
      <c r="I3671" s="13">
        <v>8</v>
      </c>
      <c r="J3671">
        <v>0</v>
      </c>
      <c r="K3671">
        <v>0</v>
      </c>
      <c r="L3671">
        <v>0</v>
      </c>
      <c r="M3671">
        <v>0</v>
      </c>
      <c r="O3671">
        <f t="shared" si="57"/>
        <v>1</v>
      </c>
    </row>
    <row r="3672" spans="1:15">
      <c r="A3672">
        <v>2479</v>
      </c>
      <c r="B3672" s="1">
        <v>45680</v>
      </c>
      <c r="C3672">
        <v>26</v>
      </c>
      <c r="D3672" t="s">
        <v>17</v>
      </c>
      <c r="E3672" t="s">
        <v>22</v>
      </c>
      <c r="F3672" t="s">
        <v>16</v>
      </c>
      <c r="H3672">
        <v>265.7</v>
      </c>
      <c r="I3672" s="13">
        <v>10</v>
      </c>
      <c r="J3672">
        <v>0</v>
      </c>
      <c r="K3672">
        <v>0</v>
      </c>
      <c r="L3672">
        <v>0</v>
      </c>
      <c r="M3672">
        <v>0</v>
      </c>
      <c r="O3672">
        <f t="shared" si="57"/>
        <v>1</v>
      </c>
    </row>
    <row r="3673" spans="1:15">
      <c r="A3673">
        <v>4401</v>
      </c>
      <c r="B3673" s="1">
        <v>45680</v>
      </c>
      <c r="C3673">
        <v>76</v>
      </c>
      <c r="D3673" t="s">
        <v>17</v>
      </c>
      <c r="E3673" t="s">
        <v>24</v>
      </c>
      <c r="F3673" t="s">
        <v>16</v>
      </c>
      <c r="H3673">
        <v>234.3</v>
      </c>
      <c r="I3673" s="13">
        <v>3</v>
      </c>
      <c r="J3673">
        <v>0</v>
      </c>
      <c r="K3673">
        <v>0</v>
      </c>
      <c r="L3673">
        <v>0</v>
      </c>
      <c r="M3673">
        <v>0</v>
      </c>
      <c r="O3673">
        <f t="shared" si="57"/>
        <v>1</v>
      </c>
    </row>
    <row r="3674" spans="1:15">
      <c r="A3674">
        <v>2581</v>
      </c>
      <c r="B3674" s="1">
        <v>45680</v>
      </c>
      <c r="C3674">
        <v>32</v>
      </c>
      <c r="D3674" t="s">
        <v>17</v>
      </c>
      <c r="E3674" t="s">
        <v>24</v>
      </c>
      <c r="F3674" t="s">
        <v>16</v>
      </c>
      <c r="H3674">
        <v>230.7</v>
      </c>
      <c r="I3674" s="13">
        <v>4</v>
      </c>
      <c r="J3674">
        <v>0</v>
      </c>
      <c r="K3674">
        <v>0</v>
      </c>
      <c r="L3674">
        <v>0</v>
      </c>
      <c r="M3674">
        <v>0</v>
      </c>
      <c r="O3674">
        <f t="shared" si="57"/>
        <v>1</v>
      </c>
    </row>
    <row r="3675" spans="1:15">
      <c r="A3675">
        <v>3589</v>
      </c>
      <c r="B3675" s="1">
        <v>45680</v>
      </c>
      <c r="C3675">
        <v>45</v>
      </c>
      <c r="D3675" t="s">
        <v>14</v>
      </c>
      <c r="E3675" t="s">
        <v>22</v>
      </c>
      <c r="F3675" t="s">
        <v>18</v>
      </c>
      <c r="G3675" t="s">
        <v>30</v>
      </c>
      <c r="H3675">
        <v>207.1</v>
      </c>
      <c r="I3675" s="13">
        <v>4</v>
      </c>
      <c r="J3675">
        <v>0</v>
      </c>
      <c r="K3675">
        <v>0</v>
      </c>
      <c r="L3675">
        <v>0</v>
      </c>
      <c r="M3675">
        <v>0</v>
      </c>
      <c r="O3675">
        <f t="shared" si="57"/>
        <v>1</v>
      </c>
    </row>
    <row r="3676" spans="1:15">
      <c r="A3676">
        <v>1254</v>
      </c>
      <c r="B3676" s="1">
        <v>45680</v>
      </c>
      <c r="C3676">
        <v>23</v>
      </c>
      <c r="D3676" t="s">
        <v>14</v>
      </c>
      <c r="E3676" t="s">
        <v>22</v>
      </c>
      <c r="F3676" t="s">
        <v>16</v>
      </c>
      <c r="H3676">
        <v>196.8</v>
      </c>
      <c r="I3676" s="13">
        <v>8</v>
      </c>
      <c r="J3676">
        <v>0</v>
      </c>
      <c r="K3676">
        <v>0</v>
      </c>
      <c r="L3676">
        <v>0</v>
      </c>
      <c r="M3676">
        <v>0</v>
      </c>
      <c r="O3676">
        <f t="shared" si="57"/>
        <v>1</v>
      </c>
    </row>
    <row r="3677" spans="1:15">
      <c r="A3677">
        <v>2168</v>
      </c>
      <c r="B3677" s="1">
        <v>45680</v>
      </c>
      <c r="C3677">
        <v>29</v>
      </c>
      <c r="D3677" t="s">
        <v>14</v>
      </c>
      <c r="E3677" t="s">
        <v>15</v>
      </c>
      <c r="F3677" t="s">
        <v>18</v>
      </c>
      <c r="G3677" t="s">
        <v>29</v>
      </c>
      <c r="H3677">
        <v>176.9</v>
      </c>
      <c r="I3677" s="13">
        <v>12</v>
      </c>
      <c r="J3677">
        <v>0</v>
      </c>
      <c r="K3677">
        <v>0</v>
      </c>
      <c r="L3677">
        <v>0</v>
      </c>
      <c r="M3677">
        <v>0</v>
      </c>
      <c r="O3677">
        <f t="shared" si="57"/>
        <v>1</v>
      </c>
    </row>
    <row r="3678" spans="1:15">
      <c r="A3678">
        <v>3682</v>
      </c>
      <c r="B3678" s="1">
        <v>45680</v>
      </c>
      <c r="C3678">
        <v>29</v>
      </c>
      <c r="D3678" t="s">
        <v>14</v>
      </c>
      <c r="E3678" t="s">
        <v>22</v>
      </c>
      <c r="F3678" t="s">
        <v>21</v>
      </c>
      <c r="H3678">
        <v>138.6</v>
      </c>
      <c r="I3678" s="13">
        <v>9</v>
      </c>
      <c r="J3678">
        <v>0</v>
      </c>
      <c r="K3678">
        <v>0</v>
      </c>
      <c r="L3678">
        <v>0</v>
      </c>
      <c r="M3678">
        <v>0</v>
      </c>
      <c r="O3678">
        <f t="shared" si="57"/>
        <v>1</v>
      </c>
    </row>
    <row r="3679" spans="1:15">
      <c r="A3679">
        <v>4400</v>
      </c>
      <c r="B3679" s="1">
        <v>45680</v>
      </c>
      <c r="C3679">
        <v>50</v>
      </c>
      <c r="D3679" t="s">
        <v>14</v>
      </c>
      <c r="E3679" t="s">
        <v>15</v>
      </c>
      <c r="F3679" t="s">
        <v>16</v>
      </c>
      <c r="H3679">
        <v>93.4</v>
      </c>
      <c r="I3679" s="13">
        <v>7</v>
      </c>
      <c r="J3679">
        <v>0</v>
      </c>
      <c r="K3679">
        <v>0</v>
      </c>
      <c r="L3679">
        <v>0</v>
      </c>
      <c r="M3679">
        <v>0</v>
      </c>
      <c r="O3679">
        <f t="shared" si="57"/>
        <v>1</v>
      </c>
    </row>
    <row r="3680" spans="1:15">
      <c r="A3680">
        <v>773</v>
      </c>
      <c r="B3680" s="1">
        <v>45680</v>
      </c>
      <c r="C3680">
        <v>25</v>
      </c>
      <c r="D3680" t="s">
        <v>17</v>
      </c>
      <c r="E3680" t="s">
        <v>24</v>
      </c>
      <c r="F3680" t="s">
        <v>23</v>
      </c>
      <c r="H3680">
        <v>81.5</v>
      </c>
      <c r="I3680" s="13">
        <v>6</v>
      </c>
      <c r="J3680">
        <v>0</v>
      </c>
      <c r="K3680">
        <v>0</v>
      </c>
      <c r="L3680">
        <v>0</v>
      </c>
      <c r="M3680">
        <v>0</v>
      </c>
      <c r="O3680">
        <f t="shared" si="57"/>
        <v>1</v>
      </c>
    </row>
    <row r="3681" spans="1:15">
      <c r="A3681">
        <v>4203</v>
      </c>
      <c r="B3681" s="1">
        <v>45680</v>
      </c>
      <c r="C3681">
        <v>61</v>
      </c>
      <c r="D3681" t="s">
        <v>17</v>
      </c>
      <c r="E3681" t="s">
        <v>24</v>
      </c>
      <c r="F3681" t="s">
        <v>23</v>
      </c>
      <c r="H3681">
        <v>79.7</v>
      </c>
      <c r="I3681" s="13">
        <v>6</v>
      </c>
      <c r="J3681">
        <v>0</v>
      </c>
      <c r="K3681">
        <v>0</v>
      </c>
      <c r="L3681">
        <v>0</v>
      </c>
      <c r="M3681">
        <v>0</v>
      </c>
      <c r="O3681">
        <f t="shared" si="57"/>
        <v>1</v>
      </c>
    </row>
    <row r="3682" spans="1:15">
      <c r="A3682">
        <v>4977</v>
      </c>
      <c r="B3682" s="1">
        <v>45680</v>
      </c>
      <c r="C3682">
        <v>33</v>
      </c>
      <c r="D3682" t="s">
        <v>17</v>
      </c>
      <c r="E3682" t="s">
        <v>15</v>
      </c>
      <c r="F3682" t="s">
        <v>18</v>
      </c>
      <c r="G3682" t="s">
        <v>29</v>
      </c>
      <c r="H3682">
        <v>43.5</v>
      </c>
      <c r="I3682" s="13">
        <v>6</v>
      </c>
      <c r="J3682">
        <v>0</v>
      </c>
      <c r="K3682">
        <v>0</v>
      </c>
      <c r="L3682">
        <v>0</v>
      </c>
      <c r="M3682">
        <v>0</v>
      </c>
      <c r="O3682">
        <f t="shared" si="57"/>
        <v>1</v>
      </c>
    </row>
    <row r="3683" spans="1:15">
      <c r="A3683">
        <v>4279</v>
      </c>
      <c r="B3683" s="1">
        <v>45680</v>
      </c>
      <c r="C3683">
        <v>33</v>
      </c>
      <c r="D3683" t="s">
        <v>14</v>
      </c>
      <c r="E3683" t="s">
        <v>24</v>
      </c>
      <c r="F3683" t="s">
        <v>16</v>
      </c>
      <c r="H3683">
        <v>13.2</v>
      </c>
      <c r="I3683" s="13">
        <v>5</v>
      </c>
      <c r="J3683">
        <v>0</v>
      </c>
      <c r="K3683">
        <v>0</v>
      </c>
      <c r="L3683">
        <v>0</v>
      </c>
      <c r="M3683">
        <v>0</v>
      </c>
      <c r="O3683">
        <f t="shared" si="57"/>
        <v>1</v>
      </c>
    </row>
    <row r="3684" spans="1:15">
      <c r="A3684">
        <v>4684</v>
      </c>
      <c r="B3684" s="1">
        <v>45711</v>
      </c>
      <c r="C3684">
        <v>52</v>
      </c>
      <c r="D3684" t="s">
        <v>14</v>
      </c>
      <c r="E3684" t="s">
        <v>22</v>
      </c>
      <c r="F3684" t="s">
        <v>23</v>
      </c>
      <c r="H3684">
        <v>606.6</v>
      </c>
      <c r="I3684" s="13">
        <v>8</v>
      </c>
      <c r="J3684">
        <v>1</v>
      </c>
      <c r="K3684">
        <v>336</v>
      </c>
      <c r="L3684">
        <v>2</v>
      </c>
      <c r="M3684">
        <v>4</v>
      </c>
      <c r="N3684">
        <v>3</v>
      </c>
      <c r="O3684">
        <f t="shared" si="57"/>
        <v>2</v>
      </c>
    </row>
    <row r="3685" spans="1:15">
      <c r="A3685">
        <v>1975</v>
      </c>
      <c r="B3685" s="1">
        <v>45711</v>
      </c>
      <c r="C3685">
        <v>41</v>
      </c>
      <c r="D3685" t="s">
        <v>17</v>
      </c>
      <c r="E3685" t="s">
        <v>20</v>
      </c>
      <c r="F3685" t="s">
        <v>18</v>
      </c>
      <c r="G3685" t="s">
        <v>29</v>
      </c>
      <c r="H3685">
        <v>347.1</v>
      </c>
      <c r="I3685" s="13">
        <v>8</v>
      </c>
      <c r="J3685">
        <v>1</v>
      </c>
      <c r="K3685">
        <v>156.96</v>
      </c>
      <c r="L3685">
        <v>2</v>
      </c>
      <c r="M3685">
        <v>15</v>
      </c>
      <c r="N3685">
        <v>5</v>
      </c>
      <c r="O3685">
        <f t="shared" si="57"/>
        <v>2</v>
      </c>
    </row>
    <row r="3686" spans="1:15">
      <c r="A3686">
        <v>1071</v>
      </c>
      <c r="B3686" s="1">
        <v>45711</v>
      </c>
      <c r="C3686">
        <v>25</v>
      </c>
      <c r="D3686" t="s">
        <v>17</v>
      </c>
      <c r="E3686" t="s">
        <v>24</v>
      </c>
      <c r="F3686" t="s">
        <v>18</v>
      </c>
      <c r="G3686" t="s">
        <v>26</v>
      </c>
      <c r="H3686">
        <v>732.6</v>
      </c>
      <c r="I3686" s="13">
        <v>7</v>
      </c>
      <c r="J3686">
        <v>1</v>
      </c>
      <c r="K3686">
        <v>108.78</v>
      </c>
      <c r="L3686">
        <v>2</v>
      </c>
      <c r="M3686">
        <v>7</v>
      </c>
      <c r="N3686">
        <v>4</v>
      </c>
      <c r="O3686">
        <f t="shared" si="57"/>
        <v>2</v>
      </c>
    </row>
    <row r="3687" spans="1:15">
      <c r="A3687">
        <v>2716</v>
      </c>
      <c r="B3687" s="1">
        <v>45711</v>
      </c>
      <c r="C3687">
        <v>47</v>
      </c>
      <c r="D3687" t="s">
        <v>14</v>
      </c>
      <c r="E3687" t="s">
        <v>22</v>
      </c>
      <c r="F3687" t="s">
        <v>16</v>
      </c>
      <c r="H3687">
        <v>982.2</v>
      </c>
      <c r="I3687" s="13">
        <v>8</v>
      </c>
      <c r="J3687">
        <v>1</v>
      </c>
      <c r="K3687">
        <v>78.459999999999994</v>
      </c>
      <c r="L3687">
        <v>3</v>
      </c>
      <c r="M3687">
        <v>10</v>
      </c>
      <c r="N3687">
        <v>4</v>
      </c>
      <c r="O3687">
        <f t="shared" si="57"/>
        <v>2</v>
      </c>
    </row>
    <row r="3688" spans="1:15">
      <c r="A3688">
        <v>3766</v>
      </c>
      <c r="B3688" s="1">
        <v>45711</v>
      </c>
      <c r="C3688">
        <v>50</v>
      </c>
      <c r="D3688" t="s">
        <v>14</v>
      </c>
      <c r="E3688" t="s">
        <v>20</v>
      </c>
      <c r="F3688" t="s">
        <v>18</v>
      </c>
      <c r="G3688" t="s">
        <v>29</v>
      </c>
      <c r="H3688">
        <v>285</v>
      </c>
      <c r="I3688" s="13">
        <v>7</v>
      </c>
      <c r="J3688">
        <v>1</v>
      </c>
      <c r="K3688">
        <v>73.08</v>
      </c>
      <c r="L3688">
        <v>3</v>
      </c>
      <c r="M3688">
        <v>6</v>
      </c>
      <c r="N3688">
        <v>5</v>
      </c>
      <c r="O3688">
        <f t="shared" si="57"/>
        <v>2</v>
      </c>
    </row>
    <row r="3689" spans="1:15">
      <c r="A3689">
        <v>3801</v>
      </c>
      <c r="B3689" s="1">
        <v>45711</v>
      </c>
      <c r="C3689">
        <v>44</v>
      </c>
      <c r="D3689" t="s">
        <v>17</v>
      </c>
      <c r="E3689" t="s">
        <v>24</v>
      </c>
      <c r="F3689" t="s">
        <v>21</v>
      </c>
      <c r="H3689">
        <v>698.7</v>
      </c>
      <c r="I3689" s="13">
        <v>5</v>
      </c>
      <c r="J3689">
        <v>1</v>
      </c>
      <c r="K3689">
        <v>52.43</v>
      </c>
      <c r="L3689">
        <v>2</v>
      </c>
      <c r="M3689">
        <v>1</v>
      </c>
      <c r="N3689">
        <v>3</v>
      </c>
      <c r="O3689">
        <f t="shared" si="57"/>
        <v>2</v>
      </c>
    </row>
    <row r="3690" spans="1:15">
      <c r="A3690">
        <v>2363</v>
      </c>
      <c r="B3690" s="1">
        <v>45711</v>
      </c>
      <c r="C3690">
        <v>19</v>
      </c>
      <c r="D3690" t="s">
        <v>17</v>
      </c>
      <c r="E3690" t="s">
        <v>20</v>
      </c>
      <c r="F3690" t="s">
        <v>16</v>
      </c>
      <c r="H3690">
        <v>248.5</v>
      </c>
      <c r="I3690" s="13">
        <v>9</v>
      </c>
      <c r="J3690">
        <v>1</v>
      </c>
      <c r="K3690">
        <v>45.6</v>
      </c>
      <c r="L3690">
        <v>3</v>
      </c>
      <c r="M3690">
        <v>8</v>
      </c>
      <c r="N3690">
        <v>4</v>
      </c>
      <c r="O3690">
        <f t="shared" si="57"/>
        <v>2</v>
      </c>
    </row>
    <row r="3691" spans="1:15">
      <c r="A3691">
        <v>2641</v>
      </c>
      <c r="B3691" s="1">
        <v>45711</v>
      </c>
      <c r="C3691">
        <v>33</v>
      </c>
      <c r="D3691" t="s">
        <v>17</v>
      </c>
      <c r="E3691" t="s">
        <v>22</v>
      </c>
      <c r="F3691" t="s">
        <v>16</v>
      </c>
      <c r="H3691">
        <v>211.7</v>
      </c>
      <c r="I3691" s="13">
        <v>5</v>
      </c>
      <c r="J3691">
        <v>1</v>
      </c>
      <c r="K3691">
        <v>45.09</v>
      </c>
      <c r="L3691">
        <v>1</v>
      </c>
      <c r="M3691">
        <v>3</v>
      </c>
      <c r="N3691">
        <v>3</v>
      </c>
      <c r="O3691">
        <f t="shared" si="57"/>
        <v>2</v>
      </c>
    </row>
    <row r="3692" spans="1:15">
      <c r="A3692">
        <v>4795</v>
      </c>
      <c r="B3692" s="1">
        <v>45711</v>
      </c>
      <c r="C3692">
        <v>52</v>
      </c>
      <c r="D3692" t="s">
        <v>17</v>
      </c>
      <c r="E3692" t="s">
        <v>15</v>
      </c>
      <c r="F3692" t="s">
        <v>16</v>
      </c>
      <c r="H3692">
        <v>1082.3</v>
      </c>
      <c r="I3692" s="13">
        <v>7</v>
      </c>
      <c r="J3692">
        <v>1</v>
      </c>
      <c r="K3692">
        <v>32.33</v>
      </c>
      <c r="L3692">
        <v>1</v>
      </c>
      <c r="M3692">
        <v>7</v>
      </c>
      <c r="N3692">
        <v>4</v>
      </c>
      <c r="O3692">
        <f t="shared" si="57"/>
        <v>2</v>
      </c>
    </row>
    <row r="3693" spans="1:15">
      <c r="A3693">
        <v>4898</v>
      </c>
      <c r="B3693" s="1">
        <v>45711</v>
      </c>
      <c r="C3693">
        <v>56</v>
      </c>
      <c r="D3693" t="s">
        <v>17</v>
      </c>
      <c r="E3693" t="s">
        <v>24</v>
      </c>
      <c r="F3693" t="s">
        <v>18</v>
      </c>
      <c r="G3693" t="s">
        <v>19</v>
      </c>
      <c r="H3693">
        <v>1042.8</v>
      </c>
      <c r="I3693" s="13">
        <v>4</v>
      </c>
      <c r="J3693">
        <v>0</v>
      </c>
      <c r="K3693">
        <v>0</v>
      </c>
      <c r="L3693">
        <v>0</v>
      </c>
      <c r="M3693">
        <v>0</v>
      </c>
      <c r="O3693">
        <f t="shared" si="57"/>
        <v>2</v>
      </c>
    </row>
    <row r="3694" spans="1:15">
      <c r="A3694">
        <v>2943</v>
      </c>
      <c r="B3694" s="1">
        <v>45711</v>
      </c>
      <c r="C3694">
        <v>36</v>
      </c>
      <c r="D3694" t="s">
        <v>17</v>
      </c>
      <c r="E3694" t="s">
        <v>24</v>
      </c>
      <c r="F3694" t="s">
        <v>21</v>
      </c>
      <c r="H3694">
        <v>831.4</v>
      </c>
      <c r="I3694" s="13">
        <v>10</v>
      </c>
      <c r="J3694">
        <v>0</v>
      </c>
      <c r="K3694">
        <v>0</v>
      </c>
      <c r="L3694">
        <v>0</v>
      </c>
      <c r="M3694">
        <v>0</v>
      </c>
      <c r="O3694">
        <f t="shared" si="57"/>
        <v>2</v>
      </c>
    </row>
    <row r="3695" spans="1:15">
      <c r="A3695">
        <v>968</v>
      </c>
      <c r="B3695" s="1">
        <v>45711</v>
      </c>
      <c r="C3695">
        <v>21</v>
      </c>
      <c r="D3695" t="s">
        <v>14</v>
      </c>
      <c r="E3695" t="s">
        <v>22</v>
      </c>
      <c r="F3695" t="s">
        <v>16</v>
      </c>
      <c r="H3695">
        <v>709.4</v>
      </c>
      <c r="I3695" s="13">
        <v>9</v>
      </c>
      <c r="J3695">
        <v>0</v>
      </c>
      <c r="K3695">
        <v>0</v>
      </c>
      <c r="L3695">
        <v>0</v>
      </c>
      <c r="M3695">
        <v>0</v>
      </c>
      <c r="O3695">
        <f t="shared" si="57"/>
        <v>2</v>
      </c>
    </row>
    <row r="3696" spans="1:15">
      <c r="A3696">
        <v>2229</v>
      </c>
      <c r="B3696" s="1">
        <v>45711</v>
      </c>
      <c r="C3696">
        <v>28</v>
      </c>
      <c r="D3696" t="s">
        <v>14</v>
      </c>
      <c r="E3696" t="s">
        <v>24</v>
      </c>
      <c r="F3696" t="s">
        <v>23</v>
      </c>
      <c r="H3696">
        <v>670.6</v>
      </c>
      <c r="I3696" s="13">
        <v>4</v>
      </c>
      <c r="J3696">
        <v>0</v>
      </c>
      <c r="K3696">
        <v>0</v>
      </c>
      <c r="L3696">
        <v>0</v>
      </c>
      <c r="M3696">
        <v>0</v>
      </c>
      <c r="O3696">
        <f t="shared" si="57"/>
        <v>2</v>
      </c>
    </row>
    <row r="3697" spans="1:15">
      <c r="A3697">
        <v>2230</v>
      </c>
      <c r="B3697" s="1">
        <v>45711</v>
      </c>
      <c r="C3697">
        <v>36</v>
      </c>
      <c r="D3697" t="s">
        <v>17</v>
      </c>
      <c r="E3697" t="s">
        <v>24</v>
      </c>
      <c r="F3697" t="s">
        <v>16</v>
      </c>
      <c r="H3697">
        <v>595.6</v>
      </c>
      <c r="I3697" s="13">
        <v>8</v>
      </c>
      <c r="J3697">
        <v>0</v>
      </c>
      <c r="K3697">
        <v>0</v>
      </c>
      <c r="L3697">
        <v>0</v>
      </c>
      <c r="M3697">
        <v>0</v>
      </c>
      <c r="O3697">
        <f t="shared" si="57"/>
        <v>2</v>
      </c>
    </row>
    <row r="3698" spans="1:15">
      <c r="A3698">
        <v>4105</v>
      </c>
      <c r="B3698" s="1">
        <v>45711</v>
      </c>
      <c r="C3698">
        <v>44</v>
      </c>
      <c r="D3698" t="s">
        <v>17</v>
      </c>
      <c r="E3698" t="s">
        <v>22</v>
      </c>
      <c r="F3698" t="s">
        <v>16</v>
      </c>
      <c r="H3698">
        <v>531.1</v>
      </c>
      <c r="I3698" s="13">
        <v>5</v>
      </c>
      <c r="J3698">
        <v>0</v>
      </c>
      <c r="K3698">
        <v>0</v>
      </c>
      <c r="L3698">
        <v>0</v>
      </c>
      <c r="M3698">
        <v>0</v>
      </c>
      <c r="O3698">
        <f t="shared" si="57"/>
        <v>2</v>
      </c>
    </row>
    <row r="3699" spans="1:15">
      <c r="A3699">
        <v>4875</v>
      </c>
      <c r="B3699" s="1">
        <v>45711</v>
      </c>
      <c r="C3699">
        <v>47</v>
      </c>
      <c r="D3699" t="s">
        <v>17</v>
      </c>
      <c r="E3699" t="s">
        <v>24</v>
      </c>
      <c r="F3699" t="s">
        <v>18</v>
      </c>
      <c r="G3699" t="s">
        <v>19</v>
      </c>
      <c r="H3699">
        <v>500.1</v>
      </c>
      <c r="I3699" s="13">
        <v>5</v>
      </c>
      <c r="J3699">
        <v>0</v>
      </c>
      <c r="K3699">
        <v>0</v>
      </c>
      <c r="L3699">
        <v>0</v>
      </c>
      <c r="M3699">
        <v>0</v>
      </c>
      <c r="O3699">
        <f t="shared" si="57"/>
        <v>2</v>
      </c>
    </row>
    <row r="3700" spans="1:15">
      <c r="A3700">
        <v>1879</v>
      </c>
      <c r="B3700" s="1">
        <v>45711</v>
      </c>
      <c r="C3700">
        <v>35</v>
      </c>
      <c r="D3700" t="s">
        <v>14</v>
      </c>
      <c r="E3700" t="s">
        <v>24</v>
      </c>
      <c r="F3700" t="s">
        <v>18</v>
      </c>
      <c r="G3700" t="s">
        <v>28</v>
      </c>
      <c r="H3700">
        <v>371.2</v>
      </c>
      <c r="I3700" s="13">
        <v>6</v>
      </c>
      <c r="J3700">
        <v>0</v>
      </c>
      <c r="K3700">
        <v>0</v>
      </c>
      <c r="L3700">
        <v>0</v>
      </c>
      <c r="M3700">
        <v>0</v>
      </c>
      <c r="O3700">
        <f t="shared" si="57"/>
        <v>2</v>
      </c>
    </row>
    <row r="3701" spans="1:15">
      <c r="A3701">
        <v>2566</v>
      </c>
      <c r="B3701" s="1">
        <v>45711</v>
      </c>
      <c r="C3701">
        <v>39</v>
      </c>
      <c r="D3701" t="s">
        <v>14</v>
      </c>
      <c r="E3701" t="s">
        <v>22</v>
      </c>
      <c r="F3701" t="s">
        <v>16</v>
      </c>
      <c r="H3701">
        <v>359.8</v>
      </c>
      <c r="I3701" s="13">
        <v>5</v>
      </c>
      <c r="J3701">
        <v>0</v>
      </c>
      <c r="K3701">
        <v>0</v>
      </c>
      <c r="L3701">
        <v>0</v>
      </c>
      <c r="M3701">
        <v>0</v>
      </c>
      <c r="O3701">
        <f t="shared" si="57"/>
        <v>2</v>
      </c>
    </row>
    <row r="3702" spans="1:15">
      <c r="A3702">
        <v>4129</v>
      </c>
      <c r="B3702" s="1">
        <v>45711</v>
      </c>
      <c r="C3702">
        <v>59</v>
      </c>
      <c r="D3702" t="s">
        <v>17</v>
      </c>
      <c r="E3702" t="s">
        <v>24</v>
      </c>
      <c r="F3702" t="s">
        <v>23</v>
      </c>
      <c r="H3702">
        <v>337.7</v>
      </c>
      <c r="I3702" s="13">
        <v>7</v>
      </c>
      <c r="J3702">
        <v>0</v>
      </c>
      <c r="K3702">
        <v>0</v>
      </c>
      <c r="L3702">
        <v>0</v>
      </c>
      <c r="M3702">
        <v>0</v>
      </c>
      <c r="O3702">
        <f t="shared" si="57"/>
        <v>2</v>
      </c>
    </row>
    <row r="3703" spans="1:15">
      <c r="A3703">
        <v>2533</v>
      </c>
      <c r="B3703" s="1">
        <v>45711</v>
      </c>
      <c r="C3703">
        <v>20</v>
      </c>
      <c r="D3703" t="s">
        <v>14</v>
      </c>
      <c r="E3703" t="s">
        <v>15</v>
      </c>
      <c r="F3703" t="s">
        <v>16</v>
      </c>
      <c r="H3703">
        <v>282.10000000000002</v>
      </c>
      <c r="I3703" s="13">
        <v>5</v>
      </c>
      <c r="J3703">
        <v>0</v>
      </c>
      <c r="K3703">
        <v>0</v>
      </c>
      <c r="L3703">
        <v>0</v>
      </c>
      <c r="M3703">
        <v>0</v>
      </c>
      <c r="O3703">
        <f t="shared" si="57"/>
        <v>2</v>
      </c>
    </row>
    <row r="3704" spans="1:15">
      <c r="A3704">
        <v>2523</v>
      </c>
      <c r="B3704" s="1">
        <v>45711</v>
      </c>
      <c r="C3704">
        <v>25</v>
      </c>
      <c r="D3704" t="s">
        <v>14</v>
      </c>
      <c r="E3704" t="s">
        <v>22</v>
      </c>
      <c r="F3704" t="s">
        <v>16</v>
      </c>
      <c r="H3704">
        <v>281.3</v>
      </c>
      <c r="I3704" s="13">
        <v>9</v>
      </c>
      <c r="J3704">
        <v>0</v>
      </c>
      <c r="K3704">
        <v>0</v>
      </c>
      <c r="L3704">
        <v>0</v>
      </c>
      <c r="M3704">
        <v>0</v>
      </c>
      <c r="O3704">
        <f t="shared" si="57"/>
        <v>2</v>
      </c>
    </row>
    <row r="3705" spans="1:15">
      <c r="A3705">
        <v>1022</v>
      </c>
      <c r="B3705" s="1">
        <v>45711</v>
      </c>
      <c r="C3705">
        <v>27</v>
      </c>
      <c r="D3705" t="s">
        <v>17</v>
      </c>
      <c r="E3705" t="s">
        <v>15</v>
      </c>
      <c r="F3705" t="s">
        <v>18</v>
      </c>
      <c r="G3705" t="s">
        <v>29</v>
      </c>
      <c r="H3705">
        <v>281</v>
      </c>
      <c r="I3705" s="13">
        <v>6</v>
      </c>
      <c r="J3705">
        <v>0</v>
      </c>
      <c r="K3705">
        <v>0</v>
      </c>
      <c r="L3705">
        <v>0</v>
      </c>
      <c r="M3705">
        <v>0</v>
      </c>
      <c r="O3705">
        <f t="shared" si="57"/>
        <v>2</v>
      </c>
    </row>
    <row r="3706" spans="1:15">
      <c r="A3706">
        <v>4397</v>
      </c>
      <c r="B3706" s="1">
        <v>45711</v>
      </c>
      <c r="C3706">
        <v>51</v>
      </c>
      <c r="D3706" t="s">
        <v>14</v>
      </c>
      <c r="E3706" t="s">
        <v>24</v>
      </c>
      <c r="F3706" t="s">
        <v>16</v>
      </c>
      <c r="H3706">
        <v>250</v>
      </c>
      <c r="I3706" s="13">
        <v>7</v>
      </c>
      <c r="J3706">
        <v>0</v>
      </c>
      <c r="K3706">
        <v>0</v>
      </c>
      <c r="L3706">
        <v>0</v>
      </c>
      <c r="M3706">
        <v>0</v>
      </c>
      <c r="O3706">
        <f t="shared" si="57"/>
        <v>2</v>
      </c>
    </row>
    <row r="3707" spans="1:15">
      <c r="A3707">
        <v>4019</v>
      </c>
      <c r="B3707" s="1">
        <v>45711</v>
      </c>
      <c r="C3707">
        <v>44</v>
      </c>
      <c r="D3707" t="s">
        <v>17</v>
      </c>
      <c r="E3707" t="s">
        <v>24</v>
      </c>
      <c r="F3707" t="s">
        <v>16</v>
      </c>
      <c r="H3707">
        <v>248</v>
      </c>
      <c r="I3707" s="13">
        <v>6</v>
      </c>
      <c r="J3707">
        <v>0</v>
      </c>
      <c r="K3707">
        <v>0</v>
      </c>
      <c r="L3707">
        <v>0</v>
      </c>
      <c r="M3707">
        <v>0</v>
      </c>
      <c r="O3707">
        <f t="shared" si="57"/>
        <v>2</v>
      </c>
    </row>
    <row r="3708" spans="1:15">
      <c r="A3708">
        <v>2558</v>
      </c>
      <c r="B3708" s="1">
        <v>45711</v>
      </c>
      <c r="C3708">
        <v>32</v>
      </c>
      <c r="D3708" t="s">
        <v>17</v>
      </c>
      <c r="E3708" t="s">
        <v>20</v>
      </c>
      <c r="F3708" t="s">
        <v>18</v>
      </c>
      <c r="G3708" t="s">
        <v>28</v>
      </c>
      <c r="H3708">
        <v>245.1</v>
      </c>
      <c r="I3708" s="13">
        <v>7</v>
      </c>
      <c r="J3708">
        <v>0</v>
      </c>
      <c r="K3708">
        <v>0</v>
      </c>
      <c r="L3708">
        <v>0</v>
      </c>
      <c r="M3708">
        <v>0</v>
      </c>
      <c r="O3708">
        <f t="shared" si="57"/>
        <v>2</v>
      </c>
    </row>
    <row r="3709" spans="1:15">
      <c r="A3709">
        <v>1804</v>
      </c>
      <c r="B3709" s="1">
        <v>45711</v>
      </c>
      <c r="C3709">
        <v>38</v>
      </c>
      <c r="D3709" t="s">
        <v>14</v>
      </c>
      <c r="E3709" t="s">
        <v>20</v>
      </c>
      <c r="F3709" t="s">
        <v>16</v>
      </c>
      <c r="H3709">
        <v>237.6</v>
      </c>
      <c r="I3709" s="13">
        <v>1</v>
      </c>
      <c r="J3709">
        <v>0</v>
      </c>
      <c r="K3709">
        <v>0</v>
      </c>
      <c r="L3709">
        <v>0</v>
      </c>
      <c r="M3709">
        <v>0</v>
      </c>
      <c r="O3709">
        <f t="shared" si="57"/>
        <v>2</v>
      </c>
    </row>
    <row r="3710" spans="1:15">
      <c r="A3710">
        <v>4296</v>
      </c>
      <c r="B3710" s="1">
        <v>45711</v>
      </c>
      <c r="C3710">
        <v>40</v>
      </c>
      <c r="D3710" t="s">
        <v>17</v>
      </c>
      <c r="E3710" t="s">
        <v>24</v>
      </c>
      <c r="F3710" t="s">
        <v>16</v>
      </c>
      <c r="H3710">
        <v>228.4</v>
      </c>
      <c r="I3710" s="13">
        <v>10</v>
      </c>
      <c r="J3710">
        <v>0</v>
      </c>
      <c r="K3710">
        <v>0</v>
      </c>
      <c r="L3710">
        <v>0</v>
      </c>
      <c r="M3710">
        <v>0</v>
      </c>
      <c r="O3710">
        <f t="shared" si="57"/>
        <v>2</v>
      </c>
    </row>
    <row r="3711" spans="1:15">
      <c r="A3711">
        <v>2666</v>
      </c>
      <c r="B3711" s="1">
        <v>45711</v>
      </c>
      <c r="C3711">
        <v>37</v>
      </c>
      <c r="D3711" t="s">
        <v>14</v>
      </c>
      <c r="E3711" t="s">
        <v>20</v>
      </c>
      <c r="F3711" t="s">
        <v>18</v>
      </c>
      <c r="G3711" t="s">
        <v>30</v>
      </c>
      <c r="H3711">
        <v>226.5</v>
      </c>
      <c r="I3711" s="13">
        <v>10</v>
      </c>
      <c r="J3711">
        <v>0</v>
      </c>
      <c r="K3711">
        <v>0</v>
      </c>
      <c r="L3711">
        <v>0</v>
      </c>
      <c r="M3711">
        <v>0</v>
      </c>
      <c r="O3711">
        <f t="shared" si="57"/>
        <v>2</v>
      </c>
    </row>
    <row r="3712" spans="1:15">
      <c r="A3712">
        <v>917</v>
      </c>
      <c r="B3712" s="1">
        <v>45711</v>
      </c>
      <c r="C3712">
        <v>26</v>
      </c>
      <c r="D3712" t="s">
        <v>14</v>
      </c>
      <c r="E3712" t="s">
        <v>22</v>
      </c>
      <c r="F3712" t="s">
        <v>23</v>
      </c>
      <c r="H3712">
        <v>196.5</v>
      </c>
      <c r="I3712" s="13">
        <v>9</v>
      </c>
      <c r="J3712">
        <v>0</v>
      </c>
      <c r="K3712">
        <v>0</v>
      </c>
      <c r="L3712">
        <v>0</v>
      </c>
      <c r="M3712">
        <v>0</v>
      </c>
      <c r="O3712">
        <f t="shared" si="57"/>
        <v>2</v>
      </c>
    </row>
    <row r="3713" spans="1:15">
      <c r="A3713">
        <v>3061</v>
      </c>
      <c r="B3713" s="1">
        <v>45711</v>
      </c>
      <c r="C3713">
        <v>41</v>
      </c>
      <c r="D3713" t="s">
        <v>14</v>
      </c>
      <c r="E3713" t="s">
        <v>24</v>
      </c>
      <c r="F3713" t="s">
        <v>18</v>
      </c>
      <c r="G3713" t="s">
        <v>30</v>
      </c>
      <c r="H3713">
        <v>189.5</v>
      </c>
      <c r="I3713" s="13">
        <v>6</v>
      </c>
      <c r="J3713">
        <v>0</v>
      </c>
      <c r="K3713">
        <v>0</v>
      </c>
      <c r="L3713">
        <v>0</v>
      </c>
      <c r="M3713">
        <v>0</v>
      </c>
      <c r="O3713">
        <f t="shared" si="57"/>
        <v>2</v>
      </c>
    </row>
    <row r="3714" spans="1:15">
      <c r="A3714">
        <v>1817</v>
      </c>
      <c r="B3714" s="1">
        <v>45711</v>
      </c>
      <c r="C3714">
        <v>31</v>
      </c>
      <c r="D3714" t="s">
        <v>17</v>
      </c>
      <c r="E3714" t="s">
        <v>20</v>
      </c>
      <c r="F3714" t="s">
        <v>16</v>
      </c>
      <c r="H3714">
        <v>172.8</v>
      </c>
      <c r="I3714" s="13">
        <v>7</v>
      </c>
      <c r="J3714">
        <v>0</v>
      </c>
      <c r="K3714">
        <v>0</v>
      </c>
      <c r="L3714">
        <v>0</v>
      </c>
      <c r="M3714">
        <v>0</v>
      </c>
      <c r="O3714">
        <f t="shared" si="57"/>
        <v>2</v>
      </c>
    </row>
    <row r="3715" spans="1:15">
      <c r="A3715">
        <v>3534</v>
      </c>
      <c r="B3715" s="1">
        <v>45711</v>
      </c>
      <c r="C3715">
        <v>49</v>
      </c>
      <c r="D3715" t="s">
        <v>17</v>
      </c>
      <c r="E3715" t="s">
        <v>22</v>
      </c>
      <c r="F3715" t="s">
        <v>16</v>
      </c>
      <c r="H3715">
        <v>113.6</v>
      </c>
      <c r="I3715" s="13">
        <v>6</v>
      </c>
      <c r="J3715">
        <v>0</v>
      </c>
      <c r="K3715">
        <v>0</v>
      </c>
      <c r="L3715">
        <v>0</v>
      </c>
      <c r="M3715">
        <v>0</v>
      </c>
      <c r="O3715">
        <f t="shared" ref="O3715:O3778" si="58">MONTH(B3715)</f>
        <v>2</v>
      </c>
    </row>
    <row r="3716" spans="1:15">
      <c r="A3716">
        <v>251</v>
      </c>
      <c r="B3716" s="1">
        <v>45711</v>
      </c>
      <c r="C3716">
        <v>31</v>
      </c>
      <c r="D3716" t="s">
        <v>14</v>
      </c>
      <c r="E3716" t="s">
        <v>24</v>
      </c>
      <c r="F3716" t="s">
        <v>18</v>
      </c>
      <c r="G3716" t="s">
        <v>26</v>
      </c>
      <c r="H3716">
        <v>58.8</v>
      </c>
      <c r="I3716" s="13">
        <v>8</v>
      </c>
      <c r="J3716">
        <v>0</v>
      </c>
      <c r="K3716">
        <v>0</v>
      </c>
      <c r="L3716">
        <v>0</v>
      </c>
      <c r="M3716">
        <v>0</v>
      </c>
      <c r="O3716">
        <f t="shared" si="58"/>
        <v>2</v>
      </c>
    </row>
    <row r="3717" spans="1:15">
      <c r="A3717">
        <v>4794</v>
      </c>
      <c r="B3717" s="1">
        <v>45711</v>
      </c>
      <c r="C3717">
        <v>44</v>
      </c>
      <c r="D3717" t="s">
        <v>17</v>
      </c>
      <c r="E3717" t="s">
        <v>20</v>
      </c>
      <c r="F3717" t="s">
        <v>16</v>
      </c>
      <c r="H3717">
        <v>50.4</v>
      </c>
      <c r="I3717" s="13">
        <v>4</v>
      </c>
      <c r="J3717">
        <v>0</v>
      </c>
      <c r="K3717">
        <v>0</v>
      </c>
      <c r="L3717">
        <v>0</v>
      </c>
      <c r="M3717">
        <v>0</v>
      </c>
      <c r="O3717">
        <f t="shared" si="58"/>
        <v>2</v>
      </c>
    </row>
    <row r="3718" spans="1:15">
      <c r="A3718">
        <v>1390</v>
      </c>
      <c r="B3718" s="1">
        <v>45739</v>
      </c>
      <c r="C3718">
        <v>24</v>
      </c>
      <c r="D3718" t="s">
        <v>14</v>
      </c>
      <c r="E3718" t="s">
        <v>22</v>
      </c>
      <c r="F3718" t="s">
        <v>18</v>
      </c>
      <c r="G3718" t="s">
        <v>28</v>
      </c>
      <c r="H3718">
        <v>627.6</v>
      </c>
      <c r="I3718" s="13">
        <v>6</v>
      </c>
      <c r="J3718">
        <v>1</v>
      </c>
      <c r="K3718">
        <v>408</v>
      </c>
      <c r="L3718">
        <v>2</v>
      </c>
      <c r="M3718">
        <v>7</v>
      </c>
      <c r="N3718">
        <v>4</v>
      </c>
      <c r="O3718">
        <f t="shared" si="58"/>
        <v>3</v>
      </c>
    </row>
    <row r="3719" spans="1:15">
      <c r="A3719">
        <v>1761</v>
      </c>
      <c r="B3719" s="1">
        <v>45739</v>
      </c>
      <c r="C3719">
        <v>35</v>
      </c>
      <c r="D3719" t="s">
        <v>17</v>
      </c>
      <c r="E3719" t="s">
        <v>22</v>
      </c>
      <c r="F3719" t="s">
        <v>21</v>
      </c>
      <c r="H3719">
        <v>451.3</v>
      </c>
      <c r="I3719" s="13">
        <v>6</v>
      </c>
      <c r="J3719">
        <v>1</v>
      </c>
      <c r="K3719">
        <v>68.209999999999994</v>
      </c>
      <c r="L3719">
        <v>3</v>
      </c>
      <c r="M3719">
        <v>7</v>
      </c>
      <c r="N3719">
        <v>4</v>
      </c>
      <c r="O3719">
        <f t="shared" si="58"/>
        <v>3</v>
      </c>
    </row>
    <row r="3720" spans="1:15">
      <c r="A3720">
        <v>4244</v>
      </c>
      <c r="B3720" s="1">
        <v>45739</v>
      </c>
      <c r="C3720">
        <v>37</v>
      </c>
      <c r="D3720" t="s">
        <v>14</v>
      </c>
      <c r="E3720" t="s">
        <v>22</v>
      </c>
      <c r="F3720" t="s">
        <v>18</v>
      </c>
      <c r="G3720" t="s">
        <v>19</v>
      </c>
      <c r="H3720">
        <v>390.5</v>
      </c>
      <c r="I3720" s="13">
        <v>5</v>
      </c>
      <c r="J3720">
        <v>1</v>
      </c>
      <c r="K3720">
        <v>64.33</v>
      </c>
      <c r="L3720">
        <v>3</v>
      </c>
      <c r="M3720">
        <v>8</v>
      </c>
      <c r="N3720">
        <v>5</v>
      </c>
      <c r="O3720">
        <f t="shared" si="58"/>
        <v>3</v>
      </c>
    </row>
    <row r="3721" spans="1:15">
      <c r="A3721">
        <v>830</v>
      </c>
      <c r="B3721" s="1">
        <v>45739</v>
      </c>
      <c r="C3721">
        <v>20</v>
      </c>
      <c r="D3721" t="s">
        <v>17</v>
      </c>
      <c r="E3721" t="s">
        <v>15</v>
      </c>
      <c r="F3721" t="s">
        <v>18</v>
      </c>
      <c r="G3721" t="s">
        <v>25</v>
      </c>
      <c r="H3721">
        <v>269.89999999999998</v>
      </c>
      <c r="I3721" s="13">
        <v>6</v>
      </c>
      <c r="J3721">
        <v>1</v>
      </c>
      <c r="K3721">
        <v>51.5</v>
      </c>
      <c r="L3721">
        <v>2</v>
      </c>
      <c r="M3721">
        <v>12</v>
      </c>
      <c r="N3721">
        <v>4</v>
      </c>
      <c r="O3721">
        <f t="shared" si="58"/>
        <v>3</v>
      </c>
    </row>
    <row r="3722" spans="1:15">
      <c r="A3722">
        <v>3281</v>
      </c>
      <c r="B3722" s="1">
        <v>45739</v>
      </c>
      <c r="C3722">
        <v>33</v>
      </c>
      <c r="D3722" t="s">
        <v>14</v>
      </c>
      <c r="E3722" t="s">
        <v>22</v>
      </c>
      <c r="F3722" t="s">
        <v>18</v>
      </c>
      <c r="G3722" t="s">
        <v>25</v>
      </c>
      <c r="H3722">
        <v>528.29999999999995</v>
      </c>
      <c r="I3722" s="13">
        <v>8</v>
      </c>
      <c r="J3722">
        <v>1</v>
      </c>
      <c r="K3722">
        <v>48.74</v>
      </c>
      <c r="L3722">
        <v>4</v>
      </c>
      <c r="M3722">
        <v>3</v>
      </c>
      <c r="N3722">
        <v>5</v>
      </c>
      <c r="O3722">
        <f t="shared" si="58"/>
        <v>3</v>
      </c>
    </row>
    <row r="3723" spans="1:15">
      <c r="A3723">
        <v>862</v>
      </c>
      <c r="B3723" s="1">
        <v>45739</v>
      </c>
      <c r="C3723">
        <v>21</v>
      </c>
      <c r="D3723" t="s">
        <v>14</v>
      </c>
      <c r="E3723" t="s">
        <v>15</v>
      </c>
      <c r="F3723" t="s">
        <v>18</v>
      </c>
      <c r="G3723" t="s">
        <v>19</v>
      </c>
      <c r="H3723">
        <v>161.19999999999999</v>
      </c>
      <c r="I3723" s="13">
        <v>2</v>
      </c>
      <c r="J3723">
        <v>1</v>
      </c>
      <c r="K3723">
        <v>46.02</v>
      </c>
      <c r="L3723">
        <v>3</v>
      </c>
      <c r="M3723">
        <v>9</v>
      </c>
      <c r="N3723">
        <v>4</v>
      </c>
      <c r="O3723">
        <f t="shared" si="58"/>
        <v>3</v>
      </c>
    </row>
    <row r="3724" spans="1:15">
      <c r="A3724">
        <v>1570</v>
      </c>
      <c r="B3724" s="1">
        <v>45739</v>
      </c>
      <c r="C3724">
        <v>29</v>
      </c>
      <c r="D3724" t="s">
        <v>17</v>
      </c>
      <c r="E3724" t="s">
        <v>22</v>
      </c>
      <c r="F3724" t="s">
        <v>16</v>
      </c>
      <c r="H3724">
        <v>363.8</v>
      </c>
      <c r="I3724" s="13">
        <v>8</v>
      </c>
      <c r="J3724">
        <v>1</v>
      </c>
      <c r="K3724">
        <v>18.57</v>
      </c>
      <c r="L3724">
        <v>1</v>
      </c>
      <c r="M3724">
        <v>12</v>
      </c>
      <c r="N3724">
        <v>4</v>
      </c>
      <c r="O3724">
        <f t="shared" si="58"/>
        <v>3</v>
      </c>
    </row>
    <row r="3725" spans="1:15">
      <c r="A3725">
        <v>539</v>
      </c>
      <c r="B3725" s="1">
        <v>45739</v>
      </c>
      <c r="C3725">
        <v>19</v>
      </c>
      <c r="D3725" t="s">
        <v>17</v>
      </c>
      <c r="E3725" t="s">
        <v>15</v>
      </c>
      <c r="F3725" t="s">
        <v>18</v>
      </c>
      <c r="G3725" t="s">
        <v>26</v>
      </c>
      <c r="H3725">
        <v>496.4</v>
      </c>
      <c r="I3725" s="13">
        <v>6</v>
      </c>
      <c r="J3725">
        <v>1</v>
      </c>
      <c r="K3725">
        <v>18.440000000000001</v>
      </c>
      <c r="L3725">
        <v>5</v>
      </c>
      <c r="M3725">
        <v>5</v>
      </c>
      <c r="N3725">
        <v>5</v>
      </c>
      <c r="O3725">
        <f t="shared" si="58"/>
        <v>3</v>
      </c>
    </row>
    <row r="3726" spans="1:15">
      <c r="A3726">
        <v>1212</v>
      </c>
      <c r="B3726" s="1">
        <v>45739</v>
      </c>
      <c r="C3726">
        <v>22</v>
      </c>
      <c r="D3726" t="s">
        <v>14</v>
      </c>
      <c r="E3726" t="s">
        <v>24</v>
      </c>
      <c r="F3726" t="s">
        <v>18</v>
      </c>
      <c r="G3726" t="s">
        <v>31</v>
      </c>
      <c r="H3726">
        <v>307.10000000000002</v>
      </c>
      <c r="I3726" s="13">
        <v>2</v>
      </c>
      <c r="J3726">
        <v>1</v>
      </c>
      <c r="K3726">
        <v>16.16</v>
      </c>
      <c r="L3726">
        <v>4</v>
      </c>
      <c r="M3726">
        <v>14</v>
      </c>
      <c r="N3726">
        <v>3</v>
      </c>
      <c r="O3726">
        <f t="shared" si="58"/>
        <v>3</v>
      </c>
    </row>
    <row r="3727" spans="1:15">
      <c r="A3727">
        <v>3988</v>
      </c>
      <c r="B3727" s="1">
        <v>45739</v>
      </c>
      <c r="C3727">
        <v>35</v>
      </c>
      <c r="D3727" t="s">
        <v>14</v>
      </c>
      <c r="E3727" t="s">
        <v>24</v>
      </c>
      <c r="F3727" t="s">
        <v>18</v>
      </c>
      <c r="G3727" t="s">
        <v>25</v>
      </c>
      <c r="H3727">
        <v>788.9</v>
      </c>
      <c r="I3727" s="13">
        <v>7</v>
      </c>
      <c r="J3727">
        <v>0</v>
      </c>
      <c r="K3727">
        <v>0</v>
      </c>
      <c r="L3727">
        <v>0</v>
      </c>
      <c r="M3727">
        <v>0</v>
      </c>
      <c r="O3727">
        <f t="shared" si="58"/>
        <v>3</v>
      </c>
    </row>
    <row r="3728" spans="1:15">
      <c r="A3728">
        <v>3150</v>
      </c>
      <c r="B3728" s="1">
        <v>45739</v>
      </c>
      <c r="C3728">
        <v>48</v>
      </c>
      <c r="D3728" t="s">
        <v>27</v>
      </c>
      <c r="E3728" t="s">
        <v>24</v>
      </c>
      <c r="F3728" t="s">
        <v>23</v>
      </c>
      <c r="H3728">
        <v>545.5</v>
      </c>
      <c r="I3728" s="13">
        <v>10</v>
      </c>
      <c r="J3728">
        <v>0</v>
      </c>
      <c r="K3728">
        <v>0</v>
      </c>
      <c r="L3728">
        <v>0</v>
      </c>
      <c r="M3728">
        <v>0</v>
      </c>
      <c r="O3728">
        <f t="shared" si="58"/>
        <v>3</v>
      </c>
    </row>
    <row r="3729" spans="1:15">
      <c r="A3729">
        <v>4955</v>
      </c>
      <c r="B3729" s="1">
        <v>45739</v>
      </c>
      <c r="C3729">
        <v>55</v>
      </c>
      <c r="D3729" t="s">
        <v>14</v>
      </c>
      <c r="E3729" t="s">
        <v>22</v>
      </c>
      <c r="F3729" t="s">
        <v>18</v>
      </c>
      <c r="G3729" t="s">
        <v>28</v>
      </c>
      <c r="H3729">
        <v>386.5</v>
      </c>
      <c r="I3729" s="13">
        <v>6</v>
      </c>
      <c r="J3729">
        <v>0</v>
      </c>
      <c r="K3729">
        <v>0</v>
      </c>
      <c r="L3729">
        <v>0</v>
      </c>
      <c r="M3729">
        <v>0</v>
      </c>
      <c r="O3729">
        <f t="shared" si="58"/>
        <v>3</v>
      </c>
    </row>
    <row r="3730" spans="1:15">
      <c r="A3730">
        <v>3587</v>
      </c>
      <c r="B3730" s="1">
        <v>45739</v>
      </c>
      <c r="C3730">
        <v>23</v>
      </c>
      <c r="D3730" t="s">
        <v>14</v>
      </c>
      <c r="E3730" t="s">
        <v>24</v>
      </c>
      <c r="F3730" t="s">
        <v>18</v>
      </c>
      <c r="G3730" t="s">
        <v>28</v>
      </c>
      <c r="H3730">
        <v>306.8</v>
      </c>
      <c r="I3730" s="13">
        <v>4</v>
      </c>
      <c r="J3730">
        <v>0</v>
      </c>
      <c r="K3730">
        <v>0</v>
      </c>
      <c r="L3730">
        <v>0</v>
      </c>
      <c r="M3730">
        <v>0</v>
      </c>
      <c r="O3730">
        <f t="shared" si="58"/>
        <v>3</v>
      </c>
    </row>
    <row r="3731" spans="1:15">
      <c r="A3731">
        <v>2078</v>
      </c>
      <c r="B3731" s="1">
        <v>45739</v>
      </c>
      <c r="C3731">
        <v>43</v>
      </c>
      <c r="D3731" t="s">
        <v>14</v>
      </c>
      <c r="E3731" t="s">
        <v>20</v>
      </c>
      <c r="F3731" t="s">
        <v>16</v>
      </c>
      <c r="H3731">
        <v>288.3</v>
      </c>
      <c r="I3731" s="13">
        <v>9</v>
      </c>
      <c r="J3731">
        <v>0</v>
      </c>
      <c r="K3731">
        <v>0</v>
      </c>
      <c r="L3731">
        <v>0</v>
      </c>
      <c r="M3731">
        <v>0</v>
      </c>
      <c r="O3731">
        <f t="shared" si="58"/>
        <v>3</v>
      </c>
    </row>
    <row r="3732" spans="1:15">
      <c r="A3732">
        <v>3467</v>
      </c>
      <c r="B3732" s="1">
        <v>45739</v>
      </c>
      <c r="C3732">
        <v>20</v>
      </c>
      <c r="D3732" t="s">
        <v>14</v>
      </c>
      <c r="E3732" t="s">
        <v>24</v>
      </c>
      <c r="F3732" t="s">
        <v>16</v>
      </c>
      <c r="H3732">
        <v>283</v>
      </c>
      <c r="I3732" s="13">
        <v>10</v>
      </c>
      <c r="J3732">
        <v>0</v>
      </c>
      <c r="K3732">
        <v>0</v>
      </c>
      <c r="L3732">
        <v>0</v>
      </c>
      <c r="M3732">
        <v>0</v>
      </c>
      <c r="O3732">
        <f t="shared" si="58"/>
        <v>3</v>
      </c>
    </row>
    <row r="3733" spans="1:15">
      <c r="A3733">
        <v>1315</v>
      </c>
      <c r="B3733" s="1">
        <v>45739</v>
      </c>
      <c r="C3733">
        <v>23</v>
      </c>
      <c r="D3733" t="s">
        <v>17</v>
      </c>
      <c r="E3733" t="s">
        <v>20</v>
      </c>
      <c r="F3733" t="s">
        <v>18</v>
      </c>
      <c r="G3733" t="s">
        <v>31</v>
      </c>
      <c r="H3733">
        <v>241.3</v>
      </c>
      <c r="I3733" s="13">
        <v>6</v>
      </c>
      <c r="J3733">
        <v>0</v>
      </c>
      <c r="K3733">
        <v>0</v>
      </c>
      <c r="L3733">
        <v>0</v>
      </c>
      <c r="M3733">
        <v>0</v>
      </c>
      <c r="O3733">
        <f t="shared" si="58"/>
        <v>3</v>
      </c>
    </row>
    <row r="3734" spans="1:15">
      <c r="A3734">
        <v>3091</v>
      </c>
      <c r="B3734" s="1">
        <v>45739</v>
      </c>
      <c r="C3734">
        <v>39</v>
      </c>
      <c r="D3734" t="s">
        <v>17</v>
      </c>
      <c r="E3734" t="s">
        <v>22</v>
      </c>
      <c r="F3734" t="s">
        <v>23</v>
      </c>
      <c r="H3734">
        <v>236.8</v>
      </c>
      <c r="I3734" s="13">
        <v>5</v>
      </c>
      <c r="J3734">
        <v>0</v>
      </c>
      <c r="K3734">
        <v>0</v>
      </c>
      <c r="L3734">
        <v>0</v>
      </c>
      <c r="M3734">
        <v>0</v>
      </c>
      <c r="O3734">
        <f t="shared" si="58"/>
        <v>3</v>
      </c>
    </row>
    <row r="3735" spans="1:15">
      <c r="A3735">
        <v>1630</v>
      </c>
      <c r="B3735" s="1">
        <v>45739</v>
      </c>
      <c r="C3735">
        <v>22</v>
      </c>
      <c r="D3735" t="s">
        <v>17</v>
      </c>
      <c r="E3735" t="s">
        <v>22</v>
      </c>
      <c r="F3735" t="s">
        <v>18</v>
      </c>
      <c r="G3735" t="s">
        <v>19</v>
      </c>
      <c r="H3735">
        <v>212.6</v>
      </c>
      <c r="I3735" s="13">
        <v>4</v>
      </c>
      <c r="J3735">
        <v>0</v>
      </c>
      <c r="K3735">
        <v>0</v>
      </c>
      <c r="L3735">
        <v>0</v>
      </c>
      <c r="M3735">
        <v>0</v>
      </c>
      <c r="O3735">
        <f t="shared" si="58"/>
        <v>3</v>
      </c>
    </row>
    <row r="3736" spans="1:15">
      <c r="A3736">
        <v>832</v>
      </c>
      <c r="B3736" s="1">
        <v>45739</v>
      </c>
      <c r="C3736">
        <v>25</v>
      </c>
      <c r="D3736" t="s">
        <v>17</v>
      </c>
      <c r="E3736" t="s">
        <v>22</v>
      </c>
      <c r="F3736" t="s">
        <v>16</v>
      </c>
      <c r="H3736">
        <v>178.6</v>
      </c>
      <c r="I3736" s="13">
        <v>7</v>
      </c>
      <c r="J3736">
        <v>0</v>
      </c>
      <c r="K3736">
        <v>0</v>
      </c>
      <c r="L3736">
        <v>0</v>
      </c>
      <c r="M3736">
        <v>0</v>
      </c>
      <c r="O3736">
        <f t="shared" si="58"/>
        <v>3</v>
      </c>
    </row>
    <row r="3737" spans="1:15">
      <c r="A3737">
        <v>483</v>
      </c>
      <c r="B3737" s="1">
        <v>45739</v>
      </c>
      <c r="C3737">
        <v>20</v>
      </c>
      <c r="D3737" t="s">
        <v>27</v>
      </c>
      <c r="E3737" t="s">
        <v>24</v>
      </c>
      <c r="F3737" t="s">
        <v>16</v>
      </c>
      <c r="H3737">
        <v>164.6</v>
      </c>
      <c r="I3737" s="13">
        <v>4</v>
      </c>
      <c r="J3737">
        <v>0</v>
      </c>
      <c r="K3737">
        <v>0</v>
      </c>
      <c r="L3737">
        <v>0</v>
      </c>
      <c r="M3737">
        <v>0</v>
      </c>
      <c r="O3737">
        <f t="shared" si="58"/>
        <v>3</v>
      </c>
    </row>
    <row r="3738" spans="1:15">
      <c r="A3738">
        <v>2159</v>
      </c>
      <c r="B3738" s="1">
        <v>45739</v>
      </c>
      <c r="C3738">
        <v>30</v>
      </c>
      <c r="D3738" t="s">
        <v>17</v>
      </c>
      <c r="E3738" t="s">
        <v>15</v>
      </c>
      <c r="F3738" t="s">
        <v>16</v>
      </c>
      <c r="H3738">
        <v>157.69999999999999</v>
      </c>
      <c r="I3738" s="13">
        <v>12</v>
      </c>
      <c r="J3738">
        <v>0</v>
      </c>
      <c r="K3738">
        <v>0</v>
      </c>
      <c r="L3738">
        <v>0</v>
      </c>
      <c r="M3738">
        <v>0</v>
      </c>
      <c r="O3738">
        <f t="shared" si="58"/>
        <v>3</v>
      </c>
    </row>
    <row r="3739" spans="1:15">
      <c r="A3739">
        <v>3451</v>
      </c>
      <c r="B3739" s="1">
        <v>45739</v>
      </c>
      <c r="C3739">
        <v>25</v>
      </c>
      <c r="D3739" t="s">
        <v>14</v>
      </c>
      <c r="E3739" t="s">
        <v>20</v>
      </c>
      <c r="F3739" t="s">
        <v>18</v>
      </c>
      <c r="G3739" t="s">
        <v>30</v>
      </c>
      <c r="H3739">
        <v>149.5</v>
      </c>
      <c r="I3739" s="13">
        <v>2</v>
      </c>
      <c r="J3739">
        <v>0</v>
      </c>
      <c r="K3739">
        <v>0</v>
      </c>
      <c r="L3739">
        <v>0</v>
      </c>
      <c r="M3739">
        <v>0</v>
      </c>
      <c r="O3739">
        <f t="shared" si="58"/>
        <v>3</v>
      </c>
    </row>
    <row r="3740" spans="1:15">
      <c r="A3740">
        <v>4258</v>
      </c>
      <c r="B3740" s="1">
        <v>45739</v>
      </c>
      <c r="C3740">
        <v>51</v>
      </c>
      <c r="D3740" t="s">
        <v>17</v>
      </c>
      <c r="E3740" t="s">
        <v>22</v>
      </c>
      <c r="F3740" t="s">
        <v>21</v>
      </c>
      <c r="H3740">
        <v>138</v>
      </c>
      <c r="I3740" s="13">
        <v>6</v>
      </c>
      <c r="J3740">
        <v>0</v>
      </c>
      <c r="K3740">
        <v>0</v>
      </c>
      <c r="L3740">
        <v>0</v>
      </c>
      <c r="M3740">
        <v>0</v>
      </c>
      <c r="O3740">
        <f t="shared" si="58"/>
        <v>3</v>
      </c>
    </row>
    <row r="3741" spans="1:15">
      <c r="A3741">
        <v>1419</v>
      </c>
      <c r="B3741" s="1">
        <v>45739</v>
      </c>
      <c r="C3741">
        <v>25</v>
      </c>
      <c r="D3741" t="s">
        <v>17</v>
      </c>
      <c r="E3741" t="s">
        <v>15</v>
      </c>
      <c r="F3741" t="s">
        <v>18</v>
      </c>
      <c r="G3741" t="s">
        <v>31</v>
      </c>
      <c r="H3741">
        <v>110.7</v>
      </c>
      <c r="I3741" s="13">
        <v>4</v>
      </c>
      <c r="J3741">
        <v>0</v>
      </c>
      <c r="K3741">
        <v>0</v>
      </c>
      <c r="L3741">
        <v>0</v>
      </c>
      <c r="M3741">
        <v>0</v>
      </c>
      <c r="O3741">
        <f t="shared" si="58"/>
        <v>3</v>
      </c>
    </row>
    <row r="3742" spans="1:15">
      <c r="A3742">
        <v>1431</v>
      </c>
      <c r="B3742" s="1">
        <v>45739</v>
      </c>
      <c r="C3742">
        <v>20</v>
      </c>
      <c r="D3742" t="s">
        <v>14</v>
      </c>
      <c r="E3742" t="s">
        <v>22</v>
      </c>
      <c r="F3742" t="s">
        <v>23</v>
      </c>
      <c r="H3742">
        <v>100.2</v>
      </c>
      <c r="I3742" s="13">
        <v>8</v>
      </c>
      <c r="J3742">
        <v>0</v>
      </c>
      <c r="K3742">
        <v>0</v>
      </c>
      <c r="L3742">
        <v>0</v>
      </c>
      <c r="M3742">
        <v>0</v>
      </c>
      <c r="O3742">
        <f t="shared" si="58"/>
        <v>3</v>
      </c>
    </row>
    <row r="3743" spans="1:15">
      <c r="A3743">
        <v>809</v>
      </c>
      <c r="B3743" s="1">
        <v>45739</v>
      </c>
      <c r="C3743">
        <v>31</v>
      </c>
      <c r="D3743" t="s">
        <v>17</v>
      </c>
      <c r="E3743" t="s">
        <v>22</v>
      </c>
      <c r="F3743" t="s">
        <v>23</v>
      </c>
      <c r="H3743">
        <v>85.7</v>
      </c>
      <c r="I3743" s="13">
        <v>5</v>
      </c>
      <c r="J3743">
        <v>0</v>
      </c>
      <c r="K3743">
        <v>0</v>
      </c>
      <c r="L3743">
        <v>0</v>
      </c>
      <c r="M3743">
        <v>0</v>
      </c>
      <c r="O3743">
        <f t="shared" si="58"/>
        <v>3</v>
      </c>
    </row>
    <row r="3744" spans="1:15">
      <c r="A3744">
        <v>1264</v>
      </c>
      <c r="B3744" s="1">
        <v>45739</v>
      </c>
      <c r="C3744">
        <v>29</v>
      </c>
      <c r="D3744" t="s">
        <v>14</v>
      </c>
      <c r="E3744" t="s">
        <v>15</v>
      </c>
      <c r="F3744" t="s">
        <v>18</v>
      </c>
      <c r="G3744" t="s">
        <v>31</v>
      </c>
      <c r="H3744">
        <v>48.2</v>
      </c>
      <c r="I3744" s="13">
        <v>8</v>
      </c>
      <c r="J3744">
        <v>0</v>
      </c>
      <c r="K3744">
        <v>0</v>
      </c>
      <c r="L3744">
        <v>0</v>
      </c>
      <c r="M3744">
        <v>0</v>
      </c>
      <c r="O3744">
        <f t="shared" si="58"/>
        <v>3</v>
      </c>
    </row>
    <row r="3745" spans="1:15">
      <c r="A3745">
        <v>2410</v>
      </c>
      <c r="B3745" s="1">
        <v>45739</v>
      </c>
      <c r="C3745">
        <v>27</v>
      </c>
      <c r="D3745" t="s">
        <v>14</v>
      </c>
      <c r="E3745" t="s">
        <v>24</v>
      </c>
      <c r="F3745" t="s">
        <v>16</v>
      </c>
      <c r="H3745">
        <v>47.9</v>
      </c>
      <c r="I3745" s="13">
        <v>5</v>
      </c>
      <c r="J3745">
        <v>0</v>
      </c>
      <c r="K3745">
        <v>0</v>
      </c>
      <c r="L3745">
        <v>0</v>
      </c>
      <c r="M3745">
        <v>0</v>
      </c>
      <c r="O3745">
        <f t="shared" si="58"/>
        <v>3</v>
      </c>
    </row>
    <row r="3746" spans="1:15">
      <c r="A3746">
        <v>2586</v>
      </c>
      <c r="B3746" s="1">
        <v>45770</v>
      </c>
      <c r="C3746">
        <v>35</v>
      </c>
      <c r="D3746" t="s">
        <v>14</v>
      </c>
      <c r="E3746" t="s">
        <v>22</v>
      </c>
      <c r="F3746" t="s">
        <v>18</v>
      </c>
      <c r="G3746" t="s">
        <v>19</v>
      </c>
      <c r="H3746">
        <v>791.7</v>
      </c>
      <c r="I3746" s="13">
        <v>7</v>
      </c>
      <c r="J3746">
        <v>1</v>
      </c>
      <c r="K3746">
        <v>167</v>
      </c>
      <c r="L3746">
        <v>1</v>
      </c>
      <c r="M3746">
        <v>11</v>
      </c>
      <c r="N3746">
        <v>4</v>
      </c>
      <c r="O3746">
        <f t="shared" si="58"/>
        <v>4</v>
      </c>
    </row>
    <row r="3747" spans="1:15">
      <c r="A3747">
        <v>484</v>
      </c>
      <c r="B3747" s="1">
        <v>45770</v>
      </c>
      <c r="C3747">
        <v>19</v>
      </c>
      <c r="D3747" t="s">
        <v>14</v>
      </c>
      <c r="E3747" t="s">
        <v>24</v>
      </c>
      <c r="F3747" t="s">
        <v>16</v>
      </c>
      <c r="H3747">
        <v>423.9</v>
      </c>
      <c r="I3747" s="13">
        <v>5</v>
      </c>
      <c r="J3747">
        <v>1</v>
      </c>
      <c r="K3747">
        <v>317.7</v>
      </c>
      <c r="L3747">
        <v>4</v>
      </c>
      <c r="M3747">
        <v>8</v>
      </c>
      <c r="N3747">
        <v>3</v>
      </c>
      <c r="O3747">
        <f t="shared" si="58"/>
        <v>4</v>
      </c>
    </row>
    <row r="3748" spans="1:15">
      <c r="A3748">
        <v>913</v>
      </c>
      <c r="B3748" s="1">
        <v>45770</v>
      </c>
      <c r="C3748">
        <v>31</v>
      </c>
      <c r="D3748" t="s">
        <v>14</v>
      </c>
      <c r="E3748" t="s">
        <v>22</v>
      </c>
      <c r="F3748" t="s">
        <v>16</v>
      </c>
      <c r="H3748">
        <v>208</v>
      </c>
      <c r="I3748" s="13">
        <v>4</v>
      </c>
      <c r="J3748">
        <v>1</v>
      </c>
      <c r="K3748">
        <v>231.2</v>
      </c>
      <c r="L3748">
        <v>4</v>
      </c>
      <c r="M3748">
        <v>2</v>
      </c>
      <c r="N3748">
        <v>4</v>
      </c>
      <c r="O3748">
        <f t="shared" si="58"/>
        <v>4</v>
      </c>
    </row>
    <row r="3749" spans="1:15">
      <c r="A3749">
        <v>1363</v>
      </c>
      <c r="B3749" s="1">
        <v>45770</v>
      </c>
      <c r="C3749">
        <v>24</v>
      </c>
      <c r="D3749" t="s">
        <v>17</v>
      </c>
      <c r="E3749" t="s">
        <v>22</v>
      </c>
      <c r="F3749" t="s">
        <v>16</v>
      </c>
      <c r="H3749">
        <v>112.5</v>
      </c>
      <c r="I3749" s="13">
        <v>6</v>
      </c>
      <c r="J3749">
        <v>1</v>
      </c>
      <c r="K3749">
        <v>68.78</v>
      </c>
      <c r="L3749">
        <v>3</v>
      </c>
      <c r="M3749">
        <v>7</v>
      </c>
      <c r="N3749">
        <v>4</v>
      </c>
      <c r="O3749">
        <f t="shared" si="58"/>
        <v>4</v>
      </c>
    </row>
    <row r="3750" spans="1:15">
      <c r="A3750">
        <v>1732</v>
      </c>
      <c r="B3750" s="1">
        <v>45770</v>
      </c>
      <c r="C3750">
        <v>39</v>
      </c>
      <c r="D3750" t="s">
        <v>17</v>
      </c>
      <c r="E3750" t="s">
        <v>22</v>
      </c>
      <c r="F3750" t="s">
        <v>18</v>
      </c>
      <c r="G3750" t="s">
        <v>25</v>
      </c>
      <c r="H3750">
        <v>404.2</v>
      </c>
      <c r="I3750" s="13">
        <v>5</v>
      </c>
      <c r="J3750">
        <v>1</v>
      </c>
      <c r="K3750">
        <v>65.62</v>
      </c>
      <c r="L3750">
        <v>4</v>
      </c>
      <c r="M3750">
        <v>10</v>
      </c>
      <c r="N3750">
        <v>4</v>
      </c>
      <c r="O3750">
        <f t="shared" si="58"/>
        <v>4</v>
      </c>
    </row>
    <row r="3751" spans="1:15">
      <c r="A3751">
        <v>750</v>
      </c>
      <c r="B3751" s="1">
        <v>45770</v>
      </c>
      <c r="C3751">
        <v>26</v>
      </c>
      <c r="D3751" t="s">
        <v>14</v>
      </c>
      <c r="E3751" t="s">
        <v>22</v>
      </c>
      <c r="F3751" t="s">
        <v>23</v>
      </c>
      <c r="H3751">
        <v>368.7</v>
      </c>
      <c r="I3751" s="13">
        <v>6</v>
      </c>
      <c r="J3751">
        <v>1</v>
      </c>
      <c r="K3751">
        <v>46.7</v>
      </c>
      <c r="L3751">
        <v>3</v>
      </c>
      <c r="M3751">
        <v>1</v>
      </c>
      <c r="N3751">
        <v>4</v>
      </c>
      <c r="O3751">
        <f t="shared" si="58"/>
        <v>4</v>
      </c>
    </row>
    <row r="3752" spans="1:15">
      <c r="A3752">
        <v>1246</v>
      </c>
      <c r="B3752" s="1">
        <v>45770</v>
      </c>
      <c r="C3752">
        <v>26</v>
      </c>
      <c r="D3752" t="s">
        <v>14</v>
      </c>
      <c r="E3752" t="s">
        <v>24</v>
      </c>
      <c r="F3752" t="s">
        <v>16</v>
      </c>
      <c r="H3752">
        <v>1069.2</v>
      </c>
      <c r="I3752" s="13">
        <v>4</v>
      </c>
      <c r="J3752">
        <v>1</v>
      </c>
      <c r="K3752">
        <v>38.770000000000003</v>
      </c>
      <c r="L3752">
        <v>2</v>
      </c>
      <c r="M3752">
        <v>5</v>
      </c>
      <c r="N3752">
        <v>4</v>
      </c>
      <c r="O3752">
        <f t="shared" si="58"/>
        <v>4</v>
      </c>
    </row>
    <row r="3753" spans="1:15">
      <c r="A3753">
        <v>3556</v>
      </c>
      <c r="B3753" s="1">
        <v>45770</v>
      </c>
      <c r="C3753">
        <v>52</v>
      </c>
      <c r="D3753" t="s">
        <v>17</v>
      </c>
      <c r="E3753" t="s">
        <v>15</v>
      </c>
      <c r="F3753" t="s">
        <v>16</v>
      </c>
      <c r="H3753">
        <v>594.1</v>
      </c>
      <c r="I3753" s="13">
        <v>7</v>
      </c>
      <c r="J3753">
        <v>1</v>
      </c>
      <c r="K3753">
        <v>33.99</v>
      </c>
      <c r="L3753">
        <v>2</v>
      </c>
      <c r="M3753">
        <v>4</v>
      </c>
      <c r="N3753">
        <v>4</v>
      </c>
      <c r="O3753">
        <f t="shared" si="58"/>
        <v>4</v>
      </c>
    </row>
    <row r="3754" spans="1:15">
      <c r="A3754">
        <v>3064</v>
      </c>
      <c r="B3754" s="1">
        <v>45770</v>
      </c>
      <c r="C3754">
        <v>41</v>
      </c>
      <c r="D3754" t="s">
        <v>17</v>
      </c>
      <c r="E3754" t="s">
        <v>24</v>
      </c>
      <c r="F3754" t="s">
        <v>23</v>
      </c>
      <c r="H3754">
        <v>196.5</v>
      </c>
      <c r="I3754" s="13">
        <v>4</v>
      </c>
      <c r="J3754">
        <v>1</v>
      </c>
      <c r="K3754">
        <v>26.06</v>
      </c>
      <c r="L3754">
        <v>5</v>
      </c>
      <c r="M3754">
        <v>12</v>
      </c>
      <c r="N3754">
        <v>4</v>
      </c>
      <c r="O3754">
        <f t="shared" si="58"/>
        <v>4</v>
      </c>
    </row>
    <row r="3755" spans="1:15">
      <c r="A3755">
        <v>3506</v>
      </c>
      <c r="B3755" s="1">
        <v>45770</v>
      </c>
      <c r="C3755">
        <v>31</v>
      </c>
      <c r="D3755" t="s">
        <v>17</v>
      </c>
      <c r="E3755" t="s">
        <v>15</v>
      </c>
      <c r="F3755" t="s">
        <v>16</v>
      </c>
      <c r="H3755">
        <v>714.5</v>
      </c>
      <c r="I3755" s="13">
        <v>7</v>
      </c>
      <c r="J3755">
        <v>1</v>
      </c>
      <c r="K3755">
        <v>20</v>
      </c>
      <c r="L3755">
        <v>2</v>
      </c>
      <c r="M3755">
        <v>7</v>
      </c>
      <c r="N3755">
        <v>4</v>
      </c>
      <c r="O3755">
        <f t="shared" si="58"/>
        <v>4</v>
      </c>
    </row>
    <row r="3756" spans="1:15">
      <c r="A3756">
        <v>1819</v>
      </c>
      <c r="B3756" s="1">
        <v>45770</v>
      </c>
      <c r="C3756">
        <v>35</v>
      </c>
      <c r="D3756" t="s">
        <v>17</v>
      </c>
      <c r="E3756" t="s">
        <v>15</v>
      </c>
      <c r="F3756" t="s">
        <v>16</v>
      </c>
      <c r="H3756">
        <v>663</v>
      </c>
      <c r="I3756" s="13">
        <v>5</v>
      </c>
      <c r="J3756">
        <v>1</v>
      </c>
      <c r="K3756">
        <v>15.26</v>
      </c>
      <c r="L3756">
        <v>3</v>
      </c>
      <c r="M3756">
        <v>6</v>
      </c>
      <c r="N3756">
        <v>5</v>
      </c>
      <c r="O3756">
        <f t="shared" si="58"/>
        <v>4</v>
      </c>
    </row>
    <row r="3757" spans="1:15">
      <c r="A3757">
        <v>1044</v>
      </c>
      <c r="B3757" s="1">
        <v>45770</v>
      </c>
      <c r="C3757">
        <v>33</v>
      </c>
      <c r="D3757" t="s">
        <v>14</v>
      </c>
      <c r="E3757" t="s">
        <v>24</v>
      </c>
      <c r="F3757" t="s">
        <v>18</v>
      </c>
      <c r="G3757" t="s">
        <v>26</v>
      </c>
      <c r="H3757">
        <v>697.5</v>
      </c>
      <c r="I3757" s="13">
        <v>1</v>
      </c>
      <c r="J3757">
        <v>0</v>
      </c>
      <c r="K3757">
        <v>0</v>
      </c>
      <c r="L3757">
        <v>0</v>
      </c>
      <c r="M3757">
        <v>0</v>
      </c>
      <c r="O3757">
        <f t="shared" si="58"/>
        <v>4</v>
      </c>
    </row>
    <row r="3758" spans="1:15">
      <c r="A3758">
        <v>3630</v>
      </c>
      <c r="B3758" s="1">
        <v>45770</v>
      </c>
      <c r="C3758">
        <v>35</v>
      </c>
      <c r="D3758" t="s">
        <v>14</v>
      </c>
      <c r="E3758" t="s">
        <v>24</v>
      </c>
      <c r="F3758" t="s">
        <v>21</v>
      </c>
      <c r="H3758">
        <v>544.9</v>
      </c>
      <c r="I3758" s="13">
        <v>6</v>
      </c>
      <c r="J3758">
        <v>0</v>
      </c>
      <c r="K3758">
        <v>0</v>
      </c>
      <c r="L3758">
        <v>0</v>
      </c>
      <c r="M3758">
        <v>0</v>
      </c>
      <c r="O3758">
        <f t="shared" si="58"/>
        <v>4</v>
      </c>
    </row>
    <row r="3759" spans="1:15">
      <c r="A3759">
        <v>1569</v>
      </c>
      <c r="B3759" s="1">
        <v>45770</v>
      </c>
      <c r="C3759">
        <v>26</v>
      </c>
      <c r="D3759" t="s">
        <v>17</v>
      </c>
      <c r="E3759" t="s">
        <v>15</v>
      </c>
      <c r="F3759" t="s">
        <v>23</v>
      </c>
      <c r="H3759">
        <v>439</v>
      </c>
      <c r="I3759" s="13">
        <v>5</v>
      </c>
      <c r="J3759">
        <v>0</v>
      </c>
      <c r="K3759">
        <v>0</v>
      </c>
      <c r="L3759">
        <v>0</v>
      </c>
      <c r="M3759">
        <v>0</v>
      </c>
      <c r="O3759">
        <f t="shared" si="58"/>
        <v>4</v>
      </c>
    </row>
    <row r="3760" spans="1:15">
      <c r="A3760">
        <v>4855</v>
      </c>
      <c r="B3760" s="1">
        <v>45770</v>
      </c>
      <c r="C3760">
        <v>45</v>
      </c>
      <c r="D3760" t="s">
        <v>17</v>
      </c>
      <c r="E3760" t="s">
        <v>20</v>
      </c>
      <c r="F3760" t="s">
        <v>18</v>
      </c>
      <c r="G3760" t="s">
        <v>31</v>
      </c>
      <c r="H3760">
        <v>430.5</v>
      </c>
      <c r="I3760" s="13">
        <v>8</v>
      </c>
      <c r="J3760">
        <v>0</v>
      </c>
      <c r="K3760">
        <v>0</v>
      </c>
      <c r="L3760">
        <v>0</v>
      </c>
      <c r="M3760">
        <v>0</v>
      </c>
      <c r="O3760">
        <f t="shared" si="58"/>
        <v>4</v>
      </c>
    </row>
    <row r="3761" spans="1:15">
      <c r="A3761">
        <v>3428</v>
      </c>
      <c r="B3761" s="1">
        <v>45770</v>
      </c>
      <c r="C3761">
        <v>31</v>
      </c>
      <c r="D3761" t="s">
        <v>27</v>
      </c>
      <c r="E3761" t="s">
        <v>22</v>
      </c>
      <c r="F3761" t="s">
        <v>21</v>
      </c>
      <c r="H3761">
        <v>389.9</v>
      </c>
      <c r="I3761" s="13">
        <v>7</v>
      </c>
      <c r="J3761">
        <v>0</v>
      </c>
      <c r="K3761">
        <v>0</v>
      </c>
      <c r="L3761">
        <v>0</v>
      </c>
      <c r="M3761">
        <v>0</v>
      </c>
      <c r="O3761">
        <f t="shared" si="58"/>
        <v>4</v>
      </c>
    </row>
    <row r="3762" spans="1:15">
      <c r="A3762">
        <v>2458</v>
      </c>
      <c r="B3762" s="1">
        <v>45770</v>
      </c>
      <c r="C3762">
        <v>24</v>
      </c>
      <c r="D3762" t="s">
        <v>17</v>
      </c>
      <c r="E3762" t="s">
        <v>24</v>
      </c>
      <c r="F3762" t="s">
        <v>18</v>
      </c>
      <c r="G3762" t="s">
        <v>19</v>
      </c>
      <c r="H3762">
        <v>389.2</v>
      </c>
      <c r="I3762" s="13">
        <v>7</v>
      </c>
      <c r="J3762">
        <v>0</v>
      </c>
      <c r="K3762">
        <v>0</v>
      </c>
      <c r="L3762">
        <v>0</v>
      </c>
      <c r="M3762">
        <v>0</v>
      </c>
      <c r="O3762">
        <f t="shared" si="58"/>
        <v>4</v>
      </c>
    </row>
    <row r="3763" spans="1:15">
      <c r="A3763">
        <v>4083</v>
      </c>
      <c r="B3763" s="1">
        <v>45770</v>
      </c>
      <c r="C3763">
        <v>19</v>
      </c>
      <c r="D3763" t="s">
        <v>17</v>
      </c>
      <c r="E3763" t="s">
        <v>15</v>
      </c>
      <c r="F3763" t="s">
        <v>18</v>
      </c>
      <c r="G3763" t="s">
        <v>30</v>
      </c>
      <c r="H3763">
        <v>372.4</v>
      </c>
      <c r="I3763" s="13">
        <v>5</v>
      </c>
      <c r="J3763">
        <v>0</v>
      </c>
      <c r="K3763">
        <v>0</v>
      </c>
      <c r="L3763">
        <v>0</v>
      </c>
      <c r="M3763">
        <v>0</v>
      </c>
      <c r="O3763">
        <f t="shared" si="58"/>
        <v>4</v>
      </c>
    </row>
    <row r="3764" spans="1:15">
      <c r="A3764">
        <v>753</v>
      </c>
      <c r="B3764" s="1">
        <v>45770</v>
      </c>
      <c r="C3764">
        <v>24</v>
      </c>
      <c r="D3764" t="s">
        <v>14</v>
      </c>
      <c r="E3764" t="s">
        <v>22</v>
      </c>
      <c r="F3764" t="s">
        <v>23</v>
      </c>
      <c r="H3764">
        <v>362.6</v>
      </c>
      <c r="I3764" s="13">
        <v>7</v>
      </c>
      <c r="J3764">
        <v>0</v>
      </c>
      <c r="K3764">
        <v>0</v>
      </c>
      <c r="L3764">
        <v>0</v>
      </c>
      <c r="M3764">
        <v>0</v>
      </c>
      <c r="O3764">
        <f t="shared" si="58"/>
        <v>4</v>
      </c>
    </row>
    <row r="3765" spans="1:15">
      <c r="A3765">
        <v>82</v>
      </c>
      <c r="B3765" s="1">
        <v>45770</v>
      </c>
      <c r="C3765">
        <v>29</v>
      </c>
      <c r="D3765" t="s">
        <v>14</v>
      </c>
      <c r="E3765" t="s">
        <v>15</v>
      </c>
      <c r="F3765" t="s">
        <v>18</v>
      </c>
      <c r="G3765" t="s">
        <v>30</v>
      </c>
      <c r="H3765">
        <v>338.1</v>
      </c>
      <c r="I3765" s="13">
        <v>9</v>
      </c>
      <c r="J3765">
        <v>0</v>
      </c>
      <c r="K3765">
        <v>0</v>
      </c>
      <c r="L3765">
        <v>0</v>
      </c>
      <c r="M3765">
        <v>0</v>
      </c>
      <c r="O3765">
        <f t="shared" si="58"/>
        <v>4</v>
      </c>
    </row>
    <row r="3766" spans="1:15">
      <c r="A3766">
        <v>2798</v>
      </c>
      <c r="B3766" s="1">
        <v>45770</v>
      </c>
      <c r="C3766">
        <v>27</v>
      </c>
      <c r="D3766" t="s">
        <v>14</v>
      </c>
      <c r="E3766" t="s">
        <v>24</v>
      </c>
      <c r="F3766" t="s">
        <v>18</v>
      </c>
      <c r="G3766" t="s">
        <v>29</v>
      </c>
      <c r="H3766">
        <v>260.8</v>
      </c>
      <c r="I3766" s="13">
        <v>8</v>
      </c>
      <c r="J3766">
        <v>0</v>
      </c>
      <c r="K3766">
        <v>0</v>
      </c>
      <c r="L3766">
        <v>0</v>
      </c>
      <c r="M3766">
        <v>0</v>
      </c>
      <c r="O3766">
        <f t="shared" si="58"/>
        <v>4</v>
      </c>
    </row>
    <row r="3767" spans="1:15">
      <c r="A3767">
        <v>4514</v>
      </c>
      <c r="B3767" s="1">
        <v>45770</v>
      </c>
      <c r="C3767">
        <v>57</v>
      </c>
      <c r="D3767" t="s">
        <v>17</v>
      </c>
      <c r="E3767" t="s">
        <v>15</v>
      </c>
      <c r="F3767" t="s">
        <v>16</v>
      </c>
      <c r="H3767">
        <v>252.5</v>
      </c>
      <c r="I3767" s="13">
        <v>5</v>
      </c>
      <c r="J3767">
        <v>0</v>
      </c>
      <c r="K3767">
        <v>0</v>
      </c>
      <c r="L3767">
        <v>0</v>
      </c>
      <c r="M3767">
        <v>0</v>
      </c>
      <c r="O3767">
        <f t="shared" si="58"/>
        <v>4</v>
      </c>
    </row>
    <row r="3768" spans="1:15">
      <c r="A3768">
        <v>4947</v>
      </c>
      <c r="B3768" s="1">
        <v>45770</v>
      </c>
      <c r="C3768">
        <v>49</v>
      </c>
      <c r="D3768" t="s">
        <v>17</v>
      </c>
      <c r="E3768" t="s">
        <v>24</v>
      </c>
      <c r="F3768" t="s">
        <v>16</v>
      </c>
      <c r="H3768">
        <v>245</v>
      </c>
      <c r="I3768" s="13">
        <v>9</v>
      </c>
      <c r="J3768">
        <v>0</v>
      </c>
      <c r="K3768">
        <v>0</v>
      </c>
      <c r="L3768">
        <v>0</v>
      </c>
      <c r="M3768">
        <v>0</v>
      </c>
      <c r="O3768">
        <f t="shared" si="58"/>
        <v>4</v>
      </c>
    </row>
    <row r="3769" spans="1:15">
      <c r="A3769">
        <v>4358</v>
      </c>
      <c r="B3769" s="1">
        <v>45770</v>
      </c>
      <c r="C3769">
        <v>60</v>
      </c>
      <c r="D3769" t="s">
        <v>14</v>
      </c>
      <c r="E3769" t="s">
        <v>20</v>
      </c>
      <c r="F3769" t="s">
        <v>21</v>
      </c>
      <c r="H3769">
        <v>222.4</v>
      </c>
      <c r="I3769" s="13">
        <v>9</v>
      </c>
      <c r="J3769">
        <v>0</v>
      </c>
      <c r="K3769">
        <v>0</v>
      </c>
      <c r="L3769">
        <v>0</v>
      </c>
      <c r="M3769">
        <v>0</v>
      </c>
      <c r="O3769">
        <f t="shared" si="58"/>
        <v>4</v>
      </c>
    </row>
    <row r="3770" spans="1:15">
      <c r="A3770">
        <v>3004</v>
      </c>
      <c r="B3770" s="1">
        <v>45770</v>
      </c>
      <c r="C3770">
        <v>44</v>
      </c>
      <c r="D3770" t="s">
        <v>17</v>
      </c>
      <c r="E3770" t="s">
        <v>24</v>
      </c>
      <c r="F3770" t="s">
        <v>23</v>
      </c>
      <c r="H3770">
        <v>214.4</v>
      </c>
      <c r="I3770" s="13">
        <v>5</v>
      </c>
      <c r="J3770">
        <v>0</v>
      </c>
      <c r="K3770">
        <v>0</v>
      </c>
      <c r="L3770">
        <v>0</v>
      </c>
      <c r="M3770">
        <v>0</v>
      </c>
      <c r="O3770">
        <f t="shared" si="58"/>
        <v>4</v>
      </c>
    </row>
    <row r="3771" spans="1:15">
      <c r="A3771">
        <v>350</v>
      </c>
      <c r="B3771" s="1">
        <v>45770</v>
      </c>
      <c r="C3771">
        <v>23</v>
      </c>
      <c r="D3771" t="s">
        <v>14</v>
      </c>
      <c r="E3771" t="s">
        <v>15</v>
      </c>
      <c r="F3771" t="s">
        <v>18</v>
      </c>
      <c r="G3771" t="s">
        <v>26</v>
      </c>
      <c r="H3771">
        <v>194.9</v>
      </c>
      <c r="I3771" s="13">
        <v>5</v>
      </c>
      <c r="J3771">
        <v>0</v>
      </c>
      <c r="K3771">
        <v>0</v>
      </c>
      <c r="L3771">
        <v>0</v>
      </c>
      <c r="M3771">
        <v>0</v>
      </c>
      <c r="O3771">
        <f t="shared" si="58"/>
        <v>4</v>
      </c>
    </row>
    <row r="3772" spans="1:15">
      <c r="A3772">
        <v>2745</v>
      </c>
      <c r="B3772" s="1">
        <v>45770</v>
      </c>
      <c r="C3772">
        <v>31</v>
      </c>
      <c r="D3772" t="s">
        <v>17</v>
      </c>
      <c r="E3772" t="s">
        <v>20</v>
      </c>
      <c r="F3772" t="s">
        <v>16</v>
      </c>
      <c r="H3772">
        <v>178.6</v>
      </c>
      <c r="I3772" s="13">
        <v>3</v>
      </c>
      <c r="J3772">
        <v>0</v>
      </c>
      <c r="K3772">
        <v>0</v>
      </c>
      <c r="L3772">
        <v>0</v>
      </c>
      <c r="M3772">
        <v>0</v>
      </c>
      <c r="O3772">
        <f t="shared" si="58"/>
        <v>4</v>
      </c>
    </row>
    <row r="3773" spans="1:15">
      <c r="A3773">
        <v>4861</v>
      </c>
      <c r="B3773" s="1">
        <v>45770</v>
      </c>
      <c r="C3773">
        <v>55</v>
      </c>
      <c r="D3773" t="s">
        <v>14</v>
      </c>
      <c r="E3773" t="s">
        <v>20</v>
      </c>
      <c r="F3773" t="s">
        <v>18</v>
      </c>
      <c r="G3773" t="s">
        <v>29</v>
      </c>
      <c r="H3773">
        <v>173.2</v>
      </c>
      <c r="I3773" s="13">
        <v>3</v>
      </c>
      <c r="J3773">
        <v>0</v>
      </c>
      <c r="K3773">
        <v>0</v>
      </c>
      <c r="L3773">
        <v>0</v>
      </c>
      <c r="M3773">
        <v>0</v>
      </c>
      <c r="O3773">
        <f t="shared" si="58"/>
        <v>4</v>
      </c>
    </row>
    <row r="3774" spans="1:15">
      <c r="A3774">
        <v>2463</v>
      </c>
      <c r="B3774" s="1">
        <v>45770</v>
      </c>
      <c r="C3774">
        <v>39</v>
      </c>
      <c r="D3774" t="s">
        <v>14</v>
      </c>
      <c r="E3774" t="s">
        <v>24</v>
      </c>
      <c r="F3774" t="s">
        <v>16</v>
      </c>
      <c r="H3774">
        <v>161.5</v>
      </c>
      <c r="I3774" s="13">
        <v>9</v>
      </c>
      <c r="J3774">
        <v>0</v>
      </c>
      <c r="K3774">
        <v>0</v>
      </c>
      <c r="L3774">
        <v>0</v>
      </c>
      <c r="M3774">
        <v>0</v>
      </c>
      <c r="O3774">
        <f t="shared" si="58"/>
        <v>4</v>
      </c>
    </row>
    <row r="3775" spans="1:15">
      <c r="A3775">
        <v>3422</v>
      </c>
      <c r="B3775" s="1">
        <v>45770</v>
      </c>
      <c r="C3775">
        <v>31</v>
      </c>
      <c r="D3775" t="s">
        <v>14</v>
      </c>
      <c r="E3775" t="s">
        <v>15</v>
      </c>
      <c r="F3775" t="s">
        <v>23</v>
      </c>
      <c r="H3775">
        <v>153.4</v>
      </c>
      <c r="I3775" s="13">
        <v>10</v>
      </c>
      <c r="J3775">
        <v>0</v>
      </c>
      <c r="K3775">
        <v>0</v>
      </c>
      <c r="L3775">
        <v>0</v>
      </c>
      <c r="M3775">
        <v>0</v>
      </c>
      <c r="O3775">
        <f t="shared" si="58"/>
        <v>4</v>
      </c>
    </row>
    <row r="3776" spans="1:15">
      <c r="A3776">
        <v>1644</v>
      </c>
      <c r="B3776" s="1">
        <v>45770</v>
      </c>
      <c r="C3776">
        <v>21</v>
      </c>
      <c r="D3776" t="s">
        <v>14</v>
      </c>
      <c r="E3776" t="s">
        <v>22</v>
      </c>
      <c r="F3776" t="s">
        <v>16</v>
      </c>
      <c r="H3776">
        <v>149.4</v>
      </c>
      <c r="I3776" s="13">
        <v>7</v>
      </c>
      <c r="J3776">
        <v>0</v>
      </c>
      <c r="K3776">
        <v>0</v>
      </c>
      <c r="L3776">
        <v>0</v>
      </c>
      <c r="M3776">
        <v>0</v>
      </c>
      <c r="O3776">
        <f t="shared" si="58"/>
        <v>4</v>
      </c>
    </row>
    <row r="3777" spans="1:15">
      <c r="A3777">
        <v>3714</v>
      </c>
      <c r="B3777" s="1">
        <v>45770</v>
      </c>
      <c r="C3777">
        <v>32</v>
      </c>
      <c r="D3777" t="s">
        <v>17</v>
      </c>
      <c r="E3777" t="s">
        <v>24</v>
      </c>
      <c r="F3777" t="s">
        <v>18</v>
      </c>
      <c r="G3777" t="s">
        <v>25</v>
      </c>
      <c r="H3777">
        <v>139.69999999999999</v>
      </c>
      <c r="I3777" s="13">
        <v>7</v>
      </c>
      <c r="J3777">
        <v>0</v>
      </c>
      <c r="K3777">
        <v>0</v>
      </c>
      <c r="L3777">
        <v>0</v>
      </c>
      <c r="M3777">
        <v>0</v>
      </c>
      <c r="O3777">
        <f t="shared" si="58"/>
        <v>4</v>
      </c>
    </row>
    <row r="3778" spans="1:15">
      <c r="A3778">
        <v>299</v>
      </c>
      <c r="B3778" s="1">
        <v>45770</v>
      </c>
      <c r="C3778">
        <v>18</v>
      </c>
      <c r="D3778" t="s">
        <v>17</v>
      </c>
      <c r="E3778" t="s">
        <v>22</v>
      </c>
      <c r="F3778" t="s">
        <v>16</v>
      </c>
      <c r="H3778">
        <v>130.1</v>
      </c>
      <c r="I3778" s="13">
        <v>7</v>
      </c>
      <c r="J3778">
        <v>0</v>
      </c>
      <c r="K3778">
        <v>0</v>
      </c>
      <c r="L3778">
        <v>0</v>
      </c>
      <c r="M3778">
        <v>0</v>
      </c>
      <c r="O3778">
        <f t="shared" si="58"/>
        <v>4</v>
      </c>
    </row>
    <row r="3779" spans="1:15">
      <c r="A3779">
        <v>1060</v>
      </c>
      <c r="B3779" s="1">
        <v>45770</v>
      </c>
      <c r="C3779">
        <v>23</v>
      </c>
      <c r="D3779" t="s">
        <v>17</v>
      </c>
      <c r="E3779" t="s">
        <v>22</v>
      </c>
      <c r="F3779" t="s">
        <v>16</v>
      </c>
      <c r="H3779">
        <v>95.9</v>
      </c>
      <c r="I3779" s="13">
        <v>3</v>
      </c>
      <c r="J3779">
        <v>0</v>
      </c>
      <c r="K3779">
        <v>0</v>
      </c>
      <c r="L3779">
        <v>0</v>
      </c>
      <c r="M3779">
        <v>0</v>
      </c>
      <c r="O3779">
        <f t="shared" ref="O3779:O3842" si="59">MONTH(B3779)</f>
        <v>4</v>
      </c>
    </row>
    <row r="3780" spans="1:15">
      <c r="A3780">
        <v>2515</v>
      </c>
      <c r="B3780" s="1">
        <v>45770</v>
      </c>
      <c r="C3780">
        <v>26</v>
      </c>
      <c r="D3780" t="s">
        <v>17</v>
      </c>
      <c r="E3780" t="s">
        <v>20</v>
      </c>
      <c r="F3780" t="s">
        <v>16</v>
      </c>
      <c r="H3780">
        <v>94.6</v>
      </c>
      <c r="I3780" s="13">
        <v>8</v>
      </c>
      <c r="J3780">
        <v>0</v>
      </c>
      <c r="K3780">
        <v>0</v>
      </c>
      <c r="L3780">
        <v>0</v>
      </c>
      <c r="M3780">
        <v>0</v>
      </c>
      <c r="O3780">
        <f t="shared" si="59"/>
        <v>4</v>
      </c>
    </row>
    <row r="3781" spans="1:15">
      <c r="A3781">
        <v>3933</v>
      </c>
      <c r="B3781" s="1">
        <v>45770</v>
      </c>
      <c r="C3781">
        <v>78</v>
      </c>
      <c r="D3781" t="s">
        <v>17</v>
      </c>
      <c r="E3781" t="s">
        <v>15</v>
      </c>
      <c r="F3781" t="s">
        <v>16</v>
      </c>
      <c r="H3781">
        <v>94.1</v>
      </c>
      <c r="I3781" s="13">
        <v>5</v>
      </c>
      <c r="J3781">
        <v>0</v>
      </c>
      <c r="K3781">
        <v>0</v>
      </c>
      <c r="L3781">
        <v>0</v>
      </c>
      <c r="M3781">
        <v>0</v>
      </c>
      <c r="O3781">
        <f t="shared" si="59"/>
        <v>4</v>
      </c>
    </row>
    <row r="3782" spans="1:15">
      <c r="A3782">
        <v>2480</v>
      </c>
      <c r="B3782" s="1">
        <v>45800</v>
      </c>
      <c r="C3782">
        <v>28</v>
      </c>
      <c r="D3782" t="s">
        <v>14</v>
      </c>
      <c r="E3782" t="s">
        <v>24</v>
      </c>
      <c r="F3782" t="s">
        <v>16</v>
      </c>
      <c r="H3782">
        <v>654.70000000000005</v>
      </c>
      <c r="I3782" s="13">
        <v>9</v>
      </c>
      <c r="J3782">
        <v>1</v>
      </c>
      <c r="K3782">
        <v>149.09</v>
      </c>
      <c r="L3782">
        <v>4</v>
      </c>
      <c r="M3782">
        <v>3</v>
      </c>
      <c r="N3782">
        <v>4</v>
      </c>
      <c r="O3782">
        <f t="shared" si="59"/>
        <v>5</v>
      </c>
    </row>
    <row r="3783" spans="1:15">
      <c r="A3783">
        <v>756</v>
      </c>
      <c r="B3783" s="1">
        <v>45800</v>
      </c>
      <c r="C3783">
        <v>31</v>
      </c>
      <c r="D3783" t="s">
        <v>17</v>
      </c>
      <c r="E3783" t="s">
        <v>15</v>
      </c>
      <c r="F3783" t="s">
        <v>16</v>
      </c>
      <c r="H3783">
        <v>491.2</v>
      </c>
      <c r="I3783" s="13">
        <v>5</v>
      </c>
      <c r="J3783">
        <v>1</v>
      </c>
      <c r="K3783">
        <v>139.22</v>
      </c>
      <c r="L3783">
        <v>4</v>
      </c>
      <c r="M3783">
        <v>8</v>
      </c>
      <c r="N3783">
        <v>4</v>
      </c>
      <c r="O3783">
        <f t="shared" si="59"/>
        <v>5</v>
      </c>
    </row>
    <row r="3784" spans="1:15">
      <c r="A3784">
        <v>2621</v>
      </c>
      <c r="B3784" s="1">
        <v>45800</v>
      </c>
      <c r="C3784">
        <v>33</v>
      </c>
      <c r="D3784" t="s">
        <v>14</v>
      </c>
      <c r="E3784" t="s">
        <v>15</v>
      </c>
      <c r="F3784" t="s">
        <v>16</v>
      </c>
      <c r="H3784">
        <v>383.7</v>
      </c>
      <c r="I3784" s="13">
        <v>11</v>
      </c>
      <c r="J3784">
        <v>1</v>
      </c>
      <c r="K3784">
        <v>118.13</v>
      </c>
      <c r="L3784">
        <v>5</v>
      </c>
      <c r="M3784">
        <v>10</v>
      </c>
      <c r="N3784">
        <v>5</v>
      </c>
      <c r="O3784">
        <f t="shared" si="59"/>
        <v>5</v>
      </c>
    </row>
    <row r="3785" spans="1:15">
      <c r="A3785">
        <v>3280</v>
      </c>
      <c r="B3785" s="1">
        <v>45800</v>
      </c>
      <c r="C3785">
        <v>18</v>
      </c>
      <c r="D3785" t="s">
        <v>14</v>
      </c>
      <c r="E3785" t="s">
        <v>20</v>
      </c>
      <c r="F3785" t="s">
        <v>18</v>
      </c>
      <c r="G3785" t="s">
        <v>31</v>
      </c>
      <c r="H3785">
        <v>777.5</v>
      </c>
      <c r="I3785" s="13">
        <v>5</v>
      </c>
      <c r="J3785">
        <v>1</v>
      </c>
      <c r="K3785">
        <v>112.9</v>
      </c>
      <c r="L3785">
        <v>3</v>
      </c>
      <c r="M3785">
        <v>11</v>
      </c>
      <c r="N3785">
        <v>4</v>
      </c>
      <c r="O3785">
        <f t="shared" si="59"/>
        <v>5</v>
      </c>
    </row>
    <row r="3786" spans="1:15">
      <c r="A3786">
        <v>4945</v>
      </c>
      <c r="B3786" s="1">
        <v>45800</v>
      </c>
      <c r="C3786">
        <v>53</v>
      </c>
      <c r="D3786" t="s">
        <v>17</v>
      </c>
      <c r="E3786" t="s">
        <v>20</v>
      </c>
      <c r="F3786" t="s">
        <v>16</v>
      </c>
      <c r="H3786">
        <v>1378.8</v>
      </c>
      <c r="I3786" s="13">
        <v>10</v>
      </c>
      <c r="J3786">
        <v>1</v>
      </c>
      <c r="K3786">
        <v>49.16</v>
      </c>
      <c r="L3786">
        <v>1</v>
      </c>
      <c r="M3786">
        <v>13</v>
      </c>
      <c r="N3786">
        <v>4</v>
      </c>
      <c r="O3786">
        <f t="shared" si="59"/>
        <v>5</v>
      </c>
    </row>
    <row r="3787" spans="1:15">
      <c r="A3787">
        <v>4125</v>
      </c>
      <c r="B3787" s="1">
        <v>45800</v>
      </c>
      <c r="C3787">
        <v>62</v>
      </c>
      <c r="D3787" t="s">
        <v>14</v>
      </c>
      <c r="E3787" t="s">
        <v>20</v>
      </c>
      <c r="F3787" t="s">
        <v>23</v>
      </c>
      <c r="H3787">
        <v>141.30000000000001</v>
      </c>
      <c r="I3787" s="13">
        <v>7</v>
      </c>
      <c r="J3787">
        <v>1</v>
      </c>
      <c r="K3787">
        <v>45.95</v>
      </c>
      <c r="L3787">
        <v>3</v>
      </c>
      <c r="M3787">
        <v>11</v>
      </c>
      <c r="N3787">
        <v>3</v>
      </c>
      <c r="O3787">
        <f t="shared" si="59"/>
        <v>5</v>
      </c>
    </row>
    <row r="3788" spans="1:15">
      <c r="A3788">
        <v>2096</v>
      </c>
      <c r="B3788" s="1">
        <v>45800</v>
      </c>
      <c r="C3788">
        <v>21</v>
      </c>
      <c r="D3788" t="s">
        <v>17</v>
      </c>
      <c r="E3788" t="s">
        <v>24</v>
      </c>
      <c r="F3788" t="s">
        <v>21</v>
      </c>
      <c r="H3788">
        <v>1007</v>
      </c>
      <c r="I3788" s="13">
        <v>5</v>
      </c>
      <c r="J3788">
        <v>1</v>
      </c>
      <c r="K3788">
        <v>43.3</v>
      </c>
      <c r="L3788">
        <v>7</v>
      </c>
      <c r="M3788">
        <v>14</v>
      </c>
      <c r="N3788">
        <v>5</v>
      </c>
      <c r="O3788">
        <f t="shared" si="59"/>
        <v>5</v>
      </c>
    </row>
    <row r="3789" spans="1:15">
      <c r="A3789">
        <v>2105</v>
      </c>
      <c r="B3789" s="1">
        <v>45800</v>
      </c>
      <c r="C3789">
        <v>35</v>
      </c>
      <c r="D3789" t="s">
        <v>14</v>
      </c>
      <c r="E3789" t="s">
        <v>22</v>
      </c>
      <c r="F3789" t="s">
        <v>16</v>
      </c>
      <c r="H3789">
        <v>1074.3</v>
      </c>
      <c r="I3789" s="13">
        <v>3</v>
      </c>
      <c r="J3789">
        <v>1</v>
      </c>
      <c r="K3789">
        <v>39.83</v>
      </c>
      <c r="L3789">
        <v>3</v>
      </c>
      <c r="M3789">
        <v>10</v>
      </c>
      <c r="N3789">
        <v>5</v>
      </c>
      <c r="O3789">
        <f t="shared" si="59"/>
        <v>5</v>
      </c>
    </row>
    <row r="3790" spans="1:15">
      <c r="A3790">
        <v>649</v>
      </c>
      <c r="B3790" s="1">
        <v>45800</v>
      </c>
      <c r="C3790">
        <v>22</v>
      </c>
      <c r="D3790" t="s">
        <v>14</v>
      </c>
      <c r="E3790" t="s">
        <v>15</v>
      </c>
      <c r="F3790" t="s">
        <v>16</v>
      </c>
      <c r="H3790">
        <v>481.6</v>
      </c>
      <c r="I3790" s="13">
        <v>5</v>
      </c>
      <c r="J3790">
        <v>1</v>
      </c>
      <c r="K3790">
        <v>39.700000000000003</v>
      </c>
      <c r="L3790">
        <v>2</v>
      </c>
      <c r="M3790">
        <v>1</v>
      </c>
      <c r="N3790">
        <v>3</v>
      </c>
      <c r="O3790">
        <f t="shared" si="59"/>
        <v>5</v>
      </c>
    </row>
    <row r="3791" spans="1:15">
      <c r="A3791">
        <v>2378</v>
      </c>
      <c r="B3791" s="1">
        <v>45800</v>
      </c>
      <c r="C3791">
        <v>34</v>
      </c>
      <c r="D3791" t="s">
        <v>14</v>
      </c>
      <c r="E3791" t="s">
        <v>22</v>
      </c>
      <c r="F3791" t="s">
        <v>16</v>
      </c>
      <c r="H3791">
        <v>371.2</v>
      </c>
      <c r="I3791" s="13">
        <v>8</v>
      </c>
      <c r="J3791">
        <v>1</v>
      </c>
      <c r="K3791">
        <v>23.96</v>
      </c>
      <c r="L3791">
        <v>2</v>
      </c>
      <c r="M3791">
        <v>4</v>
      </c>
      <c r="N3791">
        <v>5</v>
      </c>
      <c r="O3791">
        <f t="shared" si="59"/>
        <v>5</v>
      </c>
    </row>
    <row r="3792" spans="1:15">
      <c r="A3792">
        <v>1675</v>
      </c>
      <c r="B3792" s="1">
        <v>45800</v>
      </c>
      <c r="C3792">
        <v>24</v>
      </c>
      <c r="D3792" t="s">
        <v>17</v>
      </c>
      <c r="E3792" t="s">
        <v>22</v>
      </c>
      <c r="F3792" t="s">
        <v>23</v>
      </c>
      <c r="H3792">
        <v>570.6</v>
      </c>
      <c r="I3792" s="13">
        <v>13</v>
      </c>
      <c r="J3792">
        <v>0</v>
      </c>
      <c r="K3792">
        <v>0</v>
      </c>
      <c r="L3792">
        <v>0</v>
      </c>
      <c r="M3792">
        <v>0</v>
      </c>
      <c r="O3792">
        <f t="shared" si="59"/>
        <v>5</v>
      </c>
    </row>
    <row r="3793" spans="1:15">
      <c r="A3793">
        <v>422</v>
      </c>
      <c r="B3793" s="1">
        <v>45800</v>
      </c>
      <c r="C3793">
        <v>31</v>
      </c>
      <c r="D3793" t="s">
        <v>27</v>
      </c>
      <c r="E3793" t="s">
        <v>24</v>
      </c>
      <c r="F3793" t="s">
        <v>18</v>
      </c>
      <c r="G3793" t="s">
        <v>26</v>
      </c>
      <c r="H3793">
        <v>357.9</v>
      </c>
      <c r="I3793" s="13">
        <v>8</v>
      </c>
      <c r="J3793">
        <v>0</v>
      </c>
      <c r="K3793">
        <v>0</v>
      </c>
      <c r="L3793">
        <v>0</v>
      </c>
      <c r="M3793">
        <v>0</v>
      </c>
      <c r="O3793">
        <f t="shared" si="59"/>
        <v>5</v>
      </c>
    </row>
    <row r="3794" spans="1:15">
      <c r="A3794">
        <v>1925</v>
      </c>
      <c r="B3794" s="1">
        <v>45800</v>
      </c>
      <c r="C3794">
        <v>30</v>
      </c>
      <c r="D3794" t="s">
        <v>14</v>
      </c>
      <c r="E3794" t="s">
        <v>20</v>
      </c>
      <c r="F3794" t="s">
        <v>16</v>
      </c>
      <c r="H3794">
        <v>296.39999999999998</v>
      </c>
      <c r="I3794" s="13">
        <v>5</v>
      </c>
      <c r="J3794">
        <v>0</v>
      </c>
      <c r="K3794">
        <v>0</v>
      </c>
      <c r="L3794">
        <v>0</v>
      </c>
      <c r="M3794">
        <v>0</v>
      </c>
      <c r="O3794">
        <f t="shared" si="59"/>
        <v>5</v>
      </c>
    </row>
    <row r="3795" spans="1:15">
      <c r="A3795">
        <v>3265</v>
      </c>
      <c r="B3795" s="1">
        <v>45800</v>
      </c>
      <c r="C3795">
        <v>37</v>
      </c>
      <c r="D3795" t="s">
        <v>27</v>
      </c>
      <c r="E3795" t="s">
        <v>24</v>
      </c>
      <c r="F3795" t="s">
        <v>16</v>
      </c>
      <c r="H3795">
        <v>280.89999999999998</v>
      </c>
      <c r="I3795" s="13">
        <v>8</v>
      </c>
      <c r="J3795">
        <v>0</v>
      </c>
      <c r="K3795">
        <v>0</v>
      </c>
      <c r="L3795">
        <v>0</v>
      </c>
      <c r="M3795">
        <v>0</v>
      </c>
      <c r="O3795">
        <f t="shared" si="59"/>
        <v>5</v>
      </c>
    </row>
    <row r="3796" spans="1:15">
      <c r="A3796">
        <v>2478</v>
      </c>
      <c r="B3796" s="1">
        <v>45800</v>
      </c>
      <c r="C3796">
        <v>33</v>
      </c>
      <c r="D3796" t="s">
        <v>17</v>
      </c>
      <c r="E3796" t="s">
        <v>24</v>
      </c>
      <c r="F3796" t="s">
        <v>18</v>
      </c>
      <c r="G3796" t="s">
        <v>26</v>
      </c>
      <c r="H3796">
        <v>195.3</v>
      </c>
      <c r="I3796" s="13">
        <v>6</v>
      </c>
      <c r="J3796">
        <v>0</v>
      </c>
      <c r="K3796">
        <v>0</v>
      </c>
      <c r="L3796">
        <v>0</v>
      </c>
      <c r="M3796">
        <v>0</v>
      </c>
      <c r="O3796">
        <f t="shared" si="59"/>
        <v>5</v>
      </c>
    </row>
    <row r="3797" spans="1:15">
      <c r="A3797">
        <v>4038</v>
      </c>
      <c r="B3797" s="1">
        <v>45800</v>
      </c>
      <c r="C3797">
        <v>33</v>
      </c>
      <c r="D3797" t="s">
        <v>14</v>
      </c>
      <c r="E3797" t="s">
        <v>15</v>
      </c>
      <c r="F3797" t="s">
        <v>16</v>
      </c>
      <c r="H3797">
        <v>182.7</v>
      </c>
      <c r="I3797" s="13">
        <v>5</v>
      </c>
      <c r="J3797">
        <v>0</v>
      </c>
      <c r="K3797">
        <v>0</v>
      </c>
      <c r="L3797">
        <v>0</v>
      </c>
      <c r="M3797">
        <v>0</v>
      </c>
      <c r="O3797">
        <f t="shared" si="59"/>
        <v>5</v>
      </c>
    </row>
    <row r="3798" spans="1:15">
      <c r="A3798">
        <v>3629</v>
      </c>
      <c r="B3798" s="1">
        <v>45800</v>
      </c>
      <c r="C3798">
        <v>26</v>
      </c>
      <c r="D3798" t="s">
        <v>17</v>
      </c>
      <c r="E3798" t="s">
        <v>22</v>
      </c>
      <c r="F3798" t="s">
        <v>16</v>
      </c>
      <c r="H3798">
        <v>169.8</v>
      </c>
      <c r="I3798" s="13">
        <v>7</v>
      </c>
      <c r="J3798">
        <v>0</v>
      </c>
      <c r="K3798">
        <v>0</v>
      </c>
      <c r="L3798">
        <v>0</v>
      </c>
      <c r="M3798">
        <v>0</v>
      </c>
      <c r="O3798">
        <f t="shared" si="59"/>
        <v>5</v>
      </c>
    </row>
    <row r="3799" spans="1:15">
      <c r="A3799">
        <v>3190</v>
      </c>
      <c r="B3799" s="1">
        <v>45800</v>
      </c>
      <c r="C3799">
        <v>34</v>
      </c>
      <c r="D3799" t="s">
        <v>17</v>
      </c>
      <c r="E3799" t="s">
        <v>15</v>
      </c>
      <c r="F3799" t="s">
        <v>18</v>
      </c>
      <c r="G3799" t="s">
        <v>26</v>
      </c>
      <c r="H3799">
        <v>162</v>
      </c>
      <c r="I3799" s="13">
        <v>9</v>
      </c>
      <c r="J3799">
        <v>0</v>
      </c>
      <c r="K3799">
        <v>0</v>
      </c>
      <c r="L3799">
        <v>0</v>
      </c>
      <c r="M3799">
        <v>0</v>
      </c>
      <c r="O3799">
        <f t="shared" si="59"/>
        <v>5</v>
      </c>
    </row>
    <row r="3800" spans="1:15">
      <c r="A3800">
        <v>421</v>
      </c>
      <c r="B3800" s="1">
        <v>45800</v>
      </c>
      <c r="C3800">
        <v>26</v>
      </c>
      <c r="D3800" t="s">
        <v>14</v>
      </c>
      <c r="E3800" t="s">
        <v>22</v>
      </c>
      <c r="F3800" t="s">
        <v>16</v>
      </c>
      <c r="H3800">
        <v>148.80000000000001</v>
      </c>
      <c r="I3800" s="13">
        <v>9</v>
      </c>
      <c r="J3800">
        <v>0</v>
      </c>
      <c r="K3800">
        <v>0</v>
      </c>
      <c r="L3800">
        <v>0</v>
      </c>
      <c r="M3800">
        <v>0</v>
      </c>
      <c r="O3800">
        <f t="shared" si="59"/>
        <v>5</v>
      </c>
    </row>
    <row r="3801" spans="1:15">
      <c r="A3801">
        <v>2784</v>
      </c>
      <c r="B3801" s="1">
        <v>45800</v>
      </c>
      <c r="C3801">
        <v>45</v>
      </c>
      <c r="D3801" t="s">
        <v>14</v>
      </c>
      <c r="E3801" t="s">
        <v>15</v>
      </c>
      <c r="F3801" t="s">
        <v>18</v>
      </c>
      <c r="G3801" t="s">
        <v>31</v>
      </c>
      <c r="H3801">
        <v>141.80000000000001</v>
      </c>
      <c r="I3801" s="13">
        <v>8</v>
      </c>
      <c r="J3801">
        <v>0</v>
      </c>
      <c r="K3801">
        <v>0</v>
      </c>
      <c r="L3801">
        <v>0</v>
      </c>
      <c r="M3801">
        <v>0</v>
      </c>
      <c r="O3801">
        <f t="shared" si="59"/>
        <v>5</v>
      </c>
    </row>
    <row r="3802" spans="1:15">
      <c r="A3802">
        <v>1042</v>
      </c>
      <c r="B3802" s="1">
        <v>45800</v>
      </c>
      <c r="C3802">
        <v>24</v>
      </c>
      <c r="D3802" t="s">
        <v>14</v>
      </c>
      <c r="E3802" t="s">
        <v>20</v>
      </c>
      <c r="F3802" t="s">
        <v>23</v>
      </c>
      <c r="H3802">
        <v>120.3</v>
      </c>
      <c r="I3802" s="13">
        <v>6</v>
      </c>
      <c r="J3802">
        <v>0</v>
      </c>
      <c r="K3802">
        <v>0</v>
      </c>
      <c r="L3802">
        <v>0</v>
      </c>
      <c r="M3802">
        <v>0</v>
      </c>
      <c r="O3802">
        <f t="shared" si="59"/>
        <v>5</v>
      </c>
    </row>
    <row r="3803" spans="1:15">
      <c r="A3803">
        <v>2801</v>
      </c>
      <c r="B3803" s="1">
        <v>45800</v>
      </c>
      <c r="C3803">
        <v>22</v>
      </c>
      <c r="D3803" t="s">
        <v>17</v>
      </c>
      <c r="E3803" t="s">
        <v>20</v>
      </c>
      <c r="F3803" t="s">
        <v>18</v>
      </c>
      <c r="G3803" t="s">
        <v>19</v>
      </c>
      <c r="H3803">
        <v>102.7</v>
      </c>
      <c r="I3803" s="13">
        <v>5</v>
      </c>
      <c r="J3803">
        <v>0</v>
      </c>
      <c r="K3803">
        <v>0</v>
      </c>
      <c r="L3803">
        <v>0</v>
      </c>
      <c r="M3803">
        <v>0</v>
      </c>
      <c r="O3803">
        <f t="shared" si="59"/>
        <v>5</v>
      </c>
    </row>
    <row r="3804" spans="1:15">
      <c r="A3804">
        <v>1328</v>
      </c>
      <c r="B3804" s="1">
        <v>45800</v>
      </c>
      <c r="C3804">
        <v>29</v>
      </c>
      <c r="D3804" t="s">
        <v>17</v>
      </c>
      <c r="E3804" t="s">
        <v>24</v>
      </c>
      <c r="F3804" t="s">
        <v>16</v>
      </c>
      <c r="H3804">
        <v>67.3</v>
      </c>
      <c r="I3804" s="13">
        <v>5</v>
      </c>
      <c r="J3804">
        <v>0</v>
      </c>
      <c r="K3804">
        <v>0</v>
      </c>
      <c r="L3804">
        <v>0</v>
      </c>
      <c r="M3804">
        <v>0</v>
      </c>
      <c r="O3804">
        <f t="shared" si="59"/>
        <v>5</v>
      </c>
    </row>
    <row r="3805" spans="1:15">
      <c r="A3805">
        <v>4678</v>
      </c>
      <c r="B3805" s="1">
        <v>45831</v>
      </c>
      <c r="C3805">
        <v>66</v>
      </c>
      <c r="D3805" t="s">
        <v>17</v>
      </c>
      <c r="E3805" t="s">
        <v>15</v>
      </c>
      <c r="F3805" t="s">
        <v>23</v>
      </c>
      <c r="H3805">
        <v>566.70000000000005</v>
      </c>
      <c r="I3805" s="13">
        <v>6</v>
      </c>
      <c r="J3805">
        <v>1</v>
      </c>
      <c r="K3805">
        <v>194.3</v>
      </c>
      <c r="L3805">
        <v>5</v>
      </c>
      <c r="M3805">
        <v>6</v>
      </c>
      <c r="N3805">
        <v>4</v>
      </c>
      <c r="O3805">
        <f t="shared" si="59"/>
        <v>6</v>
      </c>
    </row>
    <row r="3806" spans="1:15">
      <c r="A3806">
        <v>2435</v>
      </c>
      <c r="B3806" s="1">
        <v>45831</v>
      </c>
      <c r="C3806">
        <v>38</v>
      </c>
      <c r="D3806" t="s">
        <v>14</v>
      </c>
      <c r="E3806" t="s">
        <v>20</v>
      </c>
      <c r="F3806" t="s">
        <v>16</v>
      </c>
      <c r="H3806">
        <v>273.39999999999998</v>
      </c>
      <c r="I3806" s="13">
        <v>9</v>
      </c>
      <c r="J3806">
        <v>1</v>
      </c>
      <c r="K3806">
        <v>148.25</v>
      </c>
      <c r="L3806">
        <v>1</v>
      </c>
      <c r="M3806">
        <v>7</v>
      </c>
      <c r="N3806">
        <v>5</v>
      </c>
      <c r="O3806">
        <f t="shared" si="59"/>
        <v>6</v>
      </c>
    </row>
    <row r="3807" spans="1:15">
      <c r="A3807">
        <v>1181</v>
      </c>
      <c r="B3807" s="1">
        <v>45831</v>
      </c>
      <c r="C3807">
        <v>24</v>
      </c>
      <c r="D3807" t="s">
        <v>14</v>
      </c>
      <c r="E3807" t="s">
        <v>24</v>
      </c>
      <c r="F3807" t="s">
        <v>16</v>
      </c>
      <c r="H3807">
        <v>352.5</v>
      </c>
      <c r="I3807" s="13">
        <v>11</v>
      </c>
      <c r="J3807">
        <v>1</v>
      </c>
      <c r="K3807">
        <v>133.52000000000001</v>
      </c>
      <c r="L3807">
        <v>2</v>
      </c>
      <c r="M3807">
        <v>5</v>
      </c>
      <c r="N3807">
        <v>4</v>
      </c>
      <c r="O3807">
        <f t="shared" si="59"/>
        <v>6</v>
      </c>
    </row>
    <row r="3808" spans="1:15">
      <c r="A3808">
        <v>2739</v>
      </c>
      <c r="B3808" s="1">
        <v>45831</v>
      </c>
      <c r="C3808">
        <v>32</v>
      </c>
      <c r="D3808" t="s">
        <v>17</v>
      </c>
      <c r="E3808" t="s">
        <v>22</v>
      </c>
      <c r="F3808" t="s">
        <v>18</v>
      </c>
      <c r="G3808" t="s">
        <v>31</v>
      </c>
      <c r="H3808">
        <v>438.4</v>
      </c>
      <c r="I3808" s="13">
        <v>8</v>
      </c>
      <c r="J3808">
        <v>1</v>
      </c>
      <c r="K3808">
        <v>74.34</v>
      </c>
      <c r="L3808">
        <v>4</v>
      </c>
      <c r="M3808">
        <v>1</v>
      </c>
      <c r="N3808">
        <v>4</v>
      </c>
      <c r="O3808">
        <f t="shared" si="59"/>
        <v>6</v>
      </c>
    </row>
    <row r="3809" spans="1:15">
      <c r="A3809">
        <v>465</v>
      </c>
      <c r="B3809" s="1">
        <v>45831</v>
      </c>
      <c r="C3809">
        <v>24</v>
      </c>
      <c r="D3809" t="s">
        <v>17</v>
      </c>
      <c r="E3809" t="s">
        <v>15</v>
      </c>
      <c r="F3809" t="s">
        <v>18</v>
      </c>
      <c r="G3809" t="s">
        <v>25</v>
      </c>
      <c r="H3809">
        <v>320.60000000000002</v>
      </c>
      <c r="I3809" s="13">
        <v>6</v>
      </c>
      <c r="J3809">
        <v>1</v>
      </c>
      <c r="K3809">
        <v>55.18</v>
      </c>
      <c r="L3809">
        <v>6</v>
      </c>
      <c r="M3809">
        <v>13</v>
      </c>
      <c r="N3809">
        <v>4</v>
      </c>
      <c r="O3809">
        <f t="shared" si="59"/>
        <v>6</v>
      </c>
    </row>
    <row r="3810" spans="1:15">
      <c r="A3810">
        <v>3915</v>
      </c>
      <c r="B3810" s="1">
        <v>45831</v>
      </c>
      <c r="C3810">
        <v>38</v>
      </c>
      <c r="D3810" t="s">
        <v>14</v>
      </c>
      <c r="E3810" t="s">
        <v>20</v>
      </c>
      <c r="F3810" t="s">
        <v>18</v>
      </c>
      <c r="G3810" t="s">
        <v>29</v>
      </c>
      <c r="H3810">
        <v>201.7</v>
      </c>
      <c r="I3810" s="13">
        <v>10</v>
      </c>
      <c r="J3810">
        <v>1</v>
      </c>
      <c r="K3810">
        <v>50.5</v>
      </c>
      <c r="L3810">
        <v>4</v>
      </c>
      <c r="M3810">
        <v>5</v>
      </c>
      <c r="N3810">
        <v>5</v>
      </c>
      <c r="O3810">
        <f t="shared" si="59"/>
        <v>6</v>
      </c>
    </row>
    <row r="3811" spans="1:15">
      <c r="A3811">
        <v>1426</v>
      </c>
      <c r="B3811" s="1">
        <v>45831</v>
      </c>
      <c r="C3811">
        <v>23</v>
      </c>
      <c r="D3811" t="s">
        <v>17</v>
      </c>
      <c r="E3811" t="s">
        <v>15</v>
      </c>
      <c r="F3811" t="s">
        <v>16</v>
      </c>
      <c r="H3811">
        <v>929.1</v>
      </c>
      <c r="I3811" s="13">
        <v>5</v>
      </c>
      <c r="J3811">
        <v>1</v>
      </c>
      <c r="K3811">
        <v>44.92</v>
      </c>
      <c r="L3811">
        <v>1</v>
      </c>
      <c r="M3811">
        <v>11</v>
      </c>
      <c r="N3811">
        <v>5</v>
      </c>
      <c r="O3811">
        <f t="shared" si="59"/>
        <v>6</v>
      </c>
    </row>
    <row r="3812" spans="1:15">
      <c r="A3812">
        <v>35</v>
      </c>
      <c r="B3812" s="1">
        <v>45831</v>
      </c>
      <c r="C3812">
        <v>28</v>
      </c>
      <c r="D3812" t="s">
        <v>14</v>
      </c>
      <c r="E3812" t="s">
        <v>20</v>
      </c>
      <c r="F3812" t="s">
        <v>18</v>
      </c>
      <c r="G3812" t="s">
        <v>31</v>
      </c>
      <c r="H3812">
        <v>594</v>
      </c>
      <c r="I3812" s="13">
        <v>6</v>
      </c>
      <c r="J3812">
        <v>1</v>
      </c>
      <c r="K3812">
        <v>43.16</v>
      </c>
      <c r="L3812">
        <v>2</v>
      </c>
      <c r="M3812">
        <v>4</v>
      </c>
      <c r="N3812">
        <v>4</v>
      </c>
      <c r="O3812">
        <f t="shared" si="59"/>
        <v>6</v>
      </c>
    </row>
    <row r="3813" spans="1:15">
      <c r="A3813">
        <v>4907</v>
      </c>
      <c r="B3813" s="1">
        <v>45831</v>
      </c>
      <c r="C3813">
        <v>45</v>
      </c>
      <c r="D3813" t="s">
        <v>14</v>
      </c>
      <c r="E3813" t="s">
        <v>20</v>
      </c>
      <c r="F3813" t="s">
        <v>18</v>
      </c>
      <c r="G3813" t="s">
        <v>25</v>
      </c>
      <c r="H3813">
        <v>915.1</v>
      </c>
      <c r="I3813" s="13">
        <v>7</v>
      </c>
      <c r="J3813">
        <v>1</v>
      </c>
      <c r="K3813">
        <v>33.46</v>
      </c>
      <c r="L3813">
        <v>4</v>
      </c>
      <c r="M3813">
        <v>14</v>
      </c>
      <c r="N3813">
        <v>4</v>
      </c>
      <c r="O3813">
        <f t="shared" si="59"/>
        <v>6</v>
      </c>
    </row>
    <row r="3814" spans="1:15">
      <c r="A3814">
        <v>4933</v>
      </c>
      <c r="B3814" s="1">
        <v>45831</v>
      </c>
      <c r="C3814">
        <v>55</v>
      </c>
      <c r="D3814" t="s">
        <v>14</v>
      </c>
      <c r="E3814" t="s">
        <v>20</v>
      </c>
      <c r="F3814" t="s">
        <v>16</v>
      </c>
      <c r="H3814">
        <v>329.7</v>
      </c>
      <c r="I3814" s="13">
        <v>6</v>
      </c>
      <c r="J3814">
        <v>1</v>
      </c>
      <c r="K3814">
        <v>19.87</v>
      </c>
      <c r="L3814">
        <v>9</v>
      </c>
      <c r="M3814">
        <v>2</v>
      </c>
      <c r="N3814">
        <v>5</v>
      </c>
      <c r="O3814">
        <f t="shared" si="59"/>
        <v>6</v>
      </c>
    </row>
    <row r="3815" spans="1:15">
      <c r="A3815">
        <v>3697</v>
      </c>
      <c r="B3815" s="1">
        <v>45831</v>
      </c>
      <c r="C3815">
        <v>46</v>
      </c>
      <c r="D3815" t="s">
        <v>14</v>
      </c>
      <c r="E3815" t="s">
        <v>22</v>
      </c>
      <c r="F3815" t="s">
        <v>23</v>
      </c>
      <c r="H3815">
        <v>1200</v>
      </c>
      <c r="I3815" s="13">
        <v>6</v>
      </c>
      <c r="J3815">
        <v>0</v>
      </c>
      <c r="K3815">
        <v>0</v>
      </c>
      <c r="L3815">
        <v>0</v>
      </c>
      <c r="M3815">
        <v>0</v>
      </c>
      <c r="O3815">
        <f t="shared" si="59"/>
        <v>6</v>
      </c>
    </row>
    <row r="3816" spans="1:15">
      <c r="A3816">
        <v>4107</v>
      </c>
      <c r="B3816" s="1">
        <v>45831</v>
      </c>
      <c r="C3816">
        <v>37</v>
      </c>
      <c r="D3816" t="s">
        <v>17</v>
      </c>
      <c r="E3816" t="s">
        <v>20</v>
      </c>
      <c r="F3816" t="s">
        <v>16</v>
      </c>
      <c r="H3816">
        <v>225</v>
      </c>
      <c r="I3816" s="13">
        <v>5</v>
      </c>
      <c r="J3816">
        <v>0</v>
      </c>
      <c r="K3816">
        <v>0</v>
      </c>
      <c r="L3816">
        <v>0</v>
      </c>
      <c r="M3816">
        <v>0</v>
      </c>
      <c r="O3816">
        <f t="shared" si="59"/>
        <v>6</v>
      </c>
    </row>
    <row r="3817" spans="1:15">
      <c r="A3817">
        <v>2472</v>
      </c>
      <c r="B3817" s="1">
        <v>45831</v>
      </c>
      <c r="C3817">
        <v>38</v>
      </c>
      <c r="D3817" t="s">
        <v>17</v>
      </c>
      <c r="E3817" t="s">
        <v>24</v>
      </c>
      <c r="F3817" t="s">
        <v>18</v>
      </c>
      <c r="G3817" t="s">
        <v>31</v>
      </c>
      <c r="H3817">
        <v>467.6</v>
      </c>
      <c r="I3817" s="13">
        <v>7</v>
      </c>
      <c r="J3817">
        <v>0</v>
      </c>
      <c r="K3817">
        <v>0</v>
      </c>
      <c r="L3817">
        <v>0</v>
      </c>
      <c r="M3817">
        <v>0</v>
      </c>
      <c r="O3817">
        <f t="shared" si="59"/>
        <v>6</v>
      </c>
    </row>
    <row r="3818" spans="1:15">
      <c r="A3818">
        <v>2092</v>
      </c>
      <c r="B3818" s="1">
        <v>45831</v>
      </c>
      <c r="C3818">
        <v>28</v>
      </c>
      <c r="D3818" t="s">
        <v>14</v>
      </c>
      <c r="E3818" t="s">
        <v>24</v>
      </c>
      <c r="F3818" t="s">
        <v>21</v>
      </c>
      <c r="H3818">
        <v>437.6</v>
      </c>
      <c r="I3818" s="13">
        <v>6</v>
      </c>
      <c r="J3818">
        <v>0</v>
      </c>
      <c r="K3818">
        <v>0</v>
      </c>
      <c r="L3818">
        <v>0</v>
      </c>
      <c r="M3818">
        <v>0</v>
      </c>
      <c r="O3818">
        <f t="shared" si="59"/>
        <v>6</v>
      </c>
    </row>
    <row r="3819" spans="1:15">
      <c r="A3819">
        <v>1699</v>
      </c>
      <c r="B3819" s="1">
        <v>45831</v>
      </c>
      <c r="C3819">
        <v>29</v>
      </c>
      <c r="D3819" t="s">
        <v>17</v>
      </c>
      <c r="E3819" t="s">
        <v>15</v>
      </c>
      <c r="F3819" t="s">
        <v>18</v>
      </c>
      <c r="G3819" t="s">
        <v>29</v>
      </c>
      <c r="H3819">
        <v>380.4</v>
      </c>
      <c r="I3819" s="13">
        <v>2</v>
      </c>
      <c r="J3819">
        <v>0</v>
      </c>
      <c r="K3819">
        <v>0</v>
      </c>
      <c r="L3819">
        <v>0</v>
      </c>
      <c r="M3819">
        <v>0</v>
      </c>
      <c r="O3819">
        <f t="shared" si="59"/>
        <v>6</v>
      </c>
    </row>
    <row r="3820" spans="1:15">
      <c r="A3820">
        <v>367</v>
      </c>
      <c r="B3820" s="1">
        <v>45831</v>
      </c>
      <c r="C3820">
        <v>24</v>
      </c>
      <c r="D3820" t="s">
        <v>14</v>
      </c>
      <c r="E3820" t="s">
        <v>22</v>
      </c>
      <c r="F3820" t="s">
        <v>18</v>
      </c>
      <c r="G3820" t="s">
        <v>25</v>
      </c>
      <c r="H3820">
        <v>361.8</v>
      </c>
      <c r="I3820" s="13">
        <v>5</v>
      </c>
      <c r="J3820">
        <v>0</v>
      </c>
      <c r="K3820">
        <v>0</v>
      </c>
      <c r="L3820">
        <v>0</v>
      </c>
      <c r="M3820">
        <v>0</v>
      </c>
      <c r="O3820">
        <f t="shared" si="59"/>
        <v>6</v>
      </c>
    </row>
    <row r="3821" spans="1:15">
      <c r="A3821">
        <v>141</v>
      </c>
      <c r="B3821" s="1">
        <v>45831</v>
      </c>
      <c r="C3821">
        <v>33</v>
      </c>
      <c r="D3821" t="s">
        <v>17</v>
      </c>
      <c r="E3821" t="s">
        <v>20</v>
      </c>
      <c r="F3821" t="s">
        <v>23</v>
      </c>
      <c r="H3821">
        <v>355.3</v>
      </c>
      <c r="I3821" s="13">
        <v>11</v>
      </c>
      <c r="J3821">
        <v>0</v>
      </c>
      <c r="K3821">
        <v>0</v>
      </c>
      <c r="L3821">
        <v>0</v>
      </c>
      <c r="M3821">
        <v>0</v>
      </c>
      <c r="O3821">
        <f t="shared" si="59"/>
        <v>6</v>
      </c>
    </row>
    <row r="3822" spans="1:15">
      <c r="A3822">
        <v>3068</v>
      </c>
      <c r="B3822" s="1">
        <v>45831</v>
      </c>
      <c r="C3822">
        <v>47</v>
      </c>
      <c r="D3822" t="s">
        <v>14</v>
      </c>
      <c r="E3822" t="s">
        <v>15</v>
      </c>
      <c r="F3822" t="s">
        <v>21</v>
      </c>
      <c r="H3822">
        <v>347.7</v>
      </c>
      <c r="I3822" s="13">
        <v>7</v>
      </c>
      <c r="J3822">
        <v>0</v>
      </c>
      <c r="K3822">
        <v>0</v>
      </c>
      <c r="L3822">
        <v>0</v>
      </c>
      <c r="M3822">
        <v>0</v>
      </c>
      <c r="O3822">
        <f t="shared" si="59"/>
        <v>6</v>
      </c>
    </row>
    <row r="3823" spans="1:15">
      <c r="A3823">
        <v>4204</v>
      </c>
      <c r="B3823" s="1">
        <v>45831</v>
      </c>
      <c r="C3823">
        <v>50</v>
      </c>
      <c r="D3823" t="s">
        <v>14</v>
      </c>
      <c r="E3823" t="s">
        <v>20</v>
      </c>
      <c r="F3823" t="s">
        <v>16</v>
      </c>
      <c r="H3823">
        <v>332.2</v>
      </c>
      <c r="I3823" s="13">
        <v>5</v>
      </c>
      <c r="J3823">
        <v>0</v>
      </c>
      <c r="K3823">
        <v>0</v>
      </c>
      <c r="L3823">
        <v>0</v>
      </c>
      <c r="M3823">
        <v>0</v>
      </c>
      <c r="O3823">
        <f t="shared" si="59"/>
        <v>6</v>
      </c>
    </row>
    <row r="3824" spans="1:15">
      <c r="A3824">
        <v>1545</v>
      </c>
      <c r="B3824" s="1">
        <v>45831</v>
      </c>
      <c r="C3824">
        <v>26</v>
      </c>
      <c r="D3824" t="s">
        <v>14</v>
      </c>
      <c r="E3824" t="s">
        <v>20</v>
      </c>
      <c r="F3824" t="s">
        <v>23</v>
      </c>
      <c r="H3824">
        <v>276.89999999999998</v>
      </c>
      <c r="I3824" s="13">
        <v>8</v>
      </c>
      <c r="J3824">
        <v>0</v>
      </c>
      <c r="K3824">
        <v>0</v>
      </c>
      <c r="L3824">
        <v>0</v>
      </c>
      <c r="M3824">
        <v>0</v>
      </c>
      <c r="O3824">
        <f t="shared" si="59"/>
        <v>6</v>
      </c>
    </row>
    <row r="3825" spans="1:15">
      <c r="A3825">
        <v>2637</v>
      </c>
      <c r="B3825" s="1">
        <v>45831</v>
      </c>
      <c r="C3825">
        <v>37</v>
      </c>
      <c r="D3825" t="s">
        <v>17</v>
      </c>
      <c r="E3825" t="s">
        <v>15</v>
      </c>
      <c r="F3825" t="s">
        <v>18</v>
      </c>
      <c r="G3825" t="s">
        <v>31</v>
      </c>
      <c r="H3825">
        <v>259.3</v>
      </c>
      <c r="I3825" s="13">
        <v>3</v>
      </c>
      <c r="J3825">
        <v>0</v>
      </c>
      <c r="K3825">
        <v>0</v>
      </c>
      <c r="L3825">
        <v>0</v>
      </c>
      <c r="M3825">
        <v>0</v>
      </c>
      <c r="O3825">
        <f t="shared" si="59"/>
        <v>6</v>
      </c>
    </row>
    <row r="3826" spans="1:15">
      <c r="A3826">
        <v>2695</v>
      </c>
      <c r="B3826" s="1">
        <v>45831</v>
      </c>
      <c r="C3826">
        <v>38</v>
      </c>
      <c r="D3826" t="s">
        <v>17</v>
      </c>
      <c r="E3826" t="s">
        <v>20</v>
      </c>
      <c r="F3826" t="s">
        <v>16</v>
      </c>
      <c r="H3826">
        <v>233.7</v>
      </c>
      <c r="I3826" s="13">
        <v>12</v>
      </c>
      <c r="J3826">
        <v>0</v>
      </c>
      <c r="K3826">
        <v>0</v>
      </c>
      <c r="L3826">
        <v>0</v>
      </c>
      <c r="M3826">
        <v>0</v>
      </c>
      <c r="O3826">
        <f t="shared" si="59"/>
        <v>6</v>
      </c>
    </row>
    <row r="3827" spans="1:15">
      <c r="A3827">
        <v>3710</v>
      </c>
      <c r="B3827" s="1">
        <v>45831</v>
      </c>
      <c r="C3827">
        <v>32</v>
      </c>
      <c r="D3827" t="s">
        <v>17</v>
      </c>
      <c r="E3827" t="s">
        <v>20</v>
      </c>
      <c r="F3827" t="s">
        <v>18</v>
      </c>
      <c r="G3827" t="s">
        <v>25</v>
      </c>
      <c r="H3827">
        <v>230.8</v>
      </c>
      <c r="I3827" s="13">
        <v>4</v>
      </c>
      <c r="J3827">
        <v>0</v>
      </c>
      <c r="K3827">
        <v>0</v>
      </c>
      <c r="L3827">
        <v>0</v>
      </c>
      <c r="M3827">
        <v>0</v>
      </c>
      <c r="O3827">
        <f t="shared" si="59"/>
        <v>6</v>
      </c>
    </row>
    <row r="3828" spans="1:15">
      <c r="A3828">
        <v>248</v>
      </c>
      <c r="B3828" s="1">
        <v>45831</v>
      </c>
      <c r="C3828">
        <v>25</v>
      </c>
      <c r="D3828" t="s">
        <v>17</v>
      </c>
      <c r="E3828" t="s">
        <v>15</v>
      </c>
      <c r="F3828" t="s">
        <v>23</v>
      </c>
      <c r="H3828">
        <v>212.3</v>
      </c>
      <c r="I3828" s="13">
        <v>6</v>
      </c>
      <c r="J3828">
        <v>0</v>
      </c>
      <c r="K3828">
        <v>0</v>
      </c>
      <c r="L3828">
        <v>0</v>
      </c>
      <c r="M3828">
        <v>0</v>
      </c>
      <c r="O3828">
        <f t="shared" si="59"/>
        <v>6</v>
      </c>
    </row>
    <row r="3829" spans="1:15">
      <c r="A3829">
        <v>2214</v>
      </c>
      <c r="B3829" s="1">
        <v>45831</v>
      </c>
      <c r="C3829">
        <v>39</v>
      </c>
      <c r="D3829" t="s">
        <v>14</v>
      </c>
      <c r="E3829" t="s">
        <v>22</v>
      </c>
      <c r="F3829" t="s">
        <v>16</v>
      </c>
      <c r="H3829">
        <v>204</v>
      </c>
      <c r="I3829" s="13">
        <v>9</v>
      </c>
      <c r="J3829">
        <v>0</v>
      </c>
      <c r="K3829">
        <v>0</v>
      </c>
      <c r="L3829">
        <v>0</v>
      </c>
      <c r="M3829">
        <v>0</v>
      </c>
      <c r="O3829">
        <f t="shared" si="59"/>
        <v>6</v>
      </c>
    </row>
    <row r="3830" spans="1:15">
      <c r="A3830">
        <v>2416</v>
      </c>
      <c r="B3830" s="1">
        <v>45831</v>
      </c>
      <c r="C3830">
        <v>23</v>
      </c>
      <c r="D3830" t="s">
        <v>17</v>
      </c>
      <c r="E3830" t="s">
        <v>15</v>
      </c>
      <c r="F3830" t="s">
        <v>23</v>
      </c>
      <c r="H3830">
        <v>203.3</v>
      </c>
      <c r="I3830" s="13">
        <v>5</v>
      </c>
      <c r="J3830">
        <v>0</v>
      </c>
      <c r="K3830">
        <v>0</v>
      </c>
      <c r="L3830">
        <v>0</v>
      </c>
      <c r="M3830">
        <v>0</v>
      </c>
      <c r="O3830">
        <f t="shared" si="59"/>
        <v>6</v>
      </c>
    </row>
    <row r="3831" spans="1:15">
      <c r="A3831">
        <v>1701</v>
      </c>
      <c r="B3831" s="1">
        <v>45831</v>
      </c>
      <c r="C3831">
        <v>18</v>
      </c>
      <c r="D3831" t="s">
        <v>17</v>
      </c>
      <c r="E3831" t="s">
        <v>22</v>
      </c>
      <c r="F3831" t="s">
        <v>16</v>
      </c>
      <c r="H3831">
        <v>173.5</v>
      </c>
      <c r="I3831" s="13">
        <v>8</v>
      </c>
      <c r="J3831">
        <v>0</v>
      </c>
      <c r="K3831">
        <v>0</v>
      </c>
      <c r="L3831">
        <v>0</v>
      </c>
      <c r="M3831">
        <v>0</v>
      </c>
      <c r="O3831">
        <f t="shared" si="59"/>
        <v>6</v>
      </c>
    </row>
    <row r="3832" spans="1:15">
      <c r="A3832">
        <v>314</v>
      </c>
      <c r="B3832" s="1">
        <v>45831</v>
      </c>
      <c r="C3832">
        <v>30</v>
      </c>
      <c r="D3832" t="s">
        <v>14</v>
      </c>
      <c r="E3832" t="s">
        <v>22</v>
      </c>
      <c r="F3832" t="s">
        <v>16</v>
      </c>
      <c r="H3832">
        <v>164</v>
      </c>
      <c r="I3832" s="13">
        <v>7</v>
      </c>
      <c r="J3832">
        <v>0</v>
      </c>
      <c r="K3832">
        <v>0</v>
      </c>
      <c r="L3832">
        <v>0</v>
      </c>
      <c r="M3832">
        <v>0</v>
      </c>
      <c r="O3832">
        <f t="shared" si="59"/>
        <v>6</v>
      </c>
    </row>
    <row r="3833" spans="1:15">
      <c r="A3833">
        <v>2626</v>
      </c>
      <c r="B3833" s="1">
        <v>45831</v>
      </c>
      <c r="C3833">
        <v>33</v>
      </c>
      <c r="D3833" t="s">
        <v>14</v>
      </c>
      <c r="E3833" t="s">
        <v>22</v>
      </c>
      <c r="F3833" t="s">
        <v>23</v>
      </c>
      <c r="H3833">
        <v>147.1</v>
      </c>
      <c r="I3833" s="13">
        <v>8</v>
      </c>
      <c r="J3833">
        <v>0</v>
      </c>
      <c r="K3833">
        <v>0</v>
      </c>
      <c r="L3833">
        <v>0</v>
      </c>
      <c r="M3833">
        <v>0</v>
      </c>
      <c r="O3833">
        <f t="shared" si="59"/>
        <v>6</v>
      </c>
    </row>
    <row r="3834" spans="1:15">
      <c r="A3834">
        <v>470</v>
      </c>
      <c r="B3834" s="1">
        <v>45831</v>
      </c>
      <c r="C3834">
        <v>25</v>
      </c>
      <c r="D3834" t="s">
        <v>14</v>
      </c>
      <c r="E3834" t="s">
        <v>20</v>
      </c>
      <c r="F3834" t="s">
        <v>16</v>
      </c>
      <c r="H3834">
        <v>140.9</v>
      </c>
      <c r="I3834" s="13">
        <v>6</v>
      </c>
      <c r="J3834">
        <v>0</v>
      </c>
      <c r="K3834">
        <v>0</v>
      </c>
      <c r="L3834">
        <v>0</v>
      </c>
      <c r="M3834">
        <v>0</v>
      </c>
      <c r="O3834">
        <f t="shared" si="59"/>
        <v>6</v>
      </c>
    </row>
    <row r="3835" spans="1:15">
      <c r="A3835">
        <v>2021</v>
      </c>
      <c r="B3835" s="1">
        <v>45831</v>
      </c>
      <c r="C3835">
        <v>35</v>
      </c>
      <c r="D3835" t="s">
        <v>14</v>
      </c>
      <c r="E3835" t="s">
        <v>24</v>
      </c>
      <c r="F3835" t="s">
        <v>21</v>
      </c>
      <c r="H3835">
        <v>94</v>
      </c>
      <c r="I3835" s="13">
        <v>7</v>
      </c>
      <c r="J3835">
        <v>0</v>
      </c>
      <c r="K3835">
        <v>0</v>
      </c>
      <c r="L3835">
        <v>0</v>
      </c>
      <c r="M3835">
        <v>0</v>
      </c>
      <c r="O3835">
        <f t="shared" si="59"/>
        <v>6</v>
      </c>
    </row>
    <row r="3836" spans="1:15">
      <c r="A3836">
        <v>718</v>
      </c>
      <c r="B3836" s="1">
        <v>45831</v>
      </c>
      <c r="C3836">
        <v>21</v>
      </c>
      <c r="D3836" t="s">
        <v>14</v>
      </c>
      <c r="E3836" t="s">
        <v>22</v>
      </c>
      <c r="F3836" t="s">
        <v>18</v>
      </c>
      <c r="G3836" t="s">
        <v>26</v>
      </c>
      <c r="H3836">
        <v>88.6</v>
      </c>
      <c r="I3836" s="13">
        <v>6</v>
      </c>
      <c r="J3836">
        <v>0</v>
      </c>
      <c r="K3836">
        <v>0</v>
      </c>
      <c r="L3836">
        <v>0</v>
      </c>
      <c r="M3836">
        <v>0</v>
      </c>
      <c r="O3836">
        <f t="shared" si="59"/>
        <v>6</v>
      </c>
    </row>
    <row r="3837" spans="1:15">
      <c r="A3837">
        <v>4586</v>
      </c>
      <c r="B3837" s="1">
        <v>45831</v>
      </c>
      <c r="C3837">
        <v>52</v>
      </c>
      <c r="D3837" t="s">
        <v>14</v>
      </c>
      <c r="E3837" t="s">
        <v>22</v>
      </c>
      <c r="F3837" t="s">
        <v>23</v>
      </c>
      <c r="H3837">
        <v>84.8</v>
      </c>
      <c r="I3837" s="13">
        <v>4</v>
      </c>
      <c r="J3837">
        <v>0</v>
      </c>
      <c r="K3837">
        <v>0</v>
      </c>
      <c r="L3837">
        <v>0</v>
      </c>
      <c r="M3837">
        <v>0</v>
      </c>
      <c r="O3837">
        <f t="shared" si="59"/>
        <v>6</v>
      </c>
    </row>
    <row r="3838" spans="1:15">
      <c r="A3838">
        <v>249</v>
      </c>
      <c r="B3838" s="1">
        <v>45831</v>
      </c>
      <c r="C3838">
        <v>27</v>
      </c>
      <c r="D3838" t="s">
        <v>14</v>
      </c>
      <c r="E3838" t="s">
        <v>15</v>
      </c>
      <c r="F3838" t="s">
        <v>16</v>
      </c>
      <c r="H3838">
        <v>64.900000000000006</v>
      </c>
      <c r="I3838" s="13">
        <v>7</v>
      </c>
      <c r="J3838">
        <v>0</v>
      </c>
      <c r="K3838">
        <v>0</v>
      </c>
      <c r="L3838">
        <v>0</v>
      </c>
      <c r="M3838">
        <v>0</v>
      </c>
      <c r="O3838">
        <f t="shared" si="59"/>
        <v>6</v>
      </c>
    </row>
    <row r="3839" spans="1:15">
      <c r="A3839">
        <v>2452</v>
      </c>
      <c r="B3839" s="1">
        <v>45831</v>
      </c>
      <c r="C3839">
        <v>30</v>
      </c>
      <c r="D3839" t="s">
        <v>17</v>
      </c>
      <c r="E3839" t="s">
        <v>22</v>
      </c>
      <c r="F3839" t="s">
        <v>16</v>
      </c>
      <c r="H3839">
        <v>41.7</v>
      </c>
      <c r="I3839" s="13">
        <v>6</v>
      </c>
      <c r="J3839">
        <v>0</v>
      </c>
      <c r="K3839">
        <v>0</v>
      </c>
      <c r="L3839">
        <v>0</v>
      </c>
      <c r="M3839">
        <v>0</v>
      </c>
      <c r="O3839">
        <f t="shared" si="59"/>
        <v>6</v>
      </c>
    </row>
    <row r="3840" spans="1:15">
      <c r="A3840">
        <v>4644</v>
      </c>
      <c r="B3840" s="1">
        <v>45681</v>
      </c>
      <c r="C3840">
        <v>56</v>
      </c>
      <c r="D3840" t="s">
        <v>14</v>
      </c>
      <c r="E3840" t="s">
        <v>15</v>
      </c>
      <c r="F3840" t="s">
        <v>21</v>
      </c>
      <c r="H3840">
        <v>1129.8</v>
      </c>
      <c r="I3840" s="13">
        <v>6</v>
      </c>
      <c r="J3840">
        <v>1</v>
      </c>
      <c r="K3840">
        <v>215.7</v>
      </c>
      <c r="L3840">
        <v>2</v>
      </c>
      <c r="M3840">
        <v>12</v>
      </c>
      <c r="N3840">
        <v>5</v>
      </c>
      <c r="O3840">
        <f t="shared" si="59"/>
        <v>1</v>
      </c>
    </row>
    <row r="3841" spans="1:15">
      <c r="A3841">
        <v>4872</v>
      </c>
      <c r="B3841" s="1">
        <v>45681</v>
      </c>
      <c r="C3841">
        <v>57</v>
      </c>
      <c r="D3841" t="s">
        <v>17</v>
      </c>
      <c r="E3841" t="s">
        <v>22</v>
      </c>
      <c r="F3841" t="s">
        <v>18</v>
      </c>
      <c r="G3841" t="s">
        <v>29</v>
      </c>
      <c r="H3841">
        <v>114.3</v>
      </c>
      <c r="I3841" s="13">
        <v>4</v>
      </c>
      <c r="J3841">
        <v>1</v>
      </c>
      <c r="K3841">
        <v>69.86</v>
      </c>
      <c r="L3841">
        <v>3</v>
      </c>
      <c r="M3841">
        <v>2</v>
      </c>
      <c r="N3841">
        <v>4</v>
      </c>
      <c r="O3841">
        <f t="shared" si="59"/>
        <v>1</v>
      </c>
    </row>
    <row r="3842" spans="1:15">
      <c r="A3842">
        <v>4332</v>
      </c>
      <c r="B3842" s="1">
        <v>45681</v>
      </c>
      <c r="C3842">
        <v>46</v>
      </c>
      <c r="D3842" t="s">
        <v>14</v>
      </c>
      <c r="E3842" t="s">
        <v>20</v>
      </c>
      <c r="F3842" t="s">
        <v>23</v>
      </c>
      <c r="H3842">
        <v>908.9</v>
      </c>
      <c r="I3842" s="13">
        <v>8</v>
      </c>
      <c r="J3842">
        <v>1</v>
      </c>
      <c r="K3842">
        <v>54.82</v>
      </c>
      <c r="L3842">
        <v>2</v>
      </c>
      <c r="M3842">
        <v>15</v>
      </c>
      <c r="N3842">
        <v>4</v>
      </c>
      <c r="O3842">
        <f t="shared" si="59"/>
        <v>1</v>
      </c>
    </row>
    <row r="3843" spans="1:15">
      <c r="A3843">
        <v>1247</v>
      </c>
      <c r="B3843" s="1">
        <v>45681</v>
      </c>
      <c r="C3843">
        <v>20</v>
      </c>
      <c r="D3843" t="s">
        <v>17</v>
      </c>
      <c r="E3843" t="s">
        <v>22</v>
      </c>
      <c r="F3843" t="s">
        <v>16</v>
      </c>
      <c r="H3843">
        <v>226.3</v>
      </c>
      <c r="I3843" s="13">
        <v>10</v>
      </c>
      <c r="J3843">
        <v>1</v>
      </c>
      <c r="K3843">
        <v>52.03</v>
      </c>
      <c r="L3843">
        <v>4</v>
      </c>
      <c r="M3843">
        <v>13</v>
      </c>
      <c r="N3843">
        <v>4</v>
      </c>
      <c r="O3843">
        <f t="shared" ref="O3843:O3906" si="60">MONTH(B3843)</f>
        <v>1</v>
      </c>
    </row>
    <row r="3844" spans="1:15">
      <c r="A3844">
        <v>4185</v>
      </c>
      <c r="B3844" s="1">
        <v>45681</v>
      </c>
      <c r="C3844">
        <v>59</v>
      </c>
      <c r="D3844" t="s">
        <v>17</v>
      </c>
      <c r="E3844" t="s">
        <v>22</v>
      </c>
      <c r="F3844" t="s">
        <v>18</v>
      </c>
      <c r="G3844" t="s">
        <v>30</v>
      </c>
      <c r="H3844">
        <v>94.9</v>
      </c>
      <c r="I3844" s="13">
        <v>10</v>
      </c>
      <c r="J3844">
        <v>1</v>
      </c>
      <c r="K3844">
        <v>37.340000000000003</v>
      </c>
      <c r="L3844">
        <v>5</v>
      </c>
      <c r="M3844">
        <v>14</v>
      </c>
      <c r="N3844">
        <v>5</v>
      </c>
      <c r="O3844">
        <f t="shared" si="60"/>
        <v>1</v>
      </c>
    </row>
    <row r="3845" spans="1:15">
      <c r="A3845">
        <v>1837</v>
      </c>
      <c r="B3845" s="1">
        <v>45681</v>
      </c>
      <c r="C3845">
        <v>35</v>
      </c>
      <c r="D3845" t="s">
        <v>17</v>
      </c>
      <c r="E3845" t="s">
        <v>15</v>
      </c>
      <c r="F3845" t="s">
        <v>16</v>
      </c>
      <c r="H3845">
        <v>347.4</v>
      </c>
      <c r="I3845" s="13">
        <v>9</v>
      </c>
      <c r="J3845">
        <v>1</v>
      </c>
      <c r="K3845">
        <v>36.630000000000003</v>
      </c>
      <c r="L3845">
        <v>1</v>
      </c>
      <c r="M3845">
        <v>12</v>
      </c>
      <c r="N3845">
        <v>4</v>
      </c>
      <c r="O3845">
        <f t="shared" si="60"/>
        <v>1</v>
      </c>
    </row>
    <row r="3846" spans="1:15">
      <c r="A3846">
        <v>2477</v>
      </c>
      <c r="B3846" s="1">
        <v>45681</v>
      </c>
      <c r="C3846">
        <v>39</v>
      </c>
      <c r="D3846" t="s">
        <v>17</v>
      </c>
      <c r="E3846" t="s">
        <v>24</v>
      </c>
      <c r="F3846" t="s">
        <v>23</v>
      </c>
      <c r="H3846">
        <v>332.1</v>
      </c>
      <c r="I3846" s="13">
        <v>6</v>
      </c>
      <c r="J3846">
        <v>1</v>
      </c>
      <c r="K3846">
        <v>36.08</v>
      </c>
      <c r="L3846">
        <v>2</v>
      </c>
      <c r="M3846">
        <v>5</v>
      </c>
      <c r="N3846">
        <v>4</v>
      </c>
      <c r="O3846">
        <f t="shared" si="60"/>
        <v>1</v>
      </c>
    </row>
    <row r="3847" spans="1:15">
      <c r="A3847">
        <v>1685</v>
      </c>
      <c r="B3847" s="1">
        <v>45681</v>
      </c>
      <c r="C3847">
        <v>27</v>
      </c>
      <c r="D3847" t="s">
        <v>27</v>
      </c>
      <c r="E3847" t="s">
        <v>15</v>
      </c>
      <c r="F3847" t="s">
        <v>16</v>
      </c>
      <c r="H3847">
        <v>372</v>
      </c>
      <c r="I3847" s="13">
        <v>7</v>
      </c>
      <c r="J3847">
        <v>1</v>
      </c>
      <c r="K3847">
        <v>34.200000000000003</v>
      </c>
      <c r="L3847">
        <v>3</v>
      </c>
      <c r="M3847">
        <v>13</v>
      </c>
      <c r="N3847">
        <v>4</v>
      </c>
      <c r="O3847">
        <f t="shared" si="60"/>
        <v>1</v>
      </c>
    </row>
    <row r="3848" spans="1:15">
      <c r="A3848">
        <v>1735</v>
      </c>
      <c r="B3848" s="1">
        <v>45681</v>
      </c>
      <c r="C3848">
        <v>26</v>
      </c>
      <c r="D3848" t="s">
        <v>14</v>
      </c>
      <c r="E3848" t="s">
        <v>24</v>
      </c>
      <c r="F3848" t="s">
        <v>21</v>
      </c>
      <c r="H3848">
        <v>174.2</v>
      </c>
      <c r="I3848" s="13">
        <v>5</v>
      </c>
      <c r="J3848">
        <v>1</v>
      </c>
      <c r="K3848">
        <v>28.79</v>
      </c>
      <c r="L3848">
        <v>2</v>
      </c>
      <c r="M3848">
        <v>1</v>
      </c>
      <c r="N3848">
        <v>3</v>
      </c>
      <c r="O3848">
        <f t="shared" si="60"/>
        <v>1</v>
      </c>
    </row>
    <row r="3849" spans="1:15">
      <c r="A3849">
        <v>2995</v>
      </c>
      <c r="B3849" s="1">
        <v>45681</v>
      </c>
      <c r="C3849">
        <v>47</v>
      </c>
      <c r="D3849" t="s">
        <v>14</v>
      </c>
      <c r="E3849" t="s">
        <v>20</v>
      </c>
      <c r="F3849" t="s">
        <v>18</v>
      </c>
      <c r="G3849" t="s">
        <v>28</v>
      </c>
      <c r="H3849">
        <v>1007.7</v>
      </c>
      <c r="I3849" s="13">
        <v>6</v>
      </c>
      <c r="J3849">
        <v>1</v>
      </c>
      <c r="K3849">
        <v>27.94</v>
      </c>
      <c r="L3849">
        <v>4</v>
      </c>
      <c r="M3849">
        <v>3</v>
      </c>
      <c r="N3849">
        <v>4</v>
      </c>
      <c r="O3849">
        <f t="shared" si="60"/>
        <v>1</v>
      </c>
    </row>
    <row r="3850" spans="1:15">
      <c r="A3850">
        <v>1292</v>
      </c>
      <c r="B3850" s="1">
        <v>45681</v>
      </c>
      <c r="C3850">
        <v>24</v>
      </c>
      <c r="D3850" t="s">
        <v>14</v>
      </c>
      <c r="E3850" t="s">
        <v>15</v>
      </c>
      <c r="F3850" t="s">
        <v>16</v>
      </c>
      <c r="H3850">
        <v>312.10000000000002</v>
      </c>
      <c r="I3850" s="13">
        <v>5</v>
      </c>
      <c r="J3850">
        <v>1</v>
      </c>
      <c r="K3850">
        <v>27.26</v>
      </c>
      <c r="L3850">
        <v>2</v>
      </c>
      <c r="M3850">
        <v>5</v>
      </c>
      <c r="N3850">
        <v>4</v>
      </c>
      <c r="O3850">
        <f t="shared" si="60"/>
        <v>1</v>
      </c>
    </row>
    <row r="3851" spans="1:15">
      <c r="A3851">
        <v>3412</v>
      </c>
      <c r="B3851" s="1">
        <v>45681</v>
      </c>
      <c r="C3851">
        <v>44</v>
      </c>
      <c r="D3851" t="s">
        <v>17</v>
      </c>
      <c r="E3851" t="s">
        <v>15</v>
      </c>
      <c r="F3851" t="s">
        <v>16</v>
      </c>
      <c r="H3851">
        <v>1084.2</v>
      </c>
      <c r="I3851" s="13">
        <v>7</v>
      </c>
      <c r="J3851">
        <v>1</v>
      </c>
      <c r="K3851">
        <v>18.59</v>
      </c>
      <c r="L3851">
        <v>2</v>
      </c>
      <c r="M3851">
        <v>14</v>
      </c>
      <c r="N3851">
        <v>3</v>
      </c>
      <c r="O3851">
        <f t="shared" si="60"/>
        <v>1</v>
      </c>
    </row>
    <row r="3852" spans="1:15">
      <c r="A3852">
        <v>2316</v>
      </c>
      <c r="B3852" s="1">
        <v>45681</v>
      </c>
      <c r="C3852">
        <v>24</v>
      </c>
      <c r="D3852" t="s">
        <v>14</v>
      </c>
      <c r="E3852" t="s">
        <v>15</v>
      </c>
      <c r="F3852" t="s">
        <v>18</v>
      </c>
      <c r="G3852" t="s">
        <v>28</v>
      </c>
      <c r="H3852">
        <v>928.4</v>
      </c>
      <c r="I3852" s="13">
        <v>7</v>
      </c>
      <c r="J3852">
        <v>0</v>
      </c>
      <c r="K3852">
        <v>0</v>
      </c>
      <c r="L3852">
        <v>0</v>
      </c>
      <c r="M3852">
        <v>0</v>
      </c>
      <c r="O3852">
        <f t="shared" si="60"/>
        <v>1</v>
      </c>
    </row>
    <row r="3853" spans="1:15">
      <c r="A3853">
        <v>1162</v>
      </c>
      <c r="B3853" s="1">
        <v>45681</v>
      </c>
      <c r="C3853">
        <v>25</v>
      </c>
      <c r="D3853" t="s">
        <v>14</v>
      </c>
      <c r="E3853" t="s">
        <v>20</v>
      </c>
      <c r="F3853" t="s">
        <v>16</v>
      </c>
      <c r="H3853">
        <v>607.1</v>
      </c>
      <c r="I3853" s="13">
        <v>4</v>
      </c>
      <c r="J3853">
        <v>0</v>
      </c>
      <c r="K3853">
        <v>0</v>
      </c>
      <c r="L3853">
        <v>0</v>
      </c>
      <c r="M3853">
        <v>0</v>
      </c>
      <c r="O3853">
        <f t="shared" si="60"/>
        <v>1</v>
      </c>
    </row>
    <row r="3854" spans="1:15">
      <c r="A3854">
        <v>589</v>
      </c>
      <c r="B3854" s="1">
        <v>45681</v>
      </c>
      <c r="C3854">
        <v>26</v>
      </c>
      <c r="D3854" t="s">
        <v>17</v>
      </c>
      <c r="E3854" t="s">
        <v>24</v>
      </c>
      <c r="F3854" t="s">
        <v>18</v>
      </c>
      <c r="G3854" t="s">
        <v>26</v>
      </c>
      <c r="H3854">
        <v>545.79999999999995</v>
      </c>
      <c r="I3854" s="13">
        <v>6</v>
      </c>
      <c r="J3854">
        <v>0</v>
      </c>
      <c r="K3854">
        <v>0</v>
      </c>
      <c r="L3854">
        <v>0</v>
      </c>
      <c r="M3854">
        <v>0</v>
      </c>
      <c r="O3854">
        <f t="shared" si="60"/>
        <v>1</v>
      </c>
    </row>
    <row r="3855" spans="1:15">
      <c r="A3855">
        <v>1869</v>
      </c>
      <c r="B3855" s="1">
        <v>45681</v>
      </c>
      <c r="C3855">
        <v>44</v>
      </c>
      <c r="D3855" t="s">
        <v>17</v>
      </c>
      <c r="E3855" t="s">
        <v>15</v>
      </c>
      <c r="F3855" t="s">
        <v>18</v>
      </c>
      <c r="G3855" t="s">
        <v>26</v>
      </c>
      <c r="H3855">
        <v>472.1</v>
      </c>
      <c r="I3855" s="13">
        <v>4</v>
      </c>
      <c r="J3855">
        <v>0</v>
      </c>
      <c r="K3855">
        <v>0</v>
      </c>
      <c r="L3855">
        <v>0</v>
      </c>
      <c r="M3855">
        <v>0</v>
      </c>
      <c r="O3855">
        <f t="shared" si="60"/>
        <v>1</v>
      </c>
    </row>
    <row r="3856" spans="1:15">
      <c r="A3856">
        <v>1388</v>
      </c>
      <c r="B3856" s="1">
        <v>45681</v>
      </c>
      <c r="C3856">
        <v>18</v>
      </c>
      <c r="D3856" t="s">
        <v>14</v>
      </c>
      <c r="E3856" t="s">
        <v>20</v>
      </c>
      <c r="F3856" t="s">
        <v>16</v>
      </c>
      <c r="H3856">
        <v>418</v>
      </c>
      <c r="I3856" s="13">
        <v>5</v>
      </c>
      <c r="J3856">
        <v>0</v>
      </c>
      <c r="K3856">
        <v>0</v>
      </c>
      <c r="L3856">
        <v>0</v>
      </c>
      <c r="M3856">
        <v>0</v>
      </c>
      <c r="O3856">
        <f t="shared" si="60"/>
        <v>1</v>
      </c>
    </row>
    <row r="3857" spans="1:15">
      <c r="A3857">
        <v>2901</v>
      </c>
      <c r="B3857" s="1">
        <v>45681</v>
      </c>
      <c r="C3857">
        <v>50</v>
      </c>
      <c r="D3857" t="s">
        <v>14</v>
      </c>
      <c r="E3857" t="s">
        <v>22</v>
      </c>
      <c r="F3857" t="s">
        <v>16</v>
      </c>
      <c r="H3857">
        <v>410.5</v>
      </c>
      <c r="I3857" s="13">
        <v>6</v>
      </c>
      <c r="J3857">
        <v>0</v>
      </c>
      <c r="K3857">
        <v>0</v>
      </c>
      <c r="L3857">
        <v>0</v>
      </c>
      <c r="M3857">
        <v>0</v>
      </c>
      <c r="O3857">
        <f t="shared" si="60"/>
        <v>1</v>
      </c>
    </row>
    <row r="3858" spans="1:15">
      <c r="A3858">
        <v>4467</v>
      </c>
      <c r="B3858" s="1">
        <v>45681</v>
      </c>
      <c r="C3858">
        <v>44</v>
      </c>
      <c r="D3858" t="s">
        <v>14</v>
      </c>
      <c r="E3858" t="s">
        <v>20</v>
      </c>
      <c r="F3858" t="s">
        <v>23</v>
      </c>
      <c r="H3858">
        <v>385.7</v>
      </c>
      <c r="I3858" s="13">
        <v>4</v>
      </c>
      <c r="J3858">
        <v>0</v>
      </c>
      <c r="K3858">
        <v>0</v>
      </c>
      <c r="L3858">
        <v>0</v>
      </c>
      <c r="M3858">
        <v>0</v>
      </c>
      <c r="O3858">
        <f t="shared" si="60"/>
        <v>1</v>
      </c>
    </row>
    <row r="3859" spans="1:15">
      <c r="A3859">
        <v>1366</v>
      </c>
      <c r="B3859" s="1">
        <v>45681</v>
      </c>
      <c r="C3859">
        <v>21</v>
      </c>
      <c r="D3859" t="s">
        <v>14</v>
      </c>
      <c r="E3859" t="s">
        <v>24</v>
      </c>
      <c r="F3859" t="s">
        <v>16</v>
      </c>
      <c r="H3859">
        <v>272.5</v>
      </c>
      <c r="I3859" s="13">
        <v>4</v>
      </c>
      <c r="J3859">
        <v>0</v>
      </c>
      <c r="K3859">
        <v>0</v>
      </c>
      <c r="L3859">
        <v>0</v>
      </c>
      <c r="M3859">
        <v>0</v>
      </c>
      <c r="O3859">
        <f t="shared" si="60"/>
        <v>1</v>
      </c>
    </row>
    <row r="3860" spans="1:15">
      <c r="A3860">
        <v>540</v>
      </c>
      <c r="B3860" s="1">
        <v>45681</v>
      </c>
      <c r="C3860">
        <v>26</v>
      </c>
      <c r="D3860" t="s">
        <v>14</v>
      </c>
      <c r="E3860" t="s">
        <v>15</v>
      </c>
      <c r="F3860" t="s">
        <v>18</v>
      </c>
      <c r="G3860" t="s">
        <v>31</v>
      </c>
      <c r="H3860">
        <v>219.9</v>
      </c>
      <c r="I3860" s="13">
        <v>5</v>
      </c>
      <c r="J3860">
        <v>0</v>
      </c>
      <c r="K3860">
        <v>0</v>
      </c>
      <c r="L3860">
        <v>0</v>
      </c>
      <c r="M3860">
        <v>0</v>
      </c>
      <c r="O3860">
        <f t="shared" si="60"/>
        <v>1</v>
      </c>
    </row>
    <row r="3861" spans="1:15">
      <c r="A3861">
        <v>4187</v>
      </c>
      <c r="B3861" s="1">
        <v>45681</v>
      </c>
      <c r="C3861">
        <v>48</v>
      </c>
      <c r="D3861" t="s">
        <v>14</v>
      </c>
      <c r="E3861" t="s">
        <v>20</v>
      </c>
      <c r="F3861" t="s">
        <v>16</v>
      </c>
      <c r="H3861">
        <v>217.1</v>
      </c>
      <c r="I3861" s="13">
        <v>4</v>
      </c>
      <c r="J3861">
        <v>0</v>
      </c>
      <c r="K3861">
        <v>0</v>
      </c>
      <c r="L3861">
        <v>0</v>
      </c>
      <c r="M3861">
        <v>0</v>
      </c>
      <c r="O3861">
        <f t="shared" si="60"/>
        <v>1</v>
      </c>
    </row>
    <row r="3862" spans="1:15">
      <c r="A3862">
        <v>4087</v>
      </c>
      <c r="B3862" s="1">
        <v>45681</v>
      </c>
      <c r="C3862">
        <v>34</v>
      </c>
      <c r="D3862" t="s">
        <v>14</v>
      </c>
      <c r="E3862" t="s">
        <v>22</v>
      </c>
      <c r="F3862" t="s">
        <v>16</v>
      </c>
      <c r="H3862">
        <v>209.3</v>
      </c>
      <c r="I3862" s="13">
        <v>5</v>
      </c>
      <c r="J3862">
        <v>0</v>
      </c>
      <c r="K3862">
        <v>0</v>
      </c>
      <c r="L3862">
        <v>0</v>
      </c>
      <c r="M3862">
        <v>0</v>
      </c>
      <c r="O3862">
        <f t="shared" si="60"/>
        <v>1</v>
      </c>
    </row>
    <row r="3863" spans="1:15">
      <c r="A3863">
        <v>3536</v>
      </c>
      <c r="B3863" s="1">
        <v>45681</v>
      </c>
      <c r="C3863">
        <v>37</v>
      </c>
      <c r="D3863" t="s">
        <v>17</v>
      </c>
      <c r="E3863" t="s">
        <v>24</v>
      </c>
      <c r="F3863" t="s">
        <v>16</v>
      </c>
      <c r="H3863">
        <v>148.30000000000001</v>
      </c>
      <c r="I3863" s="13">
        <v>8</v>
      </c>
      <c r="J3863">
        <v>0</v>
      </c>
      <c r="K3863">
        <v>0</v>
      </c>
      <c r="L3863">
        <v>0</v>
      </c>
      <c r="M3863">
        <v>0</v>
      </c>
      <c r="O3863">
        <f t="shared" si="60"/>
        <v>1</v>
      </c>
    </row>
    <row r="3864" spans="1:15">
      <c r="A3864">
        <v>4588</v>
      </c>
      <c r="B3864" s="1">
        <v>45681</v>
      </c>
      <c r="C3864">
        <v>46</v>
      </c>
      <c r="D3864" t="s">
        <v>14</v>
      </c>
      <c r="E3864" t="s">
        <v>20</v>
      </c>
      <c r="F3864" t="s">
        <v>16</v>
      </c>
      <c r="H3864">
        <v>144.4</v>
      </c>
      <c r="I3864" s="13">
        <v>9</v>
      </c>
      <c r="J3864">
        <v>0</v>
      </c>
      <c r="K3864">
        <v>0</v>
      </c>
      <c r="L3864">
        <v>0</v>
      </c>
      <c r="M3864">
        <v>0</v>
      </c>
      <c r="O3864">
        <f t="shared" si="60"/>
        <v>1</v>
      </c>
    </row>
    <row r="3865" spans="1:15">
      <c r="A3865">
        <v>1120</v>
      </c>
      <c r="B3865" s="1">
        <v>45681</v>
      </c>
      <c r="C3865">
        <v>30</v>
      </c>
      <c r="D3865" t="s">
        <v>17</v>
      </c>
      <c r="E3865" t="s">
        <v>22</v>
      </c>
      <c r="F3865" t="s">
        <v>18</v>
      </c>
      <c r="G3865" t="s">
        <v>19</v>
      </c>
      <c r="H3865">
        <v>124.5</v>
      </c>
      <c r="I3865" s="13">
        <v>8</v>
      </c>
      <c r="J3865">
        <v>0</v>
      </c>
      <c r="K3865">
        <v>0</v>
      </c>
      <c r="L3865">
        <v>0</v>
      </c>
      <c r="M3865">
        <v>0</v>
      </c>
      <c r="O3865">
        <f t="shared" si="60"/>
        <v>1</v>
      </c>
    </row>
    <row r="3866" spans="1:15">
      <c r="A3866">
        <v>4498</v>
      </c>
      <c r="B3866" s="1">
        <v>45681</v>
      </c>
      <c r="C3866">
        <v>55</v>
      </c>
      <c r="D3866" t="s">
        <v>14</v>
      </c>
      <c r="E3866" t="s">
        <v>20</v>
      </c>
      <c r="F3866" t="s">
        <v>18</v>
      </c>
      <c r="G3866" t="s">
        <v>30</v>
      </c>
      <c r="H3866">
        <v>122.4</v>
      </c>
      <c r="I3866" s="13">
        <v>2</v>
      </c>
      <c r="J3866">
        <v>0</v>
      </c>
      <c r="K3866">
        <v>0</v>
      </c>
      <c r="L3866">
        <v>0</v>
      </c>
      <c r="M3866">
        <v>0</v>
      </c>
      <c r="O3866">
        <f t="shared" si="60"/>
        <v>1</v>
      </c>
    </row>
    <row r="3867" spans="1:15">
      <c r="A3867">
        <v>1200</v>
      </c>
      <c r="B3867" s="1">
        <v>45681</v>
      </c>
      <c r="C3867">
        <v>28</v>
      </c>
      <c r="D3867" t="s">
        <v>17</v>
      </c>
      <c r="E3867" t="s">
        <v>22</v>
      </c>
      <c r="F3867" t="s">
        <v>16</v>
      </c>
      <c r="H3867">
        <v>121.7</v>
      </c>
      <c r="I3867" s="13">
        <v>5</v>
      </c>
      <c r="J3867">
        <v>0</v>
      </c>
      <c r="K3867">
        <v>0</v>
      </c>
      <c r="L3867">
        <v>0</v>
      </c>
      <c r="M3867">
        <v>0</v>
      </c>
      <c r="O3867">
        <f t="shared" si="60"/>
        <v>1</v>
      </c>
    </row>
    <row r="3868" spans="1:15">
      <c r="A3868">
        <v>1593</v>
      </c>
      <c r="B3868" s="1">
        <v>45681</v>
      </c>
      <c r="C3868">
        <v>24</v>
      </c>
      <c r="D3868" t="s">
        <v>17</v>
      </c>
      <c r="E3868" t="s">
        <v>20</v>
      </c>
      <c r="F3868" t="s">
        <v>18</v>
      </c>
      <c r="G3868" t="s">
        <v>19</v>
      </c>
      <c r="H3868">
        <v>62.8</v>
      </c>
      <c r="I3868" s="13">
        <v>11</v>
      </c>
      <c r="J3868">
        <v>0</v>
      </c>
      <c r="K3868">
        <v>0</v>
      </c>
      <c r="L3868">
        <v>0</v>
      </c>
      <c r="M3868">
        <v>0</v>
      </c>
      <c r="O3868">
        <f t="shared" si="60"/>
        <v>1</v>
      </c>
    </row>
    <row r="3869" spans="1:15">
      <c r="A3869">
        <v>588</v>
      </c>
      <c r="B3869" s="1">
        <v>45681</v>
      </c>
      <c r="C3869">
        <v>22</v>
      </c>
      <c r="D3869" t="s">
        <v>14</v>
      </c>
      <c r="E3869" t="s">
        <v>20</v>
      </c>
      <c r="F3869" t="s">
        <v>23</v>
      </c>
      <c r="H3869">
        <v>51.3</v>
      </c>
      <c r="I3869" s="13">
        <v>4</v>
      </c>
      <c r="J3869">
        <v>0</v>
      </c>
      <c r="K3869">
        <v>0</v>
      </c>
      <c r="L3869">
        <v>0</v>
      </c>
      <c r="M3869">
        <v>0</v>
      </c>
      <c r="O3869">
        <f t="shared" si="60"/>
        <v>1</v>
      </c>
    </row>
    <row r="3870" spans="1:15">
      <c r="A3870">
        <v>1652</v>
      </c>
      <c r="B3870" s="1">
        <v>45712</v>
      </c>
      <c r="C3870">
        <v>27</v>
      </c>
      <c r="D3870" t="s">
        <v>14</v>
      </c>
      <c r="E3870" t="s">
        <v>22</v>
      </c>
      <c r="F3870" t="s">
        <v>18</v>
      </c>
      <c r="G3870" t="s">
        <v>25</v>
      </c>
      <c r="H3870">
        <v>85.2</v>
      </c>
      <c r="I3870" s="13">
        <v>5</v>
      </c>
      <c r="J3870">
        <v>1</v>
      </c>
      <c r="K3870">
        <v>440</v>
      </c>
      <c r="L3870">
        <v>6</v>
      </c>
      <c r="M3870">
        <v>8</v>
      </c>
      <c r="N3870">
        <v>4</v>
      </c>
      <c r="O3870">
        <f t="shared" si="60"/>
        <v>2</v>
      </c>
    </row>
    <row r="3871" spans="1:15">
      <c r="A3871">
        <v>742</v>
      </c>
      <c r="B3871" s="1">
        <v>45712</v>
      </c>
      <c r="C3871">
        <v>22</v>
      </c>
      <c r="D3871" t="s">
        <v>17</v>
      </c>
      <c r="E3871" t="s">
        <v>20</v>
      </c>
      <c r="F3871" t="s">
        <v>18</v>
      </c>
      <c r="G3871" t="s">
        <v>26</v>
      </c>
      <c r="H3871">
        <v>853.4</v>
      </c>
      <c r="I3871" s="13">
        <v>6</v>
      </c>
      <c r="J3871">
        <v>1</v>
      </c>
      <c r="K3871">
        <v>88.83</v>
      </c>
      <c r="L3871">
        <v>3</v>
      </c>
      <c r="M3871">
        <v>14</v>
      </c>
      <c r="N3871">
        <v>4</v>
      </c>
      <c r="O3871">
        <f t="shared" si="60"/>
        <v>2</v>
      </c>
    </row>
    <row r="3872" spans="1:15">
      <c r="A3872">
        <v>3549</v>
      </c>
      <c r="B3872" s="1">
        <v>45712</v>
      </c>
      <c r="C3872">
        <v>33</v>
      </c>
      <c r="D3872" t="s">
        <v>14</v>
      </c>
      <c r="E3872" t="s">
        <v>22</v>
      </c>
      <c r="F3872" t="s">
        <v>18</v>
      </c>
      <c r="G3872" t="s">
        <v>28</v>
      </c>
      <c r="H3872">
        <v>564.1</v>
      </c>
      <c r="I3872" s="13">
        <v>6</v>
      </c>
      <c r="J3872">
        <v>1</v>
      </c>
      <c r="K3872">
        <v>72.989999999999995</v>
      </c>
      <c r="L3872">
        <v>4</v>
      </c>
      <c r="M3872">
        <v>10</v>
      </c>
      <c r="N3872">
        <v>4</v>
      </c>
      <c r="O3872">
        <f t="shared" si="60"/>
        <v>2</v>
      </c>
    </row>
    <row r="3873" spans="1:15">
      <c r="A3873">
        <v>37</v>
      </c>
      <c r="B3873" s="1">
        <v>45712</v>
      </c>
      <c r="C3873">
        <v>28</v>
      </c>
      <c r="D3873" t="s">
        <v>17</v>
      </c>
      <c r="E3873" t="s">
        <v>15</v>
      </c>
      <c r="F3873" t="s">
        <v>16</v>
      </c>
      <c r="H3873">
        <v>894.8</v>
      </c>
      <c r="I3873" s="13">
        <v>6</v>
      </c>
      <c r="J3873">
        <v>1</v>
      </c>
      <c r="K3873">
        <v>54.98</v>
      </c>
      <c r="L3873">
        <v>3</v>
      </c>
      <c r="M3873">
        <v>2</v>
      </c>
      <c r="N3873">
        <v>5</v>
      </c>
      <c r="O3873">
        <f t="shared" si="60"/>
        <v>2</v>
      </c>
    </row>
    <row r="3874" spans="1:15">
      <c r="A3874">
        <v>4619</v>
      </c>
      <c r="B3874" s="1">
        <v>45712</v>
      </c>
      <c r="C3874">
        <v>46</v>
      </c>
      <c r="D3874" t="s">
        <v>14</v>
      </c>
      <c r="E3874" t="s">
        <v>24</v>
      </c>
      <c r="F3874" t="s">
        <v>16</v>
      </c>
      <c r="H3874">
        <v>810.9</v>
      </c>
      <c r="I3874" s="13">
        <v>6</v>
      </c>
      <c r="J3874">
        <v>1</v>
      </c>
      <c r="K3874">
        <v>40.630000000000003</v>
      </c>
      <c r="L3874">
        <v>1</v>
      </c>
      <c r="M3874">
        <v>7</v>
      </c>
      <c r="N3874">
        <v>4</v>
      </c>
      <c r="O3874">
        <f t="shared" si="60"/>
        <v>2</v>
      </c>
    </row>
    <row r="3875" spans="1:15">
      <c r="A3875">
        <v>1658</v>
      </c>
      <c r="B3875" s="1">
        <v>45712</v>
      </c>
      <c r="C3875">
        <v>27</v>
      </c>
      <c r="D3875" t="s">
        <v>17</v>
      </c>
      <c r="E3875" t="s">
        <v>22</v>
      </c>
      <c r="F3875" t="s">
        <v>23</v>
      </c>
      <c r="H3875">
        <v>263.39999999999998</v>
      </c>
      <c r="I3875" s="13">
        <v>10</v>
      </c>
      <c r="J3875">
        <v>1</v>
      </c>
      <c r="K3875">
        <v>33.04</v>
      </c>
      <c r="L3875">
        <v>3</v>
      </c>
      <c r="M3875">
        <v>6</v>
      </c>
      <c r="N3875">
        <v>4</v>
      </c>
      <c r="O3875">
        <f t="shared" si="60"/>
        <v>2</v>
      </c>
    </row>
    <row r="3876" spans="1:15">
      <c r="A3876">
        <v>3836</v>
      </c>
      <c r="B3876" s="1">
        <v>45712</v>
      </c>
      <c r="C3876">
        <v>40</v>
      </c>
      <c r="D3876" t="s">
        <v>17</v>
      </c>
      <c r="E3876" t="s">
        <v>22</v>
      </c>
      <c r="F3876" t="s">
        <v>16</v>
      </c>
      <c r="H3876">
        <v>271.10000000000002</v>
      </c>
      <c r="I3876" s="13">
        <v>9</v>
      </c>
      <c r="J3876">
        <v>1</v>
      </c>
      <c r="K3876">
        <v>15.79</v>
      </c>
      <c r="L3876">
        <v>2</v>
      </c>
      <c r="M3876">
        <v>11</v>
      </c>
      <c r="N3876">
        <v>5</v>
      </c>
      <c r="O3876">
        <f t="shared" si="60"/>
        <v>2</v>
      </c>
    </row>
    <row r="3877" spans="1:15">
      <c r="A3877">
        <v>1676</v>
      </c>
      <c r="B3877" s="1">
        <v>45712</v>
      </c>
      <c r="C3877">
        <v>23</v>
      </c>
      <c r="D3877" t="s">
        <v>17</v>
      </c>
      <c r="E3877" t="s">
        <v>22</v>
      </c>
      <c r="F3877" t="s">
        <v>23</v>
      </c>
      <c r="H3877">
        <v>235</v>
      </c>
      <c r="I3877" s="13">
        <v>5</v>
      </c>
      <c r="J3877">
        <v>0</v>
      </c>
      <c r="K3877">
        <v>0</v>
      </c>
      <c r="L3877">
        <v>0</v>
      </c>
      <c r="M3877">
        <v>0</v>
      </c>
      <c r="O3877">
        <f t="shared" si="60"/>
        <v>2</v>
      </c>
    </row>
    <row r="3878" spans="1:15">
      <c r="A3878">
        <v>144</v>
      </c>
      <c r="B3878" s="1">
        <v>45712</v>
      </c>
      <c r="C3878">
        <v>24</v>
      </c>
      <c r="D3878" t="s">
        <v>14</v>
      </c>
      <c r="E3878" t="s">
        <v>20</v>
      </c>
      <c r="F3878" t="s">
        <v>21</v>
      </c>
      <c r="H3878">
        <v>552.6</v>
      </c>
      <c r="I3878" s="13">
        <v>4</v>
      </c>
      <c r="J3878">
        <v>0</v>
      </c>
      <c r="K3878">
        <v>0</v>
      </c>
      <c r="L3878">
        <v>0</v>
      </c>
      <c r="M3878">
        <v>0</v>
      </c>
      <c r="O3878">
        <f t="shared" si="60"/>
        <v>2</v>
      </c>
    </row>
    <row r="3879" spans="1:15">
      <c r="A3879">
        <v>1189</v>
      </c>
      <c r="B3879" s="1">
        <v>45712</v>
      </c>
      <c r="C3879">
        <v>27</v>
      </c>
      <c r="D3879" t="s">
        <v>14</v>
      </c>
      <c r="E3879" t="s">
        <v>20</v>
      </c>
      <c r="F3879" t="s">
        <v>16</v>
      </c>
      <c r="H3879">
        <v>394.6</v>
      </c>
      <c r="I3879" s="13">
        <v>8</v>
      </c>
      <c r="J3879">
        <v>0</v>
      </c>
      <c r="K3879">
        <v>0</v>
      </c>
      <c r="L3879">
        <v>0</v>
      </c>
      <c r="M3879">
        <v>0</v>
      </c>
      <c r="O3879">
        <f t="shared" si="60"/>
        <v>2</v>
      </c>
    </row>
    <row r="3880" spans="1:15">
      <c r="A3880">
        <v>2910</v>
      </c>
      <c r="B3880" s="1">
        <v>45712</v>
      </c>
      <c r="C3880">
        <v>29</v>
      </c>
      <c r="D3880" t="s">
        <v>17</v>
      </c>
      <c r="E3880" t="s">
        <v>20</v>
      </c>
      <c r="F3880" t="s">
        <v>16</v>
      </c>
      <c r="H3880">
        <v>363.4</v>
      </c>
      <c r="I3880" s="13">
        <v>5</v>
      </c>
      <c r="J3880">
        <v>0</v>
      </c>
      <c r="K3880">
        <v>0</v>
      </c>
      <c r="L3880">
        <v>0</v>
      </c>
      <c r="M3880">
        <v>0</v>
      </c>
      <c r="O3880">
        <f t="shared" si="60"/>
        <v>2</v>
      </c>
    </row>
    <row r="3881" spans="1:15">
      <c r="A3881">
        <v>2184</v>
      </c>
      <c r="B3881" s="1">
        <v>45712</v>
      </c>
      <c r="C3881">
        <v>29</v>
      </c>
      <c r="D3881" t="s">
        <v>17</v>
      </c>
      <c r="E3881" t="s">
        <v>22</v>
      </c>
      <c r="F3881" t="s">
        <v>16</v>
      </c>
      <c r="H3881">
        <v>360.3</v>
      </c>
      <c r="I3881" s="13">
        <v>6</v>
      </c>
      <c r="J3881">
        <v>0</v>
      </c>
      <c r="K3881">
        <v>0</v>
      </c>
      <c r="L3881">
        <v>0</v>
      </c>
      <c r="M3881">
        <v>0</v>
      </c>
      <c r="O3881">
        <f t="shared" si="60"/>
        <v>2</v>
      </c>
    </row>
    <row r="3882" spans="1:15">
      <c r="A3882">
        <v>2181</v>
      </c>
      <c r="B3882" s="1">
        <v>45712</v>
      </c>
      <c r="C3882">
        <v>29</v>
      </c>
      <c r="D3882" t="s">
        <v>14</v>
      </c>
      <c r="E3882" t="s">
        <v>22</v>
      </c>
      <c r="F3882" t="s">
        <v>18</v>
      </c>
      <c r="G3882" t="s">
        <v>28</v>
      </c>
      <c r="H3882">
        <v>335.4</v>
      </c>
      <c r="I3882" s="13">
        <v>4</v>
      </c>
      <c r="J3882">
        <v>0</v>
      </c>
      <c r="K3882">
        <v>0</v>
      </c>
      <c r="L3882">
        <v>0</v>
      </c>
      <c r="M3882">
        <v>0</v>
      </c>
      <c r="O3882">
        <f t="shared" si="60"/>
        <v>2</v>
      </c>
    </row>
    <row r="3883" spans="1:15">
      <c r="A3883">
        <v>2909</v>
      </c>
      <c r="B3883" s="1">
        <v>45712</v>
      </c>
      <c r="C3883">
        <v>26</v>
      </c>
      <c r="D3883" t="s">
        <v>14</v>
      </c>
      <c r="E3883" t="s">
        <v>15</v>
      </c>
      <c r="F3883" t="s">
        <v>16</v>
      </c>
      <c r="H3883">
        <v>329.5</v>
      </c>
      <c r="I3883" s="13">
        <v>12</v>
      </c>
      <c r="J3883">
        <v>0</v>
      </c>
      <c r="K3883">
        <v>0</v>
      </c>
      <c r="L3883">
        <v>0</v>
      </c>
      <c r="M3883">
        <v>0</v>
      </c>
      <c r="O3883">
        <f t="shared" si="60"/>
        <v>2</v>
      </c>
    </row>
    <row r="3884" spans="1:15">
      <c r="A3884">
        <v>2216</v>
      </c>
      <c r="B3884" s="1">
        <v>45712</v>
      </c>
      <c r="C3884">
        <v>28</v>
      </c>
      <c r="D3884" t="s">
        <v>17</v>
      </c>
      <c r="E3884" t="s">
        <v>24</v>
      </c>
      <c r="F3884" t="s">
        <v>21</v>
      </c>
      <c r="H3884">
        <v>302.5</v>
      </c>
      <c r="I3884" s="13">
        <v>9</v>
      </c>
      <c r="J3884">
        <v>0</v>
      </c>
      <c r="K3884">
        <v>0</v>
      </c>
      <c r="L3884">
        <v>0</v>
      </c>
      <c r="M3884">
        <v>0</v>
      </c>
      <c r="O3884">
        <f t="shared" si="60"/>
        <v>2</v>
      </c>
    </row>
    <row r="3885" spans="1:15">
      <c r="A3885">
        <v>3163</v>
      </c>
      <c r="B3885" s="1">
        <v>45712</v>
      </c>
      <c r="C3885">
        <v>40</v>
      </c>
      <c r="D3885" t="s">
        <v>14</v>
      </c>
      <c r="E3885" t="s">
        <v>20</v>
      </c>
      <c r="F3885" t="s">
        <v>23</v>
      </c>
      <c r="H3885">
        <v>285.60000000000002</v>
      </c>
      <c r="I3885" s="13">
        <v>7</v>
      </c>
      <c r="J3885">
        <v>0</v>
      </c>
      <c r="K3885">
        <v>0</v>
      </c>
      <c r="L3885">
        <v>0</v>
      </c>
      <c r="M3885">
        <v>0</v>
      </c>
      <c r="O3885">
        <f t="shared" si="60"/>
        <v>2</v>
      </c>
    </row>
    <row r="3886" spans="1:15">
      <c r="A3886">
        <v>2227</v>
      </c>
      <c r="B3886" s="1">
        <v>45712</v>
      </c>
      <c r="C3886">
        <v>34</v>
      </c>
      <c r="D3886" t="s">
        <v>17</v>
      </c>
      <c r="E3886" t="s">
        <v>24</v>
      </c>
      <c r="F3886" t="s">
        <v>21</v>
      </c>
      <c r="H3886">
        <v>195</v>
      </c>
      <c r="I3886" s="13">
        <v>6</v>
      </c>
      <c r="J3886">
        <v>0</v>
      </c>
      <c r="K3886">
        <v>0</v>
      </c>
      <c r="L3886">
        <v>0</v>
      </c>
      <c r="M3886">
        <v>0</v>
      </c>
      <c r="O3886">
        <f t="shared" si="60"/>
        <v>2</v>
      </c>
    </row>
    <row r="3887" spans="1:15">
      <c r="A3887">
        <v>1723</v>
      </c>
      <c r="B3887" s="1">
        <v>45712</v>
      </c>
      <c r="C3887">
        <v>23</v>
      </c>
      <c r="D3887" t="s">
        <v>14</v>
      </c>
      <c r="E3887" t="s">
        <v>24</v>
      </c>
      <c r="F3887" t="s">
        <v>18</v>
      </c>
      <c r="G3887" t="s">
        <v>28</v>
      </c>
      <c r="H3887">
        <v>188.7</v>
      </c>
      <c r="I3887" s="13">
        <v>6</v>
      </c>
      <c r="J3887">
        <v>0</v>
      </c>
      <c r="K3887">
        <v>0</v>
      </c>
      <c r="L3887">
        <v>0</v>
      </c>
      <c r="M3887">
        <v>0</v>
      </c>
      <c r="O3887">
        <f t="shared" si="60"/>
        <v>2</v>
      </c>
    </row>
    <row r="3888" spans="1:15">
      <c r="A3888">
        <v>17</v>
      </c>
      <c r="B3888" s="1">
        <v>45712</v>
      </c>
      <c r="C3888">
        <v>31</v>
      </c>
      <c r="D3888" t="s">
        <v>17</v>
      </c>
      <c r="E3888" t="s">
        <v>22</v>
      </c>
      <c r="F3888" t="s">
        <v>16</v>
      </c>
      <c r="H3888">
        <v>182.9</v>
      </c>
      <c r="I3888" s="13">
        <v>4</v>
      </c>
      <c r="J3888">
        <v>0</v>
      </c>
      <c r="K3888">
        <v>0</v>
      </c>
      <c r="L3888">
        <v>0</v>
      </c>
      <c r="M3888">
        <v>0</v>
      </c>
      <c r="O3888">
        <f t="shared" si="60"/>
        <v>2</v>
      </c>
    </row>
    <row r="3889" spans="1:15">
      <c r="A3889">
        <v>2726</v>
      </c>
      <c r="B3889" s="1">
        <v>45712</v>
      </c>
      <c r="C3889">
        <v>33</v>
      </c>
      <c r="D3889" t="s">
        <v>14</v>
      </c>
      <c r="E3889" t="s">
        <v>15</v>
      </c>
      <c r="F3889" t="s">
        <v>18</v>
      </c>
      <c r="G3889" t="s">
        <v>31</v>
      </c>
      <c r="H3889">
        <v>126.8</v>
      </c>
      <c r="I3889" s="13">
        <v>8</v>
      </c>
      <c r="J3889">
        <v>0</v>
      </c>
      <c r="K3889">
        <v>0</v>
      </c>
      <c r="L3889">
        <v>0</v>
      </c>
      <c r="M3889">
        <v>0</v>
      </c>
      <c r="O3889">
        <f t="shared" si="60"/>
        <v>2</v>
      </c>
    </row>
    <row r="3890" spans="1:15">
      <c r="A3890">
        <v>2920</v>
      </c>
      <c r="B3890" s="1">
        <v>45712</v>
      </c>
      <c r="C3890">
        <v>50</v>
      </c>
      <c r="D3890" t="s">
        <v>17</v>
      </c>
      <c r="E3890" t="s">
        <v>20</v>
      </c>
      <c r="F3890" t="s">
        <v>18</v>
      </c>
      <c r="G3890" t="s">
        <v>26</v>
      </c>
      <c r="H3890">
        <v>75.2</v>
      </c>
      <c r="I3890" s="13">
        <v>11</v>
      </c>
      <c r="J3890">
        <v>0</v>
      </c>
      <c r="K3890">
        <v>0</v>
      </c>
      <c r="L3890">
        <v>0</v>
      </c>
      <c r="M3890">
        <v>0</v>
      </c>
      <c r="O3890">
        <f t="shared" si="60"/>
        <v>2</v>
      </c>
    </row>
    <row r="3891" spans="1:15">
      <c r="A3891">
        <v>4582</v>
      </c>
      <c r="B3891" s="1">
        <v>45712</v>
      </c>
      <c r="C3891">
        <v>40</v>
      </c>
      <c r="D3891" t="s">
        <v>14</v>
      </c>
      <c r="E3891" t="s">
        <v>22</v>
      </c>
      <c r="F3891" t="s">
        <v>16</v>
      </c>
      <c r="H3891">
        <v>63.6</v>
      </c>
      <c r="I3891" s="13">
        <v>3</v>
      </c>
      <c r="J3891">
        <v>0</v>
      </c>
      <c r="K3891">
        <v>0</v>
      </c>
      <c r="L3891">
        <v>0</v>
      </c>
      <c r="M3891">
        <v>0</v>
      </c>
      <c r="O3891">
        <f t="shared" si="60"/>
        <v>2</v>
      </c>
    </row>
    <row r="3892" spans="1:15">
      <c r="A3892">
        <v>2446</v>
      </c>
      <c r="B3892" s="1">
        <v>45712</v>
      </c>
      <c r="C3892">
        <v>24</v>
      </c>
      <c r="D3892" t="s">
        <v>17</v>
      </c>
      <c r="E3892" t="s">
        <v>15</v>
      </c>
      <c r="F3892" t="s">
        <v>16</v>
      </c>
      <c r="H3892">
        <v>61</v>
      </c>
      <c r="I3892" s="13">
        <v>11</v>
      </c>
      <c r="J3892">
        <v>0</v>
      </c>
      <c r="K3892">
        <v>0</v>
      </c>
      <c r="L3892">
        <v>0</v>
      </c>
      <c r="M3892">
        <v>0</v>
      </c>
      <c r="O3892">
        <f t="shared" si="60"/>
        <v>2</v>
      </c>
    </row>
    <row r="3893" spans="1:15">
      <c r="A3893">
        <v>4663</v>
      </c>
      <c r="B3893" s="1">
        <v>45740</v>
      </c>
      <c r="C3893">
        <v>56</v>
      </c>
      <c r="D3893" t="s">
        <v>17</v>
      </c>
      <c r="E3893" t="s">
        <v>24</v>
      </c>
      <c r="F3893" t="s">
        <v>21</v>
      </c>
      <c r="H3893">
        <v>324.8</v>
      </c>
      <c r="I3893" s="13">
        <v>6</v>
      </c>
      <c r="J3893">
        <v>1</v>
      </c>
      <c r="K3893">
        <v>218.28</v>
      </c>
      <c r="L3893">
        <v>1</v>
      </c>
      <c r="M3893">
        <v>15</v>
      </c>
      <c r="N3893">
        <v>5</v>
      </c>
      <c r="O3893">
        <f t="shared" si="60"/>
        <v>3</v>
      </c>
    </row>
    <row r="3894" spans="1:15">
      <c r="A3894">
        <v>1714</v>
      </c>
      <c r="B3894" s="1">
        <v>45740</v>
      </c>
      <c r="C3894">
        <v>21</v>
      </c>
      <c r="D3894" t="s">
        <v>17</v>
      </c>
      <c r="E3894" t="s">
        <v>24</v>
      </c>
      <c r="F3894" t="s">
        <v>23</v>
      </c>
      <c r="H3894">
        <v>998.9</v>
      </c>
      <c r="I3894" s="13">
        <v>4</v>
      </c>
      <c r="J3894">
        <v>1</v>
      </c>
      <c r="K3894">
        <v>162.08000000000001</v>
      </c>
      <c r="L3894">
        <v>4</v>
      </c>
      <c r="M3894">
        <v>1</v>
      </c>
      <c r="N3894">
        <v>5</v>
      </c>
      <c r="O3894">
        <f t="shared" si="60"/>
        <v>3</v>
      </c>
    </row>
    <row r="3895" spans="1:15">
      <c r="A3895">
        <v>3633</v>
      </c>
      <c r="B3895" s="1">
        <v>45740</v>
      </c>
      <c r="C3895">
        <v>29</v>
      </c>
      <c r="D3895" t="s">
        <v>17</v>
      </c>
      <c r="E3895" t="s">
        <v>20</v>
      </c>
      <c r="F3895" t="s">
        <v>18</v>
      </c>
      <c r="G3895" t="s">
        <v>28</v>
      </c>
      <c r="H3895">
        <v>685.2</v>
      </c>
      <c r="I3895" s="13">
        <v>4</v>
      </c>
      <c r="J3895">
        <v>1</v>
      </c>
      <c r="K3895">
        <v>73.209999999999994</v>
      </c>
      <c r="L3895">
        <v>4</v>
      </c>
      <c r="M3895">
        <v>4</v>
      </c>
      <c r="N3895">
        <v>4</v>
      </c>
      <c r="O3895">
        <f t="shared" si="60"/>
        <v>3</v>
      </c>
    </row>
    <row r="3896" spans="1:15">
      <c r="A3896">
        <v>3812</v>
      </c>
      <c r="B3896" s="1">
        <v>45740</v>
      </c>
      <c r="C3896">
        <v>43</v>
      </c>
      <c r="D3896" t="s">
        <v>14</v>
      </c>
      <c r="E3896" t="s">
        <v>15</v>
      </c>
      <c r="F3896" t="s">
        <v>18</v>
      </c>
      <c r="G3896" t="s">
        <v>31</v>
      </c>
      <c r="H3896">
        <v>537.4</v>
      </c>
      <c r="I3896" s="13">
        <v>7</v>
      </c>
      <c r="J3896">
        <v>1</v>
      </c>
      <c r="K3896">
        <v>71.709999999999994</v>
      </c>
      <c r="L3896">
        <v>2</v>
      </c>
      <c r="M3896">
        <v>13</v>
      </c>
      <c r="N3896">
        <v>3</v>
      </c>
      <c r="O3896">
        <f t="shared" si="60"/>
        <v>3</v>
      </c>
    </row>
    <row r="3897" spans="1:15">
      <c r="A3897">
        <v>581</v>
      </c>
      <c r="B3897" s="1">
        <v>45740</v>
      </c>
      <c r="C3897">
        <v>27</v>
      </c>
      <c r="D3897" t="s">
        <v>17</v>
      </c>
      <c r="E3897" t="s">
        <v>15</v>
      </c>
      <c r="F3897" t="s">
        <v>23</v>
      </c>
      <c r="H3897">
        <v>100</v>
      </c>
      <c r="I3897" s="13">
        <v>10</v>
      </c>
      <c r="J3897">
        <v>1</v>
      </c>
      <c r="K3897">
        <v>65.81</v>
      </c>
      <c r="L3897">
        <v>4</v>
      </c>
      <c r="M3897">
        <v>7</v>
      </c>
      <c r="N3897">
        <v>4</v>
      </c>
      <c r="O3897">
        <f t="shared" si="60"/>
        <v>3</v>
      </c>
    </row>
    <row r="3898" spans="1:15">
      <c r="A3898">
        <v>2051</v>
      </c>
      <c r="B3898" s="1">
        <v>45740</v>
      </c>
      <c r="C3898">
        <v>27</v>
      </c>
      <c r="D3898" t="s">
        <v>14</v>
      </c>
      <c r="E3898" t="s">
        <v>22</v>
      </c>
      <c r="F3898" t="s">
        <v>16</v>
      </c>
      <c r="H3898">
        <v>485.2</v>
      </c>
      <c r="I3898" s="13">
        <v>6</v>
      </c>
      <c r="J3898">
        <v>1</v>
      </c>
      <c r="K3898">
        <v>38.369999999999997</v>
      </c>
      <c r="L3898">
        <v>2</v>
      </c>
      <c r="M3898">
        <v>1</v>
      </c>
      <c r="N3898">
        <v>5</v>
      </c>
      <c r="O3898">
        <f t="shared" si="60"/>
        <v>3</v>
      </c>
    </row>
    <row r="3899" spans="1:15">
      <c r="A3899">
        <v>1771</v>
      </c>
      <c r="B3899" s="1">
        <v>45740</v>
      </c>
      <c r="C3899">
        <v>42</v>
      </c>
      <c r="D3899" t="s">
        <v>14</v>
      </c>
      <c r="E3899" t="s">
        <v>20</v>
      </c>
      <c r="F3899" t="s">
        <v>18</v>
      </c>
      <c r="G3899" t="s">
        <v>31</v>
      </c>
      <c r="H3899">
        <v>130.6</v>
      </c>
      <c r="I3899" s="13">
        <v>3</v>
      </c>
      <c r="J3899">
        <v>1</v>
      </c>
      <c r="K3899">
        <v>26.88</v>
      </c>
      <c r="L3899">
        <v>1</v>
      </c>
      <c r="M3899">
        <v>1</v>
      </c>
      <c r="N3899">
        <v>4</v>
      </c>
      <c r="O3899">
        <f t="shared" si="60"/>
        <v>3</v>
      </c>
    </row>
    <row r="3900" spans="1:15">
      <c r="A3900">
        <v>2064</v>
      </c>
      <c r="B3900" s="1">
        <v>45740</v>
      </c>
      <c r="C3900">
        <v>42</v>
      </c>
      <c r="D3900" t="s">
        <v>14</v>
      </c>
      <c r="E3900" t="s">
        <v>22</v>
      </c>
      <c r="F3900" t="s">
        <v>16</v>
      </c>
      <c r="H3900">
        <v>744.5</v>
      </c>
      <c r="I3900" s="13">
        <v>5</v>
      </c>
      <c r="J3900">
        <v>1</v>
      </c>
      <c r="K3900">
        <v>26.59</v>
      </c>
      <c r="L3900">
        <v>2</v>
      </c>
      <c r="M3900">
        <v>8</v>
      </c>
      <c r="N3900">
        <v>4</v>
      </c>
      <c r="O3900">
        <f t="shared" si="60"/>
        <v>3</v>
      </c>
    </row>
    <row r="3901" spans="1:15">
      <c r="A3901">
        <v>363</v>
      </c>
      <c r="B3901" s="1">
        <v>45740</v>
      </c>
      <c r="C3901">
        <v>18</v>
      </c>
      <c r="D3901" t="s">
        <v>17</v>
      </c>
      <c r="E3901" t="s">
        <v>15</v>
      </c>
      <c r="F3901" t="s">
        <v>16</v>
      </c>
      <c r="H3901">
        <v>862.2</v>
      </c>
      <c r="I3901" s="13">
        <v>3</v>
      </c>
      <c r="J3901">
        <v>1</v>
      </c>
      <c r="K3901">
        <v>23.33</v>
      </c>
      <c r="L3901">
        <v>1</v>
      </c>
      <c r="M3901">
        <v>8</v>
      </c>
      <c r="N3901">
        <v>4</v>
      </c>
      <c r="O3901">
        <f t="shared" si="60"/>
        <v>3</v>
      </c>
    </row>
    <row r="3902" spans="1:15">
      <c r="A3902">
        <v>2774</v>
      </c>
      <c r="B3902" s="1">
        <v>45740</v>
      </c>
      <c r="C3902">
        <v>39</v>
      </c>
      <c r="D3902" t="s">
        <v>17</v>
      </c>
      <c r="E3902" t="s">
        <v>15</v>
      </c>
      <c r="F3902" t="s">
        <v>23</v>
      </c>
      <c r="H3902">
        <v>661.2</v>
      </c>
      <c r="I3902" s="13">
        <v>4</v>
      </c>
      <c r="J3902">
        <v>1</v>
      </c>
      <c r="K3902">
        <v>23.31</v>
      </c>
      <c r="L3902">
        <v>3</v>
      </c>
      <c r="M3902">
        <v>15</v>
      </c>
      <c r="N3902">
        <v>4</v>
      </c>
      <c r="O3902">
        <f t="shared" si="60"/>
        <v>3</v>
      </c>
    </row>
    <row r="3903" spans="1:15">
      <c r="A3903">
        <v>2724</v>
      </c>
      <c r="B3903" s="1">
        <v>45740</v>
      </c>
      <c r="C3903">
        <v>28</v>
      </c>
      <c r="D3903" t="s">
        <v>14</v>
      </c>
      <c r="E3903" t="s">
        <v>20</v>
      </c>
      <c r="F3903" t="s">
        <v>16</v>
      </c>
      <c r="H3903">
        <v>719.1</v>
      </c>
      <c r="I3903" s="13">
        <v>7</v>
      </c>
      <c r="J3903">
        <v>0</v>
      </c>
      <c r="K3903">
        <v>0</v>
      </c>
      <c r="L3903">
        <v>0</v>
      </c>
      <c r="M3903">
        <v>0</v>
      </c>
      <c r="O3903">
        <f t="shared" si="60"/>
        <v>3</v>
      </c>
    </row>
    <row r="3904" spans="1:15">
      <c r="A3904">
        <v>1983</v>
      </c>
      <c r="B3904" s="1">
        <v>45740</v>
      </c>
      <c r="C3904">
        <v>21</v>
      </c>
      <c r="D3904" t="s">
        <v>17</v>
      </c>
      <c r="E3904" t="s">
        <v>15</v>
      </c>
      <c r="F3904" t="s">
        <v>18</v>
      </c>
      <c r="G3904" t="s">
        <v>31</v>
      </c>
      <c r="H3904">
        <v>555.9</v>
      </c>
      <c r="I3904" s="13">
        <v>6</v>
      </c>
      <c r="J3904">
        <v>0</v>
      </c>
      <c r="K3904">
        <v>0</v>
      </c>
      <c r="L3904">
        <v>0</v>
      </c>
      <c r="M3904">
        <v>0</v>
      </c>
      <c r="O3904">
        <f t="shared" si="60"/>
        <v>3</v>
      </c>
    </row>
    <row r="3905" spans="1:15">
      <c r="A3905">
        <v>2650</v>
      </c>
      <c r="B3905" s="1">
        <v>45740</v>
      </c>
      <c r="C3905">
        <v>26</v>
      </c>
      <c r="D3905" t="s">
        <v>17</v>
      </c>
      <c r="E3905" t="s">
        <v>20</v>
      </c>
      <c r="F3905" t="s">
        <v>18</v>
      </c>
      <c r="G3905" t="s">
        <v>25</v>
      </c>
      <c r="H3905">
        <v>545.9</v>
      </c>
      <c r="I3905" s="13">
        <v>9</v>
      </c>
      <c r="J3905">
        <v>0</v>
      </c>
      <c r="K3905">
        <v>0</v>
      </c>
      <c r="L3905">
        <v>0</v>
      </c>
      <c r="M3905">
        <v>0</v>
      </c>
      <c r="O3905">
        <f t="shared" si="60"/>
        <v>3</v>
      </c>
    </row>
    <row r="3906" spans="1:15">
      <c r="A3906">
        <v>25</v>
      </c>
      <c r="B3906" s="1">
        <v>45740</v>
      </c>
      <c r="C3906">
        <v>27</v>
      </c>
      <c r="D3906" t="s">
        <v>17</v>
      </c>
      <c r="E3906" t="s">
        <v>15</v>
      </c>
      <c r="F3906" t="s">
        <v>23</v>
      </c>
      <c r="H3906">
        <v>492.5</v>
      </c>
      <c r="I3906" s="13">
        <v>8</v>
      </c>
      <c r="J3906">
        <v>0</v>
      </c>
      <c r="K3906">
        <v>0</v>
      </c>
      <c r="L3906">
        <v>0</v>
      </c>
      <c r="M3906">
        <v>0</v>
      </c>
      <c r="O3906">
        <f t="shared" si="60"/>
        <v>3</v>
      </c>
    </row>
    <row r="3907" spans="1:15">
      <c r="A3907">
        <v>1858</v>
      </c>
      <c r="B3907" s="1">
        <v>45740</v>
      </c>
      <c r="C3907">
        <v>30</v>
      </c>
      <c r="D3907" t="s">
        <v>14</v>
      </c>
      <c r="E3907" t="s">
        <v>15</v>
      </c>
      <c r="F3907" t="s">
        <v>18</v>
      </c>
      <c r="G3907" t="s">
        <v>30</v>
      </c>
      <c r="H3907">
        <v>461.1</v>
      </c>
      <c r="I3907" s="13">
        <v>6</v>
      </c>
      <c r="J3907">
        <v>0</v>
      </c>
      <c r="K3907">
        <v>0</v>
      </c>
      <c r="L3907">
        <v>0</v>
      </c>
      <c r="M3907">
        <v>0</v>
      </c>
      <c r="O3907">
        <f t="shared" ref="O3907:O3970" si="61">MONTH(B3907)</f>
        <v>3</v>
      </c>
    </row>
    <row r="3908" spans="1:15">
      <c r="A3908">
        <v>2424</v>
      </c>
      <c r="B3908" s="1">
        <v>45740</v>
      </c>
      <c r="C3908">
        <v>49</v>
      </c>
      <c r="D3908" t="s">
        <v>14</v>
      </c>
      <c r="E3908" t="s">
        <v>24</v>
      </c>
      <c r="F3908" t="s">
        <v>16</v>
      </c>
      <c r="H3908">
        <v>394.2</v>
      </c>
      <c r="I3908" s="13">
        <v>2</v>
      </c>
      <c r="J3908">
        <v>0</v>
      </c>
      <c r="K3908">
        <v>0</v>
      </c>
      <c r="L3908">
        <v>0</v>
      </c>
      <c r="M3908">
        <v>0</v>
      </c>
      <c r="O3908">
        <f t="shared" si="61"/>
        <v>3</v>
      </c>
    </row>
    <row r="3909" spans="1:15">
      <c r="A3909">
        <v>4555</v>
      </c>
      <c r="B3909" s="1">
        <v>45740</v>
      </c>
      <c r="C3909">
        <v>55</v>
      </c>
      <c r="D3909" t="s">
        <v>14</v>
      </c>
      <c r="E3909" t="s">
        <v>24</v>
      </c>
      <c r="F3909" t="s">
        <v>23</v>
      </c>
      <c r="H3909">
        <v>344.6</v>
      </c>
      <c r="I3909" s="13">
        <v>7</v>
      </c>
      <c r="J3909">
        <v>0</v>
      </c>
      <c r="K3909">
        <v>0</v>
      </c>
      <c r="L3909">
        <v>0</v>
      </c>
      <c r="M3909">
        <v>0</v>
      </c>
      <c r="O3909">
        <f t="shared" si="61"/>
        <v>3</v>
      </c>
    </row>
    <row r="3910" spans="1:15">
      <c r="A3910">
        <v>2147</v>
      </c>
      <c r="B3910" s="1">
        <v>45740</v>
      </c>
      <c r="C3910">
        <v>37</v>
      </c>
      <c r="D3910" t="s">
        <v>14</v>
      </c>
      <c r="E3910" t="s">
        <v>15</v>
      </c>
      <c r="F3910" t="s">
        <v>23</v>
      </c>
      <c r="H3910">
        <v>312.10000000000002</v>
      </c>
      <c r="I3910" s="13">
        <v>8</v>
      </c>
      <c r="J3910">
        <v>0</v>
      </c>
      <c r="K3910">
        <v>0</v>
      </c>
      <c r="L3910">
        <v>0</v>
      </c>
      <c r="M3910">
        <v>0</v>
      </c>
      <c r="O3910">
        <f t="shared" si="61"/>
        <v>3</v>
      </c>
    </row>
    <row r="3911" spans="1:15">
      <c r="A3911">
        <v>2337</v>
      </c>
      <c r="B3911" s="1">
        <v>45740</v>
      </c>
      <c r="C3911">
        <v>25</v>
      </c>
      <c r="D3911" t="s">
        <v>14</v>
      </c>
      <c r="E3911" t="s">
        <v>22</v>
      </c>
      <c r="F3911" t="s">
        <v>23</v>
      </c>
      <c r="H3911">
        <v>277.2</v>
      </c>
      <c r="I3911" s="13">
        <v>9</v>
      </c>
      <c r="J3911">
        <v>0</v>
      </c>
      <c r="K3911">
        <v>0</v>
      </c>
      <c r="L3911">
        <v>0</v>
      </c>
      <c r="M3911">
        <v>0</v>
      </c>
      <c r="O3911">
        <f t="shared" si="61"/>
        <v>3</v>
      </c>
    </row>
    <row r="3912" spans="1:15">
      <c r="A3912">
        <v>3124</v>
      </c>
      <c r="B3912" s="1">
        <v>45740</v>
      </c>
      <c r="C3912">
        <v>27</v>
      </c>
      <c r="D3912" t="s">
        <v>14</v>
      </c>
      <c r="E3912" t="s">
        <v>15</v>
      </c>
      <c r="F3912" t="s">
        <v>23</v>
      </c>
      <c r="H3912">
        <v>218.6</v>
      </c>
      <c r="I3912" s="13">
        <v>4</v>
      </c>
      <c r="J3912">
        <v>0</v>
      </c>
      <c r="K3912">
        <v>0</v>
      </c>
      <c r="L3912">
        <v>0</v>
      </c>
      <c r="M3912">
        <v>0</v>
      </c>
      <c r="O3912">
        <f t="shared" si="61"/>
        <v>3</v>
      </c>
    </row>
    <row r="3913" spans="1:15">
      <c r="A3913">
        <v>3835</v>
      </c>
      <c r="B3913" s="1">
        <v>45740</v>
      </c>
      <c r="C3913">
        <v>60</v>
      </c>
      <c r="D3913" t="s">
        <v>14</v>
      </c>
      <c r="E3913" t="s">
        <v>15</v>
      </c>
      <c r="F3913" t="s">
        <v>18</v>
      </c>
      <c r="G3913" t="s">
        <v>26</v>
      </c>
      <c r="H3913">
        <v>216.3</v>
      </c>
      <c r="I3913" s="13">
        <v>5</v>
      </c>
      <c r="J3913">
        <v>0</v>
      </c>
      <c r="K3913">
        <v>0</v>
      </c>
      <c r="L3913">
        <v>0</v>
      </c>
      <c r="M3913">
        <v>0</v>
      </c>
      <c r="O3913">
        <f t="shared" si="61"/>
        <v>3</v>
      </c>
    </row>
    <row r="3914" spans="1:15">
      <c r="A3914">
        <v>2197</v>
      </c>
      <c r="B3914" s="1">
        <v>45740</v>
      </c>
      <c r="C3914">
        <v>35</v>
      </c>
      <c r="D3914" t="s">
        <v>14</v>
      </c>
      <c r="E3914" t="s">
        <v>20</v>
      </c>
      <c r="F3914" t="s">
        <v>18</v>
      </c>
      <c r="G3914" t="s">
        <v>30</v>
      </c>
      <c r="H3914">
        <v>192.1</v>
      </c>
      <c r="I3914" s="13">
        <v>4</v>
      </c>
      <c r="J3914">
        <v>0</v>
      </c>
      <c r="K3914">
        <v>0</v>
      </c>
      <c r="L3914">
        <v>0</v>
      </c>
      <c r="M3914">
        <v>0</v>
      </c>
      <c r="O3914">
        <f t="shared" si="61"/>
        <v>3</v>
      </c>
    </row>
    <row r="3915" spans="1:15">
      <c r="A3915">
        <v>3565</v>
      </c>
      <c r="B3915" s="1">
        <v>45740</v>
      </c>
      <c r="C3915">
        <v>37</v>
      </c>
      <c r="D3915" t="s">
        <v>14</v>
      </c>
      <c r="E3915" t="s">
        <v>24</v>
      </c>
      <c r="F3915" t="s">
        <v>16</v>
      </c>
      <c r="H3915">
        <v>174.2</v>
      </c>
      <c r="I3915" s="13">
        <v>7</v>
      </c>
      <c r="J3915">
        <v>0</v>
      </c>
      <c r="K3915">
        <v>0</v>
      </c>
      <c r="L3915">
        <v>0</v>
      </c>
      <c r="M3915">
        <v>0</v>
      </c>
      <c r="O3915">
        <f t="shared" si="61"/>
        <v>3</v>
      </c>
    </row>
    <row r="3916" spans="1:15">
      <c r="A3916">
        <v>491</v>
      </c>
      <c r="B3916" s="1">
        <v>45740</v>
      </c>
      <c r="C3916">
        <v>26</v>
      </c>
      <c r="D3916" t="s">
        <v>14</v>
      </c>
      <c r="E3916" t="s">
        <v>24</v>
      </c>
      <c r="F3916" t="s">
        <v>16</v>
      </c>
      <c r="H3916">
        <v>154.19999999999999</v>
      </c>
      <c r="I3916" s="13">
        <v>12</v>
      </c>
      <c r="J3916">
        <v>0</v>
      </c>
      <c r="K3916">
        <v>0</v>
      </c>
      <c r="L3916">
        <v>0</v>
      </c>
      <c r="M3916">
        <v>0</v>
      </c>
      <c r="O3916">
        <f t="shared" si="61"/>
        <v>3</v>
      </c>
    </row>
    <row r="3917" spans="1:15">
      <c r="A3917">
        <v>606</v>
      </c>
      <c r="B3917" s="1">
        <v>45740</v>
      </c>
      <c r="C3917">
        <v>25</v>
      </c>
      <c r="D3917" t="s">
        <v>14</v>
      </c>
      <c r="E3917" t="s">
        <v>15</v>
      </c>
      <c r="F3917" t="s">
        <v>21</v>
      </c>
      <c r="H3917">
        <v>115.3</v>
      </c>
      <c r="I3917" s="13">
        <v>10</v>
      </c>
      <c r="J3917">
        <v>0</v>
      </c>
      <c r="K3917">
        <v>0</v>
      </c>
      <c r="L3917">
        <v>0</v>
      </c>
      <c r="M3917">
        <v>0</v>
      </c>
      <c r="O3917">
        <f t="shared" si="61"/>
        <v>3</v>
      </c>
    </row>
    <row r="3918" spans="1:15">
      <c r="A3918">
        <v>4759</v>
      </c>
      <c r="B3918" s="1">
        <v>45740</v>
      </c>
      <c r="C3918">
        <v>66</v>
      </c>
      <c r="D3918" t="s">
        <v>17</v>
      </c>
      <c r="E3918" t="s">
        <v>24</v>
      </c>
      <c r="F3918" t="s">
        <v>16</v>
      </c>
      <c r="H3918">
        <v>105.2</v>
      </c>
      <c r="I3918" s="13">
        <v>6</v>
      </c>
      <c r="J3918">
        <v>0</v>
      </c>
      <c r="K3918">
        <v>0</v>
      </c>
      <c r="L3918">
        <v>0</v>
      </c>
      <c r="M3918">
        <v>0</v>
      </c>
      <c r="O3918">
        <f t="shared" si="61"/>
        <v>3</v>
      </c>
    </row>
    <row r="3919" spans="1:15">
      <c r="A3919">
        <v>3560</v>
      </c>
      <c r="B3919" s="1">
        <v>45740</v>
      </c>
      <c r="C3919">
        <v>36</v>
      </c>
      <c r="D3919" t="s">
        <v>14</v>
      </c>
      <c r="E3919" t="s">
        <v>22</v>
      </c>
      <c r="F3919" t="s">
        <v>16</v>
      </c>
      <c r="H3919">
        <v>98.4</v>
      </c>
      <c r="I3919" s="13">
        <v>9</v>
      </c>
      <c r="J3919">
        <v>0</v>
      </c>
      <c r="K3919">
        <v>0</v>
      </c>
      <c r="L3919">
        <v>0</v>
      </c>
      <c r="M3919">
        <v>0</v>
      </c>
      <c r="O3919">
        <f t="shared" si="61"/>
        <v>3</v>
      </c>
    </row>
    <row r="3920" spans="1:15">
      <c r="A3920">
        <v>4712</v>
      </c>
      <c r="B3920" s="1">
        <v>45740</v>
      </c>
      <c r="C3920">
        <v>49</v>
      </c>
      <c r="D3920" t="s">
        <v>14</v>
      </c>
      <c r="E3920" t="s">
        <v>20</v>
      </c>
      <c r="F3920" t="s">
        <v>16</v>
      </c>
      <c r="H3920">
        <v>94.1</v>
      </c>
      <c r="I3920" s="13">
        <v>7</v>
      </c>
      <c r="J3920">
        <v>0</v>
      </c>
      <c r="K3920">
        <v>0</v>
      </c>
      <c r="L3920">
        <v>0</v>
      </c>
      <c r="M3920">
        <v>0</v>
      </c>
      <c r="O3920">
        <f t="shared" si="61"/>
        <v>3</v>
      </c>
    </row>
    <row r="3921" spans="1:15">
      <c r="A3921">
        <v>1183</v>
      </c>
      <c r="B3921" s="1">
        <v>45771</v>
      </c>
      <c r="C3921">
        <v>28</v>
      </c>
      <c r="D3921" t="s">
        <v>14</v>
      </c>
      <c r="E3921" t="s">
        <v>22</v>
      </c>
      <c r="F3921" t="s">
        <v>16</v>
      </c>
      <c r="H3921">
        <v>663.4</v>
      </c>
      <c r="I3921" s="13">
        <v>4</v>
      </c>
      <c r="J3921">
        <v>1</v>
      </c>
      <c r="K3921">
        <v>147.06</v>
      </c>
      <c r="L3921">
        <v>3</v>
      </c>
      <c r="M3921">
        <v>7</v>
      </c>
      <c r="N3921">
        <v>5</v>
      </c>
      <c r="O3921">
        <f t="shared" si="61"/>
        <v>4</v>
      </c>
    </row>
    <row r="3922" spans="1:15">
      <c r="A3922">
        <v>2601</v>
      </c>
      <c r="B3922" s="1">
        <v>45771</v>
      </c>
      <c r="C3922">
        <v>21</v>
      </c>
      <c r="D3922" t="s">
        <v>14</v>
      </c>
      <c r="E3922" t="s">
        <v>22</v>
      </c>
      <c r="F3922" t="s">
        <v>16</v>
      </c>
      <c r="H3922">
        <v>297.10000000000002</v>
      </c>
      <c r="I3922" s="13">
        <v>8</v>
      </c>
      <c r="J3922">
        <v>1</v>
      </c>
      <c r="K3922">
        <v>114.2</v>
      </c>
      <c r="L3922">
        <v>2</v>
      </c>
      <c r="M3922">
        <v>10</v>
      </c>
      <c r="N3922">
        <v>3</v>
      </c>
      <c r="O3922">
        <f t="shared" si="61"/>
        <v>4</v>
      </c>
    </row>
    <row r="3923" spans="1:15">
      <c r="A3923">
        <v>613</v>
      </c>
      <c r="B3923" s="1">
        <v>45771</v>
      </c>
      <c r="C3923">
        <v>25</v>
      </c>
      <c r="D3923" t="s">
        <v>14</v>
      </c>
      <c r="E3923" t="s">
        <v>20</v>
      </c>
      <c r="F3923" t="s">
        <v>23</v>
      </c>
      <c r="H3923">
        <v>293</v>
      </c>
      <c r="I3923" s="13">
        <v>2</v>
      </c>
      <c r="J3923">
        <v>1</v>
      </c>
      <c r="K3923">
        <v>112.66</v>
      </c>
      <c r="L3923">
        <v>6</v>
      </c>
      <c r="M3923">
        <v>8</v>
      </c>
      <c r="N3923">
        <v>4</v>
      </c>
      <c r="O3923">
        <f t="shared" si="61"/>
        <v>4</v>
      </c>
    </row>
    <row r="3924" spans="1:15">
      <c r="A3924">
        <v>4308</v>
      </c>
      <c r="B3924" s="1">
        <v>45771</v>
      </c>
      <c r="C3924">
        <v>57</v>
      </c>
      <c r="D3924" t="s">
        <v>14</v>
      </c>
      <c r="E3924" t="s">
        <v>24</v>
      </c>
      <c r="F3924" t="s">
        <v>18</v>
      </c>
      <c r="G3924" t="s">
        <v>29</v>
      </c>
      <c r="H3924">
        <v>360.1</v>
      </c>
      <c r="I3924" s="13">
        <v>4</v>
      </c>
      <c r="J3924">
        <v>1</v>
      </c>
      <c r="K3924">
        <v>105</v>
      </c>
      <c r="L3924">
        <v>2</v>
      </c>
      <c r="M3924">
        <v>5</v>
      </c>
      <c r="N3924">
        <v>4</v>
      </c>
      <c r="O3924">
        <f t="shared" si="61"/>
        <v>4</v>
      </c>
    </row>
    <row r="3925" spans="1:15">
      <c r="A3925">
        <v>3151</v>
      </c>
      <c r="B3925" s="1">
        <v>45771</v>
      </c>
      <c r="C3925">
        <v>23</v>
      </c>
      <c r="D3925" t="s">
        <v>14</v>
      </c>
      <c r="E3925" t="s">
        <v>20</v>
      </c>
      <c r="F3925" t="s">
        <v>23</v>
      </c>
      <c r="H3925">
        <v>369.7</v>
      </c>
      <c r="I3925" s="13">
        <v>4</v>
      </c>
      <c r="J3925">
        <v>1</v>
      </c>
      <c r="K3925">
        <v>71.489999999999995</v>
      </c>
      <c r="L3925">
        <v>5</v>
      </c>
      <c r="M3925">
        <v>3</v>
      </c>
      <c r="N3925">
        <v>5</v>
      </c>
      <c r="O3925">
        <f t="shared" si="61"/>
        <v>4</v>
      </c>
    </row>
    <row r="3926" spans="1:15">
      <c r="A3926">
        <v>1173</v>
      </c>
      <c r="B3926" s="1">
        <v>45771</v>
      </c>
      <c r="C3926">
        <v>24</v>
      </c>
      <c r="D3926" t="s">
        <v>14</v>
      </c>
      <c r="E3926" t="s">
        <v>15</v>
      </c>
      <c r="F3926" t="s">
        <v>16</v>
      </c>
      <c r="H3926">
        <v>645</v>
      </c>
      <c r="I3926" s="13">
        <v>6</v>
      </c>
      <c r="J3926">
        <v>1</v>
      </c>
      <c r="K3926">
        <v>42.16</v>
      </c>
      <c r="L3926">
        <v>4</v>
      </c>
      <c r="M3926">
        <v>8</v>
      </c>
      <c r="N3926">
        <v>5</v>
      </c>
      <c r="O3926">
        <f t="shared" si="61"/>
        <v>4</v>
      </c>
    </row>
    <row r="3927" spans="1:15">
      <c r="A3927">
        <v>2763</v>
      </c>
      <c r="B3927" s="1">
        <v>45771</v>
      </c>
      <c r="C3927">
        <v>33</v>
      </c>
      <c r="D3927" t="s">
        <v>14</v>
      </c>
      <c r="E3927" t="s">
        <v>24</v>
      </c>
      <c r="F3927" t="s">
        <v>21</v>
      </c>
      <c r="H3927">
        <v>569.70000000000005</v>
      </c>
      <c r="I3927" s="13">
        <v>5</v>
      </c>
      <c r="J3927">
        <v>1</v>
      </c>
      <c r="K3927">
        <v>41.75</v>
      </c>
      <c r="L3927">
        <v>2</v>
      </c>
      <c r="M3927">
        <v>15</v>
      </c>
      <c r="N3927">
        <v>5</v>
      </c>
      <c r="O3927">
        <f t="shared" si="61"/>
        <v>4</v>
      </c>
    </row>
    <row r="3928" spans="1:15">
      <c r="A3928">
        <v>481</v>
      </c>
      <c r="B3928" s="1">
        <v>45771</v>
      </c>
      <c r="C3928">
        <v>31</v>
      </c>
      <c r="D3928" t="s">
        <v>14</v>
      </c>
      <c r="E3928" t="s">
        <v>24</v>
      </c>
      <c r="F3928" t="s">
        <v>18</v>
      </c>
      <c r="G3928" t="s">
        <v>31</v>
      </c>
      <c r="H3928">
        <v>891.7</v>
      </c>
      <c r="I3928" s="13">
        <v>10</v>
      </c>
      <c r="J3928">
        <v>1</v>
      </c>
      <c r="K3928">
        <v>40.65</v>
      </c>
      <c r="L3928">
        <v>3</v>
      </c>
      <c r="M3928">
        <v>6</v>
      </c>
      <c r="N3928">
        <v>4</v>
      </c>
      <c r="O3928">
        <f t="shared" si="61"/>
        <v>4</v>
      </c>
    </row>
    <row r="3929" spans="1:15">
      <c r="A3929">
        <v>3343</v>
      </c>
      <c r="B3929" s="1">
        <v>45771</v>
      </c>
      <c r="C3929">
        <v>45</v>
      </c>
      <c r="D3929" t="s">
        <v>14</v>
      </c>
      <c r="E3929" t="s">
        <v>22</v>
      </c>
      <c r="F3929" t="s">
        <v>16</v>
      </c>
      <c r="H3929">
        <v>490.6</v>
      </c>
      <c r="I3929" s="13">
        <v>10</v>
      </c>
      <c r="J3929">
        <v>1</v>
      </c>
      <c r="K3929">
        <v>38.82</v>
      </c>
      <c r="L3929">
        <v>2</v>
      </c>
      <c r="M3929">
        <v>11</v>
      </c>
      <c r="N3929">
        <v>4</v>
      </c>
      <c r="O3929">
        <f t="shared" si="61"/>
        <v>4</v>
      </c>
    </row>
    <row r="3930" spans="1:15">
      <c r="A3930">
        <v>840</v>
      </c>
      <c r="B3930" s="1">
        <v>45771</v>
      </c>
      <c r="C3930">
        <v>26</v>
      </c>
      <c r="D3930" t="s">
        <v>17</v>
      </c>
      <c r="E3930" t="s">
        <v>22</v>
      </c>
      <c r="F3930" t="s">
        <v>16</v>
      </c>
      <c r="H3930">
        <v>333.6</v>
      </c>
      <c r="I3930" s="13">
        <v>5</v>
      </c>
      <c r="J3930">
        <v>1</v>
      </c>
      <c r="K3930">
        <v>33.56</v>
      </c>
      <c r="L3930">
        <v>3</v>
      </c>
      <c r="M3930">
        <v>8</v>
      </c>
      <c r="N3930">
        <v>3</v>
      </c>
      <c r="O3930">
        <f t="shared" si="61"/>
        <v>4</v>
      </c>
    </row>
    <row r="3931" spans="1:15">
      <c r="A3931">
        <v>1364</v>
      </c>
      <c r="B3931" s="1">
        <v>45771</v>
      </c>
      <c r="C3931">
        <v>30</v>
      </c>
      <c r="D3931" t="s">
        <v>17</v>
      </c>
      <c r="E3931" t="s">
        <v>24</v>
      </c>
      <c r="F3931" t="s">
        <v>21</v>
      </c>
      <c r="H3931">
        <v>763.5</v>
      </c>
      <c r="I3931" s="13">
        <v>2</v>
      </c>
      <c r="J3931">
        <v>0</v>
      </c>
      <c r="K3931">
        <v>0</v>
      </c>
      <c r="L3931">
        <v>0</v>
      </c>
      <c r="M3931">
        <v>0</v>
      </c>
      <c r="O3931">
        <f t="shared" si="61"/>
        <v>4</v>
      </c>
    </row>
    <row r="3932" spans="1:15">
      <c r="A3932">
        <v>194</v>
      </c>
      <c r="B3932" s="1">
        <v>45771</v>
      </c>
      <c r="C3932">
        <v>23</v>
      </c>
      <c r="D3932" t="s">
        <v>17</v>
      </c>
      <c r="E3932" t="s">
        <v>22</v>
      </c>
      <c r="F3932" t="s">
        <v>18</v>
      </c>
      <c r="G3932" t="s">
        <v>25</v>
      </c>
      <c r="H3932">
        <v>625.70000000000005</v>
      </c>
      <c r="I3932" s="13">
        <v>7</v>
      </c>
      <c r="J3932">
        <v>0</v>
      </c>
      <c r="K3932">
        <v>0</v>
      </c>
      <c r="L3932">
        <v>0</v>
      </c>
      <c r="M3932">
        <v>0</v>
      </c>
      <c r="O3932">
        <f t="shared" si="61"/>
        <v>4</v>
      </c>
    </row>
    <row r="3933" spans="1:15">
      <c r="A3933">
        <v>162</v>
      </c>
      <c r="B3933" s="1">
        <v>45771</v>
      </c>
      <c r="C3933">
        <v>29</v>
      </c>
      <c r="D3933" t="s">
        <v>17</v>
      </c>
      <c r="E3933" t="s">
        <v>15</v>
      </c>
      <c r="F3933" t="s">
        <v>18</v>
      </c>
      <c r="G3933" t="s">
        <v>28</v>
      </c>
      <c r="H3933">
        <v>465.4</v>
      </c>
      <c r="I3933" s="13">
        <v>6</v>
      </c>
      <c r="J3933">
        <v>0</v>
      </c>
      <c r="K3933">
        <v>0</v>
      </c>
      <c r="L3933">
        <v>0</v>
      </c>
      <c r="M3933">
        <v>0</v>
      </c>
      <c r="O3933">
        <f t="shared" si="61"/>
        <v>4</v>
      </c>
    </row>
    <row r="3934" spans="1:15">
      <c r="A3934">
        <v>230</v>
      </c>
      <c r="B3934" s="1">
        <v>45771</v>
      </c>
      <c r="C3934">
        <v>24</v>
      </c>
      <c r="D3934" t="s">
        <v>17</v>
      </c>
      <c r="E3934" t="s">
        <v>15</v>
      </c>
      <c r="F3934" t="s">
        <v>16</v>
      </c>
      <c r="H3934">
        <v>434.7</v>
      </c>
      <c r="I3934" s="13">
        <v>3</v>
      </c>
      <c r="J3934">
        <v>0</v>
      </c>
      <c r="K3934">
        <v>0</v>
      </c>
      <c r="L3934">
        <v>0</v>
      </c>
      <c r="M3934">
        <v>0</v>
      </c>
      <c r="O3934">
        <f t="shared" si="61"/>
        <v>4</v>
      </c>
    </row>
    <row r="3935" spans="1:15">
      <c r="A3935">
        <v>3889</v>
      </c>
      <c r="B3935" s="1">
        <v>45771</v>
      </c>
      <c r="C3935">
        <v>48</v>
      </c>
      <c r="D3935" t="s">
        <v>17</v>
      </c>
      <c r="E3935" t="s">
        <v>20</v>
      </c>
      <c r="F3935" t="s">
        <v>16</v>
      </c>
      <c r="H3935">
        <v>431.5</v>
      </c>
      <c r="I3935" s="13">
        <v>5</v>
      </c>
      <c r="J3935">
        <v>0</v>
      </c>
      <c r="K3935">
        <v>0</v>
      </c>
      <c r="L3935">
        <v>0</v>
      </c>
      <c r="M3935">
        <v>0</v>
      </c>
      <c r="O3935">
        <f t="shared" si="61"/>
        <v>4</v>
      </c>
    </row>
    <row r="3936" spans="1:15">
      <c r="A3936">
        <v>2631</v>
      </c>
      <c r="B3936" s="1">
        <v>45771</v>
      </c>
      <c r="C3936">
        <v>52</v>
      </c>
      <c r="D3936" t="s">
        <v>17</v>
      </c>
      <c r="E3936" t="s">
        <v>24</v>
      </c>
      <c r="F3936" t="s">
        <v>18</v>
      </c>
      <c r="G3936" t="s">
        <v>28</v>
      </c>
      <c r="H3936">
        <v>418.2</v>
      </c>
      <c r="I3936" s="13">
        <v>8</v>
      </c>
      <c r="J3936">
        <v>0</v>
      </c>
      <c r="K3936">
        <v>0</v>
      </c>
      <c r="L3936">
        <v>0</v>
      </c>
      <c r="M3936">
        <v>0</v>
      </c>
      <c r="O3936">
        <f t="shared" si="61"/>
        <v>4</v>
      </c>
    </row>
    <row r="3937" spans="1:15">
      <c r="A3937">
        <v>4186</v>
      </c>
      <c r="B3937" s="1">
        <v>45771</v>
      </c>
      <c r="C3937">
        <v>41</v>
      </c>
      <c r="D3937" t="s">
        <v>14</v>
      </c>
      <c r="E3937" t="s">
        <v>20</v>
      </c>
      <c r="F3937" t="s">
        <v>16</v>
      </c>
      <c r="H3937">
        <v>368</v>
      </c>
      <c r="I3937" s="13">
        <v>4</v>
      </c>
      <c r="J3937">
        <v>0</v>
      </c>
      <c r="K3937">
        <v>0</v>
      </c>
      <c r="L3937">
        <v>0</v>
      </c>
      <c r="M3937">
        <v>0</v>
      </c>
      <c r="O3937">
        <f t="shared" si="61"/>
        <v>4</v>
      </c>
    </row>
    <row r="3938" spans="1:15">
      <c r="A3938">
        <v>1550</v>
      </c>
      <c r="B3938" s="1">
        <v>45771</v>
      </c>
      <c r="C3938">
        <v>30</v>
      </c>
      <c r="D3938" t="s">
        <v>17</v>
      </c>
      <c r="E3938" t="s">
        <v>24</v>
      </c>
      <c r="F3938" t="s">
        <v>18</v>
      </c>
      <c r="G3938" t="s">
        <v>29</v>
      </c>
      <c r="H3938">
        <v>350.3</v>
      </c>
      <c r="I3938" s="13">
        <v>8</v>
      </c>
      <c r="J3938">
        <v>0</v>
      </c>
      <c r="K3938">
        <v>0</v>
      </c>
      <c r="L3938">
        <v>0</v>
      </c>
      <c r="M3938">
        <v>0</v>
      </c>
      <c r="O3938">
        <f t="shared" si="61"/>
        <v>4</v>
      </c>
    </row>
    <row r="3939" spans="1:15">
      <c r="A3939">
        <v>2266</v>
      </c>
      <c r="B3939" s="1">
        <v>45771</v>
      </c>
      <c r="C3939">
        <v>36</v>
      </c>
      <c r="D3939" t="s">
        <v>14</v>
      </c>
      <c r="E3939" t="s">
        <v>22</v>
      </c>
      <c r="F3939" t="s">
        <v>21</v>
      </c>
      <c r="H3939">
        <v>346.8</v>
      </c>
      <c r="I3939" s="13">
        <v>3</v>
      </c>
      <c r="J3939">
        <v>0</v>
      </c>
      <c r="K3939">
        <v>0</v>
      </c>
      <c r="L3939">
        <v>0</v>
      </c>
      <c r="M3939">
        <v>0</v>
      </c>
      <c r="O3939">
        <f t="shared" si="61"/>
        <v>4</v>
      </c>
    </row>
    <row r="3940" spans="1:15">
      <c r="A3940">
        <v>4101</v>
      </c>
      <c r="B3940" s="1">
        <v>45771</v>
      </c>
      <c r="C3940">
        <v>36</v>
      </c>
      <c r="D3940" t="s">
        <v>14</v>
      </c>
      <c r="E3940" t="s">
        <v>22</v>
      </c>
      <c r="F3940" t="s">
        <v>23</v>
      </c>
      <c r="H3940">
        <v>303.5</v>
      </c>
      <c r="I3940" s="13">
        <v>9</v>
      </c>
      <c r="J3940">
        <v>0</v>
      </c>
      <c r="K3940">
        <v>0</v>
      </c>
      <c r="L3940">
        <v>0</v>
      </c>
      <c r="M3940">
        <v>0</v>
      </c>
      <c r="O3940">
        <f t="shared" si="61"/>
        <v>4</v>
      </c>
    </row>
    <row r="3941" spans="1:15">
      <c r="A3941">
        <v>383</v>
      </c>
      <c r="B3941" s="1">
        <v>45771</v>
      </c>
      <c r="C3941">
        <v>21</v>
      </c>
      <c r="D3941" t="s">
        <v>14</v>
      </c>
      <c r="E3941" t="s">
        <v>22</v>
      </c>
      <c r="F3941" t="s">
        <v>23</v>
      </c>
      <c r="H3941">
        <v>260.5</v>
      </c>
      <c r="I3941" s="13">
        <v>4</v>
      </c>
      <c r="J3941">
        <v>0</v>
      </c>
      <c r="K3941">
        <v>0</v>
      </c>
      <c r="L3941">
        <v>0</v>
      </c>
      <c r="M3941">
        <v>0</v>
      </c>
      <c r="O3941">
        <f t="shared" si="61"/>
        <v>4</v>
      </c>
    </row>
    <row r="3942" spans="1:15">
      <c r="A3942">
        <v>4350</v>
      </c>
      <c r="B3942" s="1">
        <v>45771</v>
      </c>
      <c r="C3942">
        <v>72</v>
      </c>
      <c r="D3942" t="s">
        <v>17</v>
      </c>
      <c r="E3942" t="s">
        <v>15</v>
      </c>
      <c r="F3942" t="s">
        <v>16</v>
      </c>
      <c r="H3942">
        <v>257</v>
      </c>
      <c r="I3942" s="13">
        <v>2</v>
      </c>
      <c r="J3942">
        <v>0</v>
      </c>
      <c r="K3942">
        <v>0</v>
      </c>
      <c r="L3942">
        <v>0</v>
      </c>
      <c r="M3942">
        <v>0</v>
      </c>
      <c r="O3942">
        <f t="shared" si="61"/>
        <v>4</v>
      </c>
    </row>
    <row r="3943" spans="1:15">
      <c r="A3943">
        <v>4680</v>
      </c>
      <c r="B3943" s="1">
        <v>45771</v>
      </c>
      <c r="C3943">
        <v>57</v>
      </c>
      <c r="D3943" t="s">
        <v>14</v>
      </c>
      <c r="E3943" t="s">
        <v>15</v>
      </c>
      <c r="F3943" t="s">
        <v>16</v>
      </c>
      <c r="H3943">
        <v>223.2</v>
      </c>
      <c r="I3943" s="13">
        <v>4</v>
      </c>
      <c r="J3943">
        <v>0</v>
      </c>
      <c r="K3943">
        <v>0</v>
      </c>
      <c r="L3943">
        <v>0</v>
      </c>
      <c r="M3943">
        <v>0</v>
      </c>
      <c r="O3943">
        <f t="shared" si="61"/>
        <v>4</v>
      </c>
    </row>
    <row r="3944" spans="1:15">
      <c r="A3944">
        <v>3030</v>
      </c>
      <c r="B3944" s="1">
        <v>45771</v>
      </c>
      <c r="C3944">
        <v>35</v>
      </c>
      <c r="D3944" t="s">
        <v>14</v>
      </c>
      <c r="E3944" t="s">
        <v>20</v>
      </c>
      <c r="F3944" t="s">
        <v>16</v>
      </c>
      <c r="H3944">
        <v>181.2</v>
      </c>
      <c r="I3944" s="13">
        <v>7</v>
      </c>
      <c r="J3944">
        <v>0</v>
      </c>
      <c r="K3944">
        <v>0</v>
      </c>
      <c r="L3944">
        <v>0</v>
      </c>
      <c r="M3944">
        <v>0</v>
      </c>
      <c r="O3944">
        <f t="shared" si="61"/>
        <v>4</v>
      </c>
    </row>
    <row r="3945" spans="1:15">
      <c r="A3945">
        <v>415</v>
      </c>
      <c r="B3945" s="1">
        <v>45771</v>
      </c>
      <c r="C3945">
        <v>26</v>
      </c>
      <c r="D3945" t="s">
        <v>17</v>
      </c>
      <c r="E3945" t="s">
        <v>22</v>
      </c>
      <c r="F3945" t="s">
        <v>16</v>
      </c>
      <c r="H3945">
        <v>155.1</v>
      </c>
      <c r="I3945" s="13">
        <v>7</v>
      </c>
      <c r="J3945">
        <v>0</v>
      </c>
      <c r="K3945">
        <v>0</v>
      </c>
      <c r="L3945">
        <v>0</v>
      </c>
      <c r="M3945">
        <v>0</v>
      </c>
      <c r="O3945">
        <f t="shared" si="61"/>
        <v>4</v>
      </c>
    </row>
    <row r="3946" spans="1:15">
      <c r="A3946">
        <v>3250</v>
      </c>
      <c r="B3946" s="1">
        <v>45771</v>
      </c>
      <c r="C3946">
        <v>35</v>
      </c>
      <c r="D3946" t="s">
        <v>17</v>
      </c>
      <c r="E3946" t="s">
        <v>24</v>
      </c>
      <c r="F3946" t="s">
        <v>16</v>
      </c>
      <c r="H3946">
        <v>152.6</v>
      </c>
      <c r="I3946" s="13">
        <v>4</v>
      </c>
      <c r="J3946">
        <v>0</v>
      </c>
      <c r="K3946">
        <v>0</v>
      </c>
      <c r="L3946">
        <v>0</v>
      </c>
      <c r="M3946">
        <v>0</v>
      </c>
      <c r="O3946">
        <f t="shared" si="61"/>
        <v>4</v>
      </c>
    </row>
    <row r="3947" spans="1:15">
      <c r="A3947">
        <v>3269</v>
      </c>
      <c r="B3947" s="1">
        <v>45771</v>
      </c>
      <c r="C3947">
        <v>54</v>
      </c>
      <c r="D3947" t="s">
        <v>17</v>
      </c>
      <c r="E3947" t="s">
        <v>22</v>
      </c>
      <c r="F3947" t="s">
        <v>16</v>
      </c>
      <c r="H3947">
        <v>49.8</v>
      </c>
      <c r="I3947" s="13">
        <v>4</v>
      </c>
      <c r="J3947">
        <v>0</v>
      </c>
      <c r="K3947">
        <v>0</v>
      </c>
      <c r="L3947">
        <v>0</v>
      </c>
      <c r="M3947">
        <v>0</v>
      </c>
      <c r="O3947">
        <f t="shared" si="61"/>
        <v>4</v>
      </c>
    </row>
    <row r="3948" spans="1:15">
      <c r="A3948">
        <v>231</v>
      </c>
      <c r="B3948" s="1">
        <v>45801</v>
      </c>
      <c r="C3948">
        <v>23</v>
      </c>
      <c r="D3948" t="s">
        <v>17</v>
      </c>
      <c r="E3948" t="s">
        <v>20</v>
      </c>
      <c r="F3948" t="s">
        <v>18</v>
      </c>
      <c r="G3948" t="s">
        <v>26</v>
      </c>
      <c r="H3948">
        <v>425.5</v>
      </c>
      <c r="I3948" s="13">
        <v>7</v>
      </c>
      <c r="J3948">
        <v>1</v>
      </c>
      <c r="K3948">
        <v>212</v>
      </c>
      <c r="L3948">
        <v>2</v>
      </c>
      <c r="M3948">
        <v>4</v>
      </c>
      <c r="N3948">
        <v>5</v>
      </c>
      <c r="O3948">
        <f t="shared" si="61"/>
        <v>5</v>
      </c>
    </row>
    <row r="3949" spans="1:15">
      <c r="A3949">
        <v>1147</v>
      </c>
      <c r="B3949" s="1">
        <v>45801</v>
      </c>
      <c r="C3949">
        <v>25</v>
      </c>
      <c r="D3949" t="s">
        <v>17</v>
      </c>
      <c r="E3949" t="s">
        <v>24</v>
      </c>
      <c r="F3949" t="s">
        <v>16</v>
      </c>
      <c r="H3949">
        <v>586.5</v>
      </c>
      <c r="I3949" s="13">
        <v>9</v>
      </c>
      <c r="J3949">
        <v>1</v>
      </c>
      <c r="K3949">
        <v>205.56</v>
      </c>
      <c r="L3949">
        <v>3</v>
      </c>
      <c r="M3949">
        <v>4</v>
      </c>
      <c r="N3949">
        <v>4</v>
      </c>
      <c r="O3949">
        <f t="shared" si="61"/>
        <v>5</v>
      </c>
    </row>
    <row r="3950" spans="1:15">
      <c r="A3950">
        <v>2241</v>
      </c>
      <c r="B3950" s="1">
        <v>45801</v>
      </c>
      <c r="C3950">
        <v>21</v>
      </c>
      <c r="D3950" t="s">
        <v>17</v>
      </c>
      <c r="E3950" t="s">
        <v>20</v>
      </c>
      <c r="F3950" t="s">
        <v>16</v>
      </c>
      <c r="H3950">
        <v>298.39999999999998</v>
      </c>
      <c r="I3950" s="13">
        <v>10</v>
      </c>
      <c r="J3950">
        <v>1</v>
      </c>
      <c r="K3950">
        <v>195.03</v>
      </c>
      <c r="L3950">
        <v>2</v>
      </c>
      <c r="M3950">
        <v>1</v>
      </c>
      <c r="N3950">
        <v>5</v>
      </c>
      <c r="O3950">
        <f t="shared" si="61"/>
        <v>5</v>
      </c>
    </row>
    <row r="3951" spans="1:15">
      <c r="A3951">
        <v>4550</v>
      </c>
      <c r="B3951" s="1">
        <v>45801</v>
      </c>
      <c r="C3951">
        <v>40</v>
      </c>
      <c r="D3951" t="s">
        <v>14</v>
      </c>
      <c r="E3951" t="s">
        <v>22</v>
      </c>
      <c r="F3951" t="s">
        <v>18</v>
      </c>
      <c r="G3951" t="s">
        <v>26</v>
      </c>
      <c r="H3951">
        <v>632</v>
      </c>
      <c r="I3951" s="13">
        <v>3</v>
      </c>
      <c r="J3951">
        <v>1</v>
      </c>
      <c r="K3951">
        <v>87.59</v>
      </c>
      <c r="L3951">
        <v>3</v>
      </c>
      <c r="M3951">
        <v>14</v>
      </c>
      <c r="N3951">
        <v>4</v>
      </c>
      <c r="O3951">
        <f t="shared" si="61"/>
        <v>5</v>
      </c>
    </row>
    <row r="3952" spans="1:15">
      <c r="A3952">
        <v>4831</v>
      </c>
      <c r="B3952" s="1">
        <v>45801</v>
      </c>
      <c r="C3952">
        <v>42</v>
      </c>
      <c r="D3952" t="s">
        <v>17</v>
      </c>
      <c r="E3952" t="s">
        <v>22</v>
      </c>
      <c r="F3952" t="s">
        <v>16</v>
      </c>
      <c r="H3952">
        <v>515.70000000000005</v>
      </c>
      <c r="I3952" s="13">
        <v>6</v>
      </c>
      <c r="J3952">
        <v>1</v>
      </c>
      <c r="K3952">
        <v>80.709999999999994</v>
      </c>
      <c r="L3952">
        <v>3</v>
      </c>
      <c r="M3952">
        <v>15</v>
      </c>
      <c r="N3952">
        <v>5</v>
      </c>
      <c r="O3952">
        <f t="shared" si="61"/>
        <v>5</v>
      </c>
    </row>
    <row r="3953" spans="1:15">
      <c r="A3953">
        <v>2380</v>
      </c>
      <c r="B3953" s="1">
        <v>45801</v>
      </c>
      <c r="C3953">
        <v>35</v>
      </c>
      <c r="D3953" t="s">
        <v>17</v>
      </c>
      <c r="E3953" t="s">
        <v>24</v>
      </c>
      <c r="F3953" t="s">
        <v>16</v>
      </c>
      <c r="H3953">
        <v>181.4</v>
      </c>
      <c r="I3953" s="13">
        <v>6</v>
      </c>
      <c r="J3953">
        <v>1</v>
      </c>
      <c r="K3953">
        <v>65.900000000000006</v>
      </c>
      <c r="L3953">
        <v>3</v>
      </c>
      <c r="M3953">
        <v>2</v>
      </c>
      <c r="N3953">
        <v>4</v>
      </c>
      <c r="O3953">
        <f t="shared" si="61"/>
        <v>5</v>
      </c>
    </row>
    <row r="3954" spans="1:15">
      <c r="A3954">
        <v>1054</v>
      </c>
      <c r="B3954" s="1">
        <v>45801</v>
      </c>
      <c r="C3954">
        <v>25</v>
      </c>
      <c r="D3954" t="s">
        <v>17</v>
      </c>
      <c r="E3954" t="s">
        <v>24</v>
      </c>
      <c r="F3954" t="s">
        <v>23</v>
      </c>
      <c r="H3954">
        <v>448.4</v>
      </c>
      <c r="I3954" s="13">
        <v>8</v>
      </c>
      <c r="J3954">
        <v>1</v>
      </c>
      <c r="K3954">
        <v>44.53</v>
      </c>
      <c r="L3954">
        <v>2</v>
      </c>
      <c r="M3954">
        <v>6</v>
      </c>
      <c r="N3954">
        <v>4</v>
      </c>
      <c r="O3954">
        <f t="shared" si="61"/>
        <v>5</v>
      </c>
    </row>
    <row r="3955" spans="1:15">
      <c r="A3955">
        <v>280</v>
      </c>
      <c r="B3955" s="1">
        <v>45801</v>
      </c>
      <c r="C3955">
        <v>29</v>
      </c>
      <c r="D3955" t="s">
        <v>17</v>
      </c>
      <c r="E3955" t="s">
        <v>22</v>
      </c>
      <c r="F3955" t="s">
        <v>23</v>
      </c>
      <c r="H3955">
        <v>869.2</v>
      </c>
      <c r="I3955" s="13">
        <v>7</v>
      </c>
      <c r="J3955">
        <v>1</v>
      </c>
      <c r="K3955">
        <v>44.01</v>
      </c>
      <c r="L3955">
        <v>3</v>
      </c>
      <c r="M3955">
        <v>6</v>
      </c>
      <c r="N3955">
        <v>5</v>
      </c>
      <c r="O3955">
        <f t="shared" si="61"/>
        <v>5</v>
      </c>
    </row>
    <row r="3956" spans="1:15">
      <c r="A3956">
        <v>4347</v>
      </c>
      <c r="B3956" s="1">
        <v>45801</v>
      </c>
      <c r="C3956">
        <v>44</v>
      </c>
      <c r="D3956" t="s">
        <v>17</v>
      </c>
      <c r="E3956" t="s">
        <v>22</v>
      </c>
      <c r="F3956" t="s">
        <v>18</v>
      </c>
      <c r="G3956" t="s">
        <v>26</v>
      </c>
      <c r="H3956">
        <v>290.10000000000002</v>
      </c>
      <c r="I3956" s="13">
        <v>6</v>
      </c>
      <c r="J3956">
        <v>1</v>
      </c>
      <c r="K3956">
        <v>37.15</v>
      </c>
      <c r="L3956">
        <v>4</v>
      </c>
      <c r="M3956">
        <v>11</v>
      </c>
      <c r="N3956">
        <v>5</v>
      </c>
      <c r="O3956">
        <f t="shared" si="61"/>
        <v>5</v>
      </c>
    </row>
    <row r="3957" spans="1:15">
      <c r="A3957">
        <v>885</v>
      </c>
      <c r="B3957" s="1">
        <v>45801</v>
      </c>
      <c r="C3957">
        <v>25</v>
      </c>
      <c r="D3957" t="s">
        <v>17</v>
      </c>
      <c r="E3957" t="s">
        <v>22</v>
      </c>
      <c r="F3957" t="s">
        <v>16</v>
      </c>
      <c r="H3957">
        <v>434</v>
      </c>
      <c r="I3957" s="13">
        <v>6</v>
      </c>
      <c r="J3957">
        <v>1</v>
      </c>
      <c r="K3957">
        <v>37.01</v>
      </c>
      <c r="L3957">
        <v>2</v>
      </c>
      <c r="M3957">
        <v>14</v>
      </c>
      <c r="N3957">
        <v>3</v>
      </c>
      <c r="O3957">
        <f t="shared" si="61"/>
        <v>5</v>
      </c>
    </row>
    <row r="3958" spans="1:15">
      <c r="A3958">
        <v>924</v>
      </c>
      <c r="B3958" s="1">
        <v>45801</v>
      </c>
      <c r="C3958">
        <v>18</v>
      </c>
      <c r="D3958" t="s">
        <v>14</v>
      </c>
      <c r="E3958" t="s">
        <v>22</v>
      </c>
      <c r="F3958" t="s">
        <v>16</v>
      </c>
      <c r="H3958">
        <v>752</v>
      </c>
      <c r="I3958" s="13">
        <v>4</v>
      </c>
      <c r="J3958">
        <v>1</v>
      </c>
      <c r="K3958">
        <v>26.51</v>
      </c>
      <c r="L3958">
        <v>3</v>
      </c>
      <c r="M3958">
        <v>10</v>
      </c>
      <c r="N3958">
        <v>3</v>
      </c>
      <c r="O3958">
        <f t="shared" si="61"/>
        <v>5</v>
      </c>
    </row>
    <row r="3959" spans="1:15">
      <c r="A3959">
        <v>3532</v>
      </c>
      <c r="B3959" s="1">
        <v>45801</v>
      </c>
      <c r="C3959">
        <v>45</v>
      </c>
      <c r="D3959" t="s">
        <v>14</v>
      </c>
      <c r="E3959" t="s">
        <v>22</v>
      </c>
      <c r="F3959" t="s">
        <v>18</v>
      </c>
      <c r="G3959" t="s">
        <v>26</v>
      </c>
      <c r="H3959">
        <v>627</v>
      </c>
      <c r="I3959" s="13">
        <v>5</v>
      </c>
      <c r="J3959">
        <v>0</v>
      </c>
      <c r="K3959">
        <v>0</v>
      </c>
      <c r="L3959">
        <v>0</v>
      </c>
      <c r="M3959">
        <v>0</v>
      </c>
      <c r="O3959">
        <f t="shared" si="61"/>
        <v>5</v>
      </c>
    </row>
    <row r="3960" spans="1:15">
      <c r="A3960">
        <v>2561</v>
      </c>
      <c r="B3960" s="1">
        <v>45801</v>
      </c>
      <c r="C3960">
        <v>39</v>
      </c>
      <c r="D3960" t="s">
        <v>17</v>
      </c>
      <c r="E3960" t="s">
        <v>22</v>
      </c>
      <c r="F3960" t="s">
        <v>16</v>
      </c>
      <c r="H3960">
        <v>563.70000000000005</v>
      </c>
      <c r="I3960" s="13">
        <v>7</v>
      </c>
      <c r="J3960">
        <v>0</v>
      </c>
      <c r="K3960">
        <v>0</v>
      </c>
      <c r="L3960">
        <v>0</v>
      </c>
      <c r="M3960">
        <v>0</v>
      </c>
      <c r="O3960">
        <f t="shared" si="61"/>
        <v>5</v>
      </c>
    </row>
    <row r="3961" spans="1:15">
      <c r="A3961">
        <v>775</v>
      </c>
      <c r="B3961" s="1">
        <v>45801</v>
      </c>
      <c r="C3961">
        <v>37</v>
      </c>
      <c r="D3961" t="s">
        <v>14</v>
      </c>
      <c r="E3961" t="s">
        <v>22</v>
      </c>
      <c r="F3961" t="s">
        <v>18</v>
      </c>
      <c r="G3961" t="s">
        <v>25</v>
      </c>
      <c r="H3961">
        <v>560.9</v>
      </c>
      <c r="I3961" s="13">
        <v>10</v>
      </c>
      <c r="J3961">
        <v>0</v>
      </c>
      <c r="K3961">
        <v>0</v>
      </c>
      <c r="L3961">
        <v>0</v>
      </c>
      <c r="M3961">
        <v>0</v>
      </c>
      <c r="O3961">
        <f t="shared" si="61"/>
        <v>5</v>
      </c>
    </row>
    <row r="3962" spans="1:15">
      <c r="A3962">
        <v>2099</v>
      </c>
      <c r="B3962" s="1">
        <v>45801</v>
      </c>
      <c r="C3962">
        <v>43</v>
      </c>
      <c r="D3962" t="s">
        <v>17</v>
      </c>
      <c r="E3962" t="s">
        <v>22</v>
      </c>
      <c r="F3962" t="s">
        <v>16</v>
      </c>
      <c r="H3962">
        <v>327.39999999999998</v>
      </c>
      <c r="I3962" s="13">
        <v>9</v>
      </c>
      <c r="J3962">
        <v>0</v>
      </c>
      <c r="K3962">
        <v>0</v>
      </c>
      <c r="L3962">
        <v>0</v>
      </c>
      <c r="M3962">
        <v>0</v>
      </c>
      <c r="O3962">
        <f t="shared" si="61"/>
        <v>5</v>
      </c>
    </row>
    <row r="3963" spans="1:15">
      <c r="A3963">
        <v>3002</v>
      </c>
      <c r="B3963" s="1">
        <v>45801</v>
      </c>
      <c r="C3963">
        <v>43</v>
      </c>
      <c r="D3963" t="s">
        <v>17</v>
      </c>
      <c r="E3963" t="s">
        <v>20</v>
      </c>
      <c r="F3963" t="s">
        <v>16</v>
      </c>
      <c r="H3963">
        <v>323.2</v>
      </c>
      <c r="I3963" s="13">
        <v>9</v>
      </c>
      <c r="J3963">
        <v>0</v>
      </c>
      <c r="K3963">
        <v>0</v>
      </c>
      <c r="L3963">
        <v>0</v>
      </c>
      <c r="M3963">
        <v>0</v>
      </c>
      <c r="O3963">
        <f t="shared" si="61"/>
        <v>5</v>
      </c>
    </row>
    <row r="3964" spans="1:15">
      <c r="A3964">
        <v>4430</v>
      </c>
      <c r="B3964" s="1">
        <v>45801</v>
      </c>
      <c r="C3964">
        <v>41</v>
      </c>
      <c r="D3964" t="s">
        <v>17</v>
      </c>
      <c r="E3964" t="s">
        <v>22</v>
      </c>
      <c r="F3964" t="s">
        <v>18</v>
      </c>
      <c r="G3964" t="s">
        <v>31</v>
      </c>
      <c r="H3964">
        <v>299.8</v>
      </c>
      <c r="I3964" s="13">
        <v>7</v>
      </c>
      <c r="J3964">
        <v>0</v>
      </c>
      <c r="K3964">
        <v>0</v>
      </c>
      <c r="L3964">
        <v>0</v>
      </c>
      <c r="M3964">
        <v>0</v>
      </c>
      <c r="O3964">
        <f t="shared" si="61"/>
        <v>5</v>
      </c>
    </row>
    <row r="3965" spans="1:15">
      <c r="A3965">
        <v>612</v>
      </c>
      <c r="B3965" s="1">
        <v>45801</v>
      </c>
      <c r="C3965">
        <v>20</v>
      </c>
      <c r="D3965" t="s">
        <v>14</v>
      </c>
      <c r="E3965" t="s">
        <v>20</v>
      </c>
      <c r="F3965" t="s">
        <v>18</v>
      </c>
      <c r="G3965" t="s">
        <v>25</v>
      </c>
      <c r="H3965">
        <v>280.89999999999998</v>
      </c>
      <c r="I3965" s="13">
        <v>5</v>
      </c>
      <c r="J3965">
        <v>0</v>
      </c>
      <c r="K3965">
        <v>0</v>
      </c>
      <c r="L3965">
        <v>0</v>
      </c>
      <c r="M3965">
        <v>0</v>
      </c>
      <c r="O3965">
        <f t="shared" si="61"/>
        <v>5</v>
      </c>
    </row>
    <row r="3966" spans="1:15">
      <c r="A3966">
        <v>4448</v>
      </c>
      <c r="B3966" s="1">
        <v>45801</v>
      </c>
      <c r="C3966">
        <v>37</v>
      </c>
      <c r="D3966" t="s">
        <v>14</v>
      </c>
      <c r="E3966" t="s">
        <v>20</v>
      </c>
      <c r="F3966" t="s">
        <v>16</v>
      </c>
      <c r="H3966">
        <v>274.7</v>
      </c>
      <c r="I3966" s="13">
        <v>8</v>
      </c>
      <c r="J3966">
        <v>0</v>
      </c>
      <c r="K3966">
        <v>0</v>
      </c>
      <c r="L3966">
        <v>0</v>
      </c>
      <c r="M3966">
        <v>0</v>
      </c>
      <c r="O3966">
        <f t="shared" si="61"/>
        <v>5</v>
      </c>
    </row>
    <row r="3967" spans="1:15">
      <c r="A3967">
        <v>1262</v>
      </c>
      <c r="B3967" s="1">
        <v>45801</v>
      </c>
      <c r="C3967">
        <v>29</v>
      </c>
      <c r="D3967" t="s">
        <v>17</v>
      </c>
      <c r="E3967" t="s">
        <v>22</v>
      </c>
      <c r="F3967" t="s">
        <v>23</v>
      </c>
      <c r="H3967">
        <v>214.1</v>
      </c>
      <c r="I3967" s="13">
        <v>6</v>
      </c>
      <c r="J3967">
        <v>0</v>
      </c>
      <c r="K3967">
        <v>0</v>
      </c>
      <c r="L3967">
        <v>0</v>
      </c>
      <c r="M3967">
        <v>0</v>
      </c>
      <c r="O3967">
        <f t="shared" si="61"/>
        <v>5</v>
      </c>
    </row>
    <row r="3968" spans="1:15">
      <c r="A3968">
        <v>1251</v>
      </c>
      <c r="B3968" s="1">
        <v>45801</v>
      </c>
      <c r="C3968">
        <v>28</v>
      </c>
      <c r="D3968" t="s">
        <v>14</v>
      </c>
      <c r="E3968" t="s">
        <v>22</v>
      </c>
      <c r="F3968" t="s">
        <v>18</v>
      </c>
      <c r="G3968" t="s">
        <v>31</v>
      </c>
      <c r="H3968">
        <v>211.5</v>
      </c>
      <c r="I3968" s="13">
        <v>7</v>
      </c>
      <c r="J3968">
        <v>0</v>
      </c>
      <c r="K3968">
        <v>0</v>
      </c>
      <c r="L3968">
        <v>0</v>
      </c>
      <c r="M3968">
        <v>0</v>
      </c>
      <c r="O3968">
        <f t="shared" si="61"/>
        <v>5</v>
      </c>
    </row>
    <row r="3969" spans="1:15">
      <c r="A3969">
        <v>3361</v>
      </c>
      <c r="B3969" s="1">
        <v>45801</v>
      </c>
      <c r="C3969">
        <v>31</v>
      </c>
      <c r="D3969" t="s">
        <v>17</v>
      </c>
      <c r="E3969" t="s">
        <v>22</v>
      </c>
      <c r="F3969" t="s">
        <v>23</v>
      </c>
      <c r="H3969">
        <v>199</v>
      </c>
      <c r="I3969" s="13">
        <v>5</v>
      </c>
      <c r="J3969">
        <v>0</v>
      </c>
      <c r="K3969">
        <v>0</v>
      </c>
      <c r="L3969">
        <v>0</v>
      </c>
      <c r="M3969">
        <v>0</v>
      </c>
      <c r="O3969">
        <f t="shared" si="61"/>
        <v>5</v>
      </c>
    </row>
    <row r="3970" spans="1:15">
      <c r="A3970">
        <v>1479</v>
      </c>
      <c r="B3970" s="1">
        <v>45801</v>
      </c>
      <c r="C3970">
        <v>25</v>
      </c>
      <c r="D3970" t="s">
        <v>17</v>
      </c>
      <c r="E3970" t="s">
        <v>24</v>
      </c>
      <c r="F3970" t="s">
        <v>16</v>
      </c>
      <c r="H3970">
        <v>180.4</v>
      </c>
      <c r="I3970" s="13">
        <v>10</v>
      </c>
      <c r="J3970">
        <v>0</v>
      </c>
      <c r="K3970">
        <v>0</v>
      </c>
      <c r="L3970">
        <v>0</v>
      </c>
      <c r="M3970">
        <v>0</v>
      </c>
      <c r="O3970">
        <f t="shared" si="61"/>
        <v>5</v>
      </c>
    </row>
    <row r="3971" spans="1:15">
      <c r="A3971">
        <v>277</v>
      </c>
      <c r="B3971" s="1">
        <v>45801</v>
      </c>
      <c r="C3971">
        <v>27</v>
      </c>
      <c r="D3971" t="s">
        <v>14</v>
      </c>
      <c r="E3971" t="s">
        <v>22</v>
      </c>
      <c r="F3971" t="s">
        <v>21</v>
      </c>
      <c r="H3971">
        <v>172.3</v>
      </c>
      <c r="I3971" s="13">
        <v>8</v>
      </c>
      <c r="J3971">
        <v>0</v>
      </c>
      <c r="K3971">
        <v>0</v>
      </c>
      <c r="L3971">
        <v>0</v>
      </c>
      <c r="M3971">
        <v>0</v>
      </c>
      <c r="O3971">
        <f t="shared" ref="O3971:O4034" si="62">MONTH(B3971)</f>
        <v>5</v>
      </c>
    </row>
    <row r="3972" spans="1:15">
      <c r="A3972">
        <v>309</v>
      </c>
      <c r="B3972" s="1">
        <v>45801</v>
      </c>
      <c r="C3972">
        <v>30</v>
      </c>
      <c r="D3972" t="s">
        <v>17</v>
      </c>
      <c r="E3972" t="s">
        <v>20</v>
      </c>
      <c r="F3972" t="s">
        <v>23</v>
      </c>
      <c r="H3972">
        <v>166.3</v>
      </c>
      <c r="I3972" s="13">
        <v>7</v>
      </c>
      <c r="J3972">
        <v>0</v>
      </c>
      <c r="K3972">
        <v>0</v>
      </c>
      <c r="L3972">
        <v>0</v>
      </c>
      <c r="M3972">
        <v>0</v>
      </c>
      <c r="O3972">
        <f t="shared" si="62"/>
        <v>5</v>
      </c>
    </row>
    <row r="3973" spans="1:15">
      <c r="A3973">
        <v>1214</v>
      </c>
      <c r="B3973" s="1">
        <v>45801</v>
      </c>
      <c r="C3973">
        <v>25</v>
      </c>
      <c r="D3973" t="s">
        <v>17</v>
      </c>
      <c r="E3973" t="s">
        <v>24</v>
      </c>
      <c r="F3973" t="s">
        <v>18</v>
      </c>
      <c r="G3973" t="s">
        <v>29</v>
      </c>
      <c r="H3973">
        <v>157.6</v>
      </c>
      <c r="I3973" s="13">
        <v>4</v>
      </c>
      <c r="J3973">
        <v>0</v>
      </c>
      <c r="K3973">
        <v>0</v>
      </c>
      <c r="L3973">
        <v>0</v>
      </c>
      <c r="M3973">
        <v>0</v>
      </c>
      <c r="O3973">
        <f t="shared" si="62"/>
        <v>5</v>
      </c>
    </row>
    <row r="3974" spans="1:15">
      <c r="A3974">
        <v>991</v>
      </c>
      <c r="B3974" s="1">
        <v>45801</v>
      </c>
      <c r="C3974">
        <v>33</v>
      </c>
      <c r="D3974" t="s">
        <v>14</v>
      </c>
      <c r="E3974" t="s">
        <v>22</v>
      </c>
      <c r="F3974" t="s">
        <v>16</v>
      </c>
      <c r="H3974">
        <v>134.30000000000001</v>
      </c>
      <c r="I3974" s="13">
        <v>6</v>
      </c>
      <c r="J3974">
        <v>0</v>
      </c>
      <c r="K3974">
        <v>0</v>
      </c>
      <c r="L3974">
        <v>0</v>
      </c>
      <c r="M3974">
        <v>0</v>
      </c>
      <c r="O3974">
        <f t="shared" si="62"/>
        <v>5</v>
      </c>
    </row>
    <row r="3975" spans="1:15">
      <c r="A3975">
        <v>728</v>
      </c>
      <c r="B3975" s="1">
        <v>45801</v>
      </c>
      <c r="C3975">
        <v>25</v>
      </c>
      <c r="D3975" t="s">
        <v>14</v>
      </c>
      <c r="E3975" t="s">
        <v>20</v>
      </c>
      <c r="F3975" t="s">
        <v>16</v>
      </c>
      <c r="H3975">
        <v>125.2</v>
      </c>
      <c r="I3975" s="13">
        <v>3</v>
      </c>
      <c r="J3975">
        <v>0</v>
      </c>
      <c r="K3975">
        <v>0</v>
      </c>
      <c r="L3975">
        <v>0</v>
      </c>
      <c r="M3975">
        <v>0</v>
      </c>
      <c r="O3975">
        <f t="shared" si="62"/>
        <v>5</v>
      </c>
    </row>
    <row r="3976" spans="1:15">
      <c r="A3976">
        <v>3619</v>
      </c>
      <c r="B3976" s="1">
        <v>45801</v>
      </c>
      <c r="C3976">
        <v>23</v>
      </c>
      <c r="D3976" t="s">
        <v>17</v>
      </c>
      <c r="E3976" t="s">
        <v>20</v>
      </c>
      <c r="F3976" t="s">
        <v>16</v>
      </c>
      <c r="H3976">
        <v>123.6</v>
      </c>
      <c r="I3976" s="13">
        <v>6</v>
      </c>
      <c r="J3976">
        <v>0</v>
      </c>
      <c r="K3976">
        <v>0</v>
      </c>
      <c r="L3976">
        <v>0</v>
      </c>
      <c r="M3976">
        <v>0</v>
      </c>
      <c r="O3976">
        <f t="shared" si="62"/>
        <v>5</v>
      </c>
    </row>
    <row r="3977" spans="1:15">
      <c r="A3977">
        <v>4494</v>
      </c>
      <c r="B3977" s="1">
        <v>45801</v>
      </c>
      <c r="C3977">
        <v>52</v>
      </c>
      <c r="D3977" t="s">
        <v>17</v>
      </c>
      <c r="E3977" t="s">
        <v>22</v>
      </c>
      <c r="F3977" t="s">
        <v>16</v>
      </c>
      <c r="H3977">
        <v>99.5</v>
      </c>
      <c r="I3977" s="13">
        <v>6</v>
      </c>
      <c r="J3977">
        <v>0</v>
      </c>
      <c r="K3977">
        <v>0</v>
      </c>
      <c r="L3977">
        <v>0</v>
      </c>
      <c r="M3977">
        <v>0</v>
      </c>
      <c r="O3977">
        <f t="shared" si="62"/>
        <v>5</v>
      </c>
    </row>
    <row r="3978" spans="1:15">
      <c r="A3978">
        <v>3614</v>
      </c>
      <c r="B3978" s="1">
        <v>45801</v>
      </c>
      <c r="C3978">
        <v>37</v>
      </c>
      <c r="D3978" t="s">
        <v>17</v>
      </c>
      <c r="E3978" t="s">
        <v>20</v>
      </c>
      <c r="F3978" t="s">
        <v>23</v>
      </c>
      <c r="H3978">
        <v>96.9</v>
      </c>
      <c r="I3978" s="13">
        <v>9</v>
      </c>
      <c r="J3978">
        <v>0</v>
      </c>
      <c r="K3978">
        <v>0</v>
      </c>
      <c r="L3978">
        <v>0</v>
      </c>
      <c r="M3978">
        <v>0</v>
      </c>
      <c r="O3978">
        <f t="shared" si="62"/>
        <v>5</v>
      </c>
    </row>
    <row r="3979" spans="1:15">
      <c r="A3979">
        <v>1634</v>
      </c>
      <c r="B3979" s="1">
        <v>45801</v>
      </c>
      <c r="C3979">
        <v>18</v>
      </c>
      <c r="D3979" t="s">
        <v>17</v>
      </c>
      <c r="E3979" t="s">
        <v>22</v>
      </c>
      <c r="F3979" t="s">
        <v>18</v>
      </c>
      <c r="G3979" t="s">
        <v>19</v>
      </c>
      <c r="H3979">
        <v>58.6</v>
      </c>
      <c r="I3979" s="13">
        <v>8</v>
      </c>
      <c r="J3979">
        <v>0</v>
      </c>
      <c r="K3979">
        <v>0</v>
      </c>
      <c r="L3979">
        <v>0</v>
      </c>
      <c r="M3979">
        <v>0</v>
      </c>
      <c r="O3979">
        <f t="shared" si="62"/>
        <v>5</v>
      </c>
    </row>
    <row r="3980" spans="1:15">
      <c r="A3980">
        <v>1829</v>
      </c>
      <c r="B3980" s="1">
        <v>45801</v>
      </c>
      <c r="C3980">
        <v>50</v>
      </c>
      <c r="D3980" t="s">
        <v>14</v>
      </c>
      <c r="E3980" t="s">
        <v>22</v>
      </c>
      <c r="F3980" t="s">
        <v>23</v>
      </c>
      <c r="H3980">
        <v>36</v>
      </c>
      <c r="I3980" s="13">
        <v>7</v>
      </c>
      <c r="J3980">
        <v>0</v>
      </c>
      <c r="K3980">
        <v>0</v>
      </c>
      <c r="L3980">
        <v>0</v>
      </c>
      <c r="M3980">
        <v>0</v>
      </c>
      <c r="O3980">
        <f t="shared" si="62"/>
        <v>5</v>
      </c>
    </row>
    <row r="3981" spans="1:15">
      <c r="A3981">
        <v>2034</v>
      </c>
      <c r="B3981" s="1">
        <v>45832</v>
      </c>
      <c r="C3981">
        <v>30</v>
      </c>
      <c r="D3981" t="s">
        <v>17</v>
      </c>
      <c r="E3981" t="s">
        <v>22</v>
      </c>
      <c r="F3981" t="s">
        <v>23</v>
      </c>
      <c r="H3981">
        <v>234.5</v>
      </c>
      <c r="I3981" s="13">
        <v>4</v>
      </c>
      <c r="J3981">
        <v>1</v>
      </c>
      <c r="K3981">
        <v>443</v>
      </c>
      <c r="L3981">
        <v>5</v>
      </c>
      <c r="M3981">
        <v>6</v>
      </c>
      <c r="N3981">
        <v>5</v>
      </c>
      <c r="O3981">
        <f t="shared" si="62"/>
        <v>6</v>
      </c>
    </row>
    <row r="3982" spans="1:15">
      <c r="A3982">
        <v>140</v>
      </c>
      <c r="B3982" s="1">
        <v>45832</v>
      </c>
      <c r="C3982">
        <v>22</v>
      </c>
      <c r="D3982" t="s">
        <v>14</v>
      </c>
      <c r="E3982" t="s">
        <v>24</v>
      </c>
      <c r="F3982" t="s">
        <v>18</v>
      </c>
      <c r="G3982" t="s">
        <v>31</v>
      </c>
      <c r="H3982">
        <v>132.19999999999999</v>
      </c>
      <c r="I3982" s="13">
        <v>10</v>
      </c>
      <c r="J3982">
        <v>1</v>
      </c>
      <c r="K3982">
        <v>436</v>
      </c>
      <c r="L3982">
        <v>3</v>
      </c>
      <c r="M3982">
        <v>8</v>
      </c>
      <c r="N3982">
        <v>4</v>
      </c>
      <c r="O3982">
        <f t="shared" si="62"/>
        <v>6</v>
      </c>
    </row>
    <row r="3983" spans="1:15">
      <c r="A3983">
        <v>2986</v>
      </c>
      <c r="B3983" s="1">
        <v>45832</v>
      </c>
      <c r="C3983">
        <v>26</v>
      </c>
      <c r="D3983" t="s">
        <v>14</v>
      </c>
      <c r="E3983" t="s">
        <v>20</v>
      </c>
      <c r="F3983" t="s">
        <v>18</v>
      </c>
      <c r="G3983" t="s">
        <v>19</v>
      </c>
      <c r="H3983">
        <v>798.1</v>
      </c>
      <c r="I3983" s="13">
        <v>6</v>
      </c>
      <c r="J3983">
        <v>1</v>
      </c>
      <c r="K3983">
        <v>271.83</v>
      </c>
      <c r="L3983">
        <v>4</v>
      </c>
      <c r="M3983">
        <v>5</v>
      </c>
      <c r="N3983">
        <v>3</v>
      </c>
      <c r="O3983">
        <f t="shared" si="62"/>
        <v>6</v>
      </c>
    </row>
    <row r="3984" spans="1:15">
      <c r="A3984">
        <v>1383</v>
      </c>
      <c r="B3984" s="1">
        <v>45832</v>
      </c>
      <c r="C3984">
        <v>26</v>
      </c>
      <c r="D3984" t="s">
        <v>14</v>
      </c>
      <c r="E3984" t="s">
        <v>15</v>
      </c>
      <c r="F3984" t="s">
        <v>23</v>
      </c>
      <c r="H3984">
        <v>882.3</v>
      </c>
      <c r="I3984" s="13">
        <v>6</v>
      </c>
      <c r="J3984">
        <v>1</v>
      </c>
      <c r="K3984">
        <v>179.8</v>
      </c>
      <c r="L3984">
        <v>3</v>
      </c>
      <c r="M3984">
        <v>15</v>
      </c>
      <c r="N3984">
        <v>3</v>
      </c>
      <c r="O3984">
        <f t="shared" si="62"/>
        <v>6</v>
      </c>
    </row>
    <row r="3985" spans="1:15">
      <c r="A3985">
        <v>2123</v>
      </c>
      <c r="B3985" s="1">
        <v>45832</v>
      </c>
      <c r="C3985">
        <v>36</v>
      </c>
      <c r="D3985" t="s">
        <v>14</v>
      </c>
      <c r="E3985" t="s">
        <v>22</v>
      </c>
      <c r="F3985" t="s">
        <v>23</v>
      </c>
      <c r="H3985">
        <v>580.79999999999995</v>
      </c>
      <c r="I3985" s="13">
        <v>6</v>
      </c>
      <c r="J3985">
        <v>1</v>
      </c>
      <c r="K3985">
        <v>156.63999999999999</v>
      </c>
      <c r="L3985">
        <v>1</v>
      </c>
      <c r="M3985">
        <v>7</v>
      </c>
      <c r="N3985">
        <v>4</v>
      </c>
      <c r="O3985">
        <f t="shared" si="62"/>
        <v>6</v>
      </c>
    </row>
    <row r="3986" spans="1:15">
      <c r="A3986">
        <v>1828</v>
      </c>
      <c r="B3986" s="1">
        <v>45832</v>
      </c>
      <c r="C3986">
        <v>22</v>
      </c>
      <c r="D3986" t="s">
        <v>17</v>
      </c>
      <c r="E3986" t="s">
        <v>22</v>
      </c>
      <c r="F3986" t="s">
        <v>18</v>
      </c>
      <c r="G3986" t="s">
        <v>25</v>
      </c>
      <c r="H3986">
        <v>149.19999999999999</v>
      </c>
      <c r="I3986" s="13">
        <v>7</v>
      </c>
      <c r="J3986">
        <v>1</v>
      </c>
      <c r="K3986">
        <v>95.28</v>
      </c>
      <c r="L3986">
        <v>4</v>
      </c>
      <c r="M3986">
        <v>12</v>
      </c>
      <c r="N3986">
        <v>4</v>
      </c>
      <c r="O3986">
        <f t="shared" si="62"/>
        <v>6</v>
      </c>
    </row>
    <row r="3987" spans="1:15">
      <c r="A3987">
        <v>2287</v>
      </c>
      <c r="B3987" s="1">
        <v>45832</v>
      </c>
      <c r="C3987">
        <v>42</v>
      </c>
      <c r="D3987" t="s">
        <v>14</v>
      </c>
      <c r="E3987" t="s">
        <v>24</v>
      </c>
      <c r="F3987" t="s">
        <v>18</v>
      </c>
      <c r="G3987" t="s">
        <v>28</v>
      </c>
      <c r="H3987">
        <v>333.1</v>
      </c>
      <c r="I3987" s="13">
        <v>6</v>
      </c>
      <c r="J3987">
        <v>1</v>
      </c>
      <c r="K3987">
        <v>77.72</v>
      </c>
      <c r="L3987">
        <v>3</v>
      </c>
      <c r="M3987">
        <v>10</v>
      </c>
      <c r="N3987">
        <v>4</v>
      </c>
      <c r="O3987">
        <f t="shared" si="62"/>
        <v>6</v>
      </c>
    </row>
    <row r="3988" spans="1:15">
      <c r="A3988">
        <v>3056</v>
      </c>
      <c r="B3988" s="1">
        <v>45832</v>
      </c>
      <c r="C3988">
        <v>31</v>
      </c>
      <c r="D3988" t="s">
        <v>17</v>
      </c>
      <c r="E3988" t="s">
        <v>22</v>
      </c>
      <c r="F3988" t="s">
        <v>16</v>
      </c>
      <c r="H3988">
        <v>538</v>
      </c>
      <c r="I3988" s="13">
        <v>8</v>
      </c>
      <c r="J3988">
        <v>1</v>
      </c>
      <c r="K3988">
        <v>72.180000000000007</v>
      </c>
      <c r="L3988">
        <v>5</v>
      </c>
      <c r="M3988">
        <v>2</v>
      </c>
      <c r="N3988">
        <v>5</v>
      </c>
      <c r="O3988">
        <f t="shared" si="62"/>
        <v>6</v>
      </c>
    </row>
    <row r="3989" spans="1:15">
      <c r="A3989">
        <v>2914</v>
      </c>
      <c r="B3989" s="1">
        <v>45832</v>
      </c>
      <c r="C3989">
        <v>49</v>
      </c>
      <c r="D3989" t="s">
        <v>17</v>
      </c>
      <c r="E3989" t="s">
        <v>15</v>
      </c>
      <c r="F3989" t="s">
        <v>21</v>
      </c>
      <c r="H3989">
        <v>437.6</v>
      </c>
      <c r="I3989" s="13">
        <v>5</v>
      </c>
      <c r="J3989">
        <v>1</v>
      </c>
      <c r="K3989">
        <v>71.36</v>
      </c>
      <c r="L3989">
        <v>2</v>
      </c>
      <c r="M3989">
        <v>9</v>
      </c>
      <c r="N3989">
        <v>4</v>
      </c>
      <c r="O3989">
        <f t="shared" si="62"/>
        <v>6</v>
      </c>
    </row>
    <row r="3990" spans="1:15">
      <c r="A3990">
        <v>4967</v>
      </c>
      <c r="B3990" s="1">
        <v>45832</v>
      </c>
      <c r="C3990">
        <v>56</v>
      </c>
      <c r="D3990" t="s">
        <v>14</v>
      </c>
      <c r="E3990" t="s">
        <v>20</v>
      </c>
      <c r="F3990" t="s">
        <v>16</v>
      </c>
      <c r="H3990">
        <v>204.6</v>
      </c>
      <c r="I3990" s="13">
        <v>3</v>
      </c>
      <c r="J3990">
        <v>1</v>
      </c>
      <c r="K3990">
        <v>64.319999999999993</v>
      </c>
      <c r="L3990">
        <v>4</v>
      </c>
      <c r="M3990">
        <v>1</v>
      </c>
      <c r="N3990">
        <v>4</v>
      </c>
      <c r="O3990">
        <f t="shared" si="62"/>
        <v>6</v>
      </c>
    </row>
    <row r="3991" spans="1:15">
      <c r="A3991">
        <v>479</v>
      </c>
      <c r="B3991" s="1">
        <v>45832</v>
      </c>
      <c r="C3991">
        <v>32</v>
      </c>
      <c r="D3991" t="s">
        <v>14</v>
      </c>
      <c r="E3991" t="s">
        <v>22</v>
      </c>
      <c r="F3991" t="s">
        <v>18</v>
      </c>
      <c r="G3991" t="s">
        <v>26</v>
      </c>
      <c r="H3991">
        <v>970</v>
      </c>
      <c r="I3991" s="13">
        <v>4</v>
      </c>
      <c r="J3991">
        <v>1</v>
      </c>
      <c r="K3991">
        <v>39.5</v>
      </c>
      <c r="L3991">
        <v>2</v>
      </c>
      <c r="M3991">
        <v>11</v>
      </c>
      <c r="N3991">
        <v>4</v>
      </c>
      <c r="O3991">
        <f t="shared" si="62"/>
        <v>6</v>
      </c>
    </row>
    <row r="3992" spans="1:15">
      <c r="A3992">
        <v>1024</v>
      </c>
      <c r="B3992" s="1">
        <v>45832</v>
      </c>
      <c r="C3992">
        <v>24</v>
      </c>
      <c r="D3992" t="s">
        <v>17</v>
      </c>
      <c r="E3992" t="s">
        <v>22</v>
      </c>
      <c r="F3992" t="s">
        <v>16</v>
      </c>
      <c r="H3992">
        <v>610.5</v>
      </c>
      <c r="I3992" s="13">
        <v>10</v>
      </c>
      <c r="J3992">
        <v>1</v>
      </c>
      <c r="K3992">
        <v>35.979999999999997</v>
      </c>
      <c r="L3992">
        <v>2</v>
      </c>
      <c r="M3992">
        <v>11</v>
      </c>
      <c r="N3992">
        <v>3</v>
      </c>
      <c r="O3992">
        <f t="shared" si="62"/>
        <v>6</v>
      </c>
    </row>
    <row r="3993" spans="1:15">
      <c r="A3993">
        <v>1816</v>
      </c>
      <c r="B3993" s="1">
        <v>45832</v>
      </c>
      <c r="C3993">
        <v>32</v>
      </c>
      <c r="D3993" t="s">
        <v>14</v>
      </c>
      <c r="E3993" t="s">
        <v>24</v>
      </c>
      <c r="F3993" t="s">
        <v>23</v>
      </c>
      <c r="H3993">
        <v>429.7</v>
      </c>
      <c r="I3993" s="13">
        <v>6</v>
      </c>
      <c r="J3993">
        <v>1</v>
      </c>
      <c r="K3993">
        <v>26.46</v>
      </c>
      <c r="L3993">
        <v>3</v>
      </c>
      <c r="M3993">
        <v>3</v>
      </c>
      <c r="N3993">
        <v>5</v>
      </c>
      <c r="O3993">
        <f t="shared" si="62"/>
        <v>6</v>
      </c>
    </row>
    <row r="3994" spans="1:15">
      <c r="A3994">
        <v>51</v>
      </c>
      <c r="B3994" s="1">
        <v>45832</v>
      </c>
      <c r="C3994">
        <v>18</v>
      </c>
      <c r="D3994" t="s">
        <v>17</v>
      </c>
      <c r="E3994" t="s">
        <v>15</v>
      </c>
      <c r="F3994" t="s">
        <v>16</v>
      </c>
      <c r="H3994">
        <v>849</v>
      </c>
      <c r="I3994" s="13">
        <v>5</v>
      </c>
      <c r="J3994">
        <v>1</v>
      </c>
      <c r="K3994">
        <v>22.13</v>
      </c>
      <c r="L3994">
        <v>2</v>
      </c>
      <c r="M3994">
        <v>10</v>
      </c>
      <c r="N3994">
        <v>3</v>
      </c>
      <c r="O3994">
        <f t="shared" si="62"/>
        <v>6</v>
      </c>
    </row>
    <row r="3995" spans="1:15">
      <c r="A3995">
        <v>1441</v>
      </c>
      <c r="B3995" s="1">
        <v>45832</v>
      </c>
      <c r="C3995">
        <v>20</v>
      </c>
      <c r="D3995" t="s">
        <v>14</v>
      </c>
      <c r="E3995" t="s">
        <v>15</v>
      </c>
      <c r="F3995" t="s">
        <v>23</v>
      </c>
      <c r="H3995">
        <v>530.4</v>
      </c>
      <c r="I3995" s="13">
        <v>10</v>
      </c>
      <c r="J3995">
        <v>1</v>
      </c>
      <c r="K3995">
        <v>13.85</v>
      </c>
      <c r="L3995">
        <v>2</v>
      </c>
      <c r="M3995">
        <v>2</v>
      </c>
      <c r="N3995">
        <v>5</v>
      </c>
      <c r="O3995">
        <f t="shared" si="62"/>
        <v>6</v>
      </c>
    </row>
    <row r="3996" spans="1:15">
      <c r="A3996">
        <v>523</v>
      </c>
      <c r="B3996" s="1">
        <v>45832</v>
      </c>
      <c r="C3996">
        <v>22</v>
      </c>
      <c r="D3996" t="s">
        <v>27</v>
      </c>
      <c r="E3996" t="s">
        <v>22</v>
      </c>
      <c r="F3996" t="s">
        <v>23</v>
      </c>
      <c r="H3996">
        <v>588.70000000000005</v>
      </c>
      <c r="I3996" s="13">
        <v>8</v>
      </c>
      <c r="J3996">
        <v>0</v>
      </c>
      <c r="K3996">
        <v>0</v>
      </c>
      <c r="L3996">
        <v>0</v>
      </c>
      <c r="M3996">
        <v>0</v>
      </c>
      <c r="O3996">
        <f t="shared" si="62"/>
        <v>6</v>
      </c>
    </row>
    <row r="3997" spans="1:15">
      <c r="A3997">
        <v>1371</v>
      </c>
      <c r="B3997" s="1">
        <v>45832</v>
      </c>
      <c r="C3997">
        <v>21</v>
      </c>
      <c r="D3997" t="s">
        <v>17</v>
      </c>
      <c r="E3997" t="s">
        <v>24</v>
      </c>
      <c r="F3997" t="s">
        <v>23</v>
      </c>
      <c r="H3997">
        <v>537.29999999999995</v>
      </c>
      <c r="I3997" s="13">
        <v>11</v>
      </c>
      <c r="J3997">
        <v>0</v>
      </c>
      <c r="K3997">
        <v>0</v>
      </c>
      <c r="L3997">
        <v>0</v>
      </c>
      <c r="M3997">
        <v>0</v>
      </c>
      <c r="O3997">
        <f t="shared" si="62"/>
        <v>6</v>
      </c>
    </row>
    <row r="3998" spans="1:15">
      <c r="A3998">
        <v>4315</v>
      </c>
      <c r="B3998" s="1">
        <v>45832</v>
      </c>
      <c r="C3998">
        <v>61</v>
      </c>
      <c r="D3998" t="s">
        <v>17</v>
      </c>
      <c r="E3998" t="s">
        <v>24</v>
      </c>
      <c r="F3998" t="s">
        <v>23</v>
      </c>
      <c r="H3998">
        <v>534.1</v>
      </c>
      <c r="I3998" s="13">
        <v>7</v>
      </c>
      <c r="J3998">
        <v>0</v>
      </c>
      <c r="K3998">
        <v>0</v>
      </c>
      <c r="L3998">
        <v>0</v>
      </c>
      <c r="M3998">
        <v>0</v>
      </c>
      <c r="O3998">
        <f t="shared" si="62"/>
        <v>6</v>
      </c>
    </row>
    <row r="3999" spans="1:15">
      <c r="A3999">
        <v>3042</v>
      </c>
      <c r="B3999" s="1">
        <v>45832</v>
      </c>
      <c r="C3999">
        <v>30</v>
      </c>
      <c r="D3999" t="s">
        <v>17</v>
      </c>
      <c r="E3999" t="s">
        <v>22</v>
      </c>
      <c r="F3999" t="s">
        <v>16</v>
      </c>
      <c r="H3999">
        <v>462.8</v>
      </c>
      <c r="I3999" s="13">
        <v>5</v>
      </c>
      <c r="J3999">
        <v>0</v>
      </c>
      <c r="K3999">
        <v>0</v>
      </c>
      <c r="L3999">
        <v>0</v>
      </c>
      <c r="M3999">
        <v>0</v>
      </c>
      <c r="O3999">
        <f t="shared" si="62"/>
        <v>6</v>
      </c>
    </row>
    <row r="4000" spans="1:15">
      <c r="A4000">
        <v>3295</v>
      </c>
      <c r="B4000" s="1">
        <v>45832</v>
      </c>
      <c r="C4000">
        <v>33</v>
      </c>
      <c r="D4000" t="s">
        <v>14</v>
      </c>
      <c r="E4000" t="s">
        <v>22</v>
      </c>
      <c r="F4000" t="s">
        <v>16</v>
      </c>
      <c r="H4000">
        <v>452.7</v>
      </c>
      <c r="I4000" s="13">
        <v>4</v>
      </c>
      <c r="J4000">
        <v>0</v>
      </c>
      <c r="K4000">
        <v>0</v>
      </c>
      <c r="L4000">
        <v>0</v>
      </c>
      <c r="M4000">
        <v>0</v>
      </c>
      <c r="O4000">
        <f t="shared" si="62"/>
        <v>6</v>
      </c>
    </row>
    <row r="4001" spans="1:15">
      <c r="A4001">
        <v>3610</v>
      </c>
      <c r="B4001" s="1">
        <v>45832</v>
      </c>
      <c r="C4001">
        <v>50</v>
      </c>
      <c r="D4001" t="s">
        <v>17</v>
      </c>
      <c r="E4001" t="s">
        <v>22</v>
      </c>
      <c r="F4001" t="s">
        <v>23</v>
      </c>
      <c r="H4001">
        <v>380</v>
      </c>
      <c r="I4001" s="13">
        <v>5</v>
      </c>
      <c r="J4001">
        <v>0</v>
      </c>
      <c r="K4001">
        <v>0</v>
      </c>
      <c r="L4001">
        <v>0</v>
      </c>
      <c r="M4001">
        <v>0</v>
      </c>
      <c r="O4001">
        <f t="shared" si="62"/>
        <v>6</v>
      </c>
    </row>
    <row r="4002" spans="1:15">
      <c r="A4002">
        <v>1389</v>
      </c>
      <c r="B4002" s="1">
        <v>45832</v>
      </c>
      <c r="C4002">
        <v>22</v>
      </c>
      <c r="D4002" t="s">
        <v>14</v>
      </c>
      <c r="E4002" t="s">
        <v>20</v>
      </c>
      <c r="F4002" t="s">
        <v>16</v>
      </c>
      <c r="H4002">
        <v>374.4</v>
      </c>
      <c r="I4002" s="13">
        <v>4</v>
      </c>
      <c r="J4002">
        <v>0</v>
      </c>
      <c r="K4002">
        <v>0</v>
      </c>
      <c r="L4002">
        <v>0</v>
      </c>
      <c r="M4002">
        <v>0</v>
      </c>
      <c r="O4002">
        <f t="shared" si="62"/>
        <v>6</v>
      </c>
    </row>
    <row r="4003" spans="1:15">
      <c r="A4003">
        <v>4250</v>
      </c>
      <c r="B4003" s="1">
        <v>45832</v>
      </c>
      <c r="C4003">
        <v>46</v>
      </c>
      <c r="D4003" t="s">
        <v>17</v>
      </c>
      <c r="E4003" t="s">
        <v>20</v>
      </c>
      <c r="F4003" t="s">
        <v>18</v>
      </c>
      <c r="G4003" t="s">
        <v>25</v>
      </c>
      <c r="H4003">
        <v>335.9</v>
      </c>
      <c r="I4003" s="13">
        <v>6</v>
      </c>
      <c r="J4003">
        <v>0</v>
      </c>
      <c r="K4003">
        <v>0</v>
      </c>
      <c r="L4003">
        <v>0</v>
      </c>
      <c r="M4003">
        <v>0</v>
      </c>
      <c r="O4003">
        <f t="shared" si="62"/>
        <v>6</v>
      </c>
    </row>
    <row r="4004" spans="1:15">
      <c r="A4004">
        <v>12</v>
      </c>
      <c r="B4004" s="1">
        <v>45832</v>
      </c>
      <c r="C4004">
        <v>28</v>
      </c>
      <c r="D4004" t="s">
        <v>17</v>
      </c>
      <c r="E4004" t="s">
        <v>24</v>
      </c>
      <c r="F4004" t="s">
        <v>18</v>
      </c>
      <c r="G4004" t="s">
        <v>29</v>
      </c>
      <c r="H4004">
        <v>327</v>
      </c>
      <c r="I4004" s="13">
        <v>4</v>
      </c>
      <c r="J4004">
        <v>0</v>
      </c>
      <c r="K4004">
        <v>0</v>
      </c>
      <c r="L4004">
        <v>0</v>
      </c>
      <c r="M4004">
        <v>0</v>
      </c>
      <c r="O4004">
        <f t="shared" si="62"/>
        <v>6</v>
      </c>
    </row>
    <row r="4005" spans="1:15">
      <c r="A4005">
        <v>1198</v>
      </c>
      <c r="B4005" s="1">
        <v>45832</v>
      </c>
      <c r="C4005">
        <v>22</v>
      </c>
      <c r="D4005" t="s">
        <v>17</v>
      </c>
      <c r="E4005" t="s">
        <v>15</v>
      </c>
      <c r="F4005" t="s">
        <v>23</v>
      </c>
      <c r="H4005">
        <v>299.8</v>
      </c>
      <c r="I4005" s="13">
        <v>9</v>
      </c>
      <c r="J4005">
        <v>0</v>
      </c>
      <c r="K4005">
        <v>0</v>
      </c>
      <c r="L4005">
        <v>0</v>
      </c>
      <c r="M4005">
        <v>0</v>
      </c>
      <c r="O4005">
        <f t="shared" si="62"/>
        <v>6</v>
      </c>
    </row>
    <row r="4006" spans="1:15">
      <c r="A4006">
        <v>472</v>
      </c>
      <c r="B4006" s="1">
        <v>45832</v>
      </c>
      <c r="C4006">
        <v>18</v>
      </c>
      <c r="D4006" t="s">
        <v>14</v>
      </c>
      <c r="E4006" t="s">
        <v>22</v>
      </c>
      <c r="F4006" t="s">
        <v>23</v>
      </c>
      <c r="H4006">
        <v>248.3</v>
      </c>
      <c r="I4006" s="13">
        <v>7</v>
      </c>
      <c r="J4006">
        <v>0</v>
      </c>
      <c r="K4006">
        <v>0</v>
      </c>
      <c r="L4006">
        <v>0</v>
      </c>
      <c r="M4006">
        <v>0</v>
      </c>
      <c r="O4006">
        <f t="shared" si="62"/>
        <v>6</v>
      </c>
    </row>
    <row r="4007" spans="1:15">
      <c r="A4007">
        <v>679</v>
      </c>
      <c r="B4007" s="1">
        <v>45832</v>
      </c>
      <c r="C4007">
        <v>23</v>
      </c>
      <c r="D4007" t="s">
        <v>17</v>
      </c>
      <c r="E4007" t="s">
        <v>24</v>
      </c>
      <c r="F4007" t="s">
        <v>23</v>
      </c>
      <c r="H4007">
        <v>235.7</v>
      </c>
      <c r="I4007" s="13">
        <v>3</v>
      </c>
      <c r="J4007">
        <v>0</v>
      </c>
      <c r="K4007">
        <v>0</v>
      </c>
      <c r="L4007">
        <v>0</v>
      </c>
      <c r="M4007">
        <v>0</v>
      </c>
      <c r="O4007">
        <f t="shared" si="62"/>
        <v>6</v>
      </c>
    </row>
    <row r="4008" spans="1:15">
      <c r="A4008">
        <v>2980</v>
      </c>
      <c r="B4008" s="1">
        <v>45832</v>
      </c>
      <c r="C4008">
        <v>30</v>
      </c>
      <c r="D4008" t="s">
        <v>17</v>
      </c>
      <c r="E4008" t="s">
        <v>22</v>
      </c>
      <c r="F4008" t="s">
        <v>18</v>
      </c>
      <c r="G4008" t="s">
        <v>19</v>
      </c>
      <c r="H4008">
        <v>232</v>
      </c>
      <c r="I4008" s="13">
        <v>7</v>
      </c>
      <c r="J4008">
        <v>0</v>
      </c>
      <c r="K4008">
        <v>0</v>
      </c>
      <c r="L4008">
        <v>0</v>
      </c>
      <c r="M4008">
        <v>0</v>
      </c>
      <c r="O4008">
        <f t="shared" si="62"/>
        <v>6</v>
      </c>
    </row>
    <row r="4009" spans="1:15">
      <c r="A4009">
        <v>3806</v>
      </c>
      <c r="B4009" s="1">
        <v>45832</v>
      </c>
      <c r="C4009">
        <v>53</v>
      </c>
      <c r="D4009" t="s">
        <v>14</v>
      </c>
      <c r="E4009" t="s">
        <v>20</v>
      </c>
      <c r="F4009" t="s">
        <v>16</v>
      </c>
      <c r="H4009">
        <v>213.8</v>
      </c>
      <c r="I4009" s="13">
        <v>5</v>
      </c>
      <c r="J4009">
        <v>0</v>
      </c>
      <c r="K4009">
        <v>0</v>
      </c>
      <c r="L4009">
        <v>0</v>
      </c>
      <c r="M4009">
        <v>0</v>
      </c>
      <c r="O4009">
        <f t="shared" si="62"/>
        <v>6</v>
      </c>
    </row>
    <row r="4010" spans="1:15">
      <c r="A4010">
        <v>3732</v>
      </c>
      <c r="B4010" s="1">
        <v>45832</v>
      </c>
      <c r="C4010">
        <v>33</v>
      </c>
      <c r="D4010" t="s">
        <v>17</v>
      </c>
      <c r="E4010" t="s">
        <v>15</v>
      </c>
      <c r="F4010" t="s">
        <v>16</v>
      </c>
      <c r="H4010">
        <v>161.80000000000001</v>
      </c>
      <c r="I4010" s="13">
        <v>5</v>
      </c>
      <c r="J4010">
        <v>0</v>
      </c>
      <c r="K4010">
        <v>0</v>
      </c>
      <c r="L4010">
        <v>0</v>
      </c>
      <c r="M4010">
        <v>0</v>
      </c>
      <c r="O4010">
        <f t="shared" si="62"/>
        <v>6</v>
      </c>
    </row>
    <row r="4011" spans="1:15">
      <c r="A4011">
        <v>1239</v>
      </c>
      <c r="B4011" s="1">
        <v>45832</v>
      </c>
      <c r="C4011">
        <v>26</v>
      </c>
      <c r="D4011" t="s">
        <v>17</v>
      </c>
      <c r="E4011" t="s">
        <v>22</v>
      </c>
      <c r="F4011" t="s">
        <v>23</v>
      </c>
      <c r="H4011">
        <v>156</v>
      </c>
      <c r="I4011" s="13">
        <v>3</v>
      </c>
      <c r="J4011">
        <v>0</v>
      </c>
      <c r="K4011">
        <v>0</v>
      </c>
      <c r="L4011">
        <v>0</v>
      </c>
      <c r="M4011">
        <v>0</v>
      </c>
      <c r="O4011">
        <f t="shared" si="62"/>
        <v>6</v>
      </c>
    </row>
    <row r="4012" spans="1:15">
      <c r="A4012">
        <v>3847</v>
      </c>
      <c r="B4012" s="1">
        <v>45832</v>
      </c>
      <c r="C4012">
        <v>49</v>
      </c>
      <c r="D4012" t="s">
        <v>17</v>
      </c>
      <c r="E4012" t="s">
        <v>15</v>
      </c>
      <c r="F4012" t="s">
        <v>21</v>
      </c>
      <c r="H4012">
        <v>134.1</v>
      </c>
      <c r="I4012" s="13">
        <v>9</v>
      </c>
      <c r="J4012">
        <v>0</v>
      </c>
      <c r="K4012">
        <v>0</v>
      </c>
      <c r="L4012">
        <v>0</v>
      </c>
      <c r="M4012">
        <v>0</v>
      </c>
      <c r="O4012">
        <f t="shared" si="62"/>
        <v>6</v>
      </c>
    </row>
    <row r="4013" spans="1:15">
      <c r="A4013">
        <v>3529</v>
      </c>
      <c r="B4013" s="1">
        <v>45832</v>
      </c>
      <c r="C4013">
        <v>43</v>
      </c>
      <c r="D4013" t="s">
        <v>17</v>
      </c>
      <c r="E4013" t="s">
        <v>15</v>
      </c>
      <c r="F4013" t="s">
        <v>21</v>
      </c>
      <c r="H4013">
        <v>107.3</v>
      </c>
      <c r="I4013" s="13">
        <v>6</v>
      </c>
      <c r="J4013">
        <v>0</v>
      </c>
      <c r="K4013">
        <v>0</v>
      </c>
      <c r="L4013">
        <v>0</v>
      </c>
      <c r="M4013">
        <v>0</v>
      </c>
      <c r="O4013">
        <f t="shared" si="62"/>
        <v>6</v>
      </c>
    </row>
    <row r="4014" spans="1:15">
      <c r="A4014">
        <v>1102</v>
      </c>
      <c r="B4014" s="1">
        <v>45832</v>
      </c>
      <c r="C4014">
        <v>21</v>
      </c>
      <c r="D4014" t="s">
        <v>14</v>
      </c>
      <c r="E4014" t="s">
        <v>24</v>
      </c>
      <c r="F4014" t="s">
        <v>16</v>
      </c>
      <c r="H4014">
        <v>56</v>
      </c>
      <c r="I4014" s="13">
        <v>7</v>
      </c>
      <c r="J4014">
        <v>0</v>
      </c>
      <c r="K4014">
        <v>0</v>
      </c>
      <c r="L4014">
        <v>0</v>
      </c>
      <c r="M4014">
        <v>0</v>
      </c>
      <c r="O4014">
        <f t="shared" si="62"/>
        <v>6</v>
      </c>
    </row>
    <row r="4015" spans="1:15">
      <c r="A4015">
        <v>704</v>
      </c>
      <c r="B4015" s="1">
        <v>45682</v>
      </c>
      <c r="C4015">
        <v>33</v>
      </c>
      <c r="D4015" t="s">
        <v>14</v>
      </c>
      <c r="E4015" t="s">
        <v>15</v>
      </c>
      <c r="F4015" t="s">
        <v>16</v>
      </c>
      <c r="H4015">
        <v>596.29999999999995</v>
      </c>
      <c r="I4015" s="13">
        <v>6</v>
      </c>
      <c r="J4015">
        <v>1</v>
      </c>
      <c r="K4015">
        <v>371</v>
      </c>
      <c r="L4015">
        <v>3</v>
      </c>
      <c r="M4015">
        <v>13</v>
      </c>
      <c r="N4015">
        <v>5</v>
      </c>
      <c r="O4015">
        <f t="shared" si="62"/>
        <v>1</v>
      </c>
    </row>
    <row r="4016" spans="1:15">
      <c r="A4016">
        <v>1586</v>
      </c>
      <c r="B4016" s="1">
        <v>45682</v>
      </c>
      <c r="C4016">
        <v>25</v>
      </c>
      <c r="D4016" t="s">
        <v>17</v>
      </c>
      <c r="E4016" t="s">
        <v>15</v>
      </c>
      <c r="F4016" t="s">
        <v>21</v>
      </c>
      <c r="H4016">
        <v>306.39999999999998</v>
      </c>
      <c r="I4016" s="13">
        <v>7</v>
      </c>
      <c r="J4016">
        <v>1</v>
      </c>
      <c r="K4016">
        <v>441</v>
      </c>
      <c r="L4016">
        <v>2</v>
      </c>
      <c r="M4016">
        <v>6</v>
      </c>
      <c r="N4016">
        <v>4</v>
      </c>
      <c r="O4016">
        <f t="shared" si="62"/>
        <v>1</v>
      </c>
    </row>
    <row r="4017" spans="1:15">
      <c r="A4017">
        <v>947</v>
      </c>
      <c r="B4017" s="1">
        <v>45682</v>
      </c>
      <c r="C4017">
        <v>26</v>
      </c>
      <c r="D4017" t="s">
        <v>17</v>
      </c>
      <c r="E4017" t="s">
        <v>15</v>
      </c>
      <c r="F4017" t="s">
        <v>16</v>
      </c>
      <c r="H4017">
        <v>1058.3</v>
      </c>
      <c r="I4017" s="13">
        <v>3</v>
      </c>
      <c r="J4017">
        <v>1</v>
      </c>
      <c r="K4017">
        <v>80.2</v>
      </c>
      <c r="L4017">
        <v>1</v>
      </c>
      <c r="M4017">
        <v>15</v>
      </c>
      <c r="N4017">
        <v>4</v>
      </c>
      <c r="O4017">
        <f t="shared" si="62"/>
        <v>1</v>
      </c>
    </row>
    <row r="4018" spans="1:15">
      <c r="A4018">
        <v>1985</v>
      </c>
      <c r="B4018" s="1">
        <v>45682</v>
      </c>
      <c r="C4018">
        <v>40</v>
      </c>
      <c r="D4018" t="s">
        <v>17</v>
      </c>
      <c r="E4018" t="s">
        <v>22</v>
      </c>
      <c r="F4018" t="s">
        <v>21</v>
      </c>
      <c r="H4018">
        <v>464.4</v>
      </c>
      <c r="I4018" s="13">
        <v>7</v>
      </c>
      <c r="J4018">
        <v>1</v>
      </c>
      <c r="K4018">
        <v>55.21</v>
      </c>
      <c r="L4018">
        <v>2</v>
      </c>
      <c r="M4018">
        <v>3</v>
      </c>
      <c r="N4018">
        <v>4</v>
      </c>
      <c r="O4018">
        <f t="shared" si="62"/>
        <v>1</v>
      </c>
    </row>
    <row r="4019" spans="1:15">
      <c r="A4019">
        <v>4635</v>
      </c>
      <c r="B4019" s="1">
        <v>45682</v>
      </c>
      <c r="C4019">
        <v>50</v>
      </c>
      <c r="D4019" t="s">
        <v>17</v>
      </c>
      <c r="E4019" t="s">
        <v>22</v>
      </c>
      <c r="F4019" t="s">
        <v>16</v>
      </c>
      <c r="H4019">
        <v>166</v>
      </c>
      <c r="I4019" s="13">
        <v>6</v>
      </c>
      <c r="J4019">
        <v>1</v>
      </c>
      <c r="K4019">
        <v>53.84</v>
      </c>
      <c r="L4019">
        <v>2</v>
      </c>
      <c r="M4019">
        <v>12</v>
      </c>
      <c r="N4019">
        <v>5</v>
      </c>
      <c r="O4019">
        <f t="shared" si="62"/>
        <v>1</v>
      </c>
    </row>
    <row r="4020" spans="1:15">
      <c r="A4020">
        <v>591</v>
      </c>
      <c r="B4020" s="1">
        <v>45682</v>
      </c>
      <c r="C4020">
        <v>28</v>
      </c>
      <c r="D4020" t="s">
        <v>14</v>
      </c>
      <c r="E4020" t="s">
        <v>24</v>
      </c>
      <c r="F4020" t="s">
        <v>23</v>
      </c>
      <c r="H4020">
        <v>458</v>
      </c>
      <c r="I4020" s="13">
        <v>3</v>
      </c>
      <c r="J4020">
        <v>1</v>
      </c>
      <c r="K4020">
        <v>42.29</v>
      </c>
      <c r="L4020">
        <v>3</v>
      </c>
      <c r="M4020">
        <v>2</v>
      </c>
      <c r="N4020">
        <v>3</v>
      </c>
      <c r="O4020">
        <f t="shared" si="62"/>
        <v>1</v>
      </c>
    </row>
    <row r="4021" spans="1:15">
      <c r="A4021">
        <v>3552</v>
      </c>
      <c r="B4021" s="1">
        <v>45682</v>
      </c>
      <c r="C4021">
        <v>35</v>
      </c>
      <c r="D4021" t="s">
        <v>17</v>
      </c>
      <c r="E4021" t="s">
        <v>15</v>
      </c>
      <c r="F4021" t="s">
        <v>16</v>
      </c>
      <c r="H4021">
        <v>306</v>
      </c>
      <c r="I4021" s="13">
        <v>6</v>
      </c>
      <c r="J4021">
        <v>1</v>
      </c>
      <c r="K4021">
        <v>32.82</v>
      </c>
      <c r="L4021">
        <v>1</v>
      </c>
      <c r="M4021">
        <v>9</v>
      </c>
      <c r="N4021">
        <v>4</v>
      </c>
      <c r="O4021">
        <f t="shared" si="62"/>
        <v>1</v>
      </c>
    </row>
    <row r="4022" spans="1:15">
      <c r="A4022">
        <v>2765</v>
      </c>
      <c r="B4022" s="1">
        <v>45682</v>
      </c>
      <c r="C4022">
        <v>32</v>
      </c>
      <c r="D4022" t="s">
        <v>17</v>
      </c>
      <c r="E4022" t="s">
        <v>20</v>
      </c>
      <c r="F4022" t="s">
        <v>16</v>
      </c>
      <c r="H4022">
        <v>95.1</v>
      </c>
      <c r="I4022" s="13">
        <v>5</v>
      </c>
      <c r="J4022">
        <v>1</v>
      </c>
      <c r="K4022">
        <v>24.75</v>
      </c>
      <c r="L4022">
        <v>1</v>
      </c>
      <c r="M4022">
        <v>3</v>
      </c>
      <c r="N4022">
        <v>4</v>
      </c>
      <c r="O4022">
        <f t="shared" si="62"/>
        <v>1</v>
      </c>
    </row>
    <row r="4023" spans="1:15">
      <c r="A4023">
        <v>180</v>
      </c>
      <c r="B4023" s="1">
        <v>45682</v>
      </c>
      <c r="C4023">
        <v>24</v>
      </c>
      <c r="D4023" t="s">
        <v>17</v>
      </c>
      <c r="E4023" t="s">
        <v>22</v>
      </c>
      <c r="F4023" t="s">
        <v>16</v>
      </c>
      <c r="H4023">
        <v>385.5</v>
      </c>
      <c r="I4023" s="13">
        <v>6</v>
      </c>
      <c r="J4023">
        <v>1</v>
      </c>
      <c r="K4023">
        <v>17.43</v>
      </c>
      <c r="L4023">
        <v>4</v>
      </c>
      <c r="M4023">
        <v>14</v>
      </c>
      <c r="N4023">
        <v>4</v>
      </c>
      <c r="O4023">
        <f t="shared" si="62"/>
        <v>1</v>
      </c>
    </row>
    <row r="4024" spans="1:15">
      <c r="A4024">
        <v>2600</v>
      </c>
      <c r="B4024" s="1">
        <v>45682</v>
      </c>
      <c r="C4024">
        <v>18</v>
      </c>
      <c r="D4024" t="s">
        <v>14</v>
      </c>
      <c r="E4024" t="s">
        <v>20</v>
      </c>
      <c r="F4024" t="s">
        <v>16</v>
      </c>
      <c r="H4024">
        <v>349.1</v>
      </c>
      <c r="I4024" s="13">
        <v>5</v>
      </c>
      <c r="J4024">
        <v>1</v>
      </c>
      <c r="K4024">
        <v>13.17</v>
      </c>
      <c r="L4024">
        <v>2</v>
      </c>
      <c r="M4024">
        <v>3</v>
      </c>
      <c r="N4024">
        <v>2</v>
      </c>
      <c r="O4024">
        <f t="shared" si="62"/>
        <v>1</v>
      </c>
    </row>
    <row r="4025" spans="1:15">
      <c r="A4025">
        <v>4142</v>
      </c>
      <c r="B4025" s="1">
        <v>45682</v>
      </c>
      <c r="C4025">
        <v>58</v>
      </c>
      <c r="D4025" t="s">
        <v>14</v>
      </c>
      <c r="E4025" t="s">
        <v>20</v>
      </c>
      <c r="F4025" t="s">
        <v>16</v>
      </c>
      <c r="H4025">
        <v>880.8</v>
      </c>
      <c r="I4025" s="13">
        <v>5</v>
      </c>
      <c r="J4025">
        <v>0</v>
      </c>
      <c r="K4025">
        <v>0</v>
      </c>
      <c r="L4025">
        <v>0</v>
      </c>
      <c r="M4025">
        <v>0</v>
      </c>
      <c r="O4025">
        <f t="shared" si="62"/>
        <v>1</v>
      </c>
    </row>
    <row r="4026" spans="1:15">
      <c r="A4026">
        <v>557</v>
      </c>
      <c r="B4026" s="1">
        <v>45682</v>
      </c>
      <c r="C4026">
        <v>18</v>
      </c>
      <c r="D4026" t="s">
        <v>17</v>
      </c>
      <c r="E4026" t="s">
        <v>20</v>
      </c>
      <c r="F4026" t="s">
        <v>21</v>
      </c>
      <c r="H4026">
        <v>726.4</v>
      </c>
      <c r="I4026" s="13">
        <v>6</v>
      </c>
      <c r="J4026">
        <v>0</v>
      </c>
      <c r="K4026">
        <v>0</v>
      </c>
      <c r="L4026">
        <v>0</v>
      </c>
      <c r="M4026">
        <v>0</v>
      </c>
      <c r="O4026">
        <f t="shared" si="62"/>
        <v>1</v>
      </c>
    </row>
    <row r="4027" spans="1:15">
      <c r="A4027">
        <v>1994</v>
      </c>
      <c r="B4027" s="1">
        <v>45682</v>
      </c>
      <c r="C4027">
        <v>39</v>
      </c>
      <c r="D4027" t="s">
        <v>14</v>
      </c>
      <c r="E4027" t="s">
        <v>22</v>
      </c>
      <c r="F4027" t="s">
        <v>21</v>
      </c>
      <c r="H4027">
        <v>644.6</v>
      </c>
      <c r="I4027" s="13">
        <v>5</v>
      </c>
      <c r="J4027">
        <v>0</v>
      </c>
      <c r="K4027">
        <v>0</v>
      </c>
      <c r="L4027">
        <v>0</v>
      </c>
      <c r="M4027">
        <v>0</v>
      </c>
      <c r="O4027">
        <f t="shared" si="62"/>
        <v>1</v>
      </c>
    </row>
    <row r="4028" spans="1:15">
      <c r="A4028">
        <v>1750</v>
      </c>
      <c r="B4028" s="1">
        <v>45682</v>
      </c>
      <c r="C4028">
        <v>18</v>
      </c>
      <c r="D4028" t="s">
        <v>17</v>
      </c>
      <c r="E4028" t="s">
        <v>24</v>
      </c>
      <c r="F4028" t="s">
        <v>16</v>
      </c>
      <c r="H4028">
        <v>588.6</v>
      </c>
      <c r="I4028" s="13">
        <v>5</v>
      </c>
      <c r="J4028">
        <v>0</v>
      </c>
      <c r="K4028">
        <v>0</v>
      </c>
      <c r="L4028">
        <v>0</v>
      </c>
      <c r="M4028">
        <v>0</v>
      </c>
      <c r="O4028">
        <f t="shared" si="62"/>
        <v>1</v>
      </c>
    </row>
    <row r="4029" spans="1:15">
      <c r="A4029">
        <v>2522</v>
      </c>
      <c r="B4029" s="1">
        <v>45682</v>
      </c>
      <c r="C4029">
        <v>40</v>
      </c>
      <c r="D4029" t="s">
        <v>14</v>
      </c>
      <c r="E4029" t="s">
        <v>22</v>
      </c>
      <c r="F4029" t="s">
        <v>23</v>
      </c>
      <c r="H4029">
        <v>428.8</v>
      </c>
      <c r="I4029" s="13">
        <v>4</v>
      </c>
      <c r="J4029">
        <v>0</v>
      </c>
      <c r="K4029">
        <v>0</v>
      </c>
      <c r="L4029">
        <v>0</v>
      </c>
      <c r="M4029">
        <v>0</v>
      </c>
      <c r="O4029">
        <f t="shared" si="62"/>
        <v>1</v>
      </c>
    </row>
    <row r="4030" spans="1:15">
      <c r="A4030">
        <v>563</v>
      </c>
      <c r="B4030" s="1">
        <v>45682</v>
      </c>
      <c r="C4030">
        <v>24</v>
      </c>
      <c r="D4030" t="s">
        <v>17</v>
      </c>
      <c r="E4030" t="s">
        <v>22</v>
      </c>
      <c r="F4030" t="s">
        <v>16</v>
      </c>
      <c r="H4030">
        <v>343.6</v>
      </c>
      <c r="I4030" s="13">
        <v>5</v>
      </c>
      <c r="J4030">
        <v>0</v>
      </c>
      <c r="K4030">
        <v>0</v>
      </c>
      <c r="L4030">
        <v>0</v>
      </c>
      <c r="M4030">
        <v>0</v>
      </c>
      <c r="O4030">
        <f t="shared" si="62"/>
        <v>1</v>
      </c>
    </row>
    <row r="4031" spans="1:15">
      <c r="A4031">
        <v>998</v>
      </c>
      <c r="B4031" s="1">
        <v>45682</v>
      </c>
      <c r="C4031">
        <v>18</v>
      </c>
      <c r="D4031" t="s">
        <v>17</v>
      </c>
      <c r="E4031" t="s">
        <v>15</v>
      </c>
      <c r="F4031" t="s">
        <v>16</v>
      </c>
      <c r="H4031">
        <v>288.8</v>
      </c>
      <c r="I4031" s="13">
        <v>4</v>
      </c>
      <c r="J4031">
        <v>0</v>
      </c>
      <c r="K4031">
        <v>0</v>
      </c>
      <c r="L4031">
        <v>0</v>
      </c>
      <c r="M4031">
        <v>0</v>
      </c>
      <c r="O4031">
        <f t="shared" si="62"/>
        <v>1</v>
      </c>
    </row>
    <row r="4032" spans="1:15">
      <c r="A4032">
        <v>4569</v>
      </c>
      <c r="B4032" s="1">
        <v>45682</v>
      </c>
      <c r="C4032">
        <v>50</v>
      </c>
      <c r="D4032" t="s">
        <v>14</v>
      </c>
      <c r="E4032" t="s">
        <v>24</v>
      </c>
      <c r="F4032" t="s">
        <v>21</v>
      </c>
      <c r="H4032">
        <v>277.8</v>
      </c>
      <c r="I4032" s="13">
        <v>4</v>
      </c>
      <c r="J4032">
        <v>0</v>
      </c>
      <c r="K4032">
        <v>0</v>
      </c>
      <c r="L4032">
        <v>0</v>
      </c>
      <c r="M4032">
        <v>0</v>
      </c>
      <c r="O4032">
        <f t="shared" si="62"/>
        <v>1</v>
      </c>
    </row>
    <row r="4033" spans="1:15">
      <c r="A4033">
        <v>1698</v>
      </c>
      <c r="B4033" s="1">
        <v>45682</v>
      </c>
      <c r="C4033">
        <v>26</v>
      </c>
      <c r="D4033" t="s">
        <v>17</v>
      </c>
      <c r="E4033" t="s">
        <v>20</v>
      </c>
      <c r="F4033" t="s">
        <v>18</v>
      </c>
      <c r="G4033" t="s">
        <v>28</v>
      </c>
      <c r="H4033">
        <v>262.10000000000002</v>
      </c>
      <c r="I4033" s="13">
        <v>5</v>
      </c>
      <c r="J4033">
        <v>0</v>
      </c>
      <c r="K4033">
        <v>0</v>
      </c>
      <c r="L4033">
        <v>0</v>
      </c>
      <c r="M4033">
        <v>0</v>
      </c>
      <c r="O4033">
        <f t="shared" si="62"/>
        <v>1</v>
      </c>
    </row>
    <row r="4034" spans="1:15">
      <c r="A4034">
        <v>3954</v>
      </c>
      <c r="B4034" s="1">
        <v>45682</v>
      </c>
      <c r="C4034">
        <v>45</v>
      </c>
      <c r="D4034" t="s">
        <v>17</v>
      </c>
      <c r="E4034" t="s">
        <v>15</v>
      </c>
      <c r="F4034" t="s">
        <v>21</v>
      </c>
      <c r="H4034">
        <v>251.4</v>
      </c>
      <c r="I4034" s="13">
        <v>5</v>
      </c>
      <c r="J4034">
        <v>0</v>
      </c>
      <c r="K4034">
        <v>0</v>
      </c>
      <c r="L4034">
        <v>0</v>
      </c>
      <c r="M4034">
        <v>0</v>
      </c>
      <c r="O4034">
        <f t="shared" si="62"/>
        <v>1</v>
      </c>
    </row>
    <row r="4035" spans="1:15">
      <c r="A4035">
        <v>4699</v>
      </c>
      <c r="B4035" s="1">
        <v>45682</v>
      </c>
      <c r="C4035">
        <v>66</v>
      </c>
      <c r="D4035" t="s">
        <v>17</v>
      </c>
      <c r="E4035" t="s">
        <v>15</v>
      </c>
      <c r="F4035" t="s">
        <v>18</v>
      </c>
      <c r="G4035" t="s">
        <v>25</v>
      </c>
      <c r="H4035">
        <v>215.8</v>
      </c>
      <c r="I4035" s="13">
        <v>9</v>
      </c>
      <c r="J4035">
        <v>0</v>
      </c>
      <c r="K4035">
        <v>0</v>
      </c>
      <c r="L4035">
        <v>0</v>
      </c>
      <c r="M4035">
        <v>0</v>
      </c>
      <c r="O4035">
        <f t="shared" ref="O4035:O4098" si="63">MONTH(B4035)</f>
        <v>1</v>
      </c>
    </row>
    <row r="4036" spans="1:15">
      <c r="A4036">
        <v>2667</v>
      </c>
      <c r="B4036" s="1">
        <v>45682</v>
      </c>
      <c r="C4036">
        <v>29</v>
      </c>
      <c r="D4036" t="s">
        <v>14</v>
      </c>
      <c r="E4036" t="s">
        <v>15</v>
      </c>
      <c r="F4036" t="s">
        <v>16</v>
      </c>
      <c r="H4036">
        <v>141</v>
      </c>
      <c r="I4036" s="13">
        <v>1</v>
      </c>
      <c r="J4036">
        <v>0</v>
      </c>
      <c r="K4036">
        <v>0</v>
      </c>
      <c r="L4036">
        <v>0</v>
      </c>
      <c r="M4036">
        <v>0</v>
      </c>
      <c r="O4036">
        <f t="shared" si="63"/>
        <v>1</v>
      </c>
    </row>
    <row r="4037" spans="1:15">
      <c r="A4037">
        <v>4464</v>
      </c>
      <c r="B4037" s="1">
        <v>45682</v>
      </c>
      <c r="C4037">
        <v>26</v>
      </c>
      <c r="D4037" t="s">
        <v>14</v>
      </c>
      <c r="E4037" t="s">
        <v>20</v>
      </c>
      <c r="F4037" t="s">
        <v>23</v>
      </c>
      <c r="H4037">
        <v>135.6</v>
      </c>
      <c r="I4037" s="13">
        <v>9</v>
      </c>
      <c r="J4037">
        <v>0</v>
      </c>
      <c r="K4037">
        <v>0</v>
      </c>
      <c r="L4037">
        <v>0</v>
      </c>
      <c r="M4037">
        <v>0</v>
      </c>
      <c r="O4037">
        <f t="shared" si="63"/>
        <v>1</v>
      </c>
    </row>
    <row r="4038" spans="1:15">
      <c r="A4038">
        <v>3013</v>
      </c>
      <c r="B4038" s="1">
        <v>45713</v>
      </c>
      <c r="C4038">
        <v>27</v>
      </c>
      <c r="D4038" t="s">
        <v>14</v>
      </c>
      <c r="E4038" t="s">
        <v>22</v>
      </c>
      <c r="F4038" t="s">
        <v>18</v>
      </c>
      <c r="G4038" t="s">
        <v>29</v>
      </c>
      <c r="H4038">
        <v>253.8</v>
      </c>
      <c r="I4038" s="13">
        <v>4</v>
      </c>
      <c r="J4038">
        <v>1</v>
      </c>
      <c r="K4038">
        <v>105</v>
      </c>
      <c r="L4038">
        <v>1</v>
      </c>
      <c r="M4038">
        <v>6</v>
      </c>
      <c r="N4038">
        <v>4</v>
      </c>
      <c r="O4038">
        <f t="shared" si="63"/>
        <v>2</v>
      </c>
    </row>
    <row r="4039" spans="1:15">
      <c r="A4039">
        <v>1263</v>
      </c>
      <c r="B4039" s="1">
        <v>45713</v>
      </c>
      <c r="C4039">
        <v>37</v>
      </c>
      <c r="D4039" t="s">
        <v>14</v>
      </c>
      <c r="E4039" t="s">
        <v>15</v>
      </c>
      <c r="F4039" t="s">
        <v>18</v>
      </c>
      <c r="G4039" t="s">
        <v>19</v>
      </c>
      <c r="H4039">
        <v>157</v>
      </c>
      <c r="I4039" s="13">
        <v>2</v>
      </c>
      <c r="J4039">
        <v>1</v>
      </c>
      <c r="K4039">
        <v>49.93</v>
      </c>
      <c r="L4039">
        <v>1</v>
      </c>
      <c r="M4039">
        <v>5</v>
      </c>
      <c r="N4039">
        <v>4</v>
      </c>
      <c r="O4039">
        <f t="shared" si="63"/>
        <v>2</v>
      </c>
    </row>
    <row r="4040" spans="1:15">
      <c r="A4040">
        <v>3183</v>
      </c>
      <c r="B4040" s="1">
        <v>45713</v>
      </c>
      <c r="C4040">
        <v>46</v>
      </c>
      <c r="D4040" t="s">
        <v>14</v>
      </c>
      <c r="E4040" t="s">
        <v>15</v>
      </c>
      <c r="F4040" t="s">
        <v>21</v>
      </c>
      <c r="H4040">
        <v>433.9</v>
      </c>
      <c r="I4040" s="13">
        <v>4</v>
      </c>
      <c r="J4040">
        <v>1</v>
      </c>
      <c r="K4040">
        <v>47.66</v>
      </c>
      <c r="L4040">
        <v>1</v>
      </c>
      <c r="M4040">
        <v>4</v>
      </c>
      <c r="N4040">
        <v>5</v>
      </c>
      <c r="O4040">
        <f t="shared" si="63"/>
        <v>2</v>
      </c>
    </row>
    <row r="4041" spans="1:15">
      <c r="A4041">
        <v>3191</v>
      </c>
      <c r="B4041" s="1">
        <v>45713</v>
      </c>
      <c r="C4041">
        <v>40</v>
      </c>
      <c r="D4041" t="s">
        <v>14</v>
      </c>
      <c r="E4041" t="s">
        <v>24</v>
      </c>
      <c r="F4041" t="s">
        <v>16</v>
      </c>
      <c r="H4041">
        <v>514.4</v>
      </c>
      <c r="I4041" s="13">
        <v>5</v>
      </c>
      <c r="J4041">
        <v>1</v>
      </c>
      <c r="K4041">
        <v>42.65</v>
      </c>
      <c r="L4041">
        <v>6</v>
      </c>
      <c r="M4041">
        <v>1</v>
      </c>
      <c r="N4041">
        <v>4</v>
      </c>
      <c r="O4041">
        <f t="shared" si="63"/>
        <v>2</v>
      </c>
    </row>
    <row r="4042" spans="1:15">
      <c r="A4042">
        <v>4221</v>
      </c>
      <c r="B4042" s="1">
        <v>45713</v>
      </c>
      <c r="C4042">
        <v>58</v>
      </c>
      <c r="D4042" t="s">
        <v>14</v>
      </c>
      <c r="E4042" t="s">
        <v>24</v>
      </c>
      <c r="F4042" t="s">
        <v>18</v>
      </c>
      <c r="G4042" t="s">
        <v>26</v>
      </c>
      <c r="H4042">
        <v>260.2</v>
      </c>
      <c r="I4042" s="13">
        <v>6</v>
      </c>
      <c r="J4042">
        <v>1</v>
      </c>
      <c r="K4042">
        <v>34.29</v>
      </c>
      <c r="L4042">
        <v>2</v>
      </c>
      <c r="M4042">
        <v>12</v>
      </c>
      <c r="N4042">
        <v>4</v>
      </c>
      <c r="O4042">
        <f t="shared" si="63"/>
        <v>2</v>
      </c>
    </row>
    <row r="4043" spans="1:15">
      <c r="A4043">
        <v>4180</v>
      </c>
      <c r="B4043" s="1">
        <v>45713</v>
      </c>
      <c r="C4043">
        <v>38</v>
      </c>
      <c r="D4043" t="s">
        <v>17</v>
      </c>
      <c r="E4043" t="s">
        <v>15</v>
      </c>
      <c r="F4043" t="s">
        <v>16</v>
      </c>
      <c r="H4043">
        <v>1070.5</v>
      </c>
      <c r="I4043" s="13">
        <v>2</v>
      </c>
      <c r="J4043">
        <v>1</v>
      </c>
      <c r="K4043">
        <v>33.770000000000003</v>
      </c>
      <c r="L4043">
        <v>3</v>
      </c>
      <c r="M4043">
        <v>11</v>
      </c>
      <c r="N4043">
        <v>4</v>
      </c>
      <c r="O4043">
        <f t="shared" si="63"/>
        <v>2</v>
      </c>
    </row>
    <row r="4044" spans="1:15">
      <c r="A4044">
        <v>4829</v>
      </c>
      <c r="B4044" s="1">
        <v>45713</v>
      </c>
      <c r="C4044">
        <v>46</v>
      </c>
      <c r="D4044" t="s">
        <v>17</v>
      </c>
      <c r="E4044" t="s">
        <v>22</v>
      </c>
      <c r="F4044" t="s">
        <v>21</v>
      </c>
      <c r="H4044">
        <v>468.3</v>
      </c>
      <c r="I4044" s="13">
        <v>6</v>
      </c>
      <c r="J4044">
        <v>1</v>
      </c>
      <c r="K4044">
        <v>22.53</v>
      </c>
      <c r="L4044">
        <v>6</v>
      </c>
      <c r="M4044">
        <v>10</v>
      </c>
      <c r="N4044">
        <v>4</v>
      </c>
      <c r="O4044">
        <f t="shared" si="63"/>
        <v>2</v>
      </c>
    </row>
    <row r="4045" spans="1:15">
      <c r="A4045">
        <v>1437</v>
      </c>
      <c r="B4045" s="1">
        <v>45713</v>
      </c>
      <c r="C4045">
        <v>28</v>
      </c>
      <c r="D4045" t="s">
        <v>14</v>
      </c>
      <c r="E4045" t="s">
        <v>20</v>
      </c>
      <c r="F4045" t="s">
        <v>16</v>
      </c>
      <c r="H4045">
        <v>372.2</v>
      </c>
      <c r="I4045" s="13">
        <v>3</v>
      </c>
      <c r="J4045">
        <v>1</v>
      </c>
      <c r="K4045">
        <v>7</v>
      </c>
      <c r="L4045">
        <v>3</v>
      </c>
      <c r="M4045">
        <v>7</v>
      </c>
      <c r="N4045">
        <v>4</v>
      </c>
      <c r="O4045">
        <f t="shared" si="63"/>
        <v>2</v>
      </c>
    </row>
    <row r="4046" spans="1:15">
      <c r="A4046">
        <v>2377</v>
      </c>
      <c r="B4046" s="1">
        <v>45713</v>
      </c>
      <c r="C4046">
        <v>43</v>
      </c>
      <c r="D4046" t="s">
        <v>14</v>
      </c>
      <c r="E4046" t="s">
        <v>15</v>
      </c>
      <c r="F4046" t="s">
        <v>23</v>
      </c>
      <c r="H4046">
        <v>937.8</v>
      </c>
      <c r="I4046" s="13">
        <v>2</v>
      </c>
      <c r="J4046">
        <v>0</v>
      </c>
      <c r="K4046">
        <v>0</v>
      </c>
      <c r="L4046">
        <v>0</v>
      </c>
      <c r="M4046">
        <v>0</v>
      </c>
      <c r="O4046">
        <f t="shared" si="63"/>
        <v>2</v>
      </c>
    </row>
    <row r="4047" spans="1:15">
      <c r="A4047">
        <v>3935</v>
      </c>
      <c r="B4047" s="1">
        <v>45713</v>
      </c>
      <c r="C4047">
        <v>44</v>
      </c>
      <c r="D4047" t="s">
        <v>17</v>
      </c>
      <c r="E4047" t="s">
        <v>20</v>
      </c>
      <c r="F4047" t="s">
        <v>18</v>
      </c>
      <c r="G4047" t="s">
        <v>30</v>
      </c>
      <c r="H4047">
        <v>478.1</v>
      </c>
      <c r="I4047" s="13">
        <v>5</v>
      </c>
      <c r="J4047">
        <v>0</v>
      </c>
      <c r="K4047">
        <v>0</v>
      </c>
      <c r="L4047">
        <v>0</v>
      </c>
      <c r="M4047">
        <v>0</v>
      </c>
      <c r="O4047">
        <f t="shared" si="63"/>
        <v>2</v>
      </c>
    </row>
    <row r="4048" spans="1:15">
      <c r="A4048">
        <v>2998</v>
      </c>
      <c r="B4048" s="1">
        <v>45713</v>
      </c>
      <c r="C4048">
        <v>25</v>
      </c>
      <c r="D4048" t="s">
        <v>14</v>
      </c>
      <c r="E4048" t="s">
        <v>24</v>
      </c>
      <c r="F4048" t="s">
        <v>18</v>
      </c>
      <c r="G4048" t="s">
        <v>19</v>
      </c>
      <c r="H4048">
        <v>445.2</v>
      </c>
      <c r="I4048" s="13">
        <v>3</v>
      </c>
      <c r="J4048">
        <v>0</v>
      </c>
      <c r="K4048">
        <v>0</v>
      </c>
      <c r="L4048">
        <v>0</v>
      </c>
      <c r="M4048">
        <v>0</v>
      </c>
      <c r="O4048">
        <f t="shared" si="63"/>
        <v>2</v>
      </c>
    </row>
    <row r="4049" spans="1:15">
      <c r="A4049">
        <v>4904</v>
      </c>
      <c r="B4049" s="1">
        <v>45713</v>
      </c>
      <c r="C4049">
        <v>43</v>
      </c>
      <c r="D4049" t="s">
        <v>17</v>
      </c>
      <c r="E4049" t="s">
        <v>24</v>
      </c>
      <c r="F4049" t="s">
        <v>16</v>
      </c>
      <c r="H4049">
        <v>421.7</v>
      </c>
      <c r="I4049" s="13">
        <v>5</v>
      </c>
      <c r="J4049">
        <v>0</v>
      </c>
      <c r="K4049">
        <v>0</v>
      </c>
      <c r="L4049">
        <v>0</v>
      </c>
      <c r="M4049">
        <v>0</v>
      </c>
      <c r="O4049">
        <f t="shared" si="63"/>
        <v>2</v>
      </c>
    </row>
    <row r="4050" spans="1:15">
      <c r="A4050">
        <v>85</v>
      </c>
      <c r="B4050" s="1">
        <v>45713</v>
      </c>
      <c r="C4050">
        <v>21</v>
      </c>
      <c r="D4050" t="s">
        <v>14</v>
      </c>
      <c r="E4050" t="s">
        <v>20</v>
      </c>
      <c r="F4050" t="s">
        <v>23</v>
      </c>
      <c r="H4050">
        <v>411.4</v>
      </c>
      <c r="I4050" s="13">
        <v>6</v>
      </c>
      <c r="J4050">
        <v>0</v>
      </c>
      <c r="K4050">
        <v>0</v>
      </c>
      <c r="L4050">
        <v>0</v>
      </c>
      <c r="M4050">
        <v>0</v>
      </c>
      <c r="O4050">
        <f t="shared" si="63"/>
        <v>2</v>
      </c>
    </row>
    <row r="4051" spans="1:15">
      <c r="A4051">
        <v>3561</v>
      </c>
      <c r="B4051" s="1">
        <v>45713</v>
      </c>
      <c r="C4051">
        <v>41</v>
      </c>
      <c r="D4051" t="s">
        <v>17</v>
      </c>
      <c r="E4051" t="s">
        <v>22</v>
      </c>
      <c r="F4051" t="s">
        <v>16</v>
      </c>
      <c r="H4051">
        <v>390.4</v>
      </c>
      <c r="I4051" s="13">
        <v>7</v>
      </c>
      <c r="J4051">
        <v>0</v>
      </c>
      <c r="K4051">
        <v>0</v>
      </c>
      <c r="L4051">
        <v>0</v>
      </c>
      <c r="M4051">
        <v>0</v>
      </c>
      <c r="O4051">
        <f t="shared" si="63"/>
        <v>2</v>
      </c>
    </row>
    <row r="4052" spans="1:15">
      <c r="A4052">
        <v>503</v>
      </c>
      <c r="B4052" s="1">
        <v>45713</v>
      </c>
      <c r="C4052">
        <v>18</v>
      </c>
      <c r="D4052" t="s">
        <v>17</v>
      </c>
      <c r="E4052" t="s">
        <v>22</v>
      </c>
      <c r="F4052" t="s">
        <v>16</v>
      </c>
      <c r="H4052">
        <v>253.5</v>
      </c>
      <c r="I4052" s="13">
        <v>5</v>
      </c>
      <c r="J4052">
        <v>0</v>
      </c>
      <c r="K4052">
        <v>0</v>
      </c>
      <c r="L4052">
        <v>0</v>
      </c>
      <c r="M4052">
        <v>0</v>
      </c>
      <c r="O4052">
        <f t="shared" si="63"/>
        <v>2</v>
      </c>
    </row>
    <row r="4053" spans="1:15">
      <c r="A4053">
        <v>4534</v>
      </c>
      <c r="B4053" s="1">
        <v>45713</v>
      </c>
      <c r="C4053">
        <v>44</v>
      </c>
      <c r="D4053" t="s">
        <v>14</v>
      </c>
      <c r="E4053" t="s">
        <v>15</v>
      </c>
      <c r="F4053" t="s">
        <v>16</v>
      </c>
      <c r="H4053">
        <v>246.9</v>
      </c>
      <c r="I4053" s="13">
        <v>8</v>
      </c>
      <c r="J4053">
        <v>0</v>
      </c>
      <c r="K4053">
        <v>0</v>
      </c>
      <c r="L4053">
        <v>0</v>
      </c>
      <c r="M4053">
        <v>0</v>
      </c>
      <c r="O4053">
        <f t="shared" si="63"/>
        <v>2</v>
      </c>
    </row>
    <row r="4054" spans="1:15">
      <c r="A4054">
        <v>1731</v>
      </c>
      <c r="B4054" s="1">
        <v>45713</v>
      </c>
      <c r="C4054">
        <v>22</v>
      </c>
      <c r="D4054" t="s">
        <v>27</v>
      </c>
      <c r="E4054" t="s">
        <v>24</v>
      </c>
      <c r="F4054" t="s">
        <v>18</v>
      </c>
      <c r="G4054" t="s">
        <v>19</v>
      </c>
      <c r="H4054">
        <v>217.1</v>
      </c>
      <c r="I4054" s="13">
        <v>5</v>
      </c>
      <c r="J4054">
        <v>0</v>
      </c>
      <c r="K4054">
        <v>0</v>
      </c>
      <c r="L4054">
        <v>0</v>
      </c>
      <c r="M4054">
        <v>0</v>
      </c>
      <c r="O4054">
        <f t="shared" si="63"/>
        <v>2</v>
      </c>
    </row>
    <row r="4055" spans="1:15">
      <c r="A4055">
        <v>2324</v>
      </c>
      <c r="B4055" s="1">
        <v>45713</v>
      </c>
      <c r="C4055">
        <v>36</v>
      </c>
      <c r="D4055" t="s">
        <v>17</v>
      </c>
      <c r="E4055" t="s">
        <v>15</v>
      </c>
      <c r="F4055" t="s">
        <v>18</v>
      </c>
      <c r="G4055" t="s">
        <v>31</v>
      </c>
      <c r="H4055">
        <v>210.5</v>
      </c>
      <c r="I4055" s="13">
        <v>8</v>
      </c>
      <c r="J4055">
        <v>0</v>
      </c>
      <c r="K4055">
        <v>0</v>
      </c>
      <c r="L4055">
        <v>0</v>
      </c>
      <c r="M4055">
        <v>0</v>
      </c>
      <c r="O4055">
        <f t="shared" si="63"/>
        <v>2</v>
      </c>
    </row>
    <row r="4056" spans="1:15">
      <c r="A4056">
        <v>3967</v>
      </c>
      <c r="B4056" s="1">
        <v>45713</v>
      </c>
      <c r="C4056">
        <v>58</v>
      </c>
      <c r="D4056" t="s">
        <v>17</v>
      </c>
      <c r="E4056" t="s">
        <v>15</v>
      </c>
      <c r="F4056" t="s">
        <v>16</v>
      </c>
      <c r="H4056">
        <v>178.7</v>
      </c>
      <c r="I4056" s="13">
        <v>6</v>
      </c>
      <c r="J4056">
        <v>0</v>
      </c>
      <c r="K4056">
        <v>0</v>
      </c>
      <c r="L4056">
        <v>0</v>
      </c>
      <c r="M4056">
        <v>0</v>
      </c>
      <c r="O4056">
        <f t="shared" si="63"/>
        <v>2</v>
      </c>
    </row>
    <row r="4057" spans="1:15">
      <c r="A4057">
        <v>1911</v>
      </c>
      <c r="B4057" s="1">
        <v>45713</v>
      </c>
      <c r="C4057">
        <v>40</v>
      </c>
      <c r="D4057" t="s">
        <v>17</v>
      </c>
      <c r="E4057" t="s">
        <v>22</v>
      </c>
      <c r="F4057" t="s">
        <v>18</v>
      </c>
      <c r="G4057" t="s">
        <v>30</v>
      </c>
      <c r="H4057">
        <v>165.3</v>
      </c>
      <c r="I4057" s="13">
        <v>5</v>
      </c>
      <c r="J4057">
        <v>0</v>
      </c>
      <c r="K4057">
        <v>0</v>
      </c>
      <c r="L4057">
        <v>0</v>
      </c>
      <c r="M4057">
        <v>0</v>
      </c>
      <c r="O4057">
        <f t="shared" si="63"/>
        <v>2</v>
      </c>
    </row>
    <row r="4058" spans="1:15">
      <c r="A4058">
        <v>3908</v>
      </c>
      <c r="B4058" s="1">
        <v>45713</v>
      </c>
      <c r="C4058">
        <v>47</v>
      </c>
      <c r="D4058" t="s">
        <v>17</v>
      </c>
      <c r="E4058" t="s">
        <v>24</v>
      </c>
      <c r="F4058" t="s">
        <v>18</v>
      </c>
      <c r="G4058" t="s">
        <v>30</v>
      </c>
      <c r="H4058">
        <v>133.30000000000001</v>
      </c>
      <c r="I4058" s="13">
        <v>6</v>
      </c>
      <c r="J4058">
        <v>0</v>
      </c>
      <c r="K4058">
        <v>0</v>
      </c>
      <c r="L4058">
        <v>0</v>
      </c>
      <c r="M4058">
        <v>0</v>
      </c>
      <c r="O4058">
        <f t="shared" si="63"/>
        <v>2</v>
      </c>
    </row>
    <row r="4059" spans="1:15">
      <c r="A4059">
        <v>4778</v>
      </c>
      <c r="B4059" s="1">
        <v>45713</v>
      </c>
      <c r="C4059">
        <v>42</v>
      </c>
      <c r="D4059" t="s">
        <v>17</v>
      </c>
      <c r="E4059" t="s">
        <v>22</v>
      </c>
      <c r="F4059" t="s">
        <v>16</v>
      </c>
      <c r="H4059">
        <v>105.1</v>
      </c>
      <c r="I4059" s="13">
        <v>5</v>
      </c>
      <c r="J4059">
        <v>0</v>
      </c>
      <c r="K4059">
        <v>0</v>
      </c>
      <c r="L4059">
        <v>0</v>
      </c>
      <c r="M4059">
        <v>0</v>
      </c>
      <c r="O4059">
        <f t="shared" si="63"/>
        <v>2</v>
      </c>
    </row>
    <row r="4060" spans="1:15">
      <c r="A4060">
        <v>1528</v>
      </c>
      <c r="B4060" s="1">
        <v>45713</v>
      </c>
      <c r="C4060">
        <v>26</v>
      </c>
      <c r="D4060" t="s">
        <v>17</v>
      </c>
      <c r="E4060" t="s">
        <v>24</v>
      </c>
      <c r="F4060" t="s">
        <v>18</v>
      </c>
      <c r="G4060" t="s">
        <v>19</v>
      </c>
      <c r="H4060">
        <v>81.2</v>
      </c>
      <c r="I4060" s="13">
        <v>4</v>
      </c>
      <c r="J4060">
        <v>0</v>
      </c>
      <c r="K4060">
        <v>0</v>
      </c>
      <c r="L4060">
        <v>0</v>
      </c>
      <c r="M4060">
        <v>0</v>
      </c>
      <c r="O4060">
        <f t="shared" si="63"/>
        <v>2</v>
      </c>
    </row>
    <row r="4061" spans="1:15">
      <c r="A4061">
        <v>2057</v>
      </c>
      <c r="B4061" s="1">
        <v>45741</v>
      </c>
      <c r="C4061">
        <v>39</v>
      </c>
      <c r="D4061" t="s">
        <v>17</v>
      </c>
      <c r="E4061" t="s">
        <v>22</v>
      </c>
      <c r="F4061" t="s">
        <v>18</v>
      </c>
      <c r="G4061" t="s">
        <v>19</v>
      </c>
      <c r="H4061">
        <v>728.1</v>
      </c>
      <c r="I4061" s="13">
        <v>8</v>
      </c>
      <c r="J4061">
        <v>1</v>
      </c>
      <c r="K4061">
        <v>231</v>
      </c>
      <c r="L4061">
        <v>1</v>
      </c>
      <c r="M4061">
        <v>3</v>
      </c>
      <c r="N4061">
        <v>3</v>
      </c>
      <c r="O4061">
        <f t="shared" si="63"/>
        <v>3</v>
      </c>
    </row>
    <row r="4062" spans="1:15">
      <c r="A4062">
        <v>1498</v>
      </c>
      <c r="B4062" s="1">
        <v>45741</v>
      </c>
      <c r="C4062">
        <v>25</v>
      </c>
      <c r="D4062" t="s">
        <v>17</v>
      </c>
      <c r="E4062" t="s">
        <v>20</v>
      </c>
      <c r="F4062" t="s">
        <v>21</v>
      </c>
      <c r="H4062">
        <v>456.9</v>
      </c>
      <c r="I4062" s="13">
        <v>5</v>
      </c>
      <c r="J4062">
        <v>1</v>
      </c>
      <c r="K4062">
        <v>436</v>
      </c>
      <c r="L4062">
        <v>2</v>
      </c>
      <c r="M4062">
        <v>12</v>
      </c>
      <c r="N4062">
        <v>4</v>
      </c>
      <c r="O4062">
        <f t="shared" si="63"/>
        <v>3</v>
      </c>
    </row>
    <row r="4063" spans="1:15">
      <c r="A4063">
        <v>3310</v>
      </c>
      <c r="B4063" s="1">
        <v>45741</v>
      </c>
      <c r="C4063">
        <v>29</v>
      </c>
      <c r="D4063" t="s">
        <v>17</v>
      </c>
      <c r="E4063" t="s">
        <v>20</v>
      </c>
      <c r="F4063" t="s">
        <v>21</v>
      </c>
      <c r="H4063">
        <v>652</v>
      </c>
      <c r="I4063" s="13">
        <v>9</v>
      </c>
      <c r="J4063">
        <v>1</v>
      </c>
      <c r="K4063">
        <v>74.239999999999995</v>
      </c>
      <c r="L4063">
        <v>1</v>
      </c>
      <c r="M4063">
        <v>1</v>
      </c>
      <c r="N4063">
        <v>4</v>
      </c>
      <c r="O4063">
        <f t="shared" si="63"/>
        <v>3</v>
      </c>
    </row>
    <row r="4064" spans="1:15">
      <c r="A4064">
        <v>1886</v>
      </c>
      <c r="B4064" s="1">
        <v>45741</v>
      </c>
      <c r="C4064">
        <v>35</v>
      </c>
      <c r="D4064" t="s">
        <v>17</v>
      </c>
      <c r="E4064" t="s">
        <v>22</v>
      </c>
      <c r="F4064" t="s">
        <v>21</v>
      </c>
      <c r="H4064">
        <v>71.900000000000006</v>
      </c>
      <c r="I4064" s="13">
        <v>9</v>
      </c>
      <c r="J4064">
        <v>1</v>
      </c>
      <c r="K4064">
        <v>69.83</v>
      </c>
      <c r="L4064">
        <v>3</v>
      </c>
      <c r="M4064">
        <v>5</v>
      </c>
      <c r="N4064">
        <v>3</v>
      </c>
      <c r="O4064">
        <f t="shared" si="63"/>
        <v>3</v>
      </c>
    </row>
    <row r="4065" spans="1:15">
      <c r="A4065">
        <v>2083</v>
      </c>
      <c r="B4065" s="1">
        <v>45741</v>
      </c>
      <c r="C4065">
        <v>32</v>
      </c>
      <c r="D4065" t="s">
        <v>14</v>
      </c>
      <c r="E4065" t="s">
        <v>20</v>
      </c>
      <c r="F4065" t="s">
        <v>18</v>
      </c>
      <c r="G4065" t="s">
        <v>30</v>
      </c>
      <c r="H4065">
        <v>330.9</v>
      </c>
      <c r="I4065" s="13">
        <v>5</v>
      </c>
      <c r="J4065">
        <v>1</v>
      </c>
      <c r="K4065">
        <v>27.78</v>
      </c>
      <c r="L4065">
        <v>5</v>
      </c>
      <c r="M4065">
        <v>1</v>
      </c>
      <c r="N4065">
        <v>4</v>
      </c>
      <c r="O4065">
        <f t="shared" si="63"/>
        <v>3</v>
      </c>
    </row>
    <row r="4066" spans="1:15">
      <c r="A4066">
        <v>627</v>
      </c>
      <c r="B4066" s="1">
        <v>45741</v>
      </c>
      <c r="C4066">
        <v>32</v>
      </c>
      <c r="D4066" t="s">
        <v>17</v>
      </c>
      <c r="E4066" t="s">
        <v>20</v>
      </c>
      <c r="F4066" t="s">
        <v>18</v>
      </c>
      <c r="G4066" t="s">
        <v>31</v>
      </c>
      <c r="H4066">
        <v>864.9</v>
      </c>
      <c r="I4066" s="13">
        <v>7</v>
      </c>
      <c r="J4066">
        <v>1</v>
      </c>
      <c r="K4066">
        <v>18.670000000000002</v>
      </c>
      <c r="L4066">
        <v>3</v>
      </c>
      <c r="M4066">
        <v>2</v>
      </c>
      <c r="N4066">
        <v>3</v>
      </c>
      <c r="O4066">
        <f t="shared" si="63"/>
        <v>3</v>
      </c>
    </row>
    <row r="4067" spans="1:15">
      <c r="A4067">
        <v>741</v>
      </c>
      <c r="B4067" s="1">
        <v>45741</v>
      </c>
      <c r="C4067">
        <v>32</v>
      </c>
      <c r="D4067" t="s">
        <v>17</v>
      </c>
      <c r="E4067" t="s">
        <v>24</v>
      </c>
      <c r="F4067" t="s">
        <v>16</v>
      </c>
      <c r="H4067">
        <v>855</v>
      </c>
      <c r="I4067" s="13">
        <v>7</v>
      </c>
      <c r="J4067">
        <v>0</v>
      </c>
      <c r="K4067">
        <v>0</v>
      </c>
      <c r="L4067">
        <v>0</v>
      </c>
      <c r="M4067">
        <v>0</v>
      </c>
      <c r="O4067">
        <f t="shared" si="63"/>
        <v>3</v>
      </c>
    </row>
    <row r="4068" spans="1:15">
      <c r="A4068">
        <v>1342</v>
      </c>
      <c r="B4068" s="1">
        <v>45741</v>
      </c>
      <c r="C4068">
        <v>28</v>
      </c>
      <c r="D4068" t="s">
        <v>17</v>
      </c>
      <c r="E4068" t="s">
        <v>24</v>
      </c>
      <c r="F4068" t="s">
        <v>18</v>
      </c>
      <c r="G4068" t="s">
        <v>25</v>
      </c>
      <c r="H4068">
        <v>758.1</v>
      </c>
      <c r="I4068" s="13">
        <v>3</v>
      </c>
      <c r="J4068">
        <v>0</v>
      </c>
      <c r="K4068">
        <v>0</v>
      </c>
      <c r="L4068">
        <v>0</v>
      </c>
      <c r="M4068">
        <v>0</v>
      </c>
      <c r="O4068">
        <f t="shared" si="63"/>
        <v>3</v>
      </c>
    </row>
    <row r="4069" spans="1:15">
      <c r="A4069">
        <v>4927</v>
      </c>
      <c r="B4069" s="1">
        <v>45741</v>
      </c>
      <c r="C4069">
        <v>50</v>
      </c>
      <c r="D4069" t="s">
        <v>17</v>
      </c>
      <c r="E4069" t="s">
        <v>20</v>
      </c>
      <c r="F4069" t="s">
        <v>16</v>
      </c>
      <c r="H4069">
        <v>679.5</v>
      </c>
      <c r="I4069" s="13">
        <v>8</v>
      </c>
      <c r="J4069">
        <v>0</v>
      </c>
      <c r="K4069">
        <v>0</v>
      </c>
      <c r="L4069">
        <v>0</v>
      </c>
      <c r="M4069">
        <v>0</v>
      </c>
      <c r="O4069">
        <f t="shared" si="63"/>
        <v>3</v>
      </c>
    </row>
    <row r="4070" spans="1:15">
      <c r="A4070">
        <v>1783</v>
      </c>
      <c r="B4070" s="1">
        <v>45741</v>
      </c>
      <c r="C4070">
        <v>31</v>
      </c>
      <c r="D4070" t="s">
        <v>17</v>
      </c>
      <c r="E4070" t="s">
        <v>15</v>
      </c>
      <c r="F4070" t="s">
        <v>16</v>
      </c>
      <c r="H4070">
        <v>441.8</v>
      </c>
      <c r="I4070" s="13">
        <v>4</v>
      </c>
      <c r="J4070">
        <v>0</v>
      </c>
      <c r="K4070">
        <v>0</v>
      </c>
      <c r="L4070">
        <v>0</v>
      </c>
      <c r="M4070">
        <v>0</v>
      </c>
      <c r="O4070">
        <f t="shared" si="63"/>
        <v>3</v>
      </c>
    </row>
    <row r="4071" spans="1:15">
      <c r="A4071">
        <v>2033</v>
      </c>
      <c r="B4071" s="1">
        <v>45741</v>
      </c>
      <c r="C4071">
        <v>39</v>
      </c>
      <c r="D4071" t="s">
        <v>14</v>
      </c>
      <c r="E4071" t="s">
        <v>20</v>
      </c>
      <c r="F4071" t="s">
        <v>16</v>
      </c>
      <c r="H4071">
        <v>339.7</v>
      </c>
      <c r="I4071" s="13">
        <v>7</v>
      </c>
      <c r="J4071">
        <v>0</v>
      </c>
      <c r="K4071">
        <v>0</v>
      </c>
      <c r="L4071">
        <v>0</v>
      </c>
      <c r="M4071">
        <v>0</v>
      </c>
      <c r="O4071">
        <f t="shared" si="63"/>
        <v>3</v>
      </c>
    </row>
    <row r="4072" spans="1:15">
      <c r="A4072">
        <v>287</v>
      </c>
      <c r="B4072" s="1">
        <v>45741</v>
      </c>
      <c r="C4072">
        <v>26</v>
      </c>
      <c r="D4072" t="s">
        <v>14</v>
      </c>
      <c r="E4072" t="s">
        <v>20</v>
      </c>
      <c r="F4072" t="s">
        <v>16</v>
      </c>
      <c r="H4072">
        <v>316.10000000000002</v>
      </c>
      <c r="I4072" s="13">
        <v>6</v>
      </c>
      <c r="J4072">
        <v>0</v>
      </c>
      <c r="K4072">
        <v>0</v>
      </c>
      <c r="L4072">
        <v>0</v>
      </c>
      <c r="M4072">
        <v>0</v>
      </c>
      <c r="O4072">
        <f t="shared" si="63"/>
        <v>3</v>
      </c>
    </row>
    <row r="4073" spans="1:15">
      <c r="A4073">
        <v>4229</v>
      </c>
      <c r="B4073" s="1">
        <v>45741</v>
      </c>
      <c r="C4073">
        <v>45</v>
      </c>
      <c r="D4073" t="s">
        <v>17</v>
      </c>
      <c r="E4073" t="s">
        <v>22</v>
      </c>
      <c r="F4073" t="s">
        <v>16</v>
      </c>
      <c r="H4073">
        <v>293.3</v>
      </c>
      <c r="I4073" s="13">
        <v>7</v>
      </c>
      <c r="J4073">
        <v>0</v>
      </c>
      <c r="K4073">
        <v>0</v>
      </c>
      <c r="L4073">
        <v>0</v>
      </c>
      <c r="M4073">
        <v>0</v>
      </c>
      <c r="O4073">
        <f t="shared" si="63"/>
        <v>3</v>
      </c>
    </row>
    <row r="4074" spans="1:15">
      <c r="A4074">
        <v>2954</v>
      </c>
      <c r="B4074" s="1">
        <v>45741</v>
      </c>
      <c r="C4074">
        <v>31</v>
      </c>
      <c r="D4074" t="s">
        <v>14</v>
      </c>
      <c r="E4074" t="s">
        <v>15</v>
      </c>
      <c r="F4074" t="s">
        <v>18</v>
      </c>
      <c r="G4074" t="s">
        <v>25</v>
      </c>
      <c r="H4074">
        <v>281</v>
      </c>
      <c r="I4074" s="13">
        <v>7</v>
      </c>
      <c r="J4074">
        <v>0</v>
      </c>
      <c r="K4074">
        <v>0</v>
      </c>
      <c r="L4074">
        <v>0</v>
      </c>
      <c r="M4074">
        <v>0</v>
      </c>
      <c r="O4074">
        <f t="shared" si="63"/>
        <v>3</v>
      </c>
    </row>
    <row r="4075" spans="1:15">
      <c r="A4075">
        <v>2694</v>
      </c>
      <c r="B4075" s="1">
        <v>45741</v>
      </c>
      <c r="C4075">
        <v>32</v>
      </c>
      <c r="D4075" t="s">
        <v>14</v>
      </c>
      <c r="E4075" t="s">
        <v>15</v>
      </c>
      <c r="F4075" t="s">
        <v>16</v>
      </c>
      <c r="H4075">
        <v>239.5</v>
      </c>
      <c r="I4075" s="13">
        <v>6</v>
      </c>
      <c r="J4075">
        <v>0</v>
      </c>
      <c r="K4075">
        <v>0</v>
      </c>
      <c r="L4075">
        <v>0</v>
      </c>
      <c r="M4075">
        <v>0</v>
      </c>
      <c r="O4075">
        <f t="shared" si="63"/>
        <v>3</v>
      </c>
    </row>
    <row r="4076" spans="1:15">
      <c r="A4076">
        <v>495</v>
      </c>
      <c r="B4076" s="1">
        <v>45741</v>
      </c>
      <c r="C4076">
        <v>31</v>
      </c>
      <c r="D4076" t="s">
        <v>17</v>
      </c>
      <c r="E4076" t="s">
        <v>15</v>
      </c>
      <c r="F4076" t="s">
        <v>16</v>
      </c>
      <c r="H4076">
        <v>223.6</v>
      </c>
      <c r="I4076" s="13">
        <v>3</v>
      </c>
      <c r="J4076">
        <v>0</v>
      </c>
      <c r="K4076">
        <v>0</v>
      </c>
      <c r="L4076">
        <v>0</v>
      </c>
      <c r="M4076">
        <v>0</v>
      </c>
      <c r="O4076">
        <f t="shared" si="63"/>
        <v>3</v>
      </c>
    </row>
    <row r="4077" spans="1:15">
      <c r="A4077">
        <v>789</v>
      </c>
      <c r="B4077" s="1">
        <v>45741</v>
      </c>
      <c r="C4077">
        <v>19</v>
      </c>
      <c r="D4077" t="s">
        <v>14</v>
      </c>
      <c r="E4077" t="s">
        <v>22</v>
      </c>
      <c r="F4077" t="s">
        <v>16</v>
      </c>
      <c r="H4077">
        <v>220.4</v>
      </c>
      <c r="I4077" s="13">
        <v>9</v>
      </c>
      <c r="J4077">
        <v>0</v>
      </c>
      <c r="K4077">
        <v>0</v>
      </c>
      <c r="L4077">
        <v>0</v>
      </c>
      <c r="M4077">
        <v>0</v>
      </c>
      <c r="O4077">
        <f t="shared" si="63"/>
        <v>3</v>
      </c>
    </row>
    <row r="4078" spans="1:15">
      <c r="A4078">
        <v>2485</v>
      </c>
      <c r="B4078" s="1">
        <v>45741</v>
      </c>
      <c r="C4078">
        <v>28</v>
      </c>
      <c r="D4078" t="s">
        <v>14</v>
      </c>
      <c r="E4078" t="s">
        <v>24</v>
      </c>
      <c r="F4078" t="s">
        <v>18</v>
      </c>
      <c r="G4078" t="s">
        <v>19</v>
      </c>
      <c r="H4078">
        <v>176.6</v>
      </c>
      <c r="I4078" s="13">
        <v>9</v>
      </c>
      <c r="J4078">
        <v>0</v>
      </c>
      <c r="K4078">
        <v>0</v>
      </c>
      <c r="L4078">
        <v>0</v>
      </c>
      <c r="M4078">
        <v>0</v>
      </c>
      <c r="O4078">
        <f t="shared" si="63"/>
        <v>3</v>
      </c>
    </row>
    <row r="4079" spans="1:15">
      <c r="A4079">
        <v>3788</v>
      </c>
      <c r="B4079" s="1">
        <v>45741</v>
      </c>
      <c r="C4079">
        <v>52</v>
      </c>
      <c r="D4079" t="s">
        <v>14</v>
      </c>
      <c r="E4079" t="s">
        <v>15</v>
      </c>
      <c r="F4079" t="s">
        <v>16</v>
      </c>
      <c r="H4079">
        <v>149.9</v>
      </c>
      <c r="I4079" s="13">
        <v>4</v>
      </c>
      <c r="J4079">
        <v>0</v>
      </c>
      <c r="K4079">
        <v>0</v>
      </c>
      <c r="L4079">
        <v>0</v>
      </c>
      <c r="M4079">
        <v>0</v>
      </c>
      <c r="O4079">
        <f t="shared" si="63"/>
        <v>3</v>
      </c>
    </row>
    <row r="4080" spans="1:15">
      <c r="A4080">
        <v>3285</v>
      </c>
      <c r="B4080" s="1">
        <v>45741</v>
      </c>
      <c r="C4080">
        <v>35</v>
      </c>
      <c r="D4080" t="s">
        <v>17</v>
      </c>
      <c r="E4080" t="s">
        <v>24</v>
      </c>
      <c r="F4080" t="s">
        <v>18</v>
      </c>
      <c r="G4080" t="s">
        <v>26</v>
      </c>
      <c r="H4080">
        <v>98.8</v>
      </c>
      <c r="I4080" s="13">
        <v>10</v>
      </c>
      <c r="J4080">
        <v>0</v>
      </c>
      <c r="K4080">
        <v>0</v>
      </c>
      <c r="L4080">
        <v>0</v>
      </c>
      <c r="M4080">
        <v>0</v>
      </c>
      <c r="O4080">
        <f t="shared" si="63"/>
        <v>3</v>
      </c>
    </row>
    <row r="4081" spans="1:15">
      <c r="A4081">
        <v>4096</v>
      </c>
      <c r="B4081" s="1">
        <v>45741</v>
      </c>
      <c r="C4081">
        <v>36</v>
      </c>
      <c r="D4081" t="s">
        <v>14</v>
      </c>
      <c r="E4081" t="s">
        <v>24</v>
      </c>
      <c r="F4081" t="s">
        <v>21</v>
      </c>
      <c r="H4081">
        <v>96.9</v>
      </c>
      <c r="I4081" s="13">
        <v>6</v>
      </c>
      <c r="J4081">
        <v>0</v>
      </c>
      <c r="K4081">
        <v>0</v>
      </c>
      <c r="L4081">
        <v>0</v>
      </c>
      <c r="M4081">
        <v>0</v>
      </c>
      <c r="O4081">
        <f t="shared" si="63"/>
        <v>3</v>
      </c>
    </row>
    <row r="4082" spans="1:15">
      <c r="A4082">
        <v>3508</v>
      </c>
      <c r="B4082" s="1">
        <v>45741</v>
      </c>
      <c r="C4082">
        <v>33</v>
      </c>
      <c r="D4082" t="s">
        <v>17</v>
      </c>
      <c r="E4082" t="s">
        <v>22</v>
      </c>
      <c r="F4082" t="s">
        <v>18</v>
      </c>
      <c r="G4082" t="s">
        <v>31</v>
      </c>
      <c r="H4082">
        <v>76.3</v>
      </c>
      <c r="I4082" s="13">
        <v>6</v>
      </c>
      <c r="J4082">
        <v>0</v>
      </c>
      <c r="K4082">
        <v>0</v>
      </c>
      <c r="L4082">
        <v>0</v>
      </c>
      <c r="M4082">
        <v>0</v>
      </c>
      <c r="O4082">
        <f t="shared" si="63"/>
        <v>3</v>
      </c>
    </row>
    <row r="4083" spans="1:15">
      <c r="A4083">
        <v>1621</v>
      </c>
      <c r="B4083" s="1">
        <v>45741</v>
      </c>
      <c r="C4083">
        <v>22</v>
      </c>
      <c r="D4083" t="s">
        <v>14</v>
      </c>
      <c r="E4083" t="s">
        <v>22</v>
      </c>
      <c r="F4083" t="s">
        <v>16</v>
      </c>
      <c r="H4083">
        <v>75.8</v>
      </c>
      <c r="I4083" s="13">
        <v>3</v>
      </c>
      <c r="J4083">
        <v>0</v>
      </c>
      <c r="K4083">
        <v>0</v>
      </c>
      <c r="L4083">
        <v>0</v>
      </c>
      <c r="M4083">
        <v>0</v>
      </c>
      <c r="O4083">
        <f t="shared" si="63"/>
        <v>3</v>
      </c>
    </row>
    <row r="4084" spans="1:15">
      <c r="A4084">
        <v>3644</v>
      </c>
      <c r="B4084" s="1">
        <v>45741</v>
      </c>
      <c r="C4084">
        <v>28</v>
      </c>
      <c r="D4084" t="s">
        <v>17</v>
      </c>
      <c r="E4084" t="s">
        <v>20</v>
      </c>
      <c r="F4084" t="s">
        <v>18</v>
      </c>
      <c r="G4084" t="s">
        <v>28</v>
      </c>
      <c r="H4084">
        <v>36.1</v>
      </c>
      <c r="I4084" s="13">
        <v>4</v>
      </c>
      <c r="J4084">
        <v>0</v>
      </c>
      <c r="K4084">
        <v>0</v>
      </c>
      <c r="L4084">
        <v>0</v>
      </c>
      <c r="M4084">
        <v>0</v>
      </c>
      <c r="O4084">
        <f t="shared" si="63"/>
        <v>3</v>
      </c>
    </row>
    <row r="4085" spans="1:15">
      <c r="A4085">
        <v>163</v>
      </c>
      <c r="B4085" s="1">
        <v>45772</v>
      </c>
      <c r="C4085">
        <v>25</v>
      </c>
      <c r="D4085" t="s">
        <v>14</v>
      </c>
      <c r="E4085" t="s">
        <v>15</v>
      </c>
      <c r="F4085" t="s">
        <v>23</v>
      </c>
      <c r="H4085">
        <v>339.4</v>
      </c>
      <c r="I4085" s="13">
        <v>8</v>
      </c>
      <c r="J4085">
        <v>1</v>
      </c>
      <c r="K4085">
        <v>451</v>
      </c>
      <c r="L4085">
        <v>4</v>
      </c>
      <c r="M4085">
        <v>11</v>
      </c>
      <c r="N4085">
        <v>4</v>
      </c>
      <c r="O4085">
        <f t="shared" si="63"/>
        <v>4</v>
      </c>
    </row>
    <row r="4086" spans="1:15">
      <c r="A4086">
        <v>4134</v>
      </c>
      <c r="B4086" s="1">
        <v>45772</v>
      </c>
      <c r="C4086">
        <v>52</v>
      </c>
      <c r="D4086" t="s">
        <v>14</v>
      </c>
      <c r="E4086" t="s">
        <v>22</v>
      </c>
      <c r="F4086" t="s">
        <v>16</v>
      </c>
      <c r="H4086">
        <v>448.2</v>
      </c>
      <c r="I4086" s="13">
        <v>7</v>
      </c>
      <c r="J4086">
        <v>1</v>
      </c>
      <c r="K4086">
        <v>493.9</v>
      </c>
      <c r="L4086">
        <v>1</v>
      </c>
      <c r="M4086">
        <v>7</v>
      </c>
      <c r="N4086">
        <v>4</v>
      </c>
      <c r="O4086">
        <f t="shared" si="63"/>
        <v>4</v>
      </c>
    </row>
    <row r="4087" spans="1:15">
      <c r="A4087">
        <v>1959</v>
      </c>
      <c r="B4087" s="1">
        <v>45772</v>
      </c>
      <c r="C4087">
        <v>34</v>
      </c>
      <c r="D4087" t="s">
        <v>17</v>
      </c>
      <c r="E4087" t="s">
        <v>24</v>
      </c>
      <c r="F4087" t="s">
        <v>16</v>
      </c>
      <c r="H4087">
        <v>207.8</v>
      </c>
      <c r="I4087" s="13">
        <v>6</v>
      </c>
      <c r="J4087">
        <v>1</v>
      </c>
      <c r="K4087">
        <v>86.43</v>
      </c>
      <c r="L4087">
        <v>1</v>
      </c>
      <c r="M4087">
        <v>15</v>
      </c>
      <c r="N4087">
        <v>3</v>
      </c>
      <c r="O4087">
        <f t="shared" si="63"/>
        <v>4</v>
      </c>
    </row>
    <row r="4088" spans="1:15">
      <c r="A4088">
        <v>115</v>
      </c>
      <c r="B4088" s="1">
        <v>45772</v>
      </c>
      <c r="C4088">
        <v>32</v>
      </c>
      <c r="D4088" t="s">
        <v>17</v>
      </c>
      <c r="E4088" t="s">
        <v>22</v>
      </c>
      <c r="F4088" t="s">
        <v>18</v>
      </c>
      <c r="G4088" t="s">
        <v>19</v>
      </c>
      <c r="H4088">
        <v>426.1</v>
      </c>
      <c r="I4088" s="13">
        <v>4</v>
      </c>
      <c r="J4088">
        <v>1</v>
      </c>
      <c r="K4088">
        <v>64.09</v>
      </c>
      <c r="L4088">
        <v>2</v>
      </c>
      <c r="M4088">
        <v>1</v>
      </c>
      <c r="N4088">
        <v>5</v>
      </c>
      <c r="O4088">
        <f t="shared" si="63"/>
        <v>4</v>
      </c>
    </row>
    <row r="4089" spans="1:15">
      <c r="A4089">
        <v>304</v>
      </c>
      <c r="B4089" s="1">
        <v>45772</v>
      </c>
      <c r="C4089">
        <v>18</v>
      </c>
      <c r="D4089" t="s">
        <v>14</v>
      </c>
      <c r="E4089" t="s">
        <v>22</v>
      </c>
      <c r="F4089" t="s">
        <v>16</v>
      </c>
      <c r="H4089">
        <v>843.4</v>
      </c>
      <c r="I4089" s="13">
        <v>10</v>
      </c>
      <c r="J4089">
        <v>1</v>
      </c>
      <c r="K4089">
        <v>38.03</v>
      </c>
      <c r="L4089">
        <v>5</v>
      </c>
      <c r="M4089">
        <v>5</v>
      </c>
      <c r="N4089">
        <v>4</v>
      </c>
      <c r="O4089">
        <f t="shared" si="63"/>
        <v>4</v>
      </c>
    </row>
    <row r="4090" spans="1:15">
      <c r="A4090">
        <v>2823</v>
      </c>
      <c r="B4090" s="1">
        <v>45772</v>
      </c>
      <c r="C4090">
        <v>18</v>
      </c>
      <c r="D4090" t="s">
        <v>17</v>
      </c>
      <c r="E4090" t="s">
        <v>20</v>
      </c>
      <c r="F4090" t="s">
        <v>16</v>
      </c>
      <c r="H4090">
        <v>412.6</v>
      </c>
      <c r="I4090" s="13">
        <v>4</v>
      </c>
      <c r="J4090">
        <v>1</v>
      </c>
      <c r="K4090">
        <v>36.729999999999997</v>
      </c>
      <c r="L4090">
        <v>2</v>
      </c>
      <c r="M4090">
        <v>14</v>
      </c>
      <c r="N4090">
        <v>5</v>
      </c>
      <c r="O4090">
        <f t="shared" si="63"/>
        <v>4</v>
      </c>
    </row>
    <row r="4091" spans="1:15">
      <c r="A4091">
        <v>4800</v>
      </c>
      <c r="B4091" s="1">
        <v>45772</v>
      </c>
      <c r="C4091">
        <v>65</v>
      </c>
      <c r="D4091" t="s">
        <v>17</v>
      </c>
      <c r="E4091" t="s">
        <v>20</v>
      </c>
      <c r="F4091" t="s">
        <v>16</v>
      </c>
      <c r="H4091">
        <v>389.3</v>
      </c>
      <c r="I4091" s="13">
        <v>9</v>
      </c>
      <c r="J4091">
        <v>1</v>
      </c>
      <c r="K4091">
        <v>27.78</v>
      </c>
      <c r="L4091">
        <v>3</v>
      </c>
      <c r="M4091">
        <v>11</v>
      </c>
      <c r="N4091">
        <v>4</v>
      </c>
      <c r="O4091">
        <f t="shared" si="63"/>
        <v>4</v>
      </c>
    </row>
    <row r="4092" spans="1:15">
      <c r="A4092">
        <v>88</v>
      </c>
      <c r="B4092" s="1">
        <v>45772</v>
      </c>
      <c r="C4092">
        <v>29</v>
      </c>
      <c r="D4092" t="s">
        <v>14</v>
      </c>
      <c r="E4092" t="s">
        <v>24</v>
      </c>
      <c r="F4092" t="s">
        <v>16</v>
      </c>
      <c r="H4092">
        <v>425.3</v>
      </c>
      <c r="I4092" s="13">
        <v>4</v>
      </c>
      <c r="J4092">
        <v>1</v>
      </c>
      <c r="K4092">
        <v>25.55</v>
      </c>
      <c r="L4092">
        <v>4</v>
      </c>
      <c r="M4092">
        <v>14</v>
      </c>
      <c r="N4092">
        <v>5</v>
      </c>
      <c r="O4092">
        <f t="shared" si="63"/>
        <v>4</v>
      </c>
    </row>
    <row r="4093" spans="1:15">
      <c r="A4093">
        <v>2351</v>
      </c>
      <c r="B4093" s="1">
        <v>45772</v>
      </c>
      <c r="C4093">
        <v>39</v>
      </c>
      <c r="D4093" t="s">
        <v>14</v>
      </c>
      <c r="E4093" t="s">
        <v>15</v>
      </c>
      <c r="F4093" t="s">
        <v>18</v>
      </c>
      <c r="G4093" t="s">
        <v>26</v>
      </c>
      <c r="H4093">
        <v>379.8</v>
      </c>
      <c r="I4093" s="13">
        <v>9</v>
      </c>
      <c r="J4093">
        <v>1</v>
      </c>
      <c r="K4093">
        <v>23.77</v>
      </c>
      <c r="L4093">
        <v>1</v>
      </c>
      <c r="M4093">
        <v>14</v>
      </c>
      <c r="N4093">
        <v>4</v>
      </c>
      <c r="O4093">
        <f t="shared" si="63"/>
        <v>4</v>
      </c>
    </row>
    <row r="4094" spans="1:15">
      <c r="A4094">
        <v>4215</v>
      </c>
      <c r="B4094" s="1">
        <v>45772</v>
      </c>
      <c r="C4094">
        <v>52</v>
      </c>
      <c r="D4094" t="s">
        <v>14</v>
      </c>
      <c r="E4094" t="s">
        <v>20</v>
      </c>
      <c r="F4094" t="s">
        <v>18</v>
      </c>
      <c r="G4094" t="s">
        <v>28</v>
      </c>
      <c r="H4094">
        <v>611.4</v>
      </c>
      <c r="I4094" s="13">
        <v>5</v>
      </c>
      <c r="J4094">
        <v>1</v>
      </c>
      <c r="K4094">
        <v>15.55</v>
      </c>
      <c r="L4094">
        <v>3</v>
      </c>
      <c r="M4094">
        <v>5</v>
      </c>
      <c r="N4094">
        <v>3</v>
      </c>
      <c r="O4094">
        <f t="shared" si="63"/>
        <v>4</v>
      </c>
    </row>
    <row r="4095" spans="1:15">
      <c r="A4095">
        <v>3366</v>
      </c>
      <c r="B4095" s="1">
        <v>45772</v>
      </c>
      <c r="C4095">
        <v>46</v>
      </c>
      <c r="D4095" t="s">
        <v>17</v>
      </c>
      <c r="E4095" t="s">
        <v>15</v>
      </c>
      <c r="F4095" t="s">
        <v>23</v>
      </c>
      <c r="H4095">
        <v>981.8</v>
      </c>
      <c r="I4095" s="13">
        <v>6</v>
      </c>
      <c r="J4095">
        <v>1</v>
      </c>
      <c r="K4095">
        <v>14.57</v>
      </c>
      <c r="L4095">
        <v>6</v>
      </c>
      <c r="M4095">
        <v>9</v>
      </c>
      <c r="N4095">
        <v>4</v>
      </c>
      <c r="O4095">
        <f t="shared" si="63"/>
        <v>4</v>
      </c>
    </row>
    <row r="4096" spans="1:15">
      <c r="A4096">
        <v>1787</v>
      </c>
      <c r="B4096" s="1">
        <v>45772</v>
      </c>
      <c r="C4096">
        <v>36</v>
      </c>
      <c r="D4096" t="s">
        <v>17</v>
      </c>
      <c r="E4096" t="s">
        <v>15</v>
      </c>
      <c r="F4096" t="s">
        <v>18</v>
      </c>
      <c r="G4096" t="s">
        <v>30</v>
      </c>
      <c r="H4096">
        <v>689.3</v>
      </c>
      <c r="I4096" s="13">
        <v>7</v>
      </c>
      <c r="J4096">
        <v>0</v>
      </c>
      <c r="K4096">
        <v>0</v>
      </c>
      <c r="L4096">
        <v>0</v>
      </c>
      <c r="M4096">
        <v>0</v>
      </c>
      <c r="O4096">
        <f t="shared" si="63"/>
        <v>4</v>
      </c>
    </row>
    <row r="4097" spans="1:15">
      <c r="A4097">
        <v>4958</v>
      </c>
      <c r="B4097" s="1">
        <v>45772</v>
      </c>
      <c r="C4097">
        <v>56</v>
      </c>
      <c r="D4097" t="s">
        <v>17</v>
      </c>
      <c r="E4097" t="s">
        <v>20</v>
      </c>
      <c r="F4097" t="s">
        <v>16</v>
      </c>
      <c r="H4097">
        <v>602.4</v>
      </c>
      <c r="I4097" s="13">
        <v>8</v>
      </c>
      <c r="J4097">
        <v>0</v>
      </c>
      <c r="K4097">
        <v>0</v>
      </c>
      <c r="L4097">
        <v>0</v>
      </c>
      <c r="M4097">
        <v>0</v>
      </c>
      <c r="O4097">
        <f t="shared" si="63"/>
        <v>4</v>
      </c>
    </row>
    <row r="4098" spans="1:15">
      <c r="A4098">
        <v>1883</v>
      </c>
      <c r="B4098" s="1">
        <v>45772</v>
      </c>
      <c r="C4098">
        <v>30</v>
      </c>
      <c r="D4098" t="s">
        <v>17</v>
      </c>
      <c r="E4098" t="s">
        <v>20</v>
      </c>
      <c r="F4098" t="s">
        <v>18</v>
      </c>
      <c r="G4098" t="s">
        <v>31</v>
      </c>
      <c r="H4098">
        <v>599.9</v>
      </c>
      <c r="I4098" s="13">
        <v>8</v>
      </c>
      <c r="J4098">
        <v>0</v>
      </c>
      <c r="K4098">
        <v>0</v>
      </c>
      <c r="L4098">
        <v>0</v>
      </c>
      <c r="M4098">
        <v>0</v>
      </c>
      <c r="O4098">
        <f t="shared" si="63"/>
        <v>4</v>
      </c>
    </row>
    <row r="4099" spans="1:15">
      <c r="A4099">
        <v>1175</v>
      </c>
      <c r="B4099" s="1">
        <v>45772</v>
      </c>
      <c r="C4099">
        <v>33</v>
      </c>
      <c r="D4099" t="s">
        <v>17</v>
      </c>
      <c r="E4099" t="s">
        <v>15</v>
      </c>
      <c r="F4099" t="s">
        <v>23</v>
      </c>
      <c r="H4099">
        <v>580.20000000000005</v>
      </c>
      <c r="I4099" s="13">
        <v>9</v>
      </c>
      <c r="J4099">
        <v>0</v>
      </c>
      <c r="K4099">
        <v>0</v>
      </c>
      <c r="L4099">
        <v>0</v>
      </c>
      <c r="M4099">
        <v>0</v>
      </c>
      <c r="O4099">
        <f t="shared" ref="O4099:O4162" si="64">MONTH(B4099)</f>
        <v>4</v>
      </c>
    </row>
    <row r="4100" spans="1:15">
      <c r="A4100">
        <v>2167</v>
      </c>
      <c r="B4100" s="1">
        <v>45772</v>
      </c>
      <c r="C4100">
        <v>39</v>
      </c>
      <c r="D4100" t="s">
        <v>14</v>
      </c>
      <c r="E4100" t="s">
        <v>22</v>
      </c>
      <c r="F4100" t="s">
        <v>18</v>
      </c>
      <c r="G4100" t="s">
        <v>30</v>
      </c>
      <c r="H4100">
        <v>428.3</v>
      </c>
      <c r="I4100" s="13">
        <v>7</v>
      </c>
      <c r="J4100">
        <v>0</v>
      </c>
      <c r="K4100">
        <v>0</v>
      </c>
      <c r="L4100">
        <v>0</v>
      </c>
      <c r="M4100">
        <v>0</v>
      </c>
      <c r="O4100">
        <f t="shared" si="64"/>
        <v>4</v>
      </c>
    </row>
    <row r="4101" spans="1:15">
      <c r="A4101">
        <v>3111</v>
      </c>
      <c r="B4101" s="1">
        <v>45772</v>
      </c>
      <c r="C4101">
        <v>43</v>
      </c>
      <c r="D4101" t="s">
        <v>14</v>
      </c>
      <c r="E4101" t="s">
        <v>15</v>
      </c>
      <c r="F4101" t="s">
        <v>16</v>
      </c>
      <c r="H4101">
        <v>342</v>
      </c>
      <c r="I4101" s="13">
        <v>6</v>
      </c>
      <c r="J4101">
        <v>0</v>
      </c>
      <c r="K4101">
        <v>0</v>
      </c>
      <c r="L4101">
        <v>0</v>
      </c>
      <c r="M4101">
        <v>0</v>
      </c>
      <c r="O4101">
        <f t="shared" si="64"/>
        <v>4</v>
      </c>
    </row>
    <row r="4102" spans="1:15">
      <c r="A4102">
        <v>2279</v>
      </c>
      <c r="B4102" s="1">
        <v>45772</v>
      </c>
      <c r="C4102">
        <v>45</v>
      </c>
      <c r="D4102" t="s">
        <v>14</v>
      </c>
      <c r="E4102" t="s">
        <v>15</v>
      </c>
      <c r="F4102" t="s">
        <v>18</v>
      </c>
      <c r="G4102" t="s">
        <v>28</v>
      </c>
      <c r="H4102">
        <v>337.1</v>
      </c>
      <c r="I4102" s="13">
        <v>6</v>
      </c>
      <c r="J4102">
        <v>0</v>
      </c>
      <c r="K4102">
        <v>0</v>
      </c>
      <c r="L4102">
        <v>0</v>
      </c>
      <c r="M4102">
        <v>0</v>
      </c>
      <c r="O4102">
        <f t="shared" si="64"/>
        <v>4</v>
      </c>
    </row>
    <row r="4103" spans="1:15">
      <c r="A4103">
        <v>3463</v>
      </c>
      <c r="B4103" s="1">
        <v>45772</v>
      </c>
      <c r="C4103">
        <v>29</v>
      </c>
      <c r="D4103" t="s">
        <v>14</v>
      </c>
      <c r="E4103" t="s">
        <v>22</v>
      </c>
      <c r="F4103" t="s">
        <v>16</v>
      </c>
      <c r="H4103">
        <v>314</v>
      </c>
      <c r="I4103" s="13">
        <v>8</v>
      </c>
      <c r="J4103">
        <v>0</v>
      </c>
      <c r="K4103">
        <v>0</v>
      </c>
      <c r="L4103">
        <v>0</v>
      </c>
      <c r="M4103">
        <v>0</v>
      </c>
      <c r="O4103">
        <f t="shared" si="64"/>
        <v>4</v>
      </c>
    </row>
    <row r="4104" spans="1:15">
      <c r="A4104">
        <v>2400</v>
      </c>
      <c r="B4104" s="1">
        <v>45772</v>
      </c>
      <c r="C4104">
        <v>34</v>
      </c>
      <c r="D4104" t="s">
        <v>17</v>
      </c>
      <c r="E4104" t="s">
        <v>22</v>
      </c>
      <c r="F4104" t="s">
        <v>16</v>
      </c>
      <c r="H4104">
        <v>309.39999999999998</v>
      </c>
      <c r="I4104" s="13">
        <v>7</v>
      </c>
      <c r="J4104">
        <v>0</v>
      </c>
      <c r="K4104">
        <v>0</v>
      </c>
      <c r="L4104">
        <v>0</v>
      </c>
      <c r="M4104">
        <v>0</v>
      </c>
      <c r="O4104">
        <f t="shared" si="64"/>
        <v>4</v>
      </c>
    </row>
    <row r="4105" spans="1:15">
      <c r="A4105">
        <v>1226</v>
      </c>
      <c r="B4105" s="1">
        <v>45772</v>
      </c>
      <c r="C4105">
        <v>24</v>
      </c>
      <c r="D4105" t="s">
        <v>17</v>
      </c>
      <c r="E4105" t="s">
        <v>15</v>
      </c>
      <c r="F4105" t="s">
        <v>16</v>
      </c>
      <c r="H4105">
        <v>278.39999999999998</v>
      </c>
      <c r="I4105" s="13">
        <v>9</v>
      </c>
      <c r="J4105">
        <v>0</v>
      </c>
      <c r="K4105">
        <v>0</v>
      </c>
      <c r="L4105">
        <v>0</v>
      </c>
      <c r="M4105">
        <v>0</v>
      </c>
      <c r="O4105">
        <f t="shared" si="64"/>
        <v>4</v>
      </c>
    </row>
    <row r="4106" spans="1:15">
      <c r="A4106">
        <v>2098</v>
      </c>
      <c r="B4106" s="1">
        <v>45772</v>
      </c>
      <c r="C4106">
        <v>42</v>
      </c>
      <c r="D4106" t="s">
        <v>17</v>
      </c>
      <c r="E4106" t="s">
        <v>24</v>
      </c>
      <c r="F4106" t="s">
        <v>18</v>
      </c>
      <c r="G4106" t="s">
        <v>31</v>
      </c>
      <c r="H4106">
        <v>278</v>
      </c>
      <c r="I4106" s="13">
        <v>8</v>
      </c>
      <c r="J4106">
        <v>0</v>
      </c>
      <c r="K4106">
        <v>0</v>
      </c>
      <c r="L4106">
        <v>0</v>
      </c>
      <c r="M4106">
        <v>0</v>
      </c>
      <c r="O4106">
        <f t="shared" si="64"/>
        <v>4</v>
      </c>
    </row>
    <row r="4107" spans="1:15">
      <c r="A4107">
        <v>585</v>
      </c>
      <c r="B4107" s="1">
        <v>45772</v>
      </c>
      <c r="C4107">
        <v>18</v>
      </c>
      <c r="D4107" t="s">
        <v>17</v>
      </c>
      <c r="E4107" t="s">
        <v>15</v>
      </c>
      <c r="F4107" t="s">
        <v>16</v>
      </c>
      <c r="H4107">
        <v>273.8</v>
      </c>
      <c r="I4107" s="13">
        <v>8</v>
      </c>
      <c r="J4107">
        <v>0</v>
      </c>
      <c r="K4107">
        <v>0</v>
      </c>
      <c r="L4107">
        <v>0</v>
      </c>
      <c r="M4107">
        <v>0</v>
      </c>
      <c r="O4107">
        <f t="shared" si="64"/>
        <v>4</v>
      </c>
    </row>
    <row r="4108" spans="1:15">
      <c r="A4108">
        <v>4866</v>
      </c>
      <c r="B4108" s="1">
        <v>45772</v>
      </c>
      <c r="C4108">
        <v>50</v>
      </c>
      <c r="D4108" t="s">
        <v>17</v>
      </c>
      <c r="E4108" t="s">
        <v>20</v>
      </c>
      <c r="F4108" t="s">
        <v>16</v>
      </c>
      <c r="H4108">
        <v>267.89999999999998</v>
      </c>
      <c r="I4108" s="13">
        <v>12</v>
      </c>
      <c r="J4108">
        <v>0</v>
      </c>
      <c r="K4108">
        <v>0</v>
      </c>
      <c r="L4108">
        <v>0</v>
      </c>
      <c r="M4108">
        <v>0</v>
      </c>
      <c r="O4108">
        <f t="shared" si="64"/>
        <v>4</v>
      </c>
    </row>
    <row r="4109" spans="1:15">
      <c r="A4109">
        <v>1784</v>
      </c>
      <c r="B4109" s="1">
        <v>45772</v>
      </c>
      <c r="C4109">
        <v>25</v>
      </c>
      <c r="D4109" t="s">
        <v>17</v>
      </c>
      <c r="E4109" t="s">
        <v>22</v>
      </c>
      <c r="F4109" t="s">
        <v>18</v>
      </c>
      <c r="G4109" t="s">
        <v>29</v>
      </c>
      <c r="H4109">
        <v>247.5</v>
      </c>
      <c r="I4109" s="13">
        <v>7</v>
      </c>
      <c r="J4109">
        <v>0</v>
      </c>
      <c r="K4109">
        <v>0</v>
      </c>
      <c r="L4109">
        <v>0</v>
      </c>
      <c r="M4109">
        <v>0</v>
      </c>
      <c r="O4109">
        <f t="shared" si="64"/>
        <v>4</v>
      </c>
    </row>
    <row r="4110" spans="1:15">
      <c r="A4110">
        <v>2750</v>
      </c>
      <c r="B4110" s="1">
        <v>45772</v>
      </c>
      <c r="C4110">
        <v>29</v>
      </c>
      <c r="D4110" t="s">
        <v>14</v>
      </c>
      <c r="E4110" t="s">
        <v>15</v>
      </c>
      <c r="F4110" t="s">
        <v>16</v>
      </c>
      <c r="H4110">
        <v>222.3</v>
      </c>
      <c r="I4110" s="13">
        <v>4</v>
      </c>
      <c r="J4110">
        <v>0</v>
      </c>
      <c r="K4110">
        <v>0</v>
      </c>
      <c r="L4110">
        <v>0</v>
      </c>
      <c r="M4110">
        <v>0</v>
      </c>
      <c r="O4110">
        <f t="shared" si="64"/>
        <v>4</v>
      </c>
    </row>
    <row r="4111" spans="1:15">
      <c r="A4111">
        <v>3888</v>
      </c>
      <c r="B4111" s="1">
        <v>45772</v>
      </c>
      <c r="C4111">
        <v>39</v>
      </c>
      <c r="D4111" t="s">
        <v>14</v>
      </c>
      <c r="E4111" t="s">
        <v>20</v>
      </c>
      <c r="F4111" t="s">
        <v>18</v>
      </c>
      <c r="G4111" t="s">
        <v>29</v>
      </c>
      <c r="H4111">
        <v>172.1</v>
      </c>
      <c r="I4111" s="13">
        <v>4</v>
      </c>
      <c r="J4111">
        <v>0</v>
      </c>
      <c r="K4111">
        <v>0</v>
      </c>
      <c r="L4111">
        <v>0</v>
      </c>
      <c r="M4111">
        <v>0</v>
      </c>
      <c r="O4111">
        <f t="shared" si="64"/>
        <v>4</v>
      </c>
    </row>
    <row r="4112" spans="1:15">
      <c r="A4112">
        <v>2329</v>
      </c>
      <c r="B4112" s="1">
        <v>45772</v>
      </c>
      <c r="C4112">
        <v>32</v>
      </c>
      <c r="D4112" t="s">
        <v>14</v>
      </c>
      <c r="E4112" t="s">
        <v>15</v>
      </c>
      <c r="F4112" t="s">
        <v>23</v>
      </c>
      <c r="H4112">
        <v>159.69999999999999</v>
      </c>
      <c r="I4112" s="13">
        <v>8</v>
      </c>
      <c r="J4112">
        <v>0</v>
      </c>
      <c r="K4112">
        <v>0</v>
      </c>
      <c r="L4112">
        <v>0</v>
      </c>
      <c r="M4112">
        <v>0</v>
      </c>
      <c r="O4112">
        <f t="shared" si="64"/>
        <v>4</v>
      </c>
    </row>
    <row r="4113" spans="1:15">
      <c r="A4113">
        <v>102</v>
      </c>
      <c r="B4113" s="1">
        <v>45772</v>
      </c>
      <c r="C4113">
        <v>26</v>
      </c>
      <c r="D4113" t="s">
        <v>17</v>
      </c>
      <c r="E4113" t="s">
        <v>22</v>
      </c>
      <c r="F4113" t="s">
        <v>18</v>
      </c>
      <c r="G4113" t="s">
        <v>31</v>
      </c>
      <c r="H4113">
        <v>114.9</v>
      </c>
      <c r="I4113" s="13">
        <v>2</v>
      </c>
      <c r="J4113">
        <v>0</v>
      </c>
      <c r="K4113">
        <v>0</v>
      </c>
      <c r="L4113">
        <v>0</v>
      </c>
      <c r="M4113">
        <v>0</v>
      </c>
      <c r="O4113">
        <f t="shared" si="64"/>
        <v>4</v>
      </c>
    </row>
    <row r="4114" spans="1:15">
      <c r="A4114">
        <v>1299</v>
      </c>
      <c r="B4114" s="1">
        <v>45772</v>
      </c>
      <c r="C4114">
        <v>24</v>
      </c>
      <c r="D4114" t="s">
        <v>17</v>
      </c>
      <c r="E4114" t="s">
        <v>20</v>
      </c>
      <c r="F4114" t="s">
        <v>16</v>
      </c>
      <c r="H4114">
        <v>88.7</v>
      </c>
      <c r="I4114" s="13">
        <v>5</v>
      </c>
      <c r="J4114">
        <v>0</v>
      </c>
      <c r="K4114">
        <v>0</v>
      </c>
      <c r="L4114">
        <v>0</v>
      </c>
      <c r="M4114">
        <v>0</v>
      </c>
      <c r="O4114">
        <f t="shared" si="64"/>
        <v>4</v>
      </c>
    </row>
    <row r="4115" spans="1:15">
      <c r="A4115">
        <v>2127</v>
      </c>
      <c r="B4115" s="1">
        <v>45772</v>
      </c>
      <c r="C4115">
        <v>42</v>
      </c>
      <c r="D4115" t="s">
        <v>17</v>
      </c>
      <c r="E4115" t="s">
        <v>20</v>
      </c>
      <c r="F4115" t="s">
        <v>23</v>
      </c>
      <c r="H4115">
        <v>83</v>
      </c>
      <c r="I4115" s="13">
        <v>7</v>
      </c>
      <c r="J4115">
        <v>0</v>
      </c>
      <c r="K4115">
        <v>0</v>
      </c>
      <c r="L4115">
        <v>0</v>
      </c>
      <c r="M4115">
        <v>0</v>
      </c>
      <c r="O4115">
        <f t="shared" si="64"/>
        <v>4</v>
      </c>
    </row>
    <row r="4116" spans="1:15">
      <c r="A4116">
        <v>347</v>
      </c>
      <c r="B4116" s="1">
        <v>45772</v>
      </c>
      <c r="C4116">
        <v>33</v>
      </c>
      <c r="D4116" t="s">
        <v>17</v>
      </c>
      <c r="E4116" t="s">
        <v>22</v>
      </c>
      <c r="F4116" t="s">
        <v>16</v>
      </c>
      <c r="H4116">
        <v>62.7</v>
      </c>
      <c r="I4116" s="13">
        <v>9</v>
      </c>
      <c r="J4116">
        <v>0</v>
      </c>
      <c r="K4116">
        <v>0</v>
      </c>
      <c r="L4116">
        <v>0</v>
      </c>
      <c r="M4116">
        <v>0</v>
      </c>
      <c r="O4116">
        <f t="shared" si="64"/>
        <v>4</v>
      </c>
    </row>
    <row r="4117" spans="1:15">
      <c r="A4117">
        <v>929</v>
      </c>
      <c r="B4117" s="1">
        <v>45772</v>
      </c>
      <c r="C4117">
        <v>40</v>
      </c>
      <c r="D4117" t="s">
        <v>17</v>
      </c>
      <c r="E4117" t="s">
        <v>20</v>
      </c>
      <c r="F4117" t="s">
        <v>21</v>
      </c>
      <c r="H4117">
        <v>59</v>
      </c>
      <c r="I4117" s="13">
        <v>6</v>
      </c>
      <c r="J4117">
        <v>0</v>
      </c>
      <c r="K4117">
        <v>0</v>
      </c>
      <c r="L4117">
        <v>0</v>
      </c>
      <c r="M4117">
        <v>0</v>
      </c>
      <c r="O4117">
        <f t="shared" si="64"/>
        <v>4</v>
      </c>
    </row>
    <row r="4118" spans="1:15">
      <c r="A4118">
        <v>4290</v>
      </c>
      <c r="B4118" s="1">
        <v>45802</v>
      </c>
      <c r="C4118">
        <v>32</v>
      </c>
      <c r="D4118" t="s">
        <v>17</v>
      </c>
      <c r="E4118" t="s">
        <v>22</v>
      </c>
      <c r="F4118" t="s">
        <v>16</v>
      </c>
      <c r="H4118">
        <v>1264</v>
      </c>
      <c r="I4118" s="13">
        <v>9</v>
      </c>
      <c r="J4118">
        <v>1</v>
      </c>
      <c r="K4118">
        <v>496.62</v>
      </c>
      <c r="L4118">
        <v>2</v>
      </c>
      <c r="M4118">
        <v>10</v>
      </c>
      <c r="N4118">
        <v>4</v>
      </c>
      <c r="O4118">
        <f t="shared" si="64"/>
        <v>5</v>
      </c>
    </row>
    <row r="4119" spans="1:15">
      <c r="A4119">
        <v>2569</v>
      </c>
      <c r="B4119" s="1">
        <v>45802</v>
      </c>
      <c r="C4119">
        <v>47</v>
      </c>
      <c r="D4119" t="s">
        <v>17</v>
      </c>
      <c r="E4119" t="s">
        <v>15</v>
      </c>
      <c r="F4119" t="s">
        <v>23</v>
      </c>
      <c r="H4119">
        <v>571.29999999999995</v>
      </c>
      <c r="I4119" s="13">
        <v>9</v>
      </c>
      <c r="J4119">
        <v>1</v>
      </c>
      <c r="K4119">
        <v>130.68</v>
      </c>
      <c r="L4119">
        <v>3</v>
      </c>
      <c r="M4119">
        <v>10</v>
      </c>
      <c r="N4119">
        <v>4</v>
      </c>
      <c r="O4119">
        <f t="shared" si="64"/>
        <v>5</v>
      </c>
    </row>
    <row r="4120" spans="1:15">
      <c r="A4120">
        <v>1756</v>
      </c>
      <c r="B4120" s="1">
        <v>45802</v>
      </c>
      <c r="C4120">
        <v>29</v>
      </c>
      <c r="D4120" t="s">
        <v>17</v>
      </c>
      <c r="E4120" t="s">
        <v>15</v>
      </c>
      <c r="F4120" t="s">
        <v>18</v>
      </c>
      <c r="G4120" t="s">
        <v>31</v>
      </c>
      <c r="H4120">
        <v>490.8</v>
      </c>
      <c r="I4120" s="13">
        <v>7</v>
      </c>
      <c r="J4120">
        <v>1</v>
      </c>
      <c r="K4120">
        <v>76.319999999999993</v>
      </c>
      <c r="L4120">
        <v>3</v>
      </c>
      <c r="M4120">
        <v>1</v>
      </c>
      <c r="N4120">
        <v>4</v>
      </c>
      <c r="O4120">
        <f t="shared" si="64"/>
        <v>5</v>
      </c>
    </row>
    <row r="4121" spans="1:15">
      <c r="A4121">
        <v>3476</v>
      </c>
      <c r="B4121" s="1">
        <v>45802</v>
      </c>
      <c r="C4121">
        <v>28</v>
      </c>
      <c r="D4121" t="s">
        <v>14</v>
      </c>
      <c r="E4121" t="s">
        <v>20</v>
      </c>
      <c r="F4121" t="s">
        <v>21</v>
      </c>
      <c r="H4121">
        <v>1156.2</v>
      </c>
      <c r="I4121" s="13">
        <v>3</v>
      </c>
      <c r="J4121">
        <v>1</v>
      </c>
      <c r="K4121">
        <v>72.61</v>
      </c>
      <c r="L4121">
        <v>1</v>
      </c>
      <c r="M4121">
        <v>11</v>
      </c>
      <c r="N4121">
        <v>4</v>
      </c>
      <c r="O4121">
        <f t="shared" si="64"/>
        <v>5</v>
      </c>
    </row>
    <row r="4122" spans="1:15">
      <c r="A4122">
        <v>1308</v>
      </c>
      <c r="B4122" s="1">
        <v>45802</v>
      </c>
      <c r="C4122">
        <v>27</v>
      </c>
      <c r="D4122" t="s">
        <v>17</v>
      </c>
      <c r="E4122" t="s">
        <v>24</v>
      </c>
      <c r="F4122" t="s">
        <v>16</v>
      </c>
      <c r="H4122">
        <v>313.10000000000002</v>
      </c>
      <c r="I4122" s="13">
        <v>8</v>
      </c>
      <c r="J4122">
        <v>1</v>
      </c>
      <c r="K4122">
        <v>54.29</v>
      </c>
      <c r="L4122">
        <v>1</v>
      </c>
      <c r="M4122">
        <v>9</v>
      </c>
      <c r="N4122">
        <v>4</v>
      </c>
      <c r="O4122">
        <f t="shared" si="64"/>
        <v>5</v>
      </c>
    </row>
    <row r="4123" spans="1:15">
      <c r="A4123">
        <v>3502</v>
      </c>
      <c r="B4123" s="1">
        <v>45802</v>
      </c>
      <c r="C4123">
        <v>41</v>
      </c>
      <c r="D4123" t="s">
        <v>14</v>
      </c>
      <c r="E4123" t="s">
        <v>22</v>
      </c>
      <c r="F4123" t="s">
        <v>16</v>
      </c>
      <c r="H4123">
        <v>776.7</v>
      </c>
      <c r="I4123" s="13">
        <v>8</v>
      </c>
      <c r="J4123">
        <v>1</v>
      </c>
      <c r="K4123">
        <v>40.85</v>
      </c>
      <c r="L4123">
        <v>1</v>
      </c>
      <c r="M4123">
        <v>9</v>
      </c>
      <c r="N4123">
        <v>5</v>
      </c>
      <c r="O4123">
        <f t="shared" si="64"/>
        <v>5</v>
      </c>
    </row>
    <row r="4124" spans="1:15">
      <c r="A4124">
        <v>4454</v>
      </c>
      <c r="B4124" s="1">
        <v>45802</v>
      </c>
      <c r="C4124">
        <v>59</v>
      </c>
      <c r="D4124" t="s">
        <v>17</v>
      </c>
      <c r="E4124" t="s">
        <v>24</v>
      </c>
      <c r="F4124" t="s">
        <v>16</v>
      </c>
      <c r="H4124">
        <v>346.6</v>
      </c>
      <c r="I4124" s="13">
        <v>7</v>
      </c>
      <c r="J4124">
        <v>1</v>
      </c>
      <c r="K4124">
        <v>35.35</v>
      </c>
      <c r="L4124">
        <v>2</v>
      </c>
      <c r="M4124">
        <v>4</v>
      </c>
      <c r="N4124">
        <v>4</v>
      </c>
      <c r="O4124">
        <f t="shared" si="64"/>
        <v>5</v>
      </c>
    </row>
    <row r="4125" spans="1:15">
      <c r="A4125">
        <v>821</v>
      </c>
      <c r="B4125" s="1">
        <v>45802</v>
      </c>
      <c r="C4125">
        <v>28</v>
      </c>
      <c r="D4125" t="s">
        <v>17</v>
      </c>
      <c r="E4125" t="s">
        <v>22</v>
      </c>
      <c r="F4125" t="s">
        <v>16</v>
      </c>
      <c r="H4125">
        <v>188.1</v>
      </c>
      <c r="I4125" s="13">
        <v>6</v>
      </c>
      <c r="J4125">
        <v>1</v>
      </c>
      <c r="K4125">
        <v>23.81</v>
      </c>
      <c r="L4125">
        <v>6</v>
      </c>
      <c r="M4125">
        <v>3</v>
      </c>
      <c r="N4125">
        <v>5</v>
      </c>
      <c r="O4125">
        <f t="shared" si="64"/>
        <v>5</v>
      </c>
    </row>
    <row r="4126" spans="1:15">
      <c r="A4126">
        <v>4002</v>
      </c>
      <c r="B4126" s="1">
        <v>45802</v>
      </c>
      <c r="C4126">
        <v>54</v>
      </c>
      <c r="D4126" t="s">
        <v>17</v>
      </c>
      <c r="E4126" t="s">
        <v>24</v>
      </c>
      <c r="F4126" t="s">
        <v>18</v>
      </c>
      <c r="G4126" t="s">
        <v>29</v>
      </c>
      <c r="H4126">
        <v>734.6</v>
      </c>
      <c r="I4126" s="13">
        <v>2</v>
      </c>
      <c r="J4126">
        <v>1</v>
      </c>
      <c r="K4126">
        <v>22.64</v>
      </c>
      <c r="L4126">
        <v>3</v>
      </c>
      <c r="M4126">
        <v>2</v>
      </c>
      <c r="N4126">
        <v>4</v>
      </c>
      <c r="O4126">
        <f t="shared" si="64"/>
        <v>5</v>
      </c>
    </row>
    <row r="4127" spans="1:15">
      <c r="A4127">
        <v>1295</v>
      </c>
      <c r="B4127" s="1">
        <v>45802</v>
      </c>
      <c r="C4127">
        <v>18</v>
      </c>
      <c r="D4127" t="s">
        <v>14</v>
      </c>
      <c r="E4127" t="s">
        <v>15</v>
      </c>
      <c r="F4127" t="s">
        <v>23</v>
      </c>
      <c r="H4127">
        <v>370.5</v>
      </c>
      <c r="I4127" s="13">
        <v>6</v>
      </c>
      <c r="J4127">
        <v>1</v>
      </c>
      <c r="K4127">
        <v>18.62</v>
      </c>
      <c r="L4127">
        <v>6</v>
      </c>
      <c r="M4127">
        <v>3</v>
      </c>
      <c r="N4127">
        <v>5</v>
      </c>
      <c r="O4127">
        <f t="shared" si="64"/>
        <v>5</v>
      </c>
    </row>
    <row r="4128" spans="1:15">
      <c r="A4128">
        <v>3319</v>
      </c>
      <c r="B4128" s="1">
        <v>45802</v>
      </c>
      <c r="C4128">
        <v>51</v>
      </c>
      <c r="D4128" t="s">
        <v>17</v>
      </c>
      <c r="E4128" t="s">
        <v>20</v>
      </c>
      <c r="F4128" t="s">
        <v>16</v>
      </c>
      <c r="H4128">
        <v>355.5</v>
      </c>
      <c r="I4128" s="13">
        <v>3</v>
      </c>
      <c r="J4128">
        <v>1</v>
      </c>
      <c r="K4128">
        <v>15.45</v>
      </c>
      <c r="L4128">
        <v>3</v>
      </c>
      <c r="M4128">
        <v>15</v>
      </c>
      <c r="N4128">
        <v>4</v>
      </c>
      <c r="O4128">
        <f t="shared" si="64"/>
        <v>5</v>
      </c>
    </row>
    <row r="4129" spans="1:15">
      <c r="A4129">
        <v>3288</v>
      </c>
      <c r="B4129" s="1">
        <v>45802</v>
      </c>
      <c r="C4129">
        <v>40</v>
      </c>
      <c r="D4129" t="s">
        <v>17</v>
      </c>
      <c r="E4129" t="s">
        <v>22</v>
      </c>
      <c r="F4129" t="s">
        <v>21</v>
      </c>
      <c r="H4129">
        <v>1162.9000000000001</v>
      </c>
      <c r="I4129" s="13">
        <v>10</v>
      </c>
      <c r="J4129">
        <v>0</v>
      </c>
      <c r="K4129">
        <v>0</v>
      </c>
      <c r="L4129">
        <v>0</v>
      </c>
      <c r="M4129">
        <v>0</v>
      </c>
      <c r="O4129">
        <f t="shared" si="64"/>
        <v>5</v>
      </c>
    </row>
    <row r="4130" spans="1:15">
      <c r="A4130">
        <v>1608</v>
      </c>
      <c r="B4130" s="1">
        <v>45802</v>
      </c>
      <c r="C4130">
        <v>32</v>
      </c>
      <c r="D4130" t="s">
        <v>17</v>
      </c>
      <c r="E4130" t="s">
        <v>24</v>
      </c>
      <c r="F4130" t="s">
        <v>18</v>
      </c>
      <c r="G4130" t="s">
        <v>26</v>
      </c>
      <c r="H4130">
        <v>650.20000000000005</v>
      </c>
      <c r="I4130" s="13">
        <v>8</v>
      </c>
      <c r="J4130">
        <v>0</v>
      </c>
      <c r="K4130">
        <v>0</v>
      </c>
      <c r="L4130">
        <v>0</v>
      </c>
      <c r="M4130">
        <v>0</v>
      </c>
      <c r="O4130">
        <f t="shared" si="64"/>
        <v>5</v>
      </c>
    </row>
    <row r="4131" spans="1:15">
      <c r="A4131">
        <v>117</v>
      </c>
      <c r="B4131" s="1">
        <v>45802</v>
      </c>
      <c r="C4131">
        <v>30</v>
      </c>
      <c r="D4131" t="s">
        <v>17</v>
      </c>
      <c r="E4131" t="s">
        <v>22</v>
      </c>
      <c r="F4131" t="s">
        <v>16</v>
      </c>
      <c r="H4131">
        <v>506.5</v>
      </c>
      <c r="I4131" s="13">
        <v>7</v>
      </c>
      <c r="J4131">
        <v>0</v>
      </c>
      <c r="K4131">
        <v>0</v>
      </c>
      <c r="L4131">
        <v>0</v>
      </c>
      <c r="M4131">
        <v>0</v>
      </c>
      <c r="O4131">
        <f t="shared" si="64"/>
        <v>5</v>
      </c>
    </row>
    <row r="4132" spans="1:15">
      <c r="A4132">
        <v>1893</v>
      </c>
      <c r="B4132" s="1">
        <v>45802</v>
      </c>
      <c r="C4132">
        <v>36</v>
      </c>
      <c r="D4132" t="s">
        <v>14</v>
      </c>
      <c r="E4132" t="s">
        <v>22</v>
      </c>
      <c r="F4132" t="s">
        <v>18</v>
      </c>
      <c r="G4132" t="s">
        <v>30</v>
      </c>
      <c r="H4132">
        <v>460.1</v>
      </c>
      <c r="I4132" s="13">
        <v>6</v>
      </c>
      <c r="J4132">
        <v>0</v>
      </c>
      <c r="K4132">
        <v>0</v>
      </c>
      <c r="L4132">
        <v>0</v>
      </c>
      <c r="M4132">
        <v>0</v>
      </c>
      <c r="O4132">
        <f t="shared" si="64"/>
        <v>5</v>
      </c>
    </row>
    <row r="4133" spans="1:15">
      <c r="A4133">
        <v>3327</v>
      </c>
      <c r="B4133" s="1">
        <v>45802</v>
      </c>
      <c r="C4133">
        <v>36</v>
      </c>
      <c r="D4133" t="s">
        <v>17</v>
      </c>
      <c r="E4133" t="s">
        <v>22</v>
      </c>
      <c r="F4133" t="s">
        <v>18</v>
      </c>
      <c r="G4133" t="s">
        <v>28</v>
      </c>
      <c r="H4133">
        <v>416.1</v>
      </c>
      <c r="I4133" s="13">
        <v>6</v>
      </c>
      <c r="J4133">
        <v>0</v>
      </c>
      <c r="K4133">
        <v>0</v>
      </c>
      <c r="L4133">
        <v>0</v>
      </c>
      <c r="M4133">
        <v>0</v>
      </c>
      <c r="O4133">
        <f t="shared" si="64"/>
        <v>5</v>
      </c>
    </row>
    <row r="4134" spans="1:15">
      <c r="A4134">
        <v>4883</v>
      </c>
      <c r="B4134" s="1">
        <v>45802</v>
      </c>
      <c r="C4134">
        <v>59</v>
      </c>
      <c r="D4134" t="s">
        <v>27</v>
      </c>
      <c r="E4134" t="s">
        <v>20</v>
      </c>
      <c r="F4134" t="s">
        <v>18</v>
      </c>
      <c r="G4134" t="s">
        <v>26</v>
      </c>
      <c r="H4134">
        <v>413.6</v>
      </c>
      <c r="I4134" s="13">
        <v>5</v>
      </c>
      <c r="J4134">
        <v>0</v>
      </c>
      <c r="K4134">
        <v>0</v>
      </c>
      <c r="L4134">
        <v>0</v>
      </c>
      <c r="M4134">
        <v>0</v>
      </c>
      <c r="O4134">
        <f t="shared" si="64"/>
        <v>5</v>
      </c>
    </row>
    <row r="4135" spans="1:15">
      <c r="A4135">
        <v>2121</v>
      </c>
      <c r="B4135" s="1">
        <v>45802</v>
      </c>
      <c r="C4135">
        <v>32</v>
      </c>
      <c r="D4135" t="s">
        <v>17</v>
      </c>
      <c r="E4135" t="s">
        <v>24</v>
      </c>
      <c r="F4135" t="s">
        <v>21</v>
      </c>
      <c r="H4135">
        <v>411.2</v>
      </c>
      <c r="I4135" s="13">
        <v>7</v>
      </c>
      <c r="J4135">
        <v>0</v>
      </c>
      <c r="K4135">
        <v>0</v>
      </c>
      <c r="L4135">
        <v>0</v>
      </c>
      <c r="M4135">
        <v>0</v>
      </c>
      <c r="O4135">
        <f t="shared" si="64"/>
        <v>5</v>
      </c>
    </row>
    <row r="4136" spans="1:15">
      <c r="A4136">
        <v>2212</v>
      </c>
      <c r="B4136" s="1">
        <v>45802</v>
      </c>
      <c r="C4136">
        <v>28</v>
      </c>
      <c r="D4136" t="s">
        <v>14</v>
      </c>
      <c r="E4136" t="s">
        <v>15</v>
      </c>
      <c r="F4136" t="s">
        <v>21</v>
      </c>
      <c r="H4136">
        <v>343.1</v>
      </c>
      <c r="I4136" s="13">
        <v>8</v>
      </c>
      <c r="J4136">
        <v>0</v>
      </c>
      <c r="K4136">
        <v>0</v>
      </c>
      <c r="L4136">
        <v>0</v>
      </c>
      <c r="M4136">
        <v>0</v>
      </c>
      <c r="O4136">
        <f t="shared" si="64"/>
        <v>5</v>
      </c>
    </row>
    <row r="4137" spans="1:15">
      <c r="A4137">
        <v>1936</v>
      </c>
      <c r="B4137" s="1">
        <v>45802</v>
      </c>
      <c r="C4137">
        <v>38</v>
      </c>
      <c r="D4137" t="s">
        <v>14</v>
      </c>
      <c r="E4137" t="s">
        <v>15</v>
      </c>
      <c r="F4137" t="s">
        <v>16</v>
      </c>
      <c r="H4137">
        <v>303.60000000000002</v>
      </c>
      <c r="I4137" s="13">
        <v>9</v>
      </c>
      <c r="J4137">
        <v>0</v>
      </c>
      <c r="K4137">
        <v>0</v>
      </c>
      <c r="L4137">
        <v>0</v>
      </c>
      <c r="M4137">
        <v>0</v>
      </c>
      <c r="O4137">
        <f t="shared" si="64"/>
        <v>5</v>
      </c>
    </row>
    <row r="4138" spans="1:15">
      <c r="A4138">
        <v>386</v>
      </c>
      <c r="B4138" s="1">
        <v>45802</v>
      </c>
      <c r="C4138">
        <v>30</v>
      </c>
      <c r="D4138" t="s">
        <v>27</v>
      </c>
      <c r="E4138" t="s">
        <v>24</v>
      </c>
      <c r="F4138" t="s">
        <v>16</v>
      </c>
      <c r="H4138">
        <v>299.39999999999998</v>
      </c>
      <c r="I4138" s="13">
        <v>7</v>
      </c>
      <c r="J4138">
        <v>0</v>
      </c>
      <c r="K4138">
        <v>0</v>
      </c>
      <c r="L4138">
        <v>0</v>
      </c>
      <c r="M4138">
        <v>0</v>
      </c>
      <c r="O4138">
        <f t="shared" si="64"/>
        <v>5</v>
      </c>
    </row>
    <row r="4139" spans="1:15">
      <c r="A4139">
        <v>3300</v>
      </c>
      <c r="B4139" s="1">
        <v>45802</v>
      </c>
      <c r="C4139">
        <v>31</v>
      </c>
      <c r="D4139" t="s">
        <v>14</v>
      </c>
      <c r="E4139" t="s">
        <v>22</v>
      </c>
      <c r="F4139" t="s">
        <v>23</v>
      </c>
      <c r="H4139">
        <v>266.89999999999998</v>
      </c>
      <c r="I4139" s="13">
        <v>5</v>
      </c>
      <c r="J4139">
        <v>0</v>
      </c>
      <c r="K4139">
        <v>0</v>
      </c>
      <c r="L4139">
        <v>0</v>
      </c>
      <c r="M4139">
        <v>0</v>
      </c>
      <c r="O4139">
        <f t="shared" si="64"/>
        <v>5</v>
      </c>
    </row>
    <row r="4140" spans="1:15">
      <c r="A4140">
        <v>68</v>
      </c>
      <c r="B4140" s="1">
        <v>45802</v>
      </c>
      <c r="C4140">
        <v>28</v>
      </c>
      <c r="D4140" t="s">
        <v>14</v>
      </c>
      <c r="E4140" t="s">
        <v>20</v>
      </c>
      <c r="F4140" t="s">
        <v>16</v>
      </c>
      <c r="H4140">
        <v>243</v>
      </c>
      <c r="I4140" s="13">
        <v>5</v>
      </c>
      <c r="J4140">
        <v>0</v>
      </c>
      <c r="K4140">
        <v>0</v>
      </c>
      <c r="L4140">
        <v>0</v>
      </c>
      <c r="M4140">
        <v>0</v>
      </c>
      <c r="O4140">
        <f t="shared" si="64"/>
        <v>5</v>
      </c>
    </row>
    <row r="4141" spans="1:15">
      <c r="A4141">
        <v>3131</v>
      </c>
      <c r="B4141" s="1">
        <v>45802</v>
      </c>
      <c r="C4141">
        <v>24</v>
      </c>
      <c r="D4141" t="s">
        <v>14</v>
      </c>
      <c r="E4141" t="s">
        <v>15</v>
      </c>
      <c r="F4141" t="s">
        <v>16</v>
      </c>
      <c r="H4141">
        <v>240.6</v>
      </c>
      <c r="I4141" s="13">
        <v>5</v>
      </c>
      <c r="J4141">
        <v>0</v>
      </c>
      <c r="K4141">
        <v>0</v>
      </c>
      <c r="L4141">
        <v>0</v>
      </c>
      <c r="M4141">
        <v>0</v>
      </c>
      <c r="O4141">
        <f t="shared" si="64"/>
        <v>5</v>
      </c>
    </row>
    <row r="4142" spans="1:15">
      <c r="A4142">
        <v>3679</v>
      </c>
      <c r="B4142" s="1">
        <v>45802</v>
      </c>
      <c r="C4142">
        <v>29</v>
      </c>
      <c r="D4142" t="s">
        <v>17</v>
      </c>
      <c r="E4142" t="s">
        <v>22</v>
      </c>
      <c r="F4142" t="s">
        <v>16</v>
      </c>
      <c r="H4142">
        <v>238.6</v>
      </c>
      <c r="I4142" s="13">
        <v>3</v>
      </c>
      <c r="J4142">
        <v>0</v>
      </c>
      <c r="K4142">
        <v>0</v>
      </c>
      <c r="L4142">
        <v>0</v>
      </c>
      <c r="M4142">
        <v>0</v>
      </c>
      <c r="O4142">
        <f t="shared" si="64"/>
        <v>5</v>
      </c>
    </row>
    <row r="4143" spans="1:15">
      <c r="A4143">
        <v>2592</v>
      </c>
      <c r="B4143" s="1">
        <v>45802</v>
      </c>
      <c r="C4143">
        <v>45</v>
      </c>
      <c r="D4143" t="s">
        <v>17</v>
      </c>
      <c r="E4143" t="s">
        <v>22</v>
      </c>
      <c r="F4143" t="s">
        <v>16</v>
      </c>
      <c r="H4143">
        <v>233.4</v>
      </c>
      <c r="I4143" s="13">
        <v>8</v>
      </c>
      <c r="J4143">
        <v>0</v>
      </c>
      <c r="K4143">
        <v>0</v>
      </c>
      <c r="L4143">
        <v>0</v>
      </c>
      <c r="M4143">
        <v>0</v>
      </c>
      <c r="O4143">
        <f t="shared" si="64"/>
        <v>5</v>
      </c>
    </row>
    <row r="4144" spans="1:15">
      <c r="A4144">
        <v>1529</v>
      </c>
      <c r="B4144" s="1">
        <v>45802</v>
      </c>
      <c r="C4144">
        <v>33</v>
      </c>
      <c r="D4144" t="s">
        <v>14</v>
      </c>
      <c r="E4144" t="s">
        <v>22</v>
      </c>
      <c r="F4144" t="s">
        <v>18</v>
      </c>
      <c r="G4144" t="s">
        <v>30</v>
      </c>
      <c r="H4144">
        <v>177.4</v>
      </c>
      <c r="I4144" s="13">
        <v>5</v>
      </c>
      <c r="J4144">
        <v>0</v>
      </c>
      <c r="K4144">
        <v>0</v>
      </c>
      <c r="L4144">
        <v>0</v>
      </c>
      <c r="M4144">
        <v>0</v>
      </c>
      <c r="O4144">
        <f t="shared" si="64"/>
        <v>5</v>
      </c>
    </row>
    <row r="4145" spans="1:15">
      <c r="A4145">
        <v>4633</v>
      </c>
      <c r="B4145" s="1">
        <v>45802</v>
      </c>
      <c r="C4145">
        <v>49</v>
      </c>
      <c r="D4145" t="s">
        <v>14</v>
      </c>
      <c r="E4145" t="s">
        <v>22</v>
      </c>
      <c r="F4145" t="s">
        <v>16</v>
      </c>
      <c r="H4145">
        <v>170.2</v>
      </c>
      <c r="I4145" s="13">
        <v>5</v>
      </c>
      <c r="J4145">
        <v>0</v>
      </c>
      <c r="K4145">
        <v>0</v>
      </c>
      <c r="L4145">
        <v>0</v>
      </c>
      <c r="M4145">
        <v>0</v>
      </c>
      <c r="O4145">
        <f t="shared" si="64"/>
        <v>5</v>
      </c>
    </row>
    <row r="4146" spans="1:15">
      <c r="A4146">
        <v>3920</v>
      </c>
      <c r="B4146" s="1">
        <v>45802</v>
      </c>
      <c r="C4146">
        <v>51</v>
      </c>
      <c r="D4146" t="s">
        <v>17</v>
      </c>
      <c r="E4146" t="s">
        <v>22</v>
      </c>
      <c r="F4146" t="s">
        <v>21</v>
      </c>
      <c r="H4146">
        <v>165.1</v>
      </c>
      <c r="I4146" s="13">
        <v>6</v>
      </c>
      <c r="J4146">
        <v>0</v>
      </c>
      <c r="K4146">
        <v>0</v>
      </c>
      <c r="L4146">
        <v>0</v>
      </c>
      <c r="M4146">
        <v>0</v>
      </c>
      <c r="O4146">
        <f t="shared" si="64"/>
        <v>5</v>
      </c>
    </row>
    <row r="4147" spans="1:15">
      <c r="A4147">
        <v>2992</v>
      </c>
      <c r="B4147" s="1">
        <v>45802</v>
      </c>
      <c r="C4147">
        <v>35</v>
      </c>
      <c r="D4147" t="s">
        <v>14</v>
      </c>
      <c r="E4147" t="s">
        <v>15</v>
      </c>
      <c r="F4147" t="s">
        <v>16</v>
      </c>
      <c r="H4147">
        <v>152.30000000000001</v>
      </c>
      <c r="I4147" s="13">
        <v>1</v>
      </c>
      <c r="J4147">
        <v>0</v>
      </c>
      <c r="K4147">
        <v>0</v>
      </c>
      <c r="L4147">
        <v>0</v>
      </c>
      <c r="M4147">
        <v>0</v>
      </c>
      <c r="O4147">
        <f t="shared" si="64"/>
        <v>5</v>
      </c>
    </row>
    <row r="4148" spans="1:15">
      <c r="A4148">
        <v>4750</v>
      </c>
      <c r="B4148" s="1">
        <v>45802</v>
      </c>
      <c r="C4148">
        <v>52</v>
      </c>
      <c r="D4148" t="s">
        <v>17</v>
      </c>
      <c r="E4148" t="s">
        <v>15</v>
      </c>
      <c r="F4148" t="s">
        <v>21</v>
      </c>
      <c r="H4148">
        <v>142.30000000000001</v>
      </c>
      <c r="I4148" s="13">
        <v>8</v>
      </c>
      <c r="J4148">
        <v>0</v>
      </c>
      <c r="K4148">
        <v>0</v>
      </c>
      <c r="L4148">
        <v>0</v>
      </c>
      <c r="M4148">
        <v>0</v>
      </c>
      <c r="O4148">
        <f t="shared" si="64"/>
        <v>5</v>
      </c>
    </row>
    <row r="4149" spans="1:15">
      <c r="A4149">
        <v>3785</v>
      </c>
      <c r="B4149" s="1">
        <v>45802</v>
      </c>
      <c r="C4149">
        <v>37</v>
      </c>
      <c r="D4149" t="s">
        <v>14</v>
      </c>
      <c r="E4149" t="s">
        <v>24</v>
      </c>
      <c r="F4149" t="s">
        <v>16</v>
      </c>
      <c r="H4149">
        <v>88.5</v>
      </c>
      <c r="I4149" s="13">
        <v>6</v>
      </c>
      <c r="J4149">
        <v>0</v>
      </c>
      <c r="K4149">
        <v>0</v>
      </c>
      <c r="L4149">
        <v>0</v>
      </c>
      <c r="M4149">
        <v>0</v>
      </c>
      <c r="O4149">
        <f t="shared" si="64"/>
        <v>5</v>
      </c>
    </row>
    <row r="4150" spans="1:15">
      <c r="A4150">
        <v>2301</v>
      </c>
      <c r="B4150" s="1">
        <v>45802</v>
      </c>
      <c r="C4150">
        <v>46</v>
      </c>
      <c r="D4150" t="s">
        <v>17</v>
      </c>
      <c r="E4150" t="s">
        <v>15</v>
      </c>
      <c r="F4150" t="s">
        <v>16</v>
      </c>
      <c r="H4150">
        <v>77.3</v>
      </c>
      <c r="I4150" s="13">
        <v>5</v>
      </c>
      <c r="J4150">
        <v>0</v>
      </c>
      <c r="K4150">
        <v>0</v>
      </c>
      <c r="L4150">
        <v>0</v>
      </c>
      <c r="M4150">
        <v>0</v>
      </c>
      <c r="O4150">
        <f t="shared" si="64"/>
        <v>5</v>
      </c>
    </row>
    <row r="4151" spans="1:15">
      <c r="A4151">
        <v>4949</v>
      </c>
      <c r="B4151" s="1">
        <v>45802</v>
      </c>
      <c r="C4151">
        <v>47</v>
      </c>
      <c r="D4151" t="s">
        <v>14</v>
      </c>
      <c r="E4151" t="s">
        <v>15</v>
      </c>
      <c r="F4151" t="s">
        <v>16</v>
      </c>
      <c r="H4151">
        <v>71.599999999999994</v>
      </c>
      <c r="I4151" s="13">
        <v>8</v>
      </c>
      <c r="J4151">
        <v>0</v>
      </c>
      <c r="K4151">
        <v>0</v>
      </c>
      <c r="L4151">
        <v>0</v>
      </c>
      <c r="M4151">
        <v>0</v>
      </c>
      <c r="O4151">
        <f t="shared" si="64"/>
        <v>5</v>
      </c>
    </row>
    <row r="4152" spans="1:15">
      <c r="A4152">
        <v>3447</v>
      </c>
      <c r="B4152" s="1">
        <v>45802</v>
      </c>
      <c r="C4152">
        <v>39</v>
      </c>
      <c r="D4152" t="s">
        <v>14</v>
      </c>
      <c r="E4152" t="s">
        <v>22</v>
      </c>
      <c r="F4152" t="s">
        <v>16</v>
      </c>
      <c r="H4152">
        <v>63.6</v>
      </c>
      <c r="I4152" s="13">
        <v>4</v>
      </c>
      <c r="J4152">
        <v>0</v>
      </c>
      <c r="K4152">
        <v>0</v>
      </c>
      <c r="L4152">
        <v>0</v>
      </c>
      <c r="M4152">
        <v>0</v>
      </c>
      <c r="O4152">
        <f t="shared" si="64"/>
        <v>5</v>
      </c>
    </row>
    <row r="4153" spans="1:15">
      <c r="A4153">
        <v>2525</v>
      </c>
      <c r="B4153" s="1">
        <v>45802</v>
      </c>
      <c r="C4153">
        <v>28</v>
      </c>
      <c r="D4153" t="s">
        <v>17</v>
      </c>
      <c r="E4153" t="s">
        <v>22</v>
      </c>
      <c r="F4153" t="s">
        <v>16</v>
      </c>
      <c r="H4153">
        <v>61.6</v>
      </c>
      <c r="I4153" s="13">
        <v>5</v>
      </c>
      <c r="J4153">
        <v>0</v>
      </c>
      <c r="K4153">
        <v>0</v>
      </c>
      <c r="L4153">
        <v>0</v>
      </c>
      <c r="M4153">
        <v>0</v>
      </c>
      <c r="O4153">
        <f t="shared" si="64"/>
        <v>5</v>
      </c>
    </row>
    <row r="4154" spans="1:15">
      <c r="A4154">
        <v>3551</v>
      </c>
      <c r="B4154" s="1">
        <v>45802</v>
      </c>
      <c r="C4154">
        <v>30</v>
      </c>
      <c r="D4154" t="s">
        <v>14</v>
      </c>
      <c r="E4154" t="s">
        <v>15</v>
      </c>
      <c r="F4154" t="s">
        <v>16</v>
      </c>
      <c r="H4154">
        <v>47.5</v>
      </c>
      <c r="I4154" s="13">
        <v>5</v>
      </c>
      <c r="J4154">
        <v>0</v>
      </c>
      <c r="K4154">
        <v>0</v>
      </c>
      <c r="L4154">
        <v>0</v>
      </c>
      <c r="M4154">
        <v>0</v>
      </c>
      <c r="O4154">
        <f t="shared" si="64"/>
        <v>5</v>
      </c>
    </row>
    <row r="4155" spans="1:15">
      <c r="A4155">
        <v>1982</v>
      </c>
      <c r="B4155" s="1">
        <v>45802</v>
      </c>
      <c r="C4155">
        <v>36</v>
      </c>
      <c r="D4155" t="s">
        <v>17</v>
      </c>
      <c r="E4155" t="s">
        <v>24</v>
      </c>
      <c r="F4155" t="s">
        <v>21</v>
      </c>
      <c r="H4155">
        <v>42.8</v>
      </c>
      <c r="I4155" s="13">
        <v>8</v>
      </c>
      <c r="J4155">
        <v>0</v>
      </c>
      <c r="K4155">
        <v>0</v>
      </c>
      <c r="L4155">
        <v>0</v>
      </c>
      <c r="M4155">
        <v>0</v>
      </c>
      <c r="O4155">
        <f t="shared" si="64"/>
        <v>5</v>
      </c>
    </row>
    <row r="4156" spans="1:15">
      <c r="A4156">
        <v>2806</v>
      </c>
      <c r="B4156" s="1">
        <v>45833</v>
      </c>
      <c r="C4156">
        <v>39</v>
      </c>
      <c r="D4156" t="s">
        <v>14</v>
      </c>
      <c r="E4156" t="s">
        <v>15</v>
      </c>
      <c r="F4156" t="s">
        <v>16</v>
      </c>
      <c r="H4156">
        <v>421.4</v>
      </c>
      <c r="I4156" s="13">
        <v>4</v>
      </c>
      <c r="J4156">
        <v>1</v>
      </c>
      <c r="K4156">
        <v>21</v>
      </c>
      <c r="L4156">
        <v>5</v>
      </c>
      <c r="M4156">
        <v>4</v>
      </c>
      <c r="N4156">
        <v>4</v>
      </c>
      <c r="O4156">
        <f t="shared" si="64"/>
        <v>6</v>
      </c>
    </row>
    <row r="4157" spans="1:15">
      <c r="A4157">
        <v>1682</v>
      </c>
      <c r="B4157" s="1">
        <v>45833</v>
      </c>
      <c r="C4157">
        <v>27</v>
      </c>
      <c r="D4157" t="s">
        <v>14</v>
      </c>
      <c r="E4157" t="s">
        <v>22</v>
      </c>
      <c r="F4157" t="s">
        <v>18</v>
      </c>
      <c r="G4157" t="s">
        <v>30</v>
      </c>
      <c r="H4157">
        <v>451.9</v>
      </c>
      <c r="I4157" s="13">
        <v>4</v>
      </c>
      <c r="J4157">
        <v>1</v>
      </c>
      <c r="K4157">
        <v>371</v>
      </c>
      <c r="L4157">
        <v>3</v>
      </c>
      <c r="M4157">
        <v>8</v>
      </c>
      <c r="N4157">
        <v>4</v>
      </c>
      <c r="O4157">
        <f t="shared" si="64"/>
        <v>6</v>
      </c>
    </row>
    <row r="4158" spans="1:15">
      <c r="A4158">
        <v>4991</v>
      </c>
      <c r="B4158" s="1">
        <v>45833</v>
      </c>
      <c r="C4158">
        <v>50</v>
      </c>
      <c r="D4158" t="s">
        <v>14</v>
      </c>
      <c r="E4158" t="s">
        <v>24</v>
      </c>
      <c r="F4158" t="s">
        <v>21</v>
      </c>
      <c r="H4158">
        <v>560.20000000000005</v>
      </c>
      <c r="I4158" s="13">
        <v>10</v>
      </c>
      <c r="J4158">
        <v>1</v>
      </c>
      <c r="K4158">
        <v>238.97</v>
      </c>
      <c r="L4158">
        <v>4</v>
      </c>
      <c r="M4158">
        <v>4</v>
      </c>
      <c r="N4158">
        <v>4</v>
      </c>
      <c r="O4158">
        <f t="shared" si="64"/>
        <v>6</v>
      </c>
    </row>
    <row r="4159" spans="1:15">
      <c r="A4159">
        <v>3097</v>
      </c>
      <c r="B4159" s="1">
        <v>45833</v>
      </c>
      <c r="C4159">
        <v>18</v>
      </c>
      <c r="D4159" t="s">
        <v>17</v>
      </c>
      <c r="E4159" t="s">
        <v>20</v>
      </c>
      <c r="F4159" t="s">
        <v>21</v>
      </c>
      <c r="H4159">
        <v>235.1</v>
      </c>
      <c r="I4159" s="13">
        <v>5</v>
      </c>
      <c r="J4159">
        <v>1</v>
      </c>
      <c r="K4159">
        <v>62.74</v>
      </c>
      <c r="L4159">
        <v>7</v>
      </c>
      <c r="M4159">
        <v>4</v>
      </c>
      <c r="N4159">
        <v>4</v>
      </c>
      <c r="O4159">
        <f t="shared" si="64"/>
        <v>6</v>
      </c>
    </row>
    <row r="4160" spans="1:15">
      <c r="A4160">
        <v>1467</v>
      </c>
      <c r="B4160" s="1">
        <v>45833</v>
      </c>
      <c r="C4160">
        <v>24</v>
      </c>
      <c r="D4160" t="s">
        <v>14</v>
      </c>
      <c r="E4160" t="s">
        <v>20</v>
      </c>
      <c r="F4160" t="s">
        <v>18</v>
      </c>
      <c r="G4160" t="s">
        <v>31</v>
      </c>
      <c r="H4160">
        <v>670.2</v>
      </c>
      <c r="I4160" s="13">
        <v>9</v>
      </c>
      <c r="J4160">
        <v>1</v>
      </c>
      <c r="K4160">
        <v>44.71</v>
      </c>
      <c r="L4160">
        <v>2</v>
      </c>
      <c r="M4160">
        <v>6</v>
      </c>
      <c r="N4160">
        <v>4</v>
      </c>
      <c r="O4160">
        <f t="shared" si="64"/>
        <v>6</v>
      </c>
    </row>
    <row r="4161" spans="1:15">
      <c r="A4161">
        <v>227</v>
      </c>
      <c r="B4161" s="1">
        <v>45833</v>
      </c>
      <c r="C4161">
        <v>30</v>
      </c>
      <c r="D4161" t="s">
        <v>17</v>
      </c>
      <c r="E4161" t="s">
        <v>15</v>
      </c>
      <c r="F4161" t="s">
        <v>18</v>
      </c>
      <c r="G4161" t="s">
        <v>19</v>
      </c>
      <c r="H4161">
        <v>675.5</v>
      </c>
      <c r="I4161" s="13">
        <v>8</v>
      </c>
      <c r="J4161">
        <v>1</v>
      </c>
      <c r="K4161">
        <v>39.1</v>
      </c>
      <c r="L4161">
        <v>2</v>
      </c>
      <c r="M4161">
        <v>9</v>
      </c>
      <c r="N4161">
        <v>4</v>
      </c>
      <c r="O4161">
        <f t="shared" si="64"/>
        <v>6</v>
      </c>
    </row>
    <row r="4162" spans="1:15">
      <c r="A4162">
        <v>2907</v>
      </c>
      <c r="B4162" s="1">
        <v>45833</v>
      </c>
      <c r="C4162">
        <v>55</v>
      </c>
      <c r="D4162" t="s">
        <v>14</v>
      </c>
      <c r="E4162" t="s">
        <v>20</v>
      </c>
      <c r="F4162" t="s">
        <v>16</v>
      </c>
      <c r="H4162">
        <v>1348.8</v>
      </c>
      <c r="I4162" s="13">
        <v>10</v>
      </c>
      <c r="J4162">
        <v>1</v>
      </c>
      <c r="K4162">
        <v>36.69</v>
      </c>
      <c r="L4162">
        <v>3</v>
      </c>
      <c r="M4162">
        <v>2</v>
      </c>
      <c r="N4162">
        <v>4</v>
      </c>
      <c r="O4162">
        <f t="shared" si="64"/>
        <v>6</v>
      </c>
    </row>
    <row r="4163" spans="1:15">
      <c r="A4163">
        <v>1325</v>
      </c>
      <c r="B4163" s="1">
        <v>45833</v>
      </c>
      <c r="C4163">
        <v>30</v>
      </c>
      <c r="D4163" t="s">
        <v>14</v>
      </c>
      <c r="E4163" t="s">
        <v>20</v>
      </c>
      <c r="F4163" t="s">
        <v>21</v>
      </c>
      <c r="H4163">
        <v>188.1</v>
      </c>
      <c r="I4163" s="13">
        <v>8</v>
      </c>
      <c r="J4163">
        <v>1</v>
      </c>
      <c r="K4163">
        <v>28.99</v>
      </c>
      <c r="L4163">
        <v>1</v>
      </c>
      <c r="M4163">
        <v>4</v>
      </c>
      <c r="N4163">
        <v>4</v>
      </c>
      <c r="O4163">
        <f t="shared" ref="O4163:O4226" si="65">MONTH(B4163)</f>
        <v>6</v>
      </c>
    </row>
    <row r="4164" spans="1:15">
      <c r="A4164">
        <v>2201</v>
      </c>
      <c r="B4164" s="1">
        <v>45833</v>
      </c>
      <c r="C4164">
        <v>35</v>
      </c>
      <c r="D4164" t="s">
        <v>14</v>
      </c>
      <c r="E4164" t="s">
        <v>15</v>
      </c>
      <c r="F4164" t="s">
        <v>21</v>
      </c>
      <c r="H4164">
        <v>121.8</v>
      </c>
      <c r="I4164" s="13">
        <v>5</v>
      </c>
      <c r="J4164">
        <v>1</v>
      </c>
      <c r="K4164">
        <v>21.36</v>
      </c>
      <c r="L4164">
        <v>3</v>
      </c>
      <c r="M4164">
        <v>10</v>
      </c>
      <c r="N4164">
        <v>4</v>
      </c>
      <c r="O4164">
        <f t="shared" si="65"/>
        <v>6</v>
      </c>
    </row>
    <row r="4165" spans="1:15">
      <c r="A4165">
        <v>4690</v>
      </c>
      <c r="B4165" s="1">
        <v>45833</v>
      </c>
      <c r="C4165">
        <v>47</v>
      </c>
      <c r="D4165" t="s">
        <v>14</v>
      </c>
      <c r="E4165" t="s">
        <v>15</v>
      </c>
      <c r="F4165" t="s">
        <v>23</v>
      </c>
      <c r="H4165">
        <v>681.3</v>
      </c>
      <c r="I4165" s="13">
        <v>4</v>
      </c>
      <c r="J4165">
        <v>0</v>
      </c>
      <c r="K4165">
        <v>0</v>
      </c>
      <c r="L4165">
        <v>0</v>
      </c>
      <c r="M4165">
        <v>0</v>
      </c>
      <c r="O4165">
        <f t="shared" si="65"/>
        <v>6</v>
      </c>
    </row>
    <row r="4166" spans="1:15">
      <c r="A4166">
        <v>3527</v>
      </c>
      <c r="B4166" s="1">
        <v>45833</v>
      </c>
      <c r="C4166">
        <v>32</v>
      </c>
      <c r="D4166" t="s">
        <v>17</v>
      </c>
      <c r="E4166" t="s">
        <v>20</v>
      </c>
      <c r="F4166" t="s">
        <v>16</v>
      </c>
      <c r="H4166">
        <v>633.4</v>
      </c>
      <c r="I4166" s="13">
        <v>3</v>
      </c>
      <c r="J4166">
        <v>0</v>
      </c>
      <c r="K4166">
        <v>0</v>
      </c>
      <c r="L4166">
        <v>0</v>
      </c>
      <c r="M4166">
        <v>0</v>
      </c>
      <c r="O4166">
        <f t="shared" si="65"/>
        <v>6</v>
      </c>
    </row>
    <row r="4167" spans="1:15">
      <c r="A4167">
        <v>2702</v>
      </c>
      <c r="B4167" s="1">
        <v>45833</v>
      </c>
      <c r="C4167">
        <v>30</v>
      </c>
      <c r="D4167" t="s">
        <v>14</v>
      </c>
      <c r="E4167" t="s">
        <v>24</v>
      </c>
      <c r="F4167" t="s">
        <v>18</v>
      </c>
      <c r="G4167" t="s">
        <v>28</v>
      </c>
      <c r="H4167">
        <v>512.4</v>
      </c>
      <c r="I4167" s="13">
        <v>5</v>
      </c>
      <c r="J4167">
        <v>0</v>
      </c>
      <c r="K4167">
        <v>0</v>
      </c>
      <c r="L4167">
        <v>0</v>
      </c>
      <c r="M4167">
        <v>0</v>
      </c>
      <c r="O4167">
        <f t="shared" si="65"/>
        <v>6</v>
      </c>
    </row>
    <row r="4168" spans="1:15">
      <c r="A4168">
        <v>3507</v>
      </c>
      <c r="B4168" s="1">
        <v>45833</v>
      </c>
      <c r="C4168">
        <v>45</v>
      </c>
      <c r="D4168" t="s">
        <v>17</v>
      </c>
      <c r="E4168" t="s">
        <v>24</v>
      </c>
      <c r="F4168" t="s">
        <v>21</v>
      </c>
      <c r="H4168">
        <v>506.8</v>
      </c>
      <c r="I4168" s="13">
        <v>9</v>
      </c>
      <c r="J4168">
        <v>0</v>
      </c>
      <c r="K4168">
        <v>0</v>
      </c>
      <c r="L4168">
        <v>0</v>
      </c>
      <c r="M4168">
        <v>0</v>
      </c>
      <c r="O4168">
        <f t="shared" si="65"/>
        <v>6</v>
      </c>
    </row>
    <row r="4169" spans="1:15">
      <c r="A4169">
        <v>499</v>
      </c>
      <c r="B4169" s="1">
        <v>45833</v>
      </c>
      <c r="C4169">
        <v>18</v>
      </c>
      <c r="D4169" t="s">
        <v>17</v>
      </c>
      <c r="E4169" t="s">
        <v>20</v>
      </c>
      <c r="F4169" t="s">
        <v>16</v>
      </c>
      <c r="H4169">
        <v>391.4</v>
      </c>
      <c r="I4169" s="13">
        <v>6</v>
      </c>
      <c r="J4169">
        <v>0</v>
      </c>
      <c r="K4169">
        <v>0</v>
      </c>
      <c r="L4169">
        <v>0</v>
      </c>
      <c r="M4169">
        <v>0</v>
      </c>
      <c r="O4169">
        <f t="shared" si="65"/>
        <v>6</v>
      </c>
    </row>
    <row r="4170" spans="1:15">
      <c r="A4170">
        <v>1755</v>
      </c>
      <c r="B4170" s="1">
        <v>45833</v>
      </c>
      <c r="C4170">
        <v>32</v>
      </c>
      <c r="D4170" t="s">
        <v>17</v>
      </c>
      <c r="E4170" t="s">
        <v>22</v>
      </c>
      <c r="F4170" t="s">
        <v>18</v>
      </c>
      <c r="G4170" t="s">
        <v>25</v>
      </c>
      <c r="H4170">
        <v>378.3</v>
      </c>
      <c r="I4170" s="13">
        <v>4</v>
      </c>
      <c r="J4170">
        <v>0</v>
      </c>
      <c r="K4170">
        <v>0</v>
      </c>
      <c r="L4170">
        <v>0</v>
      </c>
      <c r="M4170">
        <v>0</v>
      </c>
      <c r="O4170">
        <f t="shared" si="65"/>
        <v>6</v>
      </c>
    </row>
    <row r="4171" spans="1:15">
      <c r="A4171">
        <v>4037</v>
      </c>
      <c r="B4171" s="1">
        <v>45833</v>
      </c>
      <c r="C4171">
        <v>51</v>
      </c>
      <c r="D4171" t="s">
        <v>14</v>
      </c>
      <c r="E4171" t="s">
        <v>15</v>
      </c>
      <c r="F4171" t="s">
        <v>16</v>
      </c>
      <c r="H4171">
        <v>367.4</v>
      </c>
      <c r="I4171" s="13">
        <v>5</v>
      </c>
      <c r="J4171">
        <v>0</v>
      </c>
      <c r="K4171">
        <v>0</v>
      </c>
      <c r="L4171">
        <v>0</v>
      </c>
      <c r="M4171">
        <v>0</v>
      </c>
      <c r="O4171">
        <f t="shared" si="65"/>
        <v>6</v>
      </c>
    </row>
    <row r="4172" spans="1:15">
      <c r="A4172">
        <v>3971</v>
      </c>
      <c r="B4172" s="1">
        <v>45833</v>
      </c>
      <c r="C4172">
        <v>48</v>
      </c>
      <c r="D4172" t="s">
        <v>17</v>
      </c>
      <c r="E4172" t="s">
        <v>22</v>
      </c>
      <c r="F4172" t="s">
        <v>23</v>
      </c>
      <c r="H4172">
        <v>328.4</v>
      </c>
      <c r="I4172" s="13">
        <v>5</v>
      </c>
      <c r="J4172">
        <v>0</v>
      </c>
      <c r="K4172">
        <v>0</v>
      </c>
      <c r="L4172">
        <v>0</v>
      </c>
      <c r="M4172">
        <v>0</v>
      </c>
      <c r="O4172">
        <f t="shared" si="65"/>
        <v>6</v>
      </c>
    </row>
    <row r="4173" spans="1:15">
      <c r="A4173">
        <v>1335</v>
      </c>
      <c r="B4173" s="1">
        <v>45833</v>
      </c>
      <c r="C4173">
        <v>18</v>
      </c>
      <c r="D4173" t="s">
        <v>17</v>
      </c>
      <c r="E4173" t="s">
        <v>20</v>
      </c>
      <c r="F4173" t="s">
        <v>16</v>
      </c>
      <c r="H4173">
        <v>315.60000000000002</v>
      </c>
      <c r="I4173" s="13">
        <v>8</v>
      </c>
      <c r="J4173">
        <v>0</v>
      </c>
      <c r="K4173">
        <v>0</v>
      </c>
      <c r="L4173">
        <v>0</v>
      </c>
      <c r="M4173">
        <v>0</v>
      </c>
      <c r="O4173">
        <f t="shared" si="65"/>
        <v>6</v>
      </c>
    </row>
    <row r="4174" spans="1:15">
      <c r="A4174">
        <v>1197</v>
      </c>
      <c r="B4174" s="1">
        <v>45833</v>
      </c>
      <c r="C4174">
        <v>22</v>
      </c>
      <c r="D4174" t="s">
        <v>14</v>
      </c>
      <c r="E4174" t="s">
        <v>24</v>
      </c>
      <c r="F4174" t="s">
        <v>16</v>
      </c>
      <c r="H4174">
        <v>270.39999999999998</v>
      </c>
      <c r="I4174" s="13">
        <v>7</v>
      </c>
      <c r="J4174">
        <v>0</v>
      </c>
      <c r="K4174">
        <v>0</v>
      </c>
      <c r="L4174">
        <v>0</v>
      </c>
      <c r="M4174">
        <v>0</v>
      </c>
      <c r="O4174">
        <f t="shared" si="65"/>
        <v>6</v>
      </c>
    </row>
    <row r="4175" spans="1:15">
      <c r="A4175">
        <v>3953</v>
      </c>
      <c r="B4175" s="1">
        <v>45833</v>
      </c>
      <c r="C4175">
        <v>31</v>
      </c>
      <c r="D4175" t="s">
        <v>14</v>
      </c>
      <c r="E4175" t="s">
        <v>22</v>
      </c>
      <c r="F4175" t="s">
        <v>18</v>
      </c>
      <c r="G4175" t="s">
        <v>19</v>
      </c>
      <c r="H4175">
        <v>264.89999999999998</v>
      </c>
      <c r="I4175" s="13">
        <v>2</v>
      </c>
      <c r="J4175">
        <v>0</v>
      </c>
      <c r="K4175">
        <v>0</v>
      </c>
      <c r="L4175">
        <v>0</v>
      </c>
      <c r="M4175">
        <v>0</v>
      </c>
      <c r="O4175">
        <f t="shared" si="65"/>
        <v>6</v>
      </c>
    </row>
    <row r="4176" spans="1:15">
      <c r="A4176">
        <v>3513</v>
      </c>
      <c r="B4176" s="1">
        <v>45833</v>
      </c>
      <c r="C4176">
        <v>27</v>
      </c>
      <c r="D4176" t="s">
        <v>17</v>
      </c>
      <c r="E4176" t="s">
        <v>15</v>
      </c>
      <c r="F4176" t="s">
        <v>18</v>
      </c>
      <c r="G4176" t="s">
        <v>26</v>
      </c>
      <c r="H4176">
        <v>228.1</v>
      </c>
      <c r="I4176" s="13">
        <v>12</v>
      </c>
      <c r="J4176">
        <v>0</v>
      </c>
      <c r="K4176">
        <v>0</v>
      </c>
      <c r="L4176">
        <v>0</v>
      </c>
      <c r="M4176">
        <v>0</v>
      </c>
      <c r="O4176">
        <f t="shared" si="65"/>
        <v>6</v>
      </c>
    </row>
    <row r="4177" spans="1:15">
      <c r="A4177">
        <v>4981</v>
      </c>
      <c r="B4177" s="1">
        <v>45833</v>
      </c>
      <c r="C4177">
        <v>39</v>
      </c>
      <c r="D4177" t="s">
        <v>14</v>
      </c>
      <c r="E4177" t="s">
        <v>24</v>
      </c>
      <c r="F4177" t="s">
        <v>16</v>
      </c>
      <c r="H4177">
        <v>157</v>
      </c>
      <c r="I4177" s="13">
        <v>3</v>
      </c>
      <c r="J4177">
        <v>0</v>
      </c>
      <c r="K4177">
        <v>0</v>
      </c>
      <c r="L4177">
        <v>0</v>
      </c>
      <c r="M4177">
        <v>0</v>
      </c>
      <c r="O4177">
        <f t="shared" si="65"/>
        <v>6</v>
      </c>
    </row>
    <row r="4178" spans="1:15">
      <c r="A4178">
        <v>2718</v>
      </c>
      <c r="B4178" s="1">
        <v>45833</v>
      </c>
      <c r="C4178">
        <v>37</v>
      </c>
      <c r="D4178" t="s">
        <v>14</v>
      </c>
      <c r="E4178" t="s">
        <v>20</v>
      </c>
      <c r="F4178" t="s">
        <v>21</v>
      </c>
      <c r="H4178">
        <v>141.80000000000001</v>
      </c>
      <c r="I4178" s="13">
        <v>1</v>
      </c>
      <c r="J4178">
        <v>0</v>
      </c>
      <c r="K4178">
        <v>0</v>
      </c>
      <c r="L4178">
        <v>0</v>
      </c>
      <c r="M4178">
        <v>0</v>
      </c>
      <c r="O4178">
        <f t="shared" si="65"/>
        <v>6</v>
      </c>
    </row>
    <row r="4179" spans="1:15">
      <c r="A4179">
        <v>4579</v>
      </c>
      <c r="B4179" s="1">
        <v>45833</v>
      </c>
      <c r="C4179">
        <v>48</v>
      </c>
      <c r="D4179" t="s">
        <v>14</v>
      </c>
      <c r="E4179" t="s">
        <v>24</v>
      </c>
      <c r="F4179" t="s">
        <v>16</v>
      </c>
      <c r="H4179">
        <v>122.1</v>
      </c>
      <c r="I4179" s="13">
        <v>8</v>
      </c>
      <c r="J4179">
        <v>0</v>
      </c>
      <c r="K4179">
        <v>0</v>
      </c>
      <c r="L4179">
        <v>0</v>
      </c>
      <c r="M4179">
        <v>0</v>
      </c>
      <c r="O4179">
        <f t="shared" si="65"/>
        <v>6</v>
      </c>
    </row>
    <row r="4180" spans="1:15">
      <c r="A4180">
        <v>306</v>
      </c>
      <c r="B4180" s="1">
        <v>45833</v>
      </c>
      <c r="C4180">
        <v>36</v>
      </c>
      <c r="D4180" t="s">
        <v>17</v>
      </c>
      <c r="E4180" t="s">
        <v>22</v>
      </c>
      <c r="F4180" t="s">
        <v>23</v>
      </c>
      <c r="H4180">
        <v>73.599999999999994</v>
      </c>
      <c r="I4180" s="13">
        <v>7</v>
      </c>
      <c r="J4180">
        <v>0</v>
      </c>
      <c r="K4180">
        <v>0</v>
      </c>
      <c r="L4180">
        <v>0</v>
      </c>
      <c r="M4180">
        <v>0</v>
      </c>
      <c r="O4180">
        <f t="shared" si="65"/>
        <v>6</v>
      </c>
    </row>
    <row r="4181" spans="1:15">
      <c r="A4181">
        <v>431</v>
      </c>
      <c r="B4181" s="1">
        <v>45683</v>
      </c>
      <c r="C4181">
        <v>20</v>
      </c>
      <c r="D4181" t="s">
        <v>17</v>
      </c>
      <c r="E4181" t="s">
        <v>20</v>
      </c>
      <c r="F4181" t="s">
        <v>23</v>
      </c>
      <c r="H4181">
        <v>214.8</v>
      </c>
      <c r="I4181" s="13">
        <v>4</v>
      </c>
      <c r="J4181">
        <v>1</v>
      </c>
      <c r="K4181">
        <v>115</v>
      </c>
      <c r="L4181">
        <v>1</v>
      </c>
      <c r="M4181">
        <v>5</v>
      </c>
      <c r="N4181">
        <v>4</v>
      </c>
      <c r="O4181">
        <f t="shared" si="65"/>
        <v>1</v>
      </c>
    </row>
    <row r="4182" spans="1:15">
      <c r="A4182">
        <v>833</v>
      </c>
      <c r="B4182" s="1">
        <v>45683</v>
      </c>
      <c r="C4182">
        <v>18</v>
      </c>
      <c r="D4182" t="s">
        <v>17</v>
      </c>
      <c r="E4182" t="s">
        <v>22</v>
      </c>
      <c r="F4182" t="s">
        <v>21</v>
      </c>
      <c r="H4182">
        <v>704.1</v>
      </c>
      <c r="I4182" s="13">
        <v>7</v>
      </c>
      <c r="J4182">
        <v>1</v>
      </c>
      <c r="K4182">
        <v>575.04</v>
      </c>
      <c r="L4182">
        <v>4</v>
      </c>
      <c r="M4182">
        <v>10</v>
      </c>
      <c r="N4182">
        <v>5</v>
      </c>
      <c r="O4182">
        <f t="shared" si="65"/>
        <v>1</v>
      </c>
    </row>
    <row r="4183" spans="1:15">
      <c r="A4183">
        <v>2360</v>
      </c>
      <c r="B4183" s="1">
        <v>45683</v>
      </c>
      <c r="C4183">
        <v>23</v>
      </c>
      <c r="D4183" t="s">
        <v>17</v>
      </c>
      <c r="E4183" t="s">
        <v>22</v>
      </c>
      <c r="F4183" t="s">
        <v>21</v>
      </c>
      <c r="H4183">
        <v>158.6</v>
      </c>
      <c r="I4183" s="13">
        <v>6</v>
      </c>
      <c r="J4183">
        <v>1</v>
      </c>
      <c r="K4183">
        <v>178.27</v>
      </c>
      <c r="L4183">
        <v>2</v>
      </c>
      <c r="M4183">
        <v>15</v>
      </c>
      <c r="N4183">
        <v>5</v>
      </c>
      <c r="O4183">
        <f t="shared" si="65"/>
        <v>1</v>
      </c>
    </row>
    <row r="4184" spans="1:15">
      <c r="A4184">
        <v>2394</v>
      </c>
      <c r="B4184" s="1">
        <v>45683</v>
      </c>
      <c r="C4184">
        <v>36</v>
      </c>
      <c r="D4184" t="s">
        <v>14</v>
      </c>
      <c r="E4184" t="s">
        <v>22</v>
      </c>
      <c r="F4184" t="s">
        <v>21</v>
      </c>
      <c r="H4184">
        <v>153.9</v>
      </c>
      <c r="I4184" s="13">
        <v>2</v>
      </c>
      <c r="J4184">
        <v>1</v>
      </c>
      <c r="K4184">
        <v>156.16999999999999</v>
      </c>
      <c r="L4184">
        <v>3</v>
      </c>
      <c r="M4184">
        <v>4</v>
      </c>
      <c r="N4184">
        <v>4</v>
      </c>
      <c r="O4184">
        <f t="shared" si="65"/>
        <v>1</v>
      </c>
    </row>
    <row r="4185" spans="1:15">
      <c r="A4185">
        <v>2456</v>
      </c>
      <c r="B4185" s="1">
        <v>45683</v>
      </c>
      <c r="C4185">
        <v>25</v>
      </c>
      <c r="D4185" t="s">
        <v>17</v>
      </c>
      <c r="E4185" t="s">
        <v>22</v>
      </c>
      <c r="F4185" t="s">
        <v>16</v>
      </c>
      <c r="H4185">
        <v>857</v>
      </c>
      <c r="I4185" s="13">
        <v>6</v>
      </c>
      <c r="J4185">
        <v>1</v>
      </c>
      <c r="K4185">
        <v>151.63</v>
      </c>
      <c r="L4185">
        <v>4</v>
      </c>
      <c r="M4185">
        <v>9</v>
      </c>
      <c r="N4185">
        <v>4</v>
      </c>
      <c r="O4185">
        <f t="shared" si="65"/>
        <v>1</v>
      </c>
    </row>
    <row r="4186" spans="1:15">
      <c r="A4186">
        <v>4848</v>
      </c>
      <c r="B4186" s="1">
        <v>45683</v>
      </c>
      <c r="C4186">
        <v>43</v>
      </c>
      <c r="D4186" t="s">
        <v>17</v>
      </c>
      <c r="E4186" t="s">
        <v>22</v>
      </c>
      <c r="F4186" t="s">
        <v>16</v>
      </c>
      <c r="H4186">
        <v>809.1</v>
      </c>
      <c r="I4186" s="13">
        <v>7</v>
      </c>
      <c r="J4186">
        <v>1</v>
      </c>
      <c r="K4186">
        <v>78.5</v>
      </c>
      <c r="L4186">
        <v>2</v>
      </c>
      <c r="M4186">
        <v>4</v>
      </c>
      <c r="N4186">
        <v>4</v>
      </c>
      <c r="O4186">
        <f t="shared" si="65"/>
        <v>1</v>
      </c>
    </row>
    <row r="4187" spans="1:15">
      <c r="A4187">
        <v>3612</v>
      </c>
      <c r="B4187" s="1">
        <v>45683</v>
      </c>
      <c r="C4187">
        <v>26</v>
      </c>
      <c r="D4187" t="s">
        <v>14</v>
      </c>
      <c r="E4187" t="s">
        <v>22</v>
      </c>
      <c r="F4187" t="s">
        <v>16</v>
      </c>
      <c r="H4187">
        <v>1058</v>
      </c>
      <c r="I4187" s="13">
        <v>4</v>
      </c>
      <c r="J4187">
        <v>1</v>
      </c>
      <c r="K4187">
        <v>72.400000000000006</v>
      </c>
      <c r="L4187">
        <v>3</v>
      </c>
      <c r="M4187">
        <v>9</v>
      </c>
      <c r="N4187">
        <v>5</v>
      </c>
      <c r="O4187">
        <f t="shared" si="65"/>
        <v>1</v>
      </c>
    </row>
    <row r="4188" spans="1:15">
      <c r="A4188">
        <v>727</v>
      </c>
      <c r="B4188" s="1">
        <v>45683</v>
      </c>
      <c r="C4188">
        <v>21</v>
      </c>
      <c r="D4188" t="s">
        <v>17</v>
      </c>
      <c r="E4188" t="s">
        <v>22</v>
      </c>
      <c r="F4188" t="s">
        <v>23</v>
      </c>
      <c r="H4188">
        <v>226.9</v>
      </c>
      <c r="I4188" s="13">
        <v>9</v>
      </c>
      <c r="J4188">
        <v>1</v>
      </c>
      <c r="K4188">
        <v>62.77</v>
      </c>
      <c r="L4188">
        <v>2</v>
      </c>
      <c r="M4188">
        <v>15</v>
      </c>
      <c r="N4188">
        <v>5</v>
      </c>
      <c r="O4188">
        <f t="shared" si="65"/>
        <v>1</v>
      </c>
    </row>
    <row r="4189" spans="1:15">
      <c r="A4189">
        <v>67</v>
      </c>
      <c r="B4189" s="1">
        <v>45683</v>
      </c>
      <c r="C4189">
        <v>23</v>
      </c>
      <c r="D4189" t="s">
        <v>27</v>
      </c>
      <c r="E4189" t="s">
        <v>15</v>
      </c>
      <c r="F4189" t="s">
        <v>18</v>
      </c>
      <c r="G4189" t="s">
        <v>26</v>
      </c>
      <c r="H4189">
        <v>525.70000000000005</v>
      </c>
      <c r="I4189" s="13">
        <v>5</v>
      </c>
      <c r="J4189">
        <v>1</v>
      </c>
      <c r="K4189">
        <v>47.81</v>
      </c>
      <c r="L4189">
        <v>3</v>
      </c>
      <c r="M4189">
        <v>10</v>
      </c>
      <c r="N4189">
        <v>5</v>
      </c>
      <c r="O4189">
        <f t="shared" si="65"/>
        <v>1</v>
      </c>
    </row>
    <row r="4190" spans="1:15">
      <c r="A4190">
        <v>1435</v>
      </c>
      <c r="B4190" s="1">
        <v>45683</v>
      </c>
      <c r="C4190">
        <v>38</v>
      </c>
      <c r="D4190" t="s">
        <v>14</v>
      </c>
      <c r="E4190" t="s">
        <v>22</v>
      </c>
      <c r="F4190" t="s">
        <v>23</v>
      </c>
      <c r="H4190">
        <v>729.7</v>
      </c>
      <c r="I4190" s="13">
        <v>5</v>
      </c>
      <c r="J4190">
        <v>1</v>
      </c>
      <c r="K4190">
        <v>41.13</v>
      </c>
      <c r="L4190">
        <v>3</v>
      </c>
      <c r="M4190">
        <v>2</v>
      </c>
      <c r="N4190">
        <v>5</v>
      </c>
      <c r="O4190">
        <f t="shared" si="65"/>
        <v>1</v>
      </c>
    </row>
    <row r="4191" spans="1:15">
      <c r="A4191">
        <v>3329</v>
      </c>
      <c r="B4191" s="1">
        <v>45683</v>
      </c>
      <c r="C4191">
        <v>21</v>
      </c>
      <c r="D4191" t="s">
        <v>14</v>
      </c>
      <c r="E4191" t="s">
        <v>15</v>
      </c>
      <c r="F4191" t="s">
        <v>16</v>
      </c>
      <c r="H4191">
        <v>442.9</v>
      </c>
      <c r="I4191" s="13">
        <v>7</v>
      </c>
      <c r="J4191">
        <v>1</v>
      </c>
      <c r="K4191">
        <v>39.979999999999997</v>
      </c>
      <c r="L4191">
        <v>2</v>
      </c>
      <c r="M4191">
        <v>15</v>
      </c>
      <c r="N4191">
        <v>4</v>
      </c>
      <c r="O4191">
        <f t="shared" si="65"/>
        <v>1</v>
      </c>
    </row>
    <row r="4192" spans="1:15">
      <c r="A4192">
        <v>2111</v>
      </c>
      <c r="B4192" s="1">
        <v>45683</v>
      </c>
      <c r="C4192">
        <v>32</v>
      </c>
      <c r="D4192" t="s">
        <v>14</v>
      </c>
      <c r="E4192" t="s">
        <v>20</v>
      </c>
      <c r="F4192" t="s">
        <v>23</v>
      </c>
      <c r="H4192">
        <v>789.9</v>
      </c>
      <c r="I4192" s="13">
        <v>4</v>
      </c>
      <c r="J4192">
        <v>1</v>
      </c>
      <c r="K4192">
        <v>36.92</v>
      </c>
      <c r="L4192">
        <v>5</v>
      </c>
      <c r="M4192">
        <v>7</v>
      </c>
      <c r="N4192">
        <v>4</v>
      </c>
      <c r="O4192">
        <f t="shared" si="65"/>
        <v>1</v>
      </c>
    </row>
    <row r="4193" spans="1:15">
      <c r="A4193">
        <v>3601</v>
      </c>
      <c r="B4193" s="1">
        <v>45683</v>
      </c>
      <c r="C4193">
        <v>41</v>
      </c>
      <c r="D4193" t="s">
        <v>17</v>
      </c>
      <c r="E4193" t="s">
        <v>22</v>
      </c>
      <c r="F4193" t="s">
        <v>16</v>
      </c>
      <c r="H4193">
        <v>441.9</v>
      </c>
      <c r="I4193" s="13">
        <v>9</v>
      </c>
      <c r="J4193">
        <v>1</v>
      </c>
      <c r="K4193">
        <v>34.06</v>
      </c>
      <c r="L4193">
        <v>3</v>
      </c>
      <c r="M4193">
        <v>2</v>
      </c>
      <c r="N4193">
        <v>3</v>
      </c>
      <c r="O4193">
        <f t="shared" si="65"/>
        <v>1</v>
      </c>
    </row>
    <row r="4194" spans="1:15">
      <c r="A4194">
        <v>2595</v>
      </c>
      <c r="B4194" s="1">
        <v>45683</v>
      </c>
      <c r="C4194">
        <v>27</v>
      </c>
      <c r="D4194" t="s">
        <v>17</v>
      </c>
      <c r="E4194" t="s">
        <v>15</v>
      </c>
      <c r="F4194" t="s">
        <v>18</v>
      </c>
      <c r="G4194" t="s">
        <v>28</v>
      </c>
      <c r="H4194">
        <v>1298.2</v>
      </c>
      <c r="I4194" s="13">
        <v>5</v>
      </c>
      <c r="J4194">
        <v>1</v>
      </c>
      <c r="K4194">
        <v>32.53</v>
      </c>
      <c r="L4194">
        <v>2</v>
      </c>
      <c r="M4194">
        <v>13</v>
      </c>
      <c r="N4194">
        <v>5</v>
      </c>
      <c r="O4194">
        <f t="shared" si="65"/>
        <v>1</v>
      </c>
    </row>
    <row r="4195" spans="1:15">
      <c r="A4195">
        <v>2412</v>
      </c>
      <c r="B4195" s="1">
        <v>45683</v>
      </c>
      <c r="C4195">
        <v>41</v>
      </c>
      <c r="D4195" t="s">
        <v>17</v>
      </c>
      <c r="E4195" t="s">
        <v>24</v>
      </c>
      <c r="F4195" t="s">
        <v>23</v>
      </c>
      <c r="H4195">
        <v>282.5</v>
      </c>
      <c r="I4195" s="13">
        <v>4</v>
      </c>
      <c r="J4195">
        <v>1</v>
      </c>
      <c r="K4195">
        <v>31.62</v>
      </c>
      <c r="L4195">
        <v>5</v>
      </c>
      <c r="M4195">
        <v>3</v>
      </c>
      <c r="N4195">
        <v>4</v>
      </c>
      <c r="O4195">
        <f t="shared" si="65"/>
        <v>1</v>
      </c>
    </row>
    <row r="4196" spans="1:15">
      <c r="A4196">
        <v>4687</v>
      </c>
      <c r="B4196" s="1">
        <v>45683</v>
      </c>
      <c r="C4196">
        <v>56</v>
      </c>
      <c r="D4196" t="s">
        <v>17</v>
      </c>
      <c r="E4196" t="s">
        <v>20</v>
      </c>
      <c r="F4196" t="s">
        <v>16</v>
      </c>
      <c r="H4196">
        <v>369.7</v>
      </c>
      <c r="I4196" s="13">
        <v>6</v>
      </c>
      <c r="J4196">
        <v>1</v>
      </c>
      <c r="K4196">
        <v>16.850000000000001</v>
      </c>
      <c r="L4196">
        <v>2</v>
      </c>
      <c r="M4196">
        <v>11</v>
      </c>
      <c r="N4196">
        <v>4</v>
      </c>
      <c r="O4196">
        <f t="shared" si="65"/>
        <v>1</v>
      </c>
    </row>
    <row r="4197" spans="1:15">
      <c r="A4197">
        <v>2285</v>
      </c>
      <c r="B4197" s="1">
        <v>45683</v>
      </c>
      <c r="C4197">
        <v>24</v>
      </c>
      <c r="D4197" t="s">
        <v>14</v>
      </c>
      <c r="E4197" t="s">
        <v>24</v>
      </c>
      <c r="F4197" t="s">
        <v>21</v>
      </c>
      <c r="H4197">
        <v>410.7</v>
      </c>
      <c r="I4197" s="13">
        <v>5</v>
      </c>
      <c r="J4197">
        <v>0</v>
      </c>
      <c r="K4197">
        <v>0</v>
      </c>
      <c r="L4197">
        <v>0</v>
      </c>
      <c r="M4197">
        <v>0</v>
      </c>
      <c r="O4197">
        <f t="shared" si="65"/>
        <v>1</v>
      </c>
    </row>
    <row r="4198" spans="1:15">
      <c r="A4198">
        <v>4408</v>
      </c>
      <c r="B4198" s="1">
        <v>45683</v>
      </c>
      <c r="C4198">
        <v>63</v>
      </c>
      <c r="D4198" t="s">
        <v>14</v>
      </c>
      <c r="E4198" t="s">
        <v>22</v>
      </c>
      <c r="F4198" t="s">
        <v>23</v>
      </c>
      <c r="H4198">
        <v>398.5</v>
      </c>
      <c r="I4198" s="13">
        <v>12</v>
      </c>
      <c r="J4198">
        <v>0</v>
      </c>
      <c r="K4198">
        <v>0</v>
      </c>
      <c r="L4198">
        <v>0</v>
      </c>
      <c r="M4198">
        <v>0</v>
      </c>
      <c r="O4198">
        <f t="shared" si="65"/>
        <v>1</v>
      </c>
    </row>
    <row r="4199" spans="1:15">
      <c r="A4199">
        <v>3555</v>
      </c>
      <c r="B4199" s="1">
        <v>45683</v>
      </c>
      <c r="C4199">
        <v>31</v>
      </c>
      <c r="D4199" t="s">
        <v>14</v>
      </c>
      <c r="E4199" t="s">
        <v>20</v>
      </c>
      <c r="F4199" t="s">
        <v>21</v>
      </c>
      <c r="H4199">
        <v>378.6</v>
      </c>
      <c r="I4199" s="13">
        <v>11</v>
      </c>
      <c r="J4199">
        <v>0</v>
      </c>
      <c r="K4199">
        <v>0</v>
      </c>
      <c r="L4199">
        <v>0</v>
      </c>
      <c r="M4199">
        <v>0</v>
      </c>
      <c r="O4199">
        <f t="shared" si="65"/>
        <v>1</v>
      </c>
    </row>
    <row r="4200" spans="1:15">
      <c r="A4200">
        <v>920</v>
      </c>
      <c r="B4200" s="1">
        <v>45683</v>
      </c>
      <c r="C4200">
        <v>21</v>
      </c>
      <c r="D4200" t="s">
        <v>14</v>
      </c>
      <c r="E4200" t="s">
        <v>22</v>
      </c>
      <c r="F4200" t="s">
        <v>16</v>
      </c>
      <c r="H4200">
        <v>318</v>
      </c>
      <c r="I4200" s="13">
        <v>4</v>
      </c>
      <c r="J4200">
        <v>0</v>
      </c>
      <c r="K4200">
        <v>0</v>
      </c>
      <c r="L4200">
        <v>0</v>
      </c>
      <c r="M4200">
        <v>0</v>
      </c>
      <c r="O4200">
        <f t="shared" si="65"/>
        <v>1</v>
      </c>
    </row>
    <row r="4201" spans="1:15">
      <c r="A4201">
        <v>263</v>
      </c>
      <c r="B4201" s="1">
        <v>45683</v>
      </c>
      <c r="C4201">
        <v>26</v>
      </c>
      <c r="D4201" t="s">
        <v>17</v>
      </c>
      <c r="E4201" t="s">
        <v>15</v>
      </c>
      <c r="F4201" t="s">
        <v>16</v>
      </c>
      <c r="H4201">
        <v>317</v>
      </c>
      <c r="I4201" s="13">
        <v>3</v>
      </c>
      <c r="J4201">
        <v>0</v>
      </c>
      <c r="K4201">
        <v>0</v>
      </c>
      <c r="L4201">
        <v>0</v>
      </c>
      <c r="M4201">
        <v>0</v>
      </c>
      <c r="O4201">
        <f t="shared" si="65"/>
        <v>1</v>
      </c>
    </row>
    <row r="4202" spans="1:15">
      <c r="A4202">
        <v>2744</v>
      </c>
      <c r="B4202" s="1">
        <v>45683</v>
      </c>
      <c r="C4202">
        <v>36</v>
      </c>
      <c r="D4202" t="s">
        <v>17</v>
      </c>
      <c r="E4202" t="s">
        <v>20</v>
      </c>
      <c r="F4202" t="s">
        <v>18</v>
      </c>
      <c r="G4202" t="s">
        <v>29</v>
      </c>
      <c r="H4202">
        <v>270.39999999999998</v>
      </c>
      <c r="I4202" s="13">
        <v>4</v>
      </c>
      <c r="J4202">
        <v>0</v>
      </c>
      <c r="K4202">
        <v>0</v>
      </c>
      <c r="L4202">
        <v>0</v>
      </c>
      <c r="M4202">
        <v>0</v>
      </c>
      <c r="O4202">
        <f t="shared" si="65"/>
        <v>1</v>
      </c>
    </row>
    <row r="4203" spans="1:15">
      <c r="A4203">
        <v>931</v>
      </c>
      <c r="B4203" s="1">
        <v>45683</v>
      </c>
      <c r="C4203">
        <v>19</v>
      </c>
      <c r="D4203" t="s">
        <v>17</v>
      </c>
      <c r="E4203" t="s">
        <v>15</v>
      </c>
      <c r="F4203" t="s">
        <v>18</v>
      </c>
      <c r="G4203" t="s">
        <v>19</v>
      </c>
      <c r="H4203">
        <v>260.39999999999998</v>
      </c>
      <c r="I4203" s="13">
        <v>10</v>
      </c>
      <c r="J4203">
        <v>0</v>
      </c>
      <c r="K4203">
        <v>0</v>
      </c>
      <c r="L4203">
        <v>0</v>
      </c>
      <c r="M4203">
        <v>0</v>
      </c>
      <c r="O4203">
        <f t="shared" si="65"/>
        <v>1</v>
      </c>
    </row>
    <row r="4204" spans="1:15">
      <c r="A4204">
        <v>1721</v>
      </c>
      <c r="B4204" s="1">
        <v>45683</v>
      </c>
      <c r="C4204">
        <v>25</v>
      </c>
      <c r="D4204" t="s">
        <v>17</v>
      </c>
      <c r="E4204" t="s">
        <v>15</v>
      </c>
      <c r="F4204" t="s">
        <v>18</v>
      </c>
      <c r="G4204" t="s">
        <v>26</v>
      </c>
      <c r="H4204">
        <v>243.5</v>
      </c>
      <c r="I4204" s="13">
        <v>7</v>
      </c>
      <c r="J4204">
        <v>0</v>
      </c>
      <c r="K4204">
        <v>0</v>
      </c>
      <c r="L4204">
        <v>0</v>
      </c>
      <c r="M4204">
        <v>0</v>
      </c>
      <c r="O4204">
        <f t="shared" si="65"/>
        <v>1</v>
      </c>
    </row>
    <row r="4205" spans="1:15">
      <c r="A4205">
        <v>4119</v>
      </c>
      <c r="B4205" s="1">
        <v>45683</v>
      </c>
      <c r="C4205">
        <v>51</v>
      </c>
      <c r="D4205" t="s">
        <v>17</v>
      </c>
      <c r="E4205" t="s">
        <v>20</v>
      </c>
      <c r="F4205" t="s">
        <v>18</v>
      </c>
      <c r="G4205" t="s">
        <v>19</v>
      </c>
      <c r="H4205">
        <v>219.8</v>
      </c>
      <c r="I4205" s="13">
        <v>3</v>
      </c>
      <c r="J4205">
        <v>0</v>
      </c>
      <c r="K4205">
        <v>0</v>
      </c>
      <c r="L4205">
        <v>0</v>
      </c>
      <c r="M4205">
        <v>0</v>
      </c>
      <c r="O4205">
        <f t="shared" si="65"/>
        <v>1</v>
      </c>
    </row>
    <row r="4206" spans="1:15">
      <c r="A4206">
        <v>2157</v>
      </c>
      <c r="B4206" s="1">
        <v>45683</v>
      </c>
      <c r="C4206">
        <v>37</v>
      </c>
      <c r="D4206" t="s">
        <v>14</v>
      </c>
      <c r="E4206" t="s">
        <v>22</v>
      </c>
      <c r="F4206" t="s">
        <v>16</v>
      </c>
      <c r="H4206">
        <v>203.6</v>
      </c>
      <c r="I4206" s="13">
        <v>7</v>
      </c>
      <c r="J4206">
        <v>0</v>
      </c>
      <c r="K4206">
        <v>0</v>
      </c>
      <c r="L4206">
        <v>0</v>
      </c>
      <c r="M4206">
        <v>0</v>
      </c>
      <c r="O4206">
        <f t="shared" si="65"/>
        <v>1</v>
      </c>
    </row>
    <row r="4207" spans="1:15">
      <c r="A4207">
        <v>22</v>
      </c>
      <c r="B4207" s="1">
        <v>45683</v>
      </c>
      <c r="C4207">
        <v>29</v>
      </c>
      <c r="D4207" t="s">
        <v>17</v>
      </c>
      <c r="E4207" t="s">
        <v>22</v>
      </c>
      <c r="F4207" t="s">
        <v>18</v>
      </c>
      <c r="G4207" t="s">
        <v>28</v>
      </c>
      <c r="H4207">
        <v>186.8</v>
      </c>
      <c r="I4207" s="13">
        <v>5</v>
      </c>
      <c r="J4207">
        <v>0</v>
      </c>
      <c r="K4207">
        <v>0</v>
      </c>
      <c r="L4207">
        <v>0</v>
      </c>
      <c r="M4207">
        <v>0</v>
      </c>
      <c r="O4207">
        <f t="shared" si="65"/>
        <v>1</v>
      </c>
    </row>
    <row r="4208" spans="1:15">
      <c r="A4208">
        <v>2538</v>
      </c>
      <c r="B4208" s="1">
        <v>45683</v>
      </c>
      <c r="C4208">
        <v>37</v>
      </c>
      <c r="D4208" t="s">
        <v>14</v>
      </c>
      <c r="E4208" t="s">
        <v>15</v>
      </c>
      <c r="F4208" t="s">
        <v>16</v>
      </c>
      <c r="H4208">
        <v>168.3</v>
      </c>
      <c r="I4208" s="13">
        <v>6</v>
      </c>
      <c r="J4208">
        <v>0</v>
      </c>
      <c r="K4208">
        <v>0</v>
      </c>
      <c r="L4208">
        <v>0</v>
      </c>
      <c r="M4208">
        <v>0</v>
      </c>
      <c r="O4208">
        <f t="shared" si="65"/>
        <v>1</v>
      </c>
    </row>
    <row r="4209" spans="1:15">
      <c r="A4209">
        <v>4297</v>
      </c>
      <c r="B4209" s="1">
        <v>45683</v>
      </c>
      <c r="C4209">
        <v>66</v>
      </c>
      <c r="D4209" t="s">
        <v>27</v>
      </c>
      <c r="E4209" t="s">
        <v>15</v>
      </c>
      <c r="F4209" t="s">
        <v>18</v>
      </c>
      <c r="G4209" t="s">
        <v>30</v>
      </c>
      <c r="H4209">
        <v>152.19999999999999</v>
      </c>
      <c r="I4209" s="13">
        <v>3</v>
      </c>
      <c r="J4209">
        <v>0</v>
      </c>
      <c r="K4209">
        <v>0</v>
      </c>
      <c r="L4209">
        <v>0</v>
      </c>
      <c r="M4209">
        <v>0</v>
      </c>
      <c r="O4209">
        <f t="shared" si="65"/>
        <v>1</v>
      </c>
    </row>
    <row r="4210" spans="1:15">
      <c r="A4210">
        <v>755</v>
      </c>
      <c r="B4210" s="1">
        <v>45683</v>
      </c>
      <c r="C4210">
        <v>28</v>
      </c>
      <c r="D4210" t="s">
        <v>14</v>
      </c>
      <c r="E4210" t="s">
        <v>20</v>
      </c>
      <c r="F4210" t="s">
        <v>16</v>
      </c>
      <c r="H4210">
        <v>131.19999999999999</v>
      </c>
      <c r="I4210" s="13">
        <v>8</v>
      </c>
      <c r="J4210">
        <v>0</v>
      </c>
      <c r="K4210">
        <v>0</v>
      </c>
      <c r="L4210">
        <v>0</v>
      </c>
      <c r="M4210">
        <v>0</v>
      </c>
      <c r="O4210">
        <f t="shared" si="65"/>
        <v>1</v>
      </c>
    </row>
    <row r="4211" spans="1:15">
      <c r="A4211">
        <v>1279</v>
      </c>
      <c r="B4211" s="1">
        <v>45683</v>
      </c>
      <c r="C4211">
        <v>34</v>
      </c>
      <c r="D4211" t="s">
        <v>14</v>
      </c>
      <c r="E4211" t="s">
        <v>15</v>
      </c>
      <c r="F4211" t="s">
        <v>18</v>
      </c>
      <c r="G4211" t="s">
        <v>31</v>
      </c>
      <c r="H4211">
        <v>123.4</v>
      </c>
      <c r="I4211" s="13">
        <v>7</v>
      </c>
      <c r="J4211">
        <v>0</v>
      </c>
      <c r="K4211">
        <v>0</v>
      </c>
      <c r="L4211">
        <v>0</v>
      </c>
      <c r="M4211">
        <v>0</v>
      </c>
      <c r="O4211">
        <f t="shared" si="65"/>
        <v>1</v>
      </c>
    </row>
    <row r="4212" spans="1:15">
      <c r="A4212">
        <v>4458</v>
      </c>
      <c r="B4212" s="1">
        <v>45683</v>
      </c>
      <c r="C4212">
        <v>50</v>
      </c>
      <c r="D4212" t="s">
        <v>27</v>
      </c>
      <c r="E4212" t="s">
        <v>24</v>
      </c>
      <c r="F4212" t="s">
        <v>16</v>
      </c>
      <c r="H4212">
        <v>113.9</v>
      </c>
      <c r="I4212" s="13">
        <v>8</v>
      </c>
      <c r="J4212">
        <v>0</v>
      </c>
      <c r="K4212">
        <v>0</v>
      </c>
      <c r="L4212">
        <v>0</v>
      </c>
      <c r="M4212">
        <v>0</v>
      </c>
      <c r="O4212">
        <f t="shared" si="65"/>
        <v>1</v>
      </c>
    </row>
    <row r="4213" spans="1:15">
      <c r="A4213">
        <v>3256</v>
      </c>
      <c r="B4213" s="1">
        <v>45683</v>
      </c>
      <c r="C4213">
        <v>34</v>
      </c>
      <c r="D4213" t="s">
        <v>17</v>
      </c>
      <c r="E4213" t="s">
        <v>20</v>
      </c>
      <c r="F4213" t="s">
        <v>23</v>
      </c>
      <c r="H4213">
        <v>90.4</v>
      </c>
      <c r="I4213" s="13">
        <v>8</v>
      </c>
      <c r="J4213">
        <v>0</v>
      </c>
      <c r="K4213">
        <v>0</v>
      </c>
      <c r="L4213">
        <v>0</v>
      </c>
      <c r="M4213">
        <v>0</v>
      </c>
      <c r="O4213">
        <f t="shared" si="65"/>
        <v>1</v>
      </c>
    </row>
    <row r="4214" spans="1:15">
      <c r="A4214">
        <v>2014</v>
      </c>
      <c r="B4214" s="1">
        <v>45683</v>
      </c>
      <c r="C4214">
        <v>42</v>
      </c>
      <c r="D4214" t="s">
        <v>17</v>
      </c>
      <c r="E4214" t="s">
        <v>24</v>
      </c>
      <c r="F4214" t="s">
        <v>21</v>
      </c>
      <c r="H4214">
        <v>29</v>
      </c>
      <c r="I4214" s="13">
        <v>6</v>
      </c>
      <c r="J4214">
        <v>0</v>
      </c>
      <c r="K4214">
        <v>0</v>
      </c>
      <c r="L4214">
        <v>0</v>
      </c>
      <c r="M4214">
        <v>0</v>
      </c>
      <c r="O4214">
        <f t="shared" si="65"/>
        <v>1</v>
      </c>
    </row>
    <row r="4215" spans="1:15">
      <c r="A4215">
        <v>3349</v>
      </c>
      <c r="B4215" s="1">
        <v>45714</v>
      </c>
      <c r="C4215">
        <v>18</v>
      </c>
      <c r="D4215" t="s">
        <v>17</v>
      </c>
      <c r="E4215" t="s">
        <v>24</v>
      </c>
      <c r="F4215" t="s">
        <v>16</v>
      </c>
      <c r="H4215">
        <v>306.10000000000002</v>
      </c>
      <c r="I4215" s="13">
        <v>7</v>
      </c>
      <c r="J4215">
        <v>1</v>
      </c>
      <c r="K4215">
        <v>398.2</v>
      </c>
      <c r="L4215">
        <v>1</v>
      </c>
      <c r="M4215">
        <v>7</v>
      </c>
      <c r="N4215">
        <v>5</v>
      </c>
      <c r="O4215">
        <f t="shared" si="65"/>
        <v>2</v>
      </c>
    </row>
    <row r="4216" spans="1:15">
      <c r="A4216">
        <v>4632</v>
      </c>
      <c r="B4216" s="1">
        <v>45714</v>
      </c>
      <c r="C4216">
        <v>62</v>
      </c>
      <c r="D4216" t="s">
        <v>14</v>
      </c>
      <c r="E4216" t="s">
        <v>22</v>
      </c>
      <c r="F4216" t="s">
        <v>16</v>
      </c>
      <c r="H4216">
        <v>618.20000000000005</v>
      </c>
      <c r="I4216" s="13">
        <v>7</v>
      </c>
      <c r="J4216">
        <v>1</v>
      </c>
      <c r="K4216">
        <v>113.01</v>
      </c>
      <c r="L4216">
        <v>6</v>
      </c>
      <c r="M4216">
        <v>1</v>
      </c>
      <c r="N4216">
        <v>4</v>
      </c>
      <c r="O4216">
        <f t="shared" si="65"/>
        <v>2</v>
      </c>
    </row>
    <row r="4217" spans="1:15">
      <c r="A4217">
        <v>3073</v>
      </c>
      <c r="B4217" s="1">
        <v>45714</v>
      </c>
      <c r="C4217">
        <v>33</v>
      </c>
      <c r="D4217" t="s">
        <v>17</v>
      </c>
      <c r="E4217" t="s">
        <v>24</v>
      </c>
      <c r="F4217" t="s">
        <v>16</v>
      </c>
      <c r="H4217">
        <v>415.4</v>
      </c>
      <c r="I4217" s="13">
        <v>5</v>
      </c>
      <c r="J4217">
        <v>1</v>
      </c>
      <c r="K4217">
        <v>72.22</v>
      </c>
      <c r="L4217">
        <v>4</v>
      </c>
      <c r="M4217">
        <v>4</v>
      </c>
      <c r="N4217">
        <v>3</v>
      </c>
      <c r="O4217">
        <f t="shared" si="65"/>
        <v>2</v>
      </c>
    </row>
    <row r="4218" spans="1:15">
      <c r="A4218">
        <v>3716</v>
      </c>
      <c r="B4218" s="1">
        <v>45714</v>
      </c>
      <c r="C4218">
        <v>18</v>
      </c>
      <c r="D4218" t="s">
        <v>14</v>
      </c>
      <c r="E4218" t="s">
        <v>20</v>
      </c>
      <c r="F4218" t="s">
        <v>18</v>
      </c>
      <c r="G4218" t="s">
        <v>31</v>
      </c>
      <c r="H4218">
        <v>656.8</v>
      </c>
      <c r="I4218" s="13">
        <v>5</v>
      </c>
      <c r="J4218">
        <v>1</v>
      </c>
      <c r="K4218">
        <v>55.48</v>
      </c>
      <c r="L4218">
        <v>2</v>
      </c>
      <c r="M4218">
        <v>14</v>
      </c>
      <c r="N4218">
        <v>4</v>
      </c>
      <c r="O4218">
        <f t="shared" si="65"/>
        <v>2</v>
      </c>
    </row>
    <row r="4219" spans="1:15">
      <c r="A4219">
        <v>2404</v>
      </c>
      <c r="B4219" s="1">
        <v>45714</v>
      </c>
      <c r="C4219">
        <v>36</v>
      </c>
      <c r="D4219" t="s">
        <v>17</v>
      </c>
      <c r="E4219" t="s">
        <v>15</v>
      </c>
      <c r="F4219" t="s">
        <v>18</v>
      </c>
      <c r="G4219" t="s">
        <v>29</v>
      </c>
      <c r="H4219">
        <v>150.19999999999999</v>
      </c>
      <c r="I4219" s="13">
        <v>4</v>
      </c>
      <c r="J4219">
        <v>1</v>
      </c>
      <c r="K4219">
        <v>39.409999999999997</v>
      </c>
      <c r="L4219">
        <v>1</v>
      </c>
      <c r="M4219">
        <v>11</v>
      </c>
      <c r="N4219">
        <v>4</v>
      </c>
      <c r="O4219">
        <f t="shared" si="65"/>
        <v>2</v>
      </c>
    </row>
    <row r="4220" spans="1:15">
      <c r="A4220">
        <v>4865</v>
      </c>
      <c r="B4220" s="1">
        <v>45714</v>
      </c>
      <c r="C4220">
        <v>41</v>
      </c>
      <c r="D4220" t="s">
        <v>14</v>
      </c>
      <c r="E4220" t="s">
        <v>22</v>
      </c>
      <c r="F4220" t="s">
        <v>18</v>
      </c>
      <c r="G4220" t="s">
        <v>25</v>
      </c>
      <c r="H4220">
        <v>150.4</v>
      </c>
      <c r="I4220" s="13">
        <v>9</v>
      </c>
      <c r="J4220">
        <v>1</v>
      </c>
      <c r="K4220">
        <v>14.27</v>
      </c>
      <c r="L4220">
        <v>4</v>
      </c>
      <c r="M4220">
        <v>13</v>
      </c>
      <c r="N4220">
        <v>3</v>
      </c>
      <c r="O4220">
        <f t="shared" si="65"/>
        <v>2</v>
      </c>
    </row>
    <row r="4221" spans="1:15">
      <c r="A4221">
        <v>3571</v>
      </c>
      <c r="B4221" s="1">
        <v>45714</v>
      </c>
      <c r="C4221">
        <v>37</v>
      </c>
      <c r="D4221" t="s">
        <v>14</v>
      </c>
      <c r="E4221" t="s">
        <v>22</v>
      </c>
      <c r="F4221" t="s">
        <v>16</v>
      </c>
      <c r="H4221">
        <v>182.4</v>
      </c>
      <c r="I4221" s="13">
        <v>6</v>
      </c>
      <c r="J4221">
        <v>1</v>
      </c>
      <c r="K4221">
        <v>1.1100000000000001</v>
      </c>
      <c r="L4221">
        <v>2</v>
      </c>
      <c r="M4221">
        <v>4</v>
      </c>
      <c r="N4221">
        <v>4</v>
      </c>
      <c r="O4221">
        <f t="shared" si="65"/>
        <v>2</v>
      </c>
    </row>
    <row r="4222" spans="1:15">
      <c r="A4222">
        <v>103</v>
      </c>
      <c r="B4222" s="1">
        <v>45714</v>
      </c>
      <c r="C4222">
        <v>30</v>
      </c>
      <c r="D4222" t="s">
        <v>17</v>
      </c>
      <c r="E4222" t="s">
        <v>22</v>
      </c>
      <c r="F4222" t="s">
        <v>16</v>
      </c>
      <c r="H4222">
        <v>789.6</v>
      </c>
      <c r="I4222" s="13">
        <v>7</v>
      </c>
      <c r="J4222">
        <v>0</v>
      </c>
      <c r="K4222">
        <v>0</v>
      </c>
      <c r="L4222">
        <v>0</v>
      </c>
      <c r="M4222">
        <v>0</v>
      </c>
      <c r="O4222">
        <f t="shared" si="65"/>
        <v>2</v>
      </c>
    </row>
    <row r="4223" spans="1:15">
      <c r="A4223">
        <v>2698</v>
      </c>
      <c r="B4223" s="1">
        <v>45714</v>
      </c>
      <c r="C4223">
        <v>35</v>
      </c>
      <c r="D4223" t="s">
        <v>14</v>
      </c>
      <c r="E4223" t="s">
        <v>20</v>
      </c>
      <c r="F4223" t="s">
        <v>16</v>
      </c>
      <c r="H4223">
        <v>770.4</v>
      </c>
      <c r="I4223" s="13">
        <v>4</v>
      </c>
      <c r="J4223">
        <v>0</v>
      </c>
      <c r="K4223">
        <v>0</v>
      </c>
      <c r="L4223">
        <v>0</v>
      </c>
      <c r="M4223">
        <v>0</v>
      </c>
      <c r="O4223">
        <f t="shared" si="65"/>
        <v>2</v>
      </c>
    </row>
    <row r="4224" spans="1:15">
      <c r="A4224">
        <v>1040</v>
      </c>
      <c r="B4224" s="1">
        <v>45714</v>
      </c>
      <c r="C4224">
        <v>29</v>
      </c>
      <c r="D4224" t="s">
        <v>14</v>
      </c>
      <c r="E4224" t="s">
        <v>20</v>
      </c>
      <c r="F4224" t="s">
        <v>23</v>
      </c>
      <c r="H4224">
        <v>724.7</v>
      </c>
      <c r="I4224" s="13">
        <v>5</v>
      </c>
      <c r="J4224">
        <v>0</v>
      </c>
      <c r="K4224">
        <v>0</v>
      </c>
      <c r="L4224">
        <v>0</v>
      </c>
      <c r="M4224">
        <v>0</v>
      </c>
      <c r="O4224">
        <f t="shared" si="65"/>
        <v>2</v>
      </c>
    </row>
    <row r="4225" spans="1:15">
      <c r="A4225">
        <v>1776</v>
      </c>
      <c r="B4225" s="1">
        <v>45714</v>
      </c>
      <c r="C4225">
        <v>33</v>
      </c>
      <c r="D4225" t="s">
        <v>14</v>
      </c>
      <c r="E4225" t="s">
        <v>24</v>
      </c>
      <c r="F4225" t="s">
        <v>18</v>
      </c>
      <c r="G4225" t="s">
        <v>29</v>
      </c>
      <c r="H4225">
        <v>483.8</v>
      </c>
      <c r="I4225" s="13">
        <v>6</v>
      </c>
      <c r="J4225">
        <v>0</v>
      </c>
      <c r="K4225">
        <v>0</v>
      </c>
      <c r="L4225">
        <v>0</v>
      </c>
      <c r="M4225">
        <v>0</v>
      </c>
      <c r="O4225">
        <f t="shared" si="65"/>
        <v>2</v>
      </c>
    </row>
    <row r="4226" spans="1:15">
      <c r="A4226">
        <v>762</v>
      </c>
      <c r="B4226" s="1">
        <v>45714</v>
      </c>
      <c r="C4226">
        <v>28</v>
      </c>
      <c r="D4226" t="s">
        <v>14</v>
      </c>
      <c r="E4226" t="s">
        <v>24</v>
      </c>
      <c r="F4226" t="s">
        <v>16</v>
      </c>
      <c r="H4226">
        <v>474.2</v>
      </c>
      <c r="I4226" s="13">
        <v>4</v>
      </c>
      <c r="J4226">
        <v>0</v>
      </c>
      <c r="K4226">
        <v>0</v>
      </c>
      <c r="L4226">
        <v>0</v>
      </c>
      <c r="M4226">
        <v>0</v>
      </c>
      <c r="O4226">
        <f t="shared" si="65"/>
        <v>2</v>
      </c>
    </row>
    <row r="4227" spans="1:15">
      <c r="A4227">
        <v>2670</v>
      </c>
      <c r="B4227" s="1">
        <v>45714</v>
      </c>
      <c r="C4227">
        <v>43</v>
      </c>
      <c r="D4227" t="s">
        <v>17</v>
      </c>
      <c r="E4227" t="s">
        <v>20</v>
      </c>
      <c r="F4227" t="s">
        <v>16</v>
      </c>
      <c r="H4227">
        <v>464.4</v>
      </c>
      <c r="I4227" s="13">
        <v>4</v>
      </c>
      <c r="J4227">
        <v>0</v>
      </c>
      <c r="K4227">
        <v>0</v>
      </c>
      <c r="L4227">
        <v>0</v>
      </c>
      <c r="M4227">
        <v>0</v>
      </c>
      <c r="O4227">
        <f t="shared" ref="O4227:O4290" si="66">MONTH(B4227)</f>
        <v>2</v>
      </c>
    </row>
    <row r="4228" spans="1:15">
      <c r="A4228">
        <v>1531</v>
      </c>
      <c r="B4228" s="1">
        <v>45714</v>
      </c>
      <c r="C4228">
        <v>23</v>
      </c>
      <c r="D4228" t="s">
        <v>17</v>
      </c>
      <c r="E4228" t="s">
        <v>22</v>
      </c>
      <c r="F4228" t="s">
        <v>16</v>
      </c>
      <c r="H4228">
        <v>436.1</v>
      </c>
      <c r="I4228" s="13">
        <v>6</v>
      </c>
      <c r="J4228">
        <v>0</v>
      </c>
      <c r="K4228">
        <v>0</v>
      </c>
      <c r="L4228">
        <v>0</v>
      </c>
      <c r="M4228">
        <v>0</v>
      </c>
      <c r="O4228">
        <f t="shared" si="66"/>
        <v>2</v>
      </c>
    </row>
    <row r="4229" spans="1:15">
      <c r="A4229">
        <v>4184</v>
      </c>
      <c r="B4229" s="1">
        <v>45714</v>
      </c>
      <c r="C4229">
        <v>59</v>
      </c>
      <c r="D4229" t="s">
        <v>17</v>
      </c>
      <c r="E4229" t="s">
        <v>22</v>
      </c>
      <c r="F4229" t="s">
        <v>16</v>
      </c>
      <c r="H4229">
        <v>388.7</v>
      </c>
      <c r="I4229" s="13">
        <v>5</v>
      </c>
      <c r="J4229">
        <v>0</v>
      </c>
      <c r="K4229">
        <v>0</v>
      </c>
      <c r="L4229">
        <v>0</v>
      </c>
      <c r="M4229">
        <v>0</v>
      </c>
      <c r="O4229">
        <f t="shared" si="66"/>
        <v>2</v>
      </c>
    </row>
    <row r="4230" spans="1:15">
      <c r="A4230">
        <v>2620</v>
      </c>
      <c r="B4230" s="1">
        <v>45714</v>
      </c>
      <c r="C4230">
        <v>46</v>
      </c>
      <c r="D4230" t="s">
        <v>14</v>
      </c>
      <c r="E4230" t="s">
        <v>20</v>
      </c>
      <c r="F4230" t="s">
        <v>21</v>
      </c>
      <c r="H4230">
        <v>376.2</v>
      </c>
      <c r="I4230" s="13">
        <v>2</v>
      </c>
      <c r="J4230">
        <v>0</v>
      </c>
      <c r="K4230">
        <v>0</v>
      </c>
      <c r="L4230">
        <v>0</v>
      </c>
      <c r="M4230">
        <v>0</v>
      </c>
      <c r="O4230">
        <f t="shared" si="66"/>
        <v>2</v>
      </c>
    </row>
    <row r="4231" spans="1:15">
      <c r="A4231">
        <v>4594</v>
      </c>
      <c r="B4231" s="1">
        <v>45714</v>
      </c>
      <c r="C4231">
        <v>57</v>
      </c>
      <c r="D4231" t="s">
        <v>14</v>
      </c>
      <c r="E4231" t="s">
        <v>22</v>
      </c>
      <c r="F4231" t="s">
        <v>23</v>
      </c>
      <c r="H4231">
        <v>316.60000000000002</v>
      </c>
      <c r="I4231" s="13">
        <v>2</v>
      </c>
      <c r="J4231">
        <v>0</v>
      </c>
      <c r="K4231">
        <v>0</v>
      </c>
      <c r="L4231">
        <v>0</v>
      </c>
      <c r="M4231">
        <v>0</v>
      </c>
      <c r="O4231">
        <f t="shared" si="66"/>
        <v>2</v>
      </c>
    </row>
    <row r="4232" spans="1:15">
      <c r="A4232">
        <v>1703</v>
      </c>
      <c r="B4232" s="1">
        <v>45714</v>
      </c>
      <c r="C4232">
        <v>29</v>
      </c>
      <c r="D4232" t="s">
        <v>17</v>
      </c>
      <c r="E4232" t="s">
        <v>22</v>
      </c>
      <c r="F4232" t="s">
        <v>16</v>
      </c>
      <c r="H4232">
        <v>272.89999999999998</v>
      </c>
      <c r="I4232" s="13">
        <v>7</v>
      </c>
      <c r="J4232">
        <v>0</v>
      </c>
      <c r="K4232">
        <v>0</v>
      </c>
      <c r="L4232">
        <v>0</v>
      </c>
      <c r="M4232">
        <v>0</v>
      </c>
      <c r="O4232">
        <f t="shared" si="66"/>
        <v>2</v>
      </c>
    </row>
    <row r="4233" spans="1:15">
      <c r="A4233">
        <v>3417</v>
      </c>
      <c r="B4233" s="1">
        <v>45714</v>
      </c>
      <c r="C4233">
        <v>25</v>
      </c>
      <c r="D4233" t="s">
        <v>17</v>
      </c>
      <c r="E4233" t="s">
        <v>22</v>
      </c>
      <c r="F4233" t="s">
        <v>21</v>
      </c>
      <c r="H4233">
        <v>262.5</v>
      </c>
      <c r="I4233" s="13">
        <v>2</v>
      </c>
      <c r="J4233">
        <v>0</v>
      </c>
      <c r="K4233">
        <v>0</v>
      </c>
      <c r="L4233">
        <v>0</v>
      </c>
      <c r="M4233">
        <v>0</v>
      </c>
      <c r="O4233">
        <f t="shared" si="66"/>
        <v>2</v>
      </c>
    </row>
    <row r="4234" spans="1:15">
      <c r="A4234">
        <v>4642</v>
      </c>
      <c r="B4234" s="1">
        <v>45714</v>
      </c>
      <c r="C4234">
        <v>56</v>
      </c>
      <c r="D4234" t="s">
        <v>14</v>
      </c>
      <c r="E4234" t="s">
        <v>22</v>
      </c>
      <c r="F4234" t="s">
        <v>16</v>
      </c>
      <c r="H4234">
        <v>235</v>
      </c>
      <c r="I4234" s="13">
        <v>8</v>
      </c>
      <c r="J4234">
        <v>0</v>
      </c>
      <c r="K4234">
        <v>0</v>
      </c>
      <c r="L4234">
        <v>0</v>
      </c>
      <c r="M4234">
        <v>0</v>
      </c>
      <c r="O4234">
        <f t="shared" si="66"/>
        <v>2</v>
      </c>
    </row>
    <row r="4235" spans="1:15">
      <c r="A4235">
        <v>1421</v>
      </c>
      <c r="B4235" s="1">
        <v>45714</v>
      </c>
      <c r="C4235">
        <v>25</v>
      </c>
      <c r="D4235" t="s">
        <v>17</v>
      </c>
      <c r="E4235" t="s">
        <v>22</v>
      </c>
      <c r="F4235" t="s">
        <v>18</v>
      </c>
      <c r="G4235" t="s">
        <v>30</v>
      </c>
      <c r="H4235">
        <v>211.7</v>
      </c>
      <c r="I4235" s="13">
        <v>3</v>
      </c>
      <c r="J4235">
        <v>0</v>
      </c>
      <c r="K4235">
        <v>0</v>
      </c>
      <c r="L4235">
        <v>0</v>
      </c>
      <c r="M4235">
        <v>0</v>
      </c>
      <c r="O4235">
        <f t="shared" si="66"/>
        <v>2</v>
      </c>
    </row>
    <row r="4236" spans="1:15">
      <c r="A4236">
        <v>4425</v>
      </c>
      <c r="B4236" s="1">
        <v>45714</v>
      </c>
      <c r="C4236">
        <v>56</v>
      </c>
      <c r="D4236" t="s">
        <v>17</v>
      </c>
      <c r="E4236" t="s">
        <v>15</v>
      </c>
      <c r="F4236" t="s">
        <v>16</v>
      </c>
      <c r="H4236">
        <v>197.4</v>
      </c>
      <c r="I4236" s="13">
        <v>8</v>
      </c>
      <c r="J4236">
        <v>0</v>
      </c>
      <c r="K4236">
        <v>0</v>
      </c>
      <c r="L4236">
        <v>0</v>
      </c>
      <c r="M4236">
        <v>0</v>
      </c>
      <c r="O4236">
        <f t="shared" si="66"/>
        <v>2</v>
      </c>
    </row>
    <row r="4237" spans="1:15">
      <c r="A4237">
        <v>2144</v>
      </c>
      <c r="B4237" s="1">
        <v>45714</v>
      </c>
      <c r="C4237">
        <v>32</v>
      </c>
      <c r="D4237" t="s">
        <v>17</v>
      </c>
      <c r="E4237" t="s">
        <v>24</v>
      </c>
      <c r="F4237" t="s">
        <v>16</v>
      </c>
      <c r="H4237">
        <v>168.8</v>
      </c>
      <c r="I4237" s="13">
        <v>7</v>
      </c>
      <c r="J4237">
        <v>0</v>
      </c>
      <c r="K4237">
        <v>0</v>
      </c>
      <c r="L4237">
        <v>0</v>
      </c>
      <c r="M4237">
        <v>0</v>
      </c>
      <c r="O4237">
        <f t="shared" si="66"/>
        <v>2</v>
      </c>
    </row>
    <row r="4238" spans="1:15">
      <c r="A4238">
        <v>4169</v>
      </c>
      <c r="B4238" s="1">
        <v>45714</v>
      </c>
      <c r="C4238">
        <v>40</v>
      </c>
      <c r="D4238" t="s">
        <v>17</v>
      </c>
      <c r="E4238" t="s">
        <v>24</v>
      </c>
      <c r="F4238" t="s">
        <v>18</v>
      </c>
      <c r="G4238" t="s">
        <v>26</v>
      </c>
      <c r="H4238">
        <v>155.1</v>
      </c>
      <c r="I4238" s="13">
        <v>4</v>
      </c>
      <c r="J4238">
        <v>0</v>
      </c>
      <c r="K4238">
        <v>0</v>
      </c>
      <c r="L4238">
        <v>0</v>
      </c>
      <c r="M4238">
        <v>0</v>
      </c>
      <c r="O4238">
        <f t="shared" si="66"/>
        <v>2</v>
      </c>
    </row>
    <row r="4239" spans="1:15">
      <c r="A4239">
        <v>4576</v>
      </c>
      <c r="B4239" s="1">
        <v>45714</v>
      </c>
      <c r="C4239">
        <v>63</v>
      </c>
      <c r="D4239" t="s">
        <v>17</v>
      </c>
      <c r="E4239" t="s">
        <v>20</v>
      </c>
      <c r="F4239" t="s">
        <v>23</v>
      </c>
      <c r="H4239">
        <v>147.69999999999999</v>
      </c>
      <c r="I4239" s="13">
        <v>10</v>
      </c>
      <c r="J4239">
        <v>0</v>
      </c>
      <c r="K4239">
        <v>0</v>
      </c>
      <c r="L4239">
        <v>0</v>
      </c>
      <c r="M4239">
        <v>0</v>
      </c>
      <c r="O4239">
        <f t="shared" si="66"/>
        <v>2</v>
      </c>
    </row>
    <row r="4240" spans="1:15">
      <c r="A4240">
        <v>47</v>
      </c>
      <c r="B4240" s="1">
        <v>45714</v>
      </c>
      <c r="C4240">
        <v>35</v>
      </c>
      <c r="D4240" t="s">
        <v>14</v>
      </c>
      <c r="E4240" t="s">
        <v>15</v>
      </c>
      <c r="F4240" t="s">
        <v>18</v>
      </c>
      <c r="G4240" t="s">
        <v>29</v>
      </c>
      <c r="H4240">
        <v>141.6</v>
      </c>
      <c r="I4240" s="13">
        <v>5</v>
      </c>
      <c r="J4240">
        <v>0</v>
      </c>
      <c r="K4240">
        <v>0</v>
      </c>
      <c r="L4240">
        <v>0</v>
      </c>
      <c r="M4240">
        <v>0</v>
      </c>
      <c r="O4240">
        <f t="shared" si="66"/>
        <v>2</v>
      </c>
    </row>
    <row r="4241" spans="1:15">
      <c r="A4241">
        <v>4891</v>
      </c>
      <c r="B4241" s="1">
        <v>45714</v>
      </c>
      <c r="C4241">
        <v>45</v>
      </c>
      <c r="D4241" t="s">
        <v>17</v>
      </c>
      <c r="E4241" t="s">
        <v>22</v>
      </c>
      <c r="F4241" t="s">
        <v>16</v>
      </c>
      <c r="H4241">
        <v>106.1</v>
      </c>
      <c r="I4241" s="13">
        <v>9</v>
      </c>
      <c r="J4241">
        <v>0</v>
      </c>
      <c r="K4241">
        <v>0</v>
      </c>
      <c r="L4241">
        <v>0</v>
      </c>
      <c r="M4241">
        <v>0</v>
      </c>
      <c r="O4241">
        <f t="shared" si="66"/>
        <v>2</v>
      </c>
    </row>
    <row r="4242" spans="1:15">
      <c r="A4242">
        <v>4236</v>
      </c>
      <c r="B4242" s="1">
        <v>45714</v>
      </c>
      <c r="C4242">
        <v>65</v>
      </c>
      <c r="D4242" t="s">
        <v>17</v>
      </c>
      <c r="E4242" t="s">
        <v>22</v>
      </c>
      <c r="F4242" t="s">
        <v>16</v>
      </c>
      <c r="H4242">
        <v>100.4</v>
      </c>
      <c r="I4242" s="13">
        <v>2</v>
      </c>
      <c r="J4242">
        <v>0</v>
      </c>
      <c r="K4242">
        <v>0</v>
      </c>
      <c r="L4242">
        <v>0</v>
      </c>
      <c r="M4242">
        <v>0</v>
      </c>
      <c r="O4242">
        <f t="shared" si="66"/>
        <v>2</v>
      </c>
    </row>
    <row r="4243" spans="1:15">
      <c r="A4243">
        <v>2615</v>
      </c>
      <c r="B4243" s="1">
        <v>45714</v>
      </c>
      <c r="C4243">
        <v>34</v>
      </c>
      <c r="D4243" t="s">
        <v>17</v>
      </c>
      <c r="E4243" t="s">
        <v>22</v>
      </c>
      <c r="F4243" t="s">
        <v>18</v>
      </c>
      <c r="G4243" t="s">
        <v>29</v>
      </c>
      <c r="H4243">
        <v>70.3</v>
      </c>
      <c r="I4243" s="13">
        <v>11</v>
      </c>
      <c r="J4243">
        <v>0</v>
      </c>
      <c r="K4243">
        <v>0</v>
      </c>
      <c r="L4243">
        <v>0</v>
      </c>
      <c r="M4243">
        <v>0</v>
      </c>
      <c r="O4243">
        <f t="shared" si="66"/>
        <v>2</v>
      </c>
    </row>
    <row r="4244" spans="1:15">
      <c r="A4244">
        <v>2429</v>
      </c>
      <c r="B4244" s="1">
        <v>45714</v>
      </c>
      <c r="C4244">
        <v>33</v>
      </c>
      <c r="D4244" t="s">
        <v>14</v>
      </c>
      <c r="E4244" t="s">
        <v>20</v>
      </c>
      <c r="F4244" t="s">
        <v>23</v>
      </c>
      <c r="H4244">
        <v>62</v>
      </c>
      <c r="I4244" s="13">
        <v>5</v>
      </c>
      <c r="J4244">
        <v>0</v>
      </c>
      <c r="K4244">
        <v>0</v>
      </c>
      <c r="L4244">
        <v>0</v>
      </c>
      <c r="M4244">
        <v>0</v>
      </c>
      <c r="O4244">
        <f t="shared" si="66"/>
        <v>2</v>
      </c>
    </row>
    <row r="4245" spans="1:15">
      <c r="A4245">
        <v>3753</v>
      </c>
      <c r="B4245" s="1">
        <v>45714</v>
      </c>
      <c r="C4245">
        <v>56</v>
      </c>
      <c r="D4245" t="s">
        <v>17</v>
      </c>
      <c r="E4245" t="s">
        <v>22</v>
      </c>
      <c r="F4245" t="s">
        <v>23</v>
      </c>
      <c r="H4245">
        <v>60.6</v>
      </c>
      <c r="I4245" s="13">
        <v>5</v>
      </c>
      <c r="J4245">
        <v>0</v>
      </c>
      <c r="K4245">
        <v>0</v>
      </c>
      <c r="L4245">
        <v>0</v>
      </c>
      <c r="M4245">
        <v>0</v>
      </c>
      <c r="O4245">
        <f t="shared" si="66"/>
        <v>2</v>
      </c>
    </row>
    <row r="4246" spans="1:15">
      <c r="A4246">
        <v>4043</v>
      </c>
      <c r="B4246" s="1">
        <v>45742</v>
      </c>
      <c r="C4246">
        <v>52</v>
      </c>
      <c r="D4246" t="s">
        <v>17</v>
      </c>
      <c r="E4246" t="s">
        <v>20</v>
      </c>
      <c r="F4246" t="s">
        <v>18</v>
      </c>
      <c r="G4246" t="s">
        <v>26</v>
      </c>
      <c r="H4246">
        <v>197.4</v>
      </c>
      <c r="I4246" s="13">
        <v>6</v>
      </c>
      <c r="J4246">
        <v>1</v>
      </c>
      <c r="K4246">
        <v>318</v>
      </c>
      <c r="L4246">
        <v>2</v>
      </c>
      <c r="M4246">
        <v>7</v>
      </c>
      <c r="N4246">
        <v>3</v>
      </c>
      <c r="O4246">
        <f t="shared" si="66"/>
        <v>3</v>
      </c>
    </row>
    <row r="4247" spans="1:15">
      <c r="A4247">
        <v>4482</v>
      </c>
      <c r="B4247" s="1">
        <v>45742</v>
      </c>
      <c r="C4247">
        <v>41</v>
      </c>
      <c r="D4247" t="s">
        <v>14</v>
      </c>
      <c r="E4247" t="s">
        <v>15</v>
      </c>
      <c r="F4247" t="s">
        <v>18</v>
      </c>
      <c r="G4247" t="s">
        <v>28</v>
      </c>
      <c r="H4247">
        <v>327.9</v>
      </c>
      <c r="I4247" s="13">
        <v>4</v>
      </c>
      <c r="J4247">
        <v>1</v>
      </c>
      <c r="K4247">
        <v>75.489999999999995</v>
      </c>
      <c r="L4247">
        <v>4</v>
      </c>
      <c r="M4247">
        <v>6</v>
      </c>
      <c r="N4247">
        <v>5</v>
      </c>
      <c r="O4247">
        <f t="shared" si="66"/>
        <v>3</v>
      </c>
    </row>
    <row r="4248" spans="1:15">
      <c r="A4248">
        <v>90</v>
      </c>
      <c r="B4248" s="1">
        <v>45742</v>
      </c>
      <c r="C4248">
        <v>18</v>
      </c>
      <c r="D4248" t="s">
        <v>14</v>
      </c>
      <c r="E4248" t="s">
        <v>22</v>
      </c>
      <c r="F4248" t="s">
        <v>16</v>
      </c>
      <c r="H4248">
        <v>318.39999999999998</v>
      </c>
      <c r="I4248" s="13">
        <v>5</v>
      </c>
      <c r="J4248">
        <v>1</v>
      </c>
      <c r="K4248">
        <v>56.55</v>
      </c>
      <c r="L4248">
        <v>3</v>
      </c>
      <c r="M4248">
        <v>15</v>
      </c>
      <c r="N4248">
        <v>5</v>
      </c>
      <c r="O4248">
        <f t="shared" si="66"/>
        <v>3</v>
      </c>
    </row>
    <row r="4249" spans="1:15">
      <c r="A4249">
        <v>1086</v>
      </c>
      <c r="B4249" s="1">
        <v>45742</v>
      </c>
      <c r="C4249">
        <v>23</v>
      </c>
      <c r="D4249" t="s">
        <v>14</v>
      </c>
      <c r="E4249" t="s">
        <v>15</v>
      </c>
      <c r="F4249" t="s">
        <v>18</v>
      </c>
      <c r="G4249" t="s">
        <v>29</v>
      </c>
      <c r="H4249">
        <v>518.4</v>
      </c>
      <c r="I4249" s="13">
        <v>5</v>
      </c>
      <c r="J4249">
        <v>1</v>
      </c>
      <c r="K4249">
        <v>22.43</v>
      </c>
      <c r="L4249">
        <v>3</v>
      </c>
      <c r="M4249">
        <v>15</v>
      </c>
      <c r="N4249">
        <v>3</v>
      </c>
      <c r="O4249">
        <f t="shared" si="66"/>
        <v>3</v>
      </c>
    </row>
    <row r="4250" spans="1:15">
      <c r="A4250">
        <v>3827</v>
      </c>
      <c r="B4250" s="1">
        <v>45742</v>
      </c>
      <c r="C4250">
        <v>57</v>
      </c>
      <c r="D4250" t="s">
        <v>17</v>
      </c>
      <c r="E4250" t="s">
        <v>15</v>
      </c>
      <c r="F4250" t="s">
        <v>16</v>
      </c>
      <c r="H4250">
        <v>524.5</v>
      </c>
      <c r="I4250" s="13">
        <v>7</v>
      </c>
      <c r="J4250">
        <v>0</v>
      </c>
      <c r="K4250">
        <v>0</v>
      </c>
      <c r="L4250">
        <v>0</v>
      </c>
      <c r="M4250">
        <v>0</v>
      </c>
      <c r="O4250">
        <f t="shared" si="66"/>
        <v>3</v>
      </c>
    </row>
    <row r="4251" spans="1:15">
      <c r="A4251">
        <v>3736</v>
      </c>
      <c r="B4251" s="1">
        <v>45742</v>
      </c>
      <c r="C4251">
        <v>18</v>
      </c>
      <c r="D4251" t="s">
        <v>17</v>
      </c>
      <c r="E4251" t="s">
        <v>20</v>
      </c>
      <c r="F4251" t="s">
        <v>16</v>
      </c>
      <c r="H4251">
        <v>454.4</v>
      </c>
      <c r="I4251" s="13">
        <v>11</v>
      </c>
      <c r="J4251">
        <v>0</v>
      </c>
      <c r="K4251">
        <v>0</v>
      </c>
      <c r="L4251">
        <v>0</v>
      </c>
      <c r="M4251">
        <v>0</v>
      </c>
      <c r="O4251">
        <f t="shared" si="66"/>
        <v>3</v>
      </c>
    </row>
    <row r="4252" spans="1:15">
      <c r="A4252">
        <v>858</v>
      </c>
      <c r="B4252" s="1">
        <v>45742</v>
      </c>
      <c r="C4252">
        <v>29</v>
      </c>
      <c r="D4252" t="s">
        <v>14</v>
      </c>
      <c r="E4252" t="s">
        <v>24</v>
      </c>
      <c r="F4252" t="s">
        <v>16</v>
      </c>
      <c r="H4252">
        <v>379.2</v>
      </c>
      <c r="I4252" s="13">
        <v>7</v>
      </c>
      <c r="J4252">
        <v>0</v>
      </c>
      <c r="K4252">
        <v>0</v>
      </c>
      <c r="L4252">
        <v>0</v>
      </c>
      <c r="M4252">
        <v>0</v>
      </c>
      <c r="O4252">
        <f t="shared" si="66"/>
        <v>3</v>
      </c>
    </row>
    <row r="4253" spans="1:15">
      <c r="A4253">
        <v>4882</v>
      </c>
      <c r="B4253" s="1">
        <v>45742</v>
      </c>
      <c r="C4253">
        <v>44</v>
      </c>
      <c r="D4253" t="s">
        <v>17</v>
      </c>
      <c r="E4253" t="s">
        <v>22</v>
      </c>
      <c r="F4253" t="s">
        <v>16</v>
      </c>
      <c r="H4253">
        <v>321.7</v>
      </c>
      <c r="I4253" s="13">
        <v>8</v>
      </c>
      <c r="J4253">
        <v>0</v>
      </c>
      <c r="K4253">
        <v>0</v>
      </c>
      <c r="L4253">
        <v>0</v>
      </c>
      <c r="M4253">
        <v>0</v>
      </c>
      <c r="O4253">
        <f t="shared" si="66"/>
        <v>3</v>
      </c>
    </row>
    <row r="4254" spans="1:15">
      <c r="A4254">
        <v>3522</v>
      </c>
      <c r="B4254" s="1">
        <v>45742</v>
      </c>
      <c r="C4254">
        <v>26</v>
      </c>
      <c r="D4254" t="s">
        <v>17</v>
      </c>
      <c r="E4254" t="s">
        <v>24</v>
      </c>
      <c r="F4254" t="s">
        <v>18</v>
      </c>
      <c r="G4254" t="s">
        <v>31</v>
      </c>
      <c r="H4254">
        <v>287.60000000000002</v>
      </c>
      <c r="I4254" s="13">
        <v>6</v>
      </c>
      <c r="J4254">
        <v>0</v>
      </c>
      <c r="K4254">
        <v>0</v>
      </c>
      <c r="L4254">
        <v>0</v>
      </c>
      <c r="M4254">
        <v>0</v>
      </c>
      <c r="O4254">
        <f t="shared" si="66"/>
        <v>3</v>
      </c>
    </row>
    <row r="4255" spans="1:15">
      <c r="A4255">
        <v>713</v>
      </c>
      <c r="B4255" s="1">
        <v>45742</v>
      </c>
      <c r="C4255">
        <v>29</v>
      </c>
      <c r="D4255" t="s">
        <v>17</v>
      </c>
      <c r="E4255" t="s">
        <v>15</v>
      </c>
      <c r="F4255" t="s">
        <v>21</v>
      </c>
      <c r="H4255">
        <v>252.9</v>
      </c>
      <c r="I4255" s="13">
        <v>4</v>
      </c>
      <c r="J4255">
        <v>0</v>
      </c>
      <c r="K4255">
        <v>0</v>
      </c>
      <c r="L4255">
        <v>0</v>
      </c>
      <c r="M4255">
        <v>0</v>
      </c>
      <c r="O4255">
        <f t="shared" si="66"/>
        <v>3</v>
      </c>
    </row>
    <row r="4256" spans="1:15">
      <c r="A4256">
        <v>2145</v>
      </c>
      <c r="B4256" s="1">
        <v>45742</v>
      </c>
      <c r="C4256">
        <v>33</v>
      </c>
      <c r="D4256" t="s">
        <v>17</v>
      </c>
      <c r="E4256" t="s">
        <v>22</v>
      </c>
      <c r="F4256" t="s">
        <v>18</v>
      </c>
      <c r="G4256" t="s">
        <v>31</v>
      </c>
      <c r="H4256">
        <v>195.4</v>
      </c>
      <c r="I4256" s="13">
        <v>6</v>
      </c>
      <c r="J4256">
        <v>0</v>
      </c>
      <c r="K4256">
        <v>0</v>
      </c>
      <c r="L4256">
        <v>0</v>
      </c>
      <c r="M4256">
        <v>0</v>
      </c>
      <c r="O4256">
        <f t="shared" si="66"/>
        <v>3</v>
      </c>
    </row>
    <row r="4257" spans="1:15">
      <c r="A4257">
        <v>2757</v>
      </c>
      <c r="B4257" s="1">
        <v>45742</v>
      </c>
      <c r="C4257">
        <v>26</v>
      </c>
      <c r="D4257" t="s">
        <v>14</v>
      </c>
      <c r="E4257" t="s">
        <v>20</v>
      </c>
      <c r="F4257" t="s">
        <v>18</v>
      </c>
      <c r="G4257" t="s">
        <v>26</v>
      </c>
      <c r="H4257">
        <v>183.4</v>
      </c>
      <c r="I4257" s="13">
        <v>10</v>
      </c>
      <c r="J4257">
        <v>0</v>
      </c>
      <c r="K4257">
        <v>0</v>
      </c>
      <c r="L4257">
        <v>0</v>
      </c>
      <c r="M4257">
        <v>0</v>
      </c>
      <c r="O4257">
        <f t="shared" si="66"/>
        <v>3</v>
      </c>
    </row>
    <row r="4258" spans="1:15">
      <c r="A4258">
        <v>458</v>
      </c>
      <c r="B4258" s="1">
        <v>45742</v>
      </c>
      <c r="C4258">
        <v>30</v>
      </c>
      <c r="D4258" t="s">
        <v>17</v>
      </c>
      <c r="E4258" t="s">
        <v>15</v>
      </c>
      <c r="F4258" t="s">
        <v>16</v>
      </c>
      <c r="H4258">
        <v>129.1</v>
      </c>
      <c r="I4258" s="13">
        <v>4</v>
      </c>
      <c r="J4258">
        <v>0</v>
      </c>
      <c r="K4258">
        <v>0</v>
      </c>
      <c r="L4258">
        <v>0</v>
      </c>
      <c r="M4258">
        <v>0</v>
      </c>
      <c r="O4258">
        <f t="shared" si="66"/>
        <v>3</v>
      </c>
    </row>
    <row r="4259" spans="1:15">
      <c r="A4259">
        <v>526</v>
      </c>
      <c r="B4259" s="1">
        <v>45742</v>
      </c>
      <c r="C4259">
        <v>27</v>
      </c>
      <c r="D4259" t="s">
        <v>17</v>
      </c>
      <c r="E4259" t="s">
        <v>22</v>
      </c>
      <c r="F4259" t="s">
        <v>18</v>
      </c>
      <c r="G4259" t="s">
        <v>26</v>
      </c>
      <c r="H4259">
        <v>128.69999999999999</v>
      </c>
      <c r="I4259" s="13">
        <v>5</v>
      </c>
      <c r="J4259">
        <v>0</v>
      </c>
      <c r="K4259">
        <v>0</v>
      </c>
      <c r="L4259">
        <v>0</v>
      </c>
      <c r="M4259">
        <v>0</v>
      </c>
      <c r="O4259">
        <f t="shared" si="66"/>
        <v>3</v>
      </c>
    </row>
    <row r="4260" spans="1:15">
      <c r="A4260">
        <v>3643</v>
      </c>
      <c r="B4260" s="1">
        <v>45742</v>
      </c>
      <c r="C4260">
        <v>40</v>
      </c>
      <c r="D4260" t="s">
        <v>14</v>
      </c>
      <c r="E4260" t="s">
        <v>20</v>
      </c>
      <c r="F4260" t="s">
        <v>16</v>
      </c>
      <c r="H4260">
        <v>112.5</v>
      </c>
      <c r="I4260" s="13">
        <v>5</v>
      </c>
      <c r="J4260">
        <v>0</v>
      </c>
      <c r="K4260">
        <v>0</v>
      </c>
      <c r="L4260">
        <v>0</v>
      </c>
      <c r="M4260">
        <v>0</v>
      </c>
      <c r="O4260">
        <f t="shared" si="66"/>
        <v>3</v>
      </c>
    </row>
    <row r="4261" spans="1:15">
      <c r="A4261">
        <v>2165</v>
      </c>
      <c r="B4261" s="1">
        <v>45742</v>
      </c>
      <c r="C4261">
        <v>54</v>
      </c>
      <c r="D4261" t="s">
        <v>17</v>
      </c>
      <c r="E4261" t="s">
        <v>20</v>
      </c>
      <c r="F4261" t="s">
        <v>16</v>
      </c>
      <c r="H4261">
        <v>107.2</v>
      </c>
      <c r="I4261" s="13">
        <v>5</v>
      </c>
      <c r="J4261">
        <v>0</v>
      </c>
      <c r="K4261">
        <v>0</v>
      </c>
      <c r="L4261">
        <v>0</v>
      </c>
      <c r="M4261">
        <v>0</v>
      </c>
      <c r="O4261">
        <f t="shared" si="66"/>
        <v>3</v>
      </c>
    </row>
    <row r="4262" spans="1:15">
      <c r="A4262">
        <v>4512</v>
      </c>
      <c r="B4262" s="1">
        <v>45742</v>
      </c>
      <c r="C4262">
        <v>44</v>
      </c>
      <c r="D4262" t="s">
        <v>14</v>
      </c>
      <c r="E4262" t="s">
        <v>22</v>
      </c>
      <c r="F4262" t="s">
        <v>16</v>
      </c>
      <c r="H4262">
        <v>96.2</v>
      </c>
      <c r="I4262" s="13">
        <v>6</v>
      </c>
      <c r="J4262">
        <v>0</v>
      </c>
      <c r="K4262">
        <v>0</v>
      </c>
      <c r="L4262">
        <v>0</v>
      </c>
      <c r="M4262">
        <v>0</v>
      </c>
      <c r="O4262">
        <f t="shared" si="66"/>
        <v>3</v>
      </c>
    </row>
    <row r="4263" spans="1:15">
      <c r="A4263">
        <v>2226</v>
      </c>
      <c r="B4263" s="1">
        <v>45742</v>
      </c>
      <c r="C4263">
        <v>34</v>
      </c>
      <c r="D4263" t="s">
        <v>17</v>
      </c>
      <c r="E4263" t="s">
        <v>15</v>
      </c>
      <c r="F4263" t="s">
        <v>21</v>
      </c>
      <c r="H4263">
        <v>15</v>
      </c>
      <c r="I4263" s="13">
        <v>5</v>
      </c>
      <c r="J4263">
        <v>0</v>
      </c>
      <c r="K4263">
        <v>0</v>
      </c>
      <c r="L4263">
        <v>0</v>
      </c>
      <c r="M4263">
        <v>0</v>
      </c>
      <c r="O4263">
        <f t="shared" si="66"/>
        <v>3</v>
      </c>
    </row>
    <row r="4264" spans="1:15">
      <c r="A4264">
        <v>4015</v>
      </c>
      <c r="B4264" s="1">
        <v>45773</v>
      </c>
      <c r="C4264">
        <v>50</v>
      </c>
      <c r="D4264" t="s">
        <v>14</v>
      </c>
      <c r="E4264" t="s">
        <v>22</v>
      </c>
      <c r="F4264" t="s">
        <v>23</v>
      </c>
      <c r="H4264">
        <v>255.4</v>
      </c>
      <c r="I4264" s="13">
        <v>5</v>
      </c>
      <c r="J4264">
        <v>1</v>
      </c>
      <c r="K4264">
        <v>340.62</v>
      </c>
      <c r="L4264">
        <v>4</v>
      </c>
      <c r="M4264">
        <v>7</v>
      </c>
      <c r="N4264">
        <v>4</v>
      </c>
      <c r="O4264">
        <f t="shared" si="66"/>
        <v>4</v>
      </c>
    </row>
    <row r="4265" spans="1:15">
      <c r="A4265">
        <v>1429</v>
      </c>
      <c r="B4265" s="1">
        <v>45773</v>
      </c>
      <c r="C4265">
        <v>19</v>
      </c>
      <c r="D4265" t="s">
        <v>14</v>
      </c>
      <c r="E4265" t="s">
        <v>22</v>
      </c>
      <c r="F4265" t="s">
        <v>23</v>
      </c>
      <c r="H4265">
        <v>1778.6</v>
      </c>
      <c r="I4265" s="13">
        <v>10</v>
      </c>
      <c r="J4265">
        <v>1</v>
      </c>
      <c r="K4265">
        <v>250.31</v>
      </c>
      <c r="L4265">
        <v>2</v>
      </c>
      <c r="M4265">
        <v>10</v>
      </c>
      <c r="N4265">
        <v>3</v>
      </c>
      <c r="O4265">
        <f t="shared" si="66"/>
        <v>4</v>
      </c>
    </row>
    <row r="4266" spans="1:15">
      <c r="A4266">
        <v>592</v>
      </c>
      <c r="B4266" s="1">
        <v>45773</v>
      </c>
      <c r="C4266">
        <v>21</v>
      </c>
      <c r="D4266" t="s">
        <v>17</v>
      </c>
      <c r="E4266" t="s">
        <v>20</v>
      </c>
      <c r="F4266" t="s">
        <v>16</v>
      </c>
      <c r="H4266">
        <v>415.9</v>
      </c>
      <c r="I4266" s="13">
        <v>3</v>
      </c>
      <c r="J4266">
        <v>1</v>
      </c>
      <c r="K4266">
        <v>137.05000000000001</v>
      </c>
      <c r="L4266">
        <v>4</v>
      </c>
      <c r="M4266">
        <v>14</v>
      </c>
      <c r="N4266">
        <v>4</v>
      </c>
      <c r="O4266">
        <f t="shared" si="66"/>
        <v>4</v>
      </c>
    </row>
    <row r="4267" spans="1:15">
      <c r="A4267">
        <v>1957</v>
      </c>
      <c r="B4267" s="1">
        <v>45773</v>
      </c>
      <c r="C4267">
        <v>35</v>
      </c>
      <c r="D4267" t="s">
        <v>14</v>
      </c>
      <c r="E4267" t="s">
        <v>20</v>
      </c>
      <c r="F4267" t="s">
        <v>18</v>
      </c>
      <c r="G4267" t="s">
        <v>30</v>
      </c>
      <c r="H4267">
        <v>514.4</v>
      </c>
      <c r="I4267" s="13">
        <v>5</v>
      </c>
      <c r="J4267">
        <v>1</v>
      </c>
      <c r="K4267">
        <v>60.44</v>
      </c>
      <c r="L4267">
        <v>2</v>
      </c>
      <c r="M4267">
        <v>2</v>
      </c>
      <c r="N4267">
        <v>3</v>
      </c>
      <c r="O4267">
        <f t="shared" si="66"/>
        <v>4</v>
      </c>
    </row>
    <row r="4268" spans="1:15">
      <c r="A4268">
        <v>4876</v>
      </c>
      <c r="B4268" s="1">
        <v>45773</v>
      </c>
      <c r="C4268">
        <v>51</v>
      </c>
      <c r="D4268" t="s">
        <v>14</v>
      </c>
      <c r="E4268" t="s">
        <v>22</v>
      </c>
      <c r="F4268" t="s">
        <v>18</v>
      </c>
      <c r="G4268" t="s">
        <v>30</v>
      </c>
      <c r="H4268">
        <v>268.8</v>
      </c>
      <c r="I4268" s="13">
        <v>5</v>
      </c>
      <c r="J4268">
        <v>1</v>
      </c>
      <c r="K4268">
        <v>55.6</v>
      </c>
      <c r="L4268">
        <v>1</v>
      </c>
      <c r="M4268">
        <v>9</v>
      </c>
      <c r="N4268">
        <v>4</v>
      </c>
      <c r="O4268">
        <f t="shared" si="66"/>
        <v>4</v>
      </c>
    </row>
    <row r="4269" spans="1:15">
      <c r="A4269">
        <v>4228</v>
      </c>
      <c r="B4269" s="1">
        <v>45773</v>
      </c>
      <c r="C4269">
        <v>49</v>
      </c>
      <c r="D4269" t="s">
        <v>17</v>
      </c>
      <c r="E4269" t="s">
        <v>24</v>
      </c>
      <c r="F4269" t="s">
        <v>18</v>
      </c>
      <c r="G4269" t="s">
        <v>19</v>
      </c>
      <c r="H4269">
        <v>924.9</v>
      </c>
      <c r="I4269" s="13">
        <v>6</v>
      </c>
      <c r="J4269">
        <v>1</v>
      </c>
      <c r="K4269">
        <v>26.52</v>
      </c>
      <c r="L4269">
        <v>2</v>
      </c>
      <c r="M4269">
        <v>12</v>
      </c>
      <c r="N4269">
        <v>3</v>
      </c>
      <c r="O4269">
        <f t="shared" si="66"/>
        <v>4</v>
      </c>
    </row>
    <row r="4270" spans="1:15">
      <c r="A4270">
        <v>2812</v>
      </c>
      <c r="B4270" s="1">
        <v>45773</v>
      </c>
      <c r="C4270">
        <v>38</v>
      </c>
      <c r="D4270" t="s">
        <v>14</v>
      </c>
      <c r="E4270" t="s">
        <v>22</v>
      </c>
      <c r="F4270" t="s">
        <v>18</v>
      </c>
      <c r="G4270" t="s">
        <v>29</v>
      </c>
      <c r="H4270">
        <v>385.1</v>
      </c>
      <c r="I4270" s="13">
        <v>4</v>
      </c>
      <c r="J4270">
        <v>1</v>
      </c>
      <c r="K4270">
        <v>23.84</v>
      </c>
      <c r="L4270">
        <v>3</v>
      </c>
      <c r="M4270">
        <v>8</v>
      </c>
      <c r="N4270">
        <v>4</v>
      </c>
      <c r="O4270">
        <f t="shared" si="66"/>
        <v>4</v>
      </c>
    </row>
    <row r="4271" spans="1:15">
      <c r="A4271">
        <v>4334</v>
      </c>
      <c r="B4271" s="1">
        <v>45773</v>
      </c>
      <c r="C4271">
        <v>54</v>
      </c>
      <c r="D4271" t="s">
        <v>14</v>
      </c>
      <c r="E4271" t="s">
        <v>24</v>
      </c>
      <c r="F4271" t="s">
        <v>23</v>
      </c>
      <c r="H4271">
        <v>194.6</v>
      </c>
      <c r="I4271" s="13">
        <v>9</v>
      </c>
      <c r="J4271">
        <v>1</v>
      </c>
      <c r="K4271">
        <v>19.149999999999999</v>
      </c>
      <c r="L4271">
        <v>2</v>
      </c>
      <c r="M4271">
        <v>10</v>
      </c>
      <c r="N4271">
        <v>5</v>
      </c>
      <c r="O4271">
        <f t="shared" si="66"/>
        <v>4</v>
      </c>
    </row>
    <row r="4272" spans="1:15">
      <c r="A4272">
        <v>1929</v>
      </c>
      <c r="B4272" s="1">
        <v>45773</v>
      </c>
      <c r="C4272">
        <v>30</v>
      </c>
      <c r="D4272" t="s">
        <v>17</v>
      </c>
      <c r="E4272" t="s">
        <v>20</v>
      </c>
      <c r="F4272" t="s">
        <v>21</v>
      </c>
      <c r="H4272">
        <v>443.7</v>
      </c>
      <c r="I4272" s="13">
        <v>7</v>
      </c>
      <c r="J4272">
        <v>1</v>
      </c>
      <c r="K4272">
        <v>14.44</v>
      </c>
      <c r="L4272">
        <v>1</v>
      </c>
      <c r="M4272">
        <v>15</v>
      </c>
      <c r="N4272">
        <v>4</v>
      </c>
      <c r="O4272">
        <f t="shared" si="66"/>
        <v>4</v>
      </c>
    </row>
    <row r="4273" spans="1:15">
      <c r="A4273">
        <v>2644</v>
      </c>
      <c r="B4273" s="1">
        <v>45773</v>
      </c>
      <c r="C4273">
        <v>36</v>
      </c>
      <c r="D4273" t="s">
        <v>17</v>
      </c>
      <c r="E4273" t="s">
        <v>20</v>
      </c>
      <c r="F4273" t="s">
        <v>18</v>
      </c>
      <c r="G4273" t="s">
        <v>26</v>
      </c>
      <c r="H4273">
        <v>999.9</v>
      </c>
      <c r="I4273" s="13">
        <v>9</v>
      </c>
      <c r="J4273">
        <v>0</v>
      </c>
      <c r="K4273">
        <v>0</v>
      </c>
      <c r="L4273">
        <v>0</v>
      </c>
      <c r="M4273">
        <v>0</v>
      </c>
      <c r="O4273">
        <f t="shared" si="66"/>
        <v>4</v>
      </c>
    </row>
    <row r="4274" spans="1:15">
      <c r="A4274">
        <v>1683</v>
      </c>
      <c r="B4274" s="1">
        <v>45773</v>
      </c>
      <c r="C4274">
        <v>34</v>
      </c>
      <c r="D4274" t="s">
        <v>14</v>
      </c>
      <c r="E4274" t="s">
        <v>24</v>
      </c>
      <c r="F4274" t="s">
        <v>18</v>
      </c>
      <c r="G4274" t="s">
        <v>26</v>
      </c>
      <c r="H4274">
        <v>730.1</v>
      </c>
      <c r="I4274" s="13">
        <v>7</v>
      </c>
      <c r="J4274">
        <v>0</v>
      </c>
      <c r="K4274">
        <v>0</v>
      </c>
      <c r="L4274">
        <v>0</v>
      </c>
      <c r="M4274">
        <v>0</v>
      </c>
      <c r="O4274">
        <f t="shared" si="66"/>
        <v>4</v>
      </c>
    </row>
    <row r="4275" spans="1:15">
      <c r="A4275">
        <v>3028</v>
      </c>
      <c r="B4275" s="1">
        <v>45773</v>
      </c>
      <c r="C4275">
        <v>42</v>
      </c>
      <c r="D4275" t="s">
        <v>14</v>
      </c>
      <c r="E4275" t="s">
        <v>24</v>
      </c>
      <c r="F4275" t="s">
        <v>18</v>
      </c>
      <c r="G4275" t="s">
        <v>31</v>
      </c>
      <c r="H4275">
        <v>636.20000000000005</v>
      </c>
      <c r="I4275" s="13">
        <v>6</v>
      </c>
      <c r="J4275">
        <v>0</v>
      </c>
      <c r="K4275">
        <v>0</v>
      </c>
      <c r="L4275">
        <v>0</v>
      </c>
      <c r="M4275">
        <v>0</v>
      </c>
      <c r="O4275">
        <f t="shared" si="66"/>
        <v>4</v>
      </c>
    </row>
    <row r="4276" spans="1:15">
      <c r="A4276">
        <v>4414</v>
      </c>
      <c r="B4276" s="1">
        <v>45773</v>
      </c>
      <c r="C4276">
        <v>60</v>
      </c>
      <c r="D4276" t="s">
        <v>14</v>
      </c>
      <c r="E4276" t="s">
        <v>22</v>
      </c>
      <c r="F4276" t="s">
        <v>16</v>
      </c>
      <c r="H4276">
        <v>617.1</v>
      </c>
      <c r="I4276" s="13">
        <v>3</v>
      </c>
      <c r="J4276">
        <v>0</v>
      </c>
      <c r="K4276">
        <v>0</v>
      </c>
      <c r="L4276">
        <v>0</v>
      </c>
      <c r="M4276">
        <v>0</v>
      </c>
      <c r="O4276">
        <f t="shared" si="66"/>
        <v>4</v>
      </c>
    </row>
    <row r="4277" spans="1:15">
      <c r="A4277">
        <v>2576</v>
      </c>
      <c r="B4277" s="1">
        <v>45773</v>
      </c>
      <c r="C4277">
        <v>36</v>
      </c>
      <c r="D4277" t="s">
        <v>14</v>
      </c>
      <c r="E4277" t="s">
        <v>22</v>
      </c>
      <c r="F4277" t="s">
        <v>18</v>
      </c>
      <c r="G4277" t="s">
        <v>31</v>
      </c>
      <c r="H4277">
        <v>554.4</v>
      </c>
      <c r="I4277" s="13">
        <v>10</v>
      </c>
      <c r="J4277">
        <v>0</v>
      </c>
      <c r="K4277">
        <v>0</v>
      </c>
      <c r="L4277">
        <v>0</v>
      </c>
      <c r="M4277">
        <v>0</v>
      </c>
      <c r="O4277">
        <f t="shared" si="66"/>
        <v>4</v>
      </c>
    </row>
    <row r="4278" spans="1:15">
      <c r="A4278">
        <v>356</v>
      </c>
      <c r="B4278" s="1">
        <v>45773</v>
      </c>
      <c r="C4278">
        <v>26</v>
      </c>
      <c r="D4278" t="s">
        <v>17</v>
      </c>
      <c r="E4278" t="s">
        <v>15</v>
      </c>
      <c r="F4278" t="s">
        <v>18</v>
      </c>
      <c r="G4278" t="s">
        <v>26</v>
      </c>
      <c r="H4278">
        <v>467.6</v>
      </c>
      <c r="I4278" s="13">
        <v>8</v>
      </c>
      <c r="J4278">
        <v>0</v>
      </c>
      <c r="K4278">
        <v>0</v>
      </c>
      <c r="L4278">
        <v>0</v>
      </c>
      <c r="M4278">
        <v>0</v>
      </c>
      <c r="O4278">
        <f t="shared" si="66"/>
        <v>4</v>
      </c>
    </row>
    <row r="4279" spans="1:15">
      <c r="A4279">
        <v>1578</v>
      </c>
      <c r="B4279" s="1">
        <v>45773</v>
      </c>
      <c r="C4279">
        <v>18</v>
      </c>
      <c r="D4279" t="s">
        <v>14</v>
      </c>
      <c r="E4279" t="s">
        <v>15</v>
      </c>
      <c r="F4279" t="s">
        <v>18</v>
      </c>
      <c r="G4279" t="s">
        <v>28</v>
      </c>
      <c r="H4279">
        <v>375</v>
      </c>
      <c r="I4279" s="13">
        <v>4</v>
      </c>
      <c r="J4279">
        <v>0</v>
      </c>
      <c r="K4279">
        <v>0</v>
      </c>
      <c r="L4279">
        <v>0</v>
      </c>
      <c r="M4279">
        <v>0</v>
      </c>
      <c r="O4279">
        <f t="shared" si="66"/>
        <v>4</v>
      </c>
    </row>
    <row r="4280" spans="1:15">
      <c r="A4280">
        <v>1316</v>
      </c>
      <c r="B4280" s="1">
        <v>45773</v>
      </c>
      <c r="C4280">
        <v>21</v>
      </c>
      <c r="D4280" t="s">
        <v>17</v>
      </c>
      <c r="E4280" t="s">
        <v>20</v>
      </c>
      <c r="F4280" t="s">
        <v>16</v>
      </c>
      <c r="H4280">
        <v>363.1</v>
      </c>
      <c r="I4280" s="13">
        <v>6</v>
      </c>
      <c r="J4280">
        <v>0</v>
      </c>
      <c r="K4280">
        <v>0</v>
      </c>
      <c r="L4280">
        <v>0</v>
      </c>
      <c r="M4280">
        <v>0</v>
      </c>
      <c r="O4280">
        <f t="shared" si="66"/>
        <v>4</v>
      </c>
    </row>
    <row r="4281" spans="1:15">
      <c r="A4281">
        <v>362</v>
      </c>
      <c r="B4281" s="1">
        <v>45773</v>
      </c>
      <c r="C4281">
        <v>29</v>
      </c>
      <c r="D4281" t="s">
        <v>14</v>
      </c>
      <c r="E4281" t="s">
        <v>24</v>
      </c>
      <c r="F4281" t="s">
        <v>16</v>
      </c>
      <c r="H4281">
        <v>327.5</v>
      </c>
      <c r="I4281" s="13">
        <v>3</v>
      </c>
      <c r="J4281">
        <v>0</v>
      </c>
      <c r="K4281">
        <v>0</v>
      </c>
      <c r="L4281">
        <v>0</v>
      </c>
      <c r="M4281">
        <v>0</v>
      </c>
      <c r="O4281">
        <f t="shared" si="66"/>
        <v>4</v>
      </c>
    </row>
    <row r="4282" spans="1:15">
      <c r="A4282">
        <v>873</v>
      </c>
      <c r="B4282" s="1">
        <v>45773</v>
      </c>
      <c r="C4282">
        <v>27</v>
      </c>
      <c r="D4282" t="s">
        <v>14</v>
      </c>
      <c r="E4282" t="s">
        <v>20</v>
      </c>
      <c r="F4282" t="s">
        <v>16</v>
      </c>
      <c r="H4282">
        <v>220.6</v>
      </c>
      <c r="I4282" s="13">
        <v>8</v>
      </c>
      <c r="J4282">
        <v>0</v>
      </c>
      <c r="K4282">
        <v>0</v>
      </c>
      <c r="L4282">
        <v>0</v>
      </c>
      <c r="M4282">
        <v>0</v>
      </c>
      <c r="O4282">
        <f t="shared" si="66"/>
        <v>4</v>
      </c>
    </row>
    <row r="4283" spans="1:15">
      <c r="A4283">
        <v>1825</v>
      </c>
      <c r="B4283" s="1">
        <v>45773</v>
      </c>
      <c r="C4283">
        <v>40</v>
      </c>
      <c r="D4283" t="s">
        <v>17</v>
      </c>
      <c r="E4283" t="s">
        <v>22</v>
      </c>
      <c r="F4283" t="s">
        <v>16</v>
      </c>
      <c r="H4283">
        <v>159</v>
      </c>
      <c r="I4283" s="13">
        <v>5</v>
      </c>
      <c r="J4283">
        <v>0</v>
      </c>
      <c r="K4283">
        <v>0</v>
      </c>
      <c r="L4283">
        <v>0</v>
      </c>
      <c r="M4283">
        <v>0</v>
      </c>
      <c r="O4283">
        <f t="shared" si="66"/>
        <v>4</v>
      </c>
    </row>
    <row r="4284" spans="1:15">
      <c r="A4284">
        <v>201</v>
      </c>
      <c r="B4284" s="1">
        <v>45773</v>
      </c>
      <c r="C4284">
        <v>27</v>
      </c>
      <c r="D4284" t="s">
        <v>14</v>
      </c>
      <c r="E4284" t="s">
        <v>24</v>
      </c>
      <c r="F4284" t="s">
        <v>16</v>
      </c>
      <c r="H4284">
        <v>141.19999999999999</v>
      </c>
      <c r="I4284" s="13">
        <v>10</v>
      </c>
      <c r="J4284">
        <v>0</v>
      </c>
      <c r="K4284">
        <v>0</v>
      </c>
      <c r="L4284">
        <v>0</v>
      </c>
      <c r="M4284">
        <v>0</v>
      </c>
      <c r="O4284">
        <f t="shared" si="66"/>
        <v>4</v>
      </c>
    </row>
    <row r="4285" spans="1:15">
      <c r="A4285">
        <v>1707</v>
      </c>
      <c r="B4285" s="1">
        <v>45773</v>
      </c>
      <c r="C4285">
        <v>32</v>
      </c>
      <c r="D4285" t="s">
        <v>14</v>
      </c>
      <c r="E4285" t="s">
        <v>24</v>
      </c>
      <c r="F4285" t="s">
        <v>16</v>
      </c>
      <c r="H4285">
        <v>130.69999999999999</v>
      </c>
      <c r="I4285" s="13">
        <v>8</v>
      </c>
      <c r="J4285">
        <v>0</v>
      </c>
      <c r="K4285">
        <v>0</v>
      </c>
      <c r="L4285">
        <v>0</v>
      </c>
      <c r="M4285">
        <v>0</v>
      </c>
      <c r="O4285">
        <f t="shared" si="66"/>
        <v>4</v>
      </c>
    </row>
    <row r="4286" spans="1:15">
      <c r="A4286">
        <v>2178</v>
      </c>
      <c r="B4286" s="1">
        <v>45773</v>
      </c>
      <c r="C4286">
        <v>32</v>
      </c>
      <c r="D4286" t="s">
        <v>17</v>
      </c>
      <c r="E4286" t="s">
        <v>20</v>
      </c>
      <c r="F4286" t="s">
        <v>18</v>
      </c>
      <c r="G4286" t="s">
        <v>30</v>
      </c>
      <c r="H4286">
        <v>129.1</v>
      </c>
      <c r="I4286" s="13">
        <v>6</v>
      </c>
      <c r="J4286">
        <v>0</v>
      </c>
      <c r="K4286">
        <v>0</v>
      </c>
      <c r="L4286">
        <v>0</v>
      </c>
      <c r="M4286">
        <v>0</v>
      </c>
      <c r="O4286">
        <f t="shared" si="66"/>
        <v>4</v>
      </c>
    </row>
    <row r="4287" spans="1:15">
      <c r="A4287">
        <v>780</v>
      </c>
      <c r="B4287" s="1">
        <v>45773</v>
      </c>
      <c r="C4287">
        <v>28</v>
      </c>
      <c r="D4287" t="s">
        <v>14</v>
      </c>
      <c r="E4287" t="s">
        <v>24</v>
      </c>
      <c r="F4287" t="s">
        <v>23</v>
      </c>
      <c r="H4287">
        <v>122</v>
      </c>
      <c r="I4287" s="13">
        <v>6</v>
      </c>
      <c r="J4287">
        <v>0</v>
      </c>
      <c r="K4287">
        <v>0</v>
      </c>
      <c r="L4287">
        <v>0</v>
      </c>
      <c r="M4287">
        <v>0</v>
      </c>
      <c r="O4287">
        <f t="shared" si="66"/>
        <v>4</v>
      </c>
    </row>
    <row r="4288" spans="1:15">
      <c r="A4288">
        <v>272</v>
      </c>
      <c r="B4288" s="1">
        <v>45803</v>
      </c>
      <c r="C4288">
        <v>18</v>
      </c>
      <c r="D4288" t="s">
        <v>14</v>
      </c>
      <c r="E4288" t="s">
        <v>15</v>
      </c>
      <c r="F4288" t="s">
        <v>18</v>
      </c>
      <c r="G4288" t="s">
        <v>19</v>
      </c>
      <c r="H4288">
        <v>1005</v>
      </c>
      <c r="I4288" s="13">
        <v>4</v>
      </c>
      <c r="J4288">
        <v>1</v>
      </c>
      <c r="K4288">
        <v>474</v>
      </c>
      <c r="L4288">
        <v>3</v>
      </c>
      <c r="M4288">
        <v>5</v>
      </c>
      <c r="N4288">
        <v>3</v>
      </c>
      <c r="O4288">
        <f t="shared" si="66"/>
        <v>5</v>
      </c>
    </row>
    <row r="4289" spans="1:15">
      <c r="A4289">
        <v>4617</v>
      </c>
      <c r="B4289" s="1">
        <v>45803</v>
      </c>
      <c r="C4289">
        <v>49</v>
      </c>
      <c r="D4289" t="s">
        <v>14</v>
      </c>
      <c r="E4289" t="s">
        <v>20</v>
      </c>
      <c r="F4289" t="s">
        <v>18</v>
      </c>
      <c r="G4289" t="s">
        <v>26</v>
      </c>
      <c r="H4289">
        <v>416</v>
      </c>
      <c r="I4289" s="13">
        <v>6</v>
      </c>
      <c r="J4289">
        <v>1</v>
      </c>
      <c r="K4289">
        <v>171.8</v>
      </c>
      <c r="L4289">
        <v>2</v>
      </c>
      <c r="M4289">
        <v>2</v>
      </c>
      <c r="N4289">
        <v>4</v>
      </c>
      <c r="O4289">
        <f t="shared" si="66"/>
        <v>5</v>
      </c>
    </row>
    <row r="4290" spans="1:15">
      <c r="A4290">
        <v>2773</v>
      </c>
      <c r="B4290" s="1">
        <v>45803</v>
      </c>
      <c r="C4290">
        <v>19</v>
      </c>
      <c r="D4290" t="s">
        <v>17</v>
      </c>
      <c r="E4290" t="s">
        <v>22</v>
      </c>
      <c r="F4290" t="s">
        <v>23</v>
      </c>
      <c r="H4290">
        <v>531</v>
      </c>
      <c r="I4290" s="13">
        <v>3</v>
      </c>
      <c r="J4290">
        <v>1</v>
      </c>
      <c r="K4290">
        <v>63.23</v>
      </c>
      <c r="L4290">
        <v>9</v>
      </c>
      <c r="M4290">
        <v>15</v>
      </c>
      <c r="N4290">
        <v>4</v>
      </c>
      <c r="O4290">
        <f t="shared" si="66"/>
        <v>5</v>
      </c>
    </row>
    <row r="4291" spans="1:15">
      <c r="A4291">
        <v>2960</v>
      </c>
      <c r="B4291" s="1">
        <v>45803</v>
      </c>
      <c r="C4291">
        <v>35</v>
      </c>
      <c r="D4291" t="s">
        <v>17</v>
      </c>
      <c r="E4291" t="s">
        <v>24</v>
      </c>
      <c r="F4291" t="s">
        <v>18</v>
      </c>
      <c r="G4291" t="s">
        <v>31</v>
      </c>
      <c r="H4291">
        <v>754</v>
      </c>
      <c r="I4291" s="13">
        <v>7</v>
      </c>
      <c r="J4291">
        <v>1</v>
      </c>
      <c r="K4291">
        <v>55.82</v>
      </c>
      <c r="L4291">
        <v>4</v>
      </c>
      <c r="M4291">
        <v>9</v>
      </c>
      <c r="N4291">
        <v>4</v>
      </c>
      <c r="O4291">
        <f t="shared" ref="O4291:O4354" si="67">MONTH(B4291)</f>
        <v>5</v>
      </c>
    </row>
    <row r="4292" spans="1:15">
      <c r="A4292">
        <v>619</v>
      </c>
      <c r="B4292" s="1">
        <v>45803</v>
      </c>
      <c r="C4292">
        <v>20</v>
      </c>
      <c r="D4292" t="s">
        <v>14</v>
      </c>
      <c r="E4292" t="s">
        <v>22</v>
      </c>
      <c r="F4292" t="s">
        <v>16</v>
      </c>
      <c r="H4292">
        <v>1241.0999999999999</v>
      </c>
      <c r="I4292" s="13">
        <v>5</v>
      </c>
      <c r="J4292">
        <v>1</v>
      </c>
      <c r="K4292">
        <v>50.27</v>
      </c>
      <c r="L4292">
        <v>2</v>
      </c>
      <c r="M4292">
        <v>14</v>
      </c>
      <c r="N4292">
        <v>4</v>
      </c>
      <c r="O4292">
        <f t="shared" si="67"/>
        <v>5</v>
      </c>
    </row>
    <row r="4293" spans="1:15">
      <c r="A4293">
        <v>3982</v>
      </c>
      <c r="B4293" s="1">
        <v>45803</v>
      </c>
      <c r="C4293">
        <v>63</v>
      </c>
      <c r="D4293" t="s">
        <v>14</v>
      </c>
      <c r="E4293" t="s">
        <v>20</v>
      </c>
      <c r="F4293" t="s">
        <v>16</v>
      </c>
      <c r="H4293">
        <v>184.1</v>
      </c>
      <c r="I4293" s="13">
        <v>6</v>
      </c>
      <c r="J4293">
        <v>1</v>
      </c>
      <c r="K4293">
        <v>48.46</v>
      </c>
      <c r="L4293">
        <v>6</v>
      </c>
      <c r="M4293">
        <v>7</v>
      </c>
      <c r="N4293">
        <v>4</v>
      </c>
      <c r="O4293">
        <f t="shared" si="67"/>
        <v>5</v>
      </c>
    </row>
    <row r="4294" spans="1:15">
      <c r="A4294">
        <v>4525</v>
      </c>
      <c r="B4294" s="1">
        <v>45803</v>
      </c>
      <c r="C4294">
        <v>56</v>
      </c>
      <c r="D4294" t="s">
        <v>17</v>
      </c>
      <c r="E4294" t="s">
        <v>24</v>
      </c>
      <c r="F4294" t="s">
        <v>18</v>
      </c>
      <c r="G4294" t="s">
        <v>26</v>
      </c>
      <c r="H4294">
        <v>242.2</v>
      </c>
      <c r="I4294" s="13">
        <v>7</v>
      </c>
      <c r="J4294">
        <v>1</v>
      </c>
      <c r="K4294">
        <v>43.97</v>
      </c>
      <c r="L4294">
        <v>4</v>
      </c>
      <c r="M4294">
        <v>11</v>
      </c>
      <c r="N4294">
        <v>4</v>
      </c>
      <c r="O4294">
        <f t="shared" si="67"/>
        <v>5</v>
      </c>
    </row>
    <row r="4295" spans="1:15">
      <c r="A4295">
        <v>3832</v>
      </c>
      <c r="B4295" s="1">
        <v>45803</v>
      </c>
      <c r="C4295">
        <v>54</v>
      </c>
      <c r="D4295" t="s">
        <v>14</v>
      </c>
      <c r="E4295" t="s">
        <v>22</v>
      </c>
      <c r="F4295" t="s">
        <v>21</v>
      </c>
      <c r="H4295">
        <v>63.6</v>
      </c>
      <c r="I4295" s="13">
        <v>10</v>
      </c>
      <c r="J4295">
        <v>1</v>
      </c>
      <c r="K4295">
        <v>42.81</v>
      </c>
      <c r="L4295">
        <v>4</v>
      </c>
      <c r="M4295">
        <v>12</v>
      </c>
      <c r="N4295">
        <v>5</v>
      </c>
      <c r="O4295">
        <f t="shared" si="67"/>
        <v>5</v>
      </c>
    </row>
    <row r="4296" spans="1:15">
      <c r="A4296">
        <v>271</v>
      </c>
      <c r="B4296" s="1">
        <v>45803</v>
      </c>
      <c r="C4296">
        <v>29</v>
      </c>
      <c r="D4296" t="s">
        <v>14</v>
      </c>
      <c r="E4296" t="s">
        <v>22</v>
      </c>
      <c r="F4296" t="s">
        <v>18</v>
      </c>
      <c r="G4296" t="s">
        <v>26</v>
      </c>
      <c r="H4296">
        <v>376.1</v>
      </c>
      <c r="I4296" s="13">
        <v>4</v>
      </c>
      <c r="J4296">
        <v>1</v>
      </c>
      <c r="K4296">
        <v>25.35</v>
      </c>
      <c r="L4296">
        <v>3</v>
      </c>
      <c r="M4296">
        <v>5</v>
      </c>
      <c r="N4296">
        <v>4</v>
      </c>
      <c r="O4296">
        <f t="shared" si="67"/>
        <v>5</v>
      </c>
    </row>
    <row r="4297" spans="1:15">
      <c r="A4297">
        <v>1547</v>
      </c>
      <c r="B4297" s="1">
        <v>45803</v>
      </c>
      <c r="C4297">
        <v>21</v>
      </c>
      <c r="D4297" t="s">
        <v>17</v>
      </c>
      <c r="E4297" t="s">
        <v>22</v>
      </c>
      <c r="F4297" t="s">
        <v>23</v>
      </c>
      <c r="H4297">
        <v>403.4</v>
      </c>
      <c r="I4297" s="13">
        <v>7</v>
      </c>
      <c r="J4297">
        <v>1</v>
      </c>
      <c r="K4297">
        <v>22.71</v>
      </c>
      <c r="L4297">
        <v>4</v>
      </c>
      <c r="M4297">
        <v>3</v>
      </c>
      <c r="N4297">
        <v>5</v>
      </c>
      <c r="O4297">
        <f t="shared" si="67"/>
        <v>5</v>
      </c>
    </row>
    <row r="4298" spans="1:15">
      <c r="A4298">
        <v>2927</v>
      </c>
      <c r="B4298" s="1">
        <v>45803</v>
      </c>
      <c r="C4298">
        <v>31</v>
      </c>
      <c r="D4298" t="s">
        <v>14</v>
      </c>
      <c r="E4298" t="s">
        <v>24</v>
      </c>
      <c r="F4298" t="s">
        <v>16</v>
      </c>
      <c r="H4298">
        <v>243.2</v>
      </c>
      <c r="I4298" s="13">
        <v>6</v>
      </c>
      <c r="J4298">
        <v>1</v>
      </c>
      <c r="K4298">
        <v>21.42</v>
      </c>
      <c r="L4298">
        <v>4</v>
      </c>
      <c r="M4298">
        <v>5</v>
      </c>
      <c r="N4298">
        <v>4</v>
      </c>
      <c r="O4298">
        <f t="shared" si="67"/>
        <v>5</v>
      </c>
    </row>
    <row r="4299" spans="1:15">
      <c r="A4299">
        <v>708</v>
      </c>
      <c r="B4299" s="1">
        <v>45803</v>
      </c>
      <c r="C4299">
        <v>24</v>
      </c>
      <c r="D4299" t="s">
        <v>14</v>
      </c>
      <c r="E4299" t="s">
        <v>15</v>
      </c>
      <c r="F4299" t="s">
        <v>21</v>
      </c>
      <c r="H4299">
        <v>272.5</v>
      </c>
      <c r="I4299" s="13">
        <v>10</v>
      </c>
      <c r="J4299">
        <v>1</v>
      </c>
      <c r="K4299">
        <v>15</v>
      </c>
      <c r="L4299">
        <v>4</v>
      </c>
      <c r="M4299">
        <v>13</v>
      </c>
      <c r="N4299">
        <v>3</v>
      </c>
      <c r="O4299">
        <f t="shared" si="67"/>
        <v>5</v>
      </c>
    </row>
    <row r="4300" spans="1:15">
      <c r="A4300">
        <v>1124</v>
      </c>
      <c r="B4300" s="1">
        <v>45803</v>
      </c>
      <c r="C4300">
        <v>24</v>
      </c>
      <c r="D4300" t="s">
        <v>14</v>
      </c>
      <c r="E4300" t="s">
        <v>20</v>
      </c>
      <c r="F4300" t="s">
        <v>16</v>
      </c>
      <c r="H4300">
        <v>949.2</v>
      </c>
      <c r="I4300" s="13">
        <v>7</v>
      </c>
      <c r="J4300">
        <v>0</v>
      </c>
      <c r="K4300">
        <v>0</v>
      </c>
      <c r="L4300">
        <v>0</v>
      </c>
      <c r="M4300">
        <v>0</v>
      </c>
      <c r="O4300">
        <f t="shared" si="67"/>
        <v>5</v>
      </c>
    </row>
    <row r="4301" spans="1:15">
      <c r="A4301">
        <v>2889</v>
      </c>
      <c r="B4301" s="1">
        <v>45803</v>
      </c>
      <c r="C4301">
        <v>39</v>
      </c>
      <c r="D4301" t="s">
        <v>14</v>
      </c>
      <c r="E4301" t="s">
        <v>20</v>
      </c>
      <c r="F4301" t="s">
        <v>18</v>
      </c>
      <c r="G4301" t="s">
        <v>26</v>
      </c>
      <c r="H4301">
        <v>592.29999999999995</v>
      </c>
      <c r="I4301" s="13">
        <v>4</v>
      </c>
      <c r="J4301">
        <v>0</v>
      </c>
      <c r="K4301">
        <v>0</v>
      </c>
      <c r="L4301">
        <v>0</v>
      </c>
      <c r="M4301">
        <v>0</v>
      </c>
      <c r="O4301">
        <f t="shared" si="67"/>
        <v>5</v>
      </c>
    </row>
    <row r="4302" spans="1:15">
      <c r="A4302">
        <v>518</v>
      </c>
      <c r="B4302" s="1">
        <v>45803</v>
      </c>
      <c r="C4302">
        <v>28</v>
      </c>
      <c r="D4302" t="s">
        <v>14</v>
      </c>
      <c r="E4302" t="s">
        <v>24</v>
      </c>
      <c r="F4302" t="s">
        <v>18</v>
      </c>
      <c r="G4302" t="s">
        <v>28</v>
      </c>
      <c r="H4302">
        <v>425.2</v>
      </c>
      <c r="I4302" s="13">
        <v>6</v>
      </c>
      <c r="J4302">
        <v>0</v>
      </c>
      <c r="K4302">
        <v>0</v>
      </c>
      <c r="L4302">
        <v>0</v>
      </c>
      <c r="M4302">
        <v>0</v>
      </c>
      <c r="O4302">
        <f t="shared" si="67"/>
        <v>5</v>
      </c>
    </row>
    <row r="4303" spans="1:15">
      <c r="A4303">
        <v>1477</v>
      </c>
      <c r="B4303" s="1">
        <v>45803</v>
      </c>
      <c r="C4303">
        <v>22</v>
      </c>
      <c r="D4303" t="s">
        <v>17</v>
      </c>
      <c r="E4303" t="s">
        <v>15</v>
      </c>
      <c r="F4303" t="s">
        <v>23</v>
      </c>
      <c r="H4303">
        <v>416.6</v>
      </c>
      <c r="I4303" s="13">
        <v>4</v>
      </c>
      <c r="J4303">
        <v>0</v>
      </c>
      <c r="K4303">
        <v>0</v>
      </c>
      <c r="L4303">
        <v>0</v>
      </c>
      <c r="M4303">
        <v>0</v>
      </c>
      <c r="O4303">
        <f t="shared" si="67"/>
        <v>5</v>
      </c>
    </row>
    <row r="4304" spans="1:15">
      <c r="A4304">
        <v>4325</v>
      </c>
      <c r="B4304" s="1">
        <v>45803</v>
      </c>
      <c r="C4304">
        <v>58</v>
      </c>
      <c r="D4304" t="s">
        <v>17</v>
      </c>
      <c r="E4304" t="s">
        <v>20</v>
      </c>
      <c r="F4304" t="s">
        <v>21</v>
      </c>
      <c r="H4304">
        <v>383.3</v>
      </c>
      <c r="I4304" s="13">
        <v>7</v>
      </c>
      <c r="J4304">
        <v>0</v>
      </c>
      <c r="K4304">
        <v>0</v>
      </c>
      <c r="L4304">
        <v>0</v>
      </c>
      <c r="M4304">
        <v>0</v>
      </c>
      <c r="O4304">
        <f t="shared" si="67"/>
        <v>5</v>
      </c>
    </row>
    <row r="4305" spans="1:15">
      <c r="A4305">
        <v>2706</v>
      </c>
      <c r="B4305" s="1">
        <v>45803</v>
      </c>
      <c r="C4305">
        <v>28</v>
      </c>
      <c r="D4305" t="s">
        <v>14</v>
      </c>
      <c r="E4305" t="s">
        <v>22</v>
      </c>
      <c r="F4305" t="s">
        <v>16</v>
      </c>
      <c r="H4305">
        <v>360.5</v>
      </c>
      <c r="I4305" s="13">
        <v>2</v>
      </c>
      <c r="J4305">
        <v>0</v>
      </c>
      <c r="K4305">
        <v>0</v>
      </c>
      <c r="L4305">
        <v>0</v>
      </c>
      <c r="M4305">
        <v>0</v>
      </c>
      <c r="O4305">
        <f t="shared" si="67"/>
        <v>5</v>
      </c>
    </row>
    <row r="4306" spans="1:15">
      <c r="A4306">
        <v>36</v>
      </c>
      <c r="B4306" s="1">
        <v>45803</v>
      </c>
      <c r="C4306">
        <v>32</v>
      </c>
      <c r="D4306" t="s">
        <v>17</v>
      </c>
      <c r="E4306" t="s">
        <v>22</v>
      </c>
      <c r="F4306" t="s">
        <v>16</v>
      </c>
      <c r="H4306">
        <v>325.2</v>
      </c>
      <c r="I4306" s="13">
        <v>6</v>
      </c>
      <c r="J4306">
        <v>0</v>
      </c>
      <c r="K4306">
        <v>0</v>
      </c>
      <c r="L4306">
        <v>0</v>
      </c>
      <c r="M4306">
        <v>0</v>
      </c>
      <c r="O4306">
        <f t="shared" si="67"/>
        <v>5</v>
      </c>
    </row>
    <row r="4307" spans="1:15">
      <c r="A4307">
        <v>4862</v>
      </c>
      <c r="B4307" s="1">
        <v>45803</v>
      </c>
      <c r="C4307">
        <v>56</v>
      </c>
      <c r="D4307" t="s">
        <v>14</v>
      </c>
      <c r="E4307" t="s">
        <v>15</v>
      </c>
      <c r="F4307" t="s">
        <v>16</v>
      </c>
      <c r="H4307">
        <v>316.60000000000002</v>
      </c>
      <c r="I4307" s="13">
        <v>4</v>
      </c>
      <c r="J4307">
        <v>0</v>
      </c>
      <c r="K4307">
        <v>0</v>
      </c>
      <c r="L4307">
        <v>0</v>
      </c>
      <c r="M4307">
        <v>0</v>
      </c>
      <c r="O4307">
        <f t="shared" si="67"/>
        <v>5</v>
      </c>
    </row>
    <row r="4308" spans="1:15">
      <c r="A4308">
        <v>121</v>
      </c>
      <c r="B4308" s="1">
        <v>45803</v>
      </c>
      <c r="C4308">
        <v>20</v>
      </c>
      <c r="D4308" t="s">
        <v>14</v>
      </c>
      <c r="E4308" t="s">
        <v>20</v>
      </c>
      <c r="F4308" t="s">
        <v>18</v>
      </c>
      <c r="G4308" t="s">
        <v>19</v>
      </c>
      <c r="H4308">
        <v>284.7</v>
      </c>
      <c r="I4308" s="13">
        <v>3</v>
      </c>
      <c r="J4308">
        <v>0</v>
      </c>
      <c r="K4308">
        <v>0</v>
      </c>
      <c r="L4308">
        <v>0</v>
      </c>
      <c r="M4308">
        <v>0</v>
      </c>
      <c r="O4308">
        <f t="shared" si="67"/>
        <v>5</v>
      </c>
    </row>
    <row r="4309" spans="1:15">
      <c r="A4309">
        <v>390</v>
      </c>
      <c r="B4309" s="1">
        <v>45803</v>
      </c>
      <c r="C4309">
        <v>19</v>
      </c>
      <c r="D4309" t="s">
        <v>14</v>
      </c>
      <c r="E4309" t="s">
        <v>15</v>
      </c>
      <c r="F4309" t="s">
        <v>16</v>
      </c>
      <c r="H4309">
        <v>276.3</v>
      </c>
      <c r="I4309" s="13">
        <v>9</v>
      </c>
      <c r="J4309">
        <v>0</v>
      </c>
      <c r="K4309">
        <v>0</v>
      </c>
      <c r="L4309">
        <v>0</v>
      </c>
      <c r="M4309">
        <v>0</v>
      </c>
      <c r="O4309">
        <f t="shared" si="67"/>
        <v>5</v>
      </c>
    </row>
    <row r="4310" spans="1:15">
      <c r="A4310">
        <v>2063</v>
      </c>
      <c r="B4310" s="1">
        <v>45803</v>
      </c>
      <c r="C4310">
        <v>33</v>
      </c>
      <c r="D4310" t="s">
        <v>14</v>
      </c>
      <c r="E4310" t="s">
        <v>15</v>
      </c>
      <c r="F4310" t="s">
        <v>21</v>
      </c>
      <c r="H4310">
        <v>275.7</v>
      </c>
      <c r="I4310" s="13">
        <v>12</v>
      </c>
      <c r="J4310">
        <v>0</v>
      </c>
      <c r="K4310">
        <v>0</v>
      </c>
      <c r="L4310">
        <v>0</v>
      </c>
      <c r="M4310">
        <v>0</v>
      </c>
      <c r="O4310">
        <f t="shared" si="67"/>
        <v>5</v>
      </c>
    </row>
    <row r="4311" spans="1:15">
      <c r="A4311">
        <v>4224</v>
      </c>
      <c r="B4311" s="1">
        <v>45803</v>
      </c>
      <c r="C4311">
        <v>80</v>
      </c>
      <c r="D4311" t="s">
        <v>17</v>
      </c>
      <c r="E4311" t="s">
        <v>22</v>
      </c>
      <c r="F4311" t="s">
        <v>16</v>
      </c>
      <c r="H4311">
        <v>266.10000000000002</v>
      </c>
      <c r="I4311" s="13">
        <v>10</v>
      </c>
      <c r="J4311">
        <v>0</v>
      </c>
      <c r="K4311">
        <v>0</v>
      </c>
      <c r="L4311">
        <v>0</v>
      </c>
      <c r="M4311">
        <v>0</v>
      </c>
      <c r="O4311">
        <f t="shared" si="67"/>
        <v>5</v>
      </c>
    </row>
    <row r="4312" spans="1:15">
      <c r="A4312">
        <v>3542</v>
      </c>
      <c r="B4312" s="1">
        <v>45803</v>
      </c>
      <c r="C4312">
        <v>33</v>
      </c>
      <c r="D4312" t="s">
        <v>17</v>
      </c>
      <c r="E4312" t="s">
        <v>24</v>
      </c>
      <c r="F4312" t="s">
        <v>18</v>
      </c>
      <c r="G4312" t="s">
        <v>26</v>
      </c>
      <c r="H4312">
        <v>215</v>
      </c>
      <c r="I4312" s="13">
        <v>8</v>
      </c>
      <c r="J4312">
        <v>0</v>
      </c>
      <c r="K4312">
        <v>0</v>
      </c>
      <c r="L4312">
        <v>0</v>
      </c>
      <c r="M4312">
        <v>0</v>
      </c>
      <c r="O4312">
        <f t="shared" si="67"/>
        <v>5</v>
      </c>
    </row>
    <row r="4313" spans="1:15">
      <c r="A4313">
        <v>3406</v>
      </c>
      <c r="B4313" s="1">
        <v>45803</v>
      </c>
      <c r="C4313">
        <v>25</v>
      </c>
      <c r="D4313" t="s">
        <v>17</v>
      </c>
      <c r="E4313" t="s">
        <v>20</v>
      </c>
      <c r="F4313" t="s">
        <v>23</v>
      </c>
      <c r="H4313">
        <v>201.6</v>
      </c>
      <c r="I4313" s="13">
        <v>4</v>
      </c>
      <c r="J4313">
        <v>0</v>
      </c>
      <c r="K4313">
        <v>0</v>
      </c>
      <c r="L4313">
        <v>0</v>
      </c>
      <c r="M4313">
        <v>0</v>
      </c>
      <c r="O4313">
        <f t="shared" si="67"/>
        <v>5</v>
      </c>
    </row>
    <row r="4314" spans="1:15">
      <c r="A4314">
        <v>3823</v>
      </c>
      <c r="B4314" s="1">
        <v>45803</v>
      </c>
      <c r="C4314">
        <v>65</v>
      </c>
      <c r="D4314" t="s">
        <v>17</v>
      </c>
      <c r="E4314" t="s">
        <v>22</v>
      </c>
      <c r="F4314" t="s">
        <v>16</v>
      </c>
      <c r="H4314">
        <v>195.6</v>
      </c>
      <c r="I4314" s="13">
        <v>5</v>
      </c>
      <c r="J4314">
        <v>0</v>
      </c>
      <c r="K4314">
        <v>0</v>
      </c>
      <c r="L4314">
        <v>0</v>
      </c>
      <c r="M4314">
        <v>0</v>
      </c>
      <c r="O4314">
        <f t="shared" si="67"/>
        <v>5</v>
      </c>
    </row>
    <row r="4315" spans="1:15">
      <c r="A4315">
        <v>1674</v>
      </c>
      <c r="B4315" s="1">
        <v>45803</v>
      </c>
      <c r="C4315">
        <v>18</v>
      </c>
      <c r="D4315" t="s">
        <v>17</v>
      </c>
      <c r="E4315" t="s">
        <v>22</v>
      </c>
      <c r="F4315" t="s">
        <v>16</v>
      </c>
      <c r="H4315">
        <v>189.6</v>
      </c>
      <c r="I4315" s="13">
        <v>6</v>
      </c>
      <c r="J4315">
        <v>0</v>
      </c>
      <c r="K4315">
        <v>0</v>
      </c>
      <c r="L4315">
        <v>0</v>
      </c>
      <c r="M4315">
        <v>0</v>
      </c>
      <c r="O4315">
        <f t="shared" si="67"/>
        <v>5</v>
      </c>
    </row>
    <row r="4316" spans="1:15">
      <c r="A4316">
        <v>114</v>
      </c>
      <c r="B4316" s="1">
        <v>45803</v>
      </c>
      <c r="C4316">
        <v>26</v>
      </c>
      <c r="D4316" t="s">
        <v>17</v>
      </c>
      <c r="E4316" t="s">
        <v>22</v>
      </c>
      <c r="F4316" t="s">
        <v>16</v>
      </c>
      <c r="H4316">
        <v>165</v>
      </c>
      <c r="I4316" s="13">
        <v>6</v>
      </c>
      <c r="J4316">
        <v>0</v>
      </c>
      <c r="K4316">
        <v>0</v>
      </c>
      <c r="L4316">
        <v>0</v>
      </c>
      <c r="M4316">
        <v>0</v>
      </c>
      <c r="O4316">
        <f t="shared" si="67"/>
        <v>5</v>
      </c>
    </row>
    <row r="4317" spans="1:15">
      <c r="A4317">
        <v>2553</v>
      </c>
      <c r="B4317" s="1">
        <v>45803</v>
      </c>
      <c r="C4317">
        <v>27</v>
      </c>
      <c r="D4317" t="s">
        <v>14</v>
      </c>
      <c r="E4317" t="s">
        <v>24</v>
      </c>
      <c r="F4317" t="s">
        <v>18</v>
      </c>
      <c r="G4317" t="s">
        <v>28</v>
      </c>
      <c r="H4317">
        <v>117.3</v>
      </c>
      <c r="I4317" s="13">
        <v>4</v>
      </c>
      <c r="J4317">
        <v>0</v>
      </c>
      <c r="K4317">
        <v>0</v>
      </c>
      <c r="L4317">
        <v>0</v>
      </c>
      <c r="M4317">
        <v>0</v>
      </c>
      <c r="O4317">
        <f t="shared" si="67"/>
        <v>5</v>
      </c>
    </row>
    <row r="4318" spans="1:15">
      <c r="A4318">
        <v>1408</v>
      </c>
      <c r="B4318" s="1">
        <v>45803</v>
      </c>
      <c r="C4318">
        <v>25</v>
      </c>
      <c r="D4318" t="s">
        <v>14</v>
      </c>
      <c r="E4318" t="s">
        <v>22</v>
      </c>
      <c r="F4318" t="s">
        <v>16</v>
      </c>
      <c r="H4318">
        <v>103.4</v>
      </c>
      <c r="I4318" s="13">
        <v>5</v>
      </c>
      <c r="J4318">
        <v>0</v>
      </c>
      <c r="K4318">
        <v>0</v>
      </c>
      <c r="L4318">
        <v>0</v>
      </c>
      <c r="M4318">
        <v>0</v>
      </c>
      <c r="O4318">
        <f t="shared" si="67"/>
        <v>5</v>
      </c>
    </row>
    <row r="4319" spans="1:15">
      <c r="A4319">
        <v>1005</v>
      </c>
      <c r="B4319" s="1">
        <v>45803</v>
      </c>
      <c r="C4319">
        <v>21</v>
      </c>
      <c r="D4319" t="s">
        <v>17</v>
      </c>
      <c r="E4319" t="s">
        <v>22</v>
      </c>
      <c r="F4319" t="s">
        <v>18</v>
      </c>
      <c r="G4319" t="s">
        <v>30</v>
      </c>
      <c r="H4319">
        <v>90.6</v>
      </c>
      <c r="I4319" s="13">
        <v>8</v>
      </c>
      <c r="J4319">
        <v>0</v>
      </c>
      <c r="K4319">
        <v>0</v>
      </c>
      <c r="L4319">
        <v>0</v>
      </c>
      <c r="M4319">
        <v>0</v>
      </c>
      <c r="O4319">
        <f t="shared" si="67"/>
        <v>5</v>
      </c>
    </row>
    <row r="4320" spans="1:15">
      <c r="A4320">
        <v>2166</v>
      </c>
      <c r="B4320" s="1">
        <v>45834</v>
      </c>
      <c r="C4320">
        <v>28</v>
      </c>
      <c r="D4320" t="s">
        <v>17</v>
      </c>
      <c r="E4320" t="s">
        <v>15</v>
      </c>
      <c r="F4320" t="s">
        <v>16</v>
      </c>
      <c r="H4320">
        <v>695.6</v>
      </c>
      <c r="I4320" s="13">
        <v>8</v>
      </c>
      <c r="J4320">
        <v>1</v>
      </c>
      <c r="K4320">
        <v>179</v>
      </c>
      <c r="L4320">
        <v>4</v>
      </c>
      <c r="M4320">
        <v>8</v>
      </c>
      <c r="N4320">
        <v>3</v>
      </c>
      <c r="O4320">
        <f t="shared" si="67"/>
        <v>6</v>
      </c>
    </row>
    <row r="4321" spans="1:15">
      <c r="A4321">
        <v>3038</v>
      </c>
      <c r="B4321" s="1">
        <v>45834</v>
      </c>
      <c r="C4321">
        <v>19</v>
      </c>
      <c r="D4321" t="s">
        <v>17</v>
      </c>
      <c r="E4321" t="s">
        <v>20</v>
      </c>
      <c r="F4321" t="s">
        <v>18</v>
      </c>
      <c r="G4321" t="s">
        <v>26</v>
      </c>
      <c r="H4321">
        <v>361.2</v>
      </c>
      <c r="I4321" s="13">
        <v>8</v>
      </c>
      <c r="J4321">
        <v>1</v>
      </c>
      <c r="K4321">
        <v>53.35</v>
      </c>
      <c r="L4321">
        <v>3</v>
      </c>
      <c r="M4321">
        <v>11</v>
      </c>
      <c r="N4321">
        <v>4</v>
      </c>
      <c r="O4321">
        <f t="shared" si="67"/>
        <v>6</v>
      </c>
    </row>
    <row r="4322" spans="1:15">
      <c r="A4322">
        <v>3914</v>
      </c>
      <c r="B4322" s="1">
        <v>45834</v>
      </c>
      <c r="C4322">
        <v>41</v>
      </c>
      <c r="D4322" t="s">
        <v>14</v>
      </c>
      <c r="E4322" t="s">
        <v>20</v>
      </c>
      <c r="F4322" t="s">
        <v>18</v>
      </c>
      <c r="G4322" t="s">
        <v>30</v>
      </c>
      <c r="H4322">
        <v>354.2</v>
      </c>
      <c r="I4322" s="13">
        <v>8</v>
      </c>
      <c r="J4322">
        <v>1</v>
      </c>
      <c r="K4322">
        <v>51.57</v>
      </c>
      <c r="L4322">
        <v>2</v>
      </c>
      <c r="M4322">
        <v>3</v>
      </c>
      <c r="N4322">
        <v>3</v>
      </c>
      <c r="O4322">
        <f t="shared" si="67"/>
        <v>6</v>
      </c>
    </row>
    <row r="4323" spans="1:15">
      <c r="A4323">
        <v>2799</v>
      </c>
      <c r="B4323" s="1">
        <v>45834</v>
      </c>
      <c r="C4323">
        <v>21</v>
      </c>
      <c r="D4323" t="s">
        <v>17</v>
      </c>
      <c r="E4323" t="s">
        <v>20</v>
      </c>
      <c r="F4323" t="s">
        <v>16</v>
      </c>
      <c r="H4323">
        <v>524.5</v>
      </c>
      <c r="I4323" s="13">
        <v>6</v>
      </c>
      <c r="J4323">
        <v>1</v>
      </c>
      <c r="K4323">
        <v>36.01</v>
      </c>
      <c r="L4323">
        <v>1</v>
      </c>
      <c r="M4323">
        <v>13</v>
      </c>
      <c r="N4323">
        <v>4</v>
      </c>
      <c r="O4323">
        <f t="shared" si="67"/>
        <v>6</v>
      </c>
    </row>
    <row r="4324" spans="1:15">
      <c r="A4324">
        <v>2486</v>
      </c>
      <c r="B4324" s="1">
        <v>45834</v>
      </c>
      <c r="C4324">
        <v>47</v>
      </c>
      <c r="D4324" t="s">
        <v>14</v>
      </c>
      <c r="E4324" t="s">
        <v>15</v>
      </c>
      <c r="F4324" t="s">
        <v>16</v>
      </c>
      <c r="H4324">
        <v>571.29999999999995</v>
      </c>
      <c r="I4324" s="13">
        <v>4</v>
      </c>
      <c r="J4324">
        <v>1</v>
      </c>
      <c r="K4324">
        <v>34.46</v>
      </c>
      <c r="L4324">
        <v>2</v>
      </c>
      <c r="M4324">
        <v>7</v>
      </c>
      <c r="N4324">
        <v>4</v>
      </c>
      <c r="O4324">
        <f t="shared" si="67"/>
        <v>6</v>
      </c>
    </row>
    <row r="4325" spans="1:15">
      <c r="A4325">
        <v>2028</v>
      </c>
      <c r="B4325" s="1">
        <v>45834</v>
      </c>
      <c r="C4325">
        <v>30</v>
      </c>
      <c r="D4325" t="s">
        <v>17</v>
      </c>
      <c r="E4325" t="s">
        <v>15</v>
      </c>
      <c r="F4325" t="s">
        <v>18</v>
      </c>
      <c r="G4325" t="s">
        <v>26</v>
      </c>
      <c r="H4325">
        <v>240.4</v>
      </c>
      <c r="I4325" s="13">
        <v>5</v>
      </c>
      <c r="J4325">
        <v>1</v>
      </c>
      <c r="K4325">
        <v>23.99</v>
      </c>
      <c r="L4325">
        <v>3</v>
      </c>
      <c r="M4325">
        <v>13</v>
      </c>
      <c r="N4325">
        <v>4</v>
      </c>
      <c r="O4325">
        <f t="shared" si="67"/>
        <v>6</v>
      </c>
    </row>
    <row r="4326" spans="1:15">
      <c r="A4326">
        <v>3445</v>
      </c>
      <c r="B4326" s="1">
        <v>45834</v>
      </c>
      <c r="C4326">
        <v>32</v>
      </c>
      <c r="D4326" t="s">
        <v>14</v>
      </c>
      <c r="E4326" t="s">
        <v>15</v>
      </c>
      <c r="F4326" t="s">
        <v>16</v>
      </c>
      <c r="H4326">
        <v>426.4</v>
      </c>
      <c r="I4326" s="13">
        <v>6</v>
      </c>
      <c r="J4326">
        <v>1</v>
      </c>
      <c r="K4326">
        <v>17.38</v>
      </c>
      <c r="L4326">
        <v>5</v>
      </c>
      <c r="M4326">
        <v>6</v>
      </c>
      <c r="N4326">
        <v>4</v>
      </c>
      <c r="O4326">
        <f t="shared" si="67"/>
        <v>6</v>
      </c>
    </row>
    <row r="4327" spans="1:15">
      <c r="A4327">
        <v>2792</v>
      </c>
      <c r="B4327" s="1">
        <v>45834</v>
      </c>
      <c r="C4327">
        <v>30</v>
      </c>
      <c r="D4327" t="s">
        <v>17</v>
      </c>
      <c r="E4327" t="s">
        <v>15</v>
      </c>
      <c r="F4327" t="s">
        <v>21</v>
      </c>
      <c r="H4327">
        <v>511.3</v>
      </c>
      <c r="I4327" s="13">
        <v>9</v>
      </c>
      <c r="J4327">
        <v>0</v>
      </c>
      <c r="K4327">
        <v>0</v>
      </c>
      <c r="L4327">
        <v>0</v>
      </c>
      <c r="M4327">
        <v>0</v>
      </c>
      <c r="O4327">
        <f t="shared" si="67"/>
        <v>6</v>
      </c>
    </row>
    <row r="4328" spans="1:15">
      <c r="A4328">
        <v>4068</v>
      </c>
      <c r="B4328" s="1">
        <v>45834</v>
      </c>
      <c r="C4328">
        <v>60</v>
      </c>
      <c r="D4328" t="s">
        <v>17</v>
      </c>
      <c r="E4328" t="s">
        <v>20</v>
      </c>
      <c r="F4328" t="s">
        <v>23</v>
      </c>
      <c r="H4328">
        <v>468</v>
      </c>
      <c r="I4328" s="13">
        <v>9</v>
      </c>
      <c r="J4328">
        <v>0</v>
      </c>
      <c r="K4328">
        <v>0</v>
      </c>
      <c r="L4328">
        <v>0</v>
      </c>
      <c r="M4328">
        <v>0</v>
      </c>
      <c r="O4328">
        <f t="shared" si="67"/>
        <v>6</v>
      </c>
    </row>
    <row r="4329" spans="1:15">
      <c r="A4329">
        <v>2499</v>
      </c>
      <c r="B4329" s="1">
        <v>45834</v>
      </c>
      <c r="C4329">
        <v>20</v>
      </c>
      <c r="D4329" t="s">
        <v>14</v>
      </c>
      <c r="E4329" t="s">
        <v>24</v>
      </c>
      <c r="F4329" t="s">
        <v>16</v>
      </c>
      <c r="H4329">
        <v>306.89999999999998</v>
      </c>
      <c r="I4329" s="13">
        <v>10</v>
      </c>
      <c r="J4329">
        <v>0</v>
      </c>
      <c r="K4329">
        <v>0</v>
      </c>
      <c r="L4329">
        <v>0</v>
      </c>
      <c r="M4329">
        <v>0</v>
      </c>
      <c r="O4329">
        <f t="shared" si="67"/>
        <v>6</v>
      </c>
    </row>
    <row r="4330" spans="1:15">
      <c r="A4330">
        <v>4328</v>
      </c>
      <c r="B4330" s="1">
        <v>45834</v>
      </c>
      <c r="C4330">
        <v>58</v>
      </c>
      <c r="D4330" t="s">
        <v>14</v>
      </c>
      <c r="E4330" t="s">
        <v>22</v>
      </c>
      <c r="F4330" t="s">
        <v>18</v>
      </c>
      <c r="G4330" t="s">
        <v>25</v>
      </c>
      <c r="H4330">
        <v>233.7</v>
      </c>
      <c r="I4330" s="13">
        <v>7</v>
      </c>
      <c r="J4330">
        <v>0</v>
      </c>
      <c r="K4330">
        <v>0</v>
      </c>
      <c r="L4330">
        <v>0</v>
      </c>
      <c r="M4330">
        <v>0</v>
      </c>
      <c r="O4330">
        <f t="shared" si="67"/>
        <v>6</v>
      </c>
    </row>
    <row r="4331" spans="1:15">
      <c r="A4331">
        <v>582</v>
      </c>
      <c r="B4331" s="1">
        <v>45834</v>
      </c>
      <c r="C4331">
        <v>35</v>
      </c>
      <c r="D4331" t="s">
        <v>14</v>
      </c>
      <c r="E4331" t="s">
        <v>15</v>
      </c>
      <c r="F4331" t="s">
        <v>16</v>
      </c>
      <c r="H4331">
        <v>205.5</v>
      </c>
      <c r="I4331" s="13">
        <v>10</v>
      </c>
      <c r="J4331">
        <v>0</v>
      </c>
      <c r="K4331">
        <v>0</v>
      </c>
      <c r="L4331">
        <v>0</v>
      </c>
      <c r="M4331">
        <v>0</v>
      </c>
      <c r="O4331">
        <f t="shared" si="67"/>
        <v>6</v>
      </c>
    </row>
    <row r="4332" spans="1:15">
      <c r="A4332">
        <v>2577</v>
      </c>
      <c r="B4332" s="1">
        <v>45834</v>
      </c>
      <c r="C4332">
        <v>18</v>
      </c>
      <c r="D4332" t="s">
        <v>17</v>
      </c>
      <c r="E4332" t="s">
        <v>20</v>
      </c>
      <c r="F4332" t="s">
        <v>18</v>
      </c>
      <c r="G4332" t="s">
        <v>29</v>
      </c>
      <c r="H4332">
        <v>175.6</v>
      </c>
      <c r="I4332" s="13">
        <v>9</v>
      </c>
      <c r="J4332">
        <v>0</v>
      </c>
      <c r="K4332">
        <v>0</v>
      </c>
      <c r="L4332">
        <v>0</v>
      </c>
      <c r="M4332">
        <v>0</v>
      </c>
      <c r="O4332">
        <f t="shared" si="67"/>
        <v>6</v>
      </c>
    </row>
    <row r="4333" spans="1:15">
      <c r="A4333">
        <v>1172</v>
      </c>
      <c r="B4333" s="1">
        <v>45834</v>
      </c>
      <c r="C4333">
        <v>18</v>
      </c>
      <c r="D4333" t="s">
        <v>14</v>
      </c>
      <c r="E4333" t="s">
        <v>20</v>
      </c>
      <c r="F4333" t="s">
        <v>18</v>
      </c>
      <c r="G4333" t="s">
        <v>28</v>
      </c>
      <c r="H4333">
        <v>154.1</v>
      </c>
      <c r="I4333" s="13">
        <v>5</v>
      </c>
      <c r="J4333">
        <v>0</v>
      </c>
      <c r="K4333">
        <v>0</v>
      </c>
      <c r="L4333">
        <v>0</v>
      </c>
      <c r="M4333">
        <v>0</v>
      </c>
      <c r="O4333">
        <f t="shared" si="67"/>
        <v>6</v>
      </c>
    </row>
    <row r="4334" spans="1:15">
      <c r="A4334">
        <v>4446</v>
      </c>
      <c r="B4334" s="1">
        <v>45834</v>
      </c>
      <c r="C4334">
        <v>54</v>
      </c>
      <c r="D4334" t="s">
        <v>17</v>
      </c>
      <c r="E4334" t="s">
        <v>24</v>
      </c>
      <c r="F4334" t="s">
        <v>21</v>
      </c>
      <c r="H4334">
        <v>148.9</v>
      </c>
      <c r="I4334" s="13">
        <v>5</v>
      </c>
      <c r="J4334">
        <v>0</v>
      </c>
      <c r="K4334">
        <v>0</v>
      </c>
      <c r="L4334">
        <v>0</v>
      </c>
      <c r="M4334">
        <v>0</v>
      </c>
      <c r="O4334">
        <f t="shared" si="67"/>
        <v>6</v>
      </c>
    </row>
    <row r="4335" spans="1:15">
      <c r="A4335">
        <v>2964</v>
      </c>
      <c r="B4335" s="1">
        <v>45834</v>
      </c>
      <c r="C4335">
        <v>37</v>
      </c>
      <c r="D4335" t="s">
        <v>17</v>
      </c>
      <c r="E4335" t="s">
        <v>22</v>
      </c>
      <c r="F4335" t="s">
        <v>16</v>
      </c>
      <c r="H4335">
        <v>111.9</v>
      </c>
      <c r="I4335" s="13">
        <v>7</v>
      </c>
      <c r="J4335">
        <v>0</v>
      </c>
      <c r="K4335">
        <v>0</v>
      </c>
      <c r="L4335">
        <v>0</v>
      </c>
      <c r="M4335">
        <v>0</v>
      </c>
      <c r="O4335">
        <f t="shared" si="67"/>
        <v>6</v>
      </c>
    </row>
    <row r="4336" spans="1:15">
      <c r="A4336">
        <v>3790</v>
      </c>
      <c r="B4336" s="1">
        <v>45834</v>
      </c>
      <c r="C4336">
        <v>52</v>
      </c>
      <c r="D4336" t="s">
        <v>17</v>
      </c>
      <c r="E4336" t="s">
        <v>24</v>
      </c>
      <c r="F4336" t="s">
        <v>18</v>
      </c>
      <c r="G4336" t="s">
        <v>19</v>
      </c>
      <c r="H4336">
        <v>107.9</v>
      </c>
      <c r="I4336" s="13">
        <v>6</v>
      </c>
      <c r="J4336">
        <v>0</v>
      </c>
      <c r="K4336">
        <v>0</v>
      </c>
      <c r="L4336">
        <v>0</v>
      </c>
      <c r="M4336">
        <v>0</v>
      </c>
      <c r="O4336">
        <f t="shared" si="67"/>
        <v>6</v>
      </c>
    </row>
    <row r="4337" spans="1:15">
      <c r="A4337">
        <v>1831</v>
      </c>
      <c r="B4337" s="1">
        <v>45834</v>
      </c>
      <c r="C4337">
        <v>41</v>
      </c>
      <c r="D4337" t="s">
        <v>14</v>
      </c>
      <c r="E4337" t="s">
        <v>15</v>
      </c>
      <c r="F4337" t="s">
        <v>18</v>
      </c>
      <c r="G4337" t="s">
        <v>25</v>
      </c>
      <c r="H4337">
        <v>106.6</v>
      </c>
      <c r="I4337" s="13">
        <v>2</v>
      </c>
      <c r="J4337">
        <v>0</v>
      </c>
      <c r="K4337">
        <v>0</v>
      </c>
      <c r="L4337">
        <v>0</v>
      </c>
      <c r="M4337">
        <v>0</v>
      </c>
      <c r="O4337">
        <f t="shared" si="67"/>
        <v>6</v>
      </c>
    </row>
    <row r="4338" spans="1:15">
      <c r="A4338">
        <v>2783</v>
      </c>
      <c r="B4338" s="1">
        <v>45834</v>
      </c>
      <c r="C4338">
        <v>31</v>
      </c>
      <c r="D4338" t="s">
        <v>17</v>
      </c>
      <c r="E4338" t="s">
        <v>15</v>
      </c>
      <c r="F4338" t="s">
        <v>16</v>
      </c>
      <c r="H4338">
        <v>89.9</v>
      </c>
      <c r="I4338" s="13">
        <v>4</v>
      </c>
      <c r="J4338">
        <v>0</v>
      </c>
      <c r="K4338">
        <v>0</v>
      </c>
      <c r="L4338">
        <v>0</v>
      </c>
      <c r="M4338">
        <v>0</v>
      </c>
      <c r="O4338">
        <f t="shared" si="67"/>
        <v>6</v>
      </c>
    </row>
    <row r="4339" spans="1:15">
      <c r="A4339">
        <v>676</v>
      </c>
      <c r="B4339" s="1">
        <v>45834</v>
      </c>
      <c r="C4339">
        <v>18</v>
      </c>
      <c r="D4339" t="s">
        <v>14</v>
      </c>
      <c r="E4339" t="s">
        <v>22</v>
      </c>
      <c r="F4339" t="s">
        <v>18</v>
      </c>
      <c r="G4339" t="s">
        <v>28</v>
      </c>
      <c r="H4339">
        <v>78.099999999999994</v>
      </c>
      <c r="I4339" s="13">
        <v>4</v>
      </c>
      <c r="J4339">
        <v>0</v>
      </c>
      <c r="K4339">
        <v>0</v>
      </c>
      <c r="L4339">
        <v>0</v>
      </c>
      <c r="M4339">
        <v>0</v>
      </c>
      <c r="O4339">
        <f t="shared" si="67"/>
        <v>6</v>
      </c>
    </row>
    <row r="4340" spans="1:15">
      <c r="A4340">
        <v>4700</v>
      </c>
      <c r="B4340" s="1">
        <v>45834</v>
      </c>
      <c r="C4340">
        <v>42</v>
      </c>
      <c r="D4340" t="s">
        <v>17</v>
      </c>
      <c r="E4340" t="s">
        <v>22</v>
      </c>
      <c r="F4340" t="s">
        <v>18</v>
      </c>
      <c r="G4340" t="s">
        <v>28</v>
      </c>
      <c r="H4340">
        <v>70.8</v>
      </c>
      <c r="I4340" s="13">
        <v>3</v>
      </c>
      <c r="J4340">
        <v>0</v>
      </c>
      <c r="K4340">
        <v>0</v>
      </c>
      <c r="L4340">
        <v>0</v>
      </c>
      <c r="M4340">
        <v>0</v>
      </c>
      <c r="O4340">
        <f t="shared" si="67"/>
        <v>6</v>
      </c>
    </row>
    <row r="4341" spans="1:15">
      <c r="A4341">
        <v>4851</v>
      </c>
      <c r="B4341" s="1">
        <v>45834</v>
      </c>
      <c r="C4341">
        <v>51</v>
      </c>
      <c r="D4341" t="s">
        <v>17</v>
      </c>
      <c r="E4341" t="s">
        <v>20</v>
      </c>
      <c r="F4341" t="s">
        <v>16</v>
      </c>
      <c r="H4341">
        <v>41.7</v>
      </c>
      <c r="I4341" s="13">
        <v>3</v>
      </c>
      <c r="J4341">
        <v>0</v>
      </c>
      <c r="K4341">
        <v>0</v>
      </c>
      <c r="L4341">
        <v>0</v>
      </c>
      <c r="M4341">
        <v>0</v>
      </c>
      <c r="O4341">
        <f t="shared" si="67"/>
        <v>6</v>
      </c>
    </row>
    <row r="4342" spans="1:15">
      <c r="A4342">
        <v>1910</v>
      </c>
      <c r="B4342" s="1">
        <v>45684</v>
      </c>
      <c r="C4342">
        <v>31</v>
      </c>
      <c r="D4342" t="s">
        <v>14</v>
      </c>
      <c r="E4342" t="s">
        <v>22</v>
      </c>
      <c r="F4342" t="s">
        <v>16</v>
      </c>
      <c r="H4342">
        <v>186.4</v>
      </c>
      <c r="I4342" s="13">
        <v>5</v>
      </c>
      <c r="J4342">
        <v>1</v>
      </c>
      <c r="K4342">
        <v>224</v>
      </c>
      <c r="L4342">
        <v>3</v>
      </c>
      <c r="M4342">
        <v>14</v>
      </c>
      <c r="N4342">
        <v>4</v>
      </c>
      <c r="O4342">
        <f t="shared" si="67"/>
        <v>1</v>
      </c>
    </row>
    <row r="4343" spans="1:15">
      <c r="A4343">
        <v>1948</v>
      </c>
      <c r="B4343" s="1">
        <v>45684</v>
      </c>
      <c r="C4343">
        <v>32</v>
      </c>
      <c r="D4343" t="s">
        <v>17</v>
      </c>
      <c r="E4343" t="s">
        <v>22</v>
      </c>
      <c r="F4343" t="s">
        <v>23</v>
      </c>
      <c r="H4343">
        <v>469</v>
      </c>
      <c r="I4343" s="13">
        <v>6</v>
      </c>
      <c r="J4343">
        <v>1</v>
      </c>
      <c r="K4343">
        <v>122.55</v>
      </c>
      <c r="L4343">
        <v>1</v>
      </c>
      <c r="M4343">
        <v>2</v>
      </c>
      <c r="N4343">
        <v>4</v>
      </c>
      <c r="O4343">
        <f t="shared" si="67"/>
        <v>1</v>
      </c>
    </row>
    <row r="4344" spans="1:15">
      <c r="A4344">
        <v>4005</v>
      </c>
      <c r="B4344" s="1">
        <v>45684</v>
      </c>
      <c r="C4344">
        <v>61</v>
      </c>
      <c r="D4344" t="s">
        <v>17</v>
      </c>
      <c r="E4344" t="s">
        <v>20</v>
      </c>
      <c r="F4344" t="s">
        <v>16</v>
      </c>
      <c r="H4344">
        <v>283.5</v>
      </c>
      <c r="I4344" s="13">
        <v>6</v>
      </c>
      <c r="J4344">
        <v>1</v>
      </c>
      <c r="K4344">
        <v>42.49</v>
      </c>
      <c r="L4344">
        <v>4</v>
      </c>
      <c r="M4344">
        <v>6</v>
      </c>
      <c r="N4344">
        <v>4</v>
      </c>
      <c r="O4344">
        <f t="shared" si="67"/>
        <v>1</v>
      </c>
    </row>
    <row r="4345" spans="1:15">
      <c r="A4345">
        <v>4897</v>
      </c>
      <c r="B4345" s="1">
        <v>45684</v>
      </c>
      <c r="C4345">
        <v>64</v>
      </c>
      <c r="D4345" t="s">
        <v>27</v>
      </c>
      <c r="E4345" t="s">
        <v>24</v>
      </c>
      <c r="F4345" t="s">
        <v>18</v>
      </c>
      <c r="G4345" t="s">
        <v>30</v>
      </c>
      <c r="H4345">
        <v>492.7</v>
      </c>
      <c r="I4345" s="13">
        <v>7</v>
      </c>
      <c r="J4345">
        <v>1</v>
      </c>
      <c r="K4345">
        <v>34.590000000000003</v>
      </c>
      <c r="L4345">
        <v>3</v>
      </c>
      <c r="M4345">
        <v>8</v>
      </c>
      <c r="N4345">
        <v>3</v>
      </c>
      <c r="O4345">
        <f t="shared" si="67"/>
        <v>1</v>
      </c>
    </row>
    <row r="4346" spans="1:15">
      <c r="A4346">
        <v>845</v>
      </c>
      <c r="B4346" s="1">
        <v>45684</v>
      </c>
      <c r="C4346">
        <v>29</v>
      </c>
      <c r="D4346" t="s">
        <v>17</v>
      </c>
      <c r="E4346" t="s">
        <v>22</v>
      </c>
      <c r="F4346" t="s">
        <v>16</v>
      </c>
      <c r="H4346">
        <v>539.29999999999995</v>
      </c>
      <c r="I4346" s="13">
        <v>7</v>
      </c>
      <c r="J4346">
        <v>1</v>
      </c>
      <c r="K4346">
        <v>28.49</v>
      </c>
      <c r="L4346">
        <v>2</v>
      </c>
      <c r="M4346">
        <v>7</v>
      </c>
      <c r="N4346">
        <v>3</v>
      </c>
      <c r="O4346">
        <f t="shared" si="67"/>
        <v>1</v>
      </c>
    </row>
    <row r="4347" spans="1:15">
      <c r="A4347">
        <v>577</v>
      </c>
      <c r="B4347" s="1">
        <v>45684</v>
      </c>
      <c r="C4347">
        <v>27</v>
      </c>
      <c r="D4347" t="s">
        <v>17</v>
      </c>
      <c r="E4347" t="s">
        <v>24</v>
      </c>
      <c r="F4347" t="s">
        <v>16</v>
      </c>
      <c r="H4347">
        <v>182.3</v>
      </c>
      <c r="I4347" s="13">
        <v>12</v>
      </c>
      <c r="J4347">
        <v>1</v>
      </c>
      <c r="K4347">
        <v>15.91</v>
      </c>
      <c r="L4347">
        <v>5</v>
      </c>
      <c r="M4347">
        <v>9</v>
      </c>
      <c r="N4347">
        <v>4</v>
      </c>
      <c r="O4347">
        <f t="shared" si="67"/>
        <v>1</v>
      </c>
    </row>
    <row r="4348" spans="1:15">
      <c r="A4348">
        <v>4623</v>
      </c>
      <c r="B4348" s="1">
        <v>45684</v>
      </c>
      <c r="C4348">
        <v>26</v>
      </c>
      <c r="D4348" t="s">
        <v>14</v>
      </c>
      <c r="E4348" t="s">
        <v>22</v>
      </c>
      <c r="F4348" t="s">
        <v>18</v>
      </c>
      <c r="G4348" t="s">
        <v>31</v>
      </c>
      <c r="H4348">
        <v>1071.8</v>
      </c>
      <c r="I4348" s="13">
        <v>7</v>
      </c>
      <c r="J4348">
        <v>1</v>
      </c>
      <c r="K4348">
        <v>13.41</v>
      </c>
      <c r="L4348">
        <v>2</v>
      </c>
      <c r="M4348">
        <v>5</v>
      </c>
      <c r="N4348">
        <v>4</v>
      </c>
      <c r="O4348">
        <f t="shared" si="67"/>
        <v>1</v>
      </c>
    </row>
    <row r="4349" spans="1:15">
      <c r="A4349">
        <v>2761</v>
      </c>
      <c r="B4349" s="1">
        <v>45684</v>
      </c>
      <c r="C4349">
        <v>18</v>
      </c>
      <c r="D4349" t="s">
        <v>17</v>
      </c>
      <c r="E4349" t="s">
        <v>20</v>
      </c>
      <c r="F4349" t="s">
        <v>16</v>
      </c>
      <c r="H4349">
        <v>649.20000000000005</v>
      </c>
      <c r="I4349" s="13">
        <v>1</v>
      </c>
      <c r="J4349">
        <v>0</v>
      </c>
      <c r="K4349">
        <v>0</v>
      </c>
      <c r="L4349">
        <v>0</v>
      </c>
      <c r="M4349">
        <v>0</v>
      </c>
      <c r="O4349">
        <f t="shared" si="67"/>
        <v>1</v>
      </c>
    </row>
    <row r="4350" spans="1:15">
      <c r="A4350">
        <v>153</v>
      </c>
      <c r="B4350" s="1">
        <v>45684</v>
      </c>
      <c r="C4350">
        <v>31</v>
      </c>
      <c r="D4350" t="s">
        <v>17</v>
      </c>
      <c r="E4350" t="s">
        <v>24</v>
      </c>
      <c r="F4350" t="s">
        <v>18</v>
      </c>
      <c r="G4350" t="s">
        <v>19</v>
      </c>
      <c r="H4350">
        <v>594.29999999999995</v>
      </c>
      <c r="I4350" s="13">
        <v>8</v>
      </c>
      <c r="J4350">
        <v>0</v>
      </c>
      <c r="K4350">
        <v>0</v>
      </c>
      <c r="L4350">
        <v>0</v>
      </c>
      <c r="M4350">
        <v>0</v>
      </c>
      <c r="O4350">
        <f t="shared" si="67"/>
        <v>1</v>
      </c>
    </row>
    <row r="4351" spans="1:15">
      <c r="A4351">
        <v>4868</v>
      </c>
      <c r="B4351" s="1">
        <v>45684</v>
      </c>
      <c r="C4351">
        <v>58</v>
      </c>
      <c r="D4351" t="s">
        <v>17</v>
      </c>
      <c r="E4351" t="s">
        <v>24</v>
      </c>
      <c r="F4351" t="s">
        <v>18</v>
      </c>
      <c r="G4351" t="s">
        <v>29</v>
      </c>
      <c r="H4351">
        <v>523.79999999999995</v>
      </c>
      <c r="I4351" s="13">
        <v>6</v>
      </c>
      <c r="J4351">
        <v>0</v>
      </c>
      <c r="K4351">
        <v>0</v>
      </c>
      <c r="L4351">
        <v>0</v>
      </c>
      <c r="M4351">
        <v>0</v>
      </c>
      <c r="O4351">
        <f t="shared" si="67"/>
        <v>1</v>
      </c>
    </row>
    <row r="4352" spans="1:15">
      <c r="A4352">
        <v>2748</v>
      </c>
      <c r="B4352" s="1">
        <v>45684</v>
      </c>
      <c r="C4352">
        <v>29</v>
      </c>
      <c r="D4352" t="s">
        <v>14</v>
      </c>
      <c r="E4352" t="s">
        <v>20</v>
      </c>
      <c r="F4352" t="s">
        <v>18</v>
      </c>
      <c r="G4352" t="s">
        <v>29</v>
      </c>
      <c r="H4352">
        <v>523.29999999999995</v>
      </c>
      <c r="I4352" s="13">
        <v>4</v>
      </c>
      <c r="J4352">
        <v>0</v>
      </c>
      <c r="K4352">
        <v>0</v>
      </c>
      <c r="L4352">
        <v>0</v>
      </c>
      <c r="M4352">
        <v>0</v>
      </c>
      <c r="O4352">
        <f t="shared" si="67"/>
        <v>1</v>
      </c>
    </row>
    <row r="4353" spans="1:15">
      <c r="A4353">
        <v>3543</v>
      </c>
      <c r="B4353" s="1">
        <v>45684</v>
      </c>
      <c r="C4353">
        <v>32</v>
      </c>
      <c r="D4353" t="s">
        <v>17</v>
      </c>
      <c r="E4353" t="s">
        <v>22</v>
      </c>
      <c r="F4353" t="s">
        <v>16</v>
      </c>
      <c r="H4353">
        <v>513.79999999999995</v>
      </c>
      <c r="I4353" s="13">
        <v>6</v>
      </c>
      <c r="J4353">
        <v>0</v>
      </c>
      <c r="K4353">
        <v>0</v>
      </c>
      <c r="L4353">
        <v>0</v>
      </c>
      <c r="M4353">
        <v>0</v>
      </c>
      <c r="O4353">
        <f t="shared" si="67"/>
        <v>1</v>
      </c>
    </row>
    <row r="4354" spans="1:15">
      <c r="A4354">
        <v>4379</v>
      </c>
      <c r="B4354" s="1">
        <v>45684</v>
      </c>
      <c r="C4354">
        <v>30</v>
      </c>
      <c r="D4354" t="s">
        <v>14</v>
      </c>
      <c r="E4354" t="s">
        <v>24</v>
      </c>
      <c r="F4354" t="s">
        <v>18</v>
      </c>
      <c r="G4354" t="s">
        <v>28</v>
      </c>
      <c r="H4354">
        <v>311.89999999999998</v>
      </c>
      <c r="I4354" s="13">
        <v>6</v>
      </c>
      <c r="J4354">
        <v>0</v>
      </c>
      <c r="K4354">
        <v>0</v>
      </c>
      <c r="L4354">
        <v>0</v>
      </c>
      <c r="M4354">
        <v>0</v>
      </c>
      <c r="O4354">
        <f t="shared" si="67"/>
        <v>1</v>
      </c>
    </row>
    <row r="4355" spans="1:15">
      <c r="A4355">
        <v>2484</v>
      </c>
      <c r="B4355" s="1">
        <v>45684</v>
      </c>
      <c r="C4355">
        <v>39</v>
      </c>
      <c r="D4355" t="s">
        <v>14</v>
      </c>
      <c r="E4355" t="s">
        <v>24</v>
      </c>
      <c r="F4355" t="s">
        <v>18</v>
      </c>
      <c r="G4355" t="s">
        <v>28</v>
      </c>
      <c r="H4355">
        <v>282.60000000000002</v>
      </c>
      <c r="I4355" s="13">
        <v>9</v>
      </c>
      <c r="J4355">
        <v>0</v>
      </c>
      <c r="K4355">
        <v>0</v>
      </c>
      <c r="L4355">
        <v>0</v>
      </c>
      <c r="M4355">
        <v>0</v>
      </c>
      <c r="O4355">
        <f t="shared" ref="O4355:O4418" si="68">MONTH(B4355)</f>
        <v>1</v>
      </c>
    </row>
    <row r="4356" spans="1:15">
      <c r="A4356">
        <v>3897</v>
      </c>
      <c r="B4356" s="1">
        <v>45684</v>
      </c>
      <c r="C4356">
        <v>47</v>
      </c>
      <c r="D4356" t="s">
        <v>14</v>
      </c>
      <c r="E4356" t="s">
        <v>22</v>
      </c>
      <c r="F4356" t="s">
        <v>16</v>
      </c>
      <c r="H4356">
        <v>282</v>
      </c>
      <c r="I4356" s="13">
        <v>6</v>
      </c>
      <c r="J4356">
        <v>0</v>
      </c>
      <c r="K4356">
        <v>0</v>
      </c>
      <c r="L4356">
        <v>0</v>
      </c>
      <c r="M4356">
        <v>0</v>
      </c>
      <c r="O4356">
        <f t="shared" si="68"/>
        <v>1</v>
      </c>
    </row>
    <row r="4357" spans="1:15">
      <c r="A4357">
        <v>3526</v>
      </c>
      <c r="B4357" s="1">
        <v>45684</v>
      </c>
      <c r="C4357">
        <v>32</v>
      </c>
      <c r="D4357" t="s">
        <v>27</v>
      </c>
      <c r="E4357" t="s">
        <v>20</v>
      </c>
      <c r="F4357" t="s">
        <v>16</v>
      </c>
      <c r="H4357">
        <v>199.6</v>
      </c>
      <c r="I4357" s="13">
        <v>6</v>
      </c>
      <c r="J4357">
        <v>0</v>
      </c>
      <c r="K4357">
        <v>0</v>
      </c>
      <c r="L4357">
        <v>0</v>
      </c>
      <c r="M4357">
        <v>0</v>
      </c>
      <c r="O4357">
        <f t="shared" si="68"/>
        <v>1</v>
      </c>
    </row>
    <row r="4358" spans="1:15">
      <c r="A4358">
        <v>1694</v>
      </c>
      <c r="B4358" s="1">
        <v>45684</v>
      </c>
      <c r="C4358">
        <v>29</v>
      </c>
      <c r="D4358" t="s">
        <v>17</v>
      </c>
      <c r="E4358" t="s">
        <v>24</v>
      </c>
      <c r="F4358" t="s">
        <v>16</v>
      </c>
      <c r="H4358">
        <v>186.4</v>
      </c>
      <c r="I4358" s="13">
        <v>5</v>
      </c>
      <c r="J4358">
        <v>0</v>
      </c>
      <c r="K4358">
        <v>0</v>
      </c>
      <c r="L4358">
        <v>0</v>
      </c>
      <c r="M4358">
        <v>0</v>
      </c>
      <c r="O4358">
        <f t="shared" si="68"/>
        <v>1</v>
      </c>
    </row>
    <row r="4359" spans="1:15">
      <c r="A4359">
        <v>4857</v>
      </c>
      <c r="B4359" s="1">
        <v>45684</v>
      </c>
      <c r="C4359">
        <v>63</v>
      </c>
      <c r="D4359" t="s">
        <v>17</v>
      </c>
      <c r="E4359" t="s">
        <v>15</v>
      </c>
      <c r="F4359" t="s">
        <v>18</v>
      </c>
      <c r="G4359" t="s">
        <v>29</v>
      </c>
      <c r="H4359">
        <v>178.3</v>
      </c>
      <c r="I4359" s="13">
        <v>5</v>
      </c>
      <c r="J4359">
        <v>0</v>
      </c>
      <c r="K4359">
        <v>0</v>
      </c>
      <c r="L4359">
        <v>0</v>
      </c>
      <c r="M4359">
        <v>0</v>
      </c>
      <c r="O4359">
        <f t="shared" si="68"/>
        <v>1</v>
      </c>
    </row>
    <row r="4360" spans="1:15">
      <c r="A4360">
        <v>1424</v>
      </c>
      <c r="B4360" s="1">
        <v>45684</v>
      </c>
      <c r="C4360">
        <v>18</v>
      </c>
      <c r="D4360" t="s">
        <v>14</v>
      </c>
      <c r="E4360" t="s">
        <v>20</v>
      </c>
      <c r="F4360" t="s">
        <v>16</v>
      </c>
      <c r="H4360">
        <v>178</v>
      </c>
      <c r="I4360" s="13">
        <v>7</v>
      </c>
      <c r="J4360">
        <v>0</v>
      </c>
      <c r="K4360">
        <v>0</v>
      </c>
      <c r="L4360">
        <v>0</v>
      </c>
      <c r="M4360">
        <v>0</v>
      </c>
      <c r="O4360">
        <f t="shared" si="68"/>
        <v>1</v>
      </c>
    </row>
    <row r="4361" spans="1:15">
      <c r="A4361">
        <v>776</v>
      </c>
      <c r="B4361" s="1">
        <v>45684</v>
      </c>
      <c r="C4361">
        <v>31</v>
      </c>
      <c r="D4361" t="s">
        <v>17</v>
      </c>
      <c r="E4361" t="s">
        <v>20</v>
      </c>
      <c r="F4361" t="s">
        <v>18</v>
      </c>
      <c r="G4361" t="s">
        <v>26</v>
      </c>
      <c r="H4361">
        <v>33.4</v>
      </c>
      <c r="I4361" s="13">
        <v>8</v>
      </c>
      <c r="J4361">
        <v>0</v>
      </c>
      <c r="K4361">
        <v>0</v>
      </c>
      <c r="L4361">
        <v>0</v>
      </c>
      <c r="M4361">
        <v>0</v>
      </c>
      <c r="O4361">
        <f t="shared" si="68"/>
        <v>1</v>
      </c>
    </row>
    <row r="4362" spans="1:15">
      <c r="A4362">
        <v>376</v>
      </c>
      <c r="B4362" s="1">
        <v>45715</v>
      </c>
      <c r="C4362">
        <v>31</v>
      </c>
      <c r="D4362" t="s">
        <v>17</v>
      </c>
      <c r="E4362" t="s">
        <v>15</v>
      </c>
      <c r="F4362" t="s">
        <v>23</v>
      </c>
      <c r="H4362">
        <v>934.5</v>
      </c>
      <c r="I4362" s="13">
        <v>3</v>
      </c>
      <c r="J4362">
        <v>1</v>
      </c>
      <c r="K4362">
        <v>367</v>
      </c>
      <c r="L4362">
        <v>4</v>
      </c>
      <c r="M4362">
        <v>15</v>
      </c>
      <c r="N4362">
        <v>4</v>
      </c>
      <c r="O4362">
        <f t="shared" si="68"/>
        <v>2</v>
      </c>
    </row>
    <row r="4363" spans="1:15">
      <c r="A4363">
        <v>254</v>
      </c>
      <c r="B4363" s="1">
        <v>45715</v>
      </c>
      <c r="C4363">
        <v>23</v>
      </c>
      <c r="D4363" t="s">
        <v>14</v>
      </c>
      <c r="E4363" t="s">
        <v>24</v>
      </c>
      <c r="F4363" t="s">
        <v>18</v>
      </c>
      <c r="G4363" t="s">
        <v>28</v>
      </c>
      <c r="H4363">
        <v>775.2</v>
      </c>
      <c r="I4363" s="13">
        <v>7</v>
      </c>
      <c r="J4363">
        <v>1</v>
      </c>
      <c r="K4363">
        <v>61.78</v>
      </c>
      <c r="L4363">
        <v>6</v>
      </c>
      <c r="M4363">
        <v>15</v>
      </c>
      <c r="N4363">
        <v>3</v>
      </c>
      <c r="O4363">
        <f t="shared" si="68"/>
        <v>2</v>
      </c>
    </row>
    <row r="4364" spans="1:15">
      <c r="A4364">
        <v>4716</v>
      </c>
      <c r="B4364" s="1">
        <v>45715</v>
      </c>
      <c r="C4364">
        <v>66</v>
      </c>
      <c r="D4364" t="s">
        <v>17</v>
      </c>
      <c r="E4364" t="s">
        <v>20</v>
      </c>
      <c r="F4364" t="s">
        <v>16</v>
      </c>
      <c r="H4364">
        <v>189.9</v>
      </c>
      <c r="I4364" s="13">
        <v>2</v>
      </c>
      <c r="J4364">
        <v>1</v>
      </c>
      <c r="K4364">
        <v>58.54</v>
      </c>
      <c r="L4364">
        <v>5</v>
      </c>
      <c r="M4364">
        <v>5</v>
      </c>
      <c r="N4364">
        <v>3</v>
      </c>
      <c r="O4364">
        <f t="shared" si="68"/>
        <v>2</v>
      </c>
    </row>
    <row r="4365" spans="1:15">
      <c r="A4365">
        <v>2259</v>
      </c>
      <c r="B4365" s="1">
        <v>45715</v>
      </c>
      <c r="C4365">
        <v>31</v>
      </c>
      <c r="D4365" t="s">
        <v>14</v>
      </c>
      <c r="E4365" t="s">
        <v>15</v>
      </c>
      <c r="F4365" t="s">
        <v>16</v>
      </c>
      <c r="H4365">
        <v>1298.8</v>
      </c>
      <c r="I4365" s="13">
        <v>5</v>
      </c>
      <c r="J4365">
        <v>1</v>
      </c>
      <c r="K4365">
        <v>39.08</v>
      </c>
      <c r="L4365">
        <v>2</v>
      </c>
      <c r="M4365">
        <v>2</v>
      </c>
      <c r="N4365">
        <v>4</v>
      </c>
      <c r="O4365">
        <f t="shared" si="68"/>
        <v>2</v>
      </c>
    </row>
    <row r="4366" spans="1:15">
      <c r="A4366">
        <v>405</v>
      </c>
      <c r="B4366" s="1">
        <v>45715</v>
      </c>
      <c r="C4366">
        <v>25</v>
      </c>
      <c r="D4366" t="s">
        <v>14</v>
      </c>
      <c r="E4366" t="s">
        <v>20</v>
      </c>
      <c r="F4366" t="s">
        <v>18</v>
      </c>
      <c r="G4366" t="s">
        <v>26</v>
      </c>
      <c r="H4366">
        <v>783.6</v>
      </c>
      <c r="I4366" s="13">
        <v>8</v>
      </c>
      <c r="J4366">
        <v>1</v>
      </c>
      <c r="K4366">
        <v>21.53</v>
      </c>
      <c r="L4366">
        <v>2</v>
      </c>
      <c r="M4366">
        <v>6</v>
      </c>
      <c r="N4366">
        <v>5</v>
      </c>
      <c r="O4366">
        <f t="shared" si="68"/>
        <v>2</v>
      </c>
    </row>
    <row r="4367" spans="1:15">
      <c r="A4367">
        <v>3304</v>
      </c>
      <c r="B4367" s="1">
        <v>45715</v>
      </c>
      <c r="C4367">
        <v>30</v>
      </c>
      <c r="D4367" t="s">
        <v>17</v>
      </c>
      <c r="E4367" t="s">
        <v>15</v>
      </c>
      <c r="F4367" t="s">
        <v>16</v>
      </c>
      <c r="H4367">
        <v>670.7</v>
      </c>
      <c r="I4367" s="13">
        <v>5</v>
      </c>
      <c r="J4367">
        <v>0</v>
      </c>
      <c r="K4367">
        <v>0</v>
      </c>
      <c r="L4367">
        <v>0</v>
      </c>
      <c r="M4367">
        <v>0</v>
      </c>
      <c r="O4367">
        <f t="shared" si="68"/>
        <v>2</v>
      </c>
    </row>
    <row r="4368" spans="1:15">
      <c r="A4368">
        <v>3703</v>
      </c>
      <c r="B4368" s="1">
        <v>45715</v>
      </c>
      <c r="C4368">
        <v>43</v>
      </c>
      <c r="D4368" t="s">
        <v>14</v>
      </c>
      <c r="E4368" t="s">
        <v>22</v>
      </c>
      <c r="F4368" t="s">
        <v>16</v>
      </c>
      <c r="H4368">
        <v>464</v>
      </c>
      <c r="I4368" s="13">
        <v>4</v>
      </c>
      <c r="J4368">
        <v>0</v>
      </c>
      <c r="K4368">
        <v>0</v>
      </c>
      <c r="L4368">
        <v>0</v>
      </c>
      <c r="M4368">
        <v>0</v>
      </c>
      <c r="O4368">
        <f t="shared" si="68"/>
        <v>2</v>
      </c>
    </row>
    <row r="4369" spans="1:15">
      <c r="A4369">
        <v>642</v>
      </c>
      <c r="B4369" s="1">
        <v>45715</v>
      </c>
      <c r="C4369">
        <v>29</v>
      </c>
      <c r="D4369" t="s">
        <v>14</v>
      </c>
      <c r="E4369" t="s">
        <v>22</v>
      </c>
      <c r="F4369" t="s">
        <v>18</v>
      </c>
      <c r="G4369" t="s">
        <v>28</v>
      </c>
      <c r="H4369">
        <v>343.2</v>
      </c>
      <c r="I4369" s="13">
        <v>6</v>
      </c>
      <c r="J4369">
        <v>0</v>
      </c>
      <c r="K4369">
        <v>0</v>
      </c>
      <c r="L4369">
        <v>0</v>
      </c>
      <c r="M4369">
        <v>0</v>
      </c>
      <c r="O4369">
        <f t="shared" si="68"/>
        <v>2</v>
      </c>
    </row>
    <row r="4370" spans="1:15">
      <c r="A4370">
        <v>2573</v>
      </c>
      <c r="B4370" s="1">
        <v>45715</v>
      </c>
      <c r="C4370">
        <v>36</v>
      </c>
      <c r="D4370" t="s">
        <v>17</v>
      </c>
      <c r="E4370" t="s">
        <v>15</v>
      </c>
      <c r="F4370" t="s">
        <v>16</v>
      </c>
      <c r="H4370">
        <v>313.3</v>
      </c>
      <c r="I4370" s="13">
        <v>7</v>
      </c>
      <c r="J4370">
        <v>0</v>
      </c>
      <c r="K4370">
        <v>0</v>
      </c>
      <c r="L4370">
        <v>0</v>
      </c>
      <c r="M4370">
        <v>0</v>
      </c>
      <c r="O4370">
        <f t="shared" si="68"/>
        <v>2</v>
      </c>
    </row>
    <row r="4371" spans="1:15">
      <c r="A4371">
        <v>411</v>
      </c>
      <c r="B4371" s="1">
        <v>45715</v>
      </c>
      <c r="C4371">
        <v>24</v>
      </c>
      <c r="D4371" t="s">
        <v>14</v>
      </c>
      <c r="E4371" t="s">
        <v>15</v>
      </c>
      <c r="F4371" t="s">
        <v>18</v>
      </c>
      <c r="G4371" t="s">
        <v>19</v>
      </c>
      <c r="H4371">
        <v>262.7</v>
      </c>
      <c r="I4371" s="13">
        <v>10</v>
      </c>
      <c r="J4371">
        <v>0</v>
      </c>
      <c r="K4371">
        <v>0</v>
      </c>
      <c r="L4371">
        <v>0</v>
      </c>
      <c r="M4371">
        <v>0</v>
      </c>
      <c r="O4371">
        <f t="shared" si="68"/>
        <v>2</v>
      </c>
    </row>
    <row r="4372" spans="1:15">
      <c r="A4372">
        <v>2106</v>
      </c>
      <c r="B4372" s="1">
        <v>45715</v>
      </c>
      <c r="C4372">
        <v>47</v>
      </c>
      <c r="D4372" t="s">
        <v>17</v>
      </c>
      <c r="E4372" t="s">
        <v>15</v>
      </c>
      <c r="F4372" t="s">
        <v>18</v>
      </c>
      <c r="G4372" t="s">
        <v>26</v>
      </c>
      <c r="H4372">
        <v>226.7</v>
      </c>
      <c r="I4372" s="13">
        <v>5</v>
      </c>
      <c r="J4372">
        <v>0</v>
      </c>
      <c r="K4372">
        <v>0</v>
      </c>
      <c r="L4372">
        <v>0</v>
      </c>
      <c r="M4372">
        <v>0</v>
      </c>
      <c r="O4372">
        <f t="shared" si="68"/>
        <v>2</v>
      </c>
    </row>
    <row r="4373" spans="1:15">
      <c r="A4373">
        <v>2385</v>
      </c>
      <c r="B4373" s="1">
        <v>45715</v>
      </c>
      <c r="C4373">
        <v>31</v>
      </c>
      <c r="D4373" t="s">
        <v>17</v>
      </c>
      <c r="E4373" t="s">
        <v>15</v>
      </c>
      <c r="F4373" t="s">
        <v>16</v>
      </c>
      <c r="H4373">
        <v>192.7</v>
      </c>
      <c r="I4373" s="13">
        <v>10</v>
      </c>
      <c r="J4373">
        <v>0</v>
      </c>
      <c r="K4373">
        <v>0</v>
      </c>
      <c r="L4373">
        <v>0</v>
      </c>
      <c r="M4373">
        <v>0</v>
      </c>
      <c r="O4373">
        <f t="shared" si="68"/>
        <v>2</v>
      </c>
    </row>
    <row r="4374" spans="1:15">
      <c r="A4374">
        <v>4796</v>
      </c>
      <c r="B4374" s="1">
        <v>45715</v>
      </c>
      <c r="C4374">
        <v>48</v>
      </c>
      <c r="D4374" t="s">
        <v>14</v>
      </c>
      <c r="E4374" t="s">
        <v>24</v>
      </c>
      <c r="F4374" t="s">
        <v>16</v>
      </c>
      <c r="H4374">
        <v>141.9</v>
      </c>
      <c r="I4374" s="13">
        <v>8</v>
      </c>
      <c r="J4374">
        <v>0</v>
      </c>
      <c r="K4374">
        <v>0</v>
      </c>
      <c r="L4374">
        <v>0</v>
      </c>
      <c r="M4374">
        <v>0</v>
      </c>
      <c r="O4374">
        <f t="shared" si="68"/>
        <v>2</v>
      </c>
    </row>
    <row r="4375" spans="1:15">
      <c r="A4375">
        <v>167</v>
      </c>
      <c r="B4375" s="1">
        <v>45715</v>
      </c>
      <c r="C4375">
        <v>24</v>
      </c>
      <c r="D4375" t="s">
        <v>17</v>
      </c>
      <c r="E4375" t="s">
        <v>24</v>
      </c>
      <c r="F4375" t="s">
        <v>18</v>
      </c>
      <c r="G4375" t="s">
        <v>30</v>
      </c>
      <c r="H4375">
        <v>134.6</v>
      </c>
      <c r="I4375" s="13">
        <v>7</v>
      </c>
      <c r="J4375">
        <v>0</v>
      </c>
      <c r="K4375">
        <v>0</v>
      </c>
      <c r="L4375">
        <v>0</v>
      </c>
      <c r="M4375">
        <v>0</v>
      </c>
      <c r="O4375">
        <f t="shared" si="68"/>
        <v>2</v>
      </c>
    </row>
    <row r="4376" spans="1:15">
      <c r="A4376">
        <v>1029</v>
      </c>
      <c r="B4376" s="1">
        <v>45715</v>
      </c>
      <c r="C4376">
        <v>33</v>
      </c>
      <c r="D4376" t="s">
        <v>17</v>
      </c>
      <c r="E4376" t="s">
        <v>22</v>
      </c>
      <c r="F4376" t="s">
        <v>16</v>
      </c>
      <c r="H4376">
        <v>130.19999999999999</v>
      </c>
      <c r="I4376" s="13">
        <v>5</v>
      </c>
      <c r="J4376">
        <v>0</v>
      </c>
      <c r="K4376">
        <v>0</v>
      </c>
      <c r="L4376">
        <v>0</v>
      </c>
      <c r="M4376">
        <v>0</v>
      </c>
      <c r="O4376">
        <f t="shared" si="68"/>
        <v>2</v>
      </c>
    </row>
    <row r="4377" spans="1:15">
      <c r="A4377">
        <v>4616</v>
      </c>
      <c r="B4377" s="1">
        <v>45715</v>
      </c>
      <c r="C4377">
        <v>71</v>
      </c>
      <c r="D4377" t="s">
        <v>14</v>
      </c>
      <c r="E4377" t="s">
        <v>20</v>
      </c>
      <c r="F4377" t="s">
        <v>18</v>
      </c>
      <c r="G4377" t="s">
        <v>29</v>
      </c>
      <c r="H4377">
        <v>122.1</v>
      </c>
      <c r="I4377" s="13">
        <v>5</v>
      </c>
      <c r="J4377">
        <v>0</v>
      </c>
      <c r="K4377">
        <v>0</v>
      </c>
      <c r="L4377">
        <v>0</v>
      </c>
      <c r="M4377">
        <v>0</v>
      </c>
      <c r="O4377">
        <f t="shared" si="68"/>
        <v>2</v>
      </c>
    </row>
    <row r="4378" spans="1:15">
      <c r="A4378">
        <v>123</v>
      </c>
      <c r="B4378" s="1">
        <v>45715</v>
      </c>
      <c r="C4378">
        <v>20</v>
      </c>
      <c r="D4378" t="s">
        <v>17</v>
      </c>
      <c r="E4378" t="s">
        <v>20</v>
      </c>
      <c r="F4378" t="s">
        <v>18</v>
      </c>
      <c r="G4378" t="s">
        <v>19</v>
      </c>
      <c r="H4378">
        <v>112.7</v>
      </c>
      <c r="I4378" s="13">
        <v>6</v>
      </c>
      <c r="J4378">
        <v>0</v>
      </c>
      <c r="K4378">
        <v>0</v>
      </c>
      <c r="L4378">
        <v>0</v>
      </c>
      <c r="M4378">
        <v>0</v>
      </c>
      <c r="O4378">
        <f t="shared" si="68"/>
        <v>2</v>
      </c>
    </row>
    <row r="4379" spans="1:15">
      <c r="A4379">
        <v>2825</v>
      </c>
      <c r="B4379" s="1">
        <v>45715</v>
      </c>
      <c r="C4379">
        <v>52</v>
      </c>
      <c r="D4379" t="s">
        <v>17</v>
      </c>
      <c r="E4379" t="s">
        <v>15</v>
      </c>
      <c r="F4379" t="s">
        <v>18</v>
      </c>
      <c r="G4379" t="s">
        <v>25</v>
      </c>
      <c r="H4379">
        <v>73.7</v>
      </c>
      <c r="I4379" s="13">
        <v>7</v>
      </c>
      <c r="J4379">
        <v>0</v>
      </c>
      <c r="K4379">
        <v>0</v>
      </c>
      <c r="L4379">
        <v>0</v>
      </c>
      <c r="M4379">
        <v>0</v>
      </c>
      <c r="O4379">
        <f t="shared" si="68"/>
        <v>2</v>
      </c>
    </row>
    <row r="4380" spans="1:15">
      <c r="A4380">
        <v>1043</v>
      </c>
      <c r="B4380" s="1">
        <v>45715</v>
      </c>
      <c r="C4380">
        <v>28</v>
      </c>
      <c r="D4380" t="s">
        <v>17</v>
      </c>
      <c r="E4380" t="s">
        <v>22</v>
      </c>
      <c r="F4380" t="s">
        <v>18</v>
      </c>
      <c r="G4380" t="s">
        <v>28</v>
      </c>
      <c r="H4380">
        <v>53</v>
      </c>
      <c r="I4380" s="13">
        <v>6</v>
      </c>
      <c r="J4380">
        <v>0</v>
      </c>
      <c r="K4380">
        <v>0</v>
      </c>
      <c r="L4380">
        <v>0</v>
      </c>
      <c r="M4380">
        <v>0</v>
      </c>
      <c r="O4380">
        <f t="shared" si="68"/>
        <v>2</v>
      </c>
    </row>
    <row r="4381" spans="1:15">
      <c r="A4381">
        <v>2604</v>
      </c>
      <c r="B4381" s="1">
        <v>45715</v>
      </c>
      <c r="C4381">
        <v>32</v>
      </c>
      <c r="D4381" t="s">
        <v>14</v>
      </c>
      <c r="E4381" t="s">
        <v>15</v>
      </c>
      <c r="F4381" t="s">
        <v>16</v>
      </c>
      <c r="H4381">
        <v>45.1</v>
      </c>
      <c r="I4381" s="13">
        <v>7</v>
      </c>
      <c r="J4381">
        <v>0</v>
      </c>
      <c r="K4381">
        <v>0</v>
      </c>
      <c r="L4381">
        <v>0</v>
      </c>
      <c r="M4381">
        <v>0</v>
      </c>
      <c r="O4381">
        <f t="shared" si="68"/>
        <v>2</v>
      </c>
    </row>
    <row r="4382" spans="1:15">
      <c r="A4382">
        <v>4653</v>
      </c>
      <c r="B4382" s="1">
        <v>45743</v>
      </c>
      <c r="C4382">
        <v>49</v>
      </c>
      <c r="D4382" t="s">
        <v>17</v>
      </c>
      <c r="E4382" t="s">
        <v>15</v>
      </c>
      <c r="F4382" t="s">
        <v>18</v>
      </c>
      <c r="G4382" t="s">
        <v>26</v>
      </c>
      <c r="H4382">
        <v>382.5</v>
      </c>
      <c r="I4382" s="13">
        <v>5</v>
      </c>
      <c r="J4382">
        <v>1</v>
      </c>
      <c r="K4382">
        <v>432</v>
      </c>
      <c r="L4382">
        <v>2</v>
      </c>
      <c r="M4382">
        <v>4</v>
      </c>
      <c r="N4382">
        <v>4</v>
      </c>
      <c r="O4382">
        <f t="shared" si="68"/>
        <v>3</v>
      </c>
    </row>
    <row r="4383" spans="1:15">
      <c r="A4383">
        <v>339</v>
      </c>
      <c r="B4383" s="1">
        <v>45743</v>
      </c>
      <c r="C4383">
        <v>35</v>
      </c>
      <c r="D4383" t="s">
        <v>17</v>
      </c>
      <c r="E4383" t="s">
        <v>22</v>
      </c>
      <c r="F4383" t="s">
        <v>16</v>
      </c>
      <c r="H4383">
        <v>241.5</v>
      </c>
      <c r="I4383" s="13">
        <v>5</v>
      </c>
      <c r="J4383">
        <v>1</v>
      </c>
      <c r="K4383">
        <v>370</v>
      </c>
      <c r="L4383">
        <v>3</v>
      </c>
      <c r="M4383">
        <v>7</v>
      </c>
      <c r="N4383">
        <v>5</v>
      </c>
      <c r="O4383">
        <f t="shared" si="68"/>
        <v>3</v>
      </c>
    </row>
    <row r="4384" spans="1:15">
      <c r="A4384">
        <v>1238</v>
      </c>
      <c r="B4384" s="1">
        <v>45743</v>
      </c>
      <c r="C4384">
        <v>25</v>
      </c>
      <c r="D4384" t="s">
        <v>17</v>
      </c>
      <c r="E4384" t="s">
        <v>24</v>
      </c>
      <c r="F4384" t="s">
        <v>18</v>
      </c>
      <c r="G4384" t="s">
        <v>26</v>
      </c>
      <c r="H4384">
        <v>191.6</v>
      </c>
      <c r="I4384" s="13">
        <v>4</v>
      </c>
      <c r="J4384">
        <v>1</v>
      </c>
      <c r="K4384">
        <v>181</v>
      </c>
      <c r="L4384">
        <v>4</v>
      </c>
      <c r="M4384">
        <v>8</v>
      </c>
      <c r="N4384">
        <v>5</v>
      </c>
      <c r="O4384">
        <f t="shared" si="68"/>
        <v>3</v>
      </c>
    </row>
    <row r="4385" spans="1:15">
      <c r="A4385">
        <v>970</v>
      </c>
      <c r="B4385" s="1">
        <v>45743</v>
      </c>
      <c r="C4385">
        <v>32</v>
      </c>
      <c r="D4385" t="s">
        <v>14</v>
      </c>
      <c r="E4385" t="s">
        <v>24</v>
      </c>
      <c r="F4385" t="s">
        <v>23</v>
      </c>
      <c r="H4385">
        <v>618.4</v>
      </c>
      <c r="I4385" s="13">
        <v>8</v>
      </c>
      <c r="J4385">
        <v>1</v>
      </c>
      <c r="K4385">
        <v>65.94</v>
      </c>
      <c r="L4385">
        <v>2</v>
      </c>
      <c r="M4385">
        <v>3</v>
      </c>
      <c r="N4385">
        <v>3</v>
      </c>
      <c r="O4385">
        <f t="shared" si="68"/>
        <v>3</v>
      </c>
    </row>
    <row r="4386" spans="1:15">
      <c r="A4386">
        <v>2574</v>
      </c>
      <c r="B4386" s="1">
        <v>45743</v>
      </c>
      <c r="C4386">
        <v>29</v>
      </c>
      <c r="D4386" t="s">
        <v>17</v>
      </c>
      <c r="E4386" t="s">
        <v>22</v>
      </c>
      <c r="F4386" t="s">
        <v>16</v>
      </c>
      <c r="H4386">
        <v>1331.1</v>
      </c>
      <c r="I4386" s="13">
        <v>3</v>
      </c>
      <c r="J4386">
        <v>1</v>
      </c>
      <c r="K4386">
        <v>63.26</v>
      </c>
      <c r="L4386">
        <v>3</v>
      </c>
      <c r="M4386">
        <v>1</v>
      </c>
      <c r="N4386">
        <v>4</v>
      </c>
      <c r="O4386">
        <f t="shared" si="68"/>
        <v>3</v>
      </c>
    </row>
    <row r="4387" spans="1:15">
      <c r="A4387">
        <v>4307</v>
      </c>
      <c r="B4387" s="1">
        <v>45743</v>
      </c>
      <c r="C4387">
        <v>84</v>
      </c>
      <c r="D4387" t="s">
        <v>17</v>
      </c>
      <c r="E4387" t="s">
        <v>24</v>
      </c>
      <c r="F4387" t="s">
        <v>23</v>
      </c>
      <c r="H4387">
        <v>846.1</v>
      </c>
      <c r="I4387" s="13">
        <v>8</v>
      </c>
      <c r="J4387">
        <v>1</v>
      </c>
      <c r="K4387">
        <v>61.78</v>
      </c>
      <c r="L4387">
        <v>3</v>
      </c>
      <c r="M4387">
        <v>6</v>
      </c>
      <c r="N4387">
        <v>5</v>
      </c>
      <c r="O4387">
        <f t="shared" si="68"/>
        <v>3</v>
      </c>
    </row>
    <row r="4388" spans="1:15">
      <c r="A4388">
        <v>4971</v>
      </c>
      <c r="B4388" s="1">
        <v>45743</v>
      </c>
      <c r="C4388">
        <v>48</v>
      </c>
      <c r="D4388" t="s">
        <v>17</v>
      </c>
      <c r="E4388" t="s">
        <v>15</v>
      </c>
      <c r="F4388" t="s">
        <v>18</v>
      </c>
      <c r="G4388" t="s">
        <v>28</v>
      </c>
      <c r="H4388">
        <v>938.2</v>
      </c>
      <c r="I4388" s="13">
        <v>4</v>
      </c>
      <c r="J4388">
        <v>1</v>
      </c>
      <c r="K4388">
        <v>51.77</v>
      </c>
      <c r="L4388">
        <v>2</v>
      </c>
      <c r="M4388">
        <v>5</v>
      </c>
      <c r="N4388">
        <v>5</v>
      </c>
      <c r="O4388">
        <f t="shared" si="68"/>
        <v>3</v>
      </c>
    </row>
    <row r="4389" spans="1:15">
      <c r="A4389">
        <v>4274</v>
      </c>
      <c r="B4389" s="1">
        <v>45743</v>
      </c>
      <c r="C4389">
        <v>52</v>
      </c>
      <c r="D4389" t="s">
        <v>14</v>
      </c>
      <c r="E4389" t="s">
        <v>20</v>
      </c>
      <c r="F4389" t="s">
        <v>16</v>
      </c>
      <c r="H4389">
        <v>2235.3000000000002</v>
      </c>
      <c r="I4389" s="13">
        <v>8</v>
      </c>
      <c r="J4389">
        <v>1</v>
      </c>
      <c r="K4389">
        <v>33.93</v>
      </c>
      <c r="L4389">
        <v>3</v>
      </c>
      <c r="M4389">
        <v>13</v>
      </c>
      <c r="N4389">
        <v>4</v>
      </c>
      <c r="O4389">
        <f t="shared" si="68"/>
        <v>3</v>
      </c>
    </row>
    <row r="4390" spans="1:15">
      <c r="A4390">
        <v>3843</v>
      </c>
      <c r="B4390" s="1">
        <v>45743</v>
      </c>
      <c r="C4390">
        <v>52</v>
      </c>
      <c r="D4390" t="s">
        <v>14</v>
      </c>
      <c r="E4390" t="s">
        <v>15</v>
      </c>
      <c r="F4390" t="s">
        <v>18</v>
      </c>
      <c r="G4390" t="s">
        <v>26</v>
      </c>
      <c r="H4390">
        <v>866.9</v>
      </c>
      <c r="I4390" s="13">
        <v>8</v>
      </c>
      <c r="J4390">
        <v>0</v>
      </c>
      <c r="K4390">
        <v>0</v>
      </c>
      <c r="L4390">
        <v>0</v>
      </c>
      <c r="M4390">
        <v>0</v>
      </c>
      <c r="O4390">
        <f t="shared" si="68"/>
        <v>3</v>
      </c>
    </row>
    <row r="4391" spans="1:15">
      <c r="A4391">
        <v>1406</v>
      </c>
      <c r="B4391" s="1">
        <v>45743</v>
      </c>
      <c r="C4391">
        <v>18</v>
      </c>
      <c r="D4391" t="s">
        <v>17</v>
      </c>
      <c r="E4391" t="s">
        <v>20</v>
      </c>
      <c r="F4391" t="s">
        <v>16</v>
      </c>
      <c r="H4391">
        <v>714.1</v>
      </c>
      <c r="I4391" s="13">
        <v>11</v>
      </c>
      <c r="J4391">
        <v>0</v>
      </c>
      <c r="K4391">
        <v>0</v>
      </c>
      <c r="L4391">
        <v>0</v>
      </c>
      <c r="M4391">
        <v>0</v>
      </c>
      <c r="O4391">
        <f t="shared" si="68"/>
        <v>3</v>
      </c>
    </row>
    <row r="4392" spans="1:15">
      <c r="A4392">
        <v>2283</v>
      </c>
      <c r="B4392" s="1">
        <v>45743</v>
      </c>
      <c r="C4392">
        <v>39</v>
      </c>
      <c r="D4392" t="s">
        <v>14</v>
      </c>
      <c r="E4392" t="s">
        <v>15</v>
      </c>
      <c r="F4392" t="s">
        <v>16</v>
      </c>
      <c r="H4392">
        <v>661.9</v>
      </c>
      <c r="I4392" s="13">
        <v>9</v>
      </c>
      <c r="J4392">
        <v>0</v>
      </c>
      <c r="K4392">
        <v>0</v>
      </c>
      <c r="L4392">
        <v>0</v>
      </c>
      <c r="M4392">
        <v>0</v>
      </c>
      <c r="O4392">
        <f t="shared" si="68"/>
        <v>3</v>
      </c>
    </row>
    <row r="4393" spans="1:15">
      <c r="A4393">
        <v>1768</v>
      </c>
      <c r="B4393" s="1">
        <v>45743</v>
      </c>
      <c r="C4393">
        <v>50</v>
      </c>
      <c r="D4393" t="s">
        <v>14</v>
      </c>
      <c r="E4393" t="s">
        <v>20</v>
      </c>
      <c r="F4393" t="s">
        <v>18</v>
      </c>
      <c r="G4393" t="s">
        <v>30</v>
      </c>
      <c r="H4393">
        <v>476.2</v>
      </c>
      <c r="I4393" s="13">
        <v>8</v>
      </c>
      <c r="J4393">
        <v>0</v>
      </c>
      <c r="K4393">
        <v>0</v>
      </c>
      <c r="L4393">
        <v>0</v>
      </c>
      <c r="M4393">
        <v>0</v>
      </c>
      <c r="O4393">
        <f t="shared" si="68"/>
        <v>3</v>
      </c>
    </row>
    <row r="4394" spans="1:15">
      <c r="A4394">
        <v>4433</v>
      </c>
      <c r="B4394" s="1">
        <v>45743</v>
      </c>
      <c r="C4394">
        <v>48</v>
      </c>
      <c r="D4394" t="s">
        <v>17</v>
      </c>
      <c r="E4394" t="s">
        <v>22</v>
      </c>
      <c r="F4394" t="s">
        <v>23</v>
      </c>
      <c r="H4394">
        <v>463.2</v>
      </c>
      <c r="I4394" s="13">
        <v>6</v>
      </c>
      <c r="J4394">
        <v>0</v>
      </c>
      <c r="K4394">
        <v>0</v>
      </c>
      <c r="L4394">
        <v>0</v>
      </c>
      <c r="M4394">
        <v>0</v>
      </c>
      <c r="O4394">
        <f t="shared" si="68"/>
        <v>3</v>
      </c>
    </row>
    <row r="4395" spans="1:15">
      <c r="A4395">
        <v>2876</v>
      </c>
      <c r="B4395" s="1">
        <v>45743</v>
      </c>
      <c r="C4395">
        <v>23</v>
      </c>
      <c r="D4395" t="s">
        <v>17</v>
      </c>
      <c r="E4395" t="s">
        <v>15</v>
      </c>
      <c r="F4395" t="s">
        <v>18</v>
      </c>
      <c r="G4395" t="s">
        <v>26</v>
      </c>
      <c r="H4395">
        <v>446.5</v>
      </c>
      <c r="I4395" s="13">
        <v>7</v>
      </c>
      <c r="J4395">
        <v>0</v>
      </c>
      <c r="K4395">
        <v>0</v>
      </c>
      <c r="L4395">
        <v>0</v>
      </c>
      <c r="M4395">
        <v>0</v>
      </c>
      <c r="O4395">
        <f t="shared" si="68"/>
        <v>3</v>
      </c>
    </row>
    <row r="4396" spans="1:15">
      <c r="A4396">
        <v>2518</v>
      </c>
      <c r="B4396" s="1">
        <v>45743</v>
      </c>
      <c r="C4396">
        <v>36</v>
      </c>
      <c r="D4396" t="s">
        <v>17</v>
      </c>
      <c r="E4396" t="s">
        <v>20</v>
      </c>
      <c r="F4396" t="s">
        <v>16</v>
      </c>
      <c r="H4396">
        <v>307</v>
      </c>
      <c r="I4396" s="13">
        <v>6</v>
      </c>
      <c r="J4396">
        <v>0</v>
      </c>
      <c r="K4396">
        <v>0</v>
      </c>
      <c r="L4396">
        <v>0</v>
      </c>
      <c r="M4396">
        <v>0</v>
      </c>
      <c r="O4396">
        <f t="shared" si="68"/>
        <v>3</v>
      </c>
    </row>
    <row r="4397" spans="1:15">
      <c r="A4397">
        <v>1026</v>
      </c>
      <c r="B4397" s="1">
        <v>45743</v>
      </c>
      <c r="C4397">
        <v>31</v>
      </c>
      <c r="D4397" t="s">
        <v>17</v>
      </c>
      <c r="E4397" t="s">
        <v>22</v>
      </c>
      <c r="F4397" t="s">
        <v>16</v>
      </c>
      <c r="H4397">
        <v>304.60000000000002</v>
      </c>
      <c r="I4397" s="13">
        <v>6</v>
      </c>
      <c r="J4397">
        <v>0</v>
      </c>
      <c r="K4397">
        <v>0</v>
      </c>
      <c r="L4397">
        <v>0</v>
      </c>
      <c r="M4397">
        <v>0</v>
      </c>
      <c r="O4397">
        <f t="shared" si="68"/>
        <v>3</v>
      </c>
    </row>
    <row r="4398" spans="1:15">
      <c r="A4398">
        <v>342</v>
      </c>
      <c r="B4398" s="1">
        <v>45743</v>
      </c>
      <c r="C4398">
        <v>30</v>
      </c>
      <c r="D4398" t="s">
        <v>17</v>
      </c>
      <c r="E4398" t="s">
        <v>22</v>
      </c>
      <c r="F4398" t="s">
        <v>23</v>
      </c>
      <c r="H4398">
        <v>266.5</v>
      </c>
      <c r="I4398" s="13">
        <v>2</v>
      </c>
      <c r="J4398">
        <v>0</v>
      </c>
      <c r="K4398">
        <v>0</v>
      </c>
      <c r="L4398">
        <v>0</v>
      </c>
      <c r="M4398">
        <v>0</v>
      </c>
      <c r="O4398">
        <f t="shared" si="68"/>
        <v>3</v>
      </c>
    </row>
    <row r="4399" spans="1:15">
      <c r="A4399">
        <v>2809</v>
      </c>
      <c r="B4399" s="1">
        <v>45743</v>
      </c>
      <c r="C4399">
        <v>42</v>
      </c>
      <c r="D4399" t="s">
        <v>14</v>
      </c>
      <c r="E4399" t="s">
        <v>20</v>
      </c>
      <c r="F4399" t="s">
        <v>16</v>
      </c>
      <c r="H4399">
        <v>237.6</v>
      </c>
      <c r="I4399" s="13">
        <v>7</v>
      </c>
      <c r="J4399">
        <v>0</v>
      </c>
      <c r="K4399">
        <v>0</v>
      </c>
      <c r="L4399">
        <v>0</v>
      </c>
      <c r="M4399">
        <v>0</v>
      </c>
      <c r="O4399">
        <f t="shared" si="68"/>
        <v>3</v>
      </c>
    </row>
    <row r="4400" spans="1:15">
      <c r="A4400">
        <v>596</v>
      </c>
      <c r="B4400" s="1">
        <v>45743</v>
      </c>
      <c r="C4400">
        <v>23</v>
      </c>
      <c r="D4400" t="s">
        <v>27</v>
      </c>
      <c r="E4400" t="s">
        <v>15</v>
      </c>
      <c r="F4400" t="s">
        <v>21</v>
      </c>
      <c r="H4400">
        <v>202.1</v>
      </c>
      <c r="I4400" s="13">
        <v>5</v>
      </c>
      <c r="J4400">
        <v>0</v>
      </c>
      <c r="K4400">
        <v>0</v>
      </c>
      <c r="L4400">
        <v>0</v>
      </c>
      <c r="M4400">
        <v>0</v>
      </c>
      <c r="O4400">
        <f t="shared" si="68"/>
        <v>3</v>
      </c>
    </row>
    <row r="4401" spans="1:15">
      <c r="A4401">
        <v>3267</v>
      </c>
      <c r="B4401" s="1">
        <v>45743</v>
      </c>
      <c r="C4401">
        <v>25</v>
      </c>
      <c r="D4401" t="s">
        <v>17</v>
      </c>
      <c r="E4401" t="s">
        <v>22</v>
      </c>
      <c r="F4401" t="s">
        <v>18</v>
      </c>
      <c r="G4401" t="s">
        <v>31</v>
      </c>
      <c r="H4401">
        <v>200.8</v>
      </c>
      <c r="I4401" s="13">
        <v>5</v>
      </c>
      <c r="J4401">
        <v>0</v>
      </c>
      <c r="K4401">
        <v>0</v>
      </c>
      <c r="L4401">
        <v>0</v>
      </c>
      <c r="M4401">
        <v>0</v>
      </c>
      <c r="O4401">
        <f t="shared" si="68"/>
        <v>3</v>
      </c>
    </row>
    <row r="4402" spans="1:15">
      <c r="A4402">
        <v>3345</v>
      </c>
      <c r="B4402" s="1">
        <v>45743</v>
      </c>
      <c r="C4402">
        <v>44</v>
      </c>
      <c r="D4402" t="s">
        <v>14</v>
      </c>
      <c r="E4402" t="s">
        <v>15</v>
      </c>
      <c r="F4402" t="s">
        <v>18</v>
      </c>
      <c r="G4402" t="s">
        <v>19</v>
      </c>
      <c r="H4402">
        <v>186.1</v>
      </c>
      <c r="I4402" s="13">
        <v>6</v>
      </c>
      <c r="J4402">
        <v>0</v>
      </c>
      <c r="K4402">
        <v>0</v>
      </c>
      <c r="L4402">
        <v>0</v>
      </c>
      <c r="M4402">
        <v>0</v>
      </c>
      <c r="O4402">
        <f t="shared" si="68"/>
        <v>3</v>
      </c>
    </row>
    <row r="4403" spans="1:15">
      <c r="A4403">
        <v>3820</v>
      </c>
      <c r="B4403" s="1">
        <v>45743</v>
      </c>
      <c r="C4403">
        <v>57</v>
      </c>
      <c r="D4403" t="s">
        <v>27</v>
      </c>
      <c r="E4403" t="s">
        <v>20</v>
      </c>
      <c r="F4403" t="s">
        <v>18</v>
      </c>
      <c r="G4403" t="s">
        <v>31</v>
      </c>
      <c r="H4403">
        <v>162</v>
      </c>
      <c r="I4403" s="13">
        <v>7</v>
      </c>
      <c r="J4403">
        <v>0</v>
      </c>
      <c r="K4403">
        <v>0</v>
      </c>
      <c r="L4403">
        <v>0</v>
      </c>
      <c r="M4403">
        <v>0</v>
      </c>
      <c r="O4403">
        <f t="shared" si="68"/>
        <v>3</v>
      </c>
    </row>
    <row r="4404" spans="1:15">
      <c r="A4404">
        <v>2732</v>
      </c>
      <c r="B4404" s="1">
        <v>45743</v>
      </c>
      <c r="C4404">
        <v>36</v>
      </c>
      <c r="D4404" t="s">
        <v>17</v>
      </c>
      <c r="E4404" t="s">
        <v>24</v>
      </c>
      <c r="F4404" t="s">
        <v>16</v>
      </c>
      <c r="H4404">
        <v>116.1</v>
      </c>
      <c r="I4404" s="13">
        <v>11</v>
      </c>
      <c r="J4404">
        <v>0</v>
      </c>
      <c r="K4404">
        <v>0</v>
      </c>
      <c r="L4404">
        <v>0</v>
      </c>
      <c r="M4404">
        <v>0</v>
      </c>
      <c r="O4404">
        <f t="shared" si="68"/>
        <v>3</v>
      </c>
    </row>
    <row r="4405" spans="1:15">
      <c r="A4405">
        <v>2661</v>
      </c>
      <c r="B4405" s="1">
        <v>45743</v>
      </c>
      <c r="C4405">
        <v>42</v>
      </c>
      <c r="D4405" t="s">
        <v>14</v>
      </c>
      <c r="E4405" t="s">
        <v>20</v>
      </c>
      <c r="F4405" t="s">
        <v>18</v>
      </c>
      <c r="G4405" t="s">
        <v>30</v>
      </c>
      <c r="H4405">
        <v>109.4</v>
      </c>
      <c r="I4405" s="13">
        <v>3</v>
      </c>
      <c r="J4405">
        <v>0</v>
      </c>
      <c r="K4405">
        <v>0</v>
      </c>
      <c r="L4405">
        <v>0</v>
      </c>
      <c r="M4405">
        <v>0</v>
      </c>
      <c r="O4405">
        <f t="shared" si="68"/>
        <v>3</v>
      </c>
    </row>
    <row r="4406" spans="1:15">
      <c r="A4406">
        <v>2469</v>
      </c>
      <c r="B4406" s="1">
        <v>45743</v>
      </c>
      <c r="C4406">
        <v>39</v>
      </c>
      <c r="D4406" t="s">
        <v>14</v>
      </c>
      <c r="E4406" t="s">
        <v>22</v>
      </c>
      <c r="F4406" t="s">
        <v>16</v>
      </c>
      <c r="H4406">
        <v>72.2</v>
      </c>
      <c r="I4406" s="13">
        <v>7</v>
      </c>
      <c r="J4406">
        <v>0</v>
      </c>
      <c r="K4406">
        <v>0</v>
      </c>
      <c r="L4406">
        <v>0</v>
      </c>
      <c r="M4406">
        <v>0</v>
      </c>
      <c r="O4406">
        <f t="shared" si="68"/>
        <v>3</v>
      </c>
    </row>
    <row r="4407" spans="1:15">
      <c r="A4407">
        <v>659</v>
      </c>
      <c r="B4407" s="1">
        <v>45774</v>
      </c>
      <c r="C4407">
        <v>24</v>
      </c>
      <c r="D4407" t="s">
        <v>14</v>
      </c>
      <c r="E4407" t="s">
        <v>22</v>
      </c>
      <c r="F4407" t="s">
        <v>16</v>
      </c>
      <c r="H4407">
        <v>591.6</v>
      </c>
      <c r="I4407" s="13">
        <v>6</v>
      </c>
      <c r="J4407">
        <v>1</v>
      </c>
      <c r="K4407">
        <v>153.36000000000001</v>
      </c>
      <c r="L4407">
        <v>5</v>
      </c>
      <c r="M4407">
        <v>1</v>
      </c>
      <c r="N4407">
        <v>5</v>
      </c>
      <c r="O4407">
        <f t="shared" si="68"/>
        <v>4</v>
      </c>
    </row>
    <row r="4408" spans="1:15">
      <c r="A4408">
        <v>1517</v>
      </c>
      <c r="B4408" s="1">
        <v>45774</v>
      </c>
      <c r="C4408">
        <v>20</v>
      </c>
      <c r="D4408" t="s">
        <v>14</v>
      </c>
      <c r="E4408" t="s">
        <v>22</v>
      </c>
      <c r="F4408" t="s">
        <v>18</v>
      </c>
      <c r="G4408" t="s">
        <v>30</v>
      </c>
      <c r="H4408">
        <v>213.5</v>
      </c>
      <c r="I4408" s="13">
        <v>8</v>
      </c>
      <c r="J4408">
        <v>1</v>
      </c>
      <c r="K4408">
        <v>63.71</v>
      </c>
      <c r="L4408">
        <v>3</v>
      </c>
      <c r="M4408">
        <v>1</v>
      </c>
      <c r="N4408">
        <v>4</v>
      </c>
      <c r="O4408">
        <f t="shared" si="68"/>
        <v>4</v>
      </c>
    </row>
    <row r="4409" spans="1:15">
      <c r="A4409">
        <v>4596</v>
      </c>
      <c r="B4409" s="1">
        <v>45774</v>
      </c>
      <c r="C4409">
        <v>67</v>
      </c>
      <c r="D4409" t="s">
        <v>17</v>
      </c>
      <c r="E4409" t="s">
        <v>22</v>
      </c>
      <c r="F4409" t="s">
        <v>18</v>
      </c>
      <c r="G4409" t="s">
        <v>25</v>
      </c>
      <c r="H4409">
        <v>711.1</v>
      </c>
      <c r="I4409" s="13">
        <v>4</v>
      </c>
      <c r="J4409">
        <v>1</v>
      </c>
      <c r="K4409">
        <v>39.71</v>
      </c>
      <c r="L4409">
        <v>2</v>
      </c>
      <c r="M4409">
        <v>12</v>
      </c>
      <c r="N4409">
        <v>5</v>
      </c>
      <c r="O4409">
        <f t="shared" si="68"/>
        <v>4</v>
      </c>
    </row>
    <row r="4410" spans="1:15">
      <c r="A4410">
        <v>3446</v>
      </c>
      <c r="B4410" s="1">
        <v>45774</v>
      </c>
      <c r="C4410">
        <v>38</v>
      </c>
      <c r="D4410" t="s">
        <v>27</v>
      </c>
      <c r="E4410" t="s">
        <v>20</v>
      </c>
      <c r="F4410" t="s">
        <v>18</v>
      </c>
      <c r="G4410" t="s">
        <v>30</v>
      </c>
      <c r="H4410">
        <v>831.9</v>
      </c>
      <c r="I4410" s="13">
        <v>4</v>
      </c>
      <c r="J4410">
        <v>1</v>
      </c>
      <c r="K4410">
        <v>35.15</v>
      </c>
      <c r="L4410">
        <v>2</v>
      </c>
      <c r="M4410">
        <v>8</v>
      </c>
      <c r="N4410">
        <v>4</v>
      </c>
      <c r="O4410">
        <f t="shared" si="68"/>
        <v>4</v>
      </c>
    </row>
    <row r="4411" spans="1:15">
      <c r="A4411">
        <v>3596</v>
      </c>
      <c r="B4411" s="1">
        <v>45774</v>
      </c>
      <c r="C4411">
        <v>18</v>
      </c>
      <c r="D4411" t="s">
        <v>14</v>
      </c>
      <c r="E4411" t="s">
        <v>20</v>
      </c>
      <c r="F4411" t="s">
        <v>23</v>
      </c>
      <c r="H4411">
        <v>415.1</v>
      </c>
      <c r="I4411" s="13">
        <v>4</v>
      </c>
      <c r="J4411">
        <v>1</v>
      </c>
      <c r="K4411">
        <v>31.02</v>
      </c>
      <c r="L4411">
        <v>2</v>
      </c>
      <c r="M4411">
        <v>11</v>
      </c>
      <c r="N4411">
        <v>4</v>
      </c>
      <c r="O4411">
        <f t="shared" si="68"/>
        <v>4</v>
      </c>
    </row>
    <row r="4412" spans="1:15">
      <c r="A4412">
        <v>3297</v>
      </c>
      <c r="B4412" s="1">
        <v>45774</v>
      </c>
      <c r="C4412">
        <v>28</v>
      </c>
      <c r="D4412" t="s">
        <v>17</v>
      </c>
      <c r="E4412" t="s">
        <v>22</v>
      </c>
      <c r="F4412" t="s">
        <v>16</v>
      </c>
      <c r="H4412">
        <v>448.3</v>
      </c>
      <c r="I4412" s="13">
        <v>3</v>
      </c>
      <c r="J4412">
        <v>1</v>
      </c>
      <c r="K4412">
        <v>27.67</v>
      </c>
      <c r="L4412">
        <v>5</v>
      </c>
      <c r="M4412">
        <v>7</v>
      </c>
      <c r="N4412">
        <v>4</v>
      </c>
      <c r="O4412">
        <f t="shared" si="68"/>
        <v>4</v>
      </c>
    </row>
    <row r="4413" spans="1:15">
      <c r="A4413">
        <v>4580</v>
      </c>
      <c r="B4413" s="1">
        <v>45774</v>
      </c>
      <c r="C4413">
        <v>52</v>
      </c>
      <c r="D4413" t="s">
        <v>14</v>
      </c>
      <c r="E4413" t="s">
        <v>20</v>
      </c>
      <c r="F4413" t="s">
        <v>16</v>
      </c>
      <c r="H4413">
        <v>540.9</v>
      </c>
      <c r="I4413" s="13">
        <v>6</v>
      </c>
      <c r="J4413">
        <v>1</v>
      </c>
      <c r="K4413">
        <v>21.29</v>
      </c>
      <c r="L4413">
        <v>5</v>
      </c>
      <c r="M4413">
        <v>7</v>
      </c>
      <c r="N4413">
        <v>4</v>
      </c>
      <c r="O4413">
        <f t="shared" si="68"/>
        <v>4</v>
      </c>
    </row>
    <row r="4414" spans="1:15">
      <c r="A4414">
        <v>4146</v>
      </c>
      <c r="B4414" s="1">
        <v>45774</v>
      </c>
      <c r="C4414">
        <v>47</v>
      </c>
      <c r="D4414" t="s">
        <v>17</v>
      </c>
      <c r="E4414" t="s">
        <v>24</v>
      </c>
      <c r="F4414" t="s">
        <v>18</v>
      </c>
      <c r="G4414" t="s">
        <v>31</v>
      </c>
      <c r="H4414">
        <v>825.3</v>
      </c>
      <c r="I4414" s="13">
        <v>8</v>
      </c>
      <c r="J4414">
        <v>0</v>
      </c>
      <c r="K4414">
        <v>0</v>
      </c>
      <c r="L4414">
        <v>0</v>
      </c>
      <c r="M4414">
        <v>0</v>
      </c>
      <c r="O4414">
        <f t="shared" si="68"/>
        <v>4</v>
      </c>
    </row>
    <row r="4415" spans="1:15">
      <c r="A4415">
        <v>175</v>
      </c>
      <c r="B4415" s="1">
        <v>45774</v>
      </c>
      <c r="C4415">
        <v>24</v>
      </c>
      <c r="D4415" t="s">
        <v>14</v>
      </c>
      <c r="E4415" t="s">
        <v>15</v>
      </c>
      <c r="F4415" t="s">
        <v>16</v>
      </c>
      <c r="H4415">
        <v>679</v>
      </c>
      <c r="I4415" s="13">
        <v>6</v>
      </c>
      <c r="J4415">
        <v>0</v>
      </c>
      <c r="K4415">
        <v>0</v>
      </c>
      <c r="L4415">
        <v>0</v>
      </c>
      <c r="M4415">
        <v>0</v>
      </c>
      <c r="O4415">
        <f t="shared" si="68"/>
        <v>4</v>
      </c>
    </row>
    <row r="4416" spans="1:15">
      <c r="A4416">
        <v>1850</v>
      </c>
      <c r="B4416" s="1">
        <v>45774</v>
      </c>
      <c r="C4416">
        <v>18</v>
      </c>
      <c r="D4416" t="s">
        <v>14</v>
      </c>
      <c r="E4416" t="s">
        <v>24</v>
      </c>
      <c r="F4416" t="s">
        <v>16</v>
      </c>
      <c r="H4416">
        <v>452.6</v>
      </c>
      <c r="I4416" s="13">
        <v>10</v>
      </c>
      <c r="J4416">
        <v>0</v>
      </c>
      <c r="K4416">
        <v>0</v>
      </c>
      <c r="L4416">
        <v>0</v>
      </c>
      <c r="M4416">
        <v>0</v>
      </c>
      <c r="O4416">
        <f t="shared" si="68"/>
        <v>4</v>
      </c>
    </row>
    <row r="4417" spans="1:15">
      <c r="A4417">
        <v>2671</v>
      </c>
      <c r="B4417" s="1">
        <v>45774</v>
      </c>
      <c r="C4417">
        <v>25</v>
      </c>
      <c r="D4417" t="s">
        <v>14</v>
      </c>
      <c r="E4417" t="s">
        <v>24</v>
      </c>
      <c r="F4417" t="s">
        <v>16</v>
      </c>
      <c r="H4417">
        <v>438.5</v>
      </c>
      <c r="I4417" s="13">
        <v>6</v>
      </c>
      <c r="J4417">
        <v>0</v>
      </c>
      <c r="K4417">
        <v>0</v>
      </c>
      <c r="L4417">
        <v>0</v>
      </c>
      <c r="M4417">
        <v>0</v>
      </c>
      <c r="O4417">
        <f t="shared" si="68"/>
        <v>4</v>
      </c>
    </row>
    <row r="4418" spans="1:15">
      <c r="A4418">
        <v>4548</v>
      </c>
      <c r="B4418" s="1">
        <v>45774</v>
      </c>
      <c r="C4418">
        <v>43</v>
      </c>
      <c r="D4418" t="s">
        <v>14</v>
      </c>
      <c r="E4418" t="s">
        <v>22</v>
      </c>
      <c r="F4418" t="s">
        <v>21</v>
      </c>
      <c r="H4418">
        <v>360.5</v>
      </c>
      <c r="I4418" s="13">
        <v>6</v>
      </c>
      <c r="J4418">
        <v>0</v>
      </c>
      <c r="K4418">
        <v>0</v>
      </c>
      <c r="L4418">
        <v>0</v>
      </c>
      <c r="M4418">
        <v>0</v>
      </c>
      <c r="O4418">
        <f t="shared" si="68"/>
        <v>4</v>
      </c>
    </row>
    <row r="4419" spans="1:15">
      <c r="A4419">
        <v>3065</v>
      </c>
      <c r="B4419" s="1">
        <v>45774</v>
      </c>
      <c r="C4419">
        <v>48</v>
      </c>
      <c r="D4419" t="s">
        <v>17</v>
      </c>
      <c r="E4419" t="s">
        <v>15</v>
      </c>
      <c r="F4419" t="s">
        <v>18</v>
      </c>
      <c r="G4419" t="s">
        <v>26</v>
      </c>
      <c r="H4419">
        <v>350.5</v>
      </c>
      <c r="I4419" s="13">
        <v>5</v>
      </c>
      <c r="J4419">
        <v>0</v>
      </c>
      <c r="K4419">
        <v>0</v>
      </c>
      <c r="L4419">
        <v>0</v>
      </c>
      <c r="M4419">
        <v>0</v>
      </c>
      <c r="O4419">
        <f t="shared" ref="O4419:O4482" si="69">MONTH(B4419)</f>
        <v>4</v>
      </c>
    </row>
    <row r="4420" spans="1:15">
      <c r="A4420">
        <v>4629</v>
      </c>
      <c r="B4420" s="1">
        <v>45774</v>
      </c>
      <c r="C4420">
        <v>43</v>
      </c>
      <c r="D4420" t="s">
        <v>17</v>
      </c>
      <c r="E4420" t="s">
        <v>24</v>
      </c>
      <c r="F4420" t="s">
        <v>18</v>
      </c>
      <c r="G4420" t="s">
        <v>31</v>
      </c>
      <c r="H4420">
        <v>333.7</v>
      </c>
      <c r="I4420" s="13">
        <v>6</v>
      </c>
      <c r="J4420">
        <v>0</v>
      </c>
      <c r="K4420">
        <v>0</v>
      </c>
      <c r="L4420">
        <v>0</v>
      </c>
      <c r="M4420">
        <v>0</v>
      </c>
      <c r="O4420">
        <f t="shared" si="69"/>
        <v>4</v>
      </c>
    </row>
    <row r="4421" spans="1:15">
      <c r="A4421">
        <v>4994</v>
      </c>
      <c r="B4421" s="1">
        <v>45774</v>
      </c>
      <c r="C4421">
        <v>50</v>
      </c>
      <c r="D4421" t="s">
        <v>17</v>
      </c>
      <c r="E4421" t="s">
        <v>22</v>
      </c>
      <c r="F4421" t="s">
        <v>21</v>
      </c>
      <c r="H4421">
        <v>255</v>
      </c>
      <c r="I4421" s="13">
        <v>6</v>
      </c>
      <c r="J4421">
        <v>0</v>
      </c>
      <c r="K4421">
        <v>0</v>
      </c>
      <c r="L4421">
        <v>0</v>
      </c>
      <c r="M4421">
        <v>0</v>
      </c>
      <c r="O4421">
        <f t="shared" si="69"/>
        <v>4</v>
      </c>
    </row>
    <row r="4422" spans="1:15">
      <c r="A4422">
        <v>4271</v>
      </c>
      <c r="B4422" s="1">
        <v>45774</v>
      </c>
      <c r="C4422">
        <v>42</v>
      </c>
      <c r="D4422" t="s">
        <v>17</v>
      </c>
      <c r="E4422" t="s">
        <v>15</v>
      </c>
      <c r="F4422" t="s">
        <v>18</v>
      </c>
      <c r="G4422" t="s">
        <v>29</v>
      </c>
      <c r="H4422">
        <v>253.9</v>
      </c>
      <c r="I4422" s="13">
        <v>8</v>
      </c>
      <c r="J4422">
        <v>0</v>
      </c>
      <c r="K4422">
        <v>0</v>
      </c>
      <c r="L4422">
        <v>0</v>
      </c>
      <c r="M4422">
        <v>0</v>
      </c>
      <c r="O4422">
        <f t="shared" si="69"/>
        <v>4</v>
      </c>
    </row>
    <row r="4423" spans="1:15">
      <c r="A4423">
        <v>2580</v>
      </c>
      <c r="B4423" s="1">
        <v>45774</v>
      </c>
      <c r="C4423">
        <v>34</v>
      </c>
      <c r="D4423" t="s">
        <v>17</v>
      </c>
      <c r="E4423" t="s">
        <v>15</v>
      </c>
      <c r="F4423" t="s">
        <v>21</v>
      </c>
      <c r="H4423">
        <v>247.2</v>
      </c>
      <c r="I4423" s="13">
        <v>7</v>
      </c>
      <c r="J4423">
        <v>0</v>
      </c>
      <c r="K4423">
        <v>0</v>
      </c>
      <c r="L4423">
        <v>0</v>
      </c>
      <c r="M4423">
        <v>0</v>
      </c>
      <c r="O4423">
        <f t="shared" si="69"/>
        <v>4</v>
      </c>
    </row>
    <row r="4424" spans="1:15">
      <c r="A4424">
        <v>4393</v>
      </c>
      <c r="B4424" s="1">
        <v>45774</v>
      </c>
      <c r="C4424">
        <v>60</v>
      </c>
      <c r="D4424" t="s">
        <v>14</v>
      </c>
      <c r="E4424" t="s">
        <v>20</v>
      </c>
      <c r="F4424" t="s">
        <v>16</v>
      </c>
      <c r="H4424">
        <v>217.8</v>
      </c>
      <c r="I4424" s="13">
        <v>6</v>
      </c>
      <c r="J4424">
        <v>0</v>
      </c>
      <c r="K4424">
        <v>0</v>
      </c>
      <c r="L4424">
        <v>0</v>
      </c>
      <c r="M4424">
        <v>0</v>
      </c>
      <c r="O4424">
        <f t="shared" si="69"/>
        <v>4</v>
      </c>
    </row>
    <row r="4425" spans="1:15">
      <c r="A4425">
        <v>4267</v>
      </c>
      <c r="B4425" s="1">
        <v>45774</v>
      </c>
      <c r="C4425">
        <v>39</v>
      </c>
      <c r="D4425" t="s">
        <v>14</v>
      </c>
      <c r="E4425" t="s">
        <v>24</v>
      </c>
      <c r="F4425" t="s">
        <v>16</v>
      </c>
      <c r="H4425">
        <v>198.7</v>
      </c>
      <c r="I4425" s="13">
        <v>5</v>
      </c>
      <c r="J4425">
        <v>0</v>
      </c>
      <c r="K4425">
        <v>0</v>
      </c>
      <c r="L4425">
        <v>0</v>
      </c>
      <c r="M4425">
        <v>0</v>
      </c>
      <c r="O4425">
        <f t="shared" si="69"/>
        <v>4</v>
      </c>
    </row>
    <row r="4426" spans="1:15">
      <c r="A4426">
        <v>239</v>
      </c>
      <c r="B4426" s="1">
        <v>45774</v>
      </c>
      <c r="C4426">
        <v>26</v>
      </c>
      <c r="D4426" t="s">
        <v>14</v>
      </c>
      <c r="E4426" t="s">
        <v>20</v>
      </c>
      <c r="F4426" t="s">
        <v>18</v>
      </c>
      <c r="G4426" t="s">
        <v>31</v>
      </c>
      <c r="H4426">
        <v>198.1</v>
      </c>
      <c r="I4426" s="13">
        <v>3</v>
      </c>
      <c r="J4426">
        <v>0</v>
      </c>
      <c r="K4426">
        <v>0</v>
      </c>
      <c r="L4426">
        <v>0</v>
      </c>
      <c r="M4426">
        <v>0</v>
      </c>
      <c r="O4426">
        <f t="shared" si="69"/>
        <v>4</v>
      </c>
    </row>
    <row r="4427" spans="1:15">
      <c r="A4427">
        <v>1092</v>
      </c>
      <c r="B4427" s="1">
        <v>45774</v>
      </c>
      <c r="C4427">
        <v>28</v>
      </c>
      <c r="D4427" t="s">
        <v>17</v>
      </c>
      <c r="E4427" t="s">
        <v>20</v>
      </c>
      <c r="F4427" t="s">
        <v>18</v>
      </c>
      <c r="G4427" t="s">
        <v>19</v>
      </c>
      <c r="H4427">
        <v>191.6</v>
      </c>
      <c r="I4427" s="13">
        <v>5</v>
      </c>
      <c r="J4427">
        <v>0</v>
      </c>
      <c r="K4427">
        <v>0</v>
      </c>
      <c r="L4427">
        <v>0</v>
      </c>
      <c r="M4427">
        <v>0</v>
      </c>
      <c r="O4427">
        <f t="shared" si="69"/>
        <v>4</v>
      </c>
    </row>
    <row r="4428" spans="1:15">
      <c r="A4428">
        <v>278</v>
      </c>
      <c r="B4428" s="1">
        <v>45774</v>
      </c>
      <c r="C4428">
        <v>18</v>
      </c>
      <c r="D4428" t="s">
        <v>17</v>
      </c>
      <c r="E4428" t="s">
        <v>22</v>
      </c>
      <c r="F4428" t="s">
        <v>23</v>
      </c>
      <c r="H4428">
        <v>188.2</v>
      </c>
      <c r="I4428" s="13">
        <v>7</v>
      </c>
      <c r="J4428">
        <v>0</v>
      </c>
      <c r="K4428">
        <v>0</v>
      </c>
      <c r="L4428">
        <v>0</v>
      </c>
      <c r="M4428">
        <v>0</v>
      </c>
      <c r="O4428">
        <f t="shared" si="69"/>
        <v>4</v>
      </c>
    </row>
    <row r="4429" spans="1:15">
      <c r="A4429">
        <v>3156</v>
      </c>
      <c r="B4429" s="1">
        <v>45774</v>
      </c>
      <c r="C4429">
        <v>34</v>
      </c>
      <c r="D4429" t="s">
        <v>17</v>
      </c>
      <c r="E4429" t="s">
        <v>20</v>
      </c>
      <c r="F4429" t="s">
        <v>23</v>
      </c>
      <c r="H4429">
        <v>179.2</v>
      </c>
      <c r="I4429" s="13">
        <v>5</v>
      </c>
      <c r="J4429">
        <v>0</v>
      </c>
      <c r="K4429">
        <v>0</v>
      </c>
      <c r="L4429">
        <v>0</v>
      </c>
      <c r="M4429">
        <v>0</v>
      </c>
      <c r="O4429">
        <f t="shared" si="69"/>
        <v>4</v>
      </c>
    </row>
    <row r="4430" spans="1:15">
      <c r="A4430">
        <v>2717</v>
      </c>
      <c r="B4430" s="1">
        <v>45774</v>
      </c>
      <c r="C4430">
        <v>34</v>
      </c>
      <c r="D4430" t="s">
        <v>17</v>
      </c>
      <c r="E4430" t="s">
        <v>24</v>
      </c>
      <c r="F4430" t="s">
        <v>18</v>
      </c>
      <c r="G4430" t="s">
        <v>31</v>
      </c>
      <c r="H4430">
        <v>127.7</v>
      </c>
      <c r="I4430" s="13">
        <v>4</v>
      </c>
      <c r="J4430">
        <v>0</v>
      </c>
      <c r="K4430">
        <v>0</v>
      </c>
      <c r="L4430">
        <v>0</v>
      </c>
      <c r="M4430">
        <v>0</v>
      </c>
      <c r="O4430">
        <f t="shared" si="69"/>
        <v>4</v>
      </c>
    </row>
    <row r="4431" spans="1:15">
      <c r="A4431">
        <v>4833</v>
      </c>
      <c r="B4431" s="1">
        <v>45774</v>
      </c>
      <c r="C4431">
        <v>64</v>
      </c>
      <c r="D4431" t="s">
        <v>17</v>
      </c>
      <c r="E4431" t="s">
        <v>20</v>
      </c>
      <c r="F4431" t="s">
        <v>16</v>
      </c>
      <c r="H4431">
        <v>122.1</v>
      </c>
      <c r="I4431" s="13">
        <v>4</v>
      </c>
      <c r="J4431">
        <v>0</v>
      </c>
      <c r="K4431">
        <v>0</v>
      </c>
      <c r="L4431">
        <v>0</v>
      </c>
      <c r="M4431">
        <v>0</v>
      </c>
      <c r="O4431">
        <f t="shared" si="69"/>
        <v>4</v>
      </c>
    </row>
    <row r="4432" spans="1:15">
      <c r="A4432">
        <v>2399</v>
      </c>
      <c r="B4432" s="1">
        <v>45774</v>
      </c>
      <c r="C4432">
        <v>28</v>
      </c>
      <c r="D4432" t="s">
        <v>14</v>
      </c>
      <c r="E4432" t="s">
        <v>24</v>
      </c>
      <c r="F4432" t="s">
        <v>18</v>
      </c>
      <c r="G4432" t="s">
        <v>28</v>
      </c>
      <c r="H4432">
        <v>117.5</v>
      </c>
      <c r="I4432" s="13">
        <v>6</v>
      </c>
      <c r="J4432">
        <v>0</v>
      </c>
      <c r="K4432">
        <v>0</v>
      </c>
      <c r="L4432">
        <v>0</v>
      </c>
      <c r="M4432">
        <v>0</v>
      </c>
      <c r="O4432">
        <f t="shared" si="69"/>
        <v>4</v>
      </c>
    </row>
    <row r="4433" spans="1:15">
      <c r="A4433">
        <v>4710</v>
      </c>
      <c r="B4433" s="1">
        <v>45774</v>
      </c>
      <c r="C4433">
        <v>56</v>
      </c>
      <c r="D4433" t="s">
        <v>14</v>
      </c>
      <c r="E4433" t="s">
        <v>24</v>
      </c>
      <c r="F4433" t="s">
        <v>23</v>
      </c>
      <c r="H4433">
        <v>110.5</v>
      </c>
      <c r="I4433" s="13">
        <v>6</v>
      </c>
      <c r="J4433">
        <v>0</v>
      </c>
      <c r="K4433">
        <v>0</v>
      </c>
      <c r="L4433">
        <v>0</v>
      </c>
      <c r="M4433">
        <v>0</v>
      </c>
      <c r="O4433">
        <f t="shared" si="69"/>
        <v>4</v>
      </c>
    </row>
    <row r="4434" spans="1:15">
      <c r="A4434">
        <v>219</v>
      </c>
      <c r="B4434" s="1">
        <v>45774</v>
      </c>
      <c r="C4434">
        <v>25</v>
      </c>
      <c r="D4434" t="s">
        <v>17</v>
      </c>
      <c r="E4434" t="s">
        <v>20</v>
      </c>
      <c r="F4434" t="s">
        <v>18</v>
      </c>
      <c r="G4434" t="s">
        <v>19</v>
      </c>
      <c r="H4434">
        <v>98.9</v>
      </c>
      <c r="I4434" s="13">
        <v>4</v>
      </c>
      <c r="J4434">
        <v>0</v>
      </c>
      <c r="K4434">
        <v>0</v>
      </c>
      <c r="L4434">
        <v>0</v>
      </c>
      <c r="M4434">
        <v>0</v>
      </c>
      <c r="O4434">
        <f t="shared" si="69"/>
        <v>4</v>
      </c>
    </row>
    <row r="4435" spans="1:15">
      <c r="A4435">
        <v>462</v>
      </c>
      <c r="B4435" s="1">
        <v>45774</v>
      </c>
      <c r="C4435">
        <v>27</v>
      </c>
      <c r="D4435" t="s">
        <v>17</v>
      </c>
      <c r="E4435" t="s">
        <v>15</v>
      </c>
      <c r="F4435" t="s">
        <v>21</v>
      </c>
      <c r="H4435">
        <v>59.8</v>
      </c>
      <c r="I4435" s="13">
        <v>6</v>
      </c>
      <c r="J4435">
        <v>0</v>
      </c>
      <c r="K4435">
        <v>0</v>
      </c>
      <c r="L4435">
        <v>0</v>
      </c>
      <c r="M4435">
        <v>0</v>
      </c>
      <c r="O4435">
        <f t="shared" si="69"/>
        <v>4</v>
      </c>
    </row>
    <row r="4436" spans="1:15">
      <c r="A4436">
        <v>3460</v>
      </c>
      <c r="B4436" s="1">
        <v>45774</v>
      </c>
      <c r="C4436">
        <v>40</v>
      </c>
      <c r="D4436" t="s">
        <v>17</v>
      </c>
      <c r="E4436" t="s">
        <v>22</v>
      </c>
      <c r="F4436" t="s">
        <v>18</v>
      </c>
      <c r="G4436" t="s">
        <v>26</v>
      </c>
      <c r="H4436">
        <v>4</v>
      </c>
      <c r="I4436" s="13">
        <v>6</v>
      </c>
      <c r="J4436">
        <v>0</v>
      </c>
      <c r="K4436">
        <v>0</v>
      </c>
      <c r="L4436">
        <v>0</v>
      </c>
      <c r="M4436">
        <v>0</v>
      </c>
      <c r="O4436">
        <f t="shared" si="69"/>
        <v>4</v>
      </c>
    </row>
    <row r="4437" spans="1:15">
      <c r="A4437">
        <v>4640</v>
      </c>
      <c r="B4437" s="1">
        <v>45804</v>
      </c>
      <c r="C4437">
        <v>44</v>
      </c>
      <c r="D4437" t="s">
        <v>17</v>
      </c>
      <c r="E4437" t="s">
        <v>20</v>
      </c>
      <c r="F4437" t="s">
        <v>23</v>
      </c>
      <c r="H4437">
        <v>641.6</v>
      </c>
      <c r="I4437" s="13">
        <v>5</v>
      </c>
      <c r="J4437">
        <v>1</v>
      </c>
      <c r="K4437">
        <v>357</v>
      </c>
      <c r="L4437">
        <v>4</v>
      </c>
      <c r="M4437">
        <v>2</v>
      </c>
      <c r="N4437">
        <v>4</v>
      </c>
      <c r="O4437">
        <f t="shared" si="69"/>
        <v>5</v>
      </c>
    </row>
    <row r="4438" spans="1:15">
      <c r="A4438">
        <v>1852</v>
      </c>
      <c r="B4438" s="1">
        <v>45804</v>
      </c>
      <c r="C4438">
        <v>36</v>
      </c>
      <c r="D4438" t="s">
        <v>17</v>
      </c>
      <c r="E4438" t="s">
        <v>20</v>
      </c>
      <c r="F4438" t="s">
        <v>23</v>
      </c>
      <c r="H4438">
        <v>320.10000000000002</v>
      </c>
      <c r="I4438" s="13">
        <v>5</v>
      </c>
      <c r="J4438">
        <v>1</v>
      </c>
      <c r="K4438">
        <v>216</v>
      </c>
      <c r="L4438">
        <v>2</v>
      </c>
      <c r="M4438">
        <v>11</v>
      </c>
      <c r="N4438">
        <v>4</v>
      </c>
      <c r="O4438">
        <f t="shared" si="69"/>
        <v>5</v>
      </c>
    </row>
    <row r="4439" spans="1:15">
      <c r="A4439">
        <v>3179</v>
      </c>
      <c r="B4439" s="1">
        <v>45804</v>
      </c>
      <c r="C4439">
        <v>32</v>
      </c>
      <c r="D4439" t="s">
        <v>17</v>
      </c>
      <c r="E4439" t="s">
        <v>20</v>
      </c>
      <c r="F4439" t="s">
        <v>16</v>
      </c>
      <c r="H4439">
        <v>323.2</v>
      </c>
      <c r="I4439" s="13">
        <v>9</v>
      </c>
      <c r="J4439">
        <v>1</v>
      </c>
      <c r="K4439">
        <v>240.6</v>
      </c>
      <c r="L4439">
        <v>5</v>
      </c>
      <c r="M4439">
        <v>2</v>
      </c>
      <c r="N4439">
        <v>3</v>
      </c>
      <c r="O4439">
        <f t="shared" si="69"/>
        <v>5</v>
      </c>
    </row>
    <row r="4440" spans="1:15">
      <c r="A4440">
        <v>4546</v>
      </c>
      <c r="B4440" s="1">
        <v>45804</v>
      </c>
      <c r="C4440">
        <v>40</v>
      </c>
      <c r="D4440" t="s">
        <v>17</v>
      </c>
      <c r="E4440" t="s">
        <v>24</v>
      </c>
      <c r="F4440" t="s">
        <v>23</v>
      </c>
      <c r="H4440">
        <v>486.1</v>
      </c>
      <c r="I4440" s="13">
        <v>7</v>
      </c>
      <c r="J4440">
        <v>1</v>
      </c>
      <c r="K4440">
        <v>167.88</v>
      </c>
      <c r="L4440">
        <v>2</v>
      </c>
      <c r="M4440">
        <v>13</v>
      </c>
      <c r="N4440">
        <v>3</v>
      </c>
      <c r="O4440">
        <f t="shared" si="69"/>
        <v>5</v>
      </c>
    </row>
    <row r="4441" spans="1:15">
      <c r="A4441">
        <v>74</v>
      </c>
      <c r="B4441" s="1">
        <v>45804</v>
      </c>
      <c r="C4441">
        <v>22</v>
      </c>
      <c r="D4441" t="s">
        <v>14</v>
      </c>
      <c r="E4441" t="s">
        <v>15</v>
      </c>
      <c r="F4441" t="s">
        <v>16</v>
      </c>
      <c r="H4441">
        <v>434.8</v>
      </c>
      <c r="I4441" s="13">
        <v>7</v>
      </c>
      <c r="J4441">
        <v>1</v>
      </c>
      <c r="K4441">
        <v>83.75</v>
      </c>
      <c r="L4441">
        <v>2</v>
      </c>
      <c r="M4441">
        <v>11</v>
      </c>
      <c r="N4441">
        <v>4</v>
      </c>
      <c r="O4441">
        <f t="shared" si="69"/>
        <v>5</v>
      </c>
    </row>
    <row r="4442" spans="1:15">
      <c r="A4442">
        <v>1111</v>
      </c>
      <c r="B4442" s="1">
        <v>45804</v>
      </c>
      <c r="C4442">
        <v>27</v>
      </c>
      <c r="D4442" t="s">
        <v>17</v>
      </c>
      <c r="E4442" t="s">
        <v>22</v>
      </c>
      <c r="F4442" t="s">
        <v>16</v>
      </c>
      <c r="H4442">
        <v>821.2</v>
      </c>
      <c r="I4442" s="13">
        <v>8</v>
      </c>
      <c r="J4442">
        <v>1</v>
      </c>
      <c r="K4442">
        <v>77.8</v>
      </c>
      <c r="L4442">
        <v>3</v>
      </c>
      <c r="M4442">
        <v>1</v>
      </c>
      <c r="N4442">
        <v>3</v>
      </c>
      <c r="O4442">
        <f t="shared" si="69"/>
        <v>5</v>
      </c>
    </row>
    <row r="4443" spans="1:15">
      <c r="A4443">
        <v>2749</v>
      </c>
      <c r="B4443" s="1">
        <v>45804</v>
      </c>
      <c r="C4443">
        <v>39</v>
      </c>
      <c r="D4443" t="s">
        <v>17</v>
      </c>
      <c r="E4443" t="s">
        <v>20</v>
      </c>
      <c r="F4443" t="s">
        <v>21</v>
      </c>
      <c r="H4443">
        <v>313</v>
      </c>
      <c r="I4443" s="13">
        <v>5</v>
      </c>
      <c r="J4443">
        <v>1</v>
      </c>
      <c r="K4443">
        <v>39.51</v>
      </c>
      <c r="L4443">
        <v>1</v>
      </c>
      <c r="M4443">
        <v>11</v>
      </c>
      <c r="N4443">
        <v>4</v>
      </c>
      <c r="O4443">
        <f t="shared" si="69"/>
        <v>5</v>
      </c>
    </row>
    <row r="4444" spans="1:15">
      <c r="A4444">
        <v>732</v>
      </c>
      <c r="B4444" s="1">
        <v>45804</v>
      </c>
      <c r="C4444">
        <v>20</v>
      </c>
      <c r="D4444" t="s">
        <v>17</v>
      </c>
      <c r="E4444" t="s">
        <v>20</v>
      </c>
      <c r="F4444" t="s">
        <v>21</v>
      </c>
      <c r="H4444">
        <v>861.6</v>
      </c>
      <c r="I4444" s="13">
        <v>6</v>
      </c>
      <c r="J4444">
        <v>1</v>
      </c>
      <c r="K4444">
        <v>36.21</v>
      </c>
      <c r="L4444">
        <v>1</v>
      </c>
      <c r="M4444">
        <v>2</v>
      </c>
      <c r="N4444">
        <v>4</v>
      </c>
      <c r="O4444">
        <f t="shared" si="69"/>
        <v>5</v>
      </c>
    </row>
    <row r="4445" spans="1:15">
      <c r="A4445">
        <v>4178</v>
      </c>
      <c r="B4445" s="1">
        <v>45804</v>
      </c>
      <c r="C4445">
        <v>50</v>
      </c>
      <c r="D4445" t="s">
        <v>17</v>
      </c>
      <c r="E4445" t="s">
        <v>15</v>
      </c>
      <c r="F4445" t="s">
        <v>18</v>
      </c>
      <c r="G4445" t="s">
        <v>25</v>
      </c>
      <c r="H4445">
        <v>250.7</v>
      </c>
      <c r="I4445" s="13">
        <v>5</v>
      </c>
      <c r="J4445">
        <v>1</v>
      </c>
      <c r="K4445">
        <v>31.91</v>
      </c>
      <c r="L4445">
        <v>2</v>
      </c>
      <c r="M4445">
        <v>2</v>
      </c>
      <c r="N4445">
        <v>5</v>
      </c>
      <c r="O4445">
        <f t="shared" si="69"/>
        <v>5</v>
      </c>
    </row>
    <row r="4446" spans="1:15">
      <c r="A4446">
        <v>4269</v>
      </c>
      <c r="B4446" s="1">
        <v>45804</v>
      </c>
      <c r="C4446">
        <v>56</v>
      </c>
      <c r="D4446" t="s">
        <v>17</v>
      </c>
      <c r="E4446" t="s">
        <v>22</v>
      </c>
      <c r="F4446" t="s">
        <v>21</v>
      </c>
      <c r="H4446">
        <v>320.89999999999998</v>
      </c>
      <c r="I4446" s="13">
        <v>2</v>
      </c>
      <c r="J4446">
        <v>1</v>
      </c>
      <c r="K4446">
        <v>21.17</v>
      </c>
      <c r="L4446">
        <v>1</v>
      </c>
      <c r="M4446">
        <v>9</v>
      </c>
      <c r="N4446">
        <v>5</v>
      </c>
      <c r="O4446">
        <f t="shared" si="69"/>
        <v>5</v>
      </c>
    </row>
    <row r="4447" spans="1:15">
      <c r="A4447">
        <v>379</v>
      </c>
      <c r="B4447" s="1">
        <v>45804</v>
      </c>
      <c r="C4447">
        <v>25</v>
      </c>
      <c r="D4447" t="s">
        <v>14</v>
      </c>
      <c r="E4447" t="s">
        <v>24</v>
      </c>
      <c r="F4447" t="s">
        <v>16</v>
      </c>
      <c r="H4447">
        <v>987.1</v>
      </c>
      <c r="I4447" s="13">
        <v>7</v>
      </c>
      <c r="J4447">
        <v>1</v>
      </c>
      <c r="K4447">
        <v>19.46</v>
      </c>
      <c r="L4447">
        <v>4</v>
      </c>
      <c r="M4447">
        <v>2</v>
      </c>
      <c r="N4447">
        <v>4</v>
      </c>
      <c r="O4447">
        <f t="shared" si="69"/>
        <v>5</v>
      </c>
    </row>
    <row r="4448" spans="1:15">
      <c r="A4448">
        <v>1729</v>
      </c>
      <c r="B4448" s="1">
        <v>45804</v>
      </c>
      <c r="C4448">
        <v>37</v>
      </c>
      <c r="D4448" t="s">
        <v>17</v>
      </c>
      <c r="E4448" t="s">
        <v>20</v>
      </c>
      <c r="F4448" t="s">
        <v>18</v>
      </c>
      <c r="G4448" t="s">
        <v>19</v>
      </c>
      <c r="H4448">
        <v>681.5</v>
      </c>
      <c r="I4448" s="13">
        <v>4</v>
      </c>
      <c r="J4448">
        <v>0</v>
      </c>
      <c r="K4448">
        <v>0</v>
      </c>
      <c r="L4448">
        <v>0</v>
      </c>
      <c r="M4448">
        <v>0</v>
      </c>
      <c r="O4448">
        <f t="shared" si="69"/>
        <v>5</v>
      </c>
    </row>
    <row r="4449" spans="1:15">
      <c r="A4449">
        <v>4999</v>
      </c>
      <c r="B4449" s="1">
        <v>45804</v>
      </c>
      <c r="C4449">
        <v>64</v>
      </c>
      <c r="D4449" t="s">
        <v>17</v>
      </c>
      <c r="E4449" t="s">
        <v>20</v>
      </c>
      <c r="F4449" t="s">
        <v>16</v>
      </c>
      <c r="H4449">
        <v>647.20000000000005</v>
      </c>
      <c r="I4449" s="13">
        <v>3</v>
      </c>
      <c r="J4449">
        <v>0</v>
      </c>
      <c r="K4449">
        <v>0</v>
      </c>
      <c r="L4449">
        <v>0</v>
      </c>
      <c r="M4449">
        <v>0</v>
      </c>
      <c r="O4449">
        <f t="shared" si="69"/>
        <v>5</v>
      </c>
    </row>
    <row r="4450" spans="1:15">
      <c r="A4450">
        <v>4940</v>
      </c>
      <c r="B4450" s="1">
        <v>45804</v>
      </c>
      <c r="C4450">
        <v>46</v>
      </c>
      <c r="D4450" t="s">
        <v>17</v>
      </c>
      <c r="E4450" t="s">
        <v>15</v>
      </c>
      <c r="F4450" t="s">
        <v>23</v>
      </c>
      <c r="H4450">
        <v>471.1</v>
      </c>
      <c r="I4450" s="13">
        <v>9</v>
      </c>
      <c r="J4450">
        <v>0</v>
      </c>
      <c r="K4450">
        <v>0</v>
      </c>
      <c r="L4450">
        <v>0</v>
      </c>
      <c r="M4450">
        <v>0</v>
      </c>
      <c r="O4450">
        <f t="shared" si="69"/>
        <v>5</v>
      </c>
    </row>
    <row r="4451" spans="1:15">
      <c r="A4451">
        <v>1511</v>
      </c>
      <c r="B4451" s="1">
        <v>45804</v>
      </c>
      <c r="C4451">
        <v>34</v>
      </c>
      <c r="D4451" t="s">
        <v>14</v>
      </c>
      <c r="E4451" t="s">
        <v>20</v>
      </c>
      <c r="F4451" t="s">
        <v>16</v>
      </c>
      <c r="H4451">
        <v>348</v>
      </c>
      <c r="I4451" s="13">
        <v>4</v>
      </c>
      <c r="J4451">
        <v>0</v>
      </c>
      <c r="K4451">
        <v>0</v>
      </c>
      <c r="L4451">
        <v>0</v>
      </c>
      <c r="M4451">
        <v>0</v>
      </c>
      <c r="O4451">
        <f t="shared" si="69"/>
        <v>5</v>
      </c>
    </row>
    <row r="4452" spans="1:15">
      <c r="A4452">
        <v>445</v>
      </c>
      <c r="B4452" s="1">
        <v>45804</v>
      </c>
      <c r="C4452">
        <v>22</v>
      </c>
      <c r="D4452" t="s">
        <v>14</v>
      </c>
      <c r="E4452" t="s">
        <v>22</v>
      </c>
      <c r="F4452" t="s">
        <v>21</v>
      </c>
      <c r="H4452">
        <v>310.3</v>
      </c>
      <c r="I4452" s="13">
        <v>10</v>
      </c>
      <c r="J4452">
        <v>0</v>
      </c>
      <c r="K4452">
        <v>0</v>
      </c>
      <c r="L4452">
        <v>0</v>
      </c>
      <c r="M4452">
        <v>0</v>
      </c>
      <c r="O4452">
        <f t="shared" si="69"/>
        <v>5</v>
      </c>
    </row>
    <row r="4453" spans="1:15">
      <c r="A4453">
        <v>3375</v>
      </c>
      <c r="B4453" s="1">
        <v>45804</v>
      </c>
      <c r="C4453">
        <v>28</v>
      </c>
      <c r="D4453" t="s">
        <v>14</v>
      </c>
      <c r="E4453" t="s">
        <v>22</v>
      </c>
      <c r="F4453" t="s">
        <v>18</v>
      </c>
      <c r="G4453" t="s">
        <v>28</v>
      </c>
      <c r="H4453">
        <v>299.8</v>
      </c>
      <c r="I4453" s="13">
        <v>7</v>
      </c>
      <c r="J4453">
        <v>0</v>
      </c>
      <c r="K4453">
        <v>0</v>
      </c>
      <c r="L4453">
        <v>0</v>
      </c>
      <c r="M4453">
        <v>0</v>
      </c>
      <c r="O4453">
        <f t="shared" si="69"/>
        <v>5</v>
      </c>
    </row>
    <row r="4454" spans="1:15">
      <c r="A4454">
        <v>1835</v>
      </c>
      <c r="B4454" s="1">
        <v>45804</v>
      </c>
      <c r="C4454">
        <v>39</v>
      </c>
      <c r="D4454" t="s">
        <v>14</v>
      </c>
      <c r="E4454" t="s">
        <v>22</v>
      </c>
      <c r="F4454" t="s">
        <v>18</v>
      </c>
      <c r="G4454" t="s">
        <v>29</v>
      </c>
      <c r="H4454">
        <v>248</v>
      </c>
      <c r="I4454" s="13">
        <v>2</v>
      </c>
      <c r="J4454">
        <v>0</v>
      </c>
      <c r="K4454">
        <v>0</v>
      </c>
      <c r="L4454">
        <v>0</v>
      </c>
      <c r="M4454">
        <v>0</v>
      </c>
      <c r="O4454">
        <f t="shared" si="69"/>
        <v>5</v>
      </c>
    </row>
    <row r="4455" spans="1:15">
      <c r="A4455">
        <v>738</v>
      </c>
      <c r="B4455" s="1">
        <v>45804</v>
      </c>
      <c r="C4455">
        <v>26</v>
      </c>
      <c r="D4455" t="s">
        <v>17</v>
      </c>
      <c r="E4455" t="s">
        <v>20</v>
      </c>
      <c r="F4455" t="s">
        <v>18</v>
      </c>
      <c r="G4455" t="s">
        <v>26</v>
      </c>
      <c r="H4455">
        <v>238.9</v>
      </c>
      <c r="I4455" s="13">
        <v>4</v>
      </c>
      <c r="J4455">
        <v>0</v>
      </c>
      <c r="K4455">
        <v>0</v>
      </c>
      <c r="L4455">
        <v>0</v>
      </c>
      <c r="M4455">
        <v>0</v>
      </c>
      <c r="O4455">
        <f t="shared" si="69"/>
        <v>5</v>
      </c>
    </row>
    <row r="4456" spans="1:15">
      <c r="A4456">
        <v>504</v>
      </c>
      <c r="B4456" s="1">
        <v>45804</v>
      </c>
      <c r="C4456">
        <v>21</v>
      </c>
      <c r="D4456" t="s">
        <v>14</v>
      </c>
      <c r="E4456" t="s">
        <v>20</v>
      </c>
      <c r="F4456" t="s">
        <v>16</v>
      </c>
      <c r="H4456">
        <v>231.9</v>
      </c>
      <c r="I4456" s="13">
        <v>7</v>
      </c>
      <c r="J4456">
        <v>0</v>
      </c>
      <c r="K4456">
        <v>0</v>
      </c>
      <c r="L4456">
        <v>0</v>
      </c>
      <c r="M4456">
        <v>0</v>
      </c>
      <c r="O4456">
        <f t="shared" si="69"/>
        <v>5</v>
      </c>
    </row>
    <row r="4457" spans="1:15">
      <c r="A4457">
        <v>531</v>
      </c>
      <c r="B4457" s="1">
        <v>45804</v>
      </c>
      <c r="C4457">
        <v>31</v>
      </c>
      <c r="D4457" t="s">
        <v>17</v>
      </c>
      <c r="E4457" t="s">
        <v>22</v>
      </c>
      <c r="F4457" t="s">
        <v>18</v>
      </c>
      <c r="G4457" t="s">
        <v>31</v>
      </c>
      <c r="H4457">
        <v>181.5</v>
      </c>
      <c r="I4457" s="13">
        <v>2</v>
      </c>
      <c r="J4457">
        <v>0</v>
      </c>
      <c r="K4457">
        <v>0</v>
      </c>
      <c r="L4457">
        <v>0</v>
      </c>
      <c r="M4457">
        <v>0</v>
      </c>
      <c r="O4457">
        <f t="shared" si="69"/>
        <v>5</v>
      </c>
    </row>
    <row r="4458" spans="1:15">
      <c r="A4458">
        <v>3861</v>
      </c>
      <c r="B4458" s="1">
        <v>45804</v>
      </c>
      <c r="C4458">
        <v>42</v>
      </c>
      <c r="D4458" t="s">
        <v>17</v>
      </c>
      <c r="E4458" t="s">
        <v>24</v>
      </c>
      <c r="F4458" t="s">
        <v>23</v>
      </c>
      <c r="H4458">
        <v>159.1</v>
      </c>
      <c r="I4458" s="13">
        <v>4</v>
      </c>
      <c r="J4458">
        <v>0</v>
      </c>
      <c r="K4458">
        <v>0</v>
      </c>
      <c r="L4458">
        <v>0</v>
      </c>
      <c r="M4458">
        <v>0</v>
      </c>
      <c r="O4458">
        <f t="shared" si="69"/>
        <v>5</v>
      </c>
    </row>
    <row r="4459" spans="1:15">
      <c r="A4459">
        <v>4330</v>
      </c>
      <c r="B4459" s="1">
        <v>45804</v>
      </c>
      <c r="C4459">
        <v>61</v>
      </c>
      <c r="D4459" t="s">
        <v>14</v>
      </c>
      <c r="E4459" t="s">
        <v>22</v>
      </c>
      <c r="F4459" t="s">
        <v>23</v>
      </c>
      <c r="H4459">
        <v>110.4</v>
      </c>
      <c r="I4459" s="13">
        <v>5</v>
      </c>
      <c r="J4459">
        <v>0</v>
      </c>
      <c r="K4459">
        <v>0</v>
      </c>
      <c r="L4459">
        <v>0</v>
      </c>
      <c r="M4459">
        <v>0</v>
      </c>
      <c r="O4459">
        <f t="shared" si="69"/>
        <v>5</v>
      </c>
    </row>
    <row r="4460" spans="1:15">
      <c r="A4460">
        <v>4870</v>
      </c>
      <c r="B4460" s="1">
        <v>45804</v>
      </c>
      <c r="C4460">
        <v>53</v>
      </c>
      <c r="D4460" t="s">
        <v>14</v>
      </c>
      <c r="E4460" t="s">
        <v>15</v>
      </c>
      <c r="F4460" t="s">
        <v>23</v>
      </c>
      <c r="H4460">
        <v>101.9</v>
      </c>
      <c r="I4460" s="13">
        <v>6</v>
      </c>
      <c r="J4460">
        <v>0</v>
      </c>
      <c r="K4460">
        <v>0</v>
      </c>
      <c r="L4460">
        <v>0</v>
      </c>
      <c r="M4460">
        <v>0</v>
      </c>
      <c r="O4460">
        <f t="shared" si="69"/>
        <v>5</v>
      </c>
    </row>
    <row r="4461" spans="1:15">
      <c r="A4461">
        <v>1310</v>
      </c>
      <c r="B4461" s="1">
        <v>45804</v>
      </c>
      <c r="C4461">
        <v>22</v>
      </c>
      <c r="D4461" t="s">
        <v>14</v>
      </c>
      <c r="E4461" t="s">
        <v>15</v>
      </c>
      <c r="F4461" t="s">
        <v>23</v>
      </c>
      <c r="H4461">
        <v>67.900000000000006</v>
      </c>
      <c r="I4461" s="13">
        <v>7</v>
      </c>
      <c r="J4461">
        <v>0</v>
      </c>
      <c r="K4461">
        <v>0</v>
      </c>
      <c r="L4461">
        <v>0</v>
      </c>
      <c r="M4461">
        <v>0</v>
      </c>
      <c r="O4461">
        <f t="shared" si="69"/>
        <v>5</v>
      </c>
    </row>
    <row r="4462" spans="1:15">
      <c r="A4462">
        <v>811</v>
      </c>
      <c r="B4462" s="1">
        <v>45835</v>
      </c>
      <c r="C4462">
        <v>24</v>
      </c>
      <c r="D4462" t="s">
        <v>14</v>
      </c>
      <c r="E4462" t="s">
        <v>22</v>
      </c>
      <c r="F4462" t="s">
        <v>16</v>
      </c>
      <c r="H4462">
        <v>399.1</v>
      </c>
      <c r="I4462" s="13">
        <v>4</v>
      </c>
      <c r="J4462">
        <v>1</v>
      </c>
      <c r="K4462">
        <v>324</v>
      </c>
      <c r="L4462">
        <v>1</v>
      </c>
      <c r="M4462">
        <v>11</v>
      </c>
      <c r="N4462">
        <v>4</v>
      </c>
      <c r="O4462">
        <f t="shared" si="69"/>
        <v>6</v>
      </c>
    </row>
    <row r="4463" spans="1:15">
      <c r="A4463">
        <v>500</v>
      </c>
      <c r="B4463" s="1">
        <v>45835</v>
      </c>
      <c r="C4463">
        <v>26</v>
      </c>
      <c r="D4463" t="s">
        <v>17</v>
      </c>
      <c r="E4463" t="s">
        <v>22</v>
      </c>
      <c r="F4463" t="s">
        <v>23</v>
      </c>
      <c r="H4463">
        <v>613.4</v>
      </c>
      <c r="I4463" s="13">
        <v>5</v>
      </c>
      <c r="J4463">
        <v>1</v>
      </c>
      <c r="K4463">
        <v>140.75</v>
      </c>
      <c r="L4463">
        <v>8</v>
      </c>
      <c r="M4463">
        <v>9</v>
      </c>
      <c r="N4463">
        <v>4</v>
      </c>
      <c r="O4463">
        <f t="shared" si="69"/>
        <v>6</v>
      </c>
    </row>
    <row r="4464" spans="1:15">
      <c r="A4464">
        <v>933</v>
      </c>
      <c r="B4464" s="1">
        <v>45835</v>
      </c>
      <c r="C4464">
        <v>22</v>
      </c>
      <c r="D4464" t="s">
        <v>17</v>
      </c>
      <c r="E4464" t="s">
        <v>22</v>
      </c>
      <c r="F4464" t="s">
        <v>16</v>
      </c>
      <c r="H4464">
        <v>923</v>
      </c>
      <c r="I4464" s="13">
        <v>13</v>
      </c>
      <c r="J4464">
        <v>1</v>
      </c>
      <c r="K4464">
        <v>125.86</v>
      </c>
      <c r="L4464">
        <v>3</v>
      </c>
      <c r="M4464">
        <v>14</v>
      </c>
      <c r="N4464">
        <v>4</v>
      </c>
      <c r="O4464">
        <f t="shared" si="69"/>
        <v>6</v>
      </c>
    </row>
    <row r="4465" spans="1:15">
      <c r="A4465">
        <v>4762</v>
      </c>
      <c r="B4465" s="1">
        <v>45835</v>
      </c>
      <c r="C4465">
        <v>56</v>
      </c>
      <c r="D4465" t="s">
        <v>27</v>
      </c>
      <c r="E4465" t="s">
        <v>24</v>
      </c>
      <c r="F4465" t="s">
        <v>23</v>
      </c>
      <c r="H4465">
        <v>608</v>
      </c>
      <c r="I4465" s="13">
        <v>7</v>
      </c>
      <c r="J4465">
        <v>1</v>
      </c>
      <c r="K4465">
        <v>104.78</v>
      </c>
      <c r="L4465">
        <v>5</v>
      </c>
      <c r="M4465">
        <v>10</v>
      </c>
      <c r="N4465">
        <v>4</v>
      </c>
      <c r="O4465">
        <f t="shared" si="69"/>
        <v>6</v>
      </c>
    </row>
    <row r="4466" spans="1:15">
      <c r="A4466">
        <v>1012</v>
      </c>
      <c r="B4466" s="1">
        <v>45835</v>
      </c>
      <c r="C4466">
        <v>30</v>
      </c>
      <c r="D4466" t="s">
        <v>17</v>
      </c>
      <c r="E4466" t="s">
        <v>24</v>
      </c>
      <c r="F4466" t="s">
        <v>23</v>
      </c>
      <c r="H4466">
        <v>832.9</v>
      </c>
      <c r="I4466" s="13">
        <v>5</v>
      </c>
      <c r="J4466">
        <v>1</v>
      </c>
      <c r="K4466">
        <v>95.65</v>
      </c>
      <c r="L4466">
        <v>2</v>
      </c>
      <c r="M4466">
        <v>11</v>
      </c>
      <c r="N4466">
        <v>4</v>
      </c>
      <c r="O4466">
        <f t="shared" si="69"/>
        <v>6</v>
      </c>
    </row>
    <row r="4467" spans="1:15">
      <c r="A4467">
        <v>1719</v>
      </c>
      <c r="B4467" s="1">
        <v>45835</v>
      </c>
      <c r="C4467">
        <v>25</v>
      </c>
      <c r="D4467" t="s">
        <v>14</v>
      </c>
      <c r="E4467" t="s">
        <v>22</v>
      </c>
      <c r="F4467" t="s">
        <v>21</v>
      </c>
      <c r="H4467">
        <v>373.1</v>
      </c>
      <c r="I4467" s="13">
        <v>6</v>
      </c>
      <c r="J4467">
        <v>1</v>
      </c>
      <c r="K4467">
        <v>85.99</v>
      </c>
      <c r="L4467">
        <v>1</v>
      </c>
      <c r="M4467">
        <v>12</v>
      </c>
      <c r="N4467">
        <v>5</v>
      </c>
      <c r="O4467">
        <f t="shared" si="69"/>
        <v>6</v>
      </c>
    </row>
    <row r="4468" spans="1:15">
      <c r="A4468">
        <v>1425</v>
      </c>
      <c r="B4468" s="1">
        <v>45835</v>
      </c>
      <c r="C4468">
        <v>32</v>
      </c>
      <c r="D4468" t="s">
        <v>14</v>
      </c>
      <c r="E4468" t="s">
        <v>24</v>
      </c>
      <c r="F4468" t="s">
        <v>23</v>
      </c>
      <c r="H4468">
        <v>253.9</v>
      </c>
      <c r="I4468" s="13">
        <v>6</v>
      </c>
      <c r="J4468">
        <v>1</v>
      </c>
      <c r="K4468">
        <v>60.74</v>
      </c>
      <c r="L4468">
        <v>3</v>
      </c>
      <c r="M4468">
        <v>3</v>
      </c>
      <c r="N4468">
        <v>3</v>
      </c>
      <c r="O4468">
        <f t="shared" si="69"/>
        <v>6</v>
      </c>
    </row>
    <row r="4469" spans="1:15">
      <c r="A4469">
        <v>2409</v>
      </c>
      <c r="B4469" s="1">
        <v>45835</v>
      </c>
      <c r="C4469">
        <v>57</v>
      </c>
      <c r="D4469" t="s">
        <v>14</v>
      </c>
      <c r="E4469" t="s">
        <v>24</v>
      </c>
      <c r="F4469" t="s">
        <v>23</v>
      </c>
      <c r="H4469">
        <v>385.4</v>
      </c>
      <c r="I4469" s="13">
        <v>6</v>
      </c>
      <c r="J4469">
        <v>1</v>
      </c>
      <c r="K4469">
        <v>48.58</v>
      </c>
      <c r="L4469">
        <v>3</v>
      </c>
      <c r="M4469">
        <v>11</v>
      </c>
      <c r="N4469">
        <v>4</v>
      </c>
      <c r="O4469">
        <f t="shared" si="69"/>
        <v>6</v>
      </c>
    </row>
    <row r="4470" spans="1:15">
      <c r="A4470">
        <v>70</v>
      </c>
      <c r="B4470" s="1">
        <v>45835</v>
      </c>
      <c r="C4470">
        <v>18</v>
      </c>
      <c r="D4470" t="s">
        <v>14</v>
      </c>
      <c r="E4470" t="s">
        <v>15</v>
      </c>
      <c r="F4470" t="s">
        <v>16</v>
      </c>
      <c r="H4470">
        <v>353.4</v>
      </c>
      <c r="I4470" s="13">
        <v>4</v>
      </c>
      <c r="J4470">
        <v>1</v>
      </c>
      <c r="K4470">
        <v>45.73</v>
      </c>
      <c r="L4470">
        <v>1</v>
      </c>
      <c r="M4470">
        <v>11</v>
      </c>
      <c r="N4470">
        <v>4</v>
      </c>
      <c r="O4470">
        <f t="shared" si="69"/>
        <v>6</v>
      </c>
    </row>
    <row r="4471" spans="1:15">
      <c r="A4471">
        <v>1865</v>
      </c>
      <c r="B4471" s="1">
        <v>45835</v>
      </c>
      <c r="C4471">
        <v>18</v>
      </c>
      <c r="D4471" t="s">
        <v>14</v>
      </c>
      <c r="E4471" t="s">
        <v>20</v>
      </c>
      <c r="F4471" t="s">
        <v>23</v>
      </c>
      <c r="H4471">
        <v>344.2</v>
      </c>
      <c r="I4471" s="13">
        <v>8</v>
      </c>
      <c r="J4471">
        <v>1</v>
      </c>
      <c r="K4471">
        <v>40.58</v>
      </c>
      <c r="L4471">
        <v>3</v>
      </c>
      <c r="M4471">
        <v>11</v>
      </c>
      <c r="N4471">
        <v>4</v>
      </c>
      <c r="O4471">
        <f t="shared" si="69"/>
        <v>6</v>
      </c>
    </row>
    <row r="4472" spans="1:15">
      <c r="A4472">
        <v>4036</v>
      </c>
      <c r="B4472" s="1">
        <v>45835</v>
      </c>
      <c r="C4472">
        <v>57</v>
      </c>
      <c r="D4472" t="s">
        <v>17</v>
      </c>
      <c r="E4472" t="s">
        <v>24</v>
      </c>
      <c r="F4472" t="s">
        <v>18</v>
      </c>
      <c r="G4472" t="s">
        <v>30</v>
      </c>
      <c r="H4472">
        <v>130.80000000000001</v>
      </c>
      <c r="I4472" s="13">
        <v>6</v>
      </c>
      <c r="J4472">
        <v>1</v>
      </c>
      <c r="K4472">
        <v>35.29</v>
      </c>
      <c r="L4472">
        <v>1</v>
      </c>
      <c r="M4472">
        <v>7</v>
      </c>
      <c r="N4472">
        <v>4</v>
      </c>
      <c r="O4472">
        <f t="shared" si="69"/>
        <v>6</v>
      </c>
    </row>
    <row r="4473" spans="1:15">
      <c r="A4473">
        <v>2079</v>
      </c>
      <c r="B4473" s="1">
        <v>45835</v>
      </c>
      <c r="C4473">
        <v>37</v>
      </c>
      <c r="D4473" t="s">
        <v>27</v>
      </c>
      <c r="E4473" t="s">
        <v>22</v>
      </c>
      <c r="F4473" t="s">
        <v>18</v>
      </c>
      <c r="G4473" t="s">
        <v>28</v>
      </c>
      <c r="H4473">
        <v>348.6</v>
      </c>
      <c r="I4473" s="13">
        <v>3</v>
      </c>
      <c r="J4473">
        <v>1</v>
      </c>
      <c r="K4473">
        <v>34.67</v>
      </c>
      <c r="L4473">
        <v>4</v>
      </c>
      <c r="M4473">
        <v>7</v>
      </c>
      <c r="N4473">
        <v>4</v>
      </c>
      <c r="O4473">
        <f t="shared" si="69"/>
        <v>6</v>
      </c>
    </row>
    <row r="4474" spans="1:15">
      <c r="A4474">
        <v>155</v>
      </c>
      <c r="B4474" s="1">
        <v>45835</v>
      </c>
      <c r="C4474">
        <v>28</v>
      </c>
      <c r="D4474" t="s">
        <v>17</v>
      </c>
      <c r="E4474" t="s">
        <v>20</v>
      </c>
      <c r="F4474" t="s">
        <v>16</v>
      </c>
      <c r="H4474">
        <v>264.7</v>
      </c>
      <c r="I4474" s="13">
        <v>9</v>
      </c>
      <c r="J4474">
        <v>1</v>
      </c>
      <c r="K4474">
        <v>18.149999999999999</v>
      </c>
      <c r="L4474">
        <v>4</v>
      </c>
      <c r="M4474">
        <v>4</v>
      </c>
      <c r="N4474">
        <v>3</v>
      </c>
      <c r="O4474">
        <f t="shared" si="69"/>
        <v>6</v>
      </c>
    </row>
    <row r="4475" spans="1:15">
      <c r="A4475">
        <v>519</v>
      </c>
      <c r="B4475" s="1">
        <v>45835</v>
      </c>
      <c r="C4475">
        <v>31</v>
      </c>
      <c r="D4475" t="s">
        <v>14</v>
      </c>
      <c r="E4475" t="s">
        <v>24</v>
      </c>
      <c r="F4475" t="s">
        <v>16</v>
      </c>
      <c r="H4475">
        <v>86</v>
      </c>
      <c r="I4475" s="13">
        <v>6</v>
      </c>
      <c r="J4475">
        <v>1</v>
      </c>
      <c r="K4475">
        <v>16.239999999999998</v>
      </c>
      <c r="L4475">
        <v>4</v>
      </c>
      <c r="M4475">
        <v>6</v>
      </c>
      <c r="N4475">
        <v>5</v>
      </c>
      <c r="O4475">
        <f t="shared" si="69"/>
        <v>6</v>
      </c>
    </row>
    <row r="4476" spans="1:15">
      <c r="A4476">
        <v>2928</v>
      </c>
      <c r="B4476" s="1">
        <v>45835</v>
      </c>
      <c r="C4476">
        <v>24</v>
      </c>
      <c r="D4476" t="s">
        <v>27</v>
      </c>
      <c r="E4476" t="s">
        <v>22</v>
      </c>
      <c r="F4476" t="s">
        <v>18</v>
      </c>
      <c r="G4476" t="s">
        <v>26</v>
      </c>
      <c r="H4476">
        <v>640.4</v>
      </c>
      <c r="I4476" s="13">
        <v>3</v>
      </c>
      <c r="J4476">
        <v>0</v>
      </c>
      <c r="K4476">
        <v>0</v>
      </c>
      <c r="L4476">
        <v>0</v>
      </c>
      <c r="M4476">
        <v>0</v>
      </c>
      <c r="O4476">
        <f t="shared" si="69"/>
        <v>6</v>
      </c>
    </row>
    <row r="4477" spans="1:15">
      <c r="A4477">
        <v>1278</v>
      </c>
      <c r="B4477" s="1">
        <v>45835</v>
      </c>
      <c r="C4477">
        <v>19</v>
      </c>
      <c r="D4477" t="s">
        <v>17</v>
      </c>
      <c r="E4477" t="s">
        <v>22</v>
      </c>
      <c r="F4477" t="s">
        <v>18</v>
      </c>
      <c r="G4477" t="s">
        <v>26</v>
      </c>
      <c r="H4477">
        <v>499.5</v>
      </c>
      <c r="I4477" s="13">
        <v>8</v>
      </c>
      <c r="J4477">
        <v>0</v>
      </c>
      <c r="K4477">
        <v>0</v>
      </c>
      <c r="L4477">
        <v>0</v>
      </c>
      <c r="M4477">
        <v>0</v>
      </c>
      <c r="O4477">
        <f t="shared" si="69"/>
        <v>6</v>
      </c>
    </row>
    <row r="4478" spans="1:15">
      <c r="A4478">
        <v>1075</v>
      </c>
      <c r="B4478" s="1">
        <v>45835</v>
      </c>
      <c r="C4478">
        <v>18</v>
      </c>
      <c r="D4478" t="s">
        <v>17</v>
      </c>
      <c r="E4478" t="s">
        <v>15</v>
      </c>
      <c r="F4478" t="s">
        <v>23</v>
      </c>
      <c r="H4478">
        <v>496.5</v>
      </c>
      <c r="I4478" s="13">
        <v>4</v>
      </c>
      <c r="J4478">
        <v>0</v>
      </c>
      <c r="K4478">
        <v>0</v>
      </c>
      <c r="L4478">
        <v>0</v>
      </c>
      <c r="M4478">
        <v>0</v>
      </c>
      <c r="O4478">
        <f t="shared" si="69"/>
        <v>6</v>
      </c>
    </row>
    <row r="4479" spans="1:15">
      <c r="A4479">
        <v>1349</v>
      </c>
      <c r="B4479" s="1">
        <v>45835</v>
      </c>
      <c r="C4479">
        <v>33</v>
      </c>
      <c r="D4479" t="s">
        <v>14</v>
      </c>
      <c r="E4479" t="s">
        <v>20</v>
      </c>
      <c r="F4479" t="s">
        <v>21</v>
      </c>
      <c r="H4479">
        <v>486.7</v>
      </c>
      <c r="I4479" s="13">
        <v>4</v>
      </c>
      <c r="J4479">
        <v>0</v>
      </c>
      <c r="K4479">
        <v>0</v>
      </c>
      <c r="L4479">
        <v>0</v>
      </c>
      <c r="M4479">
        <v>0</v>
      </c>
      <c r="O4479">
        <f t="shared" si="69"/>
        <v>6</v>
      </c>
    </row>
    <row r="4480" spans="1:15">
      <c r="A4480">
        <v>3804</v>
      </c>
      <c r="B4480" s="1">
        <v>45835</v>
      </c>
      <c r="C4480">
        <v>42</v>
      </c>
      <c r="D4480" t="s">
        <v>14</v>
      </c>
      <c r="E4480" t="s">
        <v>20</v>
      </c>
      <c r="F4480" t="s">
        <v>23</v>
      </c>
      <c r="H4480">
        <v>450.5</v>
      </c>
      <c r="I4480" s="13">
        <v>4</v>
      </c>
      <c r="J4480">
        <v>0</v>
      </c>
      <c r="K4480">
        <v>0</v>
      </c>
      <c r="L4480">
        <v>0</v>
      </c>
      <c r="M4480">
        <v>0</v>
      </c>
      <c r="O4480">
        <f t="shared" si="69"/>
        <v>6</v>
      </c>
    </row>
    <row r="4481" spans="1:15">
      <c r="A4481">
        <v>1229</v>
      </c>
      <c r="B4481" s="1">
        <v>45835</v>
      </c>
      <c r="C4481">
        <v>27</v>
      </c>
      <c r="D4481" t="s">
        <v>17</v>
      </c>
      <c r="E4481" t="s">
        <v>15</v>
      </c>
      <c r="F4481" t="s">
        <v>16</v>
      </c>
      <c r="H4481">
        <v>387.1</v>
      </c>
      <c r="I4481" s="13">
        <v>8</v>
      </c>
      <c r="J4481">
        <v>0</v>
      </c>
      <c r="K4481">
        <v>0</v>
      </c>
      <c r="L4481">
        <v>0</v>
      </c>
      <c r="M4481">
        <v>0</v>
      </c>
      <c r="O4481">
        <f t="shared" si="69"/>
        <v>6</v>
      </c>
    </row>
    <row r="4482" spans="1:15">
      <c r="A4482">
        <v>2125</v>
      </c>
      <c r="B4482" s="1">
        <v>45835</v>
      </c>
      <c r="C4482">
        <v>28</v>
      </c>
      <c r="D4482" t="s">
        <v>14</v>
      </c>
      <c r="E4482" t="s">
        <v>15</v>
      </c>
      <c r="F4482" t="s">
        <v>18</v>
      </c>
      <c r="G4482" t="s">
        <v>28</v>
      </c>
      <c r="H4482">
        <v>362.4</v>
      </c>
      <c r="I4482" s="13">
        <v>8</v>
      </c>
      <c r="J4482">
        <v>0</v>
      </c>
      <c r="K4482">
        <v>0</v>
      </c>
      <c r="L4482">
        <v>0</v>
      </c>
      <c r="M4482">
        <v>0</v>
      </c>
      <c r="O4482">
        <f t="shared" si="69"/>
        <v>6</v>
      </c>
    </row>
    <row r="4483" spans="1:15">
      <c r="A4483">
        <v>4760</v>
      </c>
      <c r="B4483" s="1">
        <v>45835</v>
      </c>
      <c r="C4483">
        <v>44</v>
      </c>
      <c r="D4483" t="s">
        <v>14</v>
      </c>
      <c r="E4483" t="s">
        <v>22</v>
      </c>
      <c r="F4483" t="s">
        <v>16</v>
      </c>
      <c r="H4483">
        <v>346.3</v>
      </c>
      <c r="I4483" s="13">
        <v>5</v>
      </c>
      <c r="J4483">
        <v>0</v>
      </c>
      <c r="K4483">
        <v>0</v>
      </c>
      <c r="L4483">
        <v>0</v>
      </c>
      <c r="M4483">
        <v>0</v>
      </c>
      <c r="O4483">
        <f t="shared" ref="O4483:O4546" si="70">MONTH(B4483)</f>
        <v>6</v>
      </c>
    </row>
    <row r="4484" spans="1:15">
      <c r="A4484">
        <v>442</v>
      </c>
      <c r="B4484" s="1">
        <v>45835</v>
      </c>
      <c r="C4484">
        <v>26</v>
      </c>
      <c r="D4484" t="s">
        <v>14</v>
      </c>
      <c r="E4484" t="s">
        <v>22</v>
      </c>
      <c r="F4484" t="s">
        <v>16</v>
      </c>
      <c r="H4484">
        <v>341.3</v>
      </c>
      <c r="I4484" s="13">
        <v>2</v>
      </c>
      <c r="J4484">
        <v>0</v>
      </c>
      <c r="K4484">
        <v>0</v>
      </c>
      <c r="L4484">
        <v>0</v>
      </c>
      <c r="M4484">
        <v>0</v>
      </c>
      <c r="O4484">
        <f t="shared" si="70"/>
        <v>6</v>
      </c>
    </row>
    <row r="4485" spans="1:15">
      <c r="A4485">
        <v>2433</v>
      </c>
      <c r="B4485" s="1">
        <v>45835</v>
      </c>
      <c r="C4485">
        <v>34</v>
      </c>
      <c r="D4485" t="s">
        <v>14</v>
      </c>
      <c r="E4485" t="s">
        <v>22</v>
      </c>
      <c r="F4485" t="s">
        <v>16</v>
      </c>
      <c r="H4485">
        <v>233.5</v>
      </c>
      <c r="I4485" s="13">
        <v>5</v>
      </c>
      <c r="J4485">
        <v>0</v>
      </c>
      <c r="K4485">
        <v>0</v>
      </c>
      <c r="L4485">
        <v>0</v>
      </c>
      <c r="M4485">
        <v>0</v>
      </c>
      <c r="O4485">
        <f t="shared" si="70"/>
        <v>6</v>
      </c>
    </row>
    <row r="4486" spans="1:15">
      <c r="A4486">
        <v>1062</v>
      </c>
      <c r="B4486" s="1">
        <v>45835</v>
      </c>
      <c r="C4486">
        <v>23</v>
      </c>
      <c r="D4486" t="s">
        <v>17</v>
      </c>
      <c r="E4486" t="s">
        <v>22</v>
      </c>
      <c r="F4486" t="s">
        <v>21</v>
      </c>
      <c r="H4486">
        <v>230.9</v>
      </c>
      <c r="I4486" s="13">
        <v>3</v>
      </c>
      <c r="J4486">
        <v>0</v>
      </c>
      <c r="K4486">
        <v>0</v>
      </c>
      <c r="L4486">
        <v>0</v>
      </c>
      <c r="M4486">
        <v>0</v>
      </c>
      <c r="O4486">
        <f t="shared" si="70"/>
        <v>6</v>
      </c>
    </row>
    <row r="4487" spans="1:15">
      <c r="A4487">
        <v>662</v>
      </c>
      <c r="B4487" s="1">
        <v>45835</v>
      </c>
      <c r="C4487">
        <v>32</v>
      </c>
      <c r="D4487" t="s">
        <v>14</v>
      </c>
      <c r="E4487" t="s">
        <v>24</v>
      </c>
      <c r="F4487" t="s">
        <v>18</v>
      </c>
      <c r="G4487" t="s">
        <v>25</v>
      </c>
      <c r="H4487">
        <v>212.3</v>
      </c>
      <c r="I4487" s="13">
        <v>4</v>
      </c>
      <c r="J4487">
        <v>0</v>
      </c>
      <c r="K4487">
        <v>0</v>
      </c>
      <c r="L4487">
        <v>0</v>
      </c>
      <c r="M4487">
        <v>0</v>
      </c>
      <c r="O4487">
        <f t="shared" si="70"/>
        <v>6</v>
      </c>
    </row>
    <row r="4488" spans="1:15">
      <c r="A4488">
        <v>2110</v>
      </c>
      <c r="B4488" s="1">
        <v>45835</v>
      </c>
      <c r="C4488">
        <v>43</v>
      </c>
      <c r="D4488" t="s">
        <v>17</v>
      </c>
      <c r="E4488" t="s">
        <v>22</v>
      </c>
      <c r="F4488" t="s">
        <v>18</v>
      </c>
      <c r="G4488" t="s">
        <v>26</v>
      </c>
      <c r="H4488">
        <v>120.3</v>
      </c>
      <c r="I4488" s="13">
        <v>5</v>
      </c>
      <c r="J4488">
        <v>0</v>
      </c>
      <c r="K4488">
        <v>0</v>
      </c>
      <c r="L4488">
        <v>0</v>
      </c>
      <c r="M4488">
        <v>0</v>
      </c>
      <c r="O4488">
        <f t="shared" si="70"/>
        <v>6</v>
      </c>
    </row>
    <row r="4489" spans="1:15">
      <c r="A4489">
        <v>1585</v>
      </c>
      <c r="B4489" s="1">
        <v>45835</v>
      </c>
      <c r="C4489">
        <v>31</v>
      </c>
      <c r="D4489" t="s">
        <v>17</v>
      </c>
      <c r="E4489" t="s">
        <v>15</v>
      </c>
      <c r="F4489" t="s">
        <v>16</v>
      </c>
      <c r="H4489">
        <v>93.3</v>
      </c>
      <c r="I4489" s="13">
        <v>10</v>
      </c>
      <c r="J4489">
        <v>0</v>
      </c>
      <c r="K4489">
        <v>0</v>
      </c>
      <c r="L4489">
        <v>0</v>
      </c>
      <c r="M4489">
        <v>0</v>
      </c>
      <c r="O4489">
        <f t="shared" si="70"/>
        <v>6</v>
      </c>
    </row>
    <row r="4490" spans="1:15">
      <c r="A4490">
        <v>447</v>
      </c>
      <c r="B4490" s="1">
        <v>45835</v>
      </c>
      <c r="C4490">
        <v>26</v>
      </c>
      <c r="D4490" t="s">
        <v>14</v>
      </c>
      <c r="E4490" t="s">
        <v>22</v>
      </c>
      <c r="F4490" t="s">
        <v>16</v>
      </c>
      <c r="H4490">
        <v>59.9</v>
      </c>
      <c r="I4490" s="13">
        <v>5</v>
      </c>
      <c r="J4490">
        <v>0</v>
      </c>
      <c r="K4490">
        <v>0</v>
      </c>
      <c r="L4490">
        <v>0</v>
      </c>
      <c r="M4490">
        <v>0</v>
      </c>
      <c r="O4490">
        <f t="shared" si="70"/>
        <v>6</v>
      </c>
    </row>
    <row r="4491" spans="1:15">
      <c r="A4491">
        <v>4172</v>
      </c>
      <c r="B4491" s="1">
        <v>45835</v>
      </c>
      <c r="C4491">
        <v>37</v>
      </c>
      <c r="D4491" t="s">
        <v>14</v>
      </c>
      <c r="E4491" t="s">
        <v>22</v>
      </c>
      <c r="F4491" t="s">
        <v>16</v>
      </c>
      <c r="H4491">
        <v>36.700000000000003</v>
      </c>
      <c r="I4491" s="13">
        <v>12</v>
      </c>
      <c r="J4491">
        <v>0</v>
      </c>
      <c r="K4491">
        <v>0</v>
      </c>
      <c r="L4491">
        <v>0</v>
      </c>
      <c r="M4491">
        <v>0</v>
      </c>
      <c r="O4491">
        <f t="shared" si="70"/>
        <v>6</v>
      </c>
    </row>
    <row r="4492" spans="1:15">
      <c r="A4492">
        <v>1765</v>
      </c>
      <c r="B4492" s="1">
        <v>45685</v>
      </c>
      <c r="C4492">
        <v>43</v>
      </c>
      <c r="D4492" t="s">
        <v>14</v>
      </c>
      <c r="E4492" t="s">
        <v>15</v>
      </c>
      <c r="F4492" t="s">
        <v>16</v>
      </c>
      <c r="H4492">
        <v>447.7</v>
      </c>
      <c r="I4492" s="13">
        <v>6</v>
      </c>
      <c r="J4492">
        <v>1</v>
      </c>
      <c r="K4492">
        <v>214</v>
      </c>
      <c r="L4492">
        <v>3</v>
      </c>
      <c r="M4492">
        <v>9</v>
      </c>
      <c r="N4492">
        <v>4</v>
      </c>
      <c r="O4492">
        <f t="shared" si="70"/>
        <v>1</v>
      </c>
    </row>
    <row r="4493" spans="1:15">
      <c r="A4493">
        <v>4986</v>
      </c>
      <c r="B4493" s="1">
        <v>45685</v>
      </c>
      <c r="C4493">
        <v>47</v>
      </c>
      <c r="D4493" t="s">
        <v>14</v>
      </c>
      <c r="E4493" t="s">
        <v>20</v>
      </c>
      <c r="F4493" t="s">
        <v>21</v>
      </c>
      <c r="H4493">
        <v>215.9</v>
      </c>
      <c r="I4493" s="13">
        <v>9</v>
      </c>
      <c r="J4493">
        <v>1</v>
      </c>
      <c r="K4493">
        <v>171.71</v>
      </c>
      <c r="L4493">
        <v>2</v>
      </c>
      <c r="M4493">
        <v>5</v>
      </c>
      <c r="N4493">
        <v>4</v>
      </c>
      <c r="O4493">
        <f t="shared" si="70"/>
        <v>1</v>
      </c>
    </row>
    <row r="4494" spans="1:15">
      <c r="A4494">
        <v>520</v>
      </c>
      <c r="B4494" s="1">
        <v>45685</v>
      </c>
      <c r="C4494">
        <v>34</v>
      </c>
      <c r="D4494" t="s">
        <v>17</v>
      </c>
      <c r="E4494" t="s">
        <v>24</v>
      </c>
      <c r="F4494" t="s">
        <v>23</v>
      </c>
      <c r="H4494">
        <v>259.10000000000002</v>
      </c>
      <c r="I4494" s="13">
        <v>7</v>
      </c>
      <c r="J4494">
        <v>1</v>
      </c>
      <c r="K4494">
        <v>144.57</v>
      </c>
      <c r="L4494">
        <v>3</v>
      </c>
      <c r="M4494">
        <v>4</v>
      </c>
      <c r="N4494">
        <v>4</v>
      </c>
      <c r="O4494">
        <f t="shared" si="70"/>
        <v>1</v>
      </c>
    </row>
    <row r="4495" spans="1:15">
      <c r="A4495">
        <v>4553</v>
      </c>
      <c r="B4495" s="1">
        <v>45685</v>
      </c>
      <c r="C4495">
        <v>40</v>
      </c>
      <c r="D4495" t="s">
        <v>14</v>
      </c>
      <c r="E4495" t="s">
        <v>20</v>
      </c>
      <c r="F4495" t="s">
        <v>18</v>
      </c>
      <c r="G4495" t="s">
        <v>30</v>
      </c>
      <c r="H4495">
        <v>584.1</v>
      </c>
      <c r="I4495" s="13">
        <v>8</v>
      </c>
      <c r="J4495">
        <v>1</v>
      </c>
      <c r="K4495">
        <v>70.260000000000005</v>
      </c>
      <c r="L4495">
        <v>2</v>
      </c>
      <c r="M4495">
        <v>4</v>
      </c>
      <c r="N4495">
        <v>5</v>
      </c>
      <c r="O4495">
        <f t="shared" si="70"/>
        <v>1</v>
      </c>
    </row>
    <row r="4496" spans="1:15">
      <c r="A4496">
        <v>4273</v>
      </c>
      <c r="B4496" s="1">
        <v>45685</v>
      </c>
      <c r="C4496">
        <v>45</v>
      </c>
      <c r="D4496" t="s">
        <v>14</v>
      </c>
      <c r="E4496" t="s">
        <v>20</v>
      </c>
      <c r="F4496" t="s">
        <v>23</v>
      </c>
      <c r="H4496">
        <v>447.5</v>
      </c>
      <c r="I4496" s="13">
        <v>7</v>
      </c>
      <c r="J4496">
        <v>1</v>
      </c>
      <c r="K4496">
        <v>65.89</v>
      </c>
      <c r="L4496">
        <v>3</v>
      </c>
      <c r="M4496">
        <v>11</v>
      </c>
      <c r="N4496">
        <v>5</v>
      </c>
      <c r="O4496">
        <f t="shared" si="70"/>
        <v>1</v>
      </c>
    </row>
    <row r="4497" spans="1:15">
      <c r="A4497">
        <v>791</v>
      </c>
      <c r="B4497" s="1">
        <v>45685</v>
      </c>
      <c r="C4497">
        <v>20</v>
      </c>
      <c r="D4497" t="s">
        <v>14</v>
      </c>
      <c r="E4497" t="s">
        <v>15</v>
      </c>
      <c r="F4497" t="s">
        <v>16</v>
      </c>
      <c r="H4497">
        <v>380.1</v>
      </c>
      <c r="I4497" s="13">
        <v>4</v>
      </c>
      <c r="J4497">
        <v>1</v>
      </c>
      <c r="K4497">
        <v>60.94</v>
      </c>
      <c r="L4497">
        <v>2</v>
      </c>
      <c r="M4497">
        <v>12</v>
      </c>
      <c r="N4497">
        <v>3</v>
      </c>
      <c r="O4497">
        <f t="shared" si="70"/>
        <v>1</v>
      </c>
    </row>
    <row r="4498" spans="1:15">
      <c r="A4498">
        <v>1711</v>
      </c>
      <c r="B4498" s="1">
        <v>45685</v>
      </c>
      <c r="C4498">
        <v>24</v>
      </c>
      <c r="D4498" t="s">
        <v>14</v>
      </c>
      <c r="E4498" t="s">
        <v>22</v>
      </c>
      <c r="F4498" t="s">
        <v>16</v>
      </c>
      <c r="H4498">
        <v>463.9</v>
      </c>
      <c r="I4498" s="13">
        <v>10</v>
      </c>
      <c r="J4498">
        <v>1</v>
      </c>
      <c r="K4498">
        <v>43.8</v>
      </c>
      <c r="L4498">
        <v>2</v>
      </c>
      <c r="M4498">
        <v>14</v>
      </c>
      <c r="N4498">
        <v>3</v>
      </c>
      <c r="O4498">
        <f t="shared" si="70"/>
        <v>1</v>
      </c>
    </row>
    <row r="4499" spans="1:15">
      <c r="A4499">
        <v>2116</v>
      </c>
      <c r="B4499" s="1">
        <v>45685</v>
      </c>
      <c r="C4499">
        <v>43</v>
      </c>
      <c r="D4499" t="s">
        <v>17</v>
      </c>
      <c r="E4499" t="s">
        <v>22</v>
      </c>
      <c r="F4499" t="s">
        <v>16</v>
      </c>
      <c r="H4499">
        <v>762.3</v>
      </c>
      <c r="I4499" s="13">
        <v>5</v>
      </c>
      <c r="J4499">
        <v>1</v>
      </c>
      <c r="K4499">
        <v>32.93</v>
      </c>
      <c r="L4499">
        <v>2</v>
      </c>
      <c r="M4499">
        <v>7</v>
      </c>
      <c r="N4499">
        <v>4</v>
      </c>
      <c r="O4499">
        <f t="shared" si="70"/>
        <v>1</v>
      </c>
    </row>
    <row r="4500" spans="1:15">
      <c r="A4500">
        <v>4004</v>
      </c>
      <c r="B4500" s="1">
        <v>45685</v>
      </c>
      <c r="C4500">
        <v>41</v>
      </c>
      <c r="D4500" t="s">
        <v>17</v>
      </c>
      <c r="E4500" t="s">
        <v>15</v>
      </c>
      <c r="F4500" t="s">
        <v>18</v>
      </c>
      <c r="G4500" t="s">
        <v>25</v>
      </c>
      <c r="H4500">
        <v>787.5</v>
      </c>
      <c r="I4500" s="13">
        <v>7</v>
      </c>
      <c r="J4500">
        <v>1</v>
      </c>
      <c r="K4500">
        <v>21.25</v>
      </c>
      <c r="L4500">
        <v>2</v>
      </c>
      <c r="M4500">
        <v>7</v>
      </c>
      <c r="N4500">
        <v>5</v>
      </c>
      <c r="O4500">
        <f t="shared" si="70"/>
        <v>1</v>
      </c>
    </row>
    <row r="4501" spans="1:15">
      <c r="A4501">
        <v>1110</v>
      </c>
      <c r="B4501" s="1">
        <v>45685</v>
      </c>
      <c r="C4501">
        <v>27</v>
      </c>
      <c r="D4501" t="s">
        <v>14</v>
      </c>
      <c r="E4501" t="s">
        <v>24</v>
      </c>
      <c r="F4501" t="s">
        <v>18</v>
      </c>
      <c r="G4501" t="s">
        <v>30</v>
      </c>
      <c r="H4501">
        <v>492.6</v>
      </c>
      <c r="I4501" s="13">
        <v>7</v>
      </c>
      <c r="J4501">
        <v>1</v>
      </c>
      <c r="K4501">
        <v>14.34</v>
      </c>
      <c r="L4501">
        <v>3</v>
      </c>
      <c r="M4501">
        <v>15</v>
      </c>
      <c r="N4501">
        <v>4</v>
      </c>
      <c r="O4501">
        <f t="shared" si="70"/>
        <v>1</v>
      </c>
    </row>
    <row r="4502" spans="1:15">
      <c r="A4502">
        <v>3481</v>
      </c>
      <c r="B4502" s="1">
        <v>45685</v>
      </c>
      <c r="C4502">
        <v>26</v>
      </c>
      <c r="D4502" t="s">
        <v>17</v>
      </c>
      <c r="E4502" t="s">
        <v>15</v>
      </c>
      <c r="F4502" t="s">
        <v>23</v>
      </c>
      <c r="H4502">
        <v>634.70000000000005</v>
      </c>
      <c r="I4502" s="13">
        <v>4</v>
      </c>
      <c r="J4502">
        <v>0</v>
      </c>
      <c r="K4502">
        <v>0</v>
      </c>
      <c r="L4502">
        <v>0</v>
      </c>
      <c r="M4502">
        <v>0</v>
      </c>
      <c r="O4502">
        <f t="shared" si="70"/>
        <v>1</v>
      </c>
    </row>
    <row r="4503" spans="1:15">
      <c r="A4503">
        <v>2895</v>
      </c>
      <c r="B4503" s="1">
        <v>45685</v>
      </c>
      <c r="C4503">
        <v>42</v>
      </c>
      <c r="D4503" t="s">
        <v>14</v>
      </c>
      <c r="E4503" t="s">
        <v>24</v>
      </c>
      <c r="F4503" t="s">
        <v>18</v>
      </c>
      <c r="G4503" t="s">
        <v>25</v>
      </c>
      <c r="H4503">
        <v>567.20000000000005</v>
      </c>
      <c r="I4503" s="13">
        <v>3</v>
      </c>
      <c r="J4503">
        <v>0</v>
      </c>
      <c r="K4503">
        <v>0</v>
      </c>
      <c r="L4503">
        <v>0</v>
      </c>
      <c r="M4503">
        <v>0</v>
      </c>
      <c r="O4503">
        <f t="shared" si="70"/>
        <v>1</v>
      </c>
    </row>
    <row r="4504" spans="1:15">
      <c r="A4504">
        <v>1638</v>
      </c>
      <c r="B4504" s="1">
        <v>45685</v>
      </c>
      <c r="C4504">
        <v>25</v>
      </c>
      <c r="D4504" t="s">
        <v>27</v>
      </c>
      <c r="E4504" t="s">
        <v>24</v>
      </c>
      <c r="F4504" t="s">
        <v>16</v>
      </c>
      <c r="H4504">
        <v>456</v>
      </c>
      <c r="I4504" s="13">
        <v>5</v>
      </c>
      <c r="J4504">
        <v>0</v>
      </c>
      <c r="K4504">
        <v>0</v>
      </c>
      <c r="L4504">
        <v>0</v>
      </c>
      <c r="M4504">
        <v>0</v>
      </c>
      <c r="O4504">
        <f t="shared" si="70"/>
        <v>1</v>
      </c>
    </row>
    <row r="4505" spans="1:15">
      <c r="A4505">
        <v>3079</v>
      </c>
      <c r="B4505" s="1">
        <v>45685</v>
      </c>
      <c r="C4505">
        <v>51</v>
      </c>
      <c r="D4505" t="s">
        <v>14</v>
      </c>
      <c r="E4505" t="s">
        <v>22</v>
      </c>
      <c r="F4505" t="s">
        <v>23</v>
      </c>
      <c r="H4505">
        <v>435.4</v>
      </c>
      <c r="I4505" s="13">
        <v>4</v>
      </c>
      <c r="J4505">
        <v>0</v>
      </c>
      <c r="K4505">
        <v>0</v>
      </c>
      <c r="L4505">
        <v>0</v>
      </c>
      <c r="M4505">
        <v>0</v>
      </c>
      <c r="O4505">
        <f t="shared" si="70"/>
        <v>1</v>
      </c>
    </row>
    <row r="4506" spans="1:15">
      <c r="A4506">
        <v>1222</v>
      </c>
      <c r="B4506" s="1">
        <v>45685</v>
      </c>
      <c r="C4506">
        <v>25</v>
      </c>
      <c r="D4506" t="s">
        <v>14</v>
      </c>
      <c r="E4506" t="s">
        <v>24</v>
      </c>
      <c r="F4506" t="s">
        <v>23</v>
      </c>
      <c r="H4506">
        <v>413.2</v>
      </c>
      <c r="I4506" s="13">
        <v>3</v>
      </c>
      <c r="J4506">
        <v>0</v>
      </c>
      <c r="K4506">
        <v>0</v>
      </c>
      <c r="L4506">
        <v>0</v>
      </c>
      <c r="M4506">
        <v>0</v>
      </c>
      <c r="O4506">
        <f t="shared" si="70"/>
        <v>1</v>
      </c>
    </row>
    <row r="4507" spans="1:15">
      <c r="A4507">
        <v>2440</v>
      </c>
      <c r="B4507" s="1">
        <v>45685</v>
      </c>
      <c r="C4507">
        <v>23</v>
      </c>
      <c r="D4507" t="s">
        <v>17</v>
      </c>
      <c r="E4507" t="s">
        <v>20</v>
      </c>
      <c r="F4507" t="s">
        <v>16</v>
      </c>
      <c r="H4507">
        <v>374.5</v>
      </c>
      <c r="I4507" s="13">
        <v>11</v>
      </c>
      <c r="J4507">
        <v>0</v>
      </c>
      <c r="K4507">
        <v>0</v>
      </c>
      <c r="L4507">
        <v>0</v>
      </c>
      <c r="M4507">
        <v>0</v>
      </c>
      <c r="O4507">
        <f t="shared" si="70"/>
        <v>1</v>
      </c>
    </row>
    <row r="4508" spans="1:15">
      <c r="A4508">
        <v>590</v>
      </c>
      <c r="B4508" s="1">
        <v>45685</v>
      </c>
      <c r="C4508">
        <v>30</v>
      </c>
      <c r="D4508" t="s">
        <v>17</v>
      </c>
      <c r="E4508" t="s">
        <v>22</v>
      </c>
      <c r="F4508" t="s">
        <v>16</v>
      </c>
      <c r="H4508">
        <v>345.6</v>
      </c>
      <c r="I4508" s="13">
        <v>5</v>
      </c>
      <c r="J4508">
        <v>0</v>
      </c>
      <c r="K4508">
        <v>0</v>
      </c>
      <c r="L4508">
        <v>0</v>
      </c>
      <c r="M4508">
        <v>0</v>
      </c>
      <c r="O4508">
        <f t="shared" si="70"/>
        <v>1</v>
      </c>
    </row>
    <row r="4509" spans="1:15">
      <c r="A4509">
        <v>3646</v>
      </c>
      <c r="B4509" s="1">
        <v>45685</v>
      </c>
      <c r="C4509">
        <v>42</v>
      </c>
      <c r="D4509" t="s">
        <v>14</v>
      </c>
      <c r="E4509" t="s">
        <v>15</v>
      </c>
      <c r="F4509" t="s">
        <v>16</v>
      </c>
      <c r="H4509">
        <v>304</v>
      </c>
      <c r="I4509" s="13">
        <v>6</v>
      </c>
      <c r="J4509">
        <v>0</v>
      </c>
      <c r="K4509">
        <v>0</v>
      </c>
      <c r="L4509">
        <v>0</v>
      </c>
      <c r="M4509">
        <v>0</v>
      </c>
      <c r="O4509">
        <f t="shared" si="70"/>
        <v>1</v>
      </c>
    </row>
    <row r="4510" spans="1:15">
      <c r="A4510">
        <v>4298</v>
      </c>
      <c r="B4510" s="1">
        <v>45685</v>
      </c>
      <c r="C4510">
        <v>40</v>
      </c>
      <c r="D4510" t="s">
        <v>14</v>
      </c>
      <c r="E4510" t="s">
        <v>15</v>
      </c>
      <c r="F4510" t="s">
        <v>18</v>
      </c>
      <c r="G4510" t="s">
        <v>29</v>
      </c>
      <c r="H4510">
        <v>299.3</v>
      </c>
      <c r="I4510" s="13">
        <v>10</v>
      </c>
      <c r="J4510">
        <v>0</v>
      </c>
      <c r="K4510">
        <v>0</v>
      </c>
      <c r="L4510">
        <v>0</v>
      </c>
      <c r="M4510">
        <v>0</v>
      </c>
      <c r="O4510">
        <f t="shared" si="70"/>
        <v>1</v>
      </c>
    </row>
    <row r="4511" spans="1:15">
      <c r="A4511">
        <v>666</v>
      </c>
      <c r="B4511" s="1">
        <v>45685</v>
      </c>
      <c r="C4511">
        <v>27</v>
      </c>
      <c r="D4511" t="s">
        <v>14</v>
      </c>
      <c r="E4511" t="s">
        <v>15</v>
      </c>
      <c r="F4511" t="s">
        <v>16</v>
      </c>
      <c r="H4511">
        <v>258.89999999999998</v>
      </c>
      <c r="I4511" s="13">
        <v>2</v>
      </c>
      <c r="J4511">
        <v>0</v>
      </c>
      <c r="K4511">
        <v>0</v>
      </c>
      <c r="L4511">
        <v>0</v>
      </c>
      <c r="M4511">
        <v>0</v>
      </c>
      <c r="O4511">
        <f t="shared" si="70"/>
        <v>1</v>
      </c>
    </row>
    <row r="4512" spans="1:15">
      <c r="A4512">
        <v>867</v>
      </c>
      <c r="B4512" s="1">
        <v>45685</v>
      </c>
      <c r="C4512">
        <v>32</v>
      </c>
      <c r="D4512" t="s">
        <v>17</v>
      </c>
      <c r="E4512" t="s">
        <v>20</v>
      </c>
      <c r="F4512" t="s">
        <v>21</v>
      </c>
      <c r="H4512">
        <v>207.6</v>
      </c>
      <c r="I4512" s="13">
        <v>4</v>
      </c>
      <c r="J4512">
        <v>0</v>
      </c>
      <c r="K4512">
        <v>0</v>
      </c>
      <c r="L4512">
        <v>0</v>
      </c>
      <c r="M4512">
        <v>0</v>
      </c>
      <c r="O4512">
        <f t="shared" si="70"/>
        <v>1</v>
      </c>
    </row>
    <row r="4513" spans="1:15">
      <c r="A4513">
        <v>1791</v>
      </c>
      <c r="B4513" s="1">
        <v>45685</v>
      </c>
      <c r="C4513">
        <v>43</v>
      </c>
      <c r="D4513" t="s">
        <v>14</v>
      </c>
      <c r="E4513" t="s">
        <v>20</v>
      </c>
      <c r="F4513" t="s">
        <v>23</v>
      </c>
      <c r="H4513">
        <v>168.1</v>
      </c>
      <c r="I4513" s="13">
        <v>10</v>
      </c>
      <c r="J4513">
        <v>0</v>
      </c>
      <c r="K4513">
        <v>0</v>
      </c>
      <c r="L4513">
        <v>0</v>
      </c>
      <c r="M4513">
        <v>0</v>
      </c>
      <c r="O4513">
        <f t="shared" si="70"/>
        <v>1</v>
      </c>
    </row>
    <row r="4514" spans="1:15">
      <c r="A4514">
        <v>3632</v>
      </c>
      <c r="B4514" s="1">
        <v>45685</v>
      </c>
      <c r="C4514">
        <v>47</v>
      </c>
      <c r="D4514" t="s">
        <v>14</v>
      </c>
      <c r="E4514" t="s">
        <v>22</v>
      </c>
      <c r="F4514" t="s">
        <v>16</v>
      </c>
      <c r="H4514">
        <v>146.69999999999999</v>
      </c>
      <c r="I4514" s="13">
        <v>7</v>
      </c>
      <c r="J4514">
        <v>0</v>
      </c>
      <c r="K4514">
        <v>0</v>
      </c>
      <c r="L4514">
        <v>0</v>
      </c>
      <c r="M4514">
        <v>0</v>
      </c>
      <c r="O4514">
        <f t="shared" si="70"/>
        <v>1</v>
      </c>
    </row>
    <row r="4515" spans="1:15">
      <c r="A4515">
        <v>802</v>
      </c>
      <c r="B4515" s="1">
        <v>45685</v>
      </c>
      <c r="C4515">
        <v>27</v>
      </c>
      <c r="D4515" t="s">
        <v>17</v>
      </c>
      <c r="E4515" t="s">
        <v>24</v>
      </c>
      <c r="F4515" t="s">
        <v>23</v>
      </c>
      <c r="H4515">
        <v>143.80000000000001</v>
      </c>
      <c r="I4515" s="13">
        <v>9</v>
      </c>
      <c r="J4515">
        <v>0</v>
      </c>
      <c r="K4515">
        <v>0</v>
      </c>
      <c r="L4515">
        <v>0</v>
      </c>
      <c r="M4515">
        <v>0</v>
      </c>
      <c r="O4515">
        <f t="shared" si="70"/>
        <v>1</v>
      </c>
    </row>
    <row r="4516" spans="1:15">
      <c r="A4516">
        <v>2397</v>
      </c>
      <c r="B4516" s="1">
        <v>45685</v>
      </c>
      <c r="C4516">
        <v>36</v>
      </c>
      <c r="D4516" t="s">
        <v>14</v>
      </c>
      <c r="E4516" t="s">
        <v>15</v>
      </c>
      <c r="F4516" t="s">
        <v>16</v>
      </c>
      <c r="H4516">
        <v>138</v>
      </c>
      <c r="I4516" s="13">
        <v>4</v>
      </c>
      <c r="J4516">
        <v>0</v>
      </c>
      <c r="K4516">
        <v>0</v>
      </c>
      <c r="L4516">
        <v>0</v>
      </c>
      <c r="M4516">
        <v>0</v>
      </c>
      <c r="O4516">
        <f t="shared" si="70"/>
        <v>1</v>
      </c>
    </row>
    <row r="4517" spans="1:15">
      <c r="A4517">
        <v>3731</v>
      </c>
      <c r="B4517" s="1">
        <v>45685</v>
      </c>
      <c r="C4517">
        <v>38</v>
      </c>
      <c r="D4517" t="s">
        <v>14</v>
      </c>
      <c r="E4517" t="s">
        <v>22</v>
      </c>
      <c r="F4517" t="s">
        <v>18</v>
      </c>
      <c r="G4517" t="s">
        <v>28</v>
      </c>
      <c r="H4517">
        <v>135.6</v>
      </c>
      <c r="I4517" s="13">
        <v>5</v>
      </c>
      <c r="J4517">
        <v>0</v>
      </c>
      <c r="K4517">
        <v>0</v>
      </c>
      <c r="L4517">
        <v>0</v>
      </c>
      <c r="M4517">
        <v>0</v>
      </c>
      <c r="O4517">
        <f t="shared" si="70"/>
        <v>1</v>
      </c>
    </row>
    <row r="4518" spans="1:15">
      <c r="A4518">
        <v>699</v>
      </c>
      <c r="B4518" s="1">
        <v>45685</v>
      </c>
      <c r="C4518">
        <v>29</v>
      </c>
      <c r="D4518" t="s">
        <v>14</v>
      </c>
      <c r="E4518" t="s">
        <v>15</v>
      </c>
      <c r="F4518" t="s">
        <v>18</v>
      </c>
      <c r="G4518" t="s">
        <v>26</v>
      </c>
      <c r="H4518">
        <v>132.4</v>
      </c>
      <c r="I4518" s="13">
        <v>9</v>
      </c>
      <c r="J4518">
        <v>0</v>
      </c>
      <c r="K4518">
        <v>0</v>
      </c>
      <c r="L4518">
        <v>0</v>
      </c>
      <c r="M4518">
        <v>0</v>
      </c>
      <c r="O4518">
        <f t="shared" si="70"/>
        <v>1</v>
      </c>
    </row>
    <row r="4519" spans="1:15">
      <c r="A4519">
        <v>3546</v>
      </c>
      <c r="B4519" s="1">
        <v>45685</v>
      </c>
      <c r="C4519">
        <v>39</v>
      </c>
      <c r="D4519" t="s">
        <v>14</v>
      </c>
      <c r="E4519" t="s">
        <v>22</v>
      </c>
      <c r="F4519" t="s">
        <v>21</v>
      </c>
      <c r="H4519">
        <v>127.5</v>
      </c>
      <c r="I4519" s="13">
        <v>4</v>
      </c>
      <c r="J4519">
        <v>0</v>
      </c>
      <c r="K4519">
        <v>0</v>
      </c>
      <c r="L4519">
        <v>0</v>
      </c>
      <c r="M4519">
        <v>0</v>
      </c>
      <c r="O4519">
        <f t="shared" si="70"/>
        <v>1</v>
      </c>
    </row>
    <row r="4520" spans="1:15">
      <c r="A4520">
        <v>761</v>
      </c>
      <c r="B4520" s="1">
        <v>45685</v>
      </c>
      <c r="C4520">
        <v>28</v>
      </c>
      <c r="D4520" t="s">
        <v>14</v>
      </c>
      <c r="E4520" t="s">
        <v>20</v>
      </c>
      <c r="F4520" t="s">
        <v>18</v>
      </c>
      <c r="G4520" t="s">
        <v>28</v>
      </c>
      <c r="H4520">
        <v>91.6</v>
      </c>
      <c r="I4520" s="13">
        <v>5</v>
      </c>
      <c r="J4520">
        <v>0</v>
      </c>
      <c r="K4520">
        <v>0</v>
      </c>
      <c r="L4520">
        <v>0</v>
      </c>
      <c r="M4520">
        <v>0</v>
      </c>
      <c r="O4520">
        <f t="shared" si="70"/>
        <v>1</v>
      </c>
    </row>
    <row r="4521" spans="1:15">
      <c r="A4521">
        <v>2038</v>
      </c>
      <c r="B4521" s="1">
        <v>45685</v>
      </c>
      <c r="C4521">
        <v>39</v>
      </c>
      <c r="D4521" t="s">
        <v>14</v>
      </c>
      <c r="E4521" t="s">
        <v>20</v>
      </c>
      <c r="F4521" t="s">
        <v>21</v>
      </c>
      <c r="H4521">
        <v>80.7</v>
      </c>
      <c r="I4521" s="13">
        <v>4</v>
      </c>
      <c r="J4521">
        <v>0</v>
      </c>
      <c r="K4521">
        <v>0</v>
      </c>
      <c r="L4521">
        <v>0</v>
      </c>
      <c r="M4521">
        <v>0</v>
      </c>
      <c r="O4521">
        <f t="shared" si="70"/>
        <v>1</v>
      </c>
    </row>
    <row r="4522" spans="1:15">
      <c r="A4522">
        <v>86</v>
      </c>
      <c r="B4522" s="1">
        <v>45716</v>
      </c>
      <c r="C4522">
        <v>24</v>
      </c>
      <c r="D4522" t="s">
        <v>17</v>
      </c>
      <c r="E4522" t="s">
        <v>20</v>
      </c>
      <c r="F4522" t="s">
        <v>18</v>
      </c>
      <c r="G4522" t="s">
        <v>30</v>
      </c>
      <c r="H4522">
        <v>172.3</v>
      </c>
      <c r="I4522" s="13">
        <v>5</v>
      </c>
      <c r="J4522">
        <v>1</v>
      </c>
      <c r="K4522">
        <v>141</v>
      </c>
      <c r="L4522">
        <v>5</v>
      </c>
      <c r="M4522">
        <v>3</v>
      </c>
      <c r="N4522">
        <v>4</v>
      </c>
      <c r="O4522">
        <f t="shared" si="70"/>
        <v>2</v>
      </c>
    </row>
    <row r="4523" spans="1:15">
      <c r="A4523">
        <v>3394</v>
      </c>
      <c r="B4523" s="1">
        <v>45716</v>
      </c>
      <c r="C4523">
        <v>37</v>
      </c>
      <c r="D4523" t="s">
        <v>14</v>
      </c>
      <c r="E4523" t="s">
        <v>20</v>
      </c>
      <c r="F4523" t="s">
        <v>16</v>
      </c>
      <c r="H4523">
        <v>349.3</v>
      </c>
      <c r="I4523" s="13">
        <v>2</v>
      </c>
      <c r="J4523">
        <v>1</v>
      </c>
      <c r="K4523">
        <v>104</v>
      </c>
      <c r="L4523">
        <v>3</v>
      </c>
      <c r="M4523">
        <v>5</v>
      </c>
      <c r="N4523">
        <v>5</v>
      </c>
      <c r="O4523">
        <f t="shared" si="70"/>
        <v>2</v>
      </c>
    </row>
    <row r="4524" spans="1:15">
      <c r="A4524">
        <v>1485</v>
      </c>
      <c r="B4524" s="1">
        <v>45716</v>
      </c>
      <c r="C4524">
        <v>30</v>
      </c>
      <c r="D4524" t="s">
        <v>14</v>
      </c>
      <c r="E4524" t="s">
        <v>20</v>
      </c>
      <c r="F4524" t="s">
        <v>18</v>
      </c>
      <c r="G4524" t="s">
        <v>26</v>
      </c>
      <c r="H4524">
        <v>282.5</v>
      </c>
      <c r="I4524" s="13">
        <v>6</v>
      </c>
      <c r="J4524">
        <v>1</v>
      </c>
      <c r="K4524">
        <v>73.3</v>
      </c>
      <c r="L4524">
        <v>1</v>
      </c>
      <c r="M4524">
        <v>7</v>
      </c>
      <c r="N4524">
        <v>4</v>
      </c>
      <c r="O4524">
        <f t="shared" si="70"/>
        <v>2</v>
      </c>
    </row>
    <row r="4525" spans="1:15">
      <c r="A4525">
        <v>308</v>
      </c>
      <c r="B4525" s="1">
        <v>45716</v>
      </c>
      <c r="C4525">
        <v>25</v>
      </c>
      <c r="D4525" t="s">
        <v>14</v>
      </c>
      <c r="E4525" t="s">
        <v>15</v>
      </c>
      <c r="F4525" t="s">
        <v>21</v>
      </c>
      <c r="H4525">
        <v>130.6</v>
      </c>
      <c r="I4525" s="13">
        <v>3</v>
      </c>
      <c r="J4525">
        <v>1</v>
      </c>
      <c r="K4525">
        <v>64.680000000000007</v>
      </c>
      <c r="L4525">
        <v>1</v>
      </c>
      <c r="M4525">
        <v>8</v>
      </c>
      <c r="N4525">
        <v>4</v>
      </c>
      <c r="O4525">
        <f t="shared" si="70"/>
        <v>2</v>
      </c>
    </row>
    <row r="4526" spans="1:15">
      <c r="A4526">
        <v>3391</v>
      </c>
      <c r="B4526" s="1">
        <v>45716</v>
      </c>
      <c r="C4526">
        <v>54</v>
      </c>
      <c r="D4526" t="s">
        <v>17</v>
      </c>
      <c r="E4526" t="s">
        <v>15</v>
      </c>
      <c r="F4526" t="s">
        <v>18</v>
      </c>
      <c r="G4526" t="s">
        <v>29</v>
      </c>
      <c r="H4526">
        <v>333.4</v>
      </c>
      <c r="I4526" s="13">
        <v>5</v>
      </c>
      <c r="J4526">
        <v>1</v>
      </c>
      <c r="K4526">
        <v>64.12</v>
      </c>
      <c r="L4526">
        <v>1</v>
      </c>
      <c r="M4526">
        <v>2</v>
      </c>
      <c r="N4526">
        <v>4</v>
      </c>
      <c r="O4526">
        <f t="shared" si="70"/>
        <v>2</v>
      </c>
    </row>
    <row r="4527" spans="1:15">
      <c r="A4527">
        <v>4179</v>
      </c>
      <c r="B4527" s="1">
        <v>45716</v>
      </c>
      <c r="C4527">
        <v>61</v>
      </c>
      <c r="D4527" t="s">
        <v>17</v>
      </c>
      <c r="E4527" t="s">
        <v>15</v>
      </c>
      <c r="F4527" t="s">
        <v>18</v>
      </c>
      <c r="G4527" t="s">
        <v>25</v>
      </c>
      <c r="H4527">
        <v>507.7</v>
      </c>
      <c r="I4527" s="13">
        <v>6</v>
      </c>
      <c r="J4527">
        <v>1</v>
      </c>
      <c r="K4527">
        <v>59.73</v>
      </c>
      <c r="L4527">
        <v>5</v>
      </c>
      <c r="M4527">
        <v>9</v>
      </c>
      <c r="N4527">
        <v>4</v>
      </c>
      <c r="O4527">
        <f t="shared" si="70"/>
        <v>2</v>
      </c>
    </row>
    <row r="4528" spans="1:15">
      <c r="A4528">
        <v>1204</v>
      </c>
      <c r="B4528" s="1">
        <v>45716</v>
      </c>
      <c r="C4528">
        <v>26</v>
      </c>
      <c r="D4528" t="s">
        <v>17</v>
      </c>
      <c r="E4528" t="s">
        <v>22</v>
      </c>
      <c r="F4528" t="s">
        <v>16</v>
      </c>
      <c r="H4528">
        <v>162.19999999999999</v>
      </c>
      <c r="I4528" s="13">
        <v>8</v>
      </c>
      <c r="J4528">
        <v>1</v>
      </c>
      <c r="K4528">
        <v>50.13</v>
      </c>
      <c r="L4528">
        <v>5</v>
      </c>
      <c r="M4528">
        <v>15</v>
      </c>
      <c r="N4528">
        <v>4</v>
      </c>
      <c r="O4528">
        <f t="shared" si="70"/>
        <v>2</v>
      </c>
    </row>
    <row r="4529" spans="1:15">
      <c r="A4529">
        <v>3910</v>
      </c>
      <c r="B4529" s="1">
        <v>45716</v>
      </c>
      <c r="C4529">
        <v>47</v>
      </c>
      <c r="D4529" t="s">
        <v>17</v>
      </c>
      <c r="E4529" t="s">
        <v>15</v>
      </c>
      <c r="F4529" t="s">
        <v>16</v>
      </c>
      <c r="H4529">
        <v>540</v>
      </c>
      <c r="I4529" s="13">
        <v>5</v>
      </c>
      <c r="J4529">
        <v>1</v>
      </c>
      <c r="K4529">
        <v>39.76</v>
      </c>
      <c r="L4529">
        <v>4</v>
      </c>
      <c r="M4529">
        <v>13</v>
      </c>
      <c r="N4529">
        <v>4</v>
      </c>
      <c r="O4529">
        <f t="shared" si="70"/>
        <v>2</v>
      </c>
    </row>
    <row r="4530" spans="1:15">
      <c r="A4530">
        <v>3533</v>
      </c>
      <c r="B4530" s="1">
        <v>45716</v>
      </c>
      <c r="C4530">
        <v>34</v>
      </c>
      <c r="D4530" t="s">
        <v>14</v>
      </c>
      <c r="E4530" t="s">
        <v>15</v>
      </c>
      <c r="F4530" t="s">
        <v>16</v>
      </c>
      <c r="H4530">
        <v>638.70000000000005</v>
      </c>
      <c r="I4530" s="13">
        <v>4</v>
      </c>
      <c r="J4530">
        <v>1</v>
      </c>
      <c r="K4530">
        <v>32.89</v>
      </c>
      <c r="L4530">
        <v>1</v>
      </c>
      <c r="M4530">
        <v>10</v>
      </c>
      <c r="N4530">
        <v>4</v>
      </c>
      <c r="O4530">
        <f t="shared" si="70"/>
        <v>2</v>
      </c>
    </row>
    <row r="4531" spans="1:15">
      <c r="A4531">
        <v>3782</v>
      </c>
      <c r="B4531" s="1">
        <v>45716</v>
      </c>
      <c r="C4531">
        <v>50</v>
      </c>
      <c r="D4531" t="s">
        <v>17</v>
      </c>
      <c r="E4531" t="s">
        <v>15</v>
      </c>
      <c r="F4531" t="s">
        <v>16</v>
      </c>
      <c r="H4531">
        <v>171.2</v>
      </c>
      <c r="I4531" s="13">
        <v>3</v>
      </c>
      <c r="J4531">
        <v>1</v>
      </c>
      <c r="K4531">
        <v>28.18</v>
      </c>
      <c r="L4531">
        <v>2</v>
      </c>
      <c r="M4531">
        <v>7</v>
      </c>
      <c r="N4531">
        <v>4</v>
      </c>
      <c r="O4531">
        <f t="shared" si="70"/>
        <v>2</v>
      </c>
    </row>
    <row r="4532" spans="1:15">
      <c r="A4532">
        <v>1766</v>
      </c>
      <c r="B4532" s="1">
        <v>45716</v>
      </c>
      <c r="C4532">
        <v>37</v>
      </c>
      <c r="D4532" t="s">
        <v>17</v>
      </c>
      <c r="E4532" t="s">
        <v>20</v>
      </c>
      <c r="F4532" t="s">
        <v>16</v>
      </c>
      <c r="H4532">
        <v>318.39999999999998</v>
      </c>
      <c r="I4532" s="13">
        <v>4</v>
      </c>
      <c r="J4532">
        <v>1</v>
      </c>
      <c r="K4532">
        <v>15.18</v>
      </c>
      <c r="L4532">
        <v>2</v>
      </c>
      <c r="M4532">
        <v>1</v>
      </c>
      <c r="N4532">
        <v>4</v>
      </c>
      <c r="O4532">
        <f t="shared" si="70"/>
        <v>2</v>
      </c>
    </row>
    <row r="4533" spans="1:15">
      <c r="A4533">
        <v>60</v>
      </c>
      <c r="B4533" s="1">
        <v>45716</v>
      </c>
      <c r="C4533">
        <v>25</v>
      </c>
      <c r="D4533" t="s">
        <v>17</v>
      </c>
      <c r="E4533" t="s">
        <v>22</v>
      </c>
      <c r="F4533" t="s">
        <v>23</v>
      </c>
      <c r="H4533">
        <v>762.9</v>
      </c>
      <c r="I4533" s="13">
        <v>4</v>
      </c>
      <c r="J4533">
        <v>0</v>
      </c>
      <c r="K4533">
        <v>0</v>
      </c>
      <c r="L4533">
        <v>0</v>
      </c>
      <c r="M4533">
        <v>0</v>
      </c>
      <c r="O4533">
        <f t="shared" si="70"/>
        <v>2</v>
      </c>
    </row>
    <row r="4534" spans="1:15">
      <c r="A4534">
        <v>3194</v>
      </c>
      <c r="B4534" s="1">
        <v>45716</v>
      </c>
      <c r="C4534">
        <v>39</v>
      </c>
      <c r="D4534" t="s">
        <v>14</v>
      </c>
      <c r="E4534" t="s">
        <v>22</v>
      </c>
      <c r="F4534" t="s">
        <v>16</v>
      </c>
      <c r="H4534">
        <v>625.5</v>
      </c>
      <c r="I4534" s="13">
        <v>4</v>
      </c>
      <c r="J4534">
        <v>0</v>
      </c>
      <c r="K4534">
        <v>0</v>
      </c>
      <c r="L4534">
        <v>0</v>
      </c>
      <c r="M4534">
        <v>0</v>
      </c>
      <c r="O4534">
        <f t="shared" si="70"/>
        <v>2</v>
      </c>
    </row>
    <row r="4535" spans="1:15">
      <c r="A4535">
        <v>4071</v>
      </c>
      <c r="B4535" s="1">
        <v>45716</v>
      </c>
      <c r="C4535">
        <v>49</v>
      </c>
      <c r="D4535" t="s">
        <v>14</v>
      </c>
      <c r="E4535" t="s">
        <v>15</v>
      </c>
      <c r="F4535" t="s">
        <v>16</v>
      </c>
      <c r="H4535">
        <v>538.20000000000005</v>
      </c>
      <c r="I4535" s="13">
        <v>3</v>
      </c>
      <c r="J4535">
        <v>0</v>
      </c>
      <c r="K4535">
        <v>0</v>
      </c>
      <c r="L4535">
        <v>0</v>
      </c>
      <c r="M4535">
        <v>0</v>
      </c>
      <c r="O4535">
        <f t="shared" si="70"/>
        <v>2</v>
      </c>
    </row>
    <row r="4536" spans="1:15">
      <c r="A4536">
        <v>3367</v>
      </c>
      <c r="B4536" s="1">
        <v>45716</v>
      </c>
      <c r="C4536">
        <v>27</v>
      </c>
      <c r="D4536" t="s">
        <v>17</v>
      </c>
      <c r="E4536" t="s">
        <v>24</v>
      </c>
      <c r="F4536" t="s">
        <v>23</v>
      </c>
      <c r="H4536">
        <v>491.4</v>
      </c>
      <c r="I4536" s="13">
        <v>4</v>
      </c>
      <c r="J4536">
        <v>0</v>
      </c>
      <c r="K4536">
        <v>0</v>
      </c>
      <c r="L4536">
        <v>0</v>
      </c>
      <c r="M4536">
        <v>0</v>
      </c>
      <c r="O4536">
        <f t="shared" si="70"/>
        <v>2</v>
      </c>
    </row>
    <row r="4537" spans="1:15">
      <c r="A4537">
        <v>2921</v>
      </c>
      <c r="B4537" s="1">
        <v>45716</v>
      </c>
      <c r="C4537">
        <v>50</v>
      </c>
      <c r="D4537" t="s">
        <v>17</v>
      </c>
      <c r="E4537" t="s">
        <v>22</v>
      </c>
      <c r="F4537" t="s">
        <v>16</v>
      </c>
      <c r="H4537">
        <v>488.4</v>
      </c>
      <c r="I4537" s="13">
        <v>6</v>
      </c>
      <c r="J4537">
        <v>0</v>
      </c>
      <c r="K4537">
        <v>0</v>
      </c>
      <c r="L4537">
        <v>0</v>
      </c>
      <c r="M4537">
        <v>0</v>
      </c>
      <c r="O4537">
        <f t="shared" si="70"/>
        <v>2</v>
      </c>
    </row>
    <row r="4538" spans="1:15">
      <c r="A4538">
        <v>1614</v>
      </c>
      <c r="B4538" s="1">
        <v>45716</v>
      </c>
      <c r="C4538">
        <v>18</v>
      </c>
      <c r="D4538" t="s">
        <v>17</v>
      </c>
      <c r="E4538" t="s">
        <v>22</v>
      </c>
      <c r="F4538" t="s">
        <v>23</v>
      </c>
      <c r="H4538">
        <v>483.8</v>
      </c>
      <c r="I4538" s="13">
        <v>5</v>
      </c>
      <c r="J4538">
        <v>0</v>
      </c>
      <c r="K4538">
        <v>0</v>
      </c>
      <c r="L4538">
        <v>0</v>
      </c>
      <c r="M4538">
        <v>0</v>
      </c>
      <c r="O4538">
        <f t="shared" si="70"/>
        <v>2</v>
      </c>
    </row>
    <row r="4539" spans="1:15">
      <c r="A4539">
        <v>1909</v>
      </c>
      <c r="B4539" s="1">
        <v>45716</v>
      </c>
      <c r="C4539">
        <v>37</v>
      </c>
      <c r="D4539" t="s">
        <v>14</v>
      </c>
      <c r="E4539" t="s">
        <v>20</v>
      </c>
      <c r="F4539" t="s">
        <v>18</v>
      </c>
      <c r="G4539" t="s">
        <v>19</v>
      </c>
      <c r="H4539">
        <v>346.1</v>
      </c>
      <c r="I4539" s="13">
        <v>6</v>
      </c>
      <c r="J4539">
        <v>0</v>
      </c>
      <c r="K4539">
        <v>0</v>
      </c>
      <c r="L4539">
        <v>0</v>
      </c>
      <c r="M4539">
        <v>0</v>
      </c>
      <c r="O4539">
        <f t="shared" si="70"/>
        <v>2</v>
      </c>
    </row>
    <row r="4540" spans="1:15">
      <c r="A4540">
        <v>1386</v>
      </c>
      <c r="B4540" s="1">
        <v>45716</v>
      </c>
      <c r="C4540">
        <v>26</v>
      </c>
      <c r="D4540" t="s">
        <v>17</v>
      </c>
      <c r="E4540" t="s">
        <v>20</v>
      </c>
      <c r="F4540" t="s">
        <v>16</v>
      </c>
      <c r="H4540">
        <v>280.5</v>
      </c>
      <c r="I4540" s="13">
        <v>5</v>
      </c>
      <c r="J4540">
        <v>0</v>
      </c>
      <c r="K4540">
        <v>0</v>
      </c>
      <c r="L4540">
        <v>0</v>
      </c>
      <c r="M4540">
        <v>0</v>
      </c>
      <c r="O4540">
        <f t="shared" si="70"/>
        <v>2</v>
      </c>
    </row>
    <row r="4541" spans="1:15">
      <c r="A4541">
        <v>136</v>
      </c>
      <c r="B4541" s="1">
        <v>45716</v>
      </c>
      <c r="C4541">
        <v>18</v>
      </c>
      <c r="D4541" t="s">
        <v>14</v>
      </c>
      <c r="E4541" t="s">
        <v>22</v>
      </c>
      <c r="F4541" t="s">
        <v>18</v>
      </c>
      <c r="G4541" t="s">
        <v>19</v>
      </c>
      <c r="H4541">
        <v>220.5</v>
      </c>
      <c r="I4541" s="13">
        <v>3</v>
      </c>
      <c r="J4541">
        <v>0</v>
      </c>
      <c r="K4541">
        <v>0</v>
      </c>
      <c r="L4541">
        <v>0</v>
      </c>
      <c r="M4541">
        <v>0</v>
      </c>
      <c r="O4541">
        <f t="shared" si="70"/>
        <v>2</v>
      </c>
    </row>
    <row r="4542" spans="1:15">
      <c r="A4542">
        <v>1285</v>
      </c>
      <c r="B4542" s="1">
        <v>45716</v>
      </c>
      <c r="C4542">
        <v>23</v>
      </c>
      <c r="D4542" t="s">
        <v>17</v>
      </c>
      <c r="E4542" t="s">
        <v>20</v>
      </c>
      <c r="F4542" t="s">
        <v>23</v>
      </c>
      <c r="H4542">
        <v>202.3</v>
      </c>
      <c r="I4542" s="13">
        <v>4</v>
      </c>
      <c r="J4542">
        <v>0</v>
      </c>
      <c r="K4542">
        <v>0</v>
      </c>
      <c r="L4542">
        <v>0</v>
      </c>
      <c r="M4542">
        <v>0</v>
      </c>
      <c r="O4542">
        <f t="shared" si="70"/>
        <v>2</v>
      </c>
    </row>
    <row r="4543" spans="1:15">
      <c r="A4543">
        <v>1475</v>
      </c>
      <c r="B4543" s="1">
        <v>45716</v>
      </c>
      <c r="C4543">
        <v>23</v>
      </c>
      <c r="D4543" t="s">
        <v>17</v>
      </c>
      <c r="E4543" t="s">
        <v>15</v>
      </c>
      <c r="F4543" t="s">
        <v>18</v>
      </c>
      <c r="G4543" t="s">
        <v>30</v>
      </c>
      <c r="H4543">
        <v>174.4</v>
      </c>
      <c r="I4543" s="13">
        <v>8</v>
      </c>
      <c r="J4543">
        <v>0</v>
      </c>
      <c r="K4543">
        <v>0</v>
      </c>
      <c r="L4543">
        <v>0</v>
      </c>
      <c r="M4543">
        <v>0</v>
      </c>
      <c r="O4543">
        <f t="shared" si="70"/>
        <v>2</v>
      </c>
    </row>
    <row r="4544" spans="1:15">
      <c r="A4544">
        <v>644</v>
      </c>
      <c r="B4544" s="1">
        <v>45716</v>
      </c>
      <c r="C4544">
        <v>31</v>
      </c>
      <c r="D4544" t="s">
        <v>14</v>
      </c>
      <c r="E4544" t="s">
        <v>22</v>
      </c>
      <c r="F4544" t="s">
        <v>21</v>
      </c>
      <c r="H4544">
        <v>159.5</v>
      </c>
      <c r="I4544" s="13">
        <v>6</v>
      </c>
      <c r="J4544">
        <v>0</v>
      </c>
      <c r="K4544">
        <v>0</v>
      </c>
      <c r="L4544">
        <v>0</v>
      </c>
      <c r="M4544">
        <v>0</v>
      </c>
      <c r="O4544">
        <f t="shared" si="70"/>
        <v>2</v>
      </c>
    </row>
    <row r="4545" spans="1:15">
      <c r="A4545">
        <v>3404</v>
      </c>
      <c r="B4545" s="1">
        <v>45716</v>
      </c>
      <c r="C4545">
        <v>27</v>
      </c>
      <c r="D4545" t="s">
        <v>17</v>
      </c>
      <c r="E4545" t="s">
        <v>22</v>
      </c>
      <c r="F4545" t="s">
        <v>16</v>
      </c>
      <c r="H4545">
        <v>128.19999999999999</v>
      </c>
      <c r="I4545" s="13">
        <v>4</v>
      </c>
      <c r="J4545">
        <v>0</v>
      </c>
      <c r="K4545">
        <v>0</v>
      </c>
      <c r="L4545">
        <v>0</v>
      </c>
      <c r="M4545">
        <v>0</v>
      </c>
      <c r="O4545">
        <f t="shared" si="70"/>
        <v>2</v>
      </c>
    </row>
    <row r="4546" spans="1:15">
      <c r="A4546">
        <v>707</v>
      </c>
      <c r="B4546" s="1">
        <v>45716</v>
      </c>
      <c r="C4546">
        <v>18</v>
      </c>
      <c r="D4546" t="s">
        <v>14</v>
      </c>
      <c r="E4546" t="s">
        <v>22</v>
      </c>
      <c r="F4546" t="s">
        <v>23</v>
      </c>
      <c r="H4546">
        <v>84</v>
      </c>
      <c r="I4546" s="13">
        <v>6</v>
      </c>
      <c r="J4546">
        <v>0</v>
      </c>
      <c r="K4546">
        <v>0</v>
      </c>
      <c r="L4546">
        <v>0</v>
      </c>
      <c r="M4546">
        <v>0</v>
      </c>
      <c r="O4546">
        <f t="shared" si="70"/>
        <v>2</v>
      </c>
    </row>
    <row r="4547" spans="1:15">
      <c r="A4547">
        <v>691</v>
      </c>
      <c r="B4547" s="1">
        <v>45716</v>
      </c>
      <c r="C4547">
        <v>27</v>
      </c>
      <c r="D4547" t="s">
        <v>17</v>
      </c>
      <c r="E4547" t="s">
        <v>22</v>
      </c>
      <c r="F4547" t="s">
        <v>18</v>
      </c>
      <c r="G4547" t="s">
        <v>30</v>
      </c>
      <c r="H4547">
        <v>82.2</v>
      </c>
      <c r="I4547" s="13">
        <v>5</v>
      </c>
      <c r="J4547">
        <v>0</v>
      </c>
      <c r="K4547">
        <v>0</v>
      </c>
      <c r="L4547">
        <v>0</v>
      </c>
      <c r="M4547">
        <v>0</v>
      </c>
      <c r="O4547">
        <f t="shared" ref="O4547:O4610" si="71">MONTH(B4547)</f>
        <v>2</v>
      </c>
    </row>
    <row r="4548" spans="1:15">
      <c r="A4548">
        <v>217</v>
      </c>
      <c r="B4548" s="1">
        <v>45716</v>
      </c>
      <c r="C4548">
        <v>22</v>
      </c>
      <c r="D4548" t="s">
        <v>17</v>
      </c>
      <c r="E4548" t="s">
        <v>22</v>
      </c>
      <c r="F4548" t="s">
        <v>18</v>
      </c>
      <c r="G4548" t="s">
        <v>26</v>
      </c>
      <c r="H4548">
        <v>82</v>
      </c>
      <c r="I4548" s="13">
        <v>4</v>
      </c>
      <c r="J4548">
        <v>0</v>
      </c>
      <c r="K4548">
        <v>0</v>
      </c>
      <c r="L4548">
        <v>0</v>
      </c>
      <c r="M4548">
        <v>0</v>
      </c>
      <c r="O4548">
        <f t="shared" si="71"/>
        <v>2</v>
      </c>
    </row>
    <row r="4549" spans="1:15">
      <c r="A4549">
        <v>1602</v>
      </c>
      <c r="B4549" s="1">
        <v>45716</v>
      </c>
      <c r="C4549">
        <v>24</v>
      </c>
      <c r="D4549" t="s">
        <v>17</v>
      </c>
      <c r="E4549" t="s">
        <v>22</v>
      </c>
      <c r="F4549" t="s">
        <v>16</v>
      </c>
      <c r="H4549">
        <v>70</v>
      </c>
      <c r="I4549" s="13">
        <v>5</v>
      </c>
      <c r="J4549">
        <v>0</v>
      </c>
      <c r="K4549">
        <v>0</v>
      </c>
      <c r="L4549">
        <v>0</v>
      </c>
      <c r="M4549">
        <v>0</v>
      </c>
      <c r="O4549">
        <f t="shared" si="71"/>
        <v>2</v>
      </c>
    </row>
    <row r="4550" spans="1:15">
      <c r="A4550">
        <v>2170</v>
      </c>
      <c r="B4550" s="1">
        <v>45716</v>
      </c>
      <c r="C4550">
        <v>25</v>
      </c>
      <c r="D4550" t="s">
        <v>14</v>
      </c>
      <c r="E4550" t="s">
        <v>20</v>
      </c>
      <c r="F4550" t="s">
        <v>23</v>
      </c>
      <c r="H4550">
        <v>60.9</v>
      </c>
      <c r="I4550" s="13">
        <v>5</v>
      </c>
      <c r="J4550">
        <v>0</v>
      </c>
      <c r="K4550">
        <v>0</v>
      </c>
      <c r="L4550">
        <v>0</v>
      </c>
      <c r="M4550">
        <v>0</v>
      </c>
      <c r="O4550">
        <f t="shared" si="71"/>
        <v>2</v>
      </c>
    </row>
    <row r="4551" spans="1:15">
      <c r="A4551">
        <v>4138</v>
      </c>
      <c r="B4551" s="1">
        <v>45716</v>
      </c>
      <c r="C4551">
        <v>63</v>
      </c>
      <c r="D4551" t="s">
        <v>17</v>
      </c>
      <c r="E4551" t="s">
        <v>15</v>
      </c>
      <c r="F4551" t="s">
        <v>23</v>
      </c>
      <c r="H4551">
        <v>60.1</v>
      </c>
      <c r="I4551" s="13">
        <v>4</v>
      </c>
      <c r="J4551">
        <v>0</v>
      </c>
      <c r="K4551">
        <v>0</v>
      </c>
      <c r="L4551">
        <v>0</v>
      </c>
      <c r="M4551">
        <v>0</v>
      </c>
      <c r="O4551">
        <f t="shared" si="71"/>
        <v>2</v>
      </c>
    </row>
    <row r="4552" spans="1:15">
      <c r="A4552">
        <v>3828</v>
      </c>
      <c r="B4552" s="1">
        <v>45744</v>
      </c>
      <c r="C4552">
        <v>62</v>
      </c>
      <c r="D4552" t="s">
        <v>14</v>
      </c>
      <c r="E4552" t="s">
        <v>24</v>
      </c>
      <c r="F4552" t="s">
        <v>16</v>
      </c>
      <c r="H4552">
        <v>267.5</v>
      </c>
      <c r="I4552" s="13">
        <v>3</v>
      </c>
      <c r="J4552">
        <v>1</v>
      </c>
      <c r="K4552">
        <v>318</v>
      </c>
      <c r="L4552">
        <v>2</v>
      </c>
      <c r="M4552">
        <v>6</v>
      </c>
      <c r="N4552">
        <v>4</v>
      </c>
      <c r="O4552">
        <f t="shared" si="71"/>
        <v>3</v>
      </c>
    </row>
    <row r="4553" spans="1:15">
      <c r="A4553">
        <v>4761</v>
      </c>
      <c r="B4553" s="1">
        <v>45744</v>
      </c>
      <c r="C4553">
        <v>36</v>
      </c>
      <c r="D4553" t="s">
        <v>14</v>
      </c>
      <c r="E4553" t="s">
        <v>15</v>
      </c>
      <c r="F4553" t="s">
        <v>16</v>
      </c>
      <c r="H4553">
        <v>560.70000000000005</v>
      </c>
      <c r="I4553" s="13">
        <v>11</v>
      </c>
      <c r="J4553">
        <v>1</v>
      </c>
      <c r="K4553">
        <v>486</v>
      </c>
      <c r="L4553">
        <v>4</v>
      </c>
      <c r="M4553">
        <v>4</v>
      </c>
      <c r="N4553">
        <v>3</v>
      </c>
      <c r="O4553">
        <f t="shared" si="71"/>
        <v>3</v>
      </c>
    </row>
    <row r="4554" spans="1:15">
      <c r="A4554">
        <v>4376</v>
      </c>
      <c r="B4554" s="1">
        <v>45744</v>
      </c>
      <c r="C4554">
        <v>58</v>
      </c>
      <c r="D4554" t="s">
        <v>17</v>
      </c>
      <c r="E4554" t="s">
        <v>22</v>
      </c>
      <c r="F4554" t="s">
        <v>18</v>
      </c>
      <c r="G4554" t="s">
        <v>29</v>
      </c>
      <c r="H4554">
        <v>336.3</v>
      </c>
      <c r="I4554" s="13">
        <v>4</v>
      </c>
      <c r="J4554">
        <v>1</v>
      </c>
      <c r="K4554">
        <v>246</v>
      </c>
      <c r="L4554">
        <v>2</v>
      </c>
      <c r="M4554">
        <v>1</v>
      </c>
      <c r="N4554">
        <v>4</v>
      </c>
      <c r="O4554">
        <f t="shared" si="71"/>
        <v>3</v>
      </c>
    </row>
    <row r="4555" spans="1:15">
      <c r="A4555">
        <v>700</v>
      </c>
      <c r="B4555" s="1">
        <v>45744</v>
      </c>
      <c r="C4555">
        <v>26</v>
      </c>
      <c r="D4555" t="s">
        <v>17</v>
      </c>
      <c r="E4555" t="s">
        <v>15</v>
      </c>
      <c r="F4555" t="s">
        <v>16</v>
      </c>
      <c r="H4555">
        <v>573.70000000000005</v>
      </c>
      <c r="I4555" s="13">
        <v>8</v>
      </c>
      <c r="J4555">
        <v>1</v>
      </c>
      <c r="K4555">
        <v>328</v>
      </c>
      <c r="L4555">
        <v>4</v>
      </c>
      <c r="M4555">
        <v>2</v>
      </c>
      <c r="N4555">
        <v>3</v>
      </c>
      <c r="O4555">
        <f t="shared" si="71"/>
        <v>3</v>
      </c>
    </row>
    <row r="4556" spans="1:15">
      <c r="A4556">
        <v>1746</v>
      </c>
      <c r="B4556" s="1">
        <v>45744</v>
      </c>
      <c r="C4556">
        <v>23</v>
      </c>
      <c r="D4556" t="s">
        <v>17</v>
      </c>
      <c r="E4556" t="s">
        <v>22</v>
      </c>
      <c r="F4556" t="s">
        <v>16</v>
      </c>
      <c r="H4556">
        <v>222.8</v>
      </c>
      <c r="I4556" s="13">
        <v>5</v>
      </c>
      <c r="J4556">
        <v>1</v>
      </c>
      <c r="K4556">
        <v>140.69999999999999</v>
      </c>
      <c r="L4556">
        <v>2</v>
      </c>
      <c r="M4556">
        <v>10</v>
      </c>
      <c r="N4556">
        <v>4</v>
      </c>
      <c r="O4556">
        <f t="shared" si="71"/>
        <v>3</v>
      </c>
    </row>
    <row r="4557" spans="1:15">
      <c r="A4557">
        <v>2289</v>
      </c>
      <c r="B4557" s="1">
        <v>45744</v>
      </c>
      <c r="C4557">
        <v>37</v>
      </c>
      <c r="D4557" t="s">
        <v>17</v>
      </c>
      <c r="E4557" t="s">
        <v>24</v>
      </c>
      <c r="F4557" t="s">
        <v>16</v>
      </c>
      <c r="H4557">
        <v>219.1</v>
      </c>
      <c r="I4557" s="13">
        <v>7</v>
      </c>
      <c r="J4557">
        <v>1</v>
      </c>
      <c r="K4557">
        <v>64.13</v>
      </c>
      <c r="L4557">
        <v>5</v>
      </c>
      <c r="M4557">
        <v>13</v>
      </c>
      <c r="N4557">
        <v>3</v>
      </c>
      <c r="O4557">
        <f t="shared" si="71"/>
        <v>3</v>
      </c>
    </row>
    <row r="4558" spans="1:15">
      <c r="A4558">
        <v>1928</v>
      </c>
      <c r="B4558" s="1">
        <v>45744</v>
      </c>
      <c r="C4558">
        <v>32</v>
      </c>
      <c r="D4558" t="s">
        <v>17</v>
      </c>
      <c r="E4558" t="s">
        <v>20</v>
      </c>
      <c r="F4558" t="s">
        <v>16</v>
      </c>
      <c r="H4558">
        <v>633.5</v>
      </c>
      <c r="I4558" s="13">
        <v>6</v>
      </c>
      <c r="J4558">
        <v>1</v>
      </c>
      <c r="K4558">
        <v>40.86</v>
      </c>
      <c r="L4558">
        <v>1</v>
      </c>
      <c r="M4558">
        <v>2</v>
      </c>
      <c r="N4558">
        <v>5</v>
      </c>
      <c r="O4558">
        <f t="shared" si="71"/>
        <v>3</v>
      </c>
    </row>
    <row r="4559" spans="1:15">
      <c r="A4559">
        <v>1275</v>
      </c>
      <c r="B4559" s="1">
        <v>45744</v>
      </c>
      <c r="C4559">
        <v>26</v>
      </c>
      <c r="D4559" t="s">
        <v>17</v>
      </c>
      <c r="E4559" t="s">
        <v>20</v>
      </c>
      <c r="F4559" t="s">
        <v>21</v>
      </c>
      <c r="H4559">
        <v>588.6</v>
      </c>
      <c r="I4559" s="13">
        <v>8</v>
      </c>
      <c r="J4559">
        <v>1</v>
      </c>
      <c r="K4559">
        <v>38.700000000000003</v>
      </c>
      <c r="L4559">
        <v>5</v>
      </c>
      <c r="M4559">
        <v>12</v>
      </c>
      <c r="N4559">
        <v>4</v>
      </c>
      <c r="O4559">
        <f t="shared" si="71"/>
        <v>3</v>
      </c>
    </row>
    <row r="4560" spans="1:15">
      <c r="A4560">
        <v>1139</v>
      </c>
      <c r="B4560" s="1">
        <v>45744</v>
      </c>
      <c r="C4560">
        <v>20</v>
      </c>
      <c r="D4560" t="s">
        <v>14</v>
      </c>
      <c r="E4560" t="s">
        <v>20</v>
      </c>
      <c r="F4560" t="s">
        <v>18</v>
      </c>
      <c r="G4560" t="s">
        <v>26</v>
      </c>
      <c r="H4560">
        <v>490.4</v>
      </c>
      <c r="I4560" s="13">
        <v>9</v>
      </c>
      <c r="J4560">
        <v>1</v>
      </c>
      <c r="K4560">
        <v>18.649999999999999</v>
      </c>
      <c r="L4560">
        <v>2</v>
      </c>
      <c r="M4560">
        <v>2</v>
      </c>
      <c r="N4560">
        <v>4</v>
      </c>
      <c r="O4560">
        <f t="shared" si="71"/>
        <v>3</v>
      </c>
    </row>
    <row r="4561" spans="1:15">
      <c r="A4561">
        <v>4324</v>
      </c>
      <c r="B4561" s="1">
        <v>45744</v>
      </c>
      <c r="C4561">
        <v>48</v>
      </c>
      <c r="D4561" t="s">
        <v>17</v>
      </c>
      <c r="E4561" t="s">
        <v>24</v>
      </c>
      <c r="F4561" t="s">
        <v>21</v>
      </c>
      <c r="H4561">
        <v>950</v>
      </c>
      <c r="I4561" s="13">
        <v>5</v>
      </c>
      <c r="J4561">
        <v>1</v>
      </c>
      <c r="K4561">
        <v>1.07</v>
      </c>
      <c r="L4561">
        <v>3</v>
      </c>
      <c r="M4561">
        <v>14</v>
      </c>
      <c r="N4561">
        <v>5</v>
      </c>
      <c r="O4561">
        <f t="shared" si="71"/>
        <v>3</v>
      </c>
    </row>
    <row r="4562" spans="1:15">
      <c r="A4562">
        <v>4965</v>
      </c>
      <c r="B4562" s="1">
        <v>45744</v>
      </c>
      <c r="C4562">
        <v>57</v>
      </c>
      <c r="D4562" t="s">
        <v>27</v>
      </c>
      <c r="E4562" t="s">
        <v>22</v>
      </c>
      <c r="F4562" t="s">
        <v>16</v>
      </c>
      <c r="H4562">
        <v>24.3</v>
      </c>
      <c r="I4562" s="13">
        <v>9</v>
      </c>
      <c r="J4562">
        <v>0</v>
      </c>
      <c r="K4562">
        <v>0</v>
      </c>
      <c r="L4562">
        <v>0</v>
      </c>
      <c r="M4562">
        <v>0</v>
      </c>
      <c r="O4562">
        <f t="shared" si="71"/>
        <v>3</v>
      </c>
    </row>
    <row r="4563" spans="1:15">
      <c r="A4563">
        <v>1252</v>
      </c>
      <c r="B4563" s="1">
        <v>45744</v>
      </c>
      <c r="C4563">
        <v>22</v>
      </c>
      <c r="D4563" t="s">
        <v>14</v>
      </c>
      <c r="E4563" t="s">
        <v>20</v>
      </c>
      <c r="F4563" t="s">
        <v>18</v>
      </c>
      <c r="G4563" t="s">
        <v>31</v>
      </c>
      <c r="H4563">
        <v>612.20000000000005</v>
      </c>
      <c r="I4563" s="13">
        <v>7</v>
      </c>
      <c r="J4563">
        <v>0</v>
      </c>
      <c r="K4563">
        <v>0</v>
      </c>
      <c r="L4563">
        <v>0</v>
      </c>
      <c r="M4563">
        <v>0</v>
      </c>
      <c r="O4563">
        <f t="shared" si="71"/>
        <v>3</v>
      </c>
    </row>
    <row r="4564" spans="1:15">
      <c r="A4564">
        <v>2831</v>
      </c>
      <c r="B4564" s="1">
        <v>45744</v>
      </c>
      <c r="C4564">
        <v>18</v>
      </c>
      <c r="D4564" t="s">
        <v>14</v>
      </c>
      <c r="E4564" t="s">
        <v>20</v>
      </c>
      <c r="F4564" t="s">
        <v>16</v>
      </c>
      <c r="H4564">
        <v>544.1</v>
      </c>
      <c r="I4564" s="13">
        <v>6</v>
      </c>
      <c r="J4564">
        <v>0</v>
      </c>
      <c r="K4564">
        <v>0</v>
      </c>
      <c r="L4564">
        <v>0</v>
      </c>
      <c r="M4564">
        <v>0</v>
      </c>
      <c r="O4564">
        <f t="shared" si="71"/>
        <v>3</v>
      </c>
    </row>
    <row r="4565" spans="1:15">
      <c r="A4565">
        <v>1268</v>
      </c>
      <c r="B4565" s="1">
        <v>45744</v>
      </c>
      <c r="C4565">
        <v>25</v>
      </c>
      <c r="D4565" t="s">
        <v>17</v>
      </c>
      <c r="E4565" t="s">
        <v>22</v>
      </c>
      <c r="F4565" t="s">
        <v>21</v>
      </c>
      <c r="H4565">
        <v>439.9</v>
      </c>
      <c r="I4565" s="13">
        <v>6</v>
      </c>
      <c r="J4565">
        <v>0</v>
      </c>
      <c r="K4565">
        <v>0</v>
      </c>
      <c r="L4565">
        <v>0</v>
      </c>
      <c r="M4565">
        <v>0</v>
      </c>
      <c r="O4565">
        <f t="shared" si="71"/>
        <v>3</v>
      </c>
    </row>
    <row r="4566" spans="1:15">
      <c r="A4566">
        <v>1502</v>
      </c>
      <c r="B4566" s="1">
        <v>45744</v>
      </c>
      <c r="C4566">
        <v>22</v>
      </c>
      <c r="D4566" t="s">
        <v>17</v>
      </c>
      <c r="E4566" t="s">
        <v>15</v>
      </c>
      <c r="F4566" t="s">
        <v>18</v>
      </c>
      <c r="G4566" t="s">
        <v>25</v>
      </c>
      <c r="H4566">
        <v>397.3</v>
      </c>
      <c r="I4566" s="13">
        <v>8</v>
      </c>
      <c r="J4566">
        <v>0</v>
      </c>
      <c r="K4566">
        <v>0</v>
      </c>
      <c r="L4566">
        <v>0</v>
      </c>
      <c r="M4566">
        <v>0</v>
      </c>
      <c r="O4566">
        <f t="shared" si="71"/>
        <v>3</v>
      </c>
    </row>
    <row r="4567" spans="1:15">
      <c r="A4567">
        <v>3052</v>
      </c>
      <c r="B4567" s="1">
        <v>45744</v>
      </c>
      <c r="C4567">
        <v>44</v>
      </c>
      <c r="D4567" t="s">
        <v>17</v>
      </c>
      <c r="E4567" t="s">
        <v>22</v>
      </c>
      <c r="F4567" t="s">
        <v>18</v>
      </c>
      <c r="G4567" t="s">
        <v>31</v>
      </c>
      <c r="H4567">
        <v>387.4</v>
      </c>
      <c r="I4567" s="13">
        <v>10</v>
      </c>
      <c r="J4567">
        <v>0</v>
      </c>
      <c r="K4567">
        <v>0</v>
      </c>
      <c r="L4567">
        <v>0</v>
      </c>
      <c r="M4567">
        <v>0</v>
      </c>
      <c r="O4567">
        <f t="shared" si="71"/>
        <v>3</v>
      </c>
    </row>
    <row r="4568" spans="1:15">
      <c r="A4568">
        <v>3581</v>
      </c>
      <c r="B4568" s="1">
        <v>45744</v>
      </c>
      <c r="C4568">
        <v>36</v>
      </c>
      <c r="D4568" t="s">
        <v>14</v>
      </c>
      <c r="E4568" t="s">
        <v>20</v>
      </c>
      <c r="F4568" t="s">
        <v>16</v>
      </c>
      <c r="H4568">
        <v>281.5</v>
      </c>
      <c r="I4568" s="13">
        <v>8</v>
      </c>
      <c r="J4568">
        <v>0</v>
      </c>
      <c r="K4568">
        <v>0</v>
      </c>
      <c r="L4568">
        <v>0</v>
      </c>
      <c r="M4568">
        <v>0</v>
      </c>
      <c r="O4568">
        <f t="shared" si="71"/>
        <v>3</v>
      </c>
    </row>
    <row r="4569" spans="1:15">
      <c r="A4569">
        <v>4093</v>
      </c>
      <c r="B4569" s="1">
        <v>45744</v>
      </c>
      <c r="C4569">
        <v>47</v>
      </c>
      <c r="D4569" t="s">
        <v>17</v>
      </c>
      <c r="E4569" t="s">
        <v>22</v>
      </c>
      <c r="F4569" t="s">
        <v>18</v>
      </c>
      <c r="G4569" t="s">
        <v>26</v>
      </c>
      <c r="H4569">
        <v>234</v>
      </c>
      <c r="I4569" s="13">
        <v>10</v>
      </c>
      <c r="J4569">
        <v>0</v>
      </c>
      <c r="K4569">
        <v>0</v>
      </c>
      <c r="L4569">
        <v>0</v>
      </c>
      <c r="M4569">
        <v>0</v>
      </c>
      <c r="O4569">
        <f t="shared" si="71"/>
        <v>3</v>
      </c>
    </row>
    <row r="4570" spans="1:15">
      <c r="A4570">
        <v>1059</v>
      </c>
      <c r="B4570" s="1">
        <v>45744</v>
      </c>
      <c r="C4570">
        <v>23</v>
      </c>
      <c r="D4570" t="s">
        <v>14</v>
      </c>
      <c r="E4570" t="s">
        <v>22</v>
      </c>
      <c r="F4570" t="s">
        <v>18</v>
      </c>
      <c r="G4570" t="s">
        <v>26</v>
      </c>
      <c r="H4570">
        <v>131.6</v>
      </c>
      <c r="I4570" s="13">
        <v>6</v>
      </c>
      <c r="J4570">
        <v>0</v>
      </c>
      <c r="K4570">
        <v>0</v>
      </c>
      <c r="L4570">
        <v>0</v>
      </c>
      <c r="M4570">
        <v>0</v>
      </c>
      <c r="O4570">
        <f t="shared" si="71"/>
        <v>3</v>
      </c>
    </row>
    <row r="4571" spans="1:15">
      <c r="A4571">
        <v>1984</v>
      </c>
      <c r="B4571" s="1">
        <v>45744</v>
      </c>
      <c r="C4571">
        <v>28</v>
      </c>
      <c r="D4571" t="s">
        <v>17</v>
      </c>
      <c r="E4571" t="s">
        <v>22</v>
      </c>
      <c r="F4571" t="s">
        <v>16</v>
      </c>
      <c r="H4571">
        <v>60.2</v>
      </c>
      <c r="I4571" s="13">
        <v>6</v>
      </c>
      <c r="J4571">
        <v>0</v>
      </c>
      <c r="K4571">
        <v>0</v>
      </c>
      <c r="L4571">
        <v>0</v>
      </c>
      <c r="M4571">
        <v>0</v>
      </c>
      <c r="O4571">
        <f t="shared" si="71"/>
        <v>3</v>
      </c>
    </row>
    <row r="4572" spans="1:15">
      <c r="A4572">
        <v>4206</v>
      </c>
      <c r="B4572" s="1">
        <v>45744</v>
      </c>
      <c r="C4572">
        <v>67</v>
      </c>
      <c r="D4572" t="s">
        <v>17</v>
      </c>
      <c r="E4572" t="s">
        <v>24</v>
      </c>
      <c r="F4572" t="s">
        <v>23</v>
      </c>
      <c r="H4572">
        <v>32.799999999999997</v>
      </c>
      <c r="I4572" s="13">
        <v>3</v>
      </c>
      <c r="J4572">
        <v>0</v>
      </c>
      <c r="K4572">
        <v>0</v>
      </c>
      <c r="L4572">
        <v>0</v>
      </c>
      <c r="M4572">
        <v>0</v>
      </c>
      <c r="O4572">
        <f t="shared" si="71"/>
        <v>3</v>
      </c>
    </row>
    <row r="4573" spans="1:15">
      <c r="A4573">
        <v>1710</v>
      </c>
      <c r="B4573" s="1">
        <v>45775</v>
      </c>
      <c r="C4573">
        <v>25</v>
      </c>
      <c r="D4573" t="s">
        <v>14</v>
      </c>
      <c r="E4573" t="s">
        <v>22</v>
      </c>
      <c r="F4573" t="s">
        <v>16</v>
      </c>
      <c r="H4573">
        <v>600.29999999999995</v>
      </c>
      <c r="I4573" s="13">
        <v>7</v>
      </c>
      <c r="J4573">
        <v>1</v>
      </c>
      <c r="K4573">
        <v>121</v>
      </c>
      <c r="L4573">
        <v>2</v>
      </c>
      <c r="M4573">
        <v>7</v>
      </c>
      <c r="N4573">
        <v>4</v>
      </c>
      <c r="O4573">
        <f t="shared" si="71"/>
        <v>4</v>
      </c>
    </row>
    <row r="4574" spans="1:15">
      <c r="A4574">
        <v>2115</v>
      </c>
      <c r="B4574" s="1">
        <v>45775</v>
      </c>
      <c r="C4574">
        <v>36</v>
      </c>
      <c r="D4574" t="s">
        <v>14</v>
      </c>
      <c r="E4574" t="s">
        <v>15</v>
      </c>
      <c r="F4574" t="s">
        <v>16</v>
      </c>
      <c r="H4574">
        <v>191.7</v>
      </c>
      <c r="I4574" s="13">
        <v>3</v>
      </c>
      <c r="J4574">
        <v>1</v>
      </c>
      <c r="K4574">
        <v>523</v>
      </c>
      <c r="L4574">
        <v>3</v>
      </c>
      <c r="M4574">
        <v>2</v>
      </c>
      <c r="N4574">
        <v>4</v>
      </c>
      <c r="O4574">
        <f t="shared" si="71"/>
        <v>4</v>
      </c>
    </row>
    <row r="4575" spans="1:15">
      <c r="A4575">
        <v>2371</v>
      </c>
      <c r="B4575" s="1">
        <v>45775</v>
      </c>
      <c r="C4575">
        <v>25</v>
      </c>
      <c r="D4575" t="s">
        <v>17</v>
      </c>
      <c r="E4575" t="s">
        <v>22</v>
      </c>
      <c r="F4575" t="s">
        <v>18</v>
      </c>
      <c r="G4575" t="s">
        <v>29</v>
      </c>
      <c r="H4575">
        <v>1091.5999999999999</v>
      </c>
      <c r="I4575" s="13">
        <v>2</v>
      </c>
      <c r="J4575">
        <v>1</v>
      </c>
      <c r="K4575">
        <v>310</v>
      </c>
      <c r="L4575">
        <v>2</v>
      </c>
      <c r="M4575">
        <v>10</v>
      </c>
      <c r="N4575">
        <v>3</v>
      </c>
      <c r="O4575">
        <f t="shared" si="71"/>
        <v>4</v>
      </c>
    </row>
    <row r="4576" spans="1:15">
      <c r="A4576">
        <v>1612</v>
      </c>
      <c r="B4576" s="1">
        <v>45775</v>
      </c>
      <c r="C4576">
        <v>28</v>
      </c>
      <c r="D4576" t="s">
        <v>14</v>
      </c>
      <c r="E4576" t="s">
        <v>20</v>
      </c>
      <c r="F4576" t="s">
        <v>21</v>
      </c>
      <c r="H4576">
        <v>953.3</v>
      </c>
      <c r="I4576" s="13">
        <v>4</v>
      </c>
      <c r="J4576">
        <v>1</v>
      </c>
      <c r="K4576">
        <v>192.4</v>
      </c>
      <c r="L4576">
        <v>6</v>
      </c>
      <c r="M4576">
        <v>9</v>
      </c>
      <c r="N4576">
        <v>4</v>
      </c>
      <c r="O4576">
        <f t="shared" si="71"/>
        <v>4</v>
      </c>
    </row>
    <row r="4577" spans="1:15">
      <c r="A4577">
        <v>1219</v>
      </c>
      <c r="B4577" s="1">
        <v>45775</v>
      </c>
      <c r="C4577">
        <v>26</v>
      </c>
      <c r="D4577" t="s">
        <v>14</v>
      </c>
      <c r="E4577" t="s">
        <v>22</v>
      </c>
      <c r="F4577" t="s">
        <v>23</v>
      </c>
      <c r="H4577">
        <v>552</v>
      </c>
      <c r="I4577" s="13">
        <v>5</v>
      </c>
      <c r="J4577">
        <v>1</v>
      </c>
      <c r="K4577">
        <v>170.32</v>
      </c>
      <c r="L4577">
        <v>3</v>
      </c>
      <c r="M4577">
        <v>13</v>
      </c>
      <c r="N4577">
        <v>4</v>
      </c>
      <c r="O4577">
        <f t="shared" si="71"/>
        <v>4</v>
      </c>
    </row>
    <row r="4578" spans="1:15">
      <c r="A4578">
        <v>3418</v>
      </c>
      <c r="B4578" s="1">
        <v>45775</v>
      </c>
      <c r="C4578">
        <v>51</v>
      </c>
      <c r="D4578" t="s">
        <v>14</v>
      </c>
      <c r="E4578" t="s">
        <v>15</v>
      </c>
      <c r="F4578" t="s">
        <v>18</v>
      </c>
      <c r="G4578" t="s">
        <v>28</v>
      </c>
      <c r="H4578">
        <v>117.4</v>
      </c>
      <c r="I4578" s="13">
        <v>7</v>
      </c>
      <c r="J4578">
        <v>1</v>
      </c>
      <c r="K4578">
        <v>119.76</v>
      </c>
      <c r="L4578">
        <v>3</v>
      </c>
      <c r="M4578">
        <v>9</v>
      </c>
      <c r="N4578">
        <v>4</v>
      </c>
      <c r="O4578">
        <f t="shared" si="71"/>
        <v>4</v>
      </c>
    </row>
    <row r="4579" spans="1:15">
      <c r="A4579">
        <v>213</v>
      </c>
      <c r="B4579" s="1">
        <v>45775</v>
      </c>
      <c r="C4579">
        <v>30</v>
      </c>
      <c r="D4579" t="s">
        <v>14</v>
      </c>
      <c r="E4579" t="s">
        <v>15</v>
      </c>
      <c r="F4579" t="s">
        <v>16</v>
      </c>
      <c r="H4579">
        <v>356.1</v>
      </c>
      <c r="I4579" s="13">
        <v>4</v>
      </c>
      <c r="J4579">
        <v>1</v>
      </c>
      <c r="K4579">
        <v>51.8</v>
      </c>
      <c r="L4579">
        <v>4</v>
      </c>
      <c r="M4579">
        <v>12</v>
      </c>
      <c r="N4579">
        <v>5</v>
      </c>
      <c r="O4579">
        <f t="shared" si="71"/>
        <v>4</v>
      </c>
    </row>
    <row r="4580" spans="1:15">
      <c r="A4580">
        <v>1235</v>
      </c>
      <c r="B4580" s="1">
        <v>45775</v>
      </c>
      <c r="C4580">
        <v>18</v>
      </c>
      <c r="D4580" t="s">
        <v>17</v>
      </c>
      <c r="E4580" t="s">
        <v>15</v>
      </c>
      <c r="F4580" t="s">
        <v>16</v>
      </c>
      <c r="H4580">
        <v>872.4</v>
      </c>
      <c r="I4580" s="13">
        <v>7</v>
      </c>
      <c r="J4580">
        <v>1</v>
      </c>
      <c r="K4580">
        <v>45.37</v>
      </c>
      <c r="L4580">
        <v>2</v>
      </c>
      <c r="M4580">
        <v>14</v>
      </c>
      <c r="N4580">
        <v>4</v>
      </c>
      <c r="O4580">
        <f t="shared" si="71"/>
        <v>4</v>
      </c>
    </row>
    <row r="4581" spans="1:15">
      <c r="A4581">
        <v>1125</v>
      </c>
      <c r="B4581" s="1">
        <v>45775</v>
      </c>
      <c r="C4581">
        <v>25</v>
      </c>
      <c r="D4581" t="s">
        <v>17</v>
      </c>
      <c r="E4581" t="s">
        <v>20</v>
      </c>
      <c r="F4581" t="s">
        <v>16</v>
      </c>
      <c r="H4581">
        <v>594.20000000000005</v>
      </c>
      <c r="I4581" s="13">
        <v>7</v>
      </c>
      <c r="J4581">
        <v>1</v>
      </c>
      <c r="K4581">
        <v>39.26</v>
      </c>
      <c r="L4581">
        <v>3</v>
      </c>
      <c r="M4581">
        <v>13</v>
      </c>
      <c r="N4581">
        <v>4</v>
      </c>
      <c r="O4581">
        <f t="shared" si="71"/>
        <v>4</v>
      </c>
    </row>
    <row r="4582" spans="1:15">
      <c r="A4582">
        <v>2894</v>
      </c>
      <c r="B4582" s="1">
        <v>45775</v>
      </c>
      <c r="C4582">
        <v>26</v>
      </c>
      <c r="D4582" t="s">
        <v>14</v>
      </c>
      <c r="E4582" t="s">
        <v>20</v>
      </c>
      <c r="F4582" t="s">
        <v>18</v>
      </c>
      <c r="G4582" t="s">
        <v>30</v>
      </c>
      <c r="H4582">
        <v>509.2</v>
      </c>
      <c r="I4582" s="13">
        <v>10</v>
      </c>
      <c r="J4582">
        <v>1</v>
      </c>
      <c r="K4582">
        <v>31.44</v>
      </c>
      <c r="L4582">
        <v>4</v>
      </c>
      <c r="M4582">
        <v>3</v>
      </c>
      <c r="N4582">
        <v>4</v>
      </c>
      <c r="O4582">
        <f t="shared" si="71"/>
        <v>4</v>
      </c>
    </row>
    <row r="4583" spans="1:15">
      <c r="A4583">
        <v>3171</v>
      </c>
      <c r="B4583" s="1">
        <v>45775</v>
      </c>
      <c r="C4583">
        <v>46</v>
      </c>
      <c r="D4583" t="s">
        <v>14</v>
      </c>
      <c r="E4583" t="s">
        <v>24</v>
      </c>
      <c r="F4583" t="s">
        <v>16</v>
      </c>
      <c r="H4583">
        <v>460.5</v>
      </c>
      <c r="I4583" s="13">
        <v>7</v>
      </c>
      <c r="J4583">
        <v>1</v>
      </c>
      <c r="K4583">
        <v>19.93</v>
      </c>
      <c r="L4583">
        <v>4</v>
      </c>
      <c r="M4583">
        <v>9</v>
      </c>
      <c r="N4583">
        <v>4</v>
      </c>
      <c r="O4583">
        <f t="shared" si="71"/>
        <v>4</v>
      </c>
    </row>
    <row r="4584" spans="1:15">
      <c r="A4584">
        <v>887</v>
      </c>
      <c r="B4584" s="1">
        <v>45775</v>
      </c>
      <c r="C4584">
        <v>30</v>
      </c>
      <c r="D4584" t="s">
        <v>14</v>
      </c>
      <c r="E4584" t="s">
        <v>22</v>
      </c>
      <c r="F4584" t="s">
        <v>18</v>
      </c>
      <c r="G4584" t="s">
        <v>31</v>
      </c>
      <c r="H4584">
        <v>686.6</v>
      </c>
      <c r="I4584" s="13">
        <v>4</v>
      </c>
      <c r="J4584">
        <v>0</v>
      </c>
      <c r="K4584">
        <v>0</v>
      </c>
      <c r="L4584">
        <v>0</v>
      </c>
      <c r="M4584">
        <v>0</v>
      </c>
      <c r="O4584">
        <f t="shared" si="71"/>
        <v>4</v>
      </c>
    </row>
    <row r="4585" spans="1:15">
      <c r="A4585">
        <v>1336</v>
      </c>
      <c r="B4585" s="1">
        <v>45775</v>
      </c>
      <c r="C4585">
        <v>19</v>
      </c>
      <c r="D4585" t="s">
        <v>14</v>
      </c>
      <c r="E4585" t="s">
        <v>24</v>
      </c>
      <c r="F4585" t="s">
        <v>16</v>
      </c>
      <c r="H4585">
        <v>595.70000000000005</v>
      </c>
      <c r="I4585" s="13">
        <v>7</v>
      </c>
      <c r="J4585">
        <v>0</v>
      </c>
      <c r="K4585">
        <v>0</v>
      </c>
      <c r="L4585">
        <v>0</v>
      </c>
      <c r="M4585">
        <v>0</v>
      </c>
      <c r="O4585">
        <f t="shared" si="71"/>
        <v>4</v>
      </c>
    </row>
    <row r="4586" spans="1:15">
      <c r="A4586">
        <v>2161</v>
      </c>
      <c r="B4586" s="1">
        <v>45775</v>
      </c>
      <c r="C4586">
        <v>26</v>
      </c>
      <c r="D4586" t="s">
        <v>17</v>
      </c>
      <c r="E4586" t="s">
        <v>24</v>
      </c>
      <c r="F4586" t="s">
        <v>18</v>
      </c>
      <c r="G4586" t="s">
        <v>31</v>
      </c>
      <c r="H4586">
        <v>553.1</v>
      </c>
      <c r="I4586" s="13">
        <v>7</v>
      </c>
      <c r="J4586">
        <v>0</v>
      </c>
      <c r="K4586">
        <v>0</v>
      </c>
      <c r="L4586">
        <v>0</v>
      </c>
      <c r="M4586">
        <v>0</v>
      </c>
      <c r="O4586">
        <f t="shared" si="71"/>
        <v>4</v>
      </c>
    </row>
    <row r="4587" spans="1:15">
      <c r="A4587">
        <v>3340</v>
      </c>
      <c r="B4587" s="1">
        <v>45775</v>
      </c>
      <c r="C4587">
        <v>46</v>
      </c>
      <c r="D4587" t="s">
        <v>17</v>
      </c>
      <c r="E4587" t="s">
        <v>20</v>
      </c>
      <c r="F4587" t="s">
        <v>21</v>
      </c>
      <c r="H4587">
        <v>505.4</v>
      </c>
      <c r="I4587" s="13">
        <v>3</v>
      </c>
      <c r="J4587">
        <v>0</v>
      </c>
      <c r="K4587">
        <v>0</v>
      </c>
      <c r="L4587">
        <v>0</v>
      </c>
      <c r="M4587">
        <v>0</v>
      </c>
      <c r="O4587">
        <f t="shared" si="71"/>
        <v>4</v>
      </c>
    </row>
    <row r="4588" spans="1:15">
      <c r="A4588">
        <v>2059</v>
      </c>
      <c r="B4588" s="1">
        <v>45775</v>
      </c>
      <c r="C4588">
        <v>26</v>
      </c>
      <c r="D4588" t="s">
        <v>14</v>
      </c>
      <c r="E4588" t="s">
        <v>20</v>
      </c>
      <c r="F4588" t="s">
        <v>23</v>
      </c>
      <c r="H4588">
        <v>344.4</v>
      </c>
      <c r="I4588" s="13">
        <v>5</v>
      </c>
      <c r="J4588">
        <v>0</v>
      </c>
      <c r="K4588">
        <v>0</v>
      </c>
      <c r="L4588">
        <v>0</v>
      </c>
      <c r="M4588">
        <v>0</v>
      </c>
      <c r="O4588">
        <f t="shared" si="71"/>
        <v>4</v>
      </c>
    </row>
    <row r="4589" spans="1:15">
      <c r="A4589">
        <v>943</v>
      </c>
      <c r="B4589" s="1">
        <v>45775</v>
      </c>
      <c r="C4589">
        <v>28</v>
      </c>
      <c r="D4589" t="s">
        <v>17</v>
      </c>
      <c r="E4589" t="s">
        <v>24</v>
      </c>
      <c r="F4589" t="s">
        <v>18</v>
      </c>
      <c r="G4589" t="s">
        <v>30</v>
      </c>
      <c r="H4589">
        <v>251</v>
      </c>
      <c r="I4589" s="13">
        <v>3</v>
      </c>
      <c r="J4589">
        <v>0</v>
      </c>
      <c r="K4589">
        <v>0</v>
      </c>
      <c r="L4589">
        <v>0</v>
      </c>
      <c r="M4589">
        <v>0</v>
      </c>
      <c r="O4589">
        <f t="shared" si="71"/>
        <v>4</v>
      </c>
    </row>
    <row r="4590" spans="1:15">
      <c r="A4590">
        <v>2274</v>
      </c>
      <c r="B4590" s="1">
        <v>45775</v>
      </c>
      <c r="C4590">
        <v>22</v>
      </c>
      <c r="D4590" t="s">
        <v>14</v>
      </c>
      <c r="E4590" t="s">
        <v>24</v>
      </c>
      <c r="F4590" t="s">
        <v>18</v>
      </c>
      <c r="G4590" t="s">
        <v>28</v>
      </c>
      <c r="H4590">
        <v>251</v>
      </c>
      <c r="I4590" s="13">
        <v>7</v>
      </c>
      <c r="J4590">
        <v>0</v>
      </c>
      <c r="K4590">
        <v>0</v>
      </c>
      <c r="L4590">
        <v>0</v>
      </c>
      <c r="M4590">
        <v>0</v>
      </c>
      <c r="O4590">
        <f t="shared" si="71"/>
        <v>4</v>
      </c>
    </row>
    <row r="4591" spans="1:15">
      <c r="A4591">
        <v>2030</v>
      </c>
      <c r="B4591" s="1">
        <v>45775</v>
      </c>
      <c r="C4591">
        <v>35</v>
      </c>
      <c r="D4591" t="s">
        <v>14</v>
      </c>
      <c r="E4591" t="s">
        <v>24</v>
      </c>
      <c r="F4591" t="s">
        <v>18</v>
      </c>
      <c r="G4591" t="s">
        <v>31</v>
      </c>
      <c r="H4591">
        <v>199.3</v>
      </c>
      <c r="I4591" s="13">
        <v>3</v>
      </c>
      <c r="J4591">
        <v>0</v>
      </c>
      <c r="K4591">
        <v>0</v>
      </c>
      <c r="L4591">
        <v>0</v>
      </c>
      <c r="M4591">
        <v>0</v>
      </c>
      <c r="O4591">
        <f t="shared" si="71"/>
        <v>4</v>
      </c>
    </row>
    <row r="4592" spans="1:15">
      <c r="A4592">
        <v>2185</v>
      </c>
      <c r="B4592" s="1">
        <v>45775</v>
      </c>
      <c r="C4592">
        <v>44</v>
      </c>
      <c r="D4592" t="s">
        <v>17</v>
      </c>
      <c r="E4592" t="s">
        <v>22</v>
      </c>
      <c r="F4592" t="s">
        <v>21</v>
      </c>
      <c r="H4592">
        <v>196.1</v>
      </c>
      <c r="I4592" s="13">
        <v>7</v>
      </c>
      <c r="J4592">
        <v>0</v>
      </c>
      <c r="K4592">
        <v>0</v>
      </c>
      <c r="L4592">
        <v>0</v>
      </c>
      <c r="M4592">
        <v>0</v>
      </c>
      <c r="O4592">
        <f t="shared" si="71"/>
        <v>4</v>
      </c>
    </row>
    <row r="4593" spans="1:15">
      <c r="A4593">
        <v>1462</v>
      </c>
      <c r="B4593" s="1">
        <v>45775</v>
      </c>
      <c r="C4593">
        <v>25</v>
      </c>
      <c r="D4593" t="s">
        <v>14</v>
      </c>
      <c r="E4593" t="s">
        <v>20</v>
      </c>
      <c r="F4593" t="s">
        <v>16</v>
      </c>
      <c r="H4593">
        <v>191.9</v>
      </c>
      <c r="I4593" s="13">
        <v>7</v>
      </c>
      <c r="J4593">
        <v>0</v>
      </c>
      <c r="K4593">
        <v>0</v>
      </c>
      <c r="L4593">
        <v>0</v>
      </c>
      <c r="M4593">
        <v>0</v>
      </c>
      <c r="O4593">
        <f t="shared" si="71"/>
        <v>4</v>
      </c>
    </row>
    <row r="4594" spans="1:15">
      <c r="A4594">
        <v>2668</v>
      </c>
      <c r="B4594" s="1">
        <v>45775</v>
      </c>
      <c r="C4594">
        <v>37</v>
      </c>
      <c r="D4594" t="s">
        <v>14</v>
      </c>
      <c r="E4594" t="s">
        <v>20</v>
      </c>
      <c r="F4594" t="s">
        <v>16</v>
      </c>
      <c r="H4594">
        <v>161.4</v>
      </c>
      <c r="I4594" s="13">
        <v>3</v>
      </c>
      <c r="J4594">
        <v>0</v>
      </c>
      <c r="K4594">
        <v>0</v>
      </c>
      <c r="L4594">
        <v>0</v>
      </c>
      <c r="M4594">
        <v>0</v>
      </c>
      <c r="O4594">
        <f t="shared" si="71"/>
        <v>4</v>
      </c>
    </row>
    <row r="4595" spans="1:15">
      <c r="A4595">
        <v>187</v>
      </c>
      <c r="B4595" s="1">
        <v>45805</v>
      </c>
      <c r="C4595">
        <v>21</v>
      </c>
      <c r="D4595" t="s">
        <v>14</v>
      </c>
      <c r="E4595" t="s">
        <v>20</v>
      </c>
      <c r="F4595" t="s">
        <v>18</v>
      </c>
      <c r="G4595" t="s">
        <v>30</v>
      </c>
      <c r="H4595">
        <v>729.5</v>
      </c>
      <c r="I4595" s="13">
        <v>10</v>
      </c>
      <c r="J4595">
        <v>1</v>
      </c>
      <c r="K4595">
        <v>459</v>
      </c>
      <c r="L4595">
        <v>3</v>
      </c>
      <c r="M4595">
        <v>3</v>
      </c>
      <c r="N4595">
        <v>5</v>
      </c>
      <c r="O4595">
        <f t="shared" si="71"/>
        <v>5</v>
      </c>
    </row>
    <row r="4596" spans="1:15">
      <c r="A4596">
        <v>3985</v>
      </c>
      <c r="B4596" s="1">
        <v>45805</v>
      </c>
      <c r="C4596">
        <v>41</v>
      </c>
      <c r="D4596" t="s">
        <v>17</v>
      </c>
      <c r="E4596" t="s">
        <v>15</v>
      </c>
      <c r="F4596" t="s">
        <v>18</v>
      </c>
      <c r="G4596" t="s">
        <v>29</v>
      </c>
      <c r="H4596">
        <v>517.29999999999995</v>
      </c>
      <c r="I4596" s="13">
        <v>6</v>
      </c>
      <c r="J4596">
        <v>1</v>
      </c>
      <c r="K4596">
        <v>585.57000000000005</v>
      </c>
      <c r="L4596">
        <v>3</v>
      </c>
      <c r="M4596">
        <v>2</v>
      </c>
      <c r="N4596">
        <v>4</v>
      </c>
      <c r="O4596">
        <f t="shared" si="71"/>
        <v>5</v>
      </c>
    </row>
    <row r="4597" spans="1:15">
      <c r="A4597">
        <v>3514</v>
      </c>
      <c r="B4597" s="1">
        <v>45805</v>
      </c>
      <c r="C4597">
        <v>27</v>
      </c>
      <c r="D4597" t="s">
        <v>14</v>
      </c>
      <c r="E4597" t="s">
        <v>20</v>
      </c>
      <c r="F4597" t="s">
        <v>16</v>
      </c>
      <c r="H4597">
        <v>468.1</v>
      </c>
      <c r="I4597" s="13">
        <v>6</v>
      </c>
      <c r="J4597">
        <v>1</v>
      </c>
      <c r="K4597">
        <v>281</v>
      </c>
      <c r="L4597">
        <v>3</v>
      </c>
      <c r="M4597">
        <v>5</v>
      </c>
      <c r="N4597">
        <v>4</v>
      </c>
      <c r="O4597">
        <f t="shared" si="71"/>
        <v>5</v>
      </c>
    </row>
    <row r="4598" spans="1:15">
      <c r="A4598">
        <v>4709</v>
      </c>
      <c r="B4598" s="1">
        <v>45805</v>
      </c>
      <c r="C4598">
        <v>39</v>
      </c>
      <c r="D4598" t="s">
        <v>14</v>
      </c>
      <c r="E4598" t="s">
        <v>15</v>
      </c>
      <c r="F4598" t="s">
        <v>18</v>
      </c>
      <c r="G4598" t="s">
        <v>31</v>
      </c>
      <c r="H4598">
        <v>153.30000000000001</v>
      </c>
      <c r="I4598" s="13">
        <v>7</v>
      </c>
      <c r="J4598">
        <v>1</v>
      </c>
      <c r="K4598">
        <v>156.52000000000001</v>
      </c>
      <c r="L4598">
        <v>4</v>
      </c>
      <c r="M4598">
        <v>7</v>
      </c>
      <c r="N4598">
        <v>4</v>
      </c>
      <c r="O4598">
        <f t="shared" si="71"/>
        <v>5</v>
      </c>
    </row>
    <row r="4599" spans="1:15">
      <c r="A4599">
        <v>2327</v>
      </c>
      <c r="B4599" s="1">
        <v>45805</v>
      </c>
      <c r="C4599">
        <v>43</v>
      </c>
      <c r="D4599" t="s">
        <v>17</v>
      </c>
      <c r="E4599" t="s">
        <v>20</v>
      </c>
      <c r="F4599" t="s">
        <v>18</v>
      </c>
      <c r="G4599" t="s">
        <v>30</v>
      </c>
      <c r="H4599">
        <v>271.60000000000002</v>
      </c>
      <c r="I4599" s="13">
        <v>6</v>
      </c>
      <c r="J4599">
        <v>1</v>
      </c>
      <c r="K4599">
        <v>98.36</v>
      </c>
      <c r="L4599">
        <v>3</v>
      </c>
      <c r="M4599">
        <v>2</v>
      </c>
      <c r="N4599">
        <v>5</v>
      </c>
      <c r="O4599">
        <f t="shared" si="71"/>
        <v>5</v>
      </c>
    </row>
    <row r="4600" spans="1:15">
      <c r="A4600">
        <v>2089</v>
      </c>
      <c r="B4600" s="1">
        <v>45805</v>
      </c>
      <c r="C4600">
        <v>22</v>
      </c>
      <c r="D4600" t="s">
        <v>14</v>
      </c>
      <c r="E4600" t="s">
        <v>15</v>
      </c>
      <c r="F4600" t="s">
        <v>16</v>
      </c>
      <c r="H4600">
        <v>180</v>
      </c>
      <c r="I4600" s="13">
        <v>6</v>
      </c>
      <c r="J4600">
        <v>1</v>
      </c>
      <c r="K4600">
        <v>96.64</v>
      </c>
      <c r="L4600">
        <v>4</v>
      </c>
      <c r="M4600">
        <v>2</v>
      </c>
      <c r="N4600">
        <v>4</v>
      </c>
      <c r="O4600">
        <f t="shared" si="71"/>
        <v>5</v>
      </c>
    </row>
    <row r="4601" spans="1:15">
      <c r="A4601">
        <v>770</v>
      </c>
      <c r="B4601" s="1">
        <v>45805</v>
      </c>
      <c r="C4601">
        <v>28</v>
      </c>
      <c r="D4601" t="s">
        <v>14</v>
      </c>
      <c r="E4601" t="s">
        <v>22</v>
      </c>
      <c r="F4601" t="s">
        <v>23</v>
      </c>
      <c r="H4601">
        <v>781.3</v>
      </c>
      <c r="I4601" s="13">
        <v>7</v>
      </c>
      <c r="J4601">
        <v>1</v>
      </c>
      <c r="K4601">
        <v>66.13</v>
      </c>
      <c r="L4601">
        <v>1</v>
      </c>
      <c r="M4601">
        <v>10</v>
      </c>
      <c r="N4601">
        <v>4</v>
      </c>
      <c r="O4601">
        <f t="shared" si="71"/>
        <v>5</v>
      </c>
    </row>
    <row r="4602" spans="1:15">
      <c r="A4602">
        <v>2923</v>
      </c>
      <c r="B4602" s="1">
        <v>45805</v>
      </c>
      <c r="C4602">
        <v>35</v>
      </c>
      <c r="D4602" t="s">
        <v>17</v>
      </c>
      <c r="E4602" t="s">
        <v>24</v>
      </c>
      <c r="F4602" t="s">
        <v>16</v>
      </c>
      <c r="H4602">
        <v>561.29999999999995</v>
      </c>
      <c r="I4602" s="13">
        <v>9</v>
      </c>
      <c r="J4602">
        <v>1</v>
      </c>
      <c r="K4602">
        <v>63.79</v>
      </c>
      <c r="L4602">
        <v>3</v>
      </c>
      <c r="M4602">
        <v>10</v>
      </c>
      <c r="N4602">
        <v>5</v>
      </c>
      <c r="O4602">
        <f t="shared" si="71"/>
        <v>5</v>
      </c>
    </row>
    <row r="4603" spans="1:15">
      <c r="A4603">
        <v>3819</v>
      </c>
      <c r="B4603" s="1">
        <v>45805</v>
      </c>
      <c r="C4603">
        <v>63</v>
      </c>
      <c r="D4603" t="s">
        <v>17</v>
      </c>
      <c r="E4603" t="s">
        <v>24</v>
      </c>
      <c r="F4603" t="s">
        <v>16</v>
      </c>
      <c r="H4603">
        <v>1173.3</v>
      </c>
      <c r="I4603" s="13">
        <v>5</v>
      </c>
      <c r="J4603">
        <v>1</v>
      </c>
      <c r="K4603">
        <v>59.29</v>
      </c>
      <c r="L4603">
        <v>4</v>
      </c>
      <c r="M4603">
        <v>12</v>
      </c>
      <c r="N4603">
        <v>4</v>
      </c>
      <c r="O4603">
        <f t="shared" si="71"/>
        <v>5</v>
      </c>
    </row>
    <row r="4604" spans="1:15">
      <c r="A4604">
        <v>2657</v>
      </c>
      <c r="B4604" s="1">
        <v>45805</v>
      </c>
      <c r="C4604">
        <v>21</v>
      </c>
      <c r="D4604" t="s">
        <v>14</v>
      </c>
      <c r="E4604" t="s">
        <v>15</v>
      </c>
      <c r="F4604" t="s">
        <v>18</v>
      </c>
      <c r="G4604" t="s">
        <v>30</v>
      </c>
      <c r="H4604">
        <v>562</v>
      </c>
      <c r="I4604" s="13">
        <v>8</v>
      </c>
      <c r="J4604">
        <v>1</v>
      </c>
      <c r="K4604">
        <v>33.130000000000003</v>
      </c>
      <c r="L4604">
        <v>2</v>
      </c>
      <c r="M4604">
        <v>12</v>
      </c>
      <c r="N4604">
        <v>4</v>
      </c>
      <c r="O4604">
        <f t="shared" si="71"/>
        <v>5</v>
      </c>
    </row>
    <row r="4605" spans="1:15">
      <c r="A4605">
        <v>4057</v>
      </c>
      <c r="B4605" s="1">
        <v>45805</v>
      </c>
      <c r="C4605">
        <v>67</v>
      </c>
      <c r="D4605" t="s">
        <v>17</v>
      </c>
      <c r="E4605" t="s">
        <v>15</v>
      </c>
      <c r="F4605" t="s">
        <v>18</v>
      </c>
      <c r="G4605" t="s">
        <v>30</v>
      </c>
      <c r="H4605">
        <v>654.5</v>
      </c>
      <c r="I4605" s="13">
        <v>3</v>
      </c>
      <c r="J4605">
        <v>1</v>
      </c>
      <c r="K4605">
        <v>33.07</v>
      </c>
      <c r="L4605">
        <v>5</v>
      </c>
      <c r="M4605">
        <v>15</v>
      </c>
      <c r="N4605">
        <v>3</v>
      </c>
      <c r="O4605">
        <f t="shared" si="71"/>
        <v>5</v>
      </c>
    </row>
    <row r="4606" spans="1:15">
      <c r="A4606">
        <v>4805</v>
      </c>
      <c r="B4606" s="1">
        <v>45805</v>
      </c>
      <c r="C4606">
        <v>49</v>
      </c>
      <c r="D4606" t="s">
        <v>17</v>
      </c>
      <c r="E4606" t="s">
        <v>15</v>
      </c>
      <c r="F4606" t="s">
        <v>16</v>
      </c>
      <c r="H4606">
        <v>449.1</v>
      </c>
      <c r="I4606" s="13">
        <v>12</v>
      </c>
      <c r="J4606">
        <v>1</v>
      </c>
      <c r="K4606">
        <v>32.630000000000003</v>
      </c>
      <c r="L4606">
        <v>3</v>
      </c>
      <c r="M4606">
        <v>4</v>
      </c>
      <c r="N4606">
        <v>5</v>
      </c>
      <c r="O4606">
        <f t="shared" si="71"/>
        <v>5</v>
      </c>
    </row>
    <row r="4607" spans="1:15">
      <c r="A4607">
        <v>1166</v>
      </c>
      <c r="B4607" s="1">
        <v>45805</v>
      </c>
      <c r="C4607">
        <v>25</v>
      </c>
      <c r="D4607" t="s">
        <v>14</v>
      </c>
      <c r="E4607" t="s">
        <v>22</v>
      </c>
      <c r="F4607" t="s">
        <v>18</v>
      </c>
      <c r="G4607" t="s">
        <v>26</v>
      </c>
      <c r="H4607">
        <v>1115.0999999999999</v>
      </c>
      <c r="I4607" s="13">
        <v>6</v>
      </c>
      <c r="J4607">
        <v>1</v>
      </c>
      <c r="K4607">
        <v>16.21</v>
      </c>
      <c r="L4607">
        <v>3</v>
      </c>
      <c r="M4607">
        <v>2</v>
      </c>
      <c r="N4607">
        <v>4</v>
      </c>
      <c r="O4607">
        <f t="shared" si="71"/>
        <v>5</v>
      </c>
    </row>
    <row r="4608" spans="1:15">
      <c r="A4608">
        <v>2984</v>
      </c>
      <c r="B4608" s="1">
        <v>45805</v>
      </c>
      <c r="C4608">
        <v>24</v>
      </c>
      <c r="D4608" t="s">
        <v>17</v>
      </c>
      <c r="E4608" t="s">
        <v>22</v>
      </c>
      <c r="F4608" t="s">
        <v>16</v>
      </c>
      <c r="H4608">
        <v>495.9</v>
      </c>
      <c r="I4608" s="13">
        <v>4</v>
      </c>
      <c r="J4608">
        <v>1</v>
      </c>
      <c r="K4608">
        <v>14.38</v>
      </c>
      <c r="L4608">
        <v>5</v>
      </c>
      <c r="M4608">
        <v>7</v>
      </c>
      <c r="N4608">
        <v>4</v>
      </c>
      <c r="O4608">
        <f t="shared" si="71"/>
        <v>5</v>
      </c>
    </row>
    <row r="4609" spans="1:15">
      <c r="A4609">
        <v>4774</v>
      </c>
      <c r="B4609" s="1">
        <v>45805</v>
      </c>
      <c r="C4609">
        <v>56</v>
      </c>
      <c r="D4609" t="s">
        <v>17</v>
      </c>
      <c r="E4609" t="s">
        <v>20</v>
      </c>
      <c r="F4609" t="s">
        <v>18</v>
      </c>
      <c r="G4609" t="s">
        <v>28</v>
      </c>
      <c r="H4609">
        <v>879.5</v>
      </c>
      <c r="I4609" s="13">
        <v>8</v>
      </c>
      <c r="J4609">
        <v>0</v>
      </c>
      <c r="K4609">
        <v>0</v>
      </c>
      <c r="L4609">
        <v>0</v>
      </c>
      <c r="M4609">
        <v>0</v>
      </c>
      <c r="O4609">
        <f t="shared" si="71"/>
        <v>5</v>
      </c>
    </row>
    <row r="4610" spans="1:15">
      <c r="A4610">
        <v>4343</v>
      </c>
      <c r="B4610" s="1">
        <v>45805</v>
      </c>
      <c r="C4610">
        <v>40</v>
      </c>
      <c r="D4610" t="s">
        <v>17</v>
      </c>
      <c r="E4610" t="s">
        <v>24</v>
      </c>
      <c r="F4610" t="s">
        <v>21</v>
      </c>
      <c r="H4610">
        <v>702.1</v>
      </c>
      <c r="I4610" s="13">
        <v>5</v>
      </c>
      <c r="J4610">
        <v>0</v>
      </c>
      <c r="K4610">
        <v>0</v>
      </c>
      <c r="L4610">
        <v>0</v>
      </c>
      <c r="M4610">
        <v>0</v>
      </c>
      <c r="O4610">
        <f t="shared" si="71"/>
        <v>5</v>
      </c>
    </row>
    <row r="4611" spans="1:15">
      <c r="A4611">
        <v>907</v>
      </c>
      <c r="B4611" s="1">
        <v>45805</v>
      </c>
      <c r="C4611">
        <v>22</v>
      </c>
      <c r="D4611" t="s">
        <v>17</v>
      </c>
      <c r="E4611" t="s">
        <v>22</v>
      </c>
      <c r="F4611" t="s">
        <v>18</v>
      </c>
      <c r="G4611" t="s">
        <v>25</v>
      </c>
      <c r="H4611">
        <v>489.9</v>
      </c>
      <c r="I4611" s="13">
        <v>8</v>
      </c>
      <c r="J4611">
        <v>0</v>
      </c>
      <c r="K4611">
        <v>0</v>
      </c>
      <c r="L4611">
        <v>0</v>
      </c>
      <c r="M4611">
        <v>0</v>
      </c>
      <c r="O4611">
        <f t="shared" ref="O4611:O4674" si="72">MONTH(B4611)</f>
        <v>5</v>
      </c>
    </row>
    <row r="4612" spans="1:15">
      <c r="A4612">
        <v>3777</v>
      </c>
      <c r="B4612" s="1">
        <v>45805</v>
      </c>
      <c r="C4612">
        <v>47</v>
      </c>
      <c r="D4612" t="s">
        <v>17</v>
      </c>
      <c r="E4612" t="s">
        <v>24</v>
      </c>
      <c r="F4612" t="s">
        <v>18</v>
      </c>
      <c r="G4612" t="s">
        <v>26</v>
      </c>
      <c r="H4612">
        <v>485.5</v>
      </c>
      <c r="I4612" s="13">
        <v>5</v>
      </c>
      <c r="J4612">
        <v>0</v>
      </c>
      <c r="K4612">
        <v>0</v>
      </c>
      <c r="L4612">
        <v>0</v>
      </c>
      <c r="M4612">
        <v>0</v>
      </c>
      <c r="O4612">
        <f t="shared" si="72"/>
        <v>5</v>
      </c>
    </row>
    <row r="4613" spans="1:15">
      <c r="A4613">
        <v>1314</v>
      </c>
      <c r="B4613" s="1">
        <v>45805</v>
      </c>
      <c r="C4613">
        <v>19</v>
      </c>
      <c r="D4613" t="s">
        <v>14</v>
      </c>
      <c r="E4613" t="s">
        <v>15</v>
      </c>
      <c r="F4613" t="s">
        <v>16</v>
      </c>
      <c r="H4613">
        <v>483.4</v>
      </c>
      <c r="I4613" s="13">
        <v>9</v>
      </c>
      <c r="J4613">
        <v>0</v>
      </c>
      <c r="K4613">
        <v>0</v>
      </c>
      <c r="L4613">
        <v>0</v>
      </c>
      <c r="M4613">
        <v>0</v>
      </c>
      <c r="O4613">
        <f t="shared" si="72"/>
        <v>5</v>
      </c>
    </row>
    <row r="4614" spans="1:15">
      <c r="A4614">
        <v>438</v>
      </c>
      <c r="B4614" s="1">
        <v>45805</v>
      </c>
      <c r="C4614">
        <v>21</v>
      </c>
      <c r="D4614" t="s">
        <v>17</v>
      </c>
      <c r="E4614" t="s">
        <v>22</v>
      </c>
      <c r="F4614" t="s">
        <v>16</v>
      </c>
      <c r="H4614">
        <v>385.1</v>
      </c>
      <c r="I4614" s="13">
        <v>13</v>
      </c>
      <c r="J4614">
        <v>0</v>
      </c>
      <c r="K4614">
        <v>0</v>
      </c>
      <c r="L4614">
        <v>0</v>
      </c>
      <c r="M4614">
        <v>0</v>
      </c>
      <c r="O4614">
        <f t="shared" si="72"/>
        <v>5</v>
      </c>
    </row>
    <row r="4615" spans="1:15">
      <c r="A4615">
        <v>4216</v>
      </c>
      <c r="B4615" s="1">
        <v>45805</v>
      </c>
      <c r="C4615">
        <v>40</v>
      </c>
      <c r="D4615" t="s">
        <v>17</v>
      </c>
      <c r="E4615" t="s">
        <v>15</v>
      </c>
      <c r="F4615" t="s">
        <v>18</v>
      </c>
      <c r="G4615" t="s">
        <v>26</v>
      </c>
      <c r="H4615">
        <v>334.1</v>
      </c>
      <c r="I4615" s="13">
        <v>6</v>
      </c>
      <c r="J4615">
        <v>0</v>
      </c>
      <c r="K4615">
        <v>0</v>
      </c>
      <c r="L4615">
        <v>0</v>
      </c>
      <c r="M4615">
        <v>0</v>
      </c>
      <c r="O4615">
        <f t="shared" si="72"/>
        <v>5</v>
      </c>
    </row>
    <row r="4616" spans="1:15">
      <c r="A4616">
        <v>3276</v>
      </c>
      <c r="B4616" s="1">
        <v>45805</v>
      </c>
      <c r="C4616">
        <v>47</v>
      </c>
      <c r="D4616" t="s">
        <v>27</v>
      </c>
      <c r="E4616" t="s">
        <v>15</v>
      </c>
      <c r="F4616" t="s">
        <v>18</v>
      </c>
      <c r="G4616" t="s">
        <v>25</v>
      </c>
      <c r="H4616">
        <v>319.89999999999998</v>
      </c>
      <c r="I4616" s="13">
        <v>9</v>
      </c>
      <c r="J4616">
        <v>0</v>
      </c>
      <c r="K4616">
        <v>0</v>
      </c>
      <c r="L4616">
        <v>0</v>
      </c>
      <c r="M4616">
        <v>0</v>
      </c>
      <c r="O4616">
        <f t="shared" si="72"/>
        <v>5</v>
      </c>
    </row>
    <row r="4617" spans="1:15">
      <c r="A4617">
        <v>1481</v>
      </c>
      <c r="B4617" s="1">
        <v>45805</v>
      </c>
      <c r="C4617">
        <v>30</v>
      </c>
      <c r="D4617" t="s">
        <v>17</v>
      </c>
      <c r="E4617" t="s">
        <v>15</v>
      </c>
      <c r="F4617" t="s">
        <v>18</v>
      </c>
      <c r="G4617" t="s">
        <v>26</v>
      </c>
      <c r="H4617">
        <v>315.89999999999998</v>
      </c>
      <c r="I4617" s="13">
        <v>4</v>
      </c>
      <c r="J4617">
        <v>0</v>
      </c>
      <c r="K4617">
        <v>0</v>
      </c>
      <c r="L4617">
        <v>0</v>
      </c>
      <c r="M4617">
        <v>0</v>
      </c>
      <c r="O4617">
        <f t="shared" si="72"/>
        <v>5</v>
      </c>
    </row>
    <row r="4618" spans="1:15">
      <c r="A4618">
        <v>127</v>
      </c>
      <c r="B4618" s="1">
        <v>45805</v>
      </c>
      <c r="C4618">
        <v>19</v>
      </c>
      <c r="D4618" t="s">
        <v>14</v>
      </c>
      <c r="E4618" t="s">
        <v>24</v>
      </c>
      <c r="F4618" t="s">
        <v>23</v>
      </c>
      <c r="H4618">
        <v>261.10000000000002</v>
      </c>
      <c r="I4618" s="13">
        <v>7</v>
      </c>
      <c r="J4618">
        <v>0</v>
      </c>
      <c r="K4618">
        <v>0</v>
      </c>
      <c r="L4618">
        <v>0</v>
      </c>
      <c r="M4618">
        <v>0</v>
      </c>
      <c r="O4618">
        <f t="shared" si="72"/>
        <v>5</v>
      </c>
    </row>
    <row r="4619" spans="1:15">
      <c r="A4619">
        <v>1670</v>
      </c>
      <c r="B4619" s="1">
        <v>45805</v>
      </c>
      <c r="C4619">
        <v>34</v>
      </c>
      <c r="D4619" t="s">
        <v>17</v>
      </c>
      <c r="E4619" t="s">
        <v>24</v>
      </c>
      <c r="F4619" t="s">
        <v>18</v>
      </c>
      <c r="G4619" t="s">
        <v>28</v>
      </c>
      <c r="H4619">
        <v>256.60000000000002</v>
      </c>
      <c r="I4619" s="13">
        <v>5</v>
      </c>
      <c r="J4619">
        <v>0</v>
      </c>
      <c r="K4619">
        <v>0</v>
      </c>
      <c r="L4619">
        <v>0</v>
      </c>
      <c r="M4619">
        <v>0</v>
      </c>
      <c r="O4619">
        <f t="shared" si="72"/>
        <v>5</v>
      </c>
    </row>
    <row r="4620" spans="1:15">
      <c r="A4620">
        <v>681</v>
      </c>
      <c r="B4620" s="1">
        <v>45805</v>
      </c>
      <c r="C4620">
        <v>21</v>
      </c>
      <c r="D4620" t="s">
        <v>14</v>
      </c>
      <c r="E4620" t="s">
        <v>24</v>
      </c>
      <c r="F4620" t="s">
        <v>18</v>
      </c>
      <c r="G4620" t="s">
        <v>29</v>
      </c>
      <c r="H4620">
        <v>214.8</v>
      </c>
      <c r="I4620" s="13">
        <v>4</v>
      </c>
      <c r="J4620">
        <v>0</v>
      </c>
      <c r="K4620">
        <v>0</v>
      </c>
      <c r="L4620">
        <v>0</v>
      </c>
      <c r="M4620">
        <v>0</v>
      </c>
      <c r="O4620">
        <f t="shared" si="72"/>
        <v>5</v>
      </c>
    </row>
    <row r="4621" spans="1:15">
      <c r="A4621">
        <v>3742</v>
      </c>
      <c r="B4621" s="1">
        <v>45805</v>
      </c>
      <c r="C4621">
        <v>47</v>
      </c>
      <c r="D4621" t="s">
        <v>14</v>
      </c>
      <c r="E4621" t="s">
        <v>22</v>
      </c>
      <c r="F4621" t="s">
        <v>16</v>
      </c>
      <c r="H4621">
        <v>210.4</v>
      </c>
      <c r="I4621" s="13">
        <v>6</v>
      </c>
      <c r="J4621">
        <v>0</v>
      </c>
      <c r="K4621">
        <v>0</v>
      </c>
      <c r="L4621">
        <v>0</v>
      </c>
      <c r="M4621">
        <v>0</v>
      </c>
      <c r="O4621">
        <f t="shared" si="72"/>
        <v>5</v>
      </c>
    </row>
    <row r="4622" spans="1:15">
      <c r="A4622">
        <v>990</v>
      </c>
      <c r="B4622" s="1">
        <v>45805</v>
      </c>
      <c r="C4622">
        <v>18</v>
      </c>
      <c r="D4622" t="s">
        <v>17</v>
      </c>
      <c r="E4622" t="s">
        <v>22</v>
      </c>
      <c r="F4622" t="s">
        <v>18</v>
      </c>
      <c r="G4622" t="s">
        <v>26</v>
      </c>
      <c r="H4622">
        <v>203.2</v>
      </c>
      <c r="I4622" s="13">
        <v>7</v>
      </c>
      <c r="J4622">
        <v>0</v>
      </c>
      <c r="K4622">
        <v>0</v>
      </c>
      <c r="L4622">
        <v>0</v>
      </c>
      <c r="M4622">
        <v>0</v>
      </c>
      <c r="O4622">
        <f t="shared" si="72"/>
        <v>5</v>
      </c>
    </row>
    <row r="4623" spans="1:15">
      <c r="A4623">
        <v>2146</v>
      </c>
      <c r="B4623" s="1">
        <v>45805</v>
      </c>
      <c r="C4623">
        <v>23</v>
      </c>
      <c r="D4623" t="s">
        <v>17</v>
      </c>
      <c r="E4623" t="s">
        <v>20</v>
      </c>
      <c r="F4623" t="s">
        <v>16</v>
      </c>
      <c r="H4623">
        <v>178.2</v>
      </c>
      <c r="I4623" s="13">
        <v>5</v>
      </c>
      <c r="J4623">
        <v>0</v>
      </c>
      <c r="K4623">
        <v>0</v>
      </c>
      <c r="L4623">
        <v>0</v>
      </c>
      <c r="M4623">
        <v>0</v>
      </c>
      <c r="O4623">
        <f t="shared" si="72"/>
        <v>5</v>
      </c>
    </row>
    <row r="4624" spans="1:15">
      <c r="A4624">
        <v>2141</v>
      </c>
      <c r="B4624" s="1">
        <v>45805</v>
      </c>
      <c r="C4624">
        <v>45</v>
      </c>
      <c r="D4624" t="s">
        <v>14</v>
      </c>
      <c r="E4624" t="s">
        <v>22</v>
      </c>
      <c r="F4624" t="s">
        <v>16</v>
      </c>
      <c r="H4624">
        <v>153.4</v>
      </c>
      <c r="I4624" s="13">
        <v>12</v>
      </c>
      <c r="J4624">
        <v>0</v>
      </c>
      <c r="K4624">
        <v>0</v>
      </c>
      <c r="L4624">
        <v>0</v>
      </c>
      <c r="M4624">
        <v>0</v>
      </c>
      <c r="O4624">
        <f t="shared" si="72"/>
        <v>5</v>
      </c>
    </row>
    <row r="4625" spans="1:15">
      <c r="A4625">
        <v>3359</v>
      </c>
      <c r="B4625" s="1">
        <v>45805</v>
      </c>
      <c r="C4625">
        <v>30</v>
      </c>
      <c r="D4625" t="s">
        <v>17</v>
      </c>
      <c r="E4625" t="s">
        <v>24</v>
      </c>
      <c r="F4625" t="s">
        <v>16</v>
      </c>
      <c r="H4625">
        <v>147</v>
      </c>
      <c r="I4625" s="13">
        <v>5</v>
      </c>
      <c r="J4625">
        <v>0</v>
      </c>
      <c r="K4625">
        <v>0</v>
      </c>
      <c r="L4625">
        <v>0</v>
      </c>
      <c r="M4625">
        <v>0</v>
      </c>
      <c r="O4625">
        <f t="shared" si="72"/>
        <v>5</v>
      </c>
    </row>
    <row r="4626" spans="1:15">
      <c r="A4626">
        <v>1553</v>
      </c>
      <c r="B4626" s="1">
        <v>45805</v>
      </c>
      <c r="C4626">
        <v>27</v>
      </c>
      <c r="D4626" t="s">
        <v>17</v>
      </c>
      <c r="E4626" t="s">
        <v>22</v>
      </c>
      <c r="F4626" t="s">
        <v>18</v>
      </c>
      <c r="G4626" t="s">
        <v>31</v>
      </c>
      <c r="H4626">
        <v>89.6</v>
      </c>
      <c r="I4626" s="13">
        <v>4</v>
      </c>
      <c r="J4626">
        <v>0</v>
      </c>
      <c r="K4626">
        <v>0</v>
      </c>
      <c r="L4626">
        <v>0</v>
      </c>
      <c r="M4626">
        <v>0</v>
      </c>
      <c r="O4626">
        <f t="shared" si="72"/>
        <v>5</v>
      </c>
    </row>
    <row r="4627" spans="1:15">
      <c r="A4627">
        <v>4818</v>
      </c>
      <c r="B4627" s="1">
        <v>45805</v>
      </c>
      <c r="C4627">
        <v>65</v>
      </c>
      <c r="D4627" t="s">
        <v>14</v>
      </c>
      <c r="E4627" t="s">
        <v>20</v>
      </c>
      <c r="F4627" t="s">
        <v>16</v>
      </c>
      <c r="H4627">
        <v>85.5</v>
      </c>
      <c r="I4627" s="13">
        <v>7</v>
      </c>
      <c r="J4627">
        <v>0</v>
      </c>
      <c r="K4627">
        <v>0</v>
      </c>
      <c r="L4627">
        <v>0</v>
      </c>
      <c r="M4627">
        <v>0</v>
      </c>
      <c r="O4627">
        <f t="shared" si="72"/>
        <v>5</v>
      </c>
    </row>
    <row r="4628" spans="1:15">
      <c r="A4628">
        <v>3803</v>
      </c>
      <c r="B4628" s="1">
        <v>45805</v>
      </c>
      <c r="C4628">
        <v>54</v>
      </c>
      <c r="D4628" t="s">
        <v>14</v>
      </c>
      <c r="E4628" t="s">
        <v>22</v>
      </c>
      <c r="F4628" t="s">
        <v>18</v>
      </c>
      <c r="G4628" t="s">
        <v>19</v>
      </c>
      <c r="H4628">
        <v>76.8</v>
      </c>
      <c r="I4628" s="13">
        <v>5</v>
      </c>
      <c r="J4628">
        <v>0</v>
      </c>
      <c r="K4628">
        <v>0</v>
      </c>
      <c r="L4628">
        <v>0</v>
      </c>
      <c r="M4628">
        <v>0</v>
      </c>
      <c r="O4628">
        <f t="shared" si="72"/>
        <v>5</v>
      </c>
    </row>
    <row r="4629" spans="1:15">
      <c r="A4629">
        <v>1871</v>
      </c>
      <c r="B4629" s="1">
        <v>45805</v>
      </c>
      <c r="C4629">
        <v>37</v>
      </c>
      <c r="D4629" t="s">
        <v>14</v>
      </c>
      <c r="E4629" t="s">
        <v>20</v>
      </c>
      <c r="F4629" t="s">
        <v>16</v>
      </c>
      <c r="H4629">
        <v>69.599999999999994</v>
      </c>
      <c r="I4629" s="13">
        <v>10</v>
      </c>
      <c r="J4629">
        <v>0</v>
      </c>
      <c r="K4629">
        <v>0</v>
      </c>
      <c r="L4629">
        <v>0</v>
      </c>
      <c r="M4629">
        <v>0</v>
      </c>
      <c r="O4629">
        <f t="shared" si="72"/>
        <v>5</v>
      </c>
    </row>
    <row r="4630" spans="1:15">
      <c r="A4630">
        <v>1639</v>
      </c>
      <c r="B4630" s="1">
        <v>45836</v>
      </c>
      <c r="C4630">
        <v>35</v>
      </c>
      <c r="D4630" t="s">
        <v>14</v>
      </c>
      <c r="E4630" t="s">
        <v>20</v>
      </c>
      <c r="F4630" t="s">
        <v>16</v>
      </c>
      <c r="H4630">
        <v>793.9</v>
      </c>
      <c r="I4630" s="13">
        <v>2</v>
      </c>
      <c r="J4630">
        <v>1</v>
      </c>
      <c r="K4630">
        <v>309</v>
      </c>
      <c r="L4630">
        <v>4</v>
      </c>
      <c r="M4630">
        <v>2</v>
      </c>
      <c r="N4630">
        <v>5</v>
      </c>
      <c r="O4630">
        <f t="shared" si="72"/>
        <v>6</v>
      </c>
    </row>
    <row r="4631" spans="1:15">
      <c r="A4631">
        <v>706</v>
      </c>
      <c r="B4631" s="1">
        <v>45836</v>
      </c>
      <c r="C4631">
        <v>25</v>
      </c>
      <c r="D4631" t="s">
        <v>17</v>
      </c>
      <c r="E4631" t="s">
        <v>24</v>
      </c>
      <c r="F4631" t="s">
        <v>18</v>
      </c>
      <c r="G4631" t="s">
        <v>19</v>
      </c>
      <c r="H4631">
        <v>225.4</v>
      </c>
      <c r="I4631" s="13">
        <v>8</v>
      </c>
      <c r="J4631">
        <v>1</v>
      </c>
      <c r="K4631">
        <v>144.66999999999999</v>
      </c>
      <c r="L4631">
        <v>3</v>
      </c>
      <c r="M4631">
        <v>2</v>
      </c>
      <c r="N4631">
        <v>3</v>
      </c>
      <c r="O4631">
        <f t="shared" si="72"/>
        <v>6</v>
      </c>
    </row>
    <row r="4632" spans="1:15">
      <c r="A4632">
        <v>2737</v>
      </c>
      <c r="B4632" s="1">
        <v>45836</v>
      </c>
      <c r="C4632">
        <v>30</v>
      </c>
      <c r="D4632" t="s">
        <v>14</v>
      </c>
      <c r="E4632" t="s">
        <v>20</v>
      </c>
      <c r="F4632" t="s">
        <v>18</v>
      </c>
      <c r="G4632" t="s">
        <v>29</v>
      </c>
      <c r="H4632">
        <v>679.5</v>
      </c>
      <c r="I4632" s="13">
        <v>4</v>
      </c>
      <c r="J4632">
        <v>1</v>
      </c>
      <c r="K4632">
        <v>118.84</v>
      </c>
      <c r="L4632">
        <v>1</v>
      </c>
      <c r="M4632">
        <v>10</v>
      </c>
      <c r="N4632">
        <v>4</v>
      </c>
      <c r="O4632">
        <f t="shared" si="72"/>
        <v>6</v>
      </c>
    </row>
    <row r="4633" spans="1:15">
      <c r="A4633">
        <v>2837</v>
      </c>
      <c r="B4633" s="1">
        <v>45836</v>
      </c>
      <c r="C4633">
        <v>42</v>
      </c>
      <c r="D4633" t="s">
        <v>17</v>
      </c>
      <c r="E4633" t="s">
        <v>20</v>
      </c>
      <c r="F4633" t="s">
        <v>21</v>
      </c>
      <c r="H4633">
        <v>1201.8</v>
      </c>
      <c r="I4633" s="13">
        <v>7</v>
      </c>
      <c r="J4633">
        <v>1</v>
      </c>
      <c r="K4633">
        <v>91.69</v>
      </c>
      <c r="L4633">
        <v>3</v>
      </c>
      <c r="M4633">
        <v>10</v>
      </c>
      <c r="N4633">
        <v>5</v>
      </c>
      <c r="O4633">
        <f t="shared" si="72"/>
        <v>6</v>
      </c>
    </row>
    <row r="4634" spans="1:15">
      <c r="A4634">
        <v>4405</v>
      </c>
      <c r="B4634" s="1">
        <v>45836</v>
      </c>
      <c r="C4634">
        <v>46</v>
      </c>
      <c r="D4634" t="s">
        <v>14</v>
      </c>
      <c r="E4634" t="s">
        <v>22</v>
      </c>
      <c r="F4634" t="s">
        <v>16</v>
      </c>
      <c r="H4634">
        <v>464.4</v>
      </c>
      <c r="I4634" s="13">
        <v>5</v>
      </c>
      <c r="J4634">
        <v>1</v>
      </c>
      <c r="K4634">
        <v>82.72</v>
      </c>
      <c r="L4634">
        <v>3</v>
      </c>
      <c r="M4634">
        <v>13</v>
      </c>
      <c r="N4634">
        <v>4</v>
      </c>
      <c r="O4634">
        <f t="shared" si="72"/>
        <v>6</v>
      </c>
    </row>
    <row r="4635" spans="1:15">
      <c r="A4635">
        <v>3715</v>
      </c>
      <c r="B4635" s="1">
        <v>45836</v>
      </c>
      <c r="C4635">
        <v>47</v>
      </c>
      <c r="D4635" t="s">
        <v>14</v>
      </c>
      <c r="E4635" t="s">
        <v>22</v>
      </c>
      <c r="F4635" t="s">
        <v>16</v>
      </c>
      <c r="H4635">
        <v>470</v>
      </c>
      <c r="I4635" s="13">
        <v>6</v>
      </c>
      <c r="J4635">
        <v>1</v>
      </c>
      <c r="K4635">
        <v>55.13</v>
      </c>
      <c r="L4635">
        <v>3</v>
      </c>
      <c r="M4635">
        <v>14</v>
      </c>
      <c r="N4635">
        <v>4</v>
      </c>
      <c r="O4635">
        <f t="shared" si="72"/>
        <v>6</v>
      </c>
    </row>
    <row r="4636" spans="1:15">
      <c r="A4636">
        <v>1592</v>
      </c>
      <c r="B4636" s="1">
        <v>45836</v>
      </c>
      <c r="C4636">
        <v>26</v>
      </c>
      <c r="D4636" t="s">
        <v>14</v>
      </c>
      <c r="E4636" t="s">
        <v>24</v>
      </c>
      <c r="F4636" t="s">
        <v>16</v>
      </c>
      <c r="H4636">
        <v>94.9</v>
      </c>
      <c r="I4636" s="13">
        <v>8</v>
      </c>
      <c r="J4636">
        <v>1</v>
      </c>
      <c r="K4636">
        <v>47.25</v>
      </c>
      <c r="L4636">
        <v>4</v>
      </c>
      <c r="M4636">
        <v>15</v>
      </c>
      <c r="N4636">
        <v>4</v>
      </c>
      <c r="O4636">
        <f t="shared" si="72"/>
        <v>6</v>
      </c>
    </row>
    <row r="4637" spans="1:15">
      <c r="A4637">
        <v>262</v>
      </c>
      <c r="B4637" s="1">
        <v>45836</v>
      </c>
      <c r="C4637">
        <v>20</v>
      </c>
      <c r="D4637" t="s">
        <v>17</v>
      </c>
      <c r="E4637" t="s">
        <v>24</v>
      </c>
      <c r="F4637" t="s">
        <v>18</v>
      </c>
      <c r="G4637" t="s">
        <v>28</v>
      </c>
      <c r="H4637">
        <v>197.4</v>
      </c>
      <c r="I4637" s="13">
        <v>1</v>
      </c>
      <c r="J4637">
        <v>1</v>
      </c>
      <c r="K4637">
        <v>30.71</v>
      </c>
      <c r="L4637">
        <v>2</v>
      </c>
      <c r="M4637">
        <v>12</v>
      </c>
      <c r="N4637">
        <v>5</v>
      </c>
      <c r="O4637">
        <f t="shared" si="72"/>
        <v>6</v>
      </c>
    </row>
    <row r="4638" spans="1:15">
      <c r="A4638">
        <v>4439</v>
      </c>
      <c r="B4638" s="1">
        <v>45836</v>
      </c>
      <c r="C4638">
        <v>51</v>
      </c>
      <c r="D4638" t="s">
        <v>14</v>
      </c>
      <c r="E4638" t="s">
        <v>15</v>
      </c>
      <c r="F4638" t="s">
        <v>23</v>
      </c>
      <c r="H4638">
        <v>186.6</v>
      </c>
      <c r="I4638" s="13">
        <v>6</v>
      </c>
      <c r="J4638">
        <v>1</v>
      </c>
      <c r="K4638">
        <v>20.68</v>
      </c>
      <c r="L4638">
        <v>3</v>
      </c>
      <c r="M4638">
        <v>14</v>
      </c>
      <c r="N4638">
        <v>4</v>
      </c>
      <c r="O4638">
        <f t="shared" si="72"/>
        <v>6</v>
      </c>
    </row>
    <row r="4639" spans="1:15">
      <c r="A4639">
        <v>3574</v>
      </c>
      <c r="B4639" s="1">
        <v>45836</v>
      </c>
      <c r="C4639">
        <v>39</v>
      </c>
      <c r="D4639" t="s">
        <v>14</v>
      </c>
      <c r="E4639" t="s">
        <v>22</v>
      </c>
      <c r="F4639" t="s">
        <v>16</v>
      </c>
      <c r="H4639">
        <v>824.1</v>
      </c>
      <c r="I4639" s="13">
        <v>11</v>
      </c>
      <c r="J4639">
        <v>0</v>
      </c>
      <c r="K4639">
        <v>0</v>
      </c>
      <c r="L4639">
        <v>0</v>
      </c>
      <c r="M4639">
        <v>0</v>
      </c>
      <c r="O4639">
        <f t="shared" si="72"/>
        <v>6</v>
      </c>
    </row>
    <row r="4640" spans="1:15">
      <c r="A4640">
        <v>1089</v>
      </c>
      <c r="B4640" s="1">
        <v>45836</v>
      </c>
      <c r="C4640">
        <v>19</v>
      </c>
      <c r="D4640" t="s">
        <v>17</v>
      </c>
      <c r="E4640" t="s">
        <v>20</v>
      </c>
      <c r="F4640" t="s">
        <v>23</v>
      </c>
      <c r="H4640">
        <v>712.8</v>
      </c>
      <c r="I4640" s="13">
        <v>3</v>
      </c>
      <c r="J4640">
        <v>0</v>
      </c>
      <c r="K4640">
        <v>0</v>
      </c>
      <c r="L4640">
        <v>0</v>
      </c>
      <c r="M4640">
        <v>0</v>
      </c>
      <c r="O4640">
        <f t="shared" si="72"/>
        <v>6</v>
      </c>
    </row>
    <row r="4641" spans="1:15">
      <c r="A4641">
        <v>476</v>
      </c>
      <c r="B4641" s="1">
        <v>45836</v>
      </c>
      <c r="C4641">
        <v>18</v>
      </c>
      <c r="D4641" t="s">
        <v>14</v>
      </c>
      <c r="E4641" t="s">
        <v>20</v>
      </c>
      <c r="F4641" t="s">
        <v>21</v>
      </c>
      <c r="H4641">
        <v>413</v>
      </c>
      <c r="I4641" s="13">
        <v>10</v>
      </c>
      <c r="J4641">
        <v>0</v>
      </c>
      <c r="K4641">
        <v>0</v>
      </c>
      <c r="L4641">
        <v>0</v>
      </c>
      <c r="M4641">
        <v>0</v>
      </c>
      <c r="O4641">
        <f t="shared" si="72"/>
        <v>6</v>
      </c>
    </row>
    <row r="4642" spans="1:15">
      <c r="A4642">
        <v>4766</v>
      </c>
      <c r="B4642" s="1">
        <v>45836</v>
      </c>
      <c r="C4642">
        <v>54</v>
      </c>
      <c r="D4642" t="s">
        <v>17</v>
      </c>
      <c r="E4642" t="s">
        <v>24</v>
      </c>
      <c r="F4642" t="s">
        <v>23</v>
      </c>
      <c r="H4642">
        <v>399.7</v>
      </c>
      <c r="I4642" s="13">
        <v>9</v>
      </c>
      <c r="J4642">
        <v>0</v>
      </c>
      <c r="K4642">
        <v>0</v>
      </c>
      <c r="L4642">
        <v>0</v>
      </c>
      <c r="M4642">
        <v>0</v>
      </c>
      <c r="O4642">
        <f t="shared" si="72"/>
        <v>6</v>
      </c>
    </row>
    <row r="4643" spans="1:15">
      <c r="A4643">
        <v>1617</v>
      </c>
      <c r="B4643" s="1">
        <v>45836</v>
      </c>
      <c r="C4643">
        <v>25</v>
      </c>
      <c r="D4643" t="s">
        <v>14</v>
      </c>
      <c r="E4643" t="s">
        <v>24</v>
      </c>
      <c r="F4643" t="s">
        <v>16</v>
      </c>
      <c r="H4643">
        <v>358.6</v>
      </c>
      <c r="I4643" s="13">
        <v>5</v>
      </c>
      <c r="J4643">
        <v>0</v>
      </c>
      <c r="K4643">
        <v>0</v>
      </c>
      <c r="L4643">
        <v>0</v>
      </c>
      <c r="M4643">
        <v>0</v>
      </c>
      <c r="O4643">
        <f t="shared" si="72"/>
        <v>6</v>
      </c>
    </row>
    <row r="4644" spans="1:15">
      <c r="A4644">
        <v>4744</v>
      </c>
      <c r="B4644" s="1">
        <v>45836</v>
      </c>
      <c r="C4644">
        <v>53</v>
      </c>
      <c r="D4644" t="s">
        <v>17</v>
      </c>
      <c r="E4644" t="s">
        <v>22</v>
      </c>
      <c r="F4644" t="s">
        <v>23</v>
      </c>
      <c r="H4644">
        <v>329.3</v>
      </c>
      <c r="I4644" s="13">
        <v>7</v>
      </c>
      <c r="J4644">
        <v>0</v>
      </c>
      <c r="K4644">
        <v>0</v>
      </c>
      <c r="L4644">
        <v>0</v>
      </c>
      <c r="M4644">
        <v>0</v>
      </c>
      <c r="O4644">
        <f t="shared" si="72"/>
        <v>6</v>
      </c>
    </row>
    <row r="4645" spans="1:15">
      <c r="A4645">
        <v>1665</v>
      </c>
      <c r="B4645" s="1">
        <v>45836</v>
      </c>
      <c r="C4645">
        <v>19</v>
      </c>
      <c r="D4645" t="s">
        <v>17</v>
      </c>
      <c r="E4645" t="s">
        <v>15</v>
      </c>
      <c r="F4645" t="s">
        <v>16</v>
      </c>
      <c r="H4645">
        <v>321.89999999999998</v>
      </c>
      <c r="I4645" s="13">
        <v>11</v>
      </c>
      <c r="J4645">
        <v>0</v>
      </c>
      <c r="K4645">
        <v>0</v>
      </c>
      <c r="L4645">
        <v>0</v>
      </c>
      <c r="M4645">
        <v>0</v>
      </c>
      <c r="O4645">
        <f t="shared" si="72"/>
        <v>6</v>
      </c>
    </row>
    <row r="4646" spans="1:15">
      <c r="A4646">
        <v>3925</v>
      </c>
      <c r="B4646" s="1">
        <v>45836</v>
      </c>
      <c r="C4646">
        <v>59</v>
      </c>
      <c r="D4646" t="s">
        <v>17</v>
      </c>
      <c r="E4646" t="s">
        <v>22</v>
      </c>
      <c r="F4646" t="s">
        <v>16</v>
      </c>
      <c r="H4646">
        <v>264.10000000000002</v>
      </c>
      <c r="I4646" s="13">
        <v>6</v>
      </c>
      <c r="J4646">
        <v>0</v>
      </c>
      <c r="K4646">
        <v>0</v>
      </c>
      <c r="L4646">
        <v>0</v>
      </c>
      <c r="M4646">
        <v>0</v>
      </c>
      <c r="O4646">
        <f t="shared" si="72"/>
        <v>6</v>
      </c>
    </row>
    <row r="4647" spans="1:15">
      <c r="A4647">
        <v>1890</v>
      </c>
      <c r="B4647" s="1">
        <v>45836</v>
      </c>
      <c r="C4647">
        <v>34</v>
      </c>
      <c r="D4647" t="s">
        <v>14</v>
      </c>
      <c r="E4647" t="s">
        <v>20</v>
      </c>
      <c r="F4647" t="s">
        <v>16</v>
      </c>
      <c r="H4647">
        <v>173.4</v>
      </c>
      <c r="I4647" s="13">
        <v>3</v>
      </c>
      <c r="J4647">
        <v>0</v>
      </c>
      <c r="K4647">
        <v>0</v>
      </c>
      <c r="L4647">
        <v>0</v>
      </c>
      <c r="M4647">
        <v>0</v>
      </c>
      <c r="O4647">
        <f t="shared" si="72"/>
        <v>6</v>
      </c>
    </row>
    <row r="4648" spans="1:15">
      <c r="A4648">
        <v>2315</v>
      </c>
      <c r="B4648" s="1">
        <v>45836</v>
      </c>
      <c r="C4648">
        <v>46</v>
      </c>
      <c r="D4648" t="s">
        <v>17</v>
      </c>
      <c r="E4648" t="s">
        <v>22</v>
      </c>
      <c r="F4648" t="s">
        <v>21</v>
      </c>
      <c r="H4648">
        <v>170.4</v>
      </c>
      <c r="I4648" s="13">
        <v>4</v>
      </c>
      <c r="J4648">
        <v>0</v>
      </c>
      <c r="K4648">
        <v>0</v>
      </c>
      <c r="L4648">
        <v>0</v>
      </c>
      <c r="M4648">
        <v>0</v>
      </c>
      <c r="O4648">
        <f t="shared" si="72"/>
        <v>6</v>
      </c>
    </row>
    <row r="4649" spans="1:15">
      <c r="A4649">
        <v>391</v>
      </c>
      <c r="B4649" s="1">
        <v>45836</v>
      </c>
      <c r="C4649">
        <v>29</v>
      </c>
      <c r="D4649" t="s">
        <v>17</v>
      </c>
      <c r="E4649" t="s">
        <v>15</v>
      </c>
      <c r="F4649" t="s">
        <v>23</v>
      </c>
      <c r="H4649">
        <v>167.7</v>
      </c>
      <c r="I4649" s="13">
        <v>3</v>
      </c>
      <c r="J4649">
        <v>0</v>
      </c>
      <c r="K4649">
        <v>0</v>
      </c>
      <c r="L4649">
        <v>0</v>
      </c>
      <c r="M4649">
        <v>0</v>
      </c>
      <c r="O4649">
        <f t="shared" si="72"/>
        <v>6</v>
      </c>
    </row>
    <row r="4650" spans="1:15">
      <c r="A4650">
        <v>2461</v>
      </c>
      <c r="B4650" s="1">
        <v>45836</v>
      </c>
      <c r="C4650">
        <v>32</v>
      </c>
      <c r="D4650" t="s">
        <v>14</v>
      </c>
      <c r="E4650" t="s">
        <v>20</v>
      </c>
      <c r="F4650" t="s">
        <v>23</v>
      </c>
      <c r="H4650">
        <v>134.69999999999999</v>
      </c>
      <c r="I4650" s="13">
        <v>9</v>
      </c>
      <c r="J4650">
        <v>0</v>
      </c>
      <c r="K4650">
        <v>0</v>
      </c>
      <c r="L4650">
        <v>0</v>
      </c>
      <c r="M4650">
        <v>0</v>
      </c>
      <c r="O4650">
        <f t="shared" si="72"/>
        <v>6</v>
      </c>
    </row>
    <row r="4651" spans="1:15">
      <c r="A4651">
        <v>4472</v>
      </c>
      <c r="B4651" s="1">
        <v>45836</v>
      </c>
      <c r="C4651">
        <v>53</v>
      </c>
      <c r="D4651" t="s">
        <v>17</v>
      </c>
      <c r="E4651" t="s">
        <v>15</v>
      </c>
      <c r="F4651" t="s">
        <v>18</v>
      </c>
      <c r="G4651" t="s">
        <v>19</v>
      </c>
      <c r="H4651">
        <v>125.8</v>
      </c>
      <c r="I4651" s="13">
        <v>5</v>
      </c>
      <c r="J4651">
        <v>0</v>
      </c>
      <c r="K4651">
        <v>0</v>
      </c>
      <c r="L4651">
        <v>0</v>
      </c>
      <c r="M4651">
        <v>0</v>
      </c>
      <c r="O4651">
        <f t="shared" si="72"/>
        <v>6</v>
      </c>
    </row>
    <row r="4652" spans="1:15">
      <c r="A4652">
        <v>4034</v>
      </c>
      <c r="B4652" s="1">
        <v>45836</v>
      </c>
      <c r="C4652">
        <v>53</v>
      </c>
      <c r="D4652" t="s">
        <v>17</v>
      </c>
      <c r="E4652" t="s">
        <v>24</v>
      </c>
      <c r="F4652" t="s">
        <v>16</v>
      </c>
      <c r="H4652">
        <v>110.2</v>
      </c>
      <c r="I4652" s="13">
        <v>4</v>
      </c>
      <c r="J4652">
        <v>0</v>
      </c>
      <c r="K4652">
        <v>0</v>
      </c>
      <c r="L4652">
        <v>0</v>
      </c>
      <c r="M4652">
        <v>0</v>
      </c>
      <c r="O4652">
        <f t="shared" si="72"/>
        <v>6</v>
      </c>
    </row>
    <row r="4653" spans="1:15">
      <c r="A4653">
        <v>4060</v>
      </c>
      <c r="B4653" s="1">
        <v>45836</v>
      </c>
      <c r="C4653">
        <v>45</v>
      </c>
      <c r="D4653" t="s">
        <v>14</v>
      </c>
      <c r="E4653" t="s">
        <v>15</v>
      </c>
      <c r="F4653" t="s">
        <v>23</v>
      </c>
      <c r="H4653">
        <v>69.5</v>
      </c>
      <c r="I4653" s="13">
        <v>6</v>
      </c>
      <c r="J4653">
        <v>0</v>
      </c>
      <c r="K4653">
        <v>0</v>
      </c>
      <c r="L4653">
        <v>0</v>
      </c>
      <c r="M4653">
        <v>0</v>
      </c>
      <c r="O4653">
        <f t="shared" si="72"/>
        <v>6</v>
      </c>
    </row>
    <row r="4654" spans="1:15">
      <c r="A4654">
        <v>3432</v>
      </c>
      <c r="B4654" s="1">
        <v>45836</v>
      </c>
      <c r="C4654">
        <v>20</v>
      </c>
      <c r="D4654" t="s">
        <v>17</v>
      </c>
      <c r="E4654" t="s">
        <v>22</v>
      </c>
      <c r="F4654" t="s">
        <v>16</v>
      </c>
      <c r="H4654">
        <v>59.8</v>
      </c>
      <c r="I4654" s="13">
        <v>5</v>
      </c>
      <c r="J4654">
        <v>0</v>
      </c>
      <c r="K4654">
        <v>0</v>
      </c>
      <c r="L4654">
        <v>0</v>
      </c>
      <c r="M4654">
        <v>0</v>
      </c>
      <c r="O4654">
        <f t="shared" si="72"/>
        <v>6</v>
      </c>
    </row>
    <row r="4655" spans="1:15">
      <c r="A4655">
        <v>3668</v>
      </c>
      <c r="B4655" s="1">
        <v>45686</v>
      </c>
      <c r="C4655">
        <v>35</v>
      </c>
      <c r="D4655" t="s">
        <v>17</v>
      </c>
      <c r="E4655" t="s">
        <v>24</v>
      </c>
      <c r="F4655" t="s">
        <v>21</v>
      </c>
      <c r="H4655">
        <v>301.2</v>
      </c>
      <c r="I4655" s="13">
        <v>10</v>
      </c>
      <c r="J4655">
        <v>1</v>
      </c>
      <c r="K4655">
        <v>167</v>
      </c>
      <c r="L4655">
        <v>4</v>
      </c>
      <c r="M4655">
        <v>15</v>
      </c>
      <c r="N4655">
        <v>3</v>
      </c>
      <c r="O4655">
        <f t="shared" si="72"/>
        <v>1</v>
      </c>
    </row>
    <row r="4656" spans="1:15">
      <c r="A4656">
        <v>4826</v>
      </c>
      <c r="B4656" s="1">
        <v>45686</v>
      </c>
      <c r="C4656">
        <v>52</v>
      </c>
      <c r="D4656" t="s">
        <v>17</v>
      </c>
      <c r="E4656" t="s">
        <v>22</v>
      </c>
      <c r="F4656" t="s">
        <v>16</v>
      </c>
      <c r="H4656">
        <v>616.20000000000005</v>
      </c>
      <c r="I4656" s="13">
        <v>6</v>
      </c>
      <c r="J4656">
        <v>1</v>
      </c>
      <c r="K4656">
        <v>215</v>
      </c>
      <c r="L4656">
        <v>2</v>
      </c>
      <c r="M4656">
        <v>14</v>
      </c>
      <c r="N4656">
        <v>4</v>
      </c>
      <c r="O4656">
        <f t="shared" si="72"/>
        <v>1</v>
      </c>
    </row>
    <row r="4657" spans="1:15">
      <c r="A4657">
        <v>3211</v>
      </c>
      <c r="B4657" s="1">
        <v>45686</v>
      </c>
      <c r="C4657">
        <v>28</v>
      </c>
      <c r="D4657" t="s">
        <v>14</v>
      </c>
      <c r="E4657" t="s">
        <v>15</v>
      </c>
      <c r="F4657" t="s">
        <v>18</v>
      </c>
      <c r="G4657" t="s">
        <v>30</v>
      </c>
      <c r="H4657">
        <v>642.9</v>
      </c>
      <c r="I4657" s="13">
        <v>4</v>
      </c>
      <c r="J4657">
        <v>1</v>
      </c>
      <c r="K4657">
        <v>501</v>
      </c>
      <c r="L4657">
        <v>1</v>
      </c>
      <c r="M4657">
        <v>11</v>
      </c>
      <c r="N4657">
        <v>4</v>
      </c>
      <c r="O4657">
        <f t="shared" si="72"/>
        <v>1</v>
      </c>
    </row>
    <row r="4658" spans="1:15">
      <c r="A4658">
        <v>668</v>
      </c>
      <c r="B4658" s="1">
        <v>45686</v>
      </c>
      <c r="C4658">
        <v>21</v>
      </c>
      <c r="D4658" t="s">
        <v>17</v>
      </c>
      <c r="E4658" t="s">
        <v>24</v>
      </c>
      <c r="F4658" t="s">
        <v>18</v>
      </c>
      <c r="G4658" t="s">
        <v>28</v>
      </c>
      <c r="H4658">
        <v>350.9</v>
      </c>
      <c r="I4658" s="13">
        <v>7</v>
      </c>
      <c r="J4658">
        <v>1</v>
      </c>
      <c r="K4658">
        <v>241.52</v>
      </c>
      <c r="L4658">
        <v>2</v>
      </c>
      <c r="M4658">
        <v>6</v>
      </c>
      <c r="N4658">
        <v>4</v>
      </c>
      <c r="O4658">
        <f t="shared" si="72"/>
        <v>1</v>
      </c>
    </row>
    <row r="4659" spans="1:15">
      <c r="A4659">
        <v>1322</v>
      </c>
      <c r="B4659" s="1">
        <v>45686</v>
      </c>
      <c r="C4659">
        <v>27</v>
      </c>
      <c r="D4659" t="s">
        <v>27</v>
      </c>
      <c r="E4659" t="s">
        <v>20</v>
      </c>
      <c r="F4659" t="s">
        <v>16</v>
      </c>
      <c r="H4659">
        <v>699.8</v>
      </c>
      <c r="I4659" s="13">
        <v>2</v>
      </c>
      <c r="J4659">
        <v>1</v>
      </c>
      <c r="K4659">
        <v>111.48</v>
      </c>
      <c r="L4659">
        <v>2</v>
      </c>
      <c r="M4659">
        <v>10</v>
      </c>
      <c r="N4659">
        <v>4</v>
      </c>
      <c r="O4659">
        <f t="shared" si="72"/>
        <v>1</v>
      </c>
    </row>
    <row r="4660" spans="1:15">
      <c r="A4660">
        <v>4035</v>
      </c>
      <c r="B4660" s="1">
        <v>45686</v>
      </c>
      <c r="C4660">
        <v>40</v>
      </c>
      <c r="D4660" t="s">
        <v>17</v>
      </c>
      <c r="E4660" t="s">
        <v>15</v>
      </c>
      <c r="F4660" t="s">
        <v>16</v>
      </c>
      <c r="H4660">
        <v>752.6</v>
      </c>
      <c r="I4660" s="13">
        <v>8</v>
      </c>
      <c r="J4660">
        <v>1</v>
      </c>
      <c r="K4660">
        <v>90.4</v>
      </c>
      <c r="L4660">
        <v>2</v>
      </c>
      <c r="M4660">
        <v>14</v>
      </c>
      <c r="N4660">
        <v>4</v>
      </c>
      <c r="O4660">
        <f t="shared" si="72"/>
        <v>1</v>
      </c>
    </row>
    <row r="4661" spans="1:15">
      <c r="A4661">
        <v>876</v>
      </c>
      <c r="B4661" s="1">
        <v>45686</v>
      </c>
      <c r="C4661">
        <v>21</v>
      </c>
      <c r="D4661" t="s">
        <v>14</v>
      </c>
      <c r="E4661" t="s">
        <v>22</v>
      </c>
      <c r="F4661" t="s">
        <v>16</v>
      </c>
      <c r="H4661">
        <v>1014.5</v>
      </c>
      <c r="I4661" s="13">
        <v>7</v>
      </c>
      <c r="J4661">
        <v>1</v>
      </c>
      <c r="K4661">
        <v>72.930000000000007</v>
      </c>
      <c r="L4661">
        <v>4</v>
      </c>
      <c r="M4661">
        <v>13</v>
      </c>
      <c r="N4661">
        <v>4</v>
      </c>
      <c r="O4661">
        <f t="shared" si="72"/>
        <v>1</v>
      </c>
    </row>
    <row r="4662" spans="1:15">
      <c r="A4662">
        <v>3344</v>
      </c>
      <c r="B4662" s="1">
        <v>45686</v>
      </c>
      <c r="C4662">
        <v>27</v>
      </c>
      <c r="D4662" t="s">
        <v>17</v>
      </c>
      <c r="E4662" t="s">
        <v>22</v>
      </c>
      <c r="F4662" t="s">
        <v>16</v>
      </c>
      <c r="H4662">
        <v>451.4</v>
      </c>
      <c r="I4662" s="13">
        <v>8</v>
      </c>
      <c r="J4662">
        <v>1</v>
      </c>
      <c r="K4662">
        <v>61.28</v>
      </c>
      <c r="L4662">
        <v>2</v>
      </c>
      <c r="M4662">
        <v>10</v>
      </c>
      <c r="N4662">
        <v>4</v>
      </c>
      <c r="O4662">
        <f t="shared" si="72"/>
        <v>1</v>
      </c>
    </row>
    <row r="4663" spans="1:15">
      <c r="A4663">
        <v>6</v>
      </c>
      <c r="B4663" s="1">
        <v>45686</v>
      </c>
      <c r="C4663">
        <v>27</v>
      </c>
      <c r="D4663" t="s">
        <v>14</v>
      </c>
      <c r="E4663" t="s">
        <v>20</v>
      </c>
      <c r="F4663" t="s">
        <v>21</v>
      </c>
      <c r="H4663">
        <v>451.7</v>
      </c>
      <c r="I4663" s="13">
        <v>11</v>
      </c>
      <c r="J4663">
        <v>1</v>
      </c>
      <c r="K4663">
        <v>24.17</v>
      </c>
      <c r="L4663">
        <v>1</v>
      </c>
      <c r="M4663">
        <v>6</v>
      </c>
      <c r="N4663">
        <v>4</v>
      </c>
      <c r="O4663">
        <f t="shared" si="72"/>
        <v>1</v>
      </c>
    </row>
    <row r="4664" spans="1:15">
      <c r="A4664">
        <v>3873</v>
      </c>
      <c r="B4664" s="1">
        <v>45686</v>
      </c>
      <c r="C4664">
        <v>51</v>
      </c>
      <c r="D4664" t="s">
        <v>14</v>
      </c>
      <c r="E4664" t="s">
        <v>15</v>
      </c>
      <c r="F4664" t="s">
        <v>18</v>
      </c>
      <c r="G4664" t="s">
        <v>19</v>
      </c>
      <c r="H4664">
        <v>758.4</v>
      </c>
      <c r="I4664" s="13">
        <v>6</v>
      </c>
      <c r="J4664">
        <v>1</v>
      </c>
      <c r="K4664">
        <v>13.47</v>
      </c>
      <c r="L4664">
        <v>2</v>
      </c>
      <c r="M4664">
        <v>1</v>
      </c>
      <c r="N4664">
        <v>5</v>
      </c>
      <c r="O4664">
        <f t="shared" si="72"/>
        <v>1</v>
      </c>
    </row>
    <row r="4665" spans="1:15">
      <c r="A4665">
        <v>4468</v>
      </c>
      <c r="B4665" s="1">
        <v>45686</v>
      </c>
      <c r="C4665">
        <v>50</v>
      </c>
      <c r="D4665" t="s">
        <v>17</v>
      </c>
      <c r="E4665" t="s">
        <v>24</v>
      </c>
      <c r="F4665" t="s">
        <v>16</v>
      </c>
      <c r="H4665">
        <v>538.79999999999995</v>
      </c>
      <c r="I4665" s="13">
        <v>4</v>
      </c>
      <c r="J4665">
        <v>0</v>
      </c>
      <c r="K4665">
        <v>0</v>
      </c>
      <c r="L4665">
        <v>0</v>
      </c>
      <c r="M4665">
        <v>0</v>
      </c>
      <c r="O4665">
        <f t="shared" si="72"/>
        <v>1</v>
      </c>
    </row>
    <row r="4666" spans="1:15">
      <c r="A4666">
        <v>2421</v>
      </c>
      <c r="B4666" s="1">
        <v>45686</v>
      </c>
      <c r="C4666">
        <v>31</v>
      </c>
      <c r="D4666" t="s">
        <v>17</v>
      </c>
      <c r="E4666" t="s">
        <v>22</v>
      </c>
      <c r="F4666" t="s">
        <v>16</v>
      </c>
      <c r="H4666">
        <v>471.4</v>
      </c>
      <c r="I4666" s="13">
        <v>4</v>
      </c>
      <c r="J4666">
        <v>0</v>
      </c>
      <c r="K4666">
        <v>0</v>
      </c>
      <c r="L4666">
        <v>0</v>
      </c>
      <c r="M4666">
        <v>0</v>
      </c>
      <c r="O4666">
        <f t="shared" si="72"/>
        <v>1</v>
      </c>
    </row>
    <row r="4667" spans="1:15">
      <c r="A4667">
        <v>4028</v>
      </c>
      <c r="B4667" s="1">
        <v>45686</v>
      </c>
      <c r="C4667">
        <v>61</v>
      </c>
      <c r="D4667" t="s">
        <v>17</v>
      </c>
      <c r="E4667" t="s">
        <v>22</v>
      </c>
      <c r="F4667" t="s">
        <v>16</v>
      </c>
      <c r="H4667">
        <v>431.4</v>
      </c>
      <c r="I4667" s="13">
        <v>5</v>
      </c>
      <c r="J4667">
        <v>0</v>
      </c>
      <c r="K4667">
        <v>0</v>
      </c>
      <c r="L4667">
        <v>0</v>
      </c>
      <c r="M4667">
        <v>0</v>
      </c>
      <c r="O4667">
        <f t="shared" si="72"/>
        <v>1</v>
      </c>
    </row>
    <row r="4668" spans="1:15">
      <c r="A4668">
        <v>3173</v>
      </c>
      <c r="B4668" s="1">
        <v>45686</v>
      </c>
      <c r="C4668">
        <v>43</v>
      </c>
      <c r="D4668" t="s">
        <v>17</v>
      </c>
      <c r="E4668" t="s">
        <v>15</v>
      </c>
      <c r="F4668" t="s">
        <v>16</v>
      </c>
      <c r="H4668">
        <v>389.9</v>
      </c>
      <c r="I4668" s="13">
        <v>9</v>
      </c>
      <c r="J4668">
        <v>0</v>
      </c>
      <c r="K4668">
        <v>0</v>
      </c>
      <c r="L4668">
        <v>0</v>
      </c>
      <c r="M4668">
        <v>0</v>
      </c>
      <c r="O4668">
        <f t="shared" si="72"/>
        <v>1</v>
      </c>
    </row>
    <row r="4669" spans="1:15">
      <c r="A4669">
        <v>3938</v>
      </c>
      <c r="B4669" s="1">
        <v>45686</v>
      </c>
      <c r="C4669">
        <v>54</v>
      </c>
      <c r="D4669" t="s">
        <v>17</v>
      </c>
      <c r="E4669" t="s">
        <v>22</v>
      </c>
      <c r="F4669" t="s">
        <v>18</v>
      </c>
      <c r="G4669" t="s">
        <v>28</v>
      </c>
      <c r="H4669">
        <v>301.10000000000002</v>
      </c>
      <c r="I4669" s="13">
        <v>6</v>
      </c>
      <c r="J4669">
        <v>0</v>
      </c>
      <c r="K4669">
        <v>0</v>
      </c>
      <c r="L4669">
        <v>0</v>
      </c>
      <c r="M4669">
        <v>0</v>
      </c>
      <c r="O4669">
        <f t="shared" si="72"/>
        <v>1</v>
      </c>
    </row>
    <row r="4670" spans="1:15">
      <c r="A4670">
        <v>1157</v>
      </c>
      <c r="B4670" s="1">
        <v>45686</v>
      </c>
      <c r="C4670">
        <v>21</v>
      </c>
      <c r="D4670" t="s">
        <v>14</v>
      </c>
      <c r="E4670" t="s">
        <v>22</v>
      </c>
      <c r="F4670" t="s">
        <v>18</v>
      </c>
      <c r="G4670" t="s">
        <v>28</v>
      </c>
      <c r="H4670">
        <v>287</v>
      </c>
      <c r="I4670" s="13">
        <v>7</v>
      </c>
      <c r="J4670">
        <v>0</v>
      </c>
      <c r="K4670">
        <v>0</v>
      </c>
      <c r="L4670">
        <v>0</v>
      </c>
      <c r="M4670">
        <v>0</v>
      </c>
      <c r="O4670">
        <f t="shared" si="72"/>
        <v>1</v>
      </c>
    </row>
    <row r="4671" spans="1:15">
      <c r="A4671">
        <v>2103</v>
      </c>
      <c r="B4671" s="1">
        <v>45686</v>
      </c>
      <c r="C4671">
        <v>36</v>
      </c>
      <c r="D4671" t="s">
        <v>17</v>
      </c>
      <c r="E4671" t="s">
        <v>20</v>
      </c>
      <c r="F4671" t="s">
        <v>23</v>
      </c>
      <c r="H4671">
        <v>269.7</v>
      </c>
      <c r="I4671" s="13">
        <v>6</v>
      </c>
      <c r="J4671">
        <v>0</v>
      </c>
      <c r="K4671">
        <v>0</v>
      </c>
      <c r="L4671">
        <v>0</v>
      </c>
      <c r="M4671">
        <v>0</v>
      </c>
      <c r="O4671">
        <f t="shared" si="72"/>
        <v>1</v>
      </c>
    </row>
    <row r="4672" spans="1:15">
      <c r="A4672">
        <v>319</v>
      </c>
      <c r="B4672" s="1">
        <v>45686</v>
      </c>
      <c r="C4672">
        <v>30</v>
      </c>
      <c r="D4672" t="s">
        <v>27</v>
      </c>
      <c r="E4672" t="s">
        <v>22</v>
      </c>
      <c r="F4672" t="s">
        <v>21</v>
      </c>
      <c r="H4672">
        <v>233.6</v>
      </c>
      <c r="I4672" s="13">
        <v>6</v>
      </c>
      <c r="J4672">
        <v>0</v>
      </c>
      <c r="K4672">
        <v>0</v>
      </c>
      <c r="L4672">
        <v>0</v>
      </c>
      <c r="M4672">
        <v>0</v>
      </c>
      <c r="O4672">
        <f t="shared" si="72"/>
        <v>1</v>
      </c>
    </row>
    <row r="4673" spans="1:15">
      <c r="A4673">
        <v>1885</v>
      </c>
      <c r="B4673" s="1">
        <v>45686</v>
      </c>
      <c r="C4673">
        <v>34</v>
      </c>
      <c r="D4673" t="s">
        <v>17</v>
      </c>
      <c r="E4673" t="s">
        <v>22</v>
      </c>
      <c r="F4673" t="s">
        <v>16</v>
      </c>
      <c r="H4673">
        <v>221.5</v>
      </c>
      <c r="I4673" s="13">
        <v>3</v>
      </c>
      <c r="J4673">
        <v>0</v>
      </c>
      <c r="K4673">
        <v>0</v>
      </c>
      <c r="L4673">
        <v>0</v>
      </c>
      <c r="M4673">
        <v>0</v>
      </c>
      <c r="O4673">
        <f t="shared" si="72"/>
        <v>1</v>
      </c>
    </row>
    <row r="4674" spans="1:15">
      <c r="A4674">
        <v>2997</v>
      </c>
      <c r="B4674" s="1">
        <v>45686</v>
      </c>
      <c r="C4674">
        <v>32</v>
      </c>
      <c r="D4674" t="s">
        <v>17</v>
      </c>
      <c r="E4674" t="s">
        <v>24</v>
      </c>
      <c r="F4674" t="s">
        <v>16</v>
      </c>
      <c r="H4674">
        <v>201.3</v>
      </c>
      <c r="I4674" s="13">
        <v>4</v>
      </c>
      <c r="J4674">
        <v>0</v>
      </c>
      <c r="K4674">
        <v>0</v>
      </c>
      <c r="L4674">
        <v>0</v>
      </c>
      <c r="M4674">
        <v>0</v>
      </c>
      <c r="O4674">
        <f t="shared" si="72"/>
        <v>1</v>
      </c>
    </row>
    <row r="4675" spans="1:15">
      <c r="A4675">
        <v>1165</v>
      </c>
      <c r="B4675" s="1">
        <v>45686</v>
      </c>
      <c r="C4675">
        <v>20</v>
      </c>
      <c r="D4675" t="s">
        <v>14</v>
      </c>
      <c r="E4675" t="s">
        <v>15</v>
      </c>
      <c r="F4675" t="s">
        <v>21</v>
      </c>
      <c r="H4675">
        <v>190.5</v>
      </c>
      <c r="I4675" s="13">
        <v>8</v>
      </c>
      <c r="J4675">
        <v>0</v>
      </c>
      <c r="K4675">
        <v>0</v>
      </c>
      <c r="L4675">
        <v>0</v>
      </c>
      <c r="M4675">
        <v>0</v>
      </c>
      <c r="O4675">
        <f t="shared" ref="O4675:O4738" si="73">MONTH(B4675)</f>
        <v>1</v>
      </c>
    </row>
    <row r="4676" spans="1:15">
      <c r="A4676">
        <v>4834</v>
      </c>
      <c r="B4676" s="1">
        <v>45686</v>
      </c>
      <c r="C4676">
        <v>36</v>
      </c>
      <c r="D4676" t="s">
        <v>14</v>
      </c>
      <c r="E4676" t="s">
        <v>22</v>
      </c>
      <c r="F4676" t="s">
        <v>16</v>
      </c>
      <c r="H4676">
        <v>179.5</v>
      </c>
      <c r="I4676" s="13">
        <v>5</v>
      </c>
      <c r="J4676">
        <v>0</v>
      </c>
      <c r="K4676">
        <v>0</v>
      </c>
      <c r="L4676">
        <v>0</v>
      </c>
      <c r="M4676">
        <v>0</v>
      </c>
      <c r="O4676">
        <f t="shared" si="73"/>
        <v>1</v>
      </c>
    </row>
    <row r="4677" spans="1:15">
      <c r="A4677">
        <v>1992</v>
      </c>
      <c r="B4677" s="1">
        <v>45686</v>
      </c>
      <c r="C4677">
        <v>18</v>
      </c>
      <c r="D4677" t="s">
        <v>17</v>
      </c>
      <c r="E4677" t="s">
        <v>20</v>
      </c>
      <c r="F4677" t="s">
        <v>16</v>
      </c>
      <c r="H4677">
        <v>168.7</v>
      </c>
      <c r="I4677" s="13">
        <v>4</v>
      </c>
      <c r="J4677">
        <v>0</v>
      </c>
      <c r="K4677">
        <v>0</v>
      </c>
      <c r="L4677">
        <v>0</v>
      </c>
      <c r="M4677">
        <v>0</v>
      </c>
      <c r="O4677">
        <f t="shared" si="73"/>
        <v>1</v>
      </c>
    </row>
    <row r="4678" spans="1:15">
      <c r="A4678">
        <v>3174</v>
      </c>
      <c r="B4678" s="1">
        <v>45686</v>
      </c>
      <c r="C4678">
        <v>32</v>
      </c>
      <c r="D4678" t="s">
        <v>14</v>
      </c>
      <c r="E4678" t="s">
        <v>20</v>
      </c>
      <c r="F4678" t="s">
        <v>23</v>
      </c>
      <c r="H4678">
        <v>158.1</v>
      </c>
      <c r="I4678" s="13">
        <v>2</v>
      </c>
      <c r="J4678">
        <v>0</v>
      </c>
      <c r="K4678">
        <v>0</v>
      </c>
      <c r="L4678">
        <v>0</v>
      </c>
      <c r="M4678">
        <v>0</v>
      </c>
      <c r="O4678">
        <f t="shared" si="73"/>
        <v>1</v>
      </c>
    </row>
    <row r="4679" spans="1:15">
      <c r="A4679">
        <v>210</v>
      </c>
      <c r="B4679" s="1">
        <v>45686</v>
      </c>
      <c r="C4679">
        <v>31</v>
      </c>
      <c r="D4679" t="s">
        <v>14</v>
      </c>
      <c r="E4679" t="s">
        <v>22</v>
      </c>
      <c r="F4679" t="s">
        <v>16</v>
      </c>
      <c r="H4679">
        <v>83.2</v>
      </c>
      <c r="I4679" s="13">
        <v>6</v>
      </c>
      <c r="J4679">
        <v>0</v>
      </c>
      <c r="K4679">
        <v>0</v>
      </c>
      <c r="L4679">
        <v>0</v>
      </c>
      <c r="M4679">
        <v>0</v>
      </c>
      <c r="O4679">
        <f t="shared" si="73"/>
        <v>1</v>
      </c>
    </row>
    <row r="4680" spans="1:15">
      <c r="A4680">
        <v>3462</v>
      </c>
      <c r="B4680" s="1">
        <v>45686</v>
      </c>
      <c r="C4680">
        <v>34</v>
      </c>
      <c r="D4680" t="s">
        <v>17</v>
      </c>
      <c r="E4680" t="s">
        <v>20</v>
      </c>
      <c r="F4680" t="s">
        <v>16</v>
      </c>
      <c r="H4680">
        <v>61.4</v>
      </c>
      <c r="I4680" s="13">
        <v>5</v>
      </c>
      <c r="J4680">
        <v>0</v>
      </c>
      <c r="K4680">
        <v>0</v>
      </c>
      <c r="L4680">
        <v>0</v>
      </c>
      <c r="M4680">
        <v>0</v>
      </c>
      <c r="O4680">
        <f t="shared" si="73"/>
        <v>1</v>
      </c>
    </row>
    <row r="4681" spans="1:15">
      <c r="A4681">
        <v>5</v>
      </c>
      <c r="B4681" s="1">
        <v>45686</v>
      </c>
      <c r="C4681">
        <v>28</v>
      </c>
      <c r="D4681" t="s">
        <v>14</v>
      </c>
      <c r="E4681" t="s">
        <v>20</v>
      </c>
      <c r="F4681" t="s">
        <v>21</v>
      </c>
      <c r="H4681">
        <v>12</v>
      </c>
      <c r="I4681" s="13">
        <v>4</v>
      </c>
      <c r="J4681">
        <v>0</v>
      </c>
      <c r="K4681">
        <v>0</v>
      </c>
      <c r="L4681">
        <v>0</v>
      </c>
      <c r="M4681">
        <v>0</v>
      </c>
      <c r="O4681">
        <f t="shared" si="73"/>
        <v>1</v>
      </c>
    </row>
    <row r="4682" spans="1:15">
      <c r="A4682">
        <v>1758</v>
      </c>
      <c r="B4682" s="1">
        <v>45745</v>
      </c>
      <c r="C4682">
        <v>40</v>
      </c>
      <c r="D4682" t="s">
        <v>17</v>
      </c>
      <c r="E4682" t="s">
        <v>22</v>
      </c>
      <c r="F4682" t="s">
        <v>18</v>
      </c>
      <c r="G4682" t="s">
        <v>19</v>
      </c>
      <c r="H4682">
        <v>136.6</v>
      </c>
      <c r="I4682" s="13">
        <v>4</v>
      </c>
      <c r="J4682">
        <v>1</v>
      </c>
      <c r="K4682">
        <v>195.89</v>
      </c>
      <c r="L4682">
        <v>4</v>
      </c>
      <c r="M4682">
        <v>7</v>
      </c>
      <c r="N4682">
        <v>4</v>
      </c>
      <c r="O4682">
        <f t="shared" si="73"/>
        <v>3</v>
      </c>
    </row>
    <row r="4683" spans="1:15">
      <c r="A4683">
        <v>624</v>
      </c>
      <c r="B4683" s="1">
        <v>45745</v>
      </c>
      <c r="C4683">
        <v>22</v>
      </c>
      <c r="D4683" t="s">
        <v>17</v>
      </c>
      <c r="E4683" t="s">
        <v>20</v>
      </c>
      <c r="F4683" t="s">
        <v>16</v>
      </c>
      <c r="H4683">
        <v>808.5</v>
      </c>
      <c r="I4683" s="13">
        <v>12</v>
      </c>
      <c r="J4683">
        <v>1</v>
      </c>
      <c r="K4683">
        <v>150.05000000000001</v>
      </c>
      <c r="L4683">
        <v>2</v>
      </c>
      <c r="M4683">
        <v>7</v>
      </c>
      <c r="N4683">
        <v>5</v>
      </c>
      <c r="O4683">
        <f t="shared" si="73"/>
        <v>3</v>
      </c>
    </row>
    <row r="4684" spans="1:15">
      <c r="A4684">
        <v>4476</v>
      </c>
      <c r="B4684" s="1">
        <v>45745</v>
      </c>
      <c r="C4684">
        <v>51</v>
      </c>
      <c r="D4684" t="s">
        <v>17</v>
      </c>
      <c r="E4684" t="s">
        <v>15</v>
      </c>
      <c r="F4684" t="s">
        <v>16</v>
      </c>
      <c r="H4684">
        <v>741.6</v>
      </c>
      <c r="I4684" s="13">
        <v>7</v>
      </c>
      <c r="J4684">
        <v>1</v>
      </c>
      <c r="K4684">
        <v>144.62</v>
      </c>
      <c r="L4684">
        <v>4</v>
      </c>
      <c r="M4684">
        <v>6</v>
      </c>
      <c r="N4684">
        <v>4</v>
      </c>
      <c r="O4684">
        <f t="shared" si="73"/>
        <v>3</v>
      </c>
    </row>
    <row r="4685" spans="1:15">
      <c r="A4685">
        <v>3647</v>
      </c>
      <c r="B4685" s="1">
        <v>45745</v>
      </c>
      <c r="C4685">
        <v>38</v>
      </c>
      <c r="D4685" t="s">
        <v>14</v>
      </c>
      <c r="E4685" t="s">
        <v>22</v>
      </c>
      <c r="F4685" t="s">
        <v>16</v>
      </c>
      <c r="H4685">
        <v>253</v>
      </c>
      <c r="I4685" s="13">
        <v>10</v>
      </c>
      <c r="J4685">
        <v>1</v>
      </c>
      <c r="K4685">
        <v>74.44</v>
      </c>
      <c r="L4685">
        <v>5</v>
      </c>
      <c r="M4685">
        <v>10</v>
      </c>
      <c r="N4685">
        <v>5</v>
      </c>
      <c r="O4685">
        <f t="shared" si="73"/>
        <v>3</v>
      </c>
    </row>
    <row r="4686" spans="1:15">
      <c r="A4686">
        <v>1205</v>
      </c>
      <c r="B4686" s="1">
        <v>45745</v>
      </c>
      <c r="C4686">
        <v>24</v>
      </c>
      <c r="D4686" t="s">
        <v>14</v>
      </c>
      <c r="E4686" t="s">
        <v>22</v>
      </c>
      <c r="F4686" t="s">
        <v>18</v>
      </c>
      <c r="G4686" t="s">
        <v>31</v>
      </c>
      <c r="H4686">
        <v>213.3</v>
      </c>
      <c r="I4686" s="13">
        <v>9</v>
      </c>
      <c r="J4686">
        <v>1</v>
      </c>
      <c r="K4686">
        <v>62.43</v>
      </c>
      <c r="L4686">
        <v>2</v>
      </c>
      <c r="M4686">
        <v>1</v>
      </c>
      <c r="N4686">
        <v>5</v>
      </c>
      <c r="O4686">
        <f t="shared" si="73"/>
        <v>3</v>
      </c>
    </row>
    <row r="4687" spans="1:15">
      <c r="A4687">
        <v>3278</v>
      </c>
      <c r="B4687" s="1">
        <v>45745</v>
      </c>
      <c r="C4687">
        <v>21</v>
      </c>
      <c r="D4687" t="s">
        <v>27</v>
      </c>
      <c r="E4687" t="s">
        <v>22</v>
      </c>
      <c r="F4687" t="s">
        <v>16</v>
      </c>
      <c r="H4687">
        <v>266.3</v>
      </c>
      <c r="I4687" s="13">
        <v>8</v>
      </c>
      <c r="J4687">
        <v>1</v>
      </c>
      <c r="K4687">
        <v>38.9</v>
      </c>
      <c r="L4687">
        <v>2</v>
      </c>
      <c r="M4687">
        <v>9</v>
      </c>
      <c r="N4687">
        <v>4</v>
      </c>
      <c r="O4687">
        <f t="shared" si="73"/>
        <v>3</v>
      </c>
    </row>
    <row r="4688" spans="1:15">
      <c r="A4688">
        <v>4497</v>
      </c>
      <c r="B4688" s="1">
        <v>45745</v>
      </c>
      <c r="C4688">
        <v>50</v>
      </c>
      <c r="D4688" t="s">
        <v>14</v>
      </c>
      <c r="E4688" t="s">
        <v>15</v>
      </c>
      <c r="F4688" t="s">
        <v>23</v>
      </c>
      <c r="H4688">
        <v>981.7</v>
      </c>
      <c r="I4688" s="13">
        <v>4</v>
      </c>
      <c r="J4688">
        <v>1</v>
      </c>
      <c r="K4688">
        <v>17.68</v>
      </c>
      <c r="L4688">
        <v>4</v>
      </c>
      <c r="M4688">
        <v>11</v>
      </c>
      <c r="N4688">
        <v>5</v>
      </c>
      <c r="O4688">
        <f t="shared" si="73"/>
        <v>3</v>
      </c>
    </row>
    <row r="4689" spans="1:15">
      <c r="A4689">
        <v>2364</v>
      </c>
      <c r="B4689" s="1">
        <v>45745</v>
      </c>
      <c r="C4689">
        <v>43</v>
      </c>
      <c r="D4689" t="s">
        <v>14</v>
      </c>
      <c r="E4689" t="s">
        <v>20</v>
      </c>
      <c r="F4689" t="s">
        <v>16</v>
      </c>
      <c r="H4689">
        <v>230.8</v>
      </c>
      <c r="I4689" s="13">
        <v>4</v>
      </c>
      <c r="J4689">
        <v>1</v>
      </c>
      <c r="K4689">
        <v>16.920000000000002</v>
      </c>
      <c r="L4689">
        <v>3</v>
      </c>
      <c r="M4689">
        <v>9</v>
      </c>
      <c r="N4689">
        <v>4</v>
      </c>
      <c r="O4689">
        <f t="shared" si="73"/>
        <v>3</v>
      </c>
    </row>
    <row r="4690" spans="1:15">
      <c r="A4690">
        <v>2010</v>
      </c>
      <c r="B4690" s="1">
        <v>45745</v>
      </c>
      <c r="C4690">
        <v>35</v>
      </c>
      <c r="D4690" t="s">
        <v>14</v>
      </c>
      <c r="E4690" t="s">
        <v>22</v>
      </c>
      <c r="F4690" t="s">
        <v>18</v>
      </c>
      <c r="G4690" t="s">
        <v>25</v>
      </c>
      <c r="H4690">
        <v>611.5</v>
      </c>
      <c r="I4690" s="13">
        <v>5</v>
      </c>
      <c r="J4690">
        <v>1</v>
      </c>
      <c r="K4690">
        <v>16.13</v>
      </c>
      <c r="L4690">
        <v>3</v>
      </c>
      <c r="M4690">
        <v>11</v>
      </c>
      <c r="N4690">
        <v>4</v>
      </c>
      <c r="O4690">
        <f t="shared" si="73"/>
        <v>3</v>
      </c>
    </row>
    <row r="4691" spans="1:15">
      <c r="A4691">
        <v>3548</v>
      </c>
      <c r="B4691" s="1">
        <v>45745</v>
      </c>
      <c r="C4691">
        <v>41</v>
      </c>
      <c r="D4691" t="s">
        <v>14</v>
      </c>
      <c r="E4691" t="s">
        <v>22</v>
      </c>
      <c r="F4691" t="s">
        <v>21</v>
      </c>
      <c r="H4691">
        <v>335.9</v>
      </c>
      <c r="I4691" s="13">
        <v>9</v>
      </c>
      <c r="J4691">
        <v>1</v>
      </c>
      <c r="K4691">
        <v>15.24</v>
      </c>
      <c r="L4691">
        <v>2</v>
      </c>
      <c r="M4691">
        <v>15</v>
      </c>
      <c r="N4691">
        <v>5</v>
      </c>
      <c r="O4691">
        <f t="shared" si="73"/>
        <v>3</v>
      </c>
    </row>
    <row r="4692" spans="1:15">
      <c r="A4692">
        <v>3636</v>
      </c>
      <c r="B4692" s="1">
        <v>45745</v>
      </c>
      <c r="C4692">
        <v>35</v>
      </c>
      <c r="D4692" t="s">
        <v>17</v>
      </c>
      <c r="E4692" t="s">
        <v>24</v>
      </c>
      <c r="F4692" t="s">
        <v>21</v>
      </c>
      <c r="H4692">
        <v>716.2</v>
      </c>
      <c r="I4692" s="13">
        <v>6</v>
      </c>
      <c r="J4692">
        <v>0</v>
      </c>
      <c r="K4692">
        <v>0</v>
      </c>
      <c r="L4692">
        <v>0</v>
      </c>
      <c r="M4692">
        <v>0</v>
      </c>
      <c r="O4692">
        <f t="shared" si="73"/>
        <v>3</v>
      </c>
    </row>
    <row r="4693" spans="1:15">
      <c r="A4693">
        <v>4613</v>
      </c>
      <c r="B4693" s="1">
        <v>45745</v>
      </c>
      <c r="C4693">
        <v>59</v>
      </c>
      <c r="D4693" t="s">
        <v>14</v>
      </c>
      <c r="E4693" t="s">
        <v>20</v>
      </c>
      <c r="F4693" t="s">
        <v>18</v>
      </c>
      <c r="G4693" t="s">
        <v>26</v>
      </c>
      <c r="H4693">
        <v>715.8</v>
      </c>
      <c r="I4693" s="13">
        <v>4</v>
      </c>
      <c r="J4693">
        <v>0</v>
      </c>
      <c r="K4693">
        <v>0</v>
      </c>
      <c r="L4693">
        <v>0</v>
      </c>
      <c r="M4693">
        <v>0</v>
      </c>
      <c r="O4693">
        <f t="shared" si="73"/>
        <v>3</v>
      </c>
    </row>
    <row r="4694" spans="1:15">
      <c r="A4694">
        <v>2273</v>
      </c>
      <c r="B4694" s="1">
        <v>45745</v>
      </c>
      <c r="C4694">
        <v>28</v>
      </c>
      <c r="D4694" t="s">
        <v>14</v>
      </c>
      <c r="E4694" t="s">
        <v>22</v>
      </c>
      <c r="F4694" t="s">
        <v>18</v>
      </c>
      <c r="G4694" t="s">
        <v>31</v>
      </c>
      <c r="H4694">
        <v>529.5</v>
      </c>
      <c r="I4694" s="13">
        <v>5</v>
      </c>
      <c r="J4694">
        <v>0</v>
      </c>
      <c r="K4694">
        <v>0</v>
      </c>
      <c r="L4694">
        <v>0</v>
      </c>
      <c r="M4694">
        <v>0</v>
      </c>
      <c r="O4694">
        <f t="shared" si="73"/>
        <v>3</v>
      </c>
    </row>
    <row r="4695" spans="1:15">
      <c r="A4695">
        <v>3479</v>
      </c>
      <c r="B4695" s="1">
        <v>45745</v>
      </c>
      <c r="C4695">
        <v>32</v>
      </c>
      <c r="D4695" t="s">
        <v>17</v>
      </c>
      <c r="E4695" t="s">
        <v>24</v>
      </c>
      <c r="F4695" t="s">
        <v>18</v>
      </c>
      <c r="G4695" t="s">
        <v>30</v>
      </c>
      <c r="H4695">
        <v>525.29999999999995</v>
      </c>
      <c r="I4695" s="13">
        <v>6</v>
      </c>
      <c r="J4695">
        <v>0</v>
      </c>
      <c r="K4695">
        <v>0</v>
      </c>
      <c r="L4695">
        <v>0</v>
      </c>
      <c r="M4695">
        <v>0</v>
      </c>
      <c r="O4695">
        <f t="shared" si="73"/>
        <v>3</v>
      </c>
    </row>
    <row r="4696" spans="1:15">
      <c r="A4696">
        <v>3558</v>
      </c>
      <c r="B4696" s="1">
        <v>45745</v>
      </c>
      <c r="C4696">
        <v>34</v>
      </c>
      <c r="D4696" t="s">
        <v>14</v>
      </c>
      <c r="E4696" t="s">
        <v>20</v>
      </c>
      <c r="F4696" t="s">
        <v>16</v>
      </c>
      <c r="H4696">
        <v>491.1</v>
      </c>
      <c r="I4696" s="13">
        <v>3</v>
      </c>
      <c r="J4696">
        <v>0</v>
      </c>
      <c r="K4696">
        <v>0</v>
      </c>
      <c r="L4696">
        <v>0</v>
      </c>
      <c r="M4696">
        <v>0</v>
      </c>
      <c r="O4696">
        <f t="shared" si="73"/>
        <v>3</v>
      </c>
    </row>
    <row r="4697" spans="1:15">
      <c r="A4697">
        <v>1764</v>
      </c>
      <c r="B4697" s="1">
        <v>45745</v>
      </c>
      <c r="C4697">
        <v>18</v>
      </c>
      <c r="D4697" t="s">
        <v>14</v>
      </c>
      <c r="E4697" t="s">
        <v>15</v>
      </c>
      <c r="F4697" t="s">
        <v>16</v>
      </c>
      <c r="H4697">
        <v>478</v>
      </c>
      <c r="I4697" s="13">
        <v>4</v>
      </c>
      <c r="J4697">
        <v>0</v>
      </c>
      <c r="K4697">
        <v>0</v>
      </c>
      <c r="L4697">
        <v>0</v>
      </c>
      <c r="M4697">
        <v>0</v>
      </c>
      <c r="O4697">
        <f t="shared" si="73"/>
        <v>3</v>
      </c>
    </row>
    <row r="4698" spans="1:15">
      <c r="A4698">
        <v>1525</v>
      </c>
      <c r="B4698" s="1">
        <v>45745</v>
      </c>
      <c r="C4698">
        <v>26</v>
      </c>
      <c r="D4698" t="s">
        <v>17</v>
      </c>
      <c r="E4698" t="s">
        <v>15</v>
      </c>
      <c r="F4698" t="s">
        <v>23</v>
      </c>
      <c r="H4698">
        <v>352.6</v>
      </c>
      <c r="I4698" s="13">
        <v>5</v>
      </c>
      <c r="J4698">
        <v>0</v>
      </c>
      <c r="K4698">
        <v>0</v>
      </c>
      <c r="L4698">
        <v>0</v>
      </c>
      <c r="M4698">
        <v>0</v>
      </c>
      <c r="O4698">
        <f t="shared" si="73"/>
        <v>3</v>
      </c>
    </row>
    <row r="4699" spans="1:15">
      <c r="A4699">
        <v>1433</v>
      </c>
      <c r="B4699" s="1">
        <v>45745</v>
      </c>
      <c r="C4699">
        <v>27</v>
      </c>
      <c r="D4699" t="s">
        <v>17</v>
      </c>
      <c r="E4699" t="s">
        <v>20</v>
      </c>
      <c r="F4699" t="s">
        <v>21</v>
      </c>
      <c r="H4699">
        <v>330.4</v>
      </c>
      <c r="I4699" s="13">
        <v>6</v>
      </c>
      <c r="J4699">
        <v>0</v>
      </c>
      <c r="K4699">
        <v>0</v>
      </c>
      <c r="L4699">
        <v>0</v>
      </c>
      <c r="M4699">
        <v>0</v>
      </c>
      <c r="O4699">
        <f t="shared" si="73"/>
        <v>3</v>
      </c>
    </row>
    <row r="4700" spans="1:15">
      <c r="A4700">
        <v>3906</v>
      </c>
      <c r="B4700" s="1">
        <v>45745</v>
      </c>
      <c r="C4700">
        <v>51</v>
      </c>
      <c r="D4700" t="s">
        <v>14</v>
      </c>
      <c r="E4700" t="s">
        <v>20</v>
      </c>
      <c r="F4700" t="s">
        <v>23</v>
      </c>
      <c r="H4700">
        <v>327.8</v>
      </c>
      <c r="I4700" s="13">
        <v>4</v>
      </c>
      <c r="J4700">
        <v>0</v>
      </c>
      <c r="K4700">
        <v>0</v>
      </c>
      <c r="L4700">
        <v>0</v>
      </c>
      <c r="M4700">
        <v>0</v>
      </c>
      <c r="O4700">
        <f t="shared" si="73"/>
        <v>3</v>
      </c>
    </row>
    <row r="4701" spans="1:15">
      <c r="A4701">
        <v>1688</v>
      </c>
      <c r="B4701" s="1">
        <v>45745</v>
      </c>
      <c r="C4701">
        <v>27</v>
      </c>
      <c r="D4701" t="s">
        <v>14</v>
      </c>
      <c r="E4701" t="s">
        <v>20</v>
      </c>
      <c r="F4701" t="s">
        <v>21</v>
      </c>
      <c r="H4701">
        <v>268.10000000000002</v>
      </c>
      <c r="I4701" s="13">
        <v>5</v>
      </c>
      <c r="J4701">
        <v>0</v>
      </c>
      <c r="K4701">
        <v>0</v>
      </c>
      <c r="L4701">
        <v>0</v>
      </c>
      <c r="M4701">
        <v>0</v>
      </c>
      <c r="O4701">
        <f t="shared" si="73"/>
        <v>3</v>
      </c>
    </row>
    <row r="4702" spans="1:15">
      <c r="A4702">
        <v>2730</v>
      </c>
      <c r="B4702" s="1">
        <v>45745</v>
      </c>
      <c r="C4702">
        <v>30</v>
      </c>
      <c r="D4702" t="s">
        <v>14</v>
      </c>
      <c r="E4702" t="s">
        <v>20</v>
      </c>
      <c r="F4702" t="s">
        <v>16</v>
      </c>
      <c r="H4702">
        <v>266.8</v>
      </c>
      <c r="I4702" s="13">
        <v>8</v>
      </c>
      <c r="J4702">
        <v>0</v>
      </c>
      <c r="K4702">
        <v>0</v>
      </c>
      <c r="L4702">
        <v>0</v>
      </c>
      <c r="M4702">
        <v>0</v>
      </c>
      <c r="O4702">
        <f t="shared" si="73"/>
        <v>3</v>
      </c>
    </row>
    <row r="4703" spans="1:15">
      <c r="A4703">
        <v>3317</v>
      </c>
      <c r="B4703" s="1">
        <v>45745</v>
      </c>
      <c r="C4703">
        <v>30</v>
      </c>
      <c r="D4703" t="s">
        <v>17</v>
      </c>
      <c r="E4703" t="s">
        <v>15</v>
      </c>
      <c r="F4703" t="s">
        <v>23</v>
      </c>
      <c r="H4703">
        <v>251.6</v>
      </c>
      <c r="I4703" s="13">
        <v>3</v>
      </c>
      <c r="J4703">
        <v>0</v>
      </c>
      <c r="K4703">
        <v>0</v>
      </c>
      <c r="L4703">
        <v>0</v>
      </c>
      <c r="M4703">
        <v>0</v>
      </c>
      <c r="O4703">
        <f t="shared" si="73"/>
        <v>3</v>
      </c>
    </row>
    <row r="4704" spans="1:15">
      <c r="A4704">
        <v>4902</v>
      </c>
      <c r="B4704" s="1">
        <v>45745</v>
      </c>
      <c r="C4704">
        <v>47</v>
      </c>
      <c r="D4704" t="s">
        <v>17</v>
      </c>
      <c r="E4704" t="s">
        <v>22</v>
      </c>
      <c r="F4704" t="s">
        <v>18</v>
      </c>
      <c r="G4704" t="s">
        <v>29</v>
      </c>
      <c r="H4704">
        <v>217.2</v>
      </c>
      <c r="I4704" s="13">
        <v>4</v>
      </c>
      <c r="J4704">
        <v>0</v>
      </c>
      <c r="K4704">
        <v>0</v>
      </c>
      <c r="L4704">
        <v>0</v>
      </c>
      <c r="M4704">
        <v>0</v>
      </c>
      <c r="O4704">
        <f t="shared" si="73"/>
        <v>3</v>
      </c>
    </row>
    <row r="4705" spans="1:15">
      <c r="A4705">
        <v>2413</v>
      </c>
      <c r="B4705" s="1">
        <v>45745</v>
      </c>
      <c r="C4705">
        <v>18</v>
      </c>
      <c r="D4705" t="s">
        <v>17</v>
      </c>
      <c r="E4705" t="s">
        <v>22</v>
      </c>
      <c r="F4705" t="s">
        <v>23</v>
      </c>
      <c r="H4705">
        <v>215.5</v>
      </c>
      <c r="I4705" s="13">
        <v>5</v>
      </c>
      <c r="J4705">
        <v>0</v>
      </c>
      <c r="K4705">
        <v>0</v>
      </c>
      <c r="L4705">
        <v>0</v>
      </c>
      <c r="M4705">
        <v>0</v>
      </c>
      <c r="O4705">
        <f t="shared" si="73"/>
        <v>3</v>
      </c>
    </row>
    <row r="4706" spans="1:15">
      <c r="A4706">
        <v>1546</v>
      </c>
      <c r="B4706" s="1">
        <v>45745</v>
      </c>
      <c r="C4706">
        <v>27</v>
      </c>
      <c r="D4706" t="s">
        <v>14</v>
      </c>
      <c r="E4706" t="s">
        <v>15</v>
      </c>
      <c r="F4706" t="s">
        <v>18</v>
      </c>
      <c r="G4706" t="s">
        <v>29</v>
      </c>
      <c r="H4706">
        <v>161.9</v>
      </c>
      <c r="I4706" s="13">
        <v>8</v>
      </c>
      <c r="J4706">
        <v>0</v>
      </c>
      <c r="K4706">
        <v>0</v>
      </c>
      <c r="L4706">
        <v>0</v>
      </c>
      <c r="M4706">
        <v>0</v>
      </c>
      <c r="O4706">
        <f t="shared" si="73"/>
        <v>3</v>
      </c>
    </row>
    <row r="4707" spans="1:15">
      <c r="A4707">
        <v>2546</v>
      </c>
      <c r="B4707" s="1">
        <v>45745</v>
      </c>
      <c r="C4707">
        <v>24</v>
      </c>
      <c r="D4707" t="s">
        <v>14</v>
      </c>
      <c r="E4707" t="s">
        <v>22</v>
      </c>
      <c r="F4707" t="s">
        <v>16</v>
      </c>
      <c r="H4707">
        <v>150</v>
      </c>
      <c r="I4707" s="13">
        <v>3</v>
      </c>
      <c r="J4707">
        <v>0</v>
      </c>
      <c r="K4707">
        <v>0</v>
      </c>
      <c r="L4707">
        <v>0</v>
      </c>
      <c r="M4707">
        <v>0</v>
      </c>
      <c r="O4707">
        <f t="shared" si="73"/>
        <v>3</v>
      </c>
    </row>
    <row r="4708" spans="1:15">
      <c r="A4708">
        <v>2487</v>
      </c>
      <c r="B4708" s="1">
        <v>45745</v>
      </c>
      <c r="C4708">
        <v>46</v>
      </c>
      <c r="D4708" t="s">
        <v>14</v>
      </c>
      <c r="E4708" t="s">
        <v>20</v>
      </c>
      <c r="F4708" t="s">
        <v>16</v>
      </c>
      <c r="H4708">
        <v>122.2</v>
      </c>
      <c r="I4708" s="13">
        <v>1</v>
      </c>
      <c r="J4708">
        <v>0</v>
      </c>
      <c r="K4708">
        <v>0</v>
      </c>
      <c r="L4708">
        <v>0</v>
      </c>
      <c r="M4708">
        <v>0</v>
      </c>
      <c r="O4708">
        <f t="shared" si="73"/>
        <v>3</v>
      </c>
    </row>
    <row r="4709" spans="1:15">
      <c r="A4709">
        <v>1355</v>
      </c>
      <c r="B4709" s="1">
        <v>45745</v>
      </c>
      <c r="C4709">
        <v>25</v>
      </c>
      <c r="D4709" t="s">
        <v>14</v>
      </c>
      <c r="E4709" t="s">
        <v>22</v>
      </c>
      <c r="F4709" t="s">
        <v>16</v>
      </c>
      <c r="H4709">
        <v>115.7</v>
      </c>
      <c r="I4709" s="13">
        <v>5</v>
      </c>
      <c r="J4709">
        <v>0</v>
      </c>
      <c r="K4709">
        <v>0</v>
      </c>
      <c r="L4709">
        <v>0</v>
      </c>
      <c r="M4709">
        <v>0</v>
      </c>
      <c r="O4709">
        <f t="shared" si="73"/>
        <v>3</v>
      </c>
    </row>
    <row r="4710" spans="1:15">
      <c r="A4710">
        <v>2052</v>
      </c>
      <c r="B4710" s="1">
        <v>45745</v>
      </c>
      <c r="C4710">
        <v>39</v>
      </c>
      <c r="D4710" t="s">
        <v>17</v>
      </c>
      <c r="E4710" t="s">
        <v>24</v>
      </c>
      <c r="F4710" t="s">
        <v>18</v>
      </c>
      <c r="G4710" t="s">
        <v>30</v>
      </c>
      <c r="H4710">
        <v>115.4</v>
      </c>
      <c r="I4710" s="13">
        <v>6</v>
      </c>
      <c r="J4710">
        <v>0</v>
      </c>
      <c r="K4710">
        <v>0</v>
      </c>
      <c r="L4710">
        <v>0</v>
      </c>
      <c r="M4710">
        <v>0</v>
      </c>
      <c r="O4710">
        <f t="shared" si="73"/>
        <v>3</v>
      </c>
    </row>
    <row r="4711" spans="1:15">
      <c r="A4711">
        <v>922</v>
      </c>
      <c r="B4711" s="1">
        <v>45745</v>
      </c>
      <c r="C4711">
        <v>18</v>
      </c>
      <c r="D4711" t="s">
        <v>17</v>
      </c>
      <c r="E4711" t="s">
        <v>20</v>
      </c>
      <c r="F4711" t="s">
        <v>18</v>
      </c>
      <c r="G4711" t="s">
        <v>31</v>
      </c>
      <c r="H4711">
        <v>72.2</v>
      </c>
      <c r="I4711" s="13">
        <v>8</v>
      </c>
      <c r="J4711">
        <v>0</v>
      </c>
      <c r="K4711">
        <v>0</v>
      </c>
      <c r="L4711">
        <v>0</v>
      </c>
      <c r="M4711">
        <v>0</v>
      </c>
      <c r="O4711">
        <f t="shared" si="73"/>
        <v>3</v>
      </c>
    </row>
    <row r="4712" spans="1:15">
      <c r="A4712">
        <v>1996</v>
      </c>
      <c r="B4712" s="1">
        <v>45776</v>
      </c>
      <c r="C4712">
        <v>22</v>
      </c>
      <c r="D4712" t="s">
        <v>14</v>
      </c>
      <c r="E4712" t="s">
        <v>24</v>
      </c>
      <c r="F4712" t="s">
        <v>18</v>
      </c>
      <c r="G4712" t="s">
        <v>25</v>
      </c>
      <c r="H4712">
        <v>312</v>
      </c>
      <c r="I4712" s="13">
        <v>8</v>
      </c>
      <c r="J4712">
        <v>1</v>
      </c>
      <c r="K4712">
        <v>177.73</v>
      </c>
      <c r="L4712">
        <v>2</v>
      </c>
      <c r="M4712">
        <v>11</v>
      </c>
      <c r="N4712">
        <v>3</v>
      </c>
      <c r="O4712">
        <f t="shared" si="73"/>
        <v>4</v>
      </c>
    </row>
    <row r="4713" spans="1:15">
      <c r="A4713">
        <v>1785</v>
      </c>
      <c r="B4713" s="1">
        <v>45776</v>
      </c>
      <c r="C4713">
        <v>18</v>
      </c>
      <c r="D4713" t="s">
        <v>14</v>
      </c>
      <c r="E4713" t="s">
        <v>20</v>
      </c>
      <c r="F4713" t="s">
        <v>23</v>
      </c>
      <c r="H4713">
        <v>383.4</v>
      </c>
      <c r="I4713" s="13">
        <v>14</v>
      </c>
      <c r="J4713">
        <v>1</v>
      </c>
      <c r="K4713">
        <v>112.5</v>
      </c>
      <c r="L4713">
        <v>2</v>
      </c>
      <c r="M4713">
        <v>12</v>
      </c>
      <c r="N4713">
        <v>4</v>
      </c>
      <c r="O4713">
        <f t="shared" si="73"/>
        <v>4</v>
      </c>
    </row>
    <row r="4714" spans="1:15">
      <c r="A4714">
        <v>4256</v>
      </c>
      <c r="B4714" s="1">
        <v>45776</v>
      </c>
      <c r="C4714">
        <v>71</v>
      </c>
      <c r="D4714" t="s">
        <v>17</v>
      </c>
      <c r="E4714" t="s">
        <v>22</v>
      </c>
      <c r="F4714" t="s">
        <v>16</v>
      </c>
      <c r="H4714">
        <v>616.70000000000005</v>
      </c>
      <c r="I4714" s="13">
        <v>7</v>
      </c>
      <c r="J4714">
        <v>1</v>
      </c>
      <c r="K4714">
        <v>89.48</v>
      </c>
      <c r="L4714">
        <v>2</v>
      </c>
      <c r="M4714">
        <v>10</v>
      </c>
      <c r="N4714">
        <v>3</v>
      </c>
      <c r="O4714">
        <f t="shared" si="73"/>
        <v>4</v>
      </c>
    </row>
    <row r="4715" spans="1:15">
      <c r="A4715">
        <v>3055</v>
      </c>
      <c r="B4715" s="1">
        <v>45776</v>
      </c>
      <c r="C4715">
        <v>41</v>
      </c>
      <c r="D4715" t="s">
        <v>17</v>
      </c>
      <c r="E4715" t="s">
        <v>22</v>
      </c>
      <c r="F4715" t="s">
        <v>18</v>
      </c>
      <c r="G4715" t="s">
        <v>25</v>
      </c>
      <c r="H4715">
        <v>935.8</v>
      </c>
      <c r="I4715" s="13">
        <v>8</v>
      </c>
      <c r="J4715">
        <v>1</v>
      </c>
      <c r="K4715">
        <v>53.42</v>
      </c>
      <c r="L4715">
        <v>2</v>
      </c>
      <c r="M4715">
        <v>14</v>
      </c>
      <c r="N4715">
        <v>4</v>
      </c>
      <c r="O4715">
        <f t="shared" si="73"/>
        <v>4</v>
      </c>
    </row>
    <row r="4716" spans="1:15">
      <c r="A4716">
        <v>1385</v>
      </c>
      <c r="B4716" s="1">
        <v>45776</v>
      </c>
      <c r="C4716">
        <v>22</v>
      </c>
      <c r="D4716" t="s">
        <v>14</v>
      </c>
      <c r="E4716" t="s">
        <v>22</v>
      </c>
      <c r="F4716" t="s">
        <v>18</v>
      </c>
      <c r="G4716" t="s">
        <v>19</v>
      </c>
      <c r="H4716">
        <v>671.5</v>
      </c>
      <c r="I4716" s="13">
        <v>3</v>
      </c>
      <c r="J4716">
        <v>1</v>
      </c>
      <c r="K4716">
        <v>53.37</v>
      </c>
      <c r="L4716">
        <v>6</v>
      </c>
      <c r="M4716">
        <v>15</v>
      </c>
      <c r="N4716">
        <v>3</v>
      </c>
      <c r="O4716">
        <f t="shared" si="73"/>
        <v>4</v>
      </c>
    </row>
    <row r="4717" spans="1:15">
      <c r="A4717">
        <v>3495</v>
      </c>
      <c r="B4717" s="1">
        <v>45776</v>
      </c>
      <c r="C4717">
        <v>29</v>
      </c>
      <c r="D4717" t="s">
        <v>14</v>
      </c>
      <c r="E4717" t="s">
        <v>22</v>
      </c>
      <c r="F4717" t="s">
        <v>18</v>
      </c>
      <c r="G4717" t="s">
        <v>26</v>
      </c>
      <c r="H4717">
        <v>264.60000000000002</v>
      </c>
      <c r="I4717" s="13">
        <v>3</v>
      </c>
      <c r="J4717">
        <v>1</v>
      </c>
      <c r="K4717">
        <v>51.11</v>
      </c>
      <c r="L4717">
        <v>3</v>
      </c>
      <c r="M4717">
        <v>10</v>
      </c>
      <c r="N4717">
        <v>5</v>
      </c>
      <c r="O4717">
        <f t="shared" si="73"/>
        <v>4</v>
      </c>
    </row>
    <row r="4718" spans="1:15">
      <c r="A4718">
        <v>3869</v>
      </c>
      <c r="B4718" s="1">
        <v>45776</v>
      </c>
      <c r="C4718">
        <v>56</v>
      </c>
      <c r="D4718" t="s">
        <v>17</v>
      </c>
      <c r="E4718" t="s">
        <v>20</v>
      </c>
      <c r="F4718" t="s">
        <v>21</v>
      </c>
      <c r="H4718">
        <v>612.70000000000005</v>
      </c>
      <c r="I4718" s="13">
        <v>8</v>
      </c>
      <c r="J4718">
        <v>1</v>
      </c>
      <c r="K4718">
        <v>48.26</v>
      </c>
      <c r="L4718">
        <v>6</v>
      </c>
      <c r="M4718">
        <v>3</v>
      </c>
      <c r="N4718">
        <v>3</v>
      </c>
      <c r="O4718">
        <f t="shared" si="73"/>
        <v>4</v>
      </c>
    </row>
    <row r="4719" spans="1:15">
      <c r="A4719">
        <v>2851</v>
      </c>
      <c r="B4719" s="1">
        <v>45776</v>
      </c>
      <c r="C4719">
        <v>42</v>
      </c>
      <c r="D4719" t="s">
        <v>17</v>
      </c>
      <c r="E4719" t="s">
        <v>20</v>
      </c>
      <c r="F4719" t="s">
        <v>16</v>
      </c>
      <c r="H4719">
        <v>303.89999999999998</v>
      </c>
      <c r="I4719" s="13">
        <v>4</v>
      </c>
      <c r="J4719">
        <v>1</v>
      </c>
      <c r="K4719">
        <v>48.11</v>
      </c>
      <c r="L4719">
        <v>3</v>
      </c>
      <c r="M4719">
        <v>13</v>
      </c>
      <c r="N4719">
        <v>4</v>
      </c>
      <c r="O4719">
        <f t="shared" si="73"/>
        <v>4</v>
      </c>
    </row>
    <row r="4720" spans="1:15">
      <c r="A4720">
        <v>2088</v>
      </c>
      <c r="B4720" s="1">
        <v>45776</v>
      </c>
      <c r="C4720">
        <v>30</v>
      </c>
      <c r="D4720" t="s">
        <v>17</v>
      </c>
      <c r="E4720" t="s">
        <v>22</v>
      </c>
      <c r="F4720" t="s">
        <v>18</v>
      </c>
      <c r="G4720" t="s">
        <v>19</v>
      </c>
      <c r="H4720">
        <v>589.5</v>
      </c>
      <c r="I4720" s="13">
        <v>7</v>
      </c>
      <c r="J4720">
        <v>1</v>
      </c>
      <c r="K4720">
        <v>47.99</v>
      </c>
      <c r="L4720">
        <v>2</v>
      </c>
      <c r="M4720">
        <v>15</v>
      </c>
      <c r="N4720">
        <v>4</v>
      </c>
      <c r="O4720">
        <f t="shared" si="73"/>
        <v>4</v>
      </c>
    </row>
    <row r="4721" spans="1:15">
      <c r="A4721">
        <v>4039</v>
      </c>
      <c r="B4721" s="1">
        <v>45776</v>
      </c>
      <c r="C4721">
        <v>41</v>
      </c>
      <c r="D4721" t="s">
        <v>17</v>
      </c>
      <c r="E4721" t="s">
        <v>24</v>
      </c>
      <c r="F4721" t="s">
        <v>18</v>
      </c>
      <c r="G4721" t="s">
        <v>29</v>
      </c>
      <c r="H4721">
        <v>72.7</v>
      </c>
      <c r="I4721" s="13">
        <v>2</v>
      </c>
      <c r="J4721">
        <v>1</v>
      </c>
      <c r="K4721">
        <v>42.03</v>
      </c>
      <c r="L4721">
        <v>2</v>
      </c>
      <c r="M4721">
        <v>6</v>
      </c>
      <c r="N4721">
        <v>4</v>
      </c>
      <c r="O4721">
        <f t="shared" si="73"/>
        <v>4</v>
      </c>
    </row>
    <row r="4722" spans="1:15">
      <c r="A4722">
        <v>2541</v>
      </c>
      <c r="B4722" s="1">
        <v>45776</v>
      </c>
      <c r="C4722">
        <v>28</v>
      </c>
      <c r="D4722" t="s">
        <v>14</v>
      </c>
      <c r="E4722" t="s">
        <v>20</v>
      </c>
      <c r="F4722" t="s">
        <v>18</v>
      </c>
      <c r="G4722" t="s">
        <v>19</v>
      </c>
      <c r="H4722">
        <v>1146.5</v>
      </c>
      <c r="I4722" s="13">
        <v>7</v>
      </c>
      <c r="J4722">
        <v>1</v>
      </c>
      <c r="K4722">
        <v>41.13</v>
      </c>
      <c r="L4722">
        <v>7</v>
      </c>
      <c r="M4722">
        <v>10</v>
      </c>
      <c r="N4722">
        <v>5</v>
      </c>
      <c r="O4722">
        <f t="shared" si="73"/>
        <v>4</v>
      </c>
    </row>
    <row r="4723" spans="1:15">
      <c r="A4723">
        <v>3312</v>
      </c>
      <c r="B4723" s="1">
        <v>45776</v>
      </c>
      <c r="C4723">
        <v>43</v>
      </c>
      <c r="D4723" t="s">
        <v>17</v>
      </c>
      <c r="E4723" t="s">
        <v>22</v>
      </c>
      <c r="F4723" t="s">
        <v>16</v>
      </c>
      <c r="H4723">
        <v>380.9</v>
      </c>
      <c r="I4723" s="13">
        <v>8</v>
      </c>
      <c r="J4723">
        <v>1</v>
      </c>
      <c r="K4723">
        <v>39.270000000000003</v>
      </c>
      <c r="L4723">
        <v>2</v>
      </c>
      <c r="M4723">
        <v>11</v>
      </c>
      <c r="N4723">
        <v>4</v>
      </c>
      <c r="O4723">
        <f t="shared" si="73"/>
        <v>4</v>
      </c>
    </row>
    <row r="4724" spans="1:15">
      <c r="A4724">
        <v>3796</v>
      </c>
      <c r="B4724" s="1">
        <v>45776</v>
      </c>
      <c r="C4724">
        <v>55</v>
      </c>
      <c r="D4724" t="s">
        <v>17</v>
      </c>
      <c r="E4724" t="s">
        <v>15</v>
      </c>
      <c r="F4724" t="s">
        <v>16</v>
      </c>
      <c r="H4724">
        <v>989.3</v>
      </c>
      <c r="I4724" s="13">
        <v>6</v>
      </c>
      <c r="J4724">
        <v>1</v>
      </c>
      <c r="K4724">
        <v>35.090000000000003</v>
      </c>
      <c r="L4724">
        <v>6</v>
      </c>
      <c r="M4724">
        <v>9</v>
      </c>
      <c r="N4724">
        <v>4</v>
      </c>
      <c r="O4724">
        <f t="shared" si="73"/>
        <v>4</v>
      </c>
    </row>
    <row r="4725" spans="1:15">
      <c r="A4725">
        <v>353</v>
      </c>
      <c r="B4725" s="1">
        <v>45776</v>
      </c>
      <c r="C4725">
        <v>31</v>
      </c>
      <c r="D4725" t="s">
        <v>14</v>
      </c>
      <c r="E4725" t="s">
        <v>22</v>
      </c>
      <c r="F4725" t="s">
        <v>16</v>
      </c>
      <c r="H4725">
        <v>680.3</v>
      </c>
      <c r="I4725" s="13">
        <v>6</v>
      </c>
      <c r="J4725">
        <v>1</v>
      </c>
      <c r="K4725">
        <v>33.68</v>
      </c>
      <c r="L4725">
        <v>2</v>
      </c>
      <c r="M4725">
        <v>8</v>
      </c>
      <c r="N4725">
        <v>5</v>
      </c>
      <c r="O4725">
        <f t="shared" si="73"/>
        <v>4</v>
      </c>
    </row>
    <row r="4726" spans="1:15">
      <c r="A4726">
        <v>1006</v>
      </c>
      <c r="B4726" s="1">
        <v>45776</v>
      </c>
      <c r="C4726">
        <v>18</v>
      </c>
      <c r="D4726" t="s">
        <v>14</v>
      </c>
      <c r="E4726" t="s">
        <v>15</v>
      </c>
      <c r="F4726" t="s">
        <v>18</v>
      </c>
      <c r="G4726" t="s">
        <v>26</v>
      </c>
      <c r="H4726">
        <v>1040.8</v>
      </c>
      <c r="I4726" s="13">
        <v>3</v>
      </c>
      <c r="J4726">
        <v>1</v>
      </c>
      <c r="K4726">
        <v>19.440000000000001</v>
      </c>
      <c r="L4726">
        <v>1</v>
      </c>
      <c r="M4726">
        <v>12</v>
      </c>
      <c r="N4726">
        <v>4</v>
      </c>
      <c r="O4726">
        <f t="shared" si="73"/>
        <v>4</v>
      </c>
    </row>
    <row r="4727" spans="1:15">
      <c r="A4727">
        <v>186</v>
      </c>
      <c r="B4727" s="1">
        <v>45776</v>
      </c>
      <c r="C4727">
        <v>34</v>
      </c>
      <c r="D4727" t="s">
        <v>14</v>
      </c>
      <c r="E4727" t="s">
        <v>15</v>
      </c>
      <c r="F4727" t="s">
        <v>18</v>
      </c>
      <c r="G4727" t="s">
        <v>19</v>
      </c>
      <c r="H4727">
        <v>174.9</v>
      </c>
      <c r="I4727" s="13">
        <v>4</v>
      </c>
      <c r="J4727">
        <v>1</v>
      </c>
      <c r="K4727">
        <v>15.43</v>
      </c>
      <c r="L4727">
        <v>6</v>
      </c>
      <c r="M4727">
        <v>10</v>
      </c>
      <c r="N4727">
        <v>5</v>
      </c>
      <c r="O4727">
        <f t="shared" si="73"/>
        <v>4</v>
      </c>
    </row>
    <row r="4728" spans="1:15">
      <c r="A4728">
        <v>323</v>
      </c>
      <c r="B4728" s="1">
        <v>45776</v>
      </c>
      <c r="C4728">
        <v>25</v>
      </c>
      <c r="D4728" t="s">
        <v>14</v>
      </c>
      <c r="E4728" t="s">
        <v>15</v>
      </c>
      <c r="F4728" t="s">
        <v>16</v>
      </c>
      <c r="H4728">
        <v>891.7</v>
      </c>
      <c r="I4728" s="13">
        <v>4</v>
      </c>
      <c r="J4728">
        <v>0</v>
      </c>
      <c r="K4728">
        <v>0</v>
      </c>
      <c r="L4728">
        <v>0</v>
      </c>
      <c r="M4728">
        <v>0</v>
      </c>
      <c r="O4728">
        <f t="shared" si="73"/>
        <v>4</v>
      </c>
    </row>
    <row r="4729" spans="1:15">
      <c r="A4729">
        <v>2932</v>
      </c>
      <c r="B4729" s="1">
        <v>45776</v>
      </c>
      <c r="C4729">
        <v>31</v>
      </c>
      <c r="D4729" t="s">
        <v>17</v>
      </c>
      <c r="E4729" t="s">
        <v>15</v>
      </c>
      <c r="F4729" t="s">
        <v>21</v>
      </c>
      <c r="H4729">
        <v>620.9</v>
      </c>
      <c r="I4729" s="13">
        <v>9</v>
      </c>
      <c r="J4729">
        <v>0</v>
      </c>
      <c r="K4729">
        <v>0</v>
      </c>
      <c r="L4729">
        <v>0</v>
      </c>
      <c r="M4729">
        <v>0</v>
      </c>
      <c r="O4729">
        <f t="shared" si="73"/>
        <v>4</v>
      </c>
    </row>
    <row r="4730" spans="1:15">
      <c r="A4730">
        <v>1148</v>
      </c>
      <c r="B4730" s="1">
        <v>45776</v>
      </c>
      <c r="C4730">
        <v>21</v>
      </c>
      <c r="D4730" t="s">
        <v>17</v>
      </c>
      <c r="E4730" t="s">
        <v>15</v>
      </c>
      <c r="F4730" t="s">
        <v>18</v>
      </c>
      <c r="G4730" t="s">
        <v>19</v>
      </c>
      <c r="H4730">
        <v>615.4</v>
      </c>
      <c r="I4730" s="13">
        <v>7</v>
      </c>
      <c r="J4730">
        <v>0</v>
      </c>
      <c r="K4730">
        <v>0</v>
      </c>
      <c r="L4730">
        <v>0</v>
      </c>
      <c r="M4730">
        <v>0</v>
      </c>
      <c r="O4730">
        <f t="shared" si="73"/>
        <v>4</v>
      </c>
    </row>
    <row r="4731" spans="1:15">
      <c r="A4731">
        <v>2660</v>
      </c>
      <c r="B4731" s="1">
        <v>45776</v>
      </c>
      <c r="C4731">
        <v>35</v>
      </c>
      <c r="D4731" t="s">
        <v>17</v>
      </c>
      <c r="E4731" t="s">
        <v>24</v>
      </c>
      <c r="F4731" t="s">
        <v>16</v>
      </c>
      <c r="H4731">
        <v>524.70000000000005</v>
      </c>
      <c r="I4731" s="13">
        <v>8</v>
      </c>
      <c r="J4731">
        <v>0</v>
      </c>
      <c r="K4731">
        <v>0</v>
      </c>
      <c r="L4731">
        <v>0</v>
      </c>
      <c r="M4731">
        <v>0</v>
      </c>
      <c r="O4731">
        <f t="shared" si="73"/>
        <v>4</v>
      </c>
    </row>
    <row r="4732" spans="1:15">
      <c r="A4732">
        <v>3775</v>
      </c>
      <c r="B4732" s="1">
        <v>45776</v>
      </c>
      <c r="C4732">
        <v>43</v>
      </c>
      <c r="D4732" t="s">
        <v>14</v>
      </c>
      <c r="E4732" t="s">
        <v>15</v>
      </c>
      <c r="F4732" t="s">
        <v>18</v>
      </c>
      <c r="G4732" t="s">
        <v>19</v>
      </c>
      <c r="H4732">
        <v>465.1</v>
      </c>
      <c r="I4732" s="13">
        <v>2</v>
      </c>
      <c r="J4732">
        <v>0</v>
      </c>
      <c r="K4732">
        <v>0</v>
      </c>
      <c r="L4732">
        <v>0</v>
      </c>
      <c r="M4732">
        <v>0</v>
      </c>
      <c r="O4732">
        <f t="shared" si="73"/>
        <v>4</v>
      </c>
    </row>
    <row r="4733" spans="1:15">
      <c r="A4733">
        <v>3928</v>
      </c>
      <c r="B4733" s="1">
        <v>45776</v>
      </c>
      <c r="C4733">
        <v>57</v>
      </c>
      <c r="D4733" t="s">
        <v>14</v>
      </c>
      <c r="E4733" t="s">
        <v>15</v>
      </c>
      <c r="F4733" t="s">
        <v>16</v>
      </c>
      <c r="H4733">
        <v>457.3</v>
      </c>
      <c r="I4733" s="13">
        <v>4</v>
      </c>
      <c r="J4733">
        <v>0</v>
      </c>
      <c r="K4733">
        <v>0</v>
      </c>
      <c r="L4733">
        <v>0</v>
      </c>
      <c r="M4733">
        <v>0</v>
      </c>
      <c r="O4733">
        <f t="shared" si="73"/>
        <v>4</v>
      </c>
    </row>
    <row r="4734" spans="1:15">
      <c r="A4734">
        <v>3846</v>
      </c>
      <c r="B4734" s="1">
        <v>45776</v>
      </c>
      <c r="C4734">
        <v>44</v>
      </c>
      <c r="D4734" t="s">
        <v>14</v>
      </c>
      <c r="E4734" t="s">
        <v>24</v>
      </c>
      <c r="F4734" t="s">
        <v>16</v>
      </c>
      <c r="H4734">
        <v>435.8</v>
      </c>
      <c r="I4734" s="13">
        <v>7</v>
      </c>
      <c r="J4734">
        <v>0</v>
      </c>
      <c r="K4734">
        <v>0</v>
      </c>
      <c r="L4734">
        <v>0</v>
      </c>
      <c r="M4734">
        <v>0</v>
      </c>
      <c r="O4734">
        <f t="shared" si="73"/>
        <v>4</v>
      </c>
    </row>
    <row r="4735" spans="1:15">
      <c r="A4735">
        <v>1862</v>
      </c>
      <c r="B4735" s="1">
        <v>45776</v>
      </c>
      <c r="C4735">
        <v>50</v>
      </c>
      <c r="D4735" t="s">
        <v>14</v>
      </c>
      <c r="E4735" t="s">
        <v>20</v>
      </c>
      <c r="F4735" t="s">
        <v>16</v>
      </c>
      <c r="H4735">
        <v>375.7</v>
      </c>
      <c r="I4735" s="13">
        <v>6</v>
      </c>
      <c r="J4735">
        <v>0</v>
      </c>
      <c r="K4735">
        <v>0</v>
      </c>
      <c r="L4735">
        <v>0</v>
      </c>
      <c r="M4735">
        <v>0</v>
      </c>
      <c r="O4735">
        <f t="shared" si="73"/>
        <v>4</v>
      </c>
    </row>
    <row r="4736" spans="1:15">
      <c r="A4736">
        <v>1464</v>
      </c>
      <c r="B4736" s="1">
        <v>45776</v>
      </c>
      <c r="C4736">
        <v>25</v>
      </c>
      <c r="D4736" t="s">
        <v>17</v>
      </c>
      <c r="E4736" t="s">
        <v>15</v>
      </c>
      <c r="F4736" t="s">
        <v>16</v>
      </c>
      <c r="H4736">
        <v>333.5</v>
      </c>
      <c r="I4736" s="13">
        <v>2</v>
      </c>
      <c r="J4736">
        <v>0</v>
      </c>
      <c r="K4736">
        <v>0</v>
      </c>
      <c r="L4736">
        <v>0</v>
      </c>
      <c r="M4736">
        <v>0</v>
      </c>
      <c r="O4736">
        <f t="shared" si="73"/>
        <v>4</v>
      </c>
    </row>
    <row r="4737" spans="1:15">
      <c r="A4737">
        <v>878</v>
      </c>
      <c r="B4737" s="1">
        <v>45776</v>
      </c>
      <c r="C4737">
        <v>24</v>
      </c>
      <c r="D4737" t="s">
        <v>17</v>
      </c>
      <c r="E4737" t="s">
        <v>22</v>
      </c>
      <c r="F4737" t="s">
        <v>16</v>
      </c>
      <c r="H4737">
        <v>314.10000000000002</v>
      </c>
      <c r="I4737" s="13">
        <v>7</v>
      </c>
      <c r="J4737">
        <v>0</v>
      </c>
      <c r="K4737">
        <v>0</v>
      </c>
      <c r="L4737">
        <v>0</v>
      </c>
      <c r="M4737">
        <v>0</v>
      </c>
      <c r="O4737">
        <f t="shared" si="73"/>
        <v>4</v>
      </c>
    </row>
    <row r="4738" spans="1:15">
      <c r="A4738">
        <v>4265</v>
      </c>
      <c r="B4738" s="1">
        <v>45776</v>
      </c>
      <c r="C4738">
        <v>56</v>
      </c>
      <c r="D4738" t="s">
        <v>14</v>
      </c>
      <c r="E4738" t="s">
        <v>15</v>
      </c>
      <c r="F4738" t="s">
        <v>16</v>
      </c>
      <c r="H4738">
        <v>228.8</v>
      </c>
      <c r="I4738" s="13">
        <v>3</v>
      </c>
      <c r="J4738">
        <v>0</v>
      </c>
      <c r="K4738">
        <v>0</v>
      </c>
      <c r="L4738">
        <v>0</v>
      </c>
      <c r="M4738">
        <v>0</v>
      </c>
      <c r="O4738">
        <f t="shared" si="73"/>
        <v>4</v>
      </c>
    </row>
    <row r="4739" spans="1:15">
      <c r="A4739">
        <v>221</v>
      </c>
      <c r="B4739" s="1">
        <v>45776</v>
      </c>
      <c r="C4739">
        <v>24</v>
      </c>
      <c r="D4739" t="s">
        <v>17</v>
      </c>
      <c r="E4739" t="s">
        <v>22</v>
      </c>
      <c r="F4739" t="s">
        <v>23</v>
      </c>
      <c r="H4739">
        <v>193.8</v>
      </c>
      <c r="I4739" s="13">
        <v>4</v>
      </c>
      <c r="J4739">
        <v>0</v>
      </c>
      <c r="K4739">
        <v>0</v>
      </c>
      <c r="L4739">
        <v>0</v>
      </c>
      <c r="M4739">
        <v>0</v>
      </c>
      <c r="O4739">
        <f t="shared" ref="O4739:O4802" si="74">MONTH(B4739)</f>
        <v>4</v>
      </c>
    </row>
    <row r="4740" spans="1:15">
      <c r="A4740">
        <v>3779</v>
      </c>
      <c r="B4740" s="1">
        <v>45776</v>
      </c>
      <c r="C4740">
        <v>48</v>
      </c>
      <c r="D4740" t="s">
        <v>14</v>
      </c>
      <c r="E4740" t="s">
        <v>24</v>
      </c>
      <c r="F4740" t="s">
        <v>16</v>
      </c>
      <c r="H4740">
        <v>164.1</v>
      </c>
      <c r="I4740" s="13">
        <v>7</v>
      </c>
      <c r="J4740">
        <v>0</v>
      </c>
      <c r="K4740">
        <v>0</v>
      </c>
      <c r="L4740">
        <v>0</v>
      </c>
      <c r="M4740">
        <v>0</v>
      </c>
      <c r="O4740">
        <f t="shared" si="74"/>
        <v>4</v>
      </c>
    </row>
    <row r="4741" spans="1:15">
      <c r="A4741">
        <v>1329</v>
      </c>
      <c r="B4741" s="1">
        <v>45776</v>
      </c>
      <c r="C4741">
        <v>31</v>
      </c>
      <c r="D4741" t="s">
        <v>14</v>
      </c>
      <c r="E4741" t="s">
        <v>15</v>
      </c>
      <c r="F4741" t="s">
        <v>16</v>
      </c>
      <c r="H4741">
        <v>145.19999999999999</v>
      </c>
      <c r="I4741" s="13">
        <v>11</v>
      </c>
      <c r="J4741">
        <v>0</v>
      </c>
      <c r="K4741">
        <v>0</v>
      </c>
      <c r="L4741">
        <v>0</v>
      </c>
      <c r="M4741">
        <v>0</v>
      </c>
      <c r="O4741">
        <f t="shared" si="74"/>
        <v>4</v>
      </c>
    </row>
    <row r="4742" spans="1:15">
      <c r="A4742">
        <v>1811</v>
      </c>
      <c r="B4742" s="1">
        <v>45776</v>
      </c>
      <c r="C4742">
        <v>46</v>
      </c>
      <c r="D4742" t="s">
        <v>17</v>
      </c>
      <c r="E4742" t="s">
        <v>15</v>
      </c>
      <c r="F4742" t="s">
        <v>16</v>
      </c>
      <c r="H4742">
        <v>133.1</v>
      </c>
      <c r="I4742" s="13">
        <v>3</v>
      </c>
      <c r="J4742">
        <v>0</v>
      </c>
      <c r="K4742">
        <v>0</v>
      </c>
      <c r="L4742">
        <v>0</v>
      </c>
      <c r="M4742">
        <v>0</v>
      </c>
      <c r="O4742">
        <f t="shared" si="74"/>
        <v>4</v>
      </c>
    </row>
    <row r="4743" spans="1:15">
      <c r="A4743">
        <v>1836</v>
      </c>
      <c r="B4743" s="1">
        <v>45776</v>
      </c>
      <c r="C4743">
        <v>32</v>
      </c>
      <c r="D4743" t="s">
        <v>14</v>
      </c>
      <c r="E4743" t="s">
        <v>20</v>
      </c>
      <c r="F4743" t="s">
        <v>18</v>
      </c>
      <c r="G4743" t="s">
        <v>30</v>
      </c>
      <c r="H4743">
        <v>79.400000000000006</v>
      </c>
      <c r="I4743" s="13">
        <v>3</v>
      </c>
      <c r="J4743">
        <v>0</v>
      </c>
      <c r="K4743">
        <v>0</v>
      </c>
      <c r="L4743">
        <v>0</v>
      </c>
      <c r="M4743">
        <v>0</v>
      </c>
      <c r="O4743">
        <f t="shared" si="74"/>
        <v>4</v>
      </c>
    </row>
    <row r="4744" spans="1:15">
      <c r="A4744">
        <v>1460</v>
      </c>
      <c r="B4744" s="1">
        <v>45776</v>
      </c>
      <c r="C4744">
        <v>23</v>
      </c>
      <c r="D4744" t="s">
        <v>17</v>
      </c>
      <c r="E4744" t="s">
        <v>22</v>
      </c>
      <c r="F4744" t="s">
        <v>16</v>
      </c>
      <c r="H4744">
        <v>75.900000000000006</v>
      </c>
      <c r="I4744" s="13">
        <v>6</v>
      </c>
      <c r="J4744">
        <v>0</v>
      </c>
      <c r="K4744">
        <v>0</v>
      </c>
      <c r="L4744">
        <v>0</v>
      </c>
      <c r="M4744">
        <v>0</v>
      </c>
      <c r="O4744">
        <f t="shared" si="74"/>
        <v>4</v>
      </c>
    </row>
    <row r="4745" spans="1:15">
      <c r="A4745">
        <v>3360</v>
      </c>
      <c r="B4745" s="1">
        <v>45776</v>
      </c>
      <c r="C4745">
        <v>31</v>
      </c>
      <c r="D4745" t="s">
        <v>14</v>
      </c>
      <c r="E4745" t="s">
        <v>15</v>
      </c>
      <c r="F4745" t="s">
        <v>21</v>
      </c>
      <c r="H4745">
        <v>71.900000000000006</v>
      </c>
      <c r="I4745" s="13">
        <v>9</v>
      </c>
      <c r="J4745">
        <v>0</v>
      </c>
      <c r="K4745">
        <v>0</v>
      </c>
      <c r="L4745">
        <v>0</v>
      </c>
      <c r="M4745">
        <v>0</v>
      </c>
      <c r="O4745">
        <f t="shared" si="74"/>
        <v>4</v>
      </c>
    </row>
    <row r="4746" spans="1:15">
      <c r="A4746">
        <v>3896</v>
      </c>
      <c r="B4746" s="1">
        <v>45806</v>
      </c>
      <c r="C4746">
        <v>49</v>
      </c>
      <c r="D4746" t="s">
        <v>14</v>
      </c>
      <c r="E4746" t="s">
        <v>15</v>
      </c>
      <c r="F4746" t="s">
        <v>23</v>
      </c>
      <c r="H4746">
        <v>261.60000000000002</v>
      </c>
      <c r="I4746" s="13">
        <v>8</v>
      </c>
      <c r="J4746">
        <v>1</v>
      </c>
      <c r="K4746">
        <v>221</v>
      </c>
      <c r="L4746">
        <v>5</v>
      </c>
      <c r="M4746">
        <v>4</v>
      </c>
      <c r="N4746">
        <v>3</v>
      </c>
      <c r="O4746">
        <f t="shared" si="74"/>
        <v>5</v>
      </c>
    </row>
    <row r="4747" spans="1:15">
      <c r="A4747">
        <v>3818</v>
      </c>
      <c r="B4747" s="1">
        <v>45806</v>
      </c>
      <c r="C4747">
        <v>37</v>
      </c>
      <c r="D4747" t="s">
        <v>17</v>
      </c>
      <c r="E4747" t="s">
        <v>15</v>
      </c>
      <c r="F4747" t="s">
        <v>23</v>
      </c>
      <c r="H4747">
        <v>210.7</v>
      </c>
      <c r="I4747" s="13">
        <v>5</v>
      </c>
      <c r="J4747">
        <v>1</v>
      </c>
      <c r="K4747">
        <v>129</v>
      </c>
      <c r="L4747">
        <v>2</v>
      </c>
      <c r="M4747">
        <v>15</v>
      </c>
      <c r="N4747">
        <v>5</v>
      </c>
      <c r="O4747">
        <f t="shared" si="74"/>
        <v>5</v>
      </c>
    </row>
    <row r="4748" spans="1:15">
      <c r="A4748">
        <v>3653</v>
      </c>
      <c r="B4748" s="1">
        <v>45806</v>
      </c>
      <c r="C4748">
        <v>47</v>
      </c>
      <c r="D4748" t="s">
        <v>14</v>
      </c>
      <c r="E4748" t="s">
        <v>22</v>
      </c>
      <c r="F4748" t="s">
        <v>23</v>
      </c>
      <c r="H4748">
        <v>511.9</v>
      </c>
      <c r="I4748" s="13">
        <v>3</v>
      </c>
      <c r="J4748">
        <v>1</v>
      </c>
      <c r="K4748">
        <v>94.45</v>
      </c>
      <c r="L4748">
        <v>4</v>
      </c>
      <c r="M4748">
        <v>11</v>
      </c>
      <c r="N4748">
        <v>5</v>
      </c>
      <c r="O4748">
        <f t="shared" si="74"/>
        <v>5</v>
      </c>
    </row>
    <row r="4749" spans="1:15">
      <c r="A4749">
        <v>1684</v>
      </c>
      <c r="B4749" s="1">
        <v>45806</v>
      </c>
      <c r="C4749">
        <v>25</v>
      </c>
      <c r="D4749" t="s">
        <v>17</v>
      </c>
      <c r="E4749" t="s">
        <v>15</v>
      </c>
      <c r="F4749" t="s">
        <v>16</v>
      </c>
      <c r="H4749">
        <v>543</v>
      </c>
      <c r="I4749" s="13">
        <v>8</v>
      </c>
      <c r="J4749">
        <v>1</v>
      </c>
      <c r="K4749">
        <v>74.22</v>
      </c>
      <c r="L4749">
        <v>4</v>
      </c>
      <c r="M4749">
        <v>1</v>
      </c>
      <c r="N4749">
        <v>3</v>
      </c>
      <c r="O4749">
        <f t="shared" si="74"/>
        <v>5</v>
      </c>
    </row>
    <row r="4750" spans="1:15">
      <c r="A4750">
        <v>1741</v>
      </c>
      <c r="B4750" s="1">
        <v>45806</v>
      </c>
      <c r="C4750">
        <v>20</v>
      </c>
      <c r="D4750" t="s">
        <v>14</v>
      </c>
      <c r="E4750" t="s">
        <v>24</v>
      </c>
      <c r="F4750" t="s">
        <v>16</v>
      </c>
      <c r="H4750">
        <v>336.6</v>
      </c>
      <c r="I4750" s="13">
        <v>9</v>
      </c>
      <c r="J4750">
        <v>1</v>
      </c>
      <c r="K4750">
        <v>70.510000000000005</v>
      </c>
      <c r="L4750">
        <v>3</v>
      </c>
      <c r="M4750">
        <v>4</v>
      </c>
      <c r="N4750">
        <v>4</v>
      </c>
      <c r="O4750">
        <f t="shared" si="74"/>
        <v>5</v>
      </c>
    </row>
    <row r="4751" spans="1:15">
      <c r="A4751">
        <v>2381</v>
      </c>
      <c r="B4751" s="1">
        <v>45806</v>
      </c>
      <c r="C4751">
        <v>32</v>
      </c>
      <c r="D4751" t="s">
        <v>17</v>
      </c>
      <c r="E4751" t="s">
        <v>15</v>
      </c>
      <c r="F4751" t="s">
        <v>21</v>
      </c>
      <c r="H4751">
        <v>1277.5</v>
      </c>
      <c r="I4751" s="13">
        <v>7</v>
      </c>
      <c r="J4751">
        <v>1</v>
      </c>
      <c r="K4751">
        <v>56.8</v>
      </c>
      <c r="L4751">
        <v>1</v>
      </c>
      <c r="M4751">
        <v>14</v>
      </c>
      <c r="N4751">
        <v>4</v>
      </c>
      <c r="O4751">
        <f t="shared" si="74"/>
        <v>5</v>
      </c>
    </row>
    <row r="4752" spans="1:15">
      <c r="A4752">
        <v>4053</v>
      </c>
      <c r="B4752" s="1">
        <v>45806</v>
      </c>
      <c r="C4752">
        <v>43</v>
      </c>
      <c r="D4752" t="s">
        <v>14</v>
      </c>
      <c r="E4752" t="s">
        <v>15</v>
      </c>
      <c r="F4752" t="s">
        <v>16</v>
      </c>
      <c r="H4752">
        <v>516.1</v>
      </c>
      <c r="I4752" s="13">
        <v>8</v>
      </c>
      <c r="J4752">
        <v>1</v>
      </c>
      <c r="K4752">
        <v>43.01</v>
      </c>
      <c r="L4752">
        <v>3</v>
      </c>
      <c r="M4752">
        <v>6</v>
      </c>
      <c r="N4752">
        <v>5</v>
      </c>
      <c r="O4752">
        <f t="shared" si="74"/>
        <v>5</v>
      </c>
    </row>
    <row r="4753" spans="1:15">
      <c r="A4753">
        <v>2432</v>
      </c>
      <c r="B4753" s="1">
        <v>45806</v>
      </c>
      <c r="C4753">
        <v>45</v>
      </c>
      <c r="D4753" t="s">
        <v>14</v>
      </c>
      <c r="E4753" t="s">
        <v>20</v>
      </c>
      <c r="F4753" t="s">
        <v>18</v>
      </c>
      <c r="G4753" t="s">
        <v>19</v>
      </c>
      <c r="H4753">
        <v>281.10000000000002</v>
      </c>
      <c r="I4753" s="13">
        <v>6</v>
      </c>
      <c r="J4753">
        <v>1</v>
      </c>
      <c r="K4753">
        <v>42.29</v>
      </c>
      <c r="L4753">
        <v>6</v>
      </c>
      <c r="M4753">
        <v>10</v>
      </c>
      <c r="N4753">
        <v>4</v>
      </c>
      <c r="O4753">
        <f t="shared" si="74"/>
        <v>5</v>
      </c>
    </row>
    <row r="4754" spans="1:15">
      <c r="A4754">
        <v>404</v>
      </c>
      <c r="B4754" s="1">
        <v>45806</v>
      </c>
      <c r="C4754">
        <v>25</v>
      </c>
      <c r="D4754" t="s">
        <v>14</v>
      </c>
      <c r="E4754" t="s">
        <v>24</v>
      </c>
      <c r="F4754" t="s">
        <v>18</v>
      </c>
      <c r="G4754" t="s">
        <v>26</v>
      </c>
      <c r="H4754">
        <v>461.4</v>
      </c>
      <c r="I4754" s="13">
        <v>6</v>
      </c>
      <c r="J4754">
        <v>1</v>
      </c>
      <c r="K4754">
        <v>27.38</v>
      </c>
      <c r="L4754">
        <v>4</v>
      </c>
      <c r="M4754">
        <v>8</v>
      </c>
      <c r="N4754">
        <v>4</v>
      </c>
      <c r="O4754">
        <f t="shared" si="74"/>
        <v>5</v>
      </c>
    </row>
    <row r="4755" spans="1:15">
      <c r="A4755">
        <v>3132</v>
      </c>
      <c r="B4755" s="1">
        <v>45806</v>
      </c>
      <c r="C4755">
        <v>44</v>
      </c>
      <c r="D4755" t="s">
        <v>17</v>
      </c>
      <c r="E4755" t="s">
        <v>15</v>
      </c>
      <c r="F4755" t="s">
        <v>16</v>
      </c>
      <c r="H4755">
        <v>375.4</v>
      </c>
      <c r="I4755" s="13">
        <v>3</v>
      </c>
      <c r="J4755">
        <v>1</v>
      </c>
      <c r="K4755">
        <v>24.43</v>
      </c>
      <c r="L4755">
        <v>6</v>
      </c>
      <c r="M4755">
        <v>1</v>
      </c>
      <c r="N4755">
        <v>4</v>
      </c>
      <c r="O4755">
        <f t="shared" si="74"/>
        <v>5</v>
      </c>
    </row>
    <row r="4756" spans="1:15">
      <c r="A4756">
        <v>3874</v>
      </c>
      <c r="B4756" s="1">
        <v>45806</v>
      </c>
      <c r="C4756">
        <v>52</v>
      </c>
      <c r="D4756" t="s">
        <v>14</v>
      </c>
      <c r="E4756" t="s">
        <v>24</v>
      </c>
      <c r="F4756" t="s">
        <v>16</v>
      </c>
      <c r="H4756">
        <v>875.9</v>
      </c>
      <c r="I4756" s="13">
        <v>6</v>
      </c>
      <c r="J4756">
        <v>1</v>
      </c>
      <c r="K4756">
        <v>23.65</v>
      </c>
      <c r="L4756">
        <v>2</v>
      </c>
      <c r="M4756">
        <v>7</v>
      </c>
      <c r="N4756">
        <v>4</v>
      </c>
      <c r="O4756">
        <f t="shared" si="74"/>
        <v>5</v>
      </c>
    </row>
    <row r="4757" spans="1:15">
      <c r="A4757">
        <v>4344</v>
      </c>
      <c r="B4757" s="1">
        <v>45806</v>
      </c>
      <c r="C4757">
        <v>59</v>
      </c>
      <c r="D4757" t="s">
        <v>17</v>
      </c>
      <c r="E4757" t="s">
        <v>24</v>
      </c>
      <c r="F4757" t="s">
        <v>18</v>
      </c>
      <c r="G4757" t="s">
        <v>25</v>
      </c>
      <c r="H4757">
        <v>517</v>
      </c>
      <c r="I4757" s="13">
        <v>5</v>
      </c>
      <c r="J4757">
        <v>1</v>
      </c>
      <c r="K4757">
        <v>22.49</v>
      </c>
      <c r="L4757">
        <v>4</v>
      </c>
      <c r="M4757">
        <v>4</v>
      </c>
      <c r="N4757">
        <v>5</v>
      </c>
      <c r="O4757">
        <f t="shared" si="74"/>
        <v>5</v>
      </c>
    </row>
    <row r="4758" spans="1:15">
      <c r="A4758">
        <v>3397</v>
      </c>
      <c r="B4758" s="1">
        <v>45806</v>
      </c>
      <c r="C4758">
        <v>35</v>
      </c>
      <c r="D4758" t="s">
        <v>14</v>
      </c>
      <c r="E4758" t="s">
        <v>24</v>
      </c>
      <c r="F4758" t="s">
        <v>18</v>
      </c>
      <c r="G4758" t="s">
        <v>31</v>
      </c>
      <c r="H4758">
        <v>342.6</v>
      </c>
      <c r="I4758" s="13">
        <v>7</v>
      </c>
      <c r="J4758">
        <v>1</v>
      </c>
      <c r="K4758">
        <v>15.55</v>
      </c>
      <c r="L4758">
        <v>1</v>
      </c>
      <c r="M4758">
        <v>15</v>
      </c>
      <c r="N4758">
        <v>4</v>
      </c>
      <c r="O4758">
        <f t="shared" si="74"/>
        <v>5</v>
      </c>
    </row>
    <row r="4759" spans="1:15">
      <c r="A4759">
        <v>4776</v>
      </c>
      <c r="B4759" s="1">
        <v>45806</v>
      </c>
      <c r="C4759">
        <v>51</v>
      </c>
      <c r="D4759" t="s">
        <v>14</v>
      </c>
      <c r="E4759" t="s">
        <v>20</v>
      </c>
      <c r="F4759" t="s">
        <v>21</v>
      </c>
      <c r="H4759">
        <v>225.1</v>
      </c>
      <c r="I4759" s="13">
        <v>4</v>
      </c>
      <c r="J4759">
        <v>1</v>
      </c>
      <c r="K4759">
        <v>14.38</v>
      </c>
      <c r="L4759">
        <v>5</v>
      </c>
      <c r="M4759">
        <v>6</v>
      </c>
      <c r="N4759">
        <v>5</v>
      </c>
      <c r="O4759">
        <f t="shared" si="74"/>
        <v>5</v>
      </c>
    </row>
    <row r="4760" spans="1:15">
      <c r="A4760">
        <v>2501</v>
      </c>
      <c r="B4760" s="1">
        <v>45806</v>
      </c>
      <c r="C4760">
        <v>24</v>
      </c>
      <c r="D4760" t="s">
        <v>17</v>
      </c>
      <c r="E4760" t="s">
        <v>15</v>
      </c>
      <c r="F4760" t="s">
        <v>23</v>
      </c>
      <c r="H4760">
        <v>724.9</v>
      </c>
      <c r="I4760" s="13">
        <v>5</v>
      </c>
      <c r="J4760">
        <v>0</v>
      </c>
      <c r="K4760">
        <v>0</v>
      </c>
      <c r="L4760">
        <v>0</v>
      </c>
      <c r="M4760">
        <v>0</v>
      </c>
      <c r="O4760">
        <f t="shared" si="74"/>
        <v>5</v>
      </c>
    </row>
    <row r="4761" spans="1:15">
      <c r="A4761">
        <v>4880</v>
      </c>
      <c r="B4761" s="1">
        <v>45806</v>
      </c>
      <c r="C4761">
        <v>63</v>
      </c>
      <c r="D4761" t="s">
        <v>17</v>
      </c>
      <c r="E4761" t="s">
        <v>22</v>
      </c>
      <c r="F4761" t="s">
        <v>18</v>
      </c>
      <c r="G4761" t="s">
        <v>19</v>
      </c>
      <c r="H4761">
        <v>618.6</v>
      </c>
      <c r="I4761" s="13">
        <v>6</v>
      </c>
      <c r="J4761">
        <v>0</v>
      </c>
      <c r="K4761">
        <v>0</v>
      </c>
      <c r="L4761">
        <v>0</v>
      </c>
      <c r="M4761">
        <v>0</v>
      </c>
      <c r="O4761">
        <f t="shared" si="74"/>
        <v>5</v>
      </c>
    </row>
    <row r="4762" spans="1:15">
      <c r="A4762">
        <v>3562</v>
      </c>
      <c r="B4762" s="1">
        <v>45806</v>
      </c>
      <c r="C4762">
        <v>36</v>
      </c>
      <c r="D4762" t="s">
        <v>14</v>
      </c>
      <c r="E4762" t="s">
        <v>20</v>
      </c>
      <c r="F4762" t="s">
        <v>16</v>
      </c>
      <c r="H4762">
        <v>517.79999999999995</v>
      </c>
      <c r="I4762" s="13">
        <v>5</v>
      </c>
      <c r="J4762">
        <v>0</v>
      </c>
      <c r="K4762">
        <v>0</v>
      </c>
      <c r="L4762">
        <v>0</v>
      </c>
      <c r="M4762">
        <v>0</v>
      </c>
      <c r="O4762">
        <f t="shared" si="74"/>
        <v>5</v>
      </c>
    </row>
    <row r="4763" spans="1:15">
      <c r="A4763">
        <v>4349</v>
      </c>
      <c r="B4763" s="1">
        <v>45806</v>
      </c>
      <c r="C4763">
        <v>49</v>
      </c>
      <c r="D4763" t="s">
        <v>17</v>
      </c>
      <c r="E4763" t="s">
        <v>20</v>
      </c>
      <c r="F4763" t="s">
        <v>18</v>
      </c>
      <c r="G4763" t="s">
        <v>29</v>
      </c>
      <c r="H4763">
        <v>341.1</v>
      </c>
      <c r="I4763" s="13">
        <v>3</v>
      </c>
      <c r="J4763">
        <v>0</v>
      </c>
      <c r="K4763">
        <v>0</v>
      </c>
      <c r="L4763">
        <v>0</v>
      </c>
      <c r="M4763">
        <v>0</v>
      </c>
      <c r="O4763">
        <f t="shared" si="74"/>
        <v>5</v>
      </c>
    </row>
    <row r="4764" spans="1:15">
      <c r="A4764">
        <v>1161</v>
      </c>
      <c r="B4764" s="1">
        <v>45806</v>
      </c>
      <c r="C4764">
        <v>26</v>
      </c>
      <c r="D4764" t="s">
        <v>14</v>
      </c>
      <c r="E4764" t="s">
        <v>22</v>
      </c>
      <c r="F4764" t="s">
        <v>23</v>
      </c>
      <c r="H4764">
        <v>322</v>
      </c>
      <c r="I4764" s="13">
        <v>7</v>
      </c>
      <c r="J4764">
        <v>0</v>
      </c>
      <c r="K4764">
        <v>0</v>
      </c>
      <c r="L4764">
        <v>0</v>
      </c>
      <c r="M4764">
        <v>0</v>
      </c>
      <c r="O4764">
        <f t="shared" si="74"/>
        <v>5</v>
      </c>
    </row>
    <row r="4765" spans="1:15">
      <c r="A4765">
        <v>4026</v>
      </c>
      <c r="B4765" s="1">
        <v>45806</v>
      </c>
      <c r="C4765">
        <v>46</v>
      </c>
      <c r="D4765" t="s">
        <v>17</v>
      </c>
      <c r="E4765" t="s">
        <v>20</v>
      </c>
      <c r="F4765" t="s">
        <v>16</v>
      </c>
      <c r="H4765">
        <v>321.10000000000002</v>
      </c>
      <c r="I4765" s="13">
        <v>8</v>
      </c>
      <c r="J4765">
        <v>0</v>
      </c>
      <c r="K4765">
        <v>0</v>
      </c>
      <c r="L4765">
        <v>0</v>
      </c>
      <c r="M4765">
        <v>0</v>
      </c>
      <c r="O4765">
        <f t="shared" si="74"/>
        <v>5</v>
      </c>
    </row>
    <row r="4766" spans="1:15">
      <c r="A4766">
        <v>3607</v>
      </c>
      <c r="B4766" s="1">
        <v>45806</v>
      </c>
      <c r="C4766">
        <v>41</v>
      </c>
      <c r="D4766" t="s">
        <v>14</v>
      </c>
      <c r="E4766" t="s">
        <v>24</v>
      </c>
      <c r="F4766" t="s">
        <v>18</v>
      </c>
      <c r="G4766" t="s">
        <v>29</v>
      </c>
      <c r="H4766">
        <v>310.39999999999998</v>
      </c>
      <c r="I4766" s="13">
        <v>7</v>
      </c>
      <c r="J4766">
        <v>0</v>
      </c>
      <c r="K4766">
        <v>0</v>
      </c>
      <c r="L4766">
        <v>0</v>
      </c>
      <c r="M4766">
        <v>0</v>
      </c>
      <c r="O4766">
        <f t="shared" si="74"/>
        <v>5</v>
      </c>
    </row>
    <row r="4767" spans="1:15">
      <c r="A4767">
        <v>2325</v>
      </c>
      <c r="B4767" s="1">
        <v>45806</v>
      </c>
      <c r="C4767">
        <v>36</v>
      </c>
      <c r="D4767" t="s">
        <v>17</v>
      </c>
      <c r="E4767" t="s">
        <v>20</v>
      </c>
      <c r="F4767" t="s">
        <v>23</v>
      </c>
      <c r="H4767">
        <v>299.39999999999998</v>
      </c>
      <c r="I4767" s="13">
        <v>5</v>
      </c>
      <c r="J4767">
        <v>0</v>
      </c>
      <c r="K4767">
        <v>0</v>
      </c>
      <c r="L4767">
        <v>0</v>
      </c>
      <c r="M4767">
        <v>0</v>
      </c>
      <c r="O4767">
        <f t="shared" si="74"/>
        <v>5</v>
      </c>
    </row>
    <row r="4768" spans="1:15">
      <c r="A4768">
        <v>2591</v>
      </c>
      <c r="B4768" s="1">
        <v>45806</v>
      </c>
      <c r="C4768">
        <v>47</v>
      </c>
      <c r="D4768" t="s">
        <v>17</v>
      </c>
      <c r="E4768" t="s">
        <v>24</v>
      </c>
      <c r="F4768" t="s">
        <v>16</v>
      </c>
      <c r="H4768">
        <v>297.39999999999998</v>
      </c>
      <c r="I4768" s="13">
        <v>5</v>
      </c>
      <c r="J4768">
        <v>0</v>
      </c>
      <c r="K4768">
        <v>0</v>
      </c>
      <c r="L4768">
        <v>0</v>
      </c>
      <c r="M4768">
        <v>0</v>
      </c>
      <c r="O4768">
        <f t="shared" si="74"/>
        <v>5</v>
      </c>
    </row>
    <row r="4769" spans="1:15">
      <c r="A4769">
        <v>1938</v>
      </c>
      <c r="B4769" s="1">
        <v>45806</v>
      </c>
      <c r="C4769">
        <v>38</v>
      </c>
      <c r="D4769" t="s">
        <v>14</v>
      </c>
      <c r="E4769" t="s">
        <v>15</v>
      </c>
      <c r="F4769" t="s">
        <v>18</v>
      </c>
      <c r="G4769" t="s">
        <v>30</v>
      </c>
      <c r="H4769">
        <v>288.89999999999998</v>
      </c>
      <c r="I4769" s="13">
        <v>4</v>
      </c>
      <c r="J4769">
        <v>0</v>
      </c>
      <c r="K4769">
        <v>0</v>
      </c>
      <c r="L4769">
        <v>0</v>
      </c>
      <c r="M4769">
        <v>0</v>
      </c>
      <c r="O4769">
        <f t="shared" si="74"/>
        <v>5</v>
      </c>
    </row>
    <row r="4770" spans="1:15">
      <c r="A4770">
        <v>293</v>
      </c>
      <c r="B4770" s="1">
        <v>45806</v>
      </c>
      <c r="C4770">
        <v>18</v>
      </c>
      <c r="D4770" t="s">
        <v>14</v>
      </c>
      <c r="E4770" t="s">
        <v>22</v>
      </c>
      <c r="F4770" t="s">
        <v>23</v>
      </c>
      <c r="H4770">
        <v>242.8</v>
      </c>
      <c r="I4770" s="13">
        <v>12</v>
      </c>
      <c r="J4770">
        <v>0</v>
      </c>
      <c r="K4770">
        <v>0</v>
      </c>
      <c r="L4770">
        <v>0</v>
      </c>
      <c r="M4770">
        <v>0</v>
      </c>
      <c r="O4770">
        <f t="shared" si="74"/>
        <v>5</v>
      </c>
    </row>
    <row r="4771" spans="1:15">
      <c r="A4771">
        <v>1648</v>
      </c>
      <c r="B4771" s="1">
        <v>45806</v>
      </c>
      <c r="C4771">
        <v>33</v>
      </c>
      <c r="D4771" t="s">
        <v>14</v>
      </c>
      <c r="E4771" t="s">
        <v>20</v>
      </c>
      <c r="F4771" t="s">
        <v>16</v>
      </c>
      <c r="H4771">
        <v>186.5</v>
      </c>
      <c r="I4771" s="13">
        <v>4</v>
      </c>
      <c r="J4771">
        <v>0</v>
      </c>
      <c r="K4771">
        <v>0</v>
      </c>
      <c r="L4771">
        <v>0</v>
      </c>
      <c r="M4771">
        <v>0</v>
      </c>
      <c r="O4771">
        <f t="shared" si="74"/>
        <v>5</v>
      </c>
    </row>
    <row r="4772" spans="1:15">
      <c r="A4772">
        <v>1565</v>
      </c>
      <c r="B4772" s="1">
        <v>45806</v>
      </c>
      <c r="C4772">
        <v>20</v>
      </c>
      <c r="D4772" t="s">
        <v>14</v>
      </c>
      <c r="E4772" t="s">
        <v>15</v>
      </c>
      <c r="F4772" t="s">
        <v>18</v>
      </c>
      <c r="G4772" t="s">
        <v>19</v>
      </c>
      <c r="H4772">
        <v>185.6</v>
      </c>
      <c r="I4772" s="13">
        <v>4</v>
      </c>
      <c r="J4772">
        <v>0</v>
      </c>
      <c r="K4772">
        <v>0</v>
      </c>
      <c r="L4772">
        <v>0</v>
      </c>
      <c r="M4772">
        <v>0</v>
      </c>
      <c r="O4772">
        <f t="shared" si="74"/>
        <v>5</v>
      </c>
    </row>
    <row r="4773" spans="1:15">
      <c r="A4773">
        <v>2951</v>
      </c>
      <c r="B4773" s="1">
        <v>45806</v>
      </c>
      <c r="C4773">
        <v>25</v>
      </c>
      <c r="D4773" t="s">
        <v>14</v>
      </c>
      <c r="E4773" t="s">
        <v>20</v>
      </c>
      <c r="F4773" t="s">
        <v>18</v>
      </c>
      <c r="G4773" t="s">
        <v>28</v>
      </c>
      <c r="H4773">
        <v>172.6</v>
      </c>
      <c r="I4773" s="13">
        <v>7</v>
      </c>
      <c r="J4773">
        <v>0</v>
      </c>
      <c r="K4773">
        <v>0</v>
      </c>
      <c r="L4773">
        <v>0</v>
      </c>
      <c r="M4773">
        <v>0</v>
      </c>
      <c r="O4773">
        <f t="shared" si="74"/>
        <v>5</v>
      </c>
    </row>
    <row r="4774" spans="1:15">
      <c r="A4774">
        <v>4024</v>
      </c>
      <c r="B4774" s="1">
        <v>45806</v>
      </c>
      <c r="C4774">
        <v>45</v>
      </c>
      <c r="D4774" t="s">
        <v>17</v>
      </c>
      <c r="E4774" t="s">
        <v>22</v>
      </c>
      <c r="F4774" t="s">
        <v>16</v>
      </c>
      <c r="H4774">
        <v>158.30000000000001</v>
      </c>
      <c r="I4774" s="13">
        <v>4</v>
      </c>
      <c r="J4774">
        <v>0</v>
      </c>
      <c r="K4774">
        <v>0</v>
      </c>
      <c r="L4774">
        <v>0</v>
      </c>
      <c r="M4774">
        <v>0</v>
      </c>
      <c r="O4774">
        <f t="shared" si="74"/>
        <v>5</v>
      </c>
    </row>
    <row r="4775" spans="1:15">
      <c r="A4775">
        <v>3691</v>
      </c>
      <c r="B4775" s="1">
        <v>45806</v>
      </c>
      <c r="C4775">
        <v>43</v>
      </c>
      <c r="D4775" t="s">
        <v>27</v>
      </c>
      <c r="E4775" t="s">
        <v>20</v>
      </c>
      <c r="F4775" t="s">
        <v>18</v>
      </c>
      <c r="G4775" t="s">
        <v>25</v>
      </c>
      <c r="H4775">
        <v>112.6</v>
      </c>
      <c r="I4775" s="13">
        <v>6</v>
      </c>
      <c r="J4775">
        <v>0</v>
      </c>
      <c r="K4775">
        <v>0</v>
      </c>
      <c r="L4775">
        <v>0</v>
      </c>
      <c r="M4775">
        <v>0</v>
      </c>
      <c r="O4775">
        <f t="shared" si="74"/>
        <v>5</v>
      </c>
    </row>
    <row r="4776" spans="1:15">
      <c r="A4776">
        <v>3833</v>
      </c>
      <c r="B4776" s="1">
        <v>45806</v>
      </c>
      <c r="C4776">
        <v>58</v>
      </c>
      <c r="D4776" t="s">
        <v>17</v>
      </c>
      <c r="E4776" t="s">
        <v>15</v>
      </c>
      <c r="F4776" t="s">
        <v>18</v>
      </c>
      <c r="G4776" t="s">
        <v>19</v>
      </c>
      <c r="H4776">
        <v>111.6</v>
      </c>
      <c r="I4776" s="13">
        <v>4</v>
      </c>
      <c r="J4776">
        <v>0</v>
      </c>
      <c r="K4776">
        <v>0</v>
      </c>
      <c r="L4776">
        <v>0</v>
      </c>
      <c r="M4776">
        <v>0</v>
      </c>
      <c r="O4776">
        <f t="shared" si="74"/>
        <v>5</v>
      </c>
    </row>
    <row r="4777" spans="1:15">
      <c r="A4777">
        <v>3784</v>
      </c>
      <c r="B4777" s="1">
        <v>45806</v>
      </c>
      <c r="C4777">
        <v>36</v>
      </c>
      <c r="D4777" t="s">
        <v>17</v>
      </c>
      <c r="E4777" t="s">
        <v>20</v>
      </c>
      <c r="F4777" t="s">
        <v>21</v>
      </c>
      <c r="H4777">
        <v>110.2</v>
      </c>
      <c r="I4777" s="13">
        <v>2</v>
      </c>
      <c r="J4777">
        <v>0</v>
      </c>
      <c r="K4777">
        <v>0</v>
      </c>
      <c r="L4777">
        <v>0</v>
      </c>
      <c r="M4777">
        <v>0</v>
      </c>
      <c r="O4777">
        <f t="shared" si="74"/>
        <v>5</v>
      </c>
    </row>
    <row r="4778" spans="1:15">
      <c r="A4778">
        <v>3159</v>
      </c>
      <c r="B4778" s="1">
        <v>45806</v>
      </c>
      <c r="C4778">
        <v>33</v>
      </c>
      <c r="D4778" t="s">
        <v>14</v>
      </c>
      <c r="E4778" t="s">
        <v>15</v>
      </c>
      <c r="F4778" t="s">
        <v>21</v>
      </c>
      <c r="H4778">
        <v>92.6</v>
      </c>
      <c r="I4778" s="13">
        <v>2</v>
      </c>
      <c r="J4778">
        <v>0</v>
      </c>
      <c r="K4778">
        <v>0</v>
      </c>
      <c r="L4778">
        <v>0</v>
      </c>
      <c r="M4778">
        <v>0</v>
      </c>
      <c r="O4778">
        <f t="shared" si="74"/>
        <v>5</v>
      </c>
    </row>
    <row r="4779" spans="1:15">
      <c r="A4779">
        <v>508</v>
      </c>
      <c r="B4779" s="1">
        <v>45806</v>
      </c>
      <c r="C4779">
        <v>32</v>
      </c>
      <c r="D4779" t="s">
        <v>14</v>
      </c>
      <c r="E4779" t="s">
        <v>22</v>
      </c>
      <c r="F4779" t="s">
        <v>16</v>
      </c>
      <c r="H4779">
        <v>68.400000000000006</v>
      </c>
      <c r="I4779" s="13">
        <v>4</v>
      </c>
      <c r="J4779">
        <v>0</v>
      </c>
      <c r="K4779">
        <v>0</v>
      </c>
      <c r="L4779">
        <v>0</v>
      </c>
      <c r="M4779">
        <v>0</v>
      </c>
      <c r="O4779">
        <f t="shared" si="74"/>
        <v>5</v>
      </c>
    </row>
    <row r="4780" spans="1:15">
      <c r="A4780">
        <v>1141</v>
      </c>
      <c r="B4780" s="1">
        <v>45806</v>
      </c>
      <c r="C4780">
        <v>25</v>
      </c>
      <c r="D4780" t="s">
        <v>27</v>
      </c>
      <c r="E4780" t="s">
        <v>22</v>
      </c>
      <c r="F4780" t="s">
        <v>23</v>
      </c>
      <c r="H4780">
        <v>44.6</v>
      </c>
      <c r="I4780" s="13">
        <v>8</v>
      </c>
      <c r="J4780">
        <v>0</v>
      </c>
      <c r="K4780">
        <v>0</v>
      </c>
      <c r="L4780">
        <v>0</v>
      </c>
      <c r="M4780">
        <v>0</v>
      </c>
      <c r="O4780">
        <f t="shared" si="74"/>
        <v>5</v>
      </c>
    </row>
    <row r="4781" spans="1:15">
      <c r="A4781">
        <v>2154</v>
      </c>
      <c r="B4781" s="1">
        <v>45806</v>
      </c>
      <c r="C4781">
        <v>41</v>
      </c>
      <c r="D4781" t="s">
        <v>14</v>
      </c>
      <c r="E4781" t="s">
        <v>22</v>
      </c>
      <c r="F4781" t="s">
        <v>23</v>
      </c>
      <c r="H4781">
        <v>39.799999999999997</v>
      </c>
      <c r="I4781" s="13">
        <v>8</v>
      </c>
      <c r="J4781">
        <v>0</v>
      </c>
      <c r="K4781">
        <v>0</v>
      </c>
      <c r="L4781">
        <v>0</v>
      </c>
      <c r="M4781">
        <v>0</v>
      </c>
      <c r="O4781">
        <f t="shared" si="74"/>
        <v>5</v>
      </c>
    </row>
    <row r="4782" spans="1:15">
      <c r="A4782">
        <v>4718</v>
      </c>
      <c r="B4782" s="1">
        <v>45837</v>
      </c>
      <c r="C4782">
        <v>51</v>
      </c>
      <c r="D4782" t="s">
        <v>14</v>
      </c>
      <c r="E4782" t="s">
        <v>20</v>
      </c>
      <c r="F4782" t="s">
        <v>16</v>
      </c>
      <c r="H4782">
        <v>522.1</v>
      </c>
      <c r="I4782" s="13">
        <v>6</v>
      </c>
      <c r="J4782">
        <v>1</v>
      </c>
      <c r="K4782">
        <v>511</v>
      </c>
      <c r="L4782">
        <v>2</v>
      </c>
      <c r="M4782">
        <v>7</v>
      </c>
      <c r="N4782">
        <v>5</v>
      </c>
      <c r="O4782">
        <f t="shared" si="74"/>
        <v>6</v>
      </c>
    </row>
    <row r="4783" spans="1:15">
      <c r="A4783">
        <v>4560</v>
      </c>
      <c r="B4783" s="1">
        <v>45837</v>
      </c>
      <c r="C4783">
        <v>45</v>
      </c>
      <c r="D4783" t="s">
        <v>17</v>
      </c>
      <c r="E4783" t="s">
        <v>22</v>
      </c>
      <c r="F4783" t="s">
        <v>18</v>
      </c>
      <c r="G4783" t="s">
        <v>28</v>
      </c>
      <c r="H4783">
        <v>841</v>
      </c>
      <c r="I4783" s="13">
        <v>4</v>
      </c>
      <c r="J4783">
        <v>1</v>
      </c>
      <c r="K4783">
        <v>393.28</v>
      </c>
      <c r="L4783">
        <v>5</v>
      </c>
      <c r="M4783">
        <v>7</v>
      </c>
      <c r="N4783">
        <v>4</v>
      </c>
      <c r="O4783">
        <f t="shared" si="74"/>
        <v>6</v>
      </c>
    </row>
    <row r="4784" spans="1:15">
      <c r="A4784">
        <v>533</v>
      </c>
      <c r="B4784" s="1">
        <v>45837</v>
      </c>
      <c r="C4784">
        <v>29</v>
      </c>
      <c r="D4784" t="s">
        <v>17</v>
      </c>
      <c r="E4784" t="s">
        <v>22</v>
      </c>
      <c r="F4784" t="s">
        <v>18</v>
      </c>
      <c r="G4784" t="s">
        <v>31</v>
      </c>
      <c r="H4784">
        <v>390.2</v>
      </c>
      <c r="I4784" s="13">
        <v>13</v>
      </c>
      <c r="J4784">
        <v>1</v>
      </c>
      <c r="K4784">
        <v>101.19</v>
      </c>
      <c r="L4784">
        <v>2</v>
      </c>
      <c r="M4784">
        <v>7</v>
      </c>
      <c r="N4784">
        <v>4</v>
      </c>
      <c r="O4784">
        <f t="shared" si="74"/>
        <v>6</v>
      </c>
    </row>
    <row r="4785" spans="1:15">
      <c r="A4785">
        <v>3302</v>
      </c>
      <c r="B4785" s="1">
        <v>45837</v>
      </c>
      <c r="C4785">
        <v>30</v>
      </c>
      <c r="D4785" t="s">
        <v>17</v>
      </c>
      <c r="E4785" t="s">
        <v>24</v>
      </c>
      <c r="F4785" t="s">
        <v>21</v>
      </c>
      <c r="H4785">
        <v>696.9</v>
      </c>
      <c r="I4785" s="13">
        <v>8</v>
      </c>
      <c r="J4785">
        <v>1</v>
      </c>
      <c r="K4785">
        <v>76.150000000000006</v>
      </c>
      <c r="L4785">
        <v>5</v>
      </c>
      <c r="M4785">
        <v>15</v>
      </c>
      <c r="N4785">
        <v>3</v>
      </c>
      <c r="O4785">
        <f t="shared" si="74"/>
        <v>6</v>
      </c>
    </row>
    <row r="4786" spans="1:15">
      <c r="A4786">
        <v>3408</v>
      </c>
      <c r="B4786" s="1">
        <v>45837</v>
      </c>
      <c r="C4786">
        <v>46</v>
      </c>
      <c r="D4786" t="s">
        <v>17</v>
      </c>
      <c r="E4786" t="s">
        <v>22</v>
      </c>
      <c r="F4786" t="s">
        <v>16</v>
      </c>
      <c r="H4786">
        <v>385.8</v>
      </c>
      <c r="I4786" s="13">
        <v>9</v>
      </c>
      <c r="J4786">
        <v>1</v>
      </c>
      <c r="K4786">
        <v>73.510000000000005</v>
      </c>
      <c r="L4786">
        <v>3</v>
      </c>
      <c r="M4786">
        <v>3</v>
      </c>
      <c r="N4786">
        <v>5</v>
      </c>
      <c r="O4786">
        <f t="shared" si="74"/>
        <v>6</v>
      </c>
    </row>
    <row r="4787" spans="1:15">
      <c r="A4787">
        <v>1055</v>
      </c>
      <c r="B4787" s="1">
        <v>45837</v>
      </c>
      <c r="C4787">
        <v>29</v>
      </c>
      <c r="D4787" t="s">
        <v>14</v>
      </c>
      <c r="E4787" t="s">
        <v>15</v>
      </c>
      <c r="F4787" t="s">
        <v>16</v>
      </c>
      <c r="H4787">
        <v>94.3</v>
      </c>
      <c r="I4787" s="13">
        <v>2</v>
      </c>
      <c r="J4787">
        <v>1</v>
      </c>
      <c r="K4787">
        <v>63.99</v>
      </c>
      <c r="L4787">
        <v>2</v>
      </c>
      <c r="M4787">
        <v>4</v>
      </c>
      <c r="N4787">
        <v>4</v>
      </c>
      <c r="O4787">
        <f t="shared" si="74"/>
        <v>6</v>
      </c>
    </row>
    <row r="4788" spans="1:15">
      <c r="A4788">
        <v>1334</v>
      </c>
      <c r="B4788" s="1">
        <v>45837</v>
      </c>
      <c r="C4788">
        <v>29</v>
      </c>
      <c r="D4788" t="s">
        <v>14</v>
      </c>
      <c r="E4788" t="s">
        <v>22</v>
      </c>
      <c r="F4788" t="s">
        <v>16</v>
      </c>
      <c r="H4788">
        <v>508.9</v>
      </c>
      <c r="I4788" s="13">
        <v>7</v>
      </c>
      <c r="J4788">
        <v>1</v>
      </c>
      <c r="K4788">
        <v>45.97</v>
      </c>
      <c r="L4788">
        <v>3</v>
      </c>
      <c r="M4788">
        <v>13</v>
      </c>
      <c r="N4788">
        <v>4</v>
      </c>
      <c r="O4788">
        <f t="shared" si="74"/>
        <v>6</v>
      </c>
    </row>
    <row r="4789" spans="1:15">
      <c r="A4789">
        <v>3396</v>
      </c>
      <c r="B4789" s="1">
        <v>45837</v>
      </c>
      <c r="C4789">
        <v>21</v>
      </c>
      <c r="D4789" t="s">
        <v>17</v>
      </c>
      <c r="E4789" t="s">
        <v>24</v>
      </c>
      <c r="F4789" t="s">
        <v>23</v>
      </c>
      <c r="H4789">
        <v>1301.2</v>
      </c>
      <c r="I4789" s="13">
        <v>6</v>
      </c>
      <c r="J4789">
        <v>1</v>
      </c>
      <c r="K4789">
        <v>40.74</v>
      </c>
      <c r="L4789">
        <v>2</v>
      </c>
      <c r="M4789">
        <v>10</v>
      </c>
      <c r="N4789">
        <v>4</v>
      </c>
      <c r="O4789">
        <f t="shared" si="74"/>
        <v>6</v>
      </c>
    </row>
    <row r="4790" spans="1:15">
      <c r="A4790">
        <v>532</v>
      </c>
      <c r="B4790" s="1">
        <v>45837</v>
      </c>
      <c r="C4790">
        <v>28</v>
      </c>
      <c r="D4790" t="s">
        <v>17</v>
      </c>
      <c r="E4790" t="s">
        <v>24</v>
      </c>
      <c r="F4790" t="s">
        <v>16</v>
      </c>
      <c r="H4790">
        <v>619.20000000000005</v>
      </c>
      <c r="I4790" s="13">
        <v>5</v>
      </c>
      <c r="J4790">
        <v>1</v>
      </c>
      <c r="K4790">
        <v>28.02</v>
      </c>
      <c r="L4790">
        <v>4</v>
      </c>
      <c r="M4790">
        <v>9</v>
      </c>
      <c r="N4790">
        <v>4</v>
      </c>
      <c r="O4790">
        <f t="shared" si="74"/>
        <v>6</v>
      </c>
    </row>
    <row r="4791" spans="1:15">
      <c r="A4791">
        <v>1913</v>
      </c>
      <c r="B4791" s="1">
        <v>45837</v>
      </c>
      <c r="C4791">
        <v>24</v>
      </c>
      <c r="D4791" t="s">
        <v>17</v>
      </c>
      <c r="E4791" t="s">
        <v>20</v>
      </c>
      <c r="F4791" t="s">
        <v>23</v>
      </c>
      <c r="H4791">
        <v>352</v>
      </c>
      <c r="I4791" s="13">
        <v>8</v>
      </c>
      <c r="J4791">
        <v>1</v>
      </c>
      <c r="K4791">
        <v>22.51</v>
      </c>
      <c r="L4791">
        <v>4</v>
      </c>
      <c r="M4791">
        <v>13</v>
      </c>
      <c r="N4791">
        <v>4</v>
      </c>
      <c r="O4791">
        <f t="shared" si="74"/>
        <v>6</v>
      </c>
    </row>
    <row r="4792" spans="1:15">
      <c r="A4792">
        <v>3444</v>
      </c>
      <c r="B4792" s="1">
        <v>45837</v>
      </c>
      <c r="C4792">
        <v>38</v>
      </c>
      <c r="D4792" t="s">
        <v>14</v>
      </c>
      <c r="E4792" t="s">
        <v>15</v>
      </c>
      <c r="F4792" t="s">
        <v>23</v>
      </c>
      <c r="H4792">
        <v>695.7</v>
      </c>
      <c r="I4792" s="13">
        <v>4</v>
      </c>
      <c r="J4792">
        <v>1</v>
      </c>
      <c r="K4792">
        <v>15.15</v>
      </c>
      <c r="L4792">
        <v>3</v>
      </c>
      <c r="M4792">
        <v>13</v>
      </c>
      <c r="N4792">
        <v>4</v>
      </c>
      <c r="O4792">
        <f t="shared" si="74"/>
        <v>6</v>
      </c>
    </row>
    <row r="4793" spans="1:15">
      <c r="A4793">
        <v>1465</v>
      </c>
      <c r="B4793" s="1">
        <v>45837</v>
      </c>
      <c r="C4793">
        <v>18</v>
      </c>
      <c r="D4793" t="s">
        <v>14</v>
      </c>
      <c r="E4793" t="s">
        <v>20</v>
      </c>
      <c r="F4793" t="s">
        <v>18</v>
      </c>
      <c r="G4793" t="s">
        <v>26</v>
      </c>
      <c r="H4793">
        <v>950.1</v>
      </c>
      <c r="I4793" s="13">
        <v>6</v>
      </c>
      <c r="J4793">
        <v>1</v>
      </c>
      <c r="K4793">
        <v>14.48</v>
      </c>
      <c r="L4793">
        <v>2</v>
      </c>
      <c r="M4793">
        <v>3</v>
      </c>
      <c r="N4793">
        <v>4</v>
      </c>
      <c r="O4793">
        <f t="shared" si="74"/>
        <v>6</v>
      </c>
    </row>
    <row r="4794" spans="1:15">
      <c r="A4794">
        <v>4257</v>
      </c>
      <c r="B4794" s="1">
        <v>45837</v>
      </c>
      <c r="C4794">
        <v>72</v>
      </c>
      <c r="D4794" t="s">
        <v>17</v>
      </c>
      <c r="E4794" t="s">
        <v>15</v>
      </c>
      <c r="F4794" t="s">
        <v>18</v>
      </c>
      <c r="G4794" t="s">
        <v>25</v>
      </c>
      <c r="H4794">
        <v>755.7</v>
      </c>
      <c r="I4794" s="13">
        <v>4</v>
      </c>
      <c r="J4794">
        <v>0</v>
      </c>
      <c r="K4794">
        <v>0</v>
      </c>
      <c r="L4794">
        <v>0</v>
      </c>
      <c r="M4794">
        <v>0</v>
      </c>
      <c r="O4794">
        <f t="shared" si="74"/>
        <v>6</v>
      </c>
    </row>
    <row r="4795" spans="1:15">
      <c r="A4795">
        <v>848</v>
      </c>
      <c r="B4795" s="1">
        <v>45837</v>
      </c>
      <c r="C4795">
        <v>24</v>
      </c>
      <c r="D4795" t="s">
        <v>14</v>
      </c>
      <c r="E4795" t="s">
        <v>15</v>
      </c>
      <c r="F4795" t="s">
        <v>18</v>
      </c>
      <c r="G4795" t="s">
        <v>19</v>
      </c>
      <c r="H4795">
        <v>461.9</v>
      </c>
      <c r="I4795" s="13">
        <v>2</v>
      </c>
      <c r="J4795">
        <v>0</v>
      </c>
      <c r="K4795">
        <v>0</v>
      </c>
      <c r="L4795">
        <v>0</v>
      </c>
      <c r="M4795">
        <v>0</v>
      </c>
      <c r="O4795">
        <f t="shared" si="74"/>
        <v>6</v>
      </c>
    </row>
    <row r="4796" spans="1:15">
      <c r="A4796">
        <v>1210</v>
      </c>
      <c r="B4796" s="1">
        <v>45837</v>
      </c>
      <c r="C4796">
        <v>21</v>
      </c>
      <c r="D4796" t="s">
        <v>17</v>
      </c>
      <c r="E4796" t="s">
        <v>15</v>
      </c>
      <c r="F4796" t="s">
        <v>18</v>
      </c>
      <c r="G4796" t="s">
        <v>31</v>
      </c>
      <c r="H4796">
        <v>454.6</v>
      </c>
      <c r="I4796" s="13">
        <v>6</v>
      </c>
      <c r="J4796">
        <v>0</v>
      </c>
      <c r="K4796">
        <v>0</v>
      </c>
      <c r="L4796">
        <v>0</v>
      </c>
      <c r="M4796">
        <v>0</v>
      </c>
      <c r="O4796">
        <f t="shared" si="74"/>
        <v>6</v>
      </c>
    </row>
    <row r="4797" spans="1:15">
      <c r="A4797">
        <v>2244</v>
      </c>
      <c r="B4797" s="1">
        <v>45837</v>
      </c>
      <c r="C4797">
        <v>29</v>
      </c>
      <c r="D4797" t="s">
        <v>14</v>
      </c>
      <c r="E4797" t="s">
        <v>24</v>
      </c>
      <c r="F4797" t="s">
        <v>18</v>
      </c>
      <c r="G4797" t="s">
        <v>26</v>
      </c>
      <c r="H4797">
        <v>434.3</v>
      </c>
      <c r="I4797" s="13">
        <v>6</v>
      </c>
      <c r="J4797">
        <v>0</v>
      </c>
      <c r="K4797">
        <v>0</v>
      </c>
      <c r="L4797">
        <v>0</v>
      </c>
      <c r="M4797">
        <v>0</v>
      </c>
      <c r="O4797">
        <f t="shared" si="74"/>
        <v>6</v>
      </c>
    </row>
    <row r="4798" spans="1:15">
      <c r="A4798">
        <v>4176</v>
      </c>
      <c r="B4798" s="1">
        <v>45837</v>
      </c>
      <c r="C4798">
        <v>53</v>
      </c>
      <c r="D4798" t="s">
        <v>14</v>
      </c>
      <c r="E4798" t="s">
        <v>20</v>
      </c>
      <c r="F4798" t="s">
        <v>16</v>
      </c>
      <c r="H4798">
        <v>283.39999999999998</v>
      </c>
      <c r="I4798" s="13">
        <v>7</v>
      </c>
      <c r="J4798">
        <v>0</v>
      </c>
      <c r="K4798">
        <v>0</v>
      </c>
      <c r="L4798">
        <v>0</v>
      </c>
      <c r="M4798">
        <v>0</v>
      </c>
      <c r="O4798">
        <f t="shared" si="74"/>
        <v>6</v>
      </c>
    </row>
    <row r="4799" spans="1:15">
      <c r="A4799">
        <v>1955</v>
      </c>
      <c r="B4799" s="1">
        <v>45837</v>
      </c>
      <c r="C4799">
        <v>22</v>
      </c>
      <c r="D4799" t="s">
        <v>17</v>
      </c>
      <c r="E4799" t="s">
        <v>20</v>
      </c>
      <c r="F4799" t="s">
        <v>16</v>
      </c>
      <c r="H4799">
        <v>273.2</v>
      </c>
      <c r="I4799" s="13">
        <v>4</v>
      </c>
      <c r="J4799">
        <v>0</v>
      </c>
      <c r="K4799">
        <v>0</v>
      </c>
      <c r="L4799">
        <v>0</v>
      </c>
      <c r="M4799">
        <v>0</v>
      </c>
      <c r="O4799">
        <f t="shared" si="74"/>
        <v>6</v>
      </c>
    </row>
    <row r="4800" spans="1:15">
      <c r="A4800">
        <v>4463</v>
      </c>
      <c r="B4800" s="1">
        <v>45837</v>
      </c>
      <c r="C4800">
        <v>64</v>
      </c>
      <c r="D4800" t="s">
        <v>17</v>
      </c>
      <c r="E4800" t="s">
        <v>22</v>
      </c>
      <c r="F4800" t="s">
        <v>16</v>
      </c>
      <c r="H4800">
        <v>192</v>
      </c>
      <c r="I4800" s="13">
        <v>8</v>
      </c>
      <c r="J4800">
        <v>0</v>
      </c>
      <c r="K4800">
        <v>0</v>
      </c>
      <c r="L4800">
        <v>0</v>
      </c>
      <c r="M4800">
        <v>0</v>
      </c>
      <c r="O4800">
        <f t="shared" si="74"/>
        <v>6</v>
      </c>
    </row>
    <row r="4801" spans="1:15">
      <c r="A4801">
        <v>2530</v>
      </c>
      <c r="B4801" s="1">
        <v>45837</v>
      </c>
      <c r="C4801">
        <v>32</v>
      </c>
      <c r="D4801" t="s">
        <v>17</v>
      </c>
      <c r="E4801" t="s">
        <v>20</v>
      </c>
      <c r="F4801" t="s">
        <v>16</v>
      </c>
      <c r="H4801">
        <v>156.19999999999999</v>
      </c>
      <c r="I4801" s="13">
        <v>6</v>
      </c>
      <c r="J4801">
        <v>0</v>
      </c>
      <c r="K4801">
        <v>0</v>
      </c>
      <c r="L4801">
        <v>0</v>
      </c>
      <c r="M4801">
        <v>0</v>
      </c>
      <c r="O4801">
        <f t="shared" si="74"/>
        <v>6</v>
      </c>
    </row>
    <row r="4802" spans="1:15">
      <c r="A4802">
        <v>3650</v>
      </c>
      <c r="B4802" s="1">
        <v>45837</v>
      </c>
      <c r="C4802">
        <v>40</v>
      </c>
      <c r="D4802" t="s">
        <v>17</v>
      </c>
      <c r="E4802" t="s">
        <v>24</v>
      </c>
      <c r="F4802" t="s">
        <v>16</v>
      </c>
      <c r="H4802">
        <v>142.5</v>
      </c>
      <c r="I4802" s="13">
        <v>8</v>
      </c>
      <c r="J4802">
        <v>0</v>
      </c>
      <c r="K4802">
        <v>0</v>
      </c>
      <c r="L4802">
        <v>0</v>
      </c>
      <c r="M4802">
        <v>0</v>
      </c>
      <c r="O4802">
        <f t="shared" si="74"/>
        <v>6</v>
      </c>
    </row>
    <row r="4803" spans="1:15">
      <c r="A4803">
        <v>1105</v>
      </c>
      <c r="B4803" s="1">
        <v>45837</v>
      </c>
      <c r="C4803">
        <v>18</v>
      </c>
      <c r="D4803" t="s">
        <v>14</v>
      </c>
      <c r="E4803" t="s">
        <v>20</v>
      </c>
      <c r="F4803" t="s">
        <v>18</v>
      </c>
      <c r="G4803" t="s">
        <v>25</v>
      </c>
      <c r="H4803">
        <v>103.3</v>
      </c>
      <c r="I4803" s="13">
        <v>5</v>
      </c>
      <c r="J4803">
        <v>0</v>
      </c>
      <c r="K4803">
        <v>0</v>
      </c>
      <c r="L4803">
        <v>0</v>
      </c>
      <c r="M4803">
        <v>0</v>
      </c>
      <c r="O4803">
        <f t="shared" ref="O4803:O4866" si="75">MONTH(B4803)</f>
        <v>6</v>
      </c>
    </row>
    <row r="4804" spans="1:15">
      <c r="A4804">
        <v>1716</v>
      </c>
      <c r="B4804" s="1">
        <v>45837</v>
      </c>
      <c r="C4804">
        <v>25</v>
      </c>
      <c r="D4804" t="s">
        <v>14</v>
      </c>
      <c r="E4804" t="s">
        <v>22</v>
      </c>
      <c r="F4804" t="s">
        <v>18</v>
      </c>
      <c r="G4804" t="s">
        <v>26</v>
      </c>
      <c r="H4804">
        <v>98.8</v>
      </c>
      <c r="I4804" s="13">
        <v>7</v>
      </c>
      <c r="J4804">
        <v>0</v>
      </c>
      <c r="K4804">
        <v>0</v>
      </c>
      <c r="L4804">
        <v>0</v>
      </c>
      <c r="M4804">
        <v>0</v>
      </c>
      <c r="O4804">
        <f t="shared" si="75"/>
        <v>6</v>
      </c>
    </row>
    <row r="4805" spans="1:15">
      <c r="A4805">
        <v>1728</v>
      </c>
      <c r="B4805" s="1">
        <v>45837</v>
      </c>
      <c r="C4805">
        <v>32</v>
      </c>
      <c r="D4805" t="s">
        <v>17</v>
      </c>
      <c r="E4805" t="s">
        <v>24</v>
      </c>
      <c r="F4805" t="s">
        <v>21</v>
      </c>
      <c r="H4805">
        <v>56.5</v>
      </c>
      <c r="I4805" s="13">
        <v>2</v>
      </c>
      <c r="J4805">
        <v>0</v>
      </c>
      <c r="K4805">
        <v>0</v>
      </c>
      <c r="L4805">
        <v>0</v>
      </c>
      <c r="M4805">
        <v>0</v>
      </c>
      <c r="O4805">
        <f t="shared" si="75"/>
        <v>6</v>
      </c>
    </row>
    <row r="4806" spans="1:15">
      <c r="A4806">
        <v>3403</v>
      </c>
      <c r="B4806" s="1">
        <v>45837</v>
      </c>
      <c r="C4806">
        <v>31</v>
      </c>
      <c r="D4806" t="s">
        <v>17</v>
      </c>
      <c r="E4806" t="s">
        <v>15</v>
      </c>
      <c r="F4806" t="s">
        <v>21</v>
      </c>
      <c r="H4806">
        <v>46.5</v>
      </c>
      <c r="I4806" s="13">
        <v>5</v>
      </c>
      <c r="J4806">
        <v>0</v>
      </c>
      <c r="K4806">
        <v>0</v>
      </c>
      <c r="L4806">
        <v>0</v>
      </c>
      <c r="M4806">
        <v>0</v>
      </c>
      <c r="O4806">
        <f t="shared" si="75"/>
        <v>6</v>
      </c>
    </row>
    <row r="4807" spans="1:15">
      <c r="A4807">
        <v>2790</v>
      </c>
      <c r="B4807" s="1">
        <v>45837</v>
      </c>
      <c r="C4807">
        <v>28</v>
      </c>
      <c r="D4807" t="s">
        <v>17</v>
      </c>
      <c r="E4807" t="s">
        <v>15</v>
      </c>
      <c r="F4807" t="s">
        <v>16</v>
      </c>
      <c r="H4807">
        <v>37.6</v>
      </c>
      <c r="I4807" s="13">
        <v>6</v>
      </c>
      <c r="J4807">
        <v>0</v>
      </c>
      <c r="K4807">
        <v>0</v>
      </c>
      <c r="L4807">
        <v>0</v>
      </c>
      <c r="M4807">
        <v>0</v>
      </c>
      <c r="O4807">
        <f t="shared" si="75"/>
        <v>6</v>
      </c>
    </row>
    <row r="4808" spans="1:15">
      <c r="A4808">
        <v>3503</v>
      </c>
      <c r="B4808" s="1">
        <v>45837</v>
      </c>
      <c r="C4808">
        <v>21</v>
      </c>
      <c r="D4808" t="s">
        <v>14</v>
      </c>
      <c r="E4808" t="s">
        <v>15</v>
      </c>
      <c r="F4808" t="s">
        <v>18</v>
      </c>
      <c r="G4808" t="s">
        <v>31</v>
      </c>
      <c r="H4808">
        <v>36.700000000000003</v>
      </c>
      <c r="I4808" s="13">
        <v>6</v>
      </c>
      <c r="J4808">
        <v>0</v>
      </c>
      <c r="K4808">
        <v>0</v>
      </c>
      <c r="L4808">
        <v>0</v>
      </c>
      <c r="M4808">
        <v>0</v>
      </c>
      <c r="O4808">
        <f t="shared" si="75"/>
        <v>6</v>
      </c>
    </row>
    <row r="4809" spans="1:15">
      <c r="A4809">
        <v>3949</v>
      </c>
      <c r="B4809" s="1">
        <v>45687</v>
      </c>
      <c r="C4809">
        <v>52</v>
      </c>
      <c r="D4809" t="s">
        <v>14</v>
      </c>
      <c r="E4809" t="s">
        <v>15</v>
      </c>
      <c r="F4809" t="s">
        <v>16</v>
      </c>
      <c r="H4809">
        <v>270.10000000000002</v>
      </c>
      <c r="I4809" s="13">
        <v>8</v>
      </c>
      <c r="J4809">
        <v>1</v>
      </c>
      <c r="K4809">
        <v>186</v>
      </c>
      <c r="L4809">
        <v>3</v>
      </c>
      <c r="M4809">
        <v>8</v>
      </c>
      <c r="N4809">
        <v>4</v>
      </c>
      <c r="O4809">
        <f t="shared" si="75"/>
        <v>1</v>
      </c>
    </row>
    <row r="4810" spans="1:15">
      <c r="A4810">
        <v>2053</v>
      </c>
      <c r="B4810" s="1">
        <v>45687</v>
      </c>
      <c r="C4810">
        <v>42</v>
      </c>
      <c r="D4810" t="s">
        <v>14</v>
      </c>
      <c r="E4810" t="s">
        <v>20</v>
      </c>
      <c r="F4810" t="s">
        <v>16</v>
      </c>
      <c r="H4810">
        <v>508.7</v>
      </c>
      <c r="I4810" s="13">
        <v>8</v>
      </c>
      <c r="J4810">
        <v>1</v>
      </c>
      <c r="K4810">
        <v>176</v>
      </c>
      <c r="L4810">
        <v>2</v>
      </c>
      <c r="M4810">
        <v>11</v>
      </c>
      <c r="N4810">
        <v>4</v>
      </c>
      <c r="O4810">
        <f t="shared" si="75"/>
        <v>1</v>
      </c>
    </row>
    <row r="4811" spans="1:15">
      <c r="A4811">
        <v>1868</v>
      </c>
      <c r="B4811" s="1">
        <v>45687</v>
      </c>
      <c r="C4811">
        <v>33</v>
      </c>
      <c r="D4811" t="s">
        <v>17</v>
      </c>
      <c r="E4811" t="s">
        <v>24</v>
      </c>
      <c r="F4811" t="s">
        <v>18</v>
      </c>
      <c r="G4811" t="s">
        <v>28</v>
      </c>
      <c r="H4811">
        <v>255.8</v>
      </c>
      <c r="I4811" s="13">
        <v>1</v>
      </c>
      <c r="J4811">
        <v>1</v>
      </c>
      <c r="K4811">
        <v>340</v>
      </c>
      <c r="L4811">
        <v>5</v>
      </c>
      <c r="M4811">
        <v>11</v>
      </c>
      <c r="N4811">
        <v>4</v>
      </c>
      <c r="O4811">
        <f t="shared" si="75"/>
        <v>1</v>
      </c>
    </row>
    <row r="4812" spans="1:15">
      <c r="A4812">
        <v>730</v>
      </c>
      <c r="B4812" s="1">
        <v>45687</v>
      </c>
      <c r="C4812">
        <v>18</v>
      </c>
      <c r="D4812" t="s">
        <v>14</v>
      </c>
      <c r="E4812" t="s">
        <v>20</v>
      </c>
      <c r="F4812" t="s">
        <v>16</v>
      </c>
      <c r="H4812">
        <v>422.5</v>
      </c>
      <c r="I4812" s="13">
        <v>4</v>
      </c>
      <c r="J4812">
        <v>1</v>
      </c>
      <c r="K4812">
        <v>52</v>
      </c>
      <c r="L4812">
        <v>2</v>
      </c>
      <c r="M4812">
        <v>10</v>
      </c>
      <c r="N4812">
        <v>4</v>
      </c>
      <c r="O4812">
        <f t="shared" si="75"/>
        <v>1</v>
      </c>
    </row>
    <row r="4813" spans="1:15">
      <c r="A4813">
        <v>2128</v>
      </c>
      <c r="B4813" s="1">
        <v>45687</v>
      </c>
      <c r="C4813">
        <v>31</v>
      </c>
      <c r="D4813" t="s">
        <v>14</v>
      </c>
      <c r="E4813" t="s">
        <v>15</v>
      </c>
      <c r="F4813" t="s">
        <v>16</v>
      </c>
      <c r="H4813">
        <v>155.19999999999999</v>
      </c>
      <c r="I4813" s="13">
        <v>5</v>
      </c>
      <c r="J4813">
        <v>1</v>
      </c>
      <c r="K4813">
        <v>187.61</v>
      </c>
      <c r="L4813">
        <v>2</v>
      </c>
      <c r="M4813">
        <v>14</v>
      </c>
      <c r="N4813">
        <v>4</v>
      </c>
      <c r="O4813">
        <f t="shared" si="75"/>
        <v>1</v>
      </c>
    </row>
    <row r="4814" spans="1:15">
      <c r="A4814">
        <v>2972</v>
      </c>
      <c r="B4814" s="1">
        <v>45687</v>
      </c>
      <c r="C4814">
        <v>44</v>
      </c>
      <c r="D4814" t="s">
        <v>14</v>
      </c>
      <c r="E4814" t="s">
        <v>24</v>
      </c>
      <c r="F4814" t="s">
        <v>18</v>
      </c>
      <c r="G4814" t="s">
        <v>29</v>
      </c>
      <c r="H4814">
        <v>532.79999999999995</v>
      </c>
      <c r="I4814" s="13">
        <v>10</v>
      </c>
      <c r="J4814">
        <v>1</v>
      </c>
      <c r="K4814">
        <v>106.98</v>
      </c>
      <c r="L4814">
        <v>3</v>
      </c>
      <c r="M4814">
        <v>8</v>
      </c>
      <c r="N4814">
        <v>4</v>
      </c>
      <c r="O4814">
        <f t="shared" si="75"/>
        <v>1</v>
      </c>
    </row>
    <row r="4815" spans="1:15">
      <c r="A4815">
        <v>112</v>
      </c>
      <c r="B4815" s="1">
        <v>45687</v>
      </c>
      <c r="C4815">
        <v>26</v>
      </c>
      <c r="D4815" t="s">
        <v>14</v>
      </c>
      <c r="E4815" t="s">
        <v>15</v>
      </c>
      <c r="F4815" t="s">
        <v>16</v>
      </c>
      <c r="H4815">
        <v>244.8</v>
      </c>
      <c r="I4815" s="13">
        <v>10</v>
      </c>
      <c r="J4815">
        <v>1</v>
      </c>
      <c r="K4815">
        <v>98.2</v>
      </c>
      <c r="L4815">
        <v>3</v>
      </c>
      <c r="M4815">
        <v>2</v>
      </c>
      <c r="N4815">
        <v>4</v>
      </c>
      <c r="O4815">
        <f t="shared" si="75"/>
        <v>1</v>
      </c>
    </row>
    <row r="4816" spans="1:15">
      <c r="A4816">
        <v>1213</v>
      </c>
      <c r="B4816" s="1">
        <v>45687</v>
      </c>
      <c r="C4816">
        <v>21</v>
      </c>
      <c r="D4816" t="s">
        <v>14</v>
      </c>
      <c r="E4816" t="s">
        <v>24</v>
      </c>
      <c r="F4816" t="s">
        <v>18</v>
      </c>
      <c r="G4816" t="s">
        <v>19</v>
      </c>
      <c r="H4816">
        <v>639.5</v>
      </c>
      <c r="I4816" s="13">
        <v>8</v>
      </c>
      <c r="J4816">
        <v>1</v>
      </c>
      <c r="K4816">
        <v>83.53</v>
      </c>
      <c r="L4816">
        <v>3</v>
      </c>
      <c r="M4816">
        <v>10</v>
      </c>
      <c r="N4816">
        <v>3</v>
      </c>
      <c r="O4816">
        <f t="shared" si="75"/>
        <v>1</v>
      </c>
    </row>
    <row r="4817" spans="1:15">
      <c r="A4817">
        <v>3729</v>
      </c>
      <c r="B4817" s="1">
        <v>45687</v>
      </c>
      <c r="C4817">
        <v>41</v>
      </c>
      <c r="D4817" t="s">
        <v>17</v>
      </c>
      <c r="E4817" t="s">
        <v>20</v>
      </c>
      <c r="F4817" t="s">
        <v>18</v>
      </c>
      <c r="G4817" t="s">
        <v>31</v>
      </c>
      <c r="H4817">
        <v>234.7</v>
      </c>
      <c r="I4817" s="13">
        <v>3</v>
      </c>
      <c r="J4817">
        <v>1</v>
      </c>
      <c r="K4817">
        <v>62.02</v>
      </c>
      <c r="L4817">
        <v>2</v>
      </c>
      <c r="M4817">
        <v>6</v>
      </c>
      <c r="N4817">
        <v>4</v>
      </c>
      <c r="O4817">
        <f t="shared" si="75"/>
        <v>1</v>
      </c>
    </row>
    <row r="4818" spans="1:15">
      <c r="A4818">
        <v>4255</v>
      </c>
      <c r="B4818" s="1">
        <v>45687</v>
      </c>
      <c r="C4818">
        <v>56</v>
      </c>
      <c r="D4818" t="s">
        <v>14</v>
      </c>
      <c r="E4818" t="s">
        <v>22</v>
      </c>
      <c r="F4818" t="s">
        <v>16</v>
      </c>
      <c r="H4818">
        <v>1025.3</v>
      </c>
      <c r="I4818" s="13">
        <v>5</v>
      </c>
      <c r="J4818">
        <v>1</v>
      </c>
      <c r="K4818">
        <v>44.42</v>
      </c>
      <c r="L4818">
        <v>7</v>
      </c>
      <c r="M4818">
        <v>15</v>
      </c>
      <c r="N4818">
        <v>4</v>
      </c>
      <c r="O4818">
        <f t="shared" si="75"/>
        <v>1</v>
      </c>
    </row>
    <row r="4819" spans="1:15">
      <c r="A4819">
        <v>731</v>
      </c>
      <c r="B4819" s="1">
        <v>45687</v>
      </c>
      <c r="C4819">
        <v>27</v>
      </c>
      <c r="D4819" t="s">
        <v>17</v>
      </c>
      <c r="E4819" t="s">
        <v>20</v>
      </c>
      <c r="F4819" t="s">
        <v>18</v>
      </c>
      <c r="G4819" t="s">
        <v>26</v>
      </c>
      <c r="H4819">
        <v>353.6</v>
      </c>
      <c r="I4819" s="13">
        <v>5</v>
      </c>
      <c r="J4819">
        <v>1</v>
      </c>
      <c r="K4819">
        <v>33.909999999999997</v>
      </c>
      <c r="L4819">
        <v>3</v>
      </c>
      <c r="M4819">
        <v>1</v>
      </c>
      <c r="N4819">
        <v>3</v>
      </c>
      <c r="O4819">
        <f t="shared" si="75"/>
        <v>1</v>
      </c>
    </row>
    <row r="4820" spans="1:15">
      <c r="A4820">
        <v>3222</v>
      </c>
      <c r="B4820" s="1">
        <v>45687</v>
      </c>
      <c r="C4820">
        <v>24</v>
      </c>
      <c r="D4820" t="s">
        <v>14</v>
      </c>
      <c r="E4820" t="s">
        <v>20</v>
      </c>
      <c r="F4820" t="s">
        <v>18</v>
      </c>
      <c r="G4820" t="s">
        <v>31</v>
      </c>
      <c r="H4820">
        <v>835.7</v>
      </c>
      <c r="I4820" s="13">
        <v>3</v>
      </c>
      <c r="J4820">
        <v>1</v>
      </c>
      <c r="K4820">
        <v>20.67</v>
      </c>
      <c r="L4820">
        <v>3</v>
      </c>
      <c r="M4820">
        <v>7</v>
      </c>
      <c r="N4820">
        <v>5</v>
      </c>
      <c r="O4820">
        <f t="shared" si="75"/>
        <v>1</v>
      </c>
    </row>
    <row r="4821" spans="1:15">
      <c r="A4821">
        <v>4369</v>
      </c>
      <c r="B4821" s="1">
        <v>45687</v>
      </c>
      <c r="C4821">
        <v>41</v>
      </c>
      <c r="D4821" t="s">
        <v>14</v>
      </c>
      <c r="E4821" t="s">
        <v>15</v>
      </c>
      <c r="F4821" t="s">
        <v>23</v>
      </c>
      <c r="H4821">
        <v>281.89999999999998</v>
      </c>
      <c r="I4821" s="13">
        <v>5</v>
      </c>
      <c r="J4821">
        <v>1</v>
      </c>
      <c r="K4821">
        <v>19.21</v>
      </c>
      <c r="L4821">
        <v>5</v>
      </c>
      <c r="M4821">
        <v>1</v>
      </c>
      <c r="N4821">
        <v>5</v>
      </c>
      <c r="O4821">
        <f t="shared" si="75"/>
        <v>1</v>
      </c>
    </row>
    <row r="4822" spans="1:15">
      <c r="A4822">
        <v>3217</v>
      </c>
      <c r="B4822" s="1">
        <v>45687</v>
      </c>
      <c r="C4822">
        <v>28</v>
      </c>
      <c r="D4822" t="s">
        <v>17</v>
      </c>
      <c r="E4822" t="s">
        <v>15</v>
      </c>
      <c r="F4822" t="s">
        <v>16</v>
      </c>
      <c r="H4822">
        <v>458</v>
      </c>
      <c r="I4822" s="13">
        <v>6</v>
      </c>
      <c r="J4822">
        <v>1</v>
      </c>
      <c r="K4822">
        <v>13.51</v>
      </c>
      <c r="L4822">
        <v>4</v>
      </c>
      <c r="M4822">
        <v>7</v>
      </c>
      <c r="N4822">
        <v>3</v>
      </c>
      <c r="O4822">
        <f t="shared" si="75"/>
        <v>1</v>
      </c>
    </row>
    <row r="4823" spans="1:15">
      <c r="A4823">
        <v>4281</v>
      </c>
      <c r="B4823" s="1">
        <v>45687</v>
      </c>
      <c r="C4823">
        <v>55</v>
      </c>
      <c r="D4823" t="s">
        <v>17</v>
      </c>
      <c r="E4823" t="s">
        <v>24</v>
      </c>
      <c r="F4823" t="s">
        <v>18</v>
      </c>
      <c r="G4823" t="s">
        <v>30</v>
      </c>
      <c r="H4823">
        <v>536.5</v>
      </c>
      <c r="I4823" s="13">
        <v>4</v>
      </c>
      <c r="J4823">
        <v>0</v>
      </c>
      <c r="K4823">
        <v>0</v>
      </c>
      <c r="L4823">
        <v>0</v>
      </c>
      <c r="M4823">
        <v>0</v>
      </c>
      <c r="O4823">
        <f t="shared" si="75"/>
        <v>1</v>
      </c>
    </row>
    <row r="4824" spans="1:15">
      <c r="A4824">
        <v>3845</v>
      </c>
      <c r="B4824" s="1">
        <v>45687</v>
      </c>
      <c r="C4824">
        <v>51</v>
      </c>
      <c r="D4824" t="s">
        <v>14</v>
      </c>
      <c r="E4824" t="s">
        <v>15</v>
      </c>
      <c r="F4824" t="s">
        <v>18</v>
      </c>
      <c r="G4824" t="s">
        <v>25</v>
      </c>
      <c r="H4824">
        <v>442</v>
      </c>
      <c r="I4824" s="13">
        <v>9</v>
      </c>
      <c r="J4824">
        <v>0</v>
      </c>
      <c r="K4824">
        <v>0</v>
      </c>
      <c r="L4824">
        <v>0</v>
      </c>
      <c r="M4824">
        <v>0</v>
      </c>
      <c r="O4824">
        <f t="shared" si="75"/>
        <v>1</v>
      </c>
    </row>
    <row r="4825" spans="1:15">
      <c r="A4825">
        <v>2814</v>
      </c>
      <c r="B4825" s="1">
        <v>45687</v>
      </c>
      <c r="C4825">
        <v>18</v>
      </c>
      <c r="D4825" t="s">
        <v>14</v>
      </c>
      <c r="E4825" t="s">
        <v>22</v>
      </c>
      <c r="F4825" t="s">
        <v>16</v>
      </c>
      <c r="H4825">
        <v>428</v>
      </c>
      <c r="I4825" s="13">
        <v>6</v>
      </c>
      <c r="J4825">
        <v>0</v>
      </c>
      <c r="K4825">
        <v>0</v>
      </c>
      <c r="L4825">
        <v>0</v>
      </c>
      <c r="M4825">
        <v>0</v>
      </c>
      <c r="O4825">
        <f t="shared" si="75"/>
        <v>1</v>
      </c>
    </row>
    <row r="4826" spans="1:15">
      <c r="A4826">
        <v>959</v>
      </c>
      <c r="B4826" s="1">
        <v>45687</v>
      </c>
      <c r="C4826">
        <v>23</v>
      </c>
      <c r="D4826" t="s">
        <v>17</v>
      </c>
      <c r="E4826" t="s">
        <v>15</v>
      </c>
      <c r="F4826" t="s">
        <v>18</v>
      </c>
      <c r="G4826" t="s">
        <v>26</v>
      </c>
      <c r="H4826">
        <v>379.7</v>
      </c>
      <c r="I4826" s="13">
        <v>5</v>
      </c>
      <c r="J4826">
        <v>0</v>
      </c>
      <c r="K4826">
        <v>0</v>
      </c>
      <c r="L4826">
        <v>0</v>
      </c>
      <c r="M4826">
        <v>0</v>
      </c>
      <c r="O4826">
        <f t="shared" si="75"/>
        <v>1</v>
      </c>
    </row>
    <row r="4827" spans="1:15">
      <c r="A4827">
        <v>4797</v>
      </c>
      <c r="B4827" s="1">
        <v>45687</v>
      </c>
      <c r="C4827">
        <v>65</v>
      </c>
      <c r="D4827" t="s">
        <v>14</v>
      </c>
      <c r="E4827" t="s">
        <v>15</v>
      </c>
      <c r="F4827" t="s">
        <v>16</v>
      </c>
      <c r="H4827">
        <v>353.1</v>
      </c>
      <c r="I4827" s="13">
        <v>5</v>
      </c>
      <c r="J4827">
        <v>0</v>
      </c>
      <c r="K4827">
        <v>0</v>
      </c>
      <c r="L4827">
        <v>0</v>
      </c>
      <c r="M4827">
        <v>0</v>
      </c>
      <c r="O4827">
        <f t="shared" si="75"/>
        <v>1</v>
      </c>
    </row>
    <row r="4828" spans="1:15">
      <c r="A4828">
        <v>4000</v>
      </c>
      <c r="B4828" s="1">
        <v>45687</v>
      </c>
      <c r="C4828">
        <v>53</v>
      </c>
      <c r="D4828" t="s">
        <v>17</v>
      </c>
      <c r="E4828" t="s">
        <v>22</v>
      </c>
      <c r="F4828" t="s">
        <v>16</v>
      </c>
      <c r="H4828">
        <v>332</v>
      </c>
      <c r="I4828" s="13">
        <v>5</v>
      </c>
      <c r="J4828">
        <v>0</v>
      </c>
      <c r="K4828">
        <v>0</v>
      </c>
      <c r="L4828">
        <v>0</v>
      </c>
      <c r="M4828">
        <v>0</v>
      </c>
      <c r="O4828">
        <f t="shared" si="75"/>
        <v>1</v>
      </c>
    </row>
    <row r="4829" spans="1:15">
      <c r="A4829">
        <v>3225</v>
      </c>
      <c r="B4829" s="1">
        <v>45687</v>
      </c>
      <c r="C4829">
        <v>50</v>
      </c>
      <c r="D4829" t="s">
        <v>17</v>
      </c>
      <c r="E4829" t="s">
        <v>22</v>
      </c>
      <c r="F4829" t="s">
        <v>16</v>
      </c>
      <c r="H4829">
        <v>326.10000000000002</v>
      </c>
      <c r="I4829" s="13">
        <v>5</v>
      </c>
      <c r="J4829">
        <v>0</v>
      </c>
      <c r="K4829">
        <v>0</v>
      </c>
      <c r="L4829">
        <v>0</v>
      </c>
      <c r="M4829">
        <v>0</v>
      </c>
      <c r="O4829">
        <f t="shared" si="75"/>
        <v>1</v>
      </c>
    </row>
    <row r="4830" spans="1:15">
      <c r="A4830">
        <v>2069</v>
      </c>
      <c r="B4830" s="1">
        <v>45687</v>
      </c>
      <c r="C4830">
        <v>35</v>
      </c>
      <c r="D4830" t="s">
        <v>14</v>
      </c>
      <c r="E4830" t="s">
        <v>20</v>
      </c>
      <c r="F4830" t="s">
        <v>23</v>
      </c>
      <c r="H4830">
        <v>309.39999999999998</v>
      </c>
      <c r="I4830" s="13">
        <v>8</v>
      </c>
      <c r="J4830">
        <v>0</v>
      </c>
      <c r="K4830">
        <v>0</v>
      </c>
      <c r="L4830">
        <v>0</v>
      </c>
      <c r="M4830">
        <v>0</v>
      </c>
      <c r="O4830">
        <f t="shared" si="75"/>
        <v>1</v>
      </c>
    </row>
    <row r="4831" spans="1:15">
      <c r="A4831">
        <v>4906</v>
      </c>
      <c r="B4831" s="1">
        <v>45687</v>
      </c>
      <c r="C4831">
        <v>51</v>
      </c>
      <c r="D4831" t="s">
        <v>17</v>
      </c>
      <c r="E4831" t="s">
        <v>20</v>
      </c>
      <c r="F4831" t="s">
        <v>18</v>
      </c>
      <c r="G4831" t="s">
        <v>28</v>
      </c>
      <c r="H4831">
        <v>220.8</v>
      </c>
      <c r="I4831" s="13">
        <v>2</v>
      </c>
      <c r="J4831">
        <v>0</v>
      </c>
      <c r="K4831">
        <v>0</v>
      </c>
      <c r="L4831">
        <v>0</v>
      </c>
      <c r="M4831">
        <v>0</v>
      </c>
      <c r="O4831">
        <f t="shared" si="75"/>
        <v>1</v>
      </c>
    </row>
    <row r="4832" spans="1:15">
      <c r="A4832">
        <v>3769</v>
      </c>
      <c r="B4832" s="1">
        <v>45687</v>
      </c>
      <c r="C4832">
        <v>53</v>
      </c>
      <c r="D4832" t="s">
        <v>14</v>
      </c>
      <c r="E4832" t="s">
        <v>22</v>
      </c>
      <c r="F4832" t="s">
        <v>18</v>
      </c>
      <c r="G4832" t="s">
        <v>28</v>
      </c>
      <c r="H4832">
        <v>163.1</v>
      </c>
      <c r="I4832" s="13">
        <v>7</v>
      </c>
      <c r="J4832">
        <v>0</v>
      </c>
      <c r="K4832">
        <v>0</v>
      </c>
      <c r="L4832">
        <v>0</v>
      </c>
      <c r="M4832">
        <v>0</v>
      </c>
      <c r="O4832">
        <f t="shared" si="75"/>
        <v>1</v>
      </c>
    </row>
    <row r="4833" spans="1:15">
      <c r="A4833">
        <v>4481</v>
      </c>
      <c r="B4833" s="1">
        <v>45687</v>
      </c>
      <c r="C4833">
        <v>44</v>
      </c>
      <c r="D4833" t="s">
        <v>17</v>
      </c>
      <c r="E4833" t="s">
        <v>20</v>
      </c>
      <c r="F4833" t="s">
        <v>18</v>
      </c>
      <c r="G4833" t="s">
        <v>25</v>
      </c>
      <c r="H4833">
        <v>157.30000000000001</v>
      </c>
      <c r="I4833" s="13">
        <v>7</v>
      </c>
      <c r="J4833">
        <v>0</v>
      </c>
      <c r="K4833">
        <v>0</v>
      </c>
      <c r="L4833">
        <v>0</v>
      </c>
      <c r="M4833">
        <v>0</v>
      </c>
      <c r="O4833">
        <f t="shared" si="75"/>
        <v>1</v>
      </c>
    </row>
    <row r="4834" spans="1:15">
      <c r="A4834">
        <v>203</v>
      </c>
      <c r="B4834" s="1">
        <v>45687</v>
      </c>
      <c r="C4834">
        <v>18</v>
      </c>
      <c r="D4834" t="s">
        <v>17</v>
      </c>
      <c r="E4834" t="s">
        <v>22</v>
      </c>
      <c r="F4834" t="s">
        <v>18</v>
      </c>
      <c r="G4834" t="s">
        <v>26</v>
      </c>
      <c r="H4834">
        <v>143.80000000000001</v>
      </c>
      <c r="I4834" s="13">
        <v>6</v>
      </c>
      <c r="J4834">
        <v>0</v>
      </c>
      <c r="K4834">
        <v>0</v>
      </c>
      <c r="L4834">
        <v>0</v>
      </c>
      <c r="M4834">
        <v>0</v>
      </c>
      <c r="O4834">
        <f t="shared" si="75"/>
        <v>1</v>
      </c>
    </row>
    <row r="4835" spans="1:15">
      <c r="A4835">
        <v>2131</v>
      </c>
      <c r="B4835" s="1">
        <v>45687</v>
      </c>
      <c r="C4835">
        <v>36</v>
      </c>
      <c r="D4835" t="s">
        <v>17</v>
      </c>
      <c r="E4835" t="s">
        <v>22</v>
      </c>
      <c r="F4835" t="s">
        <v>16</v>
      </c>
      <c r="H4835">
        <v>142.19999999999999</v>
      </c>
      <c r="I4835" s="13">
        <v>5</v>
      </c>
      <c r="J4835">
        <v>0</v>
      </c>
      <c r="K4835">
        <v>0</v>
      </c>
      <c r="L4835">
        <v>0</v>
      </c>
      <c r="M4835">
        <v>0</v>
      </c>
      <c r="O4835">
        <f t="shared" si="75"/>
        <v>1</v>
      </c>
    </row>
    <row r="4836" spans="1:15">
      <c r="A4836">
        <v>4915</v>
      </c>
      <c r="B4836" s="1">
        <v>45687</v>
      </c>
      <c r="C4836">
        <v>52</v>
      </c>
      <c r="D4836" t="s">
        <v>14</v>
      </c>
      <c r="E4836" t="s">
        <v>22</v>
      </c>
      <c r="F4836" t="s">
        <v>16</v>
      </c>
      <c r="H4836">
        <v>132</v>
      </c>
      <c r="I4836" s="13">
        <v>6</v>
      </c>
      <c r="J4836">
        <v>0</v>
      </c>
      <c r="K4836">
        <v>0</v>
      </c>
      <c r="L4836">
        <v>0</v>
      </c>
      <c r="M4836">
        <v>0</v>
      </c>
      <c r="O4836">
        <f t="shared" si="75"/>
        <v>1</v>
      </c>
    </row>
    <row r="4837" spans="1:15">
      <c r="A4837">
        <v>506</v>
      </c>
      <c r="B4837" s="1">
        <v>45687</v>
      </c>
      <c r="C4837">
        <v>25</v>
      </c>
      <c r="D4837" t="s">
        <v>17</v>
      </c>
      <c r="E4837" t="s">
        <v>20</v>
      </c>
      <c r="F4837" t="s">
        <v>18</v>
      </c>
      <c r="G4837" t="s">
        <v>26</v>
      </c>
      <c r="H4837">
        <v>124.1</v>
      </c>
      <c r="I4837" s="13">
        <v>7</v>
      </c>
      <c r="J4837">
        <v>0</v>
      </c>
      <c r="K4837">
        <v>0</v>
      </c>
      <c r="L4837">
        <v>0</v>
      </c>
      <c r="M4837">
        <v>0</v>
      </c>
      <c r="O4837">
        <f t="shared" si="75"/>
        <v>1</v>
      </c>
    </row>
    <row r="4838" spans="1:15">
      <c r="A4838">
        <v>354</v>
      </c>
      <c r="B4838" s="1">
        <v>45687</v>
      </c>
      <c r="C4838">
        <v>18</v>
      </c>
      <c r="D4838" t="s">
        <v>14</v>
      </c>
      <c r="E4838" t="s">
        <v>15</v>
      </c>
      <c r="F4838" t="s">
        <v>23</v>
      </c>
      <c r="H4838">
        <v>120</v>
      </c>
      <c r="I4838" s="13">
        <v>5</v>
      </c>
      <c r="J4838">
        <v>0</v>
      </c>
      <c r="K4838">
        <v>0</v>
      </c>
      <c r="L4838">
        <v>0</v>
      </c>
      <c r="M4838">
        <v>0</v>
      </c>
      <c r="O4838">
        <f t="shared" si="75"/>
        <v>1</v>
      </c>
    </row>
    <row r="4839" spans="1:15">
      <c r="A4839">
        <v>2808</v>
      </c>
      <c r="B4839" s="1">
        <v>45687</v>
      </c>
      <c r="C4839">
        <v>34</v>
      </c>
      <c r="D4839" t="s">
        <v>14</v>
      </c>
      <c r="E4839" t="s">
        <v>15</v>
      </c>
      <c r="F4839" t="s">
        <v>21</v>
      </c>
      <c r="H4839">
        <v>109</v>
      </c>
      <c r="I4839" s="13">
        <v>13</v>
      </c>
      <c r="J4839">
        <v>0</v>
      </c>
      <c r="K4839">
        <v>0</v>
      </c>
      <c r="L4839">
        <v>0</v>
      </c>
      <c r="M4839">
        <v>0</v>
      </c>
      <c r="O4839">
        <f t="shared" si="75"/>
        <v>1</v>
      </c>
    </row>
    <row r="4840" spans="1:15">
      <c r="A4840">
        <v>1381</v>
      </c>
      <c r="B4840" s="1">
        <v>45687</v>
      </c>
      <c r="C4840">
        <v>30</v>
      </c>
      <c r="D4840" t="s">
        <v>17</v>
      </c>
      <c r="E4840" t="s">
        <v>15</v>
      </c>
      <c r="F4840" t="s">
        <v>18</v>
      </c>
      <c r="G4840" t="s">
        <v>29</v>
      </c>
      <c r="H4840">
        <v>89.8</v>
      </c>
      <c r="I4840" s="13">
        <v>5</v>
      </c>
      <c r="J4840">
        <v>0</v>
      </c>
      <c r="K4840">
        <v>0</v>
      </c>
      <c r="L4840">
        <v>0</v>
      </c>
      <c r="M4840">
        <v>0</v>
      </c>
      <c r="O4840">
        <f t="shared" si="75"/>
        <v>1</v>
      </c>
    </row>
    <row r="4841" spans="1:15">
      <c r="A4841">
        <v>2778</v>
      </c>
      <c r="B4841" s="1">
        <v>45687</v>
      </c>
      <c r="C4841">
        <v>42</v>
      </c>
      <c r="D4841" t="s">
        <v>17</v>
      </c>
      <c r="E4841" t="s">
        <v>22</v>
      </c>
      <c r="F4841" t="s">
        <v>16</v>
      </c>
      <c r="H4841">
        <v>79</v>
      </c>
      <c r="I4841" s="13">
        <v>6</v>
      </c>
      <c r="J4841">
        <v>0</v>
      </c>
      <c r="K4841">
        <v>0</v>
      </c>
      <c r="L4841">
        <v>0</v>
      </c>
      <c r="M4841">
        <v>0</v>
      </c>
      <c r="O4841">
        <f t="shared" si="75"/>
        <v>1</v>
      </c>
    </row>
    <row r="4842" spans="1:15">
      <c r="A4842">
        <v>4935</v>
      </c>
      <c r="B4842" s="1">
        <v>45746</v>
      </c>
      <c r="C4842">
        <v>47</v>
      </c>
      <c r="D4842" t="s">
        <v>17</v>
      </c>
      <c r="E4842" t="s">
        <v>15</v>
      </c>
      <c r="F4842" t="s">
        <v>21</v>
      </c>
      <c r="H4842">
        <v>868.3</v>
      </c>
      <c r="I4842" s="13">
        <v>5</v>
      </c>
      <c r="J4842">
        <v>1</v>
      </c>
      <c r="K4842">
        <v>813.21</v>
      </c>
      <c r="L4842">
        <v>4</v>
      </c>
      <c r="M4842">
        <v>1</v>
      </c>
      <c r="N4842">
        <v>4</v>
      </c>
      <c r="O4842">
        <f t="shared" si="75"/>
        <v>3</v>
      </c>
    </row>
    <row r="4843" spans="1:15">
      <c r="A4843">
        <v>579</v>
      </c>
      <c r="B4843" s="1">
        <v>45746</v>
      </c>
      <c r="C4843">
        <v>23</v>
      </c>
      <c r="D4843" t="s">
        <v>14</v>
      </c>
      <c r="E4843" t="s">
        <v>15</v>
      </c>
      <c r="F4843" t="s">
        <v>18</v>
      </c>
      <c r="G4843" t="s">
        <v>19</v>
      </c>
      <c r="H4843">
        <v>731</v>
      </c>
      <c r="I4843" s="13">
        <v>7</v>
      </c>
      <c r="J4843">
        <v>1</v>
      </c>
      <c r="K4843">
        <v>308.47000000000003</v>
      </c>
      <c r="L4843">
        <v>1</v>
      </c>
      <c r="M4843">
        <v>2</v>
      </c>
      <c r="N4843">
        <v>3</v>
      </c>
      <c r="O4843">
        <f t="shared" si="75"/>
        <v>3</v>
      </c>
    </row>
    <row r="4844" spans="1:15">
      <c r="A4844">
        <v>1258</v>
      </c>
      <c r="B4844" s="1">
        <v>45746</v>
      </c>
      <c r="C4844">
        <v>30</v>
      </c>
      <c r="D4844" t="s">
        <v>14</v>
      </c>
      <c r="E4844" t="s">
        <v>22</v>
      </c>
      <c r="F4844" t="s">
        <v>18</v>
      </c>
      <c r="G4844" t="s">
        <v>31</v>
      </c>
      <c r="H4844">
        <v>446.1</v>
      </c>
      <c r="I4844" s="13">
        <v>3</v>
      </c>
      <c r="J4844">
        <v>1</v>
      </c>
      <c r="K4844">
        <v>173.02</v>
      </c>
      <c r="L4844">
        <v>3</v>
      </c>
      <c r="M4844">
        <v>3</v>
      </c>
      <c r="N4844">
        <v>5</v>
      </c>
      <c r="O4844">
        <f t="shared" si="75"/>
        <v>3</v>
      </c>
    </row>
    <row r="4845" spans="1:15">
      <c r="A4845">
        <v>1010</v>
      </c>
      <c r="B4845" s="1">
        <v>45746</v>
      </c>
      <c r="C4845">
        <v>31</v>
      </c>
      <c r="D4845" t="s">
        <v>27</v>
      </c>
      <c r="E4845" t="s">
        <v>22</v>
      </c>
      <c r="F4845" t="s">
        <v>16</v>
      </c>
      <c r="H4845">
        <v>381.2</v>
      </c>
      <c r="I4845" s="13">
        <v>6</v>
      </c>
      <c r="J4845">
        <v>1</v>
      </c>
      <c r="K4845">
        <v>105.14</v>
      </c>
      <c r="L4845">
        <v>2</v>
      </c>
      <c r="M4845">
        <v>14</v>
      </c>
      <c r="N4845">
        <v>4</v>
      </c>
      <c r="O4845">
        <f t="shared" si="75"/>
        <v>3</v>
      </c>
    </row>
    <row r="4846" spans="1:15">
      <c r="A4846">
        <v>154</v>
      </c>
      <c r="B4846" s="1">
        <v>45746</v>
      </c>
      <c r="C4846">
        <v>20</v>
      </c>
      <c r="D4846" t="s">
        <v>14</v>
      </c>
      <c r="E4846" t="s">
        <v>20</v>
      </c>
      <c r="F4846" t="s">
        <v>18</v>
      </c>
      <c r="G4846" t="s">
        <v>28</v>
      </c>
      <c r="H4846">
        <v>752.7</v>
      </c>
      <c r="I4846" s="13">
        <v>6</v>
      </c>
      <c r="J4846">
        <v>1</v>
      </c>
      <c r="K4846">
        <v>74.760000000000005</v>
      </c>
      <c r="L4846">
        <v>3</v>
      </c>
      <c r="M4846">
        <v>12</v>
      </c>
      <c r="N4846">
        <v>4</v>
      </c>
      <c r="O4846">
        <f t="shared" si="75"/>
        <v>3</v>
      </c>
    </row>
    <row r="4847" spans="1:15">
      <c r="A4847">
        <v>3578</v>
      </c>
      <c r="B4847" s="1">
        <v>45746</v>
      </c>
      <c r="C4847">
        <v>40</v>
      </c>
      <c r="D4847" t="s">
        <v>14</v>
      </c>
      <c r="E4847" t="s">
        <v>15</v>
      </c>
      <c r="F4847" t="s">
        <v>16</v>
      </c>
      <c r="H4847">
        <v>837.7</v>
      </c>
      <c r="I4847" s="13">
        <v>10</v>
      </c>
      <c r="J4847">
        <v>1</v>
      </c>
      <c r="K4847">
        <v>63.23</v>
      </c>
      <c r="L4847">
        <v>2</v>
      </c>
      <c r="M4847">
        <v>13</v>
      </c>
      <c r="N4847">
        <v>4</v>
      </c>
      <c r="O4847">
        <f t="shared" si="75"/>
        <v>3</v>
      </c>
    </row>
    <row r="4848" spans="1:15">
      <c r="A4848">
        <v>234</v>
      </c>
      <c r="B4848" s="1">
        <v>45746</v>
      </c>
      <c r="C4848">
        <v>27</v>
      </c>
      <c r="D4848" t="s">
        <v>17</v>
      </c>
      <c r="E4848" t="s">
        <v>15</v>
      </c>
      <c r="F4848" t="s">
        <v>16</v>
      </c>
      <c r="H4848">
        <v>677.9</v>
      </c>
      <c r="I4848" s="13">
        <v>4</v>
      </c>
      <c r="J4848">
        <v>1</v>
      </c>
      <c r="K4848">
        <v>53.66</v>
      </c>
      <c r="L4848">
        <v>3</v>
      </c>
      <c r="M4848">
        <v>10</v>
      </c>
      <c r="N4848">
        <v>4</v>
      </c>
      <c r="O4848">
        <f t="shared" si="75"/>
        <v>3</v>
      </c>
    </row>
    <row r="4849" spans="1:15">
      <c r="A4849">
        <v>96</v>
      </c>
      <c r="B4849" s="1">
        <v>45746</v>
      </c>
      <c r="C4849">
        <v>24</v>
      </c>
      <c r="D4849" t="s">
        <v>14</v>
      </c>
      <c r="E4849" t="s">
        <v>22</v>
      </c>
      <c r="F4849" t="s">
        <v>21</v>
      </c>
      <c r="H4849">
        <v>261.10000000000002</v>
      </c>
      <c r="I4849" s="13">
        <v>2</v>
      </c>
      <c r="J4849">
        <v>1</v>
      </c>
      <c r="K4849">
        <v>47.65</v>
      </c>
      <c r="L4849">
        <v>6</v>
      </c>
      <c r="M4849">
        <v>8</v>
      </c>
      <c r="N4849">
        <v>4</v>
      </c>
      <c r="O4849">
        <f t="shared" si="75"/>
        <v>3</v>
      </c>
    </row>
    <row r="4850" spans="1:15">
      <c r="A4850">
        <v>4416</v>
      </c>
      <c r="B4850" s="1">
        <v>45746</v>
      </c>
      <c r="C4850">
        <v>41</v>
      </c>
      <c r="D4850" t="s">
        <v>17</v>
      </c>
      <c r="E4850" t="s">
        <v>20</v>
      </c>
      <c r="F4850" t="s">
        <v>16</v>
      </c>
      <c r="H4850">
        <v>47.6</v>
      </c>
      <c r="I4850" s="13">
        <v>8</v>
      </c>
      <c r="J4850">
        <v>1</v>
      </c>
      <c r="K4850">
        <v>47.45</v>
      </c>
      <c r="L4850">
        <v>1</v>
      </c>
      <c r="M4850">
        <v>3</v>
      </c>
      <c r="N4850">
        <v>4</v>
      </c>
      <c r="O4850">
        <f t="shared" si="75"/>
        <v>3</v>
      </c>
    </row>
    <row r="4851" spans="1:15">
      <c r="A4851">
        <v>3580</v>
      </c>
      <c r="B4851" s="1">
        <v>45746</v>
      </c>
      <c r="C4851">
        <v>22</v>
      </c>
      <c r="D4851" t="s">
        <v>14</v>
      </c>
      <c r="E4851" t="s">
        <v>20</v>
      </c>
      <c r="F4851" t="s">
        <v>18</v>
      </c>
      <c r="G4851" t="s">
        <v>30</v>
      </c>
      <c r="H4851">
        <v>752.8</v>
      </c>
      <c r="I4851" s="13">
        <v>6</v>
      </c>
      <c r="J4851">
        <v>1</v>
      </c>
      <c r="K4851">
        <v>40.97</v>
      </c>
      <c r="L4851">
        <v>2</v>
      </c>
      <c r="M4851">
        <v>14</v>
      </c>
      <c r="N4851">
        <v>5</v>
      </c>
      <c r="O4851">
        <f t="shared" si="75"/>
        <v>3</v>
      </c>
    </row>
    <row r="4852" spans="1:15">
      <c r="A4852">
        <v>4789</v>
      </c>
      <c r="B4852" s="1">
        <v>45746</v>
      </c>
      <c r="C4852">
        <v>45</v>
      </c>
      <c r="D4852" t="s">
        <v>14</v>
      </c>
      <c r="E4852" t="s">
        <v>24</v>
      </c>
      <c r="F4852" t="s">
        <v>23</v>
      </c>
      <c r="H4852">
        <v>267.39999999999998</v>
      </c>
      <c r="I4852" s="13">
        <v>5</v>
      </c>
      <c r="J4852">
        <v>1</v>
      </c>
      <c r="K4852">
        <v>18.54</v>
      </c>
      <c r="L4852">
        <v>2</v>
      </c>
      <c r="M4852">
        <v>9</v>
      </c>
      <c r="N4852">
        <v>4</v>
      </c>
      <c r="O4852">
        <f t="shared" si="75"/>
        <v>3</v>
      </c>
    </row>
    <row r="4853" spans="1:15">
      <c r="A4853">
        <v>1374</v>
      </c>
      <c r="B4853" s="1">
        <v>45746</v>
      </c>
      <c r="C4853">
        <v>24</v>
      </c>
      <c r="D4853" t="s">
        <v>17</v>
      </c>
      <c r="E4853" t="s">
        <v>22</v>
      </c>
      <c r="F4853" t="s">
        <v>23</v>
      </c>
      <c r="H4853">
        <v>434.3</v>
      </c>
      <c r="I4853" s="13">
        <v>6</v>
      </c>
      <c r="J4853">
        <v>1</v>
      </c>
      <c r="K4853">
        <v>13.86</v>
      </c>
      <c r="L4853">
        <v>1</v>
      </c>
      <c r="M4853">
        <v>14</v>
      </c>
      <c r="N4853">
        <v>4</v>
      </c>
      <c r="O4853">
        <f t="shared" si="75"/>
        <v>3</v>
      </c>
    </row>
    <row r="4854" spans="1:15">
      <c r="A4854">
        <v>2629</v>
      </c>
      <c r="B4854" s="1">
        <v>45746</v>
      </c>
      <c r="C4854">
        <v>34</v>
      </c>
      <c r="D4854" t="s">
        <v>27</v>
      </c>
      <c r="E4854" t="s">
        <v>24</v>
      </c>
      <c r="F4854" t="s">
        <v>23</v>
      </c>
      <c r="H4854">
        <v>435.6</v>
      </c>
      <c r="I4854" s="13">
        <v>6</v>
      </c>
      <c r="J4854">
        <v>1</v>
      </c>
      <c r="K4854">
        <v>13.49</v>
      </c>
      <c r="L4854">
        <v>3</v>
      </c>
      <c r="M4854">
        <v>2</v>
      </c>
      <c r="N4854">
        <v>5</v>
      </c>
      <c r="O4854">
        <f t="shared" si="75"/>
        <v>3</v>
      </c>
    </row>
    <row r="4855" spans="1:15">
      <c r="A4855">
        <v>2313</v>
      </c>
      <c r="B4855" s="1">
        <v>45746</v>
      </c>
      <c r="C4855">
        <v>32</v>
      </c>
      <c r="D4855" t="s">
        <v>17</v>
      </c>
      <c r="E4855" t="s">
        <v>15</v>
      </c>
      <c r="F4855" t="s">
        <v>21</v>
      </c>
      <c r="H4855">
        <v>482.2</v>
      </c>
      <c r="I4855" s="13">
        <v>3</v>
      </c>
      <c r="J4855">
        <v>0</v>
      </c>
      <c r="K4855">
        <v>0</v>
      </c>
      <c r="L4855">
        <v>0</v>
      </c>
      <c r="M4855">
        <v>0</v>
      </c>
      <c r="O4855">
        <f t="shared" si="75"/>
        <v>3</v>
      </c>
    </row>
    <row r="4856" spans="1:15">
      <c r="A4856">
        <v>2459</v>
      </c>
      <c r="B4856" s="1">
        <v>45746</v>
      </c>
      <c r="C4856">
        <v>38</v>
      </c>
      <c r="D4856" t="s">
        <v>27</v>
      </c>
      <c r="E4856" t="s">
        <v>15</v>
      </c>
      <c r="F4856" t="s">
        <v>18</v>
      </c>
      <c r="G4856" t="s">
        <v>28</v>
      </c>
      <c r="H4856">
        <v>327</v>
      </c>
      <c r="I4856" s="13">
        <v>4</v>
      </c>
      <c r="J4856">
        <v>0</v>
      </c>
      <c r="K4856">
        <v>0</v>
      </c>
      <c r="L4856">
        <v>0</v>
      </c>
      <c r="M4856">
        <v>0</v>
      </c>
      <c r="O4856">
        <f t="shared" si="75"/>
        <v>3</v>
      </c>
    </row>
    <row r="4857" spans="1:15">
      <c r="A4857">
        <v>341</v>
      </c>
      <c r="B4857" s="1">
        <v>45746</v>
      </c>
      <c r="C4857">
        <v>31</v>
      </c>
      <c r="D4857" t="s">
        <v>17</v>
      </c>
      <c r="E4857" t="s">
        <v>24</v>
      </c>
      <c r="F4857" t="s">
        <v>16</v>
      </c>
      <c r="H4857">
        <v>323.10000000000002</v>
      </c>
      <c r="I4857" s="13">
        <v>4</v>
      </c>
      <c r="J4857">
        <v>0</v>
      </c>
      <c r="K4857">
        <v>0</v>
      </c>
      <c r="L4857">
        <v>0</v>
      </c>
      <c r="M4857">
        <v>0</v>
      </c>
      <c r="O4857">
        <f t="shared" si="75"/>
        <v>3</v>
      </c>
    </row>
    <row r="4858" spans="1:15">
      <c r="A4858">
        <v>3166</v>
      </c>
      <c r="B4858" s="1">
        <v>45746</v>
      </c>
      <c r="C4858">
        <v>34</v>
      </c>
      <c r="D4858" t="s">
        <v>17</v>
      </c>
      <c r="E4858" t="s">
        <v>20</v>
      </c>
      <c r="F4858" t="s">
        <v>23</v>
      </c>
      <c r="H4858">
        <v>315.3</v>
      </c>
      <c r="I4858" s="13">
        <v>10</v>
      </c>
      <c r="J4858">
        <v>0</v>
      </c>
      <c r="K4858">
        <v>0</v>
      </c>
      <c r="L4858">
        <v>0</v>
      </c>
      <c r="M4858">
        <v>0</v>
      </c>
      <c r="O4858">
        <f t="shared" si="75"/>
        <v>3</v>
      </c>
    </row>
    <row r="4859" spans="1:15">
      <c r="A4859">
        <v>3995</v>
      </c>
      <c r="B4859" s="1">
        <v>45746</v>
      </c>
      <c r="C4859">
        <v>28</v>
      </c>
      <c r="D4859" t="s">
        <v>14</v>
      </c>
      <c r="E4859" t="s">
        <v>22</v>
      </c>
      <c r="F4859" t="s">
        <v>16</v>
      </c>
      <c r="H4859">
        <v>307.8</v>
      </c>
      <c r="I4859" s="13">
        <v>3</v>
      </c>
      <c r="J4859">
        <v>0</v>
      </c>
      <c r="K4859">
        <v>0</v>
      </c>
      <c r="L4859">
        <v>0</v>
      </c>
      <c r="M4859">
        <v>0</v>
      </c>
      <c r="O4859">
        <f t="shared" si="75"/>
        <v>3</v>
      </c>
    </row>
    <row r="4860" spans="1:15">
      <c r="A4860">
        <v>2689</v>
      </c>
      <c r="B4860" s="1">
        <v>45746</v>
      </c>
      <c r="C4860">
        <v>22</v>
      </c>
      <c r="D4860" t="s">
        <v>17</v>
      </c>
      <c r="E4860" t="s">
        <v>22</v>
      </c>
      <c r="F4860" t="s">
        <v>18</v>
      </c>
      <c r="G4860" t="s">
        <v>25</v>
      </c>
      <c r="H4860">
        <v>260.10000000000002</v>
      </c>
      <c r="I4860" s="13">
        <v>3</v>
      </c>
      <c r="J4860">
        <v>0</v>
      </c>
      <c r="K4860">
        <v>0</v>
      </c>
      <c r="L4860">
        <v>0</v>
      </c>
      <c r="M4860">
        <v>0</v>
      </c>
      <c r="O4860">
        <f t="shared" si="75"/>
        <v>3</v>
      </c>
    </row>
    <row r="4861" spans="1:15">
      <c r="A4861">
        <v>2149</v>
      </c>
      <c r="B4861" s="1">
        <v>45746</v>
      </c>
      <c r="C4861">
        <v>41</v>
      </c>
      <c r="D4861" t="s">
        <v>14</v>
      </c>
      <c r="E4861" t="s">
        <v>22</v>
      </c>
      <c r="F4861" t="s">
        <v>18</v>
      </c>
      <c r="G4861" t="s">
        <v>30</v>
      </c>
      <c r="H4861">
        <v>255.7</v>
      </c>
      <c r="I4861" s="13">
        <v>5</v>
      </c>
      <c r="J4861">
        <v>0</v>
      </c>
      <c r="K4861">
        <v>0</v>
      </c>
      <c r="L4861">
        <v>0</v>
      </c>
      <c r="M4861">
        <v>0</v>
      </c>
      <c r="O4861">
        <f t="shared" si="75"/>
        <v>3</v>
      </c>
    </row>
    <row r="4862" spans="1:15">
      <c r="A4862">
        <v>2496</v>
      </c>
      <c r="B4862" s="1">
        <v>45746</v>
      </c>
      <c r="C4862">
        <v>33</v>
      </c>
      <c r="D4862" t="s">
        <v>17</v>
      </c>
      <c r="E4862" t="s">
        <v>20</v>
      </c>
      <c r="F4862" t="s">
        <v>16</v>
      </c>
      <c r="H4862">
        <v>232.5</v>
      </c>
      <c r="I4862" s="13">
        <v>5</v>
      </c>
      <c r="J4862">
        <v>0</v>
      </c>
      <c r="K4862">
        <v>0</v>
      </c>
      <c r="L4862">
        <v>0</v>
      </c>
      <c r="M4862">
        <v>0</v>
      </c>
      <c r="O4862">
        <f t="shared" si="75"/>
        <v>3</v>
      </c>
    </row>
    <row r="4863" spans="1:15">
      <c r="A4863">
        <v>583</v>
      </c>
      <c r="B4863" s="1">
        <v>45746</v>
      </c>
      <c r="C4863">
        <v>31</v>
      </c>
      <c r="D4863" t="s">
        <v>17</v>
      </c>
      <c r="E4863" t="s">
        <v>22</v>
      </c>
      <c r="F4863" t="s">
        <v>18</v>
      </c>
      <c r="G4863" t="s">
        <v>29</v>
      </c>
      <c r="H4863">
        <v>219.3</v>
      </c>
      <c r="I4863" s="13">
        <v>8</v>
      </c>
      <c r="J4863">
        <v>0</v>
      </c>
      <c r="K4863">
        <v>0</v>
      </c>
      <c r="L4863">
        <v>0</v>
      </c>
      <c r="M4863">
        <v>0</v>
      </c>
      <c r="O4863">
        <f t="shared" si="75"/>
        <v>3</v>
      </c>
    </row>
    <row r="4864" spans="1:15">
      <c r="A4864">
        <v>3765</v>
      </c>
      <c r="B4864" s="1">
        <v>45746</v>
      </c>
      <c r="C4864">
        <v>66</v>
      </c>
      <c r="D4864" t="s">
        <v>17</v>
      </c>
      <c r="E4864" t="s">
        <v>20</v>
      </c>
      <c r="F4864" t="s">
        <v>23</v>
      </c>
      <c r="H4864">
        <v>190.1</v>
      </c>
      <c r="I4864" s="13">
        <v>6</v>
      </c>
      <c r="J4864">
        <v>0</v>
      </c>
      <c r="K4864">
        <v>0</v>
      </c>
      <c r="L4864">
        <v>0</v>
      </c>
      <c r="M4864">
        <v>0</v>
      </c>
      <c r="O4864">
        <f t="shared" si="75"/>
        <v>3</v>
      </c>
    </row>
    <row r="4865" spans="1:15">
      <c r="A4865">
        <v>456</v>
      </c>
      <c r="B4865" s="1">
        <v>45746</v>
      </c>
      <c r="C4865">
        <v>20</v>
      </c>
      <c r="D4865" t="s">
        <v>17</v>
      </c>
      <c r="E4865" t="s">
        <v>24</v>
      </c>
      <c r="F4865" t="s">
        <v>18</v>
      </c>
      <c r="G4865" t="s">
        <v>28</v>
      </c>
      <c r="H4865">
        <v>134.30000000000001</v>
      </c>
      <c r="I4865" s="13">
        <v>3</v>
      </c>
      <c r="J4865">
        <v>0</v>
      </c>
      <c r="K4865">
        <v>0</v>
      </c>
      <c r="L4865">
        <v>0</v>
      </c>
      <c r="M4865">
        <v>0</v>
      </c>
      <c r="O4865">
        <f t="shared" si="75"/>
        <v>3</v>
      </c>
    </row>
    <row r="4866" spans="1:15">
      <c r="A4866">
        <v>424</v>
      </c>
      <c r="B4866" s="1">
        <v>45746</v>
      </c>
      <c r="C4866">
        <v>35</v>
      </c>
      <c r="D4866" t="s">
        <v>14</v>
      </c>
      <c r="E4866" t="s">
        <v>22</v>
      </c>
      <c r="F4866" t="s">
        <v>21</v>
      </c>
      <c r="H4866">
        <v>103.7</v>
      </c>
      <c r="I4866" s="13">
        <v>7</v>
      </c>
      <c r="J4866">
        <v>0</v>
      </c>
      <c r="K4866">
        <v>0</v>
      </c>
      <c r="L4866">
        <v>0</v>
      </c>
      <c r="M4866">
        <v>0</v>
      </c>
      <c r="O4866">
        <f t="shared" si="75"/>
        <v>3</v>
      </c>
    </row>
    <row r="4867" spans="1:15">
      <c r="A4867">
        <v>3595</v>
      </c>
      <c r="B4867" s="1">
        <v>45746</v>
      </c>
      <c r="C4867">
        <v>32</v>
      </c>
      <c r="D4867" t="s">
        <v>17</v>
      </c>
      <c r="E4867" t="s">
        <v>15</v>
      </c>
      <c r="F4867" t="s">
        <v>18</v>
      </c>
      <c r="G4867" t="s">
        <v>26</v>
      </c>
      <c r="H4867">
        <v>102.2</v>
      </c>
      <c r="I4867" s="13">
        <v>7</v>
      </c>
      <c r="J4867">
        <v>0</v>
      </c>
      <c r="K4867">
        <v>0</v>
      </c>
      <c r="L4867">
        <v>0</v>
      </c>
      <c r="M4867">
        <v>0</v>
      </c>
      <c r="O4867">
        <f t="shared" ref="O4867:O4930" si="76">MONTH(B4867)</f>
        <v>3</v>
      </c>
    </row>
    <row r="4868" spans="1:15">
      <c r="A4868">
        <v>4638</v>
      </c>
      <c r="B4868" s="1">
        <v>45777</v>
      </c>
      <c r="C4868">
        <v>54</v>
      </c>
      <c r="D4868" t="s">
        <v>14</v>
      </c>
      <c r="E4868" t="s">
        <v>15</v>
      </c>
      <c r="F4868" t="s">
        <v>18</v>
      </c>
      <c r="G4868" t="s">
        <v>25</v>
      </c>
      <c r="H4868">
        <v>778.6</v>
      </c>
      <c r="I4868" s="13">
        <v>4</v>
      </c>
      <c r="J4868">
        <v>1</v>
      </c>
      <c r="K4868">
        <v>149</v>
      </c>
      <c r="L4868">
        <v>1</v>
      </c>
      <c r="M4868">
        <v>6</v>
      </c>
      <c r="N4868">
        <v>4</v>
      </c>
      <c r="O4868">
        <f t="shared" si="76"/>
        <v>4</v>
      </c>
    </row>
    <row r="4869" spans="1:15">
      <c r="A4869">
        <v>2813</v>
      </c>
      <c r="B4869" s="1">
        <v>45777</v>
      </c>
      <c r="C4869">
        <v>19</v>
      </c>
      <c r="D4869" t="s">
        <v>17</v>
      </c>
      <c r="E4869" t="s">
        <v>15</v>
      </c>
      <c r="F4869" t="s">
        <v>16</v>
      </c>
      <c r="H4869">
        <v>436.9</v>
      </c>
      <c r="I4869" s="13">
        <v>5</v>
      </c>
      <c r="J4869">
        <v>1</v>
      </c>
      <c r="K4869">
        <v>501</v>
      </c>
      <c r="L4869">
        <v>3</v>
      </c>
      <c r="M4869">
        <v>2</v>
      </c>
      <c r="N4869">
        <v>4</v>
      </c>
      <c r="O4869">
        <f t="shared" si="76"/>
        <v>4</v>
      </c>
    </row>
    <row r="4870" spans="1:15">
      <c r="A4870">
        <v>4366</v>
      </c>
      <c r="B4870" s="1">
        <v>45777</v>
      </c>
      <c r="C4870">
        <v>69</v>
      </c>
      <c r="D4870" t="s">
        <v>14</v>
      </c>
      <c r="E4870" t="s">
        <v>15</v>
      </c>
      <c r="F4870" t="s">
        <v>16</v>
      </c>
      <c r="H4870">
        <v>910.3</v>
      </c>
      <c r="I4870" s="13">
        <v>7</v>
      </c>
      <c r="J4870">
        <v>1</v>
      </c>
      <c r="K4870">
        <v>59</v>
      </c>
      <c r="L4870">
        <v>1</v>
      </c>
      <c r="M4870">
        <v>13</v>
      </c>
      <c r="N4870">
        <v>5</v>
      </c>
      <c r="O4870">
        <f t="shared" si="76"/>
        <v>4</v>
      </c>
    </row>
    <row r="4871" spans="1:15">
      <c r="A4871">
        <v>2636</v>
      </c>
      <c r="B4871" s="1">
        <v>45777</v>
      </c>
      <c r="C4871">
        <v>27</v>
      </c>
      <c r="D4871" t="s">
        <v>14</v>
      </c>
      <c r="E4871" t="s">
        <v>24</v>
      </c>
      <c r="F4871" t="s">
        <v>16</v>
      </c>
      <c r="H4871">
        <v>886.1</v>
      </c>
      <c r="I4871" s="13">
        <v>5</v>
      </c>
      <c r="J4871">
        <v>1</v>
      </c>
      <c r="K4871">
        <v>133</v>
      </c>
      <c r="L4871">
        <v>2</v>
      </c>
      <c r="M4871">
        <v>14</v>
      </c>
      <c r="N4871">
        <v>3</v>
      </c>
      <c r="O4871">
        <f t="shared" si="76"/>
        <v>4</v>
      </c>
    </row>
    <row r="4872" spans="1:15">
      <c r="A4872">
        <v>2190</v>
      </c>
      <c r="B4872" s="1">
        <v>45777</v>
      </c>
      <c r="C4872">
        <v>31</v>
      </c>
      <c r="D4872" t="s">
        <v>17</v>
      </c>
      <c r="E4872" t="s">
        <v>15</v>
      </c>
      <c r="F4872" t="s">
        <v>16</v>
      </c>
      <c r="H4872">
        <v>492.5</v>
      </c>
      <c r="I4872" s="13">
        <v>11</v>
      </c>
      <c r="J4872">
        <v>1</v>
      </c>
      <c r="K4872">
        <v>120.62</v>
      </c>
      <c r="L4872">
        <v>5</v>
      </c>
      <c r="M4872">
        <v>3</v>
      </c>
      <c r="N4872">
        <v>3</v>
      </c>
      <c r="O4872">
        <f t="shared" si="76"/>
        <v>4</v>
      </c>
    </row>
    <row r="4873" spans="1:15">
      <c r="A4873">
        <v>1633</v>
      </c>
      <c r="B4873" s="1">
        <v>45777</v>
      </c>
      <c r="C4873">
        <v>20</v>
      </c>
      <c r="D4873" t="s">
        <v>14</v>
      </c>
      <c r="E4873" t="s">
        <v>24</v>
      </c>
      <c r="F4873" t="s">
        <v>16</v>
      </c>
      <c r="H4873">
        <v>213.5</v>
      </c>
      <c r="I4873" s="13">
        <v>10</v>
      </c>
      <c r="J4873">
        <v>1</v>
      </c>
      <c r="K4873">
        <v>78.55</v>
      </c>
      <c r="L4873">
        <v>2</v>
      </c>
      <c r="M4873">
        <v>3</v>
      </c>
      <c r="N4873">
        <v>4</v>
      </c>
      <c r="O4873">
        <f t="shared" si="76"/>
        <v>4</v>
      </c>
    </row>
    <row r="4874" spans="1:15">
      <c r="A4874">
        <v>2832</v>
      </c>
      <c r="B4874" s="1">
        <v>45777</v>
      </c>
      <c r="C4874">
        <v>26</v>
      </c>
      <c r="D4874" t="s">
        <v>14</v>
      </c>
      <c r="E4874" t="s">
        <v>15</v>
      </c>
      <c r="F4874" t="s">
        <v>18</v>
      </c>
      <c r="G4874" t="s">
        <v>19</v>
      </c>
      <c r="H4874">
        <v>301.8</v>
      </c>
      <c r="I4874" s="13">
        <v>5</v>
      </c>
      <c r="J4874">
        <v>1</v>
      </c>
      <c r="K4874">
        <v>35.369999999999997</v>
      </c>
      <c r="L4874">
        <v>3</v>
      </c>
      <c r="M4874">
        <v>3</v>
      </c>
      <c r="N4874">
        <v>4</v>
      </c>
      <c r="O4874">
        <f t="shared" si="76"/>
        <v>4</v>
      </c>
    </row>
    <row r="4875" spans="1:15">
      <c r="A4875">
        <v>4983</v>
      </c>
      <c r="B4875" s="1">
        <v>45777</v>
      </c>
      <c r="C4875">
        <v>39</v>
      </c>
      <c r="D4875" t="s">
        <v>17</v>
      </c>
      <c r="E4875" t="s">
        <v>20</v>
      </c>
      <c r="F4875" t="s">
        <v>16</v>
      </c>
      <c r="H4875">
        <v>798.4</v>
      </c>
      <c r="I4875" s="13">
        <v>12</v>
      </c>
      <c r="J4875">
        <v>1</v>
      </c>
      <c r="K4875">
        <v>35.06</v>
      </c>
      <c r="L4875">
        <v>3</v>
      </c>
      <c r="M4875">
        <v>13</v>
      </c>
      <c r="N4875">
        <v>4</v>
      </c>
      <c r="O4875">
        <f t="shared" si="76"/>
        <v>4</v>
      </c>
    </row>
    <row r="4876" spans="1:15">
      <c r="A4876">
        <v>3947</v>
      </c>
      <c r="B4876" s="1">
        <v>45777</v>
      </c>
      <c r="C4876">
        <v>56</v>
      </c>
      <c r="D4876" t="s">
        <v>14</v>
      </c>
      <c r="E4876" t="s">
        <v>15</v>
      </c>
      <c r="F4876" t="s">
        <v>16</v>
      </c>
      <c r="H4876">
        <v>258.10000000000002</v>
      </c>
      <c r="I4876" s="13">
        <v>5</v>
      </c>
      <c r="J4876">
        <v>1</v>
      </c>
      <c r="K4876">
        <v>32.65</v>
      </c>
      <c r="L4876">
        <v>2</v>
      </c>
      <c r="M4876">
        <v>15</v>
      </c>
      <c r="N4876">
        <v>5</v>
      </c>
      <c r="O4876">
        <f t="shared" si="76"/>
        <v>4</v>
      </c>
    </row>
    <row r="4877" spans="1:15">
      <c r="A4877">
        <v>3600</v>
      </c>
      <c r="B4877" s="1">
        <v>45777</v>
      </c>
      <c r="C4877">
        <v>35</v>
      </c>
      <c r="D4877" t="s">
        <v>17</v>
      </c>
      <c r="E4877" t="s">
        <v>15</v>
      </c>
      <c r="F4877" t="s">
        <v>18</v>
      </c>
      <c r="G4877" t="s">
        <v>19</v>
      </c>
      <c r="H4877">
        <v>748.4</v>
      </c>
      <c r="I4877" s="13">
        <v>9</v>
      </c>
      <c r="J4877">
        <v>1</v>
      </c>
      <c r="K4877">
        <v>24.65</v>
      </c>
      <c r="L4877">
        <v>2</v>
      </c>
      <c r="M4877">
        <v>7</v>
      </c>
      <c r="N4877">
        <v>3</v>
      </c>
      <c r="O4877">
        <f t="shared" si="76"/>
        <v>4</v>
      </c>
    </row>
    <row r="4878" spans="1:15">
      <c r="A4878">
        <v>3374</v>
      </c>
      <c r="B4878" s="1">
        <v>45777</v>
      </c>
      <c r="C4878">
        <v>47</v>
      </c>
      <c r="D4878" t="s">
        <v>14</v>
      </c>
      <c r="E4878" t="s">
        <v>20</v>
      </c>
      <c r="F4878" t="s">
        <v>16</v>
      </c>
      <c r="H4878">
        <v>300.7</v>
      </c>
      <c r="I4878" s="13">
        <v>11</v>
      </c>
      <c r="J4878">
        <v>1</v>
      </c>
      <c r="K4878">
        <v>17.79</v>
      </c>
      <c r="L4878">
        <v>5</v>
      </c>
      <c r="M4878">
        <v>1</v>
      </c>
      <c r="N4878">
        <v>4</v>
      </c>
      <c r="O4878">
        <f t="shared" si="76"/>
        <v>4</v>
      </c>
    </row>
    <row r="4879" spans="1:15">
      <c r="A4879">
        <v>1807</v>
      </c>
      <c r="B4879" s="1">
        <v>45777</v>
      </c>
      <c r="C4879">
        <v>35</v>
      </c>
      <c r="D4879" t="s">
        <v>17</v>
      </c>
      <c r="E4879" t="s">
        <v>15</v>
      </c>
      <c r="F4879" t="s">
        <v>18</v>
      </c>
      <c r="G4879" t="s">
        <v>31</v>
      </c>
      <c r="H4879">
        <v>428</v>
      </c>
      <c r="I4879" s="13">
        <v>8</v>
      </c>
      <c r="J4879">
        <v>1</v>
      </c>
      <c r="K4879">
        <v>16.82</v>
      </c>
      <c r="L4879">
        <v>2</v>
      </c>
      <c r="M4879">
        <v>6</v>
      </c>
      <c r="N4879">
        <v>5</v>
      </c>
      <c r="O4879">
        <f t="shared" si="76"/>
        <v>4</v>
      </c>
    </row>
    <row r="4880" spans="1:15">
      <c r="A4880">
        <v>1405</v>
      </c>
      <c r="B4880" s="1">
        <v>45777</v>
      </c>
      <c r="C4880">
        <v>24</v>
      </c>
      <c r="D4880" t="s">
        <v>17</v>
      </c>
      <c r="E4880" t="s">
        <v>20</v>
      </c>
      <c r="F4880" t="s">
        <v>16</v>
      </c>
      <c r="H4880">
        <v>430.2</v>
      </c>
      <c r="I4880" s="13">
        <v>3</v>
      </c>
      <c r="J4880">
        <v>1</v>
      </c>
      <c r="K4880">
        <v>15</v>
      </c>
      <c r="L4880">
        <v>4</v>
      </c>
      <c r="M4880">
        <v>12</v>
      </c>
      <c r="N4880">
        <v>5</v>
      </c>
      <c r="O4880">
        <f t="shared" si="76"/>
        <v>4</v>
      </c>
    </row>
    <row r="4881" spans="1:15">
      <c r="A4881">
        <v>842</v>
      </c>
      <c r="B4881" s="1">
        <v>45777</v>
      </c>
      <c r="C4881">
        <v>20</v>
      </c>
      <c r="D4881" t="s">
        <v>14</v>
      </c>
      <c r="E4881" t="s">
        <v>24</v>
      </c>
      <c r="F4881" t="s">
        <v>18</v>
      </c>
      <c r="G4881" t="s">
        <v>25</v>
      </c>
      <c r="H4881">
        <v>254.5</v>
      </c>
      <c r="I4881" s="13">
        <v>8</v>
      </c>
      <c r="J4881">
        <v>1</v>
      </c>
      <c r="K4881">
        <v>14.43</v>
      </c>
      <c r="L4881">
        <v>5</v>
      </c>
      <c r="M4881">
        <v>14</v>
      </c>
      <c r="N4881">
        <v>4</v>
      </c>
      <c r="O4881">
        <f t="shared" si="76"/>
        <v>4</v>
      </c>
    </row>
    <row r="4882" spans="1:15">
      <c r="A4882">
        <v>3148</v>
      </c>
      <c r="B4882" s="1">
        <v>45777</v>
      </c>
      <c r="C4882">
        <v>42</v>
      </c>
      <c r="D4882" t="s">
        <v>14</v>
      </c>
      <c r="E4882" t="s">
        <v>15</v>
      </c>
      <c r="F4882" t="s">
        <v>18</v>
      </c>
      <c r="G4882" t="s">
        <v>31</v>
      </c>
      <c r="H4882">
        <v>584.70000000000005</v>
      </c>
      <c r="I4882" s="13">
        <v>6</v>
      </c>
      <c r="J4882">
        <v>0</v>
      </c>
      <c r="K4882">
        <v>0</v>
      </c>
      <c r="L4882">
        <v>0</v>
      </c>
      <c r="M4882">
        <v>0</v>
      </c>
      <c r="O4882">
        <f t="shared" si="76"/>
        <v>4</v>
      </c>
    </row>
    <row r="4883" spans="1:15">
      <c r="A4883">
        <v>4133</v>
      </c>
      <c r="B4883" s="1">
        <v>45777</v>
      </c>
      <c r="C4883">
        <v>29</v>
      </c>
      <c r="D4883" t="s">
        <v>14</v>
      </c>
      <c r="E4883" t="s">
        <v>22</v>
      </c>
      <c r="F4883" t="s">
        <v>16</v>
      </c>
      <c r="H4883">
        <v>581.1</v>
      </c>
      <c r="I4883" s="13">
        <v>7</v>
      </c>
      <c r="J4883">
        <v>0</v>
      </c>
      <c r="K4883">
        <v>0</v>
      </c>
      <c r="L4883">
        <v>0</v>
      </c>
      <c r="M4883">
        <v>0</v>
      </c>
      <c r="O4883">
        <f t="shared" si="76"/>
        <v>4</v>
      </c>
    </row>
    <row r="4884" spans="1:15">
      <c r="A4884">
        <v>3747</v>
      </c>
      <c r="B4884" s="1">
        <v>45777</v>
      </c>
      <c r="C4884">
        <v>33</v>
      </c>
      <c r="D4884" t="s">
        <v>14</v>
      </c>
      <c r="E4884" t="s">
        <v>15</v>
      </c>
      <c r="F4884" t="s">
        <v>23</v>
      </c>
      <c r="H4884">
        <v>549</v>
      </c>
      <c r="I4884" s="13">
        <v>5</v>
      </c>
      <c r="J4884">
        <v>0</v>
      </c>
      <c r="K4884">
        <v>0</v>
      </c>
      <c r="L4884">
        <v>0</v>
      </c>
      <c r="M4884">
        <v>0</v>
      </c>
      <c r="O4884">
        <f t="shared" si="76"/>
        <v>4</v>
      </c>
    </row>
    <row r="4885" spans="1:15">
      <c r="A4885">
        <v>3316</v>
      </c>
      <c r="B4885" s="1">
        <v>45777</v>
      </c>
      <c r="C4885">
        <v>40</v>
      </c>
      <c r="D4885" t="s">
        <v>14</v>
      </c>
      <c r="E4885" t="s">
        <v>20</v>
      </c>
      <c r="F4885" t="s">
        <v>18</v>
      </c>
      <c r="G4885" t="s">
        <v>26</v>
      </c>
      <c r="H4885">
        <v>493.1</v>
      </c>
      <c r="I4885" s="13">
        <v>6</v>
      </c>
      <c r="J4885">
        <v>0</v>
      </c>
      <c r="K4885">
        <v>0</v>
      </c>
      <c r="L4885">
        <v>0</v>
      </c>
      <c r="M4885">
        <v>0</v>
      </c>
      <c r="O4885">
        <f t="shared" si="76"/>
        <v>4</v>
      </c>
    </row>
    <row r="4886" spans="1:15">
      <c r="A4886">
        <v>4703</v>
      </c>
      <c r="B4886" s="1">
        <v>45777</v>
      </c>
      <c r="C4886">
        <v>53</v>
      </c>
      <c r="D4886" t="s">
        <v>17</v>
      </c>
      <c r="E4886" t="s">
        <v>24</v>
      </c>
      <c r="F4886" t="s">
        <v>16</v>
      </c>
      <c r="H4886">
        <v>445.3</v>
      </c>
      <c r="I4886" s="13">
        <v>8</v>
      </c>
      <c r="J4886">
        <v>0</v>
      </c>
      <c r="K4886">
        <v>0</v>
      </c>
      <c r="L4886">
        <v>0</v>
      </c>
      <c r="M4886">
        <v>0</v>
      </c>
      <c r="O4886">
        <f t="shared" si="76"/>
        <v>4</v>
      </c>
    </row>
    <row r="4887" spans="1:15">
      <c r="A4887">
        <v>3177</v>
      </c>
      <c r="B4887" s="1">
        <v>45777</v>
      </c>
      <c r="C4887">
        <v>28</v>
      </c>
      <c r="D4887" t="s">
        <v>14</v>
      </c>
      <c r="E4887" t="s">
        <v>15</v>
      </c>
      <c r="F4887" t="s">
        <v>18</v>
      </c>
      <c r="G4887" t="s">
        <v>31</v>
      </c>
      <c r="H4887">
        <v>380.8</v>
      </c>
      <c r="I4887" s="13">
        <v>9</v>
      </c>
      <c r="J4887">
        <v>0</v>
      </c>
      <c r="K4887">
        <v>0</v>
      </c>
      <c r="L4887">
        <v>0</v>
      </c>
      <c r="M4887">
        <v>0</v>
      </c>
      <c r="O4887">
        <f t="shared" si="76"/>
        <v>4</v>
      </c>
    </row>
    <row r="4888" spans="1:15">
      <c r="A4888">
        <v>46</v>
      </c>
      <c r="B4888" s="1">
        <v>45777</v>
      </c>
      <c r="C4888">
        <v>22</v>
      </c>
      <c r="D4888" t="s">
        <v>27</v>
      </c>
      <c r="E4888" t="s">
        <v>15</v>
      </c>
      <c r="F4888" t="s">
        <v>23</v>
      </c>
      <c r="H4888">
        <v>283</v>
      </c>
      <c r="I4888" s="13">
        <v>9</v>
      </c>
      <c r="J4888">
        <v>0</v>
      </c>
      <c r="K4888">
        <v>0</v>
      </c>
      <c r="L4888">
        <v>0</v>
      </c>
      <c r="M4888">
        <v>0</v>
      </c>
      <c r="O4888">
        <f t="shared" si="76"/>
        <v>4</v>
      </c>
    </row>
    <row r="4889" spans="1:15">
      <c r="A4889">
        <v>208</v>
      </c>
      <c r="B4889" s="1">
        <v>45777</v>
      </c>
      <c r="C4889">
        <v>26</v>
      </c>
      <c r="D4889" t="s">
        <v>17</v>
      </c>
      <c r="E4889" t="s">
        <v>24</v>
      </c>
      <c r="F4889" t="s">
        <v>23</v>
      </c>
      <c r="H4889">
        <v>281.39999999999998</v>
      </c>
      <c r="I4889" s="13">
        <v>4</v>
      </c>
      <c r="J4889">
        <v>0</v>
      </c>
      <c r="K4889">
        <v>0</v>
      </c>
      <c r="L4889">
        <v>0</v>
      </c>
      <c r="M4889">
        <v>0</v>
      </c>
      <c r="O4889">
        <f t="shared" si="76"/>
        <v>4</v>
      </c>
    </row>
    <row r="4890" spans="1:15">
      <c r="A4890">
        <v>733</v>
      </c>
      <c r="B4890" s="1">
        <v>45777</v>
      </c>
      <c r="C4890">
        <v>29</v>
      </c>
      <c r="D4890" t="s">
        <v>17</v>
      </c>
      <c r="E4890" t="s">
        <v>22</v>
      </c>
      <c r="F4890" t="s">
        <v>18</v>
      </c>
      <c r="G4890" t="s">
        <v>25</v>
      </c>
      <c r="H4890">
        <v>236.3</v>
      </c>
      <c r="I4890" s="13">
        <v>2</v>
      </c>
      <c r="J4890">
        <v>0</v>
      </c>
      <c r="K4890">
        <v>0</v>
      </c>
      <c r="L4890">
        <v>0</v>
      </c>
      <c r="M4890">
        <v>0</v>
      </c>
      <c r="O4890">
        <f t="shared" si="76"/>
        <v>4</v>
      </c>
    </row>
    <row r="4891" spans="1:15">
      <c r="A4891">
        <v>971</v>
      </c>
      <c r="B4891" s="1">
        <v>45777</v>
      </c>
      <c r="C4891">
        <v>29</v>
      </c>
      <c r="D4891" t="s">
        <v>27</v>
      </c>
      <c r="E4891" t="s">
        <v>20</v>
      </c>
      <c r="F4891" t="s">
        <v>18</v>
      </c>
      <c r="G4891" t="s">
        <v>25</v>
      </c>
      <c r="H4891">
        <v>215.3</v>
      </c>
      <c r="I4891" s="13">
        <v>3</v>
      </c>
      <c r="J4891">
        <v>0</v>
      </c>
      <c r="K4891">
        <v>0</v>
      </c>
      <c r="L4891">
        <v>0</v>
      </c>
      <c r="M4891">
        <v>0</v>
      </c>
      <c r="O4891">
        <f t="shared" si="76"/>
        <v>4</v>
      </c>
    </row>
    <row r="4892" spans="1:15">
      <c r="A4892">
        <v>3855</v>
      </c>
      <c r="B4892" s="1">
        <v>45777</v>
      </c>
      <c r="C4892">
        <v>37</v>
      </c>
      <c r="D4892" t="s">
        <v>14</v>
      </c>
      <c r="E4892" t="s">
        <v>24</v>
      </c>
      <c r="F4892" t="s">
        <v>21</v>
      </c>
      <c r="H4892">
        <v>213.6</v>
      </c>
      <c r="I4892" s="13">
        <v>1</v>
      </c>
      <c r="J4892">
        <v>0</v>
      </c>
      <c r="K4892">
        <v>0</v>
      </c>
      <c r="L4892">
        <v>0</v>
      </c>
      <c r="M4892">
        <v>0</v>
      </c>
      <c r="O4892">
        <f t="shared" si="76"/>
        <v>4</v>
      </c>
    </row>
    <row r="4893" spans="1:15">
      <c r="A4893">
        <v>952</v>
      </c>
      <c r="B4893" s="1">
        <v>45777</v>
      </c>
      <c r="C4893">
        <v>24</v>
      </c>
      <c r="D4893" t="s">
        <v>17</v>
      </c>
      <c r="E4893" t="s">
        <v>15</v>
      </c>
      <c r="F4893" t="s">
        <v>21</v>
      </c>
      <c r="H4893">
        <v>194.1</v>
      </c>
      <c r="I4893" s="13">
        <v>3</v>
      </c>
      <c r="J4893">
        <v>0</v>
      </c>
      <c r="K4893">
        <v>0</v>
      </c>
      <c r="L4893">
        <v>0</v>
      </c>
      <c r="M4893">
        <v>0</v>
      </c>
      <c r="O4893">
        <f t="shared" si="76"/>
        <v>4</v>
      </c>
    </row>
    <row r="4894" spans="1:15">
      <c r="A4894">
        <v>4557</v>
      </c>
      <c r="B4894" s="1">
        <v>45777</v>
      </c>
      <c r="C4894">
        <v>32</v>
      </c>
      <c r="D4894" t="s">
        <v>14</v>
      </c>
      <c r="E4894" t="s">
        <v>24</v>
      </c>
      <c r="F4894" t="s">
        <v>18</v>
      </c>
      <c r="G4894" t="s">
        <v>29</v>
      </c>
      <c r="H4894">
        <v>183</v>
      </c>
      <c r="I4894" s="13">
        <v>8</v>
      </c>
      <c r="J4894">
        <v>0</v>
      </c>
      <c r="K4894">
        <v>0</v>
      </c>
      <c r="L4894">
        <v>0</v>
      </c>
      <c r="M4894">
        <v>0</v>
      </c>
      <c r="O4894">
        <f t="shared" si="76"/>
        <v>4</v>
      </c>
    </row>
    <row r="4895" spans="1:15">
      <c r="A4895">
        <v>2020</v>
      </c>
      <c r="B4895" s="1">
        <v>45777</v>
      </c>
      <c r="C4895">
        <v>52</v>
      </c>
      <c r="D4895" t="s">
        <v>14</v>
      </c>
      <c r="E4895" t="s">
        <v>15</v>
      </c>
      <c r="F4895" t="s">
        <v>18</v>
      </c>
      <c r="G4895" t="s">
        <v>19</v>
      </c>
      <c r="H4895">
        <v>169.4</v>
      </c>
      <c r="I4895" s="13">
        <v>10</v>
      </c>
      <c r="J4895">
        <v>0</v>
      </c>
      <c r="K4895">
        <v>0</v>
      </c>
      <c r="L4895">
        <v>0</v>
      </c>
      <c r="M4895">
        <v>0</v>
      </c>
      <c r="O4895">
        <f t="shared" si="76"/>
        <v>4</v>
      </c>
    </row>
    <row r="4896" spans="1:15">
      <c r="A4896">
        <v>2916</v>
      </c>
      <c r="B4896" s="1">
        <v>45777</v>
      </c>
      <c r="C4896">
        <v>33</v>
      </c>
      <c r="D4896" t="s">
        <v>14</v>
      </c>
      <c r="E4896" t="s">
        <v>20</v>
      </c>
      <c r="F4896" t="s">
        <v>16</v>
      </c>
      <c r="H4896">
        <v>164.8</v>
      </c>
      <c r="I4896" s="13">
        <v>8</v>
      </c>
      <c r="J4896">
        <v>0</v>
      </c>
      <c r="K4896">
        <v>0</v>
      </c>
      <c r="L4896">
        <v>0</v>
      </c>
      <c r="M4896">
        <v>0</v>
      </c>
      <c r="O4896">
        <f t="shared" si="76"/>
        <v>4</v>
      </c>
    </row>
    <row r="4897" spans="1:15">
      <c r="A4897">
        <v>1618</v>
      </c>
      <c r="B4897" s="1">
        <v>45777</v>
      </c>
      <c r="C4897">
        <v>29</v>
      </c>
      <c r="D4897" t="s">
        <v>14</v>
      </c>
      <c r="E4897" t="s">
        <v>24</v>
      </c>
      <c r="F4897" t="s">
        <v>16</v>
      </c>
      <c r="H4897">
        <v>144</v>
      </c>
      <c r="I4897" s="13">
        <v>6</v>
      </c>
      <c r="J4897">
        <v>0</v>
      </c>
      <c r="K4897">
        <v>0</v>
      </c>
      <c r="L4897">
        <v>0</v>
      </c>
      <c r="M4897">
        <v>0</v>
      </c>
      <c r="O4897">
        <f t="shared" si="76"/>
        <v>4</v>
      </c>
    </row>
    <row r="4898" spans="1:15">
      <c r="A4898">
        <v>4139</v>
      </c>
      <c r="B4898" s="1">
        <v>45777</v>
      </c>
      <c r="C4898">
        <v>43</v>
      </c>
      <c r="D4898" t="s">
        <v>14</v>
      </c>
      <c r="E4898" t="s">
        <v>22</v>
      </c>
      <c r="F4898" t="s">
        <v>18</v>
      </c>
      <c r="G4898" t="s">
        <v>19</v>
      </c>
      <c r="H4898">
        <v>137.69999999999999</v>
      </c>
      <c r="I4898" s="13">
        <v>2</v>
      </c>
      <c r="J4898">
        <v>0</v>
      </c>
      <c r="K4898">
        <v>0</v>
      </c>
      <c r="L4898">
        <v>0</v>
      </c>
      <c r="M4898">
        <v>0</v>
      </c>
      <c r="O4898">
        <f t="shared" si="76"/>
        <v>4</v>
      </c>
    </row>
    <row r="4899" spans="1:15">
      <c r="A4899">
        <v>3737</v>
      </c>
      <c r="B4899" s="1">
        <v>45777</v>
      </c>
      <c r="C4899">
        <v>29</v>
      </c>
      <c r="D4899" t="s">
        <v>14</v>
      </c>
      <c r="E4899" t="s">
        <v>24</v>
      </c>
      <c r="F4899" t="s">
        <v>18</v>
      </c>
      <c r="G4899" t="s">
        <v>26</v>
      </c>
      <c r="H4899">
        <v>47.7</v>
      </c>
      <c r="I4899" s="13">
        <v>5</v>
      </c>
      <c r="J4899">
        <v>0</v>
      </c>
      <c r="K4899">
        <v>0</v>
      </c>
      <c r="L4899">
        <v>0</v>
      </c>
      <c r="M4899">
        <v>0</v>
      </c>
      <c r="O4899">
        <f t="shared" si="76"/>
        <v>4</v>
      </c>
    </row>
    <row r="4900" spans="1:15">
      <c r="A4900">
        <v>4106</v>
      </c>
      <c r="B4900" s="1">
        <v>45777</v>
      </c>
      <c r="C4900">
        <v>43</v>
      </c>
      <c r="D4900" t="s">
        <v>14</v>
      </c>
      <c r="E4900" t="s">
        <v>20</v>
      </c>
      <c r="F4900" t="s">
        <v>16</v>
      </c>
      <c r="H4900">
        <v>40.1</v>
      </c>
      <c r="I4900" s="13">
        <v>5</v>
      </c>
      <c r="J4900">
        <v>0</v>
      </c>
      <c r="K4900">
        <v>0</v>
      </c>
      <c r="L4900">
        <v>0</v>
      </c>
      <c r="M4900">
        <v>0</v>
      </c>
      <c r="O4900">
        <f t="shared" si="76"/>
        <v>4</v>
      </c>
    </row>
    <row r="4901" spans="1:15">
      <c r="A4901">
        <v>3981</v>
      </c>
      <c r="B4901" s="1">
        <v>45807</v>
      </c>
      <c r="C4901">
        <v>37</v>
      </c>
      <c r="D4901" t="s">
        <v>14</v>
      </c>
      <c r="E4901" t="s">
        <v>22</v>
      </c>
      <c r="F4901" t="s">
        <v>23</v>
      </c>
      <c r="H4901">
        <v>668.5</v>
      </c>
      <c r="I4901" s="13">
        <v>7</v>
      </c>
      <c r="J4901">
        <v>1</v>
      </c>
      <c r="K4901">
        <v>133</v>
      </c>
      <c r="L4901">
        <v>1</v>
      </c>
      <c r="M4901">
        <v>15</v>
      </c>
      <c r="N4901">
        <v>5</v>
      </c>
      <c r="O4901">
        <f t="shared" si="76"/>
        <v>5</v>
      </c>
    </row>
    <row r="4902" spans="1:15">
      <c r="A4902">
        <v>1396</v>
      </c>
      <c r="B4902" s="1">
        <v>45807</v>
      </c>
      <c r="C4902">
        <v>21</v>
      </c>
      <c r="D4902" t="s">
        <v>17</v>
      </c>
      <c r="E4902" t="s">
        <v>15</v>
      </c>
      <c r="F4902" t="s">
        <v>16</v>
      </c>
      <c r="H4902">
        <v>725.9</v>
      </c>
      <c r="I4902" s="13">
        <v>8</v>
      </c>
      <c r="J4902">
        <v>1</v>
      </c>
      <c r="K4902">
        <v>577.95000000000005</v>
      </c>
      <c r="L4902">
        <v>4</v>
      </c>
      <c r="M4902">
        <v>4</v>
      </c>
      <c r="N4902">
        <v>3</v>
      </c>
      <c r="O4902">
        <f t="shared" si="76"/>
        <v>5</v>
      </c>
    </row>
    <row r="4903" spans="1:15">
      <c r="A4903">
        <v>2150</v>
      </c>
      <c r="B4903" s="1">
        <v>45807</v>
      </c>
      <c r="C4903">
        <v>36</v>
      </c>
      <c r="D4903" t="s">
        <v>17</v>
      </c>
      <c r="E4903" t="s">
        <v>24</v>
      </c>
      <c r="F4903" t="s">
        <v>18</v>
      </c>
      <c r="G4903" t="s">
        <v>30</v>
      </c>
      <c r="H4903">
        <v>631</v>
      </c>
      <c r="I4903" s="13">
        <v>4</v>
      </c>
      <c r="J4903">
        <v>1</v>
      </c>
      <c r="K4903">
        <v>158.52000000000001</v>
      </c>
      <c r="L4903">
        <v>1</v>
      </c>
      <c r="M4903">
        <v>8</v>
      </c>
      <c r="N4903">
        <v>4</v>
      </c>
      <c r="O4903">
        <f t="shared" si="76"/>
        <v>5</v>
      </c>
    </row>
    <row r="4904" spans="1:15">
      <c r="A4904">
        <v>1030</v>
      </c>
      <c r="B4904" s="1">
        <v>45807</v>
      </c>
      <c r="C4904">
        <v>25</v>
      </c>
      <c r="D4904" t="s">
        <v>17</v>
      </c>
      <c r="E4904" t="s">
        <v>22</v>
      </c>
      <c r="F4904" t="s">
        <v>21</v>
      </c>
      <c r="H4904">
        <v>414.6</v>
      </c>
      <c r="I4904" s="13">
        <v>7</v>
      </c>
      <c r="J4904">
        <v>1</v>
      </c>
      <c r="K4904">
        <v>152.41999999999999</v>
      </c>
      <c r="L4904">
        <v>2</v>
      </c>
      <c r="M4904">
        <v>5</v>
      </c>
      <c r="N4904">
        <v>5</v>
      </c>
      <c r="O4904">
        <f t="shared" si="76"/>
        <v>5</v>
      </c>
    </row>
    <row r="4905" spans="1:15">
      <c r="A4905">
        <v>3006</v>
      </c>
      <c r="B4905" s="1">
        <v>45807</v>
      </c>
      <c r="C4905">
        <v>42</v>
      </c>
      <c r="D4905" t="s">
        <v>14</v>
      </c>
      <c r="E4905" t="s">
        <v>22</v>
      </c>
      <c r="F4905" t="s">
        <v>16</v>
      </c>
      <c r="H4905">
        <v>463.5</v>
      </c>
      <c r="I4905" s="13">
        <v>6</v>
      </c>
      <c r="J4905">
        <v>1</v>
      </c>
      <c r="K4905">
        <v>112</v>
      </c>
      <c r="L4905">
        <v>3</v>
      </c>
      <c r="M4905">
        <v>4</v>
      </c>
      <c r="N4905">
        <v>4</v>
      </c>
      <c r="O4905">
        <f t="shared" si="76"/>
        <v>5</v>
      </c>
    </row>
    <row r="4906" spans="1:15">
      <c r="A4906">
        <v>2254</v>
      </c>
      <c r="B4906" s="1">
        <v>45807</v>
      </c>
      <c r="C4906">
        <v>34</v>
      </c>
      <c r="D4906" t="s">
        <v>17</v>
      </c>
      <c r="E4906" t="s">
        <v>22</v>
      </c>
      <c r="F4906" t="s">
        <v>21</v>
      </c>
      <c r="H4906">
        <v>208.7</v>
      </c>
      <c r="I4906" s="13">
        <v>2</v>
      </c>
      <c r="J4906">
        <v>1</v>
      </c>
      <c r="K4906">
        <v>79.63</v>
      </c>
      <c r="L4906">
        <v>4</v>
      </c>
      <c r="M4906">
        <v>6</v>
      </c>
      <c r="N4906">
        <v>5</v>
      </c>
      <c r="O4906">
        <f t="shared" si="76"/>
        <v>5</v>
      </c>
    </row>
    <row r="4907" spans="1:15">
      <c r="A4907">
        <v>2532</v>
      </c>
      <c r="B4907" s="1">
        <v>45807</v>
      </c>
      <c r="C4907">
        <v>18</v>
      </c>
      <c r="D4907" t="s">
        <v>14</v>
      </c>
      <c r="E4907" t="s">
        <v>15</v>
      </c>
      <c r="F4907" t="s">
        <v>21</v>
      </c>
      <c r="H4907">
        <v>247.7</v>
      </c>
      <c r="I4907" s="13">
        <v>4</v>
      </c>
      <c r="J4907">
        <v>1</v>
      </c>
      <c r="K4907">
        <v>55.7</v>
      </c>
      <c r="L4907">
        <v>4</v>
      </c>
      <c r="M4907">
        <v>5</v>
      </c>
      <c r="N4907">
        <v>4</v>
      </c>
      <c r="O4907">
        <f t="shared" si="76"/>
        <v>5</v>
      </c>
    </row>
    <row r="4908" spans="1:15">
      <c r="A4908">
        <v>4665</v>
      </c>
      <c r="B4908" s="1">
        <v>45807</v>
      </c>
      <c r="C4908">
        <v>36</v>
      </c>
      <c r="D4908" t="s">
        <v>27</v>
      </c>
      <c r="E4908" t="s">
        <v>24</v>
      </c>
      <c r="F4908" t="s">
        <v>16</v>
      </c>
      <c r="H4908">
        <v>562.29999999999995</v>
      </c>
      <c r="I4908" s="13">
        <v>7</v>
      </c>
      <c r="J4908">
        <v>1</v>
      </c>
      <c r="K4908">
        <v>38.799999999999997</v>
      </c>
      <c r="L4908">
        <v>3</v>
      </c>
      <c r="M4908">
        <v>1</v>
      </c>
      <c r="N4908">
        <v>3</v>
      </c>
      <c r="O4908">
        <f t="shared" si="76"/>
        <v>5</v>
      </c>
    </row>
    <row r="4909" spans="1:15">
      <c r="A4909">
        <v>13</v>
      </c>
      <c r="B4909" s="1">
        <v>45807</v>
      </c>
      <c r="C4909">
        <v>22</v>
      </c>
      <c r="D4909" t="s">
        <v>14</v>
      </c>
      <c r="E4909" t="s">
        <v>22</v>
      </c>
      <c r="F4909" t="s">
        <v>18</v>
      </c>
      <c r="G4909" t="s">
        <v>19</v>
      </c>
      <c r="H4909">
        <v>747.6</v>
      </c>
      <c r="I4909" s="13">
        <v>6</v>
      </c>
      <c r="J4909">
        <v>1</v>
      </c>
      <c r="K4909">
        <v>26.58</v>
      </c>
      <c r="L4909">
        <v>3</v>
      </c>
      <c r="M4909">
        <v>11</v>
      </c>
      <c r="N4909">
        <v>4</v>
      </c>
      <c r="O4909">
        <f t="shared" si="76"/>
        <v>5</v>
      </c>
    </row>
    <row r="4910" spans="1:15">
      <c r="A4910">
        <v>3189</v>
      </c>
      <c r="B4910" s="1">
        <v>45807</v>
      </c>
      <c r="C4910">
        <v>34</v>
      </c>
      <c r="D4910" t="s">
        <v>17</v>
      </c>
      <c r="E4910" t="s">
        <v>22</v>
      </c>
      <c r="F4910" t="s">
        <v>16</v>
      </c>
      <c r="H4910">
        <v>1008</v>
      </c>
      <c r="I4910" s="13">
        <v>8</v>
      </c>
      <c r="J4910">
        <v>1</v>
      </c>
      <c r="K4910">
        <v>21.74</v>
      </c>
      <c r="L4910">
        <v>3</v>
      </c>
      <c r="M4910">
        <v>1</v>
      </c>
      <c r="N4910">
        <v>4</v>
      </c>
      <c r="O4910">
        <f t="shared" si="76"/>
        <v>5</v>
      </c>
    </row>
    <row r="4911" spans="1:15">
      <c r="A4911">
        <v>2217</v>
      </c>
      <c r="B4911" s="1">
        <v>45807</v>
      </c>
      <c r="C4911">
        <v>36</v>
      </c>
      <c r="D4911" t="s">
        <v>17</v>
      </c>
      <c r="E4911" t="s">
        <v>15</v>
      </c>
      <c r="F4911" t="s">
        <v>16</v>
      </c>
      <c r="H4911">
        <v>579.70000000000005</v>
      </c>
      <c r="I4911" s="13">
        <v>9</v>
      </c>
      <c r="J4911">
        <v>0</v>
      </c>
      <c r="K4911">
        <v>0</v>
      </c>
      <c r="L4911">
        <v>0</v>
      </c>
      <c r="M4911">
        <v>0</v>
      </c>
      <c r="O4911">
        <f t="shared" si="76"/>
        <v>5</v>
      </c>
    </row>
    <row r="4912" spans="1:15">
      <c r="A4912">
        <v>4305</v>
      </c>
      <c r="B4912" s="1">
        <v>45807</v>
      </c>
      <c r="C4912">
        <v>50</v>
      </c>
      <c r="D4912" t="s">
        <v>17</v>
      </c>
      <c r="E4912" t="s">
        <v>24</v>
      </c>
      <c r="F4912" t="s">
        <v>23</v>
      </c>
      <c r="H4912">
        <v>488.9</v>
      </c>
      <c r="I4912" s="13">
        <v>1</v>
      </c>
      <c r="J4912">
        <v>0</v>
      </c>
      <c r="K4912">
        <v>0</v>
      </c>
      <c r="L4912">
        <v>0</v>
      </c>
      <c r="M4912">
        <v>0</v>
      </c>
      <c r="O4912">
        <f t="shared" si="76"/>
        <v>5</v>
      </c>
    </row>
    <row r="4913" spans="1:15">
      <c r="A4913">
        <v>2248</v>
      </c>
      <c r="B4913" s="1">
        <v>45807</v>
      </c>
      <c r="C4913">
        <v>45</v>
      </c>
      <c r="D4913" t="s">
        <v>17</v>
      </c>
      <c r="E4913" t="s">
        <v>22</v>
      </c>
      <c r="F4913" t="s">
        <v>16</v>
      </c>
      <c r="H4913">
        <v>463.5</v>
      </c>
      <c r="I4913" s="13">
        <v>6</v>
      </c>
      <c r="J4913">
        <v>0</v>
      </c>
      <c r="K4913">
        <v>0</v>
      </c>
      <c r="L4913">
        <v>0</v>
      </c>
      <c r="M4913">
        <v>0</v>
      </c>
      <c r="O4913">
        <f t="shared" si="76"/>
        <v>5</v>
      </c>
    </row>
    <row r="4914" spans="1:15">
      <c r="A4914">
        <v>4144</v>
      </c>
      <c r="B4914" s="1">
        <v>45807</v>
      </c>
      <c r="C4914">
        <v>52</v>
      </c>
      <c r="D4914" t="s">
        <v>17</v>
      </c>
      <c r="E4914" t="s">
        <v>20</v>
      </c>
      <c r="F4914" t="s">
        <v>23</v>
      </c>
      <c r="H4914">
        <v>441.2</v>
      </c>
      <c r="I4914" s="13">
        <v>6</v>
      </c>
      <c r="J4914">
        <v>0</v>
      </c>
      <c r="K4914">
        <v>0</v>
      </c>
      <c r="L4914">
        <v>0</v>
      </c>
      <c r="M4914">
        <v>0</v>
      </c>
      <c r="O4914">
        <f t="shared" si="76"/>
        <v>5</v>
      </c>
    </row>
    <row r="4915" spans="1:15">
      <c r="A4915">
        <v>4442</v>
      </c>
      <c r="B4915" s="1">
        <v>45807</v>
      </c>
      <c r="C4915">
        <v>62</v>
      </c>
      <c r="D4915" t="s">
        <v>14</v>
      </c>
      <c r="E4915" t="s">
        <v>22</v>
      </c>
      <c r="F4915" t="s">
        <v>16</v>
      </c>
      <c r="H4915">
        <v>420.2</v>
      </c>
      <c r="I4915" s="13">
        <v>4</v>
      </c>
      <c r="J4915">
        <v>0</v>
      </c>
      <c r="K4915">
        <v>0</v>
      </c>
      <c r="L4915">
        <v>0</v>
      </c>
      <c r="M4915">
        <v>0</v>
      </c>
      <c r="O4915">
        <f t="shared" si="76"/>
        <v>5</v>
      </c>
    </row>
    <row r="4916" spans="1:15">
      <c r="A4916">
        <v>944</v>
      </c>
      <c r="B4916" s="1">
        <v>45807</v>
      </c>
      <c r="C4916">
        <v>23</v>
      </c>
      <c r="D4916" t="s">
        <v>14</v>
      </c>
      <c r="E4916" t="s">
        <v>20</v>
      </c>
      <c r="F4916" t="s">
        <v>18</v>
      </c>
      <c r="G4916" t="s">
        <v>19</v>
      </c>
      <c r="H4916">
        <v>412.7</v>
      </c>
      <c r="I4916" s="13">
        <v>5</v>
      </c>
      <c r="J4916">
        <v>0</v>
      </c>
      <c r="K4916">
        <v>0</v>
      </c>
      <c r="L4916">
        <v>0</v>
      </c>
      <c r="M4916">
        <v>0</v>
      </c>
      <c r="O4916">
        <f t="shared" si="76"/>
        <v>5</v>
      </c>
    </row>
    <row r="4917" spans="1:15">
      <c r="A4917">
        <v>3760</v>
      </c>
      <c r="B4917" s="1">
        <v>45807</v>
      </c>
      <c r="C4917">
        <v>39</v>
      </c>
      <c r="D4917" t="s">
        <v>14</v>
      </c>
      <c r="E4917" t="s">
        <v>22</v>
      </c>
      <c r="F4917" t="s">
        <v>21</v>
      </c>
      <c r="H4917">
        <v>406.2</v>
      </c>
      <c r="I4917" s="13">
        <v>4</v>
      </c>
      <c r="J4917">
        <v>0</v>
      </c>
      <c r="K4917">
        <v>0</v>
      </c>
      <c r="L4917">
        <v>0</v>
      </c>
      <c r="M4917">
        <v>0</v>
      </c>
      <c r="O4917">
        <f t="shared" si="76"/>
        <v>5</v>
      </c>
    </row>
    <row r="4918" spans="1:15">
      <c r="A4918">
        <v>893</v>
      </c>
      <c r="B4918" s="1">
        <v>45807</v>
      </c>
      <c r="C4918">
        <v>18</v>
      </c>
      <c r="D4918" t="s">
        <v>17</v>
      </c>
      <c r="E4918" t="s">
        <v>22</v>
      </c>
      <c r="F4918" t="s">
        <v>23</v>
      </c>
      <c r="H4918">
        <v>381.6</v>
      </c>
      <c r="I4918" s="13">
        <v>6</v>
      </c>
      <c r="J4918">
        <v>0</v>
      </c>
      <c r="K4918">
        <v>0</v>
      </c>
      <c r="L4918">
        <v>0</v>
      </c>
      <c r="M4918">
        <v>0</v>
      </c>
      <c r="O4918">
        <f t="shared" si="76"/>
        <v>5</v>
      </c>
    </row>
    <row r="4919" spans="1:15">
      <c r="A4919">
        <v>717</v>
      </c>
      <c r="B4919" s="1">
        <v>45807</v>
      </c>
      <c r="C4919">
        <v>26</v>
      </c>
      <c r="D4919" t="s">
        <v>17</v>
      </c>
      <c r="E4919" t="s">
        <v>24</v>
      </c>
      <c r="F4919" t="s">
        <v>16</v>
      </c>
      <c r="H4919">
        <v>342.7</v>
      </c>
      <c r="I4919" s="13">
        <v>5</v>
      </c>
      <c r="J4919">
        <v>0</v>
      </c>
      <c r="K4919">
        <v>0</v>
      </c>
      <c r="L4919">
        <v>0</v>
      </c>
      <c r="M4919">
        <v>0</v>
      </c>
      <c r="O4919">
        <f t="shared" si="76"/>
        <v>5</v>
      </c>
    </row>
    <row r="4920" spans="1:15">
      <c r="A4920">
        <v>4664</v>
      </c>
      <c r="B4920" s="1">
        <v>45807</v>
      </c>
      <c r="C4920">
        <v>61</v>
      </c>
      <c r="D4920" t="s">
        <v>14</v>
      </c>
      <c r="E4920" t="s">
        <v>20</v>
      </c>
      <c r="F4920" t="s">
        <v>18</v>
      </c>
      <c r="G4920" t="s">
        <v>25</v>
      </c>
      <c r="H4920">
        <v>323.2</v>
      </c>
      <c r="I4920" s="13">
        <v>7</v>
      </c>
      <c r="J4920">
        <v>0</v>
      </c>
      <c r="K4920">
        <v>0</v>
      </c>
      <c r="L4920">
        <v>0</v>
      </c>
      <c r="M4920">
        <v>0</v>
      </c>
      <c r="O4920">
        <f t="shared" si="76"/>
        <v>5</v>
      </c>
    </row>
    <row r="4921" spans="1:15">
      <c r="A4921">
        <v>63</v>
      </c>
      <c r="B4921" s="1">
        <v>45807</v>
      </c>
      <c r="C4921">
        <v>18</v>
      </c>
      <c r="D4921" t="s">
        <v>14</v>
      </c>
      <c r="E4921" t="s">
        <v>24</v>
      </c>
      <c r="F4921" t="s">
        <v>18</v>
      </c>
      <c r="G4921" t="s">
        <v>26</v>
      </c>
      <c r="H4921">
        <v>293.5</v>
      </c>
      <c r="I4921" s="13">
        <v>7</v>
      </c>
      <c r="J4921">
        <v>0</v>
      </c>
      <c r="K4921">
        <v>0</v>
      </c>
      <c r="L4921">
        <v>0</v>
      </c>
      <c r="M4921">
        <v>0</v>
      </c>
      <c r="O4921">
        <f t="shared" si="76"/>
        <v>5</v>
      </c>
    </row>
    <row r="4922" spans="1:15">
      <c r="A4922">
        <v>3898</v>
      </c>
      <c r="B4922" s="1">
        <v>45807</v>
      </c>
      <c r="C4922">
        <v>46</v>
      </c>
      <c r="D4922" t="s">
        <v>14</v>
      </c>
      <c r="E4922" t="s">
        <v>24</v>
      </c>
      <c r="F4922" t="s">
        <v>18</v>
      </c>
      <c r="G4922" t="s">
        <v>25</v>
      </c>
      <c r="H4922">
        <v>282.2</v>
      </c>
      <c r="I4922" s="13">
        <v>1</v>
      </c>
      <c r="J4922">
        <v>0</v>
      </c>
      <c r="K4922">
        <v>0</v>
      </c>
      <c r="L4922">
        <v>0</v>
      </c>
      <c r="M4922">
        <v>0</v>
      </c>
      <c r="O4922">
        <f t="shared" si="76"/>
        <v>5</v>
      </c>
    </row>
    <row r="4923" spans="1:15">
      <c r="A4923">
        <v>1167</v>
      </c>
      <c r="B4923" s="1">
        <v>45807</v>
      </c>
      <c r="C4923">
        <v>20</v>
      </c>
      <c r="D4923" t="s">
        <v>14</v>
      </c>
      <c r="E4923" t="s">
        <v>24</v>
      </c>
      <c r="F4923" t="s">
        <v>23</v>
      </c>
      <c r="H4923">
        <v>272.89999999999998</v>
      </c>
      <c r="I4923" s="13">
        <v>11</v>
      </c>
      <c r="J4923">
        <v>0</v>
      </c>
      <c r="K4923">
        <v>0</v>
      </c>
      <c r="L4923">
        <v>0</v>
      </c>
      <c r="M4923">
        <v>0</v>
      </c>
      <c r="O4923">
        <f t="shared" si="76"/>
        <v>5</v>
      </c>
    </row>
    <row r="4924" spans="1:15">
      <c r="A4924">
        <v>1972</v>
      </c>
      <c r="B4924" s="1">
        <v>45807</v>
      </c>
      <c r="C4924">
        <v>38</v>
      </c>
      <c r="D4924" t="s">
        <v>14</v>
      </c>
      <c r="E4924" t="s">
        <v>15</v>
      </c>
      <c r="F4924" t="s">
        <v>23</v>
      </c>
      <c r="H4924">
        <v>208.1</v>
      </c>
      <c r="I4924" s="13">
        <v>6</v>
      </c>
      <c r="J4924">
        <v>0</v>
      </c>
      <c r="K4924">
        <v>0</v>
      </c>
      <c r="L4924">
        <v>0</v>
      </c>
      <c r="M4924">
        <v>0</v>
      </c>
      <c r="O4924">
        <f t="shared" si="76"/>
        <v>5</v>
      </c>
    </row>
    <row r="4925" spans="1:15">
      <c r="A4925">
        <v>4309</v>
      </c>
      <c r="B4925" s="1">
        <v>45807</v>
      </c>
      <c r="C4925">
        <v>46</v>
      </c>
      <c r="D4925" t="s">
        <v>14</v>
      </c>
      <c r="E4925" t="s">
        <v>24</v>
      </c>
      <c r="F4925" t="s">
        <v>16</v>
      </c>
      <c r="H4925">
        <v>180</v>
      </c>
      <c r="I4925" s="13">
        <v>7</v>
      </c>
      <c r="J4925">
        <v>0</v>
      </c>
      <c r="K4925">
        <v>0</v>
      </c>
      <c r="L4925">
        <v>0</v>
      </c>
      <c r="M4925">
        <v>0</v>
      </c>
      <c r="O4925">
        <f t="shared" si="76"/>
        <v>5</v>
      </c>
    </row>
    <row r="4926" spans="1:15">
      <c r="A4926">
        <v>4453</v>
      </c>
      <c r="B4926" s="1">
        <v>45807</v>
      </c>
      <c r="C4926">
        <v>42</v>
      </c>
      <c r="D4926" t="s">
        <v>17</v>
      </c>
      <c r="E4926" t="s">
        <v>24</v>
      </c>
      <c r="F4926" t="s">
        <v>23</v>
      </c>
      <c r="H4926">
        <v>138</v>
      </c>
      <c r="I4926" s="13">
        <v>8</v>
      </c>
      <c r="J4926">
        <v>0</v>
      </c>
      <c r="K4926">
        <v>0</v>
      </c>
      <c r="L4926">
        <v>0</v>
      </c>
      <c r="M4926">
        <v>0</v>
      </c>
      <c r="O4926">
        <f t="shared" si="76"/>
        <v>5</v>
      </c>
    </row>
    <row r="4927" spans="1:15">
      <c r="A4927">
        <v>4399</v>
      </c>
      <c r="B4927" s="1">
        <v>45688</v>
      </c>
      <c r="C4927">
        <v>51</v>
      </c>
      <c r="D4927" t="s">
        <v>14</v>
      </c>
      <c r="E4927" t="s">
        <v>24</v>
      </c>
      <c r="F4927" t="s">
        <v>16</v>
      </c>
      <c r="H4927">
        <v>322.10000000000002</v>
      </c>
      <c r="I4927" s="13">
        <v>5</v>
      </c>
      <c r="J4927">
        <v>1</v>
      </c>
      <c r="K4927">
        <v>425</v>
      </c>
      <c r="L4927">
        <v>3</v>
      </c>
      <c r="M4927">
        <v>14</v>
      </c>
      <c r="N4927">
        <v>4</v>
      </c>
      <c r="O4927">
        <f t="shared" si="76"/>
        <v>1</v>
      </c>
    </row>
    <row r="4928" spans="1:15">
      <c r="A4928">
        <v>935</v>
      </c>
      <c r="B4928" s="1">
        <v>45688</v>
      </c>
      <c r="C4928">
        <v>18</v>
      </c>
      <c r="D4928" t="s">
        <v>14</v>
      </c>
      <c r="E4928" t="s">
        <v>20</v>
      </c>
      <c r="F4928" t="s">
        <v>23</v>
      </c>
      <c r="H4928">
        <v>88.7</v>
      </c>
      <c r="I4928" s="13">
        <v>5</v>
      </c>
      <c r="J4928">
        <v>1</v>
      </c>
      <c r="K4928">
        <v>499</v>
      </c>
      <c r="L4928">
        <v>4</v>
      </c>
      <c r="M4928">
        <v>1</v>
      </c>
      <c r="N4928">
        <v>5</v>
      </c>
      <c r="O4928">
        <f t="shared" si="76"/>
        <v>1</v>
      </c>
    </row>
    <row r="4929" spans="1:15">
      <c r="A4929">
        <v>601</v>
      </c>
      <c r="B4929" s="1">
        <v>45688</v>
      </c>
      <c r="C4929">
        <v>18</v>
      </c>
      <c r="D4929" t="s">
        <v>14</v>
      </c>
      <c r="E4929" t="s">
        <v>22</v>
      </c>
      <c r="F4929" t="s">
        <v>18</v>
      </c>
      <c r="G4929" t="s">
        <v>19</v>
      </c>
      <c r="H4929">
        <v>443.5</v>
      </c>
      <c r="I4929" s="13">
        <v>6</v>
      </c>
      <c r="J4929">
        <v>1</v>
      </c>
      <c r="K4929">
        <v>117.79</v>
      </c>
      <c r="L4929">
        <v>3</v>
      </c>
      <c r="M4929">
        <v>9</v>
      </c>
      <c r="N4929">
        <v>4</v>
      </c>
      <c r="O4929">
        <f t="shared" si="76"/>
        <v>1</v>
      </c>
    </row>
    <row r="4930" spans="1:15">
      <c r="A4930">
        <v>3525</v>
      </c>
      <c r="B4930" s="1">
        <v>45688</v>
      </c>
      <c r="C4930">
        <v>32</v>
      </c>
      <c r="D4930" t="s">
        <v>14</v>
      </c>
      <c r="E4930" t="s">
        <v>20</v>
      </c>
      <c r="F4930" t="s">
        <v>23</v>
      </c>
      <c r="H4930">
        <v>758.7</v>
      </c>
      <c r="I4930" s="13">
        <v>6</v>
      </c>
      <c r="J4930">
        <v>1</v>
      </c>
      <c r="K4930">
        <v>79.78</v>
      </c>
      <c r="L4930">
        <v>3</v>
      </c>
      <c r="M4930">
        <v>4</v>
      </c>
      <c r="N4930">
        <v>4</v>
      </c>
      <c r="O4930">
        <f t="shared" si="76"/>
        <v>1</v>
      </c>
    </row>
    <row r="4931" spans="1:15">
      <c r="A4931">
        <v>1088</v>
      </c>
      <c r="B4931" s="1">
        <v>45688</v>
      </c>
      <c r="C4931">
        <v>25</v>
      </c>
      <c r="D4931" t="s">
        <v>17</v>
      </c>
      <c r="E4931" t="s">
        <v>15</v>
      </c>
      <c r="F4931" t="s">
        <v>18</v>
      </c>
      <c r="G4931" t="s">
        <v>30</v>
      </c>
      <c r="H4931">
        <v>174.8</v>
      </c>
      <c r="I4931" s="13">
        <v>4</v>
      </c>
      <c r="J4931">
        <v>1</v>
      </c>
      <c r="K4931">
        <v>58.77</v>
      </c>
      <c r="L4931">
        <v>4</v>
      </c>
      <c r="M4931">
        <v>2</v>
      </c>
      <c r="N4931">
        <v>4</v>
      </c>
      <c r="O4931">
        <f t="shared" ref="O4931:O4994" si="77">MONTH(B4931)</f>
        <v>1</v>
      </c>
    </row>
    <row r="4932" spans="1:15">
      <c r="A4932">
        <v>3246</v>
      </c>
      <c r="B4932" s="1">
        <v>45688</v>
      </c>
      <c r="C4932">
        <v>52</v>
      </c>
      <c r="D4932" t="s">
        <v>17</v>
      </c>
      <c r="E4932" t="s">
        <v>22</v>
      </c>
      <c r="F4932" t="s">
        <v>21</v>
      </c>
      <c r="H4932">
        <v>283.60000000000002</v>
      </c>
      <c r="I4932" s="13">
        <v>4</v>
      </c>
      <c r="J4932">
        <v>1</v>
      </c>
      <c r="K4932">
        <v>49.55</v>
      </c>
      <c r="L4932">
        <v>4</v>
      </c>
      <c r="M4932">
        <v>13</v>
      </c>
      <c r="N4932">
        <v>4</v>
      </c>
      <c r="O4932">
        <f t="shared" si="77"/>
        <v>1</v>
      </c>
    </row>
    <row r="4933" spans="1:15">
      <c r="A4933">
        <v>2392</v>
      </c>
      <c r="B4933" s="1">
        <v>45688</v>
      </c>
      <c r="C4933">
        <v>33</v>
      </c>
      <c r="D4933" t="s">
        <v>14</v>
      </c>
      <c r="E4933" t="s">
        <v>24</v>
      </c>
      <c r="F4933" t="s">
        <v>18</v>
      </c>
      <c r="G4933" t="s">
        <v>28</v>
      </c>
      <c r="H4933">
        <v>617.6</v>
      </c>
      <c r="I4933" s="13">
        <v>12</v>
      </c>
      <c r="J4933">
        <v>1</v>
      </c>
      <c r="K4933">
        <v>29.82</v>
      </c>
      <c r="L4933">
        <v>2</v>
      </c>
      <c r="M4933">
        <v>10</v>
      </c>
      <c r="N4933">
        <v>4</v>
      </c>
      <c r="O4933">
        <f t="shared" si="77"/>
        <v>1</v>
      </c>
    </row>
    <row r="4934" spans="1:15">
      <c r="A4934">
        <v>4811</v>
      </c>
      <c r="B4934" s="1">
        <v>45688</v>
      </c>
      <c r="C4934">
        <v>56</v>
      </c>
      <c r="D4934" t="s">
        <v>17</v>
      </c>
      <c r="E4934" t="s">
        <v>15</v>
      </c>
      <c r="F4934" t="s">
        <v>23</v>
      </c>
      <c r="H4934">
        <v>298</v>
      </c>
      <c r="I4934" s="13">
        <v>3</v>
      </c>
      <c r="J4934">
        <v>1</v>
      </c>
      <c r="K4934">
        <v>28.88</v>
      </c>
      <c r="L4934">
        <v>2</v>
      </c>
      <c r="M4934">
        <v>4</v>
      </c>
      <c r="N4934">
        <v>4</v>
      </c>
      <c r="O4934">
        <f t="shared" si="77"/>
        <v>1</v>
      </c>
    </row>
    <row r="4935" spans="1:15">
      <c r="A4935">
        <v>1402</v>
      </c>
      <c r="B4935" s="1">
        <v>45688</v>
      </c>
      <c r="C4935">
        <v>22</v>
      </c>
      <c r="D4935" t="s">
        <v>17</v>
      </c>
      <c r="E4935" t="s">
        <v>24</v>
      </c>
      <c r="F4935" t="s">
        <v>16</v>
      </c>
      <c r="H4935">
        <v>523.29999999999995</v>
      </c>
      <c r="I4935" s="13">
        <v>4</v>
      </c>
      <c r="J4935">
        <v>1</v>
      </c>
      <c r="K4935">
        <v>22.68</v>
      </c>
      <c r="L4935">
        <v>4</v>
      </c>
      <c r="M4935">
        <v>4</v>
      </c>
      <c r="N4935">
        <v>4</v>
      </c>
      <c r="O4935">
        <f t="shared" si="77"/>
        <v>1</v>
      </c>
    </row>
    <row r="4936" spans="1:15">
      <c r="A4936">
        <v>4730</v>
      </c>
      <c r="B4936" s="1">
        <v>45688</v>
      </c>
      <c r="C4936">
        <v>66</v>
      </c>
      <c r="D4936" t="s">
        <v>17</v>
      </c>
      <c r="E4936" t="s">
        <v>20</v>
      </c>
      <c r="F4936" t="s">
        <v>16</v>
      </c>
      <c r="H4936">
        <v>200.9</v>
      </c>
      <c r="I4936" s="13">
        <v>5</v>
      </c>
      <c r="J4936">
        <v>1</v>
      </c>
      <c r="K4936">
        <v>21.82</v>
      </c>
      <c r="L4936">
        <v>3</v>
      </c>
      <c r="M4936">
        <v>1</v>
      </c>
      <c r="N4936">
        <v>3</v>
      </c>
      <c r="O4936">
        <f t="shared" si="77"/>
        <v>1</v>
      </c>
    </row>
    <row r="4937" spans="1:15">
      <c r="A4937">
        <v>1572</v>
      </c>
      <c r="B4937" s="1">
        <v>45688</v>
      </c>
      <c r="C4937">
        <v>26</v>
      </c>
      <c r="D4937" t="s">
        <v>17</v>
      </c>
      <c r="E4937" t="s">
        <v>22</v>
      </c>
      <c r="F4937" t="s">
        <v>16</v>
      </c>
      <c r="H4937">
        <v>400.4</v>
      </c>
      <c r="I4937" s="13">
        <v>4</v>
      </c>
      <c r="J4937">
        <v>1</v>
      </c>
      <c r="K4937">
        <v>17.75</v>
      </c>
      <c r="L4937">
        <v>1</v>
      </c>
      <c r="M4937">
        <v>12</v>
      </c>
      <c r="N4937">
        <v>4</v>
      </c>
      <c r="O4937">
        <f t="shared" si="77"/>
        <v>1</v>
      </c>
    </row>
    <row r="4938" spans="1:15">
      <c r="A4938">
        <v>4828</v>
      </c>
      <c r="B4938" s="1">
        <v>45688</v>
      </c>
      <c r="C4938">
        <v>58</v>
      </c>
      <c r="D4938" t="s">
        <v>17</v>
      </c>
      <c r="E4938" t="s">
        <v>15</v>
      </c>
      <c r="F4938" t="s">
        <v>18</v>
      </c>
      <c r="G4938" t="s">
        <v>19</v>
      </c>
      <c r="H4938">
        <v>623.79999999999995</v>
      </c>
      <c r="I4938" s="13">
        <v>7</v>
      </c>
      <c r="J4938">
        <v>0</v>
      </c>
      <c r="K4938">
        <v>0</v>
      </c>
      <c r="L4938">
        <v>0</v>
      </c>
      <c r="M4938">
        <v>0</v>
      </c>
      <c r="O4938">
        <f t="shared" si="77"/>
        <v>1</v>
      </c>
    </row>
    <row r="4939" spans="1:15">
      <c r="A4939">
        <v>3654</v>
      </c>
      <c r="B4939" s="1">
        <v>45688</v>
      </c>
      <c r="C4939">
        <v>30</v>
      </c>
      <c r="D4939" t="s">
        <v>17</v>
      </c>
      <c r="E4939" t="s">
        <v>24</v>
      </c>
      <c r="F4939" t="s">
        <v>16</v>
      </c>
      <c r="H4939">
        <v>443.1</v>
      </c>
      <c r="I4939" s="13">
        <v>5</v>
      </c>
      <c r="J4939">
        <v>0</v>
      </c>
      <c r="K4939">
        <v>0</v>
      </c>
      <c r="L4939">
        <v>0</v>
      </c>
      <c r="M4939">
        <v>0</v>
      </c>
      <c r="O4939">
        <f t="shared" si="77"/>
        <v>1</v>
      </c>
    </row>
    <row r="4940" spans="1:15">
      <c r="A4940">
        <v>255</v>
      </c>
      <c r="B4940" s="1">
        <v>45688</v>
      </c>
      <c r="C4940">
        <v>30</v>
      </c>
      <c r="D4940" t="s">
        <v>17</v>
      </c>
      <c r="E4940" t="s">
        <v>22</v>
      </c>
      <c r="F4940" t="s">
        <v>18</v>
      </c>
      <c r="G4940" t="s">
        <v>29</v>
      </c>
      <c r="H4940">
        <v>372.2</v>
      </c>
      <c r="I4940" s="13">
        <v>10</v>
      </c>
      <c r="J4940">
        <v>0</v>
      </c>
      <c r="K4940">
        <v>0</v>
      </c>
      <c r="L4940">
        <v>0</v>
      </c>
      <c r="M4940">
        <v>0</v>
      </c>
      <c r="O4940">
        <f t="shared" si="77"/>
        <v>1</v>
      </c>
    </row>
    <row r="4941" spans="1:15">
      <c r="A4941">
        <v>1393</v>
      </c>
      <c r="B4941" s="1">
        <v>45688</v>
      </c>
      <c r="C4941">
        <v>21</v>
      </c>
      <c r="D4941" t="s">
        <v>14</v>
      </c>
      <c r="E4941" t="s">
        <v>15</v>
      </c>
      <c r="F4941" t="s">
        <v>16</v>
      </c>
      <c r="H4941">
        <v>309.7</v>
      </c>
      <c r="I4941" s="13">
        <v>9</v>
      </c>
      <c r="J4941">
        <v>0</v>
      </c>
      <c r="K4941">
        <v>0</v>
      </c>
      <c r="L4941">
        <v>0</v>
      </c>
      <c r="M4941">
        <v>0</v>
      </c>
      <c r="O4941">
        <f t="shared" si="77"/>
        <v>1</v>
      </c>
    </row>
    <row r="4942" spans="1:15">
      <c r="A4942">
        <v>683</v>
      </c>
      <c r="B4942" s="1">
        <v>45688</v>
      </c>
      <c r="C4942">
        <v>27</v>
      </c>
      <c r="D4942" t="s">
        <v>17</v>
      </c>
      <c r="E4942" t="s">
        <v>24</v>
      </c>
      <c r="F4942" t="s">
        <v>18</v>
      </c>
      <c r="G4942" t="s">
        <v>30</v>
      </c>
      <c r="H4942">
        <v>306.8</v>
      </c>
      <c r="I4942" s="13">
        <v>7</v>
      </c>
      <c r="J4942">
        <v>0</v>
      </c>
      <c r="K4942">
        <v>0</v>
      </c>
      <c r="L4942">
        <v>0</v>
      </c>
      <c r="M4942">
        <v>0</v>
      </c>
      <c r="O4942">
        <f t="shared" si="77"/>
        <v>1</v>
      </c>
    </row>
    <row r="4943" spans="1:15">
      <c r="A4943">
        <v>2936</v>
      </c>
      <c r="B4943" s="1">
        <v>45688</v>
      </c>
      <c r="C4943">
        <v>29</v>
      </c>
      <c r="D4943" t="s">
        <v>17</v>
      </c>
      <c r="E4943" t="s">
        <v>20</v>
      </c>
      <c r="F4943" t="s">
        <v>16</v>
      </c>
      <c r="H4943">
        <v>296.89999999999998</v>
      </c>
      <c r="I4943" s="13">
        <v>5</v>
      </c>
      <c r="J4943">
        <v>0</v>
      </c>
      <c r="K4943">
        <v>0</v>
      </c>
      <c r="L4943">
        <v>0</v>
      </c>
      <c r="M4943">
        <v>0</v>
      </c>
      <c r="O4943">
        <f t="shared" si="77"/>
        <v>1</v>
      </c>
    </row>
    <row r="4944" spans="1:15">
      <c r="A4944">
        <v>3877</v>
      </c>
      <c r="B4944" s="1">
        <v>45688</v>
      </c>
      <c r="C4944">
        <v>46</v>
      </c>
      <c r="D4944" t="s">
        <v>14</v>
      </c>
      <c r="E4944" t="s">
        <v>22</v>
      </c>
      <c r="F4944" t="s">
        <v>23</v>
      </c>
      <c r="H4944">
        <v>258.5</v>
      </c>
      <c r="I4944" s="13">
        <v>7</v>
      </c>
      <c r="J4944">
        <v>0</v>
      </c>
      <c r="K4944">
        <v>0</v>
      </c>
      <c r="L4944">
        <v>0</v>
      </c>
      <c r="M4944">
        <v>0</v>
      </c>
      <c r="O4944">
        <f t="shared" si="77"/>
        <v>1</v>
      </c>
    </row>
    <row r="4945" spans="1:15">
      <c r="A4945">
        <v>1401</v>
      </c>
      <c r="B4945" s="1">
        <v>45688</v>
      </c>
      <c r="C4945">
        <v>18</v>
      </c>
      <c r="D4945" t="s">
        <v>17</v>
      </c>
      <c r="E4945" t="s">
        <v>20</v>
      </c>
      <c r="F4945" t="s">
        <v>18</v>
      </c>
      <c r="G4945" t="s">
        <v>30</v>
      </c>
      <c r="H4945">
        <v>239.4</v>
      </c>
      <c r="I4945" s="13">
        <v>2</v>
      </c>
      <c r="J4945">
        <v>0</v>
      </c>
      <c r="K4945">
        <v>0</v>
      </c>
      <c r="L4945">
        <v>0</v>
      </c>
      <c r="M4945">
        <v>0</v>
      </c>
      <c r="O4945">
        <f t="shared" si="77"/>
        <v>1</v>
      </c>
    </row>
    <row r="4946" spans="1:15">
      <c r="A4946">
        <v>4656</v>
      </c>
      <c r="B4946" s="1">
        <v>45688</v>
      </c>
      <c r="C4946">
        <v>60</v>
      </c>
      <c r="D4946" t="s">
        <v>17</v>
      </c>
      <c r="E4946" t="s">
        <v>24</v>
      </c>
      <c r="F4946" t="s">
        <v>21</v>
      </c>
      <c r="H4946">
        <v>230.4</v>
      </c>
      <c r="I4946" s="13">
        <v>5</v>
      </c>
      <c r="J4946">
        <v>0</v>
      </c>
      <c r="K4946">
        <v>0</v>
      </c>
      <c r="L4946">
        <v>0</v>
      </c>
      <c r="M4946">
        <v>0</v>
      </c>
      <c r="O4946">
        <f t="shared" si="77"/>
        <v>1</v>
      </c>
    </row>
    <row r="4947" spans="1:15">
      <c r="A4947">
        <v>1297</v>
      </c>
      <c r="B4947" s="1">
        <v>45688</v>
      </c>
      <c r="C4947">
        <v>26</v>
      </c>
      <c r="D4947" t="s">
        <v>14</v>
      </c>
      <c r="E4947" t="s">
        <v>24</v>
      </c>
      <c r="F4947" t="s">
        <v>18</v>
      </c>
      <c r="G4947" t="s">
        <v>31</v>
      </c>
      <c r="H4947">
        <v>210</v>
      </c>
      <c r="I4947" s="13">
        <v>8</v>
      </c>
      <c r="J4947">
        <v>0</v>
      </c>
      <c r="K4947">
        <v>0</v>
      </c>
      <c r="L4947">
        <v>0</v>
      </c>
      <c r="M4947">
        <v>0</v>
      </c>
      <c r="O4947">
        <f t="shared" si="77"/>
        <v>1</v>
      </c>
    </row>
    <row r="4948" spans="1:15">
      <c r="A4948">
        <v>3470</v>
      </c>
      <c r="B4948" s="1">
        <v>45688</v>
      </c>
      <c r="C4948">
        <v>36</v>
      </c>
      <c r="D4948" t="s">
        <v>14</v>
      </c>
      <c r="E4948" t="s">
        <v>22</v>
      </c>
      <c r="F4948" t="s">
        <v>16</v>
      </c>
      <c r="H4948">
        <v>200.6</v>
      </c>
      <c r="I4948" s="13">
        <v>7</v>
      </c>
      <c r="J4948">
        <v>0</v>
      </c>
      <c r="K4948">
        <v>0</v>
      </c>
      <c r="L4948">
        <v>0</v>
      </c>
      <c r="M4948">
        <v>0</v>
      </c>
      <c r="O4948">
        <f t="shared" si="77"/>
        <v>1</v>
      </c>
    </row>
    <row r="4949" spans="1:15">
      <c r="A4949">
        <v>2634</v>
      </c>
      <c r="B4949" s="1">
        <v>45688</v>
      </c>
      <c r="C4949">
        <v>44</v>
      </c>
      <c r="D4949" t="s">
        <v>17</v>
      </c>
      <c r="E4949" t="s">
        <v>24</v>
      </c>
      <c r="F4949" t="s">
        <v>18</v>
      </c>
      <c r="G4949" t="s">
        <v>26</v>
      </c>
      <c r="H4949">
        <v>156.5</v>
      </c>
      <c r="I4949" s="13">
        <v>9</v>
      </c>
      <c r="J4949">
        <v>0</v>
      </c>
      <c r="K4949">
        <v>0</v>
      </c>
      <c r="L4949">
        <v>0</v>
      </c>
      <c r="M4949">
        <v>0</v>
      </c>
      <c r="O4949">
        <f t="shared" si="77"/>
        <v>1</v>
      </c>
    </row>
    <row r="4950" spans="1:15">
      <c r="A4950">
        <v>3939</v>
      </c>
      <c r="B4950" s="1">
        <v>45688</v>
      </c>
      <c r="C4950">
        <v>37</v>
      </c>
      <c r="D4950" t="s">
        <v>17</v>
      </c>
      <c r="E4950" t="s">
        <v>24</v>
      </c>
      <c r="F4950" t="s">
        <v>18</v>
      </c>
      <c r="G4950" t="s">
        <v>30</v>
      </c>
      <c r="H4950">
        <v>125</v>
      </c>
      <c r="I4950" s="13">
        <v>10</v>
      </c>
      <c r="J4950">
        <v>0</v>
      </c>
      <c r="K4950">
        <v>0</v>
      </c>
      <c r="L4950">
        <v>0</v>
      </c>
      <c r="M4950">
        <v>0</v>
      </c>
      <c r="O4950">
        <f t="shared" si="77"/>
        <v>1</v>
      </c>
    </row>
    <row r="4951" spans="1:15">
      <c r="A4951">
        <v>3333</v>
      </c>
      <c r="B4951" s="1">
        <v>45688</v>
      </c>
      <c r="C4951">
        <v>46</v>
      </c>
      <c r="D4951" t="s">
        <v>14</v>
      </c>
      <c r="E4951" t="s">
        <v>22</v>
      </c>
      <c r="F4951" t="s">
        <v>18</v>
      </c>
      <c r="G4951" t="s">
        <v>29</v>
      </c>
      <c r="H4951">
        <v>124.7</v>
      </c>
      <c r="I4951" s="13">
        <v>6</v>
      </c>
      <c r="J4951">
        <v>0</v>
      </c>
      <c r="K4951">
        <v>0</v>
      </c>
      <c r="L4951">
        <v>0</v>
      </c>
      <c r="M4951">
        <v>0</v>
      </c>
      <c r="O4951">
        <f t="shared" si="77"/>
        <v>1</v>
      </c>
    </row>
    <row r="4952" spans="1:15">
      <c r="A4952">
        <v>3456</v>
      </c>
      <c r="B4952" s="1">
        <v>45688</v>
      </c>
      <c r="C4952">
        <v>36</v>
      </c>
      <c r="D4952" t="s">
        <v>14</v>
      </c>
      <c r="E4952" t="s">
        <v>22</v>
      </c>
      <c r="F4952" t="s">
        <v>18</v>
      </c>
      <c r="G4952" t="s">
        <v>28</v>
      </c>
      <c r="H4952">
        <v>109.1</v>
      </c>
      <c r="I4952" s="13">
        <v>5</v>
      </c>
      <c r="J4952">
        <v>0</v>
      </c>
      <c r="K4952">
        <v>0</v>
      </c>
      <c r="L4952">
        <v>0</v>
      </c>
      <c r="M4952">
        <v>0</v>
      </c>
      <c r="O4952">
        <f t="shared" si="77"/>
        <v>1</v>
      </c>
    </row>
    <row r="4953" spans="1:15">
      <c r="A4953">
        <v>4541</v>
      </c>
      <c r="B4953" s="1">
        <v>45688</v>
      </c>
      <c r="C4953">
        <v>69</v>
      </c>
      <c r="D4953" t="s">
        <v>17</v>
      </c>
      <c r="E4953" t="s">
        <v>15</v>
      </c>
      <c r="F4953" t="s">
        <v>21</v>
      </c>
      <c r="H4953">
        <v>107.7</v>
      </c>
      <c r="I4953" s="13">
        <v>7</v>
      </c>
      <c r="J4953">
        <v>0</v>
      </c>
      <c r="K4953">
        <v>0</v>
      </c>
      <c r="L4953">
        <v>0</v>
      </c>
      <c r="M4953">
        <v>0</v>
      </c>
      <c r="O4953">
        <f t="shared" si="77"/>
        <v>1</v>
      </c>
    </row>
    <row r="4954" spans="1:15">
      <c r="A4954">
        <v>4650</v>
      </c>
      <c r="B4954" s="1">
        <v>45688</v>
      </c>
      <c r="C4954">
        <v>34</v>
      </c>
      <c r="D4954" t="s">
        <v>14</v>
      </c>
      <c r="E4954" t="s">
        <v>22</v>
      </c>
      <c r="F4954" t="s">
        <v>23</v>
      </c>
      <c r="H4954">
        <v>90.3</v>
      </c>
      <c r="I4954" s="13">
        <v>3</v>
      </c>
      <c r="J4954">
        <v>0</v>
      </c>
      <c r="K4954">
        <v>0</v>
      </c>
      <c r="L4954">
        <v>0</v>
      </c>
      <c r="M4954">
        <v>0</v>
      </c>
      <c r="O4954">
        <f t="shared" si="77"/>
        <v>1</v>
      </c>
    </row>
    <row r="4955" spans="1:15">
      <c r="A4955">
        <v>32</v>
      </c>
      <c r="B4955" s="1">
        <v>45688</v>
      </c>
      <c r="C4955">
        <v>25</v>
      </c>
      <c r="D4955" t="s">
        <v>17</v>
      </c>
      <c r="E4955" t="s">
        <v>24</v>
      </c>
      <c r="F4955" t="s">
        <v>16</v>
      </c>
      <c r="H4955">
        <v>27</v>
      </c>
      <c r="I4955" s="13">
        <v>8</v>
      </c>
      <c r="J4955">
        <v>0</v>
      </c>
      <c r="K4955">
        <v>0</v>
      </c>
      <c r="L4955">
        <v>0</v>
      </c>
      <c r="M4955">
        <v>0</v>
      </c>
      <c r="O4955">
        <f t="shared" si="77"/>
        <v>1</v>
      </c>
    </row>
    <row r="4956" spans="1:15">
      <c r="A4956">
        <v>2970</v>
      </c>
      <c r="B4956" s="1">
        <v>45747</v>
      </c>
      <c r="C4956">
        <v>46</v>
      </c>
      <c r="D4956" t="s">
        <v>14</v>
      </c>
      <c r="E4956" t="s">
        <v>24</v>
      </c>
      <c r="F4956" t="s">
        <v>16</v>
      </c>
      <c r="H4956">
        <v>338.9</v>
      </c>
      <c r="I4956" s="13">
        <v>4</v>
      </c>
      <c r="J4956">
        <v>1</v>
      </c>
      <c r="K4956">
        <v>38</v>
      </c>
      <c r="L4956">
        <v>3</v>
      </c>
      <c r="M4956">
        <v>3</v>
      </c>
      <c r="N4956">
        <v>4</v>
      </c>
      <c r="O4956">
        <f t="shared" si="77"/>
        <v>3</v>
      </c>
    </row>
    <row r="4957" spans="1:15">
      <c r="A4957">
        <v>986</v>
      </c>
      <c r="B4957" s="1">
        <v>45747</v>
      </c>
      <c r="C4957">
        <v>26</v>
      </c>
      <c r="D4957" t="s">
        <v>17</v>
      </c>
      <c r="E4957" t="s">
        <v>22</v>
      </c>
      <c r="F4957" t="s">
        <v>16</v>
      </c>
      <c r="H4957">
        <v>607</v>
      </c>
      <c r="I4957" s="13">
        <v>2</v>
      </c>
      <c r="J4957">
        <v>1</v>
      </c>
      <c r="K4957">
        <v>123</v>
      </c>
      <c r="L4957">
        <v>2</v>
      </c>
      <c r="M4957">
        <v>15</v>
      </c>
      <c r="N4957">
        <v>5</v>
      </c>
      <c r="O4957">
        <f t="shared" si="77"/>
        <v>3</v>
      </c>
    </row>
    <row r="4958" spans="1:15">
      <c r="A4958">
        <v>2086</v>
      </c>
      <c r="B4958" s="1">
        <v>45747</v>
      </c>
      <c r="C4958">
        <v>23</v>
      </c>
      <c r="D4958" t="s">
        <v>17</v>
      </c>
      <c r="E4958" t="s">
        <v>24</v>
      </c>
      <c r="F4958" t="s">
        <v>23</v>
      </c>
      <c r="H4958">
        <v>833.1</v>
      </c>
      <c r="I4958" s="13">
        <v>3</v>
      </c>
      <c r="J4958">
        <v>1</v>
      </c>
      <c r="K4958">
        <v>145.69999999999999</v>
      </c>
      <c r="L4958">
        <v>2</v>
      </c>
      <c r="M4958">
        <v>14</v>
      </c>
      <c r="N4958">
        <v>4</v>
      </c>
      <c r="O4958">
        <f t="shared" si="77"/>
        <v>3</v>
      </c>
    </row>
    <row r="4959" spans="1:15">
      <c r="A4959">
        <v>650</v>
      </c>
      <c r="B4959" s="1">
        <v>45747</v>
      </c>
      <c r="C4959">
        <v>26</v>
      </c>
      <c r="D4959" t="s">
        <v>14</v>
      </c>
      <c r="E4959" t="s">
        <v>24</v>
      </c>
      <c r="F4959" t="s">
        <v>18</v>
      </c>
      <c r="G4959" t="s">
        <v>29</v>
      </c>
      <c r="H4959">
        <v>152.4</v>
      </c>
      <c r="I4959" s="13">
        <v>6</v>
      </c>
      <c r="J4959">
        <v>1</v>
      </c>
      <c r="K4959">
        <v>54.23</v>
      </c>
      <c r="L4959">
        <v>4</v>
      </c>
      <c r="M4959">
        <v>4</v>
      </c>
      <c r="N4959">
        <v>5</v>
      </c>
      <c r="O4959">
        <f t="shared" si="77"/>
        <v>3</v>
      </c>
    </row>
    <row r="4960" spans="1:15">
      <c r="A4960">
        <v>1664</v>
      </c>
      <c r="B4960" s="1">
        <v>45747</v>
      </c>
      <c r="C4960">
        <v>26</v>
      </c>
      <c r="D4960" t="s">
        <v>17</v>
      </c>
      <c r="E4960" t="s">
        <v>15</v>
      </c>
      <c r="F4960" t="s">
        <v>23</v>
      </c>
      <c r="H4960">
        <v>265.5</v>
      </c>
      <c r="I4960" s="13">
        <v>6</v>
      </c>
      <c r="J4960">
        <v>1</v>
      </c>
      <c r="K4960">
        <v>46.74</v>
      </c>
      <c r="L4960">
        <v>2</v>
      </c>
      <c r="M4960">
        <v>11</v>
      </c>
      <c r="N4960">
        <v>4</v>
      </c>
      <c r="O4960">
        <f t="shared" si="77"/>
        <v>3</v>
      </c>
    </row>
    <row r="4961" spans="1:15">
      <c r="A4961">
        <v>1138</v>
      </c>
      <c r="B4961" s="1">
        <v>45747</v>
      </c>
      <c r="C4961">
        <v>32</v>
      </c>
      <c r="D4961" t="s">
        <v>14</v>
      </c>
      <c r="E4961" t="s">
        <v>15</v>
      </c>
      <c r="F4961" t="s">
        <v>21</v>
      </c>
      <c r="H4961">
        <v>317</v>
      </c>
      <c r="I4961" s="13">
        <v>3</v>
      </c>
      <c r="J4961">
        <v>1</v>
      </c>
      <c r="K4961">
        <v>40.549999999999997</v>
      </c>
      <c r="L4961">
        <v>2</v>
      </c>
      <c r="M4961">
        <v>7</v>
      </c>
      <c r="N4961">
        <v>4</v>
      </c>
      <c r="O4961">
        <f t="shared" si="77"/>
        <v>3</v>
      </c>
    </row>
    <row r="4962" spans="1:15">
      <c r="A4962">
        <v>1584</v>
      </c>
      <c r="B4962" s="1">
        <v>45747</v>
      </c>
      <c r="C4962">
        <v>22</v>
      </c>
      <c r="D4962" t="s">
        <v>17</v>
      </c>
      <c r="E4962" t="s">
        <v>24</v>
      </c>
      <c r="F4962" t="s">
        <v>23</v>
      </c>
      <c r="H4962">
        <v>451.9</v>
      </c>
      <c r="I4962" s="13">
        <v>5</v>
      </c>
      <c r="J4962">
        <v>1</v>
      </c>
      <c r="K4962">
        <v>30.15</v>
      </c>
      <c r="L4962">
        <v>1</v>
      </c>
      <c r="M4962">
        <v>6</v>
      </c>
      <c r="N4962">
        <v>3</v>
      </c>
      <c r="O4962">
        <f t="shared" si="77"/>
        <v>3</v>
      </c>
    </row>
    <row r="4963" spans="1:15">
      <c r="A4963">
        <v>1330</v>
      </c>
      <c r="B4963" s="1">
        <v>45747</v>
      </c>
      <c r="C4963">
        <v>38</v>
      </c>
      <c r="D4963" t="s">
        <v>14</v>
      </c>
      <c r="E4963" t="s">
        <v>20</v>
      </c>
      <c r="F4963" t="s">
        <v>18</v>
      </c>
      <c r="G4963" t="s">
        <v>31</v>
      </c>
      <c r="H4963">
        <v>692.6</v>
      </c>
      <c r="I4963" s="13">
        <v>6</v>
      </c>
      <c r="J4963">
        <v>0</v>
      </c>
      <c r="K4963">
        <v>0</v>
      </c>
      <c r="L4963">
        <v>0</v>
      </c>
      <c r="M4963">
        <v>0</v>
      </c>
      <c r="O4963">
        <f t="shared" si="77"/>
        <v>3</v>
      </c>
    </row>
    <row r="4964" spans="1:15">
      <c r="A4964">
        <v>143</v>
      </c>
      <c r="B4964" s="1">
        <v>45747</v>
      </c>
      <c r="C4964">
        <v>32</v>
      </c>
      <c r="D4964" t="s">
        <v>17</v>
      </c>
      <c r="E4964" t="s">
        <v>20</v>
      </c>
      <c r="F4964" t="s">
        <v>16</v>
      </c>
      <c r="H4964">
        <v>609</v>
      </c>
      <c r="I4964" s="13">
        <v>6</v>
      </c>
      <c r="J4964">
        <v>0</v>
      </c>
      <c r="K4964">
        <v>0</v>
      </c>
      <c r="L4964">
        <v>0</v>
      </c>
      <c r="M4964">
        <v>0</v>
      </c>
      <c r="O4964">
        <f t="shared" si="77"/>
        <v>3</v>
      </c>
    </row>
    <row r="4965" spans="1:15">
      <c r="A4965">
        <v>2877</v>
      </c>
      <c r="B4965" s="1">
        <v>45747</v>
      </c>
      <c r="C4965">
        <v>35</v>
      </c>
      <c r="D4965" t="s">
        <v>17</v>
      </c>
      <c r="E4965" t="s">
        <v>22</v>
      </c>
      <c r="F4965" t="s">
        <v>16</v>
      </c>
      <c r="H4965">
        <v>581.70000000000005</v>
      </c>
      <c r="I4965" s="13">
        <v>10</v>
      </c>
      <c r="J4965">
        <v>0</v>
      </c>
      <c r="K4965">
        <v>0</v>
      </c>
      <c r="L4965">
        <v>0</v>
      </c>
      <c r="M4965">
        <v>0</v>
      </c>
      <c r="O4965">
        <f t="shared" si="77"/>
        <v>3</v>
      </c>
    </row>
    <row r="4966" spans="1:15">
      <c r="A4966">
        <v>4193</v>
      </c>
      <c r="B4966" s="1">
        <v>45747</v>
      </c>
      <c r="C4966">
        <v>35</v>
      </c>
      <c r="D4966" t="s">
        <v>14</v>
      </c>
      <c r="E4966" t="s">
        <v>22</v>
      </c>
      <c r="F4966" t="s">
        <v>16</v>
      </c>
      <c r="H4966">
        <v>570.1</v>
      </c>
      <c r="I4966" s="13">
        <v>6</v>
      </c>
      <c r="J4966">
        <v>0</v>
      </c>
      <c r="K4966">
        <v>0</v>
      </c>
      <c r="L4966">
        <v>0</v>
      </c>
      <c r="M4966">
        <v>0</v>
      </c>
      <c r="O4966">
        <f t="shared" si="77"/>
        <v>3</v>
      </c>
    </row>
    <row r="4967" spans="1:15">
      <c r="A4967">
        <v>4218</v>
      </c>
      <c r="B4967" s="1">
        <v>45747</v>
      </c>
      <c r="C4967">
        <v>42</v>
      </c>
      <c r="D4967" t="s">
        <v>17</v>
      </c>
      <c r="E4967" t="s">
        <v>22</v>
      </c>
      <c r="F4967" t="s">
        <v>18</v>
      </c>
      <c r="G4967" t="s">
        <v>25</v>
      </c>
      <c r="H4967">
        <v>513.5</v>
      </c>
      <c r="I4967" s="13">
        <v>10</v>
      </c>
      <c r="J4967">
        <v>0</v>
      </c>
      <c r="K4967">
        <v>0</v>
      </c>
      <c r="L4967">
        <v>0</v>
      </c>
      <c r="M4967">
        <v>0</v>
      </c>
      <c r="O4967">
        <f t="shared" si="77"/>
        <v>3</v>
      </c>
    </row>
    <row r="4968" spans="1:15">
      <c r="A4968">
        <v>1132</v>
      </c>
      <c r="B4968" s="1">
        <v>45747</v>
      </c>
      <c r="C4968">
        <v>18</v>
      </c>
      <c r="D4968" t="s">
        <v>17</v>
      </c>
      <c r="E4968" t="s">
        <v>20</v>
      </c>
      <c r="F4968" t="s">
        <v>23</v>
      </c>
      <c r="H4968">
        <v>508.9</v>
      </c>
      <c r="I4968" s="13">
        <v>8</v>
      </c>
      <c r="J4968">
        <v>0</v>
      </c>
      <c r="K4968">
        <v>0</v>
      </c>
      <c r="L4968">
        <v>0</v>
      </c>
      <c r="M4968">
        <v>0</v>
      </c>
      <c r="O4968">
        <f t="shared" si="77"/>
        <v>3</v>
      </c>
    </row>
    <row r="4969" spans="1:15">
      <c r="A4969">
        <v>835</v>
      </c>
      <c r="B4969" s="1">
        <v>45747</v>
      </c>
      <c r="C4969">
        <v>25</v>
      </c>
      <c r="D4969" t="s">
        <v>14</v>
      </c>
      <c r="E4969" t="s">
        <v>24</v>
      </c>
      <c r="F4969" t="s">
        <v>18</v>
      </c>
      <c r="G4969" t="s">
        <v>29</v>
      </c>
      <c r="H4969">
        <v>427.9</v>
      </c>
      <c r="I4969" s="13">
        <v>7</v>
      </c>
      <c r="J4969">
        <v>0</v>
      </c>
      <c r="K4969">
        <v>0</v>
      </c>
      <c r="L4969">
        <v>0</v>
      </c>
      <c r="M4969">
        <v>0</v>
      </c>
      <c r="O4969">
        <f t="shared" si="77"/>
        <v>3</v>
      </c>
    </row>
    <row r="4970" spans="1:15">
      <c r="A4970">
        <v>979</v>
      </c>
      <c r="B4970" s="1">
        <v>45747</v>
      </c>
      <c r="C4970">
        <v>33</v>
      </c>
      <c r="D4970" t="s">
        <v>17</v>
      </c>
      <c r="E4970" t="s">
        <v>15</v>
      </c>
      <c r="F4970" t="s">
        <v>16</v>
      </c>
      <c r="H4970">
        <v>424.3</v>
      </c>
      <c r="I4970" s="13">
        <v>7</v>
      </c>
      <c r="J4970">
        <v>0</v>
      </c>
      <c r="K4970">
        <v>0</v>
      </c>
      <c r="L4970">
        <v>0</v>
      </c>
      <c r="M4970">
        <v>0</v>
      </c>
      <c r="O4970">
        <f t="shared" si="77"/>
        <v>3</v>
      </c>
    </row>
    <row r="4971" spans="1:15">
      <c r="A4971">
        <v>1451</v>
      </c>
      <c r="B4971" s="1">
        <v>45747</v>
      </c>
      <c r="C4971">
        <v>26</v>
      </c>
      <c r="D4971" t="s">
        <v>14</v>
      </c>
      <c r="E4971" t="s">
        <v>15</v>
      </c>
      <c r="F4971" t="s">
        <v>21</v>
      </c>
      <c r="H4971">
        <v>385.5</v>
      </c>
      <c r="I4971" s="13">
        <v>5</v>
      </c>
      <c r="J4971">
        <v>0</v>
      </c>
      <c r="K4971">
        <v>0</v>
      </c>
      <c r="L4971">
        <v>0</v>
      </c>
      <c r="M4971">
        <v>0</v>
      </c>
      <c r="O4971">
        <f t="shared" si="77"/>
        <v>3</v>
      </c>
    </row>
    <row r="4972" spans="1:15">
      <c r="A4972">
        <v>42</v>
      </c>
      <c r="B4972" s="1">
        <v>45747</v>
      </c>
      <c r="C4972">
        <v>19</v>
      </c>
      <c r="D4972" t="s">
        <v>14</v>
      </c>
      <c r="E4972" t="s">
        <v>15</v>
      </c>
      <c r="F4972" t="s">
        <v>16</v>
      </c>
      <c r="H4972">
        <v>229.6</v>
      </c>
      <c r="I4972" s="13">
        <v>3</v>
      </c>
      <c r="J4972">
        <v>0</v>
      </c>
      <c r="K4972">
        <v>0</v>
      </c>
      <c r="L4972">
        <v>0</v>
      </c>
      <c r="M4972">
        <v>0</v>
      </c>
      <c r="O4972">
        <f t="shared" si="77"/>
        <v>3</v>
      </c>
    </row>
    <row r="4973" spans="1:15">
      <c r="A4973">
        <v>2598</v>
      </c>
      <c r="B4973" s="1">
        <v>45747</v>
      </c>
      <c r="C4973">
        <v>27</v>
      </c>
      <c r="D4973" t="s">
        <v>14</v>
      </c>
      <c r="E4973" t="s">
        <v>24</v>
      </c>
      <c r="F4973" t="s">
        <v>18</v>
      </c>
      <c r="G4973" t="s">
        <v>31</v>
      </c>
      <c r="H4973">
        <v>193.6</v>
      </c>
      <c r="I4973" s="13">
        <v>7</v>
      </c>
      <c r="J4973">
        <v>0</v>
      </c>
      <c r="K4973">
        <v>0</v>
      </c>
      <c r="L4973">
        <v>0</v>
      </c>
      <c r="M4973">
        <v>0</v>
      </c>
      <c r="O4973">
        <f t="shared" si="77"/>
        <v>3</v>
      </c>
    </row>
    <row r="4974" spans="1:15">
      <c r="A4974">
        <v>4505</v>
      </c>
      <c r="B4974" s="1">
        <v>45747</v>
      </c>
      <c r="C4974">
        <v>57</v>
      </c>
      <c r="D4974" t="s">
        <v>14</v>
      </c>
      <c r="E4974" t="s">
        <v>24</v>
      </c>
      <c r="F4974" t="s">
        <v>16</v>
      </c>
      <c r="H4974">
        <v>181.1</v>
      </c>
      <c r="I4974" s="13">
        <v>8</v>
      </c>
      <c r="J4974">
        <v>0</v>
      </c>
      <c r="K4974">
        <v>0</v>
      </c>
      <c r="L4974">
        <v>0</v>
      </c>
      <c r="M4974">
        <v>0</v>
      </c>
      <c r="O4974">
        <f t="shared" si="77"/>
        <v>3</v>
      </c>
    </row>
    <row r="4975" spans="1:15">
      <c r="A4975">
        <v>1280</v>
      </c>
      <c r="B4975" s="1">
        <v>45747</v>
      </c>
      <c r="C4975">
        <v>25</v>
      </c>
      <c r="D4975" t="s">
        <v>14</v>
      </c>
      <c r="E4975" t="s">
        <v>22</v>
      </c>
      <c r="F4975" t="s">
        <v>21</v>
      </c>
      <c r="H4975">
        <v>175.6</v>
      </c>
      <c r="I4975" s="13">
        <v>8</v>
      </c>
      <c r="J4975">
        <v>0</v>
      </c>
      <c r="K4975">
        <v>0</v>
      </c>
      <c r="L4975">
        <v>0</v>
      </c>
      <c r="M4975">
        <v>0</v>
      </c>
      <c r="O4975">
        <f t="shared" si="77"/>
        <v>3</v>
      </c>
    </row>
    <row r="4976" spans="1:15">
      <c r="A4976">
        <v>2817</v>
      </c>
      <c r="B4976" s="1">
        <v>45747</v>
      </c>
      <c r="C4976">
        <v>52</v>
      </c>
      <c r="D4976" t="s">
        <v>17</v>
      </c>
      <c r="E4976" t="s">
        <v>24</v>
      </c>
      <c r="F4976" t="s">
        <v>23</v>
      </c>
      <c r="H4976">
        <v>82.5</v>
      </c>
      <c r="I4976" s="13">
        <v>8</v>
      </c>
      <c r="J4976">
        <v>0</v>
      </c>
      <c r="K4976">
        <v>0</v>
      </c>
      <c r="L4976">
        <v>0</v>
      </c>
      <c r="M4976">
        <v>0</v>
      </c>
      <c r="O4976">
        <f t="shared" si="77"/>
        <v>3</v>
      </c>
    </row>
    <row r="4977" spans="1:15">
      <c r="A4977">
        <v>1939</v>
      </c>
      <c r="B4977" s="1">
        <v>45747</v>
      </c>
      <c r="C4977">
        <v>18</v>
      </c>
      <c r="D4977" t="s">
        <v>17</v>
      </c>
      <c r="E4977" t="s">
        <v>15</v>
      </c>
      <c r="F4977" t="s">
        <v>21</v>
      </c>
      <c r="H4977">
        <v>78.8</v>
      </c>
      <c r="I4977" s="13">
        <v>5</v>
      </c>
      <c r="J4977">
        <v>0</v>
      </c>
      <c r="K4977">
        <v>0</v>
      </c>
      <c r="L4977">
        <v>0</v>
      </c>
      <c r="M4977">
        <v>0</v>
      </c>
      <c r="O4977">
        <f t="shared" si="77"/>
        <v>3</v>
      </c>
    </row>
    <row r="4978" spans="1:15">
      <c r="A4978">
        <v>1988</v>
      </c>
      <c r="B4978" s="1">
        <v>45747</v>
      </c>
      <c r="C4978">
        <v>38</v>
      </c>
      <c r="D4978" t="s">
        <v>17</v>
      </c>
      <c r="E4978" t="s">
        <v>15</v>
      </c>
      <c r="F4978" t="s">
        <v>18</v>
      </c>
      <c r="G4978" t="s">
        <v>26</v>
      </c>
      <c r="H4978">
        <v>36</v>
      </c>
      <c r="I4978" s="13">
        <v>9</v>
      </c>
      <c r="J4978">
        <v>0</v>
      </c>
      <c r="K4978">
        <v>0</v>
      </c>
      <c r="L4978">
        <v>0</v>
      </c>
      <c r="M4978">
        <v>0</v>
      </c>
      <c r="O4978">
        <f t="shared" si="77"/>
        <v>3</v>
      </c>
    </row>
    <row r="4979" spans="1:15">
      <c r="A4979">
        <v>2682</v>
      </c>
      <c r="B4979" s="1">
        <v>45808</v>
      </c>
      <c r="C4979">
        <v>35</v>
      </c>
      <c r="D4979" t="s">
        <v>17</v>
      </c>
      <c r="E4979" t="s">
        <v>20</v>
      </c>
      <c r="F4979" t="s">
        <v>21</v>
      </c>
      <c r="H4979">
        <v>971</v>
      </c>
      <c r="I4979" s="13">
        <v>6</v>
      </c>
      <c r="J4979">
        <v>1</v>
      </c>
      <c r="K4979">
        <v>306</v>
      </c>
      <c r="L4979">
        <v>2</v>
      </c>
      <c r="M4979">
        <v>7</v>
      </c>
      <c r="N4979">
        <v>5</v>
      </c>
      <c r="O4979">
        <f t="shared" si="77"/>
        <v>5</v>
      </c>
    </row>
    <row r="4980" spans="1:15">
      <c r="A4980">
        <v>932</v>
      </c>
      <c r="B4980" s="1">
        <v>45808</v>
      </c>
      <c r="C4980">
        <v>26</v>
      </c>
      <c r="D4980" t="s">
        <v>17</v>
      </c>
      <c r="E4980" t="s">
        <v>15</v>
      </c>
      <c r="F4980" t="s">
        <v>18</v>
      </c>
      <c r="G4980" t="s">
        <v>28</v>
      </c>
      <c r="H4980">
        <v>362.4</v>
      </c>
      <c r="I4980" s="13">
        <v>7</v>
      </c>
      <c r="J4980">
        <v>1</v>
      </c>
      <c r="K4980">
        <v>63</v>
      </c>
      <c r="L4980">
        <v>2</v>
      </c>
      <c r="M4980">
        <v>11</v>
      </c>
      <c r="N4980">
        <v>4</v>
      </c>
      <c r="O4980">
        <f t="shared" si="77"/>
        <v>5</v>
      </c>
    </row>
    <row r="4981" spans="1:15">
      <c r="A4981">
        <v>2176</v>
      </c>
      <c r="B4981" s="1">
        <v>45808</v>
      </c>
      <c r="C4981">
        <v>28</v>
      </c>
      <c r="D4981" t="s">
        <v>14</v>
      </c>
      <c r="E4981" t="s">
        <v>20</v>
      </c>
      <c r="F4981" t="s">
        <v>18</v>
      </c>
      <c r="G4981" t="s">
        <v>19</v>
      </c>
      <c r="H4981">
        <v>360.2</v>
      </c>
      <c r="I4981" s="13">
        <v>6</v>
      </c>
      <c r="J4981">
        <v>1</v>
      </c>
      <c r="K4981">
        <v>261.17</v>
      </c>
      <c r="L4981">
        <v>1</v>
      </c>
      <c r="M4981">
        <v>13</v>
      </c>
      <c r="N4981">
        <v>4</v>
      </c>
      <c r="O4981">
        <f t="shared" si="77"/>
        <v>5</v>
      </c>
    </row>
    <row r="4982" spans="1:15">
      <c r="A4982">
        <v>4657</v>
      </c>
      <c r="B4982" s="1">
        <v>45808</v>
      </c>
      <c r="C4982">
        <v>39</v>
      </c>
      <c r="D4982" t="s">
        <v>14</v>
      </c>
      <c r="E4982" t="s">
        <v>15</v>
      </c>
      <c r="F4982" t="s">
        <v>23</v>
      </c>
      <c r="H4982">
        <v>349.4</v>
      </c>
      <c r="I4982" s="13">
        <v>5</v>
      </c>
      <c r="J4982">
        <v>1</v>
      </c>
      <c r="K4982">
        <v>79.06</v>
      </c>
      <c r="L4982">
        <v>3</v>
      </c>
      <c r="M4982">
        <v>6</v>
      </c>
      <c r="N4982">
        <v>4</v>
      </c>
      <c r="O4982">
        <f t="shared" si="77"/>
        <v>5</v>
      </c>
    </row>
    <row r="4983" spans="1:15">
      <c r="A4983">
        <v>166</v>
      </c>
      <c r="B4983" s="1">
        <v>45808</v>
      </c>
      <c r="C4983">
        <v>32</v>
      </c>
      <c r="D4983" t="s">
        <v>14</v>
      </c>
      <c r="E4983" t="s">
        <v>22</v>
      </c>
      <c r="F4983" t="s">
        <v>16</v>
      </c>
      <c r="H4983">
        <v>955.9</v>
      </c>
      <c r="I4983" s="13">
        <v>7</v>
      </c>
      <c r="J4983">
        <v>1</v>
      </c>
      <c r="K4983">
        <v>58.44</v>
      </c>
      <c r="L4983">
        <v>1</v>
      </c>
      <c r="M4983">
        <v>4</v>
      </c>
      <c r="N4983">
        <v>5</v>
      </c>
      <c r="O4983">
        <f t="shared" si="77"/>
        <v>5</v>
      </c>
    </row>
    <row r="4984" spans="1:15">
      <c r="A4984">
        <v>2890</v>
      </c>
      <c r="B4984" s="1">
        <v>45808</v>
      </c>
      <c r="C4984">
        <v>29</v>
      </c>
      <c r="D4984" t="s">
        <v>17</v>
      </c>
      <c r="E4984" t="s">
        <v>22</v>
      </c>
      <c r="F4984" t="s">
        <v>23</v>
      </c>
      <c r="H4984">
        <v>714.3</v>
      </c>
      <c r="I4984" s="13">
        <v>8</v>
      </c>
      <c r="J4984">
        <v>1</v>
      </c>
      <c r="K4984">
        <v>51.86</v>
      </c>
      <c r="L4984">
        <v>2</v>
      </c>
      <c r="M4984">
        <v>12</v>
      </c>
      <c r="N4984">
        <v>5</v>
      </c>
      <c r="O4984">
        <f t="shared" si="77"/>
        <v>5</v>
      </c>
    </row>
    <row r="4985" spans="1:15">
      <c r="A4985">
        <v>1448</v>
      </c>
      <c r="B4985" s="1">
        <v>45808</v>
      </c>
      <c r="C4985">
        <v>18</v>
      </c>
      <c r="D4985" t="s">
        <v>14</v>
      </c>
      <c r="E4985" t="s">
        <v>24</v>
      </c>
      <c r="F4985" t="s">
        <v>16</v>
      </c>
      <c r="H4985">
        <v>279.10000000000002</v>
      </c>
      <c r="I4985" s="13">
        <v>5</v>
      </c>
      <c r="J4985">
        <v>1</v>
      </c>
      <c r="K4985">
        <v>39.950000000000003</v>
      </c>
      <c r="L4985">
        <v>6</v>
      </c>
      <c r="M4985">
        <v>6</v>
      </c>
      <c r="N4985">
        <v>3</v>
      </c>
      <c r="O4985">
        <f t="shared" si="77"/>
        <v>5</v>
      </c>
    </row>
    <row r="4986" spans="1:15">
      <c r="A4986">
        <v>1152</v>
      </c>
      <c r="B4986" s="1">
        <v>45808</v>
      </c>
      <c r="C4986">
        <v>34</v>
      </c>
      <c r="D4986" t="s">
        <v>14</v>
      </c>
      <c r="E4986" t="s">
        <v>15</v>
      </c>
      <c r="F4986" t="s">
        <v>18</v>
      </c>
      <c r="G4986" t="s">
        <v>29</v>
      </c>
      <c r="H4986">
        <v>646.5</v>
      </c>
      <c r="I4986" s="13">
        <v>3</v>
      </c>
      <c r="J4986">
        <v>1</v>
      </c>
      <c r="K4986">
        <v>16.239999999999998</v>
      </c>
      <c r="L4986">
        <v>2</v>
      </c>
      <c r="M4986">
        <v>8</v>
      </c>
      <c r="N4986">
        <v>3</v>
      </c>
      <c r="O4986">
        <f t="shared" si="77"/>
        <v>5</v>
      </c>
    </row>
    <row r="4987" spans="1:15">
      <c r="A4987">
        <v>3475</v>
      </c>
      <c r="B4987" s="1">
        <v>45808</v>
      </c>
      <c r="C4987">
        <v>41</v>
      </c>
      <c r="D4987" t="s">
        <v>14</v>
      </c>
      <c r="E4987" t="s">
        <v>22</v>
      </c>
      <c r="F4987" t="s">
        <v>23</v>
      </c>
      <c r="H4987">
        <v>610.9</v>
      </c>
      <c r="I4987" s="13">
        <v>9</v>
      </c>
      <c r="J4987">
        <v>0</v>
      </c>
      <c r="K4987">
        <v>0</v>
      </c>
      <c r="L4987">
        <v>0</v>
      </c>
      <c r="M4987">
        <v>0</v>
      </c>
      <c r="O4987">
        <f t="shared" si="77"/>
        <v>5</v>
      </c>
    </row>
    <row r="4988" spans="1:15">
      <c r="A4988">
        <v>3952</v>
      </c>
      <c r="B4988" s="1">
        <v>45808</v>
      </c>
      <c r="C4988">
        <v>40</v>
      </c>
      <c r="D4988" t="s">
        <v>17</v>
      </c>
      <c r="E4988" t="s">
        <v>24</v>
      </c>
      <c r="F4988" t="s">
        <v>18</v>
      </c>
      <c r="G4988" t="s">
        <v>30</v>
      </c>
      <c r="H4988">
        <v>524.29999999999995</v>
      </c>
      <c r="I4988" s="13">
        <v>6</v>
      </c>
      <c r="J4988">
        <v>0</v>
      </c>
      <c r="K4988">
        <v>0</v>
      </c>
      <c r="L4988">
        <v>0</v>
      </c>
      <c r="M4988">
        <v>0</v>
      </c>
      <c r="O4988">
        <f t="shared" si="77"/>
        <v>5</v>
      </c>
    </row>
    <row r="4989" spans="1:15">
      <c r="A4989">
        <v>2444</v>
      </c>
      <c r="B4989" s="1">
        <v>45808</v>
      </c>
      <c r="C4989">
        <v>45</v>
      </c>
      <c r="D4989" t="s">
        <v>17</v>
      </c>
      <c r="E4989" t="s">
        <v>22</v>
      </c>
      <c r="F4989" t="s">
        <v>18</v>
      </c>
      <c r="G4989" t="s">
        <v>30</v>
      </c>
      <c r="H4989">
        <v>489.8</v>
      </c>
      <c r="I4989" s="13">
        <v>8</v>
      </c>
      <c r="J4989">
        <v>0</v>
      </c>
      <c r="K4989">
        <v>0</v>
      </c>
      <c r="L4989">
        <v>0</v>
      </c>
      <c r="M4989">
        <v>0</v>
      </c>
      <c r="O4989">
        <f t="shared" si="77"/>
        <v>5</v>
      </c>
    </row>
    <row r="4990" spans="1:15">
      <c r="A4990">
        <v>3722</v>
      </c>
      <c r="B4990" s="1">
        <v>45808</v>
      </c>
      <c r="C4990">
        <v>40</v>
      </c>
      <c r="D4990" t="s">
        <v>17</v>
      </c>
      <c r="E4990" t="s">
        <v>15</v>
      </c>
      <c r="F4990" t="s">
        <v>16</v>
      </c>
      <c r="H4990">
        <v>479.4</v>
      </c>
      <c r="I4990" s="13">
        <v>6</v>
      </c>
      <c r="J4990">
        <v>0</v>
      </c>
      <c r="K4990">
        <v>0</v>
      </c>
      <c r="L4990">
        <v>0</v>
      </c>
      <c r="M4990">
        <v>0</v>
      </c>
      <c r="O4990">
        <f t="shared" si="77"/>
        <v>5</v>
      </c>
    </row>
    <row r="4991" spans="1:15">
      <c r="A4991">
        <v>3206</v>
      </c>
      <c r="B4991" s="1">
        <v>45808</v>
      </c>
      <c r="C4991">
        <v>18</v>
      </c>
      <c r="D4991" t="s">
        <v>14</v>
      </c>
      <c r="E4991" t="s">
        <v>15</v>
      </c>
      <c r="F4991" t="s">
        <v>16</v>
      </c>
      <c r="H4991">
        <v>478.6</v>
      </c>
      <c r="I4991" s="13">
        <v>5</v>
      </c>
      <c r="J4991">
        <v>0</v>
      </c>
      <c r="K4991">
        <v>0</v>
      </c>
      <c r="L4991">
        <v>0</v>
      </c>
      <c r="M4991">
        <v>0</v>
      </c>
      <c r="O4991">
        <f t="shared" si="77"/>
        <v>5</v>
      </c>
    </row>
    <row r="4992" spans="1:15">
      <c r="A4992">
        <v>3275</v>
      </c>
      <c r="B4992" s="1">
        <v>45808</v>
      </c>
      <c r="C4992">
        <v>30</v>
      </c>
      <c r="D4992" t="s">
        <v>17</v>
      </c>
      <c r="E4992" t="s">
        <v>24</v>
      </c>
      <c r="F4992" t="s">
        <v>18</v>
      </c>
      <c r="G4992" t="s">
        <v>26</v>
      </c>
      <c r="H4992">
        <v>365.8</v>
      </c>
      <c r="I4992" s="13">
        <v>5</v>
      </c>
      <c r="J4992">
        <v>0</v>
      </c>
      <c r="K4992">
        <v>0</v>
      </c>
      <c r="L4992">
        <v>0</v>
      </c>
      <c r="M4992">
        <v>0</v>
      </c>
      <c r="O4992">
        <f t="shared" si="77"/>
        <v>5</v>
      </c>
    </row>
    <row r="4993" spans="1:15">
      <c r="A4993">
        <v>3425</v>
      </c>
      <c r="B4993" s="1">
        <v>45808</v>
      </c>
      <c r="C4993">
        <v>49</v>
      </c>
      <c r="D4993" t="s">
        <v>14</v>
      </c>
      <c r="E4993" t="s">
        <v>24</v>
      </c>
      <c r="F4993" t="s">
        <v>16</v>
      </c>
      <c r="H4993">
        <v>334.8</v>
      </c>
      <c r="I4993" s="13">
        <v>7</v>
      </c>
      <c r="J4993">
        <v>0</v>
      </c>
      <c r="K4993">
        <v>0</v>
      </c>
      <c r="L4993">
        <v>0</v>
      </c>
      <c r="M4993">
        <v>0</v>
      </c>
      <c r="O4993">
        <f t="shared" si="77"/>
        <v>5</v>
      </c>
    </row>
    <row r="4994" spans="1:15">
      <c r="A4994">
        <v>3469</v>
      </c>
      <c r="B4994" s="1">
        <v>45808</v>
      </c>
      <c r="C4994">
        <v>43</v>
      </c>
      <c r="D4994" t="s">
        <v>14</v>
      </c>
      <c r="E4994" t="s">
        <v>20</v>
      </c>
      <c r="F4994" t="s">
        <v>16</v>
      </c>
      <c r="H4994">
        <v>270.89999999999998</v>
      </c>
      <c r="I4994" s="13">
        <v>7</v>
      </c>
      <c r="J4994">
        <v>0</v>
      </c>
      <c r="K4994">
        <v>0</v>
      </c>
      <c r="L4994">
        <v>0</v>
      </c>
      <c r="M4994">
        <v>0</v>
      </c>
      <c r="O4994">
        <f t="shared" si="77"/>
        <v>5</v>
      </c>
    </row>
    <row r="4995" spans="1:15">
      <c r="A4995">
        <v>315</v>
      </c>
      <c r="B4995" s="1">
        <v>45808</v>
      </c>
      <c r="C4995">
        <v>21</v>
      </c>
      <c r="D4995" t="s">
        <v>17</v>
      </c>
      <c r="E4995" t="s">
        <v>24</v>
      </c>
      <c r="F4995" t="s">
        <v>16</v>
      </c>
      <c r="H4995">
        <v>261.89999999999998</v>
      </c>
      <c r="I4995" s="13">
        <v>8</v>
      </c>
      <c r="J4995">
        <v>0</v>
      </c>
      <c r="K4995">
        <v>0</v>
      </c>
      <c r="L4995">
        <v>0</v>
      </c>
      <c r="M4995">
        <v>0</v>
      </c>
      <c r="O4995">
        <f t="shared" ref="O4995:O5001" si="78">MONTH(B4995)</f>
        <v>5</v>
      </c>
    </row>
    <row r="4996" spans="1:15">
      <c r="A4996">
        <v>3130</v>
      </c>
      <c r="B4996" s="1">
        <v>45808</v>
      </c>
      <c r="C4996">
        <v>28</v>
      </c>
      <c r="D4996" t="s">
        <v>14</v>
      </c>
      <c r="E4996" t="s">
        <v>22</v>
      </c>
      <c r="F4996" t="s">
        <v>16</v>
      </c>
      <c r="H4996">
        <v>179.1</v>
      </c>
      <c r="I4996" s="13">
        <v>8</v>
      </c>
      <c r="J4996">
        <v>0</v>
      </c>
      <c r="K4996">
        <v>0</v>
      </c>
      <c r="L4996">
        <v>0</v>
      </c>
      <c r="M4996">
        <v>0</v>
      </c>
      <c r="O4996">
        <f t="shared" si="78"/>
        <v>5</v>
      </c>
    </row>
    <row r="4997" spans="1:15">
      <c r="A4997">
        <v>4668</v>
      </c>
      <c r="B4997" s="1">
        <v>45808</v>
      </c>
      <c r="C4997">
        <v>42</v>
      </c>
      <c r="D4997" t="s">
        <v>17</v>
      </c>
      <c r="E4997" t="s">
        <v>15</v>
      </c>
      <c r="F4997" t="s">
        <v>16</v>
      </c>
      <c r="H4997">
        <v>166</v>
      </c>
      <c r="I4997" s="13">
        <v>7</v>
      </c>
      <c r="J4997">
        <v>0</v>
      </c>
      <c r="K4997">
        <v>0</v>
      </c>
      <c r="L4997">
        <v>0</v>
      </c>
      <c r="M4997">
        <v>0</v>
      </c>
      <c r="O4997">
        <f t="shared" si="78"/>
        <v>5</v>
      </c>
    </row>
    <row r="4998" spans="1:15">
      <c r="A4998">
        <v>2536</v>
      </c>
      <c r="B4998" s="1">
        <v>45808</v>
      </c>
      <c r="C4998">
        <v>28</v>
      </c>
      <c r="D4998" t="s">
        <v>17</v>
      </c>
      <c r="E4998" t="s">
        <v>24</v>
      </c>
      <c r="F4998" t="s">
        <v>21</v>
      </c>
      <c r="H4998">
        <v>143</v>
      </c>
      <c r="I4998" s="13">
        <v>4</v>
      </c>
      <c r="J4998">
        <v>0</v>
      </c>
      <c r="K4998">
        <v>0</v>
      </c>
      <c r="L4998">
        <v>0</v>
      </c>
      <c r="M4998">
        <v>0</v>
      </c>
      <c r="O4998">
        <f t="shared" si="78"/>
        <v>5</v>
      </c>
    </row>
    <row r="4999" spans="1:15">
      <c r="A4999">
        <v>3582</v>
      </c>
      <c r="B4999" s="1">
        <v>45808</v>
      </c>
      <c r="C4999">
        <v>39</v>
      </c>
      <c r="D4999" t="s">
        <v>14</v>
      </c>
      <c r="E4999" t="s">
        <v>20</v>
      </c>
      <c r="F4999" t="s">
        <v>16</v>
      </c>
      <c r="H4999">
        <v>87.9</v>
      </c>
      <c r="I4999" s="13">
        <v>7</v>
      </c>
      <c r="J4999">
        <v>0</v>
      </c>
      <c r="K4999">
        <v>0</v>
      </c>
      <c r="L4999">
        <v>0</v>
      </c>
      <c r="M4999">
        <v>0</v>
      </c>
      <c r="O4999">
        <f t="shared" si="78"/>
        <v>5</v>
      </c>
    </row>
    <row r="5000" spans="1:15">
      <c r="A5000">
        <v>3860</v>
      </c>
      <c r="B5000" s="1">
        <v>45808</v>
      </c>
      <c r="C5000">
        <v>43</v>
      </c>
      <c r="D5000" t="s">
        <v>14</v>
      </c>
      <c r="E5000" t="s">
        <v>22</v>
      </c>
      <c r="F5000" t="s">
        <v>18</v>
      </c>
      <c r="G5000" t="s">
        <v>29</v>
      </c>
      <c r="H5000">
        <v>67.2</v>
      </c>
      <c r="I5000" s="13">
        <v>2</v>
      </c>
      <c r="J5000">
        <v>0</v>
      </c>
      <c r="K5000">
        <v>0</v>
      </c>
      <c r="L5000">
        <v>0</v>
      </c>
      <c r="M5000">
        <v>0</v>
      </c>
      <c r="O5000">
        <f t="shared" si="78"/>
        <v>5</v>
      </c>
    </row>
    <row r="5001" spans="1:15">
      <c r="A5001">
        <v>525</v>
      </c>
      <c r="B5001" s="1">
        <v>45808</v>
      </c>
      <c r="C5001">
        <v>29</v>
      </c>
      <c r="D5001" t="s">
        <v>17</v>
      </c>
      <c r="E5001" t="s">
        <v>24</v>
      </c>
      <c r="F5001" t="s">
        <v>16</v>
      </c>
      <c r="H5001">
        <v>35.700000000000003</v>
      </c>
      <c r="I5001" s="13">
        <v>6</v>
      </c>
      <c r="J5001">
        <v>0</v>
      </c>
      <c r="K5001">
        <v>0</v>
      </c>
      <c r="L5001">
        <v>0</v>
      </c>
      <c r="M5001">
        <v>0</v>
      </c>
      <c r="O5001">
        <f t="shared" si="78"/>
        <v>5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617"/>
  <sheetViews>
    <sheetView zoomScale="70" zoomScaleNormal="70" workbookViewId="0">
      <selection activeCell="B10" sqref="B10"/>
    </sheetView>
  </sheetViews>
  <sheetFormatPr defaultRowHeight="14.4"/>
  <cols>
    <col min="1" max="1" width="17.109375" customWidth="1"/>
    <col min="2" max="2" width="35.5546875" customWidth="1"/>
    <col min="3" max="3" width="17.44140625" customWidth="1"/>
    <col min="5" max="5" width="15.88671875" customWidth="1"/>
    <col min="6" max="6" width="8.77734375" customWidth="1"/>
    <col min="11" max="11" width="16.6640625" customWidth="1"/>
    <col min="12" max="12" width="15.33203125" customWidth="1"/>
    <col min="20" max="20" width="16.6640625" customWidth="1"/>
    <col min="21" max="21" width="15.33203125" customWidth="1"/>
  </cols>
  <sheetData>
    <row r="1" spans="1:37">
      <c r="A1" s="5" t="s">
        <v>53</v>
      </c>
      <c r="B1" s="5" t="s">
        <v>54</v>
      </c>
      <c r="C1" s="5" t="s">
        <v>55</v>
      </c>
      <c r="T1" t="s">
        <v>7</v>
      </c>
      <c r="U1" s="17"/>
      <c r="AH1" t="s">
        <v>10</v>
      </c>
    </row>
    <row r="2" spans="1:37">
      <c r="A2" s="6" t="s">
        <v>0</v>
      </c>
      <c r="B2" s="6" t="s">
        <v>32</v>
      </c>
      <c r="C2" s="6" t="s">
        <v>33</v>
      </c>
      <c r="K2" t="s">
        <v>8</v>
      </c>
      <c r="L2" s="17"/>
      <c r="T2" t="str">
        <f>VLOOKUP(T1,$A$1:$B$15,2,0)</f>
        <v>сколько секунд клиент провёл на сайте.</v>
      </c>
      <c r="U2" s="17"/>
      <c r="V2" t="s">
        <v>72</v>
      </c>
      <c r="AH2" t="str">
        <f>VLOOKUP(AH1,$A$1:$B$15,2,0)</f>
        <v>сумма покупки</v>
      </c>
      <c r="AJ2" t="s">
        <v>71</v>
      </c>
    </row>
    <row r="3" spans="1:37">
      <c r="A3" s="6" t="s">
        <v>34</v>
      </c>
      <c r="B3" s="6" t="s">
        <v>35</v>
      </c>
      <c r="C3" s="6" t="s">
        <v>36</v>
      </c>
      <c r="E3" s="2" t="s">
        <v>52</v>
      </c>
      <c r="F3" t="s">
        <v>68</v>
      </c>
      <c r="K3" t="str">
        <f>VLOOKUP(K2,$A$1:$B$15,2,0)</f>
        <v>число просмотренных страниц за визит.</v>
      </c>
      <c r="L3" s="17"/>
      <c r="T3" s="9">
        <v>1</v>
      </c>
      <c r="U3" s="4">
        <v>1</v>
      </c>
      <c r="V3">
        <v>0</v>
      </c>
      <c r="W3">
        <f>SUMIFS(U:U,T:T,"&gt;="&amp;V3,T:T,"&lt;"&amp;V4)</f>
        <v>174</v>
      </c>
      <c r="AH3" s="9">
        <v>0</v>
      </c>
      <c r="AI3" s="4">
        <v>3180</v>
      </c>
      <c r="AJ3">
        <v>0</v>
      </c>
      <c r="AK3">
        <f>SUMIFS(AI:AI,AH:AH,"&gt;="&amp;AJ3,AH:AH,"&lt;"&amp;AJ4)</f>
        <v>3363</v>
      </c>
    </row>
    <row r="4" spans="1:37">
      <c r="A4" s="6" t="s">
        <v>2</v>
      </c>
      <c r="B4" s="6" t="s">
        <v>69</v>
      </c>
      <c r="C4" s="6" t="s">
        <v>33</v>
      </c>
      <c r="E4" s="9">
        <v>2</v>
      </c>
      <c r="F4" s="4">
        <v>5</v>
      </c>
      <c r="K4" s="9">
        <v>1</v>
      </c>
      <c r="L4" s="4">
        <v>45</v>
      </c>
      <c r="T4" s="9">
        <v>4</v>
      </c>
      <c r="U4" s="4">
        <v>1</v>
      </c>
      <c r="V4">
        <v>60</v>
      </c>
      <c r="W4">
        <f t="shared" ref="W4:W43" si="0">SUMIFS(U:U,T:T,"&gt;="&amp;V4,T:T,"&lt;"&amp;V5)</f>
        <v>539</v>
      </c>
      <c r="AH4" s="9">
        <v>1.07</v>
      </c>
      <c r="AI4" s="4">
        <v>1</v>
      </c>
      <c r="AJ4">
        <v>20</v>
      </c>
      <c r="AK4">
        <f t="shared" ref="AK4:AK67" si="1">SUMIFS(AI:AI,AH:AH,"&gt;="&amp;AJ4,AH:AH,"&lt;"&amp;AJ5)</f>
        <v>465</v>
      </c>
    </row>
    <row r="5" spans="1:37">
      <c r="A5" s="6" t="s">
        <v>3</v>
      </c>
      <c r="B5" s="6" t="s">
        <v>38</v>
      </c>
      <c r="C5" s="6" t="s">
        <v>39</v>
      </c>
      <c r="E5" s="9">
        <v>3</v>
      </c>
      <c r="F5" s="4">
        <v>284</v>
      </c>
      <c r="K5" s="9">
        <v>2</v>
      </c>
      <c r="L5" s="4">
        <v>332</v>
      </c>
      <c r="T5" s="9">
        <v>9</v>
      </c>
      <c r="U5" s="4">
        <v>2</v>
      </c>
      <c r="V5">
        <v>120</v>
      </c>
      <c r="W5">
        <f t="shared" si="0"/>
        <v>620</v>
      </c>
      <c r="AH5" s="9">
        <v>1.1100000000000001</v>
      </c>
      <c r="AI5" s="4">
        <v>1</v>
      </c>
      <c r="AJ5">
        <v>40</v>
      </c>
      <c r="AK5">
        <f t="shared" si="1"/>
        <v>375</v>
      </c>
    </row>
    <row r="6" spans="1:37">
      <c r="A6" s="6" t="s">
        <v>4</v>
      </c>
      <c r="B6" s="6" t="s">
        <v>40</v>
      </c>
      <c r="C6" s="6" t="s">
        <v>39</v>
      </c>
      <c r="E6" s="9">
        <v>4</v>
      </c>
      <c r="F6" s="4">
        <v>1064</v>
      </c>
      <c r="K6" s="9">
        <v>3</v>
      </c>
      <c r="L6" s="4">
        <v>1338</v>
      </c>
      <c r="T6" s="9">
        <v>10</v>
      </c>
      <c r="U6" s="4">
        <v>2</v>
      </c>
      <c r="V6">
        <v>180</v>
      </c>
      <c r="W6">
        <f t="shared" si="0"/>
        <v>579</v>
      </c>
      <c r="AH6" s="9">
        <v>7</v>
      </c>
      <c r="AI6" s="4">
        <v>1</v>
      </c>
      <c r="AJ6">
        <v>60</v>
      </c>
      <c r="AK6">
        <f t="shared" si="1"/>
        <v>218</v>
      </c>
    </row>
    <row r="7" spans="1:37">
      <c r="A7" s="6" t="s">
        <v>5</v>
      </c>
      <c r="B7" s="6" t="s">
        <v>41</v>
      </c>
      <c r="C7" s="6" t="s">
        <v>39</v>
      </c>
      <c r="E7" s="9">
        <v>5</v>
      </c>
      <c r="F7" s="4">
        <v>467</v>
      </c>
      <c r="K7" s="9">
        <v>4</v>
      </c>
      <c r="L7" s="4">
        <v>2668</v>
      </c>
      <c r="T7" s="9">
        <v>12</v>
      </c>
      <c r="U7" s="4">
        <v>1</v>
      </c>
      <c r="V7">
        <v>240</v>
      </c>
      <c r="W7">
        <f t="shared" si="0"/>
        <v>533</v>
      </c>
      <c r="AH7" s="9">
        <v>7.02</v>
      </c>
      <c r="AI7" s="4">
        <v>1</v>
      </c>
      <c r="AJ7">
        <v>80</v>
      </c>
      <c r="AK7">
        <f t="shared" si="1"/>
        <v>112</v>
      </c>
    </row>
    <row r="8" spans="1:37">
      <c r="A8" s="6" t="s">
        <v>6</v>
      </c>
      <c r="B8" s="6" t="s">
        <v>42</v>
      </c>
      <c r="C8" s="6" t="s">
        <v>39</v>
      </c>
      <c r="E8" s="9" t="s">
        <v>67</v>
      </c>
      <c r="F8" s="4"/>
      <c r="K8" s="9">
        <v>5</v>
      </c>
      <c r="L8" s="4">
        <v>4290</v>
      </c>
      <c r="T8" s="9">
        <v>13</v>
      </c>
      <c r="U8" s="4">
        <v>2</v>
      </c>
      <c r="V8">
        <v>300</v>
      </c>
      <c r="W8">
        <f t="shared" si="0"/>
        <v>537</v>
      </c>
      <c r="AH8" s="9">
        <v>12</v>
      </c>
      <c r="AI8" s="4">
        <v>1</v>
      </c>
      <c r="AJ8">
        <v>100</v>
      </c>
      <c r="AK8">
        <f t="shared" si="1"/>
        <v>96</v>
      </c>
    </row>
    <row r="9" spans="1:37">
      <c r="A9" s="6" t="s">
        <v>7</v>
      </c>
      <c r="B9" s="6" t="s">
        <v>43</v>
      </c>
      <c r="C9" s="6" t="s">
        <v>44</v>
      </c>
      <c r="K9" s="9">
        <v>6</v>
      </c>
      <c r="L9" s="4">
        <v>5406</v>
      </c>
      <c r="T9" s="9">
        <v>13.2</v>
      </c>
      <c r="U9" s="4">
        <v>1</v>
      </c>
      <c r="V9">
        <v>360</v>
      </c>
      <c r="W9">
        <f t="shared" si="0"/>
        <v>375</v>
      </c>
      <c r="AH9" s="9">
        <v>13</v>
      </c>
      <c r="AI9" s="4">
        <v>2</v>
      </c>
      <c r="AJ9">
        <v>120</v>
      </c>
      <c r="AK9">
        <f t="shared" si="1"/>
        <v>49</v>
      </c>
    </row>
    <row r="10" spans="1:37">
      <c r="A10" s="6" t="s">
        <v>8</v>
      </c>
      <c r="B10" s="6" t="s">
        <v>45</v>
      </c>
      <c r="C10" s="6" t="s">
        <v>33</v>
      </c>
      <c r="K10" s="9">
        <v>7</v>
      </c>
      <c r="L10" s="4">
        <v>5152</v>
      </c>
      <c r="T10" s="9">
        <v>14</v>
      </c>
      <c r="U10" s="4">
        <v>2</v>
      </c>
      <c r="V10">
        <v>420</v>
      </c>
      <c r="W10">
        <f t="shared" si="0"/>
        <v>358</v>
      </c>
      <c r="AH10" s="9">
        <v>13.17</v>
      </c>
      <c r="AI10" s="4">
        <v>1</v>
      </c>
      <c r="AJ10">
        <v>140</v>
      </c>
      <c r="AK10">
        <f t="shared" si="1"/>
        <v>53</v>
      </c>
    </row>
    <row r="11" spans="1:37">
      <c r="A11" s="6" t="s">
        <v>9</v>
      </c>
      <c r="B11" s="6" t="s">
        <v>46</v>
      </c>
      <c r="C11" s="6" t="s">
        <v>47</v>
      </c>
      <c r="K11" s="9">
        <v>8</v>
      </c>
      <c r="L11" s="4">
        <v>4304</v>
      </c>
      <c r="T11" s="9">
        <v>15</v>
      </c>
      <c r="U11" s="4">
        <v>1</v>
      </c>
      <c r="V11">
        <v>480</v>
      </c>
      <c r="W11">
        <f t="shared" si="0"/>
        <v>298</v>
      </c>
      <c r="AH11" s="9">
        <v>13.18</v>
      </c>
      <c r="AI11" s="4">
        <v>1</v>
      </c>
      <c r="AJ11">
        <v>160</v>
      </c>
      <c r="AK11">
        <f t="shared" si="1"/>
        <v>38</v>
      </c>
    </row>
    <row r="12" spans="1:37">
      <c r="A12" s="6" t="s">
        <v>10</v>
      </c>
      <c r="B12" s="6" t="s">
        <v>48</v>
      </c>
      <c r="C12" s="6" t="s">
        <v>44</v>
      </c>
      <c r="K12" s="9">
        <v>9</v>
      </c>
      <c r="L12" s="4">
        <v>2709</v>
      </c>
      <c r="T12" s="9">
        <v>16</v>
      </c>
      <c r="U12" s="4">
        <v>1</v>
      </c>
      <c r="V12">
        <v>540</v>
      </c>
      <c r="W12">
        <f t="shared" si="0"/>
        <v>217</v>
      </c>
      <c r="AH12" s="9">
        <v>13.19</v>
      </c>
      <c r="AI12" s="4">
        <v>1</v>
      </c>
      <c r="AJ12">
        <v>180</v>
      </c>
      <c r="AK12">
        <f t="shared" si="1"/>
        <v>27</v>
      </c>
    </row>
    <row r="13" spans="1:37">
      <c r="A13" s="6" t="s">
        <v>11</v>
      </c>
      <c r="B13" s="6" t="s">
        <v>49</v>
      </c>
      <c r="C13" s="6" t="s">
        <v>33</v>
      </c>
      <c r="K13" s="9">
        <v>10</v>
      </c>
      <c r="L13" s="4">
        <v>1910</v>
      </c>
      <c r="T13" s="9">
        <v>18</v>
      </c>
      <c r="U13" s="4">
        <v>1</v>
      </c>
      <c r="V13">
        <v>600</v>
      </c>
      <c r="W13">
        <f t="shared" si="0"/>
        <v>183</v>
      </c>
      <c r="AH13" s="9">
        <v>13.26</v>
      </c>
      <c r="AI13" s="4">
        <v>1</v>
      </c>
      <c r="AJ13">
        <v>200</v>
      </c>
      <c r="AK13">
        <f t="shared" si="1"/>
        <v>19</v>
      </c>
    </row>
    <row r="14" spans="1:37">
      <c r="A14" s="6" t="s">
        <v>12</v>
      </c>
      <c r="B14" s="6" t="s">
        <v>50</v>
      </c>
      <c r="C14" s="6" t="s">
        <v>33</v>
      </c>
      <c r="K14" s="9">
        <v>11</v>
      </c>
      <c r="L14" s="4">
        <v>781</v>
      </c>
      <c r="T14" s="9">
        <v>20</v>
      </c>
      <c r="U14" s="4">
        <v>1</v>
      </c>
      <c r="V14">
        <v>660</v>
      </c>
      <c r="W14">
        <f t="shared" si="0"/>
        <v>123</v>
      </c>
      <c r="AH14" s="9">
        <v>13.27</v>
      </c>
      <c r="AI14" s="4">
        <v>1</v>
      </c>
      <c r="AJ14">
        <v>220</v>
      </c>
      <c r="AK14">
        <f t="shared" si="1"/>
        <v>15</v>
      </c>
    </row>
    <row r="15" spans="1:37">
      <c r="A15" s="6" t="s">
        <v>13</v>
      </c>
      <c r="B15" s="6" t="s">
        <v>51</v>
      </c>
      <c r="C15" s="6" t="s">
        <v>33</v>
      </c>
      <c r="K15" s="9">
        <v>12</v>
      </c>
      <c r="L15" s="4">
        <v>636</v>
      </c>
      <c r="T15" s="9">
        <v>22</v>
      </c>
      <c r="U15" s="4">
        <v>1</v>
      </c>
      <c r="V15">
        <v>720</v>
      </c>
      <c r="W15">
        <f t="shared" si="0"/>
        <v>101</v>
      </c>
      <c r="AH15" s="9">
        <v>13.34</v>
      </c>
      <c r="AI15" s="4">
        <v>1</v>
      </c>
      <c r="AJ15">
        <v>240</v>
      </c>
      <c r="AK15">
        <f t="shared" si="1"/>
        <v>11</v>
      </c>
    </row>
    <row r="16" spans="1:37">
      <c r="K16" s="9">
        <v>13</v>
      </c>
      <c r="L16" s="4">
        <v>221</v>
      </c>
      <c r="T16" s="9">
        <v>23.7</v>
      </c>
      <c r="U16" s="4">
        <v>1</v>
      </c>
      <c r="V16">
        <v>780</v>
      </c>
      <c r="W16">
        <f t="shared" si="0"/>
        <v>78</v>
      </c>
      <c r="AH16" s="9">
        <v>13.35</v>
      </c>
      <c r="AI16" s="4">
        <v>1</v>
      </c>
      <c r="AJ16">
        <v>260</v>
      </c>
      <c r="AK16">
        <f t="shared" si="1"/>
        <v>13</v>
      </c>
    </row>
    <row r="17" spans="11:37">
      <c r="K17" s="9">
        <v>14</v>
      </c>
      <c r="L17" s="4">
        <v>56</v>
      </c>
      <c r="T17" s="9">
        <v>24.3</v>
      </c>
      <c r="U17" s="4">
        <v>1</v>
      </c>
      <c r="V17">
        <v>840</v>
      </c>
      <c r="W17">
        <f t="shared" si="0"/>
        <v>74</v>
      </c>
      <c r="AH17" s="9">
        <v>13.38</v>
      </c>
      <c r="AI17" s="4">
        <v>1</v>
      </c>
      <c r="AJ17">
        <v>280</v>
      </c>
      <c r="AK17">
        <f t="shared" si="1"/>
        <v>9</v>
      </c>
    </row>
    <row r="18" spans="11:37">
      <c r="K18" s="9">
        <v>15</v>
      </c>
      <c r="L18" s="4">
        <v>60</v>
      </c>
      <c r="T18" s="9">
        <v>27</v>
      </c>
      <c r="U18" s="4">
        <v>1</v>
      </c>
      <c r="V18">
        <v>900</v>
      </c>
      <c r="W18">
        <f t="shared" si="0"/>
        <v>58</v>
      </c>
      <c r="AH18" s="9">
        <v>13.41</v>
      </c>
      <c r="AI18" s="4">
        <v>1</v>
      </c>
      <c r="AJ18">
        <v>300</v>
      </c>
      <c r="AK18">
        <f t="shared" si="1"/>
        <v>14</v>
      </c>
    </row>
    <row r="19" spans="11:37">
      <c r="K19" s="9">
        <v>16</v>
      </c>
      <c r="L19" s="4">
        <v>16</v>
      </c>
      <c r="T19" s="9">
        <v>28</v>
      </c>
      <c r="U19" s="4">
        <v>3</v>
      </c>
      <c r="V19">
        <v>960</v>
      </c>
      <c r="W19">
        <f t="shared" si="0"/>
        <v>43</v>
      </c>
      <c r="AH19" s="9">
        <v>13.47</v>
      </c>
      <c r="AI19" s="4">
        <v>1</v>
      </c>
      <c r="AJ19">
        <v>320</v>
      </c>
      <c r="AK19">
        <f t="shared" si="1"/>
        <v>11</v>
      </c>
    </row>
    <row r="20" spans="11:37">
      <c r="K20" s="9">
        <v>18</v>
      </c>
      <c r="L20" s="4">
        <v>18</v>
      </c>
      <c r="T20" s="9">
        <v>29</v>
      </c>
      <c r="U20" s="4">
        <v>1</v>
      </c>
      <c r="V20">
        <v>1020</v>
      </c>
      <c r="W20">
        <f t="shared" si="0"/>
        <v>20</v>
      </c>
      <c r="AH20" s="9">
        <v>13.49</v>
      </c>
      <c r="AI20" s="4">
        <v>2</v>
      </c>
      <c r="AJ20">
        <v>340</v>
      </c>
      <c r="AK20">
        <f t="shared" si="1"/>
        <v>12</v>
      </c>
    </row>
    <row r="21" spans="11:37">
      <c r="T21" s="9">
        <v>29.2</v>
      </c>
      <c r="U21" s="4">
        <v>1</v>
      </c>
      <c r="V21">
        <v>1080</v>
      </c>
      <c r="W21">
        <f t="shared" si="0"/>
        <v>19</v>
      </c>
      <c r="AH21" s="9">
        <v>13.5</v>
      </c>
      <c r="AI21" s="4">
        <v>1</v>
      </c>
      <c r="AJ21">
        <v>360</v>
      </c>
      <c r="AK21">
        <f t="shared" si="1"/>
        <v>9</v>
      </c>
    </row>
    <row r="22" spans="11:37">
      <c r="T22" s="9">
        <v>31</v>
      </c>
      <c r="U22" s="4">
        <v>1</v>
      </c>
      <c r="V22">
        <v>1140</v>
      </c>
      <c r="W22">
        <f t="shared" si="0"/>
        <v>17</v>
      </c>
      <c r="AH22" s="9">
        <v>13.51</v>
      </c>
      <c r="AI22" s="4">
        <v>1</v>
      </c>
      <c r="AJ22">
        <v>380</v>
      </c>
      <c r="AK22">
        <f t="shared" si="1"/>
        <v>9</v>
      </c>
    </row>
    <row r="23" spans="11:37">
      <c r="T23" s="9">
        <v>31.2</v>
      </c>
      <c r="U23" s="4">
        <v>1</v>
      </c>
      <c r="V23">
        <v>1200</v>
      </c>
      <c r="W23">
        <f t="shared" si="0"/>
        <v>10</v>
      </c>
      <c r="AH23" s="9">
        <v>13.52</v>
      </c>
      <c r="AI23" s="4">
        <v>1</v>
      </c>
      <c r="AJ23">
        <v>400</v>
      </c>
      <c r="AK23">
        <f t="shared" si="1"/>
        <v>8</v>
      </c>
    </row>
    <row r="24" spans="11:37">
      <c r="K24" s="9" t="s">
        <v>12</v>
      </c>
      <c r="L24" s="18"/>
      <c r="T24" s="9">
        <v>32</v>
      </c>
      <c r="U24" s="4">
        <v>1</v>
      </c>
      <c r="V24">
        <v>1260</v>
      </c>
      <c r="W24">
        <f t="shared" si="0"/>
        <v>13</v>
      </c>
      <c r="AH24" s="9">
        <v>13.56</v>
      </c>
      <c r="AI24" s="4">
        <v>2</v>
      </c>
      <c r="AJ24">
        <v>420</v>
      </c>
      <c r="AK24">
        <f t="shared" si="1"/>
        <v>18</v>
      </c>
    </row>
    <row r="25" spans="11:37">
      <c r="K25" t="str">
        <f>VLOOKUP(K24,$A$1:$B$15,2,0)</f>
        <v>время доставки заказа (дни).</v>
      </c>
      <c r="L25" s="18"/>
      <c r="T25" s="9">
        <v>32.700000000000003</v>
      </c>
      <c r="U25" s="4">
        <v>1</v>
      </c>
      <c r="V25">
        <v>1320</v>
      </c>
      <c r="W25">
        <f t="shared" si="0"/>
        <v>12</v>
      </c>
      <c r="AH25" s="9">
        <v>13.68</v>
      </c>
      <c r="AI25" s="4">
        <v>1</v>
      </c>
      <c r="AJ25">
        <v>440</v>
      </c>
      <c r="AK25">
        <f t="shared" si="1"/>
        <v>10</v>
      </c>
    </row>
    <row r="26" spans="11:37">
      <c r="K26" s="9">
        <v>0</v>
      </c>
      <c r="L26" s="4">
        <v>3180</v>
      </c>
      <c r="T26" s="9">
        <v>32.799999999999997</v>
      </c>
      <c r="U26" s="4">
        <v>1</v>
      </c>
      <c r="V26">
        <v>1380</v>
      </c>
      <c r="W26">
        <f t="shared" si="0"/>
        <v>4</v>
      </c>
      <c r="AH26" s="9">
        <v>13.77</v>
      </c>
      <c r="AI26" s="4">
        <v>1</v>
      </c>
      <c r="AJ26">
        <v>460</v>
      </c>
      <c r="AK26">
        <f t="shared" si="1"/>
        <v>3</v>
      </c>
    </row>
    <row r="27" spans="11:37">
      <c r="K27" s="9">
        <v>1</v>
      </c>
      <c r="L27" s="4">
        <v>105</v>
      </c>
      <c r="T27" s="9">
        <v>32.9</v>
      </c>
      <c r="U27" s="4">
        <v>2</v>
      </c>
      <c r="V27">
        <v>1440</v>
      </c>
      <c r="W27">
        <f t="shared" si="0"/>
        <v>2</v>
      </c>
      <c r="AH27" s="9">
        <v>13.81</v>
      </c>
      <c r="AI27" s="4">
        <v>1</v>
      </c>
      <c r="AJ27">
        <v>480</v>
      </c>
      <c r="AK27">
        <f t="shared" si="1"/>
        <v>9</v>
      </c>
    </row>
    <row r="28" spans="11:37">
      <c r="K28" s="9">
        <v>2</v>
      </c>
      <c r="L28" s="4">
        <v>133</v>
      </c>
      <c r="T28" s="9">
        <v>33.200000000000003</v>
      </c>
      <c r="U28" s="4">
        <v>1</v>
      </c>
      <c r="V28">
        <v>1500</v>
      </c>
      <c r="W28">
        <f t="shared" si="0"/>
        <v>3</v>
      </c>
      <c r="AH28" s="9">
        <v>13.83</v>
      </c>
      <c r="AI28" s="4">
        <v>1</v>
      </c>
      <c r="AJ28">
        <v>500</v>
      </c>
      <c r="AK28">
        <f t="shared" si="1"/>
        <v>9</v>
      </c>
    </row>
    <row r="29" spans="11:37">
      <c r="K29" s="9">
        <v>3</v>
      </c>
      <c r="L29" s="4">
        <v>123</v>
      </c>
      <c r="T29" s="9">
        <v>33.299999999999997</v>
      </c>
      <c r="U29" s="4">
        <v>1</v>
      </c>
      <c r="V29">
        <v>1560</v>
      </c>
      <c r="W29">
        <f t="shared" si="0"/>
        <v>2</v>
      </c>
      <c r="AH29" s="9">
        <v>13.85</v>
      </c>
      <c r="AI29" s="4">
        <v>2</v>
      </c>
      <c r="AJ29">
        <v>520</v>
      </c>
      <c r="AK29">
        <f t="shared" si="1"/>
        <v>6</v>
      </c>
    </row>
    <row r="30" spans="11:37">
      <c r="K30" s="9">
        <v>4</v>
      </c>
      <c r="L30" s="4">
        <v>127</v>
      </c>
      <c r="T30" s="9">
        <v>33.4</v>
      </c>
      <c r="U30" s="4">
        <v>1</v>
      </c>
      <c r="V30">
        <v>1620</v>
      </c>
      <c r="W30">
        <f t="shared" si="0"/>
        <v>2</v>
      </c>
      <c r="AH30" s="9">
        <v>13.86</v>
      </c>
      <c r="AI30" s="4">
        <v>1</v>
      </c>
      <c r="AJ30">
        <v>540</v>
      </c>
      <c r="AK30">
        <f t="shared" si="1"/>
        <v>9</v>
      </c>
    </row>
    <row r="31" spans="11:37">
      <c r="K31" s="9">
        <v>5</v>
      </c>
      <c r="L31" s="4">
        <v>124</v>
      </c>
      <c r="T31" s="9">
        <v>33.9</v>
      </c>
      <c r="U31" s="4">
        <v>1</v>
      </c>
      <c r="V31">
        <v>1680</v>
      </c>
      <c r="W31">
        <f t="shared" si="0"/>
        <v>2</v>
      </c>
      <c r="AH31" s="9">
        <v>13.88</v>
      </c>
      <c r="AI31" s="4">
        <v>1</v>
      </c>
      <c r="AJ31">
        <v>560</v>
      </c>
      <c r="AK31">
        <f t="shared" si="1"/>
        <v>2</v>
      </c>
    </row>
    <row r="32" spans="11:37">
      <c r="K32" s="9">
        <v>6</v>
      </c>
      <c r="L32" s="4">
        <v>137</v>
      </c>
      <c r="T32" s="9">
        <v>34</v>
      </c>
      <c r="U32" s="4">
        <v>2</v>
      </c>
      <c r="V32">
        <v>1740</v>
      </c>
      <c r="W32">
        <f t="shared" si="0"/>
        <v>2</v>
      </c>
      <c r="AH32" s="9">
        <v>14.18</v>
      </c>
      <c r="AI32" s="4">
        <v>1</v>
      </c>
      <c r="AJ32">
        <v>580</v>
      </c>
      <c r="AK32">
        <f t="shared" si="1"/>
        <v>2</v>
      </c>
    </row>
    <row r="33" spans="11:37">
      <c r="K33" s="9">
        <v>7</v>
      </c>
      <c r="L33" s="4">
        <v>122</v>
      </c>
      <c r="T33" s="9">
        <v>34.5</v>
      </c>
      <c r="U33" s="4">
        <v>1</v>
      </c>
      <c r="V33">
        <v>1800</v>
      </c>
      <c r="W33">
        <f t="shared" si="0"/>
        <v>1</v>
      </c>
      <c r="AH33" s="9">
        <v>14.27</v>
      </c>
      <c r="AI33" s="4">
        <v>1</v>
      </c>
      <c r="AJ33">
        <v>600</v>
      </c>
      <c r="AK33">
        <f t="shared" si="1"/>
        <v>0</v>
      </c>
    </row>
    <row r="34" spans="11:37">
      <c r="K34" s="9">
        <v>8</v>
      </c>
      <c r="L34" s="4">
        <v>113</v>
      </c>
      <c r="T34" s="9">
        <v>35</v>
      </c>
      <c r="U34" s="4">
        <v>1</v>
      </c>
      <c r="V34">
        <v>1860</v>
      </c>
      <c r="W34">
        <f t="shared" si="0"/>
        <v>0</v>
      </c>
      <c r="AH34" s="9">
        <v>14.34</v>
      </c>
      <c r="AI34" s="4">
        <v>1</v>
      </c>
      <c r="AJ34">
        <v>620</v>
      </c>
      <c r="AK34">
        <f t="shared" si="1"/>
        <v>0</v>
      </c>
    </row>
    <row r="35" spans="11:37">
      <c r="K35" s="9">
        <v>9</v>
      </c>
      <c r="L35" s="4">
        <v>138</v>
      </c>
      <c r="T35" s="9">
        <v>35.1</v>
      </c>
      <c r="U35" s="4">
        <v>1</v>
      </c>
      <c r="V35">
        <v>1920</v>
      </c>
      <c r="W35">
        <f t="shared" si="0"/>
        <v>0</v>
      </c>
      <c r="AH35" s="9">
        <v>14.36</v>
      </c>
      <c r="AI35" s="4">
        <v>2</v>
      </c>
      <c r="AJ35">
        <v>640</v>
      </c>
      <c r="AK35">
        <f t="shared" si="1"/>
        <v>0</v>
      </c>
    </row>
    <row r="36" spans="11:37">
      <c r="K36" s="9">
        <v>10</v>
      </c>
      <c r="L36" s="4">
        <v>121</v>
      </c>
      <c r="T36" s="9">
        <v>35.700000000000003</v>
      </c>
      <c r="U36" s="4">
        <v>1</v>
      </c>
      <c r="V36">
        <v>1980</v>
      </c>
      <c r="W36">
        <f t="shared" si="0"/>
        <v>0</v>
      </c>
      <c r="AH36" s="9">
        <v>14.38</v>
      </c>
      <c r="AI36" s="4">
        <v>2</v>
      </c>
      <c r="AJ36">
        <v>660</v>
      </c>
      <c r="AK36">
        <f t="shared" si="1"/>
        <v>0</v>
      </c>
    </row>
    <row r="37" spans="11:37">
      <c r="K37" s="9">
        <v>11</v>
      </c>
      <c r="L37" s="4">
        <v>125</v>
      </c>
      <c r="T37" s="9">
        <v>35.799999999999997</v>
      </c>
      <c r="U37" s="4">
        <v>1</v>
      </c>
      <c r="V37">
        <v>2040</v>
      </c>
      <c r="W37">
        <f t="shared" si="0"/>
        <v>0</v>
      </c>
      <c r="AH37" s="9">
        <v>14.43</v>
      </c>
      <c r="AI37" s="4">
        <v>1</v>
      </c>
      <c r="AJ37">
        <v>680</v>
      </c>
      <c r="AK37">
        <f t="shared" si="1"/>
        <v>1</v>
      </c>
    </row>
    <row r="38" spans="11:37">
      <c r="K38" s="9">
        <v>12</v>
      </c>
      <c r="L38" s="4">
        <v>116</v>
      </c>
      <c r="T38" s="9">
        <v>36</v>
      </c>
      <c r="U38" s="4">
        <v>2</v>
      </c>
      <c r="V38">
        <v>2100</v>
      </c>
      <c r="W38">
        <f t="shared" si="0"/>
        <v>0</v>
      </c>
      <c r="AH38" s="9">
        <v>14.44</v>
      </c>
      <c r="AI38" s="4">
        <v>1</v>
      </c>
      <c r="AJ38">
        <v>700</v>
      </c>
      <c r="AK38">
        <f t="shared" si="1"/>
        <v>1</v>
      </c>
    </row>
    <row r="39" spans="11:37">
      <c r="K39" s="9">
        <v>13</v>
      </c>
      <c r="L39" s="4">
        <v>112</v>
      </c>
      <c r="T39" s="9">
        <v>36.1</v>
      </c>
      <c r="U39" s="4">
        <v>1</v>
      </c>
      <c r="V39">
        <v>2160</v>
      </c>
      <c r="W39">
        <f t="shared" si="0"/>
        <v>0</v>
      </c>
      <c r="AH39" s="9">
        <v>14.46</v>
      </c>
      <c r="AI39" s="4">
        <v>1</v>
      </c>
      <c r="AJ39">
        <v>720</v>
      </c>
      <c r="AK39">
        <f t="shared" si="1"/>
        <v>0</v>
      </c>
    </row>
    <row r="40" spans="11:37">
      <c r="K40" s="9">
        <v>14</v>
      </c>
      <c r="L40" s="4">
        <v>124</v>
      </c>
      <c r="T40" s="9">
        <v>36.200000000000003</v>
      </c>
      <c r="U40" s="4">
        <v>1</v>
      </c>
      <c r="V40">
        <v>2220</v>
      </c>
      <c r="W40">
        <f t="shared" si="0"/>
        <v>1</v>
      </c>
      <c r="AH40" s="9">
        <v>14.48</v>
      </c>
      <c r="AI40" s="4">
        <v>2</v>
      </c>
      <c r="AJ40">
        <v>740</v>
      </c>
      <c r="AK40">
        <f t="shared" si="1"/>
        <v>0</v>
      </c>
    </row>
    <row r="41" spans="11:37">
      <c r="K41" s="9">
        <v>15</v>
      </c>
      <c r="L41" s="4">
        <v>100</v>
      </c>
      <c r="T41" s="9">
        <v>36.4</v>
      </c>
      <c r="U41" s="4">
        <v>1</v>
      </c>
      <c r="V41">
        <v>2280</v>
      </c>
      <c r="W41">
        <f t="shared" si="0"/>
        <v>0</v>
      </c>
      <c r="AH41" s="9">
        <v>14.52</v>
      </c>
      <c r="AI41" s="4">
        <v>1</v>
      </c>
      <c r="AJ41">
        <v>760</v>
      </c>
      <c r="AK41">
        <f t="shared" si="1"/>
        <v>0</v>
      </c>
    </row>
    <row r="42" spans="11:37">
      <c r="K42" s="9"/>
      <c r="L42" s="4"/>
      <c r="T42" s="9">
        <v>36.6</v>
      </c>
      <c r="U42" s="4">
        <v>1</v>
      </c>
      <c r="V42">
        <v>2340</v>
      </c>
      <c r="W42">
        <f t="shared" si="0"/>
        <v>0</v>
      </c>
      <c r="AH42" s="9">
        <v>14.53</v>
      </c>
      <c r="AI42" s="4">
        <v>1</v>
      </c>
      <c r="AJ42">
        <v>780</v>
      </c>
      <c r="AK42">
        <f t="shared" si="1"/>
        <v>0</v>
      </c>
    </row>
    <row r="43" spans="11:37">
      <c r="K43" s="9"/>
      <c r="L43" s="4"/>
      <c r="T43" s="9">
        <v>36.700000000000003</v>
      </c>
      <c r="U43" s="4">
        <v>2</v>
      </c>
      <c r="V43">
        <v>2400</v>
      </c>
      <c r="W43">
        <f t="shared" si="0"/>
        <v>0</v>
      </c>
      <c r="AH43" s="9">
        <v>14.57</v>
      </c>
      <c r="AI43" s="4">
        <v>1</v>
      </c>
      <c r="AJ43">
        <v>800</v>
      </c>
      <c r="AK43">
        <f t="shared" si="1"/>
        <v>1</v>
      </c>
    </row>
    <row r="44" spans="11:37">
      <c r="K44" s="9"/>
      <c r="L44" s="4"/>
      <c r="T44" s="9">
        <v>37.200000000000003</v>
      </c>
      <c r="U44" s="4">
        <v>1</v>
      </c>
      <c r="AH44" s="9">
        <v>14.66</v>
      </c>
      <c r="AI44" s="4">
        <v>1</v>
      </c>
      <c r="AJ44">
        <v>820</v>
      </c>
      <c r="AK44">
        <f t="shared" si="1"/>
        <v>0</v>
      </c>
    </row>
    <row r="45" spans="11:37">
      <c r="K45" s="9" t="s">
        <v>13</v>
      </c>
      <c r="L45" s="18"/>
      <c r="T45" s="9">
        <v>37.6</v>
      </c>
      <c r="U45" s="4">
        <v>2</v>
      </c>
      <c r="AH45" s="9">
        <v>14.83</v>
      </c>
      <c r="AI45" s="4">
        <v>1</v>
      </c>
      <c r="AJ45">
        <v>840</v>
      </c>
      <c r="AK45">
        <f t="shared" si="1"/>
        <v>0</v>
      </c>
    </row>
    <row r="46" spans="11:37">
      <c r="K46" t="str">
        <f>VLOOKUP(K45,$A$1:$B$15,2,0)</f>
        <v>оценка удовлетворённости клиента.</v>
      </c>
      <c r="L46" s="18"/>
      <c r="T46" s="9">
        <v>37.799999999999997</v>
      </c>
      <c r="U46" s="4">
        <v>2</v>
      </c>
      <c r="AH46" s="9">
        <v>14.96</v>
      </c>
      <c r="AI46" s="4">
        <v>1</v>
      </c>
      <c r="AJ46">
        <v>860</v>
      </c>
      <c r="AK46">
        <f t="shared" si="1"/>
        <v>0</v>
      </c>
    </row>
    <row r="47" spans="11:37">
      <c r="K47" s="9">
        <v>2</v>
      </c>
      <c r="L47" s="4">
        <v>5</v>
      </c>
      <c r="T47" s="9">
        <v>37.9</v>
      </c>
      <c r="U47" s="4">
        <v>1</v>
      </c>
      <c r="AH47" s="9">
        <v>14.97</v>
      </c>
      <c r="AI47" s="4">
        <v>1</v>
      </c>
      <c r="AJ47">
        <v>880</v>
      </c>
      <c r="AK47">
        <f t="shared" si="1"/>
        <v>0</v>
      </c>
    </row>
    <row r="48" spans="11:37">
      <c r="K48" s="9">
        <v>3</v>
      </c>
      <c r="L48" s="4">
        <v>284</v>
      </c>
      <c r="T48" s="9">
        <v>38.700000000000003</v>
      </c>
      <c r="U48" s="4">
        <v>1</v>
      </c>
      <c r="AH48" s="9">
        <v>14.99</v>
      </c>
      <c r="AI48" s="4">
        <v>1</v>
      </c>
      <c r="AJ48">
        <v>900</v>
      </c>
      <c r="AK48">
        <f t="shared" si="1"/>
        <v>0</v>
      </c>
    </row>
    <row r="49" spans="11:37">
      <c r="K49" s="9">
        <v>4</v>
      </c>
      <c r="L49" s="4">
        <v>1064</v>
      </c>
      <c r="T49" s="9">
        <v>39.200000000000003</v>
      </c>
      <c r="U49" s="4">
        <v>1</v>
      </c>
      <c r="AH49" s="9">
        <v>15</v>
      </c>
      <c r="AI49" s="4">
        <v>2</v>
      </c>
      <c r="AJ49">
        <v>920</v>
      </c>
      <c r="AK49">
        <f t="shared" si="1"/>
        <v>0</v>
      </c>
    </row>
    <row r="50" spans="11:37">
      <c r="K50" s="9">
        <v>5</v>
      </c>
      <c r="L50" s="4">
        <v>467</v>
      </c>
      <c r="T50" s="9">
        <v>39.299999999999997</v>
      </c>
      <c r="U50" s="4">
        <v>1</v>
      </c>
      <c r="AH50" s="9">
        <v>15.15</v>
      </c>
      <c r="AI50" s="4">
        <v>2</v>
      </c>
      <c r="AJ50">
        <v>940</v>
      </c>
      <c r="AK50">
        <f t="shared" si="1"/>
        <v>0</v>
      </c>
    </row>
    <row r="51" spans="11:37">
      <c r="K51" s="9"/>
      <c r="L51" s="4"/>
      <c r="T51" s="9">
        <v>39.799999999999997</v>
      </c>
      <c r="U51" s="4">
        <v>1</v>
      </c>
      <c r="AH51" s="9">
        <v>15.18</v>
      </c>
      <c r="AI51" s="4">
        <v>1</v>
      </c>
      <c r="AJ51">
        <v>960</v>
      </c>
      <c r="AK51">
        <f t="shared" si="1"/>
        <v>0</v>
      </c>
    </row>
    <row r="52" spans="11:37">
      <c r="K52" s="9"/>
      <c r="L52" s="4"/>
      <c r="T52" s="9">
        <v>40</v>
      </c>
      <c r="U52" s="4">
        <v>1</v>
      </c>
      <c r="AH52" s="9">
        <v>15.24</v>
      </c>
      <c r="AI52" s="4">
        <v>1</v>
      </c>
      <c r="AJ52">
        <v>980</v>
      </c>
      <c r="AK52">
        <f t="shared" si="1"/>
        <v>0</v>
      </c>
    </row>
    <row r="53" spans="11:37">
      <c r="K53" s="9"/>
      <c r="L53" s="4"/>
      <c r="T53" s="9">
        <v>40.1</v>
      </c>
      <c r="U53" s="4">
        <v>1</v>
      </c>
      <c r="AH53" s="9">
        <v>15.25</v>
      </c>
      <c r="AI53" s="4">
        <v>2</v>
      </c>
      <c r="AJ53">
        <v>1000</v>
      </c>
      <c r="AK53">
        <f t="shared" si="1"/>
        <v>0</v>
      </c>
    </row>
    <row r="54" spans="11:37">
      <c r="K54" s="9"/>
      <c r="L54" s="4"/>
      <c r="T54" s="9">
        <v>40.700000000000003</v>
      </c>
      <c r="U54" s="4">
        <v>1</v>
      </c>
      <c r="AH54" s="9">
        <v>15.26</v>
      </c>
      <c r="AI54" s="4">
        <v>1</v>
      </c>
      <c r="AJ54">
        <v>1020</v>
      </c>
      <c r="AK54">
        <f t="shared" si="1"/>
        <v>0</v>
      </c>
    </row>
    <row r="55" spans="11:37">
      <c r="K55" s="9"/>
      <c r="L55" s="4"/>
      <c r="T55" s="9">
        <v>40.9</v>
      </c>
      <c r="U55" s="4">
        <v>1</v>
      </c>
      <c r="AH55" s="9">
        <v>15.27</v>
      </c>
      <c r="AI55" s="4">
        <v>1</v>
      </c>
      <c r="AJ55">
        <v>1040</v>
      </c>
      <c r="AK55">
        <f t="shared" si="1"/>
        <v>0</v>
      </c>
    </row>
    <row r="56" spans="11:37">
      <c r="K56" s="9"/>
      <c r="L56" s="4"/>
      <c r="T56" s="9">
        <v>41</v>
      </c>
      <c r="U56" s="4">
        <v>1</v>
      </c>
      <c r="AH56" s="9">
        <v>15.39</v>
      </c>
      <c r="AI56" s="4">
        <v>1</v>
      </c>
      <c r="AJ56">
        <v>1060</v>
      </c>
      <c r="AK56">
        <f t="shared" si="1"/>
        <v>0</v>
      </c>
    </row>
    <row r="57" spans="11:37">
      <c r="T57" s="9">
        <v>41.2</v>
      </c>
      <c r="U57" s="4">
        <v>1</v>
      </c>
      <c r="AH57" s="9">
        <v>15.42</v>
      </c>
      <c r="AI57" s="4">
        <v>1</v>
      </c>
      <c r="AJ57">
        <v>1080</v>
      </c>
      <c r="AK57">
        <f t="shared" si="1"/>
        <v>0</v>
      </c>
    </row>
    <row r="58" spans="11:37">
      <c r="T58" s="9">
        <v>41.4</v>
      </c>
      <c r="U58" s="4">
        <v>1</v>
      </c>
      <c r="AH58" s="9">
        <v>15.43</v>
      </c>
      <c r="AI58" s="4">
        <v>2</v>
      </c>
      <c r="AJ58">
        <v>1100</v>
      </c>
      <c r="AK58">
        <f t="shared" si="1"/>
        <v>0</v>
      </c>
    </row>
    <row r="59" spans="11:37">
      <c r="T59" s="9">
        <v>41.6</v>
      </c>
      <c r="U59" s="4">
        <v>2</v>
      </c>
      <c r="AH59" s="9">
        <v>15.45</v>
      </c>
      <c r="AI59" s="4">
        <v>1</v>
      </c>
      <c r="AJ59">
        <v>1120</v>
      </c>
      <c r="AK59">
        <f t="shared" si="1"/>
        <v>0</v>
      </c>
    </row>
    <row r="60" spans="11:37">
      <c r="T60" s="9">
        <v>41.7</v>
      </c>
      <c r="U60" s="4">
        <v>2</v>
      </c>
      <c r="AH60" s="9">
        <v>15.55</v>
      </c>
      <c r="AI60" s="4">
        <v>2</v>
      </c>
      <c r="AJ60">
        <v>1140</v>
      </c>
      <c r="AK60">
        <f t="shared" si="1"/>
        <v>0</v>
      </c>
    </row>
    <row r="61" spans="11:37">
      <c r="T61" s="9">
        <v>41.9</v>
      </c>
      <c r="U61" s="4">
        <v>1</v>
      </c>
      <c r="AH61" s="9">
        <v>15.57</v>
      </c>
      <c r="AI61" s="4">
        <v>1</v>
      </c>
      <c r="AJ61">
        <v>1160</v>
      </c>
      <c r="AK61">
        <f t="shared" si="1"/>
        <v>0</v>
      </c>
    </row>
    <row r="62" spans="11:37">
      <c r="T62" s="9">
        <v>42</v>
      </c>
      <c r="U62" s="4">
        <v>1</v>
      </c>
      <c r="AH62" s="9">
        <v>15.62</v>
      </c>
      <c r="AI62" s="4">
        <v>1</v>
      </c>
      <c r="AJ62">
        <v>1180</v>
      </c>
      <c r="AK62">
        <f t="shared" si="1"/>
        <v>0</v>
      </c>
    </row>
    <row r="63" spans="11:37">
      <c r="T63" s="9">
        <v>42.1</v>
      </c>
      <c r="U63" s="4">
        <v>1</v>
      </c>
      <c r="AH63" s="9">
        <v>15.64</v>
      </c>
      <c r="AI63" s="4">
        <v>1</v>
      </c>
      <c r="AJ63">
        <v>1200</v>
      </c>
      <c r="AK63">
        <f t="shared" si="1"/>
        <v>0</v>
      </c>
    </row>
    <row r="64" spans="11:37">
      <c r="T64" s="9">
        <v>42.3</v>
      </c>
      <c r="U64" s="4">
        <v>1</v>
      </c>
      <c r="AH64" s="9">
        <v>15.76</v>
      </c>
      <c r="AI64" s="4">
        <v>2</v>
      </c>
      <c r="AJ64">
        <v>1220</v>
      </c>
      <c r="AK64">
        <f t="shared" si="1"/>
        <v>0</v>
      </c>
    </row>
    <row r="65" spans="20:37">
      <c r="T65" s="9">
        <v>42.4</v>
      </c>
      <c r="U65" s="4">
        <v>1</v>
      </c>
      <c r="AH65" s="9">
        <v>15.77</v>
      </c>
      <c r="AI65" s="4">
        <v>1</v>
      </c>
      <c r="AJ65">
        <v>1240</v>
      </c>
      <c r="AK65">
        <f t="shared" si="1"/>
        <v>0</v>
      </c>
    </row>
    <row r="66" spans="20:37">
      <c r="T66" s="9">
        <v>42.7</v>
      </c>
      <c r="U66" s="4">
        <v>2</v>
      </c>
      <c r="AH66" s="9">
        <v>15.78</v>
      </c>
      <c r="AI66" s="4">
        <v>1</v>
      </c>
      <c r="AJ66">
        <v>1260</v>
      </c>
      <c r="AK66">
        <f t="shared" si="1"/>
        <v>0</v>
      </c>
    </row>
    <row r="67" spans="20:37">
      <c r="T67" s="9">
        <v>42.8</v>
      </c>
      <c r="U67" s="4">
        <v>1</v>
      </c>
      <c r="AH67" s="9">
        <v>15.79</v>
      </c>
      <c r="AI67" s="4">
        <v>1</v>
      </c>
      <c r="AJ67">
        <v>1280</v>
      </c>
      <c r="AK67">
        <f t="shared" si="1"/>
        <v>0</v>
      </c>
    </row>
    <row r="68" spans="20:37">
      <c r="T68" s="9">
        <v>43</v>
      </c>
      <c r="U68" s="4">
        <v>1</v>
      </c>
      <c r="AH68" s="9">
        <v>15.81</v>
      </c>
      <c r="AI68" s="4">
        <v>2</v>
      </c>
      <c r="AJ68">
        <v>1300</v>
      </c>
      <c r="AK68">
        <f t="shared" ref="AK68:AK74" si="2">SUMIFS(AI:AI,AH:AH,"&gt;="&amp;AJ68,AH:AH,"&lt;"&amp;AJ69)</f>
        <v>1</v>
      </c>
    </row>
    <row r="69" spans="20:37">
      <c r="T69" s="9">
        <v>43.1</v>
      </c>
      <c r="U69" s="4">
        <v>1</v>
      </c>
      <c r="AH69" s="9">
        <v>15.83</v>
      </c>
      <c r="AI69" s="4">
        <v>1</v>
      </c>
      <c r="AJ69">
        <v>1320</v>
      </c>
      <c r="AK69">
        <f t="shared" si="2"/>
        <v>0</v>
      </c>
    </row>
    <row r="70" spans="20:37">
      <c r="T70" s="9">
        <v>43.3</v>
      </c>
      <c r="U70" s="4">
        <v>1</v>
      </c>
      <c r="AH70" s="9">
        <v>15.84</v>
      </c>
      <c r="AI70" s="4">
        <v>1</v>
      </c>
      <c r="AJ70">
        <v>1340</v>
      </c>
      <c r="AK70">
        <f t="shared" si="2"/>
        <v>0</v>
      </c>
    </row>
    <row r="71" spans="20:37">
      <c r="T71" s="9">
        <v>43.5</v>
      </c>
      <c r="U71" s="4">
        <v>1</v>
      </c>
      <c r="AH71" s="9">
        <v>15.88</v>
      </c>
      <c r="AI71" s="4">
        <v>1</v>
      </c>
      <c r="AJ71">
        <v>1360</v>
      </c>
      <c r="AK71">
        <f t="shared" si="2"/>
        <v>0</v>
      </c>
    </row>
    <row r="72" spans="20:37">
      <c r="T72" s="9">
        <v>43.6</v>
      </c>
      <c r="U72" s="4">
        <v>3</v>
      </c>
      <c r="AH72" s="9">
        <v>15.91</v>
      </c>
      <c r="AI72" s="4">
        <v>1</v>
      </c>
      <c r="AJ72">
        <v>1380</v>
      </c>
      <c r="AK72">
        <f t="shared" si="2"/>
        <v>0</v>
      </c>
    </row>
    <row r="73" spans="20:37">
      <c r="T73" s="9">
        <v>43.7</v>
      </c>
      <c r="U73" s="4">
        <v>1</v>
      </c>
      <c r="AH73" s="9">
        <v>15.92</v>
      </c>
      <c r="AI73" s="4">
        <v>1</v>
      </c>
      <c r="AJ73">
        <v>1400</v>
      </c>
      <c r="AK73">
        <f t="shared" si="2"/>
        <v>2</v>
      </c>
    </row>
    <row r="74" spans="20:37">
      <c r="T74" s="9">
        <v>44.2</v>
      </c>
      <c r="U74" s="4">
        <v>1</v>
      </c>
      <c r="AH74" s="9">
        <v>15.94</v>
      </c>
      <c r="AI74" s="4">
        <v>1</v>
      </c>
      <c r="AJ74">
        <v>1420</v>
      </c>
      <c r="AK74">
        <f t="shared" si="2"/>
        <v>0</v>
      </c>
    </row>
    <row r="75" spans="20:37">
      <c r="T75" s="9">
        <v>44.6</v>
      </c>
      <c r="U75" s="4">
        <v>2</v>
      </c>
      <c r="AH75" s="9">
        <v>15.96</v>
      </c>
      <c r="AI75" s="4">
        <v>1</v>
      </c>
    </row>
    <row r="76" spans="20:37">
      <c r="T76" s="9">
        <v>45</v>
      </c>
      <c r="U76" s="4">
        <v>1</v>
      </c>
      <c r="AH76" s="9">
        <v>15.98</v>
      </c>
      <c r="AI76" s="4">
        <v>2</v>
      </c>
    </row>
    <row r="77" spans="20:37">
      <c r="T77" s="9">
        <v>45.1</v>
      </c>
      <c r="U77" s="4">
        <v>2</v>
      </c>
      <c r="AH77" s="9">
        <v>16</v>
      </c>
      <c r="AI77" s="4">
        <v>1</v>
      </c>
    </row>
    <row r="78" spans="20:37">
      <c r="T78" s="9">
        <v>45.3</v>
      </c>
      <c r="U78" s="4">
        <v>1</v>
      </c>
      <c r="AH78" s="9">
        <v>16.13</v>
      </c>
      <c r="AI78" s="4">
        <v>1</v>
      </c>
    </row>
    <row r="79" spans="20:37">
      <c r="T79" s="9">
        <v>45.9</v>
      </c>
      <c r="U79" s="4">
        <v>1</v>
      </c>
      <c r="AH79" s="9">
        <v>16.16</v>
      </c>
      <c r="AI79" s="4">
        <v>1</v>
      </c>
    </row>
    <row r="80" spans="20:37">
      <c r="T80" s="9">
        <v>46</v>
      </c>
      <c r="U80" s="4">
        <v>1</v>
      </c>
      <c r="AH80" s="9">
        <v>16.21</v>
      </c>
      <c r="AI80" s="4">
        <v>1</v>
      </c>
    </row>
    <row r="81" spans="20:35">
      <c r="T81" s="9">
        <v>46.5</v>
      </c>
      <c r="U81" s="4">
        <v>1</v>
      </c>
      <c r="AH81" s="9">
        <v>16.239999999999998</v>
      </c>
      <c r="AI81" s="4">
        <v>2</v>
      </c>
    </row>
    <row r="82" spans="20:35">
      <c r="T82" s="9">
        <v>47.4</v>
      </c>
      <c r="U82" s="4">
        <v>1</v>
      </c>
      <c r="AH82" s="9">
        <v>16.260000000000002</v>
      </c>
      <c r="AI82" s="4">
        <v>1</v>
      </c>
    </row>
    <row r="83" spans="20:35">
      <c r="T83" s="9">
        <v>47.5</v>
      </c>
      <c r="U83" s="4">
        <v>1</v>
      </c>
      <c r="AH83" s="9">
        <v>16.28</v>
      </c>
      <c r="AI83" s="4">
        <v>1</v>
      </c>
    </row>
    <row r="84" spans="20:35">
      <c r="T84" s="9">
        <v>47.6</v>
      </c>
      <c r="U84" s="4">
        <v>1</v>
      </c>
      <c r="AH84" s="9">
        <v>16.29</v>
      </c>
      <c r="AI84" s="4">
        <v>1</v>
      </c>
    </row>
    <row r="85" spans="20:35">
      <c r="T85" s="9">
        <v>47.7</v>
      </c>
      <c r="U85" s="4">
        <v>2</v>
      </c>
      <c r="AH85" s="9">
        <v>16.32</v>
      </c>
      <c r="AI85" s="4">
        <v>1</v>
      </c>
    </row>
    <row r="86" spans="20:35">
      <c r="T86" s="9">
        <v>47.9</v>
      </c>
      <c r="U86" s="4">
        <v>2</v>
      </c>
      <c r="AH86" s="9">
        <v>16.350000000000001</v>
      </c>
      <c r="AI86" s="4">
        <v>2</v>
      </c>
    </row>
    <row r="87" spans="20:35">
      <c r="T87" s="9">
        <v>48</v>
      </c>
      <c r="U87" s="4">
        <v>3</v>
      </c>
      <c r="AH87" s="9">
        <v>16.41</v>
      </c>
      <c r="AI87" s="4">
        <v>1</v>
      </c>
    </row>
    <row r="88" spans="20:35">
      <c r="T88" s="9">
        <v>48.2</v>
      </c>
      <c r="U88" s="4">
        <v>1</v>
      </c>
      <c r="AH88" s="9">
        <v>16.440000000000001</v>
      </c>
      <c r="AI88" s="4">
        <v>1</v>
      </c>
    </row>
    <row r="89" spans="20:35">
      <c r="T89" s="9">
        <v>48.3</v>
      </c>
      <c r="U89" s="4">
        <v>1</v>
      </c>
      <c r="AH89" s="9">
        <v>16.45</v>
      </c>
      <c r="AI89" s="4">
        <v>1</v>
      </c>
    </row>
    <row r="90" spans="20:35">
      <c r="T90" s="9">
        <v>48.5</v>
      </c>
      <c r="U90" s="4">
        <v>1</v>
      </c>
      <c r="AH90" s="9">
        <v>16.47</v>
      </c>
      <c r="AI90" s="4">
        <v>1</v>
      </c>
    </row>
    <row r="91" spans="20:35">
      <c r="T91" s="9">
        <v>48.6</v>
      </c>
      <c r="U91" s="4">
        <v>1</v>
      </c>
      <c r="AH91" s="9">
        <v>16.48</v>
      </c>
      <c r="AI91" s="4">
        <v>1</v>
      </c>
    </row>
    <row r="92" spans="20:35">
      <c r="T92" s="9">
        <v>48.8</v>
      </c>
      <c r="U92" s="4">
        <v>2</v>
      </c>
      <c r="AH92" s="9">
        <v>16.54</v>
      </c>
      <c r="AI92" s="4">
        <v>1</v>
      </c>
    </row>
    <row r="93" spans="20:35">
      <c r="T93" s="9">
        <v>48.9</v>
      </c>
      <c r="U93" s="4">
        <v>1</v>
      </c>
      <c r="AH93" s="9">
        <v>16.579999999999998</v>
      </c>
      <c r="AI93" s="4">
        <v>1</v>
      </c>
    </row>
    <row r="94" spans="20:35">
      <c r="T94" s="9">
        <v>49.6</v>
      </c>
      <c r="U94" s="4">
        <v>1</v>
      </c>
      <c r="AH94" s="9">
        <v>16.63</v>
      </c>
      <c r="AI94" s="4">
        <v>1</v>
      </c>
    </row>
    <row r="95" spans="20:35">
      <c r="T95" s="9">
        <v>49.7</v>
      </c>
      <c r="U95" s="4">
        <v>1</v>
      </c>
      <c r="AH95" s="9">
        <v>16.649999999999999</v>
      </c>
      <c r="AI95" s="4">
        <v>1</v>
      </c>
    </row>
    <row r="96" spans="20:35">
      <c r="T96" s="9">
        <v>49.8</v>
      </c>
      <c r="U96" s="4">
        <v>2</v>
      </c>
      <c r="AH96" s="9">
        <v>16.739999999999998</v>
      </c>
      <c r="AI96" s="4">
        <v>1</v>
      </c>
    </row>
    <row r="97" spans="20:35">
      <c r="T97" s="9">
        <v>50</v>
      </c>
      <c r="U97" s="4">
        <v>1</v>
      </c>
      <c r="AH97" s="9">
        <v>16.760000000000002</v>
      </c>
      <c r="AI97" s="4">
        <v>1</v>
      </c>
    </row>
    <row r="98" spans="20:35">
      <c r="T98" s="9">
        <v>50.1</v>
      </c>
      <c r="U98" s="4">
        <v>1</v>
      </c>
      <c r="AH98" s="9">
        <v>16.77</v>
      </c>
      <c r="AI98" s="4">
        <v>1</v>
      </c>
    </row>
    <row r="99" spans="20:35">
      <c r="T99" s="9">
        <v>50.2</v>
      </c>
      <c r="U99" s="4">
        <v>2</v>
      </c>
      <c r="AH99" s="9">
        <v>16.78</v>
      </c>
      <c r="AI99" s="4">
        <v>1</v>
      </c>
    </row>
    <row r="100" spans="20:35">
      <c r="T100" s="9">
        <v>50.4</v>
      </c>
      <c r="U100" s="4">
        <v>1</v>
      </c>
      <c r="AH100" s="9">
        <v>16.809999999999999</v>
      </c>
      <c r="AI100" s="4">
        <v>1</v>
      </c>
    </row>
    <row r="101" spans="20:35">
      <c r="T101" s="9">
        <v>50.7</v>
      </c>
      <c r="U101" s="4">
        <v>1</v>
      </c>
      <c r="AH101" s="9">
        <v>16.82</v>
      </c>
      <c r="AI101" s="4">
        <v>1</v>
      </c>
    </row>
    <row r="102" spans="20:35">
      <c r="T102" s="9">
        <v>50.8</v>
      </c>
      <c r="U102" s="4">
        <v>1</v>
      </c>
      <c r="AH102" s="9">
        <v>16.850000000000001</v>
      </c>
      <c r="AI102" s="4">
        <v>1</v>
      </c>
    </row>
    <row r="103" spans="20:35">
      <c r="T103" s="9">
        <v>51.2</v>
      </c>
      <c r="U103" s="4">
        <v>1</v>
      </c>
      <c r="AH103" s="9">
        <v>16.87</v>
      </c>
      <c r="AI103" s="4">
        <v>1</v>
      </c>
    </row>
    <row r="104" spans="20:35">
      <c r="T104" s="9">
        <v>51.3</v>
      </c>
      <c r="U104" s="4">
        <v>1</v>
      </c>
      <c r="AH104" s="9">
        <v>16.89</v>
      </c>
      <c r="AI104" s="4">
        <v>1</v>
      </c>
    </row>
    <row r="105" spans="20:35">
      <c r="T105" s="9">
        <v>51.4</v>
      </c>
      <c r="U105" s="4">
        <v>2</v>
      </c>
      <c r="AH105" s="9">
        <v>16.920000000000002</v>
      </c>
      <c r="AI105" s="4">
        <v>1</v>
      </c>
    </row>
    <row r="106" spans="20:35">
      <c r="T106" s="9">
        <v>51.8</v>
      </c>
      <c r="U106" s="4">
        <v>1</v>
      </c>
      <c r="AH106" s="9">
        <v>16.940000000000001</v>
      </c>
      <c r="AI106" s="4">
        <v>1</v>
      </c>
    </row>
    <row r="107" spans="20:35">
      <c r="T107" s="9">
        <v>52.5</v>
      </c>
      <c r="U107" s="4">
        <v>1</v>
      </c>
      <c r="AH107" s="9">
        <v>16.98</v>
      </c>
      <c r="AI107" s="4">
        <v>1</v>
      </c>
    </row>
    <row r="108" spans="20:35">
      <c r="T108" s="9">
        <v>52.6</v>
      </c>
      <c r="U108" s="4">
        <v>3</v>
      </c>
      <c r="AH108" s="9">
        <v>17.170000000000002</v>
      </c>
      <c r="AI108" s="4">
        <v>1</v>
      </c>
    </row>
    <row r="109" spans="20:35">
      <c r="T109" s="9">
        <v>52.7</v>
      </c>
      <c r="U109" s="4">
        <v>1</v>
      </c>
      <c r="AH109" s="9">
        <v>17.32</v>
      </c>
      <c r="AI109" s="4">
        <v>2</v>
      </c>
    </row>
    <row r="110" spans="20:35">
      <c r="T110" s="9">
        <v>52.9</v>
      </c>
      <c r="U110" s="4">
        <v>1</v>
      </c>
      <c r="AH110" s="9">
        <v>17.329999999999998</v>
      </c>
      <c r="AI110" s="4">
        <v>2</v>
      </c>
    </row>
    <row r="111" spans="20:35">
      <c r="T111" s="9">
        <v>53</v>
      </c>
      <c r="U111" s="4">
        <v>2</v>
      </c>
      <c r="AH111" s="9">
        <v>17.38</v>
      </c>
      <c r="AI111" s="4">
        <v>2</v>
      </c>
    </row>
    <row r="112" spans="20:35">
      <c r="T112" s="9">
        <v>53.1</v>
      </c>
      <c r="U112" s="4">
        <v>1</v>
      </c>
      <c r="AH112" s="9">
        <v>17.43</v>
      </c>
      <c r="AI112" s="4">
        <v>1</v>
      </c>
    </row>
    <row r="113" spans="20:35">
      <c r="T113" s="9">
        <v>53.8</v>
      </c>
      <c r="U113" s="4">
        <v>1</v>
      </c>
      <c r="AH113" s="9">
        <v>17.45</v>
      </c>
      <c r="AI113" s="4">
        <v>1</v>
      </c>
    </row>
    <row r="114" spans="20:35">
      <c r="T114" s="9">
        <v>53.9</v>
      </c>
      <c r="U114" s="4">
        <v>1</v>
      </c>
      <c r="AH114" s="9">
        <v>17.47</v>
      </c>
      <c r="AI114" s="4">
        <v>1</v>
      </c>
    </row>
    <row r="115" spans="20:35">
      <c r="T115" s="9">
        <v>54</v>
      </c>
      <c r="U115" s="4">
        <v>2</v>
      </c>
      <c r="AH115" s="9">
        <v>17.61</v>
      </c>
      <c r="AI115" s="4">
        <v>2</v>
      </c>
    </row>
    <row r="116" spans="20:35">
      <c r="T116" s="9">
        <v>54.5</v>
      </c>
      <c r="U116" s="4">
        <v>1</v>
      </c>
      <c r="AH116" s="9">
        <v>17.63</v>
      </c>
      <c r="AI116" s="4">
        <v>1</v>
      </c>
    </row>
    <row r="117" spans="20:35">
      <c r="T117" s="9">
        <v>54.8</v>
      </c>
      <c r="U117" s="4">
        <v>1</v>
      </c>
      <c r="AH117" s="9">
        <v>17.66</v>
      </c>
      <c r="AI117" s="4">
        <v>1</v>
      </c>
    </row>
    <row r="118" spans="20:35">
      <c r="T118" s="9">
        <v>54.9</v>
      </c>
      <c r="U118" s="4">
        <v>1</v>
      </c>
      <c r="AH118" s="9">
        <v>17.68</v>
      </c>
      <c r="AI118" s="4">
        <v>1</v>
      </c>
    </row>
    <row r="119" spans="20:35">
      <c r="T119" s="9">
        <v>55.4</v>
      </c>
      <c r="U119" s="4">
        <v>1</v>
      </c>
      <c r="AH119" s="9">
        <v>17.75</v>
      </c>
      <c r="AI119" s="4">
        <v>1</v>
      </c>
    </row>
    <row r="120" spans="20:35">
      <c r="T120" s="9">
        <v>56</v>
      </c>
      <c r="U120" s="4">
        <v>1</v>
      </c>
      <c r="AH120" s="9">
        <v>17.79</v>
      </c>
      <c r="AI120" s="4">
        <v>1</v>
      </c>
    </row>
    <row r="121" spans="20:35">
      <c r="T121" s="9">
        <v>56.1</v>
      </c>
      <c r="U121" s="4">
        <v>1</v>
      </c>
      <c r="AH121" s="9">
        <v>17.93</v>
      </c>
      <c r="AI121" s="4">
        <v>1</v>
      </c>
    </row>
    <row r="122" spans="20:35">
      <c r="T122" s="9">
        <v>56.3</v>
      </c>
      <c r="U122" s="4">
        <v>1</v>
      </c>
      <c r="AH122" s="9">
        <v>17.940000000000001</v>
      </c>
      <c r="AI122" s="4">
        <v>1</v>
      </c>
    </row>
    <row r="123" spans="20:35">
      <c r="T123" s="9">
        <v>56.4</v>
      </c>
      <c r="U123" s="4">
        <v>2</v>
      </c>
      <c r="AH123" s="9">
        <v>18</v>
      </c>
      <c r="AI123" s="4">
        <v>1</v>
      </c>
    </row>
    <row r="124" spans="20:35">
      <c r="T124" s="9">
        <v>56.5</v>
      </c>
      <c r="U124" s="4">
        <v>1</v>
      </c>
      <c r="AH124" s="9">
        <v>18.13</v>
      </c>
      <c r="AI124" s="4">
        <v>1</v>
      </c>
    </row>
    <row r="125" spans="20:35">
      <c r="T125" s="9">
        <v>56.6</v>
      </c>
      <c r="U125" s="4">
        <v>2</v>
      </c>
      <c r="AH125" s="9">
        <v>18.149999999999999</v>
      </c>
      <c r="AI125" s="4">
        <v>2</v>
      </c>
    </row>
    <row r="126" spans="20:35">
      <c r="T126" s="9">
        <v>56.7</v>
      </c>
      <c r="U126" s="4">
        <v>1</v>
      </c>
      <c r="AH126" s="9">
        <v>18.170000000000002</v>
      </c>
      <c r="AI126" s="4">
        <v>1</v>
      </c>
    </row>
    <row r="127" spans="20:35">
      <c r="T127" s="9">
        <v>56.8</v>
      </c>
      <c r="U127" s="4">
        <v>1</v>
      </c>
      <c r="AH127" s="9">
        <v>18.309999999999999</v>
      </c>
      <c r="AI127" s="4">
        <v>1</v>
      </c>
    </row>
    <row r="128" spans="20:35">
      <c r="T128" s="9">
        <v>57.2</v>
      </c>
      <c r="U128" s="4">
        <v>1</v>
      </c>
      <c r="AH128" s="9">
        <v>18.32</v>
      </c>
      <c r="AI128" s="4">
        <v>1</v>
      </c>
    </row>
    <row r="129" spans="20:35">
      <c r="T129" s="9">
        <v>57.5</v>
      </c>
      <c r="U129" s="4">
        <v>1</v>
      </c>
      <c r="AH129" s="9">
        <v>18.36</v>
      </c>
      <c r="AI129" s="4">
        <v>1</v>
      </c>
    </row>
    <row r="130" spans="20:35">
      <c r="T130" s="9">
        <v>58.5</v>
      </c>
      <c r="U130" s="4">
        <v>1</v>
      </c>
      <c r="AH130" s="9">
        <v>18.420000000000002</v>
      </c>
      <c r="AI130" s="4">
        <v>2</v>
      </c>
    </row>
    <row r="131" spans="20:35">
      <c r="T131" s="9">
        <v>58.6</v>
      </c>
      <c r="U131" s="4">
        <v>1</v>
      </c>
      <c r="AH131" s="9">
        <v>18.440000000000001</v>
      </c>
      <c r="AI131" s="4">
        <v>1</v>
      </c>
    </row>
    <row r="132" spans="20:35">
      <c r="T132" s="9">
        <v>58.8</v>
      </c>
      <c r="U132" s="4">
        <v>1</v>
      </c>
      <c r="AH132" s="9">
        <v>18.489999999999998</v>
      </c>
      <c r="AI132" s="4">
        <v>1</v>
      </c>
    </row>
    <row r="133" spans="20:35">
      <c r="T133" s="9">
        <v>59</v>
      </c>
      <c r="U133" s="4">
        <v>3</v>
      </c>
      <c r="AH133" s="9">
        <v>18.54</v>
      </c>
      <c r="AI133" s="4">
        <v>1</v>
      </c>
    </row>
    <row r="134" spans="20:35">
      <c r="T134" s="9">
        <v>59.2</v>
      </c>
      <c r="U134" s="4">
        <v>2</v>
      </c>
      <c r="AH134" s="9">
        <v>18.55</v>
      </c>
      <c r="AI134" s="4">
        <v>1</v>
      </c>
    </row>
    <row r="135" spans="20:35">
      <c r="T135" s="9">
        <v>59.6</v>
      </c>
      <c r="U135" s="4">
        <v>1</v>
      </c>
      <c r="AH135" s="9">
        <v>18.57</v>
      </c>
      <c r="AI135" s="4">
        <v>1</v>
      </c>
    </row>
    <row r="136" spans="20:35">
      <c r="T136" s="9">
        <v>59.7</v>
      </c>
      <c r="U136" s="4">
        <v>1</v>
      </c>
      <c r="AH136" s="9">
        <v>18.59</v>
      </c>
      <c r="AI136" s="4">
        <v>1</v>
      </c>
    </row>
    <row r="137" spans="20:35">
      <c r="T137" s="9">
        <v>59.8</v>
      </c>
      <c r="U137" s="4">
        <v>2</v>
      </c>
      <c r="AH137" s="9">
        <v>18.62</v>
      </c>
      <c r="AI137" s="4">
        <v>1</v>
      </c>
    </row>
    <row r="138" spans="20:35">
      <c r="T138" s="9">
        <v>59.9</v>
      </c>
      <c r="U138" s="4">
        <v>2</v>
      </c>
      <c r="AH138" s="9">
        <v>18.63</v>
      </c>
      <c r="AI138" s="4">
        <v>1</v>
      </c>
    </row>
    <row r="139" spans="20:35">
      <c r="T139" s="9">
        <v>60.1</v>
      </c>
      <c r="U139" s="4">
        <v>1</v>
      </c>
      <c r="AH139" s="9">
        <v>18.649999999999999</v>
      </c>
      <c r="AI139" s="4">
        <v>1</v>
      </c>
    </row>
    <row r="140" spans="20:35">
      <c r="T140" s="9">
        <v>60.2</v>
      </c>
      <c r="U140" s="4">
        <v>1</v>
      </c>
      <c r="AH140" s="9">
        <v>18.670000000000002</v>
      </c>
      <c r="AI140" s="4">
        <v>1</v>
      </c>
    </row>
    <row r="141" spans="20:35">
      <c r="T141" s="9">
        <v>60.3</v>
      </c>
      <c r="U141" s="4">
        <v>1</v>
      </c>
      <c r="AH141" s="9">
        <v>18.77</v>
      </c>
      <c r="AI141" s="4">
        <v>1</v>
      </c>
    </row>
    <row r="142" spans="20:35">
      <c r="T142" s="9">
        <v>60.4</v>
      </c>
      <c r="U142" s="4">
        <v>1</v>
      </c>
      <c r="AH142" s="9">
        <v>18.82</v>
      </c>
      <c r="AI142" s="4">
        <v>1</v>
      </c>
    </row>
    <row r="143" spans="20:35">
      <c r="T143" s="9">
        <v>60.5</v>
      </c>
      <c r="U143" s="4">
        <v>1</v>
      </c>
      <c r="AH143" s="9">
        <v>18.88</v>
      </c>
      <c r="AI143" s="4">
        <v>1</v>
      </c>
    </row>
    <row r="144" spans="20:35">
      <c r="T144" s="9">
        <v>60.6</v>
      </c>
      <c r="U144" s="4">
        <v>1</v>
      </c>
      <c r="AH144" s="9">
        <v>18.940000000000001</v>
      </c>
      <c r="AI144" s="4">
        <v>1</v>
      </c>
    </row>
    <row r="145" spans="20:35">
      <c r="T145" s="9">
        <v>60.9</v>
      </c>
      <c r="U145" s="4">
        <v>1</v>
      </c>
      <c r="AH145" s="9">
        <v>19</v>
      </c>
      <c r="AI145" s="4">
        <v>1</v>
      </c>
    </row>
    <row r="146" spans="20:35">
      <c r="T146" s="9">
        <v>61</v>
      </c>
      <c r="U146" s="4">
        <v>1</v>
      </c>
      <c r="AH146" s="9">
        <v>19.149999999999999</v>
      </c>
      <c r="AI146" s="4">
        <v>1</v>
      </c>
    </row>
    <row r="147" spans="20:35">
      <c r="T147" s="9">
        <v>61.4</v>
      </c>
      <c r="U147" s="4">
        <v>1</v>
      </c>
      <c r="AH147" s="9">
        <v>19.21</v>
      </c>
      <c r="AI147" s="4">
        <v>1</v>
      </c>
    </row>
    <row r="148" spans="20:35">
      <c r="T148" s="9">
        <v>61.5</v>
      </c>
      <c r="U148" s="4">
        <v>1</v>
      </c>
      <c r="AH148" s="9">
        <v>19.309999999999999</v>
      </c>
      <c r="AI148" s="4">
        <v>1</v>
      </c>
    </row>
    <row r="149" spans="20:35">
      <c r="T149" s="9">
        <v>61.6</v>
      </c>
      <c r="U149" s="4">
        <v>1</v>
      </c>
      <c r="AH149" s="9">
        <v>19.329999999999998</v>
      </c>
      <c r="AI149" s="4">
        <v>1</v>
      </c>
    </row>
    <row r="150" spans="20:35">
      <c r="T150" s="9">
        <v>61.7</v>
      </c>
      <c r="U150" s="4">
        <v>1</v>
      </c>
      <c r="AH150" s="9">
        <v>19.36</v>
      </c>
      <c r="AI150" s="4">
        <v>1</v>
      </c>
    </row>
    <row r="151" spans="20:35">
      <c r="T151" s="9">
        <v>62</v>
      </c>
      <c r="U151" s="4">
        <v>2</v>
      </c>
      <c r="AH151" s="9">
        <v>19.38</v>
      </c>
      <c r="AI151" s="4">
        <v>1</v>
      </c>
    </row>
    <row r="152" spans="20:35">
      <c r="T152" s="9">
        <v>62.1</v>
      </c>
      <c r="U152" s="4">
        <v>1</v>
      </c>
      <c r="AH152" s="9">
        <v>19.39</v>
      </c>
      <c r="AI152" s="4">
        <v>1</v>
      </c>
    </row>
    <row r="153" spans="20:35">
      <c r="T153" s="9">
        <v>62.4</v>
      </c>
      <c r="U153" s="4">
        <v>1</v>
      </c>
      <c r="AH153" s="9">
        <v>19.440000000000001</v>
      </c>
      <c r="AI153" s="4">
        <v>1</v>
      </c>
    </row>
    <row r="154" spans="20:35">
      <c r="T154" s="9">
        <v>62.6</v>
      </c>
      <c r="U154" s="4">
        <v>1</v>
      </c>
      <c r="AH154" s="9">
        <v>19.46</v>
      </c>
      <c r="AI154" s="4">
        <v>1</v>
      </c>
    </row>
    <row r="155" spans="20:35">
      <c r="T155" s="9">
        <v>62.7</v>
      </c>
      <c r="U155" s="4">
        <v>1</v>
      </c>
      <c r="AH155" s="9">
        <v>19.510000000000002</v>
      </c>
      <c r="AI155" s="4">
        <v>1</v>
      </c>
    </row>
    <row r="156" spans="20:35">
      <c r="T156" s="9">
        <v>62.8</v>
      </c>
      <c r="U156" s="4">
        <v>1</v>
      </c>
      <c r="AH156" s="9">
        <v>19.690000000000001</v>
      </c>
      <c r="AI156" s="4">
        <v>1</v>
      </c>
    </row>
    <row r="157" spans="20:35">
      <c r="T157" s="9">
        <v>62.9</v>
      </c>
      <c r="U157" s="4">
        <v>1</v>
      </c>
      <c r="AH157" s="9">
        <v>19.829999999999998</v>
      </c>
      <c r="AI157" s="4">
        <v>1</v>
      </c>
    </row>
    <row r="158" spans="20:35">
      <c r="T158" s="9">
        <v>63.1</v>
      </c>
      <c r="U158" s="4">
        <v>1</v>
      </c>
      <c r="AH158" s="9">
        <v>19.84</v>
      </c>
      <c r="AI158" s="4">
        <v>1</v>
      </c>
    </row>
    <row r="159" spans="20:35">
      <c r="T159" s="9">
        <v>63.3</v>
      </c>
      <c r="U159" s="4">
        <v>1</v>
      </c>
      <c r="AH159" s="9">
        <v>19.87</v>
      </c>
      <c r="AI159" s="4">
        <v>1</v>
      </c>
    </row>
    <row r="160" spans="20:35">
      <c r="T160" s="9">
        <v>63.4</v>
      </c>
      <c r="U160" s="4">
        <v>2</v>
      </c>
      <c r="AH160" s="9">
        <v>19.89</v>
      </c>
      <c r="AI160" s="4">
        <v>1</v>
      </c>
    </row>
    <row r="161" spans="20:35">
      <c r="T161" s="9">
        <v>63.5</v>
      </c>
      <c r="U161" s="4">
        <v>2</v>
      </c>
      <c r="AH161" s="9">
        <v>19.93</v>
      </c>
      <c r="AI161" s="4">
        <v>2</v>
      </c>
    </row>
    <row r="162" spans="20:35">
      <c r="T162" s="9">
        <v>63.6</v>
      </c>
      <c r="U162" s="4">
        <v>3</v>
      </c>
      <c r="AH162" s="9">
        <v>19.96</v>
      </c>
      <c r="AI162" s="4">
        <v>1</v>
      </c>
    </row>
    <row r="163" spans="20:35">
      <c r="T163" s="9">
        <v>63.8</v>
      </c>
      <c r="U163" s="4">
        <v>1</v>
      </c>
      <c r="AH163" s="9">
        <v>20</v>
      </c>
      <c r="AI163" s="4">
        <v>1</v>
      </c>
    </row>
    <row r="164" spans="20:35">
      <c r="T164" s="9">
        <v>64</v>
      </c>
      <c r="U164" s="4">
        <v>1</v>
      </c>
      <c r="AH164" s="9">
        <v>20.21</v>
      </c>
      <c r="AI164" s="4">
        <v>1</v>
      </c>
    </row>
    <row r="165" spans="20:35">
      <c r="T165" s="9">
        <v>64.3</v>
      </c>
      <c r="U165" s="4">
        <v>1</v>
      </c>
      <c r="AH165" s="9">
        <v>20.23</v>
      </c>
      <c r="AI165" s="4">
        <v>1</v>
      </c>
    </row>
    <row r="166" spans="20:35">
      <c r="T166" s="9">
        <v>64.5</v>
      </c>
      <c r="U166" s="4">
        <v>1</v>
      </c>
      <c r="AH166" s="9">
        <v>20.239999999999998</v>
      </c>
      <c r="AI166" s="4">
        <v>1</v>
      </c>
    </row>
    <row r="167" spans="20:35">
      <c r="T167" s="9">
        <v>64.599999999999994</v>
      </c>
      <c r="U167" s="4">
        <v>1</v>
      </c>
      <c r="AH167" s="9">
        <v>20.3</v>
      </c>
      <c r="AI167" s="4">
        <v>1</v>
      </c>
    </row>
    <row r="168" spans="20:35">
      <c r="T168" s="9">
        <v>64.7</v>
      </c>
      <c r="U168" s="4">
        <v>2</v>
      </c>
      <c r="AH168" s="9">
        <v>20.309999999999999</v>
      </c>
      <c r="AI168" s="4">
        <v>1</v>
      </c>
    </row>
    <row r="169" spans="20:35">
      <c r="T169" s="9">
        <v>64.900000000000006</v>
      </c>
      <c r="U169" s="4">
        <v>1</v>
      </c>
      <c r="AH169" s="9">
        <v>20.32</v>
      </c>
      <c r="AI169" s="4">
        <v>1</v>
      </c>
    </row>
    <row r="170" spans="20:35">
      <c r="T170" s="9">
        <v>65</v>
      </c>
      <c r="U170" s="4">
        <v>1</v>
      </c>
      <c r="AH170" s="9">
        <v>20.350000000000001</v>
      </c>
      <c r="AI170" s="4">
        <v>1</v>
      </c>
    </row>
    <row r="171" spans="20:35">
      <c r="T171" s="9">
        <v>65.3</v>
      </c>
      <c r="U171" s="4">
        <v>1</v>
      </c>
      <c r="AH171" s="9">
        <v>20.43</v>
      </c>
      <c r="AI171" s="4">
        <v>1</v>
      </c>
    </row>
    <row r="172" spans="20:35">
      <c r="T172" s="9">
        <v>65.5</v>
      </c>
      <c r="U172" s="4">
        <v>1</v>
      </c>
      <c r="AH172" s="9">
        <v>20.49</v>
      </c>
      <c r="AI172" s="4">
        <v>1</v>
      </c>
    </row>
    <row r="173" spans="20:35">
      <c r="T173" s="9">
        <v>65.900000000000006</v>
      </c>
      <c r="U173" s="4">
        <v>1</v>
      </c>
      <c r="AH173" s="9">
        <v>20.51</v>
      </c>
      <c r="AI173" s="4">
        <v>1</v>
      </c>
    </row>
    <row r="174" spans="20:35">
      <c r="T174" s="9">
        <v>66</v>
      </c>
      <c r="U174" s="4">
        <v>1</v>
      </c>
      <c r="AH174" s="9">
        <v>20.53</v>
      </c>
      <c r="AI174" s="4">
        <v>1</v>
      </c>
    </row>
    <row r="175" spans="20:35">
      <c r="T175" s="9">
        <v>66.2</v>
      </c>
      <c r="U175" s="4">
        <v>2</v>
      </c>
      <c r="AH175" s="9">
        <v>20.57</v>
      </c>
      <c r="AI175" s="4">
        <v>1</v>
      </c>
    </row>
    <row r="176" spans="20:35">
      <c r="T176" s="9">
        <v>66.900000000000006</v>
      </c>
      <c r="U176" s="4">
        <v>1</v>
      </c>
      <c r="AH176" s="9">
        <v>20.61</v>
      </c>
      <c r="AI176" s="4">
        <v>2</v>
      </c>
    </row>
    <row r="177" spans="20:35">
      <c r="T177" s="9">
        <v>67.099999999999994</v>
      </c>
      <c r="U177" s="4">
        <v>1</v>
      </c>
      <c r="AH177" s="9">
        <v>20.67</v>
      </c>
      <c r="AI177" s="4">
        <v>1</v>
      </c>
    </row>
    <row r="178" spans="20:35">
      <c r="T178" s="9">
        <v>67.2</v>
      </c>
      <c r="U178" s="4">
        <v>1</v>
      </c>
      <c r="AH178" s="9">
        <v>20.68</v>
      </c>
      <c r="AI178" s="4">
        <v>1</v>
      </c>
    </row>
    <row r="179" spans="20:35">
      <c r="T179" s="9">
        <v>67.3</v>
      </c>
      <c r="U179" s="4">
        <v>2</v>
      </c>
      <c r="AH179" s="9">
        <v>20.75</v>
      </c>
      <c r="AI179" s="4">
        <v>1</v>
      </c>
    </row>
    <row r="180" spans="20:35">
      <c r="T180" s="9">
        <v>67.400000000000006</v>
      </c>
      <c r="U180" s="4">
        <v>1</v>
      </c>
      <c r="AH180" s="9">
        <v>20.76</v>
      </c>
      <c r="AI180" s="4">
        <v>1</v>
      </c>
    </row>
    <row r="181" spans="20:35">
      <c r="T181" s="9">
        <v>67.7</v>
      </c>
      <c r="U181" s="4">
        <v>1</v>
      </c>
      <c r="AH181" s="9">
        <v>20.77</v>
      </c>
      <c r="AI181" s="4">
        <v>1</v>
      </c>
    </row>
    <row r="182" spans="20:35">
      <c r="T182" s="9">
        <v>67.8</v>
      </c>
      <c r="U182" s="4">
        <v>1</v>
      </c>
      <c r="AH182" s="9">
        <v>20.81</v>
      </c>
      <c r="AI182" s="4">
        <v>1</v>
      </c>
    </row>
    <row r="183" spans="20:35">
      <c r="T183" s="9">
        <v>67.900000000000006</v>
      </c>
      <c r="U183" s="4">
        <v>1</v>
      </c>
      <c r="AH183" s="9">
        <v>20.85</v>
      </c>
      <c r="AI183" s="4">
        <v>2</v>
      </c>
    </row>
    <row r="184" spans="20:35">
      <c r="T184" s="9">
        <v>68.099999999999994</v>
      </c>
      <c r="U184" s="4">
        <v>1</v>
      </c>
      <c r="AH184" s="9">
        <v>20.88</v>
      </c>
      <c r="AI184" s="4">
        <v>1</v>
      </c>
    </row>
    <row r="185" spans="20:35">
      <c r="T185" s="9">
        <v>68.3</v>
      </c>
      <c r="U185" s="4">
        <v>2</v>
      </c>
      <c r="AH185" s="9">
        <v>20.89</v>
      </c>
      <c r="AI185" s="4">
        <v>1</v>
      </c>
    </row>
    <row r="186" spans="20:35">
      <c r="T186" s="9">
        <v>68.400000000000006</v>
      </c>
      <c r="U186" s="4">
        <v>2</v>
      </c>
      <c r="AH186" s="9">
        <v>20.94</v>
      </c>
      <c r="AI186" s="4">
        <v>2</v>
      </c>
    </row>
    <row r="187" spans="20:35">
      <c r="T187" s="9">
        <v>68.5</v>
      </c>
      <c r="U187" s="4">
        <v>2</v>
      </c>
      <c r="AH187" s="9">
        <v>20.95</v>
      </c>
      <c r="AI187" s="4">
        <v>1</v>
      </c>
    </row>
    <row r="188" spans="20:35">
      <c r="T188" s="9">
        <v>68.8</v>
      </c>
      <c r="U188" s="4">
        <v>1</v>
      </c>
      <c r="AH188" s="9">
        <v>21</v>
      </c>
      <c r="AI188" s="4">
        <v>1</v>
      </c>
    </row>
    <row r="189" spans="20:35">
      <c r="T189" s="9">
        <v>69</v>
      </c>
      <c r="U189" s="4">
        <v>1</v>
      </c>
      <c r="AH189" s="9">
        <v>21.14</v>
      </c>
      <c r="AI189" s="4">
        <v>1</v>
      </c>
    </row>
    <row r="190" spans="20:35">
      <c r="T190" s="9">
        <v>69.3</v>
      </c>
      <c r="U190" s="4">
        <v>1</v>
      </c>
      <c r="AH190" s="9">
        <v>21.16</v>
      </c>
      <c r="AI190" s="4">
        <v>1</v>
      </c>
    </row>
    <row r="191" spans="20:35">
      <c r="T191" s="9">
        <v>69.5</v>
      </c>
      <c r="U191" s="4">
        <v>3</v>
      </c>
      <c r="AH191" s="9">
        <v>21.17</v>
      </c>
      <c r="AI191" s="4">
        <v>2</v>
      </c>
    </row>
    <row r="192" spans="20:35">
      <c r="T192" s="9">
        <v>69.599999999999994</v>
      </c>
      <c r="U192" s="4">
        <v>1</v>
      </c>
      <c r="AH192" s="9">
        <v>21.23</v>
      </c>
      <c r="AI192" s="4">
        <v>1</v>
      </c>
    </row>
    <row r="193" spans="20:35">
      <c r="T193" s="9">
        <v>69.8</v>
      </c>
      <c r="U193" s="4">
        <v>1</v>
      </c>
      <c r="AH193" s="9">
        <v>21.24</v>
      </c>
      <c r="AI193" s="4">
        <v>1</v>
      </c>
    </row>
    <row r="194" spans="20:35">
      <c r="T194" s="9">
        <v>69.900000000000006</v>
      </c>
      <c r="U194" s="4">
        <v>2</v>
      </c>
      <c r="AH194" s="9">
        <v>21.25</v>
      </c>
      <c r="AI194" s="4">
        <v>1</v>
      </c>
    </row>
    <row r="195" spans="20:35">
      <c r="T195" s="9">
        <v>70</v>
      </c>
      <c r="U195" s="4">
        <v>1</v>
      </c>
      <c r="AH195" s="9">
        <v>21.29</v>
      </c>
      <c r="AI195" s="4">
        <v>2</v>
      </c>
    </row>
    <row r="196" spans="20:35">
      <c r="T196" s="9">
        <v>70.2</v>
      </c>
      <c r="U196" s="4">
        <v>1</v>
      </c>
      <c r="AH196" s="9">
        <v>21.35</v>
      </c>
      <c r="AI196" s="4">
        <v>1</v>
      </c>
    </row>
    <row r="197" spans="20:35">
      <c r="T197" s="9">
        <v>70.3</v>
      </c>
      <c r="U197" s="4">
        <v>2</v>
      </c>
      <c r="AH197" s="9">
        <v>21.36</v>
      </c>
      <c r="AI197" s="4">
        <v>1</v>
      </c>
    </row>
    <row r="198" spans="20:35">
      <c r="T198" s="9">
        <v>70.599999999999994</v>
      </c>
      <c r="U198" s="4">
        <v>2</v>
      </c>
      <c r="AH198" s="9">
        <v>21.37</v>
      </c>
      <c r="AI198" s="4">
        <v>1</v>
      </c>
    </row>
    <row r="199" spans="20:35">
      <c r="T199" s="9">
        <v>70.8</v>
      </c>
      <c r="U199" s="4">
        <v>1</v>
      </c>
      <c r="AH199" s="9">
        <v>21.42</v>
      </c>
      <c r="AI199" s="4">
        <v>1</v>
      </c>
    </row>
    <row r="200" spans="20:35">
      <c r="T200" s="9">
        <v>71.099999999999994</v>
      </c>
      <c r="U200" s="4">
        <v>2</v>
      </c>
      <c r="AH200" s="9">
        <v>21.43</v>
      </c>
      <c r="AI200" s="4">
        <v>1</v>
      </c>
    </row>
    <row r="201" spans="20:35">
      <c r="T201" s="9">
        <v>71.599999999999994</v>
      </c>
      <c r="U201" s="4">
        <v>1</v>
      </c>
      <c r="AH201" s="9">
        <v>21.44</v>
      </c>
      <c r="AI201" s="4">
        <v>2</v>
      </c>
    </row>
    <row r="202" spans="20:35">
      <c r="T202" s="9">
        <v>71.900000000000006</v>
      </c>
      <c r="U202" s="4">
        <v>2</v>
      </c>
      <c r="AH202" s="9">
        <v>21.46</v>
      </c>
      <c r="AI202" s="4">
        <v>1</v>
      </c>
    </row>
    <row r="203" spans="20:35">
      <c r="T203" s="9">
        <v>72.2</v>
      </c>
      <c r="U203" s="4">
        <v>3</v>
      </c>
      <c r="AH203" s="9">
        <v>21.47</v>
      </c>
      <c r="AI203" s="4">
        <v>1</v>
      </c>
    </row>
    <row r="204" spans="20:35">
      <c r="T204" s="9">
        <v>72.3</v>
      </c>
      <c r="U204" s="4">
        <v>2</v>
      </c>
      <c r="AH204" s="9">
        <v>21.49</v>
      </c>
      <c r="AI204" s="4">
        <v>1</v>
      </c>
    </row>
    <row r="205" spans="20:35">
      <c r="T205" s="9">
        <v>72.5</v>
      </c>
      <c r="U205" s="4">
        <v>1</v>
      </c>
      <c r="AH205" s="9">
        <v>21.53</v>
      </c>
      <c r="AI205" s="4">
        <v>1</v>
      </c>
    </row>
    <row r="206" spans="20:35">
      <c r="T206" s="9">
        <v>72.599999999999994</v>
      </c>
      <c r="U206" s="4">
        <v>1</v>
      </c>
      <c r="AH206" s="9">
        <v>21.74</v>
      </c>
      <c r="AI206" s="4">
        <v>1</v>
      </c>
    </row>
    <row r="207" spans="20:35">
      <c r="T207" s="9">
        <v>72.7</v>
      </c>
      <c r="U207" s="4">
        <v>2</v>
      </c>
      <c r="AH207" s="9">
        <v>21.78</v>
      </c>
      <c r="AI207" s="4">
        <v>1</v>
      </c>
    </row>
    <row r="208" spans="20:35">
      <c r="T208" s="9">
        <v>72.900000000000006</v>
      </c>
      <c r="U208" s="4">
        <v>1</v>
      </c>
      <c r="AH208" s="9">
        <v>21.82</v>
      </c>
      <c r="AI208" s="4">
        <v>2</v>
      </c>
    </row>
    <row r="209" spans="20:35">
      <c r="T209" s="9">
        <v>73.099999999999994</v>
      </c>
      <c r="U209" s="4">
        <v>2</v>
      </c>
      <c r="AH209" s="9">
        <v>22</v>
      </c>
      <c r="AI209" s="4">
        <v>1</v>
      </c>
    </row>
    <row r="210" spans="20:35">
      <c r="T210" s="9">
        <v>73.599999999999994</v>
      </c>
      <c r="U210" s="4">
        <v>1</v>
      </c>
      <c r="AH210" s="9">
        <v>22.01</v>
      </c>
      <c r="AI210" s="4">
        <v>1</v>
      </c>
    </row>
    <row r="211" spans="20:35">
      <c r="T211" s="9">
        <v>73.7</v>
      </c>
      <c r="U211" s="4">
        <v>3</v>
      </c>
      <c r="AH211" s="9">
        <v>22.13</v>
      </c>
      <c r="AI211" s="4">
        <v>1</v>
      </c>
    </row>
    <row r="212" spans="20:35">
      <c r="T212" s="9">
        <v>73.900000000000006</v>
      </c>
      <c r="U212" s="4">
        <v>1</v>
      </c>
      <c r="AH212" s="9">
        <v>22.26</v>
      </c>
      <c r="AI212" s="4">
        <v>1</v>
      </c>
    </row>
    <row r="213" spans="20:35">
      <c r="T213" s="9">
        <v>74</v>
      </c>
      <c r="U213" s="4">
        <v>2</v>
      </c>
      <c r="AH213" s="9">
        <v>22.33</v>
      </c>
      <c r="AI213" s="4">
        <v>1</v>
      </c>
    </row>
    <row r="214" spans="20:35">
      <c r="T214" s="9">
        <v>74.099999999999994</v>
      </c>
      <c r="U214" s="4">
        <v>1</v>
      </c>
      <c r="AH214" s="9">
        <v>22.35</v>
      </c>
      <c r="AI214" s="4">
        <v>1</v>
      </c>
    </row>
    <row r="215" spans="20:35">
      <c r="T215" s="9">
        <v>74.400000000000006</v>
      </c>
      <c r="U215" s="4">
        <v>1</v>
      </c>
      <c r="AH215" s="9">
        <v>22.39</v>
      </c>
      <c r="AI215" s="4">
        <v>1</v>
      </c>
    </row>
    <row r="216" spans="20:35">
      <c r="T216" s="9">
        <v>74.900000000000006</v>
      </c>
      <c r="U216" s="4">
        <v>1</v>
      </c>
      <c r="AH216" s="9">
        <v>22.43</v>
      </c>
      <c r="AI216" s="4">
        <v>1</v>
      </c>
    </row>
    <row r="217" spans="20:35">
      <c r="T217" s="9">
        <v>75.099999999999994</v>
      </c>
      <c r="U217" s="4">
        <v>1</v>
      </c>
      <c r="AH217" s="9">
        <v>22.44</v>
      </c>
      <c r="AI217" s="4">
        <v>1</v>
      </c>
    </row>
    <row r="218" spans="20:35">
      <c r="T218" s="9">
        <v>75.2</v>
      </c>
      <c r="U218" s="4">
        <v>2</v>
      </c>
      <c r="AH218" s="9">
        <v>22.49</v>
      </c>
      <c r="AI218" s="4">
        <v>1</v>
      </c>
    </row>
    <row r="219" spans="20:35">
      <c r="T219" s="9">
        <v>75.599999999999994</v>
      </c>
      <c r="U219" s="4">
        <v>1</v>
      </c>
      <c r="AH219" s="9">
        <v>22.51</v>
      </c>
      <c r="AI219" s="4">
        <v>1</v>
      </c>
    </row>
    <row r="220" spans="20:35">
      <c r="T220" s="9">
        <v>75.7</v>
      </c>
      <c r="U220" s="4">
        <v>2</v>
      </c>
      <c r="AH220" s="9">
        <v>22.53</v>
      </c>
      <c r="AI220" s="4">
        <v>1</v>
      </c>
    </row>
    <row r="221" spans="20:35">
      <c r="T221" s="9">
        <v>75.8</v>
      </c>
      <c r="U221" s="4">
        <v>2</v>
      </c>
      <c r="AH221" s="9">
        <v>22.58</v>
      </c>
      <c r="AI221" s="4">
        <v>1</v>
      </c>
    </row>
    <row r="222" spans="20:35">
      <c r="T222" s="9">
        <v>75.900000000000006</v>
      </c>
      <c r="U222" s="4">
        <v>1</v>
      </c>
      <c r="AH222" s="9">
        <v>22.63</v>
      </c>
      <c r="AI222" s="4">
        <v>1</v>
      </c>
    </row>
    <row r="223" spans="20:35">
      <c r="T223" s="9">
        <v>76.2</v>
      </c>
      <c r="U223" s="4">
        <v>1</v>
      </c>
      <c r="AH223" s="9">
        <v>22.64</v>
      </c>
      <c r="AI223" s="4">
        <v>1</v>
      </c>
    </row>
    <row r="224" spans="20:35">
      <c r="T224" s="9">
        <v>76.3</v>
      </c>
      <c r="U224" s="4">
        <v>2</v>
      </c>
      <c r="AH224" s="9">
        <v>22.68</v>
      </c>
      <c r="AI224" s="4">
        <v>1</v>
      </c>
    </row>
    <row r="225" spans="20:35">
      <c r="T225" s="9">
        <v>76.7</v>
      </c>
      <c r="U225" s="4">
        <v>1</v>
      </c>
      <c r="AH225" s="9">
        <v>22.69</v>
      </c>
      <c r="AI225" s="4">
        <v>1</v>
      </c>
    </row>
    <row r="226" spans="20:35">
      <c r="T226" s="9">
        <v>76.8</v>
      </c>
      <c r="U226" s="4">
        <v>1</v>
      </c>
      <c r="AH226" s="9">
        <v>22.71</v>
      </c>
      <c r="AI226" s="4">
        <v>1</v>
      </c>
    </row>
    <row r="227" spans="20:35">
      <c r="T227" s="9">
        <v>76.900000000000006</v>
      </c>
      <c r="U227" s="4">
        <v>2</v>
      </c>
      <c r="AH227" s="9">
        <v>22.84</v>
      </c>
      <c r="AI227" s="4">
        <v>1</v>
      </c>
    </row>
    <row r="228" spans="20:35">
      <c r="T228" s="9">
        <v>77.3</v>
      </c>
      <c r="U228" s="4">
        <v>2</v>
      </c>
      <c r="AH228" s="9">
        <v>22.85</v>
      </c>
      <c r="AI228" s="4">
        <v>1</v>
      </c>
    </row>
    <row r="229" spans="20:35">
      <c r="T229" s="9">
        <v>77.5</v>
      </c>
      <c r="U229" s="4">
        <v>1</v>
      </c>
      <c r="AH229" s="9">
        <v>22.88</v>
      </c>
      <c r="AI229" s="4">
        <v>1</v>
      </c>
    </row>
    <row r="230" spans="20:35">
      <c r="T230" s="9">
        <v>77.599999999999994</v>
      </c>
      <c r="U230" s="4">
        <v>4</v>
      </c>
      <c r="AH230" s="9">
        <v>22.98</v>
      </c>
      <c r="AI230" s="4">
        <v>1</v>
      </c>
    </row>
    <row r="231" spans="20:35">
      <c r="T231" s="9">
        <v>77.8</v>
      </c>
      <c r="U231" s="4">
        <v>2</v>
      </c>
      <c r="AH231" s="9">
        <v>23</v>
      </c>
      <c r="AI231" s="4">
        <v>1</v>
      </c>
    </row>
    <row r="232" spans="20:35">
      <c r="T232" s="9">
        <v>77.900000000000006</v>
      </c>
      <c r="U232" s="4">
        <v>1</v>
      </c>
      <c r="AH232" s="9">
        <v>23.08</v>
      </c>
      <c r="AI232" s="4">
        <v>2</v>
      </c>
    </row>
    <row r="233" spans="20:35">
      <c r="T233" s="9">
        <v>78</v>
      </c>
      <c r="U233" s="4">
        <v>1</v>
      </c>
      <c r="AH233" s="9">
        <v>23.13</v>
      </c>
      <c r="AI233" s="4">
        <v>1</v>
      </c>
    </row>
    <row r="234" spans="20:35">
      <c r="T234" s="9">
        <v>78.099999999999994</v>
      </c>
      <c r="U234" s="4">
        <v>1</v>
      </c>
      <c r="AH234" s="9">
        <v>23.16</v>
      </c>
      <c r="AI234" s="4">
        <v>1</v>
      </c>
    </row>
    <row r="235" spans="20:35">
      <c r="T235" s="9">
        <v>78.400000000000006</v>
      </c>
      <c r="U235" s="4">
        <v>1</v>
      </c>
      <c r="AH235" s="9">
        <v>23.17</v>
      </c>
      <c r="AI235" s="4">
        <v>1</v>
      </c>
    </row>
    <row r="236" spans="20:35">
      <c r="T236" s="9">
        <v>78.8</v>
      </c>
      <c r="U236" s="4">
        <v>4</v>
      </c>
      <c r="AH236" s="9">
        <v>23.31</v>
      </c>
      <c r="AI236" s="4">
        <v>1</v>
      </c>
    </row>
    <row r="237" spans="20:35">
      <c r="T237" s="9">
        <v>79</v>
      </c>
      <c r="U237" s="4">
        <v>3</v>
      </c>
      <c r="AH237" s="9">
        <v>23.33</v>
      </c>
      <c r="AI237" s="4">
        <v>1</v>
      </c>
    </row>
    <row r="238" spans="20:35">
      <c r="T238" s="9">
        <v>79.2</v>
      </c>
      <c r="U238" s="4">
        <v>1</v>
      </c>
      <c r="AH238" s="9">
        <v>23.34</v>
      </c>
      <c r="AI238" s="4">
        <v>2</v>
      </c>
    </row>
    <row r="239" spans="20:35">
      <c r="T239" s="9">
        <v>79.3</v>
      </c>
      <c r="U239" s="4">
        <v>1</v>
      </c>
      <c r="AH239" s="9">
        <v>23.42</v>
      </c>
      <c r="AI239" s="4">
        <v>1</v>
      </c>
    </row>
    <row r="240" spans="20:35">
      <c r="T240" s="9">
        <v>79.400000000000006</v>
      </c>
      <c r="U240" s="4">
        <v>1</v>
      </c>
      <c r="AH240" s="9">
        <v>23.43</v>
      </c>
      <c r="AI240" s="4">
        <v>1</v>
      </c>
    </row>
    <row r="241" spans="20:35">
      <c r="T241" s="9">
        <v>79.5</v>
      </c>
      <c r="U241" s="4">
        <v>1</v>
      </c>
      <c r="AH241" s="9">
        <v>23.47</v>
      </c>
      <c r="AI241" s="4">
        <v>1</v>
      </c>
    </row>
    <row r="242" spans="20:35">
      <c r="T242" s="9">
        <v>79.7</v>
      </c>
      <c r="U242" s="4">
        <v>1</v>
      </c>
      <c r="AH242" s="9">
        <v>23.51</v>
      </c>
      <c r="AI242" s="4">
        <v>1</v>
      </c>
    </row>
    <row r="243" spans="20:35">
      <c r="T243" s="9">
        <v>80</v>
      </c>
      <c r="U243" s="4">
        <v>2</v>
      </c>
      <c r="AH243" s="9">
        <v>23.53</v>
      </c>
      <c r="AI243" s="4">
        <v>1</v>
      </c>
    </row>
    <row r="244" spans="20:35">
      <c r="T244" s="9">
        <v>80.2</v>
      </c>
      <c r="U244" s="4">
        <v>2</v>
      </c>
      <c r="AH244" s="9">
        <v>23.54</v>
      </c>
      <c r="AI244" s="4">
        <v>2</v>
      </c>
    </row>
    <row r="245" spans="20:35">
      <c r="T245" s="9">
        <v>80.3</v>
      </c>
      <c r="U245" s="4">
        <v>2</v>
      </c>
      <c r="AH245" s="9">
        <v>23.59</v>
      </c>
      <c r="AI245" s="4">
        <v>1</v>
      </c>
    </row>
    <row r="246" spans="20:35">
      <c r="T246" s="9">
        <v>80.400000000000006</v>
      </c>
      <c r="U246" s="4">
        <v>1</v>
      </c>
      <c r="AH246" s="9">
        <v>23.65</v>
      </c>
      <c r="AI246" s="4">
        <v>2</v>
      </c>
    </row>
    <row r="247" spans="20:35">
      <c r="T247" s="9">
        <v>80.7</v>
      </c>
      <c r="U247" s="4">
        <v>2</v>
      </c>
      <c r="AH247" s="9">
        <v>23.73</v>
      </c>
      <c r="AI247" s="4">
        <v>1</v>
      </c>
    </row>
    <row r="248" spans="20:35">
      <c r="T248" s="9">
        <v>81</v>
      </c>
      <c r="U248" s="4">
        <v>2</v>
      </c>
      <c r="AH248" s="9">
        <v>23.77</v>
      </c>
      <c r="AI248" s="4">
        <v>1</v>
      </c>
    </row>
    <row r="249" spans="20:35">
      <c r="T249" s="9">
        <v>81.099999999999994</v>
      </c>
      <c r="U249" s="4">
        <v>1</v>
      </c>
      <c r="AH249" s="9">
        <v>23.79</v>
      </c>
      <c r="AI249" s="4">
        <v>1</v>
      </c>
    </row>
    <row r="250" spans="20:35">
      <c r="T250" s="9">
        <v>81.2</v>
      </c>
      <c r="U250" s="4">
        <v>2</v>
      </c>
      <c r="AH250" s="9">
        <v>23.81</v>
      </c>
      <c r="AI250" s="4">
        <v>1</v>
      </c>
    </row>
    <row r="251" spans="20:35">
      <c r="T251" s="9">
        <v>81.3</v>
      </c>
      <c r="U251" s="4">
        <v>1</v>
      </c>
      <c r="AH251" s="9">
        <v>23.84</v>
      </c>
      <c r="AI251" s="4">
        <v>1</v>
      </c>
    </row>
    <row r="252" spans="20:35">
      <c r="T252" s="9">
        <v>81.5</v>
      </c>
      <c r="U252" s="4">
        <v>1</v>
      </c>
      <c r="AH252" s="9">
        <v>23.88</v>
      </c>
      <c r="AI252" s="4">
        <v>1</v>
      </c>
    </row>
    <row r="253" spans="20:35">
      <c r="T253" s="9">
        <v>81.599999999999994</v>
      </c>
      <c r="U253" s="4">
        <v>3</v>
      </c>
      <c r="AH253" s="9">
        <v>23.9</v>
      </c>
      <c r="AI253" s="4">
        <v>1</v>
      </c>
    </row>
    <row r="254" spans="20:35">
      <c r="T254" s="9">
        <v>81.7</v>
      </c>
      <c r="U254" s="4">
        <v>1</v>
      </c>
      <c r="AH254" s="9">
        <v>23.96</v>
      </c>
      <c r="AI254" s="4">
        <v>1</v>
      </c>
    </row>
    <row r="255" spans="20:35">
      <c r="T255" s="9">
        <v>81.8</v>
      </c>
      <c r="U255" s="4">
        <v>1</v>
      </c>
      <c r="AH255" s="9">
        <v>23.99</v>
      </c>
      <c r="AI255" s="4">
        <v>1</v>
      </c>
    </row>
    <row r="256" spans="20:35">
      <c r="T256" s="9">
        <v>82</v>
      </c>
      <c r="U256" s="4">
        <v>2</v>
      </c>
      <c r="AH256" s="9">
        <v>24</v>
      </c>
      <c r="AI256" s="4">
        <v>1</v>
      </c>
    </row>
    <row r="257" spans="20:35">
      <c r="T257" s="9">
        <v>82.1</v>
      </c>
      <c r="U257" s="4">
        <v>1</v>
      </c>
      <c r="AH257" s="9">
        <v>24.11</v>
      </c>
      <c r="AI257" s="4">
        <v>1</v>
      </c>
    </row>
    <row r="258" spans="20:35">
      <c r="T258" s="9">
        <v>82.2</v>
      </c>
      <c r="U258" s="4">
        <v>2</v>
      </c>
      <c r="AH258" s="9">
        <v>24.17</v>
      </c>
      <c r="AI258" s="4">
        <v>1</v>
      </c>
    </row>
    <row r="259" spans="20:35">
      <c r="T259" s="9">
        <v>82.5</v>
      </c>
      <c r="U259" s="4">
        <v>2</v>
      </c>
      <c r="AH259" s="9">
        <v>24.18</v>
      </c>
      <c r="AI259" s="4">
        <v>1</v>
      </c>
    </row>
    <row r="260" spans="20:35">
      <c r="T260" s="9">
        <v>82.7</v>
      </c>
      <c r="U260" s="4">
        <v>1</v>
      </c>
      <c r="AH260" s="9">
        <v>24.26</v>
      </c>
      <c r="AI260" s="4">
        <v>1</v>
      </c>
    </row>
    <row r="261" spans="20:35">
      <c r="T261" s="9">
        <v>83</v>
      </c>
      <c r="U261" s="4">
        <v>1</v>
      </c>
      <c r="AH261" s="9">
        <v>24.28</v>
      </c>
      <c r="AI261" s="4">
        <v>2</v>
      </c>
    </row>
    <row r="262" spans="20:35">
      <c r="T262" s="9">
        <v>83.2</v>
      </c>
      <c r="U262" s="4">
        <v>1</v>
      </c>
      <c r="AH262" s="9">
        <v>24.34</v>
      </c>
      <c r="AI262" s="4">
        <v>1</v>
      </c>
    </row>
    <row r="263" spans="20:35">
      <c r="T263" s="9">
        <v>83.4</v>
      </c>
      <c r="U263" s="4">
        <v>2</v>
      </c>
      <c r="AH263" s="9">
        <v>24.43</v>
      </c>
      <c r="AI263" s="4">
        <v>1</v>
      </c>
    </row>
    <row r="264" spans="20:35">
      <c r="T264" s="9">
        <v>83.8</v>
      </c>
      <c r="U264" s="4">
        <v>1</v>
      </c>
      <c r="AH264" s="9">
        <v>24.44</v>
      </c>
      <c r="AI264" s="4">
        <v>1</v>
      </c>
    </row>
    <row r="265" spans="20:35">
      <c r="T265" s="9">
        <v>84</v>
      </c>
      <c r="U265" s="4">
        <v>2</v>
      </c>
      <c r="AH265" s="9">
        <v>24.45</v>
      </c>
      <c r="AI265" s="4">
        <v>1</v>
      </c>
    </row>
    <row r="266" spans="20:35">
      <c r="T266" s="9">
        <v>84.1</v>
      </c>
      <c r="U266" s="4">
        <v>1</v>
      </c>
      <c r="AH266" s="9">
        <v>24.54</v>
      </c>
      <c r="AI266" s="4">
        <v>1</v>
      </c>
    </row>
    <row r="267" spans="20:35">
      <c r="T267" s="9">
        <v>84.3</v>
      </c>
      <c r="U267" s="4">
        <v>1</v>
      </c>
      <c r="AH267" s="9">
        <v>24.62</v>
      </c>
      <c r="AI267" s="4">
        <v>1</v>
      </c>
    </row>
    <row r="268" spans="20:35">
      <c r="T268" s="9">
        <v>84.5</v>
      </c>
      <c r="U268" s="4">
        <v>2</v>
      </c>
      <c r="AH268" s="9">
        <v>24.64</v>
      </c>
      <c r="AI268" s="4">
        <v>1</v>
      </c>
    </row>
    <row r="269" spans="20:35">
      <c r="T269" s="9">
        <v>84.8</v>
      </c>
      <c r="U269" s="4">
        <v>2</v>
      </c>
      <c r="AH269" s="9">
        <v>24.65</v>
      </c>
      <c r="AI269" s="4">
        <v>1</v>
      </c>
    </row>
    <row r="270" spans="20:35">
      <c r="T270" s="9">
        <v>84.9</v>
      </c>
      <c r="U270" s="4">
        <v>1</v>
      </c>
      <c r="AH270" s="9">
        <v>24.75</v>
      </c>
      <c r="AI270" s="4">
        <v>1</v>
      </c>
    </row>
    <row r="271" spans="20:35">
      <c r="T271" s="9">
        <v>85.1</v>
      </c>
      <c r="U271" s="4">
        <v>1</v>
      </c>
      <c r="AH271" s="9">
        <v>24.78</v>
      </c>
      <c r="AI271" s="4">
        <v>1</v>
      </c>
    </row>
    <row r="272" spans="20:35">
      <c r="T272" s="9">
        <v>85.2</v>
      </c>
      <c r="U272" s="4">
        <v>2</v>
      </c>
      <c r="AH272" s="9">
        <v>24.81</v>
      </c>
      <c r="AI272" s="4">
        <v>2</v>
      </c>
    </row>
    <row r="273" spans="20:35">
      <c r="T273" s="9">
        <v>85.5</v>
      </c>
      <c r="U273" s="4">
        <v>1</v>
      </c>
      <c r="AH273" s="9">
        <v>24.87</v>
      </c>
      <c r="AI273" s="4">
        <v>1</v>
      </c>
    </row>
    <row r="274" spans="20:35">
      <c r="T274" s="9">
        <v>85.6</v>
      </c>
      <c r="U274" s="4">
        <v>1</v>
      </c>
      <c r="AH274" s="9">
        <v>24.88</v>
      </c>
      <c r="AI274" s="4">
        <v>1</v>
      </c>
    </row>
    <row r="275" spans="20:35">
      <c r="T275" s="9">
        <v>85.7</v>
      </c>
      <c r="U275" s="4">
        <v>2</v>
      </c>
      <c r="AH275" s="9">
        <v>24.96</v>
      </c>
      <c r="AI275" s="4">
        <v>2</v>
      </c>
    </row>
    <row r="276" spans="20:35">
      <c r="T276" s="9">
        <v>86</v>
      </c>
      <c r="U276" s="4">
        <v>1</v>
      </c>
      <c r="AH276" s="9">
        <v>24.99</v>
      </c>
      <c r="AI276" s="4">
        <v>1</v>
      </c>
    </row>
    <row r="277" spans="20:35">
      <c r="T277" s="9">
        <v>86.1</v>
      </c>
      <c r="U277" s="4">
        <v>1</v>
      </c>
      <c r="AH277" s="9">
        <v>25.13</v>
      </c>
      <c r="AI277" s="4">
        <v>2</v>
      </c>
    </row>
    <row r="278" spans="20:35">
      <c r="T278" s="9">
        <v>86.2</v>
      </c>
      <c r="U278" s="4">
        <v>1</v>
      </c>
      <c r="AH278" s="9">
        <v>25.17</v>
      </c>
      <c r="AI278" s="4">
        <v>1</v>
      </c>
    </row>
    <row r="279" spans="20:35">
      <c r="T279" s="9">
        <v>86.4</v>
      </c>
      <c r="U279" s="4">
        <v>2</v>
      </c>
      <c r="AH279" s="9">
        <v>25.18</v>
      </c>
      <c r="AI279" s="4">
        <v>1</v>
      </c>
    </row>
    <row r="280" spans="20:35">
      <c r="T280" s="9">
        <v>86.6</v>
      </c>
      <c r="U280" s="4">
        <v>1</v>
      </c>
      <c r="AH280" s="9">
        <v>25.24</v>
      </c>
      <c r="AI280" s="4">
        <v>2</v>
      </c>
    </row>
    <row r="281" spans="20:35">
      <c r="T281" s="9">
        <v>86.7</v>
      </c>
      <c r="U281" s="4">
        <v>1</v>
      </c>
      <c r="AH281" s="9">
        <v>25.35</v>
      </c>
      <c r="AI281" s="4">
        <v>1</v>
      </c>
    </row>
    <row r="282" spans="20:35">
      <c r="T282" s="9">
        <v>87.1</v>
      </c>
      <c r="U282" s="4">
        <v>2</v>
      </c>
      <c r="AH282" s="9">
        <v>25.45</v>
      </c>
      <c r="AI282" s="4">
        <v>1</v>
      </c>
    </row>
    <row r="283" spans="20:35">
      <c r="T283" s="9">
        <v>87.5</v>
      </c>
      <c r="U283" s="4">
        <v>1</v>
      </c>
      <c r="AH283" s="9">
        <v>25.49</v>
      </c>
      <c r="AI283" s="4">
        <v>1</v>
      </c>
    </row>
    <row r="284" spans="20:35">
      <c r="T284" s="9">
        <v>87.7</v>
      </c>
      <c r="U284" s="4">
        <v>1</v>
      </c>
      <c r="AH284" s="9">
        <v>25.55</v>
      </c>
      <c r="AI284" s="4">
        <v>1</v>
      </c>
    </row>
    <row r="285" spans="20:35">
      <c r="T285" s="9">
        <v>87.8</v>
      </c>
      <c r="U285" s="4">
        <v>1</v>
      </c>
      <c r="AH285" s="9">
        <v>25.72</v>
      </c>
      <c r="AI285" s="4">
        <v>1</v>
      </c>
    </row>
    <row r="286" spans="20:35">
      <c r="T286" s="9">
        <v>87.9</v>
      </c>
      <c r="U286" s="4">
        <v>1</v>
      </c>
      <c r="AH286" s="9">
        <v>25.74</v>
      </c>
      <c r="AI286" s="4">
        <v>1</v>
      </c>
    </row>
    <row r="287" spans="20:35">
      <c r="T287" s="9">
        <v>88</v>
      </c>
      <c r="U287" s="4">
        <v>1</v>
      </c>
      <c r="AH287" s="9">
        <v>25.82</v>
      </c>
      <c r="AI287" s="4">
        <v>1</v>
      </c>
    </row>
    <row r="288" spans="20:35">
      <c r="T288" s="9">
        <v>88.1</v>
      </c>
      <c r="U288" s="4">
        <v>2</v>
      </c>
      <c r="AH288" s="9">
        <v>25.83</v>
      </c>
      <c r="AI288" s="4">
        <v>1</v>
      </c>
    </row>
    <row r="289" spans="20:35">
      <c r="T289" s="9">
        <v>88.2</v>
      </c>
      <c r="U289" s="4">
        <v>3</v>
      </c>
      <c r="AH289" s="9">
        <v>25.86</v>
      </c>
      <c r="AI289" s="4">
        <v>1</v>
      </c>
    </row>
    <row r="290" spans="20:35">
      <c r="T290" s="9">
        <v>88.3</v>
      </c>
      <c r="U290" s="4">
        <v>1</v>
      </c>
      <c r="AH290" s="9">
        <v>25.94</v>
      </c>
      <c r="AI290" s="4">
        <v>1</v>
      </c>
    </row>
    <row r="291" spans="20:35">
      <c r="T291" s="9">
        <v>88.4</v>
      </c>
      <c r="U291" s="4">
        <v>1</v>
      </c>
      <c r="AH291" s="9">
        <v>25.95</v>
      </c>
      <c r="AI291" s="4">
        <v>1</v>
      </c>
    </row>
    <row r="292" spans="20:35">
      <c r="T292" s="9">
        <v>88.5</v>
      </c>
      <c r="U292" s="4">
        <v>2</v>
      </c>
      <c r="AH292" s="9">
        <v>25.97</v>
      </c>
      <c r="AI292" s="4">
        <v>1</v>
      </c>
    </row>
    <row r="293" spans="20:35">
      <c r="T293" s="9">
        <v>88.6</v>
      </c>
      <c r="U293" s="4">
        <v>2</v>
      </c>
      <c r="AH293" s="9">
        <v>25.98</v>
      </c>
      <c r="AI293" s="4">
        <v>1</v>
      </c>
    </row>
    <row r="294" spans="20:35">
      <c r="T294" s="9">
        <v>88.7</v>
      </c>
      <c r="U294" s="4">
        <v>3</v>
      </c>
      <c r="AH294" s="9">
        <v>26.06</v>
      </c>
      <c r="AI294" s="4">
        <v>1</v>
      </c>
    </row>
    <row r="295" spans="20:35">
      <c r="T295" s="9">
        <v>88.9</v>
      </c>
      <c r="U295" s="4">
        <v>1</v>
      </c>
      <c r="AH295" s="9">
        <v>26.22</v>
      </c>
      <c r="AI295" s="4">
        <v>1</v>
      </c>
    </row>
    <row r="296" spans="20:35">
      <c r="T296" s="9">
        <v>89</v>
      </c>
      <c r="U296" s="4">
        <v>2</v>
      </c>
      <c r="AH296" s="9">
        <v>26.23</v>
      </c>
      <c r="AI296" s="4">
        <v>1</v>
      </c>
    </row>
    <row r="297" spans="20:35">
      <c r="T297" s="9">
        <v>89.1</v>
      </c>
      <c r="U297" s="4">
        <v>1</v>
      </c>
      <c r="AH297" s="9">
        <v>26.46</v>
      </c>
      <c r="AI297" s="4">
        <v>2</v>
      </c>
    </row>
    <row r="298" spans="20:35">
      <c r="T298" s="9">
        <v>89.3</v>
      </c>
      <c r="U298" s="4">
        <v>1</v>
      </c>
      <c r="AH298" s="9">
        <v>26.51</v>
      </c>
      <c r="AI298" s="4">
        <v>1</v>
      </c>
    </row>
    <row r="299" spans="20:35">
      <c r="T299" s="9">
        <v>89.5</v>
      </c>
      <c r="U299" s="4">
        <v>2</v>
      </c>
      <c r="AH299" s="9">
        <v>26.52</v>
      </c>
      <c r="AI299" s="4">
        <v>1</v>
      </c>
    </row>
    <row r="300" spans="20:35">
      <c r="T300" s="9">
        <v>89.6</v>
      </c>
      <c r="U300" s="4">
        <v>1</v>
      </c>
      <c r="AH300" s="9">
        <v>26.58</v>
      </c>
      <c r="AI300" s="4">
        <v>1</v>
      </c>
    </row>
    <row r="301" spans="20:35">
      <c r="T301" s="9">
        <v>89.8</v>
      </c>
      <c r="U301" s="4">
        <v>1</v>
      </c>
      <c r="AH301" s="9">
        <v>26.59</v>
      </c>
      <c r="AI301" s="4">
        <v>1</v>
      </c>
    </row>
    <row r="302" spans="20:35">
      <c r="T302" s="9">
        <v>89.9</v>
      </c>
      <c r="U302" s="4">
        <v>3</v>
      </c>
      <c r="AH302" s="9">
        <v>26.71</v>
      </c>
      <c r="AI302" s="4">
        <v>1</v>
      </c>
    </row>
    <row r="303" spans="20:35">
      <c r="T303" s="9">
        <v>90.2</v>
      </c>
      <c r="U303" s="4">
        <v>2</v>
      </c>
      <c r="AH303" s="9">
        <v>26.72</v>
      </c>
      <c r="AI303" s="4">
        <v>1</v>
      </c>
    </row>
    <row r="304" spans="20:35">
      <c r="T304" s="9">
        <v>90.3</v>
      </c>
      <c r="U304" s="4">
        <v>1</v>
      </c>
      <c r="AH304" s="9">
        <v>26.79</v>
      </c>
      <c r="AI304" s="4">
        <v>1</v>
      </c>
    </row>
    <row r="305" spans="20:35">
      <c r="T305" s="9">
        <v>90.4</v>
      </c>
      <c r="U305" s="4">
        <v>1</v>
      </c>
      <c r="AH305" s="9">
        <v>26.83</v>
      </c>
      <c r="AI305" s="4">
        <v>1</v>
      </c>
    </row>
    <row r="306" spans="20:35">
      <c r="T306" s="9">
        <v>90.6</v>
      </c>
      <c r="U306" s="4">
        <v>2</v>
      </c>
      <c r="AH306" s="9">
        <v>26.88</v>
      </c>
      <c r="AI306" s="4">
        <v>2</v>
      </c>
    </row>
    <row r="307" spans="20:35">
      <c r="T307" s="9">
        <v>90.7</v>
      </c>
      <c r="U307" s="4">
        <v>1</v>
      </c>
      <c r="AH307" s="9">
        <v>26.89</v>
      </c>
      <c r="AI307" s="4">
        <v>1</v>
      </c>
    </row>
    <row r="308" spans="20:35">
      <c r="T308" s="9">
        <v>90.8</v>
      </c>
      <c r="U308" s="4">
        <v>2</v>
      </c>
      <c r="AH308" s="9">
        <v>26.91</v>
      </c>
      <c r="AI308" s="4">
        <v>1</v>
      </c>
    </row>
    <row r="309" spans="20:35">
      <c r="T309" s="9">
        <v>90.9</v>
      </c>
      <c r="U309" s="4">
        <v>2</v>
      </c>
      <c r="AH309" s="9">
        <v>26.95</v>
      </c>
      <c r="AI309" s="4">
        <v>1</v>
      </c>
    </row>
    <row r="310" spans="20:35">
      <c r="T310" s="9">
        <v>91.2</v>
      </c>
      <c r="U310" s="4">
        <v>2</v>
      </c>
      <c r="AH310" s="9">
        <v>27.19</v>
      </c>
      <c r="AI310" s="4">
        <v>1</v>
      </c>
    </row>
    <row r="311" spans="20:35">
      <c r="T311" s="9">
        <v>91.4</v>
      </c>
      <c r="U311" s="4">
        <v>1</v>
      </c>
      <c r="AH311" s="9">
        <v>27.24</v>
      </c>
      <c r="AI311" s="4">
        <v>1</v>
      </c>
    </row>
    <row r="312" spans="20:35">
      <c r="T312" s="9">
        <v>91.5</v>
      </c>
      <c r="U312" s="4">
        <v>1</v>
      </c>
      <c r="AH312" s="9">
        <v>27.25</v>
      </c>
      <c r="AI312" s="4">
        <v>1</v>
      </c>
    </row>
    <row r="313" spans="20:35">
      <c r="T313" s="9">
        <v>91.6</v>
      </c>
      <c r="U313" s="4">
        <v>3</v>
      </c>
      <c r="AH313" s="9">
        <v>27.26</v>
      </c>
      <c r="AI313" s="4">
        <v>1</v>
      </c>
    </row>
    <row r="314" spans="20:35">
      <c r="T314" s="9">
        <v>91.7</v>
      </c>
      <c r="U314" s="4">
        <v>2</v>
      </c>
      <c r="AH314" s="9">
        <v>27.29</v>
      </c>
      <c r="AI314" s="4">
        <v>1</v>
      </c>
    </row>
    <row r="315" spans="20:35">
      <c r="T315" s="9">
        <v>91.8</v>
      </c>
      <c r="U315" s="4">
        <v>1</v>
      </c>
      <c r="AH315" s="9">
        <v>27.31</v>
      </c>
      <c r="AI315" s="4">
        <v>1</v>
      </c>
    </row>
    <row r="316" spans="20:35">
      <c r="T316" s="9">
        <v>91.9</v>
      </c>
      <c r="U316" s="4">
        <v>1</v>
      </c>
      <c r="AH316" s="9">
        <v>27.38</v>
      </c>
      <c r="AI316" s="4">
        <v>1</v>
      </c>
    </row>
    <row r="317" spans="20:35">
      <c r="T317" s="9">
        <v>92</v>
      </c>
      <c r="U317" s="4">
        <v>1</v>
      </c>
      <c r="AH317" s="9">
        <v>27.51</v>
      </c>
      <c r="AI317" s="4">
        <v>1</v>
      </c>
    </row>
    <row r="318" spans="20:35">
      <c r="T318" s="9">
        <v>92.1</v>
      </c>
      <c r="U318" s="4">
        <v>2</v>
      </c>
      <c r="AH318" s="9">
        <v>27.52</v>
      </c>
      <c r="AI318" s="4">
        <v>1</v>
      </c>
    </row>
    <row r="319" spans="20:35">
      <c r="T319" s="9">
        <v>92.2</v>
      </c>
      <c r="U319" s="4">
        <v>1</v>
      </c>
      <c r="AH319" s="9">
        <v>27.59</v>
      </c>
      <c r="AI319" s="4">
        <v>1</v>
      </c>
    </row>
    <row r="320" spans="20:35">
      <c r="T320" s="9">
        <v>92.3</v>
      </c>
      <c r="U320" s="4">
        <v>1</v>
      </c>
      <c r="AH320" s="9">
        <v>27.64</v>
      </c>
      <c r="AI320" s="4">
        <v>1</v>
      </c>
    </row>
    <row r="321" spans="20:35">
      <c r="T321" s="9">
        <v>92.5</v>
      </c>
      <c r="U321" s="4">
        <v>2</v>
      </c>
      <c r="AH321" s="9">
        <v>27.67</v>
      </c>
      <c r="AI321" s="4">
        <v>1</v>
      </c>
    </row>
    <row r="322" spans="20:35">
      <c r="T322" s="9">
        <v>92.6</v>
      </c>
      <c r="U322" s="4">
        <v>1</v>
      </c>
      <c r="AH322" s="9">
        <v>27.75</v>
      </c>
      <c r="AI322" s="4">
        <v>1</v>
      </c>
    </row>
    <row r="323" spans="20:35">
      <c r="T323" s="9">
        <v>92.7</v>
      </c>
      <c r="U323" s="4">
        <v>1</v>
      </c>
      <c r="AH323" s="9">
        <v>27.78</v>
      </c>
      <c r="AI323" s="4">
        <v>2</v>
      </c>
    </row>
    <row r="324" spans="20:35">
      <c r="T324" s="9">
        <v>93</v>
      </c>
      <c r="U324" s="4">
        <v>2</v>
      </c>
      <c r="AH324" s="9">
        <v>27.86</v>
      </c>
      <c r="AI324" s="4">
        <v>1</v>
      </c>
    </row>
    <row r="325" spans="20:35">
      <c r="T325" s="9">
        <v>93.1</v>
      </c>
      <c r="U325" s="4">
        <v>1</v>
      </c>
      <c r="AH325" s="9">
        <v>27.87</v>
      </c>
      <c r="AI325" s="4">
        <v>1</v>
      </c>
    </row>
    <row r="326" spans="20:35">
      <c r="T326" s="9">
        <v>93.2</v>
      </c>
      <c r="U326" s="4">
        <v>1</v>
      </c>
      <c r="AH326" s="9">
        <v>27.89</v>
      </c>
      <c r="AI326" s="4">
        <v>2</v>
      </c>
    </row>
    <row r="327" spans="20:35">
      <c r="T327" s="9">
        <v>93.3</v>
      </c>
      <c r="U327" s="4">
        <v>4</v>
      </c>
      <c r="AH327" s="9">
        <v>27.94</v>
      </c>
      <c r="AI327" s="4">
        <v>1</v>
      </c>
    </row>
    <row r="328" spans="20:35">
      <c r="T328" s="9">
        <v>93.4</v>
      </c>
      <c r="U328" s="4">
        <v>2</v>
      </c>
      <c r="AH328" s="9">
        <v>28.02</v>
      </c>
      <c r="AI328" s="4">
        <v>1</v>
      </c>
    </row>
    <row r="329" spans="20:35">
      <c r="T329" s="9">
        <v>93.5</v>
      </c>
      <c r="U329" s="4">
        <v>1</v>
      </c>
      <c r="AH329" s="9">
        <v>28.13</v>
      </c>
      <c r="AI329" s="4">
        <v>1</v>
      </c>
    </row>
    <row r="330" spans="20:35">
      <c r="T330" s="9">
        <v>93.6</v>
      </c>
      <c r="U330" s="4">
        <v>2</v>
      </c>
      <c r="AH330" s="9">
        <v>28.18</v>
      </c>
      <c r="AI330" s="4">
        <v>1</v>
      </c>
    </row>
    <row r="331" spans="20:35">
      <c r="T331" s="9">
        <v>93.7</v>
      </c>
      <c r="U331" s="4">
        <v>1</v>
      </c>
      <c r="AH331" s="9">
        <v>28.22</v>
      </c>
      <c r="AI331" s="4">
        <v>2</v>
      </c>
    </row>
    <row r="332" spans="20:35">
      <c r="T332" s="9">
        <v>94</v>
      </c>
      <c r="U332" s="4">
        <v>1</v>
      </c>
      <c r="AH332" s="9">
        <v>28.25</v>
      </c>
      <c r="AI332" s="4">
        <v>1</v>
      </c>
    </row>
    <row r="333" spans="20:35">
      <c r="T333" s="9">
        <v>94.1</v>
      </c>
      <c r="U333" s="4">
        <v>2</v>
      </c>
      <c r="AH333" s="9">
        <v>28.32</v>
      </c>
      <c r="AI333" s="4">
        <v>1</v>
      </c>
    </row>
    <row r="334" spans="20:35">
      <c r="T334" s="9">
        <v>94.3</v>
      </c>
      <c r="U334" s="4">
        <v>2</v>
      </c>
      <c r="AH334" s="9">
        <v>28.39</v>
      </c>
      <c r="AI334" s="4">
        <v>1</v>
      </c>
    </row>
    <row r="335" spans="20:35">
      <c r="T335" s="9">
        <v>94.6</v>
      </c>
      <c r="U335" s="4">
        <v>2</v>
      </c>
      <c r="AH335" s="9">
        <v>28.44</v>
      </c>
      <c r="AI335" s="4">
        <v>1</v>
      </c>
    </row>
    <row r="336" spans="20:35">
      <c r="T336" s="9">
        <v>94.7</v>
      </c>
      <c r="U336" s="4">
        <v>1</v>
      </c>
      <c r="AH336" s="9">
        <v>28.48</v>
      </c>
      <c r="AI336" s="4">
        <v>1</v>
      </c>
    </row>
    <row r="337" spans="20:35">
      <c r="T337" s="9">
        <v>94.8</v>
      </c>
      <c r="U337" s="4">
        <v>1</v>
      </c>
      <c r="AH337" s="9">
        <v>28.49</v>
      </c>
      <c r="AI337" s="4">
        <v>1</v>
      </c>
    </row>
    <row r="338" spans="20:35">
      <c r="T338" s="9">
        <v>94.9</v>
      </c>
      <c r="U338" s="4">
        <v>3</v>
      </c>
      <c r="AH338" s="9">
        <v>28.57</v>
      </c>
      <c r="AI338" s="4">
        <v>1</v>
      </c>
    </row>
    <row r="339" spans="20:35">
      <c r="T339" s="9">
        <v>95.1</v>
      </c>
      <c r="U339" s="4">
        <v>2</v>
      </c>
      <c r="AH339" s="9">
        <v>28.59</v>
      </c>
      <c r="AI339" s="4">
        <v>1</v>
      </c>
    </row>
    <row r="340" spans="20:35">
      <c r="T340" s="9">
        <v>95.2</v>
      </c>
      <c r="U340" s="4">
        <v>1</v>
      </c>
      <c r="AH340" s="9">
        <v>28.62</v>
      </c>
      <c r="AI340" s="4">
        <v>1</v>
      </c>
    </row>
    <row r="341" spans="20:35">
      <c r="T341" s="9">
        <v>95.3</v>
      </c>
      <c r="U341" s="4">
        <v>2</v>
      </c>
      <c r="AH341" s="9">
        <v>28.63</v>
      </c>
      <c r="AI341" s="4">
        <v>1</v>
      </c>
    </row>
    <row r="342" spans="20:35">
      <c r="T342" s="9">
        <v>95.4</v>
      </c>
      <c r="U342" s="4">
        <v>1</v>
      </c>
      <c r="AH342" s="9">
        <v>28.65</v>
      </c>
      <c r="AI342" s="4">
        <v>1</v>
      </c>
    </row>
    <row r="343" spans="20:35">
      <c r="T343" s="9">
        <v>95.8</v>
      </c>
      <c r="U343" s="4">
        <v>1</v>
      </c>
      <c r="AH343" s="9">
        <v>28.67</v>
      </c>
      <c r="AI343" s="4">
        <v>1</v>
      </c>
    </row>
    <row r="344" spans="20:35">
      <c r="T344" s="9">
        <v>95.9</v>
      </c>
      <c r="U344" s="4">
        <v>1</v>
      </c>
      <c r="AH344" s="9">
        <v>28.78</v>
      </c>
      <c r="AI344" s="4">
        <v>2</v>
      </c>
    </row>
    <row r="345" spans="20:35">
      <c r="T345" s="9">
        <v>96.1</v>
      </c>
      <c r="U345" s="4">
        <v>1</v>
      </c>
      <c r="AH345" s="9">
        <v>28.79</v>
      </c>
      <c r="AI345" s="4">
        <v>1</v>
      </c>
    </row>
    <row r="346" spans="20:35">
      <c r="T346" s="9">
        <v>96.2</v>
      </c>
      <c r="U346" s="4">
        <v>3</v>
      </c>
      <c r="AH346" s="9">
        <v>28.85</v>
      </c>
      <c r="AI346" s="4">
        <v>1</v>
      </c>
    </row>
    <row r="347" spans="20:35">
      <c r="T347" s="9">
        <v>96.3</v>
      </c>
      <c r="U347" s="4">
        <v>1</v>
      </c>
      <c r="AH347" s="9">
        <v>28.88</v>
      </c>
      <c r="AI347" s="4">
        <v>1</v>
      </c>
    </row>
    <row r="348" spans="20:35">
      <c r="T348" s="9">
        <v>96.4</v>
      </c>
      <c r="U348" s="4">
        <v>2</v>
      </c>
      <c r="AH348" s="9">
        <v>28.89</v>
      </c>
      <c r="AI348" s="4">
        <v>1</v>
      </c>
    </row>
    <row r="349" spans="20:35">
      <c r="T349" s="9">
        <v>96.6</v>
      </c>
      <c r="U349" s="4">
        <v>1</v>
      </c>
      <c r="AH349" s="9">
        <v>28.93</v>
      </c>
      <c r="AI349" s="4">
        <v>1</v>
      </c>
    </row>
    <row r="350" spans="20:35">
      <c r="T350" s="9">
        <v>96.9</v>
      </c>
      <c r="U350" s="4">
        <v>2</v>
      </c>
      <c r="AH350" s="9">
        <v>28.96</v>
      </c>
      <c r="AI350" s="4">
        <v>1</v>
      </c>
    </row>
    <row r="351" spans="20:35">
      <c r="T351" s="9">
        <v>97</v>
      </c>
      <c r="U351" s="4">
        <v>1</v>
      </c>
      <c r="AH351" s="9">
        <v>28.99</v>
      </c>
      <c r="AI351" s="4">
        <v>2</v>
      </c>
    </row>
    <row r="352" spans="20:35">
      <c r="T352" s="9">
        <v>97.7</v>
      </c>
      <c r="U352" s="4">
        <v>3</v>
      </c>
      <c r="AH352" s="9">
        <v>29</v>
      </c>
      <c r="AI352" s="4">
        <v>3</v>
      </c>
    </row>
    <row r="353" spans="20:35">
      <c r="T353" s="9">
        <v>98.2</v>
      </c>
      <c r="U353" s="4">
        <v>1</v>
      </c>
      <c r="AH353" s="9">
        <v>29.14</v>
      </c>
      <c r="AI353" s="4">
        <v>1</v>
      </c>
    </row>
    <row r="354" spans="20:35">
      <c r="T354" s="9">
        <v>98.3</v>
      </c>
      <c r="U354" s="4">
        <v>2</v>
      </c>
      <c r="AH354" s="9">
        <v>29.18</v>
      </c>
      <c r="AI354" s="4">
        <v>1</v>
      </c>
    </row>
    <row r="355" spans="20:35">
      <c r="T355" s="9">
        <v>98.4</v>
      </c>
      <c r="U355" s="4">
        <v>1</v>
      </c>
      <c r="AH355" s="9">
        <v>29.24</v>
      </c>
      <c r="AI355" s="4">
        <v>1</v>
      </c>
    </row>
    <row r="356" spans="20:35">
      <c r="T356" s="9">
        <v>98.5</v>
      </c>
      <c r="U356" s="4">
        <v>1</v>
      </c>
      <c r="AH356" s="9">
        <v>29.25</v>
      </c>
      <c r="AI356" s="4">
        <v>1</v>
      </c>
    </row>
    <row r="357" spans="20:35">
      <c r="T357" s="9">
        <v>98.7</v>
      </c>
      <c r="U357" s="4">
        <v>1</v>
      </c>
      <c r="AH357" s="9">
        <v>29.31</v>
      </c>
      <c r="AI357" s="4">
        <v>1</v>
      </c>
    </row>
    <row r="358" spans="20:35">
      <c r="T358" s="9">
        <v>98.8</v>
      </c>
      <c r="U358" s="4">
        <v>2</v>
      </c>
      <c r="AH358" s="9">
        <v>29.33</v>
      </c>
      <c r="AI358" s="4">
        <v>1</v>
      </c>
    </row>
    <row r="359" spans="20:35">
      <c r="T359" s="9">
        <v>98.9</v>
      </c>
      <c r="U359" s="4">
        <v>1</v>
      </c>
      <c r="AH359" s="9">
        <v>29.34</v>
      </c>
      <c r="AI359" s="4">
        <v>1</v>
      </c>
    </row>
    <row r="360" spans="20:35">
      <c r="T360" s="9">
        <v>99.2</v>
      </c>
      <c r="U360" s="4">
        <v>2</v>
      </c>
      <c r="AH360" s="9">
        <v>29.45</v>
      </c>
      <c r="AI360" s="4">
        <v>1</v>
      </c>
    </row>
    <row r="361" spans="20:35">
      <c r="T361" s="9">
        <v>99.3</v>
      </c>
      <c r="U361" s="4">
        <v>4</v>
      </c>
      <c r="AH361" s="9">
        <v>29.47</v>
      </c>
      <c r="AI361" s="4">
        <v>1</v>
      </c>
    </row>
    <row r="362" spans="20:35">
      <c r="T362" s="9">
        <v>99.5</v>
      </c>
      <c r="U362" s="4">
        <v>1</v>
      </c>
      <c r="AH362" s="9">
        <v>29.49</v>
      </c>
      <c r="AI362" s="4">
        <v>2</v>
      </c>
    </row>
    <row r="363" spans="20:35">
      <c r="T363" s="9">
        <v>99.6</v>
      </c>
      <c r="U363" s="4">
        <v>1</v>
      </c>
      <c r="AH363" s="9">
        <v>29.54</v>
      </c>
      <c r="AI363" s="4">
        <v>1</v>
      </c>
    </row>
    <row r="364" spans="20:35">
      <c r="T364" s="9">
        <v>99.7</v>
      </c>
      <c r="U364" s="4">
        <v>1</v>
      </c>
      <c r="AH364" s="9">
        <v>29.55</v>
      </c>
      <c r="AI364" s="4">
        <v>1</v>
      </c>
    </row>
    <row r="365" spans="20:35">
      <c r="T365" s="9">
        <v>100</v>
      </c>
      <c r="U365" s="4">
        <v>2</v>
      </c>
      <c r="AH365" s="9">
        <v>29.68</v>
      </c>
      <c r="AI365" s="4">
        <v>1</v>
      </c>
    </row>
    <row r="366" spans="20:35">
      <c r="T366" s="9">
        <v>100.2</v>
      </c>
      <c r="U366" s="4">
        <v>1</v>
      </c>
      <c r="AH366" s="9">
        <v>29.71</v>
      </c>
      <c r="AI366" s="4">
        <v>1</v>
      </c>
    </row>
    <row r="367" spans="20:35">
      <c r="T367" s="9">
        <v>100.3</v>
      </c>
      <c r="U367" s="4">
        <v>1</v>
      </c>
      <c r="AH367" s="9">
        <v>29.72</v>
      </c>
      <c r="AI367" s="4">
        <v>1</v>
      </c>
    </row>
    <row r="368" spans="20:35">
      <c r="T368" s="9">
        <v>100.4</v>
      </c>
      <c r="U368" s="4">
        <v>2</v>
      </c>
      <c r="AH368" s="9">
        <v>29.75</v>
      </c>
      <c r="AI368" s="4">
        <v>1</v>
      </c>
    </row>
    <row r="369" spans="20:35">
      <c r="T369" s="9">
        <v>100.6</v>
      </c>
      <c r="U369" s="4">
        <v>2</v>
      </c>
      <c r="AH369" s="9">
        <v>29.76</v>
      </c>
      <c r="AI369" s="4">
        <v>1</v>
      </c>
    </row>
    <row r="370" spans="20:35">
      <c r="T370" s="9">
        <v>100.7</v>
      </c>
      <c r="U370" s="4">
        <v>1</v>
      </c>
      <c r="AH370" s="9">
        <v>29.82</v>
      </c>
      <c r="AI370" s="4">
        <v>1</v>
      </c>
    </row>
    <row r="371" spans="20:35">
      <c r="T371" s="9">
        <v>100.8</v>
      </c>
      <c r="U371" s="4">
        <v>1</v>
      </c>
      <c r="AH371" s="9">
        <v>29.93</v>
      </c>
      <c r="AI371" s="4">
        <v>1</v>
      </c>
    </row>
    <row r="372" spans="20:35">
      <c r="T372" s="9">
        <v>101.1</v>
      </c>
      <c r="U372" s="4">
        <v>1</v>
      </c>
      <c r="AH372" s="9">
        <v>29.99</v>
      </c>
      <c r="AI372" s="4">
        <v>1</v>
      </c>
    </row>
    <row r="373" spans="20:35">
      <c r="T373" s="9">
        <v>101.2</v>
      </c>
      <c r="U373" s="4">
        <v>2</v>
      </c>
      <c r="AH373" s="9">
        <v>30.13</v>
      </c>
      <c r="AI373" s="4">
        <v>1</v>
      </c>
    </row>
    <row r="374" spans="20:35">
      <c r="T374" s="9">
        <v>101.3</v>
      </c>
      <c r="U374" s="4">
        <v>2</v>
      </c>
      <c r="AH374" s="9">
        <v>30.14</v>
      </c>
      <c r="AI374" s="4">
        <v>1</v>
      </c>
    </row>
    <row r="375" spans="20:35">
      <c r="T375" s="9">
        <v>101.5</v>
      </c>
      <c r="U375" s="4">
        <v>1</v>
      </c>
      <c r="AH375" s="9">
        <v>30.15</v>
      </c>
      <c r="AI375" s="4">
        <v>1</v>
      </c>
    </row>
    <row r="376" spans="20:35">
      <c r="T376" s="9">
        <v>101.6</v>
      </c>
      <c r="U376" s="4">
        <v>2</v>
      </c>
      <c r="AH376" s="9">
        <v>30.22</v>
      </c>
      <c r="AI376" s="4">
        <v>1</v>
      </c>
    </row>
    <row r="377" spans="20:35">
      <c r="T377" s="9">
        <v>101.7</v>
      </c>
      <c r="U377" s="4">
        <v>1</v>
      </c>
      <c r="AH377" s="9">
        <v>30.32</v>
      </c>
      <c r="AI377" s="4">
        <v>1</v>
      </c>
    </row>
    <row r="378" spans="20:35">
      <c r="T378" s="9">
        <v>101.9</v>
      </c>
      <c r="U378" s="4">
        <v>1</v>
      </c>
      <c r="AH378" s="9">
        <v>30.34</v>
      </c>
      <c r="AI378" s="4">
        <v>1</v>
      </c>
    </row>
    <row r="379" spans="20:35">
      <c r="T379" s="9">
        <v>102</v>
      </c>
      <c r="U379" s="4">
        <v>2</v>
      </c>
      <c r="AH379" s="9">
        <v>30.37</v>
      </c>
      <c r="AI379" s="4">
        <v>1</v>
      </c>
    </row>
    <row r="380" spans="20:35">
      <c r="T380" s="9">
        <v>102.1</v>
      </c>
      <c r="U380" s="4">
        <v>1</v>
      </c>
      <c r="AH380" s="9">
        <v>30.41</v>
      </c>
      <c r="AI380" s="4">
        <v>1</v>
      </c>
    </row>
    <row r="381" spans="20:35">
      <c r="T381" s="9">
        <v>102.2</v>
      </c>
      <c r="U381" s="4">
        <v>1</v>
      </c>
      <c r="AH381" s="9">
        <v>30.43</v>
      </c>
      <c r="AI381" s="4">
        <v>1</v>
      </c>
    </row>
    <row r="382" spans="20:35">
      <c r="T382" s="9">
        <v>102.4</v>
      </c>
      <c r="U382" s="4">
        <v>1</v>
      </c>
      <c r="AH382" s="9">
        <v>30.47</v>
      </c>
      <c r="AI382" s="4">
        <v>1</v>
      </c>
    </row>
    <row r="383" spans="20:35">
      <c r="T383" s="9">
        <v>102.6</v>
      </c>
      <c r="U383" s="4">
        <v>1</v>
      </c>
      <c r="AH383" s="9">
        <v>30.52</v>
      </c>
      <c r="AI383" s="4">
        <v>1</v>
      </c>
    </row>
    <row r="384" spans="20:35">
      <c r="T384" s="9">
        <v>102.7</v>
      </c>
      <c r="U384" s="4">
        <v>1</v>
      </c>
      <c r="AH384" s="9">
        <v>30.56</v>
      </c>
      <c r="AI384" s="4">
        <v>1</v>
      </c>
    </row>
    <row r="385" spans="20:35">
      <c r="T385" s="9">
        <v>102.8</v>
      </c>
      <c r="U385" s="4">
        <v>1</v>
      </c>
      <c r="AH385" s="9">
        <v>30.58</v>
      </c>
      <c r="AI385" s="4">
        <v>1</v>
      </c>
    </row>
    <row r="386" spans="20:35">
      <c r="T386" s="9">
        <v>102.9</v>
      </c>
      <c r="U386" s="4">
        <v>1</v>
      </c>
      <c r="AH386" s="9">
        <v>30.59</v>
      </c>
      <c r="AI386" s="4">
        <v>1</v>
      </c>
    </row>
    <row r="387" spans="20:35">
      <c r="T387" s="9">
        <v>103</v>
      </c>
      <c r="U387" s="4">
        <v>1</v>
      </c>
      <c r="AH387" s="9">
        <v>30.67</v>
      </c>
      <c r="AI387" s="4">
        <v>2</v>
      </c>
    </row>
    <row r="388" spans="20:35">
      <c r="T388" s="9">
        <v>103.1</v>
      </c>
      <c r="U388" s="4">
        <v>1</v>
      </c>
      <c r="AH388" s="9">
        <v>30.71</v>
      </c>
      <c r="AI388" s="4">
        <v>3</v>
      </c>
    </row>
    <row r="389" spans="20:35">
      <c r="T389" s="9">
        <v>103.3</v>
      </c>
      <c r="U389" s="4">
        <v>1</v>
      </c>
      <c r="AH389" s="9">
        <v>30.74</v>
      </c>
      <c r="AI389" s="4">
        <v>1</v>
      </c>
    </row>
    <row r="390" spans="20:35">
      <c r="T390" s="9">
        <v>103.4</v>
      </c>
      <c r="U390" s="4">
        <v>1</v>
      </c>
      <c r="AH390" s="9">
        <v>30.75</v>
      </c>
      <c r="AI390" s="4">
        <v>1</v>
      </c>
    </row>
    <row r="391" spans="20:35">
      <c r="T391" s="9">
        <v>103.6</v>
      </c>
      <c r="U391" s="4">
        <v>1</v>
      </c>
      <c r="AH391" s="9">
        <v>30.76</v>
      </c>
      <c r="AI391" s="4">
        <v>1</v>
      </c>
    </row>
    <row r="392" spans="20:35">
      <c r="T392" s="9">
        <v>103.7</v>
      </c>
      <c r="U392" s="4">
        <v>4</v>
      </c>
      <c r="AH392" s="9">
        <v>30.78</v>
      </c>
      <c r="AI392" s="4">
        <v>1</v>
      </c>
    </row>
    <row r="393" spans="20:35">
      <c r="T393" s="9">
        <v>103.8</v>
      </c>
      <c r="U393" s="4">
        <v>1</v>
      </c>
      <c r="AH393" s="9">
        <v>30.81</v>
      </c>
      <c r="AI393" s="4">
        <v>1</v>
      </c>
    </row>
    <row r="394" spans="20:35">
      <c r="T394" s="9">
        <v>103.9</v>
      </c>
      <c r="U394" s="4">
        <v>2</v>
      </c>
      <c r="AH394" s="9">
        <v>31</v>
      </c>
      <c r="AI394" s="4">
        <v>1</v>
      </c>
    </row>
    <row r="395" spans="20:35">
      <c r="T395" s="9">
        <v>104</v>
      </c>
      <c r="U395" s="4">
        <v>1</v>
      </c>
      <c r="AH395" s="9">
        <v>31.02</v>
      </c>
      <c r="AI395" s="4">
        <v>1</v>
      </c>
    </row>
    <row r="396" spans="20:35">
      <c r="T396" s="9">
        <v>104.3</v>
      </c>
      <c r="U396" s="4">
        <v>2</v>
      </c>
      <c r="AH396" s="9">
        <v>31.13</v>
      </c>
      <c r="AI396" s="4">
        <v>1</v>
      </c>
    </row>
    <row r="397" spans="20:35">
      <c r="T397" s="9">
        <v>104.4</v>
      </c>
      <c r="U397" s="4">
        <v>2</v>
      </c>
      <c r="AH397" s="9">
        <v>31.35</v>
      </c>
      <c r="AI397" s="4">
        <v>1</v>
      </c>
    </row>
    <row r="398" spans="20:35">
      <c r="T398" s="9">
        <v>104.6</v>
      </c>
      <c r="U398" s="4">
        <v>1</v>
      </c>
      <c r="AH398" s="9">
        <v>31.42</v>
      </c>
      <c r="AI398" s="4">
        <v>1</v>
      </c>
    </row>
    <row r="399" spans="20:35">
      <c r="T399" s="9">
        <v>104.7</v>
      </c>
      <c r="U399" s="4">
        <v>1</v>
      </c>
      <c r="AH399" s="9">
        <v>31.44</v>
      </c>
      <c r="AI399" s="4">
        <v>1</v>
      </c>
    </row>
    <row r="400" spans="20:35">
      <c r="T400" s="9">
        <v>105</v>
      </c>
      <c r="U400" s="4">
        <v>1</v>
      </c>
      <c r="AH400" s="9">
        <v>31.53</v>
      </c>
      <c r="AI400" s="4">
        <v>1</v>
      </c>
    </row>
    <row r="401" spans="20:35">
      <c r="T401" s="9">
        <v>105.1</v>
      </c>
      <c r="U401" s="4">
        <v>2</v>
      </c>
      <c r="AH401" s="9">
        <v>31.62</v>
      </c>
      <c r="AI401" s="4">
        <v>1</v>
      </c>
    </row>
    <row r="402" spans="20:35">
      <c r="T402" s="9">
        <v>105.2</v>
      </c>
      <c r="U402" s="4">
        <v>1</v>
      </c>
      <c r="AH402" s="9">
        <v>31.65</v>
      </c>
      <c r="AI402" s="4">
        <v>1</v>
      </c>
    </row>
    <row r="403" spans="20:35">
      <c r="T403" s="9">
        <v>105.4</v>
      </c>
      <c r="U403" s="4">
        <v>1</v>
      </c>
      <c r="AH403" s="9">
        <v>31.83</v>
      </c>
      <c r="AI403" s="4">
        <v>1</v>
      </c>
    </row>
    <row r="404" spans="20:35">
      <c r="T404" s="9">
        <v>105.5</v>
      </c>
      <c r="U404" s="4">
        <v>1</v>
      </c>
      <c r="AH404" s="9">
        <v>31.86</v>
      </c>
      <c r="AI404" s="4">
        <v>1</v>
      </c>
    </row>
    <row r="405" spans="20:35">
      <c r="T405" s="9">
        <v>105.6</v>
      </c>
      <c r="U405" s="4">
        <v>2</v>
      </c>
      <c r="AH405" s="9">
        <v>31.91</v>
      </c>
      <c r="AI405" s="4">
        <v>2</v>
      </c>
    </row>
    <row r="406" spans="20:35">
      <c r="T406" s="9">
        <v>105.7</v>
      </c>
      <c r="U406" s="4">
        <v>1</v>
      </c>
      <c r="AH406" s="9">
        <v>31.94</v>
      </c>
      <c r="AI406" s="4">
        <v>1</v>
      </c>
    </row>
    <row r="407" spans="20:35">
      <c r="T407" s="9">
        <v>105.8</v>
      </c>
      <c r="U407" s="4">
        <v>2</v>
      </c>
      <c r="AH407" s="9">
        <v>31.97</v>
      </c>
      <c r="AI407" s="4">
        <v>1</v>
      </c>
    </row>
    <row r="408" spans="20:35">
      <c r="T408" s="9">
        <v>106</v>
      </c>
      <c r="U408" s="4">
        <v>2</v>
      </c>
      <c r="AH408" s="9">
        <v>32.01</v>
      </c>
      <c r="AI408" s="4">
        <v>1</v>
      </c>
    </row>
    <row r="409" spans="20:35">
      <c r="T409" s="9">
        <v>106.1</v>
      </c>
      <c r="U409" s="4">
        <v>1</v>
      </c>
      <c r="AH409" s="9">
        <v>32.03</v>
      </c>
      <c r="AI409" s="4">
        <v>1</v>
      </c>
    </row>
    <row r="410" spans="20:35">
      <c r="T410" s="9">
        <v>106.2</v>
      </c>
      <c r="U410" s="4">
        <v>3</v>
      </c>
      <c r="AH410" s="9">
        <v>32.08</v>
      </c>
      <c r="AI410" s="4">
        <v>1</v>
      </c>
    </row>
    <row r="411" spans="20:35">
      <c r="T411" s="9">
        <v>106.6</v>
      </c>
      <c r="U411" s="4">
        <v>2</v>
      </c>
      <c r="AH411" s="9">
        <v>32.090000000000003</v>
      </c>
      <c r="AI411" s="4">
        <v>1</v>
      </c>
    </row>
    <row r="412" spans="20:35">
      <c r="T412" s="9">
        <v>107.2</v>
      </c>
      <c r="U412" s="4">
        <v>1</v>
      </c>
      <c r="AH412" s="9">
        <v>32.119999999999997</v>
      </c>
      <c r="AI412" s="4">
        <v>1</v>
      </c>
    </row>
    <row r="413" spans="20:35">
      <c r="T413" s="9">
        <v>107.3</v>
      </c>
      <c r="U413" s="4">
        <v>3</v>
      </c>
      <c r="AH413" s="9">
        <v>32.130000000000003</v>
      </c>
      <c r="AI413" s="4">
        <v>1</v>
      </c>
    </row>
    <row r="414" spans="20:35">
      <c r="T414" s="9">
        <v>107.4</v>
      </c>
      <c r="U414" s="4">
        <v>1</v>
      </c>
      <c r="AH414" s="9">
        <v>32.14</v>
      </c>
      <c r="AI414" s="4">
        <v>1</v>
      </c>
    </row>
    <row r="415" spans="20:35">
      <c r="T415" s="9">
        <v>107.7</v>
      </c>
      <c r="U415" s="4">
        <v>3</v>
      </c>
      <c r="AH415" s="9">
        <v>32.159999999999997</v>
      </c>
      <c r="AI415" s="4">
        <v>1</v>
      </c>
    </row>
    <row r="416" spans="20:35">
      <c r="T416" s="9">
        <v>107.8</v>
      </c>
      <c r="U416" s="4">
        <v>1</v>
      </c>
      <c r="AH416" s="9">
        <v>32.200000000000003</v>
      </c>
      <c r="AI416" s="4">
        <v>1</v>
      </c>
    </row>
    <row r="417" spans="20:35">
      <c r="T417" s="9">
        <v>107.9</v>
      </c>
      <c r="U417" s="4">
        <v>2</v>
      </c>
      <c r="AH417" s="9">
        <v>32.21</v>
      </c>
      <c r="AI417" s="4">
        <v>1</v>
      </c>
    </row>
    <row r="418" spans="20:35">
      <c r="T418" s="9">
        <v>108</v>
      </c>
      <c r="U418" s="4">
        <v>2</v>
      </c>
      <c r="AH418" s="9">
        <v>32.229999999999997</v>
      </c>
      <c r="AI418" s="4">
        <v>1</v>
      </c>
    </row>
    <row r="419" spans="20:35">
      <c r="T419" s="9">
        <v>108.2</v>
      </c>
      <c r="U419" s="4">
        <v>1</v>
      </c>
      <c r="AH419" s="9">
        <v>32.33</v>
      </c>
      <c r="AI419" s="4">
        <v>1</v>
      </c>
    </row>
    <row r="420" spans="20:35">
      <c r="T420" s="9">
        <v>108.3</v>
      </c>
      <c r="U420" s="4">
        <v>2</v>
      </c>
      <c r="AH420" s="9">
        <v>32.4</v>
      </c>
      <c r="AI420" s="4">
        <v>2</v>
      </c>
    </row>
    <row r="421" spans="20:35">
      <c r="T421" s="9">
        <v>108.5</v>
      </c>
      <c r="U421" s="4">
        <v>1</v>
      </c>
      <c r="AH421" s="9">
        <v>32.42</v>
      </c>
      <c r="AI421" s="4">
        <v>1</v>
      </c>
    </row>
    <row r="422" spans="20:35">
      <c r="T422" s="9">
        <v>108.7</v>
      </c>
      <c r="U422" s="4">
        <v>3</v>
      </c>
      <c r="AH422" s="9">
        <v>32.47</v>
      </c>
      <c r="AI422" s="4">
        <v>1</v>
      </c>
    </row>
    <row r="423" spans="20:35">
      <c r="T423" s="9">
        <v>108.9</v>
      </c>
      <c r="U423" s="4">
        <v>2</v>
      </c>
      <c r="AH423" s="9">
        <v>32.53</v>
      </c>
      <c r="AI423" s="4">
        <v>1</v>
      </c>
    </row>
    <row r="424" spans="20:35">
      <c r="T424" s="9">
        <v>109</v>
      </c>
      <c r="U424" s="4">
        <v>1</v>
      </c>
      <c r="AH424" s="9">
        <v>32.549999999999997</v>
      </c>
      <c r="AI424" s="4">
        <v>1</v>
      </c>
    </row>
    <row r="425" spans="20:35">
      <c r="T425" s="9">
        <v>109.1</v>
      </c>
      <c r="U425" s="4">
        <v>1</v>
      </c>
      <c r="AH425" s="9">
        <v>32.590000000000003</v>
      </c>
      <c r="AI425" s="4">
        <v>1</v>
      </c>
    </row>
    <row r="426" spans="20:35">
      <c r="T426" s="9">
        <v>109.2</v>
      </c>
      <c r="U426" s="4">
        <v>2</v>
      </c>
      <c r="AH426" s="9">
        <v>32.630000000000003</v>
      </c>
      <c r="AI426" s="4">
        <v>1</v>
      </c>
    </row>
    <row r="427" spans="20:35">
      <c r="T427" s="9">
        <v>109.3</v>
      </c>
      <c r="U427" s="4">
        <v>1</v>
      </c>
      <c r="AH427" s="9">
        <v>32.65</v>
      </c>
      <c r="AI427" s="4">
        <v>3</v>
      </c>
    </row>
    <row r="428" spans="20:35">
      <c r="T428" s="9">
        <v>109.4</v>
      </c>
      <c r="U428" s="4">
        <v>1</v>
      </c>
      <c r="AH428" s="9">
        <v>32.67</v>
      </c>
      <c r="AI428" s="4">
        <v>1</v>
      </c>
    </row>
    <row r="429" spans="20:35">
      <c r="T429" s="9">
        <v>109.6</v>
      </c>
      <c r="U429" s="4">
        <v>1</v>
      </c>
      <c r="AH429" s="9">
        <v>32.82</v>
      </c>
      <c r="AI429" s="4">
        <v>2</v>
      </c>
    </row>
    <row r="430" spans="20:35">
      <c r="T430" s="9">
        <v>109.7</v>
      </c>
      <c r="U430" s="4">
        <v>2</v>
      </c>
      <c r="AH430" s="9">
        <v>32.83</v>
      </c>
      <c r="AI430" s="4">
        <v>1</v>
      </c>
    </row>
    <row r="431" spans="20:35">
      <c r="T431" s="9">
        <v>109.9</v>
      </c>
      <c r="U431" s="4">
        <v>1</v>
      </c>
      <c r="AH431" s="9">
        <v>32.89</v>
      </c>
      <c r="AI431" s="4">
        <v>1</v>
      </c>
    </row>
    <row r="432" spans="20:35">
      <c r="T432" s="9">
        <v>110.2</v>
      </c>
      <c r="U432" s="4">
        <v>3</v>
      </c>
      <c r="AH432" s="9">
        <v>32.909999999999997</v>
      </c>
      <c r="AI432" s="4">
        <v>1</v>
      </c>
    </row>
    <row r="433" spans="20:35">
      <c r="T433" s="9">
        <v>110.3</v>
      </c>
      <c r="U433" s="4">
        <v>1</v>
      </c>
      <c r="AH433" s="9">
        <v>32.93</v>
      </c>
      <c r="AI433" s="4">
        <v>2</v>
      </c>
    </row>
    <row r="434" spans="20:35">
      <c r="T434" s="9">
        <v>110.4</v>
      </c>
      <c r="U434" s="4">
        <v>1</v>
      </c>
      <c r="AH434" s="9">
        <v>32.99</v>
      </c>
      <c r="AI434" s="4">
        <v>1</v>
      </c>
    </row>
    <row r="435" spans="20:35">
      <c r="T435" s="9">
        <v>110.5</v>
      </c>
      <c r="U435" s="4">
        <v>2</v>
      </c>
      <c r="AH435" s="9">
        <v>33.03</v>
      </c>
      <c r="AI435" s="4">
        <v>1</v>
      </c>
    </row>
    <row r="436" spans="20:35">
      <c r="T436" s="9">
        <v>110.6</v>
      </c>
      <c r="U436" s="4">
        <v>1</v>
      </c>
      <c r="AH436" s="9">
        <v>33.04</v>
      </c>
      <c r="AI436" s="4">
        <v>1</v>
      </c>
    </row>
    <row r="437" spans="20:35">
      <c r="T437" s="9">
        <v>110.7</v>
      </c>
      <c r="U437" s="4">
        <v>3</v>
      </c>
      <c r="AH437" s="9">
        <v>33.07</v>
      </c>
      <c r="AI437" s="4">
        <v>1</v>
      </c>
    </row>
    <row r="438" spans="20:35">
      <c r="T438" s="9">
        <v>110.8</v>
      </c>
      <c r="U438" s="4">
        <v>2</v>
      </c>
      <c r="AH438" s="9">
        <v>33.08</v>
      </c>
      <c r="AI438" s="4">
        <v>1</v>
      </c>
    </row>
    <row r="439" spans="20:35">
      <c r="T439" s="9">
        <v>111.1</v>
      </c>
      <c r="U439" s="4">
        <v>1</v>
      </c>
      <c r="AH439" s="9">
        <v>33.119999999999997</v>
      </c>
      <c r="AI439" s="4">
        <v>1</v>
      </c>
    </row>
    <row r="440" spans="20:35">
      <c r="T440" s="9">
        <v>111.3</v>
      </c>
      <c r="U440" s="4">
        <v>1</v>
      </c>
      <c r="AH440" s="9">
        <v>33.130000000000003</v>
      </c>
      <c r="AI440" s="4">
        <v>1</v>
      </c>
    </row>
    <row r="441" spans="20:35">
      <c r="T441" s="9">
        <v>111.5</v>
      </c>
      <c r="U441" s="4">
        <v>1</v>
      </c>
      <c r="AH441" s="9">
        <v>33.19</v>
      </c>
      <c r="AI441" s="4">
        <v>1</v>
      </c>
    </row>
    <row r="442" spans="20:35">
      <c r="T442" s="9">
        <v>111.6</v>
      </c>
      <c r="U442" s="4">
        <v>1</v>
      </c>
      <c r="AH442" s="9">
        <v>33.21</v>
      </c>
      <c r="AI442" s="4">
        <v>1</v>
      </c>
    </row>
    <row r="443" spans="20:35">
      <c r="T443" s="9">
        <v>111.7</v>
      </c>
      <c r="U443" s="4">
        <v>3</v>
      </c>
      <c r="AH443" s="9">
        <v>33.25</v>
      </c>
      <c r="AI443" s="4">
        <v>1</v>
      </c>
    </row>
    <row r="444" spans="20:35">
      <c r="T444" s="9">
        <v>111.8</v>
      </c>
      <c r="U444" s="4">
        <v>3</v>
      </c>
      <c r="AH444" s="9">
        <v>33.35</v>
      </c>
      <c r="AI444" s="4">
        <v>1</v>
      </c>
    </row>
    <row r="445" spans="20:35">
      <c r="T445" s="9">
        <v>111.9</v>
      </c>
      <c r="U445" s="4">
        <v>1</v>
      </c>
      <c r="AH445" s="9">
        <v>33.36</v>
      </c>
      <c r="AI445" s="4">
        <v>1</v>
      </c>
    </row>
    <row r="446" spans="20:35">
      <c r="T446" s="9">
        <v>112.2</v>
      </c>
      <c r="U446" s="4">
        <v>1</v>
      </c>
      <c r="AH446" s="9">
        <v>33.4</v>
      </c>
      <c r="AI446" s="4">
        <v>1</v>
      </c>
    </row>
    <row r="447" spans="20:35">
      <c r="T447" s="9">
        <v>112.3</v>
      </c>
      <c r="U447" s="4">
        <v>1</v>
      </c>
      <c r="AH447" s="9">
        <v>33.43</v>
      </c>
      <c r="AI447" s="4">
        <v>1</v>
      </c>
    </row>
    <row r="448" spans="20:35">
      <c r="T448" s="9">
        <v>112.5</v>
      </c>
      <c r="U448" s="4">
        <v>4</v>
      </c>
      <c r="AH448" s="9">
        <v>33.46</v>
      </c>
      <c r="AI448" s="4">
        <v>3</v>
      </c>
    </row>
    <row r="449" spans="20:35">
      <c r="T449" s="9">
        <v>112.6</v>
      </c>
      <c r="U449" s="4">
        <v>2</v>
      </c>
      <c r="AH449" s="9">
        <v>33.53</v>
      </c>
      <c r="AI449" s="4">
        <v>1</v>
      </c>
    </row>
    <row r="450" spans="20:35">
      <c r="T450" s="9">
        <v>112.7</v>
      </c>
      <c r="U450" s="4">
        <v>3</v>
      </c>
      <c r="AH450" s="9">
        <v>33.56</v>
      </c>
      <c r="AI450" s="4">
        <v>1</v>
      </c>
    </row>
    <row r="451" spans="20:35">
      <c r="T451" s="9">
        <v>112.8</v>
      </c>
      <c r="U451" s="4">
        <v>2</v>
      </c>
      <c r="AH451" s="9">
        <v>33.61</v>
      </c>
      <c r="AI451" s="4">
        <v>1</v>
      </c>
    </row>
    <row r="452" spans="20:35">
      <c r="T452" s="9">
        <v>112.9</v>
      </c>
      <c r="U452" s="4">
        <v>2</v>
      </c>
      <c r="AH452" s="9">
        <v>33.65</v>
      </c>
      <c r="AI452" s="4">
        <v>1</v>
      </c>
    </row>
    <row r="453" spans="20:35">
      <c r="T453" s="9">
        <v>113.1</v>
      </c>
      <c r="U453" s="4">
        <v>1</v>
      </c>
      <c r="AH453" s="9">
        <v>33.67</v>
      </c>
      <c r="AI453" s="4">
        <v>1</v>
      </c>
    </row>
    <row r="454" spans="20:35">
      <c r="T454" s="9">
        <v>113.2</v>
      </c>
      <c r="U454" s="4">
        <v>1</v>
      </c>
      <c r="AH454" s="9">
        <v>33.68</v>
      </c>
      <c r="AI454" s="4">
        <v>2</v>
      </c>
    </row>
    <row r="455" spans="20:35">
      <c r="T455" s="9">
        <v>113.3</v>
      </c>
      <c r="U455" s="4">
        <v>2</v>
      </c>
      <c r="AH455" s="9">
        <v>33.76</v>
      </c>
      <c r="AI455" s="4">
        <v>1</v>
      </c>
    </row>
    <row r="456" spans="20:35">
      <c r="T456" s="9">
        <v>113.6</v>
      </c>
      <c r="U456" s="4">
        <v>2</v>
      </c>
      <c r="AH456" s="9">
        <v>33.770000000000003</v>
      </c>
      <c r="AI456" s="4">
        <v>1</v>
      </c>
    </row>
    <row r="457" spans="20:35">
      <c r="T457" s="9">
        <v>113.7</v>
      </c>
      <c r="U457" s="4">
        <v>1</v>
      </c>
      <c r="AH457" s="9">
        <v>33.909999999999997</v>
      </c>
      <c r="AI457" s="4">
        <v>1</v>
      </c>
    </row>
    <row r="458" spans="20:35">
      <c r="T458" s="9">
        <v>113.8</v>
      </c>
      <c r="U458" s="4">
        <v>1</v>
      </c>
      <c r="AH458" s="9">
        <v>33.93</v>
      </c>
      <c r="AI458" s="4">
        <v>2</v>
      </c>
    </row>
    <row r="459" spans="20:35">
      <c r="T459" s="9">
        <v>113.9</v>
      </c>
      <c r="U459" s="4">
        <v>3</v>
      </c>
      <c r="AH459" s="9">
        <v>33.94</v>
      </c>
      <c r="AI459" s="4">
        <v>1</v>
      </c>
    </row>
    <row r="460" spans="20:35">
      <c r="T460" s="9">
        <v>114</v>
      </c>
      <c r="U460" s="4">
        <v>1</v>
      </c>
      <c r="AH460" s="9">
        <v>33.99</v>
      </c>
      <c r="AI460" s="4">
        <v>1</v>
      </c>
    </row>
    <row r="461" spans="20:35">
      <c r="T461" s="9">
        <v>114.1</v>
      </c>
      <c r="U461" s="4">
        <v>1</v>
      </c>
      <c r="AH461" s="9">
        <v>34.049999999999997</v>
      </c>
      <c r="AI461" s="4">
        <v>1</v>
      </c>
    </row>
    <row r="462" spans="20:35">
      <c r="T462" s="9">
        <v>114.2</v>
      </c>
      <c r="U462" s="4">
        <v>1</v>
      </c>
      <c r="AH462" s="9">
        <v>34.06</v>
      </c>
      <c r="AI462" s="4">
        <v>1</v>
      </c>
    </row>
    <row r="463" spans="20:35">
      <c r="T463" s="9">
        <v>114.3</v>
      </c>
      <c r="U463" s="4">
        <v>2</v>
      </c>
      <c r="AH463" s="9">
        <v>34.14</v>
      </c>
      <c r="AI463" s="4">
        <v>1</v>
      </c>
    </row>
    <row r="464" spans="20:35">
      <c r="T464" s="9">
        <v>114.4</v>
      </c>
      <c r="U464" s="4">
        <v>1</v>
      </c>
      <c r="AH464" s="9">
        <v>34.15</v>
      </c>
      <c r="AI464" s="4">
        <v>1</v>
      </c>
    </row>
    <row r="465" spans="20:35">
      <c r="T465" s="9">
        <v>114.6</v>
      </c>
      <c r="U465" s="4">
        <v>1</v>
      </c>
      <c r="AH465" s="9">
        <v>34.200000000000003</v>
      </c>
      <c r="AI465" s="4">
        <v>2</v>
      </c>
    </row>
    <row r="466" spans="20:35">
      <c r="T466" s="9">
        <v>114.8</v>
      </c>
      <c r="U466" s="4">
        <v>1</v>
      </c>
      <c r="AH466" s="9">
        <v>34.25</v>
      </c>
      <c r="AI466" s="4">
        <v>1</v>
      </c>
    </row>
    <row r="467" spans="20:35">
      <c r="T467" s="9">
        <v>114.9</v>
      </c>
      <c r="U467" s="4">
        <v>1</v>
      </c>
      <c r="AH467" s="9">
        <v>34.270000000000003</v>
      </c>
      <c r="AI467" s="4">
        <v>1</v>
      </c>
    </row>
    <row r="468" spans="20:35">
      <c r="T468" s="9">
        <v>115</v>
      </c>
      <c r="U468" s="4">
        <v>2</v>
      </c>
      <c r="AH468" s="9">
        <v>34.29</v>
      </c>
      <c r="AI468" s="4">
        <v>1</v>
      </c>
    </row>
    <row r="469" spans="20:35">
      <c r="T469" s="9">
        <v>115.2</v>
      </c>
      <c r="U469" s="4">
        <v>2</v>
      </c>
      <c r="AH469" s="9">
        <v>34.31</v>
      </c>
      <c r="AI469" s="4">
        <v>1</v>
      </c>
    </row>
    <row r="470" spans="20:35">
      <c r="T470" s="9">
        <v>115.3</v>
      </c>
      <c r="U470" s="4">
        <v>1</v>
      </c>
      <c r="AH470" s="9">
        <v>34.39</v>
      </c>
      <c r="AI470" s="4">
        <v>2</v>
      </c>
    </row>
    <row r="471" spans="20:35">
      <c r="T471" s="9">
        <v>115.4</v>
      </c>
      <c r="U471" s="4">
        <v>1</v>
      </c>
      <c r="AH471" s="9">
        <v>34.46</v>
      </c>
      <c r="AI471" s="4">
        <v>1</v>
      </c>
    </row>
    <row r="472" spans="20:35">
      <c r="T472" s="9">
        <v>115.5</v>
      </c>
      <c r="U472" s="4">
        <v>3</v>
      </c>
      <c r="AH472" s="9">
        <v>34.479999999999997</v>
      </c>
      <c r="AI472" s="4">
        <v>1</v>
      </c>
    </row>
    <row r="473" spans="20:35">
      <c r="T473" s="9">
        <v>115.7</v>
      </c>
      <c r="U473" s="4">
        <v>2</v>
      </c>
      <c r="AH473" s="9">
        <v>34.590000000000003</v>
      </c>
      <c r="AI473" s="4">
        <v>1</v>
      </c>
    </row>
    <row r="474" spans="20:35">
      <c r="T474" s="9">
        <v>115.9</v>
      </c>
      <c r="U474" s="4">
        <v>2</v>
      </c>
      <c r="AH474" s="9">
        <v>34.61</v>
      </c>
      <c r="AI474" s="4">
        <v>1</v>
      </c>
    </row>
    <row r="475" spans="20:35">
      <c r="T475" s="9">
        <v>116</v>
      </c>
      <c r="U475" s="4">
        <v>1</v>
      </c>
      <c r="AH475" s="9">
        <v>34.67</v>
      </c>
      <c r="AI475" s="4">
        <v>1</v>
      </c>
    </row>
    <row r="476" spans="20:35">
      <c r="T476" s="9">
        <v>116.1</v>
      </c>
      <c r="U476" s="4">
        <v>1</v>
      </c>
      <c r="AH476" s="9">
        <v>34.700000000000003</v>
      </c>
      <c r="AI476" s="4">
        <v>1</v>
      </c>
    </row>
    <row r="477" spans="20:35">
      <c r="T477" s="9">
        <v>116.3</v>
      </c>
      <c r="U477" s="4">
        <v>3</v>
      </c>
      <c r="AH477" s="9">
        <v>34.770000000000003</v>
      </c>
      <c r="AI477" s="4">
        <v>1</v>
      </c>
    </row>
    <row r="478" spans="20:35">
      <c r="T478" s="9">
        <v>116.4</v>
      </c>
      <c r="U478" s="4">
        <v>1</v>
      </c>
      <c r="AH478" s="9">
        <v>34.869999999999997</v>
      </c>
      <c r="AI478" s="4">
        <v>1</v>
      </c>
    </row>
    <row r="479" spans="20:35">
      <c r="T479" s="9">
        <v>116.5</v>
      </c>
      <c r="U479" s="4">
        <v>2</v>
      </c>
      <c r="AH479" s="9">
        <v>34.89</v>
      </c>
      <c r="AI479" s="4">
        <v>1</v>
      </c>
    </row>
    <row r="480" spans="20:35">
      <c r="T480" s="9">
        <v>116.6</v>
      </c>
      <c r="U480" s="4">
        <v>2</v>
      </c>
      <c r="AH480" s="9">
        <v>34.93</v>
      </c>
      <c r="AI480" s="4">
        <v>1</v>
      </c>
    </row>
    <row r="481" spans="20:35">
      <c r="T481" s="9">
        <v>116.7</v>
      </c>
      <c r="U481" s="4">
        <v>2</v>
      </c>
      <c r="AH481" s="9">
        <v>34.94</v>
      </c>
      <c r="AI481" s="4">
        <v>1</v>
      </c>
    </row>
    <row r="482" spans="20:35">
      <c r="T482" s="9">
        <v>116.8</v>
      </c>
      <c r="U482" s="4">
        <v>1</v>
      </c>
      <c r="AH482" s="9">
        <v>34.97</v>
      </c>
      <c r="AI482" s="4">
        <v>2</v>
      </c>
    </row>
    <row r="483" spans="20:35">
      <c r="T483" s="9">
        <v>117</v>
      </c>
      <c r="U483" s="4">
        <v>1</v>
      </c>
      <c r="AH483" s="9">
        <v>35.06</v>
      </c>
      <c r="AI483" s="4">
        <v>1</v>
      </c>
    </row>
    <row r="484" spans="20:35">
      <c r="T484" s="9">
        <v>117.1</v>
      </c>
      <c r="U484" s="4">
        <v>1</v>
      </c>
      <c r="AH484" s="9">
        <v>35.090000000000003</v>
      </c>
      <c r="AI484" s="4">
        <v>4</v>
      </c>
    </row>
    <row r="485" spans="20:35">
      <c r="T485" s="9">
        <v>117.2</v>
      </c>
      <c r="U485" s="4">
        <v>1</v>
      </c>
      <c r="AH485" s="9">
        <v>35.1</v>
      </c>
      <c r="AI485" s="4">
        <v>1</v>
      </c>
    </row>
    <row r="486" spans="20:35">
      <c r="T486" s="9">
        <v>117.3</v>
      </c>
      <c r="U486" s="4">
        <v>1</v>
      </c>
      <c r="AH486" s="9">
        <v>35.130000000000003</v>
      </c>
      <c r="AI486" s="4">
        <v>1</v>
      </c>
    </row>
    <row r="487" spans="20:35">
      <c r="T487" s="9">
        <v>117.4</v>
      </c>
      <c r="U487" s="4">
        <v>3</v>
      </c>
      <c r="AH487" s="9">
        <v>35.15</v>
      </c>
      <c r="AI487" s="4">
        <v>1</v>
      </c>
    </row>
    <row r="488" spans="20:35">
      <c r="T488" s="9">
        <v>117.5</v>
      </c>
      <c r="U488" s="4">
        <v>1</v>
      </c>
      <c r="AH488" s="9">
        <v>35.29</v>
      </c>
      <c r="AI488" s="4">
        <v>1</v>
      </c>
    </row>
    <row r="489" spans="20:35">
      <c r="T489" s="9">
        <v>117.6</v>
      </c>
      <c r="U489" s="4">
        <v>1</v>
      </c>
      <c r="AH489" s="9">
        <v>35.299999999999997</v>
      </c>
      <c r="AI489" s="4">
        <v>1</v>
      </c>
    </row>
    <row r="490" spans="20:35">
      <c r="T490" s="9">
        <v>117.7</v>
      </c>
      <c r="U490" s="4">
        <v>1</v>
      </c>
      <c r="AH490" s="9">
        <v>35.32</v>
      </c>
      <c r="AI490" s="4">
        <v>1</v>
      </c>
    </row>
    <row r="491" spans="20:35">
      <c r="T491" s="9">
        <v>117.8</v>
      </c>
      <c r="U491" s="4">
        <v>1</v>
      </c>
      <c r="AH491" s="9">
        <v>35.35</v>
      </c>
      <c r="AI491" s="4">
        <v>1</v>
      </c>
    </row>
    <row r="492" spans="20:35">
      <c r="T492" s="9">
        <v>118</v>
      </c>
      <c r="U492" s="4">
        <v>2</v>
      </c>
      <c r="AH492" s="9">
        <v>35.369999999999997</v>
      </c>
      <c r="AI492" s="4">
        <v>1</v>
      </c>
    </row>
    <row r="493" spans="20:35">
      <c r="T493" s="9">
        <v>118.2</v>
      </c>
      <c r="U493" s="4">
        <v>1</v>
      </c>
      <c r="AH493" s="9">
        <v>35.51</v>
      </c>
      <c r="AI493" s="4">
        <v>1</v>
      </c>
    </row>
    <row r="494" spans="20:35">
      <c r="T494" s="9">
        <v>118.3</v>
      </c>
      <c r="U494" s="4">
        <v>1</v>
      </c>
      <c r="AH494" s="9">
        <v>35.57</v>
      </c>
      <c r="AI494" s="4">
        <v>2</v>
      </c>
    </row>
    <row r="495" spans="20:35">
      <c r="T495" s="9">
        <v>118.4</v>
      </c>
      <c r="U495" s="4">
        <v>1</v>
      </c>
      <c r="AH495" s="9">
        <v>35.729999999999997</v>
      </c>
      <c r="AI495" s="4">
        <v>1</v>
      </c>
    </row>
    <row r="496" spans="20:35">
      <c r="T496" s="9">
        <v>118.9</v>
      </c>
      <c r="U496" s="4">
        <v>1</v>
      </c>
      <c r="AH496" s="9">
        <v>35.78</v>
      </c>
      <c r="AI496" s="4">
        <v>1</v>
      </c>
    </row>
    <row r="497" spans="20:35">
      <c r="T497" s="9">
        <v>119</v>
      </c>
      <c r="U497" s="4">
        <v>1</v>
      </c>
      <c r="AH497" s="9">
        <v>35.82</v>
      </c>
      <c r="AI497" s="4">
        <v>1</v>
      </c>
    </row>
    <row r="498" spans="20:35">
      <c r="T498" s="9">
        <v>119.2</v>
      </c>
      <c r="U498" s="4">
        <v>1</v>
      </c>
      <c r="AH498" s="9">
        <v>35.93</v>
      </c>
      <c r="AI498" s="4">
        <v>1</v>
      </c>
    </row>
    <row r="499" spans="20:35">
      <c r="T499" s="9">
        <v>119.6</v>
      </c>
      <c r="U499" s="4">
        <v>3</v>
      </c>
      <c r="AH499" s="9">
        <v>35.97</v>
      </c>
      <c r="AI499" s="4">
        <v>1</v>
      </c>
    </row>
    <row r="500" spans="20:35">
      <c r="T500" s="9">
        <v>119.7</v>
      </c>
      <c r="U500" s="4">
        <v>1</v>
      </c>
      <c r="AH500" s="9">
        <v>35.979999999999997</v>
      </c>
      <c r="AI500" s="4">
        <v>1</v>
      </c>
    </row>
    <row r="501" spans="20:35">
      <c r="T501" s="9">
        <v>120</v>
      </c>
      <c r="U501" s="4">
        <v>4</v>
      </c>
      <c r="AH501" s="9">
        <v>36.01</v>
      </c>
      <c r="AI501" s="4">
        <v>1</v>
      </c>
    </row>
    <row r="502" spans="20:35">
      <c r="T502" s="9">
        <v>120.3</v>
      </c>
      <c r="U502" s="4">
        <v>2</v>
      </c>
      <c r="AH502" s="9">
        <v>36.020000000000003</v>
      </c>
      <c r="AI502" s="4">
        <v>1</v>
      </c>
    </row>
    <row r="503" spans="20:35">
      <c r="T503" s="9">
        <v>120.5</v>
      </c>
      <c r="U503" s="4">
        <v>1</v>
      </c>
      <c r="AH503" s="9">
        <v>36.08</v>
      </c>
      <c r="AI503" s="4">
        <v>1</v>
      </c>
    </row>
    <row r="504" spans="20:35">
      <c r="T504" s="9">
        <v>120.8</v>
      </c>
      <c r="U504" s="4">
        <v>1</v>
      </c>
      <c r="AH504" s="9">
        <v>36.090000000000003</v>
      </c>
      <c r="AI504" s="4">
        <v>1</v>
      </c>
    </row>
    <row r="505" spans="20:35">
      <c r="T505" s="9">
        <v>121.4</v>
      </c>
      <c r="U505" s="4">
        <v>2</v>
      </c>
      <c r="AH505" s="9">
        <v>36.119999999999997</v>
      </c>
      <c r="AI505" s="4">
        <v>1</v>
      </c>
    </row>
    <row r="506" spans="20:35">
      <c r="T506" s="9">
        <v>121.5</v>
      </c>
      <c r="U506" s="4">
        <v>3</v>
      </c>
      <c r="AH506" s="9">
        <v>36.159999999999997</v>
      </c>
      <c r="AI506" s="4">
        <v>1</v>
      </c>
    </row>
    <row r="507" spans="20:35">
      <c r="T507" s="9">
        <v>121.6</v>
      </c>
      <c r="U507" s="4">
        <v>3</v>
      </c>
      <c r="AH507" s="9">
        <v>36.21</v>
      </c>
      <c r="AI507" s="4">
        <v>1</v>
      </c>
    </row>
    <row r="508" spans="20:35">
      <c r="T508" s="9">
        <v>121.7</v>
      </c>
      <c r="U508" s="4">
        <v>2</v>
      </c>
      <c r="AH508" s="9">
        <v>36.35</v>
      </c>
      <c r="AI508" s="4">
        <v>1</v>
      </c>
    </row>
    <row r="509" spans="20:35">
      <c r="T509" s="9">
        <v>121.8</v>
      </c>
      <c r="U509" s="4">
        <v>1</v>
      </c>
      <c r="AH509" s="9">
        <v>36.43</v>
      </c>
      <c r="AI509" s="4">
        <v>1</v>
      </c>
    </row>
    <row r="510" spans="20:35">
      <c r="T510" s="9">
        <v>121.9</v>
      </c>
      <c r="U510" s="4">
        <v>1</v>
      </c>
      <c r="AH510" s="9">
        <v>36.47</v>
      </c>
      <c r="AI510" s="4">
        <v>1</v>
      </c>
    </row>
    <row r="511" spans="20:35">
      <c r="T511" s="9">
        <v>122</v>
      </c>
      <c r="U511" s="4">
        <v>3</v>
      </c>
      <c r="AH511" s="9">
        <v>36.51</v>
      </c>
      <c r="AI511" s="4">
        <v>1</v>
      </c>
    </row>
    <row r="512" spans="20:35">
      <c r="T512" s="9">
        <v>122.1</v>
      </c>
      <c r="U512" s="4">
        <v>4</v>
      </c>
      <c r="AH512" s="9">
        <v>36.53</v>
      </c>
      <c r="AI512" s="4">
        <v>2</v>
      </c>
    </row>
    <row r="513" spans="20:35">
      <c r="T513" s="9">
        <v>122.2</v>
      </c>
      <c r="U513" s="4">
        <v>2</v>
      </c>
      <c r="AH513" s="9">
        <v>36.619999999999997</v>
      </c>
      <c r="AI513" s="4">
        <v>1</v>
      </c>
    </row>
    <row r="514" spans="20:35">
      <c r="T514" s="9">
        <v>122.4</v>
      </c>
      <c r="U514" s="4">
        <v>1</v>
      </c>
      <c r="AH514" s="9">
        <v>36.630000000000003</v>
      </c>
      <c r="AI514" s="4">
        <v>1</v>
      </c>
    </row>
    <row r="515" spans="20:35">
      <c r="T515" s="9">
        <v>122.6</v>
      </c>
      <c r="U515" s="4">
        <v>1</v>
      </c>
      <c r="AH515" s="9">
        <v>36.69</v>
      </c>
      <c r="AI515" s="4">
        <v>1</v>
      </c>
    </row>
    <row r="516" spans="20:35">
      <c r="T516" s="9">
        <v>123.1</v>
      </c>
      <c r="U516" s="4">
        <v>1</v>
      </c>
      <c r="AH516" s="9">
        <v>36.729999999999997</v>
      </c>
      <c r="AI516" s="4">
        <v>1</v>
      </c>
    </row>
    <row r="517" spans="20:35">
      <c r="T517" s="9">
        <v>123.4</v>
      </c>
      <c r="U517" s="4">
        <v>1</v>
      </c>
      <c r="AH517" s="9">
        <v>36.78</v>
      </c>
      <c r="AI517" s="4">
        <v>1</v>
      </c>
    </row>
    <row r="518" spans="20:35">
      <c r="T518" s="9">
        <v>123.6</v>
      </c>
      <c r="U518" s="4">
        <v>4</v>
      </c>
      <c r="AH518" s="9">
        <v>36.83</v>
      </c>
      <c r="AI518" s="4">
        <v>1</v>
      </c>
    </row>
    <row r="519" spans="20:35">
      <c r="T519" s="9">
        <v>123.7</v>
      </c>
      <c r="U519" s="4">
        <v>1</v>
      </c>
      <c r="AH519" s="9">
        <v>36.92</v>
      </c>
      <c r="AI519" s="4">
        <v>1</v>
      </c>
    </row>
    <row r="520" spans="20:35">
      <c r="T520" s="9">
        <v>123.8</v>
      </c>
      <c r="U520" s="4">
        <v>2</v>
      </c>
      <c r="AH520" s="9">
        <v>36.979999999999997</v>
      </c>
      <c r="AI520" s="4">
        <v>1</v>
      </c>
    </row>
    <row r="521" spans="20:35">
      <c r="T521" s="9">
        <v>124</v>
      </c>
      <c r="U521" s="4">
        <v>1</v>
      </c>
      <c r="AH521" s="9">
        <v>37.01</v>
      </c>
      <c r="AI521" s="4">
        <v>1</v>
      </c>
    </row>
    <row r="522" spans="20:35">
      <c r="T522" s="9">
        <v>124.1</v>
      </c>
      <c r="U522" s="4">
        <v>2</v>
      </c>
      <c r="AH522" s="9">
        <v>37.020000000000003</v>
      </c>
      <c r="AI522" s="4">
        <v>1</v>
      </c>
    </row>
    <row r="523" spans="20:35">
      <c r="T523" s="9">
        <v>124.5</v>
      </c>
      <c r="U523" s="4">
        <v>1</v>
      </c>
      <c r="AH523" s="9">
        <v>37.090000000000003</v>
      </c>
      <c r="AI523" s="4">
        <v>1</v>
      </c>
    </row>
    <row r="524" spans="20:35">
      <c r="T524" s="9">
        <v>124.7</v>
      </c>
      <c r="U524" s="4">
        <v>2</v>
      </c>
      <c r="AH524" s="9">
        <v>37.130000000000003</v>
      </c>
      <c r="AI524" s="4">
        <v>1</v>
      </c>
    </row>
    <row r="525" spans="20:35">
      <c r="T525" s="9">
        <v>124.8</v>
      </c>
      <c r="U525" s="4">
        <v>1</v>
      </c>
      <c r="AH525" s="9">
        <v>37.15</v>
      </c>
      <c r="AI525" s="4">
        <v>1</v>
      </c>
    </row>
    <row r="526" spans="20:35">
      <c r="T526" s="9">
        <v>125</v>
      </c>
      <c r="U526" s="4">
        <v>1</v>
      </c>
      <c r="AH526" s="9">
        <v>37.200000000000003</v>
      </c>
      <c r="AI526" s="4">
        <v>1</v>
      </c>
    </row>
    <row r="527" spans="20:35">
      <c r="T527" s="9">
        <v>125.2</v>
      </c>
      <c r="U527" s="4">
        <v>1</v>
      </c>
      <c r="AH527" s="9">
        <v>37.21</v>
      </c>
      <c r="AI527" s="4">
        <v>1</v>
      </c>
    </row>
    <row r="528" spans="20:35">
      <c r="T528" s="9">
        <v>125.4</v>
      </c>
      <c r="U528" s="4">
        <v>2</v>
      </c>
      <c r="AH528" s="9">
        <v>37.33</v>
      </c>
      <c r="AI528" s="4">
        <v>1</v>
      </c>
    </row>
    <row r="529" spans="20:35">
      <c r="T529" s="9">
        <v>125.5</v>
      </c>
      <c r="U529" s="4">
        <v>1</v>
      </c>
      <c r="AH529" s="9">
        <v>37.340000000000003</v>
      </c>
      <c r="AI529" s="4">
        <v>1</v>
      </c>
    </row>
    <row r="530" spans="20:35">
      <c r="T530" s="9">
        <v>125.8</v>
      </c>
      <c r="U530" s="4">
        <v>1</v>
      </c>
      <c r="AH530" s="9">
        <v>37.51</v>
      </c>
      <c r="AI530" s="4">
        <v>1</v>
      </c>
    </row>
    <row r="531" spans="20:35">
      <c r="T531" s="9">
        <v>126.3</v>
      </c>
      <c r="U531" s="4">
        <v>1</v>
      </c>
      <c r="AH531" s="9">
        <v>37.520000000000003</v>
      </c>
      <c r="AI531" s="4">
        <v>1</v>
      </c>
    </row>
    <row r="532" spans="20:35">
      <c r="T532" s="9">
        <v>126.4</v>
      </c>
      <c r="U532" s="4">
        <v>4</v>
      </c>
      <c r="AH532" s="9">
        <v>37.54</v>
      </c>
      <c r="AI532" s="4">
        <v>1</v>
      </c>
    </row>
    <row r="533" spans="20:35">
      <c r="T533" s="9">
        <v>126.5</v>
      </c>
      <c r="U533" s="4">
        <v>2</v>
      </c>
      <c r="AH533" s="9">
        <v>37.57</v>
      </c>
      <c r="AI533" s="4">
        <v>2</v>
      </c>
    </row>
    <row r="534" spans="20:35">
      <c r="T534" s="9">
        <v>126.6</v>
      </c>
      <c r="U534" s="4">
        <v>3</v>
      </c>
      <c r="AH534" s="9">
        <v>37.630000000000003</v>
      </c>
      <c r="AI534" s="4">
        <v>1</v>
      </c>
    </row>
    <row r="535" spans="20:35">
      <c r="T535" s="9">
        <v>126.8</v>
      </c>
      <c r="U535" s="4">
        <v>1</v>
      </c>
      <c r="AH535" s="9">
        <v>37.75</v>
      </c>
      <c r="AI535" s="4">
        <v>1</v>
      </c>
    </row>
    <row r="536" spans="20:35">
      <c r="T536" s="9">
        <v>126.9</v>
      </c>
      <c r="U536" s="4">
        <v>1</v>
      </c>
      <c r="AH536" s="9">
        <v>37.78</v>
      </c>
      <c r="AI536" s="4">
        <v>1</v>
      </c>
    </row>
    <row r="537" spans="20:35">
      <c r="T537" s="9">
        <v>127</v>
      </c>
      <c r="U537" s="4">
        <v>1</v>
      </c>
      <c r="AH537" s="9">
        <v>37.979999999999997</v>
      </c>
      <c r="AI537" s="4">
        <v>1</v>
      </c>
    </row>
    <row r="538" spans="20:35">
      <c r="T538" s="9">
        <v>127.1</v>
      </c>
      <c r="U538" s="4">
        <v>1</v>
      </c>
      <c r="AH538" s="9">
        <v>38</v>
      </c>
      <c r="AI538" s="4">
        <v>1</v>
      </c>
    </row>
    <row r="539" spans="20:35">
      <c r="T539" s="9">
        <v>127.2</v>
      </c>
      <c r="U539" s="4">
        <v>1</v>
      </c>
      <c r="AH539" s="9">
        <v>38.03</v>
      </c>
      <c r="AI539" s="4">
        <v>2</v>
      </c>
    </row>
    <row r="540" spans="20:35">
      <c r="T540" s="9">
        <v>127.3</v>
      </c>
      <c r="U540" s="4">
        <v>2</v>
      </c>
      <c r="AH540" s="9">
        <v>38.08</v>
      </c>
      <c r="AI540" s="4">
        <v>1</v>
      </c>
    </row>
    <row r="541" spans="20:35">
      <c r="T541" s="9">
        <v>127.5</v>
      </c>
      <c r="U541" s="4">
        <v>1</v>
      </c>
      <c r="AH541" s="9">
        <v>38.1</v>
      </c>
      <c r="AI541" s="4">
        <v>1</v>
      </c>
    </row>
    <row r="542" spans="20:35">
      <c r="T542" s="9">
        <v>127.7</v>
      </c>
      <c r="U542" s="4">
        <v>2</v>
      </c>
      <c r="AH542" s="9">
        <v>38.14</v>
      </c>
      <c r="AI542" s="4">
        <v>1</v>
      </c>
    </row>
    <row r="543" spans="20:35">
      <c r="T543" s="9">
        <v>127.8</v>
      </c>
      <c r="U543" s="4">
        <v>2</v>
      </c>
      <c r="AH543" s="9">
        <v>38.32</v>
      </c>
      <c r="AI543" s="4">
        <v>1</v>
      </c>
    </row>
    <row r="544" spans="20:35">
      <c r="T544" s="9">
        <v>127.9</v>
      </c>
      <c r="U544" s="4">
        <v>2</v>
      </c>
      <c r="AH544" s="9">
        <v>38.36</v>
      </c>
      <c r="AI544" s="4">
        <v>1</v>
      </c>
    </row>
    <row r="545" spans="20:35">
      <c r="T545" s="9">
        <v>128.1</v>
      </c>
      <c r="U545" s="4">
        <v>2</v>
      </c>
      <c r="AH545" s="9">
        <v>38.369999999999997</v>
      </c>
      <c r="AI545" s="4">
        <v>1</v>
      </c>
    </row>
    <row r="546" spans="20:35">
      <c r="T546" s="9">
        <v>128.19999999999999</v>
      </c>
      <c r="U546" s="4">
        <v>2</v>
      </c>
      <c r="AH546" s="9">
        <v>38.43</v>
      </c>
      <c r="AI546" s="4">
        <v>1</v>
      </c>
    </row>
    <row r="547" spans="20:35">
      <c r="T547" s="9">
        <v>128.4</v>
      </c>
      <c r="U547" s="4">
        <v>1</v>
      </c>
      <c r="AH547" s="9">
        <v>38.47</v>
      </c>
      <c r="AI547" s="4">
        <v>1</v>
      </c>
    </row>
    <row r="548" spans="20:35">
      <c r="T548" s="9">
        <v>128.5</v>
      </c>
      <c r="U548" s="4">
        <v>2</v>
      </c>
      <c r="AH548" s="9">
        <v>38.479999999999997</v>
      </c>
      <c r="AI548" s="4">
        <v>1</v>
      </c>
    </row>
    <row r="549" spans="20:35">
      <c r="T549" s="9">
        <v>128.6</v>
      </c>
      <c r="U549" s="4">
        <v>1</v>
      </c>
      <c r="AH549" s="9">
        <v>38.54</v>
      </c>
      <c r="AI549" s="4">
        <v>1</v>
      </c>
    </row>
    <row r="550" spans="20:35">
      <c r="T550" s="9">
        <v>128.69999999999999</v>
      </c>
      <c r="U550" s="4">
        <v>2</v>
      </c>
      <c r="AH550" s="9">
        <v>38.58</v>
      </c>
      <c r="AI550" s="4">
        <v>1</v>
      </c>
    </row>
    <row r="551" spans="20:35">
      <c r="T551" s="9">
        <v>129.1</v>
      </c>
      <c r="U551" s="4">
        <v>4</v>
      </c>
      <c r="AH551" s="9">
        <v>38.700000000000003</v>
      </c>
      <c r="AI551" s="4">
        <v>1</v>
      </c>
    </row>
    <row r="552" spans="20:35">
      <c r="T552" s="9">
        <v>129.19999999999999</v>
      </c>
      <c r="U552" s="4">
        <v>1</v>
      </c>
      <c r="AH552" s="9">
        <v>38.770000000000003</v>
      </c>
      <c r="AI552" s="4">
        <v>1</v>
      </c>
    </row>
    <row r="553" spans="20:35">
      <c r="T553" s="9">
        <v>129.5</v>
      </c>
      <c r="U553" s="4">
        <v>3</v>
      </c>
      <c r="AH553" s="9">
        <v>38.799999999999997</v>
      </c>
      <c r="AI553" s="4">
        <v>1</v>
      </c>
    </row>
    <row r="554" spans="20:35">
      <c r="T554" s="9">
        <v>129.80000000000001</v>
      </c>
      <c r="U554" s="4">
        <v>1</v>
      </c>
      <c r="AH554" s="9">
        <v>38.82</v>
      </c>
      <c r="AI554" s="4">
        <v>1</v>
      </c>
    </row>
    <row r="555" spans="20:35">
      <c r="T555" s="9">
        <v>130.1</v>
      </c>
      <c r="U555" s="4">
        <v>2</v>
      </c>
      <c r="AH555" s="9">
        <v>38.9</v>
      </c>
      <c r="AI555" s="4">
        <v>1</v>
      </c>
    </row>
    <row r="556" spans="20:35">
      <c r="T556" s="9">
        <v>130.19999999999999</v>
      </c>
      <c r="U556" s="4">
        <v>2</v>
      </c>
      <c r="AH556" s="9">
        <v>38.97</v>
      </c>
      <c r="AI556" s="4">
        <v>1</v>
      </c>
    </row>
    <row r="557" spans="20:35">
      <c r="T557" s="9">
        <v>130.30000000000001</v>
      </c>
      <c r="U557" s="4">
        <v>2</v>
      </c>
      <c r="AH557" s="9">
        <v>39.08</v>
      </c>
      <c r="AI557" s="4">
        <v>1</v>
      </c>
    </row>
    <row r="558" spans="20:35">
      <c r="T558" s="9">
        <v>130.5</v>
      </c>
      <c r="U558" s="4">
        <v>2</v>
      </c>
      <c r="AH558" s="9">
        <v>39.1</v>
      </c>
      <c r="AI558" s="4">
        <v>1</v>
      </c>
    </row>
    <row r="559" spans="20:35">
      <c r="T559" s="9">
        <v>130.6</v>
      </c>
      <c r="U559" s="4">
        <v>2</v>
      </c>
      <c r="AH559" s="9">
        <v>39.17</v>
      </c>
      <c r="AI559" s="4">
        <v>1</v>
      </c>
    </row>
    <row r="560" spans="20:35">
      <c r="T560" s="9">
        <v>130.69999999999999</v>
      </c>
      <c r="U560" s="4">
        <v>4</v>
      </c>
      <c r="AH560" s="9">
        <v>39.26</v>
      </c>
      <c r="AI560" s="4">
        <v>1</v>
      </c>
    </row>
    <row r="561" spans="20:35">
      <c r="T561" s="9">
        <v>130.80000000000001</v>
      </c>
      <c r="U561" s="4">
        <v>2</v>
      </c>
      <c r="AH561" s="9">
        <v>39.270000000000003</v>
      </c>
      <c r="AI561" s="4">
        <v>1</v>
      </c>
    </row>
    <row r="562" spans="20:35">
      <c r="T562" s="9">
        <v>131</v>
      </c>
      <c r="U562" s="4">
        <v>1</v>
      </c>
      <c r="AH562" s="9">
        <v>39.409999999999997</v>
      </c>
      <c r="AI562" s="4">
        <v>1</v>
      </c>
    </row>
    <row r="563" spans="20:35">
      <c r="T563" s="9">
        <v>131.1</v>
      </c>
      <c r="U563" s="4">
        <v>2</v>
      </c>
      <c r="AH563" s="9">
        <v>39.5</v>
      </c>
      <c r="AI563" s="4">
        <v>1</v>
      </c>
    </row>
    <row r="564" spans="20:35">
      <c r="T564" s="9">
        <v>131.19999999999999</v>
      </c>
      <c r="U564" s="4">
        <v>2</v>
      </c>
      <c r="AH564" s="9">
        <v>39.51</v>
      </c>
      <c r="AI564" s="4">
        <v>1</v>
      </c>
    </row>
    <row r="565" spans="20:35">
      <c r="T565" s="9">
        <v>131.30000000000001</v>
      </c>
      <c r="U565" s="4">
        <v>2</v>
      </c>
      <c r="AH565" s="9">
        <v>39.67</v>
      </c>
      <c r="AI565" s="4">
        <v>1</v>
      </c>
    </row>
    <row r="566" spans="20:35">
      <c r="T566" s="9">
        <v>131.4</v>
      </c>
      <c r="U566" s="4">
        <v>2</v>
      </c>
      <c r="AH566" s="9">
        <v>39.68</v>
      </c>
      <c r="AI566" s="4">
        <v>1</v>
      </c>
    </row>
    <row r="567" spans="20:35">
      <c r="T567" s="9">
        <v>131.5</v>
      </c>
      <c r="U567" s="4">
        <v>1</v>
      </c>
      <c r="AH567" s="9">
        <v>39.700000000000003</v>
      </c>
      <c r="AI567" s="4">
        <v>1</v>
      </c>
    </row>
    <row r="568" spans="20:35">
      <c r="T568" s="9">
        <v>131.6</v>
      </c>
      <c r="U568" s="4">
        <v>1</v>
      </c>
      <c r="AH568" s="9">
        <v>39.71</v>
      </c>
      <c r="AI568" s="4">
        <v>1</v>
      </c>
    </row>
    <row r="569" spans="20:35">
      <c r="T569" s="9">
        <v>131.69999999999999</v>
      </c>
      <c r="U569" s="4">
        <v>2</v>
      </c>
      <c r="AH569" s="9">
        <v>39.76</v>
      </c>
      <c r="AI569" s="4">
        <v>1</v>
      </c>
    </row>
    <row r="570" spans="20:35">
      <c r="T570" s="9">
        <v>131.80000000000001</v>
      </c>
      <c r="U570" s="4">
        <v>1</v>
      </c>
      <c r="AH570" s="9">
        <v>39.79</v>
      </c>
      <c r="AI570" s="4">
        <v>1</v>
      </c>
    </row>
    <row r="571" spans="20:35">
      <c r="T571" s="9">
        <v>131.9</v>
      </c>
      <c r="U571" s="4">
        <v>2</v>
      </c>
      <c r="AH571" s="9">
        <v>39.83</v>
      </c>
      <c r="AI571" s="4">
        <v>2</v>
      </c>
    </row>
    <row r="572" spans="20:35">
      <c r="T572" s="9">
        <v>132</v>
      </c>
      <c r="U572" s="4">
        <v>1</v>
      </c>
      <c r="AH572" s="9">
        <v>39.909999999999997</v>
      </c>
      <c r="AI572" s="4">
        <v>1</v>
      </c>
    </row>
    <row r="573" spans="20:35">
      <c r="T573" s="9">
        <v>132.1</v>
      </c>
      <c r="U573" s="4">
        <v>3</v>
      </c>
      <c r="AH573" s="9">
        <v>39.93</v>
      </c>
      <c r="AI573" s="4">
        <v>2</v>
      </c>
    </row>
    <row r="574" spans="20:35">
      <c r="T574" s="9">
        <v>132.19999999999999</v>
      </c>
      <c r="U574" s="4">
        <v>1</v>
      </c>
      <c r="AH574" s="9">
        <v>39.94</v>
      </c>
      <c r="AI574" s="4">
        <v>1</v>
      </c>
    </row>
    <row r="575" spans="20:35">
      <c r="T575" s="9">
        <v>132.4</v>
      </c>
      <c r="U575" s="4">
        <v>2</v>
      </c>
      <c r="AH575" s="9">
        <v>39.950000000000003</v>
      </c>
      <c r="AI575" s="4">
        <v>1</v>
      </c>
    </row>
    <row r="576" spans="20:35">
      <c r="T576" s="9">
        <v>132.6</v>
      </c>
      <c r="U576" s="4">
        <v>1</v>
      </c>
      <c r="AH576" s="9">
        <v>39.979999999999997</v>
      </c>
      <c r="AI576" s="4">
        <v>1</v>
      </c>
    </row>
    <row r="577" spans="20:35">
      <c r="T577" s="9">
        <v>132.9</v>
      </c>
      <c r="U577" s="4">
        <v>1</v>
      </c>
      <c r="AH577" s="9">
        <v>40.049999999999997</v>
      </c>
      <c r="AI577" s="4">
        <v>1</v>
      </c>
    </row>
    <row r="578" spans="20:35">
      <c r="T578" s="9">
        <v>133.1</v>
      </c>
      <c r="U578" s="4">
        <v>2</v>
      </c>
      <c r="AH578" s="9">
        <v>40.08</v>
      </c>
      <c r="AI578" s="4">
        <v>1</v>
      </c>
    </row>
    <row r="579" spans="20:35">
      <c r="T579" s="9">
        <v>133.19999999999999</v>
      </c>
      <c r="U579" s="4">
        <v>1</v>
      </c>
      <c r="AH579" s="9">
        <v>40.1</v>
      </c>
      <c r="AI579" s="4">
        <v>1</v>
      </c>
    </row>
    <row r="580" spans="20:35">
      <c r="T580" s="9">
        <v>133.30000000000001</v>
      </c>
      <c r="U580" s="4">
        <v>2</v>
      </c>
      <c r="AH580" s="9">
        <v>40.299999999999997</v>
      </c>
      <c r="AI580" s="4">
        <v>2</v>
      </c>
    </row>
    <row r="581" spans="20:35">
      <c r="T581" s="9">
        <v>133.4</v>
      </c>
      <c r="U581" s="4">
        <v>1</v>
      </c>
      <c r="AH581" s="9">
        <v>40.32</v>
      </c>
      <c r="AI581" s="4">
        <v>1</v>
      </c>
    </row>
    <row r="582" spans="20:35">
      <c r="T582" s="9">
        <v>133.69999999999999</v>
      </c>
      <c r="U582" s="4">
        <v>2</v>
      </c>
      <c r="AH582" s="9">
        <v>40.369999999999997</v>
      </c>
      <c r="AI582" s="4">
        <v>1</v>
      </c>
    </row>
    <row r="583" spans="20:35">
      <c r="T583" s="9">
        <v>133.9</v>
      </c>
      <c r="U583" s="4">
        <v>1</v>
      </c>
      <c r="AH583" s="9">
        <v>40.380000000000003</v>
      </c>
      <c r="AI583" s="4">
        <v>1</v>
      </c>
    </row>
    <row r="584" spans="20:35">
      <c r="T584" s="9">
        <v>134.1</v>
      </c>
      <c r="U584" s="4">
        <v>1</v>
      </c>
      <c r="AH584" s="9">
        <v>40.409999999999997</v>
      </c>
      <c r="AI584" s="4">
        <v>1</v>
      </c>
    </row>
    <row r="585" spans="20:35">
      <c r="T585" s="9">
        <v>134.30000000000001</v>
      </c>
      <c r="U585" s="4">
        <v>2</v>
      </c>
      <c r="AH585" s="9">
        <v>40.450000000000003</v>
      </c>
      <c r="AI585" s="4">
        <v>1</v>
      </c>
    </row>
    <row r="586" spans="20:35">
      <c r="T586" s="9">
        <v>134.5</v>
      </c>
      <c r="U586" s="4">
        <v>1</v>
      </c>
      <c r="AH586" s="9">
        <v>40.46</v>
      </c>
      <c r="AI586" s="4">
        <v>1</v>
      </c>
    </row>
    <row r="587" spans="20:35">
      <c r="T587" s="9">
        <v>134.6</v>
      </c>
      <c r="U587" s="4">
        <v>1</v>
      </c>
      <c r="AH587" s="9">
        <v>40.51</v>
      </c>
      <c r="AI587" s="4">
        <v>1</v>
      </c>
    </row>
    <row r="588" spans="20:35">
      <c r="T588" s="9">
        <v>134.69999999999999</v>
      </c>
      <c r="U588" s="4">
        <v>1</v>
      </c>
      <c r="AH588" s="9">
        <v>40.549999999999997</v>
      </c>
      <c r="AI588" s="4">
        <v>1</v>
      </c>
    </row>
    <row r="589" spans="20:35">
      <c r="T589" s="9">
        <v>134.80000000000001</v>
      </c>
      <c r="U589" s="4">
        <v>1</v>
      </c>
      <c r="AH589" s="9">
        <v>40.58</v>
      </c>
      <c r="AI589" s="4">
        <v>2</v>
      </c>
    </row>
    <row r="590" spans="20:35">
      <c r="T590" s="9">
        <v>134.9</v>
      </c>
      <c r="U590" s="4">
        <v>1</v>
      </c>
      <c r="AH590" s="9">
        <v>40.61</v>
      </c>
      <c r="AI590" s="4">
        <v>2</v>
      </c>
    </row>
    <row r="591" spans="20:35">
      <c r="T591" s="9">
        <v>135</v>
      </c>
      <c r="U591" s="4">
        <v>2</v>
      </c>
      <c r="AH591" s="9">
        <v>40.630000000000003</v>
      </c>
      <c r="AI591" s="4">
        <v>1</v>
      </c>
    </row>
    <row r="592" spans="20:35">
      <c r="T592" s="9">
        <v>135.1</v>
      </c>
      <c r="U592" s="4">
        <v>1</v>
      </c>
      <c r="AH592" s="9">
        <v>40.64</v>
      </c>
      <c r="AI592" s="4">
        <v>1</v>
      </c>
    </row>
    <row r="593" spans="20:35">
      <c r="T593" s="9">
        <v>135.19999999999999</v>
      </c>
      <c r="U593" s="4">
        <v>1</v>
      </c>
      <c r="AH593" s="9">
        <v>40.65</v>
      </c>
      <c r="AI593" s="4">
        <v>1</v>
      </c>
    </row>
    <row r="594" spans="20:35">
      <c r="T594" s="9">
        <v>135.4</v>
      </c>
      <c r="U594" s="4">
        <v>2</v>
      </c>
      <c r="AH594" s="9">
        <v>40.74</v>
      </c>
      <c r="AI594" s="4">
        <v>1</v>
      </c>
    </row>
    <row r="595" spans="20:35">
      <c r="T595" s="9">
        <v>135.5</v>
      </c>
      <c r="U595" s="4">
        <v>2</v>
      </c>
      <c r="AH595" s="9">
        <v>40.770000000000003</v>
      </c>
      <c r="AI595" s="4">
        <v>1</v>
      </c>
    </row>
    <row r="596" spans="20:35">
      <c r="T596" s="9">
        <v>135.6</v>
      </c>
      <c r="U596" s="4">
        <v>3</v>
      </c>
      <c r="AH596" s="9">
        <v>40.79</v>
      </c>
      <c r="AI596" s="4">
        <v>1</v>
      </c>
    </row>
    <row r="597" spans="20:35">
      <c r="T597" s="9">
        <v>136</v>
      </c>
      <c r="U597" s="4">
        <v>1</v>
      </c>
      <c r="AH597" s="9">
        <v>40.81</v>
      </c>
      <c r="AI597" s="4">
        <v>1</v>
      </c>
    </row>
    <row r="598" spans="20:35">
      <c r="T598" s="9">
        <v>136.1</v>
      </c>
      <c r="U598" s="4">
        <v>1</v>
      </c>
      <c r="AH598" s="9">
        <v>40.83</v>
      </c>
      <c r="AI598" s="4">
        <v>1</v>
      </c>
    </row>
    <row r="599" spans="20:35">
      <c r="T599" s="9">
        <v>136.19999999999999</v>
      </c>
      <c r="U599" s="4">
        <v>2</v>
      </c>
      <c r="AH599" s="9">
        <v>40.85</v>
      </c>
      <c r="AI599" s="4">
        <v>1</v>
      </c>
    </row>
    <row r="600" spans="20:35">
      <c r="T600" s="9">
        <v>136.30000000000001</v>
      </c>
      <c r="U600" s="4">
        <v>1</v>
      </c>
      <c r="AH600" s="9">
        <v>40.86</v>
      </c>
      <c r="AI600" s="4">
        <v>2</v>
      </c>
    </row>
    <row r="601" spans="20:35">
      <c r="T601" s="9">
        <v>136.4</v>
      </c>
      <c r="U601" s="4">
        <v>1</v>
      </c>
      <c r="AH601" s="9">
        <v>40.880000000000003</v>
      </c>
      <c r="AI601" s="4">
        <v>1</v>
      </c>
    </row>
    <row r="602" spans="20:35">
      <c r="T602" s="9">
        <v>136.6</v>
      </c>
      <c r="U602" s="4">
        <v>2</v>
      </c>
      <c r="AH602" s="9">
        <v>40.909999999999997</v>
      </c>
      <c r="AI602" s="4">
        <v>1</v>
      </c>
    </row>
    <row r="603" spans="20:35">
      <c r="T603" s="9">
        <v>136.69999999999999</v>
      </c>
      <c r="U603" s="4">
        <v>1</v>
      </c>
      <c r="AH603" s="9">
        <v>40.92</v>
      </c>
      <c r="AI603" s="4">
        <v>1</v>
      </c>
    </row>
    <row r="604" spans="20:35">
      <c r="T604" s="9">
        <v>136.80000000000001</v>
      </c>
      <c r="U604" s="4">
        <v>1</v>
      </c>
      <c r="AH604" s="9">
        <v>40.97</v>
      </c>
      <c r="AI604" s="4">
        <v>1</v>
      </c>
    </row>
    <row r="605" spans="20:35">
      <c r="T605" s="9">
        <v>136.9</v>
      </c>
      <c r="U605" s="4">
        <v>1</v>
      </c>
      <c r="AH605" s="9">
        <v>40.99</v>
      </c>
      <c r="AI605" s="4">
        <v>1</v>
      </c>
    </row>
    <row r="606" spans="20:35">
      <c r="T606" s="9">
        <v>137</v>
      </c>
      <c r="U606" s="4">
        <v>2</v>
      </c>
      <c r="AH606" s="9">
        <v>41.01</v>
      </c>
      <c r="AI606" s="4">
        <v>1</v>
      </c>
    </row>
    <row r="607" spans="20:35">
      <c r="T607" s="9">
        <v>137.1</v>
      </c>
      <c r="U607" s="4">
        <v>1</v>
      </c>
      <c r="AH607" s="9">
        <v>41.02</v>
      </c>
      <c r="AI607" s="4">
        <v>1</v>
      </c>
    </row>
    <row r="608" spans="20:35">
      <c r="T608" s="9">
        <v>137.4</v>
      </c>
      <c r="U608" s="4">
        <v>1</v>
      </c>
      <c r="AH608" s="9">
        <v>41.08</v>
      </c>
      <c r="AI608" s="4">
        <v>2</v>
      </c>
    </row>
    <row r="609" spans="20:35">
      <c r="T609" s="9">
        <v>137.69999999999999</v>
      </c>
      <c r="U609" s="4">
        <v>3</v>
      </c>
      <c r="AH609" s="9">
        <v>41.12</v>
      </c>
      <c r="AI609" s="4">
        <v>1</v>
      </c>
    </row>
    <row r="610" spans="20:35">
      <c r="T610" s="9">
        <v>137.80000000000001</v>
      </c>
      <c r="U610" s="4">
        <v>2</v>
      </c>
      <c r="AH610" s="9">
        <v>41.13</v>
      </c>
      <c r="AI610" s="4">
        <v>3</v>
      </c>
    </row>
    <row r="611" spans="20:35">
      <c r="T611" s="9">
        <v>138</v>
      </c>
      <c r="U611" s="4">
        <v>5</v>
      </c>
      <c r="AH611" s="9">
        <v>41.23</v>
      </c>
      <c r="AI611" s="4">
        <v>1</v>
      </c>
    </row>
    <row r="612" spans="20:35">
      <c r="T612" s="9">
        <v>138.1</v>
      </c>
      <c r="U612" s="4">
        <v>2</v>
      </c>
      <c r="AH612" s="9">
        <v>41.27</v>
      </c>
      <c r="AI612" s="4">
        <v>1</v>
      </c>
    </row>
    <row r="613" spans="20:35">
      <c r="T613" s="9">
        <v>138.19999999999999</v>
      </c>
      <c r="U613" s="4">
        <v>2</v>
      </c>
      <c r="AH613" s="9">
        <v>41.29</v>
      </c>
      <c r="AI613" s="4">
        <v>1</v>
      </c>
    </row>
    <row r="614" spans="20:35">
      <c r="T614" s="9">
        <v>138.30000000000001</v>
      </c>
      <c r="U614" s="4">
        <v>1</v>
      </c>
      <c r="AH614" s="9">
        <v>41.3</v>
      </c>
      <c r="AI614" s="4">
        <v>1</v>
      </c>
    </row>
    <row r="615" spans="20:35">
      <c r="T615" s="9">
        <v>138.4</v>
      </c>
      <c r="U615" s="4">
        <v>1</v>
      </c>
      <c r="AH615" s="9">
        <v>41.64</v>
      </c>
      <c r="AI615" s="4">
        <v>1</v>
      </c>
    </row>
    <row r="616" spans="20:35">
      <c r="T616" s="9">
        <v>138.5</v>
      </c>
      <c r="U616" s="4">
        <v>2</v>
      </c>
      <c r="AH616" s="9">
        <v>41.7</v>
      </c>
      <c r="AI616" s="4">
        <v>1</v>
      </c>
    </row>
    <row r="617" spans="20:35">
      <c r="T617" s="9">
        <v>138.6</v>
      </c>
      <c r="U617" s="4">
        <v>4</v>
      </c>
      <c r="AH617" s="9">
        <v>41.72</v>
      </c>
      <c r="AI617" s="4">
        <v>1</v>
      </c>
    </row>
    <row r="618" spans="20:35">
      <c r="T618" s="9">
        <v>138.80000000000001</v>
      </c>
      <c r="U618" s="4">
        <v>2</v>
      </c>
      <c r="AH618" s="9">
        <v>41.74</v>
      </c>
      <c r="AI618" s="4">
        <v>1</v>
      </c>
    </row>
    <row r="619" spans="20:35">
      <c r="T619" s="9">
        <v>138.9</v>
      </c>
      <c r="U619" s="4">
        <v>1</v>
      </c>
      <c r="AH619" s="9">
        <v>41.75</v>
      </c>
      <c r="AI619" s="4">
        <v>1</v>
      </c>
    </row>
    <row r="620" spans="20:35">
      <c r="T620" s="9">
        <v>139</v>
      </c>
      <c r="U620" s="4">
        <v>1</v>
      </c>
      <c r="AH620" s="9">
        <v>41.81</v>
      </c>
      <c r="AI620" s="4">
        <v>1</v>
      </c>
    </row>
    <row r="621" spans="20:35">
      <c r="T621" s="9">
        <v>139.1</v>
      </c>
      <c r="U621" s="4">
        <v>1</v>
      </c>
      <c r="AH621" s="9">
        <v>41.86</v>
      </c>
      <c r="AI621" s="4">
        <v>1</v>
      </c>
    </row>
    <row r="622" spans="20:35">
      <c r="T622" s="9">
        <v>139.19999999999999</v>
      </c>
      <c r="U622" s="4">
        <v>2</v>
      </c>
      <c r="AH622" s="9">
        <v>41.87</v>
      </c>
      <c r="AI622" s="4">
        <v>1</v>
      </c>
    </row>
    <row r="623" spans="20:35">
      <c r="T623" s="9">
        <v>139.30000000000001</v>
      </c>
      <c r="U623" s="4">
        <v>1</v>
      </c>
      <c r="AH623" s="9">
        <v>41.88</v>
      </c>
      <c r="AI623" s="4">
        <v>3</v>
      </c>
    </row>
    <row r="624" spans="20:35">
      <c r="T624" s="9">
        <v>139.5</v>
      </c>
      <c r="U624" s="4">
        <v>2</v>
      </c>
      <c r="AH624" s="9">
        <v>41.92</v>
      </c>
      <c r="AI624" s="4">
        <v>1</v>
      </c>
    </row>
    <row r="625" spans="20:35">
      <c r="T625" s="9">
        <v>139.69999999999999</v>
      </c>
      <c r="U625" s="4">
        <v>4</v>
      </c>
      <c r="AH625" s="9">
        <v>41.93</v>
      </c>
      <c r="AI625" s="4">
        <v>1</v>
      </c>
    </row>
    <row r="626" spans="20:35">
      <c r="T626" s="9">
        <v>140</v>
      </c>
      <c r="U626" s="4">
        <v>2</v>
      </c>
      <c r="AH626" s="9">
        <v>42.03</v>
      </c>
      <c r="AI626" s="4">
        <v>1</v>
      </c>
    </row>
    <row r="627" spans="20:35">
      <c r="T627" s="9">
        <v>140.5</v>
      </c>
      <c r="U627" s="4">
        <v>3</v>
      </c>
      <c r="AH627" s="9">
        <v>42.08</v>
      </c>
      <c r="AI627" s="4">
        <v>2</v>
      </c>
    </row>
    <row r="628" spans="20:35">
      <c r="T628" s="9">
        <v>140.9</v>
      </c>
      <c r="U628" s="4">
        <v>1</v>
      </c>
      <c r="AH628" s="9">
        <v>42.16</v>
      </c>
      <c r="AI628" s="4">
        <v>1</v>
      </c>
    </row>
    <row r="629" spans="20:35">
      <c r="T629" s="9">
        <v>141</v>
      </c>
      <c r="U629" s="4">
        <v>1</v>
      </c>
      <c r="AH629" s="9">
        <v>42.19</v>
      </c>
      <c r="AI629" s="4">
        <v>1</v>
      </c>
    </row>
    <row r="630" spans="20:35">
      <c r="T630" s="9">
        <v>141.1</v>
      </c>
      <c r="U630" s="4">
        <v>1</v>
      </c>
      <c r="AH630" s="9">
        <v>42.23</v>
      </c>
      <c r="AI630" s="4">
        <v>1</v>
      </c>
    </row>
    <row r="631" spans="20:35">
      <c r="T631" s="9">
        <v>141.19999999999999</v>
      </c>
      <c r="U631" s="4">
        <v>1</v>
      </c>
      <c r="AH631" s="9">
        <v>42.29</v>
      </c>
      <c r="AI631" s="4">
        <v>3</v>
      </c>
    </row>
    <row r="632" spans="20:35">
      <c r="T632" s="9">
        <v>141.30000000000001</v>
      </c>
      <c r="U632" s="4">
        <v>2</v>
      </c>
      <c r="AH632" s="9">
        <v>42.34</v>
      </c>
      <c r="AI632" s="4">
        <v>1</v>
      </c>
    </row>
    <row r="633" spans="20:35">
      <c r="T633" s="9">
        <v>141.6</v>
      </c>
      <c r="U633" s="4">
        <v>1</v>
      </c>
      <c r="AH633" s="9">
        <v>42.49</v>
      </c>
      <c r="AI633" s="4">
        <v>1</v>
      </c>
    </row>
    <row r="634" spans="20:35">
      <c r="T634" s="9">
        <v>141.69999999999999</v>
      </c>
      <c r="U634" s="4">
        <v>1</v>
      </c>
      <c r="AH634" s="9">
        <v>42.51</v>
      </c>
      <c r="AI634" s="4">
        <v>1</v>
      </c>
    </row>
    <row r="635" spans="20:35">
      <c r="T635" s="9">
        <v>141.80000000000001</v>
      </c>
      <c r="U635" s="4">
        <v>4</v>
      </c>
      <c r="AH635" s="9">
        <v>42.55</v>
      </c>
      <c r="AI635" s="4">
        <v>1</v>
      </c>
    </row>
    <row r="636" spans="20:35">
      <c r="T636" s="9">
        <v>141.9</v>
      </c>
      <c r="U636" s="4">
        <v>2</v>
      </c>
      <c r="AH636" s="9">
        <v>42.63</v>
      </c>
      <c r="AI636" s="4">
        <v>1</v>
      </c>
    </row>
    <row r="637" spans="20:35">
      <c r="T637" s="9">
        <v>142</v>
      </c>
      <c r="U637" s="4">
        <v>2</v>
      </c>
      <c r="AH637" s="9">
        <v>42.65</v>
      </c>
      <c r="AI637" s="4">
        <v>1</v>
      </c>
    </row>
    <row r="638" spans="20:35">
      <c r="T638" s="9">
        <v>142.1</v>
      </c>
      <c r="U638" s="4">
        <v>2</v>
      </c>
      <c r="AH638" s="9">
        <v>42.68</v>
      </c>
      <c r="AI638" s="4">
        <v>1</v>
      </c>
    </row>
    <row r="639" spans="20:35">
      <c r="T639" s="9">
        <v>142.19999999999999</v>
      </c>
      <c r="U639" s="4">
        <v>3</v>
      </c>
      <c r="AH639" s="9">
        <v>42.69</v>
      </c>
      <c r="AI639" s="4">
        <v>1</v>
      </c>
    </row>
    <row r="640" spans="20:35">
      <c r="T640" s="9">
        <v>142.30000000000001</v>
      </c>
      <c r="U640" s="4">
        <v>1</v>
      </c>
      <c r="AH640" s="9">
        <v>42.76</v>
      </c>
      <c r="AI640" s="4">
        <v>2</v>
      </c>
    </row>
    <row r="641" spans="20:35">
      <c r="T641" s="9">
        <v>142.4</v>
      </c>
      <c r="U641" s="4">
        <v>1</v>
      </c>
      <c r="AH641" s="9">
        <v>42.81</v>
      </c>
      <c r="AI641" s="4">
        <v>1</v>
      </c>
    </row>
    <row r="642" spans="20:35">
      <c r="T642" s="9">
        <v>142.5</v>
      </c>
      <c r="U642" s="4">
        <v>2</v>
      </c>
      <c r="AH642" s="9">
        <v>42.85</v>
      </c>
      <c r="AI642" s="4">
        <v>1</v>
      </c>
    </row>
    <row r="643" spans="20:35">
      <c r="T643" s="9">
        <v>142.6</v>
      </c>
      <c r="U643" s="4">
        <v>1</v>
      </c>
      <c r="AH643" s="9">
        <v>43</v>
      </c>
      <c r="AI643" s="4">
        <v>1</v>
      </c>
    </row>
    <row r="644" spans="20:35">
      <c r="T644" s="9">
        <v>142.69999999999999</v>
      </c>
      <c r="U644" s="4">
        <v>2</v>
      </c>
      <c r="AH644" s="9">
        <v>43.01</v>
      </c>
      <c r="AI644" s="4">
        <v>1</v>
      </c>
    </row>
    <row r="645" spans="20:35">
      <c r="T645" s="9">
        <v>143</v>
      </c>
      <c r="U645" s="4">
        <v>1</v>
      </c>
      <c r="AH645" s="9">
        <v>43.05</v>
      </c>
      <c r="AI645" s="4">
        <v>1</v>
      </c>
    </row>
    <row r="646" spans="20:35">
      <c r="T646" s="9">
        <v>143.30000000000001</v>
      </c>
      <c r="U646" s="4">
        <v>2</v>
      </c>
      <c r="AH646" s="9">
        <v>43.08</v>
      </c>
      <c r="AI646" s="4">
        <v>1</v>
      </c>
    </row>
    <row r="647" spans="20:35">
      <c r="T647" s="9">
        <v>143.6</v>
      </c>
      <c r="U647" s="4">
        <v>1</v>
      </c>
      <c r="AH647" s="9">
        <v>43.16</v>
      </c>
      <c r="AI647" s="4">
        <v>1</v>
      </c>
    </row>
    <row r="648" spans="20:35">
      <c r="T648" s="9">
        <v>143.80000000000001</v>
      </c>
      <c r="U648" s="4">
        <v>2</v>
      </c>
      <c r="AH648" s="9">
        <v>43.2</v>
      </c>
      <c r="AI648" s="4">
        <v>1</v>
      </c>
    </row>
    <row r="649" spans="20:35">
      <c r="T649" s="9">
        <v>144</v>
      </c>
      <c r="U649" s="4">
        <v>2</v>
      </c>
      <c r="AH649" s="9">
        <v>43.23</v>
      </c>
      <c r="AI649" s="4">
        <v>1</v>
      </c>
    </row>
    <row r="650" spans="20:35">
      <c r="T650" s="9">
        <v>144.19999999999999</v>
      </c>
      <c r="U650" s="4">
        <v>2</v>
      </c>
      <c r="AH650" s="9">
        <v>43.3</v>
      </c>
      <c r="AI650" s="4">
        <v>2</v>
      </c>
    </row>
    <row r="651" spans="20:35">
      <c r="T651" s="9">
        <v>144.4</v>
      </c>
      <c r="U651" s="4">
        <v>2</v>
      </c>
      <c r="AH651" s="9">
        <v>43.34</v>
      </c>
      <c r="AI651" s="4">
        <v>1</v>
      </c>
    </row>
    <row r="652" spans="20:35">
      <c r="T652" s="9">
        <v>144.5</v>
      </c>
      <c r="U652" s="4">
        <v>2</v>
      </c>
      <c r="AH652" s="9">
        <v>43.36</v>
      </c>
      <c r="AI652" s="4">
        <v>1</v>
      </c>
    </row>
    <row r="653" spans="20:35">
      <c r="T653" s="9">
        <v>144.9</v>
      </c>
      <c r="U653" s="4">
        <v>1</v>
      </c>
      <c r="AH653" s="9">
        <v>43.42</v>
      </c>
      <c r="AI653" s="4">
        <v>1</v>
      </c>
    </row>
    <row r="654" spans="20:35">
      <c r="T654" s="9">
        <v>145</v>
      </c>
      <c r="U654" s="4">
        <v>1</v>
      </c>
      <c r="AH654" s="9">
        <v>43.66</v>
      </c>
      <c r="AI654" s="4">
        <v>1</v>
      </c>
    </row>
    <row r="655" spans="20:35">
      <c r="T655" s="9">
        <v>145.1</v>
      </c>
      <c r="U655" s="4">
        <v>1</v>
      </c>
      <c r="AH655" s="9">
        <v>43.67</v>
      </c>
      <c r="AI655" s="4">
        <v>1</v>
      </c>
    </row>
    <row r="656" spans="20:35">
      <c r="T656" s="9">
        <v>145.19999999999999</v>
      </c>
      <c r="U656" s="4">
        <v>1</v>
      </c>
      <c r="AH656" s="9">
        <v>43.8</v>
      </c>
      <c r="AI656" s="4">
        <v>1</v>
      </c>
    </row>
    <row r="657" spans="20:35">
      <c r="T657" s="9">
        <v>145.6</v>
      </c>
      <c r="U657" s="4">
        <v>1</v>
      </c>
      <c r="AH657" s="9">
        <v>43.82</v>
      </c>
      <c r="AI657" s="4">
        <v>2</v>
      </c>
    </row>
    <row r="658" spans="20:35">
      <c r="T658" s="9">
        <v>145.80000000000001</v>
      </c>
      <c r="U658" s="4">
        <v>2</v>
      </c>
      <c r="AH658" s="9">
        <v>43.93</v>
      </c>
      <c r="AI658" s="4">
        <v>1</v>
      </c>
    </row>
    <row r="659" spans="20:35">
      <c r="T659" s="9">
        <v>145.9</v>
      </c>
      <c r="U659" s="4">
        <v>1</v>
      </c>
      <c r="AH659" s="9">
        <v>43.96</v>
      </c>
      <c r="AI659" s="4">
        <v>1</v>
      </c>
    </row>
    <row r="660" spans="20:35">
      <c r="T660" s="9">
        <v>146</v>
      </c>
      <c r="U660" s="4">
        <v>1</v>
      </c>
      <c r="AH660" s="9">
        <v>43.97</v>
      </c>
      <c r="AI660" s="4">
        <v>2</v>
      </c>
    </row>
    <row r="661" spans="20:35">
      <c r="T661" s="9">
        <v>146.1</v>
      </c>
      <c r="U661" s="4">
        <v>1</v>
      </c>
      <c r="AH661" s="9">
        <v>44</v>
      </c>
      <c r="AI661" s="4">
        <v>1</v>
      </c>
    </row>
    <row r="662" spans="20:35">
      <c r="T662" s="9">
        <v>146.19999999999999</v>
      </c>
      <c r="U662" s="4">
        <v>2</v>
      </c>
      <c r="AH662" s="9">
        <v>44.01</v>
      </c>
      <c r="AI662" s="4">
        <v>2</v>
      </c>
    </row>
    <row r="663" spans="20:35">
      <c r="T663" s="9">
        <v>146.5</v>
      </c>
      <c r="U663" s="4">
        <v>1</v>
      </c>
      <c r="AH663" s="9">
        <v>44.1</v>
      </c>
      <c r="AI663" s="4">
        <v>1</v>
      </c>
    </row>
    <row r="664" spans="20:35">
      <c r="T664" s="9">
        <v>146.6</v>
      </c>
      <c r="U664" s="4">
        <v>2</v>
      </c>
      <c r="AH664" s="9">
        <v>44.21</v>
      </c>
      <c r="AI664" s="4">
        <v>1</v>
      </c>
    </row>
    <row r="665" spans="20:35">
      <c r="T665" s="9">
        <v>146.69999999999999</v>
      </c>
      <c r="U665" s="4">
        <v>3</v>
      </c>
      <c r="AH665" s="9">
        <v>44.27</v>
      </c>
      <c r="AI665" s="4">
        <v>1</v>
      </c>
    </row>
    <row r="666" spans="20:35">
      <c r="T666" s="9">
        <v>146.80000000000001</v>
      </c>
      <c r="U666" s="4">
        <v>2</v>
      </c>
      <c r="AH666" s="9">
        <v>44.36</v>
      </c>
      <c r="AI666" s="4">
        <v>1</v>
      </c>
    </row>
    <row r="667" spans="20:35">
      <c r="T667" s="9">
        <v>147</v>
      </c>
      <c r="U667" s="4">
        <v>1</v>
      </c>
      <c r="AH667" s="9">
        <v>44.42</v>
      </c>
      <c r="AI667" s="4">
        <v>1</v>
      </c>
    </row>
    <row r="668" spans="20:35">
      <c r="T668" s="9">
        <v>147.1</v>
      </c>
      <c r="U668" s="4">
        <v>4</v>
      </c>
      <c r="AH668" s="9">
        <v>44.44</v>
      </c>
      <c r="AI668" s="4">
        <v>1</v>
      </c>
    </row>
    <row r="669" spans="20:35">
      <c r="T669" s="9">
        <v>147.19999999999999</v>
      </c>
      <c r="U669" s="4">
        <v>1</v>
      </c>
      <c r="AH669" s="9">
        <v>44.45</v>
      </c>
      <c r="AI669" s="4">
        <v>1</v>
      </c>
    </row>
    <row r="670" spans="20:35">
      <c r="T670" s="9">
        <v>147.30000000000001</v>
      </c>
      <c r="U670" s="4">
        <v>2</v>
      </c>
      <c r="AH670" s="9">
        <v>44.49</v>
      </c>
      <c r="AI670" s="4">
        <v>1</v>
      </c>
    </row>
    <row r="671" spans="20:35">
      <c r="T671" s="9">
        <v>147.4</v>
      </c>
      <c r="U671" s="4">
        <v>1</v>
      </c>
      <c r="AH671" s="9">
        <v>44.5</v>
      </c>
      <c r="AI671" s="4">
        <v>1</v>
      </c>
    </row>
    <row r="672" spans="20:35">
      <c r="T672" s="9">
        <v>147.6</v>
      </c>
      <c r="U672" s="4">
        <v>1</v>
      </c>
      <c r="AH672" s="9">
        <v>44.53</v>
      </c>
      <c r="AI672" s="4">
        <v>1</v>
      </c>
    </row>
    <row r="673" spans="20:35">
      <c r="T673" s="9">
        <v>147.69999999999999</v>
      </c>
      <c r="U673" s="4">
        <v>1</v>
      </c>
      <c r="AH673" s="9">
        <v>44.56</v>
      </c>
      <c r="AI673" s="4">
        <v>1</v>
      </c>
    </row>
    <row r="674" spans="20:35">
      <c r="T674" s="9">
        <v>147.80000000000001</v>
      </c>
      <c r="U674" s="4">
        <v>1</v>
      </c>
      <c r="AH674" s="9">
        <v>44.63</v>
      </c>
      <c r="AI674" s="4">
        <v>1</v>
      </c>
    </row>
    <row r="675" spans="20:35">
      <c r="T675" s="9">
        <v>147.9</v>
      </c>
      <c r="U675" s="4">
        <v>1</v>
      </c>
      <c r="AH675" s="9">
        <v>44.7</v>
      </c>
      <c r="AI675" s="4">
        <v>1</v>
      </c>
    </row>
    <row r="676" spans="20:35">
      <c r="T676" s="9">
        <v>148</v>
      </c>
      <c r="U676" s="4">
        <v>2</v>
      </c>
      <c r="AH676" s="9">
        <v>44.71</v>
      </c>
      <c r="AI676" s="4">
        <v>1</v>
      </c>
    </row>
    <row r="677" spans="20:35">
      <c r="T677" s="9">
        <v>148.1</v>
      </c>
      <c r="U677" s="4">
        <v>1</v>
      </c>
      <c r="AH677" s="9">
        <v>44.79</v>
      </c>
      <c r="AI677" s="4">
        <v>1</v>
      </c>
    </row>
    <row r="678" spans="20:35">
      <c r="T678" s="9">
        <v>148.30000000000001</v>
      </c>
      <c r="U678" s="4">
        <v>3</v>
      </c>
      <c r="AH678" s="9">
        <v>44.88</v>
      </c>
      <c r="AI678" s="4">
        <v>1</v>
      </c>
    </row>
    <row r="679" spans="20:35">
      <c r="T679" s="9">
        <v>148.4</v>
      </c>
      <c r="U679" s="4">
        <v>1</v>
      </c>
      <c r="AH679" s="9">
        <v>44.89</v>
      </c>
      <c r="AI679" s="4">
        <v>1</v>
      </c>
    </row>
    <row r="680" spans="20:35">
      <c r="T680" s="9">
        <v>148.5</v>
      </c>
      <c r="U680" s="4">
        <v>2</v>
      </c>
      <c r="AH680" s="9">
        <v>44.92</v>
      </c>
      <c r="AI680" s="4">
        <v>1</v>
      </c>
    </row>
    <row r="681" spans="20:35">
      <c r="T681" s="9">
        <v>148.6</v>
      </c>
      <c r="U681" s="4">
        <v>1</v>
      </c>
      <c r="AH681" s="9">
        <v>44.93</v>
      </c>
      <c r="AI681" s="4">
        <v>1</v>
      </c>
    </row>
    <row r="682" spans="20:35">
      <c r="T682" s="9">
        <v>148.69999999999999</v>
      </c>
      <c r="U682" s="4">
        <v>1</v>
      </c>
      <c r="AH682" s="9">
        <v>44.94</v>
      </c>
      <c r="AI682" s="4">
        <v>1</v>
      </c>
    </row>
    <row r="683" spans="20:35">
      <c r="T683" s="9">
        <v>148.80000000000001</v>
      </c>
      <c r="U683" s="4">
        <v>1</v>
      </c>
      <c r="AH683" s="9">
        <v>44.96</v>
      </c>
      <c r="AI683" s="4">
        <v>1</v>
      </c>
    </row>
    <row r="684" spans="20:35">
      <c r="T684" s="9">
        <v>148.9</v>
      </c>
      <c r="U684" s="4">
        <v>1</v>
      </c>
      <c r="AH684" s="9">
        <v>45.03</v>
      </c>
      <c r="AI684" s="4">
        <v>1</v>
      </c>
    </row>
    <row r="685" spans="20:35">
      <c r="T685" s="9">
        <v>149</v>
      </c>
      <c r="U685" s="4">
        <v>1</v>
      </c>
      <c r="AH685" s="9">
        <v>45.09</v>
      </c>
      <c r="AI685" s="4">
        <v>2</v>
      </c>
    </row>
    <row r="686" spans="20:35">
      <c r="T686" s="9">
        <v>149.1</v>
      </c>
      <c r="U686" s="4">
        <v>1</v>
      </c>
      <c r="AH686" s="9">
        <v>45.25</v>
      </c>
      <c r="AI686" s="4">
        <v>1</v>
      </c>
    </row>
    <row r="687" spans="20:35">
      <c r="T687" s="9">
        <v>149.19999999999999</v>
      </c>
      <c r="U687" s="4">
        <v>1</v>
      </c>
      <c r="AH687" s="9">
        <v>45.31</v>
      </c>
      <c r="AI687" s="4">
        <v>1</v>
      </c>
    </row>
    <row r="688" spans="20:35">
      <c r="T688" s="9">
        <v>149.4</v>
      </c>
      <c r="U688" s="4">
        <v>2</v>
      </c>
      <c r="AH688" s="9">
        <v>45.37</v>
      </c>
      <c r="AI688" s="4">
        <v>1</v>
      </c>
    </row>
    <row r="689" spans="20:35">
      <c r="T689" s="9">
        <v>149.5</v>
      </c>
      <c r="U689" s="4">
        <v>1</v>
      </c>
      <c r="AH689" s="9">
        <v>45.54</v>
      </c>
      <c r="AI689" s="4">
        <v>1</v>
      </c>
    </row>
    <row r="690" spans="20:35">
      <c r="T690" s="9">
        <v>149.69999999999999</v>
      </c>
      <c r="U690" s="4">
        <v>1</v>
      </c>
      <c r="AH690" s="9">
        <v>45.6</v>
      </c>
      <c r="AI690" s="4">
        <v>1</v>
      </c>
    </row>
    <row r="691" spans="20:35">
      <c r="T691" s="9">
        <v>149.80000000000001</v>
      </c>
      <c r="U691" s="4">
        <v>1</v>
      </c>
      <c r="AH691" s="9">
        <v>45.73</v>
      </c>
      <c r="AI691" s="4">
        <v>1</v>
      </c>
    </row>
    <row r="692" spans="20:35">
      <c r="T692" s="9">
        <v>149.9</v>
      </c>
      <c r="U692" s="4">
        <v>1</v>
      </c>
      <c r="AH692" s="9">
        <v>45.75</v>
      </c>
      <c r="AI692" s="4">
        <v>1</v>
      </c>
    </row>
    <row r="693" spans="20:35">
      <c r="T693" s="9">
        <v>150</v>
      </c>
      <c r="U693" s="4">
        <v>2</v>
      </c>
      <c r="AH693" s="9">
        <v>45.85</v>
      </c>
      <c r="AI693" s="4">
        <v>1</v>
      </c>
    </row>
    <row r="694" spans="20:35">
      <c r="T694" s="9">
        <v>150.1</v>
      </c>
      <c r="U694" s="4">
        <v>1</v>
      </c>
      <c r="AH694" s="9">
        <v>45.87</v>
      </c>
      <c r="AI694" s="4">
        <v>1</v>
      </c>
    </row>
    <row r="695" spans="20:35">
      <c r="T695" s="9">
        <v>150.19999999999999</v>
      </c>
      <c r="U695" s="4">
        <v>1</v>
      </c>
      <c r="AH695" s="9">
        <v>45.88</v>
      </c>
      <c r="AI695" s="4">
        <v>1</v>
      </c>
    </row>
    <row r="696" spans="20:35">
      <c r="T696" s="9">
        <v>150.4</v>
      </c>
      <c r="U696" s="4">
        <v>1</v>
      </c>
      <c r="AH696" s="9">
        <v>45.95</v>
      </c>
      <c r="AI696" s="4">
        <v>1</v>
      </c>
    </row>
    <row r="697" spans="20:35">
      <c r="T697" s="9">
        <v>150.6</v>
      </c>
      <c r="U697" s="4">
        <v>1</v>
      </c>
      <c r="AH697" s="9">
        <v>45.96</v>
      </c>
      <c r="AI697" s="4">
        <v>1</v>
      </c>
    </row>
    <row r="698" spans="20:35">
      <c r="T698" s="9">
        <v>150.80000000000001</v>
      </c>
      <c r="U698" s="4">
        <v>2</v>
      </c>
      <c r="AH698" s="9">
        <v>45.97</v>
      </c>
      <c r="AI698" s="4">
        <v>1</v>
      </c>
    </row>
    <row r="699" spans="20:35">
      <c r="T699" s="9">
        <v>150.9</v>
      </c>
      <c r="U699" s="4">
        <v>1</v>
      </c>
      <c r="AH699" s="9">
        <v>46.02</v>
      </c>
      <c r="AI699" s="4">
        <v>1</v>
      </c>
    </row>
    <row r="700" spans="20:35">
      <c r="T700" s="9">
        <v>151</v>
      </c>
      <c r="U700" s="4">
        <v>1</v>
      </c>
      <c r="AH700" s="9">
        <v>46.05</v>
      </c>
      <c r="AI700" s="4">
        <v>1</v>
      </c>
    </row>
    <row r="701" spans="20:35">
      <c r="T701" s="9">
        <v>151.1</v>
      </c>
      <c r="U701" s="4">
        <v>1</v>
      </c>
      <c r="AH701" s="9">
        <v>46.08</v>
      </c>
      <c r="AI701" s="4">
        <v>1</v>
      </c>
    </row>
    <row r="702" spans="20:35">
      <c r="T702" s="9">
        <v>151.19999999999999</v>
      </c>
      <c r="U702" s="4">
        <v>1</v>
      </c>
      <c r="AH702" s="9">
        <v>46.09</v>
      </c>
      <c r="AI702" s="4">
        <v>1</v>
      </c>
    </row>
    <row r="703" spans="20:35">
      <c r="T703" s="9">
        <v>151.5</v>
      </c>
      <c r="U703" s="4">
        <v>1</v>
      </c>
      <c r="AH703" s="9">
        <v>46.17</v>
      </c>
      <c r="AI703" s="4">
        <v>1</v>
      </c>
    </row>
    <row r="704" spans="20:35">
      <c r="T704" s="9">
        <v>151.6</v>
      </c>
      <c r="U704" s="4">
        <v>1</v>
      </c>
      <c r="AH704" s="9">
        <v>46.19</v>
      </c>
      <c r="AI704" s="4">
        <v>1</v>
      </c>
    </row>
    <row r="705" spans="20:35">
      <c r="T705" s="9">
        <v>151.69999999999999</v>
      </c>
      <c r="U705" s="4">
        <v>1</v>
      </c>
      <c r="AH705" s="9">
        <v>46.27</v>
      </c>
      <c r="AI705" s="4">
        <v>1</v>
      </c>
    </row>
    <row r="706" spans="20:35">
      <c r="T706" s="9">
        <v>151.9</v>
      </c>
      <c r="U706" s="4">
        <v>2</v>
      </c>
      <c r="AH706" s="9">
        <v>46.33</v>
      </c>
      <c r="AI706" s="4">
        <v>2</v>
      </c>
    </row>
    <row r="707" spans="20:35">
      <c r="T707" s="9">
        <v>152.1</v>
      </c>
      <c r="U707" s="4">
        <v>1</v>
      </c>
      <c r="AH707" s="9">
        <v>46.45</v>
      </c>
      <c r="AI707" s="4">
        <v>1</v>
      </c>
    </row>
    <row r="708" spans="20:35">
      <c r="T708" s="9">
        <v>152.19999999999999</v>
      </c>
      <c r="U708" s="4">
        <v>2</v>
      </c>
      <c r="AH708" s="9">
        <v>46.58</v>
      </c>
      <c r="AI708" s="4">
        <v>1</v>
      </c>
    </row>
    <row r="709" spans="20:35">
      <c r="T709" s="9">
        <v>152.30000000000001</v>
      </c>
      <c r="U709" s="4">
        <v>1</v>
      </c>
      <c r="AH709" s="9">
        <v>46.7</v>
      </c>
      <c r="AI709" s="4">
        <v>1</v>
      </c>
    </row>
    <row r="710" spans="20:35">
      <c r="T710" s="9">
        <v>152.4</v>
      </c>
      <c r="U710" s="4">
        <v>1</v>
      </c>
      <c r="AH710" s="9">
        <v>46.74</v>
      </c>
      <c r="AI710" s="4">
        <v>1</v>
      </c>
    </row>
    <row r="711" spans="20:35">
      <c r="T711" s="9">
        <v>152.6</v>
      </c>
      <c r="U711" s="4">
        <v>1</v>
      </c>
      <c r="AH711" s="9">
        <v>46.81</v>
      </c>
      <c r="AI711" s="4">
        <v>1</v>
      </c>
    </row>
    <row r="712" spans="20:35">
      <c r="T712" s="9">
        <v>153.1</v>
      </c>
      <c r="U712" s="4">
        <v>1</v>
      </c>
      <c r="AH712" s="9">
        <v>47.17</v>
      </c>
      <c r="AI712" s="4">
        <v>1</v>
      </c>
    </row>
    <row r="713" spans="20:35">
      <c r="T713" s="9">
        <v>153.19999999999999</v>
      </c>
      <c r="U713" s="4">
        <v>2</v>
      </c>
      <c r="AH713" s="9">
        <v>47.18</v>
      </c>
      <c r="AI713" s="4">
        <v>1</v>
      </c>
    </row>
    <row r="714" spans="20:35">
      <c r="T714" s="9">
        <v>153.30000000000001</v>
      </c>
      <c r="U714" s="4">
        <v>2</v>
      </c>
      <c r="AH714" s="9">
        <v>47.25</v>
      </c>
      <c r="AI714" s="4">
        <v>1</v>
      </c>
    </row>
    <row r="715" spans="20:35">
      <c r="T715" s="9">
        <v>153.4</v>
      </c>
      <c r="U715" s="4">
        <v>4</v>
      </c>
      <c r="AH715" s="9">
        <v>47.28</v>
      </c>
      <c r="AI715" s="4">
        <v>1</v>
      </c>
    </row>
    <row r="716" spans="20:35">
      <c r="T716" s="9">
        <v>153.5</v>
      </c>
      <c r="U716" s="4">
        <v>1</v>
      </c>
      <c r="AH716" s="9">
        <v>47.32</v>
      </c>
      <c r="AI716" s="4">
        <v>1</v>
      </c>
    </row>
    <row r="717" spans="20:35">
      <c r="T717" s="9">
        <v>153.69999999999999</v>
      </c>
      <c r="U717" s="4">
        <v>1</v>
      </c>
      <c r="AH717" s="9">
        <v>47.33</v>
      </c>
      <c r="AI717" s="4">
        <v>1</v>
      </c>
    </row>
    <row r="718" spans="20:35">
      <c r="T718" s="9">
        <v>153.9</v>
      </c>
      <c r="U718" s="4">
        <v>2</v>
      </c>
      <c r="AH718" s="9">
        <v>47.45</v>
      </c>
      <c r="AI718" s="4">
        <v>1</v>
      </c>
    </row>
    <row r="719" spans="20:35">
      <c r="T719" s="9">
        <v>154</v>
      </c>
      <c r="U719" s="4">
        <v>1</v>
      </c>
      <c r="AH719" s="9">
        <v>47.58</v>
      </c>
      <c r="AI719" s="4">
        <v>1</v>
      </c>
    </row>
    <row r="720" spans="20:35">
      <c r="T720" s="9">
        <v>154.1</v>
      </c>
      <c r="U720" s="4">
        <v>2</v>
      </c>
      <c r="AH720" s="9">
        <v>47.65</v>
      </c>
      <c r="AI720" s="4">
        <v>2</v>
      </c>
    </row>
    <row r="721" spans="20:35">
      <c r="T721" s="9">
        <v>154.19999999999999</v>
      </c>
      <c r="U721" s="4">
        <v>1</v>
      </c>
      <c r="AH721" s="9">
        <v>47.66</v>
      </c>
      <c r="AI721" s="4">
        <v>1</v>
      </c>
    </row>
    <row r="722" spans="20:35">
      <c r="T722" s="9">
        <v>154.30000000000001</v>
      </c>
      <c r="U722" s="4">
        <v>1</v>
      </c>
      <c r="AH722" s="9">
        <v>47.7</v>
      </c>
      <c r="AI722" s="4">
        <v>1</v>
      </c>
    </row>
    <row r="723" spans="20:35">
      <c r="T723" s="9">
        <v>154.4</v>
      </c>
      <c r="U723" s="4">
        <v>3</v>
      </c>
      <c r="AH723" s="9">
        <v>47.72</v>
      </c>
      <c r="AI723" s="4">
        <v>1</v>
      </c>
    </row>
    <row r="724" spans="20:35">
      <c r="T724" s="9">
        <v>154.6</v>
      </c>
      <c r="U724" s="4">
        <v>3</v>
      </c>
      <c r="AH724" s="9">
        <v>47.73</v>
      </c>
      <c r="AI724" s="4">
        <v>1</v>
      </c>
    </row>
    <row r="725" spans="20:35">
      <c r="T725" s="9">
        <v>154.69999999999999</v>
      </c>
      <c r="U725" s="4">
        <v>3</v>
      </c>
      <c r="AH725" s="9">
        <v>47.81</v>
      </c>
      <c r="AI725" s="4">
        <v>2</v>
      </c>
    </row>
    <row r="726" spans="20:35">
      <c r="T726" s="9">
        <v>154.9</v>
      </c>
      <c r="U726" s="4">
        <v>2</v>
      </c>
      <c r="AH726" s="9">
        <v>47.89</v>
      </c>
      <c r="AI726" s="4">
        <v>1</v>
      </c>
    </row>
    <row r="727" spans="20:35">
      <c r="T727" s="9">
        <v>155.1</v>
      </c>
      <c r="U727" s="4">
        <v>3</v>
      </c>
      <c r="AH727" s="9">
        <v>47.99</v>
      </c>
      <c r="AI727" s="4">
        <v>2</v>
      </c>
    </row>
    <row r="728" spans="20:35">
      <c r="T728" s="9">
        <v>155.19999999999999</v>
      </c>
      <c r="U728" s="4">
        <v>1</v>
      </c>
      <c r="AH728" s="9">
        <v>48.05</v>
      </c>
      <c r="AI728" s="4">
        <v>1</v>
      </c>
    </row>
    <row r="729" spans="20:35">
      <c r="T729" s="9">
        <v>155.4</v>
      </c>
      <c r="U729" s="4">
        <v>1</v>
      </c>
      <c r="AH729" s="9">
        <v>48.09</v>
      </c>
      <c r="AI729" s="4">
        <v>1</v>
      </c>
    </row>
    <row r="730" spans="20:35">
      <c r="T730" s="9">
        <v>155.5</v>
      </c>
      <c r="U730" s="4">
        <v>1</v>
      </c>
      <c r="AH730" s="9">
        <v>48.1</v>
      </c>
      <c r="AI730" s="4">
        <v>1</v>
      </c>
    </row>
    <row r="731" spans="20:35">
      <c r="T731" s="9">
        <v>155.69999999999999</v>
      </c>
      <c r="U731" s="4">
        <v>1</v>
      </c>
      <c r="AH731" s="9">
        <v>48.11</v>
      </c>
      <c r="AI731" s="4">
        <v>1</v>
      </c>
    </row>
    <row r="732" spans="20:35">
      <c r="T732" s="9">
        <v>155.80000000000001</v>
      </c>
      <c r="U732" s="4">
        <v>1</v>
      </c>
      <c r="AH732" s="9">
        <v>48.12</v>
      </c>
      <c r="AI732" s="4">
        <v>1</v>
      </c>
    </row>
    <row r="733" spans="20:35">
      <c r="T733" s="9">
        <v>156</v>
      </c>
      <c r="U733" s="4">
        <v>1</v>
      </c>
      <c r="AH733" s="9">
        <v>48.26</v>
      </c>
      <c r="AI733" s="4">
        <v>1</v>
      </c>
    </row>
    <row r="734" spans="20:35">
      <c r="T734" s="9">
        <v>156.19999999999999</v>
      </c>
      <c r="U734" s="4">
        <v>1</v>
      </c>
      <c r="AH734" s="9">
        <v>48.27</v>
      </c>
      <c r="AI734" s="4">
        <v>1</v>
      </c>
    </row>
    <row r="735" spans="20:35">
      <c r="T735" s="9">
        <v>156.30000000000001</v>
      </c>
      <c r="U735" s="4">
        <v>1</v>
      </c>
      <c r="AH735" s="9">
        <v>48.45</v>
      </c>
      <c r="AI735" s="4">
        <v>1</v>
      </c>
    </row>
    <row r="736" spans="20:35">
      <c r="T736" s="9">
        <v>156.5</v>
      </c>
      <c r="U736" s="4">
        <v>2</v>
      </c>
      <c r="AH736" s="9">
        <v>48.46</v>
      </c>
      <c r="AI736" s="4">
        <v>1</v>
      </c>
    </row>
    <row r="737" spans="20:35">
      <c r="T737" s="9">
        <v>156.80000000000001</v>
      </c>
      <c r="U737" s="4">
        <v>1</v>
      </c>
      <c r="AH737" s="9">
        <v>48.55</v>
      </c>
      <c r="AI737" s="4">
        <v>1</v>
      </c>
    </row>
    <row r="738" spans="20:35">
      <c r="T738" s="9">
        <v>156.9</v>
      </c>
      <c r="U738" s="4">
        <v>1</v>
      </c>
      <c r="AH738" s="9">
        <v>48.58</v>
      </c>
      <c r="AI738" s="4">
        <v>1</v>
      </c>
    </row>
    <row r="739" spans="20:35">
      <c r="T739" s="9">
        <v>157</v>
      </c>
      <c r="U739" s="4">
        <v>4</v>
      </c>
      <c r="AH739" s="9">
        <v>48.62</v>
      </c>
      <c r="AI739" s="4">
        <v>1</v>
      </c>
    </row>
    <row r="740" spans="20:35">
      <c r="T740" s="9">
        <v>157.1</v>
      </c>
      <c r="U740" s="4">
        <v>1</v>
      </c>
      <c r="AH740" s="9">
        <v>48.64</v>
      </c>
      <c r="AI740" s="4">
        <v>1</v>
      </c>
    </row>
    <row r="741" spans="20:35">
      <c r="T741" s="9">
        <v>157.30000000000001</v>
      </c>
      <c r="U741" s="4">
        <v>2</v>
      </c>
      <c r="AH741" s="9">
        <v>48.73</v>
      </c>
      <c r="AI741" s="4">
        <v>1</v>
      </c>
    </row>
    <row r="742" spans="20:35">
      <c r="T742" s="9">
        <v>157.4</v>
      </c>
      <c r="U742" s="4">
        <v>2</v>
      </c>
      <c r="AH742" s="9">
        <v>48.74</v>
      </c>
      <c r="AI742" s="4">
        <v>1</v>
      </c>
    </row>
    <row r="743" spans="20:35">
      <c r="T743" s="9">
        <v>157.5</v>
      </c>
      <c r="U743" s="4">
        <v>1</v>
      </c>
      <c r="AH743" s="9">
        <v>48.75</v>
      </c>
      <c r="AI743" s="4">
        <v>1</v>
      </c>
    </row>
    <row r="744" spans="20:35">
      <c r="T744" s="9">
        <v>157.6</v>
      </c>
      <c r="U744" s="4">
        <v>2</v>
      </c>
      <c r="AH744" s="9">
        <v>48.77</v>
      </c>
      <c r="AI744" s="4">
        <v>1</v>
      </c>
    </row>
    <row r="745" spans="20:35">
      <c r="T745" s="9">
        <v>157.69999999999999</v>
      </c>
      <c r="U745" s="4">
        <v>2</v>
      </c>
      <c r="AH745" s="9">
        <v>48.94</v>
      </c>
      <c r="AI745" s="4">
        <v>1</v>
      </c>
    </row>
    <row r="746" spans="20:35">
      <c r="T746" s="9">
        <v>157.9</v>
      </c>
      <c r="U746" s="4">
        <v>3</v>
      </c>
      <c r="AH746" s="9">
        <v>48.96</v>
      </c>
      <c r="AI746" s="4">
        <v>1</v>
      </c>
    </row>
    <row r="747" spans="20:35">
      <c r="T747" s="9">
        <v>158.1</v>
      </c>
      <c r="U747" s="4">
        <v>1</v>
      </c>
      <c r="AH747" s="9">
        <v>49.01</v>
      </c>
      <c r="AI747" s="4">
        <v>1</v>
      </c>
    </row>
    <row r="748" spans="20:35">
      <c r="T748" s="9">
        <v>158.30000000000001</v>
      </c>
      <c r="U748" s="4">
        <v>2</v>
      </c>
      <c r="AH748" s="9">
        <v>49.02</v>
      </c>
      <c r="AI748" s="4">
        <v>1</v>
      </c>
    </row>
    <row r="749" spans="20:35">
      <c r="T749" s="9">
        <v>158.4</v>
      </c>
      <c r="U749" s="4">
        <v>2</v>
      </c>
      <c r="AH749" s="9">
        <v>49.03</v>
      </c>
      <c r="AI749" s="4">
        <v>1</v>
      </c>
    </row>
    <row r="750" spans="20:35">
      <c r="T750" s="9">
        <v>158.5</v>
      </c>
      <c r="U750" s="4">
        <v>1</v>
      </c>
      <c r="AH750" s="9">
        <v>49.06</v>
      </c>
      <c r="AI750" s="4">
        <v>2</v>
      </c>
    </row>
    <row r="751" spans="20:35">
      <c r="T751" s="9">
        <v>158.6</v>
      </c>
      <c r="U751" s="4">
        <v>1</v>
      </c>
      <c r="AH751" s="9">
        <v>49.1</v>
      </c>
      <c r="AI751" s="4">
        <v>1</v>
      </c>
    </row>
    <row r="752" spans="20:35">
      <c r="T752" s="9">
        <v>158.69999999999999</v>
      </c>
      <c r="U752" s="4">
        <v>2</v>
      </c>
      <c r="AH752" s="9">
        <v>49.16</v>
      </c>
      <c r="AI752" s="4">
        <v>1</v>
      </c>
    </row>
    <row r="753" spans="20:35">
      <c r="T753" s="9">
        <v>159</v>
      </c>
      <c r="U753" s="4">
        <v>3</v>
      </c>
      <c r="AH753" s="9">
        <v>49.41</v>
      </c>
      <c r="AI753" s="4">
        <v>1</v>
      </c>
    </row>
    <row r="754" spans="20:35">
      <c r="T754" s="9">
        <v>159.1</v>
      </c>
      <c r="U754" s="4">
        <v>1</v>
      </c>
      <c r="AH754" s="9">
        <v>49.48</v>
      </c>
      <c r="AI754" s="4">
        <v>1</v>
      </c>
    </row>
    <row r="755" spans="20:35">
      <c r="T755" s="9">
        <v>159.19999999999999</v>
      </c>
      <c r="U755" s="4">
        <v>1</v>
      </c>
      <c r="AH755" s="9">
        <v>49.51</v>
      </c>
      <c r="AI755" s="4">
        <v>1</v>
      </c>
    </row>
    <row r="756" spans="20:35">
      <c r="T756" s="9">
        <v>159.30000000000001</v>
      </c>
      <c r="U756" s="4">
        <v>1</v>
      </c>
      <c r="AH756" s="9">
        <v>49.53</v>
      </c>
      <c r="AI756" s="4">
        <v>1</v>
      </c>
    </row>
    <row r="757" spans="20:35">
      <c r="T757" s="9">
        <v>159.4</v>
      </c>
      <c r="U757" s="4">
        <v>1</v>
      </c>
      <c r="AH757" s="9">
        <v>49.55</v>
      </c>
      <c r="AI757" s="4">
        <v>1</v>
      </c>
    </row>
    <row r="758" spans="20:35">
      <c r="T758" s="9">
        <v>159.5</v>
      </c>
      <c r="U758" s="4">
        <v>1</v>
      </c>
      <c r="AH758" s="9">
        <v>49.57</v>
      </c>
      <c r="AI758" s="4">
        <v>1</v>
      </c>
    </row>
    <row r="759" spans="20:35">
      <c r="T759" s="9">
        <v>159.69999999999999</v>
      </c>
      <c r="U759" s="4">
        <v>1</v>
      </c>
      <c r="AH759" s="9">
        <v>49.65</v>
      </c>
      <c r="AI759" s="4">
        <v>2</v>
      </c>
    </row>
    <row r="760" spans="20:35">
      <c r="T760" s="9">
        <v>159.9</v>
      </c>
      <c r="U760" s="4">
        <v>1</v>
      </c>
      <c r="AH760" s="9">
        <v>49.71</v>
      </c>
      <c r="AI760" s="4">
        <v>1</v>
      </c>
    </row>
    <row r="761" spans="20:35">
      <c r="T761" s="9">
        <v>160.1</v>
      </c>
      <c r="U761" s="4">
        <v>2</v>
      </c>
      <c r="AH761" s="9">
        <v>49.72</v>
      </c>
      <c r="AI761" s="4">
        <v>1</v>
      </c>
    </row>
    <row r="762" spans="20:35">
      <c r="T762" s="9">
        <v>160.4</v>
      </c>
      <c r="U762" s="4">
        <v>3</v>
      </c>
      <c r="AH762" s="9">
        <v>49.92</v>
      </c>
      <c r="AI762" s="4">
        <v>2</v>
      </c>
    </row>
    <row r="763" spans="20:35">
      <c r="T763" s="9">
        <v>160.6</v>
      </c>
      <c r="U763" s="4">
        <v>2</v>
      </c>
      <c r="AH763" s="9">
        <v>49.93</v>
      </c>
      <c r="AI763" s="4">
        <v>1</v>
      </c>
    </row>
    <row r="764" spans="20:35">
      <c r="T764" s="9">
        <v>160.69999999999999</v>
      </c>
      <c r="U764" s="4">
        <v>1</v>
      </c>
      <c r="AH764" s="9">
        <v>49.97</v>
      </c>
      <c r="AI764" s="4">
        <v>1</v>
      </c>
    </row>
    <row r="765" spans="20:35">
      <c r="T765" s="9">
        <v>160.9</v>
      </c>
      <c r="U765" s="4">
        <v>2</v>
      </c>
      <c r="AH765" s="9">
        <v>50.06</v>
      </c>
      <c r="AI765" s="4">
        <v>1</v>
      </c>
    </row>
    <row r="766" spans="20:35">
      <c r="T766" s="9">
        <v>161</v>
      </c>
      <c r="U766" s="4">
        <v>2</v>
      </c>
      <c r="AH766" s="9">
        <v>50.13</v>
      </c>
      <c r="AI766" s="4">
        <v>1</v>
      </c>
    </row>
    <row r="767" spans="20:35">
      <c r="T767" s="9">
        <v>161.1</v>
      </c>
      <c r="U767" s="4">
        <v>1</v>
      </c>
      <c r="AH767" s="9">
        <v>50.27</v>
      </c>
      <c r="AI767" s="4">
        <v>1</v>
      </c>
    </row>
    <row r="768" spans="20:35">
      <c r="T768" s="9">
        <v>161.19999999999999</v>
      </c>
      <c r="U768" s="4">
        <v>3</v>
      </c>
      <c r="AH768" s="9">
        <v>50.3</v>
      </c>
      <c r="AI768" s="4">
        <v>1</v>
      </c>
    </row>
    <row r="769" spans="20:35">
      <c r="T769" s="9">
        <v>161.30000000000001</v>
      </c>
      <c r="U769" s="4">
        <v>1</v>
      </c>
      <c r="AH769" s="9">
        <v>50.34</v>
      </c>
      <c r="AI769" s="4">
        <v>1</v>
      </c>
    </row>
    <row r="770" spans="20:35">
      <c r="T770" s="9">
        <v>161.4</v>
      </c>
      <c r="U770" s="4">
        <v>1</v>
      </c>
      <c r="AH770" s="9">
        <v>50.5</v>
      </c>
      <c r="AI770" s="4">
        <v>1</v>
      </c>
    </row>
    <row r="771" spans="20:35">
      <c r="T771" s="9">
        <v>161.5</v>
      </c>
      <c r="U771" s="4">
        <v>4</v>
      </c>
      <c r="AH771" s="9">
        <v>50.51</v>
      </c>
      <c r="AI771" s="4">
        <v>1</v>
      </c>
    </row>
    <row r="772" spans="20:35">
      <c r="T772" s="9">
        <v>161.6</v>
      </c>
      <c r="U772" s="4">
        <v>1</v>
      </c>
      <c r="AH772" s="9">
        <v>50.64</v>
      </c>
      <c r="AI772" s="4">
        <v>1</v>
      </c>
    </row>
    <row r="773" spans="20:35">
      <c r="T773" s="9">
        <v>161.80000000000001</v>
      </c>
      <c r="U773" s="4">
        <v>1</v>
      </c>
      <c r="AH773" s="9">
        <v>50.66</v>
      </c>
      <c r="AI773" s="4">
        <v>1</v>
      </c>
    </row>
    <row r="774" spans="20:35">
      <c r="T774" s="9">
        <v>161.9</v>
      </c>
      <c r="U774" s="4">
        <v>3</v>
      </c>
      <c r="AH774" s="9">
        <v>50.82</v>
      </c>
      <c r="AI774" s="4">
        <v>1</v>
      </c>
    </row>
    <row r="775" spans="20:35">
      <c r="T775" s="9">
        <v>162</v>
      </c>
      <c r="U775" s="4">
        <v>2</v>
      </c>
      <c r="AH775" s="9">
        <v>50.86</v>
      </c>
      <c r="AI775" s="4">
        <v>1</v>
      </c>
    </row>
    <row r="776" spans="20:35">
      <c r="T776" s="9">
        <v>162.1</v>
      </c>
      <c r="U776" s="4">
        <v>1</v>
      </c>
      <c r="AH776" s="9">
        <v>50.96</v>
      </c>
      <c r="AI776" s="4">
        <v>1</v>
      </c>
    </row>
    <row r="777" spans="20:35">
      <c r="T777" s="9">
        <v>162.19999999999999</v>
      </c>
      <c r="U777" s="4">
        <v>1</v>
      </c>
      <c r="AH777" s="9">
        <v>50.98</v>
      </c>
      <c r="AI777" s="4">
        <v>1</v>
      </c>
    </row>
    <row r="778" spans="20:35">
      <c r="T778" s="9">
        <v>162.4</v>
      </c>
      <c r="U778" s="4">
        <v>1</v>
      </c>
      <c r="AH778" s="9">
        <v>50.99</v>
      </c>
      <c r="AI778" s="4">
        <v>1</v>
      </c>
    </row>
    <row r="779" spans="20:35">
      <c r="T779" s="9">
        <v>162.5</v>
      </c>
      <c r="U779" s="4">
        <v>1</v>
      </c>
      <c r="AH779" s="9">
        <v>51</v>
      </c>
      <c r="AI779" s="4">
        <v>1</v>
      </c>
    </row>
    <row r="780" spans="20:35">
      <c r="T780" s="9">
        <v>162.80000000000001</v>
      </c>
      <c r="U780" s="4">
        <v>2</v>
      </c>
      <c r="AH780" s="9">
        <v>51.11</v>
      </c>
      <c r="AI780" s="4">
        <v>1</v>
      </c>
    </row>
    <row r="781" spans="20:35">
      <c r="T781" s="9">
        <v>162.9</v>
      </c>
      <c r="U781" s="4">
        <v>2</v>
      </c>
      <c r="AH781" s="9">
        <v>51.24</v>
      </c>
      <c r="AI781" s="4">
        <v>1</v>
      </c>
    </row>
    <row r="782" spans="20:35">
      <c r="T782" s="9">
        <v>163</v>
      </c>
      <c r="U782" s="4">
        <v>1</v>
      </c>
      <c r="AH782" s="9">
        <v>51.25</v>
      </c>
      <c r="AI782" s="4">
        <v>1</v>
      </c>
    </row>
    <row r="783" spans="20:35">
      <c r="T783" s="9">
        <v>163.1</v>
      </c>
      <c r="U783" s="4">
        <v>1</v>
      </c>
      <c r="AH783" s="9">
        <v>51.31</v>
      </c>
      <c r="AI783" s="4">
        <v>1</v>
      </c>
    </row>
    <row r="784" spans="20:35">
      <c r="T784" s="9">
        <v>163.30000000000001</v>
      </c>
      <c r="U784" s="4">
        <v>1</v>
      </c>
      <c r="AH784" s="9">
        <v>51.33</v>
      </c>
      <c r="AI784" s="4">
        <v>1</v>
      </c>
    </row>
    <row r="785" spans="20:35">
      <c r="T785" s="9">
        <v>163.5</v>
      </c>
      <c r="U785" s="4">
        <v>1</v>
      </c>
      <c r="AH785" s="9">
        <v>51.34</v>
      </c>
      <c r="AI785" s="4">
        <v>1</v>
      </c>
    </row>
    <row r="786" spans="20:35">
      <c r="T786" s="9">
        <v>163.9</v>
      </c>
      <c r="U786" s="4">
        <v>1</v>
      </c>
      <c r="AH786" s="9">
        <v>51.46</v>
      </c>
      <c r="AI786" s="4">
        <v>1</v>
      </c>
    </row>
    <row r="787" spans="20:35">
      <c r="T787" s="9">
        <v>164</v>
      </c>
      <c r="U787" s="4">
        <v>1</v>
      </c>
      <c r="AH787" s="9">
        <v>51.5</v>
      </c>
      <c r="AI787" s="4">
        <v>1</v>
      </c>
    </row>
    <row r="788" spans="20:35">
      <c r="T788" s="9">
        <v>164.1</v>
      </c>
      <c r="U788" s="4">
        <v>1</v>
      </c>
      <c r="AH788" s="9">
        <v>51.57</v>
      </c>
      <c r="AI788" s="4">
        <v>2</v>
      </c>
    </row>
    <row r="789" spans="20:35">
      <c r="T789" s="9">
        <v>164.5</v>
      </c>
      <c r="U789" s="4">
        <v>1</v>
      </c>
      <c r="AH789" s="9">
        <v>51.69</v>
      </c>
      <c r="AI789" s="4">
        <v>1</v>
      </c>
    </row>
    <row r="790" spans="20:35">
      <c r="T790" s="9">
        <v>164.6</v>
      </c>
      <c r="U790" s="4">
        <v>2</v>
      </c>
      <c r="AH790" s="9">
        <v>51.77</v>
      </c>
      <c r="AI790" s="4">
        <v>1</v>
      </c>
    </row>
    <row r="791" spans="20:35">
      <c r="T791" s="9">
        <v>164.7</v>
      </c>
      <c r="U791" s="4">
        <v>1</v>
      </c>
      <c r="AH791" s="9">
        <v>51.8</v>
      </c>
      <c r="AI791" s="4">
        <v>1</v>
      </c>
    </row>
    <row r="792" spans="20:35">
      <c r="T792" s="9">
        <v>164.8</v>
      </c>
      <c r="U792" s="4">
        <v>2</v>
      </c>
      <c r="AH792" s="9">
        <v>51.86</v>
      </c>
      <c r="AI792" s="4">
        <v>1</v>
      </c>
    </row>
    <row r="793" spans="20:35">
      <c r="T793" s="9">
        <v>165</v>
      </c>
      <c r="U793" s="4">
        <v>3</v>
      </c>
      <c r="AH793" s="9">
        <v>51.94</v>
      </c>
      <c r="AI793" s="4">
        <v>1</v>
      </c>
    </row>
    <row r="794" spans="20:35">
      <c r="T794" s="9">
        <v>165.1</v>
      </c>
      <c r="U794" s="4">
        <v>2</v>
      </c>
      <c r="AH794" s="9">
        <v>51.96</v>
      </c>
      <c r="AI794" s="4">
        <v>1</v>
      </c>
    </row>
    <row r="795" spans="20:35">
      <c r="T795" s="9">
        <v>165.2</v>
      </c>
      <c r="U795" s="4">
        <v>1</v>
      </c>
      <c r="AH795" s="9">
        <v>52</v>
      </c>
      <c r="AI795" s="4">
        <v>2</v>
      </c>
    </row>
    <row r="796" spans="20:35">
      <c r="T796" s="9">
        <v>165.3</v>
      </c>
      <c r="U796" s="4">
        <v>3</v>
      </c>
      <c r="AH796" s="9">
        <v>52.03</v>
      </c>
      <c r="AI796" s="4">
        <v>1</v>
      </c>
    </row>
    <row r="797" spans="20:35">
      <c r="T797" s="9">
        <v>165.4</v>
      </c>
      <c r="U797" s="4">
        <v>1</v>
      </c>
      <c r="AH797" s="9">
        <v>52.2</v>
      </c>
      <c r="AI797" s="4">
        <v>1</v>
      </c>
    </row>
    <row r="798" spans="20:35">
      <c r="T798" s="9">
        <v>166</v>
      </c>
      <c r="U798" s="4">
        <v>3</v>
      </c>
      <c r="AH798" s="9">
        <v>52.23</v>
      </c>
      <c r="AI798" s="4">
        <v>2</v>
      </c>
    </row>
    <row r="799" spans="20:35">
      <c r="T799" s="9">
        <v>166.1</v>
      </c>
      <c r="U799" s="4">
        <v>1</v>
      </c>
      <c r="AH799" s="9">
        <v>52.25</v>
      </c>
      <c r="AI799" s="4">
        <v>1</v>
      </c>
    </row>
    <row r="800" spans="20:35">
      <c r="T800" s="9">
        <v>166.3</v>
      </c>
      <c r="U800" s="4">
        <v>2</v>
      </c>
      <c r="AH800" s="9">
        <v>52.3</v>
      </c>
      <c r="AI800" s="4">
        <v>1</v>
      </c>
    </row>
    <row r="801" spans="20:35">
      <c r="T801" s="9">
        <v>166.4</v>
      </c>
      <c r="U801" s="4">
        <v>1</v>
      </c>
      <c r="AH801" s="9">
        <v>52.32</v>
      </c>
      <c r="AI801" s="4">
        <v>1</v>
      </c>
    </row>
    <row r="802" spans="20:35">
      <c r="T802" s="9">
        <v>166.5</v>
      </c>
      <c r="U802" s="4">
        <v>1</v>
      </c>
      <c r="AH802" s="9">
        <v>52.34</v>
      </c>
      <c r="AI802" s="4">
        <v>1</v>
      </c>
    </row>
    <row r="803" spans="20:35">
      <c r="T803" s="9">
        <v>166.6</v>
      </c>
      <c r="U803" s="4">
        <v>1</v>
      </c>
      <c r="AH803" s="9">
        <v>52.39</v>
      </c>
      <c r="AI803" s="4">
        <v>1</v>
      </c>
    </row>
    <row r="804" spans="20:35">
      <c r="T804" s="9">
        <v>166.8</v>
      </c>
      <c r="U804" s="4">
        <v>1</v>
      </c>
      <c r="AH804" s="9">
        <v>52.43</v>
      </c>
      <c r="AI804" s="4">
        <v>1</v>
      </c>
    </row>
    <row r="805" spans="20:35">
      <c r="T805" s="9">
        <v>166.9</v>
      </c>
      <c r="U805" s="4">
        <v>1</v>
      </c>
      <c r="AH805" s="9">
        <v>52.48</v>
      </c>
      <c r="AI805" s="4">
        <v>1</v>
      </c>
    </row>
    <row r="806" spans="20:35">
      <c r="T806" s="9">
        <v>167</v>
      </c>
      <c r="U806" s="4">
        <v>1</v>
      </c>
      <c r="AH806" s="9">
        <v>52.55</v>
      </c>
      <c r="AI806" s="4">
        <v>1</v>
      </c>
    </row>
    <row r="807" spans="20:35">
      <c r="T807" s="9">
        <v>167.1</v>
      </c>
      <c r="U807" s="4">
        <v>1</v>
      </c>
      <c r="AH807" s="9">
        <v>52.58</v>
      </c>
      <c r="AI807" s="4">
        <v>1</v>
      </c>
    </row>
    <row r="808" spans="20:35">
      <c r="T808" s="9">
        <v>167.4</v>
      </c>
      <c r="U808" s="4">
        <v>2</v>
      </c>
      <c r="AH808" s="9">
        <v>52.62</v>
      </c>
      <c r="AI808" s="4">
        <v>1</v>
      </c>
    </row>
    <row r="809" spans="20:35">
      <c r="T809" s="9">
        <v>167.5</v>
      </c>
      <c r="U809" s="4">
        <v>1</v>
      </c>
      <c r="AH809" s="9">
        <v>52.66</v>
      </c>
      <c r="AI809" s="4">
        <v>1</v>
      </c>
    </row>
    <row r="810" spans="20:35">
      <c r="T810" s="9">
        <v>167.6</v>
      </c>
      <c r="U810" s="4">
        <v>1</v>
      </c>
      <c r="AH810" s="9">
        <v>52.75</v>
      </c>
      <c r="AI810" s="4">
        <v>1</v>
      </c>
    </row>
    <row r="811" spans="20:35">
      <c r="T811" s="9">
        <v>167.7</v>
      </c>
      <c r="U811" s="4">
        <v>4</v>
      </c>
      <c r="AH811" s="9">
        <v>53</v>
      </c>
      <c r="AI811" s="4">
        <v>1</v>
      </c>
    </row>
    <row r="812" spans="20:35">
      <c r="T812" s="9">
        <v>167.9</v>
      </c>
      <c r="U812" s="4">
        <v>2</v>
      </c>
      <c r="AH812" s="9">
        <v>53.06</v>
      </c>
      <c r="AI812" s="4">
        <v>1</v>
      </c>
    </row>
    <row r="813" spans="20:35">
      <c r="T813" s="9">
        <v>168.1</v>
      </c>
      <c r="U813" s="4">
        <v>2</v>
      </c>
      <c r="AH813" s="9">
        <v>53.07</v>
      </c>
      <c r="AI813" s="4">
        <v>1</v>
      </c>
    </row>
    <row r="814" spans="20:35">
      <c r="T814" s="9">
        <v>168.2</v>
      </c>
      <c r="U814" s="4">
        <v>1</v>
      </c>
      <c r="AH814" s="9">
        <v>53.14</v>
      </c>
      <c r="AI814" s="4">
        <v>1</v>
      </c>
    </row>
    <row r="815" spans="20:35">
      <c r="T815" s="9">
        <v>168.3</v>
      </c>
      <c r="U815" s="4">
        <v>2</v>
      </c>
      <c r="AH815" s="9">
        <v>53.17</v>
      </c>
      <c r="AI815" s="4">
        <v>1</v>
      </c>
    </row>
    <row r="816" spans="20:35">
      <c r="T816" s="9">
        <v>168.4</v>
      </c>
      <c r="U816" s="4">
        <v>1</v>
      </c>
      <c r="AH816" s="9">
        <v>53.18</v>
      </c>
      <c r="AI816" s="4">
        <v>1</v>
      </c>
    </row>
    <row r="817" spans="20:35">
      <c r="T817" s="9">
        <v>168.6</v>
      </c>
      <c r="U817" s="4">
        <v>2</v>
      </c>
      <c r="AH817" s="9">
        <v>53.19</v>
      </c>
      <c r="AI817" s="4">
        <v>1</v>
      </c>
    </row>
    <row r="818" spans="20:35">
      <c r="T818" s="9">
        <v>168.7</v>
      </c>
      <c r="U818" s="4">
        <v>1</v>
      </c>
      <c r="AH818" s="9">
        <v>53.27</v>
      </c>
      <c r="AI818" s="4">
        <v>1</v>
      </c>
    </row>
    <row r="819" spans="20:35">
      <c r="T819" s="9">
        <v>168.8</v>
      </c>
      <c r="U819" s="4">
        <v>2</v>
      </c>
      <c r="AH819" s="9">
        <v>53.31</v>
      </c>
      <c r="AI819" s="4">
        <v>1</v>
      </c>
    </row>
    <row r="820" spans="20:35">
      <c r="T820" s="9">
        <v>169</v>
      </c>
      <c r="U820" s="4">
        <v>1</v>
      </c>
      <c r="AH820" s="9">
        <v>53.35</v>
      </c>
      <c r="AI820" s="4">
        <v>1</v>
      </c>
    </row>
    <row r="821" spans="20:35">
      <c r="T821" s="9">
        <v>169.4</v>
      </c>
      <c r="U821" s="4">
        <v>1</v>
      </c>
      <c r="AH821" s="9">
        <v>53.37</v>
      </c>
      <c r="AI821" s="4">
        <v>1</v>
      </c>
    </row>
    <row r="822" spans="20:35">
      <c r="T822" s="9">
        <v>169.5</v>
      </c>
      <c r="U822" s="4">
        <v>2</v>
      </c>
      <c r="AH822" s="9">
        <v>53.42</v>
      </c>
      <c r="AI822" s="4">
        <v>1</v>
      </c>
    </row>
    <row r="823" spans="20:35">
      <c r="T823" s="9">
        <v>169.8</v>
      </c>
      <c r="U823" s="4">
        <v>2</v>
      </c>
      <c r="AH823" s="9">
        <v>53.48</v>
      </c>
      <c r="AI823" s="4">
        <v>1</v>
      </c>
    </row>
    <row r="824" spans="20:35">
      <c r="T824" s="9">
        <v>169.9</v>
      </c>
      <c r="U824" s="4">
        <v>1</v>
      </c>
      <c r="AH824" s="9">
        <v>53.57</v>
      </c>
      <c r="AI824" s="4">
        <v>1</v>
      </c>
    </row>
    <row r="825" spans="20:35">
      <c r="T825" s="9">
        <v>170</v>
      </c>
      <c r="U825" s="4">
        <v>3</v>
      </c>
      <c r="AH825" s="9">
        <v>53.66</v>
      </c>
      <c r="AI825" s="4">
        <v>1</v>
      </c>
    </row>
    <row r="826" spans="20:35">
      <c r="T826" s="9">
        <v>170.1</v>
      </c>
      <c r="U826" s="4">
        <v>1</v>
      </c>
      <c r="AH826" s="9">
        <v>53.74</v>
      </c>
      <c r="AI826" s="4">
        <v>2</v>
      </c>
    </row>
    <row r="827" spans="20:35">
      <c r="T827" s="9">
        <v>170.2</v>
      </c>
      <c r="U827" s="4">
        <v>1</v>
      </c>
      <c r="AH827" s="9">
        <v>53.78</v>
      </c>
      <c r="AI827" s="4">
        <v>1</v>
      </c>
    </row>
    <row r="828" spans="20:35">
      <c r="T828" s="9">
        <v>170.4</v>
      </c>
      <c r="U828" s="4">
        <v>2</v>
      </c>
      <c r="AH828" s="9">
        <v>53.8</v>
      </c>
      <c r="AI828" s="4">
        <v>1</v>
      </c>
    </row>
    <row r="829" spans="20:35">
      <c r="T829" s="9">
        <v>170.5</v>
      </c>
      <c r="U829" s="4">
        <v>1</v>
      </c>
      <c r="AH829" s="9">
        <v>53.84</v>
      </c>
      <c r="AI829" s="4">
        <v>1</v>
      </c>
    </row>
    <row r="830" spans="20:35">
      <c r="T830" s="9">
        <v>170.6</v>
      </c>
      <c r="U830" s="4">
        <v>3</v>
      </c>
      <c r="AH830" s="9">
        <v>53.94</v>
      </c>
      <c r="AI830" s="4">
        <v>1</v>
      </c>
    </row>
    <row r="831" spans="20:35">
      <c r="T831" s="9">
        <v>171</v>
      </c>
      <c r="U831" s="4">
        <v>1</v>
      </c>
      <c r="AH831" s="9">
        <v>54.05</v>
      </c>
      <c r="AI831" s="4">
        <v>1</v>
      </c>
    </row>
    <row r="832" spans="20:35">
      <c r="T832" s="9">
        <v>171.2</v>
      </c>
      <c r="U832" s="4">
        <v>1</v>
      </c>
      <c r="AH832" s="9">
        <v>54.13</v>
      </c>
      <c r="AI832" s="4">
        <v>1</v>
      </c>
    </row>
    <row r="833" spans="20:35">
      <c r="T833" s="9">
        <v>171.3</v>
      </c>
      <c r="U833" s="4">
        <v>1</v>
      </c>
      <c r="AH833" s="9">
        <v>54.14</v>
      </c>
      <c r="AI833" s="4">
        <v>1</v>
      </c>
    </row>
    <row r="834" spans="20:35">
      <c r="T834" s="9">
        <v>171.5</v>
      </c>
      <c r="U834" s="4">
        <v>1</v>
      </c>
      <c r="AH834" s="9">
        <v>54.16</v>
      </c>
      <c r="AI834" s="4">
        <v>1</v>
      </c>
    </row>
    <row r="835" spans="20:35">
      <c r="T835" s="9">
        <v>171.7</v>
      </c>
      <c r="U835" s="4">
        <v>1</v>
      </c>
      <c r="AH835" s="9">
        <v>54.23</v>
      </c>
      <c r="AI835" s="4">
        <v>1</v>
      </c>
    </row>
    <row r="836" spans="20:35">
      <c r="T836" s="9">
        <v>171.8</v>
      </c>
      <c r="U836" s="4">
        <v>1</v>
      </c>
      <c r="AH836" s="9">
        <v>54.29</v>
      </c>
      <c r="AI836" s="4">
        <v>1</v>
      </c>
    </row>
    <row r="837" spans="20:35">
      <c r="T837" s="9">
        <v>172</v>
      </c>
      <c r="U837" s="4">
        <v>1</v>
      </c>
      <c r="AH837" s="9">
        <v>54.44</v>
      </c>
      <c r="AI837" s="4">
        <v>1</v>
      </c>
    </row>
    <row r="838" spans="20:35">
      <c r="T838" s="9">
        <v>172.1</v>
      </c>
      <c r="U838" s="4">
        <v>1</v>
      </c>
      <c r="AH838" s="9">
        <v>54.49</v>
      </c>
      <c r="AI838" s="4">
        <v>2</v>
      </c>
    </row>
    <row r="839" spans="20:35">
      <c r="T839" s="9">
        <v>172.3</v>
      </c>
      <c r="U839" s="4">
        <v>2</v>
      </c>
      <c r="AH839" s="9">
        <v>54.54</v>
      </c>
      <c r="AI839" s="4">
        <v>1</v>
      </c>
    </row>
    <row r="840" spans="20:35">
      <c r="T840" s="9">
        <v>172.4</v>
      </c>
      <c r="U840" s="4">
        <v>2</v>
      </c>
      <c r="AH840" s="9">
        <v>54.6</v>
      </c>
      <c r="AI840" s="4">
        <v>1</v>
      </c>
    </row>
    <row r="841" spans="20:35">
      <c r="T841" s="9">
        <v>172.5</v>
      </c>
      <c r="U841" s="4">
        <v>1</v>
      </c>
      <c r="AH841" s="9">
        <v>54.82</v>
      </c>
      <c r="AI841" s="4">
        <v>1</v>
      </c>
    </row>
    <row r="842" spans="20:35">
      <c r="T842" s="9">
        <v>172.6</v>
      </c>
      <c r="U842" s="4">
        <v>1</v>
      </c>
      <c r="AH842" s="9">
        <v>54.98</v>
      </c>
      <c r="AI842" s="4">
        <v>1</v>
      </c>
    </row>
    <row r="843" spans="20:35">
      <c r="T843" s="9">
        <v>172.8</v>
      </c>
      <c r="U843" s="4">
        <v>2</v>
      </c>
      <c r="AH843" s="9">
        <v>55.08</v>
      </c>
      <c r="AI843" s="4">
        <v>1</v>
      </c>
    </row>
    <row r="844" spans="20:35">
      <c r="T844" s="9">
        <v>173</v>
      </c>
      <c r="U844" s="4">
        <v>1</v>
      </c>
      <c r="AH844" s="9">
        <v>55.13</v>
      </c>
      <c r="AI844" s="4">
        <v>2</v>
      </c>
    </row>
    <row r="845" spans="20:35">
      <c r="T845" s="9">
        <v>173.1</v>
      </c>
      <c r="U845" s="4">
        <v>1</v>
      </c>
      <c r="AH845" s="9">
        <v>55.18</v>
      </c>
      <c r="AI845" s="4">
        <v>1</v>
      </c>
    </row>
    <row r="846" spans="20:35">
      <c r="T846" s="9">
        <v>173.2</v>
      </c>
      <c r="U846" s="4">
        <v>3</v>
      </c>
      <c r="AH846" s="9">
        <v>55.21</v>
      </c>
      <c r="AI846" s="4">
        <v>1</v>
      </c>
    </row>
    <row r="847" spans="20:35">
      <c r="T847" s="9">
        <v>173.4</v>
      </c>
      <c r="U847" s="4">
        <v>2</v>
      </c>
      <c r="AH847" s="9">
        <v>55.22</v>
      </c>
      <c r="AI847" s="4">
        <v>1</v>
      </c>
    </row>
    <row r="848" spans="20:35">
      <c r="T848" s="9">
        <v>173.5</v>
      </c>
      <c r="U848" s="4">
        <v>3</v>
      </c>
      <c r="AH848" s="9">
        <v>55.38</v>
      </c>
      <c r="AI848" s="4">
        <v>2</v>
      </c>
    </row>
    <row r="849" spans="20:35">
      <c r="T849" s="9">
        <v>174</v>
      </c>
      <c r="U849" s="4">
        <v>1</v>
      </c>
      <c r="AH849" s="9">
        <v>55.48</v>
      </c>
      <c r="AI849" s="4">
        <v>1</v>
      </c>
    </row>
    <row r="850" spans="20:35">
      <c r="T850" s="9">
        <v>174.2</v>
      </c>
      <c r="U850" s="4">
        <v>3</v>
      </c>
      <c r="AH850" s="9">
        <v>55.56</v>
      </c>
      <c r="AI850" s="4">
        <v>1</v>
      </c>
    </row>
    <row r="851" spans="20:35">
      <c r="T851" s="9">
        <v>174.4</v>
      </c>
      <c r="U851" s="4">
        <v>2</v>
      </c>
      <c r="AH851" s="9">
        <v>55.6</v>
      </c>
      <c r="AI851" s="4">
        <v>1</v>
      </c>
    </row>
    <row r="852" spans="20:35">
      <c r="T852" s="9">
        <v>174.5</v>
      </c>
      <c r="U852" s="4">
        <v>1</v>
      </c>
      <c r="AH852" s="9">
        <v>55.66</v>
      </c>
      <c r="AI852" s="4">
        <v>2</v>
      </c>
    </row>
    <row r="853" spans="20:35">
      <c r="T853" s="9">
        <v>174.8</v>
      </c>
      <c r="U853" s="4">
        <v>1</v>
      </c>
      <c r="AH853" s="9">
        <v>55.7</v>
      </c>
      <c r="AI853" s="4">
        <v>2</v>
      </c>
    </row>
    <row r="854" spans="20:35">
      <c r="T854" s="9">
        <v>174.9</v>
      </c>
      <c r="U854" s="4">
        <v>2</v>
      </c>
      <c r="AH854" s="9">
        <v>55.81</v>
      </c>
      <c r="AI854" s="4">
        <v>1</v>
      </c>
    </row>
    <row r="855" spans="20:35">
      <c r="T855" s="9">
        <v>175</v>
      </c>
      <c r="U855" s="4">
        <v>2</v>
      </c>
      <c r="AH855" s="9">
        <v>55.82</v>
      </c>
      <c r="AI855" s="4">
        <v>2</v>
      </c>
    </row>
    <row r="856" spans="20:35">
      <c r="T856" s="9">
        <v>175.2</v>
      </c>
      <c r="U856" s="4">
        <v>2</v>
      </c>
      <c r="AH856" s="9">
        <v>55.88</v>
      </c>
      <c r="AI856" s="4">
        <v>1</v>
      </c>
    </row>
    <row r="857" spans="20:35">
      <c r="T857" s="9">
        <v>175.6</v>
      </c>
      <c r="U857" s="4">
        <v>3</v>
      </c>
      <c r="AH857" s="9">
        <v>56.04</v>
      </c>
      <c r="AI857" s="4">
        <v>2</v>
      </c>
    </row>
    <row r="858" spans="20:35">
      <c r="T858" s="9">
        <v>176</v>
      </c>
      <c r="U858" s="4">
        <v>1</v>
      </c>
      <c r="AH858" s="9">
        <v>56.16</v>
      </c>
      <c r="AI858" s="4">
        <v>1</v>
      </c>
    </row>
    <row r="859" spans="20:35">
      <c r="T859" s="9">
        <v>176.4</v>
      </c>
      <c r="U859" s="4">
        <v>1</v>
      </c>
      <c r="AH859" s="9">
        <v>56.35</v>
      </c>
      <c r="AI859" s="4">
        <v>1</v>
      </c>
    </row>
    <row r="860" spans="20:35">
      <c r="T860" s="9">
        <v>176.5</v>
      </c>
      <c r="U860" s="4">
        <v>1</v>
      </c>
      <c r="AH860" s="9">
        <v>56.37</v>
      </c>
      <c r="AI860" s="4">
        <v>1</v>
      </c>
    </row>
    <row r="861" spans="20:35">
      <c r="T861" s="9">
        <v>176.6</v>
      </c>
      <c r="U861" s="4">
        <v>1</v>
      </c>
      <c r="AH861" s="9">
        <v>56.5</v>
      </c>
      <c r="AI861" s="4">
        <v>1</v>
      </c>
    </row>
    <row r="862" spans="20:35">
      <c r="T862" s="9">
        <v>176.9</v>
      </c>
      <c r="U862" s="4">
        <v>3</v>
      </c>
      <c r="AH862" s="9">
        <v>56.55</v>
      </c>
      <c r="AI862" s="4">
        <v>1</v>
      </c>
    </row>
    <row r="863" spans="20:35">
      <c r="T863" s="9">
        <v>177.1</v>
      </c>
      <c r="U863" s="4">
        <v>2</v>
      </c>
      <c r="AH863" s="9">
        <v>56.56</v>
      </c>
      <c r="AI863" s="4">
        <v>1</v>
      </c>
    </row>
    <row r="864" spans="20:35">
      <c r="T864" s="9">
        <v>177.4</v>
      </c>
      <c r="U864" s="4">
        <v>1</v>
      </c>
      <c r="AH864" s="9">
        <v>56.8</v>
      </c>
      <c r="AI864" s="4">
        <v>1</v>
      </c>
    </row>
    <row r="865" spans="20:35">
      <c r="T865" s="9">
        <v>177.8</v>
      </c>
      <c r="U865" s="4">
        <v>1</v>
      </c>
      <c r="AH865" s="9">
        <v>56.87</v>
      </c>
      <c r="AI865" s="4">
        <v>1</v>
      </c>
    </row>
    <row r="866" spans="20:35">
      <c r="T866" s="9">
        <v>177.9</v>
      </c>
      <c r="U866" s="4">
        <v>1</v>
      </c>
      <c r="AH866" s="9">
        <v>56.9</v>
      </c>
      <c r="AI866" s="4">
        <v>2</v>
      </c>
    </row>
    <row r="867" spans="20:35">
      <c r="T867" s="9">
        <v>178</v>
      </c>
      <c r="U867" s="4">
        <v>1</v>
      </c>
      <c r="AH867" s="9">
        <v>57.04</v>
      </c>
      <c r="AI867" s="4">
        <v>1</v>
      </c>
    </row>
    <row r="868" spans="20:35">
      <c r="T868" s="9">
        <v>178.2</v>
      </c>
      <c r="U868" s="4">
        <v>1</v>
      </c>
      <c r="AH868" s="9">
        <v>57.1</v>
      </c>
      <c r="AI868" s="4">
        <v>1</v>
      </c>
    </row>
    <row r="869" spans="20:35">
      <c r="T869" s="9">
        <v>178.3</v>
      </c>
      <c r="U869" s="4">
        <v>1</v>
      </c>
      <c r="AH869" s="9">
        <v>57.13</v>
      </c>
      <c r="AI869" s="4">
        <v>1</v>
      </c>
    </row>
    <row r="870" spans="20:35">
      <c r="T870" s="9">
        <v>178.4</v>
      </c>
      <c r="U870" s="4">
        <v>2</v>
      </c>
      <c r="AH870" s="9">
        <v>57.14</v>
      </c>
      <c r="AI870" s="4">
        <v>1</v>
      </c>
    </row>
    <row r="871" spans="20:35">
      <c r="T871" s="9">
        <v>178.6</v>
      </c>
      <c r="U871" s="4">
        <v>4</v>
      </c>
      <c r="AH871" s="9">
        <v>57.2</v>
      </c>
      <c r="AI871" s="4">
        <v>2</v>
      </c>
    </row>
    <row r="872" spans="20:35">
      <c r="T872" s="9">
        <v>178.7</v>
      </c>
      <c r="U872" s="4">
        <v>2</v>
      </c>
      <c r="AH872" s="9">
        <v>57.23</v>
      </c>
      <c r="AI872" s="4">
        <v>1</v>
      </c>
    </row>
    <row r="873" spans="20:35">
      <c r="T873" s="9">
        <v>178.9</v>
      </c>
      <c r="U873" s="4">
        <v>1</v>
      </c>
      <c r="AH873" s="9">
        <v>57.26</v>
      </c>
      <c r="AI873" s="4">
        <v>1</v>
      </c>
    </row>
    <row r="874" spans="20:35">
      <c r="T874" s="9">
        <v>179</v>
      </c>
      <c r="U874" s="4">
        <v>1</v>
      </c>
      <c r="AH874" s="9">
        <v>57.3</v>
      </c>
      <c r="AI874" s="4">
        <v>1</v>
      </c>
    </row>
    <row r="875" spans="20:35">
      <c r="T875" s="9">
        <v>179.1</v>
      </c>
      <c r="U875" s="4">
        <v>2</v>
      </c>
      <c r="AH875" s="9">
        <v>57.32</v>
      </c>
      <c r="AI875" s="4">
        <v>1</v>
      </c>
    </row>
    <row r="876" spans="20:35">
      <c r="T876" s="9">
        <v>179.2</v>
      </c>
      <c r="U876" s="4">
        <v>2</v>
      </c>
      <c r="AH876" s="9">
        <v>57.37</v>
      </c>
      <c r="AI876" s="4">
        <v>1</v>
      </c>
    </row>
    <row r="877" spans="20:35">
      <c r="T877" s="9">
        <v>179.3</v>
      </c>
      <c r="U877" s="4">
        <v>4</v>
      </c>
      <c r="AH877" s="9">
        <v>57.4</v>
      </c>
      <c r="AI877" s="4">
        <v>1</v>
      </c>
    </row>
    <row r="878" spans="20:35">
      <c r="T878" s="9">
        <v>179.4</v>
      </c>
      <c r="U878" s="4">
        <v>2</v>
      </c>
      <c r="AH878" s="9">
        <v>57.57</v>
      </c>
      <c r="AI878" s="4">
        <v>1</v>
      </c>
    </row>
    <row r="879" spans="20:35">
      <c r="T879" s="9">
        <v>179.5</v>
      </c>
      <c r="U879" s="4">
        <v>3</v>
      </c>
      <c r="AH879" s="9">
        <v>57.7</v>
      </c>
      <c r="AI879" s="4">
        <v>1</v>
      </c>
    </row>
    <row r="880" spans="20:35">
      <c r="T880" s="9">
        <v>179.8</v>
      </c>
      <c r="U880" s="4">
        <v>3</v>
      </c>
      <c r="AH880" s="9">
        <v>57.71</v>
      </c>
      <c r="AI880" s="4">
        <v>2</v>
      </c>
    </row>
    <row r="881" spans="20:35">
      <c r="T881" s="9">
        <v>179.9</v>
      </c>
      <c r="U881" s="4">
        <v>3</v>
      </c>
      <c r="AH881" s="9">
        <v>57.95</v>
      </c>
      <c r="AI881" s="4">
        <v>2</v>
      </c>
    </row>
    <row r="882" spans="20:35">
      <c r="T882" s="9">
        <v>180</v>
      </c>
      <c r="U882" s="4">
        <v>4</v>
      </c>
      <c r="AH882" s="9">
        <v>57.98</v>
      </c>
      <c r="AI882" s="4">
        <v>1</v>
      </c>
    </row>
    <row r="883" spans="20:35">
      <c r="T883" s="9">
        <v>180.1</v>
      </c>
      <c r="U883" s="4">
        <v>2</v>
      </c>
      <c r="AH883" s="9">
        <v>58.1</v>
      </c>
      <c r="AI883" s="4">
        <v>1</v>
      </c>
    </row>
    <row r="884" spans="20:35">
      <c r="T884" s="9">
        <v>180.3</v>
      </c>
      <c r="U884" s="4">
        <v>1</v>
      </c>
      <c r="AH884" s="9">
        <v>58.14</v>
      </c>
      <c r="AI884" s="4">
        <v>1</v>
      </c>
    </row>
    <row r="885" spans="20:35">
      <c r="T885" s="9">
        <v>180.4</v>
      </c>
      <c r="U885" s="4">
        <v>2</v>
      </c>
      <c r="AH885" s="9">
        <v>58.18</v>
      </c>
      <c r="AI885" s="4">
        <v>1</v>
      </c>
    </row>
    <row r="886" spans="20:35">
      <c r="T886" s="9">
        <v>180.8</v>
      </c>
      <c r="U886" s="4">
        <v>1</v>
      </c>
      <c r="AH886" s="9">
        <v>58.23</v>
      </c>
      <c r="AI886" s="4">
        <v>1</v>
      </c>
    </row>
    <row r="887" spans="20:35">
      <c r="T887" s="9">
        <v>181</v>
      </c>
      <c r="U887" s="4">
        <v>1</v>
      </c>
      <c r="AH887" s="9">
        <v>58.26</v>
      </c>
      <c r="AI887" s="4">
        <v>1</v>
      </c>
    </row>
    <row r="888" spans="20:35">
      <c r="T888" s="9">
        <v>181.1</v>
      </c>
      <c r="U888" s="4">
        <v>2</v>
      </c>
      <c r="AH888" s="9">
        <v>58.33</v>
      </c>
      <c r="AI888" s="4">
        <v>1</v>
      </c>
    </row>
    <row r="889" spans="20:35">
      <c r="T889" s="9">
        <v>181.2</v>
      </c>
      <c r="U889" s="4">
        <v>1</v>
      </c>
      <c r="AH889" s="9">
        <v>58.44</v>
      </c>
      <c r="AI889" s="4">
        <v>1</v>
      </c>
    </row>
    <row r="890" spans="20:35">
      <c r="T890" s="9">
        <v>181.4</v>
      </c>
      <c r="U890" s="4">
        <v>2</v>
      </c>
      <c r="AH890" s="9">
        <v>58.54</v>
      </c>
      <c r="AI890" s="4">
        <v>1</v>
      </c>
    </row>
    <row r="891" spans="20:35">
      <c r="T891" s="9">
        <v>181.5</v>
      </c>
      <c r="U891" s="4">
        <v>2</v>
      </c>
      <c r="AH891" s="9">
        <v>58.71</v>
      </c>
      <c r="AI891" s="4">
        <v>1</v>
      </c>
    </row>
    <row r="892" spans="20:35">
      <c r="T892" s="9">
        <v>181.8</v>
      </c>
      <c r="U892" s="4">
        <v>1</v>
      </c>
      <c r="AH892" s="9">
        <v>58.74</v>
      </c>
      <c r="AI892" s="4">
        <v>1</v>
      </c>
    </row>
    <row r="893" spans="20:35">
      <c r="T893" s="9">
        <v>182</v>
      </c>
      <c r="U893" s="4">
        <v>1</v>
      </c>
      <c r="AH893" s="9">
        <v>58.77</v>
      </c>
      <c r="AI893" s="4">
        <v>1</v>
      </c>
    </row>
    <row r="894" spans="20:35">
      <c r="T894" s="9">
        <v>182.3</v>
      </c>
      <c r="U894" s="4">
        <v>1</v>
      </c>
      <c r="AH894" s="9">
        <v>58.79</v>
      </c>
      <c r="AI894" s="4">
        <v>1</v>
      </c>
    </row>
    <row r="895" spans="20:35">
      <c r="T895" s="9">
        <v>182.4</v>
      </c>
      <c r="U895" s="4">
        <v>3</v>
      </c>
      <c r="AH895" s="9">
        <v>59</v>
      </c>
      <c r="AI895" s="4">
        <v>1</v>
      </c>
    </row>
    <row r="896" spans="20:35">
      <c r="T896" s="9">
        <v>182.6</v>
      </c>
      <c r="U896" s="4">
        <v>2</v>
      </c>
      <c r="AH896" s="9">
        <v>59.05</v>
      </c>
      <c r="AI896" s="4">
        <v>1</v>
      </c>
    </row>
    <row r="897" spans="20:35">
      <c r="T897" s="9">
        <v>182.7</v>
      </c>
      <c r="U897" s="4">
        <v>2</v>
      </c>
      <c r="AH897" s="9">
        <v>59.21</v>
      </c>
      <c r="AI897" s="4">
        <v>1</v>
      </c>
    </row>
    <row r="898" spans="20:35">
      <c r="T898" s="9">
        <v>182.9</v>
      </c>
      <c r="U898" s="4">
        <v>2</v>
      </c>
      <c r="AH898" s="9">
        <v>59.23</v>
      </c>
      <c r="AI898" s="4">
        <v>1</v>
      </c>
    </row>
    <row r="899" spans="20:35">
      <c r="T899" s="9">
        <v>183</v>
      </c>
      <c r="U899" s="4">
        <v>1</v>
      </c>
      <c r="AH899" s="9">
        <v>59.24</v>
      </c>
      <c r="AI899" s="4">
        <v>1</v>
      </c>
    </row>
    <row r="900" spans="20:35">
      <c r="T900" s="9">
        <v>183.2</v>
      </c>
      <c r="U900" s="4">
        <v>1</v>
      </c>
      <c r="AH900" s="9">
        <v>59.26</v>
      </c>
      <c r="AI900" s="4">
        <v>1</v>
      </c>
    </row>
    <row r="901" spans="20:35">
      <c r="T901" s="9">
        <v>183.3</v>
      </c>
      <c r="U901" s="4">
        <v>2</v>
      </c>
      <c r="AH901" s="9">
        <v>59.29</v>
      </c>
      <c r="AI901" s="4">
        <v>1</v>
      </c>
    </row>
    <row r="902" spans="20:35">
      <c r="T902" s="9">
        <v>183.4</v>
      </c>
      <c r="U902" s="4">
        <v>2</v>
      </c>
      <c r="AH902" s="9">
        <v>59.3</v>
      </c>
      <c r="AI902" s="4">
        <v>1</v>
      </c>
    </row>
    <row r="903" spans="20:35">
      <c r="T903" s="9">
        <v>183.6</v>
      </c>
      <c r="U903" s="4">
        <v>1</v>
      </c>
      <c r="AH903" s="9">
        <v>59.43</v>
      </c>
      <c r="AI903" s="4">
        <v>3</v>
      </c>
    </row>
    <row r="904" spans="20:35">
      <c r="T904" s="9">
        <v>183.8</v>
      </c>
      <c r="U904" s="4">
        <v>1</v>
      </c>
      <c r="AH904" s="9">
        <v>59.59</v>
      </c>
      <c r="AI904" s="4">
        <v>2</v>
      </c>
    </row>
    <row r="905" spans="20:35">
      <c r="T905" s="9">
        <v>184.1</v>
      </c>
      <c r="U905" s="4">
        <v>1</v>
      </c>
      <c r="AH905" s="9">
        <v>59.73</v>
      </c>
      <c r="AI905" s="4">
        <v>1</v>
      </c>
    </row>
    <row r="906" spans="20:35">
      <c r="T906" s="9">
        <v>184.2</v>
      </c>
      <c r="U906" s="4">
        <v>1</v>
      </c>
      <c r="AH906" s="9">
        <v>59.89</v>
      </c>
      <c r="AI906" s="4">
        <v>1</v>
      </c>
    </row>
    <row r="907" spans="20:35">
      <c r="T907" s="9">
        <v>184.5</v>
      </c>
      <c r="U907" s="4">
        <v>1</v>
      </c>
      <c r="AH907" s="9">
        <v>59.9</v>
      </c>
      <c r="AI907" s="4">
        <v>1</v>
      </c>
    </row>
    <row r="908" spans="20:35">
      <c r="T908" s="9">
        <v>184.7</v>
      </c>
      <c r="U908" s="4">
        <v>2</v>
      </c>
      <c r="AH908" s="9">
        <v>59.95</v>
      </c>
      <c r="AI908" s="4">
        <v>1</v>
      </c>
    </row>
    <row r="909" spans="20:35">
      <c r="T909" s="9">
        <v>184.9</v>
      </c>
      <c r="U909" s="4">
        <v>3</v>
      </c>
      <c r="AH909" s="9">
        <v>60.14</v>
      </c>
      <c r="AI909" s="4">
        <v>1</v>
      </c>
    </row>
    <row r="910" spans="20:35">
      <c r="T910" s="9">
        <v>185</v>
      </c>
      <c r="U910" s="4">
        <v>1</v>
      </c>
      <c r="AH910" s="9">
        <v>60.15</v>
      </c>
      <c r="AI910" s="4">
        <v>1</v>
      </c>
    </row>
    <row r="911" spans="20:35">
      <c r="T911" s="9">
        <v>185.1</v>
      </c>
      <c r="U911" s="4">
        <v>2</v>
      </c>
      <c r="AH911" s="9">
        <v>60.2</v>
      </c>
      <c r="AI911" s="4">
        <v>1</v>
      </c>
    </row>
    <row r="912" spans="20:35">
      <c r="T912" s="9">
        <v>185.2</v>
      </c>
      <c r="U912" s="4">
        <v>1</v>
      </c>
      <c r="AH912" s="9">
        <v>60.32</v>
      </c>
      <c r="AI912" s="4">
        <v>1</v>
      </c>
    </row>
    <row r="913" spans="20:35">
      <c r="T913" s="9">
        <v>185.4</v>
      </c>
      <c r="U913" s="4">
        <v>2</v>
      </c>
      <c r="AH913" s="9">
        <v>60.38</v>
      </c>
      <c r="AI913" s="4">
        <v>1</v>
      </c>
    </row>
    <row r="914" spans="20:35">
      <c r="T914" s="9">
        <v>185.6</v>
      </c>
      <c r="U914" s="4">
        <v>3</v>
      </c>
      <c r="AH914" s="9">
        <v>60.44</v>
      </c>
      <c r="AI914" s="4">
        <v>1</v>
      </c>
    </row>
    <row r="915" spans="20:35">
      <c r="T915" s="9">
        <v>185.8</v>
      </c>
      <c r="U915" s="4">
        <v>1</v>
      </c>
      <c r="AH915" s="9">
        <v>60.45</v>
      </c>
      <c r="AI915" s="4">
        <v>1</v>
      </c>
    </row>
    <row r="916" spans="20:35">
      <c r="T916" s="9">
        <v>185.9</v>
      </c>
      <c r="U916" s="4">
        <v>2</v>
      </c>
      <c r="AH916" s="9">
        <v>60.49</v>
      </c>
      <c r="AI916" s="4">
        <v>1</v>
      </c>
    </row>
    <row r="917" spans="20:35">
      <c r="T917" s="9">
        <v>186.1</v>
      </c>
      <c r="U917" s="4">
        <v>1</v>
      </c>
      <c r="AH917" s="9">
        <v>60.53</v>
      </c>
      <c r="AI917" s="4">
        <v>1</v>
      </c>
    </row>
    <row r="918" spans="20:35">
      <c r="T918" s="9">
        <v>186.2</v>
      </c>
      <c r="U918" s="4">
        <v>1</v>
      </c>
      <c r="AH918" s="9">
        <v>60.56</v>
      </c>
      <c r="AI918" s="4">
        <v>1</v>
      </c>
    </row>
    <row r="919" spans="20:35">
      <c r="T919" s="9">
        <v>186.4</v>
      </c>
      <c r="U919" s="4">
        <v>2</v>
      </c>
      <c r="AH919" s="9">
        <v>60.66</v>
      </c>
      <c r="AI919" s="4">
        <v>1</v>
      </c>
    </row>
    <row r="920" spans="20:35">
      <c r="T920" s="9">
        <v>186.5</v>
      </c>
      <c r="U920" s="4">
        <v>2</v>
      </c>
      <c r="AH920" s="9">
        <v>60.74</v>
      </c>
      <c r="AI920" s="4">
        <v>1</v>
      </c>
    </row>
    <row r="921" spans="20:35">
      <c r="T921" s="9">
        <v>186.6</v>
      </c>
      <c r="U921" s="4">
        <v>2</v>
      </c>
      <c r="AH921" s="9">
        <v>60.8</v>
      </c>
      <c r="AI921" s="4">
        <v>1</v>
      </c>
    </row>
    <row r="922" spans="20:35">
      <c r="T922" s="9">
        <v>186.7</v>
      </c>
      <c r="U922" s="4">
        <v>1</v>
      </c>
      <c r="AH922" s="9">
        <v>60.94</v>
      </c>
      <c r="AI922" s="4">
        <v>1</v>
      </c>
    </row>
    <row r="923" spans="20:35">
      <c r="T923" s="9">
        <v>186.8</v>
      </c>
      <c r="U923" s="4">
        <v>1</v>
      </c>
      <c r="AH923" s="9">
        <v>60.98</v>
      </c>
      <c r="AI923" s="4">
        <v>1</v>
      </c>
    </row>
    <row r="924" spans="20:35">
      <c r="T924" s="9">
        <v>187.1</v>
      </c>
      <c r="U924" s="4">
        <v>1</v>
      </c>
      <c r="AH924" s="9">
        <v>61</v>
      </c>
      <c r="AI924" s="4">
        <v>1</v>
      </c>
    </row>
    <row r="925" spans="20:35">
      <c r="T925" s="9">
        <v>187.2</v>
      </c>
      <c r="U925" s="4">
        <v>1</v>
      </c>
      <c r="AH925" s="9">
        <v>61.05</v>
      </c>
      <c r="AI925" s="4">
        <v>1</v>
      </c>
    </row>
    <row r="926" spans="20:35">
      <c r="T926" s="9">
        <v>187.3</v>
      </c>
      <c r="U926" s="4">
        <v>2</v>
      </c>
      <c r="AH926" s="9">
        <v>61.16</v>
      </c>
      <c r="AI926" s="4">
        <v>1</v>
      </c>
    </row>
    <row r="927" spans="20:35">
      <c r="T927" s="9">
        <v>187.4</v>
      </c>
      <c r="U927" s="4">
        <v>1</v>
      </c>
      <c r="AH927" s="9">
        <v>61.24</v>
      </c>
      <c r="AI927" s="4">
        <v>1</v>
      </c>
    </row>
    <row r="928" spans="20:35">
      <c r="T928" s="9">
        <v>187.7</v>
      </c>
      <c r="U928" s="4">
        <v>1</v>
      </c>
      <c r="AH928" s="9">
        <v>61.28</v>
      </c>
      <c r="AI928" s="4">
        <v>1</v>
      </c>
    </row>
    <row r="929" spans="20:35">
      <c r="T929" s="9">
        <v>187.9</v>
      </c>
      <c r="U929" s="4">
        <v>2</v>
      </c>
      <c r="AH929" s="9">
        <v>61.29</v>
      </c>
      <c r="AI929" s="4">
        <v>1</v>
      </c>
    </row>
    <row r="930" spans="20:35">
      <c r="T930" s="9">
        <v>188</v>
      </c>
      <c r="U930" s="4">
        <v>1</v>
      </c>
      <c r="AH930" s="9">
        <v>61.32</v>
      </c>
      <c r="AI930" s="4">
        <v>1</v>
      </c>
    </row>
    <row r="931" spans="20:35">
      <c r="T931" s="9">
        <v>188.1</v>
      </c>
      <c r="U931" s="4">
        <v>2</v>
      </c>
      <c r="AH931" s="9">
        <v>61.37</v>
      </c>
      <c r="AI931" s="4">
        <v>1</v>
      </c>
    </row>
    <row r="932" spans="20:35">
      <c r="T932" s="9">
        <v>188.2</v>
      </c>
      <c r="U932" s="4">
        <v>1</v>
      </c>
      <c r="AH932" s="9">
        <v>61.42</v>
      </c>
      <c r="AI932" s="4">
        <v>1</v>
      </c>
    </row>
    <row r="933" spans="20:35">
      <c r="T933" s="9">
        <v>188.3</v>
      </c>
      <c r="U933" s="4">
        <v>1</v>
      </c>
      <c r="AH933" s="9">
        <v>61.59</v>
      </c>
      <c r="AI933" s="4">
        <v>1</v>
      </c>
    </row>
    <row r="934" spans="20:35">
      <c r="T934" s="9">
        <v>188.4</v>
      </c>
      <c r="U934" s="4">
        <v>1</v>
      </c>
      <c r="AH934" s="9">
        <v>61.63</v>
      </c>
      <c r="AI934" s="4">
        <v>1</v>
      </c>
    </row>
    <row r="935" spans="20:35">
      <c r="T935" s="9">
        <v>188.5</v>
      </c>
      <c r="U935" s="4">
        <v>1</v>
      </c>
      <c r="AH935" s="9">
        <v>61.78</v>
      </c>
      <c r="AI935" s="4">
        <v>2</v>
      </c>
    </row>
    <row r="936" spans="20:35">
      <c r="T936" s="9">
        <v>188.7</v>
      </c>
      <c r="U936" s="4">
        <v>1</v>
      </c>
      <c r="AH936" s="9">
        <v>61.83</v>
      </c>
      <c r="AI936" s="4">
        <v>1</v>
      </c>
    </row>
    <row r="937" spans="20:35">
      <c r="T937" s="9">
        <v>189</v>
      </c>
      <c r="U937" s="4">
        <v>2</v>
      </c>
      <c r="AH937" s="9">
        <v>61.89</v>
      </c>
      <c r="AI937" s="4">
        <v>1</v>
      </c>
    </row>
    <row r="938" spans="20:35">
      <c r="T938" s="9">
        <v>189.1</v>
      </c>
      <c r="U938" s="4">
        <v>1</v>
      </c>
      <c r="AH938" s="9">
        <v>62.02</v>
      </c>
      <c r="AI938" s="4">
        <v>2</v>
      </c>
    </row>
    <row r="939" spans="20:35">
      <c r="T939" s="9">
        <v>189.2</v>
      </c>
      <c r="U939" s="4">
        <v>2</v>
      </c>
      <c r="AH939" s="9">
        <v>62.09</v>
      </c>
      <c r="AI939" s="4">
        <v>2</v>
      </c>
    </row>
    <row r="940" spans="20:35">
      <c r="T940" s="9">
        <v>189.4</v>
      </c>
      <c r="U940" s="4">
        <v>1</v>
      </c>
      <c r="AH940" s="9">
        <v>62.19</v>
      </c>
      <c r="AI940" s="4">
        <v>1</v>
      </c>
    </row>
    <row r="941" spans="20:35">
      <c r="T941" s="9">
        <v>189.5</v>
      </c>
      <c r="U941" s="4">
        <v>2</v>
      </c>
      <c r="AH941" s="9">
        <v>62.28</v>
      </c>
      <c r="AI941" s="4">
        <v>1</v>
      </c>
    </row>
    <row r="942" spans="20:35">
      <c r="T942" s="9">
        <v>189.6</v>
      </c>
      <c r="U942" s="4">
        <v>2</v>
      </c>
      <c r="AH942" s="9">
        <v>62.29</v>
      </c>
      <c r="AI942" s="4">
        <v>1</v>
      </c>
    </row>
    <row r="943" spans="20:35">
      <c r="T943" s="9">
        <v>189.8</v>
      </c>
      <c r="U943" s="4">
        <v>1</v>
      </c>
      <c r="AH943" s="9">
        <v>62.43</v>
      </c>
      <c r="AI943" s="4">
        <v>2</v>
      </c>
    </row>
    <row r="944" spans="20:35">
      <c r="T944" s="9">
        <v>189.9</v>
      </c>
      <c r="U944" s="4">
        <v>2</v>
      </c>
      <c r="AH944" s="9">
        <v>62.51</v>
      </c>
      <c r="AI944" s="4">
        <v>1</v>
      </c>
    </row>
    <row r="945" spans="20:35">
      <c r="T945" s="9">
        <v>190</v>
      </c>
      <c r="U945" s="4">
        <v>2</v>
      </c>
      <c r="AH945" s="9">
        <v>62.57</v>
      </c>
      <c r="AI945" s="4">
        <v>1</v>
      </c>
    </row>
    <row r="946" spans="20:35">
      <c r="T946" s="9">
        <v>190.1</v>
      </c>
      <c r="U946" s="4">
        <v>2</v>
      </c>
      <c r="AH946" s="9">
        <v>62.65</v>
      </c>
      <c r="AI946" s="4">
        <v>1</v>
      </c>
    </row>
    <row r="947" spans="20:35">
      <c r="T947" s="9">
        <v>190.2</v>
      </c>
      <c r="U947" s="4">
        <v>1</v>
      </c>
      <c r="AH947" s="9">
        <v>62.74</v>
      </c>
      <c r="AI947" s="4">
        <v>1</v>
      </c>
    </row>
    <row r="948" spans="20:35">
      <c r="T948" s="9">
        <v>190.4</v>
      </c>
      <c r="U948" s="4">
        <v>1</v>
      </c>
      <c r="AH948" s="9">
        <v>62.75</v>
      </c>
      <c r="AI948" s="4">
        <v>1</v>
      </c>
    </row>
    <row r="949" spans="20:35">
      <c r="T949" s="9">
        <v>190.5</v>
      </c>
      <c r="U949" s="4">
        <v>1</v>
      </c>
      <c r="AH949" s="9">
        <v>62.77</v>
      </c>
      <c r="AI949" s="4">
        <v>1</v>
      </c>
    </row>
    <row r="950" spans="20:35">
      <c r="T950" s="9">
        <v>190.6</v>
      </c>
      <c r="U950" s="4">
        <v>2</v>
      </c>
      <c r="AH950" s="9">
        <v>62.8</v>
      </c>
      <c r="AI950" s="4">
        <v>1</v>
      </c>
    </row>
    <row r="951" spans="20:35">
      <c r="T951" s="9">
        <v>190.7</v>
      </c>
      <c r="U951" s="4">
        <v>1</v>
      </c>
      <c r="AH951" s="9">
        <v>62.82</v>
      </c>
      <c r="AI951" s="4">
        <v>1</v>
      </c>
    </row>
    <row r="952" spans="20:35">
      <c r="T952" s="9">
        <v>190.8</v>
      </c>
      <c r="U952" s="4">
        <v>2</v>
      </c>
      <c r="AH952" s="9">
        <v>63</v>
      </c>
      <c r="AI952" s="4">
        <v>2</v>
      </c>
    </row>
    <row r="953" spans="20:35">
      <c r="T953" s="9">
        <v>191</v>
      </c>
      <c r="U953" s="4">
        <v>1</v>
      </c>
      <c r="AH953" s="9">
        <v>63.06</v>
      </c>
      <c r="AI953" s="4">
        <v>2</v>
      </c>
    </row>
    <row r="954" spans="20:35">
      <c r="T954" s="9">
        <v>191.2</v>
      </c>
      <c r="U954" s="4">
        <v>1</v>
      </c>
      <c r="AH954" s="9">
        <v>63.23</v>
      </c>
      <c r="AI954" s="4">
        <v>2</v>
      </c>
    </row>
    <row r="955" spans="20:35">
      <c r="T955" s="9">
        <v>191.4</v>
      </c>
      <c r="U955" s="4">
        <v>1</v>
      </c>
      <c r="AH955" s="9">
        <v>63.26</v>
      </c>
      <c r="AI955" s="4">
        <v>1</v>
      </c>
    </row>
    <row r="956" spans="20:35">
      <c r="T956" s="9">
        <v>191.6</v>
      </c>
      <c r="U956" s="4">
        <v>2</v>
      </c>
      <c r="AH956" s="9">
        <v>63.47</v>
      </c>
      <c r="AI956" s="4">
        <v>1</v>
      </c>
    </row>
    <row r="957" spans="20:35">
      <c r="T957" s="9">
        <v>191.7</v>
      </c>
      <c r="U957" s="4">
        <v>1</v>
      </c>
      <c r="AH957" s="9">
        <v>63.67</v>
      </c>
      <c r="AI957" s="4">
        <v>1</v>
      </c>
    </row>
    <row r="958" spans="20:35">
      <c r="T958" s="9">
        <v>191.9</v>
      </c>
      <c r="U958" s="4">
        <v>1</v>
      </c>
      <c r="AH958" s="9">
        <v>63.71</v>
      </c>
      <c r="AI958" s="4">
        <v>1</v>
      </c>
    </row>
    <row r="959" spans="20:35">
      <c r="T959" s="9">
        <v>192</v>
      </c>
      <c r="U959" s="4">
        <v>1</v>
      </c>
      <c r="AH959" s="9">
        <v>63.79</v>
      </c>
      <c r="AI959" s="4">
        <v>1</v>
      </c>
    </row>
    <row r="960" spans="20:35">
      <c r="T960" s="9">
        <v>192.1</v>
      </c>
      <c r="U960" s="4">
        <v>1</v>
      </c>
      <c r="AH960" s="9">
        <v>63.99</v>
      </c>
      <c r="AI960" s="4">
        <v>1</v>
      </c>
    </row>
    <row r="961" spans="20:35">
      <c r="T961" s="9">
        <v>192.3</v>
      </c>
      <c r="U961" s="4">
        <v>1</v>
      </c>
      <c r="AH961" s="9">
        <v>64.069999999999993</v>
      </c>
      <c r="AI961" s="4">
        <v>1</v>
      </c>
    </row>
    <row r="962" spans="20:35">
      <c r="T962" s="9">
        <v>192.6</v>
      </c>
      <c r="U962" s="4">
        <v>1</v>
      </c>
      <c r="AH962" s="9">
        <v>64.09</v>
      </c>
      <c r="AI962" s="4">
        <v>1</v>
      </c>
    </row>
    <row r="963" spans="20:35">
      <c r="T963" s="9">
        <v>192.7</v>
      </c>
      <c r="U963" s="4">
        <v>1</v>
      </c>
      <c r="AH963" s="9">
        <v>64.12</v>
      </c>
      <c r="AI963" s="4">
        <v>1</v>
      </c>
    </row>
    <row r="964" spans="20:35">
      <c r="T964" s="9">
        <v>192.8</v>
      </c>
      <c r="U964" s="4">
        <v>3</v>
      </c>
      <c r="AH964" s="9">
        <v>64.13</v>
      </c>
      <c r="AI964" s="4">
        <v>1</v>
      </c>
    </row>
    <row r="965" spans="20:35">
      <c r="T965" s="9">
        <v>192.9</v>
      </c>
      <c r="U965" s="4">
        <v>1</v>
      </c>
      <c r="AH965" s="9">
        <v>64.319999999999993</v>
      </c>
      <c r="AI965" s="4">
        <v>1</v>
      </c>
    </row>
    <row r="966" spans="20:35">
      <c r="T966" s="9">
        <v>193</v>
      </c>
      <c r="U966" s="4">
        <v>1</v>
      </c>
      <c r="AH966" s="9">
        <v>64.33</v>
      </c>
      <c r="AI966" s="4">
        <v>1</v>
      </c>
    </row>
    <row r="967" spans="20:35">
      <c r="T967" s="9">
        <v>193.1</v>
      </c>
      <c r="U967" s="4">
        <v>1</v>
      </c>
      <c r="AH967" s="9">
        <v>64.540000000000006</v>
      </c>
      <c r="AI967" s="4">
        <v>1</v>
      </c>
    </row>
    <row r="968" spans="20:35">
      <c r="T968" s="9">
        <v>193.2</v>
      </c>
      <c r="U968" s="4">
        <v>1</v>
      </c>
      <c r="AH968" s="9">
        <v>64.569999999999993</v>
      </c>
      <c r="AI968" s="4">
        <v>1</v>
      </c>
    </row>
    <row r="969" spans="20:35">
      <c r="T969" s="9">
        <v>193.3</v>
      </c>
      <c r="U969" s="4">
        <v>1</v>
      </c>
      <c r="AH969" s="9">
        <v>64.67</v>
      </c>
      <c r="AI969" s="4">
        <v>1</v>
      </c>
    </row>
    <row r="970" spans="20:35">
      <c r="T970" s="9">
        <v>193.4</v>
      </c>
      <c r="U970" s="4">
        <v>3</v>
      </c>
      <c r="AH970" s="9">
        <v>64.680000000000007</v>
      </c>
      <c r="AI970" s="4">
        <v>1</v>
      </c>
    </row>
    <row r="971" spans="20:35">
      <c r="T971" s="9">
        <v>193.5</v>
      </c>
      <c r="U971" s="4">
        <v>1</v>
      </c>
      <c r="AH971" s="9">
        <v>64.72</v>
      </c>
      <c r="AI971" s="4">
        <v>1</v>
      </c>
    </row>
    <row r="972" spans="20:35">
      <c r="T972" s="9">
        <v>193.6</v>
      </c>
      <c r="U972" s="4">
        <v>1</v>
      </c>
      <c r="AH972" s="9">
        <v>64.87</v>
      </c>
      <c r="AI972" s="4">
        <v>1</v>
      </c>
    </row>
    <row r="973" spans="20:35">
      <c r="T973" s="9">
        <v>193.7</v>
      </c>
      <c r="U973" s="4">
        <v>1</v>
      </c>
      <c r="AH973" s="9">
        <v>64.930000000000007</v>
      </c>
      <c r="AI973" s="4">
        <v>1</v>
      </c>
    </row>
    <row r="974" spans="20:35">
      <c r="T974" s="9">
        <v>193.8</v>
      </c>
      <c r="U974" s="4">
        <v>1</v>
      </c>
      <c r="AH974" s="9">
        <v>65.02</v>
      </c>
      <c r="AI974" s="4">
        <v>1</v>
      </c>
    </row>
    <row r="975" spans="20:35">
      <c r="T975" s="9">
        <v>194.1</v>
      </c>
      <c r="U975" s="4">
        <v>2</v>
      </c>
      <c r="AH975" s="9">
        <v>65.33</v>
      </c>
      <c r="AI975" s="4">
        <v>1</v>
      </c>
    </row>
    <row r="976" spans="20:35">
      <c r="T976" s="9">
        <v>194.2</v>
      </c>
      <c r="U976" s="4">
        <v>1</v>
      </c>
      <c r="AH976" s="9">
        <v>65.44</v>
      </c>
      <c r="AI976" s="4">
        <v>1</v>
      </c>
    </row>
    <row r="977" spans="20:35">
      <c r="T977" s="9">
        <v>194.3</v>
      </c>
      <c r="U977" s="4">
        <v>1</v>
      </c>
      <c r="AH977" s="9">
        <v>65.459999999999994</v>
      </c>
      <c r="AI977" s="4">
        <v>1</v>
      </c>
    </row>
    <row r="978" spans="20:35">
      <c r="T978" s="9">
        <v>194.4</v>
      </c>
      <c r="U978" s="4">
        <v>1</v>
      </c>
      <c r="AH978" s="9">
        <v>65.62</v>
      </c>
      <c r="AI978" s="4">
        <v>1</v>
      </c>
    </row>
    <row r="979" spans="20:35">
      <c r="T979" s="9">
        <v>194.6</v>
      </c>
      <c r="U979" s="4">
        <v>1</v>
      </c>
      <c r="AH979" s="9">
        <v>65.81</v>
      </c>
      <c r="AI979" s="4">
        <v>2</v>
      </c>
    </row>
    <row r="980" spans="20:35">
      <c r="T980" s="9">
        <v>194.9</v>
      </c>
      <c r="U980" s="4">
        <v>4</v>
      </c>
      <c r="AH980" s="9">
        <v>65.89</v>
      </c>
      <c r="AI980" s="4">
        <v>1</v>
      </c>
    </row>
    <row r="981" spans="20:35">
      <c r="T981" s="9">
        <v>195</v>
      </c>
      <c r="U981" s="4">
        <v>2</v>
      </c>
      <c r="AH981" s="9">
        <v>65.900000000000006</v>
      </c>
      <c r="AI981" s="4">
        <v>1</v>
      </c>
    </row>
    <row r="982" spans="20:35">
      <c r="T982" s="9">
        <v>195.3</v>
      </c>
      <c r="U982" s="4">
        <v>2</v>
      </c>
      <c r="AH982" s="9">
        <v>65.94</v>
      </c>
      <c r="AI982" s="4">
        <v>1</v>
      </c>
    </row>
    <row r="983" spans="20:35">
      <c r="T983" s="9">
        <v>195.4</v>
      </c>
      <c r="U983" s="4">
        <v>1</v>
      </c>
      <c r="AH983" s="9">
        <v>66.13</v>
      </c>
      <c r="AI983" s="4">
        <v>2</v>
      </c>
    </row>
    <row r="984" spans="20:35">
      <c r="T984" s="9">
        <v>195.6</v>
      </c>
      <c r="U984" s="4">
        <v>1</v>
      </c>
      <c r="AH984" s="9">
        <v>66.52</v>
      </c>
      <c r="AI984" s="4">
        <v>1</v>
      </c>
    </row>
    <row r="985" spans="20:35">
      <c r="T985" s="9">
        <v>195.7</v>
      </c>
      <c r="U985" s="4">
        <v>1</v>
      </c>
      <c r="AH985" s="9">
        <v>66.599999999999994</v>
      </c>
      <c r="AI985" s="4">
        <v>1</v>
      </c>
    </row>
    <row r="986" spans="20:35">
      <c r="T986" s="9">
        <v>195.8</v>
      </c>
      <c r="U986" s="4">
        <v>2</v>
      </c>
      <c r="AH986" s="9">
        <v>66.62</v>
      </c>
      <c r="AI986" s="4">
        <v>1</v>
      </c>
    </row>
    <row r="987" spans="20:35">
      <c r="T987" s="9">
        <v>195.9</v>
      </c>
      <c r="U987" s="4">
        <v>2</v>
      </c>
      <c r="AH987" s="9">
        <v>66.64</v>
      </c>
      <c r="AI987" s="4">
        <v>1</v>
      </c>
    </row>
    <row r="988" spans="20:35">
      <c r="T988" s="9">
        <v>196</v>
      </c>
      <c r="U988" s="4">
        <v>1</v>
      </c>
      <c r="AH988" s="9">
        <v>67.03</v>
      </c>
      <c r="AI988" s="4">
        <v>1</v>
      </c>
    </row>
    <row r="989" spans="20:35">
      <c r="T989" s="9">
        <v>196.1</v>
      </c>
      <c r="U989" s="4">
        <v>3</v>
      </c>
      <c r="AH989" s="9">
        <v>67.349999999999994</v>
      </c>
      <c r="AI989" s="4">
        <v>1</v>
      </c>
    </row>
    <row r="990" spans="20:35">
      <c r="T990" s="9">
        <v>196.3</v>
      </c>
      <c r="U990" s="4">
        <v>1</v>
      </c>
      <c r="AH990" s="9">
        <v>67.45</v>
      </c>
      <c r="AI990" s="4">
        <v>1</v>
      </c>
    </row>
    <row r="991" spans="20:35">
      <c r="T991" s="9">
        <v>196.4</v>
      </c>
      <c r="U991" s="4">
        <v>2</v>
      </c>
      <c r="AH991" s="9">
        <v>67.52</v>
      </c>
      <c r="AI991" s="4">
        <v>1</v>
      </c>
    </row>
    <row r="992" spans="20:35">
      <c r="T992" s="9">
        <v>196.5</v>
      </c>
      <c r="U992" s="4">
        <v>2</v>
      </c>
      <c r="AH992" s="9">
        <v>67.61</v>
      </c>
      <c r="AI992" s="4">
        <v>2</v>
      </c>
    </row>
    <row r="993" spans="20:35">
      <c r="T993" s="9">
        <v>196.8</v>
      </c>
      <c r="U993" s="4">
        <v>1</v>
      </c>
      <c r="AH993" s="9">
        <v>67.900000000000006</v>
      </c>
      <c r="AI993" s="4">
        <v>1</v>
      </c>
    </row>
    <row r="994" spans="20:35">
      <c r="T994" s="9">
        <v>196.9</v>
      </c>
      <c r="U994" s="4">
        <v>2</v>
      </c>
      <c r="AH994" s="9">
        <v>68</v>
      </c>
      <c r="AI994" s="4">
        <v>1</v>
      </c>
    </row>
    <row r="995" spans="20:35">
      <c r="T995" s="9">
        <v>197.1</v>
      </c>
      <c r="U995" s="4">
        <v>1</v>
      </c>
      <c r="AH995" s="9">
        <v>68.03</v>
      </c>
      <c r="AI995" s="4">
        <v>1</v>
      </c>
    </row>
    <row r="996" spans="20:35">
      <c r="T996" s="9">
        <v>197.2</v>
      </c>
      <c r="U996" s="4">
        <v>2</v>
      </c>
      <c r="AH996" s="9">
        <v>68.099999999999994</v>
      </c>
      <c r="AI996" s="4">
        <v>1</v>
      </c>
    </row>
    <row r="997" spans="20:35">
      <c r="T997" s="9">
        <v>197.4</v>
      </c>
      <c r="U997" s="4">
        <v>3</v>
      </c>
      <c r="AH997" s="9">
        <v>68.14</v>
      </c>
      <c r="AI997" s="4">
        <v>1</v>
      </c>
    </row>
    <row r="998" spans="20:35">
      <c r="T998" s="9">
        <v>197.5</v>
      </c>
      <c r="U998" s="4">
        <v>1</v>
      </c>
      <c r="AH998" s="9">
        <v>68.16</v>
      </c>
      <c r="AI998" s="4">
        <v>1</v>
      </c>
    </row>
    <row r="999" spans="20:35">
      <c r="T999" s="9">
        <v>198</v>
      </c>
      <c r="U999" s="4">
        <v>2</v>
      </c>
      <c r="AH999" s="9">
        <v>68.209999999999994</v>
      </c>
      <c r="AI999" s="4">
        <v>1</v>
      </c>
    </row>
    <row r="1000" spans="20:35">
      <c r="T1000" s="9">
        <v>198.1</v>
      </c>
      <c r="U1000" s="4">
        <v>3</v>
      </c>
      <c r="AH1000" s="9">
        <v>68.39</v>
      </c>
      <c r="AI1000" s="4">
        <v>2</v>
      </c>
    </row>
    <row r="1001" spans="20:35">
      <c r="T1001" s="9">
        <v>198.6</v>
      </c>
      <c r="U1001" s="4">
        <v>1</v>
      </c>
      <c r="AH1001" s="9">
        <v>68.400000000000006</v>
      </c>
      <c r="AI1001" s="4">
        <v>1</v>
      </c>
    </row>
    <row r="1002" spans="20:35">
      <c r="T1002" s="9">
        <v>198.7</v>
      </c>
      <c r="U1002" s="4">
        <v>1</v>
      </c>
      <c r="AH1002" s="9">
        <v>68.45</v>
      </c>
      <c r="AI1002" s="4">
        <v>1</v>
      </c>
    </row>
    <row r="1003" spans="20:35">
      <c r="T1003" s="9">
        <v>198.9</v>
      </c>
      <c r="U1003" s="4">
        <v>4</v>
      </c>
      <c r="AH1003" s="9">
        <v>68.47</v>
      </c>
      <c r="AI1003" s="4">
        <v>1</v>
      </c>
    </row>
    <row r="1004" spans="20:35">
      <c r="T1004" s="9">
        <v>199</v>
      </c>
      <c r="U1004" s="4">
        <v>2</v>
      </c>
      <c r="AH1004" s="9">
        <v>68.78</v>
      </c>
      <c r="AI1004" s="4">
        <v>1</v>
      </c>
    </row>
    <row r="1005" spans="20:35">
      <c r="T1005" s="9">
        <v>199.3</v>
      </c>
      <c r="U1005" s="4">
        <v>2</v>
      </c>
      <c r="AH1005" s="9">
        <v>68.83</v>
      </c>
      <c r="AI1005" s="4">
        <v>1</v>
      </c>
    </row>
    <row r="1006" spans="20:35">
      <c r="T1006" s="9">
        <v>199.4</v>
      </c>
      <c r="U1006" s="4">
        <v>1</v>
      </c>
      <c r="AH1006" s="9">
        <v>69.040000000000006</v>
      </c>
      <c r="AI1006" s="4">
        <v>1</v>
      </c>
    </row>
    <row r="1007" spans="20:35">
      <c r="T1007" s="9">
        <v>199.6</v>
      </c>
      <c r="U1007" s="4">
        <v>2</v>
      </c>
      <c r="AH1007" s="9">
        <v>69.099999999999994</v>
      </c>
      <c r="AI1007" s="4">
        <v>1</v>
      </c>
    </row>
    <row r="1008" spans="20:35">
      <c r="T1008" s="9">
        <v>199.8</v>
      </c>
      <c r="U1008" s="4">
        <v>1</v>
      </c>
      <c r="AH1008" s="9">
        <v>69.5</v>
      </c>
      <c r="AI1008" s="4">
        <v>1</v>
      </c>
    </row>
    <row r="1009" spans="20:35">
      <c r="T1009" s="9">
        <v>199.9</v>
      </c>
      <c r="U1009" s="4">
        <v>1</v>
      </c>
      <c r="AH1009" s="9">
        <v>69.7</v>
      </c>
      <c r="AI1009" s="4">
        <v>1</v>
      </c>
    </row>
    <row r="1010" spans="20:35">
      <c r="T1010" s="9">
        <v>200</v>
      </c>
      <c r="U1010" s="4">
        <v>1</v>
      </c>
      <c r="AH1010" s="9">
        <v>69.83</v>
      </c>
      <c r="AI1010" s="4">
        <v>1</v>
      </c>
    </row>
    <row r="1011" spans="20:35">
      <c r="T1011" s="9">
        <v>200.1</v>
      </c>
      <c r="U1011" s="4">
        <v>3</v>
      </c>
      <c r="AH1011" s="9">
        <v>69.86</v>
      </c>
      <c r="AI1011" s="4">
        <v>1</v>
      </c>
    </row>
    <row r="1012" spans="20:35">
      <c r="T1012" s="9">
        <v>200.3</v>
      </c>
      <c r="U1012" s="4">
        <v>1</v>
      </c>
      <c r="AH1012" s="9">
        <v>70.260000000000005</v>
      </c>
      <c r="AI1012" s="4">
        <v>1</v>
      </c>
    </row>
    <row r="1013" spans="20:35">
      <c r="T1013" s="9">
        <v>200.4</v>
      </c>
      <c r="U1013" s="4">
        <v>1</v>
      </c>
      <c r="AH1013" s="9">
        <v>70.42</v>
      </c>
      <c r="AI1013" s="4">
        <v>1</v>
      </c>
    </row>
    <row r="1014" spans="20:35">
      <c r="T1014" s="9">
        <v>200.6</v>
      </c>
      <c r="U1014" s="4">
        <v>3</v>
      </c>
      <c r="AH1014" s="9">
        <v>70.510000000000005</v>
      </c>
      <c r="AI1014" s="4">
        <v>1</v>
      </c>
    </row>
    <row r="1015" spans="20:35">
      <c r="T1015" s="9">
        <v>200.7</v>
      </c>
      <c r="U1015" s="4">
        <v>1</v>
      </c>
      <c r="AH1015" s="9">
        <v>70.55</v>
      </c>
      <c r="AI1015" s="4">
        <v>1</v>
      </c>
    </row>
    <row r="1016" spans="20:35">
      <c r="T1016" s="9">
        <v>200.8</v>
      </c>
      <c r="U1016" s="4">
        <v>1</v>
      </c>
      <c r="AH1016" s="9">
        <v>70.88</v>
      </c>
      <c r="AI1016" s="4">
        <v>1</v>
      </c>
    </row>
    <row r="1017" spans="20:35">
      <c r="T1017" s="9">
        <v>200.9</v>
      </c>
      <c r="U1017" s="4">
        <v>2</v>
      </c>
      <c r="AH1017" s="9">
        <v>70.94</v>
      </c>
      <c r="AI1017" s="4">
        <v>1</v>
      </c>
    </row>
    <row r="1018" spans="20:35">
      <c r="T1018" s="9">
        <v>201.3</v>
      </c>
      <c r="U1018" s="4">
        <v>1</v>
      </c>
      <c r="AH1018" s="9">
        <v>70.959999999999994</v>
      </c>
      <c r="AI1018" s="4">
        <v>1</v>
      </c>
    </row>
    <row r="1019" spans="20:35">
      <c r="T1019" s="9">
        <v>201.4</v>
      </c>
      <c r="U1019" s="4">
        <v>2</v>
      </c>
      <c r="AH1019" s="9">
        <v>71.05</v>
      </c>
      <c r="AI1019" s="4">
        <v>1</v>
      </c>
    </row>
    <row r="1020" spans="20:35">
      <c r="T1020" s="9">
        <v>201.5</v>
      </c>
      <c r="U1020" s="4">
        <v>1</v>
      </c>
      <c r="AH1020" s="9">
        <v>71.25</v>
      </c>
      <c r="AI1020" s="4">
        <v>1</v>
      </c>
    </row>
    <row r="1021" spans="20:35">
      <c r="T1021" s="9">
        <v>201.6</v>
      </c>
      <c r="U1021" s="4">
        <v>1</v>
      </c>
      <c r="AH1021" s="9">
        <v>71.36</v>
      </c>
      <c r="AI1021" s="4">
        <v>2</v>
      </c>
    </row>
    <row r="1022" spans="20:35">
      <c r="T1022" s="9">
        <v>201.7</v>
      </c>
      <c r="U1022" s="4">
        <v>2</v>
      </c>
      <c r="AH1022" s="9">
        <v>71.489999999999995</v>
      </c>
      <c r="AI1022" s="4">
        <v>1</v>
      </c>
    </row>
    <row r="1023" spans="20:35">
      <c r="T1023" s="9">
        <v>202</v>
      </c>
      <c r="U1023" s="4">
        <v>1</v>
      </c>
      <c r="AH1023" s="9">
        <v>71.510000000000005</v>
      </c>
      <c r="AI1023" s="4">
        <v>1</v>
      </c>
    </row>
    <row r="1024" spans="20:35">
      <c r="T1024" s="9">
        <v>202.1</v>
      </c>
      <c r="U1024" s="4">
        <v>1</v>
      </c>
      <c r="AH1024" s="9">
        <v>71.66</v>
      </c>
      <c r="AI1024" s="4">
        <v>1</v>
      </c>
    </row>
    <row r="1025" spans="20:35">
      <c r="T1025" s="9">
        <v>202.3</v>
      </c>
      <c r="U1025" s="4">
        <v>1</v>
      </c>
      <c r="AH1025" s="9">
        <v>71.7</v>
      </c>
      <c r="AI1025" s="4">
        <v>1</v>
      </c>
    </row>
    <row r="1026" spans="20:35">
      <c r="T1026" s="9">
        <v>202.4</v>
      </c>
      <c r="U1026" s="4">
        <v>4</v>
      </c>
      <c r="AH1026" s="9">
        <v>71.709999999999994</v>
      </c>
      <c r="AI1026" s="4">
        <v>1</v>
      </c>
    </row>
    <row r="1027" spans="20:35">
      <c r="T1027" s="9">
        <v>202.6</v>
      </c>
      <c r="U1027" s="4">
        <v>1</v>
      </c>
      <c r="AH1027" s="9">
        <v>71.739999999999995</v>
      </c>
      <c r="AI1027" s="4">
        <v>1</v>
      </c>
    </row>
    <row r="1028" spans="20:35">
      <c r="T1028" s="9">
        <v>202.7</v>
      </c>
      <c r="U1028" s="4">
        <v>1</v>
      </c>
      <c r="AH1028" s="9">
        <v>71.989999999999995</v>
      </c>
      <c r="AI1028" s="4">
        <v>1</v>
      </c>
    </row>
    <row r="1029" spans="20:35">
      <c r="T1029" s="9">
        <v>202.9</v>
      </c>
      <c r="U1029" s="4">
        <v>1</v>
      </c>
      <c r="AH1029" s="9">
        <v>72</v>
      </c>
      <c r="AI1029" s="4">
        <v>1</v>
      </c>
    </row>
    <row r="1030" spans="20:35">
      <c r="T1030" s="9">
        <v>203.2</v>
      </c>
      <c r="U1030" s="4">
        <v>2</v>
      </c>
      <c r="AH1030" s="9">
        <v>72.02</v>
      </c>
      <c r="AI1030" s="4">
        <v>1</v>
      </c>
    </row>
    <row r="1031" spans="20:35">
      <c r="T1031" s="9">
        <v>203.3</v>
      </c>
      <c r="U1031" s="4">
        <v>2</v>
      </c>
      <c r="AH1031" s="9">
        <v>72.069999999999993</v>
      </c>
      <c r="AI1031" s="4">
        <v>1</v>
      </c>
    </row>
    <row r="1032" spans="20:35">
      <c r="T1032" s="9">
        <v>203.6</v>
      </c>
      <c r="U1032" s="4">
        <v>2</v>
      </c>
      <c r="AH1032" s="9">
        <v>72.180000000000007</v>
      </c>
      <c r="AI1032" s="4">
        <v>1</v>
      </c>
    </row>
    <row r="1033" spans="20:35">
      <c r="T1033" s="9">
        <v>203.8</v>
      </c>
      <c r="U1033" s="4">
        <v>2</v>
      </c>
      <c r="AH1033" s="9">
        <v>72.22</v>
      </c>
      <c r="AI1033" s="4">
        <v>1</v>
      </c>
    </row>
    <row r="1034" spans="20:35">
      <c r="T1034" s="9">
        <v>204</v>
      </c>
      <c r="U1034" s="4">
        <v>1</v>
      </c>
      <c r="AH1034" s="9">
        <v>72.400000000000006</v>
      </c>
      <c r="AI1034" s="4">
        <v>1</v>
      </c>
    </row>
    <row r="1035" spans="20:35">
      <c r="T1035" s="9">
        <v>204.4</v>
      </c>
      <c r="U1035" s="4">
        <v>1</v>
      </c>
      <c r="AH1035" s="9">
        <v>72.61</v>
      </c>
      <c r="AI1035" s="4">
        <v>1</v>
      </c>
    </row>
    <row r="1036" spans="20:35">
      <c r="T1036" s="9">
        <v>204.5</v>
      </c>
      <c r="U1036" s="4">
        <v>1</v>
      </c>
      <c r="AH1036" s="9">
        <v>72.64</v>
      </c>
      <c r="AI1036" s="4">
        <v>1</v>
      </c>
    </row>
    <row r="1037" spans="20:35">
      <c r="T1037" s="9">
        <v>204.6</v>
      </c>
      <c r="U1037" s="4">
        <v>2</v>
      </c>
      <c r="AH1037" s="9">
        <v>72.7</v>
      </c>
      <c r="AI1037" s="4">
        <v>1</v>
      </c>
    </row>
    <row r="1038" spans="20:35">
      <c r="T1038" s="9">
        <v>204.7</v>
      </c>
      <c r="U1038" s="4">
        <v>3</v>
      </c>
      <c r="AH1038" s="9">
        <v>72.78</v>
      </c>
      <c r="AI1038" s="4">
        <v>1</v>
      </c>
    </row>
    <row r="1039" spans="20:35">
      <c r="T1039" s="9">
        <v>205.5</v>
      </c>
      <c r="U1039" s="4">
        <v>2</v>
      </c>
      <c r="AH1039" s="9">
        <v>72.790000000000006</v>
      </c>
      <c r="AI1039" s="4">
        <v>1</v>
      </c>
    </row>
    <row r="1040" spans="20:35">
      <c r="T1040" s="9">
        <v>205.6</v>
      </c>
      <c r="U1040" s="4">
        <v>1</v>
      </c>
      <c r="AH1040" s="9">
        <v>72.930000000000007</v>
      </c>
      <c r="AI1040" s="4">
        <v>2</v>
      </c>
    </row>
    <row r="1041" spans="20:35">
      <c r="T1041" s="9">
        <v>205.7</v>
      </c>
      <c r="U1041" s="4">
        <v>2</v>
      </c>
      <c r="AH1041" s="9">
        <v>72.989999999999995</v>
      </c>
      <c r="AI1041" s="4">
        <v>1</v>
      </c>
    </row>
    <row r="1042" spans="20:35">
      <c r="T1042" s="9">
        <v>205.9</v>
      </c>
      <c r="U1042" s="4">
        <v>1</v>
      </c>
      <c r="AH1042" s="9">
        <v>73</v>
      </c>
      <c r="AI1042" s="4">
        <v>1</v>
      </c>
    </row>
    <row r="1043" spans="20:35">
      <c r="T1043" s="9">
        <v>206.3</v>
      </c>
      <c r="U1043" s="4">
        <v>2</v>
      </c>
      <c r="AH1043" s="9">
        <v>73.02</v>
      </c>
      <c r="AI1043" s="4">
        <v>1</v>
      </c>
    </row>
    <row r="1044" spans="20:35">
      <c r="T1044" s="9">
        <v>206.5</v>
      </c>
      <c r="U1044" s="4">
        <v>1</v>
      </c>
      <c r="AH1044" s="9">
        <v>73.08</v>
      </c>
      <c r="AI1044" s="4">
        <v>1</v>
      </c>
    </row>
    <row r="1045" spans="20:35">
      <c r="T1045" s="9">
        <v>206.6</v>
      </c>
      <c r="U1045" s="4">
        <v>1</v>
      </c>
      <c r="AH1045" s="9">
        <v>73.11</v>
      </c>
      <c r="AI1045" s="4">
        <v>1</v>
      </c>
    </row>
    <row r="1046" spans="20:35">
      <c r="T1046" s="9">
        <v>206.8</v>
      </c>
      <c r="U1046" s="4">
        <v>1</v>
      </c>
      <c r="AH1046" s="9">
        <v>73.19</v>
      </c>
      <c r="AI1046" s="4">
        <v>1</v>
      </c>
    </row>
    <row r="1047" spans="20:35">
      <c r="T1047" s="9">
        <v>206.9</v>
      </c>
      <c r="U1047" s="4">
        <v>1</v>
      </c>
      <c r="AH1047" s="9">
        <v>73.209999999999994</v>
      </c>
      <c r="AI1047" s="4">
        <v>1</v>
      </c>
    </row>
    <row r="1048" spans="20:35">
      <c r="T1048" s="9">
        <v>207</v>
      </c>
      <c r="U1048" s="4">
        <v>2</v>
      </c>
      <c r="AH1048" s="9">
        <v>73.3</v>
      </c>
      <c r="AI1048" s="4">
        <v>1</v>
      </c>
    </row>
    <row r="1049" spans="20:35">
      <c r="T1049" s="9">
        <v>207.1</v>
      </c>
      <c r="U1049" s="4">
        <v>2</v>
      </c>
      <c r="AH1049" s="9">
        <v>73.33</v>
      </c>
      <c r="AI1049" s="4">
        <v>1</v>
      </c>
    </row>
    <row r="1050" spans="20:35">
      <c r="T1050" s="9">
        <v>207.2</v>
      </c>
      <c r="U1050" s="4">
        <v>1</v>
      </c>
      <c r="AH1050" s="9">
        <v>73.34</v>
      </c>
      <c r="AI1050" s="4">
        <v>1</v>
      </c>
    </row>
    <row r="1051" spans="20:35">
      <c r="T1051" s="9">
        <v>207.4</v>
      </c>
      <c r="U1051" s="4">
        <v>2</v>
      </c>
      <c r="AH1051" s="9">
        <v>73.459999999999994</v>
      </c>
      <c r="AI1051" s="4">
        <v>1</v>
      </c>
    </row>
    <row r="1052" spans="20:35">
      <c r="T1052" s="9">
        <v>207.5</v>
      </c>
      <c r="U1052" s="4">
        <v>1</v>
      </c>
      <c r="AH1052" s="9">
        <v>73.510000000000005</v>
      </c>
      <c r="AI1052" s="4">
        <v>1</v>
      </c>
    </row>
    <row r="1053" spans="20:35">
      <c r="T1053" s="9">
        <v>207.6</v>
      </c>
      <c r="U1053" s="4">
        <v>3</v>
      </c>
      <c r="AH1053" s="9">
        <v>73.52</v>
      </c>
      <c r="AI1053" s="4">
        <v>1</v>
      </c>
    </row>
    <row r="1054" spans="20:35">
      <c r="T1054" s="9">
        <v>207.8</v>
      </c>
      <c r="U1054" s="4">
        <v>2</v>
      </c>
      <c r="AH1054" s="9">
        <v>73.55</v>
      </c>
      <c r="AI1054" s="4">
        <v>1</v>
      </c>
    </row>
    <row r="1055" spans="20:35">
      <c r="T1055" s="9">
        <v>208</v>
      </c>
      <c r="U1055" s="4">
        <v>1</v>
      </c>
      <c r="AH1055" s="9">
        <v>73.69</v>
      </c>
      <c r="AI1055" s="4">
        <v>1</v>
      </c>
    </row>
    <row r="1056" spans="20:35">
      <c r="T1056" s="9">
        <v>208.1</v>
      </c>
      <c r="U1056" s="4">
        <v>2</v>
      </c>
      <c r="AH1056" s="9">
        <v>73.7</v>
      </c>
      <c r="AI1056" s="4">
        <v>1</v>
      </c>
    </row>
    <row r="1057" spans="20:35">
      <c r="T1057" s="9">
        <v>208.5</v>
      </c>
      <c r="U1057" s="4">
        <v>2</v>
      </c>
      <c r="AH1057" s="9">
        <v>73.75</v>
      </c>
      <c r="AI1057" s="4">
        <v>1</v>
      </c>
    </row>
    <row r="1058" spans="20:35">
      <c r="T1058" s="9">
        <v>208.7</v>
      </c>
      <c r="U1058" s="4">
        <v>2</v>
      </c>
      <c r="AH1058" s="9">
        <v>73.91</v>
      </c>
      <c r="AI1058" s="4">
        <v>1</v>
      </c>
    </row>
    <row r="1059" spans="20:35">
      <c r="T1059" s="9">
        <v>208.8</v>
      </c>
      <c r="U1059" s="4">
        <v>2</v>
      </c>
      <c r="AH1059" s="9">
        <v>74</v>
      </c>
      <c r="AI1059" s="4">
        <v>2</v>
      </c>
    </row>
    <row r="1060" spans="20:35">
      <c r="T1060" s="9">
        <v>208.9</v>
      </c>
      <c r="U1060" s="4">
        <v>1</v>
      </c>
      <c r="AH1060" s="9">
        <v>74.209999999999994</v>
      </c>
      <c r="AI1060" s="4">
        <v>1</v>
      </c>
    </row>
    <row r="1061" spans="20:35">
      <c r="T1061" s="9">
        <v>209.1</v>
      </c>
      <c r="U1061" s="4">
        <v>1</v>
      </c>
      <c r="AH1061" s="9">
        <v>74.22</v>
      </c>
      <c r="AI1061" s="4">
        <v>1</v>
      </c>
    </row>
    <row r="1062" spans="20:35">
      <c r="T1062" s="9">
        <v>209.3</v>
      </c>
      <c r="U1062" s="4">
        <v>4</v>
      </c>
      <c r="AH1062" s="9">
        <v>74.239999999999995</v>
      </c>
      <c r="AI1062" s="4">
        <v>1</v>
      </c>
    </row>
    <row r="1063" spans="20:35">
      <c r="T1063" s="9">
        <v>209.5</v>
      </c>
      <c r="U1063" s="4">
        <v>1</v>
      </c>
      <c r="AH1063" s="9">
        <v>74.34</v>
      </c>
      <c r="AI1063" s="4">
        <v>1</v>
      </c>
    </row>
    <row r="1064" spans="20:35">
      <c r="T1064" s="9">
        <v>209.6</v>
      </c>
      <c r="U1064" s="4">
        <v>1</v>
      </c>
      <c r="AH1064" s="9">
        <v>74.39</v>
      </c>
      <c r="AI1064" s="4">
        <v>1</v>
      </c>
    </row>
    <row r="1065" spans="20:35">
      <c r="T1065" s="9">
        <v>209.7</v>
      </c>
      <c r="U1065" s="4">
        <v>1</v>
      </c>
      <c r="AH1065" s="9">
        <v>74.44</v>
      </c>
      <c r="AI1065" s="4">
        <v>1</v>
      </c>
    </row>
    <row r="1066" spans="20:35">
      <c r="T1066" s="9">
        <v>209.8</v>
      </c>
      <c r="U1066" s="4">
        <v>2</v>
      </c>
      <c r="AH1066" s="9">
        <v>74.459999999999994</v>
      </c>
      <c r="AI1066" s="4">
        <v>1</v>
      </c>
    </row>
    <row r="1067" spans="20:35">
      <c r="T1067" s="9">
        <v>210</v>
      </c>
      <c r="U1067" s="4">
        <v>4</v>
      </c>
      <c r="AH1067" s="9">
        <v>74.510000000000005</v>
      </c>
      <c r="AI1067" s="4">
        <v>1</v>
      </c>
    </row>
    <row r="1068" spans="20:35">
      <c r="T1068" s="9">
        <v>210.1</v>
      </c>
      <c r="U1068" s="4">
        <v>1</v>
      </c>
      <c r="AH1068" s="9">
        <v>74.58</v>
      </c>
      <c r="AI1068" s="4">
        <v>1</v>
      </c>
    </row>
    <row r="1069" spans="20:35">
      <c r="T1069" s="9">
        <v>210.2</v>
      </c>
      <c r="U1069" s="4">
        <v>1</v>
      </c>
      <c r="AH1069" s="9">
        <v>74.760000000000005</v>
      </c>
      <c r="AI1069" s="4">
        <v>1</v>
      </c>
    </row>
    <row r="1070" spans="20:35">
      <c r="T1070" s="9">
        <v>210.4</v>
      </c>
      <c r="U1070" s="4">
        <v>1</v>
      </c>
      <c r="AH1070" s="9">
        <v>74.790000000000006</v>
      </c>
      <c r="AI1070" s="4">
        <v>1</v>
      </c>
    </row>
    <row r="1071" spans="20:35">
      <c r="T1071" s="9">
        <v>210.5</v>
      </c>
      <c r="U1071" s="4">
        <v>1</v>
      </c>
      <c r="AH1071" s="9">
        <v>75.14</v>
      </c>
      <c r="AI1071" s="4">
        <v>1</v>
      </c>
    </row>
    <row r="1072" spans="20:35">
      <c r="T1072" s="9">
        <v>210.6</v>
      </c>
      <c r="U1072" s="4">
        <v>1</v>
      </c>
      <c r="AH1072" s="9">
        <v>75.31</v>
      </c>
      <c r="AI1072" s="4">
        <v>1</v>
      </c>
    </row>
    <row r="1073" spans="20:35">
      <c r="T1073" s="9">
        <v>210.7</v>
      </c>
      <c r="U1073" s="4">
        <v>1</v>
      </c>
      <c r="AH1073" s="9">
        <v>75.489999999999995</v>
      </c>
      <c r="AI1073" s="4">
        <v>1</v>
      </c>
    </row>
    <row r="1074" spans="20:35">
      <c r="T1074" s="9">
        <v>210.9</v>
      </c>
      <c r="U1074" s="4">
        <v>2</v>
      </c>
      <c r="AH1074" s="9">
        <v>75.5</v>
      </c>
      <c r="AI1074" s="4">
        <v>2</v>
      </c>
    </row>
    <row r="1075" spans="20:35">
      <c r="T1075" s="9">
        <v>211.4</v>
      </c>
      <c r="U1075" s="4">
        <v>2</v>
      </c>
      <c r="AH1075" s="9">
        <v>75.510000000000005</v>
      </c>
      <c r="AI1075" s="4">
        <v>1</v>
      </c>
    </row>
    <row r="1076" spans="20:35">
      <c r="T1076" s="9">
        <v>211.5</v>
      </c>
      <c r="U1076" s="4">
        <v>1</v>
      </c>
      <c r="AH1076" s="9">
        <v>75.540000000000006</v>
      </c>
      <c r="AI1076" s="4">
        <v>1</v>
      </c>
    </row>
    <row r="1077" spans="20:35">
      <c r="T1077" s="9">
        <v>211.7</v>
      </c>
      <c r="U1077" s="4">
        <v>3</v>
      </c>
      <c r="AH1077" s="9">
        <v>75.92</v>
      </c>
      <c r="AI1077" s="4">
        <v>1</v>
      </c>
    </row>
    <row r="1078" spans="20:35">
      <c r="T1078" s="9">
        <v>211.9</v>
      </c>
      <c r="U1078" s="4">
        <v>3</v>
      </c>
      <c r="AH1078" s="9">
        <v>75.97</v>
      </c>
      <c r="AI1078" s="4">
        <v>1</v>
      </c>
    </row>
    <row r="1079" spans="20:35">
      <c r="T1079" s="9">
        <v>212.2</v>
      </c>
      <c r="U1079" s="4">
        <v>1</v>
      </c>
      <c r="AH1079" s="9">
        <v>76.03</v>
      </c>
      <c r="AI1079" s="4">
        <v>1</v>
      </c>
    </row>
    <row r="1080" spans="20:35">
      <c r="T1080" s="9">
        <v>212.3</v>
      </c>
      <c r="U1080" s="4">
        <v>2</v>
      </c>
      <c r="AH1080" s="9">
        <v>76.150000000000006</v>
      </c>
      <c r="AI1080" s="4">
        <v>1</v>
      </c>
    </row>
    <row r="1081" spans="20:35">
      <c r="T1081" s="9">
        <v>212.5</v>
      </c>
      <c r="U1081" s="4">
        <v>1</v>
      </c>
      <c r="AH1081" s="9">
        <v>76.319999999999993</v>
      </c>
      <c r="AI1081" s="4">
        <v>1</v>
      </c>
    </row>
    <row r="1082" spans="20:35">
      <c r="T1082" s="9">
        <v>212.6</v>
      </c>
      <c r="U1082" s="4">
        <v>1</v>
      </c>
      <c r="AH1082" s="9">
        <v>76.41</v>
      </c>
      <c r="AI1082" s="4">
        <v>1</v>
      </c>
    </row>
    <row r="1083" spans="20:35">
      <c r="T1083" s="9">
        <v>212.7</v>
      </c>
      <c r="U1083" s="4">
        <v>1</v>
      </c>
      <c r="AH1083" s="9">
        <v>76.45</v>
      </c>
      <c r="AI1083" s="4">
        <v>1</v>
      </c>
    </row>
    <row r="1084" spans="20:35">
      <c r="T1084" s="9">
        <v>212.9</v>
      </c>
      <c r="U1084" s="4">
        <v>1</v>
      </c>
      <c r="AH1084" s="9">
        <v>76.63</v>
      </c>
      <c r="AI1084" s="4">
        <v>1</v>
      </c>
    </row>
    <row r="1085" spans="20:35">
      <c r="T1085" s="9">
        <v>213.2</v>
      </c>
      <c r="U1085" s="4">
        <v>1</v>
      </c>
      <c r="AH1085" s="9">
        <v>76.739999999999995</v>
      </c>
      <c r="AI1085" s="4">
        <v>1</v>
      </c>
    </row>
    <row r="1086" spans="20:35">
      <c r="T1086" s="9">
        <v>213.3</v>
      </c>
      <c r="U1086" s="4">
        <v>1</v>
      </c>
      <c r="AH1086" s="9">
        <v>76.87</v>
      </c>
      <c r="AI1086" s="4">
        <v>2</v>
      </c>
    </row>
    <row r="1087" spans="20:35">
      <c r="T1087" s="9">
        <v>213.5</v>
      </c>
      <c r="U1087" s="4">
        <v>2</v>
      </c>
      <c r="AH1087" s="9">
        <v>77</v>
      </c>
      <c r="AI1087" s="4">
        <v>1</v>
      </c>
    </row>
    <row r="1088" spans="20:35">
      <c r="T1088" s="9">
        <v>213.6</v>
      </c>
      <c r="U1088" s="4">
        <v>2</v>
      </c>
      <c r="AH1088" s="9">
        <v>77.16</v>
      </c>
      <c r="AI1088" s="4">
        <v>1</v>
      </c>
    </row>
    <row r="1089" spans="20:35">
      <c r="T1089" s="9">
        <v>213.7</v>
      </c>
      <c r="U1089" s="4">
        <v>1</v>
      </c>
      <c r="AH1089" s="9">
        <v>77.430000000000007</v>
      </c>
      <c r="AI1089" s="4">
        <v>1</v>
      </c>
    </row>
    <row r="1090" spans="20:35">
      <c r="T1090" s="9">
        <v>213.8</v>
      </c>
      <c r="U1090" s="4">
        <v>3</v>
      </c>
      <c r="AH1090" s="9">
        <v>77.680000000000007</v>
      </c>
      <c r="AI1090" s="4">
        <v>1</v>
      </c>
    </row>
    <row r="1091" spans="20:35">
      <c r="T1091" s="9">
        <v>213.9</v>
      </c>
      <c r="U1091" s="4">
        <v>1</v>
      </c>
      <c r="AH1091" s="9">
        <v>77.72</v>
      </c>
      <c r="AI1091" s="4">
        <v>1</v>
      </c>
    </row>
    <row r="1092" spans="20:35">
      <c r="T1092" s="9">
        <v>214</v>
      </c>
      <c r="U1092" s="4">
        <v>1</v>
      </c>
      <c r="AH1092" s="9">
        <v>77.78</v>
      </c>
      <c r="AI1092" s="4">
        <v>1</v>
      </c>
    </row>
    <row r="1093" spans="20:35">
      <c r="T1093" s="9">
        <v>214.1</v>
      </c>
      <c r="U1093" s="4">
        <v>2</v>
      </c>
      <c r="AH1093" s="9">
        <v>77.8</v>
      </c>
      <c r="AI1093" s="4">
        <v>1</v>
      </c>
    </row>
    <row r="1094" spans="20:35">
      <c r="T1094" s="9">
        <v>214.2</v>
      </c>
      <c r="U1094" s="4">
        <v>1</v>
      </c>
      <c r="AH1094" s="9">
        <v>77.849999999999994</v>
      </c>
      <c r="AI1094" s="4">
        <v>1</v>
      </c>
    </row>
    <row r="1095" spans="20:35">
      <c r="T1095" s="9">
        <v>214.4</v>
      </c>
      <c r="U1095" s="4">
        <v>2</v>
      </c>
      <c r="AH1095" s="9">
        <v>77.900000000000006</v>
      </c>
      <c r="AI1095" s="4">
        <v>1</v>
      </c>
    </row>
    <row r="1096" spans="20:35">
      <c r="T1096" s="9">
        <v>214.5</v>
      </c>
      <c r="U1096" s="4">
        <v>1</v>
      </c>
      <c r="AH1096" s="9">
        <v>78</v>
      </c>
      <c r="AI1096" s="4">
        <v>1</v>
      </c>
    </row>
    <row r="1097" spans="20:35">
      <c r="T1097" s="9">
        <v>214.6</v>
      </c>
      <c r="U1097" s="4">
        <v>1</v>
      </c>
      <c r="AH1097" s="9">
        <v>78.13</v>
      </c>
      <c r="AI1097" s="4">
        <v>1</v>
      </c>
    </row>
    <row r="1098" spans="20:35">
      <c r="T1098" s="9">
        <v>214.7</v>
      </c>
      <c r="U1098" s="4">
        <v>1</v>
      </c>
      <c r="AH1098" s="9">
        <v>78.44</v>
      </c>
      <c r="AI1098" s="4">
        <v>1</v>
      </c>
    </row>
    <row r="1099" spans="20:35">
      <c r="T1099" s="9">
        <v>214.8</v>
      </c>
      <c r="U1099" s="4">
        <v>2</v>
      </c>
      <c r="AH1099" s="9">
        <v>78.459999999999994</v>
      </c>
      <c r="AI1099" s="4">
        <v>1</v>
      </c>
    </row>
    <row r="1100" spans="20:35">
      <c r="T1100" s="9">
        <v>214.9</v>
      </c>
      <c r="U1100" s="4">
        <v>1</v>
      </c>
      <c r="AH1100" s="9">
        <v>78.5</v>
      </c>
      <c r="AI1100" s="4">
        <v>1</v>
      </c>
    </row>
    <row r="1101" spans="20:35">
      <c r="T1101" s="9">
        <v>215</v>
      </c>
      <c r="U1101" s="4">
        <v>1</v>
      </c>
      <c r="AH1101" s="9">
        <v>78.55</v>
      </c>
      <c r="AI1101" s="4">
        <v>1</v>
      </c>
    </row>
    <row r="1102" spans="20:35">
      <c r="T1102" s="9">
        <v>215.1</v>
      </c>
      <c r="U1102" s="4">
        <v>1</v>
      </c>
      <c r="AH1102" s="9">
        <v>78.59</v>
      </c>
      <c r="AI1102" s="4">
        <v>1</v>
      </c>
    </row>
    <row r="1103" spans="20:35">
      <c r="T1103" s="9">
        <v>215.2</v>
      </c>
      <c r="U1103" s="4">
        <v>2</v>
      </c>
      <c r="AH1103" s="9">
        <v>78.67</v>
      </c>
      <c r="AI1103" s="4">
        <v>1</v>
      </c>
    </row>
    <row r="1104" spans="20:35">
      <c r="T1104" s="9">
        <v>215.3</v>
      </c>
      <c r="U1104" s="4">
        <v>1</v>
      </c>
      <c r="AH1104" s="9">
        <v>78.83</v>
      </c>
      <c r="AI1104" s="4">
        <v>1</v>
      </c>
    </row>
    <row r="1105" spans="20:35">
      <c r="T1105" s="9">
        <v>215.5</v>
      </c>
      <c r="U1105" s="4">
        <v>1</v>
      </c>
      <c r="AH1105" s="9">
        <v>78.84</v>
      </c>
      <c r="AI1105" s="4">
        <v>1</v>
      </c>
    </row>
    <row r="1106" spans="20:35">
      <c r="T1106" s="9">
        <v>215.8</v>
      </c>
      <c r="U1106" s="4">
        <v>2</v>
      </c>
      <c r="AH1106" s="9">
        <v>78.930000000000007</v>
      </c>
      <c r="AI1106" s="4">
        <v>1</v>
      </c>
    </row>
    <row r="1107" spans="20:35">
      <c r="T1107" s="9">
        <v>215.9</v>
      </c>
      <c r="U1107" s="4">
        <v>1</v>
      </c>
      <c r="AH1107" s="9">
        <v>79.06</v>
      </c>
      <c r="AI1107" s="4">
        <v>1</v>
      </c>
    </row>
    <row r="1108" spans="20:35">
      <c r="T1108" s="9">
        <v>216</v>
      </c>
      <c r="U1108" s="4">
        <v>1</v>
      </c>
      <c r="AH1108" s="9">
        <v>79.599999999999994</v>
      </c>
      <c r="AI1108" s="4">
        <v>1</v>
      </c>
    </row>
    <row r="1109" spans="20:35">
      <c r="T1109" s="9">
        <v>216.2</v>
      </c>
      <c r="U1109" s="4">
        <v>1</v>
      </c>
      <c r="AH1109" s="9">
        <v>79.63</v>
      </c>
      <c r="AI1109" s="4">
        <v>1</v>
      </c>
    </row>
    <row r="1110" spans="20:35">
      <c r="T1110" s="9">
        <v>216.3</v>
      </c>
      <c r="U1110" s="4">
        <v>2</v>
      </c>
      <c r="AH1110" s="9">
        <v>79.78</v>
      </c>
      <c r="AI1110" s="4">
        <v>1</v>
      </c>
    </row>
    <row r="1111" spans="20:35">
      <c r="T1111" s="9">
        <v>216.4</v>
      </c>
      <c r="U1111" s="4">
        <v>2</v>
      </c>
      <c r="AH1111" s="9">
        <v>80.010000000000005</v>
      </c>
      <c r="AI1111" s="4">
        <v>1</v>
      </c>
    </row>
    <row r="1112" spans="20:35">
      <c r="T1112" s="9">
        <v>216.5</v>
      </c>
      <c r="U1112" s="4">
        <v>1</v>
      </c>
      <c r="AH1112" s="9">
        <v>80.040000000000006</v>
      </c>
      <c r="AI1112" s="4">
        <v>1</v>
      </c>
    </row>
    <row r="1113" spans="20:35">
      <c r="T1113" s="9">
        <v>216.6</v>
      </c>
      <c r="U1113" s="4">
        <v>2</v>
      </c>
      <c r="AH1113" s="9">
        <v>80.2</v>
      </c>
      <c r="AI1113" s="4">
        <v>1</v>
      </c>
    </row>
    <row r="1114" spans="20:35">
      <c r="T1114" s="9">
        <v>216.7</v>
      </c>
      <c r="U1114" s="4">
        <v>1</v>
      </c>
      <c r="AH1114" s="9">
        <v>80.47</v>
      </c>
      <c r="AI1114" s="4">
        <v>1</v>
      </c>
    </row>
    <row r="1115" spans="20:35">
      <c r="T1115" s="9">
        <v>217</v>
      </c>
      <c r="U1115" s="4">
        <v>1</v>
      </c>
      <c r="AH1115" s="9">
        <v>80.61</v>
      </c>
      <c r="AI1115" s="4">
        <v>1</v>
      </c>
    </row>
    <row r="1116" spans="20:35">
      <c r="T1116" s="9">
        <v>217.1</v>
      </c>
      <c r="U1116" s="4">
        <v>2</v>
      </c>
      <c r="AH1116" s="9">
        <v>80.69</v>
      </c>
      <c r="AI1116" s="4">
        <v>1</v>
      </c>
    </row>
    <row r="1117" spans="20:35">
      <c r="T1117" s="9">
        <v>217.2</v>
      </c>
      <c r="U1117" s="4">
        <v>1</v>
      </c>
      <c r="AH1117" s="9">
        <v>80.709999999999994</v>
      </c>
      <c r="AI1117" s="4">
        <v>1</v>
      </c>
    </row>
    <row r="1118" spans="20:35">
      <c r="T1118" s="9">
        <v>217.3</v>
      </c>
      <c r="U1118" s="4">
        <v>1</v>
      </c>
      <c r="AH1118" s="9">
        <v>80.739999999999995</v>
      </c>
      <c r="AI1118" s="4">
        <v>1</v>
      </c>
    </row>
    <row r="1119" spans="20:35">
      <c r="T1119" s="9">
        <v>217.8</v>
      </c>
      <c r="U1119" s="4">
        <v>3</v>
      </c>
      <c r="AH1119" s="9">
        <v>80.92</v>
      </c>
      <c r="AI1119" s="4">
        <v>1</v>
      </c>
    </row>
    <row r="1120" spans="20:35">
      <c r="T1120" s="9">
        <v>218</v>
      </c>
      <c r="U1120" s="4">
        <v>1</v>
      </c>
      <c r="AH1120" s="9">
        <v>80.95</v>
      </c>
      <c r="AI1120" s="4">
        <v>1</v>
      </c>
    </row>
    <row r="1121" spans="20:35">
      <c r="T1121" s="9">
        <v>218.1</v>
      </c>
      <c r="U1121" s="4">
        <v>1</v>
      </c>
      <c r="AH1121" s="9">
        <v>81.349999999999994</v>
      </c>
      <c r="AI1121" s="4">
        <v>1</v>
      </c>
    </row>
    <row r="1122" spans="20:35">
      <c r="T1122" s="9">
        <v>218.3</v>
      </c>
      <c r="U1122" s="4">
        <v>1</v>
      </c>
      <c r="AH1122" s="9">
        <v>81.55</v>
      </c>
      <c r="AI1122" s="4">
        <v>2</v>
      </c>
    </row>
    <row r="1123" spans="20:35">
      <c r="T1123" s="9">
        <v>218.6</v>
      </c>
      <c r="U1123" s="4">
        <v>1</v>
      </c>
      <c r="AH1123" s="9">
        <v>81.67</v>
      </c>
      <c r="AI1123" s="4">
        <v>1</v>
      </c>
    </row>
    <row r="1124" spans="20:35">
      <c r="T1124" s="9">
        <v>219</v>
      </c>
      <c r="U1124" s="4">
        <v>1</v>
      </c>
      <c r="AH1124" s="9">
        <v>81.900000000000006</v>
      </c>
      <c r="AI1124" s="4">
        <v>1</v>
      </c>
    </row>
    <row r="1125" spans="20:35">
      <c r="T1125" s="9">
        <v>219.1</v>
      </c>
      <c r="U1125" s="4">
        <v>3</v>
      </c>
      <c r="AH1125" s="9">
        <v>82.05</v>
      </c>
      <c r="AI1125" s="4">
        <v>1</v>
      </c>
    </row>
    <row r="1126" spans="20:35">
      <c r="T1126" s="9">
        <v>219.2</v>
      </c>
      <c r="U1126" s="4">
        <v>3</v>
      </c>
      <c r="AH1126" s="9">
        <v>82.07</v>
      </c>
      <c r="AI1126" s="4">
        <v>1</v>
      </c>
    </row>
    <row r="1127" spans="20:35">
      <c r="T1127" s="9">
        <v>219.3</v>
      </c>
      <c r="U1127" s="4">
        <v>3</v>
      </c>
      <c r="AH1127" s="9">
        <v>82.09</v>
      </c>
      <c r="AI1127" s="4">
        <v>1</v>
      </c>
    </row>
    <row r="1128" spans="20:35">
      <c r="T1128" s="9">
        <v>219.4</v>
      </c>
      <c r="U1128" s="4">
        <v>3</v>
      </c>
      <c r="AH1128" s="9">
        <v>82.14</v>
      </c>
      <c r="AI1128" s="4">
        <v>1</v>
      </c>
    </row>
    <row r="1129" spans="20:35">
      <c r="T1129" s="9">
        <v>219.6</v>
      </c>
      <c r="U1129" s="4">
        <v>2</v>
      </c>
      <c r="AH1129" s="9">
        <v>82.36</v>
      </c>
      <c r="AI1129" s="4">
        <v>1</v>
      </c>
    </row>
    <row r="1130" spans="20:35">
      <c r="T1130" s="9">
        <v>219.8</v>
      </c>
      <c r="U1130" s="4">
        <v>1</v>
      </c>
      <c r="AH1130" s="9">
        <v>82.49</v>
      </c>
      <c r="AI1130" s="4">
        <v>1</v>
      </c>
    </row>
    <row r="1131" spans="20:35">
      <c r="T1131" s="9">
        <v>219.9</v>
      </c>
      <c r="U1131" s="4">
        <v>2</v>
      </c>
      <c r="AH1131" s="9">
        <v>82.72</v>
      </c>
      <c r="AI1131" s="4">
        <v>1</v>
      </c>
    </row>
    <row r="1132" spans="20:35">
      <c r="T1132" s="9">
        <v>220.1</v>
      </c>
      <c r="U1132" s="4">
        <v>1</v>
      </c>
      <c r="AH1132" s="9">
        <v>82.74</v>
      </c>
      <c r="AI1132" s="4">
        <v>1</v>
      </c>
    </row>
    <row r="1133" spans="20:35">
      <c r="T1133" s="9">
        <v>220.2</v>
      </c>
      <c r="U1133" s="4">
        <v>1</v>
      </c>
      <c r="AH1133" s="9">
        <v>83.53</v>
      </c>
      <c r="AI1133" s="4">
        <v>1</v>
      </c>
    </row>
    <row r="1134" spans="20:35">
      <c r="T1134" s="9">
        <v>220.3</v>
      </c>
      <c r="U1134" s="4">
        <v>1</v>
      </c>
      <c r="AH1134" s="9">
        <v>83.73</v>
      </c>
      <c r="AI1134" s="4">
        <v>1</v>
      </c>
    </row>
    <row r="1135" spans="20:35">
      <c r="T1135" s="9">
        <v>220.4</v>
      </c>
      <c r="U1135" s="4">
        <v>3</v>
      </c>
      <c r="AH1135" s="9">
        <v>83.75</v>
      </c>
      <c r="AI1135" s="4">
        <v>1</v>
      </c>
    </row>
    <row r="1136" spans="20:35">
      <c r="T1136" s="9">
        <v>220.5</v>
      </c>
      <c r="U1136" s="4">
        <v>1</v>
      </c>
      <c r="AH1136" s="9">
        <v>84.43</v>
      </c>
      <c r="AI1136" s="4">
        <v>1</v>
      </c>
    </row>
    <row r="1137" spans="20:35">
      <c r="T1137" s="9">
        <v>220.6</v>
      </c>
      <c r="U1137" s="4">
        <v>2</v>
      </c>
      <c r="AH1137" s="9">
        <v>85.46</v>
      </c>
      <c r="AI1137" s="4">
        <v>1</v>
      </c>
    </row>
    <row r="1138" spans="20:35">
      <c r="T1138" s="9">
        <v>220.7</v>
      </c>
      <c r="U1138" s="4">
        <v>1</v>
      </c>
      <c r="AH1138" s="9">
        <v>85.48</v>
      </c>
      <c r="AI1138" s="4">
        <v>1</v>
      </c>
    </row>
    <row r="1139" spans="20:35">
      <c r="T1139" s="9">
        <v>220.8</v>
      </c>
      <c r="U1139" s="4">
        <v>2</v>
      </c>
      <c r="AH1139" s="9">
        <v>85.8</v>
      </c>
      <c r="AI1139" s="4">
        <v>1</v>
      </c>
    </row>
    <row r="1140" spans="20:35">
      <c r="T1140" s="9">
        <v>220.9</v>
      </c>
      <c r="U1140" s="4">
        <v>2</v>
      </c>
      <c r="AH1140" s="9">
        <v>85.95</v>
      </c>
      <c r="AI1140" s="4">
        <v>1</v>
      </c>
    </row>
    <row r="1141" spans="20:35">
      <c r="T1141" s="9">
        <v>221</v>
      </c>
      <c r="U1141" s="4">
        <v>1</v>
      </c>
      <c r="AH1141" s="9">
        <v>85.99</v>
      </c>
      <c r="AI1141" s="4">
        <v>1</v>
      </c>
    </row>
    <row r="1142" spans="20:35">
      <c r="T1142" s="9">
        <v>221.1</v>
      </c>
      <c r="U1142" s="4">
        <v>3</v>
      </c>
      <c r="AH1142" s="9">
        <v>86</v>
      </c>
      <c r="AI1142" s="4">
        <v>1</v>
      </c>
    </row>
    <row r="1143" spans="20:35">
      <c r="T1143" s="9">
        <v>221.2</v>
      </c>
      <c r="U1143" s="4">
        <v>1</v>
      </c>
      <c r="AH1143" s="9">
        <v>86.14</v>
      </c>
      <c r="AI1143" s="4">
        <v>1</v>
      </c>
    </row>
    <row r="1144" spans="20:35">
      <c r="T1144" s="9">
        <v>221.4</v>
      </c>
      <c r="U1144" s="4">
        <v>3</v>
      </c>
      <c r="AH1144" s="9">
        <v>86.43</v>
      </c>
      <c r="AI1144" s="4">
        <v>1</v>
      </c>
    </row>
    <row r="1145" spans="20:35">
      <c r="T1145" s="9">
        <v>221.5</v>
      </c>
      <c r="U1145" s="4">
        <v>2</v>
      </c>
      <c r="AH1145" s="9">
        <v>86.7</v>
      </c>
      <c r="AI1145" s="4">
        <v>1</v>
      </c>
    </row>
    <row r="1146" spans="20:35">
      <c r="T1146" s="9">
        <v>221.7</v>
      </c>
      <c r="U1146" s="4">
        <v>1</v>
      </c>
      <c r="AH1146" s="9">
        <v>86.8</v>
      </c>
      <c r="AI1146" s="4">
        <v>1</v>
      </c>
    </row>
    <row r="1147" spans="20:35">
      <c r="T1147" s="9">
        <v>221.8</v>
      </c>
      <c r="U1147" s="4">
        <v>1</v>
      </c>
      <c r="AH1147" s="9">
        <v>86.81</v>
      </c>
      <c r="AI1147" s="4">
        <v>1</v>
      </c>
    </row>
    <row r="1148" spans="20:35">
      <c r="T1148" s="9">
        <v>222.2</v>
      </c>
      <c r="U1148" s="4">
        <v>1</v>
      </c>
      <c r="AH1148" s="9">
        <v>87.17</v>
      </c>
      <c r="AI1148" s="4">
        <v>1</v>
      </c>
    </row>
    <row r="1149" spans="20:35">
      <c r="T1149" s="9">
        <v>222.3</v>
      </c>
      <c r="U1149" s="4">
        <v>1</v>
      </c>
      <c r="AH1149" s="9">
        <v>87.22</v>
      </c>
      <c r="AI1149" s="4">
        <v>1</v>
      </c>
    </row>
    <row r="1150" spans="20:35">
      <c r="T1150" s="9">
        <v>222.4</v>
      </c>
      <c r="U1150" s="4">
        <v>1</v>
      </c>
      <c r="AH1150" s="9">
        <v>87.33</v>
      </c>
      <c r="AI1150" s="4">
        <v>1</v>
      </c>
    </row>
    <row r="1151" spans="20:35">
      <c r="T1151" s="9">
        <v>222.8</v>
      </c>
      <c r="U1151" s="4">
        <v>1</v>
      </c>
      <c r="AH1151" s="9">
        <v>87.42</v>
      </c>
      <c r="AI1151" s="4">
        <v>1</v>
      </c>
    </row>
    <row r="1152" spans="20:35">
      <c r="T1152" s="9">
        <v>223</v>
      </c>
      <c r="U1152" s="4">
        <v>1</v>
      </c>
      <c r="AH1152" s="9">
        <v>87.55</v>
      </c>
      <c r="AI1152" s="4">
        <v>1</v>
      </c>
    </row>
    <row r="1153" spans="20:35">
      <c r="T1153" s="9">
        <v>223.1</v>
      </c>
      <c r="U1153" s="4">
        <v>1</v>
      </c>
      <c r="AH1153" s="9">
        <v>87.59</v>
      </c>
      <c r="AI1153" s="4">
        <v>1</v>
      </c>
    </row>
    <row r="1154" spans="20:35">
      <c r="T1154" s="9">
        <v>223.2</v>
      </c>
      <c r="U1154" s="4">
        <v>2</v>
      </c>
      <c r="AH1154" s="9">
        <v>87.6</v>
      </c>
      <c r="AI1154" s="4">
        <v>1</v>
      </c>
    </row>
    <row r="1155" spans="20:35">
      <c r="T1155" s="9">
        <v>223.4</v>
      </c>
      <c r="U1155" s="4">
        <v>1</v>
      </c>
      <c r="AH1155" s="9">
        <v>87.82</v>
      </c>
      <c r="AI1155" s="4">
        <v>1</v>
      </c>
    </row>
    <row r="1156" spans="20:35">
      <c r="T1156" s="9">
        <v>223.6</v>
      </c>
      <c r="U1156" s="4">
        <v>4</v>
      </c>
      <c r="AH1156" s="9">
        <v>87.88</v>
      </c>
      <c r="AI1156" s="4">
        <v>1</v>
      </c>
    </row>
    <row r="1157" spans="20:35">
      <c r="T1157" s="9">
        <v>223.8</v>
      </c>
      <c r="U1157" s="4">
        <v>2</v>
      </c>
      <c r="AH1157" s="9">
        <v>88</v>
      </c>
      <c r="AI1157" s="4">
        <v>1</v>
      </c>
    </row>
    <row r="1158" spans="20:35">
      <c r="T1158" s="9">
        <v>223.9</v>
      </c>
      <c r="U1158" s="4">
        <v>1</v>
      </c>
      <c r="AH1158" s="9">
        <v>88.3</v>
      </c>
      <c r="AI1158" s="4">
        <v>1</v>
      </c>
    </row>
    <row r="1159" spans="20:35">
      <c r="T1159" s="9">
        <v>224</v>
      </c>
      <c r="U1159" s="4">
        <v>2</v>
      </c>
      <c r="AH1159" s="9">
        <v>88.38</v>
      </c>
      <c r="AI1159" s="4">
        <v>1</v>
      </c>
    </row>
    <row r="1160" spans="20:35">
      <c r="T1160" s="9">
        <v>224.1</v>
      </c>
      <c r="U1160" s="4">
        <v>2</v>
      </c>
      <c r="AH1160" s="9">
        <v>88.71</v>
      </c>
      <c r="AI1160" s="4">
        <v>2</v>
      </c>
    </row>
    <row r="1161" spans="20:35">
      <c r="T1161" s="9">
        <v>224.2</v>
      </c>
      <c r="U1161" s="4">
        <v>2</v>
      </c>
      <c r="AH1161" s="9">
        <v>88.78</v>
      </c>
      <c r="AI1161" s="4">
        <v>1</v>
      </c>
    </row>
    <row r="1162" spans="20:35">
      <c r="T1162" s="9">
        <v>224.6</v>
      </c>
      <c r="U1162" s="4">
        <v>3</v>
      </c>
      <c r="AH1162" s="9">
        <v>88.83</v>
      </c>
      <c r="AI1162" s="4">
        <v>1</v>
      </c>
    </row>
    <row r="1163" spans="20:35">
      <c r="T1163" s="9">
        <v>224.7</v>
      </c>
      <c r="U1163" s="4">
        <v>1</v>
      </c>
      <c r="AH1163" s="9">
        <v>88.93</v>
      </c>
      <c r="AI1163" s="4">
        <v>1</v>
      </c>
    </row>
    <row r="1164" spans="20:35">
      <c r="T1164" s="9">
        <v>224.9</v>
      </c>
      <c r="U1164" s="4">
        <v>1</v>
      </c>
      <c r="AH1164" s="9">
        <v>89.48</v>
      </c>
      <c r="AI1164" s="4">
        <v>1</v>
      </c>
    </row>
    <row r="1165" spans="20:35">
      <c r="T1165" s="9">
        <v>225</v>
      </c>
      <c r="U1165" s="4">
        <v>2</v>
      </c>
      <c r="AH1165" s="9">
        <v>89.51</v>
      </c>
      <c r="AI1165" s="4">
        <v>1</v>
      </c>
    </row>
    <row r="1166" spans="20:35">
      <c r="T1166" s="9">
        <v>225.1</v>
      </c>
      <c r="U1166" s="4">
        <v>2</v>
      </c>
      <c r="AH1166" s="9">
        <v>89.56</v>
      </c>
      <c r="AI1166" s="4">
        <v>1</v>
      </c>
    </row>
    <row r="1167" spans="20:35">
      <c r="T1167" s="9">
        <v>225.2</v>
      </c>
      <c r="U1167" s="4">
        <v>1</v>
      </c>
      <c r="AH1167" s="9">
        <v>89.86</v>
      </c>
      <c r="AI1167" s="4">
        <v>1</v>
      </c>
    </row>
    <row r="1168" spans="20:35">
      <c r="T1168" s="9">
        <v>225.4</v>
      </c>
      <c r="U1168" s="4">
        <v>1</v>
      </c>
      <c r="AH1168" s="9">
        <v>90.03</v>
      </c>
      <c r="AI1168" s="4">
        <v>1</v>
      </c>
    </row>
    <row r="1169" spans="20:35">
      <c r="T1169" s="9">
        <v>225.5</v>
      </c>
      <c r="U1169" s="4">
        <v>3</v>
      </c>
      <c r="AH1169" s="9">
        <v>90.31</v>
      </c>
      <c r="AI1169" s="4">
        <v>1</v>
      </c>
    </row>
    <row r="1170" spans="20:35">
      <c r="T1170" s="9">
        <v>225.7</v>
      </c>
      <c r="U1170" s="4">
        <v>2</v>
      </c>
      <c r="AH1170" s="9">
        <v>90.37</v>
      </c>
      <c r="AI1170" s="4">
        <v>1</v>
      </c>
    </row>
    <row r="1171" spans="20:35">
      <c r="T1171" s="9">
        <v>225.8</v>
      </c>
      <c r="U1171" s="4">
        <v>1</v>
      </c>
      <c r="AH1171" s="9">
        <v>90.4</v>
      </c>
      <c r="AI1171" s="4">
        <v>1</v>
      </c>
    </row>
    <row r="1172" spans="20:35">
      <c r="T1172" s="9">
        <v>225.9</v>
      </c>
      <c r="U1172" s="4">
        <v>1</v>
      </c>
      <c r="AH1172" s="9">
        <v>90.5</v>
      </c>
      <c r="AI1172" s="4">
        <v>1</v>
      </c>
    </row>
    <row r="1173" spans="20:35">
      <c r="T1173" s="9">
        <v>226.1</v>
      </c>
      <c r="U1173" s="4">
        <v>2</v>
      </c>
      <c r="AH1173" s="9">
        <v>90.7</v>
      </c>
      <c r="AI1173" s="4">
        <v>1</v>
      </c>
    </row>
    <row r="1174" spans="20:35">
      <c r="T1174" s="9">
        <v>226.2</v>
      </c>
      <c r="U1174" s="4">
        <v>1</v>
      </c>
      <c r="AH1174" s="9">
        <v>91</v>
      </c>
      <c r="AI1174" s="4">
        <v>2</v>
      </c>
    </row>
    <row r="1175" spans="20:35">
      <c r="T1175" s="9">
        <v>226.3</v>
      </c>
      <c r="U1175" s="4">
        <v>1</v>
      </c>
      <c r="AH1175" s="9">
        <v>91.12</v>
      </c>
      <c r="AI1175" s="4">
        <v>1</v>
      </c>
    </row>
    <row r="1176" spans="20:35">
      <c r="T1176" s="9">
        <v>226.5</v>
      </c>
      <c r="U1176" s="4">
        <v>1</v>
      </c>
      <c r="AH1176" s="9">
        <v>91.37</v>
      </c>
      <c r="AI1176" s="4">
        <v>1</v>
      </c>
    </row>
    <row r="1177" spans="20:35">
      <c r="T1177" s="9">
        <v>226.7</v>
      </c>
      <c r="U1177" s="4">
        <v>1</v>
      </c>
      <c r="AH1177" s="9">
        <v>91.56</v>
      </c>
      <c r="AI1177" s="4">
        <v>1</v>
      </c>
    </row>
    <row r="1178" spans="20:35">
      <c r="T1178" s="9">
        <v>226.8</v>
      </c>
      <c r="U1178" s="4">
        <v>1</v>
      </c>
      <c r="AH1178" s="9">
        <v>91.59</v>
      </c>
      <c r="AI1178" s="4">
        <v>1</v>
      </c>
    </row>
    <row r="1179" spans="20:35">
      <c r="T1179" s="9">
        <v>226.9</v>
      </c>
      <c r="U1179" s="4">
        <v>1</v>
      </c>
      <c r="AH1179" s="9">
        <v>91.63</v>
      </c>
      <c r="AI1179" s="4">
        <v>1</v>
      </c>
    </row>
    <row r="1180" spans="20:35">
      <c r="T1180" s="9">
        <v>227.2</v>
      </c>
      <c r="U1180" s="4">
        <v>2</v>
      </c>
      <c r="AH1180" s="9">
        <v>91.69</v>
      </c>
      <c r="AI1180" s="4">
        <v>1</v>
      </c>
    </row>
    <row r="1181" spans="20:35">
      <c r="T1181" s="9">
        <v>227.6</v>
      </c>
      <c r="U1181" s="4">
        <v>1</v>
      </c>
      <c r="AH1181" s="9">
        <v>91.81</v>
      </c>
      <c r="AI1181" s="4">
        <v>1</v>
      </c>
    </row>
    <row r="1182" spans="20:35">
      <c r="T1182" s="9">
        <v>227.8</v>
      </c>
      <c r="U1182" s="4">
        <v>1</v>
      </c>
      <c r="AH1182" s="9">
        <v>92</v>
      </c>
      <c r="AI1182" s="4">
        <v>1</v>
      </c>
    </row>
    <row r="1183" spans="20:35">
      <c r="T1183" s="9">
        <v>228.1</v>
      </c>
      <c r="U1183" s="4">
        <v>1</v>
      </c>
      <c r="AH1183" s="9">
        <v>92.15</v>
      </c>
      <c r="AI1183" s="4">
        <v>1</v>
      </c>
    </row>
    <row r="1184" spans="20:35">
      <c r="T1184" s="9">
        <v>228.2</v>
      </c>
      <c r="U1184" s="4">
        <v>1</v>
      </c>
      <c r="AH1184" s="9">
        <v>92.23</v>
      </c>
      <c r="AI1184" s="4">
        <v>1</v>
      </c>
    </row>
    <row r="1185" spans="20:35">
      <c r="T1185" s="9">
        <v>228.4</v>
      </c>
      <c r="U1185" s="4">
        <v>2</v>
      </c>
      <c r="AH1185" s="9">
        <v>92.68</v>
      </c>
      <c r="AI1185" s="4">
        <v>1</v>
      </c>
    </row>
    <row r="1186" spans="20:35">
      <c r="T1186" s="9">
        <v>228.5</v>
      </c>
      <c r="U1186" s="4">
        <v>1</v>
      </c>
      <c r="AH1186" s="9">
        <v>92.76</v>
      </c>
      <c r="AI1186" s="4">
        <v>1</v>
      </c>
    </row>
    <row r="1187" spans="20:35">
      <c r="T1187" s="9">
        <v>228.6</v>
      </c>
      <c r="U1187" s="4">
        <v>2</v>
      </c>
      <c r="AH1187" s="9">
        <v>93</v>
      </c>
      <c r="AI1187" s="4">
        <v>1</v>
      </c>
    </row>
    <row r="1188" spans="20:35">
      <c r="T1188" s="9">
        <v>228.7</v>
      </c>
      <c r="U1188" s="4">
        <v>2</v>
      </c>
      <c r="AH1188" s="9">
        <v>93.05</v>
      </c>
      <c r="AI1188" s="4">
        <v>1</v>
      </c>
    </row>
    <row r="1189" spans="20:35">
      <c r="T1189" s="9">
        <v>228.8</v>
      </c>
      <c r="U1189" s="4">
        <v>3</v>
      </c>
      <c r="AH1189" s="9">
        <v>93.36</v>
      </c>
      <c r="AI1189" s="4">
        <v>1</v>
      </c>
    </row>
    <row r="1190" spans="20:35">
      <c r="T1190" s="9">
        <v>228.9</v>
      </c>
      <c r="U1190" s="4">
        <v>1</v>
      </c>
      <c r="AH1190" s="9">
        <v>93.76</v>
      </c>
      <c r="AI1190" s="4">
        <v>1</v>
      </c>
    </row>
    <row r="1191" spans="20:35">
      <c r="T1191" s="9">
        <v>229.1</v>
      </c>
      <c r="U1191" s="4">
        <v>1</v>
      </c>
      <c r="AH1191" s="9">
        <v>93.88</v>
      </c>
      <c r="AI1191" s="4">
        <v>1</v>
      </c>
    </row>
    <row r="1192" spans="20:35">
      <c r="T1192" s="9">
        <v>229.3</v>
      </c>
      <c r="U1192" s="4">
        <v>1</v>
      </c>
      <c r="AH1192" s="9">
        <v>94.06</v>
      </c>
      <c r="AI1192" s="4">
        <v>1</v>
      </c>
    </row>
    <row r="1193" spans="20:35">
      <c r="T1193" s="9">
        <v>229.5</v>
      </c>
      <c r="U1193" s="4">
        <v>2</v>
      </c>
      <c r="AH1193" s="9">
        <v>94.07</v>
      </c>
      <c r="AI1193" s="4">
        <v>1</v>
      </c>
    </row>
    <row r="1194" spans="20:35">
      <c r="T1194" s="9">
        <v>229.6</v>
      </c>
      <c r="U1194" s="4">
        <v>1</v>
      </c>
      <c r="AH1194" s="9">
        <v>94.45</v>
      </c>
      <c r="AI1194" s="4">
        <v>1</v>
      </c>
    </row>
    <row r="1195" spans="20:35">
      <c r="T1195" s="9">
        <v>229.7</v>
      </c>
      <c r="U1195" s="4">
        <v>1</v>
      </c>
      <c r="AH1195" s="9">
        <v>94.46</v>
      </c>
      <c r="AI1195" s="4">
        <v>1</v>
      </c>
    </row>
    <row r="1196" spans="20:35">
      <c r="T1196" s="9">
        <v>229.8</v>
      </c>
      <c r="U1196" s="4">
        <v>3</v>
      </c>
      <c r="AH1196" s="9">
        <v>94.82</v>
      </c>
      <c r="AI1196" s="4">
        <v>1</v>
      </c>
    </row>
    <row r="1197" spans="20:35">
      <c r="T1197" s="9">
        <v>230.1</v>
      </c>
      <c r="U1197" s="4">
        <v>1</v>
      </c>
      <c r="AH1197" s="9">
        <v>94.89</v>
      </c>
      <c r="AI1197" s="4">
        <v>1</v>
      </c>
    </row>
    <row r="1198" spans="20:35">
      <c r="T1198" s="9">
        <v>230.2</v>
      </c>
      <c r="U1198" s="4">
        <v>2</v>
      </c>
      <c r="AH1198" s="9">
        <v>95</v>
      </c>
      <c r="AI1198" s="4">
        <v>1</v>
      </c>
    </row>
    <row r="1199" spans="20:35">
      <c r="T1199" s="9">
        <v>230.4</v>
      </c>
      <c r="U1199" s="4">
        <v>2</v>
      </c>
      <c r="AH1199" s="9">
        <v>95.02</v>
      </c>
      <c r="AI1199" s="4">
        <v>1</v>
      </c>
    </row>
    <row r="1200" spans="20:35">
      <c r="T1200" s="9">
        <v>230.5</v>
      </c>
      <c r="U1200" s="4">
        <v>1</v>
      </c>
      <c r="AH1200" s="9">
        <v>95.07</v>
      </c>
      <c r="AI1200" s="4">
        <v>1</v>
      </c>
    </row>
    <row r="1201" spans="20:35">
      <c r="T1201" s="9">
        <v>230.7</v>
      </c>
      <c r="U1201" s="4">
        <v>2</v>
      </c>
      <c r="AH1201" s="9">
        <v>95.19</v>
      </c>
      <c r="AI1201" s="4">
        <v>1</v>
      </c>
    </row>
    <row r="1202" spans="20:35">
      <c r="T1202" s="9">
        <v>230.8</v>
      </c>
      <c r="U1202" s="4">
        <v>2</v>
      </c>
      <c r="AH1202" s="9">
        <v>95.28</v>
      </c>
      <c r="AI1202" s="4">
        <v>1</v>
      </c>
    </row>
    <row r="1203" spans="20:35">
      <c r="T1203" s="9">
        <v>230.9</v>
      </c>
      <c r="U1203" s="4">
        <v>2</v>
      </c>
      <c r="AH1203" s="9">
        <v>95.51</v>
      </c>
      <c r="AI1203" s="4">
        <v>1</v>
      </c>
    </row>
    <row r="1204" spans="20:35">
      <c r="T1204" s="9">
        <v>231</v>
      </c>
      <c r="U1204" s="4">
        <v>1</v>
      </c>
      <c r="AH1204" s="9">
        <v>95.65</v>
      </c>
      <c r="AI1204" s="4">
        <v>1</v>
      </c>
    </row>
    <row r="1205" spans="20:35">
      <c r="T1205" s="9">
        <v>231.5</v>
      </c>
      <c r="U1205" s="4">
        <v>1</v>
      </c>
      <c r="AH1205" s="9">
        <v>95.84</v>
      </c>
      <c r="AI1205" s="4">
        <v>1</v>
      </c>
    </row>
    <row r="1206" spans="20:35">
      <c r="T1206" s="9">
        <v>231.9</v>
      </c>
      <c r="U1206" s="4">
        <v>1</v>
      </c>
      <c r="AH1206" s="9">
        <v>96</v>
      </c>
      <c r="AI1206" s="4">
        <v>1</v>
      </c>
    </row>
    <row r="1207" spans="20:35">
      <c r="T1207" s="9">
        <v>232</v>
      </c>
      <c r="U1207" s="4">
        <v>2</v>
      </c>
      <c r="AH1207" s="9">
        <v>96.31</v>
      </c>
      <c r="AI1207" s="4">
        <v>1</v>
      </c>
    </row>
    <row r="1208" spans="20:35">
      <c r="T1208" s="9">
        <v>232.1</v>
      </c>
      <c r="U1208" s="4">
        <v>1</v>
      </c>
      <c r="AH1208" s="9">
        <v>96.45</v>
      </c>
      <c r="AI1208" s="4">
        <v>1</v>
      </c>
    </row>
    <row r="1209" spans="20:35">
      <c r="T1209" s="9">
        <v>232.3</v>
      </c>
      <c r="U1209" s="4">
        <v>1</v>
      </c>
      <c r="AH1209" s="9">
        <v>96.64</v>
      </c>
      <c r="AI1209" s="4">
        <v>1</v>
      </c>
    </row>
    <row r="1210" spans="20:35">
      <c r="T1210" s="9">
        <v>232.4</v>
      </c>
      <c r="U1210" s="4">
        <v>2</v>
      </c>
      <c r="AH1210" s="9">
        <v>96.85</v>
      </c>
      <c r="AI1210" s="4">
        <v>1</v>
      </c>
    </row>
    <row r="1211" spans="20:35">
      <c r="T1211" s="9">
        <v>232.5</v>
      </c>
      <c r="U1211" s="4">
        <v>2</v>
      </c>
      <c r="AH1211" s="9">
        <v>97</v>
      </c>
      <c r="AI1211" s="4">
        <v>1</v>
      </c>
    </row>
    <row r="1212" spans="20:35">
      <c r="T1212" s="9">
        <v>232.9</v>
      </c>
      <c r="U1212" s="4">
        <v>3</v>
      </c>
      <c r="AH1212" s="9">
        <v>97.13</v>
      </c>
      <c r="AI1212" s="4">
        <v>1</v>
      </c>
    </row>
    <row r="1213" spans="20:35">
      <c r="T1213" s="9">
        <v>233.1</v>
      </c>
      <c r="U1213" s="4">
        <v>2</v>
      </c>
      <c r="AH1213" s="9">
        <v>97.61</v>
      </c>
      <c r="AI1213" s="4">
        <v>2</v>
      </c>
    </row>
    <row r="1214" spans="20:35">
      <c r="T1214" s="9">
        <v>233.2</v>
      </c>
      <c r="U1214" s="4">
        <v>1</v>
      </c>
      <c r="AH1214" s="9">
        <v>98.2</v>
      </c>
      <c r="AI1214" s="4">
        <v>1</v>
      </c>
    </row>
    <row r="1215" spans="20:35">
      <c r="T1215" s="9">
        <v>233.3</v>
      </c>
      <c r="U1215" s="4">
        <v>1</v>
      </c>
      <c r="AH1215" s="9">
        <v>98.36</v>
      </c>
      <c r="AI1215" s="4">
        <v>1</v>
      </c>
    </row>
    <row r="1216" spans="20:35">
      <c r="T1216" s="9">
        <v>233.4</v>
      </c>
      <c r="U1216" s="4">
        <v>2</v>
      </c>
      <c r="AH1216" s="9">
        <v>98.4</v>
      </c>
      <c r="AI1216" s="4">
        <v>1</v>
      </c>
    </row>
    <row r="1217" spans="20:35">
      <c r="T1217" s="9">
        <v>233.5</v>
      </c>
      <c r="U1217" s="4">
        <v>1</v>
      </c>
      <c r="AH1217" s="9">
        <v>99.52</v>
      </c>
      <c r="AI1217" s="4">
        <v>1</v>
      </c>
    </row>
    <row r="1218" spans="20:35">
      <c r="T1218" s="9">
        <v>233.6</v>
      </c>
      <c r="U1218" s="4">
        <v>1</v>
      </c>
      <c r="AH1218" s="9">
        <v>99.64</v>
      </c>
      <c r="AI1218" s="4">
        <v>1</v>
      </c>
    </row>
    <row r="1219" spans="20:35">
      <c r="T1219" s="9">
        <v>233.7</v>
      </c>
      <c r="U1219" s="4">
        <v>3</v>
      </c>
      <c r="AH1219" s="9">
        <v>100.55</v>
      </c>
      <c r="AI1219" s="4">
        <v>1</v>
      </c>
    </row>
    <row r="1220" spans="20:35">
      <c r="T1220" s="9">
        <v>233.8</v>
      </c>
      <c r="U1220" s="4">
        <v>1</v>
      </c>
      <c r="AH1220" s="9">
        <v>100.81</v>
      </c>
      <c r="AI1220" s="4">
        <v>1</v>
      </c>
    </row>
    <row r="1221" spans="20:35">
      <c r="T1221" s="9">
        <v>233.9</v>
      </c>
      <c r="U1221" s="4">
        <v>1</v>
      </c>
      <c r="AH1221" s="9">
        <v>100.83</v>
      </c>
      <c r="AI1221" s="4">
        <v>1</v>
      </c>
    </row>
    <row r="1222" spans="20:35">
      <c r="T1222" s="9">
        <v>234</v>
      </c>
      <c r="U1222" s="4">
        <v>1</v>
      </c>
      <c r="AH1222" s="9">
        <v>101.19</v>
      </c>
      <c r="AI1222" s="4">
        <v>1</v>
      </c>
    </row>
    <row r="1223" spans="20:35">
      <c r="T1223" s="9">
        <v>234.1</v>
      </c>
      <c r="U1223" s="4">
        <v>1</v>
      </c>
      <c r="AH1223" s="9">
        <v>102</v>
      </c>
      <c r="AI1223" s="4">
        <v>1</v>
      </c>
    </row>
    <row r="1224" spans="20:35">
      <c r="T1224" s="9">
        <v>234.2</v>
      </c>
      <c r="U1224" s="4">
        <v>1</v>
      </c>
      <c r="AH1224" s="9">
        <v>102.07</v>
      </c>
      <c r="AI1224" s="4">
        <v>1</v>
      </c>
    </row>
    <row r="1225" spans="20:35">
      <c r="T1225" s="9">
        <v>234.3</v>
      </c>
      <c r="U1225" s="4">
        <v>1</v>
      </c>
      <c r="AH1225" s="9">
        <v>102.32</v>
      </c>
      <c r="AI1225" s="4">
        <v>1</v>
      </c>
    </row>
    <row r="1226" spans="20:35">
      <c r="T1226" s="9">
        <v>234.4</v>
      </c>
      <c r="U1226" s="4">
        <v>2</v>
      </c>
      <c r="AH1226" s="9">
        <v>103.04</v>
      </c>
      <c r="AI1226" s="4">
        <v>1</v>
      </c>
    </row>
    <row r="1227" spans="20:35">
      <c r="T1227" s="9">
        <v>234.5</v>
      </c>
      <c r="U1227" s="4">
        <v>2</v>
      </c>
      <c r="AH1227" s="9">
        <v>103.28</v>
      </c>
      <c r="AI1227" s="4">
        <v>1</v>
      </c>
    </row>
    <row r="1228" spans="20:35">
      <c r="T1228" s="9">
        <v>234.6</v>
      </c>
      <c r="U1228" s="4">
        <v>1</v>
      </c>
      <c r="AH1228" s="9">
        <v>103.34</v>
      </c>
      <c r="AI1228" s="4">
        <v>1</v>
      </c>
    </row>
    <row r="1229" spans="20:35">
      <c r="T1229" s="9">
        <v>234.7</v>
      </c>
      <c r="U1229" s="4">
        <v>2</v>
      </c>
      <c r="AH1229" s="9">
        <v>103.42</v>
      </c>
      <c r="AI1229" s="4">
        <v>1</v>
      </c>
    </row>
    <row r="1230" spans="20:35">
      <c r="T1230" s="9">
        <v>234.8</v>
      </c>
      <c r="U1230" s="4">
        <v>1</v>
      </c>
      <c r="AH1230" s="9">
        <v>103.47</v>
      </c>
      <c r="AI1230" s="4">
        <v>1</v>
      </c>
    </row>
    <row r="1231" spans="20:35">
      <c r="T1231" s="9">
        <v>235</v>
      </c>
      <c r="U1231" s="4">
        <v>2</v>
      </c>
      <c r="AH1231" s="9">
        <v>103.77</v>
      </c>
      <c r="AI1231" s="4">
        <v>1</v>
      </c>
    </row>
    <row r="1232" spans="20:35">
      <c r="T1232" s="9">
        <v>235.1</v>
      </c>
      <c r="U1232" s="4">
        <v>1</v>
      </c>
      <c r="AH1232" s="9">
        <v>103.95</v>
      </c>
      <c r="AI1232" s="4">
        <v>1</v>
      </c>
    </row>
    <row r="1233" spans="20:35">
      <c r="T1233" s="9">
        <v>235.2</v>
      </c>
      <c r="U1233" s="4">
        <v>2</v>
      </c>
      <c r="AH1233" s="9">
        <v>104</v>
      </c>
      <c r="AI1233" s="4">
        <v>1</v>
      </c>
    </row>
    <row r="1234" spans="20:35">
      <c r="T1234" s="9">
        <v>235.7</v>
      </c>
      <c r="U1234" s="4">
        <v>1</v>
      </c>
      <c r="AH1234" s="9">
        <v>104.38</v>
      </c>
      <c r="AI1234" s="4">
        <v>1</v>
      </c>
    </row>
    <row r="1235" spans="20:35">
      <c r="T1235" s="9">
        <v>235.8</v>
      </c>
      <c r="U1235" s="4">
        <v>1</v>
      </c>
      <c r="AH1235" s="9">
        <v>104.57</v>
      </c>
      <c r="AI1235" s="4">
        <v>1</v>
      </c>
    </row>
    <row r="1236" spans="20:35">
      <c r="T1236" s="9">
        <v>236</v>
      </c>
      <c r="U1236" s="4">
        <v>1</v>
      </c>
      <c r="AH1236" s="9">
        <v>104.61</v>
      </c>
      <c r="AI1236" s="4">
        <v>1</v>
      </c>
    </row>
    <row r="1237" spans="20:35">
      <c r="T1237" s="9">
        <v>236.1</v>
      </c>
      <c r="U1237" s="4">
        <v>1</v>
      </c>
      <c r="AH1237" s="9">
        <v>104.78</v>
      </c>
      <c r="AI1237" s="4">
        <v>1</v>
      </c>
    </row>
    <row r="1238" spans="20:35">
      <c r="T1238" s="9">
        <v>236.3</v>
      </c>
      <c r="U1238" s="4">
        <v>3</v>
      </c>
      <c r="AH1238" s="9">
        <v>104.85</v>
      </c>
      <c r="AI1238" s="4">
        <v>1</v>
      </c>
    </row>
    <row r="1239" spans="20:35">
      <c r="T1239" s="9">
        <v>236.4</v>
      </c>
      <c r="U1239" s="4">
        <v>1</v>
      </c>
      <c r="AH1239" s="9">
        <v>105</v>
      </c>
      <c r="AI1239" s="4">
        <v>2</v>
      </c>
    </row>
    <row r="1240" spans="20:35">
      <c r="T1240" s="9">
        <v>236.7</v>
      </c>
      <c r="U1240" s="4">
        <v>1</v>
      </c>
      <c r="AH1240" s="9">
        <v>105.14</v>
      </c>
      <c r="AI1240" s="4">
        <v>1</v>
      </c>
    </row>
    <row r="1241" spans="20:35">
      <c r="T1241" s="9">
        <v>236.8</v>
      </c>
      <c r="U1241" s="4">
        <v>2</v>
      </c>
      <c r="AH1241" s="9">
        <v>105.16</v>
      </c>
      <c r="AI1241" s="4">
        <v>1</v>
      </c>
    </row>
    <row r="1242" spans="20:35">
      <c r="T1242" s="9">
        <v>237.1</v>
      </c>
      <c r="U1242" s="4">
        <v>2</v>
      </c>
      <c r="AH1242" s="9">
        <v>105.24</v>
      </c>
      <c r="AI1242" s="4">
        <v>1</v>
      </c>
    </row>
    <row r="1243" spans="20:35">
      <c r="T1243" s="9">
        <v>237.5</v>
      </c>
      <c r="U1243" s="4">
        <v>2</v>
      </c>
      <c r="AH1243" s="9">
        <v>105.65</v>
      </c>
      <c r="AI1243" s="4">
        <v>1</v>
      </c>
    </row>
    <row r="1244" spans="20:35">
      <c r="T1244" s="9">
        <v>237.6</v>
      </c>
      <c r="U1244" s="4">
        <v>2</v>
      </c>
      <c r="AH1244" s="9">
        <v>106</v>
      </c>
      <c r="AI1244" s="4">
        <v>1</v>
      </c>
    </row>
    <row r="1245" spans="20:35">
      <c r="T1245" s="9">
        <v>237.9</v>
      </c>
      <c r="U1245" s="4">
        <v>2</v>
      </c>
      <c r="AH1245" s="9">
        <v>106.06</v>
      </c>
      <c r="AI1245" s="4">
        <v>1</v>
      </c>
    </row>
    <row r="1246" spans="20:35">
      <c r="T1246" s="9">
        <v>238</v>
      </c>
      <c r="U1246" s="4">
        <v>1</v>
      </c>
      <c r="AH1246" s="9">
        <v>106.24</v>
      </c>
      <c r="AI1246" s="4">
        <v>1</v>
      </c>
    </row>
    <row r="1247" spans="20:35">
      <c r="T1247" s="9">
        <v>238.1</v>
      </c>
      <c r="U1247" s="4">
        <v>1</v>
      </c>
      <c r="AH1247" s="9">
        <v>106.6</v>
      </c>
      <c r="AI1247" s="4">
        <v>1</v>
      </c>
    </row>
    <row r="1248" spans="20:35">
      <c r="T1248" s="9">
        <v>238.5</v>
      </c>
      <c r="U1248" s="4">
        <v>1</v>
      </c>
      <c r="AH1248" s="9">
        <v>106.98</v>
      </c>
      <c r="AI1248" s="4">
        <v>1</v>
      </c>
    </row>
    <row r="1249" spans="20:35">
      <c r="T1249" s="9">
        <v>238.6</v>
      </c>
      <c r="U1249" s="4">
        <v>1</v>
      </c>
      <c r="AH1249" s="9">
        <v>107</v>
      </c>
      <c r="AI1249" s="4">
        <v>1</v>
      </c>
    </row>
    <row r="1250" spans="20:35">
      <c r="T1250" s="9">
        <v>238.9</v>
      </c>
      <c r="U1250" s="4">
        <v>1</v>
      </c>
      <c r="AH1250" s="9">
        <v>107.21</v>
      </c>
      <c r="AI1250" s="4">
        <v>1</v>
      </c>
    </row>
    <row r="1251" spans="20:35">
      <c r="T1251" s="9">
        <v>239</v>
      </c>
      <c r="U1251" s="4">
        <v>1</v>
      </c>
      <c r="AH1251" s="9">
        <v>107.23</v>
      </c>
      <c r="AI1251" s="4">
        <v>1</v>
      </c>
    </row>
    <row r="1252" spans="20:35">
      <c r="T1252" s="9">
        <v>239.1</v>
      </c>
      <c r="U1252" s="4">
        <v>1</v>
      </c>
      <c r="AH1252" s="9">
        <v>107.48</v>
      </c>
      <c r="AI1252" s="4">
        <v>1</v>
      </c>
    </row>
    <row r="1253" spans="20:35">
      <c r="T1253" s="9">
        <v>239.2</v>
      </c>
      <c r="U1253" s="4">
        <v>1</v>
      </c>
      <c r="AH1253" s="9">
        <v>107.58</v>
      </c>
      <c r="AI1253" s="4">
        <v>1</v>
      </c>
    </row>
    <row r="1254" spans="20:35">
      <c r="T1254" s="9">
        <v>239.3</v>
      </c>
      <c r="U1254" s="4">
        <v>1</v>
      </c>
      <c r="AH1254" s="9">
        <v>107.94</v>
      </c>
      <c r="AI1254" s="4">
        <v>1</v>
      </c>
    </row>
    <row r="1255" spans="20:35">
      <c r="T1255" s="9">
        <v>239.4</v>
      </c>
      <c r="U1255" s="4">
        <v>2</v>
      </c>
      <c r="AH1255" s="9">
        <v>108</v>
      </c>
      <c r="AI1255" s="4">
        <v>1</v>
      </c>
    </row>
    <row r="1256" spans="20:35">
      <c r="T1256" s="9">
        <v>239.5</v>
      </c>
      <c r="U1256" s="4">
        <v>2</v>
      </c>
      <c r="AH1256" s="9">
        <v>108.2</v>
      </c>
      <c r="AI1256" s="4">
        <v>1</v>
      </c>
    </row>
    <row r="1257" spans="20:35">
      <c r="T1257" s="9">
        <v>239.8</v>
      </c>
      <c r="U1257" s="4">
        <v>3</v>
      </c>
      <c r="AH1257" s="9">
        <v>108.23</v>
      </c>
      <c r="AI1257" s="4">
        <v>1</v>
      </c>
    </row>
    <row r="1258" spans="20:35">
      <c r="T1258" s="9">
        <v>239.9</v>
      </c>
      <c r="U1258" s="4">
        <v>1</v>
      </c>
      <c r="AH1258" s="9">
        <v>108.43</v>
      </c>
      <c r="AI1258" s="4">
        <v>1</v>
      </c>
    </row>
    <row r="1259" spans="20:35">
      <c r="T1259" s="9">
        <v>240.1</v>
      </c>
      <c r="U1259" s="4">
        <v>1</v>
      </c>
      <c r="AH1259" s="9">
        <v>108.74</v>
      </c>
      <c r="AI1259" s="4">
        <v>1</v>
      </c>
    </row>
    <row r="1260" spans="20:35">
      <c r="T1260" s="9">
        <v>240.3</v>
      </c>
      <c r="U1260" s="4">
        <v>3</v>
      </c>
      <c r="AH1260" s="9">
        <v>108.78</v>
      </c>
      <c r="AI1260" s="4">
        <v>1</v>
      </c>
    </row>
    <row r="1261" spans="20:35">
      <c r="T1261" s="9">
        <v>240.4</v>
      </c>
      <c r="U1261" s="4">
        <v>2</v>
      </c>
      <c r="AH1261" s="9">
        <v>108.98</v>
      </c>
      <c r="AI1261" s="4">
        <v>1</v>
      </c>
    </row>
    <row r="1262" spans="20:35">
      <c r="T1262" s="9">
        <v>240.5</v>
      </c>
      <c r="U1262" s="4">
        <v>1</v>
      </c>
      <c r="AH1262" s="9">
        <v>109.36</v>
      </c>
      <c r="AI1262" s="4">
        <v>1</v>
      </c>
    </row>
    <row r="1263" spans="20:35">
      <c r="T1263" s="9">
        <v>240.6</v>
      </c>
      <c r="U1263" s="4">
        <v>2</v>
      </c>
      <c r="AH1263" s="9">
        <v>110.75</v>
      </c>
      <c r="AI1263" s="4">
        <v>1</v>
      </c>
    </row>
    <row r="1264" spans="20:35">
      <c r="T1264" s="9">
        <v>240.8</v>
      </c>
      <c r="U1264" s="4">
        <v>1</v>
      </c>
      <c r="AH1264" s="9">
        <v>110.96</v>
      </c>
      <c r="AI1264" s="4">
        <v>1</v>
      </c>
    </row>
    <row r="1265" spans="20:35">
      <c r="T1265" s="9">
        <v>241.1</v>
      </c>
      <c r="U1265" s="4">
        <v>3</v>
      </c>
      <c r="AH1265" s="9">
        <v>111</v>
      </c>
      <c r="AI1265" s="4">
        <v>3</v>
      </c>
    </row>
    <row r="1266" spans="20:35">
      <c r="T1266" s="9">
        <v>241.3</v>
      </c>
      <c r="U1266" s="4">
        <v>1</v>
      </c>
      <c r="AH1266" s="9">
        <v>111.1</v>
      </c>
      <c r="AI1266" s="4">
        <v>1</v>
      </c>
    </row>
    <row r="1267" spans="20:35">
      <c r="T1267" s="9">
        <v>241.5</v>
      </c>
      <c r="U1267" s="4">
        <v>1</v>
      </c>
      <c r="AH1267" s="9">
        <v>111.48</v>
      </c>
      <c r="AI1267" s="4">
        <v>1</v>
      </c>
    </row>
    <row r="1268" spans="20:35">
      <c r="T1268" s="9">
        <v>241.6</v>
      </c>
      <c r="U1268" s="4">
        <v>1</v>
      </c>
      <c r="AH1268" s="9">
        <v>111.55</v>
      </c>
      <c r="AI1268" s="4">
        <v>1</v>
      </c>
    </row>
    <row r="1269" spans="20:35">
      <c r="T1269" s="9">
        <v>241.9</v>
      </c>
      <c r="U1269" s="4">
        <v>2</v>
      </c>
      <c r="AH1269" s="9">
        <v>111.57</v>
      </c>
      <c r="AI1269" s="4">
        <v>1</v>
      </c>
    </row>
    <row r="1270" spans="20:35">
      <c r="T1270" s="9">
        <v>242.2</v>
      </c>
      <c r="U1270" s="4">
        <v>1</v>
      </c>
      <c r="AH1270" s="9">
        <v>112</v>
      </c>
      <c r="AI1270" s="4">
        <v>1</v>
      </c>
    </row>
    <row r="1271" spans="20:35">
      <c r="T1271" s="9">
        <v>242.4</v>
      </c>
      <c r="U1271" s="4">
        <v>1</v>
      </c>
      <c r="AH1271" s="9">
        <v>112.28</v>
      </c>
      <c r="AI1271" s="4">
        <v>1</v>
      </c>
    </row>
    <row r="1272" spans="20:35">
      <c r="T1272" s="9">
        <v>242.7</v>
      </c>
      <c r="U1272" s="4">
        <v>1</v>
      </c>
      <c r="AH1272" s="9">
        <v>112.5</v>
      </c>
      <c r="AI1272" s="4">
        <v>1</v>
      </c>
    </row>
    <row r="1273" spans="20:35">
      <c r="T1273" s="9">
        <v>242.8</v>
      </c>
      <c r="U1273" s="4">
        <v>3</v>
      </c>
      <c r="AH1273" s="9">
        <v>112.6</v>
      </c>
      <c r="AI1273" s="4">
        <v>1</v>
      </c>
    </row>
    <row r="1274" spans="20:35">
      <c r="T1274" s="9">
        <v>243</v>
      </c>
      <c r="U1274" s="4">
        <v>1</v>
      </c>
      <c r="AH1274" s="9">
        <v>112.66</v>
      </c>
      <c r="AI1274" s="4">
        <v>1</v>
      </c>
    </row>
    <row r="1275" spans="20:35">
      <c r="T1275" s="9">
        <v>243.1</v>
      </c>
      <c r="U1275" s="4">
        <v>4</v>
      </c>
      <c r="AH1275" s="9">
        <v>112.9</v>
      </c>
      <c r="AI1275" s="4">
        <v>1</v>
      </c>
    </row>
    <row r="1276" spans="20:35">
      <c r="T1276" s="9">
        <v>243.2</v>
      </c>
      <c r="U1276" s="4">
        <v>2</v>
      </c>
      <c r="AH1276" s="9">
        <v>112.93</v>
      </c>
      <c r="AI1276" s="4">
        <v>1</v>
      </c>
    </row>
    <row r="1277" spans="20:35">
      <c r="T1277" s="9">
        <v>243.3</v>
      </c>
      <c r="U1277" s="4">
        <v>1</v>
      </c>
      <c r="AH1277" s="9">
        <v>113.01</v>
      </c>
      <c r="AI1277" s="4">
        <v>1</v>
      </c>
    </row>
    <row r="1278" spans="20:35">
      <c r="T1278" s="9">
        <v>243.4</v>
      </c>
      <c r="U1278" s="4">
        <v>2</v>
      </c>
      <c r="AH1278" s="9">
        <v>113.08</v>
      </c>
      <c r="AI1278" s="4">
        <v>1</v>
      </c>
    </row>
    <row r="1279" spans="20:35">
      <c r="T1279" s="9">
        <v>243.5</v>
      </c>
      <c r="U1279" s="4">
        <v>1</v>
      </c>
      <c r="AH1279" s="9">
        <v>113.3</v>
      </c>
      <c r="AI1279" s="4">
        <v>1</v>
      </c>
    </row>
    <row r="1280" spans="20:35">
      <c r="T1280" s="9">
        <v>244.1</v>
      </c>
      <c r="U1280" s="4">
        <v>1</v>
      </c>
      <c r="AH1280" s="9">
        <v>113.31</v>
      </c>
      <c r="AI1280" s="4">
        <v>1</v>
      </c>
    </row>
    <row r="1281" spans="20:35">
      <c r="T1281" s="9">
        <v>244.2</v>
      </c>
      <c r="U1281" s="4">
        <v>1</v>
      </c>
      <c r="AH1281" s="9">
        <v>113.46</v>
      </c>
      <c r="AI1281" s="4">
        <v>1</v>
      </c>
    </row>
    <row r="1282" spans="20:35">
      <c r="T1282" s="9">
        <v>244.3</v>
      </c>
      <c r="U1282" s="4">
        <v>1</v>
      </c>
      <c r="AH1282" s="9">
        <v>113.72</v>
      </c>
      <c r="AI1282" s="4">
        <v>1</v>
      </c>
    </row>
    <row r="1283" spans="20:35">
      <c r="T1283" s="9">
        <v>244.6</v>
      </c>
      <c r="U1283" s="4">
        <v>2</v>
      </c>
      <c r="AH1283" s="9">
        <v>113.97</v>
      </c>
      <c r="AI1283" s="4">
        <v>1</v>
      </c>
    </row>
    <row r="1284" spans="20:35">
      <c r="T1284" s="9">
        <v>244.8</v>
      </c>
      <c r="U1284" s="4">
        <v>3</v>
      </c>
      <c r="AH1284" s="9">
        <v>114</v>
      </c>
      <c r="AI1284" s="4">
        <v>2</v>
      </c>
    </row>
    <row r="1285" spans="20:35">
      <c r="T1285" s="9">
        <v>245</v>
      </c>
      <c r="U1285" s="4">
        <v>3</v>
      </c>
      <c r="AH1285" s="9">
        <v>114.2</v>
      </c>
      <c r="AI1285" s="4">
        <v>1</v>
      </c>
    </row>
    <row r="1286" spans="20:35">
      <c r="T1286" s="9">
        <v>245.1</v>
      </c>
      <c r="U1286" s="4">
        <v>2</v>
      </c>
      <c r="AH1286" s="9">
        <v>114.44</v>
      </c>
      <c r="AI1286" s="4">
        <v>1</v>
      </c>
    </row>
    <row r="1287" spans="20:35">
      <c r="T1287" s="9">
        <v>245.2</v>
      </c>
      <c r="U1287" s="4">
        <v>1</v>
      </c>
      <c r="AH1287" s="9">
        <v>114.77</v>
      </c>
      <c r="AI1287" s="4">
        <v>1</v>
      </c>
    </row>
    <row r="1288" spans="20:35">
      <c r="T1288" s="9">
        <v>245.5</v>
      </c>
      <c r="U1288" s="4">
        <v>1</v>
      </c>
      <c r="AH1288" s="9">
        <v>115</v>
      </c>
      <c r="AI1288" s="4">
        <v>1</v>
      </c>
    </row>
    <row r="1289" spans="20:35">
      <c r="T1289" s="9">
        <v>245.8</v>
      </c>
      <c r="U1289" s="4">
        <v>1</v>
      </c>
      <c r="AH1289" s="9">
        <v>115.34</v>
      </c>
      <c r="AI1289" s="4">
        <v>1</v>
      </c>
    </row>
    <row r="1290" spans="20:35">
      <c r="T1290" s="9">
        <v>245.9</v>
      </c>
      <c r="U1290" s="4">
        <v>1</v>
      </c>
      <c r="AH1290" s="9">
        <v>115.47</v>
      </c>
      <c r="AI1290" s="4">
        <v>1</v>
      </c>
    </row>
    <row r="1291" spans="20:35">
      <c r="T1291" s="9">
        <v>246.3</v>
      </c>
      <c r="U1291" s="4">
        <v>1</v>
      </c>
      <c r="AH1291" s="9">
        <v>115.6</v>
      </c>
      <c r="AI1291" s="4">
        <v>1</v>
      </c>
    </row>
    <row r="1292" spans="20:35">
      <c r="T1292" s="9">
        <v>246.4</v>
      </c>
      <c r="U1292" s="4">
        <v>2</v>
      </c>
      <c r="AH1292" s="9">
        <v>115.62</v>
      </c>
      <c r="AI1292" s="4">
        <v>1</v>
      </c>
    </row>
    <row r="1293" spans="20:35">
      <c r="T1293" s="9">
        <v>246.5</v>
      </c>
      <c r="U1293" s="4">
        <v>2</v>
      </c>
      <c r="AH1293" s="9">
        <v>116.63</v>
      </c>
      <c r="AI1293" s="4">
        <v>1</v>
      </c>
    </row>
    <row r="1294" spans="20:35">
      <c r="T1294" s="9">
        <v>246.7</v>
      </c>
      <c r="U1294" s="4">
        <v>1</v>
      </c>
      <c r="AH1294" s="9">
        <v>117</v>
      </c>
      <c r="AI1294" s="4">
        <v>1</v>
      </c>
    </row>
    <row r="1295" spans="20:35">
      <c r="T1295" s="9">
        <v>246.9</v>
      </c>
      <c r="U1295" s="4">
        <v>1</v>
      </c>
      <c r="AH1295" s="9">
        <v>117.07</v>
      </c>
      <c r="AI1295" s="4">
        <v>1</v>
      </c>
    </row>
    <row r="1296" spans="20:35">
      <c r="T1296" s="9">
        <v>247</v>
      </c>
      <c r="U1296" s="4">
        <v>2</v>
      </c>
      <c r="AH1296" s="9">
        <v>117.6</v>
      </c>
      <c r="AI1296" s="4">
        <v>1</v>
      </c>
    </row>
    <row r="1297" spans="20:35">
      <c r="T1297" s="9">
        <v>247.2</v>
      </c>
      <c r="U1297" s="4">
        <v>1</v>
      </c>
      <c r="AH1297" s="9">
        <v>117.79</v>
      </c>
      <c r="AI1297" s="4">
        <v>1</v>
      </c>
    </row>
    <row r="1298" spans="20:35">
      <c r="T1298" s="9">
        <v>247.4</v>
      </c>
      <c r="U1298" s="4">
        <v>1</v>
      </c>
      <c r="AH1298" s="9">
        <v>117.82</v>
      </c>
      <c r="AI1298" s="4">
        <v>1</v>
      </c>
    </row>
    <row r="1299" spans="20:35">
      <c r="T1299" s="9">
        <v>247.5</v>
      </c>
      <c r="U1299" s="4">
        <v>1</v>
      </c>
      <c r="AH1299" s="9">
        <v>118</v>
      </c>
      <c r="AI1299" s="4">
        <v>1</v>
      </c>
    </row>
    <row r="1300" spans="20:35">
      <c r="T1300" s="9">
        <v>247.7</v>
      </c>
      <c r="U1300" s="4">
        <v>1</v>
      </c>
      <c r="AH1300" s="9">
        <v>118.13</v>
      </c>
      <c r="AI1300" s="4">
        <v>1</v>
      </c>
    </row>
    <row r="1301" spans="20:35">
      <c r="T1301" s="9">
        <v>247.8</v>
      </c>
      <c r="U1301" s="4">
        <v>2</v>
      </c>
      <c r="AH1301" s="9">
        <v>118.29</v>
      </c>
      <c r="AI1301" s="4">
        <v>1</v>
      </c>
    </row>
    <row r="1302" spans="20:35">
      <c r="T1302" s="9">
        <v>247.9</v>
      </c>
      <c r="U1302" s="4">
        <v>3</v>
      </c>
      <c r="AH1302" s="9">
        <v>118.46</v>
      </c>
      <c r="AI1302" s="4">
        <v>1</v>
      </c>
    </row>
    <row r="1303" spans="20:35">
      <c r="T1303" s="9">
        <v>248</v>
      </c>
      <c r="U1303" s="4">
        <v>3</v>
      </c>
      <c r="AH1303" s="9">
        <v>118.73</v>
      </c>
      <c r="AI1303" s="4">
        <v>1</v>
      </c>
    </row>
    <row r="1304" spans="20:35">
      <c r="T1304" s="9">
        <v>248.3</v>
      </c>
      <c r="U1304" s="4">
        <v>2</v>
      </c>
      <c r="AH1304" s="9">
        <v>118.81</v>
      </c>
      <c r="AI1304" s="4">
        <v>1</v>
      </c>
    </row>
    <row r="1305" spans="20:35">
      <c r="T1305" s="9">
        <v>248.4</v>
      </c>
      <c r="U1305" s="4">
        <v>1</v>
      </c>
      <c r="AH1305" s="9">
        <v>118.84</v>
      </c>
      <c r="AI1305" s="4">
        <v>1</v>
      </c>
    </row>
    <row r="1306" spans="20:35">
      <c r="T1306" s="9">
        <v>248.5</v>
      </c>
      <c r="U1306" s="4">
        <v>2</v>
      </c>
      <c r="AH1306" s="9">
        <v>119</v>
      </c>
      <c r="AI1306" s="4">
        <v>1</v>
      </c>
    </row>
    <row r="1307" spans="20:35">
      <c r="T1307" s="9">
        <v>248.7</v>
      </c>
      <c r="U1307" s="4">
        <v>2</v>
      </c>
      <c r="AH1307" s="9">
        <v>119.1</v>
      </c>
      <c r="AI1307" s="4">
        <v>1</v>
      </c>
    </row>
    <row r="1308" spans="20:35">
      <c r="T1308" s="9">
        <v>248.8</v>
      </c>
      <c r="U1308" s="4">
        <v>2</v>
      </c>
      <c r="AH1308" s="9">
        <v>119.32</v>
      </c>
      <c r="AI1308" s="4">
        <v>1</v>
      </c>
    </row>
    <row r="1309" spans="20:35">
      <c r="T1309" s="9">
        <v>248.9</v>
      </c>
      <c r="U1309" s="4">
        <v>1</v>
      </c>
      <c r="AH1309" s="9">
        <v>119.47</v>
      </c>
      <c r="AI1309" s="4">
        <v>1</v>
      </c>
    </row>
    <row r="1310" spans="20:35">
      <c r="T1310" s="9">
        <v>249.1</v>
      </c>
      <c r="U1310" s="4">
        <v>1</v>
      </c>
      <c r="AH1310" s="9">
        <v>119.76</v>
      </c>
      <c r="AI1310" s="4">
        <v>1</v>
      </c>
    </row>
    <row r="1311" spans="20:35">
      <c r="T1311" s="9">
        <v>249.3</v>
      </c>
      <c r="U1311" s="4">
        <v>1</v>
      </c>
      <c r="AH1311" s="9">
        <v>120</v>
      </c>
      <c r="AI1311" s="4">
        <v>2</v>
      </c>
    </row>
    <row r="1312" spans="20:35">
      <c r="T1312" s="9">
        <v>249.4</v>
      </c>
      <c r="U1312" s="4">
        <v>1</v>
      </c>
      <c r="AH1312" s="9">
        <v>120.34</v>
      </c>
      <c r="AI1312" s="4">
        <v>1</v>
      </c>
    </row>
    <row r="1313" spans="20:35">
      <c r="T1313" s="9">
        <v>249.5</v>
      </c>
      <c r="U1313" s="4">
        <v>3</v>
      </c>
      <c r="AH1313" s="9">
        <v>120.62</v>
      </c>
      <c r="AI1313" s="4">
        <v>1</v>
      </c>
    </row>
    <row r="1314" spans="20:35">
      <c r="T1314" s="9">
        <v>249.8</v>
      </c>
      <c r="U1314" s="4">
        <v>1</v>
      </c>
      <c r="AH1314" s="9">
        <v>121</v>
      </c>
      <c r="AI1314" s="4">
        <v>1</v>
      </c>
    </row>
    <row r="1315" spans="20:35">
      <c r="T1315" s="9">
        <v>250</v>
      </c>
      <c r="U1315" s="4">
        <v>1</v>
      </c>
      <c r="AH1315" s="9">
        <v>121.24</v>
      </c>
      <c r="AI1315" s="4">
        <v>1</v>
      </c>
    </row>
    <row r="1316" spans="20:35">
      <c r="T1316" s="9">
        <v>250.1</v>
      </c>
      <c r="U1316" s="4">
        <v>1</v>
      </c>
      <c r="AH1316" s="9">
        <v>122.1</v>
      </c>
      <c r="AI1316" s="4">
        <v>1</v>
      </c>
    </row>
    <row r="1317" spans="20:35">
      <c r="T1317" s="9">
        <v>250.4</v>
      </c>
      <c r="U1317" s="4">
        <v>1</v>
      </c>
      <c r="AH1317" s="9">
        <v>122.12</v>
      </c>
      <c r="AI1317" s="4">
        <v>1</v>
      </c>
    </row>
    <row r="1318" spans="20:35">
      <c r="T1318" s="9">
        <v>250.7</v>
      </c>
      <c r="U1318" s="4">
        <v>3</v>
      </c>
      <c r="AH1318" s="9">
        <v>122.55</v>
      </c>
      <c r="AI1318" s="4">
        <v>1</v>
      </c>
    </row>
    <row r="1319" spans="20:35">
      <c r="T1319" s="9">
        <v>251</v>
      </c>
      <c r="U1319" s="4">
        <v>3</v>
      </c>
      <c r="AH1319" s="9">
        <v>122.62</v>
      </c>
      <c r="AI1319" s="4">
        <v>1</v>
      </c>
    </row>
    <row r="1320" spans="20:35">
      <c r="T1320" s="9">
        <v>251.4</v>
      </c>
      <c r="U1320" s="4">
        <v>1</v>
      </c>
      <c r="AH1320" s="9">
        <v>122.92</v>
      </c>
      <c r="AI1320" s="4">
        <v>1</v>
      </c>
    </row>
    <row r="1321" spans="20:35">
      <c r="T1321" s="9">
        <v>251.5</v>
      </c>
      <c r="U1321" s="4">
        <v>1</v>
      </c>
      <c r="AH1321" s="9">
        <v>122.95</v>
      </c>
      <c r="AI1321" s="4">
        <v>1</v>
      </c>
    </row>
    <row r="1322" spans="20:35">
      <c r="T1322" s="9">
        <v>251.6</v>
      </c>
      <c r="U1322" s="4">
        <v>1</v>
      </c>
      <c r="AH1322" s="9">
        <v>123</v>
      </c>
      <c r="AI1322" s="4">
        <v>1</v>
      </c>
    </row>
    <row r="1323" spans="20:35">
      <c r="T1323" s="9">
        <v>251.8</v>
      </c>
      <c r="U1323" s="4">
        <v>1</v>
      </c>
      <c r="AH1323" s="9">
        <v>123.9</v>
      </c>
      <c r="AI1323" s="4">
        <v>1</v>
      </c>
    </row>
    <row r="1324" spans="20:35">
      <c r="T1324" s="9">
        <v>251.9</v>
      </c>
      <c r="U1324" s="4">
        <v>1</v>
      </c>
      <c r="AH1324" s="9">
        <v>125.15</v>
      </c>
      <c r="AI1324" s="4">
        <v>1</v>
      </c>
    </row>
    <row r="1325" spans="20:35">
      <c r="T1325" s="9">
        <v>252.2</v>
      </c>
      <c r="U1325" s="4">
        <v>2</v>
      </c>
      <c r="AH1325" s="9">
        <v>125.45</v>
      </c>
      <c r="AI1325" s="4">
        <v>1</v>
      </c>
    </row>
    <row r="1326" spans="20:35">
      <c r="T1326" s="9">
        <v>252.3</v>
      </c>
      <c r="U1326" s="4">
        <v>1</v>
      </c>
      <c r="AH1326" s="9">
        <v>125.55</v>
      </c>
      <c r="AI1326" s="4">
        <v>1</v>
      </c>
    </row>
    <row r="1327" spans="20:35">
      <c r="T1327" s="9">
        <v>252.5</v>
      </c>
      <c r="U1327" s="4">
        <v>2</v>
      </c>
      <c r="AH1327" s="9">
        <v>125.86</v>
      </c>
      <c r="AI1327" s="4">
        <v>1</v>
      </c>
    </row>
    <row r="1328" spans="20:35">
      <c r="T1328" s="9">
        <v>252.9</v>
      </c>
      <c r="U1328" s="4">
        <v>1</v>
      </c>
      <c r="AH1328" s="9">
        <v>126.2</v>
      </c>
      <c r="AI1328" s="4">
        <v>1</v>
      </c>
    </row>
    <row r="1329" spans="20:35">
      <c r="T1329" s="9">
        <v>253</v>
      </c>
      <c r="U1329" s="4">
        <v>2</v>
      </c>
      <c r="AH1329" s="9">
        <v>126.78</v>
      </c>
      <c r="AI1329" s="4">
        <v>1</v>
      </c>
    </row>
    <row r="1330" spans="20:35">
      <c r="T1330" s="9">
        <v>253.2</v>
      </c>
      <c r="U1330" s="4">
        <v>1</v>
      </c>
      <c r="AH1330" s="9">
        <v>126.85</v>
      </c>
      <c r="AI1330" s="4">
        <v>1</v>
      </c>
    </row>
    <row r="1331" spans="20:35">
      <c r="T1331" s="9">
        <v>253.4</v>
      </c>
      <c r="U1331" s="4">
        <v>1</v>
      </c>
      <c r="AH1331" s="9">
        <v>127.16</v>
      </c>
      <c r="AI1331" s="4">
        <v>1</v>
      </c>
    </row>
    <row r="1332" spans="20:35">
      <c r="T1332" s="9">
        <v>253.5</v>
      </c>
      <c r="U1332" s="4">
        <v>1</v>
      </c>
      <c r="AH1332" s="9">
        <v>127.3</v>
      </c>
      <c r="AI1332" s="4">
        <v>1</v>
      </c>
    </row>
    <row r="1333" spans="20:35">
      <c r="T1333" s="9">
        <v>253.8</v>
      </c>
      <c r="U1333" s="4">
        <v>3</v>
      </c>
      <c r="AH1333" s="9">
        <v>128.80000000000001</v>
      </c>
      <c r="AI1333" s="4">
        <v>1</v>
      </c>
    </row>
    <row r="1334" spans="20:35">
      <c r="T1334" s="9">
        <v>253.9</v>
      </c>
      <c r="U1334" s="4">
        <v>4</v>
      </c>
      <c r="AH1334" s="9">
        <v>129</v>
      </c>
      <c r="AI1334" s="4">
        <v>1</v>
      </c>
    </row>
    <row r="1335" spans="20:35">
      <c r="T1335" s="9">
        <v>254</v>
      </c>
      <c r="U1335" s="4">
        <v>1</v>
      </c>
      <c r="AH1335" s="9">
        <v>129.18</v>
      </c>
      <c r="AI1335" s="4">
        <v>1</v>
      </c>
    </row>
    <row r="1336" spans="20:35">
      <c r="T1336" s="9">
        <v>254.1</v>
      </c>
      <c r="U1336" s="4">
        <v>2</v>
      </c>
      <c r="AH1336" s="9">
        <v>129.94999999999999</v>
      </c>
      <c r="AI1336" s="4">
        <v>1</v>
      </c>
    </row>
    <row r="1337" spans="20:35">
      <c r="T1337" s="9">
        <v>254.4</v>
      </c>
      <c r="U1337" s="4">
        <v>2</v>
      </c>
      <c r="AH1337" s="9">
        <v>130</v>
      </c>
      <c r="AI1337" s="4">
        <v>1</v>
      </c>
    </row>
    <row r="1338" spans="20:35">
      <c r="T1338" s="9">
        <v>254.5</v>
      </c>
      <c r="U1338" s="4">
        <v>1</v>
      </c>
      <c r="AH1338" s="9">
        <v>130.4</v>
      </c>
      <c r="AI1338" s="4">
        <v>1</v>
      </c>
    </row>
    <row r="1339" spans="20:35">
      <c r="T1339" s="9">
        <v>254.7</v>
      </c>
      <c r="U1339" s="4">
        <v>1</v>
      </c>
      <c r="AH1339" s="9">
        <v>130.68</v>
      </c>
      <c r="AI1339" s="4">
        <v>1</v>
      </c>
    </row>
    <row r="1340" spans="20:35">
      <c r="T1340" s="9">
        <v>255</v>
      </c>
      <c r="U1340" s="4">
        <v>1</v>
      </c>
      <c r="AH1340" s="9">
        <v>132</v>
      </c>
      <c r="AI1340" s="4">
        <v>1</v>
      </c>
    </row>
    <row r="1341" spans="20:35">
      <c r="T1341" s="9">
        <v>255.3</v>
      </c>
      <c r="U1341" s="4">
        <v>1</v>
      </c>
      <c r="AH1341" s="9">
        <v>132.33000000000001</v>
      </c>
      <c r="AI1341" s="4">
        <v>1</v>
      </c>
    </row>
    <row r="1342" spans="20:35">
      <c r="T1342" s="9">
        <v>255.4</v>
      </c>
      <c r="U1342" s="4">
        <v>1</v>
      </c>
      <c r="AH1342" s="9">
        <v>132.55000000000001</v>
      </c>
      <c r="AI1342" s="4">
        <v>1</v>
      </c>
    </row>
    <row r="1343" spans="20:35">
      <c r="T1343" s="9">
        <v>255.5</v>
      </c>
      <c r="U1343" s="4">
        <v>3</v>
      </c>
      <c r="AH1343" s="9">
        <v>132.86000000000001</v>
      </c>
      <c r="AI1343" s="4">
        <v>1</v>
      </c>
    </row>
    <row r="1344" spans="20:35">
      <c r="T1344" s="9">
        <v>255.7</v>
      </c>
      <c r="U1344" s="4">
        <v>1</v>
      </c>
      <c r="AH1344" s="9">
        <v>133</v>
      </c>
      <c r="AI1344" s="4">
        <v>2</v>
      </c>
    </row>
    <row r="1345" spans="20:35">
      <c r="T1345" s="9">
        <v>255.8</v>
      </c>
      <c r="U1345" s="4">
        <v>2</v>
      </c>
      <c r="AH1345" s="9">
        <v>133.52000000000001</v>
      </c>
      <c r="AI1345" s="4">
        <v>1</v>
      </c>
    </row>
    <row r="1346" spans="20:35">
      <c r="T1346" s="9">
        <v>256.10000000000002</v>
      </c>
      <c r="U1346" s="4">
        <v>1</v>
      </c>
      <c r="AH1346" s="9">
        <v>134.05000000000001</v>
      </c>
      <c r="AI1346" s="4">
        <v>1</v>
      </c>
    </row>
    <row r="1347" spans="20:35">
      <c r="T1347" s="9">
        <v>256.2</v>
      </c>
      <c r="U1347" s="4">
        <v>1</v>
      </c>
      <c r="AH1347" s="9">
        <v>135.63999999999999</v>
      </c>
      <c r="AI1347" s="4">
        <v>1</v>
      </c>
    </row>
    <row r="1348" spans="20:35">
      <c r="T1348" s="9">
        <v>256.5</v>
      </c>
      <c r="U1348" s="4">
        <v>1</v>
      </c>
      <c r="AH1348" s="9">
        <v>136</v>
      </c>
      <c r="AI1348" s="4">
        <v>1</v>
      </c>
    </row>
    <row r="1349" spans="20:35">
      <c r="T1349" s="9">
        <v>256.60000000000002</v>
      </c>
      <c r="U1349" s="4">
        <v>2</v>
      </c>
      <c r="AH1349" s="9">
        <v>136.75</v>
      </c>
      <c r="AI1349" s="4">
        <v>1</v>
      </c>
    </row>
    <row r="1350" spans="20:35">
      <c r="T1350" s="9">
        <v>256.89999999999998</v>
      </c>
      <c r="U1350" s="4">
        <v>1</v>
      </c>
      <c r="AH1350" s="9">
        <v>137.05000000000001</v>
      </c>
      <c r="AI1350" s="4">
        <v>1</v>
      </c>
    </row>
    <row r="1351" spans="20:35">
      <c r="T1351" s="9">
        <v>257</v>
      </c>
      <c r="U1351" s="4">
        <v>1</v>
      </c>
      <c r="AH1351" s="9">
        <v>137.88999999999999</v>
      </c>
      <c r="AI1351" s="4">
        <v>1</v>
      </c>
    </row>
    <row r="1352" spans="20:35">
      <c r="T1352" s="9">
        <v>257.2</v>
      </c>
      <c r="U1352" s="4">
        <v>3</v>
      </c>
      <c r="AH1352" s="9">
        <v>138.36000000000001</v>
      </c>
      <c r="AI1352" s="4">
        <v>1</v>
      </c>
    </row>
    <row r="1353" spans="20:35">
      <c r="T1353" s="9">
        <v>257.39999999999998</v>
      </c>
      <c r="U1353" s="4">
        <v>1</v>
      </c>
      <c r="AH1353" s="9">
        <v>138.44</v>
      </c>
      <c r="AI1353" s="4">
        <v>1</v>
      </c>
    </row>
    <row r="1354" spans="20:35">
      <c r="T1354" s="9">
        <v>257.5</v>
      </c>
      <c r="U1354" s="4">
        <v>1</v>
      </c>
      <c r="AH1354" s="9">
        <v>139</v>
      </c>
      <c r="AI1354" s="4">
        <v>1</v>
      </c>
    </row>
    <row r="1355" spans="20:35">
      <c r="T1355" s="9">
        <v>257.7</v>
      </c>
      <c r="U1355" s="4">
        <v>1</v>
      </c>
      <c r="AH1355" s="9">
        <v>139.22</v>
      </c>
      <c r="AI1355" s="4">
        <v>1</v>
      </c>
    </row>
    <row r="1356" spans="20:35">
      <c r="T1356" s="9">
        <v>258.10000000000002</v>
      </c>
      <c r="U1356" s="4">
        <v>1</v>
      </c>
      <c r="AH1356" s="9">
        <v>139.44</v>
      </c>
      <c r="AI1356" s="4">
        <v>1</v>
      </c>
    </row>
    <row r="1357" spans="20:35">
      <c r="T1357" s="9">
        <v>258.3</v>
      </c>
      <c r="U1357" s="4">
        <v>1</v>
      </c>
      <c r="AH1357" s="9">
        <v>139.59</v>
      </c>
      <c r="AI1357" s="4">
        <v>1</v>
      </c>
    </row>
    <row r="1358" spans="20:35">
      <c r="T1358" s="9">
        <v>258.39999999999998</v>
      </c>
      <c r="U1358" s="4">
        <v>1</v>
      </c>
      <c r="AH1358" s="9">
        <v>140</v>
      </c>
      <c r="AI1358" s="4">
        <v>1</v>
      </c>
    </row>
    <row r="1359" spans="20:35">
      <c r="T1359" s="9">
        <v>258.5</v>
      </c>
      <c r="U1359" s="4">
        <v>2</v>
      </c>
      <c r="AH1359" s="9">
        <v>140.53</v>
      </c>
      <c r="AI1359" s="4">
        <v>1</v>
      </c>
    </row>
    <row r="1360" spans="20:35">
      <c r="T1360" s="9">
        <v>258.7</v>
      </c>
      <c r="U1360" s="4">
        <v>1</v>
      </c>
      <c r="AH1360" s="9">
        <v>140.69999999999999</v>
      </c>
      <c r="AI1360" s="4">
        <v>1</v>
      </c>
    </row>
    <row r="1361" spans="20:35">
      <c r="T1361" s="9">
        <v>258.8</v>
      </c>
      <c r="U1361" s="4">
        <v>2</v>
      </c>
      <c r="AH1361" s="9">
        <v>140.75</v>
      </c>
      <c r="AI1361" s="4">
        <v>1</v>
      </c>
    </row>
    <row r="1362" spans="20:35">
      <c r="T1362" s="9">
        <v>258.89999999999998</v>
      </c>
      <c r="U1362" s="4">
        <v>1</v>
      </c>
      <c r="AH1362" s="9">
        <v>140.78</v>
      </c>
      <c r="AI1362" s="4">
        <v>1</v>
      </c>
    </row>
    <row r="1363" spans="20:35">
      <c r="T1363" s="9">
        <v>259.10000000000002</v>
      </c>
      <c r="U1363" s="4">
        <v>2</v>
      </c>
      <c r="AH1363" s="9">
        <v>140.96</v>
      </c>
      <c r="AI1363" s="4">
        <v>1</v>
      </c>
    </row>
    <row r="1364" spans="20:35">
      <c r="T1364" s="9">
        <v>259.2</v>
      </c>
      <c r="U1364" s="4">
        <v>1</v>
      </c>
      <c r="AH1364" s="9">
        <v>141</v>
      </c>
      <c r="AI1364" s="4">
        <v>2</v>
      </c>
    </row>
    <row r="1365" spans="20:35">
      <c r="T1365" s="9">
        <v>259.3</v>
      </c>
      <c r="U1365" s="4">
        <v>1</v>
      </c>
      <c r="AH1365" s="9">
        <v>141.18</v>
      </c>
      <c r="AI1365" s="4">
        <v>1</v>
      </c>
    </row>
    <row r="1366" spans="20:35">
      <c r="T1366" s="9">
        <v>259.39999999999998</v>
      </c>
      <c r="U1366" s="4">
        <v>1</v>
      </c>
      <c r="AH1366" s="9">
        <v>142</v>
      </c>
      <c r="AI1366" s="4">
        <v>1</v>
      </c>
    </row>
    <row r="1367" spans="20:35">
      <c r="T1367" s="9">
        <v>259.5</v>
      </c>
      <c r="U1367" s="4">
        <v>1</v>
      </c>
      <c r="AH1367" s="9">
        <v>143.09</v>
      </c>
      <c r="AI1367" s="4">
        <v>1</v>
      </c>
    </row>
    <row r="1368" spans="20:35">
      <c r="T1368" s="9">
        <v>259.60000000000002</v>
      </c>
      <c r="U1368" s="4">
        <v>2</v>
      </c>
      <c r="AH1368" s="9">
        <v>143.28</v>
      </c>
      <c r="AI1368" s="4">
        <v>1</v>
      </c>
    </row>
    <row r="1369" spans="20:35">
      <c r="T1369" s="9">
        <v>259.7</v>
      </c>
      <c r="U1369" s="4">
        <v>2</v>
      </c>
      <c r="AH1369" s="9">
        <v>144</v>
      </c>
      <c r="AI1369" s="4">
        <v>1</v>
      </c>
    </row>
    <row r="1370" spans="20:35">
      <c r="T1370" s="9">
        <v>259.89999999999998</v>
      </c>
      <c r="U1370" s="4">
        <v>1</v>
      </c>
      <c r="AH1370" s="9">
        <v>144.57</v>
      </c>
      <c r="AI1370" s="4">
        <v>1</v>
      </c>
    </row>
    <row r="1371" spans="20:35">
      <c r="T1371" s="9">
        <v>260</v>
      </c>
      <c r="U1371" s="4">
        <v>1</v>
      </c>
      <c r="AH1371" s="9">
        <v>144.62</v>
      </c>
      <c r="AI1371" s="4">
        <v>1</v>
      </c>
    </row>
    <row r="1372" spans="20:35">
      <c r="T1372" s="9">
        <v>260.10000000000002</v>
      </c>
      <c r="U1372" s="4">
        <v>3</v>
      </c>
      <c r="AH1372" s="9">
        <v>144.66999999999999</v>
      </c>
      <c r="AI1372" s="4">
        <v>1</v>
      </c>
    </row>
    <row r="1373" spans="20:35">
      <c r="T1373" s="9">
        <v>260.2</v>
      </c>
      <c r="U1373" s="4">
        <v>1</v>
      </c>
      <c r="AH1373" s="9">
        <v>145.69999999999999</v>
      </c>
      <c r="AI1373" s="4">
        <v>1</v>
      </c>
    </row>
    <row r="1374" spans="20:35">
      <c r="T1374" s="9">
        <v>260.39999999999998</v>
      </c>
      <c r="U1374" s="4">
        <v>2</v>
      </c>
      <c r="AH1374" s="9">
        <v>147</v>
      </c>
      <c r="AI1374" s="4">
        <v>1</v>
      </c>
    </row>
    <row r="1375" spans="20:35">
      <c r="T1375" s="9">
        <v>260.5</v>
      </c>
      <c r="U1375" s="4">
        <v>1</v>
      </c>
      <c r="AH1375" s="9">
        <v>147.06</v>
      </c>
      <c r="AI1375" s="4">
        <v>1</v>
      </c>
    </row>
    <row r="1376" spans="20:35">
      <c r="T1376" s="9">
        <v>260.8</v>
      </c>
      <c r="U1376" s="4">
        <v>1</v>
      </c>
      <c r="AH1376" s="9">
        <v>147.51</v>
      </c>
      <c r="AI1376" s="4">
        <v>1</v>
      </c>
    </row>
    <row r="1377" spans="20:35">
      <c r="T1377" s="9">
        <v>260.89999999999998</v>
      </c>
      <c r="U1377" s="4">
        <v>1</v>
      </c>
      <c r="AH1377" s="9">
        <v>147.94999999999999</v>
      </c>
      <c r="AI1377" s="4">
        <v>1</v>
      </c>
    </row>
    <row r="1378" spans="20:35">
      <c r="T1378" s="9">
        <v>261</v>
      </c>
      <c r="U1378" s="4">
        <v>2</v>
      </c>
      <c r="AH1378" s="9">
        <v>148</v>
      </c>
      <c r="AI1378" s="4">
        <v>1</v>
      </c>
    </row>
    <row r="1379" spans="20:35">
      <c r="T1379" s="9">
        <v>261.10000000000002</v>
      </c>
      <c r="U1379" s="4">
        <v>2</v>
      </c>
      <c r="AH1379" s="9">
        <v>148.19</v>
      </c>
      <c r="AI1379" s="4">
        <v>1</v>
      </c>
    </row>
    <row r="1380" spans="20:35">
      <c r="T1380" s="9">
        <v>261.39999999999998</v>
      </c>
      <c r="U1380" s="4">
        <v>1</v>
      </c>
      <c r="AH1380" s="9">
        <v>148.25</v>
      </c>
      <c r="AI1380" s="4">
        <v>1</v>
      </c>
    </row>
    <row r="1381" spans="20:35">
      <c r="T1381" s="9">
        <v>261.60000000000002</v>
      </c>
      <c r="U1381" s="4">
        <v>2</v>
      </c>
      <c r="AH1381" s="9">
        <v>148.65</v>
      </c>
      <c r="AI1381" s="4">
        <v>1</v>
      </c>
    </row>
    <row r="1382" spans="20:35">
      <c r="T1382" s="9">
        <v>261.7</v>
      </c>
      <c r="U1382" s="4">
        <v>2</v>
      </c>
      <c r="AH1382" s="9">
        <v>148.97999999999999</v>
      </c>
      <c r="AI1382" s="4">
        <v>1</v>
      </c>
    </row>
    <row r="1383" spans="20:35">
      <c r="T1383" s="9">
        <v>261.89999999999998</v>
      </c>
      <c r="U1383" s="4">
        <v>2</v>
      </c>
      <c r="AH1383" s="9">
        <v>149</v>
      </c>
      <c r="AI1383" s="4">
        <v>1</v>
      </c>
    </row>
    <row r="1384" spans="20:35">
      <c r="T1384" s="9">
        <v>262</v>
      </c>
      <c r="U1384" s="4">
        <v>3</v>
      </c>
      <c r="AH1384" s="9">
        <v>149.09</v>
      </c>
      <c r="AI1384" s="4">
        <v>1</v>
      </c>
    </row>
    <row r="1385" spans="20:35">
      <c r="T1385" s="9">
        <v>262.10000000000002</v>
      </c>
      <c r="U1385" s="4">
        <v>2</v>
      </c>
      <c r="AH1385" s="9">
        <v>150.05000000000001</v>
      </c>
      <c r="AI1385" s="4">
        <v>1</v>
      </c>
    </row>
    <row r="1386" spans="20:35">
      <c r="T1386" s="9">
        <v>262.3</v>
      </c>
      <c r="U1386" s="4">
        <v>1</v>
      </c>
      <c r="AH1386" s="9">
        <v>150.36000000000001</v>
      </c>
      <c r="AI1386" s="4">
        <v>1</v>
      </c>
    </row>
    <row r="1387" spans="20:35">
      <c r="T1387" s="9">
        <v>262.39999999999998</v>
      </c>
      <c r="U1387" s="4">
        <v>1</v>
      </c>
      <c r="AH1387" s="9">
        <v>151.07</v>
      </c>
      <c r="AI1387" s="4">
        <v>1</v>
      </c>
    </row>
    <row r="1388" spans="20:35">
      <c r="T1388" s="9">
        <v>262.5</v>
      </c>
      <c r="U1388" s="4">
        <v>1</v>
      </c>
      <c r="AH1388" s="9">
        <v>151.33000000000001</v>
      </c>
      <c r="AI1388" s="4">
        <v>1</v>
      </c>
    </row>
    <row r="1389" spans="20:35">
      <c r="T1389" s="9">
        <v>262.60000000000002</v>
      </c>
      <c r="U1389" s="4">
        <v>1</v>
      </c>
      <c r="AH1389" s="9">
        <v>151.63</v>
      </c>
      <c r="AI1389" s="4">
        <v>1</v>
      </c>
    </row>
    <row r="1390" spans="20:35">
      <c r="T1390" s="9">
        <v>262.7</v>
      </c>
      <c r="U1390" s="4">
        <v>2</v>
      </c>
      <c r="AH1390" s="9">
        <v>152.41999999999999</v>
      </c>
      <c r="AI1390" s="4">
        <v>1</v>
      </c>
    </row>
    <row r="1391" spans="20:35">
      <c r="T1391" s="9">
        <v>262.89999999999998</v>
      </c>
      <c r="U1391" s="4">
        <v>1</v>
      </c>
      <c r="AH1391" s="9">
        <v>153.36000000000001</v>
      </c>
      <c r="AI1391" s="4">
        <v>1</v>
      </c>
    </row>
    <row r="1392" spans="20:35">
      <c r="T1392" s="9">
        <v>263</v>
      </c>
      <c r="U1392" s="4">
        <v>1</v>
      </c>
      <c r="AH1392" s="9">
        <v>154.31</v>
      </c>
      <c r="AI1392" s="4">
        <v>1</v>
      </c>
    </row>
    <row r="1393" spans="20:35">
      <c r="T1393" s="9">
        <v>263.2</v>
      </c>
      <c r="U1393" s="4">
        <v>1</v>
      </c>
      <c r="AH1393" s="9">
        <v>154.9</v>
      </c>
      <c r="AI1393" s="4">
        <v>1</v>
      </c>
    </row>
    <row r="1394" spans="20:35">
      <c r="T1394" s="9">
        <v>263.3</v>
      </c>
      <c r="U1394" s="4">
        <v>1</v>
      </c>
      <c r="AH1394" s="9">
        <v>154.99</v>
      </c>
      <c r="AI1394" s="4">
        <v>1</v>
      </c>
    </row>
    <row r="1395" spans="20:35">
      <c r="T1395" s="9">
        <v>263.39999999999998</v>
      </c>
      <c r="U1395" s="4">
        <v>1</v>
      </c>
      <c r="AH1395" s="9">
        <v>156.16999999999999</v>
      </c>
      <c r="AI1395" s="4">
        <v>1</v>
      </c>
    </row>
    <row r="1396" spans="20:35">
      <c r="T1396" s="9">
        <v>263.5</v>
      </c>
      <c r="U1396" s="4">
        <v>2</v>
      </c>
      <c r="AH1396" s="9">
        <v>156.52000000000001</v>
      </c>
      <c r="AI1396" s="4">
        <v>1</v>
      </c>
    </row>
    <row r="1397" spans="20:35">
      <c r="T1397" s="9">
        <v>263.7</v>
      </c>
      <c r="U1397" s="4">
        <v>1</v>
      </c>
      <c r="AH1397" s="9">
        <v>156.63999999999999</v>
      </c>
      <c r="AI1397" s="4">
        <v>1</v>
      </c>
    </row>
    <row r="1398" spans="20:35">
      <c r="T1398" s="9">
        <v>263.89999999999998</v>
      </c>
      <c r="U1398" s="4">
        <v>1</v>
      </c>
      <c r="AH1398" s="9">
        <v>156.96</v>
      </c>
      <c r="AI1398" s="4">
        <v>1</v>
      </c>
    </row>
    <row r="1399" spans="20:35">
      <c r="T1399" s="9">
        <v>264.10000000000002</v>
      </c>
      <c r="U1399" s="4">
        <v>3</v>
      </c>
      <c r="AH1399" s="9">
        <v>156.97999999999999</v>
      </c>
      <c r="AI1399" s="4">
        <v>1</v>
      </c>
    </row>
    <row r="1400" spans="20:35">
      <c r="T1400" s="9">
        <v>264.3</v>
      </c>
      <c r="U1400" s="4">
        <v>1</v>
      </c>
      <c r="AH1400" s="9">
        <v>157</v>
      </c>
      <c r="AI1400" s="4">
        <v>1</v>
      </c>
    </row>
    <row r="1401" spans="20:35">
      <c r="T1401" s="9">
        <v>264.60000000000002</v>
      </c>
      <c r="U1401" s="4">
        <v>1</v>
      </c>
      <c r="AH1401" s="9">
        <v>157.19</v>
      </c>
      <c r="AI1401" s="4">
        <v>1</v>
      </c>
    </row>
    <row r="1402" spans="20:35">
      <c r="T1402" s="9">
        <v>264.7</v>
      </c>
      <c r="U1402" s="4">
        <v>5</v>
      </c>
      <c r="AH1402" s="9">
        <v>157.91999999999999</v>
      </c>
      <c r="AI1402" s="4">
        <v>1</v>
      </c>
    </row>
    <row r="1403" spans="20:35">
      <c r="T1403" s="9">
        <v>264.89999999999998</v>
      </c>
      <c r="U1403" s="4">
        <v>2</v>
      </c>
      <c r="AH1403" s="9">
        <v>158.04</v>
      </c>
      <c r="AI1403" s="4">
        <v>1</v>
      </c>
    </row>
    <row r="1404" spans="20:35">
      <c r="T1404" s="9">
        <v>265</v>
      </c>
      <c r="U1404" s="4">
        <v>1</v>
      </c>
      <c r="AH1404" s="9">
        <v>158.12</v>
      </c>
      <c r="AI1404" s="4">
        <v>1</v>
      </c>
    </row>
    <row r="1405" spans="20:35">
      <c r="T1405" s="9">
        <v>265.10000000000002</v>
      </c>
      <c r="U1405" s="4">
        <v>1</v>
      </c>
      <c r="AH1405" s="9">
        <v>158.38999999999999</v>
      </c>
      <c r="AI1405" s="4">
        <v>1</v>
      </c>
    </row>
    <row r="1406" spans="20:35">
      <c r="T1406" s="9">
        <v>265.3</v>
      </c>
      <c r="U1406" s="4">
        <v>1</v>
      </c>
      <c r="AH1406" s="9">
        <v>158.46</v>
      </c>
      <c r="AI1406" s="4">
        <v>1</v>
      </c>
    </row>
    <row r="1407" spans="20:35">
      <c r="T1407" s="9">
        <v>265.5</v>
      </c>
      <c r="U1407" s="4">
        <v>1</v>
      </c>
      <c r="AH1407" s="9">
        <v>158.52000000000001</v>
      </c>
      <c r="AI1407" s="4">
        <v>1</v>
      </c>
    </row>
    <row r="1408" spans="20:35">
      <c r="T1408" s="9">
        <v>265.7</v>
      </c>
      <c r="U1408" s="4">
        <v>1</v>
      </c>
      <c r="AH1408" s="9">
        <v>158.58000000000001</v>
      </c>
      <c r="AI1408" s="4">
        <v>1</v>
      </c>
    </row>
    <row r="1409" spans="20:35">
      <c r="T1409" s="9">
        <v>266</v>
      </c>
      <c r="U1409" s="4">
        <v>1</v>
      </c>
      <c r="AH1409" s="9">
        <v>158.81</v>
      </c>
      <c r="AI1409" s="4">
        <v>1</v>
      </c>
    </row>
    <row r="1410" spans="20:35">
      <c r="T1410" s="9">
        <v>266.10000000000002</v>
      </c>
      <c r="U1410" s="4">
        <v>1</v>
      </c>
      <c r="AH1410" s="9">
        <v>160</v>
      </c>
      <c r="AI1410" s="4">
        <v>1</v>
      </c>
    </row>
    <row r="1411" spans="20:35">
      <c r="T1411" s="9">
        <v>266.3</v>
      </c>
      <c r="U1411" s="4">
        <v>2</v>
      </c>
      <c r="AH1411" s="9">
        <v>161.83000000000001</v>
      </c>
      <c r="AI1411" s="4">
        <v>1</v>
      </c>
    </row>
    <row r="1412" spans="20:35">
      <c r="T1412" s="9">
        <v>266.39999999999998</v>
      </c>
      <c r="U1412" s="4">
        <v>1</v>
      </c>
      <c r="AH1412" s="9">
        <v>161.91</v>
      </c>
      <c r="AI1412" s="4">
        <v>1</v>
      </c>
    </row>
    <row r="1413" spans="20:35">
      <c r="T1413" s="9">
        <v>266.5</v>
      </c>
      <c r="U1413" s="4">
        <v>2</v>
      </c>
      <c r="AH1413" s="9">
        <v>162.08000000000001</v>
      </c>
      <c r="AI1413" s="4">
        <v>1</v>
      </c>
    </row>
    <row r="1414" spans="20:35">
      <c r="T1414" s="9">
        <v>266.60000000000002</v>
      </c>
      <c r="U1414" s="4">
        <v>1</v>
      </c>
      <c r="AH1414" s="9">
        <v>163</v>
      </c>
      <c r="AI1414" s="4">
        <v>1</v>
      </c>
    </row>
    <row r="1415" spans="20:35">
      <c r="T1415" s="9">
        <v>266.7</v>
      </c>
      <c r="U1415" s="4">
        <v>1</v>
      </c>
      <c r="AH1415" s="9">
        <v>163.51</v>
      </c>
      <c r="AI1415" s="4">
        <v>1</v>
      </c>
    </row>
    <row r="1416" spans="20:35">
      <c r="T1416" s="9">
        <v>266.8</v>
      </c>
      <c r="U1416" s="4">
        <v>1</v>
      </c>
      <c r="AH1416" s="9">
        <v>163.69999999999999</v>
      </c>
      <c r="AI1416" s="4">
        <v>1</v>
      </c>
    </row>
    <row r="1417" spans="20:35">
      <c r="T1417" s="9">
        <v>266.89999999999998</v>
      </c>
      <c r="U1417" s="4">
        <v>1</v>
      </c>
      <c r="AH1417" s="9">
        <v>164</v>
      </c>
      <c r="AI1417" s="4">
        <v>1</v>
      </c>
    </row>
    <row r="1418" spans="20:35">
      <c r="T1418" s="9">
        <v>267.2</v>
      </c>
      <c r="U1418" s="4">
        <v>2</v>
      </c>
      <c r="AH1418" s="9">
        <v>166.04</v>
      </c>
      <c r="AI1418" s="4">
        <v>1</v>
      </c>
    </row>
    <row r="1419" spans="20:35">
      <c r="T1419" s="9">
        <v>267.3</v>
      </c>
      <c r="U1419" s="4">
        <v>1</v>
      </c>
      <c r="AH1419" s="9">
        <v>166.15</v>
      </c>
      <c r="AI1419" s="4">
        <v>1</v>
      </c>
    </row>
    <row r="1420" spans="20:35">
      <c r="T1420" s="9">
        <v>267.39999999999998</v>
      </c>
      <c r="U1420" s="4">
        <v>2</v>
      </c>
      <c r="AH1420" s="9">
        <v>166.92</v>
      </c>
      <c r="AI1420" s="4">
        <v>1</v>
      </c>
    </row>
    <row r="1421" spans="20:35">
      <c r="T1421" s="9">
        <v>267.5</v>
      </c>
      <c r="U1421" s="4">
        <v>2</v>
      </c>
      <c r="AH1421" s="9">
        <v>166.98</v>
      </c>
      <c r="AI1421" s="4">
        <v>1</v>
      </c>
    </row>
    <row r="1422" spans="20:35">
      <c r="T1422" s="9">
        <v>267.60000000000002</v>
      </c>
      <c r="U1422" s="4">
        <v>2</v>
      </c>
      <c r="AH1422" s="9">
        <v>167</v>
      </c>
      <c r="AI1422" s="4">
        <v>2</v>
      </c>
    </row>
    <row r="1423" spans="20:35">
      <c r="T1423" s="9">
        <v>267.89999999999998</v>
      </c>
      <c r="U1423" s="4">
        <v>2</v>
      </c>
      <c r="AH1423" s="9">
        <v>167.18</v>
      </c>
      <c r="AI1423" s="4">
        <v>1</v>
      </c>
    </row>
    <row r="1424" spans="20:35">
      <c r="T1424" s="9">
        <v>268</v>
      </c>
      <c r="U1424" s="4">
        <v>1</v>
      </c>
      <c r="AH1424" s="9">
        <v>167.88</v>
      </c>
      <c r="AI1424" s="4">
        <v>1</v>
      </c>
    </row>
    <row r="1425" spans="20:35">
      <c r="T1425" s="9">
        <v>268.10000000000002</v>
      </c>
      <c r="U1425" s="4">
        <v>1</v>
      </c>
      <c r="AH1425" s="9">
        <v>169</v>
      </c>
      <c r="AI1425" s="4">
        <v>1</v>
      </c>
    </row>
    <row r="1426" spans="20:35">
      <c r="T1426" s="9">
        <v>268.2</v>
      </c>
      <c r="U1426" s="4">
        <v>1</v>
      </c>
      <c r="AH1426" s="9">
        <v>169.59</v>
      </c>
      <c r="AI1426" s="4">
        <v>1</v>
      </c>
    </row>
    <row r="1427" spans="20:35">
      <c r="T1427" s="9">
        <v>268.3</v>
      </c>
      <c r="U1427" s="4">
        <v>1</v>
      </c>
      <c r="AH1427" s="9">
        <v>170.21</v>
      </c>
      <c r="AI1427" s="4">
        <v>1</v>
      </c>
    </row>
    <row r="1428" spans="20:35">
      <c r="T1428" s="9">
        <v>268.5</v>
      </c>
      <c r="U1428" s="4">
        <v>1</v>
      </c>
      <c r="AH1428" s="9">
        <v>170.32</v>
      </c>
      <c r="AI1428" s="4">
        <v>1</v>
      </c>
    </row>
    <row r="1429" spans="20:35">
      <c r="T1429" s="9">
        <v>268.7</v>
      </c>
      <c r="U1429" s="4">
        <v>1</v>
      </c>
      <c r="AH1429" s="9">
        <v>170.79</v>
      </c>
      <c r="AI1429" s="4">
        <v>1</v>
      </c>
    </row>
    <row r="1430" spans="20:35">
      <c r="T1430" s="9">
        <v>268.8</v>
      </c>
      <c r="U1430" s="4">
        <v>1</v>
      </c>
      <c r="AH1430" s="9">
        <v>171.71</v>
      </c>
      <c r="AI1430" s="4">
        <v>1</v>
      </c>
    </row>
    <row r="1431" spans="20:35">
      <c r="T1431" s="9">
        <v>268.89999999999998</v>
      </c>
      <c r="U1431" s="4">
        <v>2</v>
      </c>
      <c r="AH1431" s="9">
        <v>171.8</v>
      </c>
      <c r="AI1431" s="4">
        <v>1</v>
      </c>
    </row>
    <row r="1432" spans="20:35">
      <c r="T1432" s="9">
        <v>269.10000000000002</v>
      </c>
      <c r="U1432" s="4">
        <v>1</v>
      </c>
      <c r="AH1432" s="9">
        <v>172.19</v>
      </c>
      <c r="AI1432" s="4">
        <v>1</v>
      </c>
    </row>
    <row r="1433" spans="20:35">
      <c r="T1433" s="9">
        <v>269.2</v>
      </c>
      <c r="U1433" s="4">
        <v>2</v>
      </c>
      <c r="AH1433" s="9">
        <v>172.5</v>
      </c>
      <c r="AI1433" s="4">
        <v>1</v>
      </c>
    </row>
    <row r="1434" spans="20:35">
      <c r="T1434" s="9">
        <v>269.39999999999998</v>
      </c>
      <c r="U1434" s="4">
        <v>1</v>
      </c>
      <c r="AH1434" s="9">
        <v>173.02</v>
      </c>
      <c r="AI1434" s="4">
        <v>1</v>
      </c>
    </row>
    <row r="1435" spans="20:35">
      <c r="T1435" s="9">
        <v>269.7</v>
      </c>
      <c r="U1435" s="4">
        <v>1</v>
      </c>
      <c r="AH1435" s="9">
        <v>173.57</v>
      </c>
      <c r="AI1435" s="4">
        <v>1</v>
      </c>
    </row>
    <row r="1436" spans="20:35">
      <c r="T1436" s="9">
        <v>269.8</v>
      </c>
      <c r="U1436" s="4">
        <v>4</v>
      </c>
      <c r="AH1436" s="9">
        <v>174.36</v>
      </c>
      <c r="AI1436" s="4">
        <v>1</v>
      </c>
    </row>
    <row r="1437" spans="20:35">
      <c r="T1437" s="9">
        <v>269.89999999999998</v>
      </c>
      <c r="U1437" s="4">
        <v>3</v>
      </c>
      <c r="AH1437" s="9">
        <v>175.24</v>
      </c>
      <c r="AI1437" s="4">
        <v>1</v>
      </c>
    </row>
    <row r="1438" spans="20:35">
      <c r="T1438" s="9">
        <v>270.10000000000002</v>
      </c>
      <c r="U1438" s="4">
        <v>2</v>
      </c>
      <c r="AH1438" s="9">
        <v>176</v>
      </c>
      <c r="AI1438" s="4">
        <v>1</v>
      </c>
    </row>
    <row r="1439" spans="20:35">
      <c r="T1439" s="9">
        <v>270.3</v>
      </c>
      <c r="U1439" s="4">
        <v>1</v>
      </c>
      <c r="AH1439" s="9">
        <v>177</v>
      </c>
      <c r="AI1439" s="4">
        <v>1</v>
      </c>
    </row>
    <row r="1440" spans="20:35">
      <c r="T1440" s="9">
        <v>270.39999999999998</v>
      </c>
      <c r="U1440" s="4">
        <v>3</v>
      </c>
      <c r="AH1440" s="9">
        <v>177.55</v>
      </c>
      <c r="AI1440" s="4">
        <v>1</v>
      </c>
    </row>
    <row r="1441" spans="20:35">
      <c r="T1441" s="9">
        <v>270.5</v>
      </c>
      <c r="U1441" s="4">
        <v>1</v>
      </c>
      <c r="AH1441" s="9">
        <v>177.66</v>
      </c>
      <c r="AI1441" s="4">
        <v>1</v>
      </c>
    </row>
    <row r="1442" spans="20:35">
      <c r="T1442" s="9">
        <v>270.60000000000002</v>
      </c>
      <c r="U1442" s="4">
        <v>2</v>
      </c>
      <c r="AH1442" s="9">
        <v>177.73</v>
      </c>
      <c r="AI1442" s="4">
        <v>1</v>
      </c>
    </row>
    <row r="1443" spans="20:35">
      <c r="T1443" s="9">
        <v>270.7</v>
      </c>
      <c r="U1443" s="4">
        <v>1</v>
      </c>
      <c r="AH1443" s="9">
        <v>178.27</v>
      </c>
      <c r="AI1443" s="4">
        <v>1</v>
      </c>
    </row>
    <row r="1444" spans="20:35">
      <c r="T1444" s="9">
        <v>270.8</v>
      </c>
      <c r="U1444" s="4">
        <v>1</v>
      </c>
      <c r="AH1444" s="9">
        <v>179</v>
      </c>
      <c r="AI1444" s="4">
        <v>2</v>
      </c>
    </row>
    <row r="1445" spans="20:35">
      <c r="T1445" s="9">
        <v>270.89999999999998</v>
      </c>
      <c r="U1445" s="4">
        <v>2</v>
      </c>
      <c r="AH1445" s="9">
        <v>179.8</v>
      </c>
      <c r="AI1445" s="4">
        <v>1</v>
      </c>
    </row>
    <row r="1446" spans="20:35">
      <c r="T1446" s="9">
        <v>271.10000000000002</v>
      </c>
      <c r="U1446" s="4">
        <v>1</v>
      </c>
      <c r="AH1446" s="9">
        <v>180</v>
      </c>
      <c r="AI1446" s="4">
        <v>1</v>
      </c>
    </row>
    <row r="1447" spans="20:35">
      <c r="T1447" s="9">
        <v>271.2</v>
      </c>
      <c r="U1447" s="4">
        <v>1</v>
      </c>
      <c r="AH1447" s="9">
        <v>180.06</v>
      </c>
      <c r="AI1447" s="4">
        <v>1</v>
      </c>
    </row>
    <row r="1448" spans="20:35">
      <c r="T1448" s="9">
        <v>271.3</v>
      </c>
      <c r="U1448" s="4">
        <v>5</v>
      </c>
      <c r="AH1448" s="9">
        <v>180.23</v>
      </c>
      <c r="AI1448" s="4">
        <v>1</v>
      </c>
    </row>
    <row r="1449" spans="20:35">
      <c r="T1449" s="9">
        <v>271.5</v>
      </c>
      <c r="U1449" s="4">
        <v>2</v>
      </c>
      <c r="AH1449" s="9">
        <v>181</v>
      </c>
      <c r="AI1449" s="4">
        <v>1</v>
      </c>
    </row>
    <row r="1450" spans="20:35">
      <c r="T1450" s="9">
        <v>271.60000000000002</v>
      </c>
      <c r="U1450" s="4">
        <v>1</v>
      </c>
      <c r="AH1450" s="9">
        <v>182.51</v>
      </c>
      <c r="AI1450" s="4">
        <v>1</v>
      </c>
    </row>
    <row r="1451" spans="20:35">
      <c r="T1451" s="9">
        <v>271.7</v>
      </c>
      <c r="U1451" s="4">
        <v>1</v>
      </c>
      <c r="AH1451" s="9">
        <v>183.27</v>
      </c>
      <c r="AI1451" s="4">
        <v>1</v>
      </c>
    </row>
    <row r="1452" spans="20:35">
      <c r="T1452" s="9">
        <v>272</v>
      </c>
      <c r="U1452" s="4">
        <v>1</v>
      </c>
      <c r="AH1452" s="9">
        <v>184</v>
      </c>
      <c r="AI1452" s="4">
        <v>1</v>
      </c>
    </row>
    <row r="1453" spans="20:35">
      <c r="T1453" s="9">
        <v>272.3</v>
      </c>
      <c r="U1453" s="4">
        <v>1</v>
      </c>
      <c r="AH1453" s="9">
        <v>185</v>
      </c>
      <c r="AI1453" s="4">
        <v>1</v>
      </c>
    </row>
    <row r="1454" spans="20:35">
      <c r="T1454" s="9">
        <v>272.5</v>
      </c>
      <c r="U1454" s="4">
        <v>2</v>
      </c>
      <c r="AH1454" s="9">
        <v>185.69</v>
      </c>
      <c r="AI1454" s="4">
        <v>1</v>
      </c>
    </row>
    <row r="1455" spans="20:35">
      <c r="T1455" s="9">
        <v>272.60000000000002</v>
      </c>
      <c r="U1455" s="4">
        <v>1</v>
      </c>
      <c r="AH1455" s="9">
        <v>186</v>
      </c>
      <c r="AI1455" s="4">
        <v>1</v>
      </c>
    </row>
    <row r="1456" spans="20:35">
      <c r="T1456" s="9">
        <v>272.89999999999998</v>
      </c>
      <c r="U1456" s="4">
        <v>2</v>
      </c>
      <c r="AH1456" s="9">
        <v>187.61</v>
      </c>
      <c r="AI1456" s="4">
        <v>1</v>
      </c>
    </row>
    <row r="1457" spans="20:35">
      <c r="T1457" s="9">
        <v>273.2</v>
      </c>
      <c r="U1457" s="4">
        <v>3</v>
      </c>
      <c r="AH1457" s="9">
        <v>188</v>
      </c>
      <c r="AI1457" s="4">
        <v>1</v>
      </c>
    </row>
    <row r="1458" spans="20:35">
      <c r="T1458" s="9">
        <v>273.3</v>
      </c>
      <c r="U1458" s="4">
        <v>1</v>
      </c>
      <c r="AH1458" s="9">
        <v>188.13</v>
      </c>
      <c r="AI1458" s="4">
        <v>1</v>
      </c>
    </row>
    <row r="1459" spans="20:35">
      <c r="T1459" s="9">
        <v>273.39999999999998</v>
      </c>
      <c r="U1459" s="4">
        <v>2</v>
      </c>
      <c r="AH1459" s="9">
        <v>188.62</v>
      </c>
      <c r="AI1459" s="4">
        <v>1</v>
      </c>
    </row>
    <row r="1460" spans="20:35">
      <c r="T1460" s="9">
        <v>273.7</v>
      </c>
      <c r="U1460" s="4">
        <v>3</v>
      </c>
      <c r="AH1460" s="9">
        <v>190</v>
      </c>
      <c r="AI1460" s="4">
        <v>1</v>
      </c>
    </row>
    <row r="1461" spans="20:35">
      <c r="T1461" s="9">
        <v>273.8</v>
      </c>
      <c r="U1461" s="4">
        <v>1</v>
      </c>
      <c r="AH1461" s="9">
        <v>192.4</v>
      </c>
      <c r="AI1461" s="4">
        <v>1</v>
      </c>
    </row>
    <row r="1462" spans="20:35">
      <c r="T1462" s="9">
        <v>274</v>
      </c>
      <c r="U1462" s="4">
        <v>1</v>
      </c>
      <c r="AH1462" s="9">
        <v>193</v>
      </c>
      <c r="AI1462" s="4">
        <v>1</v>
      </c>
    </row>
    <row r="1463" spans="20:35">
      <c r="T1463" s="9">
        <v>274.3</v>
      </c>
      <c r="U1463" s="4">
        <v>2</v>
      </c>
      <c r="AH1463" s="9">
        <v>194</v>
      </c>
      <c r="AI1463" s="4">
        <v>1</v>
      </c>
    </row>
    <row r="1464" spans="20:35">
      <c r="T1464" s="9">
        <v>274.39999999999998</v>
      </c>
      <c r="U1464" s="4">
        <v>1</v>
      </c>
      <c r="AH1464" s="9">
        <v>194.02</v>
      </c>
      <c r="AI1464" s="4">
        <v>1</v>
      </c>
    </row>
    <row r="1465" spans="20:35">
      <c r="T1465" s="9">
        <v>274.5</v>
      </c>
      <c r="U1465" s="4">
        <v>1</v>
      </c>
      <c r="AH1465" s="9">
        <v>194.3</v>
      </c>
      <c r="AI1465" s="4">
        <v>1</v>
      </c>
    </row>
    <row r="1466" spans="20:35">
      <c r="T1466" s="9">
        <v>274.7</v>
      </c>
      <c r="U1466" s="4">
        <v>1</v>
      </c>
      <c r="AH1466" s="9">
        <v>195.03</v>
      </c>
      <c r="AI1466" s="4">
        <v>1</v>
      </c>
    </row>
    <row r="1467" spans="20:35">
      <c r="T1467" s="9">
        <v>274.8</v>
      </c>
      <c r="U1467" s="4">
        <v>1</v>
      </c>
      <c r="AH1467" s="9">
        <v>195.43</v>
      </c>
      <c r="AI1467" s="4">
        <v>1</v>
      </c>
    </row>
    <row r="1468" spans="20:35">
      <c r="T1468" s="9">
        <v>275.3</v>
      </c>
      <c r="U1468" s="4">
        <v>2</v>
      </c>
      <c r="AH1468" s="9">
        <v>195.89</v>
      </c>
      <c r="AI1468" s="4">
        <v>1</v>
      </c>
    </row>
    <row r="1469" spans="20:35">
      <c r="T1469" s="9">
        <v>275.39999999999998</v>
      </c>
      <c r="U1469" s="4">
        <v>1</v>
      </c>
      <c r="AH1469" s="9">
        <v>196.48</v>
      </c>
      <c r="AI1469" s="4">
        <v>1</v>
      </c>
    </row>
    <row r="1470" spans="20:35">
      <c r="T1470" s="9">
        <v>275.5</v>
      </c>
      <c r="U1470" s="4">
        <v>3</v>
      </c>
      <c r="AH1470" s="9">
        <v>197</v>
      </c>
      <c r="AI1470" s="4">
        <v>1</v>
      </c>
    </row>
    <row r="1471" spans="20:35">
      <c r="T1471" s="9">
        <v>275.60000000000002</v>
      </c>
      <c r="U1471" s="4">
        <v>1</v>
      </c>
      <c r="AH1471" s="9">
        <v>197.35</v>
      </c>
      <c r="AI1471" s="4">
        <v>1</v>
      </c>
    </row>
    <row r="1472" spans="20:35">
      <c r="T1472" s="9">
        <v>275.7</v>
      </c>
      <c r="U1472" s="4">
        <v>2</v>
      </c>
      <c r="AH1472" s="9">
        <v>198</v>
      </c>
      <c r="AI1472" s="4">
        <v>1</v>
      </c>
    </row>
    <row r="1473" spans="20:35">
      <c r="T1473" s="9">
        <v>275.89999999999998</v>
      </c>
      <c r="U1473" s="4">
        <v>1</v>
      </c>
      <c r="AH1473" s="9">
        <v>200.27</v>
      </c>
      <c r="AI1473" s="4">
        <v>1</v>
      </c>
    </row>
    <row r="1474" spans="20:35">
      <c r="T1474" s="9">
        <v>276.10000000000002</v>
      </c>
      <c r="U1474" s="4">
        <v>1</v>
      </c>
      <c r="AH1474" s="9">
        <v>202</v>
      </c>
      <c r="AI1474" s="4">
        <v>1</v>
      </c>
    </row>
    <row r="1475" spans="20:35">
      <c r="T1475" s="9">
        <v>276.3</v>
      </c>
      <c r="U1475" s="4">
        <v>1</v>
      </c>
      <c r="AH1475" s="9">
        <v>203.42</v>
      </c>
      <c r="AI1475" s="4">
        <v>1</v>
      </c>
    </row>
    <row r="1476" spans="20:35">
      <c r="T1476" s="9">
        <v>276.7</v>
      </c>
      <c r="U1476" s="4">
        <v>2</v>
      </c>
      <c r="AH1476" s="9">
        <v>203.68</v>
      </c>
      <c r="AI1476" s="4">
        <v>1</v>
      </c>
    </row>
    <row r="1477" spans="20:35">
      <c r="T1477" s="9">
        <v>276.89999999999998</v>
      </c>
      <c r="U1477" s="4">
        <v>3</v>
      </c>
      <c r="AH1477" s="9">
        <v>203.72</v>
      </c>
      <c r="AI1477" s="4">
        <v>1</v>
      </c>
    </row>
    <row r="1478" spans="20:35">
      <c r="T1478" s="9">
        <v>277.10000000000002</v>
      </c>
      <c r="U1478" s="4">
        <v>1</v>
      </c>
      <c r="AH1478" s="9">
        <v>204.32</v>
      </c>
      <c r="AI1478" s="4">
        <v>1</v>
      </c>
    </row>
    <row r="1479" spans="20:35">
      <c r="T1479" s="9">
        <v>277.2</v>
      </c>
      <c r="U1479" s="4">
        <v>1</v>
      </c>
      <c r="AH1479" s="9">
        <v>205.56</v>
      </c>
      <c r="AI1479" s="4">
        <v>1</v>
      </c>
    </row>
    <row r="1480" spans="20:35">
      <c r="T1480" s="9">
        <v>277.3</v>
      </c>
      <c r="U1480" s="4">
        <v>1</v>
      </c>
      <c r="AH1480" s="9">
        <v>209.14</v>
      </c>
      <c r="AI1480" s="4">
        <v>1</v>
      </c>
    </row>
    <row r="1481" spans="20:35">
      <c r="T1481" s="9">
        <v>277.39999999999998</v>
      </c>
      <c r="U1481" s="4">
        <v>2</v>
      </c>
      <c r="AH1481" s="9">
        <v>209.32</v>
      </c>
      <c r="AI1481" s="4">
        <v>1</v>
      </c>
    </row>
    <row r="1482" spans="20:35">
      <c r="T1482" s="9">
        <v>277.60000000000002</v>
      </c>
      <c r="U1482" s="4">
        <v>1</v>
      </c>
      <c r="AH1482" s="9">
        <v>211.72</v>
      </c>
      <c r="AI1482" s="4">
        <v>1</v>
      </c>
    </row>
    <row r="1483" spans="20:35">
      <c r="T1483" s="9">
        <v>277.8</v>
      </c>
      <c r="U1483" s="4">
        <v>2</v>
      </c>
      <c r="AH1483" s="9">
        <v>212</v>
      </c>
      <c r="AI1483" s="4">
        <v>1</v>
      </c>
    </row>
    <row r="1484" spans="20:35">
      <c r="T1484" s="9">
        <v>277.89999999999998</v>
      </c>
      <c r="U1484" s="4">
        <v>1</v>
      </c>
      <c r="AH1484" s="9">
        <v>212.46</v>
      </c>
      <c r="AI1484" s="4">
        <v>1</v>
      </c>
    </row>
    <row r="1485" spans="20:35">
      <c r="T1485" s="9">
        <v>278</v>
      </c>
      <c r="U1485" s="4">
        <v>1</v>
      </c>
      <c r="AH1485" s="9">
        <v>214</v>
      </c>
      <c r="AI1485" s="4">
        <v>1</v>
      </c>
    </row>
    <row r="1486" spans="20:35">
      <c r="T1486" s="9">
        <v>278.10000000000002</v>
      </c>
      <c r="U1486" s="4">
        <v>2</v>
      </c>
      <c r="AH1486" s="9">
        <v>215</v>
      </c>
      <c r="AI1486" s="4">
        <v>1</v>
      </c>
    </row>
    <row r="1487" spans="20:35">
      <c r="T1487" s="9">
        <v>278.39999999999998</v>
      </c>
      <c r="U1487" s="4">
        <v>2</v>
      </c>
      <c r="AH1487" s="9">
        <v>215.19</v>
      </c>
      <c r="AI1487" s="4">
        <v>1</v>
      </c>
    </row>
    <row r="1488" spans="20:35">
      <c r="T1488" s="9">
        <v>278.8</v>
      </c>
      <c r="U1488" s="4">
        <v>1</v>
      </c>
      <c r="AH1488" s="9">
        <v>215.7</v>
      </c>
      <c r="AI1488" s="4">
        <v>1</v>
      </c>
    </row>
    <row r="1489" spans="20:35">
      <c r="T1489" s="9">
        <v>278.89999999999998</v>
      </c>
      <c r="U1489" s="4">
        <v>1</v>
      </c>
      <c r="AH1489" s="9">
        <v>216</v>
      </c>
      <c r="AI1489" s="4">
        <v>1</v>
      </c>
    </row>
    <row r="1490" spans="20:35">
      <c r="T1490" s="9">
        <v>279.10000000000002</v>
      </c>
      <c r="U1490" s="4">
        <v>4</v>
      </c>
      <c r="AH1490" s="9">
        <v>216.56</v>
      </c>
      <c r="AI1490" s="4">
        <v>1</v>
      </c>
    </row>
    <row r="1491" spans="20:35">
      <c r="T1491" s="9">
        <v>279.2</v>
      </c>
      <c r="U1491" s="4">
        <v>2</v>
      </c>
      <c r="AH1491" s="9">
        <v>218.28</v>
      </c>
      <c r="AI1491" s="4">
        <v>1</v>
      </c>
    </row>
    <row r="1492" spans="20:35">
      <c r="T1492" s="9">
        <v>279.39999999999998</v>
      </c>
      <c r="U1492" s="4">
        <v>1</v>
      </c>
      <c r="AH1492" s="9">
        <v>221</v>
      </c>
      <c r="AI1492" s="4">
        <v>3</v>
      </c>
    </row>
    <row r="1493" spans="20:35">
      <c r="T1493" s="9">
        <v>279.5</v>
      </c>
      <c r="U1493" s="4">
        <v>1</v>
      </c>
      <c r="AH1493" s="9">
        <v>222.98</v>
      </c>
      <c r="AI1493" s="4">
        <v>1</v>
      </c>
    </row>
    <row r="1494" spans="20:35">
      <c r="T1494" s="9">
        <v>279.8</v>
      </c>
      <c r="U1494" s="4">
        <v>1</v>
      </c>
      <c r="AH1494" s="9">
        <v>224</v>
      </c>
      <c r="AI1494" s="4">
        <v>1</v>
      </c>
    </row>
    <row r="1495" spans="20:35">
      <c r="T1495" s="9">
        <v>280</v>
      </c>
      <c r="U1495" s="4">
        <v>2</v>
      </c>
      <c r="AH1495" s="9">
        <v>225</v>
      </c>
      <c r="AI1495" s="4">
        <v>1</v>
      </c>
    </row>
    <row r="1496" spans="20:35">
      <c r="T1496" s="9">
        <v>280.10000000000002</v>
      </c>
      <c r="U1496" s="4">
        <v>1</v>
      </c>
      <c r="AH1496" s="9">
        <v>226</v>
      </c>
      <c r="AI1496" s="4">
        <v>1</v>
      </c>
    </row>
    <row r="1497" spans="20:35">
      <c r="T1497" s="9">
        <v>280.5</v>
      </c>
      <c r="U1497" s="4">
        <v>1</v>
      </c>
      <c r="AH1497" s="9">
        <v>227.7</v>
      </c>
      <c r="AI1497" s="4">
        <v>1</v>
      </c>
    </row>
    <row r="1498" spans="20:35">
      <c r="T1498" s="9">
        <v>280.8</v>
      </c>
      <c r="U1498" s="4">
        <v>2</v>
      </c>
      <c r="AH1498" s="9">
        <v>227.97</v>
      </c>
      <c r="AI1498" s="4">
        <v>1</v>
      </c>
    </row>
    <row r="1499" spans="20:35">
      <c r="T1499" s="9">
        <v>280.89999999999998</v>
      </c>
      <c r="U1499" s="4">
        <v>3</v>
      </c>
      <c r="AH1499" s="9">
        <v>228</v>
      </c>
      <c r="AI1499" s="4">
        <v>1</v>
      </c>
    </row>
    <row r="1500" spans="20:35">
      <c r="T1500" s="9">
        <v>281</v>
      </c>
      <c r="U1500" s="4">
        <v>2</v>
      </c>
      <c r="AH1500" s="9">
        <v>231</v>
      </c>
      <c r="AI1500" s="4">
        <v>2</v>
      </c>
    </row>
    <row r="1501" spans="20:35">
      <c r="T1501" s="9">
        <v>281.10000000000002</v>
      </c>
      <c r="U1501" s="4">
        <v>1</v>
      </c>
      <c r="AH1501" s="9">
        <v>231.2</v>
      </c>
      <c r="AI1501" s="4">
        <v>1</v>
      </c>
    </row>
    <row r="1502" spans="20:35">
      <c r="T1502" s="9">
        <v>281.3</v>
      </c>
      <c r="U1502" s="4">
        <v>3</v>
      </c>
      <c r="AH1502" s="9">
        <v>238.61</v>
      </c>
      <c r="AI1502" s="4">
        <v>1</v>
      </c>
    </row>
    <row r="1503" spans="20:35">
      <c r="T1503" s="9">
        <v>281.39999999999998</v>
      </c>
      <c r="U1503" s="4">
        <v>2</v>
      </c>
      <c r="AH1503" s="9">
        <v>238.97</v>
      </c>
      <c r="AI1503" s="4">
        <v>1</v>
      </c>
    </row>
    <row r="1504" spans="20:35">
      <c r="T1504" s="9">
        <v>281.5</v>
      </c>
      <c r="U1504" s="4">
        <v>1</v>
      </c>
      <c r="AH1504" s="9">
        <v>240.6</v>
      </c>
      <c r="AI1504" s="4">
        <v>1</v>
      </c>
    </row>
    <row r="1505" spans="20:35">
      <c r="T1505" s="9">
        <v>281.60000000000002</v>
      </c>
      <c r="U1505" s="4">
        <v>1</v>
      </c>
      <c r="AH1505" s="9">
        <v>241</v>
      </c>
      <c r="AI1505" s="4">
        <v>1</v>
      </c>
    </row>
    <row r="1506" spans="20:35">
      <c r="T1506" s="9">
        <v>281.7</v>
      </c>
      <c r="U1506" s="4">
        <v>1</v>
      </c>
      <c r="AH1506" s="9">
        <v>241.52</v>
      </c>
      <c r="AI1506" s="4">
        <v>1</v>
      </c>
    </row>
    <row r="1507" spans="20:35">
      <c r="T1507" s="9">
        <v>281.8</v>
      </c>
      <c r="U1507" s="4">
        <v>1</v>
      </c>
      <c r="AH1507" s="9">
        <v>242</v>
      </c>
      <c r="AI1507" s="4">
        <v>1</v>
      </c>
    </row>
    <row r="1508" spans="20:35">
      <c r="T1508" s="9">
        <v>281.89999999999998</v>
      </c>
      <c r="U1508" s="4">
        <v>2</v>
      </c>
      <c r="AH1508" s="9">
        <v>243</v>
      </c>
      <c r="AI1508" s="4">
        <v>1</v>
      </c>
    </row>
    <row r="1509" spans="20:35">
      <c r="T1509" s="9">
        <v>282</v>
      </c>
      <c r="U1509" s="4">
        <v>1</v>
      </c>
      <c r="AH1509" s="9">
        <v>246</v>
      </c>
      <c r="AI1509" s="4">
        <v>1</v>
      </c>
    </row>
    <row r="1510" spans="20:35">
      <c r="T1510" s="9">
        <v>282.10000000000002</v>
      </c>
      <c r="U1510" s="4">
        <v>2</v>
      </c>
      <c r="AH1510" s="9">
        <v>249</v>
      </c>
      <c r="AI1510" s="4">
        <v>1</v>
      </c>
    </row>
    <row r="1511" spans="20:35">
      <c r="T1511" s="9">
        <v>282.2</v>
      </c>
      <c r="U1511" s="4">
        <v>1</v>
      </c>
      <c r="AH1511" s="9">
        <v>250.31</v>
      </c>
      <c r="AI1511" s="4">
        <v>1</v>
      </c>
    </row>
    <row r="1512" spans="20:35">
      <c r="T1512" s="9">
        <v>282.3</v>
      </c>
      <c r="U1512" s="4">
        <v>2</v>
      </c>
      <c r="AH1512" s="9">
        <v>253</v>
      </c>
      <c r="AI1512" s="4">
        <v>1</v>
      </c>
    </row>
    <row r="1513" spans="20:35">
      <c r="T1513" s="9">
        <v>282.5</v>
      </c>
      <c r="U1513" s="4">
        <v>2</v>
      </c>
      <c r="AH1513" s="9">
        <v>255</v>
      </c>
      <c r="AI1513" s="4">
        <v>1</v>
      </c>
    </row>
    <row r="1514" spans="20:35">
      <c r="T1514" s="9">
        <v>282.60000000000002</v>
      </c>
      <c r="U1514" s="4">
        <v>1</v>
      </c>
      <c r="AH1514" s="9">
        <v>258</v>
      </c>
      <c r="AI1514" s="4">
        <v>1</v>
      </c>
    </row>
    <row r="1515" spans="20:35">
      <c r="T1515" s="9">
        <v>283</v>
      </c>
      <c r="U1515" s="4">
        <v>3</v>
      </c>
      <c r="AH1515" s="9">
        <v>261.17</v>
      </c>
      <c r="AI1515" s="4">
        <v>1</v>
      </c>
    </row>
    <row r="1516" spans="20:35">
      <c r="T1516" s="9">
        <v>283.3</v>
      </c>
      <c r="U1516" s="4">
        <v>1</v>
      </c>
      <c r="AH1516" s="9">
        <v>263</v>
      </c>
      <c r="AI1516" s="4">
        <v>1</v>
      </c>
    </row>
    <row r="1517" spans="20:35">
      <c r="T1517" s="9">
        <v>283.39999999999998</v>
      </c>
      <c r="U1517" s="4">
        <v>2</v>
      </c>
      <c r="AH1517" s="9">
        <v>265</v>
      </c>
      <c r="AI1517" s="4">
        <v>2</v>
      </c>
    </row>
    <row r="1518" spans="20:35">
      <c r="T1518" s="9">
        <v>283.5</v>
      </c>
      <c r="U1518" s="4">
        <v>3</v>
      </c>
      <c r="AH1518" s="9">
        <v>266.27999999999997</v>
      </c>
      <c r="AI1518" s="4">
        <v>1</v>
      </c>
    </row>
    <row r="1519" spans="20:35">
      <c r="T1519" s="9">
        <v>283.60000000000002</v>
      </c>
      <c r="U1519" s="4">
        <v>2</v>
      </c>
      <c r="AH1519" s="9">
        <v>267</v>
      </c>
      <c r="AI1519" s="4">
        <v>1</v>
      </c>
    </row>
    <row r="1520" spans="20:35">
      <c r="T1520" s="9">
        <v>283.8</v>
      </c>
      <c r="U1520" s="4">
        <v>4</v>
      </c>
      <c r="AH1520" s="9">
        <v>268.44</v>
      </c>
      <c r="AI1520" s="4">
        <v>1</v>
      </c>
    </row>
    <row r="1521" spans="20:35">
      <c r="T1521" s="9">
        <v>284.2</v>
      </c>
      <c r="U1521" s="4">
        <v>2</v>
      </c>
      <c r="AH1521" s="9">
        <v>270</v>
      </c>
      <c r="AI1521" s="4">
        <v>2</v>
      </c>
    </row>
    <row r="1522" spans="20:35">
      <c r="T1522" s="9">
        <v>284.60000000000002</v>
      </c>
      <c r="U1522" s="4">
        <v>1</v>
      </c>
      <c r="AH1522" s="9">
        <v>271.83</v>
      </c>
      <c r="AI1522" s="4">
        <v>1</v>
      </c>
    </row>
    <row r="1523" spans="20:35">
      <c r="T1523" s="9">
        <v>284.7</v>
      </c>
      <c r="U1523" s="4">
        <v>1</v>
      </c>
      <c r="AH1523" s="9">
        <v>272</v>
      </c>
      <c r="AI1523" s="4">
        <v>1</v>
      </c>
    </row>
    <row r="1524" spans="20:35">
      <c r="T1524" s="9">
        <v>284.8</v>
      </c>
      <c r="U1524" s="4">
        <v>2</v>
      </c>
      <c r="AH1524" s="9">
        <v>272.43</v>
      </c>
      <c r="AI1524" s="4">
        <v>1</v>
      </c>
    </row>
    <row r="1525" spans="20:35">
      <c r="T1525" s="9">
        <v>285</v>
      </c>
      <c r="U1525" s="4">
        <v>2</v>
      </c>
      <c r="AH1525" s="9">
        <v>275.45999999999998</v>
      </c>
      <c r="AI1525" s="4">
        <v>1</v>
      </c>
    </row>
    <row r="1526" spans="20:35">
      <c r="T1526" s="9">
        <v>285.10000000000002</v>
      </c>
      <c r="U1526" s="4">
        <v>1</v>
      </c>
      <c r="AH1526" s="9">
        <v>281</v>
      </c>
      <c r="AI1526" s="4">
        <v>1</v>
      </c>
    </row>
    <row r="1527" spans="20:35">
      <c r="T1527" s="9">
        <v>285.2</v>
      </c>
      <c r="U1527" s="4">
        <v>1</v>
      </c>
      <c r="AH1527" s="9">
        <v>283</v>
      </c>
      <c r="AI1527" s="4">
        <v>1</v>
      </c>
    </row>
    <row r="1528" spans="20:35">
      <c r="T1528" s="9">
        <v>285.3</v>
      </c>
      <c r="U1528" s="4">
        <v>1</v>
      </c>
      <c r="AH1528" s="9">
        <v>283.20999999999998</v>
      </c>
      <c r="AI1528" s="4">
        <v>1</v>
      </c>
    </row>
    <row r="1529" spans="20:35">
      <c r="T1529" s="9">
        <v>285.39999999999998</v>
      </c>
      <c r="U1529" s="4">
        <v>2</v>
      </c>
      <c r="AH1529" s="9">
        <v>285</v>
      </c>
      <c r="AI1529" s="4">
        <v>1</v>
      </c>
    </row>
    <row r="1530" spans="20:35">
      <c r="T1530" s="9">
        <v>285.60000000000002</v>
      </c>
      <c r="U1530" s="4">
        <v>1</v>
      </c>
      <c r="AH1530" s="9">
        <v>286.51</v>
      </c>
      <c r="AI1530" s="4">
        <v>1</v>
      </c>
    </row>
    <row r="1531" spans="20:35">
      <c r="T1531" s="9">
        <v>285.8</v>
      </c>
      <c r="U1531" s="4">
        <v>1</v>
      </c>
      <c r="AH1531" s="9">
        <v>286.88</v>
      </c>
      <c r="AI1531" s="4">
        <v>1</v>
      </c>
    </row>
    <row r="1532" spans="20:35">
      <c r="T1532" s="9">
        <v>286</v>
      </c>
      <c r="U1532" s="4">
        <v>1</v>
      </c>
      <c r="AH1532" s="9">
        <v>289</v>
      </c>
      <c r="AI1532" s="4">
        <v>1</v>
      </c>
    </row>
    <row r="1533" spans="20:35">
      <c r="T1533" s="9">
        <v>286.10000000000002</v>
      </c>
      <c r="U1533" s="4">
        <v>2</v>
      </c>
      <c r="AH1533" s="9">
        <v>291</v>
      </c>
      <c r="AI1533" s="4">
        <v>1</v>
      </c>
    </row>
    <row r="1534" spans="20:35">
      <c r="T1534" s="9">
        <v>286.2</v>
      </c>
      <c r="U1534" s="4">
        <v>1</v>
      </c>
      <c r="AH1534" s="9">
        <v>294</v>
      </c>
      <c r="AI1534" s="4">
        <v>1</v>
      </c>
    </row>
    <row r="1535" spans="20:35">
      <c r="T1535" s="9">
        <v>286.60000000000002</v>
      </c>
      <c r="U1535" s="4">
        <v>1</v>
      </c>
      <c r="AH1535" s="9">
        <v>300</v>
      </c>
      <c r="AI1535" s="4">
        <v>1</v>
      </c>
    </row>
    <row r="1536" spans="20:35">
      <c r="T1536" s="9">
        <v>287</v>
      </c>
      <c r="U1536" s="4">
        <v>1</v>
      </c>
      <c r="AH1536" s="9">
        <v>301.10000000000002</v>
      </c>
      <c r="AI1536" s="4">
        <v>1</v>
      </c>
    </row>
    <row r="1537" spans="20:35">
      <c r="T1537" s="9">
        <v>287.2</v>
      </c>
      <c r="U1537" s="4">
        <v>1</v>
      </c>
      <c r="AH1537" s="9">
        <v>306</v>
      </c>
      <c r="AI1537" s="4">
        <v>1</v>
      </c>
    </row>
    <row r="1538" spans="20:35">
      <c r="T1538" s="9">
        <v>287.5</v>
      </c>
      <c r="U1538" s="4">
        <v>4</v>
      </c>
      <c r="AH1538" s="9">
        <v>308.13</v>
      </c>
      <c r="AI1538" s="4">
        <v>1</v>
      </c>
    </row>
    <row r="1539" spans="20:35">
      <c r="T1539" s="9">
        <v>287.60000000000002</v>
      </c>
      <c r="U1539" s="4">
        <v>2</v>
      </c>
      <c r="AH1539" s="9">
        <v>308.47000000000003</v>
      </c>
      <c r="AI1539" s="4">
        <v>1</v>
      </c>
    </row>
    <row r="1540" spans="20:35">
      <c r="T1540" s="9">
        <v>287.8</v>
      </c>
      <c r="U1540" s="4">
        <v>1</v>
      </c>
      <c r="AH1540" s="9">
        <v>309</v>
      </c>
      <c r="AI1540" s="4">
        <v>1</v>
      </c>
    </row>
    <row r="1541" spans="20:35">
      <c r="T1541" s="9">
        <v>288.10000000000002</v>
      </c>
      <c r="U1541" s="4">
        <v>3</v>
      </c>
      <c r="AH1541" s="9">
        <v>310</v>
      </c>
      <c r="AI1541" s="4">
        <v>3</v>
      </c>
    </row>
    <row r="1542" spans="20:35">
      <c r="T1542" s="9">
        <v>288.3</v>
      </c>
      <c r="U1542" s="4">
        <v>2</v>
      </c>
      <c r="AH1542" s="9">
        <v>311.02999999999997</v>
      </c>
      <c r="AI1542" s="4">
        <v>1</v>
      </c>
    </row>
    <row r="1543" spans="20:35">
      <c r="T1543" s="9">
        <v>288.39999999999998</v>
      </c>
      <c r="U1543" s="4">
        <v>2</v>
      </c>
      <c r="AH1543" s="9">
        <v>314.73</v>
      </c>
      <c r="AI1543" s="4">
        <v>1</v>
      </c>
    </row>
    <row r="1544" spans="20:35">
      <c r="T1544" s="9">
        <v>288.5</v>
      </c>
      <c r="U1544" s="4">
        <v>1</v>
      </c>
      <c r="AH1544" s="9">
        <v>317.7</v>
      </c>
      <c r="AI1544" s="4">
        <v>1</v>
      </c>
    </row>
    <row r="1545" spans="20:35">
      <c r="T1545" s="9">
        <v>288.60000000000002</v>
      </c>
      <c r="U1545" s="4">
        <v>2</v>
      </c>
      <c r="AH1545" s="9">
        <v>318</v>
      </c>
      <c r="AI1545" s="4">
        <v>2</v>
      </c>
    </row>
    <row r="1546" spans="20:35">
      <c r="T1546" s="9">
        <v>288.8</v>
      </c>
      <c r="U1546" s="4">
        <v>2</v>
      </c>
      <c r="AH1546" s="9">
        <v>324</v>
      </c>
      <c r="AI1546" s="4">
        <v>1</v>
      </c>
    </row>
    <row r="1547" spans="20:35">
      <c r="T1547" s="9">
        <v>288.89999999999998</v>
      </c>
      <c r="U1547" s="4">
        <v>1</v>
      </c>
      <c r="AH1547" s="9">
        <v>326</v>
      </c>
      <c r="AI1547" s="4">
        <v>1</v>
      </c>
    </row>
    <row r="1548" spans="20:35">
      <c r="T1548" s="9">
        <v>289</v>
      </c>
      <c r="U1548" s="4">
        <v>1</v>
      </c>
      <c r="AH1548" s="9">
        <v>326.22000000000003</v>
      </c>
      <c r="AI1548" s="4">
        <v>1</v>
      </c>
    </row>
    <row r="1549" spans="20:35">
      <c r="T1549" s="9">
        <v>289.10000000000002</v>
      </c>
      <c r="U1549" s="4">
        <v>1</v>
      </c>
      <c r="AH1549" s="9">
        <v>327.41000000000003</v>
      </c>
      <c r="AI1549" s="4">
        <v>1</v>
      </c>
    </row>
    <row r="1550" spans="20:35">
      <c r="T1550" s="9">
        <v>289.2</v>
      </c>
      <c r="U1550" s="4">
        <v>1</v>
      </c>
      <c r="AH1550" s="9">
        <v>327.44</v>
      </c>
      <c r="AI1550" s="4">
        <v>1</v>
      </c>
    </row>
    <row r="1551" spans="20:35">
      <c r="T1551" s="9">
        <v>289.5</v>
      </c>
      <c r="U1551" s="4">
        <v>1</v>
      </c>
      <c r="AH1551" s="9">
        <v>328</v>
      </c>
      <c r="AI1551" s="4">
        <v>1</v>
      </c>
    </row>
    <row r="1552" spans="20:35">
      <c r="T1552" s="9">
        <v>290</v>
      </c>
      <c r="U1552" s="4">
        <v>1</v>
      </c>
      <c r="AH1552" s="9">
        <v>330</v>
      </c>
      <c r="AI1552" s="4">
        <v>1</v>
      </c>
    </row>
    <row r="1553" spans="20:35">
      <c r="T1553" s="9">
        <v>290.10000000000002</v>
      </c>
      <c r="U1553" s="4">
        <v>4</v>
      </c>
      <c r="AH1553" s="9">
        <v>331.14</v>
      </c>
      <c r="AI1553" s="4">
        <v>1</v>
      </c>
    </row>
    <row r="1554" spans="20:35">
      <c r="T1554" s="9">
        <v>290.3</v>
      </c>
      <c r="U1554" s="4">
        <v>1</v>
      </c>
      <c r="AH1554" s="9">
        <v>332</v>
      </c>
      <c r="AI1554" s="4">
        <v>1</v>
      </c>
    </row>
    <row r="1555" spans="20:35">
      <c r="T1555" s="9">
        <v>290.5</v>
      </c>
      <c r="U1555" s="4">
        <v>1</v>
      </c>
      <c r="AH1555" s="9">
        <v>334</v>
      </c>
      <c r="AI1555" s="4">
        <v>1</v>
      </c>
    </row>
    <row r="1556" spans="20:35">
      <c r="T1556" s="9">
        <v>290.60000000000002</v>
      </c>
      <c r="U1556" s="4">
        <v>2</v>
      </c>
      <c r="AH1556" s="9">
        <v>336</v>
      </c>
      <c r="AI1556" s="4">
        <v>1</v>
      </c>
    </row>
    <row r="1557" spans="20:35">
      <c r="T1557" s="9">
        <v>290.8</v>
      </c>
      <c r="U1557" s="4">
        <v>2</v>
      </c>
      <c r="AH1557" s="9">
        <v>340</v>
      </c>
      <c r="AI1557" s="4">
        <v>1</v>
      </c>
    </row>
    <row r="1558" spans="20:35">
      <c r="T1558" s="9">
        <v>291</v>
      </c>
      <c r="U1558" s="4">
        <v>1</v>
      </c>
      <c r="AH1558" s="9">
        <v>340.62</v>
      </c>
      <c r="AI1558" s="4">
        <v>1</v>
      </c>
    </row>
    <row r="1559" spans="20:35">
      <c r="T1559" s="9">
        <v>291.39999999999998</v>
      </c>
      <c r="U1559" s="4">
        <v>2</v>
      </c>
      <c r="AH1559" s="9">
        <v>344.28</v>
      </c>
      <c r="AI1559" s="4">
        <v>1</v>
      </c>
    </row>
    <row r="1560" spans="20:35">
      <c r="T1560" s="9">
        <v>291.60000000000002</v>
      </c>
      <c r="U1560" s="4">
        <v>1</v>
      </c>
      <c r="AH1560" s="9">
        <v>346</v>
      </c>
      <c r="AI1560" s="4">
        <v>1</v>
      </c>
    </row>
    <row r="1561" spans="20:35">
      <c r="T1561" s="9">
        <v>292.10000000000002</v>
      </c>
      <c r="U1561" s="4">
        <v>2</v>
      </c>
      <c r="AH1561" s="9">
        <v>347</v>
      </c>
      <c r="AI1561" s="4">
        <v>1</v>
      </c>
    </row>
    <row r="1562" spans="20:35">
      <c r="T1562" s="9">
        <v>292.2</v>
      </c>
      <c r="U1562" s="4">
        <v>2</v>
      </c>
      <c r="AH1562" s="9">
        <v>348</v>
      </c>
      <c r="AI1562" s="4">
        <v>1</v>
      </c>
    </row>
    <row r="1563" spans="20:35">
      <c r="T1563" s="9">
        <v>292.3</v>
      </c>
      <c r="U1563" s="4">
        <v>1</v>
      </c>
      <c r="AH1563" s="9">
        <v>349</v>
      </c>
      <c r="AI1563" s="4">
        <v>1</v>
      </c>
    </row>
    <row r="1564" spans="20:35">
      <c r="T1564" s="9">
        <v>292.39999999999998</v>
      </c>
      <c r="U1564" s="4">
        <v>1</v>
      </c>
      <c r="AH1564" s="9">
        <v>350</v>
      </c>
      <c r="AI1564" s="4">
        <v>1</v>
      </c>
    </row>
    <row r="1565" spans="20:35">
      <c r="T1565" s="9">
        <v>292.5</v>
      </c>
      <c r="U1565" s="4">
        <v>1</v>
      </c>
      <c r="AH1565" s="9">
        <v>351</v>
      </c>
      <c r="AI1565" s="4">
        <v>1</v>
      </c>
    </row>
    <row r="1566" spans="20:35">
      <c r="T1566" s="9">
        <v>292.7</v>
      </c>
      <c r="U1566" s="4">
        <v>1</v>
      </c>
      <c r="AH1566" s="9">
        <v>354</v>
      </c>
      <c r="AI1566" s="4">
        <v>1</v>
      </c>
    </row>
    <row r="1567" spans="20:35">
      <c r="T1567" s="9">
        <v>293</v>
      </c>
      <c r="U1567" s="4">
        <v>1</v>
      </c>
      <c r="AH1567" s="9">
        <v>355.23</v>
      </c>
      <c r="AI1567" s="4">
        <v>1</v>
      </c>
    </row>
    <row r="1568" spans="20:35">
      <c r="T1568" s="9">
        <v>293.10000000000002</v>
      </c>
      <c r="U1568" s="4">
        <v>2</v>
      </c>
      <c r="AH1568" s="9">
        <v>357</v>
      </c>
      <c r="AI1568" s="4">
        <v>1</v>
      </c>
    </row>
    <row r="1569" spans="20:35">
      <c r="T1569" s="9">
        <v>293.3</v>
      </c>
      <c r="U1569" s="4">
        <v>1</v>
      </c>
      <c r="AH1569" s="9">
        <v>364</v>
      </c>
      <c r="AI1569" s="4">
        <v>1</v>
      </c>
    </row>
    <row r="1570" spans="20:35">
      <c r="T1570" s="9">
        <v>293.39999999999998</v>
      </c>
      <c r="U1570" s="4">
        <v>1</v>
      </c>
      <c r="AH1570" s="9">
        <v>366</v>
      </c>
      <c r="AI1570" s="4">
        <v>1</v>
      </c>
    </row>
    <row r="1571" spans="20:35">
      <c r="T1571" s="9">
        <v>293.5</v>
      </c>
      <c r="U1571" s="4">
        <v>1</v>
      </c>
      <c r="AH1571" s="9">
        <v>367</v>
      </c>
      <c r="AI1571" s="4">
        <v>2</v>
      </c>
    </row>
    <row r="1572" spans="20:35">
      <c r="T1572" s="9">
        <v>293.60000000000002</v>
      </c>
      <c r="U1572" s="4">
        <v>1</v>
      </c>
      <c r="AH1572" s="9">
        <v>370</v>
      </c>
      <c r="AI1572" s="4">
        <v>1</v>
      </c>
    </row>
    <row r="1573" spans="20:35">
      <c r="T1573" s="9">
        <v>293.89999999999998</v>
      </c>
      <c r="U1573" s="4">
        <v>1</v>
      </c>
      <c r="AH1573" s="9">
        <v>371</v>
      </c>
      <c r="AI1573" s="4">
        <v>3</v>
      </c>
    </row>
    <row r="1574" spans="20:35">
      <c r="T1574" s="9">
        <v>294.10000000000002</v>
      </c>
      <c r="U1574" s="4">
        <v>3</v>
      </c>
      <c r="AH1574" s="9">
        <v>374</v>
      </c>
      <c r="AI1574" s="4">
        <v>1</v>
      </c>
    </row>
    <row r="1575" spans="20:35">
      <c r="T1575" s="9">
        <v>294.39999999999998</v>
      </c>
      <c r="U1575" s="4">
        <v>1</v>
      </c>
      <c r="AH1575" s="9">
        <v>390</v>
      </c>
      <c r="AI1575" s="4">
        <v>1</v>
      </c>
    </row>
    <row r="1576" spans="20:35">
      <c r="T1576" s="9">
        <v>294.7</v>
      </c>
      <c r="U1576" s="4">
        <v>2</v>
      </c>
      <c r="AH1576" s="9">
        <v>393.28</v>
      </c>
      <c r="AI1576" s="4">
        <v>1</v>
      </c>
    </row>
    <row r="1577" spans="20:35">
      <c r="T1577" s="9">
        <v>294.8</v>
      </c>
      <c r="U1577" s="4">
        <v>1</v>
      </c>
      <c r="AH1577" s="9">
        <v>394</v>
      </c>
      <c r="AI1577" s="4">
        <v>1</v>
      </c>
    </row>
    <row r="1578" spans="20:35">
      <c r="T1578" s="9">
        <v>295.10000000000002</v>
      </c>
      <c r="U1578" s="4">
        <v>1</v>
      </c>
      <c r="AH1578" s="9">
        <v>395</v>
      </c>
      <c r="AI1578" s="4">
        <v>2</v>
      </c>
    </row>
    <row r="1579" spans="20:35">
      <c r="T1579" s="9">
        <v>295.2</v>
      </c>
      <c r="U1579" s="4">
        <v>2</v>
      </c>
      <c r="AH1579" s="9">
        <v>396</v>
      </c>
      <c r="AI1579" s="4">
        <v>1</v>
      </c>
    </row>
    <row r="1580" spans="20:35">
      <c r="T1580" s="9">
        <v>295.60000000000002</v>
      </c>
      <c r="U1580" s="4">
        <v>1</v>
      </c>
      <c r="AH1580" s="9">
        <v>398.2</v>
      </c>
      <c r="AI1580" s="4">
        <v>1</v>
      </c>
    </row>
    <row r="1581" spans="20:35">
      <c r="T1581" s="9">
        <v>295.89999999999998</v>
      </c>
      <c r="U1581" s="4">
        <v>1</v>
      </c>
      <c r="AH1581" s="9">
        <v>399</v>
      </c>
      <c r="AI1581" s="4">
        <v>2</v>
      </c>
    </row>
    <row r="1582" spans="20:35">
      <c r="T1582" s="9">
        <v>296.2</v>
      </c>
      <c r="U1582" s="4">
        <v>1</v>
      </c>
      <c r="AH1582" s="9">
        <v>401</v>
      </c>
      <c r="AI1582" s="4">
        <v>1</v>
      </c>
    </row>
    <row r="1583" spans="20:35">
      <c r="T1583" s="9">
        <v>296.3</v>
      </c>
      <c r="U1583" s="4">
        <v>1</v>
      </c>
      <c r="AH1583" s="9">
        <v>405</v>
      </c>
      <c r="AI1583" s="4">
        <v>1</v>
      </c>
    </row>
    <row r="1584" spans="20:35">
      <c r="T1584" s="9">
        <v>296.39999999999998</v>
      </c>
      <c r="U1584" s="4">
        <v>1</v>
      </c>
      <c r="AH1584" s="9">
        <v>408</v>
      </c>
      <c r="AI1584" s="4">
        <v>1</v>
      </c>
    </row>
    <row r="1585" spans="20:35">
      <c r="T1585" s="9">
        <v>296.60000000000002</v>
      </c>
      <c r="U1585" s="4">
        <v>1</v>
      </c>
      <c r="AH1585" s="9">
        <v>409</v>
      </c>
      <c r="AI1585" s="4">
        <v>1</v>
      </c>
    </row>
    <row r="1586" spans="20:35">
      <c r="T1586" s="9">
        <v>296.89999999999998</v>
      </c>
      <c r="U1586" s="4">
        <v>1</v>
      </c>
      <c r="AH1586" s="9">
        <v>411</v>
      </c>
      <c r="AI1586" s="4">
        <v>2</v>
      </c>
    </row>
    <row r="1587" spans="20:35">
      <c r="T1587" s="9">
        <v>297</v>
      </c>
      <c r="U1587" s="4">
        <v>1</v>
      </c>
      <c r="AH1587" s="9">
        <v>415</v>
      </c>
      <c r="AI1587" s="4">
        <v>1</v>
      </c>
    </row>
    <row r="1588" spans="20:35">
      <c r="T1588" s="9">
        <v>297.10000000000002</v>
      </c>
      <c r="U1588" s="4">
        <v>1</v>
      </c>
      <c r="AH1588" s="9">
        <v>419</v>
      </c>
      <c r="AI1588" s="4">
        <v>1</v>
      </c>
    </row>
    <row r="1589" spans="20:35">
      <c r="T1589" s="9">
        <v>297.39999999999998</v>
      </c>
      <c r="U1589" s="4">
        <v>1</v>
      </c>
      <c r="AH1589" s="9">
        <v>424</v>
      </c>
      <c r="AI1589" s="4">
        <v>3</v>
      </c>
    </row>
    <row r="1590" spans="20:35">
      <c r="T1590" s="9">
        <v>297.5</v>
      </c>
      <c r="U1590" s="4">
        <v>1</v>
      </c>
      <c r="AH1590" s="9">
        <v>425</v>
      </c>
      <c r="AI1590" s="4">
        <v>3</v>
      </c>
    </row>
    <row r="1591" spans="20:35">
      <c r="T1591" s="9">
        <v>297.60000000000002</v>
      </c>
      <c r="U1591" s="4">
        <v>1</v>
      </c>
      <c r="AH1591" s="9">
        <v>426</v>
      </c>
      <c r="AI1591" s="4">
        <v>2</v>
      </c>
    </row>
    <row r="1592" spans="20:35">
      <c r="T1592" s="9">
        <v>297.89999999999998</v>
      </c>
      <c r="U1592" s="4">
        <v>1</v>
      </c>
      <c r="AH1592" s="9">
        <v>428</v>
      </c>
      <c r="AI1592" s="4">
        <v>1</v>
      </c>
    </row>
    <row r="1593" spans="20:35">
      <c r="T1593" s="9">
        <v>298</v>
      </c>
      <c r="U1593" s="4">
        <v>2</v>
      </c>
      <c r="AH1593" s="9">
        <v>430</v>
      </c>
      <c r="AI1593" s="4">
        <v>1</v>
      </c>
    </row>
    <row r="1594" spans="20:35">
      <c r="T1594" s="9">
        <v>298.10000000000002</v>
      </c>
      <c r="U1594" s="4">
        <v>1</v>
      </c>
      <c r="AH1594" s="9">
        <v>432</v>
      </c>
      <c r="AI1594" s="4">
        <v>2</v>
      </c>
    </row>
    <row r="1595" spans="20:35">
      <c r="T1595" s="9">
        <v>298.3</v>
      </c>
      <c r="U1595" s="4">
        <v>1</v>
      </c>
      <c r="AH1595" s="9">
        <v>434</v>
      </c>
      <c r="AI1595" s="4">
        <v>1</v>
      </c>
    </row>
    <row r="1596" spans="20:35">
      <c r="T1596" s="9">
        <v>298.39999999999998</v>
      </c>
      <c r="U1596" s="4">
        <v>3</v>
      </c>
      <c r="AH1596" s="9">
        <v>435</v>
      </c>
      <c r="AI1596" s="4">
        <v>1</v>
      </c>
    </row>
    <row r="1597" spans="20:35">
      <c r="T1597" s="9">
        <v>298.5</v>
      </c>
      <c r="U1597" s="4">
        <v>2</v>
      </c>
      <c r="AH1597" s="9">
        <v>436</v>
      </c>
      <c r="AI1597" s="4">
        <v>3</v>
      </c>
    </row>
    <row r="1598" spans="20:35">
      <c r="T1598" s="9">
        <v>299</v>
      </c>
      <c r="U1598" s="4">
        <v>1</v>
      </c>
      <c r="AH1598" s="9">
        <v>437</v>
      </c>
      <c r="AI1598" s="4">
        <v>1</v>
      </c>
    </row>
    <row r="1599" spans="20:35">
      <c r="T1599" s="9">
        <v>299.3</v>
      </c>
      <c r="U1599" s="4">
        <v>2</v>
      </c>
      <c r="AH1599" s="9">
        <v>440</v>
      </c>
      <c r="AI1599" s="4">
        <v>1</v>
      </c>
    </row>
    <row r="1600" spans="20:35">
      <c r="T1600" s="9">
        <v>299.39999999999998</v>
      </c>
      <c r="U1600" s="4">
        <v>2</v>
      </c>
      <c r="AH1600" s="9">
        <v>441</v>
      </c>
      <c r="AI1600" s="4">
        <v>1</v>
      </c>
    </row>
    <row r="1601" spans="20:35">
      <c r="T1601" s="9">
        <v>299.5</v>
      </c>
      <c r="U1601" s="4">
        <v>1</v>
      </c>
      <c r="AH1601" s="9">
        <v>443</v>
      </c>
      <c r="AI1601" s="4">
        <v>1</v>
      </c>
    </row>
    <row r="1602" spans="20:35">
      <c r="T1602" s="9">
        <v>299.60000000000002</v>
      </c>
      <c r="U1602" s="4">
        <v>2</v>
      </c>
      <c r="AH1602" s="9">
        <v>444</v>
      </c>
      <c r="AI1602" s="4">
        <v>1</v>
      </c>
    </row>
    <row r="1603" spans="20:35">
      <c r="T1603" s="9">
        <v>299.7</v>
      </c>
      <c r="U1603" s="4">
        <v>2</v>
      </c>
      <c r="AH1603" s="9">
        <v>445.39</v>
      </c>
      <c r="AI1603" s="4">
        <v>1</v>
      </c>
    </row>
    <row r="1604" spans="20:35">
      <c r="T1604" s="9">
        <v>299.8</v>
      </c>
      <c r="U1604" s="4">
        <v>4</v>
      </c>
      <c r="AH1604" s="9">
        <v>448</v>
      </c>
      <c r="AI1604" s="4">
        <v>1</v>
      </c>
    </row>
    <row r="1605" spans="20:35">
      <c r="T1605" s="9">
        <v>299.89999999999998</v>
      </c>
      <c r="U1605" s="4">
        <v>1</v>
      </c>
      <c r="AH1605" s="9">
        <v>451</v>
      </c>
      <c r="AI1605" s="4">
        <v>1</v>
      </c>
    </row>
    <row r="1606" spans="20:35">
      <c r="T1606" s="9">
        <v>300</v>
      </c>
      <c r="U1606" s="4">
        <v>1</v>
      </c>
      <c r="AH1606" s="9">
        <v>457</v>
      </c>
      <c r="AI1606" s="4">
        <v>1</v>
      </c>
    </row>
    <row r="1607" spans="20:35">
      <c r="T1607" s="9">
        <v>300.39999999999998</v>
      </c>
      <c r="U1607" s="4">
        <v>2</v>
      </c>
      <c r="AH1607" s="9">
        <v>459</v>
      </c>
      <c r="AI1607" s="4">
        <v>2</v>
      </c>
    </row>
    <row r="1608" spans="20:35">
      <c r="T1608" s="9">
        <v>300.5</v>
      </c>
      <c r="U1608" s="4">
        <v>1</v>
      </c>
      <c r="AH1608" s="9">
        <v>474</v>
      </c>
      <c r="AI1608" s="4">
        <v>1</v>
      </c>
    </row>
    <row r="1609" spans="20:35">
      <c r="T1609" s="9">
        <v>300.7</v>
      </c>
      <c r="U1609" s="4">
        <v>2</v>
      </c>
      <c r="AH1609" s="9">
        <v>477</v>
      </c>
      <c r="AI1609" s="4">
        <v>1</v>
      </c>
    </row>
    <row r="1610" spans="20:35">
      <c r="T1610" s="9">
        <v>300.89999999999998</v>
      </c>
      <c r="U1610" s="4">
        <v>1</v>
      </c>
      <c r="AH1610" s="9">
        <v>479</v>
      </c>
      <c r="AI1610" s="4">
        <v>1</v>
      </c>
    </row>
    <row r="1611" spans="20:35">
      <c r="T1611" s="9">
        <v>301</v>
      </c>
      <c r="U1611" s="4">
        <v>1</v>
      </c>
      <c r="AH1611" s="9">
        <v>480</v>
      </c>
      <c r="AI1611" s="4">
        <v>1</v>
      </c>
    </row>
    <row r="1612" spans="20:35">
      <c r="T1612" s="9">
        <v>301.10000000000002</v>
      </c>
      <c r="U1612" s="4">
        <v>1</v>
      </c>
      <c r="AH1612" s="9">
        <v>482</v>
      </c>
      <c r="AI1612" s="4">
        <v>1</v>
      </c>
    </row>
    <row r="1613" spans="20:35">
      <c r="T1613" s="9">
        <v>301.2</v>
      </c>
      <c r="U1613" s="4">
        <v>1</v>
      </c>
      <c r="AH1613" s="9">
        <v>483</v>
      </c>
      <c r="AI1613" s="4">
        <v>1</v>
      </c>
    </row>
    <row r="1614" spans="20:35">
      <c r="T1614" s="9">
        <v>301.3</v>
      </c>
      <c r="U1614" s="4">
        <v>3</v>
      </c>
      <c r="AH1614" s="9">
        <v>486</v>
      </c>
      <c r="AI1614" s="4">
        <v>1</v>
      </c>
    </row>
    <row r="1615" spans="20:35">
      <c r="T1615" s="9">
        <v>301.5</v>
      </c>
      <c r="U1615" s="4">
        <v>2</v>
      </c>
      <c r="AH1615" s="9">
        <v>491</v>
      </c>
      <c r="AI1615" s="4">
        <v>1</v>
      </c>
    </row>
    <row r="1616" spans="20:35">
      <c r="T1616" s="9">
        <v>301.60000000000002</v>
      </c>
      <c r="U1616" s="4">
        <v>2</v>
      </c>
      <c r="AH1616" s="9">
        <v>493.9</v>
      </c>
      <c r="AI1616" s="4">
        <v>1</v>
      </c>
    </row>
    <row r="1617" spans="20:35">
      <c r="T1617" s="9">
        <v>301.7</v>
      </c>
      <c r="U1617" s="4">
        <v>1</v>
      </c>
      <c r="AH1617" s="9">
        <v>496.62</v>
      </c>
      <c r="AI1617" s="4">
        <v>1</v>
      </c>
    </row>
    <row r="1618" spans="20:35">
      <c r="T1618" s="9">
        <v>301.8</v>
      </c>
      <c r="U1618" s="4">
        <v>2</v>
      </c>
      <c r="AH1618" s="9">
        <v>498.01</v>
      </c>
      <c r="AI1618" s="4">
        <v>1</v>
      </c>
    </row>
    <row r="1619" spans="20:35">
      <c r="T1619" s="9">
        <v>302</v>
      </c>
      <c r="U1619" s="4">
        <v>1</v>
      </c>
      <c r="AH1619" s="9">
        <v>499</v>
      </c>
      <c r="AI1619" s="4">
        <v>1</v>
      </c>
    </row>
    <row r="1620" spans="20:35">
      <c r="T1620" s="9">
        <v>302.2</v>
      </c>
      <c r="U1620" s="4">
        <v>2</v>
      </c>
      <c r="AH1620" s="9">
        <v>501</v>
      </c>
      <c r="AI1620" s="4">
        <v>2</v>
      </c>
    </row>
    <row r="1621" spans="20:35">
      <c r="T1621" s="9">
        <v>302.39999999999998</v>
      </c>
      <c r="U1621" s="4">
        <v>1</v>
      </c>
      <c r="AH1621" s="9">
        <v>502</v>
      </c>
      <c r="AI1621" s="4">
        <v>1</v>
      </c>
    </row>
    <row r="1622" spans="20:35">
      <c r="T1622" s="9">
        <v>302.5</v>
      </c>
      <c r="U1622" s="4">
        <v>1</v>
      </c>
      <c r="AH1622" s="9">
        <v>506.55</v>
      </c>
      <c r="AI1622" s="4">
        <v>1</v>
      </c>
    </row>
    <row r="1623" spans="20:35">
      <c r="T1623" s="9">
        <v>302.60000000000002</v>
      </c>
      <c r="U1623" s="4">
        <v>1</v>
      </c>
      <c r="AH1623" s="9">
        <v>509</v>
      </c>
      <c r="AI1623" s="4">
        <v>2</v>
      </c>
    </row>
    <row r="1624" spans="20:35">
      <c r="T1624" s="9">
        <v>302.8</v>
      </c>
      <c r="U1624" s="4">
        <v>1</v>
      </c>
      <c r="AH1624" s="9">
        <v>511</v>
      </c>
      <c r="AI1624" s="4">
        <v>1</v>
      </c>
    </row>
    <row r="1625" spans="20:35">
      <c r="T1625" s="9">
        <v>302.89999999999998</v>
      </c>
      <c r="U1625" s="4">
        <v>2</v>
      </c>
      <c r="AH1625" s="9">
        <v>515</v>
      </c>
      <c r="AI1625" s="4">
        <v>1</v>
      </c>
    </row>
    <row r="1626" spans="20:35">
      <c r="T1626" s="9">
        <v>303</v>
      </c>
      <c r="U1626" s="4">
        <v>2</v>
      </c>
      <c r="AH1626" s="9">
        <v>519</v>
      </c>
      <c r="AI1626" s="4">
        <v>1</v>
      </c>
    </row>
    <row r="1627" spans="20:35">
      <c r="T1627" s="9">
        <v>303.10000000000002</v>
      </c>
      <c r="U1627" s="4">
        <v>1</v>
      </c>
      <c r="AH1627" s="9">
        <v>523</v>
      </c>
      <c r="AI1627" s="4">
        <v>1</v>
      </c>
    </row>
    <row r="1628" spans="20:35">
      <c r="T1628" s="9">
        <v>303.2</v>
      </c>
      <c r="U1628" s="4">
        <v>1</v>
      </c>
      <c r="AH1628" s="9">
        <v>527</v>
      </c>
      <c r="AI1628" s="4">
        <v>1</v>
      </c>
    </row>
    <row r="1629" spans="20:35">
      <c r="T1629" s="9">
        <v>303.3</v>
      </c>
      <c r="U1629" s="4">
        <v>2</v>
      </c>
      <c r="AH1629" s="9">
        <v>528</v>
      </c>
      <c r="AI1629" s="4">
        <v>1</v>
      </c>
    </row>
    <row r="1630" spans="20:35">
      <c r="T1630" s="9">
        <v>303.5</v>
      </c>
      <c r="U1630" s="4">
        <v>1</v>
      </c>
      <c r="AH1630" s="9">
        <v>529</v>
      </c>
      <c r="AI1630" s="4">
        <v>1</v>
      </c>
    </row>
    <row r="1631" spans="20:35">
      <c r="T1631" s="9">
        <v>303.60000000000002</v>
      </c>
      <c r="U1631" s="4">
        <v>2</v>
      </c>
      <c r="AH1631" s="9">
        <v>534</v>
      </c>
      <c r="AI1631" s="4">
        <v>1</v>
      </c>
    </row>
    <row r="1632" spans="20:35">
      <c r="T1632" s="9">
        <v>303.7</v>
      </c>
      <c r="U1632" s="4">
        <v>1</v>
      </c>
      <c r="AH1632" s="9">
        <v>535</v>
      </c>
      <c r="AI1632" s="4">
        <v>1</v>
      </c>
    </row>
    <row r="1633" spans="20:35">
      <c r="T1633" s="9">
        <v>303.8</v>
      </c>
      <c r="U1633" s="4">
        <v>1</v>
      </c>
      <c r="AH1633" s="9">
        <v>543.29999999999995</v>
      </c>
      <c r="AI1633" s="4">
        <v>1</v>
      </c>
    </row>
    <row r="1634" spans="20:35">
      <c r="T1634" s="9">
        <v>303.89999999999998</v>
      </c>
      <c r="U1634" s="4">
        <v>2</v>
      </c>
      <c r="AH1634" s="9">
        <v>546</v>
      </c>
      <c r="AI1634" s="4">
        <v>1</v>
      </c>
    </row>
    <row r="1635" spans="20:35">
      <c r="T1635" s="9">
        <v>304</v>
      </c>
      <c r="U1635" s="4">
        <v>1</v>
      </c>
      <c r="AH1635" s="9">
        <v>548</v>
      </c>
      <c r="AI1635" s="4">
        <v>1</v>
      </c>
    </row>
    <row r="1636" spans="20:35">
      <c r="T1636" s="9">
        <v>304.10000000000002</v>
      </c>
      <c r="U1636" s="4">
        <v>1</v>
      </c>
      <c r="AH1636" s="9">
        <v>551</v>
      </c>
      <c r="AI1636" s="4">
        <v>1</v>
      </c>
    </row>
    <row r="1637" spans="20:35">
      <c r="T1637" s="9">
        <v>304.39999999999998</v>
      </c>
      <c r="U1637" s="4">
        <v>1</v>
      </c>
      <c r="AH1637" s="9">
        <v>552</v>
      </c>
      <c r="AI1637" s="4">
        <v>2</v>
      </c>
    </row>
    <row r="1638" spans="20:35">
      <c r="T1638" s="9">
        <v>304.60000000000002</v>
      </c>
      <c r="U1638" s="4">
        <v>2</v>
      </c>
      <c r="AH1638" s="9">
        <v>554</v>
      </c>
      <c r="AI1638" s="4">
        <v>1</v>
      </c>
    </row>
    <row r="1639" spans="20:35">
      <c r="T1639" s="9">
        <v>304.7</v>
      </c>
      <c r="U1639" s="4">
        <v>2</v>
      </c>
      <c r="AH1639" s="9">
        <v>555</v>
      </c>
      <c r="AI1639" s="4">
        <v>1</v>
      </c>
    </row>
    <row r="1640" spans="20:35">
      <c r="T1640" s="9">
        <v>304.8</v>
      </c>
      <c r="U1640" s="4">
        <v>2</v>
      </c>
      <c r="AH1640" s="9">
        <v>556</v>
      </c>
      <c r="AI1640" s="4">
        <v>1</v>
      </c>
    </row>
    <row r="1641" spans="20:35">
      <c r="T1641" s="9">
        <v>304.89999999999998</v>
      </c>
      <c r="U1641" s="4">
        <v>1</v>
      </c>
      <c r="AH1641" s="9">
        <v>575.04</v>
      </c>
      <c r="AI1641" s="4">
        <v>1</v>
      </c>
    </row>
    <row r="1642" spans="20:35">
      <c r="T1642" s="9">
        <v>305</v>
      </c>
      <c r="U1642" s="4">
        <v>2</v>
      </c>
      <c r="AH1642" s="9">
        <v>577.95000000000005</v>
      </c>
      <c r="AI1642" s="4">
        <v>1</v>
      </c>
    </row>
    <row r="1643" spans="20:35">
      <c r="T1643" s="9">
        <v>305.39999999999998</v>
      </c>
      <c r="U1643" s="4">
        <v>1</v>
      </c>
      <c r="AH1643" s="9">
        <v>580.38</v>
      </c>
      <c r="AI1643" s="4">
        <v>1</v>
      </c>
    </row>
    <row r="1644" spans="20:35">
      <c r="T1644" s="9">
        <v>305.5</v>
      </c>
      <c r="U1644" s="4">
        <v>2</v>
      </c>
      <c r="AH1644" s="9">
        <v>585.57000000000005</v>
      </c>
      <c r="AI1644" s="4">
        <v>1</v>
      </c>
    </row>
    <row r="1645" spans="20:35">
      <c r="T1645" s="9">
        <v>305.60000000000002</v>
      </c>
      <c r="U1645" s="4">
        <v>2</v>
      </c>
      <c r="AH1645" s="9">
        <v>695.34</v>
      </c>
      <c r="AI1645" s="4">
        <v>1</v>
      </c>
    </row>
    <row r="1646" spans="20:35">
      <c r="T1646" s="9">
        <v>305.8</v>
      </c>
      <c r="U1646" s="4">
        <v>2</v>
      </c>
      <c r="AH1646" s="9">
        <v>706.35</v>
      </c>
      <c r="AI1646" s="4">
        <v>1</v>
      </c>
    </row>
    <row r="1647" spans="20:35">
      <c r="T1647" s="9">
        <v>305.89999999999998</v>
      </c>
      <c r="U1647" s="4">
        <v>1</v>
      </c>
      <c r="AH1647" s="9">
        <v>813.21</v>
      </c>
      <c r="AI1647" s="4">
        <v>1</v>
      </c>
    </row>
    <row r="1648" spans="20:35">
      <c r="T1648" s="9">
        <v>306</v>
      </c>
      <c r="U1648" s="4">
        <v>3</v>
      </c>
      <c r="AH1648" s="9">
        <v>1312</v>
      </c>
      <c r="AI1648" s="4">
        <v>1</v>
      </c>
    </row>
    <row r="1649" spans="20:35">
      <c r="T1649" s="9">
        <v>306.10000000000002</v>
      </c>
      <c r="U1649" s="4">
        <v>2</v>
      </c>
      <c r="AH1649" s="9">
        <v>1412</v>
      </c>
      <c r="AI1649" s="4">
        <v>1</v>
      </c>
    </row>
    <row r="1650" spans="20:35">
      <c r="T1650" s="9">
        <v>306.39999999999998</v>
      </c>
      <c r="U1650" s="4">
        <v>2</v>
      </c>
      <c r="AH1650" s="9">
        <v>1419.3</v>
      </c>
      <c r="AI1650" s="4">
        <v>1</v>
      </c>
    </row>
    <row r="1651" spans="20:35">
      <c r="T1651" s="9">
        <v>306.60000000000002</v>
      </c>
      <c r="U1651" s="4">
        <v>5</v>
      </c>
    </row>
    <row r="1652" spans="20:35">
      <c r="T1652" s="9">
        <v>306.8</v>
      </c>
      <c r="U1652" s="4">
        <v>2</v>
      </c>
    </row>
    <row r="1653" spans="20:35">
      <c r="T1653" s="9">
        <v>306.89999999999998</v>
      </c>
      <c r="U1653" s="4">
        <v>2</v>
      </c>
    </row>
    <row r="1654" spans="20:35">
      <c r="T1654" s="9">
        <v>307</v>
      </c>
      <c r="U1654" s="4">
        <v>1</v>
      </c>
    </row>
    <row r="1655" spans="20:35">
      <c r="T1655" s="9">
        <v>307.10000000000002</v>
      </c>
      <c r="U1655" s="4">
        <v>1</v>
      </c>
    </row>
    <row r="1656" spans="20:35">
      <c r="T1656" s="9">
        <v>307.2</v>
      </c>
      <c r="U1656" s="4">
        <v>2</v>
      </c>
    </row>
    <row r="1657" spans="20:35">
      <c r="T1657" s="9">
        <v>307.7</v>
      </c>
      <c r="U1657" s="4">
        <v>1</v>
      </c>
    </row>
    <row r="1658" spans="20:35">
      <c r="T1658" s="9">
        <v>307.8</v>
      </c>
      <c r="U1658" s="4">
        <v>2</v>
      </c>
    </row>
    <row r="1659" spans="20:35">
      <c r="T1659" s="9">
        <v>308.2</v>
      </c>
      <c r="U1659" s="4">
        <v>1</v>
      </c>
    </row>
    <row r="1660" spans="20:35">
      <c r="T1660" s="9">
        <v>309.2</v>
      </c>
      <c r="U1660" s="4">
        <v>1</v>
      </c>
    </row>
    <row r="1661" spans="20:35">
      <c r="T1661" s="9">
        <v>309.39999999999998</v>
      </c>
      <c r="U1661" s="4">
        <v>2</v>
      </c>
    </row>
    <row r="1662" spans="20:35">
      <c r="T1662" s="9">
        <v>309.5</v>
      </c>
      <c r="U1662" s="4">
        <v>1</v>
      </c>
    </row>
    <row r="1663" spans="20:35">
      <c r="T1663" s="9">
        <v>309.7</v>
      </c>
      <c r="U1663" s="4">
        <v>1</v>
      </c>
    </row>
    <row r="1664" spans="20:35">
      <c r="T1664" s="9">
        <v>309.8</v>
      </c>
      <c r="U1664" s="4">
        <v>1</v>
      </c>
    </row>
    <row r="1665" spans="20:21">
      <c r="T1665" s="9">
        <v>310.10000000000002</v>
      </c>
      <c r="U1665" s="4">
        <v>1</v>
      </c>
    </row>
    <row r="1666" spans="20:21">
      <c r="T1666" s="9">
        <v>310.3</v>
      </c>
      <c r="U1666" s="4">
        <v>2</v>
      </c>
    </row>
    <row r="1667" spans="20:21">
      <c r="T1667" s="9">
        <v>310.39999999999998</v>
      </c>
      <c r="U1667" s="4">
        <v>2</v>
      </c>
    </row>
    <row r="1668" spans="20:21">
      <c r="T1668" s="9">
        <v>310.60000000000002</v>
      </c>
      <c r="U1668" s="4">
        <v>1</v>
      </c>
    </row>
    <row r="1669" spans="20:21">
      <c r="T1669" s="9">
        <v>310.8</v>
      </c>
      <c r="U1669" s="4">
        <v>1</v>
      </c>
    </row>
    <row r="1670" spans="20:21">
      <c r="T1670" s="9">
        <v>311</v>
      </c>
      <c r="U1670" s="4">
        <v>1</v>
      </c>
    </row>
    <row r="1671" spans="20:21">
      <c r="T1671" s="9">
        <v>311.3</v>
      </c>
      <c r="U1671" s="4">
        <v>2</v>
      </c>
    </row>
    <row r="1672" spans="20:21">
      <c r="T1672" s="9">
        <v>311.5</v>
      </c>
      <c r="U1672" s="4">
        <v>2</v>
      </c>
    </row>
    <row r="1673" spans="20:21">
      <c r="T1673" s="9">
        <v>311.8</v>
      </c>
      <c r="U1673" s="4">
        <v>1</v>
      </c>
    </row>
    <row r="1674" spans="20:21">
      <c r="T1674" s="9">
        <v>311.89999999999998</v>
      </c>
      <c r="U1674" s="4">
        <v>3</v>
      </c>
    </row>
    <row r="1675" spans="20:21">
      <c r="T1675" s="9">
        <v>312</v>
      </c>
      <c r="U1675" s="4">
        <v>1</v>
      </c>
    </row>
    <row r="1676" spans="20:21">
      <c r="T1676" s="9">
        <v>312.10000000000002</v>
      </c>
      <c r="U1676" s="4">
        <v>3</v>
      </c>
    </row>
    <row r="1677" spans="20:21">
      <c r="T1677" s="9">
        <v>312.2</v>
      </c>
      <c r="U1677" s="4">
        <v>1</v>
      </c>
    </row>
    <row r="1678" spans="20:21">
      <c r="T1678" s="9">
        <v>312.60000000000002</v>
      </c>
      <c r="U1678" s="4">
        <v>1</v>
      </c>
    </row>
    <row r="1679" spans="20:21">
      <c r="T1679" s="9">
        <v>312.8</v>
      </c>
      <c r="U1679" s="4">
        <v>2</v>
      </c>
    </row>
    <row r="1680" spans="20:21">
      <c r="T1680" s="9">
        <v>313</v>
      </c>
      <c r="U1680" s="4">
        <v>2</v>
      </c>
    </row>
    <row r="1681" spans="20:21">
      <c r="T1681" s="9">
        <v>313.10000000000002</v>
      </c>
      <c r="U1681" s="4">
        <v>3</v>
      </c>
    </row>
    <row r="1682" spans="20:21">
      <c r="T1682" s="9">
        <v>313.3</v>
      </c>
      <c r="U1682" s="4">
        <v>1</v>
      </c>
    </row>
    <row r="1683" spans="20:21">
      <c r="T1683" s="9">
        <v>313.39999999999998</v>
      </c>
      <c r="U1683" s="4">
        <v>1</v>
      </c>
    </row>
    <row r="1684" spans="20:21">
      <c r="T1684" s="9">
        <v>313.7</v>
      </c>
      <c r="U1684" s="4">
        <v>3</v>
      </c>
    </row>
    <row r="1685" spans="20:21">
      <c r="T1685" s="9">
        <v>314</v>
      </c>
      <c r="U1685" s="4">
        <v>3</v>
      </c>
    </row>
    <row r="1686" spans="20:21">
      <c r="T1686" s="9">
        <v>314.10000000000002</v>
      </c>
      <c r="U1686" s="4">
        <v>2</v>
      </c>
    </row>
    <row r="1687" spans="20:21">
      <c r="T1687" s="9">
        <v>314.3</v>
      </c>
      <c r="U1687" s="4">
        <v>2</v>
      </c>
    </row>
    <row r="1688" spans="20:21">
      <c r="T1688" s="9">
        <v>314.5</v>
      </c>
      <c r="U1688" s="4">
        <v>1</v>
      </c>
    </row>
    <row r="1689" spans="20:21">
      <c r="T1689" s="9">
        <v>314.60000000000002</v>
      </c>
      <c r="U1689" s="4">
        <v>2</v>
      </c>
    </row>
    <row r="1690" spans="20:21">
      <c r="T1690" s="9">
        <v>314.8</v>
      </c>
      <c r="U1690" s="4">
        <v>1</v>
      </c>
    </row>
    <row r="1691" spans="20:21">
      <c r="T1691" s="9">
        <v>314.89999999999998</v>
      </c>
      <c r="U1691" s="4">
        <v>2</v>
      </c>
    </row>
    <row r="1692" spans="20:21">
      <c r="T1692" s="9">
        <v>315</v>
      </c>
      <c r="U1692" s="4">
        <v>5</v>
      </c>
    </row>
    <row r="1693" spans="20:21">
      <c r="T1693" s="9">
        <v>315.3</v>
      </c>
      <c r="U1693" s="4">
        <v>2</v>
      </c>
    </row>
    <row r="1694" spans="20:21">
      <c r="T1694" s="9">
        <v>315.39999999999998</v>
      </c>
      <c r="U1694" s="4">
        <v>1</v>
      </c>
    </row>
    <row r="1695" spans="20:21">
      <c r="T1695" s="9">
        <v>315.60000000000002</v>
      </c>
      <c r="U1695" s="4">
        <v>1</v>
      </c>
    </row>
    <row r="1696" spans="20:21">
      <c r="T1696" s="9">
        <v>315.89999999999998</v>
      </c>
      <c r="U1696" s="4">
        <v>2</v>
      </c>
    </row>
    <row r="1697" spans="20:21">
      <c r="T1697" s="9">
        <v>316.10000000000002</v>
      </c>
      <c r="U1697" s="4">
        <v>2</v>
      </c>
    </row>
    <row r="1698" spans="20:21">
      <c r="T1698" s="9">
        <v>316.5</v>
      </c>
      <c r="U1698" s="4">
        <v>1</v>
      </c>
    </row>
    <row r="1699" spans="20:21">
      <c r="T1699" s="9">
        <v>316.60000000000002</v>
      </c>
      <c r="U1699" s="4">
        <v>2</v>
      </c>
    </row>
    <row r="1700" spans="20:21">
      <c r="T1700" s="9">
        <v>316.89999999999998</v>
      </c>
      <c r="U1700" s="4">
        <v>1</v>
      </c>
    </row>
    <row r="1701" spans="20:21">
      <c r="T1701" s="9">
        <v>317</v>
      </c>
      <c r="U1701" s="4">
        <v>2</v>
      </c>
    </row>
    <row r="1702" spans="20:21">
      <c r="T1702" s="9">
        <v>317.10000000000002</v>
      </c>
      <c r="U1702" s="4">
        <v>2</v>
      </c>
    </row>
    <row r="1703" spans="20:21">
      <c r="T1703" s="9">
        <v>317.2</v>
      </c>
      <c r="U1703" s="4">
        <v>1</v>
      </c>
    </row>
    <row r="1704" spans="20:21">
      <c r="T1704" s="9">
        <v>317.39999999999998</v>
      </c>
      <c r="U1704" s="4">
        <v>1</v>
      </c>
    </row>
    <row r="1705" spans="20:21">
      <c r="T1705" s="9">
        <v>317.60000000000002</v>
      </c>
      <c r="U1705" s="4">
        <v>1</v>
      </c>
    </row>
    <row r="1706" spans="20:21">
      <c r="T1706" s="9">
        <v>317.7</v>
      </c>
      <c r="U1706" s="4">
        <v>1</v>
      </c>
    </row>
    <row r="1707" spans="20:21">
      <c r="T1707" s="9">
        <v>317.89999999999998</v>
      </c>
      <c r="U1707" s="4">
        <v>2</v>
      </c>
    </row>
    <row r="1708" spans="20:21">
      <c r="T1708" s="9">
        <v>318</v>
      </c>
      <c r="U1708" s="4">
        <v>2</v>
      </c>
    </row>
    <row r="1709" spans="20:21">
      <c r="T1709" s="9">
        <v>318.3</v>
      </c>
      <c r="U1709" s="4">
        <v>1</v>
      </c>
    </row>
    <row r="1710" spans="20:21">
      <c r="T1710" s="9">
        <v>318.39999999999998</v>
      </c>
      <c r="U1710" s="4">
        <v>3</v>
      </c>
    </row>
    <row r="1711" spans="20:21">
      <c r="T1711" s="9">
        <v>318.60000000000002</v>
      </c>
      <c r="U1711" s="4">
        <v>1</v>
      </c>
    </row>
    <row r="1712" spans="20:21">
      <c r="T1712" s="9">
        <v>319</v>
      </c>
      <c r="U1712" s="4">
        <v>1</v>
      </c>
    </row>
    <row r="1713" spans="20:21">
      <c r="T1713" s="9">
        <v>319.10000000000002</v>
      </c>
      <c r="U1713" s="4">
        <v>1</v>
      </c>
    </row>
    <row r="1714" spans="20:21">
      <c r="T1714" s="9">
        <v>319.3</v>
      </c>
      <c r="U1714" s="4">
        <v>1</v>
      </c>
    </row>
    <row r="1715" spans="20:21">
      <c r="T1715" s="9">
        <v>319.39999999999998</v>
      </c>
      <c r="U1715" s="4">
        <v>3</v>
      </c>
    </row>
    <row r="1716" spans="20:21">
      <c r="T1716" s="9">
        <v>319.5</v>
      </c>
      <c r="U1716" s="4">
        <v>1</v>
      </c>
    </row>
    <row r="1717" spans="20:21">
      <c r="T1717" s="9">
        <v>319.89999999999998</v>
      </c>
      <c r="U1717" s="4">
        <v>3</v>
      </c>
    </row>
    <row r="1718" spans="20:21">
      <c r="T1718" s="9">
        <v>320</v>
      </c>
      <c r="U1718" s="4">
        <v>1</v>
      </c>
    </row>
    <row r="1719" spans="20:21">
      <c r="T1719" s="9">
        <v>320.10000000000002</v>
      </c>
      <c r="U1719" s="4">
        <v>1</v>
      </c>
    </row>
    <row r="1720" spans="20:21">
      <c r="T1720" s="9">
        <v>320.2</v>
      </c>
      <c r="U1720" s="4">
        <v>1</v>
      </c>
    </row>
    <row r="1721" spans="20:21">
      <c r="T1721" s="9">
        <v>320.39999999999998</v>
      </c>
      <c r="U1721" s="4">
        <v>2</v>
      </c>
    </row>
    <row r="1722" spans="20:21">
      <c r="T1722" s="9">
        <v>320.60000000000002</v>
      </c>
      <c r="U1722" s="4">
        <v>2</v>
      </c>
    </row>
    <row r="1723" spans="20:21">
      <c r="T1723" s="9">
        <v>320.7</v>
      </c>
      <c r="U1723" s="4">
        <v>2</v>
      </c>
    </row>
    <row r="1724" spans="20:21">
      <c r="T1724" s="9">
        <v>320.89999999999998</v>
      </c>
      <c r="U1724" s="4">
        <v>2</v>
      </c>
    </row>
    <row r="1725" spans="20:21">
      <c r="T1725" s="9">
        <v>321</v>
      </c>
      <c r="U1725" s="4">
        <v>3</v>
      </c>
    </row>
    <row r="1726" spans="20:21">
      <c r="T1726" s="9">
        <v>321.10000000000002</v>
      </c>
      <c r="U1726" s="4">
        <v>2</v>
      </c>
    </row>
    <row r="1727" spans="20:21">
      <c r="T1727" s="9">
        <v>321.39999999999998</v>
      </c>
      <c r="U1727" s="4">
        <v>1</v>
      </c>
    </row>
    <row r="1728" spans="20:21">
      <c r="T1728" s="9">
        <v>321.7</v>
      </c>
      <c r="U1728" s="4">
        <v>3</v>
      </c>
    </row>
    <row r="1729" spans="20:21">
      <c r="T1729" s="9">
        <v>321.8</v>
      </c>
      <c r="U1729" s="4">
        <v>1</v>
      </c>
    </row>
    <row r="1730" spans="20:21">
      <c r="T1730" s="9">
        <v>321.89999999999998</v>
      </c>
      <c r="U1730" s="4">
        <v>2</v>
      </c>
    </row>
    <row r="1731" spans="20:21">
      <c r="T1731" s="9">
        <v>322</v>
      </c>
      <c r="U1731" s="4">
        <v>1</v>
      </c>
    </row>
    <row r="1732" spans="20:21">
      <c r="T1732" s="9">
        <v>322.10000000000002</v>
      </c>
      <c r="U1732" s="4">
        <v>2</v>
      </c>
    </row>
    <row r="1733" spans="20:21">
      <c r="T1733" s="9">
        <v>322.3</v>
      </c>
      <c r="U1733" s="4">
        <v>2</v>
      </c>
    </row>
    <row r="1734" spans="20:21">
      <c r="T1734" s="9">
        <v>322.39999999999998</v>
      </c>
      <c r="U1734" s="4">
        <v>1</v>
      </c>
    </row>
    <row r="1735" spans="20:21">
      <c r="T1735" s="9">
        <v>322.5</v>
      </c>
      <c r="U1735" s="4">
        <v>1</v>
      </c>
    </row>
    <row r="1736" spans="20:21">
      <c r="T1736" s="9">
        <v>322.7</v>
      </c>
      <c r="U1736" s="4">
        <v>1</v>
      </c>
    </row>
    <row r="1737" spans="20:21">
      <c r="T1737" s="9">
        <v>323.10000000000002</v>
      </c>
      <c r="U1737" s="4">
        <v>2</v>
      </c>
    </row>
    <row r="1738" spans="20:21">
      <c r="T1738" s="9">
        <v>323.2</v>
      </c>
      <c r="U1738" s="4">
        <v>3</v>
      </c>
    </row>
    <row r="1739" spans="20:21">
      <c r="T1739" s="9">
        <v>323.3</v>
      </c>
      <c r="U1739" s="4">
        <v>1</v>
      </c>
    </row>
    <row r="1740" spans="20:21">
      <c r="T1740" s="9">
        <v>323.5</v>
      </c>
      <c r="U1740" s="4">
        <v>1</v>
      </c>
    </row>
    <row r="1741" spans="20:21">
      <c r="T1741" s="9">
        <v>323.60000000000002</v>
      </c>
      <c r="U1741" s="4">
        <v>2</v>
      </c>
    </row>
    <row r="1742" spans="20:21">
      <c r="T1742" s="9">
        <v>323.8</v>
      </c>
      <c r="U1742" s="4">
        <v>1</v>
      </c>
    </row>
    <row r="1743" spans="20:21">
      <c r="T1743" s="9">
        <v>323.89999999999998</v>
      </c>
      <c r="U1743" s="4">
        <v>1</v>
      </c>
    </row>
    <row r="1744" spans="20:21">
      <c r="T1744" s="9">
        <v>324</v>
      </c>
      <c r="U1744" s="4">
        <v>3</v>
      </c>
    </row>
    <row r="1745" spans="20:21">
      <c r="T1745" s="9">
        <v>324.10000000000002</v>
      </c>
      <c r="U1745" s="4">
        <v>2</v>
      </c>
    </row>
    <row r="1746" spans="20:21">
      <c r="T1746" s="9">
        <v>324.39999999999998</v>
      </c>
      <c r="U1746" s="4">
        <v>1</v>
      </c>
    </row>
    <row r="1747" spans="20:21">
      <c r="T1747" s="9">
        <v>324.5</v>
      </c>
      <c r="U1747" s="4">
        <v>2</v>
      </c>
    </row>
    <row r="1748" spans="20:21">
      <c r="T1748" s="9">
        <v>324.7</v>
      </c>
      <c r="U1748" s="4">
        <v>1</v>
      </c>
    </row>
    <row r="1749" spans="20:21">
      <c r="T1749" s="9">
        <v>324.8</v>
      </c>
      <c r="U1749" s="4">
        <v>2</v>
      </c>
    </row>
    <row r="1750" spans="20:21">
      <c r="T1750" s="9">
        <v>324.89999999999998</v>
      </c>
      <c r="U1750" s="4">
        <v>1</v>
      </c>
    </row>
    <row r="1751" spans="20:21">
      <c r="T1751" s="9">
        <v>325.2</v>
      </c>
      <c r="U1751" s="4">
        <v>1</v>
      </c>
    </row>
    <row r="1752" spans="20:21">
      <c r="T1752" s="9">
        <v>325.3</v>
      </c>
      <c r="U1752" s="4">
        <v>1</v>
      </c>
    </row>
    <row r="1753" spans="20:21">
      <c r="T1753" s="9">
        <v>325.5</v>
      </c>
      <c r="U1753" s="4">
        <v>1</v>
      </c>
    </row>
    <row r="1754" spans="20:21">
      <c r="T1754" s="9">
        <v>325.7</v>
      </c>
      <c r="U1754" s="4">
        <v>1</v>
      </c>
    </row>
    <row r="1755" spans="20:21">
      <c r="T1755" s="9">
        <v>325.8</v>
      </c>
      <c r="U1755" s="4">
        <v>1</v>
      </c>
    </row>
    <row r="1756" spans="20:21">
      <c r="T1756" s="9">
        <v>326.10000000000002</v>
      </c>
      <c r="U1756" s="4">
        <v>1</v>
      </c>
    </row>
    <row r="1757" spans="20:21">
      <c r="T1757" s="9">
        <v>326.3</v>
      </c>
      <c r="U1757" s="4">
        <v>3</v>
      </c>
    </row>
    <row r="1758" spans="20:21">
      <c r="T1758" s="9">
        <v>326.60000000000002</v>
      </c>
      <c r="U1758" s="4">
        <v>1</v>
      </c>
    </row>
    <row r="1759" spans="20:21">
      <c r="T1759" s="9">
        <v>326.89999999999998</v>
      </c>
      <c r="U1759" s="4">
        <v>1</v>
      </c>
    </row>
    <row r="1760" spans="20:21">
      <c r="T1760" s="9">
        <v>327</v>
      </c>
      <c r="U1760" s="4">
        <v>4</v>
      </c>
    </row>
    <row r="1761" spans="20:21">
      <c r="T1761" s="9">
        <v>327.10000000000002</v>
      </c>
      <c r="U1761" s="4">
        <v>1</v>
      </c>
    </row>
    <row r="1762" spans="20:21">
      <c r="T1762" s="9">
        <v>327.2</v>
      </c>
      <c r="U1762" s="4">
        <v>1</v>
      </c>
    </row>
    <row r="1763" spans="20:21">
      <c r="T1763" s="9">
        <v>327.3</v>
      </c>
      <c r="U1763" s="4">
        <v>3</v>
      </c>
    </row>
    <row r="1764" spans="20:21">
      <c r="T1764" s="9">
        <v>327.39999999999998</v>
      </c>
      <c r="U1764" s="4">
        <v>1</v>
      </c>
    </row>
    <row r="1765" spans="20:21">
      <c r="T1765" s="9">
        <v>327.5</v>
      </c>
      <c r="U1765" s="4">
        <v>1</v>
      </c>
    </row>
    <row r="1766" spans="20:21">
      <c r="T1766" s="9">
        <v>327.60000000000002</v>
      </c>
      <c r="U1766" s="4">
        <v>1</v>
      </c>
    </row>
    <row r="1767" spans="20:21">
      <c r="T1767" s="9">
        <v>327.7</v>
      </c>
      <c r="U1767" s="4">
        <v>1</v>
      </c>
    </row>
    <row r="1768" spans="20:21">
      <c r="T1768" s="9">
        <v>327.8</v>
      </c>
      <c r="U1768" s="4">
        <v>1</v>
      </c>
    </row>
    <row r="1769" spans="20:21">
      <c r="T1769" s="9">
        <v>327.9</v>
      </c>
      <c r="U1769" s="4">
        <v>2</v>
      </c>
    </row>
    <row r="1770" spans="20:21">
      <c r="T1770" s="9">
        <v>328</v>
      </c>
      <c r="U1770" s="4">
        <v>1</v>
      </c>
    </row>
    <row r="1771" spans="20:21">
      <c r="T1771" s="9">
        <v>328.1</v>
      </c>
      <c r="U1771" s="4">
        <v>1</v>
      </c>
    </row>
    <row r="1772" spans="20:21">
      <c r="T1772" s="9">
        <v>328.3</v>
      </c>
      <c r="U1772" s="4">
        <v>1</v>
      </c>
    </row>
    <row r="1773" spans="20:21">
      <c r="T1773" s="9">
        <v>328.4</v>
      </c>
      <c r="U1773" s="4">
        <v>1</v>
      </c>
    </row>
    <row r="1774" spans="20:21">
      <c r="T1774" s="9">
        <v>328.5</v>
      </c>
      <c r="U1774" s="4">
        <v>1</v>
      </c>
    </row>
    <row r="1775" spans="20:21">
      <c r="T1775" s="9">
        <v>329.1</v>
      </c>
      <c r="U1775" s="4">
        <v>2</v>
      </c>
    </row>
    <row r="1776" spans="20:21">
      <c r="T1776" s="9">
        <v>329.2</v>
      </c>
      <c r="U1776" s="4">
        <v>1</v>
      </c>
    </row>
    <row r="1777" spans="20:21">
      <c r="T1777" s="9">
        <v>329.3</v>
      </c>
      <c r="U1777" s="4">
        <v>2</v>
      </c>
    </row>
    <row r="1778" spans="20:21">
      <c r="T1778" s="9">
        <v>329.5</v>
      </c>
      <c r="U1778" s="4">
        <v>1</v>
      </c>
    </row>
    <row r="1779" spans="20:21">
      <c r="T1779" s="9">
        <v>329.7</v>
      </c>
      <c r="U1779" s="4">
        <v>1</v>
      </c>
    </row>
    <row r="1780" spans="20:21">
      <c r="T1780" s="9">
        <v>329.8</v>
      </c>
      <c r="U1780" s="4">
        <v>1</v>
      </c>
    </row>
    <row r="1781" spans="20:21">
      <c r="T1781" s="9">
        <v>330.3</v>
      </c>
      <c r="U1781" s="4">
        <v>1</v>
      </c>
    </row>
    <row r="1782" spans="20:21">
      <c r="T1782" s="9">
        <v>330.4</v>
      </c>
      <c r="U1782" s="4">
        <v>2</v>
      </c>
    </row>
    <row r="1783" spans="20:21">
      <c r="T1783" s="9">
        <v>330.6</v>
      </c>
      <c r="U1783" s="4">
        <v>1</v>
      </c>
    </row>
    <row r="1784" spans="20:21">
      <c r="T1784" s="9">
        <v>330.8</v>
      </c>
      <c r="U1784" s="4">
        <v>1</v>
      </c>
    </row>
    <row r="1785" spans="20:21">
      <c r="T1785" s="9">
        <v>330.9</v>
      </c>
      <c r="U1785" s="4">
        <v>1</v>
      </c>
    </row>
    <row r="1786" spans="20:21">
      <c r="T1786" s="9">
        <v>331</v>
      </c>
      <c r="U1786" s="4">
        <v>1</v>
      </c>
    </row>
    <row r="1787" spans="20:21">
      <c r="T1787" s="9">
        <v>331.3</v>
      </c>
      <c r="U1787" s="4">
        <v>1</v>
      </c>
    </row>
    <row r="1788" spans="20:21">
      <c r="T1788" s="9">
        <v>331.5</v>
      </c>
      <c r="U1788" s="4">
        <v>1</v>
      </c>
    </row>
    <row r="1789" spans="20:21">
      <c r="T1789" s="9">
        <v>331.7</v>
      </c>
      <c r="U1789" s="4">
        <v>1</v>
      </c>
    </row>
    <row r="1790" spans="20:21">
      <c r="T1790" s="9">
        <v>332</v>
      </c>
      <c r="U1790" s="4">
        <v>1</v>
      </c>
    </row>
    <row r="1791" spans="20:21">
      <c r="T1791" s="9">
        <v>332.1</v>
      </c>
      <c r="U1791" s="4">
        <v>3</v>
      </c>
    </row>
    <row r="1792" spans="20:21">
      <c r="T1792" s="9">
        <v>332.2</v>
      </c>
      <c r="U1792" s="4">
        <v>2</v>
      </c>
    </row>
    <row r="1793" spans="20:21">
      <c r="T1793" s="9">
        <v>332.3</v>
      </c>
      <c r="U1793" s="4">
        <v>1</v>
      </c>
    </row>
    <row r="1794" spans="20:21">
      <c r="T1794" s="9">
        <v>332.6</v>
      </c>
      <c r="U1794" s="4">
        <v>2</v>
      </c>
    </row>
    <row r="1795" spans="20:21">
      <c r="T1795" s="9">
        <v>332.8</v>
      </c>
      <c r="U1795" s="4">
        <v>1</v>
      </c>
    </row>
    <row r="1796" spans="20:21">
      <c r="T1796" s="9">
        <v>333</v>
      </c>
      <c r="U1796" s="4">
        <v>2</v>
      </c>
    </row>
    <row r="1797" spans="20:21">
      <c r="T1797" s="9">
        <v>333.1</v>
      </c>
      <c r="U1797" s="4">
        <v>2</v>
      </c>
    </row>
    <row r="1798" spans="20:21">
      <c r="T1798" s="9">
        <v>333.4</v>
      </c>
      <c r="U1798" s="4">
        <v>1</v>
      </c>
    </row>
    <row r="1799" spans="20:21">
      <c r="T1799" s="9">
        <v>333.5</v>
      </c>
      <c r="U1799" s="4">
        <v>2</v>
      </c>
    </row>
    <row r="1800" spans="20:21">
      <c r="T1800" s="9">
        <v>333.6</v>
      </c>
      <c r="U1800" s="4">
        <v>3</v>
      </c>
    </row>
    <row r="1801" spans="20:21">
      <c r="T1801" s="9">
        <v>333.7</v>
      </c>
      <c r="U1801" s="4">
        <v>1</v>
      </c>
    </row>
    <row r="1802" spans="20:21">
      <c r="T1802" s="9">
        <v>333.8</v>
      </c>
      <c r="U1802" s="4">
        <v>2</v>
      </c>
    </row>
    <row r="1803" spans="20:21">
      <c r="T1803" s="9">
        <v>334</v>
      </c>
      <c r="U1803" s="4">
        <v>2</v>
      </c>
    </row>
    <row r="1804" spans="20:21">
      <c r="T1804" s="9">
        <v>334.1</v>
      </c>
      <c r="U1804" s="4">
        <v>2</v>
      </c>
    </row>
    <row r="1805" spans="20:21">
      <c r="T1805" s="9">
        <v>334.2</v>
      </c>
      <c r="U1805" s="4">
        <v>2</v>
      </c>
    </row>
    <row r="1806" spans="20:21">
      <c r="T1806" s="9">
        <v>334.3</v>
      </c>
      <c r="U1806" s="4">
        <v>3</v>
      </c>
    </row>
    <row r="1807" spans="20:21">
      <c r="T1807" s="9">
        <v>334.6</v>
      </c>
      <c r="U1807" s="4">
        <v>2</v>
      </c>
    </row>
    <row r="1808" spans="20:21">
      <c r="T1808" s="9">
        <v>334.7</v>
      </c>
      <c r="U1808" s="4">
        <v>2</v>
      </c>
    </row>
    <row r="1809" spans="20:21">
      <c r="T1809" s="9">
        <v>334.8</v>
      </c>
      <c r="U1809" s="4">
        <v>1</v>
      </c>
    </row>
    <row r="1810" spans="20:21">
      <c r="T1810" s="9">
        <v>334.9</v>
      </c>
      <c r="U1810" s="4">
        <v>1</v>
      </c>
    </row>
    <row r="1811" spans="20:21">
      <c r="T1811" s="9">
        <v>335.2</v>
      </c>
      <c r="U1811" s="4">
        <v>1</v>
      </c>
    </row>
    <row r="1812" spans="20:21">
      <c r="T1812" s="9">
        <v>335.3</v>
      </c>
      <c r="U1812" s="4">
        <v>1</v>
      </c>
    </row>
    <row r="1813" spans="20:21">
      <c r="T1813" s="9">
        <v>335.4</v>
      </c>
      <c r="U1813" s="4">
        <v>1</v>
      </c>
    </row>
    <row r="1814" spans="20:21">
      <c r="T1814" s="9">
        <v>335.5</v>
      </c>
      <c r="U1814" s="4">
        <v>1</v>
      </c>
    </row>
    <row r="1815" spans="20:21">
      <c r="T1815" s="9">
        <v>335.6</v>
      </c>
      <c r="U1815" s="4">
        <v>1</v>
      </c>
    </row>
    <row r="1816" spans="20:21">
      <c r="T1816" s="9">
        <v>335.7</v>
      </c>
      <c r="U1816" s="4">
        <v>1</v>
      </c>
    </row>
    <row r="1817" spans="20:21">
      <c r="T1817" s="9">
        <v>335.8</v>
      </c>
      <c r="U1817" s="4">
        <v>1</v>
      </c>
    </row>
    <row r="1818" spans="20:21">
      <c r="T1818" s="9">
        <v>335.9</v>
      </c>
      <c r="U1818" s="4">
        <v>4</v>
      </c>
    </row>
    <row r="1819" spans="20:21">
      <c r="T1819" s="9">
        <v>336.1</v>
      </c>
      <c r="U1819" s="4">
        <v>1</v>
      </c>
    </row>
    <row r="1820" spans="20:21">
      <c r="T1820" s="9">
        <v>336.2</v>
      </c>
      <c r="U1820" s="4">
        <v>2</v>
      </c>
    </row>
    <row r="1821" spans="20:21">
      <c r="T1821" s="9">
        <v>336.3</v>
      </c>
      <c r="U1821" s="4">
        <v>1</v>
      </c>
    </row>
    <row r="1822" spans="20:21">
      <c r="T1822" s="9">
        <v>336.4</v>
      </c>
      <c r="U1822" s="4">
        <v>2</v>
      </c>
    </row>
    <row r="1823" spans="20:21">
      <c r="T1823" s="9">
        <v>336.6</v>
      </c>
      <c r="U1823" s="4">
        <v>2</v>
      </c>
    </row>
    <row r="1824" spans="20:21">
      <c r="T1824" s="9">
        <v>336.7</v>
      </c>
      <c r="U1824" s="4">
        <v>2</v>
      </c>
    </row>
    <row r="1825" spans="20:21">
      <c r="T1825" s="9">
        <v>336.9</v>
      </c>
      <c r="U1825" s="4">
        <v>2</v>
      </c>
    </row>
    <row r="1826" spans="20:21">
      <c r="T1826" s="9">
        <v>337.1</v>
      </c>
      <c r="U1826" s="4">
        <v>3</v>
      </c>
    </row>
    <row r="1827" spans="20:21">
      <c r="T1827" s="9">
        <v>337.4</v>
      </c>
      <c r="U1827" s="4">
        <v>2</v>
      </c>
    </row>
    <row r="1828" spans="20:21">
      <c r="T1828" s="9">
        <v>337.6</v>
      </c>
      <c r="U1828" s="4">
        <v>1</v>
      </c>
    </row>
    <row r="1829" spans="20:21">
      <c r="T1829" s="9">
        <v>337.7</v>
      </c>
      <c r="U1829" s="4">
        <v>2</v>
      </c>
    </row>
    <row r="1830" spans="20:21">
      <c r="T1830" s="9">
        <v>337.9</v>
      </c>
      <c r="U1830" s="4">
        <v>1</v>
      </c>
    </row>
    <row r="1831" spans="20:21">
      <c r="T1831" s="9">
        <v>338.1</v>
      </c>
      <c r="U1831" s="4">
        <v>3</v>
      </c>
    </row>
    <row r="1832" spans="20:21">
      <c r="T1832" s="9">
        <v>338.2</v>
      </c>
      <c r="U1832" s="4">
        <v>4</v>
      </c>
    </row>
    <row r="1833" spans="20:21">
      <c r="T1833" s="9">
        <v>338.4</v>
      </c>
      <c r="U1833" s="4">
        <v>1</v>
      </c>
    </row>
    <row r="1834" spans="20:21">
      <c r="T1834" s="9">
        <v>338.5</v>
      </c>
      <c r="U1834" s="4">
        <v>2</v>
      </c>
    </row>
    <row r="1835" spans="20:21">
      <c r="T1835" s="9">
        <v>338.6</v>
      </c>
      <c r="U1835" s="4">
        <v>1</v>
      </c>
    </row>
    <row r="1836" spans="20:21">
      <c r="T1836" s="9">
        <v>338.8</v>
      </c>
      <c r="U1836" s="4">
        <v>2</v>
      </c>
    </row>
    <row r="1837" spans="20:21">
      <c r="T1837" s="9">
        <v>338.9</v>
      </c>
      <c r="U1837" s="4">
        <v>2</v>
      </c>
    </row>
    <row r="1838" spans="20:21">
      <c r="T1838" s="9">
        <v>339.3</v>
      </c>
      <c r="U1838" s="4">
        <v>1</v>
      </c>
    </row>
    <row r="1839" spans="20:21">
      <c r="T1839" s="9">
        <v>339.4</v>
      </c>
      <c r="U1839" s="4">
        <v>1</v>
      </c>
    </row>
    <row r="1840" spans="20:21">
      <c r="T1840" s="9">
        <v>339.7</v>
      </c>
      <c r="U1840" s="4">
        <v>3</v>
      </c>
    </row>
    <row r="1841" spans="20:21">
      <c r="T1841" s="9">
        <v>339.9</v>
      </c>
      <c r="U1841" s="4">
        <v>1</v>
      </c>
    </row>
    <row r="1842" spans="20:21">
      <c r="T1842" s="9">
        <v>340.1</v>
      </c>
      <c r="U1842" s="4">
        <v>1</v>
      </c>
    </row>
    <row r="1843" spans="20:21">
      <c r="T1843" s="9">
        <v>340.4</v>
      </c>
      <c r="U1843" s="4">
        <v>1</v>
      </c>
    </row>
    <row r="1844" spans="20:21">
      <c r="T1844" s="9">
        <v>340.9</v>
      </c>
      <c r="U1844" s="4">
        <v>2</v>
      </c>
    </row>
    <row r="1845" spans="20:21">
      <c r="T1845" s="9">
        <v>341.1</v>
      </c>
      <c r="U1845" s="4">
        <v>2</v>
      </c>
    </row>
    <row r="1846" spans="20:21">
      <c r="T1846" s="9">
        <v>341.2</v>
      </c>
      <c r="U1846" s="4">
        <v>1</v>
      </c>
    </row>
    <row r="1847" spans="20:21">
      <c r="T1847" s="9">
        <v>341.3</v>
      </c>
      <c r="U1847" s="4">
        <v>1</v>
      </c>
    </row>
    <row r="1848" spans="20:21">
      <c r="T1848" s="9">
        <v>341.4</v>
      </c>
      <c r="U1848" s="4">
        <v>4</v>
      </c>
    </row>
    <row r="1849" spans="20:21">
      <c r="T1849" s="9">
        <v>341.7</v>
      </c>
      <c r="U1849" s="4">
        <v>1</v>
      </c>
    </row>
    <row r="1850" spans="20:21">
      <c r="T1850" s="9">
        <v>342</v>
      </c>
      <c r="U1850" s="4">
        <v>3</v>
      </c>
    </row>
    <row r="1851" spans="20:21">
      <c r="T1851" s="9">
        <v>342.3</v>
      </c>
      <c r="U1851" s="4">
        <v>1</v>
      </c>
    </row>
    <row r="1852" spans="20:21">
      <c r="T1852" s="9">
        <v>342.4</v>
      </c>
      <c r="U1852" s="4">
        <v>2</v>
      </c>
    </row>
    <row r="1853" spans="20:21">
      <c r="T1853" s="9">
        <v>342.6</v>
      </c>
      <c r="U1853" s="4">
        <v>1</v>
      </c>
    </row>
    <row r="1854" spans="20:21">
      <c r="T1854" s="9">
        <v>342.7</v>
      </c>
      <c r="U1854" s="4">
        <v>1</v>
      </c>
    </row>
    <row r="1855" spans="20:21">
      <c r="T1855" s="9">
        <v>342.8</v>
      </c>
      <c r="U1855" s="4">
        <v>1</v>
      </c>
    </row>
    <row r="1856" spans="20:21">
      <c r="T1856" s="9">
        <v>342.9</v>
      </c>
      <c r="U1856" s="4">
        <v>1</v>
      </c>
    </row>
    <row r="1857" spans="20:21">
      <c r="T1857" s="9">
        <v>343</v>
      </c>
      <c r="U1857" s="4">
        <v>3</v>
      </c>
    </row>
    <row r="1858" spans="20:21">
      <c r="T1858" s="9">
        <v>343.1</v>
      </c>
      <c r="U1858" s="4">
        <v>2</v>
      </c>
    </row>
    <row r="1859" spans="20:21">
      <c r="T1859" s="9">
        <v>343.2</v>
      </c>
      <c r="U1859" s="4">
        <v>1</v>
      </c>
    </row>
    <row r="1860" spans="20:21">
      <c r="T1860" s="9">
        <v>343.3</v>
      </c>
      <c r="U1860" s="4">
        <v>1</v>
      </c>
    </row>
    <row r="1861" spans="20:21">
      <c r="T1861" s="9">
        <v>343.4</v>
      </c>
      <c r="U1861" s="4">
        <v>1</v>
      </c>
    </row>
    <row r="1862" spans="20:21">
      <c r="T1862" s="9">
        <v>343.6</v>
      </c>
      <c r="U1862" s="4">
        <v>3</v>
      </c>
    </row>
    <row r="1863" spans="20:21">
      <c r="T1863" s="9">
        <v>344</v>
      </c>
      <c r="U1863" s="4">
        <v>2</v>
      </c>
    </row>
    <row r="1864" spans="20:21">
      <c r="T1864" s="9">
        <v>344.1</v>
      </c>
      <c r="U1864" s="4">
        <v>1</v>
      </c>
    </row>
    <row r="1865" spans="20:21">
      <c r="T1865" s="9">
        <v>344.2</v>
      </c>
      <c r="U1865" s="4">
        <v>2</v>
      </c>
    </row>
    <row r="1866" spans="20:21">
      <c r="T1866" s="9">
        <v>344.4</v>
      </c>
      <c r="U1866" s="4">
        <v>2</v>
      </c>
    </row>
    <row r="1867" spans="20:21">
      <c r="T1867" s="9">
        <v>344.6</v>
      </c>
      <c r="U1867" s="4">
        <v>2</v>
      </c>
    </row>
    <row r="1868" spans="20:21">
      <c r="T1868" s="9">
        <v>344.7</v>
      </c>
      <c r="U1868" s="4">
        <v>1</v>
      </c>
    </row>
    <row r="1869" spans="20:21">
      <c r="T1869" s="9">
        <v>344.9</v>
      </c>
      <c r="U1869" s="4">
        <v>1</v>
      </c>
    </row>
    <row r="1870" spans="20:21">
      <c r="T1870" s="9">
        <v>345.2</v>
      </c>
      <c r="U1870" s="4">
        <v>2</v>
      </c>
    </row>
    <row r="1871" spans="20:21">
      <c r="T1871" s="9">
        <v>345.3</v>
      </c>
      <c r="U1871" s="4">
        <v>2</v>
      </c>
    </row>
    <row r="1872" spans="20:21">
      <c r="T1872" s="9">
        <v>345.5</v>
      </c>
      <c r="U1872" s="4">
        <v>1</v>
      </c>
    </row>
    <row r="1873" spans="20:21">
      <c r="T1873" s="9">
        <v>345.6</v>
      </c>
      <c r="U1873" s="4">
        <v>2</v>
      </c>
    </row>
    <row r="1874" spans="20:21">
      <c r="T1874" s="9">
        <v>345.9</v>
      </c>
      <c r="U1874" s="4">
        <v>1</v>
      </c>
    </row>
    <row r="1875" spans="20:21">
      <c r="T1875" s="9">
        <v>346.1</v>
      </c>
      <c r="U1875" s="4">
        <v>1</v>
      </c>
    </row>
    <row r="1876" spans="20:21">
      <c r="T1876" s="9">
        <v>346.3</v>
      </c>
      <c r="U1876" s="4">
        <v>1</v>
      </c>
    </row>
    <row r="1877" spans="20:21">
      <c r="T1877" s="9">
        <v>346.6</v>
      </c>
      <c r="U1877" s="4">
        <v>5</v>
      </c>
    </row>
    <row r="1878" spans="20:21">
      <c r="T1878" s="9">
        <v>346.8</v>
      </c>
      <c r="U1878" s="4">
        <v>1</v>
      </c>
    </row>
    <row r="1879" spans="20:21">
      <c r="T1879" s="9">
        <v>347</v>
      </c>
      <c r="U1879" s="4">
        <v>1</v>
      </c>
    </row>
    <row r="1880" spans="20:21">
      <c r="T1880" s="9">
        <v>347.1</v>
      </c>
      <c r="U1880" s="4">
        <v>2</v>
      </c>
    </row>
    <row r="1881" spans="20:21">
      <c r="T1881" s="9">
        <v>347.2</v>
      </c>
      <c r="U1881" s="4">
        <v>1</v>
      </c>
    </row>
    <row r="1882" spans="20:21">
      <c r="T1882" s="9">
        <v>347.4</v>
      </c>
      <c r="U1882" s="4">
        <v>2</v>
      </c>
    </row>
    <row r="1883" spans="20:21">
      <c r="T1883" s="9">
        <v>347.6</v>
      </c>
      <c r="U1883" s="4">
        <v>1</v>
      </c>
    </row>
    <row r="1884" spans="20:21">
      <c r="T1884" s="9">
        <v>347.7</v>
      </c>
      <c r="U1884" s="4">
        <v>3</v>
      </c>
    </row>
    <row r="1885" spans="20:21">
      <c r="T1885" s="9">
        <v>348</v>
      </c>
      <c r="U1885" s="4">
        <v>1</v>
      </c>
    </row>
    <row r="1886" spans="20:21">
      <c r="T1886" s="9">
        <v>348.3</v>
      </c>
      <c r="U1886" s="4">
        <v>1</v>
      </c>
    </row>
    <row r="1887" spans="20:21">
      <c r="T1887" s="9">
        <v>348.6</v>
      </c>
      <c r="U1887" s="4">
        <v>2</v>
      </c>
    </row>
    <row r="1888" spans="20:21">
      <c r="T1888" s="9">
        <v>348.9</v>
      </c>
      <c r="U1888" s="4">
        <v>2</v>
      </c>
    </row>
    <row r="1889" spans="20:21">
      <c r="T1889" s="9">
        <v>349.1</v>
      </c>
      <c r="U1889" s="4">
        <v>1</v>
      </c>
    </row>
    <row r="1890" spans="20:21">
      <c r="T1890" s="9">
        <v>349.3</v>
      </c>
      <c r="U1890" s="4">
        <v>5</v>
      </c>
    </row>
    <row r="1891" spans="20:21">
      <c r="T1891" s="9">
        <v>349.4</v>
      </c>
      <c r="U1891" s="4">
        <v>2</v>
      </c>
    </row>
    <row r="1892" spans="20:21">
      <c r="T1892" s="9">
        <v>349.6</v>
      </c>
      <c r="U1892" s="4">
        <v>2</v>
      </c>
    </row>
    <row r="1893" spans="20:21">
      <c r="T1893" s="9">
        <v>349.8</v>
      </c>
      <c r="U1893" s="4">
        <v>1</v>
      </c>
    </row>
    <row r="1894" spans="20:21">
      <c r="T1894" s="9">
        <v>350</v>
      </c>
      <c r="U1894" s="4">
        <v>1</v>
      </c>
    </row>
    <row r="1895" spans="20:21">
      <c r="T1895" s="9">
        <v>350.2</v>
      </c>
      <c r="U1895" s="4">
        <v>2</v>
      </c>
    </row>
    <row r="1896" spans="20:21">
      <c r="T1896" s="9">
        <v>350.3</v>
      </c>
      <c r="U1896" s="4">
        <v>2</v>
      </c>
    </row>
    <row r="1897" spans="20:21">
      <c r="T1897" s="9">
        <v>350.5</v>
      </c>
      <c r="U1897" s="4">
        <v>1</v>
      </c>
    </row>
    <row r="1898" spans="20:21">
      <c r="T1898" s="9">
        <v>350.8</v>
      </c>
      <c r="U1898" s="4">
        <v>2</v>
      </c>
    </row>
    <row r="1899" spans="20:21">
      <c r="T1899" s="9">
        <v>350.9</v>
      </c>
      <c r="U1899" s="4">
        <v>1</v>
      </c>
    </row>
    <row r="1900" spans="20:21">
      <c r="T1900" s="9">
        <v>351</v>
      </c>
      <c r="U1900" s="4">
        <v>1</v>
      </c>
    </row>
    <row r="1901" spans="20:21">
      <c r="T1901" s="9">
        <v>351.1</v>
      </c>
      <c r="U1901" s="4">
        <v>2</v>
      </c>
    </row>
    <row r="1902" spans="20:21">
      <c r="T1902" s="9">
        <v>351.5</v>
      </c>
      <c r="U1902" s="4">
        <v>1</v>
      </c>
    </row>
    <row r="1903" spans="20:21">
      <c r="T1903" s="9">
        <v>351.8</v>
      </c>
      <c r="U1903" s="4">
        <v>1</v>
      </c>
    </row>
    <row r="1904" spans="20:21">
      <c r="T1904" s="9">
        <v>352</v>
      </c>
      <c r="U1904" s="4">
        <v>2</v>
      </c>
    </row>
    <row r="1905" spans="20:21">
      <c r="T1905" s="9">
        <v>352.1</v>
      </c>
      <c r="U1905" s="4">
        <v>2</v>
      </c>
    </row>
    <row r="1906" spans="20:21">
      <c r="T1906" s="9">
        <v>352.2</v>
      </c>
      <c r="U1906" s="4">
        <v>1</v>
      </c>
    </row>
    <row r="1907" spans="20:21">
      <c r="T1907" s="9">
        <v>352.3</v>
      </c>
      <c r="U1907" s="4">
        <v>1</v>
      </c>
    </row>
    <row r="1908" spans="20:21">
      <c r="T1908" s="9">
        <v>352.5</v>
      </c>
      <c r="U1908" s="4">
        <v>2</v>
      </c>
    </row>
    <row r="1909" spans="20:21">
      <c r="T1909" s="9">
        <v>352.6</v>
      </c>
      <c r="U1909" s="4">
        <v>2</v>
      </c>
    </row>
    <row r="1910" spans="20:21">
      <c r="T1910" s="9">
        <v>352.7</v>
      </c>
      <c r="U1910" s="4">
        <v>1</v>
      </c>
    </row>
    <row r="1911" spans="20:21">
      <c r="T1911" s="9">
        <v>352.8</v>
      </c>
      <c r="U1911" s="4">
        <v>2</v>
      </c>
    </row>
    <row r="1912" spans="20:21">
      <c r="T1912" s="9">
        <v>352.9</v>
      </c>
      <c r="U1912" s="4">
        <v>1</v>
      </c>
    </row>
    <row r="1913" spans="20:21">
      <c r="T1913" s="9">
        <v>353.1</v>
      </c>
      <c r="U1913" s="4">
        <v>2</v>
      </c>
    </row>
    <row r="1914" spans="20:21">
      <c r="T1914" s="9">
        <v>353.4</v>
      </c>
      <c r="U1914" s="4">
        <v>1</v>
      </c>
    </row>
    <row r="1915" spans="20:21">
      <c r="T1915" s="9">
        <v>353.6</v>
      </c>
      <c r="U1915" s="4">
        <v>1</v>
      </c>
    </row>
    <row r="1916" spans="20:21">
      <c r="T1916" s="9">
        <v>354</v>
      </c>
      <c r="U1916" s="4">
        <v>1</v>
      </c>
    </row>
    <row r="1917" spans="20:21">
      <c r="T1917" s="9">
        <v>354.2</v>
      </c>
      <c r="U1917" s="4">
        <v>1</v>
      </c>
    </row>
    <row r="1918" spans="20:21">
      <c r="T1918" s="9">
        <v>354.3</v>
      </c>
      <c r="U1918" s="4">
        <v>1</v>
      </c>
    </row>
    <row r="1919" spans="20:21">
      <c r="T1919" s="9">
        <v>354.4</v>
      </c>
      <c r="U1919" s="4">
        <v>1</v>
      </c>
    </row>
    <row r="1920" spans="20:21">
      <c r="T1920" s="9">
        <v>354.9</v>
      </c>
      <c r="U1920" s="4">
        <v>1</v>
      </c>
    </row>
    <row r="1921" spans="20:21">
      <c r="T1921" s="9">
        <v>355</v>
      </c>
      <c r="U1921" s="4">
        <v>1</v>
      </c>
    </row>
    <row r="1922" spans="20:21">
      <c r="T1922" s="9">
        <v>355.2</v>
      </c>
      <c r="U1922" s="4">
        <v>1</v>
      </c>
    </row>
    <row r="1923" spans="20:21">
      <c r="T1923" s="9">
        <v>355.3</v>
      </c>
      <c r="U1923" s="4">
        <v>2</v>
      </c>
    </row>
    <row r="1924" spans="20:21">
      <c r="T1924" s="9">
        <v>355.4</v>
      </c>
      <c r="U1924" s="4">
        <v>1</v>
      </c>
    </row>
    <row r="1925" spans="20:21">
      <c r="T1925" s="9">
        <v>355.5</v>
      </c>
      <c r="U1925" s="4">
        <v>2</v>
      </c>
    </row>
    <row r="1926" spans="20:21">
      <c r="T1926" s="9">
        <v>355.6</v>
      </c>
      <c r="U1926" s="4">
        <v>2</v>
      </c>
    </row>
    <row r="1927" spans="20:21">
      <c r="T1927" s="9">
        <v>355.9</v>
      </c>
      <c r="U1927" s="4">
        <v>1</v>
      </c>
    </row>
    <row r="1928" spans="20:21">
      <c r="T1928" s="9">
        <v>356</v>
      </c>
      <c r="U1928" s="4">
        <v>1</v>
      </c>
    </row>
    <row r="1929" spans="20:21">
      <c r="T1929" s="9">
        <v>356.1</v>
      </c>
      <c r="U1929" s="4">
        <v>1</v>
      </c>
    </row>
    <row r="1930" spans="20:21">
      <c r="T1930" s="9">
        <v>356.3</v>
      </c>
      <c r="U1930" s="4">
        <v>2</v>
      </c>
    </row>
    <row r="1931" spans="20:21">
      <c r="T1931" s="9">
        <v>356.4</v>
      </c>
      <c r="U1931" s="4">
        <v>2</v>
      </c>
    </row>
    <row r="1932" spans="20:21">
      <c r="T1932" s="9">
        <v>356.9</v>
      </c>
      <c r="U1932" s="4">
        <v>2</v>
      </c>
    </row>
    <row r="1933" spans="20:21">
      <c r="T1933" s="9">
        <v>357.4</v>
      </c>
      <c r="U1933" s="4">
        <v>1</v>
      </c>
    </row>
    <row r="1934" spans="20:21">
      <c r="T1934" s="9">
        <v>357.7</v>
      </c>
      <c r="U1934" s="4">
        <v>1</v>
      </c>
    </row>
    <row r="1935" spans="20:21">
      <c r="T1935" s="9">
        <v>357.8</v>
      </c>
      <c r="U1935" s="4">
        <v>2</v>
      </c>
    </row>
    <row r="1936" spans="20:21">
      <c r="T1936" s="9">
        <v>357.9</v>
      </c>
      <c r="U1936" s="4">
        <v>1</v>
      </c>
    </row>
    <row r="1937" spans="20:21">
      <c r="T1937" s="9">
        <v>358.1</v>
      </c>
      <c r="U1937" s="4">
        <v>1</v>
      </c>
    </row>
    <row r="1938" spans="20:21">
      <c r="T1938" s="9">
        <v>358.3</v>
      </c>
      <c r="U1938" s="4">
        <v>1</v>
      </c>
    </row>
    <row r="1939" spans="20:21">
      <c r="T1939" s="9">
        <v>358.6</v>
      </c>
      <c r="U1939" s="4">
        <v>2</v>
      </c>
    </row>
    <row r="1940" spans="20:21">
      <c r="T1940" s="9">
        <v>358.7</v>
      </c>
      <c r="U1940" s="4">
        <v>1</v>
      </c>
    </row>
    <row r="1941" spans="20:21">
      <c r="T1941" s="9">
        <v>358.9</v>
      </c>
      <c r="U1941" s="4">
        <v>1</v>
      </c>
    </row>
    <row r="1942" spans="20:21">
      <c r="T1942" s="9">
        <v>359.1</v>
      </c>
      <c r="U1942" s="4">
        <v>2</v>
      </c>
    </row>
    <row r="1943" spans="20:21">
      <c r="T1943" s="9">
        <v>359.4</v>
      </c>
      <c r="U1943" s="4">
        <v>1</v>
      </c>
    </row>
    <row r="1944" spans="20:21">
      <c r="T1944" s="9">
        <v>359.7</v>
      </c>
      <c r="U1944" s="4">
        <v>1</v>
      </c>
    </row>
    <row r="1945" spans="20:21">
      <c r="T1945" s="9">
        <v>359.8</v>
      </c>
      <c r="U1945" s="4">
        <v>1</v>
      </c>
    </row>
    <row r="1946" spans="20:21">
      <c r="T1946" s="9">
        <v>360.1</v>
      </c>
      <c r="U1946" s="4">
        <v>1</v>
      </c>
    </row>
    <row r="1947" spans="20:21">
      <c r="T1947" s="9">
        <v>360.2</v>
      </c>
      <c r="U1947" s="4">
        <v>3</v>
      </c>
    </row>
    <row r="1948" spans="20:21">
      <c r="T1948" s="9">
        <v>360.3</v>
      </c>
      <c r="U1948" s="4">
        <v>1</v>
      </c>
    </row>
    <row r="1949" spans="20:21">
      <c r="T1949" s="9">
        <v>360.5</v>
      </c>
      <c r="U1949" s="4">
        <v>2</v>
      </c>
    </row>
    <row r="1950" spans="20:21">
      <c r="T1950" s="9">
        <v>360.8</v>
      </c>
      <c r="U1950" s="4">
        <v>2</v>
      </c>
    </row>
    <row r="1951" spans="20:21">
      <c r="T1951" s="9">
        <v>360.9</v>
      </c>
      <c r="U1951" s="4">
        <v>1</v>
      </c>
    </row>
    <row r="1952" spans="20:21">
      <c r="T1952" s="9">
        <v>361.2</v>
      </c>
      <c r="U1952" s="4">
        <v>1</v>
      </c>
    </row>
    <row r="1953" spans="20:21">
      <c r="T1953" s="9">
        <v>361.5</v>
      </c>
      <c r="U1953" s="4">
        <v>1</v>
      </c>
    </row>
    <row r="1954" spans="20:21">
      <c r="T1954" s="9">
        <v>361.6</v>
      </c>
      <c r="U1954" s="4">
        <v>3</v>
      </c>
    </row>
    <row r="1955" spans="20:21">
      <c r="T1955" s="9">
        <v>361.8</v>
      </c>
      <c r="U1955" s="4">
        <v>2</v>
      </c>
    </row>
    <row r="1956" spans="20:21">
      <c r="T1956" s="9">
        <v>362</v>
      </c>
      <c r="U1956" s="4">
        <v>1</v>
      </c>
    </row>
    <row r="1957" spans="20:21">
      <c r="T1957" s="9">
        <v>362.4</v>
      </c>
      <c r="U1957" s="4">
        <v>2</v>
      </c>
    </row>
    <row r="1958" spans="20:21">
      <c r="T1958" s="9">
        <v>362.6</v>
      </c>
      <c r="U1958" s="4">
        <v>1</v>
      </c>
    </row>
    <row r="1959" spans="20:21">
      <c r="T1959" s="9">
        <v>362.8</v>
      </c>
      <c r="U1959" s="4">
        <v>1</v>
      </c>
    </row>
    <row r="1960" spans="20:21">
      <c r="T1960" s="9">
        <v>362.9</v>
      </c>
      <c r="U1960" s="4">
        <v>1</v>
      </c>
    </row>
    <row r="1961" spans="20:21">
      <c r="T1961" s="9">
        <v>363.1</v>
      </c>
      <c r="U1961" s="4">
        <v>2</v>
      </c>
    </row>
    <row r="1962" spans="20:21">
      <c r="T1962" s="9">
        <v>363.3</v>
      </c>
      <c r="U1962" s="4">
        <v>1</v>
      </c>
    </row>
    <row r="1963" spans="20:21">
      <c r="T1963" s="9">
        <v>363.4</v>
      </c>
      <c r="U1963" s="4">
        <v>1</v>
      </c>
    </row>
    <row r="1964" spans="20:21">
      <c r="T1964" s="9">
        <v>363.8</v>
      </c>
      <c r="U1964" s="4">
        <v>1</v>
      </c>
    </row>
    <row r="1965" spans="20:21">
      <c r="T1965" s="9">
        <v>364</v>
      </c>
      <c r="U1965" s="4">
        <v>1</v>
      </c>
    </row>
    <row r="1966" spans="20:21">
      <c r="T1966" s="9">
        <v>364.6</v>
      </c>
      <c r="U1966" s="4">
        <v>2</v>
      </c>
    </row>
    <row r="1967" spans="20:21">
      <c r="T1967" s="9">
        <v>364.9</v>
      </c>
      <c r="U1967" s="4">
        <v>1</v>
      </c>
    </row>
    <row r="1968" spans="20:21">
      <c r="T1968" s="9">
        <v>365.1</v>
      </c>
      <c r="U1968" s="4">
        <v>1</v>
      </c>
    </row>
    <row r="1969" spans="20:21">
      <c r="T1969" s="9">
        <v>365.3</v>
      </c>
      <c r="U1969" s="4">
        <v>1</v>
      </c>
    </row>
    <row r="1970" spans="20:21">
      <c r="T1970" s="9">
        <v>365.6</v>
      </c>
      <c r="U1970" s="4">
        <v>1</v>
      </c>
    </row>
    <row r="1971" spans="20:21">
      <c r="T1971" s="9">
        <v>365.7</v>
      </c>
      <c r="U1971" s="4">
        <v>1</v>
      </c>
    </row>
    <row r="1972" spans="20:21">
      <c r="T1972" s="9">
        <v>365.8</v>
      </c>
      <c r="U1972" s="4">
        <v>1</v>
      </c>
    </row>
    <row r="1973" spans="20:21">
      <c r="T1973" s="9">
        <v>365.9</v>
      </c>
      <c r="U1973" s="4">
        <v>1</v>
      </c>
    </row>
    <row r="1974" spans="20:21">
      <c r="T1974" s="9">
        <v>366.1</v>
      </c>
      <c r="U1974" s="4">
        <v>1</v>
      </c>
    </row>
    <row r="1975" spans="20:21">
      <c r="T1975" s="9">
        <v>366.4</v>
      </c>
      <c r="U1975" s="4">
        <v>1</v>
      </c>
    </row>
    <row r="1976" spans="20:21">
      <c r="T1976" s="9">
        <v>366.6</v>
      </c>
      <c r="U1976" s="4">
        <v>2</v>
      </c>
    </row>
    <row r="1977" spans="20:21">
      <c r="T1977" s="9">
        <v>366.7</v>
      </c>
      <c r="U1977" s="4">
        <v>1</v>
      </c>
    </row>
    <row r="1978" spans="20:21">
      <c r="T1978" s="9">
        <v>366.8</v>
      </c>
      <c r="U1978" s="4">
        <v>2</v>
      </c>
    </row>
    <row r="1979" spans="20:21">
      <c r="T1979" s="9">
        <v>367</v>
      </c>
      <c r="U1979" s="4">
        <v>1</v>
      </c>
    </row>
    <row r="1980" spans="20:21">
      <c r="T1980" s="9">
        <v>367.1</v>
      </c>
      <c r="U1980" s="4">
        <v>1</v>
      </c>
    </row>
    <row r="1981" spans="20:21">
      <c r="T1981" s="9">
        <v>367.2</v>
      </c>
      <c r="U1981" s="4">
        <v>2</v>
      </c>
    </row>
    <row r="1982" spans="20:21">
      <c r="T1982" s="9">
        <v>367.3</v>
      </c>
      <c r="U1982" s="4">
        <v>1</v>
      </c>
    </row>
    <row r="1983" spans="20:21">
      <c r="T1983" s="9">
        <v>367.4</v>
      </c>
      <c r="U1983" s="4">
        <v>1</v>
      </c>
    </row>
    <row r="1984" spans="20:21">
      <c r="T1984" s="9">
        <v>367.5</v>
      </c>
      <c r="U1984" s="4">
        <v>2</v>
      </c>
    </row>
    <row r="1985" spans="20:21">
      <c r="T1985" s="9">
        <v>367.6</v>
      </c>
      <c r="U1985" s="4">
        <v>1</v>
      </c>
    </row>
    <row r="1986" spans="20:21">
      <c r="T1986" s="9">
        <v>367.8</v>
      </c>
      <c r="U1986" s="4">
        <v>2</v>
      </c>
    </row>
    <row r="1987" spans="20:21">
      <c r="T1987" s="9">
        <v>368</v>
      </c>
      <c r="U1987" s="4">
        <v>3</v>
      </c>
    </row>
    <row r="1988" spans="20:21">
      <c r="T1988" s="9">
        <v>368.2</v>
      </c>
      <c r="U1988" s="4">
        <v>1</v>
      </c>
    </row>
    <row r="1989" spans="20:21">
      <c r="T1989" s="9">
        <v>368.6</v>
      </c>
      <c r="U1989" s="4">
        <v>1</v>
      </c>
    </row>
    <row r="1990" spans="20:21">
      <c r="T1990" s="9">
        <v>368.7</v>
      </c>
      <c r="U1990" s="4">
        <v>2</v>
      </c>
    </row>
    <row r="1991" spans="20:21">
      <c r="T1991" s="9">
        <v>369.3</v>
      </c>
      <c r="U1991" s="4">
        <v>1</v>
      </c>
    </row>
    <row r="1992" spans="20:21">
      <c r="T1992" s="9">
        <v>369.7</v>
      </c>
      <c r="U1992" s="4">
        <v>2</v>
      </c>
    </row>
    <row r="1993" spans="20:21">
      <c r="T1993" s="9">
        <v>369.8</v>
      </c>
      <c r="U1993" s="4">
        <v>1</v>
      </c>
    </row>
    <row r="1994" spans="20:21">
      <c r="T1994" s="9">
        <v>370.2</v>
      </c>
      <c r="U1994" s="4">
        <v>1</v>
      </c>
    </row>
    <row r="1995" spans="20:21">
      <c r="T1995" s="9">
        <v>370.4</v>
      </c>
      <c r="U1995" s="4">
        <v>1</v>
      </c>
    </row>
    <row r="1996" spans="20:21">
      <c r="T1996" s="9">
        <v>370.5</v>
      </c>
      <c r="U1996" s="4">
        <v>1</v>
      </c>
    </row>
    <row r="1997" spans="20:21">
      <c r="T1997" s="9">
        <v>370.8</v>
      </c>
      <c r="U1997" s="4">
        <v>1</v>
      </c>
    </row>
    <row r="1998" spans="20:21">
      <c r="T1998" s="9">
        <v>370.9</v>
      </c>
      <c r="U1998" s="4">
        <v>1</v>
      </c>
    </row>
    <row r="1999" spans="20:21">
      <c r="T1999" s="9">
        <v>371.2</v>
      </c>
      <c r="U1999" s="4">
        <v>3</v>
      </c>
    </row>
    <row r="2000" spans="20:21">
      <c r="T2000" s="9">
        <v>372</v>
      </c>
      <c r="U2000" s="4">
        <v>1</v>
      </c>
    </row>
    <row r="2001" spans="20:21">
      <c r="T2001" s="9">
        <v>372.2</v>
      </c>
      <c r="U2001" s="4">
        <v>2</v>
      </c>
    </row>
    <row r="2002" spans="20:21">
      <c r="T2002" s="9">
        <v>372.4</v>
      </c>
      <c r="U2002" s="4">
        <v>3</v>
      </c>
    </row>
    <row r="2003" spans="20:21">
      <c r="T2003" s="9">
        <v>372.5</v>
      </c>
      <c r="U2003" s="4">
        <v>2</v>
      </c>
    </row>
    <row r="2004" spans="20:21">
      <c r="T2004" s="9">
        <v>373</v>
      </c>
      <c r="U2004" s="4">
        <v>2</v>
      </c>
    </row>
    <row r="2005" spans="20:21">
      <c r="T2005" s="9">
        <v>373.1</v>
      </c>
      <c r="U2005" s="4">
        <v>1</v>
      </c>
    </row>
    <row r="2006" spans="20:21">
      <c r="T2006" s="9">
        <v>373.3</v>
      </c>
      <c r="U2006" s="4">
        <v>1</v>
      </c>
    </row>
    <row r="2007" spans="20:21">
      <c r="T2007" s="9">
        <v>373.4</v>
      </c>
      <c r="U2007" s="4">
        <v>1</v>
      </c>
    </row>
    <row r="2008" spans="20:21">
      <c r="T2008" s="9">
        <v>373.6</v>
      </c>
      <c r="U2008" s="4">
        <v>1</v>
      </c>
    </row>
    <row r="2009" spans="20:21">
      <c r="T2009" s="9">
        <v>373.7</v>
      </c>
      <c r="U2009" s="4">
        <v>2</v>
      </c>
    </row>
    <row r="2010" spans="20:21">
      <c r="T2010" s="9">
        <v>373.8</v>
      </c>
      <c r="U2010" s="4">
        <v>2</v>
      </c>
    </row>
    <row r="2011" spans="20:21">
      <c r="T2011" s="9">
        <v>374.3</v>
      </c>
      <c r="U2011" s="4">
        <v>1</v>
      </c>
    </row>
    <row r="2012" spans="20:21">
      <c r="T2012" s="9">
        <v>374.4</v>
      </c>
      <c r="U2012" s="4">
        <v>2</v>
      </c>
    </row>
    <row r="2013" spans="20:21">
      <c r="T2013" s="9">
        <v>374.5</v>
      </c>
      <c r="U2013" s="4">
        <v>2</v>
      </c>
    </row>
    <row r="2014" spans="20:21">
      <c r="T2014" s="9">
        <v>374.7</v>
      </c>
      <c r="U2014" s="4">
        <v>2</v>
      </c>
    </row>
    <row r="2015" spans="20:21">
      <c r="T2015" s="9">
        <v>375</v>
      </c>
      <c r="U2015" s="4">
        <v>1</v>
      </c>
    </row>
    <row r="2016" spans="20:21">
      <c r="T2016" s="9">
        <v>375.1</v>
      </c>
      <c r="U2016" s="4">
        <v>1</v>
      </c>
    </row>
    <row r="2017" spans="20:21">
      <c r="T2017" s="9">
        <v>375.2</v>
      </c>
      <c r="U2017" s="4">
        <v>2</v>
      </c>
    </row>
    <row r="2018" spans="20:21">
      <c r="T2018" s="9">
        <v>375.4</v>
      </c>
      <c r="U2018" s="4">
        <v>2</v>
      </c>
    </row>
    <row r="2019" spans="20:21">
      <c r="T2019" s="9">
        <v>375.7</v>
      </c>
      <c r="U2019" s="4">
        <v>1</v>
      </c>
    </row>
    <row r="2020" spans="20:21">
      <c r="T2020" s="9">
        <v>376.1</v>
      </c>
      <c r="U2020" s="4">
        <v>2</v>
      </c>
    </row>
    <row r="2021" spans="20:21">
      <c r="T2021" s="9">
        <v>376.2</v>
      </c>
      <c r="U2021" s="4">
        <v>2</v>
      </c>
    </row>
    <row r="2022" spans="20:21">
      <c r="T2022" s="9">
        <v>376.3</v>
      </c>
      <c r="U2022" s="4">
        <v>1</v>
      </c>
    </row>
    <row r="2023" spans="20:21">
      <c r="T2023" s="9">
        <v>376.7</v>
      </c>
      <c r="U2023" s="4">
        <v>1</v>
      </c>
    </row>
    <row r="2024" spans="20:21">
      <c r="T2024" s="9">
        <v>376.9</v>
      </c>
      <c r="U2024" s="4">
        <v>1</v>
      </c>
    </row>
    <row r="2025" spans="20:21">
      <c r="T2025" s="9">
        <v>377.3</v>
      </c>
      <c r="U2025" s="4">
        <v>1</v>
      </c>
    </row>
    <row r="2026" spans="20:21">
      <c r="T2026" s="9">
        <v>377.5</v>
      </c>
      <c r="U2026" s="4">
        <v>2</v>
      </c>
    </row>
    <row r="2027" spans="20:21">
      <c r="T2027" s="9">
        <v>377.8</v>
      </c>
      <c r="U2027" s="4">
        <v>1</v>
      </c>
    </row>
    <row r="2028" spans="20:21">
      <c r="T2028" s="9">
        <v>378</v>
      </c>
      <c r="U2028" s="4">
        <v>1</v>
      </c>
    </row>
    <row r="2029" spans="20:21">
      <c r="T2029" s="9">
        <v>378.3</v>
      </c>
      <c r="U2029" s="4">
        <v>2</v>
      </c>
    </row>
    <row r="2030" spans="20:21">
      <c r="T2030" s="9">
        <v>378.6</v>
      </c>
      <c r="U2030" s="4">
        <v>2</v>
      </c>
    </row>
    <row r="2031" spans="20:21">
      <c r="T2031" s="9">
        <v>379</v>
      </c>
      <c r="U2031" s="4">
        <v>1</v>
      </c>
    </row>
    <row r="2032" spans="20:21">
      <c r="T2032" s="9">
        <v>379.2</v>
      </c>
      <c r="U2032" s="4">
        <v>3</v>
      </c>
    </row>
    <row r="2033" spans="20:21">
      <c r="T2033" s="9">
        <v>379.3</v>
      </c>
      <c r="U2033" s="4">
        <v>1</v>
      </c>
    </row>
    <row r="2034" spans="20:21">
      <c r="T2034" s="9">
        <v>379.6</v>
      </c>
      <c r="U2034" s="4">
        <v>1</v>
      </c>
    </row>
    <row r="2035" spans="20:21">
      <c r="T2035" s="9">
        <v>379.7</v>
      </c>
      <c r="U2035" s="4">
        <v>1</v>
      </c>
    </row>
    <row r="2036" spans="20:21">
      <c r="T2036" s="9">
        <v>379.8</v>
      </c>
      <c r="U2036" s="4">
        <v>2</v>
      </c>
    </row>
    <row r="2037" spans="20:21">
      <c r="T2037" s="9">
        <v>379.9</v>
      </c>
      <c r="U2037" s="4">
        <v>1</v>
      </c>
    </row>
    <row r="2038" spans="20:21">
      <c r="T2038" s="9">
        <v>380</v>
      </c>
      <c r="U2038" s="4">
        <v>2</v>
      </c>
    </row>
    <row r="2039" spans="20:21">
      <c r="T2039" s="9">
        <v>380.1</v>
      </c>
      <c r="U2039" s="4">
        <v>1</v>
      </c>
    </row>
    <row r="2040" spans="20:21">
      <c r="T2040" s="9">
        <v>380.2</v>
      </c>
      <c r="U2040" s="4">
        <v>2</v>
      </c>
    </row>
    <row r="2041" spans="20:21">
      <c r="T2041" s="9">
        <v>380.4</v>
      </c>
      <c r="U2041" s="4">
        <v>1</v>
      </c>
    </row>
    <row r="2042" spans="20:21">
      <c r="T2042" s="9">
        <v>380.5</v>
      </c>
      <c r="U2042" s="4">
        <v>2</v>
      </c>
    </row>
    <row r="2043" spans="20:21">
      <c r="T2043" s="9">
        <v>380.8</v>
      </c>
      <c r="U2043" s="4">
        <v>2</v>
      </c>
    </row>
    <row r="2044" spans="20:21">
      <c r="T2044" s="9">
        <v>380.9</v>
      </c>
      <c r="U2044" s="4">
        <v>1</v>
      </c>
    </row>
    <row r="2045" spans="20:21">
      <c r="T2045" s="9">
        <v>381.2</v>
      </c>
      <c r="U2045" s="4">
        <v>1</v>
      </c>
    </row>
    <row r="2046" spans="20:21">
      <c r="T2046" s="9">
        <v>381.3</v>
      </c>
      <c r="U2046" s="4">
        <v>2</v>
      </c>
    </row>
    <row r="2047" spans="20:21">
      <c r="T2047" s="9">
        <v>381.5</v>
      </c>
      <c r="U2047" s="4">
        <v>1</v>
      </c>
    </row>
    <row r="2048" spans="20:21">
      <c r="T2048" s="9">
        <v>381.6</v>
      </c>
      <c r="U2048" s="4">
        <v>1</v>
      </c>
    </row>
    <row r="2049" spans="20:21">
      <c r="T2049" s="9">
        <v>382</v>
      </c>
      <c r="U2049" s="4">
        <v>1</v>
      </c>
    </row>
    <row r="2050" spans="20:21">
      <c r="T2050" s="9">
        <v>382.5</v>
      </c>
      <c r="U2050" s="4">
        <v>1</v>
      </c>
    </row>
    <row r="2051" spans="20:21">
      <c r="T2051" s="9">
        <v>382.7</v>
      </c>
      <c r="U2051" s="4">
        <v>1</v>
      </c>
    </row>
    <row r="2052" spans="20:21">
      <c r="T2052" s="9">
        <v>382.8</v>
      </c>
      <c r="U2052" s="4">
        <v>1</v>
      </c>
    </row>
    <row r="2053" spans="20:21">
      <c r="T2053" s="9">
        <v>382.9</v>
      </c>
      <c r="U2053" s="4">
        <v>1</v>
      </c>
    </row>
    <row r="2054" spans="20:21">
      <c r="T2054" s="9">
        <v>383.1</v>
      </c>
      <c r="U2054" s="4">
        <v>1</v>
      </c>
    </row>
    <row r="2055" spans="20:21">
      <c r="T2055" s="9">
        <v>383.3</v>
      </c>
      <c r="U2055" s="4">
        <v>1</v>
      </c>
    </row>
    <row r="2056" spans="20:21">
      <c r="T2056" s="9">
        <v>383.4</v>
      </c>
      <c r="U2056" s="4">
        <v>2</v>
      </c>
    </row>
    <row r="2057" spans="20:21">
      <c r="T2057" s="9">
        <v>383.6</v>
      </c>
      <c r="U2057" s="4">
        <v>2</v>
      </c>
    </row>
    <row r="2058" spans="20:21">
      <c r="T2058" s="9">
        <v>383.7</v>
      </c>
      <c r="U2058" s="4">
        <v>1</v>
      </c>
    </row>
    <row r="2059" spans="20:21">
      <c r="T2059" s="9">
        <v>384</v>
      </c>
      <c r="U2059" s="4">
        <v>1</v>
      </c>
    </row>
    <row r="2060" spans="20:21">
      <c r="T2060" s="9">
        <v>384.1</v>
      </c>
      <c r="U2060" s="4">
        <v>2</v>
      </c>
    </row>
    <row r="2061" spans="20:21">
      <c r="T2061" s="9">
        <v>384.7</v>
      </c>
      <c r="U2061" s="4">
        <v>1</v>
      </c>
    </row>
    <row r="2062" spans="20:21">
      <c r="T2062" s="9">
        <v>385</v>
      </c>
      <c r="U2062" s="4">
        <v>1</v>
      </c>
    </row>
    <row r="2063" spans="20:21">
      <c r="T2063" s="9">
        <v>385.1</v>
      </c>
      <c r="U2063" s="4">
        <v>4</v>
      </c>
    </row>
    <row r="2064" spans="20:21">
      <c r="T2064" s="9">
        <v>385.2</v>
      </c>
      <c r="U2064" s="4">
        <v>1</v>
      </c>
    </row>
    <row r="2065" spans="20:21">
      <c r="T2065" s="9">
        <v>385.4</v>
      </c>
      <c r="U2065" s="4">
        <v>3</v>
      </c>
    </row>
    <row r="2066" spans="20:21">
      <c r="T2066" s="9">
        <v>385.5</v>
      </c>
      <c r="U2066" s="4">
        <v>2</v>
      </c>
    </row>
    <row r="2067" spans="20:21">
      <c r="T2067" s="9">
        <v>385.7</v>
      </c>
      <c r="U2067" s="4">
        <v>1</v>
      </c>
    </row>
    <row r="2068" spans="20:21">
      <c r="T2068" s="9">
        <v>385.8</v>
      </c>
      <c r="U2068" s="4">
        <v>1</v>
      </c>
    </row>
    <row r="2069" spans="20:21">
      <c r="T2069" s="9">
        <v>386</v>
      </c>
      <c r="U2069" s="4">
        <v>1</v>
      </c>
    </row>
    <row r="2070" spans="20:21">
      <c r="T2070" s="9">
        <v>386.1</v>
      </c>
      <c r="U2070" s="4">
        <v>1</v>
      </c>
    </row>
    <row r="2071" spans="20:21">
      <c r="T2071" s="9">
        <v>386.5</v>
      </c>
      <c r="U2071" s="4">
        <v>1</v>
      </c>
    </row>
    <row r="2072" spans="20:21">
      <c r="T2072" s="9">
        <v>387</v>
      </c>
      <c r="U2072" s="4">
        <v>3</v>
      </c>
    </row>
    <row r="2073" spans="20:21">
      <c r="T2073" s="9">
        <v>387.1</v>
      </c>
      <c r="U2073" s="4">
        <v>1</v>
      </c>
    </row>
    <row r="2074" spans="20:21">
      <c r="T2074" s="9">
        <v>387.4</v>
      </c>
      <c r="U2074" s="4">
        <v>3</v>
      </c>
    </row>
    <row r="2075" spans="20:21">
      <c r="T2075" s="9">
        <v>387.6</v>
      </c>
      <c r="U2075" s="4">
        <v>2</v>
      </c>
    </row>
    <row r="2076" spans="20:21">
      <c r="T2076" s="9">
        <v>388.2</v>
      </c>
      <c r="U2076" s="4">
        <v>1</v>
      </c>
    </row>
    <row r="2077" spans="20:21">
      <c r="T2077" s="9">
        <v>388.7</v>
      </c>
      <c r="U2077" s="4">
        <v>1</v>
      </c>
    </row>
    <row r="2078" spans="20:21">
      <c r="T2078" s="9">
        <v>389.2</v>
      </c>
      <c r="U2078" s="4">
        <v>1</v>
      </c>
    </row>
    <row r="2079" spans="20:21">
      <c r="T2079" s="9">
        <v>389.3</v>
      </c>
      <c r="U2079" s="4">
        <v>1</v>
      </c>
    </row>
    <row r="2080" spans="20:21">
      <c r="T2080" s="9">
        <v>389.7</v>
      </c>
      <c r="U2080" s="4">
        <v>2</v>
      </c>
    </row>
    <row r="2081" spans="20:21">
      <c r="T2081" s="9">
        <v>389.9</v>
      </c>
      <c r="U2081" s="4">
        <v>3</v>
      </c>
    </row>
    <row r="2082" spans="20:21">
      <c r="T2082" s="9">
        <v>390</v>
      </c>
      <c r="U2082" s="4">
        <v>3</v>
      </c>
    </row>
    <row r="2083" spans="20:21">
      <c r="T2083" s="9">
        <v>390.2</v>
      </c>
      <c r="U2083" s="4">
        <v>1</v>
      </c>
    </row>
    <row r="2084" spans="20:21">
      <c r="T2084" s="9">
        <v>390.4</v>
      </c>
      <c r="U2084" s="4">
        <v>1</v>
      </c>
    </row>
    <row r="2085" spans="20:21">
      <c r="T2085" s="9">
        <v>390.5</v>
      </c>
      <c r="U2085" s="4">
        <v>1</v>
      </c>
    </row>
    <row r="2086" spans="20:21">
      <c r="T2086" s="9">
        <v>390.6</v>
      </c>
      <c r="U2086" s="4">
        <v>1</v>
      </c>
    </row>
    <row r="2087" spans="20:21">
      <c r="T2087" s="9">
        <v>390.8</v>
      </c>
      <c r="U2087" s="4">
        <v>2</v>
      </c>
    </row>
    <row r="2088" spans="20:21">
      <c r="T2088" s="9">
        <v>390.9</v>
      </c>
      <c r="U2088" s="4">
        <v>1</v>
      </c>
    </row>
    <row r="2089" spans="20:21">
      <c r="T2089" s="9">
        <v>391</v>
      </c>
      <c r="U2089" s="4">
        <v>1</v>
      </c>
    </row>
    <row r="2090" spans="20:21">
      <c r="T2090" s="9">
        <v>391.1</v>
      </c>
      <c r="U2090" s="4">
        <v>2</v>
      </c>
    </row>
    <row r="2091" spans="20:21">
      <c r="T2091" s="9">
        <v>391.2</v>
      </c>
      <c r="U2091" s="4">
        <v>1</v>
      </c>
    </row>
    <row r="2092" spans="20:21">
      <c r="T2092" s="9">
        <v>391.4</v>
      </c>
      <c r="U2092" s="4">
        <v>2</v>
      </c>
    </row>
    <row r="2093" spans="20:21">
      <c r="T2093" s="9">
        <v>391.6</v>
      </c>
      <c r="U2093" s="4">
        <v>2</v>
      </c>
    </row>
    <row r="2094" spans="20:21">
      <c r="T2094" s="9">
        <v>391.9</v>
      </c>
      <c r="U2094" s="4">
        <v>1</v>
      </c>
    </row>
    <row r="2095" spans="20:21">
      <c r="T2095" s="9">
        <v>393.1</v>
      </c>
      <c r="U2095" s="4">
        <v>1</v>
      </c>
    </row>
    <row r="2096" spans="20:21">
      <c r="T2096" s="9">
        <v>393.3</v>
      </c>
      <c r="U2096" s="4">
        <v>1</v>
      </c>
    </row>
    <row r="2097" spans="20:21">
      <c r="T2097" s="9">
        <v>393.4</v>
      </c>
      <c r="U2097" s="4">
        <v>1</v>
      </c>
    </row>
    <row r="2098" spans="20:21">
      <c r="T2098" s="9">
        <v>393.6</v>
      </c>
      <c r="U2098" s="4">
        <v>1</v>
      </c>
    </row>
    <row r="2099" spans="20:21">
      <c r="T2099" s="9">
        <v>394</v>
      </c>
      <c r="U2099" s="4">
        <v>1</v>
      </c>
    </row>
    <row r="2100" spans="20:21">
      <c r="T2100" s="9">
        <v>394.1</v>
      </c>
      <c r="U2100" s="4">
        <v>1</v>
      </c>
    </row>
    <row r="2101" spans="20:21">
      <c r="T2101" s="9">
        <v>394.2</v>
      </c>
      <c r="U2101" s="4">
        <v>1</v>
      </c>
    </row>
    <row r="2102" spans="20:21">
      <c r="T2102" s="9">
        <v>394.5</v>
      </c>
      <c r="U2102" s="4">
        <v>1</v>
      </c>
    </row>
    <row r="2103" spans="20:21">
      <c r="T2103" s="9">
        <v>394.6</v>
      </c>
      <c r="U2103" s="4">
        <v>1</v>
      </c>
    </row>
    <row r="2104" spans="20:21">
      <c r="T2104" s="9">
        <v>394.7</v>
      </c>
      <c r="U2104" s="4">
        <v>1</v>
      </c>
    </row>
    <row r="2105" spans="20:21">
      <c r="T2105" s="9">
        <v>395</v>
      </c>
      <c r="U2105" s="4">
        <v>1</v>
      </c>
    </row>
    <row r="2106" spans="20:21">
      <c r="T2106" s="9">
        <v>395.4</v>
      </c>
      <c r="U2106" s="4">
        <v>1</v>
      </c>
    </row>
    <row r="2107" spans="20:21">
      <c r="T2107" s="9">
        <v>395.5</v>
      </c>
      <c r="U2107" s="4">
        <v>1</v>
      </c>
    </row>
    <row r="2108" spans="20:21">
      <c r="T2108" s="9">
        <v>395.7</v>
      </c>
      <c r="U2108" s="4">
        <v>1</v>
      </c>
    </row>
    <row r="2109" spans="20:21">
      <c r="T2109" s="9">
        <v>395.8</v>
      </c>
      <c r="U2109" s="4">
        <v>1</v>
      </c>
    </row>
    <row r="2110" spans="20:21">
      <c r="T2110" s="9">
        <v>396</v>
      </c>
      <c r="U2110" s="4">
        <v>2</v>
      </c>
    </row>
    <row r="2111" spans="20:21">
      <c r="T2111" s="9">
        <v>396.1</v>
      </c>
      <c r="U2111" s="4">
        <v>2</v>
      </c>
    </row>
    <row r="2112" spans="20:21">
      <c r="T2112" s="9">
        <v>396.3</v>
      </c>
      <c r="U2112" s="4">
        <v>1</v>
      </c>
    </row>
    <row r="2113" spans="20:21">
      <c r="T2113" s="9">
        <v>396.4</v>
      </c>
      <c r="U2113" s="4">
        <v>1</v>
      </c>
    </row>
    <row r="2114" spans="20:21">
      <c r="T2114" s="9">
        <v>396.7</v>
      </c>
      <c r="U2114" s="4">
        <v>1</v>
      </c>
    </row>
    <row r="2115" spans="20:21">
      <c r="T2115" s="9">
        <v>396.9</v>
      </c>
      <c r="U2115" s="4">
        <v>1</v>
      </c>
    </row>
    <row r="2116" spans="20:21">
      <c r="T2116" s="9">
        <v>397</v>
      </c>
      <c r="U2116" s="4">
        <v>2</v>
      </c>
    </row>
    <row r="2117" spans="20:21">
      <c r="T2117" s="9">
        <v>397.2</v>
      </c>
      <c r="U2117" s="4">
        <v>1</v>
      </c>
    </row>
    <row r="2118" spans="20:21">
      <c r="T2118" s="9">
        <v>397.3</v>
      </c>
      <c r="U2118" s="4">
        <v>1</v>
      </c>
    </row>
    <row r="2119" spans="20:21">
      <c r="T2119" s="9">
        <v>397.5</v>
      </c>
      <c r="U2119" s="4">
        <v>1</v>
      </c>
    </row>
    <row r="2120" spans="20:21">
      <c r="T2120" s="9">
        <v>397.7</v>
      </c>
      <c r="U2120" s="4">
        <v>3</v>
      </c>
    </row>
    <row r="2121" spans="20:21">
      <c r="T2121" s="9">
        <v>398.1</v>
      </c>
      <c r="U2121" s="4">
        <v>2</v>
      </c>
    </row>
    <row r="2122" spans="20:21">
      <c r="T2122" s="9">
        <v>398.4</v>
      </c>
      <c r="U2122" s="4">
        <v>1</v>
      </c>
    </row>
    <row r="2123" spans="20:21">
      <c r="T2123" s="9">
        <v>398.5</v>
      </c>
      <c r="U2123" s="4">
        <v>1</v>
      </c>
    </row>
    <row r="2124" spans="20:21">
      <c r="T2124" s="9">
        <v>398.6</v>
      </c>
      <c r="U2124" s="4">
        <v>2</v>
      </c>
    </row>
    <row r="2125" spans="20:21">
      <c r="T2125" s="9">
        <v>398.8</v>
      </c>
      <c r="U2125" s="4">
        <v>2</v>
      </c>
    </row>
    <row r="2126" spans="20:21">
      <c r="T2126" s="9">
        <v>399</v>
      </c>
      <c r="U2126" s="4">
        <v>1</v>
      </c>
    </row>
    <row r="2127" spans="20:21">
      <c r="T2127" s="9">
        <v>399.1</v>
      </c>
      <c r="U2127" s="4">
        <v>1</v>
      </c>
    </row>
    <row r="2128" spans="20:21">
      <c r="T2128" s="9">
        <v>399.7</v>
      </c>
      <c r="U2128" s="4">
        <v>1</v>
      </c>
    </row>
    <row r="2129" spans="20:21">
      <c r="T2129" s="9">
        <v>399.8</v>
      </c>
      <c r="U2129" s="4">
        <v>1</v>
      </c>
    </row>
    <row r="2130" spans="20:21">
      <c r="T2130" s="9">
        <v>400.4</v>
      </c>
      <c r="U2130" s="4">
        <v>1</v>
      </c>
    </row>
    <row r="2131" spans="20:21">
      <c r="T2131" s="9">
        <v>400.7</v>
      </c>
      <c r="U2131" s="4">
        <v>1</v>
      </c>
    </row>
    <row r="2132" spans="20:21">
      <c r="T2132" s="9">
        <v>401</v>
      </c>
      <c r="U2132" s="4">
        <v>1</v>
      </c>
    </row>
    <row r="2133" spans="20:21">
      <c r="T2133" s="9">
        <v>401.1</v>
      </c>
      <c r="U2133" s="4">
        <v>1</v>
      </c>
    </row>
    <row r="2134" spans="20:21">
      <c r="T2134" s="9">
        <v>401.2</v>
      </c>
      <c r="U2134" s="4">
        <v>1</v>
      </c>
    </row>
    <row r="2135" spans="20:21">
      <c r="T2135" s="9">
        <v>401.5</v>
      </c>
      <c r="U2135" s="4">
        <v>1</v>
      </c>
    </row>
    <row r="2136" spans="20:21">
      <c r="T2136" s="9">
        <v>401.8</v>
      </c>
      <c r="U2136" s="4">
        <v>2</v>
      </c>
    </row>
    <row r="2137" spans="20:21">
      <c r="T2137" s="9">
        <v>402</v>
      </c>
      <c r="U2137" s="4">
        <v>1</v>
      </c>
    </row>
    <row r="2138" spans="20:21">
      <c r="T2138" s="9">
        <v>402.1</v>
      </c>
      <c r="U2138" s="4">
        <v>2</v>
      </c>
    </row>
    <row r="2139" spans="20:21">
      <c r="T2139" s="9">
        <v>402.2</v>
      </c>
      <c r="U2139" s="4">
        <v>1</v>
      </c>
    </row>
    <row r="2140" spans="20:21">
      <c r="T2140" s="9">
        <v>402.4</v>
      </c>
      <c r="U2140" s="4">
        <v>1</v>
      </c>
    </row>
    <row r="2141" spans="20:21">
      <c r="T2141" s="9">
        <v>403.2</v>
      </c>
      <c r="U2141" s="4">
        <v>1</v>
      </c>
    </row>
    <row r="2142" spans="20:21">
      <c r="T2142" s="9">
        <v>403.3</v>
      </c>
      <c r="U2142" s="4">
        <v>1</v>
      </c>
    </row>
    <row r="2143" spans="20:21">
      <c r="T2143" s="9">
        <v>403.4</v>
      </c>
      <c r="U2143" s="4">
        <v>2</v>
      </c>
    </row>
    <row r="2144" spans="20:21">
      <c r="T2144" s="9">
        <v>403.5</v>
      </c>
      <c r="U2144" s="4">
        <v>1</v>
      </c>
    </row>
    <row r="2145" spans="20:21">
      <c r="T2145" s="9">
        <v>403.9</v>
      </c>
      <c r="U2145" s="4">
        <v>1</v>
      </c>
    </row>
    <row r="2146" spans="20:21">
      <c r="T2146" s="9">
        <v>404.2</v>
      </c>
      <c r="U2146" s="4">
        <v>4</v>
      </c>
    </row>
    <row r="2147" spans="20:21">
      <c r="T2147" s="9">
        <v>404.5</v>
      </c>
      <c r="U2147" s="4">
        <v>1</v>
      </c>
    </row>
    <row r="2148" spans="20:21">
      <c r="T2148" s="9">
        <v>404.8</v>
      </c>
      <c r="U2148" s="4">
        <v>1</v>
      </c>
    </row>
    <row r="2149" spans="20:21">
      <c r="T2149" s="9">
        <v>405.3</v>
      </c>
      <c r="U2149" s="4">
        <v>1</v>
      </c>
    </row>
    <row r="2150" spans="20:21">
      <c r="T2150" s="9">
        <v>405.7</v>
      </c>
      <c r="U2150" s="4">
        <v>1</v>
      </c>
    </row>
    <row r="2151" spans="20:21">
      <c r="T2151" s="9">
        <v>405.9</v>
      </c>
      <c r="U2151" s="4">
        <v>1</v>
      </c>
    </row>
    <row r="2152" spans="20:21">
      <c r="T2152" s="9">
        <v>406</v>
      </c>
      <c r="U2152" s="4">
        <v>1</v>
      </c>
    </row>
    <row r="2153" spans="20:21">
      <c r="T2153" s="9">
        <v>406.2</v>
      </c>
      <c r="U2153" s="4">
        <v>1</v>
      </c>
    </row>
    <row r="2154" spans="20:21">
      <c r="T2154" s="9">
        <v>406.5</v>
      </c>
      <c r="U2154" s="4">
        <v>1</v>
      </c>
    </row>
    <row r="2155" spans="20:21">
      <c r="T2155" s="9">
        <v>406.8</v>
      </c>
      <c r="U2155" s="4">
        <v>1</v>
      </c>
    </row>
    <row r="2156" spans="20:21">
      <c r="T2156" s="9">
        <v>406.9</v>
      </c>
      <c r="U2156" s="4">
        <v>2</v>
      </c>
    </row>
    <row r="2157" spans="20:21">
      <c r="T2157" s="9">
        <v>407.1</v>
      </c>
      <c r="U2157" s="4">
        <v>1</v>
      </c>
    </row>
    <row r="2158" spans="20:21">
      <c r="T2158" s="9">
        <v>407.3</v>
      </c>
      <c r="U2158" s="4">
        <v>1</v>
      </c>
    </row>
    <row r="2159" spans="20:21">
      <c r="T2159" s="9">
        <v>407.5</v>
      </c>
      <c r="U2159" s="4">
        <v>1</v>
      </c>
    </row>
    <row r="2160" spans="20:21">
      <c r="T2160" s="9">
        <v>407.7</v>
      </c>
      <c r="U2160" s="4">
        <v>1</v>
      </c>
    </row>
    <row r="2161" spans="20:21">
      <c r="T2161" s="9">
        <v>407.8</v>
      </c>
      <c r="U2161" s="4">
        <v>1</v>
      </c>
    </row>
    <row r="2162" spans="20:21">
      <c r="T2162" s="9">
        <v>408.5</v>
      </c>
      <c r="U2162" s="4">
        <v>1</v>
      </c>
    </row>
    <row r="2163" spans="20:21">
      <c r="T2163" s="9">
        <v>408.8</v>
      </c>
      <c r="U2163" s="4">
        <v>1</v>
      </c>
    </row>
    <row r="2164" spans="20:21">
      <c r="T2164" s="9">
        <v>409.2</v>
      </c>
      <c r="U2164" s="4">
        <v>1</v>
      </c>
    </row>
    <row r="2165" spans="20:21">
      <c r="T2165" s="9">
        <v>409.4</v>
      </c>
      <c r="U2165" s="4">
        <v>1</v>
      </c>
    </row>
    <row r="2166" spans="20:21">
      <c r="T2166" s="9">
        <v>409.6</v>
      </c>
      <c r="U2166" s="4">
        <v>1</v>
      </c>
    </row>
    <row r="2167" spans="20:21">
      <c r="T2167" s="9">
        <v>409.7</v>
      </c>
      <c r="U2167" s="4">
        <v>1</v>
      </c>
    </row>
    <row r="2168" spans="20:21">
      <c r="T2168" s="9">
        <v>409.8</v>
      </c>
      <c r="U2168" s="4">
        <v>1</v>
      </c>
    </row>
    <row r="2169" spans="20:21">
      <c r="T2169" s="9">
        <v>410.1</v>
      </c>
      <c r="U2169" s="4">
        <v>2</v>
      </c>
    </row>
    <row r="2170" spans="20:21">
      <c r="T2170" s="9">
        <v>410.2</v>
      </c>
      <c r="U2170" s="4">
        <v>1</v>
      </c>
    </row>
    <row r="2171" spans="20:21">
      <c r="T2171" s="9">
        <v>410.3</v>
      </c>
      <c r="U2171" s="4">
        <v>2</v>
      </c>
    </row>
    <row r="2172" spans="20:21">
      <c r="T2172" s="9">
        <v>410.5</v>
      </c>
      <c r="U2172" s="4">
        <v>1</v>
      </c>
    </row>
    <row r="2173" spans="20:21">
      <c r="T2173" s="9">
        <v>410.7</v>
      </c>
      <c r="U2173" s="4">
        <v>2</v>
      </c>
    </row>
    <row r="2174" spans="20:21">
      <c r="T2174" s="9">
        <v>410.8</v>
      </c>
      <c r="U2174" s="4">
        <v>1</v>
      </c>
    </row>
    <row r="2175" spans="20:21">
      <c r="T2175" s="9">
        <v>411</v>
      </c>
      <c r="U2175" s="4">
        <v>1</v>
      </c>
    </row>
    <row r="2176" spans="20:21">
      <c r="T2176" s="9">
        <v>411.2</v>
      </c>
      <c r="U2176" s="4">
        <v>1</v>
      </c>
    </row>
    <row r="2177" spans="20:21">
      <c r="T2177" s="9">
        <v>411.3</v>
      </c>
      <c r="U2177" s="4">
        <v>1</v>
      </c>
    </row>
    <row r="2178" spans="20:21">
      <c r="T2178" s="9">
        <v>411.4</v>
      </c>
      <c r="U2178" s="4">
        <v>1</v>
      </c>
    </row>
    <row r="2179" spans="20:21">
      <c r="T2179" s="9">
        <v>411.5</v>
      </c>
      <c r="U2179" s="4">
        <v>1</v>
      </c>
    </row>
    <row r="2180" spans="20:21">
      <c r="T2180" s="9">
        <v>411.6</v>
      </c>
      <c r="U2180" s="4">
        <v>3</v>
      </c>
    </row>
    <row r="2181" spans="20:21">
      <c r="T2181" s="9">
        <v>411.7</v>
      </c>
      <c r="U2181" s="4">
        <v>2</v>
      </c>
    </row>
    <row r="2182" spans="20:21">
      <c r="T2182" s="9">
        <v>412.1</v>
      </c>
      <c r="U2182" s="4">
        <v>1</v>
      </c>
    </row>
    <row r="2183" spans="20:21">
      <c r="T2183" s="9">
        <v>412.6</v>
      </c>
      <c r="U2183" s="4">
        <v>2</v>
      </c>
    </row>
    <row r="2184" spans="20:21">
      <c r="T2184" s="9">
        <v>412.7</v>
      </c>
      <c r="U2184" s="4">
        <v>2</v>
      </c>
    </row>
    <row r="2185" spans="20:21">
      <c r="T2185" s="9">
        <v>412.8</v>
      </c>
      <c r="U2185" s="4">
        <v>1</v>
      </c>
    </row>
    <row r="2186" spans="20:21">
      <c r="T2186" s="9">
        <v>413</v>
      </c>
      <c r="U2186" s="4">
        <v>2</v>
      </c>
    </row>
    <row r="2187" spans="20:21">
      <c r="T2187" s="9">
        <v>413.1</v>
      </c>
      <c r="U2187" s="4">
        <v>2</v>
      </c>
    </row>
    <row r="2188" spans="20:21">
      <c r="T2188" s="9">
        <v>413.2</v>
      </c>
      <c r="U2188" s="4">
        <v>1</v>
      </c>
    </row>
    <row r="2189" spans="20:21">
      <c r="T2189" s="9">
        <v>413.3</v>
      </c>
      <c r="U2189" s="4">
        <v>1</v>
      </c>
    </row>
    <row r="2190" spans="20:21">
      <c r="T2190" s="9">
        <v>413.5</v>
      </c>
      <c r="U2190" s="4">
        <v>1</v>
      </c>
    </row>
    <row r="2191" spans="20:21">
      <c r="T2191" s="9">
        <v>413.6</v>
      </c>
      <c r="U2191" s="4">
        <v>1</v>
      </c>
    </row>
    <row r="2192" spans="20:21">
      <c r="T2192" s="9">
        <v>413.9</v>
      </c>
      <c r="U2192" s="4">
        <v>2</v>
      </c>
    </row>
    <row r="2193" spans="20:21">
      <c r="T2193" s="9">
        <v>414</v>
      </c>
      <c r="U2193" s="4">
        <v>1</v>
      </c>
    </row>
    <row r="2194" spans="20:21">
      <c r="T2194" s="9">
        <v>414.3</v>
      </c>
      <c r="U2194" s="4">
        <v>1</v>
      </c>
    </row>
    <row r="2195" spans="20:21">
      <c r="T2195" s="9">
        <v>414.4</v>
      </c>
      <c r="U2195" s="4">
        <v>1</v>
      </c>
    </row>
    <row r="2196" spans="20:21">
      <c r="T2196" s="9">
        <v>414.6</v>
      </c>
      <c r="U2196" s="4">
        <v>4</v>
      </c>
    </row>
    <row r="2197" spans="20:21">
      <c r="T2197" s="9">
        <v>414.9</v>
      </c>
      <c r="U2197" s="4">
        <v>1</v>
      </c>
    </row>
    <row r="2198" spans="20:21">
      <c r="T2198" s="9">
        <v>415.1</v>
      </c>
      <c r="U2198" s="4">
        <v>1</v>
      </c>
    </row>
    <row r="2199" spans="20:21">
      <c r="T2199" s="9">
        <v>415.4</v>
      </c>
      <c r="U2199" s="4">
        <v>1</v>
      </c>
    </row>
    <row r="2200" spans="20:21">
      <c r="T2200" s="9">
        <v>415.8</v>
      </c>
      <c r="U2200" s="4">
        <v>1</v>
      </c>
    </row>
    <row r="2201" spans="20:21">
      <c r="T2201" s="9">
        <v>415.9</v>
      </c>
      <c r="U2201" s="4">
        <v>1</v>
      </c>
    </row>
    <row r="2202" spans="20:21">
      <c r="T2202" s="9">
        <v>416</v>
      </c>
      <c r="U2202" s="4">
        <v>1</v>
      </c>
    </row>
    <row r="2203" spans="20:21">
      <c r="T2203" s="9">
        <v>416.1</v>
      </c>
      <c r="U2203" s="4">
        <v>2</v>
      </c>
    </row>
    <row r="2204" spans="20:21">
      <c r="T2204" s="9">
        <v>416.3</v>
      </c>
      <c r="U2204" s="4">
        <v>1</v>
      </c>
    </row>
    <row r="2205" spans="20:21">
      <c r="T2205" s="9">
        <v>416.6</v>
      </c>
      <c r="U2205" s="4">
        <v>2</v>
      </c>
    </row>
    <row r="2206" spans="20:21">
      <c r="T2206" s="9">
        <v>416.9</v>
      </c>
      <c r="U2206" s="4">
        <v>2</v>
      </c>
    </row>
    <row r="2207" spans="20:21">
      <c r="T2207" s="9">
        <v>417.2</v>
      </c>
      <c r="U2207" s="4">
        <v>1</v>
      </c>
    </row>
    <row r="2208" spans="20:21">
      <c r="T2208" s="9">
        <v>417.7</v>
      </c>
      <c r="U2208" s="4">
        <v>2</v>
      </c>
    </row>
    <row r="2209" spans="20:21">
      <c r="T2209" s="9">
        <v>418</v>
      </c>
      <c r="U2209" s="4">
        <v>1</v>
      </c>
    </row>
    <row r="2210" spans="20:21">
      <c r="T2210" s="9">
        <v>418.2</v>
      </c>
      <c r="U2210" s="4">
        <v>2</v>
      </c>
    </row>
    <row r="2211" spans="20:21">
      <c r="T2211" s="9">
        <v>419.1</v>
      </c>
      <c r="U2211" s="4">
        <v>1</v>
      </c>
    </row>
    <row r="2212" spans="20:21">
      <c r="T2212" s="9">
        <v>419.4</v>
      </c>
      <c r="U2212" s="4">
        <v>2</v>
      </c>
    </row>
    <row r="2213" spans="20:21">
      <c r="T2213" s="9">
        <v>419.7</v>
      </c>
      <c r="U2213" s="4">
        <v>2</v>
      </c>
    </row>
    <row r="2214" spans="20:21">
      <c r="T2214" s="9">
        <v>419.8</v>
      </c>
      <c r="U2214" s="4">
        <v>1</v>
      </c>
    </row>
    <row r="2215" spans="20:21">
      <c r="T2215" s="9">
        <v>419.9</v>
      </c>
      <c r="U2215" s="4">
        <v>1</v>
      </c>
    </row>
    <row r="2216" spans="20:21">
      <c r="T2216" s="9">
        <v>420</v>
      </c>
      <c r="U2216" s="4">
        <v>1</v>
      </c>
    </row>
    <row r="2217" spans="20:21">
      <c r="T2217" s="9">
        <v>420.1</v>
      </c>
      <c r="U2217" s="4">
        <v>1</v>
      </c>
    </row>
    <row r="2218" spans="20:21">
      <c r="T2218" s="9">
        <v>420.2</v>
      </c>
      <c r="U2218" s="4">
        <v>2</v>
      </c>
    </row>
    <row r="2219" spans="20:21">
      <c r="T2219" s="9">
        <v>421</v>
      </c>
      <c r="U2219" s="4">
        <v>1</v>
      </c>
    </row>
    <row r="2220" spans="20:21">
      <c r="T2220" s="9">
        <v>421.1</v>
      </c>
      <c r="U2220" s="4">
        <v>1</v>
      </c>
    </row>
    <row r="2221" spans="20:21">
      <c r="T2221" s="9">
        <v>421.2</v>
      </c>
      <c r="U2221" s="4">
        <v>1</v>
      </c>
    </row>
    <row r="2222" spans="20:21">
      <c r="T2222" s="9">
        <v>421.3</v>
      </c>
      <c r="U2222" s="4">
        <v>1</v>
      </c>
    </row>
    <row r="2223" spans="20:21">
      <c r="T2223" s="9">
        <v>421.4</v>
      </c>
      <c r="U2223" s="4">
        <v>1</v>
      </c>
    </row>
    <row r="2224" spans="20:21">
      <c r="T2224" s="9">
        <v>421.7</v>
      </c>
      <c r="U2224" s="4">
        <v>1</v>
      </c>
    </row>
    <row r="2225" spans="20:21">
      <c r="T2225" s="9">
        <v>421.9</v>
      </c>
      <c r="U2225" s="4">
        <v>1</v>
      </c>
    </row>
    <row r="2226" spans="20:21">
      <c r="T2226" s="9">
        <v>422.2</v>
      </c>
      <c r="U2226" s="4">
        <v>1</v>
      </c>
    </row>
    <row r="2227" spans="20:21">
      <c r="T2227" s="9">
        <v>422.5</v>
      </c>
      <c r="U2227" s="4">
        <v>1</v>
      </c>
    </row>
    <row r="2228" spans="20:21">
      <c r="T2228" s="9">
        <v>422.6</v>
      </c>
      <c r="U2228" s="4">
        <v>1</v>
      </c>
    </row>
    <row r="2229" spans="20:21">
      <c r="T2229" s="9">
        <v>422.9</v>
      </c>
      <c r="U2229" s="4">
        <v>2</v>
      </c>
    </row>
    <row r="2230" spans="20:21">
      <c r="T2230" s="9">
        <v>423.8</v>
      </c>
      <c r="U2230" s="4">
        <v>1</v>
      </c>
    </row>
    <row r="2231" spans="20:21">
      <c r="T2231" s="9">
        <v>423.9</v>
      </c>
      <c r="U2231" s="4">
        <v>1</v>
      </c>
    </row>
    <row r="2232" spans="20:21">
      <c r="T2232" s="9">
        <v>424.1</v>
      </c>
      <c r="U2232" s="4">
        <v>2</v>
      </c>
    </row>
    <row r="2233" spans="20:21">
      <c r="T2233" s="9">
        <v>424.2</v>
      </c>
      <c r="U2233" s="4">
        <v>1</v>
      </c>
    </row>
    <row r="2234" spans="20:21">
      <c r="T2234" s="9">
        <v>424.3</v>
      </c>
      <c r="U2234" s="4">
        <v>2</v>
      </c>
    </row>
    <row r="2235" spans="20:21">
      <c r="T2235" s="9">
        <v>424.5</v>
      </c>
      <c r="U2235" s="4">
        <v>1</v>
      </c>
    </row>
    <row r="2236" spans="20:21">
      <c r="T2236" s="9">
        <v>424.9</v>
      </c>
      <c r="U2236" s="4">
        <v>1</v>
      </c>
    </row>
    <row r="2237" spans="20:21">
      <c r="T2237" s="9">
        <v>425</v>
      </c>
      <c r="U2237" s="4">
        <v>2</v>
      </c>
    </row>
    <row r="2238" spans="20:21">
      <c r="T2238" s="9">
        <v>425.1</v>
      </c>
      <c r="U2238" s="4">
        <v>2</v>
      </c>
    </row>
    <row r="2239" spans="20:21">
      <c r="T2239" s="9">
        <v>425.2</v>
      </c>
      <c r="U2239" s="4">
        <v>2</v>
      </c>
    </row>
    <row r="2240" spans="20:21">
      <c r="T2240" s="9">
        <v>425.3</v>
      </c>
      <c r="U2240" s="4">
        <v>1</v>
      </c>
    </row>
    <row r="2241" spans="20:21">
      <c r="T2241" s="9">
        <v>425.5</v>
      </c>
      <c r="U2241" s="4">
        <v>3</v>
      </c>
    </row>
    <row r="2242" spans="20:21">
      <c r="T2242" s="9">
        <v>425.7</v>
      </c>
      <c r="U2242" s="4">
        <v>1</v>
      </c>
    </row>
    <row r="2243" spans="20:21">
      <c r="T2243" s="9">
        <v>425.9</v>
      </c>
      <c r="U2243" s="4">
        <v>1</v>
      </c>
    </row>
    <row r="2244" spans="20:21">
      <c r="T2244" s="9">
        <v>426.1</v>
      </c>
      <c r="U2244" s="4">
        <v>1</v>
      </c>
    </row>
    <row r="2245" spans="20:21">
      <c r="T2245" s="9">
        <v>426.2</v>
      </c>
      <c r="U2245" s="4">
        <v>1</v>
      </c>
    </row>
    <row r="2246" spans="20:21">
      <c r="T2246" s="9">
        <v>426.3</v>
      </c>
      <c r="U2246" s="4">
        <v>1</v>
      </c>
    </row>
    <row r="2247" spans="20:21">
      <c r="T2247" s="9">
        <v>426.4</v>
      </c>
      <c r="U2247" s="4">
        <v>2</v>
      </c>
    </row>
    <row r="2248" spans="20:21">
      <c r="T2248" s="9">
        <v>427</v>
      </c>
      <c r="U2248" s="4">
        <v>1</v>
      </c>
    </row>
    <row r="2249" spans="20:21">
      <c r="T2249" s="9">
        <v>427.1</v>
      </c>
      <c r="U2249" s="4">
        <v>2</v>
      </c>
    </row>
    <row r="2250" spans="20:21">
      <c r="T2250" s="9">
        <v>427.2</v>
      </c>
      <c r="U2250" s="4">
        <v>1</v>
      </c>
    </row>
    <row r="2251" spans="20:21">
      <c r="T2251" s="9">
        <v>427.3</v>
      </c>
      <c r="U2251" s="4">
        <v>1</v>
      </c>
    </row>
    <row r="2252" spans="20:21">
      <c r="T2252" s="9">
        <v>427.5</v>
      </c>
      <c r="U2252" s="4">
        <v>1</v>
      </c>
    </row>
    <row r="2253" spans="20:21">
      <c r="T2253" s="9">
        <v>427.7</v>
      </c>
      <c r="U2253" s="4">
        <v>1</v>
      </c>
    </row>
    <row r="2254" spans="20:21">
      <c r="T2254" s="9">
        <v>427.8</v>
      </c>
      <c r="U2254" s="4">
        <v>1</v>
      </c>
    </row>
    <row r="2255" spans="20:21">
      <c r="T2255" s="9">
        <v>427.9</v>
      </c>
      <c r="U2255" s="4">
        <v>2</v>
      </c>
    </row>
    <row r="2256" spans="20:21">
      <c r="T2256" s="9">
        <v>428</v>
      </c>
      <c r="U2256" s="4">
        <v>5</v>
      </c>
    </row>
    <row r="2257" spans="20:21">
      <c r="T2257" s="9">
        <v>428.2</v>
      </c>
      <c r="U2257" s="4">
        <v>1</v>
      </c>
    </row>
    <row r="2258" spans="20:21">
      <c r="T2258" s="9">
        <v>428.3</v>
      </c>
      <c r="U2258" s="4">
        <v>1</v>
      </c>
    </row>
    <row r="2259" spans="20:21">
      <c r="T2259" s="9">
        <v>428.5</v>
      </c>
      <c r="U2259" s="4">
        <v>1</v>
      </c>
    </row>
    <row r="2260" spans="20:21">
      <c r="T2260" s="9">
        <v>428.7</v>
      </c>
      <c r="U2260" s="4">
        <v>1</v>
      </c>
    </row>
    <row r="2261" spans="20:21">
      <c r="T2261" s="9">
        <v>428.8</v>
      </c>
      <c r="U2261" s="4">
        <v>1</v>
      </c>
    </row>
    <row r="2262" spans="20:21">
      <c r="T2262" s="9">
        <v>429</v>
      </c>
      <c r="U2262" s="4">
        <v>1</v>
      </c>
    </row>
    <row r="2263" spans="20:21">
      <c r="T2263" s="9">
        <v>429.1</v>
      </c>
      <c r="U2263" s="4">
        <v>2</v>
      </c>
    </row>
    <row r="2264" spans="20:21">
      <c r="T2264" s="9">
        <v>429.4</v>
      </c>
      <c r="U2264" s="4">
        <v>1</v>
      </c>
    </row>
    <row r="2265" spans="20:21">
      <c r="T2265" s="9">
        <v>429.7</v>
      </c>
      <c r="U2265" s="4">
        <v>1</v>
      </c>
    </row>
    <row r="2266" spans="20:21">
      <c r="T2266" s="9">
        <v>429.9</v>
      </c>
      <c r="U2266" s="4">
        <v>1</v>
      </c>
    </row>
    <row r="2267" spans="20:21">
      <c r="T2267" s="9">
        <v>430.1</v>
      </c>
      <c r="U2267" s="4">
        <v>1</v>
      </c>
    </row>
    <row r="2268" spans="20:21">
      <c r="T2268" s="9">
        <v>430.2</v>
      </c>
      <c r="U2268" s="4">
        <v>2</v>
      </c>
    </row>
    <row r="2269" spans="20:21">
      <c r="T2269" s="9">
        <v>430.3</v>
      </c>
      <c r="U2269" s="4">
        <v>1</v>
      </c>
    </row>
    <row r="2270" spans="20:21">
      <c r="T2270" s="9">
        <v>430.5</v>
      </c>
      <c r="U2270" s="4">
        <v>1</v>
      </c>
    </row>
    <row r="2271" spans="20:21">
      <c r="T2271" s="9">
        <v>430.8</v>
      </c>
      <c r="U2271" s="4">
        <v>1</v>
      </c>
    </row>
    <row r="2272" spans="20:21">
      <c r="T2272" s="9">
        <v>431.4</v>
      </c>
      <c r="U2272" s="4">
        <v>2</v>
      </c>
    </row>
    <row r="2273" spans="20:21">
      <c r="T2273" s="9">
        <v>431.5</v>
      </c>
      <c r="U2273" s="4">
        <v>3</v>
      </c>
    </row>
    <row r="2274" spans="20:21">
      <c r="T2274" s="9">
        <v>431.7</v>
      </c>
      <c r="U2274" s="4">
        <v>1</v>
      </c>
    </row>
    <row r="2275" spans="20:21">
      <c r="T2275" s="9">
        <v>431.8</v>
      </c>
      <c r="U2275" s="4">
        <v>1</v>
      </c>
    </row>
    <row r="2276" spans="20:21">
      <c r="T2276" s="9">
        <v>431.9</v>
      </c>
      <c r="U2276" s="4">
        <v>1</v>
      </c>
    </row>
    <row r="2277" spans="20:21">
      <c r="T2277" s="9">
        <v>432.7</v>
      </c>
      <c r="U2277" s="4">
        <v>1</v>
      </c>
    </row>
    <row r="2278" spans="20:21">
      <c r="T2278" s="9">
        <v>433</v>
      </c>
      <c r="U2278" s="4">
        <v>1</v>
      </c>
    </row>
    <row r="2279" spans="20:21">
      <c r="T2279" s="9">
        <v>433.1</v>
      </c>
      <c r="U2279" s="4">
        <v>1</v>
      </c>
    </row>
    <row r="2280" spans="20:21">
      <c r="T2280" s="9">
        <v>433.3</v>
      </c>
      <c r="U2280" s="4">
        <v>2</v>
      </c>
    </row>
    <row r="2281" spans="20:21">
      <c r="T2281" s="9">
        <v>433.4</v>
      </c>
      <c r="U2281" s="4">
        <v>3</v>
      </c>
    </row>
    <row r="2282" spans="20:21">
      <c r="T2282" s="9">
        <v>433.5</v>
      </c>
      <c r="U2282" s="4">
        <v>2</v>
      </c>
    </row>
    <row r="2283" spans="20:21">
      <c r="T2283" s="9">
        <v>433.6</v>
      </c>
      <c r="U2283" s="4">
        <v>1</v>
      </c>
    </row>
    <row r="2284" spans="20:21">
      <c r="T2284" s="9">
        <v>433.7</v>
      </c>
      <c r="U2284" s="4">
        <v>2</v>
      </c>
    </row>
    <row r="2285" spans="20:21">
      <c r="T2285" s="9">
        <v>433.8</v>
      </c>
      <c r="U2285" s="4">
        <v>1</v>
      </c>
    </row>
    <row r="2286" spans="20:21">
      <c r="T2286" s="9">
        <v>433.9</v>
      </c>
      <c r="U2286" s="4">
        <v>3</v>
      </c>
    </row>
    <row r="2287" spans="20:21">
      <c r="T2287" s="9">
        <v>434</v>
      </c>
      <c r="U2287" s="4">
        <v>1</v>
      </c>
    </row>
    <row r="2288" spans="20:21">
      <c r="T2288" s="9">
        <v>434.1</v>
      </c>
      <c r="U2288" s="4">
        <v>1</v>
      </c>
    </row>
    <row r="2289" spans="20:21">
      <c r="T2289" s="9">
        <v>434.3</v>
      </c>
      <c r="U2289" s="4">
        <v>3</v>
      </c>
    </row>
    <row r="2290" spans="20:21">
      <c r="T2290" s="9">
        <v>434.4</v>
      </c>
      <c r="U2290" s="4">
        <v>1</v>
      </c>
    </row>
    <row r="2291" spans="20:21">
      <c r="T2291" s="9">
        <v>434.6</v>
      </c>
      <c r="U2291" s="4">
        <v>1</v>
      </c>
    </row>
    <row r="2292" spans="20:21">
      <c r="T2292" s="9">
        <v>434.7</v>
      </c>
      <c r="U2292" s="4">
        <v>1</v>
      </c>
    </row>
    <row r="2293" spans="20:21">
      <c r="T2293" s="9">
        <v>434.8</v>
      </c>
      <c r="U2293" s="4">
        <v>1</v>
      </c>
    </row>
    <row r="2294" spans="20:21">
      <c r="T2294" s="9">
        <v>435.3</v>
      </c>
      <c r="U2294" s="4">
        <v>1</v>
      </c>
    </row>
    <row r="2295" spans="20:21">
      <c r="T2295" s="9">
        <v>435.4</v>
      </c>
      <c r="U2295" s="4">
        <v>1</v>
      </c>
    </row>
    <row r="2296" spans="20:21">
      <c r="T2296" s="9">
        <v>435.6</v>
      </c>
      <c r="U2296" s="4">
        <v>2</v>
      </c>
    </row>
    <row r="2297" spans="20:21">
      <c r="T2297" s="9">
        <v>435.8</v>
      </c>
      <c r="U2297" s="4">
        <v>1</v>
      </c>
    </row>
    <row r="2298" spans="20:21">
      <c r="T2298" s="9">
        <v>435.9</v>
      </c>
      <c r="U2298" s="4">
        <v>2</v>
      </c>
    </row>
    <row r="2299" spans="20:21">
      <c r="T2299" s="9">
        <v>436</v>
      </c>
      <c r="U2299" s="4">
        <v>1</v>
      </c>
    </row>
    <row r="2300" spans="20:21">
      <c r="T2300" s="9">
        <v>436.1</v>
      </c>
      <c r="U2300" s="4">
        <v>1</v>
      </c>
    </row>
    <row r="2301" spans="20:21">
      <c r="T2301" s="9">
        <v>436.8</v>
      </c>
      <c r="U2301" s="4">
        <v>1</v>
      </c>
    </row>
    <row r="2302" spans="20:21">
      <c r="T2302" s="9">
        <v>436.9</v>
      </c>
      <c r="U2302" s="4">
        <v>3</v>
      </c>
    </row>
    <row r="2303" spans="20:21">
      <c r="T2303" s="9">
        <v>437.1</v>
      </c>
      <c r="U2303" s="4">
        <v>1</v>
      </c>
    </row>
    <row r="2304" spans="20:21">
      <c r="T2304" s="9">
        <v>437.2</v>
      </c>
      <c r="U2304" s="4">
        <v>1</v>
      </c>
    </row>
    <row r="2305" spans="20:21">
      <c r="T2305" s="9">
        <v>437.4</v>
      </c>
      <c r="U2305" s="4">
        <v>1</v>
      </c>
    </row>
    <row r="2306" spans="20:21">
      <c r="T2306" s="9">
        <v>437.5</v>
      </c>
      <c r="U2306" s="4">
        <v>1</v>
      </c>
    </row>
    <row r="2307" spans="20:21">
      <c r="T2307" s="9">
        <v>437.6</v>
      </c>
      <c r="U2307" s="4">
        <v>2</v>
      </c>
    </row>
    <row r="2308" spans="20:21">
      <c r="T2308" s="9">
        <v>437.7</v>
      </c>
      <c r="U2308" s="4">
        <v>1</v>
      </c>
    </row>
    <row r="2309" spans="20:21">
      <c r="T2309" s="9">
        <v>437.8</v>
      </c>
      <c r="U2309" s="4">
        <v>1</v>
      </c>
    </row>
    <row r="2310" spans="20:21">
      <c r="T2310" s="9">
        <v>438.1</v>
      </c>
      <c r="U2310" s="4">
        <v>1</v>
      </c>
    </row>
    <row r="2311" spans="20:21">
      <c r="T2311" s="9">
        <v>438.4</v>
      </c>
      <c r="U2311" s="4">
        <v>2</v>
      </c>
    </row>
    <row r="2312" spans="20:21">
      <c r="T2312" s="9">
        <v>438.5</v>
      </c>
      <c r="U2312" s="4">
        <v>1</v>
      </c>
    </row>
    <row r="2313" spans="20:21">
      <c r="T2313" s="9">
        <v>438.8</v>
      </c>
      <c r="U2313" s="4">
        <v>2</v>
      </c>
    </row>
    <row r="2314" spans="20:21">
      <c r="T2314" s="9">
        <v>439</v>
      </c>
      <c r="U2314" s="4">
        <v>2</v>
      </c>
    </row>
    <row r="2315" spans="20:21">
      <c r="T2315" s="9">
        <v>439.2</v>
      </c>
      <c r="U2315" s="4">
        <v>1</v>
      </c>
    </row>
    <row r="2316" spans="20:21">
      <c r="T2316" s="9">
        <v>439.6</v>
      </c>
      <c r="U2316" s="4">
        <v>2</v>
      </c>
    </row>
    <row r="2317" spans="20:21">
      <c r="T2317" s="9">
        <v>439.7</v>
      </c>
      <c r="U2317" s="4">
        <v>2</v>
      </c>
    </row>
    <row r="2318" spans="20:21">
      <c r="T2318" s="9">
        <v>439.8</v>
      </c>
      <c r="U2318" s="4">
        <v>1</v>
      </c>
    </row>
    <row r="2319" spans="20:21">
      <c r="T2319" s="9">
        <v>439.9</v>
      </c>
      <c r="U2319" s="4">
        <v>2</v>
      </c>
    </row>
    <row r="2320" spans="20:21">
      <c r="T2320" s="9">
        <v>440</v>
      </c>
      <c r="U2320" s="4">
        <v>1</v>
      </c>
    </row>
    <row r="2321" spans="20:21">
      <c r="T2321" s="9">
        <v>440.1</v>
      </c>
      <c r="U2321" s="4">
        <v>1</v>
      </c>
    </row>
    <row r="2322" spans="20:21">
      <c r="T2322" s="9">
        <v>440.2</v>
      </c>
      <c r="U2322" s="4">
        <v>1</v>
      </c>
    </row>
    <row r="2323" spans="20:21">
      <c r="T2323" s="9">
        <v>440.4</v>
      </c>
      <c r="U2323" s="4">
        <v>2</v>
      </c>
    </row>
    <row r="2324" spans="20:21">
      <c r="T2324" s="9">
        <v>440.6</v>
      </c>
      <c r="U2324" s="4">
        <v>1</v>
      </c>
    </row>
    <row r="2325" spans="20:21">
      <c r="T2325" s="9">
        <v>440.9</v>
      </c>
      <c r="U2325" s="4">
        <v>1</v>
      </c>
    </row>
    <row r="2326" spans="20:21">
      <c r="T2326" s="9">
        <v>441.1</v>
      </c>
      <c r="U2326" s="4">
        <v>1</v>
      </c>
    </row>
    <row r="2327" spans="20:21">
      <c r="T2327" s="9">
        <v>441.2</v>
      </c>
      <c r="U2327" s="4">
        <v>1</v>
      </c>
    </row>
    <row r="2328" spans="20:21">
      <c r="T2328" s="9">
        <v>441.4</v>
      </c>
      <c r="U2328" s="4">
        <v>1</v>
      </c>
    </row>
    <row r="2329" spans="20:21">
      <c r="T2329" s="9">
        <v>441.5</v>
      </c>
      <c r="U2329" s="4">
        <v>1</v>
      </c>
    </row>
    <row r="2330" spans="20:21">
      <c r="T2330" s="9">
        <v>441.8</v>
      </c>
      <c r="U2330" s="4">
        <v>1</v>
      </c>
    </row>
    <row r="2331" spans="20:21">
      <c r="T2331" s="9">
        <v>441.9</v>
      </c>
      <c r="U2331" s="4">
        <v>1</v>
      </c>
    </row>
    <row r="2332" spans="20:21">
      <c r="T2332" s="9">
        <v>442</v>
      </c>
      <c r="U2332" s="4">
        <v>2</v>
      </c>
    </row>
    <row r="2333" spans="20:21">
      <c r="T2333" s="9">
        <v>442.3</v>
      </c>
      <c r="U2333" s="4">
        <v>1</v>
      </c>
    </row>
    <row r="2334" spans="20:21">
      <c r="T2334" s="9">
        <v>442.5</v>
      </c>
      <c r="U2334" s="4">
        <v>1</v>
      </c>
    </row>
    <row r="2335" spans="20:21">
      <c r="T2335" s="9">
        <v>442.9</v>
      </c>
      <c r="U2335" s="4">
        <v>1</v>
      </c>
    </row>
    <row r="2336" spans="20:21">
      <c r="T2336" s="9">
        <v>443.1</v>
      </c>
      <c r="U2336" s="4">
        <v>1</v>
      </c>
    </row>
    <row r="2337" spans="20:21">
      <c r="T2337" s="9">
        <v>443.2</v>
      </c>
      <c r="U2337" s="4">
        <v>3</v>
      </c>
    </row>
    <row r="2338" spans="20:21">
      <c r="T2338" s="9">
        <v>443.4</v>
      </c>
      <c r="U2338" s="4">
        <v>1</v>
      </c>
    </row>
    <row r="2339" spans="20:21">
      <c r="T2339" s="9">
        <v>443.5</v>
      </c>
      <c r="U2339" s="4">
        <v>4</v>
      </c>
    </row>
    <row r="2340" spans="20:21">
      <c r="T2340" s="9">
        <v>443.7</v>
      </c>
      <c r="U2340" s="4">
        <v>1</v>
      </c>
    </row>
    <row r="2341" spans="20:21">
      <c r="T2341" s="9">
        <v>444</v>
      </c>
      <c r="U2341" s="4">
        <v>1</v>
      </c>
    </row>
    <row r="2342" spans="20:21">
      <c r="T2342" s="9">
        <v>445.1</v>
      </c>
      <c r="U2342" s="4">
        <v>1</v>
      </c>
    </row>
    <row r="2343" spans="20:21">
      <c r="T2343" s="9">
        <v>445.2</v>
      </c>
      <c r="U2343" s="4">
        <v>1</v>
      </c>
    </row>
    <row r="2344" spans="20:21">
      <c r="T2344" s="9">
        <v>445.3</v>
      </c>
      <c r="U2344" s="4">
        <v>1</v>
      </c>
    </row>
    <row r="2345" spans="20:21">
      <c r="T2345" s="9">
        <v>445.4</v>
      </c>
      <c r="U2345" s="4">
        <v>1</v>
      </c>
    </row>
    <row r="2346" spans="20:21">
      <c r="T2346" s="9">
        <v>445.5</v>
      </c>
      <c r="U2346" s="4">
        <v>1</v>
      </c>
    </row>
    <row r="2347" spans="20:21">
      <c r="T2347" s="9">
        <v>445.8</v>
      </c>
      <c r="U2347" s="4">
        <v>1</v>
      </c>
    </row>
    <row r="2348" spans="20:21">
      <c r="T2348" s="9">
        <v>446.1</v>
      </c>
      <c r="U2348" s="4">
        <v>2</v>
      </c>
    </row>
    <row r="2349" spans="20:21">
      <c r="T2349" s="9">
        <v>446.2</v>
      </c>
      <c r="U2349" s="4">
        <v>1</v>
      </c>
    </row>
    <row r="2350" spans="20:21">
      <c r="T2350" s="9">
        <v>446.5</v>
      </c>
      <c r="U2350" s="4">
        <v>2</v>
      </c>
    </row>
    <row r="2351" spans="20:21">
      <c r="T2351" s="9">
        <v>446.6</v>
      </c>
      <c r="U2351" s="4">
        <v>1</v>
      </c>
    </row>
    <row r="2352" spans="20:21">
      <c r="T2352" s="9">
        <v>446.8</v>
      </c>
      <c r="U2352" s="4">
        <v>1</v>
      </c>
    </row>
    <row r="2353" spans="20:21">
      <c r="T2353" s="9">
        <v>446.9</v>
      </c>
      <c r="U2353" s="4">
        <v>2</v>
      </c>
    </row>
    <row r="2354" spans="20:21">
      <c r="T2354" s="9">
        <v>447</v>
      </c>
      <c r="U2354" s="4">
        <v>1</v>
      </c>
    </row>
    <row r="2355" spans="20:21">
      <c r="T2355" s="9">
        <v>447.2</v>
      </c>
      <c r="U2355" s="4">
        <v>1</v>
      </c>
    </row>
    <row r="2356" spans="20:21">
      <c r="T2356" s="9">
        <v>447.3</v>
      </c>
      <c r="U2356" s="4">
        <v>1</v>
      </c>
    </row>
    <row r="2357" spans="20:21">
      <c r="T2357" s="9">
        <v>447.4</v>
      </c>
      <c r="U2357" s="4">
        <v>1</v>
      </c>
    </row>
    <row r="2358" spans="20:21">
      <c r="T2358" s="9">
        <v>447.5</v>
      </c>
      <c r="U2358" s="4">
        <v>2</v>
      </c>
    </row>
    <row r="2359" spans="20:21">
      <c r="T2359" s="9">
        <v>447.6</v>
      </c>
      <c r="U2359" s="4">
        <v>1</v>
      </c>
    </row>
    <row r="2360" spans="20:21">
      <c r="T2360" s="9">
        <v>447.7</v>
      </c>
      <c r="U2360" s="4">
        <v>1</v>
      </c>
    </row>
    <row r="2361" spans="20:21">
      <c r="T2361" s="9">
        <v>447.9</v>
      </c>
      <c r="U2361" s="4">
        <v>1</v>
      </c>
    </row>
    <row r="2362" spans="20:21">
      <c r="T2362" s="9">
        <v>448.2</v>
      </c>
      <c r="U2362" s="4">
        <v>1</v>
      </c>
    </row>
    <row r="2363" spans="20:21">
      <c r="T2363" s="9">
        <v>448.3</v>
      </c>
      <c r="U2363" s="4">
        <v>1</v>
      </c>
    </row>
    <row r="2364" spans="20:21">
      <c r="T2364" s="9">
        <v>448.4</v>
      </c>
      <c r="U2364" s="4">
        <v>1</v>
      </c>
    </row>
    <row r="2365" spans="20:21">
      <c r="T2365" s="9">
        <v>448.6</v>
      </c>
      <c r="U2365" s="4">
        <v>1</v>
      </c>
    </row>
    <row r="2366" spans="20:21">
      <c r="T2366" s="9">
        <v>449.1</v>
      </c>
      <c r="U2366" s="4">
        <v>1</v>
      </c>
    </row>
    <row r="2367" spans="20:21">
      <c r="T2367" s="9">
        <v>449.2</v>
      </c>
      <c r="U2367" s="4">
        <v>1</v>
      </c>
    </row>
    <row r="2368" spans="20:21">
      <c r="T2368" s="9">
        <v>449.6</v>
      </c>
      <c r="U2368" s="4">
        <v>1</v>
      </c>
    </row>
    <row r="2369" spans="20:21">
      <c r="T2369" s="9">
        <v>450</v>
      </c>
      <c r="U2369" s="4">
        <v>1</v>
      </c>
    </row>
    <row r="2370" spans="20:21">
      <c r="T2370" s="9">
        <v>450.5</v>
      </c>
      <c r="U2370" s="4">
        <v>1</v>
      </c>
    </row>
    <row r="2371" spans="20:21">
      <c r="T2371" s="9">
        <v>450.7</v>
      </c>
      <c r="U2371" s="4">
        <v>1</v>
      </c>
    </row>
    <row r="2372" spans="20:21">
      <c r="T2372" s="9">
        <v>450.9</v>
      </c>
      <c r="U2372" s="4">
        <v>2</v>
      </c>
    </row>
    <row r="2373" spans="20:21">
      <c r="T2373" s="9">
        <v>451.1</v>
      </c>
      <c r="U2373" s="4">
        <v>1</v>
      </c>
    </row>
    <row r="2374" spans="20:21">
      <c r="T2374" s="9">
        <v>451.3</v>
      </c>
      <c r="U2374" s="4">
        <v>1</v>
      </c>
    </row>
    <row r="2375" spans="20:21">
      <c r="T2375" s="9">
        <v>451.4</v>
      </c>
      <c r="U2375" s="4">
        <v>1</v>
      </c>
    </row>
    <row r="2376" spans="20:21">
      <c r="T2376" s="9">
        <v>451.7</v>
      </c>
      <c r="U2376" s="4">
        <v>1</v>
      </c>
    </row>
    <row r="2377" spans="20:21">
      <c r="T2377" s="9">
        <v>451.9</v>
      </c>
      <c r="U2377" s="4">
        <v>2</v>
      </c>
    </row>
    <row r="2378" spans="20:21">
      <c r="T2378" s="9">
        <v>452.1</v>
      </c>
      <c r="U2378" s="4">
        <v>1</v>
      </c>
    </row>
    <row r="2379" spans="20:21">
      <c r="T2379" s="9">
        <v>452.6</v>
      </c>
      <c r="U2379" s="4">
        <v>1</v>
      </c>
    </row>
    <row r="2380" spans="20:21">
      <c r="T2380" s="9">
        <v>452.7</v>
      </c>
      <c r="U2380" s="4">
        <v>1</v>
      </c>
    </row>
    <row r="2381" spans="20:21">
      <c r="T2381" s="9">
        <v>454</v>
      </c>
      <c r="U2381" s="4">
        <v>1</v>
      </c>
    </row>
    <row r="2382" spans="20:21">
      <c r="T2382" s="9">
        <v>454.4</v>
      </c>
      <c r="U2382" s="4">
        <v>2</v>
      </c>
    </row>
    <row r="2383" spans="20:21">
      <c r="T2383" s="9">
        <v>454.5</v>
      </c>
      <c r="U2383" s="4">
        <v>1</v>
      </c>
    </row>
    <row r="2384" spans="20:21">
      <c r="T2384" s="9">
        <v>454.6</v>
      </c>
      <c r="U2384" s="4">
        <v>1</v>
      </c>
    </row>
    <row r="2385" spans="20:21">
      <c r="T2385" s="9">
        <v>454.7</v>
      </c>
      <c r="U2385" s="4">
        <v>1</v>
      </c>
    </row>
    <row r="2386" spans="20:21">
      <c r="T2386" s="9">
        <v>454.8</v>
      </c>
      <c r="U2386" s="4">
        <v>1</v>
      </c>
    </row>
    <row r="2387" spans="20:21">
      <c r="T2387" s="9">
        <v>455</v>
      </c>
      <c r="U2387" s="4">
        <v>2</v>
      </c>
    </row>
    <row r="2388" spans="20:21">
      <c r="T2388" s="9">
        <v>455.3</v>
      </c>
      <c r="U2388" s="4">
        <v>2</v>
      </c>
    </row>
    <row r="2389" spans="20:21">
      <c r="T2389" s="9">
        <v>455.5</v>
      </c>
      <c r="U2389" s="4">
        <v>1</v>
      </c>
    </row>
    <row r="2390" spans="20:21">
      <c r="T2390" s="9">
        <v>455.7</v>
      </c>
      <c r="U2390" s="4">
        <v>1</v>
      </c>
    </row>
    <row r="2391" spans="20:21">
      <c r="T2391" s="9">
        <v>456</v>
      </c>
      <c r="U2391" s="4">
        <v>1</v>
      </c>
    </row>
    <row r="2392" spans="20:21">
      <c r="T2392" s="9">
        <v>456.5</v>
      </c>
      <c r="U2392" s="4">
        <v>1</v>
      </c>
    </row>
    <row r="2393" spans="20:21">
      <c r="T2393" s="9">
        <v>456.9</v>
      </c>
      <c r="U2393" s="4">
        <v>1</v>
      </c>
    </row>
    <row r="2394" spans="20:21">
      <c r="T2394" s="9">
        <v>457.3</v>
      </c>
      <c r="U2394" s="4">
        <v>1</v>
      </c>
    </row>
    <row r="2395" spans="20:21">
      <c r="T2395" s="9">
        <v>457.6</v>
      </c>
      <c r="U2395" s="4">
        <v>1</v>
      </c>
    </row>
    <row r="2396" spans="20:21">
      <c r="T2396" s="9">
        <v>457.9</v>
      </c>
      <c r="U2396" s="4">
        <v>2</v>
      </c>
    </row>
    <row r="2397" spans="20:21">
      <c r="T2397" s="9">
        <v>458</v>
      </c>
      <c r="U2397" s="4">
        <v>2</v>
      </c>
    </row>
    <row r="2398" spans="20:21">
      <c r="T2398" s="9">
        <v>458.1</v>
      </c>
      <c r="U2398" s="4">
        <v>2</v>
      </c>
    </row>
    <row r="2399" spans="20:21">
      <c r="T2399" s="9">
        <v>458.3</v>
      </c>
      <c r="U2399" s="4">
        <v>2</v>
      </c>
    </row>
    <row r="2400" spans="20:21">
      <c r="T2400" s="9">
        <v>458.7</v>
      </c>
      <c r="U2400" s="4">
        <v>1</v>
      </c>
    </row>
    <row r="2401" spans="20:21">
      <c r="T2401" s="9">
        <v>458.8</v>
      </c>
      <c r="U2401" s="4">
        <v>2</v>
      </c>
    </row>
    <row r="2402" spans="20:21">
      <c r="T2402" s="9">
        <v>459.2</v>
      </c>
      <c r="U2402" s="4">
        <v>1</v>
      </c>
    </row>
    <row r="2403" spans="20:21">
      <c r="T2403" s="9">
        <v>459.4</v>
      </c>
      <c r="U2403" s="4">
        <v>1</v>
      </c>
    </row>
    <row r="2404" spans="20:21">
      <c r="T2404" s="9">
        <v>459.8</v>
      </c>
      <c r="U2404" s="4">
        <v>1</v>
      </c>
    </row>
    <row r="2405" spans="20:21">
      <c r="T2405" s="9">
        <v>460.1</v>
      </c>
      <c r="U2405" s="4">
        <v>1</v>
      </c>
    </row>
    <row r="2406" spans="20:21">
      <c r="T2406" s="9">
        <v>460.5</v>
      </c>
      <c r="U2406" s="4">
        <v>1</v>
      </c>
    </row>
    <row r="2407" spans="20:21">
      <c r="T2407" s="9">
        <v>460.7</v>
      </c>
      <c r="U2407" s="4">
        <v>1</v>
      </c>
    </row>
    <row r="2408" spans="20:21">
      <c r="T2408" s="9">
        <v>460.9</v>
      </c>
      <c r="U2408" s="4">
        <v>1</v>
      </c>
    </row>
    <row r="2409" spans="20:21">
      <c r="T2409" s="9">
        <v>461.1</v>
      </c>
      <c r="U2409" s="4">
        <v>2</v>
      </c>
    </row>
    <row r="2410" spans="20:21">
      <c r="T2410" s="9">
        <v>461.4</v>
      </c>
      <c r="U2410" s="4">
        <v>1</v>
      </c>
    </row>
    <row r="2411" spans="20:21">
      <c r="T2411" s="9">
        <v>461.5</v>
      </c>
      <c r="U2411" s="4">
        <v>3</v>
      </c>
    </row>
    <row r="2412" spans="20:21">
      <c r="T2412" s="9">
        <v>461.6</v>
      </c>
      <c r="U2412" s="4">
        <v>1</v>
      </c>
    </row>
    <row r="2413" spans="20:21">
      <c r="T2413" s="9">
        <v>461.9</v>
      </c>
      <c r="U2413" s="4">
        <v>3</v>
      </c>
    </row>
    <row r="2414" spans="20:21">
      <c r="T2414" s="9">
        <v>462</v>
      </c>
      <c r="U2414" s="4">
        <v>1</v>
      </c>
    </row>
    <row r="2415" spans="20:21">
      <c r="T2415" s="9">
        <v>462.4</v>
      </c>
      <c r="U2415" s="4">
        <v>1</v>
      </c>
    </row>
    <row r="2416" spans="20:21">
      <c r="T2416" s="9">
        <v>462.5</v>
      </c>
      <c r="U2416" s="4">
        <v>1</v>
      </c>
    </row>
    <row r="2417" spans="20:21">
      <c r="T2417" s="9">
        <v>462.8</v>
      </c>
      <c r="U2417" s="4">
        <v>1</v>
      </c>
    </row>
    <row r="2418" spans="20:21">
      <c r="T2418" s="9">
        <v>463.2</v>
      </c>
      <c r="U2418" s="4">
        <v>1</v>
      </c>
    </row>
    <row r="2419" spans="20:21">
      <c r="T2419" s="9">
        <v>463.3</v>
      </c>
      <c r="U2419" s="4">
        <v>1</v>
      </c>
    </row>
    <row r="2420" spans="20:21">
      <c r="T2420" s="9">
        <v>463.4</v>
      </c>
      <c r="U2420" s="4">
        <v>1</v>
      </c>
    </row>
    <row r="2421" spans="20:21">
      <c r="T2421" s="9">
        <v>463.5</v>
      </c>
      <c r="U2421" s="4">
        <v>2</v>
      </c>
    </row>
    <row r="2422" spans="20:21">
      <c r="T2422" s="9">
        <v>463.9</v>
      </c>
      <c r="U2422" s="4">
        <v>2</v>
      </c>
    </row>
    <row r="2423" spans="20:21">
      <c r="T2423" s="9">
        <v>464</v>
      </c>
      <c r="U2423" s="4">
        <v>1</v>
      </c>
    </row>
    <row r="2424" spans="20:21">
      <c r="T2424" s="9">
        <v>464.1</v>
      </c>
      <c r="U2424" s="4">
        <v>1</v>
      </c>
    </row>
    <row r="2425" spans="20:21">
      <c r="T2425" s="9">
        <v>464.2</v>
      </c>
      <c r="U2425" s="4">
        <v>1</v>
      </c>
    </row>
    <row r="2426" spans="20:21">
      <c r="T2426" s="9">
        <v>464.4</v>
      </c>
      <c r="U2426" s="4">
        <v>3</v>
      </c>
    </row>
    <row r="2427" spans="20:21">
      <c r="T2427" s="9">
        <v>464.6</v>
      </c>
      <c r="U2427" s="4">
        <v>1</v>
      </c>
    </row>
    <row r="2428" spans="20:21">
      <c r="T2428" s="9">
        <v>465.1</v>
      </c>
      <c r="U2428" s="4">
        <v>1</v>
      </c>
    </row>
    <row r="2429" spans="20:21">
      <c r="T2429" s="9">
        <v>465.4</v>
      </c>
      <c r="U2429" s="4">
        <v>1</v>
      </c>
    </row>
    <row r="2430" spans="20:21">
      <c r="T2430" s="9">
        <v>465.7</v>
      </c>
      <c r="U2430" s="4">
        <v>1</v>
      </c>
    </row>
    <row r="2431" spans="20:21">
      <c r="T2431" s="9">
        <v>465.9</v>
      </c>
      <c r="U2431" s="4">
        <v>1</v>
      </c>
    </row>
    <row r="2432" spans="20:21">
      <c r="T2432" s="9">
        <v>466.4</v>
      </c>
      <c r="U2432" s="4">
        <v>1</v>
      </c>
    </row>
    <row r="2433" spans="20:21">
      <c r="T2433" s="9">
        <v>466.6</v>
      </c>
      <c r="U2433" s="4">
        <v>1</v>
      </c>
    </row>
    <row r="2434" spans="20:21">
      <c r="T2434" s="9">
        <v>466.8</v>
      </c>
      <c r="U2434" s="4">
        <v>1</v>
      </c>
    </row>
    <row r="2435" spans="20:21">
      <c r="T2435" s="9">
        <v>466.9</v>
      </c>
      <c r="U2435" s="4">
        <v>1</v>
      </c>
    </row>
    <row r="2436" spans="20:21">
      <c r="T2436" s="9">
        <v>467.2</v>
      </c>
      <c r="U2436" s="4">
        <v>1</v>
      </c>
    </row>
    <row r="2437" spans="20:21">
      <c r="T2437" s="9">
        <v>467.6</v>
      </c>
      <c r="U2437" s="4">
        <v>2</v>
      </c>
    </row>
    <row r="2438" spans="20:21">
      <c r="T2438" s="9">
        <v>467.9</v>
      </c>
      <c r="U2438" s="4">
        <v>2</v>
      </c>
    </row>
    <row r="2439" spans="20:21">
      <c r="T2439" s="9">
        <v>468</v>
      </c>
      <c r="U2439" s="4">
        <v>1</v>
      </c>
    </row>
    <row r="2440" spans="20:21">
      <c r="T2440" s="9">
        <v>468.1</v>
      </c>
      <c r="U2440" s="4">
        <v>1</v>
      </c>
    </row>
    <row r="2441" spans="20:21">
      <c r="T2441" s="9">
        <v>468.2</v>
      </c>
      <c r="U2441" s="4">
        <v>1</v>
      </c>
    </row>
    <row r="2442" spans="20:21">
      <c r="T2442" s="9">
        <v>468.3</v>
      </c>
      <c r="U2442" s="4">
        <v>1</v>
      </c>
    </row>
    <row r="2443" spans="20:21">
      <c r="T2443" s="9">
        <v>468.4</v>
      </c>
      <c r="U2443" s="4">
        <v>2</v>
      </c>
    </row>
    <row r="2444" spans="20:21">
      <c r="T2444" s="9">
        <v>468.6</v>
      </c>
      <c r="U2444" s="4">
        <v>1</v>
      </c>
    </row>
    <row r="2445" spans="20:21">
      <c r="T2445" s="9">
        <v>468.7</v>
      </c>
      <c r="U2445" s="4">
        <v>1</v>
      </c>
    </row>
    <row r="2446" spans="20:21">
      <c r="T2446" s="9">
        <v>469</v>
      </c>
      <c r="U2446" s="4">
        <v>1</v>
      </c>
    </row>
    <row r="2447" spans="20:21">
      <c r="T2447" s="9">
        <v>469.1</v>
      </c>
      <c r="U2447" s="4">
        <v>1</v>
      </c>
    </row>
    <row r="2448" spans="20:21">
      <c r="T2448" s="9">
        <v>469.5</v>
      </c>
      <c r="U2448" s="4">
        <v>1</v>
      </c>
    </row>
    <row r="2449" spans="20:21">
      <c r="T2449" s="9">
        <v>470</v>
      </c>
      <c r="U2449" s="4">
        <v>1</v>
      </c>
    </row>
    <row r="2450" spans="20:21">
      <c r="T2450" s="9">
        <v>470.1</v>
      </c>
      <c r="U2450" s="4">
        <v>2</v>
      </c>
    </row>
    <row r="2451" spans="20:21">
      <c r="T2451" s="9">
        <v>470.2</v>
      </c>
      <c r="U2451" s="4">
        <v>1</v>
      </c>
    </row>
    <row r="2452" spans="20:21">
      <c r="T2452" s="9">
        <v>470.3</v>
      </c>
      <c r="U2452" s="4">
        <v>2</v>
      </c>
    </row>
    <row r="2453" spans="20:21">
      <c r="T2453" s="9">
        <v>471.1</v>
      </c>
      <c r="U2453" s="4">
        <v>1</v>
      </c>
    </row>
    <row r="2454" spans="20:21">
      <c r="T2454" s="9">
        <v>471.2</v>
      </c>
      <c r="U2454" s="4">
        <v>1</v>
      </c>
    </row>
    <row r="2455" spans="20:21">
      <c r="T2455" s="9">
        <v>471.4</v>
      </c>
      <c r="U2455" s="4">
        <v>1</v>
      </c>
    </row>
    <row r="2456" spans="20:21">
      <c r="T2456" s="9">
        <v>471.6</v>
      </c>
      <c r="U2456" s="4">
        <v>1</v>
      </c>
    </row>
    <row r="2457" spans="20:21">
      <c r="T2457" s="9">
        <v>472.1</v>
      </c>
      <c r="U2457" s="4">
        <v>1</v>
      </c>
    </row>
    <row r="2458" spans="20:21">
      <c r="T2458" s="9">
        <v>472.5</v>
      </c>
      <c r="U2458" s="4">
        <v>1</v>
      </c>
    </row>
    <row r="2459" spans="20:21">
      <c r="T2459" s="9">
        <v>472.8</v>
      </c>
      <c r="U2459" s="4">
        <v>1</v>
      </c>
    </row>
    <row r="2460" spans="20:21">
      <c r="T2460" s="9">
        <v>473.1</v>
      </c>
      <c r="U2460" s="4">
        <v>1</v>
      </c>
    </row>
    <row r="2461" spans="20:21">
      <c r="T2461" s="9">
        <v>474</v>
      </c>
      <c r="U2461" s="4">
        <v>1</v>
      </c>
    </row>
    <row r="2462" spans="20:21">
      <c r="T2462" s="9">
        <v>474.2</v>
      </c>
      <c r="U2462" s="4">
        <v>2</v>
      </c>
    </row>
    <row r="2463" spans="20:21">
      <c r="T2463" s="9">
        <v>474.3</v>
      </c>
      <c r="U2463" s="4">
        <v>3</v>
      </c>
    </row>
    <row r="2464" spans="20:21">
      <c r="T2464" s="9">
        <v>474.7</v>
      </c>
      <c r="U2464" s="4">
        <v>1</v>
      </c>
    </row>
    <row r="2465" spans="20:21">
      <c r="T2465" s="9">
        <v>474.8</v>
      </c>
      <c r="U2465" s="4">
        <v>1</v>
      </c>
    </row>
    <row r="2466" spans="20:21">
      <c r="T2466" s="9">
        <v>474.9</v>
      </c>
      <c r="U2466" s="4">
        <v>1</v>
      </c>
    </row>
    <row r="2467" spans="20:21">
      <c r="T2467" s="9">
        <v>475.2</v>
      </c>
      <c r="U2467" s="4">
        <v>1</v>
      </c>
    </row>
    <row r="2468" spans="20:21">
      <c r="T2468" s="9">
        <v>475.3</v>
      </c>
      <c r="U2468" s="4">
        <v>1</v>
      </c>
    </row>
    <row r="2469" spans="20:21">
      <c r="T2469" s="9">
        <v>475.4</v>
      </c>
      <c r="U2469" s="4">
        <v>1</v>
      </c>
    </row>
    <row r="2470" spans="20:21">
      <c r="T2470" s="9">
        <v>475.8</v>
      </c>
      <c r="U2470" s="4">
        <v>1</v>
      </c>
    </row>
    <row r="2471" spans="20:21">
      <c r="T2471" s="9">
        <v>476.1</v>
      </c>
      <c r="U2471" s="4">
        <v>1</v>
      </c>
    </row>
    <row r="2472" spans="20:21">
      <c r="T2472" s="9">
        <v>476.2</v>
      </c>
      <c r="U2472" s="4">
        <v>1</v>
      </c>
    </row>
    <row r="2473" spans="20:21">
      <c r="T2473" s="9">
        <v>476.4</v>
      </c>
      <c r="U2473" s="4">
        <v>1</v>
      </c>
    </row>
    <row r="2474" spans="20:21">
      <c r="T2474" s="9">
        <v>476.7</v>
      </c>
      <c r="U2474" s="4">
        <v>2</v>
      </c>
    </row>
    <row r="2475" spans="20:21">
      <c r="T2475" s="9">
        <v>476.9</v>
      </c>
      <c r="U2475" s="4">
        <v>1</v>
      </c>
    </row>
    <row r="2476" spans="20:21">
      <c r="T2476" s="9">
        <v>477.4</v>
      </c>
      <c r="U2476" s="4">
        <v>1</v>
      </c>
    </row>
    <row r="2477" spans="20:21">
      <c r="T2477" s="9">
        <v>477.9</v>
      </c>
      <c r="U2477" s="4">
        <v>1</v>
      </c>
    </row>
    <row r="2478" spans="20:21">
      <c r="T2478" s="9">
        <v>478</v>
      </c>
      <c r="U2478" s="4">
        <v>3</v>
      </c>
    </row>
    <row r="2479" spans="20:21">
      <c r="T2479" s="9">
        <v>478.1</v>
      </c>
      <c r="U2479" s="4">
        <v>1</v>
      </c>
    </row>
    <row r="2480" spans="20:21">
      <c r="T2480" s="9">
        <v>478.3</v>
      </c>
      <c r="U2480" s="4">
        <v>1</v>
      </c>
    </row>
    <row r="2481" spans="20:21">
      <c r="T2481" s="9">
        <v>478.5</v>
      </c>
      <c r="U2481" s="4">
        <v>1</v>
      </c>
    </row>
    <row r="2482" spans="20:21">
      <c r="T2482" s="9">
        <v>478.6</v>
      </c>
      <c r="U2482" s="4">
        <v>1</v>
      </c>
    </row>
    <row r="2483" spans="20:21">
      <c r="T2483" s="9">
        <v>478.8</v>
      </c>
      <c r="U2483" s="4">
        <v>1</v>
      </c>
    </row>
    <row r="2484" spans="20:21">
      <c r="T2484" s="9">
        <v>478.9</v>
      </c>
      <c r="U2484" s="4">
        <v>1</v>
      </c>
    </row>
    <row r="2485" spans="20:21">
      <c r="T2485" s="9">
        <v>479.1</v>
      </c>
      <c r="U2485" s="4">
        <v>1</v>
      </c>
    </row>
    <row r="2486" spans="20:21">
      <c r="T2486" s="9">
        <v>479.3</v>
      </c>
      <c r="U2486" s="4">
        <v>1</v>
      </c>
    </row>
    <row r="2487" spans="20:21">
      <c r="T2487" s="9">
        <v>479.4</v>
      </c>
      <c r="U2487" s="4">
        <v>3</v>
      </c>
    </row>
    <row r="2488" spans="20:21">
      <c r="T2488" s="9">
        <v>479.6</v>
      </c>
      <c r="U2488" s="4">
        <v>1</v>
      </c>
    </row>
    <row r="2489" spans="20:21">
      <c r="T2489" s="9">
        <v>479.9</v>
      </c>
      <c r="U2489" s="4">
        <v>1</v>
      </c>
    </row>
    <row r="2490" spans="20:21">
      <c r="T2490" s="9">
        <v>480.3</v>
      </c>
      <c r="U2490" s="4">
        <v>1</v>
      </c>
    </row>
    <row r="2491" spans="20:21">
      <c r="T2491" s="9">
        <v>480.4</v>
      </c>
      <c r="U2491" s="4">
        <v>1</v>
      </c>
    </row>
    <row r="2492" spans="20:21">
      <c r="T2492" s="9">
        <v>480.6</v>
      </c>
      <c r="U2492" s="4">
        <v>2</v>
      </c>
    </row>
    <row r="2493" spans="20:21">
      <c r="T2493" s="9">
        <v>480.8</v>
      </c>
      <c r="U2493" s="4">
        <v>1</v>
      </c>
    </row>
    <row r="2494" spans="20:21">
      <c r="T2494" s="9">
        <v>480.9</v>
      </c>
      <c r="U2494" s="4">
        <v>1</v>
      </c>
    </row>
    <row r="2495" spans="20:21">
      <c r="T2495" s="9">
        <v>481.1</v>
      </c>
      <c r="U2495" s="4">
        <v>1</v>
      </c>
    </row>
    <row r="2496" spans="20:21">
      <c r="T2496" s="9">
        <v>481.4</v>
      </c>
      <c r="U2496" s="4">
        <v>1</v>
      </c>
    </row>
    <row r="2497" spans="20:21">
      <c r="T2497" s="9">
        <v>481.6</v>
      </c>
      <c r="U2497" s="4">
        <v>1</v>
      </c>
    </row>
    <row r="2498" spans="20:21">
      <c r="T2498" s="9">
        <v>482.1</v>
      </c>
      <c r="U2498" s="4">
        <v>1</v>
      </c>
    </row>
    <row r="2499" spans="20:21">
      <c r="T2499" s="9">
        <v>482.2</v>
      </c>
      <c r="U2499" s="4">
        <v>3</v>
      </c>
    </row>
    <row r="2500" spans="20:21">
      <c r="T2500" s="9">
        <v>483</v>
      </c>
      <c r="U2500" s="4">
        <v>1</v>
      </c>
    </row>
    <row r="2501" spans="20:21">
      <c r="T2501" s="9">
        <v>483.4</v>
      </c>
      <c r="U2501" s="4">
        <v>1</v>
      </c>
    </row>
    <row r="2502" spans="20:21">
      <c r="T2502" s="9">
        <v>483.5</v>
      </c>
      <c r="U2502" s="4">
        <v>1</v>
      </c>
    </row>
    <row r="2503" spans="20:21">
      <c r="T2503" s="9">
        <v>483.7</v>
      </c>
      <c r="U2503" s="4">
        <v>2</v>
      </c>
    </row>
    <row r="2504" spans="20:21">
      <c r="T2504" s="9">
        <v>483.8</v>
      </c>
      <c r="U2504" s="4">
        <v>3</v>
      </c>
    </row>
    <row r="2505" spans="20:21">
      <c r="T2505" s="9">
        <v>484</v>
      </c>
      <c r="U2505" s="4">
        <v>1</v>
      </c>
    </row>
    <row r="2506" spans="20:21">
      <c r="T2506" s="9">
        <v>484.4</v>
      </c>
      <c r="U2506" s="4">
        <v>2</v>
      </c>
    </row>
    <row r="2507" spans="20:21">
      <c r="T2507" s="9">
        <v>484.6</v>
      </c>
      <c r="U2507" s="4">
        <v>1</v>
      </c>
    </row>
    <row r="2508" spans="20:21">
      <c r="T2508" s="9">
        <v>484.7</v>
      </c>
      <c r="U2508" s="4">
        <v>2</v>
      </c>
    </row>
    <row r="2509" spans="20:21">
      <c r="T2509" s="9">
        <v>485.1</v>
      </c>
      <c r="U2509" s="4">
        <v>1</v>
      </c>
    </row>
    <row r="2510" spans="20:21">
      <c r="T2510" s="9">
        <v>485.2</v>
      </c>
      <c r="U2510" s="4">
        <v>1</v>
      </c>
    </row>
    <row r="2511" spans="20:21">
      <c r="T2511" s="9">
        <v>485.3</v>
      </c>
      <c r="U2511" s="4">
        <v>1</v>
      </c>
    </row>
    <row r="2512" spans="20:21">
      <c r="T2512" s="9">
        <v>485.4</v>
      </c>
      <c r="U2512" s="4">
        <v>1</v>
      </c>
    </row>
    <row r="2513" spans="20:21">
      <c r="T2513" s="9">
        <v>485.5</v>
      </c>
      <c r="U2513" s="4">
        <v>1</v>
      </c>
    </row>
    <row r="2514" spans="20:21">
      <c r="T2514" s="9">
        <v>485.6</v>
      </c>
      <c r="U2514" s="4">
        <v>4</v>
      </c>
    </row>
    <row r="2515" spans="20:21">
      <c r="T2515" s="9">
        <v>485.8</v>
      </c>
      <c r="U2515" s="4">
        <v>1</v>
      </c>
    </row>
    <row r="2516" spans="20:21">
      <c r="T2516" s="9">
        <v>485.9</v>
      </c>
      <c r="U2516" s="4">
        <v>1</v>
      </c>
    </row>
    <row r="2517" spans="20:21">
      <c r="T2517" s="9">
        <v>486.1</v>
      </c>
      <c r="U2517" s="4">
        <v>1</v>
      </c>
    </row>
    <row r="2518" spans="20:21">
      <c r="T2518" s="9">
        <v>486.2</v>
      </c>
      <c r="U2518" s="4">
        <v>2</v>
      </c>
    </row>
    <row r="2519" spans="20:21">
      <c r="T2519" s="9">
        <v>486.4</v>
      </c>
      <c r="U2519" s="4">
        <v>2</v>
      </c>
    </row>
    <row r="2520" spans="20:21">
      <c r="T2520" s="9">
        <v>486.6</v>
      </c>
      <c r="U2520" s="4">
        <v>1</v>
      </c>
    </row>
    <row r="2521" spans="20:21">
      <c r="T2521" s="9">
        <v>486.7</v>
      </c>
      <c r="U2521" s="4">
        <v>3</v>
      </c>
    </row>
    <row r="2522" spans="20:21">
      <c r="T2522" s="9">
        <v>487.1</v>
      </c>
      <c r="U2522" s="4">
        <v>1</v>
      </c>
    </row>
    <row r="2523" spans="20:21">
      <c r="T2523" s="9">
        <v>487.3</v>
      </c>
      <c r="U2523" s="4">
        <v>1</v>
      </c>
    </row>
    <row r="2524" spans="20:21">
      <c r="T2524" s="9">
        <v>487.5</v>
      </c>
      <c r="U2524" s="4">
        <v>1</v>
      </c>
    </row>
    <row r="2525" spans="20:21">
      <c r="T2525" s="9">
        <v>488</v>
      </c>
      <c r="U2525" s="4">
        <v>1</v>
      </c>
    </row>
    <row r="2526" spans="20:21">
      <c r="T2526" s="9">
        <v>488.4</v>
      </c>
      <c r="U2526" s="4">
        <v>2</v>
      </c>
    </row>
    <row r="2527" spans="20:21">
      <c r="T2527" s="9">
        <v>488.7</v>
      </c>
      <c r="U2527" s="4">
        <v>1</v>
      </c>
    </row>
    <row r="2528" spans="20:21">
      <c r="T2528" s="9">
        <v>488.8</v>
      </c>
      <c r="U2528" s="4">
        <v>1</v>
      </c>
    </row>
    <row r="2529" spans="20:21">
      <c r="T2529" s="9">
        <v>488.9</v>
      </c>
      <c r="U2529" s="4">
        <v>1</v>
      </c>
    </row>
    <row r="2530" spans="20:21">
      <c r="T2530" s="9">
        <v>489.4</v>
      </c>
      <c r="U2530" s="4">
        <v>1</v>
      </c>
    </row>
    <row r="2531" spans="20:21">
      <c r="T2531" s="9">
        <v>489.7</v>
      </c>
      <c r="U2531" s="4">
        <v>1</v>
      </c>
    </row>
    <row r="2532" spans="20:21">
      <c r="T2532" s="9">
        <v>489.8</v>
      </c>
      <c r="U2532" s="4">
        <v>1</v>
      </c>
    </row>
    <row r="2533" spans="20:21">
      <c r="T2533" s="9">
        <v>489.9</v>
      </c>
      <c r="U2533" s="4">
        <v>1</v>
      </c>
    </row>
    <row r="2534" spans="20:21">
      <c r="T2534" s="9">
        <v>490.4</v>
      </c>
      <c r="U2534" s="4">
        <v>1</v>
      </c>
    </row>
    <row r="2535" spans="20:21">
      <c r="T2535" s="9">
        <v>490.6</v>
      </c>
      <c r="U2535" s="4">
        <v>1</v>
      </c>
    </row>
    <row r="2536" spans="20:21">
      <c r="T2536" s="9">
        <v>490.8</v>
      </c>
      <c r="U2536" s="4">
        <v>2</v>
      </c>
    </row>
    <row r="2537" spans="20:21">
      <c r="T2537" s="9">
        <v>490.9</v>
      </c>
      <c r="U2537" s="4">
        <v>1</v>
      </c>
    </row>
    <row r="2538" spans="20:21">
      <c r="T2538" s="9">
        <v>491.1</v>
      </c>
      <c r="U2538" s="4">
        <v>1</v>
      </c>
    </row>
    <row r="2539" spans="20:21">
      <c r="T2539" s="9">
        <v>491.2</v>
      </c>
      <c r="U2539" s="4">
        <v>1</v>
      </c>
    </row>
    <row r="2540" spans="20:21">
      <c r="T2540" s="9">
        <v>491.4</v>
      </c>
      <c r="U2540" s="4">
        <v>1</v>
      </c>
    </row>
    <row r="2541" spans="20:21">
      <c r="T2541" s="9">
        <v>491.5</v>
      </c>
      <c r="U2541" s="4">
        <v>2</v>
      </c>
    </row>
    <row r="2542" spans="20:21">
      <c r="T2542" s="9">
        <v>492.1</v>
      </c>
      <c r="U2542" s="4">
        <v>1</v>
      </c>
    </row>
    <row r="2543" spans="20:21">
      <c r="T2543" s="9">
        <v>492.4</v>
      </c>
      <c r="U2543" s="4">
        <v>1</v>
      </c>
    </row>
    <row r="2544" spans="20:21">
      <c r="T2544" s="9">
        <v>492.5</v>
      </c>
      <c r="U2544" s="4">
        <v>3</v>
      </c>
    </row>
    <row r="2545" spans="20:21">
      <c r="T2545" s="9">
        <v>492.6</v>
      </c>
      <c r="U2545" s="4">
        <v>3</v>
      </c>
    </row>
    <row r="2546" spans="20:21">
      <c r="T2546" s="9">
        <v>492.7</v>
      </c>
      <c r="U2546" s="4">
        <v>1</v>
      </c>
    </row>
    <row r="2547" spans="20:21">
      <c r="T2547" s="9">
        <v>493</v>
      </c>
      <c r="U2547" s="4">
        <v>1</v>
      </c>
    </row>
    <row r="2548" spans="20:21">
      <c r="T2548" s="9">
        <v>493.1</v>
      </c>
      <c r="U2548" s="4">
        <v>1</v>
      </c>
    </row>
    <row r="2549" spans="20:21">
      <c r="T2549" s="9">
        <v>493.3</v>
      </c>
      <c r="U2549" s="4">
        <v>1</v>
      </c>
    </row>
    <row r="2550" spans="20:21">
      <c r="T2550" s="9">
        <v>494.1</v>
      </c>
      <c r="U2550" s="4">
        <v>1</v>
      </c>
    </row>
    <row r="2551" spans="20:21">
      <c r="T2551" s="9">
        <v>494.4</v>
      </c>
      <c r="U2551" s="4">
        <v>1</v>
      </c>
    </row>
    <row r="2552" spans="20:21">
      <c r="T2552" s="9">
        <v>494.5</v>
      </c>
      <c r="U2552" s="4">
        <v>1</v>
      </c>
    </row>
    <row r="2553" spans="20:21">
      <c r="T2553" s="9">
        <v>495</v>
      </c>
      <c r="U2553" s="4">
        <v>1</v>
      </c>
    </row>
    <row r="2554" spans="20:21">
      <c r="T2554" s="9">
        <v>495.1</v>
      </c>
      <c r="U2554" s="4">
        <v>1</v>
      </c>
    </row>
    <row r="2555" spans="20:21">
      <c r="T2555" s="9">
        <v>495.2</v>
      </c>
      <c r="U2555" s="4">
        <v>1</v>
      </c>
    </row>
    <row r="2556" spans="20:21">
      <c r="T2556" s="9">
        <v>495.7</v>
      </c>
      <c r="U2556" s="4">
        <v>1</v>
      </c>
    </row>
    <row r="2557" spans="20:21">
      <c r="T2557" s="9">
        <v>495.9</v>
      </c>
      <c r="U2557" s="4">
        <v>1</v>
      </c>
    </row>
    <row r="2558" spans="20:21">
      <c r="T2558" s="9">
        <v>496</v>
      </c>
      <c r="U2558" s="4">
        <v>1</v>
      </c>
    </row>
    <row r="2559" spans="20:21">
      <c r="T2559" s="9">
        <v>496.1</v>
      </c>
      <c r="U2559" s="4">
        <v>4</v>
      </c>
    </row>
    <row r="2560" spans="20:21">
      <c r="T2560" s="9">
        <v>496.4</v>
      </c>
      <c r="U2560" s="4">
        <v>1</v>
      </c>
    </row>
    <row r="2561" spans="20:21">
      <c r="T2561" s="9">
        <v>496.5</v>
      </c>
      <c r="U2561" s="4">
        <v>1</v>
      </c>
    </row>
    <row r="2562" spans="20:21">
      <c r="T2562" s="9">
        <v>497.2</v>
      </c>
      <c r="U2562" s="4">
        <v>1</v>
      </c>
    </row>
    <row r="2563" spans="20:21">
      <c r="T2563" s="9">
        <v>497.3</v>
      </c>
      <c r="U2563" s="4">
        <v>1</v>
      </c>
    </row>
    <row r="2564" spans="20:21">
      <c r="T2564" s="9">
        <v>497.5</v>
      </c>
      <c r="U2564" s="4">
        <v>2</v>
      </c>
    </row>
    <row r="2565" spans="20:21">
      <c r="T2565" s="9">
        <v>497.8</v>
      </c>
      <c r="U2565" s="4">
        <v>1</v>
      </c>
    </row>
    <row r="2566" spans="20:21">
      <c r="T2566" s="9">
        <v>498.1</v>
      </c>
      <c r="U2566" s="4">
        <v>1</v>
      </c>
    </row>
    <row r="2567" spans="20:21">
      <c r="T2567" s="9">
        <v>498.6</v>
      </c>
      <c r="U2567" s="4">
        <v>1</v>
      </c>
    </row>
    <row r="2568" spans="20:21">
      <c r="T2568" s="9">
        <v>498.9</v>
      </c>
      <c r="U2568" s="4">
        <v>1</v>
      </c>
    </row>
    <row r="2569" spans="20:21">
      <c r="T2569" s="9">
        <v>499.5</v>
      </c>
      <c r="U2569" s="4">
        <v>1</v>
      </c>
    </row>
    <row r="2570" spans="20:21">
      <c r="T2570" s="9">
        <v>499.8</v>
      </c>
      <c r="U2570" s="4">
        <v>1</v>
      </c>
    </row>
    <row r="2571" spans="20:21">
      <c r="T2571" s="9">
        <v>500.1</v>
      </c>
      <c r="U2571" s="4">
        <v>2</v>
      </c>
    </row>
    <row r="2572" spans="20:21">
      <c r="T2572" s="9">
        <v>500.4</v>
      </c>
      <c r="U2572" s="4">
        <v>2</v>
      </c>
    </row>
    <row r="2573" spans="20:21">
      <c r="T2573" s="9">
        <v>501.3</v>
      </c>
      <c r="U2573" s="4">
        <v>1</v>
      </c>
    </row>
    <row r="2574" spans="20:21">
      <c r="T2574" s="9">
        <v>501.4</v>
      </c>
      <c r="U2574" s="4">
        <v>1</v>
      </c>
    </row>
    <row r="2575" spans="20:21">
      <c r="T2575" s="9">
        <v>501.6</v>
      </c>
      <c r="U2575" s="4">
        <v>1</v>
      </c>
    </row>
    <row r="2576" spans="20:21">
      <c r="T2576" s="9">
        <v>501.9</v>
      </c>
      <c r="U2576" s="4">
        <v>1</v>
      </c>
    </row>
    <row r="2577" spans="20:21">
      <c r="T2577" s="9">
        <v>502.3</v>
      </c>
      <c r="U2577" s="4">
        <v>1</v>
      </c>
    </row>
    <row r="2578" spans="20:21">
      <c r="T2578" s="9">
        <v>502.4</v>
      </c>
      <c r="U2578" s="4">
        <v>2</v>
      </c>
    </row>
    <row r="2579" spans="20:21">
      <c r="T2579" s="9">
        <v>502.7</v>
      </c>
      <c r="U2579" s="4">
        <v>1</v>
      </c>
    </row>
    <row r="2580" spans="20:21">
      <c r="T2580" s="9">
        <v>503.4</v>
      </c>
      <c r="U2580" s="4">
        <v>1</v>
      </c>
    </row>
    <row r="2581" spans="20:21">
      <c r="T2581" s="9">
        <v>503.8</v>
      </c>
      <c r="U2581" s="4">
        <v>2</v>
      </c>
    </row>
    <row r="2582" spans="20:21">
      <c r="T2582" s="9">
        <v>503.9</v>
      </c>
      <c r="U2582" s="4">
        <v>1</v>
      </c>
    </row>
    <row r="2583" spans="20:21">
      <c r="T2583" s="9">
        <v>504.2</v>
      </c>
      <c r="U2583" s="4">
        <v>1</v>
      </c>
    </row>
    <row r="2584" spans="20:21">
      <c r="T2584" s="9">
        <v>504.4</v>
      </c>
      <c r="U2584" s="4">
        <v>1</v>
      </c>
    </row>
    <row r="2585" spans="20:21">
      <c r="T2585" s="9">
        <v>504.6</v>
      </c>
      <c r="U2585" s="4">
        <v>1</v>
      </c>
    </row>
    <row r="2586" spans="20:21">
      <c r="T2586" s="9">
        <v>504.9</v>
      </c>
      <c r="U2586" s="4">
        <v>1</v>
      </c>
    </row>
    <row r="2587" spans="20:21">
      <c r="T2587" s="9">
        <v>505.1</v>
      </c>
      <c r="U2587" s="4">
        <v>2</v>
      </c>
    </row>
    <row r="2588" spans="20:21">
      <c r="T2588" s="9">
        <v>505.4</v>
      </c>
      <c r="U2588" s="4">
        <v>2</v>
      </c>
    </row>
    <row r="2589" spans="20:21">
      <c r="T2589" s="9">
        <v>506.1</v>
      </c>
      <c r="U2589" s="4">
        <v>1</v>
      </c>
    </row>
    <row r="2590" spans="20:21">
      <c r="T2590" s="9">
        <v>506.5</v>
      </c>
      <c r="U2590" s="4">
        <v>1</v>
      </c>
    </row>
    <row r="2591" spans="20:21">
      <c r="T2591" s="9">
        <v>506.6</v>
      </c>
      <c r="U2591" s="4">
        <v>1</v>
      </c>
    </row>
    <row r="2592" spans="20:21">
      <c r="T2592" s="9">
        <v>506.8</v>
      </c>
      <c r="U2592" s="4">
        <v>2</v>
      </c>
    </row>
    <row r="2593" spans="20:21">
      <c r="T2593" s="9">
        <v>506.9</v>
      </c>
      <c r="U2593" s="4">
        <v>1</v>
      </c>
    </row>
    <row r="2594" spans="20:21">
      <c r="T2594" s="9">
        <v>507.1</v>
      </c>
      <c r="U2594" s="4">
        <v>2</v>
      </c>
    </row>
    <row r="2595" spans="20:21">
      <c r="T2595" s="9">
        <v>507.3</v>
      </c>
      <c r="U2595" s="4">
        <v>1</v>
      </c>
    </row>
    <row r="2596" spans="20:21">
      <c r="T2596" s="9">
        <v>507.4</v>
      </c>
      <c r="U2596" s="4">
        <v>1</v>
      </c>
    </row>
    <row r="2597" spans="20:21">
      <c r="T2597" s="9">
        <v>507.7</v>
      </c>
      <c r="U2597" s="4">
        <v>1</v>
      </c>
    </row>
    <row r="2598" spans="20:21">
      <c r="T2598" s="9">
        <v>508.5</v>
      </c>
      <c r="U2598" s="4">
        <v>2</v>
      </c>
    </row>
    <row r="2599" spans="20:21">
      <c r="T2599" s="9">
        <v>508.7</v>
      </c>
      <c r="U2599" s="4">
        <v>1</v>
      </c>
    </row>
    <row r="2600" spans="20:21">
      <c r="T2600" s="9">
        <v>508.9</v>
      </c>
      <c r="U2600" s="4">
        <v>2</v>
      </c>
    </row>
    <row r="2601" spans="20:21">
      <c r="T2601" s="9">
        <v>509.1</v>
      </c>
      <c r="U2601" s="4">
        <v>1</v>
      </c>
    </row>
    <row r="2602" spans="20:21">
      <c r="T2602" s="9">
        <v>509.2</v>
      </c>
      <c r="U2602" s="4">
        <v>1</v>
      </c>
    </row>
    <row r="2603" spans="20:21">
      <c r="T2603" s="9">
        <v>509.4</v>
      </c>
      <c r="U2603" s="4">
        <v>1</v>
      </c>
    </row>
    <row r="2604" spans="20:21">
      <c r="T2604" s="9">
        <v>509.9</v>
      </c>
      <c r="U2604" s="4">
        <v>1</v>
      </c>
    </row>
    <row r="2605" spans="20:21">
      <c r="T2605" s="9">
        <v>510.5</v>
      </c>
      <c r="U2605" s="4">
        <v>2</v>
      </c>
    </row>
    <row r="2606" spans="20:21">
      <c r="T2606" s="9">
        <v>510.8</v>
      </c>
      <c r="U2606" s="4">
        <v>2</v>
      </c>
    </row>
    <row r="2607" spans="20:21">
      <c r="T2607" s="9">
        <v>510.9</v>
      </c>
      <c r="U2607" s="4">
        <v>2</v>
      </c>
    </row>
    <row r="2608" spans="20:21">
      <c r="T2608" s="9">
        <v>511</v>
      </c>
      <c r="U2608" s="4">
        <v>1</v>
      </c>
    </row>
    <row r="2609" spans="20:21">
      <c r="T2609" s="9">
        <v>511.3</v>
      </c>
      <c r="U2609" s="4">
        <v>1</v>
      </c>
    </row>
    <row r="2610" spans="20:21">
      <c r="T2610" s="9">
        <v>511.8</v>
      </c>
      <c r="U2610" s="4">
        <v>1</v>
      </c>
    </row>
    <row r="2611" spans="20:21">
      <c r="T2611" s="9">
        <v>511.9</v>
      </c>
      <c r="U2611" s="4">
        <v>1</v>
      </c>
    </row>
    <row r="2612" spans="20:21">
      <c r="T2612" s="9">
        <v>512</v>
      </c>
      <c r="U2612" s="4">
        <v>1</v>
      </c>
    </row>
    <row r="2613" spans="20:21">
      <c r="T2613" s="9">
        <v>512.1</v>
      </c>
      <c r="U2613" s="4">
        <v>1</v>
      </c>
    </row>
    <row r="2614" spans="20:21">
      <c r="T2614" s="9">
        <v>512.29999999999995</v>
      </c>
      <c r="U2614" s="4">
        <v>1</v>
      </c>
    </row>
    <row r="2615" spans="20:21">
      <c r="T2615" s="9">
        <v>512.4</v>
      </c>
      <c r="U2615" s="4">
        <v>1</v>
      </c>
    </row>
    <row r="2616" spans="20:21">
      <c r="T2616" s="9">
        <v>512.5</v>
      </c>
      <c r="U2616" s="4">
        <v>1</v>
      </c>
    </row>
    <row r="2617" spans="20:21">
      <c r="T2617" s="9">
        <v>512.79999999999995</v>
      </c>
      <c r="U2617" s="4">
        <v>1</v>
      </c>
    </row>
    <row r="2618" spans="20:21">
      <c r="T2618" s="9">
        <v>512.9</v>
      </c>
      <c r="U2618" s="4">
        <v>1</v>
      </c>
    </row>
    <row r="2619" spans="20:21">
      <c r="T2619" s="9">
        <v>513</v>
      </c>
      <c r="U2619" s="4">
        <v>2</v>
      </c>
    </row>
    <row r="2620" spans="20:21">
      <c r="T2620" s="9">
        <v>513.1</v>
      </c>
      <c r="U2620" s="4">
        <v>1</v>
      </c>
    </row>
    <row r="2621" spans="20:21">
      <c r="T2621" s="9">
        <v>513.20000000000005</v>
      </c>
      <c r="U2621" s="4">
        <v>3</v>
      </c>
    </row>
    <row r="2622" spans="20:21">
      <c r="T2622" s="9">
        <v>513.5</v>
      </c>
      <c r="U2622" s="4">
        <v>3</v>
      </c>
    </row>
    <row r="2623" spans="20:21">
      <c r="T2623" s="9">
        <v>513.6</v>
      </c>
      <c r="U2623" s="4">
        <v>1</v>
      </c>
    </row>
    <row r="2624" spans="20:21">
      <c r="T2624" s="9">
        <v>513.70000000000005</v>
      </c>
      <c r="U2624" s="4">
        <v>1</v>
      </c>
    </row>
    <row r="2625" spans="20:21">
      <c r="T2625" s="9">
        <v>513.79999999999995</v>
      </c>
      <c r="U2625" s="4">
        <v>1</v>
      </c>
    </row>
    <row r="2626" spans="20:21">
      <c r="T2626" s="9">
        <v>514.4</v>
      </c>
      <c r="U2626" s="4">
        <v>3</v>
      </c>
    </row>
    <row r="2627" spans="20:21">
      <c r="T2627" s="9">
        <v>514.5</v>
      </c>
      <c r="U2627" s="4">
        <v>1</v>
      </c>
    </row>
    <row r="2628" spans="20:21">
      <c r="T2628" s="9">
        <v>514.70000000000005</v>
      </c>
      <c r="U2628" s="4">
        <v>1</v>
      </c>
    </row>
    <row r="2629" spans="20:21">
      <c r="T2629" s="9">
        <v>515.20000000000005</v>
      </c>
      <c r="U2629" s="4">
        <v>1</v>
      </c>
    </row>
    <row r="2630" spans="20:21">
      <c r="T2630" s="9">
        <v>515.29999999999995</v>
      </c>
      <c r="U2630" s="4">
        <v>1</v>
      </c>
    </row>
    <row r="2631" spans="20:21">
      <c r="T2631" s="9">
        <v>515.5</v>
      </c>
      <c r="U2631" s="4">
        <v>1</v>
      </c>
    </row>
    <row r="2632" spans="20:21">
      <c r="T2632" s="9">
        <v>515.70000000000005</v>
      </c>
      <c r="U2632" s="4">
        <v>2</v>
      </c>
    </row>
    <row r="2633" spans="20:21">
      <c r="T2633" s="9">
        <v>515.79999999999995</v>
      </c>
      <c r="U2633" s="4">
        <v>1</v>
      </c>
    </row>
    <row r="2634" spans="20:21">
      <c r="T2634" s="9">
        <v>516</v>
      </c>
      <c r="U2634" s="4">
        <v>1</v>
      </c>
    </row>
    <row r="2635" spans="20:21">
      <c r="T2635" s="9">
        <v>516.1</v>
      </c>
      <c r="U2635" s="4">
        <v>1</v>
      </c>
    </row>
    <row r="2636" spans="20:21">
      <c r="T2636" s="9">
        <v>516.6</v>
      </c>
      <c r="U2636" s="4">
        <v>2</v>
      </c>
    </row>
    <row r="2637" spans="20:21">
      <c r="T2637" s="9">
        <v>516.79999999999995</v>
      </c>
      <c r="U2637" s="4">
        <v>1</v>
      </c>
    </row>
    <row r="2638" spans="20:21">
      <c r="T2638" s="9">
        <v>517</v>
      </c>
      <c r="U2638" s="4">
        <v>1</v>
      </c>
    </row>
    <row r="2639" spans="20:21">
      <c r="T2639" s="9">
        <v>517.1</v>
      </c>
      <c r="U2639" s="4">
        <v>1</v>
      </c>
    </row>
    <row r="2640" spans="20:21">
      <c r="T2640" s="9">
        <v>517.29999999999995</v>
      </c>
      <c r="U2640" s="4">
        <v>2</v>
      </c>
    </row>
    <row r="2641" spans="20:21">
      <c r="T2641" s="9">
        <v>517.5</v>
      </c>
      <c r="U2641" s="4">
        <v>1</v>
      </c>
    </row>
    <row r="2642" spans="20:21">
      <c r="T2642" s="9">
        <v>517.70000000000005</v>
      </c>
      <c r="U2642" s="4">
        <v>1</v>
      </c>
    </row>
    <row r="2643" spans="20:21">
      <c r="T2643" s="9">
        <v>517.79999999999995</v>
      </c>
      <c r="U2643" s="4">
        <v>1</v>
      </c>
    </row>
    <row r="2644" spans="20:21">
      <c r="T2644" s="9">
        <v>518</v>
      </c>
      <c r="U2644" s="4">
        <v>1</v>
      </c>
    </row>
    <row r="2645" spans="20:21">
      <c r="T2645" s="9">
        <v>518.29999999999995</v>
      </c>
      <c r="U2645" s="4">
        <v>1</v>
      </c>
    </row>
    <row r="2646" spans="20:21">
      <c r="T2646" s="9">
        <v>518.4</v>
      </c>
      <c r="U2646" s="4">
        <v>2</v>
      </c>
    </row>
    <row r="2647" spans="20:21">
      <c r="T2647" s="9">
        <v>518.70000000000005</v>
      </c>
      <c r="U2647" s="4">
        <v>1</v>
      </c>
    </row>
    <row r="2648" spans="20:21">
      <c r="T2648" s="9">
        <v>518.9</v>
      </c>
      <c r="U2648" s="4">
        <v>1</v>
      </c>
    </row>
    <row r="2649" spans="20:21">
      <c r="T2649" s="9">
        <v>519.29999999999995</v>
      </c>
      <c r="U2649" s="4">
        <v>1</v>
      </c>
    </row>
    <row r="2650" spans="20:21">
      <c r="T2650" s="9">
        <v>519.4</v>
      </c>
      <c r="U2650" s="4">
        <v>1</v>
      </c>
    </row>
    <row r="2651" spans="20:21">
      <c r="T2651" s="9">
        <v>519.5</v>
      </c>
      <c r="U2651" s="4">
        <v>1</v>
      </c>
    </row>
    <row r="2652" spans="20:21">
      <c r="T2652" s="9">
        <v>519.9</v>
      </c>
      <c r="U2652" s="4">
        <v>1</v>
      </c>
    </row>
    <row r="2653" spans="20:21">
      <c r="T2653" s="9">
        <v>520.20000000000005</v>
      </c>
      <c r="U2653" s="4">
        <v>1</v>
      </c>
    </row>
    <row r="2654" spans="20:21">
      <c r="T2654" s="9">
        <v>520.29999999999995</v>
      </c>
      <c r="U2654" s="4">
        <v>2</v>
      </c>
    </row>
    <row r="2655" spans="20:21">
      <c r="T2655" s="9">
        <v>520.4</v>
      </c>
      <c r="U2655" s="4">
        <v>2</v>
      </c>
    </row>
    <row r="2656" spans="20:21">
      <c r="T2656" s="9">
        <v>521.1</v>
      </c>
      <c r="U2656" s="4">
        <v>1</v>
      </c>
    </row>
    <row r="2657" spans="20:21">
      <c r="T2657" s="9">
        <v>521.4</v>
      </c>
      <c r="U2657" s="4">
        <v>1</v>
      </c>
    </row>
    <row r="2658" spans="20:21">
      <c r="T2658" s="9">
        <v>521.6</v>
      </c>
      <c r="U2658" s="4">
        <v>1</v>
      </c>
    </row>
    <row r="2659" spans="20:21">
      <c r="T2659" s="9">
        <v>522.1</v>
      </c>
      <c r="U2659" s="4">
        <v>1</v>
      </c>
    </row>
    <row r="2660" spans="20:21">
      <c r="T2660" s="9">
        <v>522.29999999999995</v>
      </c>
      <c r="U2660" s="4">
        <v>1</v>
      </c>
    </row>
    <row r="2661" spans="20:21">
      <c r="T2661" s="9">
        <v>522.5</v>
      </c>
      <c r="U2661" s="4">
        <v>2</v>
      </c>
    </row>
    <row r="2662" spans="20:21">
      <c r="T2662" s="9">
        <v>522.6</v>
      </c>
      <c r="U2662" s="4">
        <v>1</v>
      </c>
    </row>
    <row r="2663" spans="20:21">
      <c r="T2663" s="9">
        <v>522.70000000000005</v>
      </c>
      <c r="U2663" s="4">
        <v>1</v>
      </c>
    </row>
    <row r="2664" spans="20:21">
      <c r="T2664" s="9">
        <v>523.1</v>
      </c>
      <c r="U2664" s="4">
        <v>1</v>
      </c>
    </row>
    <row r="2665" spans="20:21">
      <c r="T2665" s="9">
        <v>523.20000000000005</v>
      </c>
      <c r="U2665" s="4">
        <v>1</v>
      </c>
    </row>
    <row r="2666" spans="20:21">
      <c r="T2666" s="9">
        <v>523.29999999999995</v>
      </c>
      <c r="U2666" s="4">
        <v>2</v>
      </c>
    </row>
    <row r="2667" spans="20:21">
      <c r="T2667" s="9">
        <v>523.70000000000005</v>
      </c>
      <c r="U2667" s="4">
        <v>1</v>
      </c>
    </row>
    <row r="2668" spans="20:21">
      <c r="T2668" s="9">
        <v>523.79999999999995</v>
      </c>
      <c r="U2668" s="4">
        <v>1</v>
      </c>
    </row>
    <row r="2669" spans="20:21">
      <c r="T2669" s="9">
        <v>524.1</v>
      </c>
      <c r="U2669" s="4">
        <v>1</v>
      </c>
    </row>
    <row r="2670" spans="20:21">
      <c r="T2670" s="9">
        <v>524.29999999999995</v>
      </c>
      <c r="U2670" s="4">
        <v>1</v>
      </c>
    </row>
    <row r="2671" spans="20:21">
      <c r="T2671" s="9">
        <v>524.5</v>
      </c>
      <c r="U2671" s="4">
        <v>2</v>
      </c>
    </row>
    <row r="2672" spans="20:21">
      <c r="T2672" s="9">
        <v>524.70000000000005</v>
      </c>
      <c r="U2672" s="4">
        <v>1</v>
      </c>
    </row>
    <row r="2673" spans="20:21">
      <c r="T2673" s="9">
        <v>525</v>
      </c>
      <c r="U2673" s="4">
        <v>1</v>
      </c>
    </row>
    <row r="2674" spans="20:21">
      <c r="T2674" s="9">
        <v>525.1</v>
      </c>
      <c r="U2674" s="4">
        <v>2</v>
      </c>
    </row>
    <row r="2675" spans="20:21">
      <c r="T2675" s="9">
        <v>525.29999999999995</v>
      </c>
      <c r="U2675" s="4">
        <v>3</v>
      </c>
    </row>
    <row r="2676" spans="20:21">
      <c r="T2676" s="9">
        <v>525.4</v>
      </c>
      <c r="U2676" s="4">
        <v>1</v>
      </c>
    </row>
    <row r="2677" spans="20:21">
      <c r="T2677" s="9">
        <v>525.5</v>
      </c>
      <c r="U2677" s="4">
        <v>1</v>
      </c>
    </row>
    <row r="2678" spans="20:21">
      <c r="T2678" s="9">
        <v>525.70000000000005</v>
      </c>
      <c r="U2678" s="4">
        <v>1</v>
      </c>
    </row>
    <row r="2679" spans="20:21">
      <c r="T2679" s="9">
        <v>526.1</v>
      </c>
      <c r="U2679" s="4">
        <v>1</v>
      </c>
    </row>
    <row r="2680" spans="20:21">
      <c r="T2680" s="9">
        <v>526.5</v>
      </c>
      <c r="U2680" s="4">
        <v>1</v>
      </c>
    </row>
    <row r="2681" spans="20:21">
      <c r="T2681" s="9">
        <v>526.79999999999995</v>
      </c>
      <c r="U2681" s="4">
        <v>1</v>
      </c>
    </row>
    <row r="2682" spans="20:21">
      <c r="T2682" s="9">
        <v>527.4</v>
      </c>
      <c r="U2682" s="4">
        <v>1</v>
      </c>
    </row>
    <row r="2683" spans="20:21">
      <c r="T2683" s="9">
        <v>527.79999999999995</v>
      </c>
      <c r="U2683" s="4">
        <v>2</v>
      </c>
    </row>
    <row r="2684" spans="20:21">
      <c r="T2684" s="9">
        <v>528.29999999999995</v>
      </c>
      <c r="U2684" s="4">
        <v>1</v>
      </c>
    </row>
    <row r="2685" spans="20:21">
      <c r="T2685" s="9">
        <v>528.9</v>
      </c>
      <c r="U2685" s="4">
        <v>1</v>
      </c>
    </row>
    <row r="2686" spans="20:21">
      <c r="T2686" s="9">
        <v>529.20000000000005</v>
      </c>
      <c r="U2686" s="4">
        <v>1</v>
      </c>
    </row>
    <row r="2687" spans="20:21">
      <c r="T2687" s="9">
        <v>529.29999999999995</v>
      </c>
      <c r="U2687" s="4">
        <v>1</v>
      </c>
    </row>
    <row r="2688" spans="20:21">
      <c r="T2688" s="9">
        <v>529.5</v>
      </c>
      <c r="U2688" s="4">
        <v>3</v>
      </c>
    </row>
    <row r="2689" spans="20:21">
      <c r="T2689" s="9">
        <v>530.4</v>
      </c>
      <c r="U2689" s="4">
        <v>1</v>
      </c>
    </row>
    <row r="2690" spans="20:21">
      <c r="T2690" s="9">
        <v>530.5</v>
      </c>
      <c r="U2690" s="4">
        <v>2</v>
      </c>
    </row>
    <row r="2691" spans="20:21">
      <c r="T2691" s="9">
        <v>530.9</v>
      </c>
      <c r="U2691" s="4">
        <v>2</v>
      </c>
    </row>
    <row r="2692" spans="20:21">
      <c r="T2692" s="9">
        <v>531</v>
      </c>
      <c r="U2692" s="4">
        <v>1</v>
      </c>
    </row>
    <row r="2693" spans="20:21">
      <c r="T2693" s="9">
        <v>531.1</v>
      </c>
      <c r="U2693" s="4">
        <v>2</v>
      </c>
    </row>
    <row r="2694" spans="20:21">
      <c r="T2694" s="9">
        <v>531.5</v>
      </c>
      <c r="U2694" s="4">
        <v>1</v>
      </c>
    </row>
    <row r="2695" spans="20:21">
      <c r="T2695" s="9">
        <v>531.6</v>
      </c>
      <c r="U2695" s="4">
        <v>4</v>
      </c>
    </row>
    <row r="2696" spans="20:21">
      <c r="T2696" s="9">
        <v>532.20000000000005</v>
      </c>
      <c r="U2696" s="4">
        <v>1</v>
      </c>
    </row>
    <row r="2697" spans="20:21">
      <c r="T2697" s="9">
        <v>532.79999999999995</v>
      </c>
      <c r="U2697" s="4">
        <v>1</v>
      </c>
    </row>
    <row r="2698" spans="20:21">
      <c r="T2698" s="9">
        <v>533.5</v>
      </c>
      <c r="U2698" s="4">
        <v>2</v>
      </c>
    </row>
    <row r="2699" spans="20:21">
      <c r="T2699" s="9">
        <v>533.70000000000005</v>
      </c>
      <c r="U2699" s="4">
        <v>1</v>
      </c>
    </row>
    <row r="2700" spans="20:21">
      <c r="T2700" s="9">
        <v>534.1</v>
      </c>
      <c r="U2700" s="4">
        <v>2</v>
      </c>
    </row>
    <row r="2701" spans="20:21">
      <c r="T2701" s="9">
        <v>534.20000000000005</v>
      </c>
      <c r="U2701" s="4">
        <v>1</v>
      </c>
    </row>
    <row r="2702" spans="20:21">
      <c r="T2702" s="9">
        <v>535.20000000000005</v>
      </c>
      <c r="U2702" s="4">
        <v>1</v>
      </c>
    </row>
    <row r="2703" spans="20:21">
      <c r="T2703" s="9">
        <v>535.29999999999995</v>
      </c>
      <c r="U2703" s="4">
        <v>1</v>
      </c>
    </row>
    <row r="2704" spans="20:21">
      <c r="T2704" s="9">
        <v>535.9</v>
      </c>
      <c r="U2704" s="4">
        <v>1</v>
      </c>
    </row>
    <row r="2705" spans="20:21">
      <c r="T2705" s="9">
        <v>536.5</v>
      </c>
      <c r="U2705" s="4">
        <v>1</v>
      </c>
    </row>
    <row r="2706" spans="20:21">
      <c r="T2706" s="9">
        <v>536.9</v>
      </c>
      <c r="U2706" s="4">
        <v>1</v>
      </c>
    </row>
    <row r="2707" spans="20:21">
      <c r="T2707" s="9">
        <v>537.1</v>
      </c>
      <c r="U2707" s="4">
        <v>1</v>
      </c>
    </row>
    <row r="2708" spans="20:21">
      <c r="T2708" s="9">
        <v>537.29999999999995</v>
      </c>
      <c r="U2708" s="4">
        <v>1</v>
      </c>
    </row>
    <row r="2709" spans="20:21">
      <c r="T2709" s="9">
        <v>537.4</v>
      </c>
      <c r="U2709" s="4">
        <v>1</v>
      </c>
    </row>
    <row r="2710" spans="20:21">
      <c r="T2710" s="9">
        <v>537.9</v>
      </c>
      <c r="U2710" s="4">
        <v>1</v>
      </c>
    </row>
    <row r="2711" spans="20:21">
      <c r="T2711" s="9">
        <v>538</v>
      </c>
      <c r="U2711" s="4">
        <v>1</v>
      </c>
    </row>
    <row r="2712" spans="20:21">
      <c r="T2712" s="9">
        <v>538.20000000000005</v>
      </c>
      <c r="U2712" s="4">
        <v>2</v>
      </c>
    </row>
    <row r="2713" spans="20:21">
      <c r="T2713" s="9">
        <v>538.79999999999995</v>
      </c>
      <c r="U2713" s="4">
        <v>2</v>
      </c>
    </row>
    <row r="2714" spans="20:21">
      <c r="T2714" s="9">
        <v>539.29999999999995</v>
      </c>
      <c r="U2714" s="4">
        <v>1</v>
      </c>
    </row>
    <row r="2715" spans="20:21">
      <c r="T2715" s="9">
        <v>539.6</v>
      </c>
      <c r="U2715" s="4">
        <v>1</v>
      </c>
    </row>
    <row r="2716" spans="20:21">
      <c r="T2716" s="9">
        <v>539.9</v>
      </c>
      <c r="U2716" s="4">
        <v>1</v>
      </c>
    </row>
    <row r="2717" spans="20:21">
      <c r="T2717" s="9">
        <v>540</v>
      </c>
      <c r="U2717" s="4">
        <v>1</v>
      </c>
    </row>
    <row r="2718" spans="20:21">
      <c r="T2718" s="9">
        <v>540.70000000000005</v>
      </c>
      <c r="U2718" s="4">
        <v>1</v>
      </c>
    </row>
    <row r="2719" spans="20:21">
      <c r="T2719" s="9">
        <v>540.9</v>
      </c>
      <c r="U2719" s="4">
        <v>2</v>
      </c>
    </row>
    <row r="2720" spans="20:21">
      <c r="T2720" s="9">
        <v>541</v>
      </c>
      <c r="U2720" s="4">
        <v>1</v>
      </c>
    </row>
    <row r="2721" spans="20:21">
      <c r="T2721" s="9">
        <v>541.29999999999995</v>
      </c>
      <c r="U2721" s="4">
        <v>1</v>
      </c>
    </row>
    <row r="2722" spans="20:21">
      <c r="T2722" s="9">
        <v>541.70000000000005</v>
      </c>
      <c r="U2722" s="4">
        <v>1</v>
      </c>
    </row>
    <row r="2723" spans="20:21">
      <c r="T2723" s="9">
        <v>541.79999999999995</v>
      </c>
      <c r="U2723" s="4">
        <v>2</v>
      </c>
    </row>
    <row r="2724" spans="20:21">
      <c r="T2724" s="9">
        <v>542.20000000000005</v>
      </c>
      <c r="U2724" s="4">
        <v>1</v>
      </c>
    </row>
    <row r="2725" spans="20:21">
      <c r="T2725" s="9">
        <v>542.70000000000005</v>
      </c>
      <c r="U2725" s="4">
        <v>1</v>
      </c>
    </row>
    <row r="2726" spans="20:21">
      <c r="T2726" s="9">
        <v>543</v>
      </c>
      <c r="U2726" s="4">
        <v>1</v>
      </c>
    </row>
    <row r="2727" spans="20:21">
      <c r="T2727" s="9">
        <v>543.29999999999995</v>
      </c>
      <c r="U2727" s="4">
        <v>1</v>
      </c>
    </row>
    <row r="2728" spans="20:21">
      <c r="T2728" s="9">
        <v>543.4</v>
      </c>
      <c r="U2728" s="4">
        <v>1</v>
      </c>
    </row>
    <row r="2729" spans="20:21">
      <c r="T2729" s="9">
        <v>543.6</v>
      </c>
      <c r="U2729" s="4">
        <v>1</v>
      </c>
    </row>
    <row r="2730" spans="20:21">
      <c r="T2730" s="9">
        <v>543.70000000000005</v>
      </c>
      <c r="U2730" s="4">
        <v>1</v>
      </c>
    </row>
    <row r="2731" spans="20:21">
      <c r="T2731" s="9">
        <v>543.9</v>
      </c>
      <c r="U2731" s="4">
        <v>1</v>
      </c>
    </row>
    <row r="2732" spans="20:21">
      <c r="T2732" s="9">
        <v>544</v>
      </c>
      <c r="U2732" s="4">
        <v>1</v>
      </c>
    </row>
    <row r="2733" spans="20:21">
      <c r="T2733" s="9">
        <v>544.1</v>
      </c>
      <c r="U2733" s="4">
        <v>2</v>
      </c>
    </row>
    <row r="2734" spans="20:21">
      <c r="T2734" s="9">
        <v>544.79999999999995</v>
      </c>
      <c r="U2734" s="4">
        <v>1</v>
      </c>
    </row>
    <row r="2735" spans="20:21">
      <c r="T2735" s="9">
        <v>544.9</v>
      </c>
      <c r="U2735" s="4">
        <v>1</v>
      </c>
    </row>
    <row r="2736" spans="20:21">
      <c r="T2736" s="9">
        <v>545.1</v>
      </c>
      <c r="U2736" s="4">
        <v>1</v>
      </c>
    </row>
    <row r="2737" spans="20:21">
      <c r="T2737" s="9">
        <v>545.5</v>
      </c>
      <c r="U2737" s="4">
        <v>2</v>
      </c>
    </row>
    <row r="2738" spans="20:21">
      <c r="T2738" s="9">
        <v>545.6</v>
      </c>
      <c r="U2738" s="4">
        <v>1</v>
      </c>
    </row>
    <row r="2739" spans="20:21">
      <c r="T2739" s="9">
        <v>545.70000000000005</v>
      </c>
      <c r="U2739" s="4">
        <v>1</v>
      </c>
    </row>
    <row r="2740" spans="20:21">
      <c r="T2740" s="9">
        <v>545.79999999999995</v>
      </c>
      <c r="U2740" s="4">
        <v>1</v>
      </c>
    </row>
    <row r="2741" spans="20:21">
      <c r="T2741" s="9">
        <v>545.9</v>
      </c>
      <c r="U2741" s="4">
        <v>2</v>
      </c>
    </row>
    <row r="2742" spans="20:21">
      <c r="T2742" s="9">
        <v>546.4</v>
      </c>
      <c r="U2742" s="4">
        <v>1</v>
      </c>
    </row>
    <row r="2743" spans="20:21">
      <c r="T2743" s="9">
        <v>546.6</v>
      </c>
      <c r="U2743" s="4">
        <v>1</v>
      </c>
    </row>
    <row r="2744" spans="20:21">
      <c r="T2744" s="9">
        <v>547</v>
      </c>
      <c r="U2744" s="4">
        <v>1</v>
      </c>
    </row>
    <row r="2745" spans="20:21">
      <c r="T2745" s="9">
        <v>547.20000000000005</v>
      </c>
      <c r="U2745" s="4">
        <v>1</v>
      </c>
    </row>
    <row r="2746" spans="20:21">
      <c r="T2746" s="9">
        <v>548.29999999999995</v>
      </c>
      <c r="U2746" s="4">
        <v>1</v>
      </c>
    </row>
    <row r="2747" spans="20:21">
      <c r="T2747" s="9">
        <v>548.4</v>
      </c>
      <c r="U2747" s="4">
        <v>2</v>
      </c>
    </row>
    <row r="2748" spans="20:21">
      <c r="T2748" s="9">
        <v>548.70000000000005</v>
      </c>
      <c r="U2748" s="4">
        <v>1</v>
      </c>
    </row>
    <row r="2749" spans="20:21">
      <c r="T2749" s="9">
        <v>548.79999999999995</v>
      </c>
      <c r="U2749" s="4">
        <v>1</v>
      </c>
    </row>
    <row r="2750" spans="20:21">
      <c r="T2750" s="9">
        <v>549</v>
      </c>
      <c r="U2750" s="4">
        <v>1</v>
      </c>
    </row>
    <row r="2751" spans="20:21">
      <c r="T2751" s="9">
        <v>549.20000000000005</v>
      </c>
      <c r="U2751" s="4">
        <v>1</v>
      </c>
    </row>
    <row r="2752" spans="20:21">
      <c r="T2752" s="9">
        <v>549.29999999999995</v>
      </c>
      <c r="U2752" s="4">
        <v>1</v>
      </c>
    </row>
    <row r="2753" spans="20:21">
      <c r="T2753" s="9">
        <v>549.4</v>
      </c>
      <c r="U2753" s="4">
        <v>1</v>
      </c>
    </row>
    <row r="2754" spans="20:21">
      <c r="T2754" s="9">
        <v>550</v>
      </c>
      <c r="U2754" s="4">
        <v>1</v>
      </c>
    </row>
    <row r="2755" spans="20:21">
      <c r="T2755" s="9">
        <v>550.20000000000005</v>
      </c>
      <c r="U2755" s="4">
        <v>1</v>
      </c>
    </row>
    <row r="2756" spans="20:21">
      <c r="T2756" s="9">
        <v>550.29999999999995</v>
      </c>
      <c r="U2756" s="4">
        <v>1</v>
      </c>
    </row>
    <row r="2757" spans="20:21">
      <c r="T2757" s="9">
        <v>550.79999999999995</v>
      </c>
      <c r="U2757" s="4">
        <v>2</v>
      </c>
    </row>
    <row r="2758" spans="20:21">
      <c r="T2758" s="9">
        <v>551.20000000000005</v>
      </c>
      <c r="U2758" s="4">
        <v>1</v>
      </c>
    </row>
    <row r="2759" spans="20:21">
      <c r="T2759" s="9">
        <v>552</v>
      </c>
      <c r="U2759" s="4">
        <v>3</v>
      </c>
    </row>
    <row r="2760" spans="20:21">
      <c r="T2760" s="9">
        <v>552.6</v>
      </c>
      <c r="U2760" s="4">
        <v>1</v>
      </c>
    </row>
    <row r="2761" spans="20:21">
      <c r="T2761" s="9">
        <v>552.79999999999995</v>
      </c>
      <c r="U2761" s="4">
        <v>2</v>
      </c>
    </row>
    <row r="2762" spans="20:21">
      <c r="T2762" s="9">
        <v>553.1</v>
      </c>
      <c r="U2762" s="4">
        <v>1</v>
      </c>
    </row>
    <row r="2763" spans="20:21">
      <c r="T2763" s="9">
        <v>553.20000000000005</v>
      </c>
      <c r="U2763" s="4">
        <v>1</v>
      </c>
    </row>
    <row r="2764" spans="20:21">
      <c r="T2764" s="9">
        <v>553.5</v>
      </c>
      <c r="U2764" s="4">
        <v>1</v>
      </c>
    </row>
    <row r="2765" spans="20:21">
      <c r="T2765" s="9">
        <v>554</v>
      </c>
      <c r="U2765" s="4">
        <v>1</v>
      </c>
    </row>
    <row r="2766" spans="20:21">
      <c r="T2766" s="9">
        <v>554.29999999999995</v>
      </c>
      <c r="U2766" s="4">
        <v>1</v>
      </c>
    </row>
    <row r="2767" spans="20:21">
      <c r="T2767" s="9">
        <v>554.4</v>
      </c>
      <c r="U2767" s="4">
        <v>1</v>
      </c>
    </row>
    <row r="2768" spans="20:21">
      <c r="T2768" s="9">
        <v>555.1</v>
      </c>
      <c r="U2768" s="4">
        <v>2</v>
      </c>
    </row>
    <row r="2769" spans="20:21">
      <c r="T2769" s="9">
        <v>555.29999999999995</v>
      </c>
      <c r="U2769" s="4">
        <v>1</v>
      </c>
    </row>
    <row r="2770" spans="20:21">
      <c r="T2770" s="9">
        <v>555.9</v>
      </c>
      <c r="U2770" s="4">
        <v>1</v>
      </c>
    </row>
    <row r="2771" spans="20:21">
      <c r="T2771" s="9">
        <v>556.29999999999995</v>
      </c>
      <c r="U2771" s="4">
        <v>1</v>
      </c>
    </row>
    <row r="2772" spans="20:21">
      <c r="T2772" s="9">
        <v>557.29999999999995</v>
      </c>
      <c r="U2772" s="4">
        <v>1</v>
      </c>
    </row>
    <row r="2773" spans="20:21">
      <c r="T2773" s="9">
        <v>557.70000000000005</v>
      </c>
      <c r="U2773" s="4">
        <v>2</v>
      </c>
    </row>
    <row r="2774" spans="20:21">
      <c r="T2774" s="9">
        <v>558</v>
      </c>
      <c r="U2774" s="4">
        <v>1</v>
      </c>
    </row>
    <row r="2775" spans="20:21">
      <c r="T2775" s="9">
        <v>558.70000000000005</v>
      </c>
      <c r="U2775" s="4">
        <v>1</v>
      </c>
    </row>
    <row r="2776" spans="20:21">
      <c r="T2776" s="9">
        <v>558.9</v>
      </c>
      <c r="U2776" s="4">
        <v>1</v>
      </c>
    </row>
    <row r="2777" spans="20:21">
      <c r="T2777" s="9">
        <v>559.20000000000005</v>
      </c>
      <c r="U2777" s="4">
        <v>1</v>
      </c>
    </row>
    <row r="2778" spans="20:21">
      <c r="T2778" s="9">
        <v>559.79999999999995</v>
      </c>
      <c r="U2778" s="4">
        <v>1</v>
      </c>
    </row>
    <row r="2779" spans="20:21">
      <c r="T2779" s="9">
        <v>560.20000000000005</v>
      </c>
      <c r="U2779" s="4">
        <v>1</v>
      </c>
    </row>
    <row r="2780" spans="20:21">
      <c r="T2780" s="9">
        <v>560.70000000000005</v>
      </c>
      <c r="U2780" s="4">
        <v>1</v>
      </c>
    </row>
    <row r="2781" spans="20:21">
      <c r="T2781" s="9">
        <v>560.9</v>
      </c>
      <c r="U2781" s="4">
        <v>1</v>
      </c>
    </row>
    <row r="2782" spans="20:21">
      <c r="T2782" s="9">
        <v>561.29999999999995</v>
      </c>
      <c r="U2782" s="4">
        <v>1</v>
      </c>
    </row>
    <row r="2783" spans="20:21">
      <c r="T2783" s="9">
        <v>562</v>
      </c>
      <c r="U2783" s="4">
        <v>1</v>
      </c>
    </row>
    <row r="2784" spans="20:21">
      <c r="T2784" s="9">
        <v>562.29999999999995</v>
      </c>
      <c r="U2784" s="4">
        <v>1</v>
      </c>
    </row>
    <row r="2785" spans="20:21">
      <c r="T2785" s="9">
        <v>562.5</v>
      </c>
      <c r="U2785" s="4">
        <v>1</v>
      </c>
    </row>
    <row r="2786" spans="20:21">
      <c r="T2786" s="9">
        <v>562.70000000000005</v>
      </c>
      <c r="U2786" s="4">
        <v>1</v>
      </c>
    </row>
    <row r="2787" spans="20:21">
      <c r="T2787" s="9">
        <v>562.79999999999995</v>
      </c>
      <c r="U2787" s="4">
        <v>1</v>
      </c>
    </row>
    <row r="2788" spans="20:21">
      <c r="T2788" s="9">
        <v>563.20000000000005</v>
      </c>
      <c r="U2788" s="4">
        <v>2</v>
      </c>
    </row>
    <row r="2789" spans="20:21">
      <c r="T2789" s="9">
        <v>563.70000000000005</v>
      </c>
      <c r="U2789" s="4">
        <v>1</v>
      </c>
    </row>
    <row r="2790" spans="20:21">
      <c r="T2790" s="9">
        <v>564.1</v>
      </c>
      <c r="U2790" s="4">
        <v>2</v>
      </c>
    </row>
    <row r="2791" spans="20:21">
      <c r="T2791" s="9">
        <v>564.4</v>
      </c>
      <c r="U2791" s="4">
        <v>1</v>
      </c>
    </row>
    <row r="2792" spans="20:21">
      <c r="T2792" s="9">
        <v>564.70000000000005</v>
      </c>
      <c r="U2792" s="4">
        <v>1</v>
      </c>
    </row>
    <row r="2793" spans="20:21">
      <c r="T2793" s="9">
        <v>564.79999999999995</v>
      </c>
      <c r="U2793" s="4">
        <v>1</v>
      </c>
    </row>
    <row r="2794" spans="20:21">
      <c r="T2794" s="9">
        <v>566</v>
      </c>
      <c r="U2794" s="4">
        <v>1</v>
      </c>
    </row>
    <row r="2795" spans="20:21">
      <c r="T2795" s="9">
        <v>566.70000000000005</v>
      </c>
      <c r="U2795" s="4">
        <v>1</v>
      </c>
    </row>
    <row r="2796" spans="20:21">
      <c r="T2796" s="9">
        <v>566.9</v>
      </c>
      <c r="U2796" s="4">
        <v>2</v>
      </c>
    </row>
    <row r="2797" spans="20:21">
      <c r="T2797" s="9">
        <v>567.20000000000005</v>
      </c>
      <c r="U2797" s="4">
        <v>2</v>
      </c>
    </row>
    <row r="2798" spans="20:21">
      <c r="T2798" s="9">
        <v>567.6</v>
      </c>
      <c r="U2798" s="4">
        <v>1</v>
      </c>
    </row>
    <row r="2799" spans="20:21">
      <c r="T2799" s="9">
        <v>568</v>
      </c>
      <c r="U2799" s="4">
        <v>2</v>
      </c>
    </row>
    <row r="2800" spans="20:21">
      <c r="T2800" s="9">
        <v>568.1</v>
      </c>
      <c r="U2800" s="4">
        <v>1</v>
      </c>
    </row>
    <row r="2801" spans="20:21">
      <c r="T2801" s="9">
        <v>568.20000000000005</v>
      </c>
      <c r="U2801" s="4">
        <v>1</v>
      </c>
    </row>
    <row r="2802" spans="20:21">
      <c r="T2802" s="9">
        <v>569.20000000000005</v>
      </c>
      <c r="U2802" s="4">
        <v>1</v>
      </c>
    </row>
    <row r="2803" spans="20:21">
      <c r="T2803" s="9">
        <v>569.5</v>
      </c>
      <c r="U2803" s="4">
        <v>2</v>
      </c>
    </row>
    <row r="2804" spans="20:21">
      <c r="T2804" s="9">
        <v>569.70000000000005</v>
      </c>
      <c r="U2804" s="4">
        <v>1</v>
      </c>
    </row>
    <row r="2805" spans="20:21">
      <c r="T2805" s="9">
        <v>569.79999999999995</v>
      </c>
      <c r="U2805" s="4">
        <v>1</v>
      </c>
    </row>
    <row r="2806" spans="20:21">
      <c r="T2806" s="9">
        <v>570</v>
      </c>
      <c r="U2806" s="4">
        <v>1</v>
      </c>
    </row>
    <row r="2807" spans="20:21">
      <c r="T2807" s="9">
        <v>570.1</v>
      </c>
      <c r="U2807" s="4">
        <v>1</v>
      </c>
    </row>
    <row r="2808" spans="20:21">
      <c r="T2808" s="9">
        <v>570.6</v>
      </c>
      <c r="U2808" s="4">
        <v>1</v>
      </c>
    </row>
    <row r="2809" spans="20:21">
      <c r="T2809" s="9">
        <v>571.29999999999995</v>
      </c>
      <c r="U2809" s="4">
        <v>3</v>
      </c>
    </row>
    <row r="2810" spans="20:21">
      <c r="T2810" s="9">
        <v>571.4</v>
      </c>
      <c r="U2810" s="4">
        <v>1</v>
      </c>
    </row>
    <row r="2811" spans="20:21">
      <c r="T2811" s="9">
        <v>572</v>
      </c>
      <c r="U2811" s="4">
        <v>1</v>
      </c>
    </row>
    <row r="2812" spans="20:21">
      <c r="T2812" s="9">
        <v>572.1</v>
      </c>
      <c r="U2812" s="4">
        <v>1</v>
      </c>
    </row>
    <row r="2813" spans="20:21">
      <c r="T2813" s="9">
        <v>572.20000000000005</v>
      </c>
      <c r="U2813" s="4">
        <v>1</v>
      </c>
    </row>
    <row r="2814" spans="20:21">
      <c r="T2814" s="9">
        <v>572.29999999999995</v>
      </c>
      <c r="U2814" s="4">
        <v>1</v>
      </c>
    </row>
    <row r="2815" spans="20:21">
      <c r="T2815" s="9">
        <v>572.70000000000005</v>
      </c>
      <c r="U2815" s="4">
        <v>1</v>
      </c>
    </row>
    <row r="2816" spans="20:21">
      <c r="T2816" s="9">
        <v>573</v>
      </c>
      <c r="U2816" s="4">
        <v>1</v>
      </c>
    </row>
    <row r="2817" spans="20:21">
      <c r="T2817" s="9">
        <v>573.20000000000005</v>
      </c>
      <c r="U2817" s="4">
        <v>1</v>
      </c>
    </row>
    <row r="2818" spans="20:21">
      <c r="T2818" s="9">
        <v>573.4</v>
      </c>
      <c r="U2818" s="4">
        <v>1</v>
      </c>
    </row>
    <row r="2819" spans="20:21">
      <c r="T2819" s="9">
        <v>573.5</v>
      </c>
      <c r="U2819" s="4">
        <v>1</v>
      </c>
    </row>
    <row r="2820" spans="20:21">
      <c r="T2820" s="9">
        <v>573.6</v>
      </c>
      <c r="U2820" s="4">
        <v>1</v>
      </c>
    </row>
    <row r="2821" spans="20:21">
      <c r="T2821" s="9">
        <v>573.70000000000005</v>
      </c>
      <c r="U2821" s="4">
        <v>1</v>
      </c>
    </row>
    <row r="2822" spans="20:21">
      <c r="T2822" s="9">
        <v>573.9</v>
      </c>
      <c r="U2822" s="4">
        <v>1</v>
      </c>
    </row>
    <row r="2823" spans="20:21">
      <c r="T2823" s="9">
        <v>574.1</v>
      </c>
      <c r="U2823" s="4">
        <v>1</v>
      </c>
    </row>
    <row r="2824" spans="20:21">
      <c r="T2824" s="9">
        <v>574.6</v>
      </c>
      <c r="U2824" s="4">
        <v>2</v>
      </c>
    </row>
    <row r="2825" spans="20:21">
      <c r="T2825" s="9">
        <v>574.70000000000005</v>
      </c>
      <c r="U2825" s="4">
        <v>1</v>
      </c>
    </row>
    <row r="2826" spans="20:21">
      <c r="T2826" s="9">
        <v>574.79999999999995</v>
      </c>
      <c r="U2826" s="4">
        <v>1</v>
      </c>
    </row>
    <row r="2827" spans="20:21">
      <c r="T2827" s="9">
        <v>575.1</v>
      </c>
      <c r="U2827" s="4">
        <v>1</v>
      </c>
    </row>
    <row r="2828" spans="20:21">
      <c r="T2828" s="9">
        <v>575.20000000000005</v>
      </c>
      <c r="U2828" s="4">
        <v>1</v>
      </c>
    </row>
    <row r="2829" spans="20:21">
      <c r="T2829" s="9">
        <v>575.4</v>
      </c>
      <c r="U2829" s="4">
        <v>2</v>
      </c>
    </row>
    <row r="2830" spans="20:21">
      <c r="T2830" s="9">
        <v>575.6</v>
      </c>
      <c r="U2830" s="4">
        <v>1</v>
      </c>
    </row>
    <row r="2831" spans="20:21">
      <c r="T2831" s="9">
        <v>576.5</v>
      </c>
      <c r="U2831" s="4">
        <v>1</v>
      </c>
    </row>
    <row r="2832" spans="20:21">
      <c r="T2832" s="9">
        <v>577</v>
      </c>
      <c r="U2832" s="4">
        <v>1</v>
      </c>
    </row>
    <row r="2833" spans="20:21">
      <c r="T2833" s="9">
        <v>577.4</v>
      </c>
      <c r="U2833" s="4">
        <v>1</v>
      </c>
    </row>
    <row r="2834" spans="20:21">
      <c r="T2834" s="9">
        <v>577.6</v>
      </c>
      <c r="U2834" s="4">
        <v>2</v>
      </c>
    </row>
    <row r="2835" spans="20:21">
      <c r="T2835" s="9">
        <v>578.20000000000005</v>
      </c>
      <c r="U2835" s="4">
        <v>1</v>
      </c>
    </row>
    <row r="2836" spans="20:21">
      <c r="T2836" s="9">
        <v>578.5</v>
      </c>
      <c r="U2836" s="4">
        <v>1</v>
      </c>
    </row>
    <row r="2837" spans="20:21">
      <c r="T2837" s="9">
        <v>578.70000000000005</v>
      </c>
      <c r="U2837" s="4">
        <v>1</v>
      </c>
    </row>
    <row r="2838" spans="20:21">
      <c r="T2838" s="9">
        <v>579</v>
      </c>
      <c r="U2838" s="4">
        <v>1</v>
      </c>
    </row>
    <row r="2839" spans="20:21">
      <c r="T2839" s="9">
        <v>579.4</v>
      </c>
      <c r="U2839" s="4">
        <v>1</v>
      </c>
    </row>
    <row r="2840" spans="20:21">
      <c r="T2840" s="9">
        <v>579.6</v>
      </c>
      <c r="U2840" s="4">
        <v>1</v>
      </c>
    </row>
    <row r="2841" spans="20:21">
      <c r="T2841" s="9">
        <v>579.70000000000005</v>
      </c>
      <c r="U2841" s="4">
        <v>2</v>
      </c>
    </row>
    <row r="2842" spans="20:21">
      <c r="T2842" s="9">
        <v>580.20000000000005</v>
      </c>
      <c r="U2842" s="4">
        <v>1</v>
      </c>
    </row>
    <row r="2843" spans="20:21">
      <c r="T2843" s="9">
        <v>580.4</v>
      </c>
      <c r="U2843" s="4">
        <v>1</v>
      </c>
    </row>
    <row r="2844" spans="20:21">
      <c r="T2844" s="9">
        <v>580.70000000000005</v>
      </c>
      <c r="U2844" s="4">
        <v>1</v>
      </c>
    </row>
    <row r="2845" spans="20:21">
      <c r="T2845" s="9">
        <v>580.79999999999995</v>
      </c>
      <c r="U2845" s="4">
        <v>1</v>
      </c>
    </row>
    <row r="2846" spans="20:21">
      <c r="T2846" s="9">
        <v>581</v>
      </c>
      <c r="U2846" s="4">
        <v>1</v>
      </c>
    </row>
    <row r="2847" spans="20:21">
      <c r="T2847" s="9">
        <v>581.1</v>
      </c>
      <c r="U2847" s="4">
        <v>1</v>
      </c>
    </row>
    <row r="2848" spans="20:21">
      <c r="T2848" s="9">
        <v>581.5</v>
      </c>
      <c r="U2848" s="4">
        <v>1</v>
      </c>
    </row>
    <row r="2849" spans="20:21">
      <c r="T2849" s="9">
        <v>581.70000000000005</v>
      </c>
      <c r="U2849" s="4">
        <v>1</v>
      </c>
    </row>
    <row r="2850" spans="20:21">
      <c r="T2850" s="9">
        <v>582</v>
      </c>
      <c r="U2850" s="4">
        <v>1</v>
      </c>
    </row>
    <row r="2851" spans="20:21">
      <c r="T2851" s="9">
        <v>583.20000000000005</v>
      </c>
      <c r="U2851" s="4">
        <v>1</v>
      </c>
    </row>
    <row r="2852" spans="20:21">
      <c r="T2852" s="9">
        <v>583.6</v>
      </c>
      <c r="U2852" s="4">
        <v>2</v>
      </c>
    </row>
    <row r="2853" spans="20:21">
      <c r="T2853" s="9">
        <v>584.1</v>
      </c>
      <c r="U2853" s="4">
        <v>1</v>
      </c>
    </row>
    <row r="2854" spans="20:21">
      <c r="T2854" s="9">
        <v>584.6</v>
      </c>
      <c r="U2854" s="4">
        <v>1</v>
      </c>
    </row>
    <row r="2855" spans="20:21">
      <c r="T2855" s="9">
        <v>584.70000000000005</v>
      </c>
      <c r="U2855" s="4">
        <v>1</v>
      </c>
    </row>
    <row r="2856" spans="20:21">
      <c r="T2856" s="9">
        <v>585.1</v>
      </c>
      <c r="U2856" s="4">
        <v>1</v>
      </c>
    </row>
    <row r="2857" spans="20:21">
      <c r="T2857" s="9">
        <v>585.4</v>
      </c>
      <c r="U2857" s="4">
        <v>1</v>
      </c>
    </row>
    <row r="2858" spans="20:21">
      <c r="T2858" s="9">
        <v>585.9</v>
      </c>
      <c r="U2858" s="4">
        <v>2</v>
      </c>
    </row>
    <row r="2859" spans="20:21">
      <c r="T2859" s="9">
        <v>586.5</v>
      </c>
      <c r="U2859" s="4">
        <v>1</v>
      </c>
    </row>
    <row r="2860" spans="20:21">
      <c r="T2860" s="9">
        <v>586.70000000000005</v>
      </c>
      <c r="U2860" s="4">
        <v>1</v>
      </c>
    </row>
    <row r="2861" spans="20:21">
      <c r="T2861" s="9">
        <v>586.79999999999995</v>
      </c>
      <c r="U2861" s="4">
        <v>1</v>
      </c>
    </row>
    <row r="2862" spans="20:21">
      <c r="T2862" s="9">
        <v>587.1</v>
      </c>
      <c r="U2862" s="4">
        <v>1</v>
      </c>
    </row>
    <row r="2863" spans="20:21">
      <c r="T2863" s="9">
        <v>587.4</v>
      </c>
      <c r="U2863" s="4">
        <v>1</v>
      </c>
    </row>
    <row r="2864" spans="20:21">
      <c r="T2864" s="9">
        <v>588.20000000000005</v>
      </c>
      <c r="U2864" s="4">
        <v>1</v>
      </c>
    </row>
    <row r="2865" spans="20:21">
      <c r="T2865" s="9">
        <v>588.6</v>
      </c>
      <c r="U2865" s="4">
        <v>3</v>
      </c>
    </row>
    <row r="2866" spans="20:21">
      <c r="T2866" s="9">
        <v>588.70000000000005</v>
      </c>
      <c r="U2866" s="4">
        <v>1</v>
      </c>
    </row>
    <row r="2867" spans="20:21">
      <c r="T2867" s="9">
        <v>588.79999999999995</v>
      </c>
      <c r="U2867" s="4">
        <v>1</v>
      </c>
    </row>
    <row r="2868" spans="20:21">
      <c r="T2868" s="9">
        <v>589.5</v>
      </c>
      <c r="U2868" s="4">
        <v>2</v>
      </c>
    </row>
    <row r="2869" spans="20:21">
      <c r="T2869" s="9">
        <v>590.20000000000005</v>
      </c>
      <c r="U2869" s="4">
        <v>1</v>
      </c>
    </row>
    <row r="2870" spans="20:21">
      <c r="T2870" s="9">
        <v>590.6</v>
      </c>
      <c r="U2870" s="4">
        <v>1</v>
      </c>
    </row>
    <row r="2871" spans="20:21">
      <c r="T2871" s="9">
        <v>591</v>
      </c>
      <c r="U2871" s="4">
        <v>1</v>
      </c>
    </row>
    <row r="2872" spans="20:21">
      <c r="T2872" s="9">
        <v>591.4</v>
      </c>
      <c r="U2872" s="4">
        <v>1</v>
      </c>
    </row>
    <row r="2873" spans="20:21">
      <c r="T2873" s="9">
        <v>591.6</v>
      </c>
      <c r="U2873" s="4">
        <v>1</v>
      </c>
    </row>
    <row r="2874" spans="20:21">
      <c r="T2874" s="9">
        <v>592.20000000000005</v>
      </c>
      <c r="U2874" s="4">
        <v>2</v>
      </c>
    </row>
    <row r="2875" spans="20:21">
      <c r="T2875" s="9">
        <v>592.29999999999995</v>
      </c>
      <c r="U2875" s="4">
        <v>1</v>
      </c>
    </row>
    <row r="2876" spans="20:21">
      <c r="T2876" s="9">
        <v>592.4</v>
      </c>
      <c r="U2876" s="4">
        <v>1</v>
      </c>
    </row>
    <row r="2877" spans="20:21">
      <c r="T2877" s="9">
        <v>593.5</v>
      </c>
      <c r="U2877" s="4">
        <v>1</v>
      </c>
    </row>
    <row r="2878" spans="20:21">
      <c r="T2878" s="9">
        <v>593.6</v>
      </c>
      <c r="U2878" s="4">
        <v>2</v>
      </c>
    </row>
    <row r="2879" spans="20:21">
      <c r="T2879" s="9">
        <v>593.70000000000005</v>
      </c>
      <c r="U2879" s="4">
        <v>1</v>
      </c>
    </row>
    <row r="2880" spans="20:21">
      <c r="T2880" s="9">
        <v>594</v>
      </c>
      <c r="U2880" s="4">
        <v>1</v>
      </c>
    </row>
    <row r="2881" spans="20:21">
      <c r="T2881" s="9">
        <v>594.1</v>
      </c>
      <c r="U2881" s="4">
        <v>1</v>
      </c>
    </row>
    <row r="2882" spans="20:21">
      <c r="T2882" s="9">
        <v>594.20000000000005</v>
      </c>
      <c r="U2882" s="4">
        <v>1</v>
      </c>
    </row>
    <row r="2883" spans="20:21">
      <c r="T2883" s="9">
        <v>594.29999999999995</v>
      </c>
      <c r="U2883" s="4">
        <v>2</v>
      </c>
    </row>
    <row r="2884" spans="20:21">
      <c r="T2884" s="9">
        <v>595.29999999999995</v>
      </c>
      <c r="U2884" s="4">
        <v>1</v>
      </c>
    </row>
    <row r="2885" spans="20:21">
      <c r="T2885" s="9">
        <v>595.4</v>
      </c>
      <c r="U2885" s="4">
        <v>1</v>
      </c>
    </row>
    <row r="2886" spans="20:21">
      <c r="T2886" s="9">
        <v>595.5</v>
      </c>
      <c r="U2886" s="4">
        <v>1</v>
      </c>
    </row>
    <row r="2887" spans="20:21">
      <c r="T2887" s="9">
        <v>595.6</v>
      </c>
      <c r="U2887" s="4">
        <v>1</v>
      </c>
    </row>
    <row r="2888" spans="20:21">
      <c r="T2888" s="9">
        <v>595.70000000000005</v>
      </c>
      <c r="U2888" s="4">
        <v>1</v>
      </c>
    </row>
    <row r="2889" spans="20:21">
      <c r="T2889" s="9">
        <v>596.29999999999995</v>
      </c>
      <c r="U2889" s="4">
        <v>1</v>
      </c>
    </row>
    <row r="2890" spans="20:21">
      <c r="T2890" s="9">
        <v>596.6</v>
      </c>
      <c r="U2890" s="4">
        <v>2</v>
      </c>
    </row>
    <row r="2891" spans="20:21">
      <c r="T2891" s="9">
        <v>597.20000000000005</v>
      </c>
      <c r="U2891" s="4">
        <v>1</v>
      </c>
    </row>
    <row r="2892" spans="20:21">
      <c r="T2892" s="9">
        <v>597.6</v>
      </c>
      <c r="U2892" s="4">
        <v>1</v>
      </c>
    </row>
    <row r="2893" spans="20:21">
      <c r="T2893" s="9">
        <v>598.20000000000005</v>
      </c>
      <c r="U2893" s="4">
        <v>2</v>
      </c>
    </row>
    <row r="2894" spans="20:21">
      <c r="T2894" s="9">
        <v>598.29999999999995</v>
      </c>
      <c r="U2894" s="4">
        <v>1</v>
      </c>
    </row>
    <row r="2895" spans="20:21">
      <c r="T2895" s="9">
        <v>598.5</v>
      </c>
      <c r="U2895" s="4">
        <v>1</v>
      </c>
    </row>
    <row r="2896" spans="20:21">
      <c r="T2896" s="9">
        <v>598.6</v>
      </c>
      <c r="U2896" s="4">
        <v>1</v>
      </c>
    </row>
    <row r="2897" spans="20:21">
      <c r="T2897" s="9">
        <v>598.79999999999995</v>
      </c>
      <c r="U2897" s="4">
        <v>1</v>
      </c>
    </row>
    <row r="2898" spans="20:21">
      <c r="T2898" s="9">
        <v>599.70000000000005</v>
      </c>
      <c r="U2898" s="4">
        <v>1</v>
      </c>
    </row>
    <row r="2899" spans="20:21">
      <c r="T2899" s="9">
        <v>599.9</v>
      </c>
      <c r="U2899" s="4">
        <v>1</v>
      </c>
    </row>
    <row r="2900" spans="20:21">
      <c r="T2900" s="9">
        <v>600.1</v>
      </c>
      <c r="U2900" s="4">
        <v>1</v>
      </c>
    </row>
    <row r="2901" spans="20:21">
      <c r="T2901" s="9">
        <v>600.20000000000005</v>
      </c>
      <c r="U2901" s="4">
        <v>1</v>
      </c>
    </row>
    <row r="2902" spans="20:21">
      <c r="T2902" s="9">
        <v>600.29999999999995</v>
      </c>
      <c r="U2902" s="4">
        <v>1</v>
      </c>
    </row>
    <row r="2903" spans="20:21">
      <c r="T2903" s="9">
        <v>600.5</v>
      </c>
      <c r="U2903" s="4">
        <v>1</v>
      </c>
    </row>
    <row r="2904" spans="20:21">
      <c r="T2904" s="9">
        <v>600.6</v>
      </c>
      <c r="U2904" s="4">
        <v>1</v>
      </c>
    </row>
    <row r="2905" spans="20:21">
      <c r="T2905" s="9">
        <v>600.79999999999995</v>
      </c>
      <c r="U2905" s="4">
        <v>2</v>
      </c>
    </row>
    <row r="2906" spans="20:21">
      <c r="T2906" s="9">
        <v>601</v>
      </c>
      <c r="U2906" s="4">
        <v>2</v>
      </c>
    </row>
    <row r="2907" spans="20:21">
      <c r="T2907" s="9">
        <v>601.20000000000005</v>
      </c>
      <c r="U2907" s="4">
        <v>1</v>
      </c>
    </row>
    <row r="2908" spans="20:21">
      <c r="T2908" s="9">
        <v>601.70000000000005</v>
      </c>
      <c r="U2908" s="4">
        <v>1</v>
      </c>
    </row>
    <row r="2909" spans="20:21">
      <c r="T2909" s="9">
        <v>601.9</v>
      </c>
      <c r="U2909" s="4">
        <v>1</v>
      </c>
    </row>
    <row r="2910" spans="20:21">
      <c r="T2910" s="9">
        <v>602.29999999999995</v>
      </c>
      <c r="U2910" s="4">
        <v>1</v>
      </c>
    </row>
    <row r="2911" spans="20:21">
      <c r="T2911" s="9">
        <v>602.4</v>
      </c>
      <c r="U2911" s="4">
        <v>1</v>
      </c>
    </row>
    <row r="2912" spans="20:21">
      <c r="T2912" s="9">
        <v>602.6</v>
      </c>
      <c r="U2912" s="4">
        <v>1</v>
      </c>
    </row>
    <row r="2913" spans="20:21">
      <c r="T2913" s="9">
        <v>603.20000000000005</v>
      </c>
      <c r="U2913" s="4">
        <v>1</v>
      </c>
    </row>
    <row r="2914" spans="20:21">
      <c r="T2914" s="9">
        <v>603.4</v>
      </c>
      <c r="U2914" s="4">
        <v>1</v>
      </c>
    </row>
    <row r="2915" spans="20:21">
      <c r="T2915" s="9">
        <v>604</v>
      </c>
      <c r="U2915" s="4">
        <v>1</v>
      </c>
    </row>
    <row r="2916" spans="20:21">
      <c r="T2916" s="9">
        <v>604.1</v>
      </c>
      <c r="U2916" s="4">
        <v>1</v>
      </c>
    </row>
    <row r="2917" spans="20:21">
      <c r="T2917" s="9">
        <v>605.1</v>
      </c>
      <c r="U2917" s="4">
        <v>1</v>
      </c>
    </row>
    <row r="2918" spans="20:21">
      <c r="T2918" s="9">
        <v>605.29999999999995</v>
      </c>
      <c r="U2918" s="4">
        <v>1</v>
      </c>
    </row>
    <row r="2919" spans="20:21">
      <c r="T2919" s="9">
        <v>605.4</v>
      </c>
      <c r="U2919" s="4">
        <v>1</v>
      </c>
    </row>
    <row r="2920" spans="20:21">
      <c r="T2920" s="9">
        <v>605.5</v>
      </c>
      <c r="U2920" s="4">
        <v>1</v>
      </c>
    </row>
    <row r="2921" spans="20:21">
      <c r="T2921" s="9">
        <v>606.29999999999995</v>
      </c>
      <c r="U2921" s="4">
        <v>2</v>
      </c>
    </row>
    <row r="2922" spans="20:21">
      <c r="T2922" s="9">
        <v>606.6</v>
      </c>
      <c r="U2922" s="4">
        <v>1</v>
      </c>
    </row>
    <row r="2923" spans="20:21">
      <c r="T2923" s="9">
        <v>607</v>
      </c>
      <c r="U2923" s="4">
        <v>1</v>
      </c>
    </row>
    <row r="2924" spans="20:21">
      <c r="T2924" s="9">
        <v>607.1</v>
      </c>
      <c r="U2924" s="4">
        <v>1</v>
      </c>
    </row>
    <row r="2925" spans="20:21">
      <c r="T2925" s="9">
        <v>607.20000000000005</v>
      </c>
      <c r="U2925" s="4">
        <v>1</v>
      </c>
    </row>
    <row r="2926" spans="20:21">
      <c r="T2926" s="9">
        <v>608</v>
      </c>
      <c r="U2926" s="4">
        <v>2</v>
      </c>
    </row>
    <row r="2927" spans="20:21">
      <c r="T2927" s="9">
        <v>608.79999999999995</v>
      </c>
      <c r="U2927" s="4">
        <v>1</v>
      </c>
    </row>
    <row r="2928" spans="20:21">
      <c r="T2928" s="9">
        <v>609</v>
      </c>
      <c r="U2928" s="4">
        <v>1</v>
      </c>
    </row>
    <row r="2929" spans="20:21">
      <c r="T2929" s="9">
        <v>609.1</v>
      </c>
      <c r="U2929" s="4">
        <v>1</v>
      </c>
    </row>
    <row r="2930" spans="20:21">
      <c r="T2930" s="9">
        <v>609.29999999999995</v>
      </c>
      <c r="U2930" s="4">
        <v>1</v>
      </c>
    </row>
    <row r="2931" spans="20:21">
      <c r="T2931" s="9">
        <v>610.20000000000005</v>
      </c>
      <c r="U2931" s="4">
        <v>1</v>
      </c>
    </row>
    <row r="2932" spans="20:21">
      <c r="T2932" s="9">
        <v>610.4</v>
      </c>
      <c r="U2932" s="4">
        <v>1</v>
      </c>
    </row>
    <row r="2933" spans="20:21">
      <c r="T2933" s="9">
        <v>610.5</v>
      </c>
      <c r="U2933" s="4">
        <v>1</v>
      </c>
    </row>
    <row r="2934" spans="20:21">
      <c r="T2934" s="9">
        <v>610.6</v>
      </c>
      <c r="U2934" s="4">
        <v>2</v>
      </c>
    </row>
    <row r="2935" spans="20:21">
      <c r="T2935" s="9">
        <v>610.9</v>
      </c>
      <c r="U2935" s="4">
        <v>1</v>
      </c>
    </row>
    <row r="2936" spans="20:21">
      <c r="T2936" s="9">
        <v>611</v>
      </c>
      <c r="U2936" s="4">
        <v>2</v>
      </c>
    </row>
    <row r="2937" spans="20:21">
      <c r="T2937" s="9">
        <v>611.4</v>
      </c>
      <c r="U2937" s="4">
        <v>1</v>
      </c>
    </row>
    <row r="2938" spans="20:21">
      <c r="T2938" s="9">
        <v>611.5</v>
      </c>
      <c r="U2938" s="4">
        <v>2</v>
      </c>
    </row>
    <row r="2939" spans="20:21">
      <c r="T2939" s="9">
        <v>612.20000000000005</v>
      </c>
      <c r="U2939" s="4">
        <v>1</v>
      </c>
    </row>
    <row r="2940" spans="20:21">
      <c r="T2940" s="9">
        <v>612.70000000000005</v>
      </c>
      <c r="U2940" s="4">
        <v>1</v>
      </c>
    </row>
    <row r="2941" spans="20:21">
      <c r="T2941" s="9">
        <v>613.4</v>
      </c>
      <c r="U2941" s="4">
        <v>1</v>
      </c>
    </row>
    <row r="2942" spans="20:21">
      <c r="T2942" s="9">
        <v>614.1</v>
      </c>
      <c r="U2942" s="4">
        <v>1</v>
      </c>
    </row>
    <row r="2943" spans="20:21">
      <c r="T2943" s="9">
        <v>614.20000000000005</v>
      </c>
      <c r="U2943" s="4">
        <v>1</v>
      </c>
    </row>
    <row r="2944" spans="20:21">
      <c r="T2944" s="9">
        <v>614.4</v>
      </c>
      <c r="U2944" s="4">
        <v>1</v>
      </c>
    </row>
    <row r="2945" spans="20:21">
      <c r="T2945" s="9">
        <v>615.20000000000005</v>
      </c>
      <c r="U2945" s="4">
        <v>1</v>
      </c>
    </row>
    <row r="2946" spans="20:21">
      <c r="T2946" s="9">
        <v>615.29999999999995</v>
      </c>
      <c r="U2946" s="4">
        <v>1</v>
      </c>
    </row>
    <row r="2947" spans="20:21">
      <c r="T2947" s="9">
        <v>615.4</v>
      </c>
      <c r="U2947" s="4">
        <v>1</v>
      </c>
    </row>
    <row r="2948" spans="20:21">
      <c r="T2948" s="9">
        <v>616.20000000000005</v>
      </c>
      <c r="U2948" s="4">
        <v>1</v>
      </c>
    </row>
    <row r="2949" spans="20:21">
      <c r="T2949" s="9">
        <v>616.4</v>
      </c>
      <c r="U2949" s="4">
        <v>1</v>
      </c>
    </row>
    <row r="2950" spans="20:21">
      <c r="T2950" s="9">
        <v>616.70000000000005</v>
      </c>
      <c r="U2950" s="4">
        <v>1</v>
      </c>
    </row>
    <row r="2951" spans="20:21">
      <c r="T2951" s="9">
        <v>617.1</v>
      </c>
      <c r="U2951" s="4">
        <v>1</v>
      </c>
    </row>
    <row r="2952" spans="20:21">
      <c r="T2952" s="9">
        <v>617.6</v>
      </c>
      <c r="U2952" s="4">
        <v>1</v>
      </c>
    </row>
    <row r="2953" spans="20:21">
      <c r="T2953" s="9">
        <v>618</v>
      </c>
      <c r="U2953" s="4">
        <v>1</v>
      </c>
    </row>
    <row r="2954" spans="20:21">
      <c r="T2954" s="9">
        <v>618.20000000000005</v>
      </c>
      <c r="U2954" s="4">
        <v>1</v>
      </c>
    </row>
    <row r="2955" spans="20:21">
      <c r="T2955" s="9">
        <v>618.29999999999995</v>
      </c>
      <c r="U2955" s="4">
        <v>1</v>
      </c>
    </row>
    <row r="2956" spans="20:21">
      <c r="T2956" s="9">
        <v>618.4</v>
      </c>
      <c r="U2956" s="4">
        <v>1</v>
      </c>
    </row>
    <row r="2957" spans="20:21">
      <c r="T2957" s="9">
        <v>618.5</v>
      </c>
      <c r="U2957" s="4">
        <v>1</v>
      </c>
    </row>
    <row r="2958" spans="20:21">
      <c r="T2958" s="9">
        <v>618.6</v>
      </c>
      <c r="U2958" s="4">
        <v>1</v>
      </c>
    </row>
    <row r="2959" spans="20:21">
      <c r="T2959" s="9">
        <v>619.1</v>
      </c>
      <c r="U2959" s="4">
        <v>1</v>
      </c>
    </row>
    <row r="2960" spans="20:21">
      <c r="T2960" s="9">
        <v>619.20000000000005</v>
      </c>
      <c r="U2960" s="4">
        <v>1</v>
      </c>
    </row>
    <row r="2961" spans="20:21">
      <c r="T2961" s="9">
        <v>619.5</v>
      </c>
      <c r="U2961" s="4">
        <v>1</v>
      </c>
    </row>
    <row r="2962" spans="20:21">
      <c r="T2962" s="9">
        <v>620</v>
      </c>
      <c r="U2962" s="4">
        <v>1</v>
      </c>
    </row>
    <row r="2963" spans="20:21">
      <c r="T2963" s="9">
        <v>620.20000000000005</v>
      </c>
      <c r="U2963" s="4">
        <v>1</v>
      </c>
    </row>
    <row r="2964" spans="20:21">
      <c r="T2964" s="9">
        <v>620.5</v>
      </c>
      <c r="U2964" s="4">
        <v>1</v>
      </c>
    </row>
    <row r="2965" spans="20:21">
      <c r="T2965" s="9">
        <v>620.6</v>
      </c>
      <c r="U2965" s="4">
        <v>1</v>
      </c>
    </row>
    <row r="2966" spans="20:21">
      <c r="T2966" s="9">
        <v>620.9</v>
      </c>
      <c r="U2966" s="4">
        <v>1</v>
      </c>
    </row>
    <row r="2967" spans="20:21">
      <c r="T2967" s="9">
        <v>621.29999999999995</v>
      </c>
      <c r="U2967" s="4">
        <v>1</v>
      </c>
    </row>
    <row r="2968" spans="20:21">
      <c r="T2968" s="9">
        <v>621.4</v>
      </c>
      <c r="U2968" s="4">
        <v>1</v>
      </c>
    </row>
    <row r="2969" spans="20:21">
      <c r="T2969" s="9">
        <v>621.9</v>
      </c>
      <c r="U2969" s="4">
        <v>2</v>
      </c>
    </row>
    <row r="2970" spans="20:21">
      <c r="T2970" s="9">
        <v>622</v>
      </c>
      <c r="U2970" s="4">
        <v>1</v>
      </c>
    </row>
    <row r="2971" spans="20:21">
      <c r="T2971" s="9">
        <v>622.70000000000005</v>
      </c>
      <c r="U2971" s="4">
        <v>1</v>
      </c>
    </row>
    <row r="2972" spans="20:21">
      <c r="T2972" s="9">
        <v>623.79999999999995</v>
      </c>
      <c r="U2972" s="4">
        <v>1</v>
      </c>
    </row>
    <row r="2973" spans="20:21">
      <c r="T2973" s="9">
        <v>624</v>
      </c>
      <c r="U2973" s="4">
        <v>1</v>
      </c>
    </row>
    <row r="2974" spans="20:21">
      <c r="T2974" s="9">
        <v>624.70000000000005</v>
      </c>
      <c r="U2974" s="4">
        <v>1</v>
      </c>
    </row>
    <row r="2975" spans="20:21">
      <c r="T2975" s="9">
        <v>625.5</v>
      </c>
      <c r="U2975" s="4">
        <v>1</v>
      </c>
    </row>
    <row r="2976" spans="20:21">
      <c r="T2976" s="9">
        <v>625.70000000000005</v>
      </c>
      <c r="U2976" s="4">
        <v>1</v>
      </c>
    </row>
    <row r="2977" spans="20:21">
      <c r="T2977" s="9">
        <v>626.20000000000005</v>
      </c>
      <c r="U2977" s="4">
        <v>1</v>
      </c>
    </row>
    <row r="2978" spans="20:21">
      <c r="T2978" s="9">
        <v>626.4</v>
      </c>
      <c r="U2978" s="4">
        <v>1</v>
      </c>
    </row>
    <row r="2979" spans="20:21">
      <c r="T2979" s="9">
        <v>626.5</v>
      </c>
      <c r="U2979" s="4">
        <v>1</v>
      </c>
    </row>
    <row r="2980" spans="20:21">
      <c r="T2980" s="9">
        <v>626.70000000000005</v>
      </c>
      <c r="U2980" s="4">
        <v>1</v>
      </c>
    </row>
    <row r="2981" spans="20:21">
      <c r="T2981" s="9">
        <v>627</v>
      </c>
      <c r="U2981" s="4">
        <v>1</v>
      </c>
    </row>
    <row r="2982" spans="20:21">
      <c r="T2982" s="9">
        <v>627.6</v>
      </c>
      <c r="U2982" s="4">
        <v>1</v>
      </c>
    </row>
    <row r="2983" spans="20:21">
      <c r="T2983" s="9">
        <v>628</v>
      </c>
      <c r="U2983" s="4">
        <v>1</v>
      </c>
    </row>
    <row r="2984" spans="20:21">
      <c r="T2984" s="9">
        <v>628.6</v>
      </c>
      <c r="U2984" s="4">
        <v>2</v>
      </c>
    </row>
    <row r="2985" spans="20:21">
      <c r="T2985" s="9">
        <v>629.29999999999995</v>
      </c>
      <c r="U2985" s="4">
        <v>1</v>
      </c>
    </row>
    <row r="2986" spans="20:21">
      <c r="T2986" s="9">
        <v>629.79999999999995</v>
      </c>
      <c r="U2986" s="4">
        <v>1</v>
      </c>
    </row>
    <row r="2987" spans="20:21">
      <c r="T2987" s="9">
        <v>630.29999999999995</v>
      </c>
      <c r="U2987" s="4">
        <v>1</v>
      </c>
    </row>
    <row r="2988" spans="20:21">
      <c r="T2988" s="9">
        <v>630.4</v>
      </c>
      <c r="U2988" s="4">
        <v>1</v>
      </c>
    </row>
    <row r="2989" spans="20:21">
      <c r="T2989" s="9">
        <v>630.5</v>
      </c>
      <c r="U2989" s="4">
        <v>2</v>
      </c>
    </row>
    <row r="2990" spans="20:21">
      <c r="T2990" s="9">
        <v>630.70000000000005</v>
      </c>
      <c r="U2990" s="4">
        <v>1</v>
      </c>
    </row>
    <row r="2991" spans="20:21">
      <c r="T2991" s="9">
        <v>631</v>
      </c>
      <c r="U2991" s="4">
        <v>1</v>
      </c>
    </row>
    <row r="2992" spans="20:21">
      <c r="T2992" s="9">
        <v>631.1</v>
      </c>
      <c r="U2992" s="4">
        <v>1</v>
      </c>
    </row>
    <row r="2993" spans="20:21">
      <c r="T2993" s="9">
        <v>631.9</v>
      </c>
      <c r="U2993" s="4">
        <v>2</v>
      </c>
    </row>
    <row r="2994" spans="20:21">
      <c r="T2994" s="9">
        <v>632</v>
      </c>
      <c r="U2994" s="4">
        <v>1</v>
      </c>
    </row>
    <row r="2995" spans="20:21">
      <c r="T2995" s="9">
        <v>632.79999999999995</v>
      </c>
      <c r="U2995" s="4">
        <v>1</v>
      </c>
    </row>
    <row r="2996" spans="20:21">
      <c r="T2996" s="9">
        <v>633.4</v>
      </c>
      <c r="U2996" s="4">
        <v>1</v>
      </c>
    </row>
    <row r="2997" spans="20:21">
      <c r="T2997" s="9">
        <v>633.5</v>
      </c>
      <c r="U2997" s="4">
        <v>1</v>
      </c>
    </row>
    <row r="2998" spans="20:21">
      <c r="T2998" s="9">
        <v>633.79999999999995</v>
      </c>
      <c r="U2998" s="4">
        <v>2</v>
      </c>
    </row>
    <row r="2999" spans="20:21">
      <c r="T2999" s="9">
        <v>634.5</v>
      </c>
      <c r="U2999" s="4">
        <v>1</v>
      </c>
    </row>
    <row r="3000" spans="20:21">
      <c r="T3000" s="9">
        <v>634.70000000000005</v>
      </c>
      <c r="U3000" s="4">
        <v>1</v>
      </c>
    </row>
    <row r="3001" spans="20:21">
      <c r="T3001" s="9">
        <v>635</v>
      </c>
      <c r="U3001" s="4">
        <v>1</v>
      </c>
    </row>
    <row r="3002" spans="20:21">
      <c r="T3002" s="9">
        <v>635.5</v>
      </c>
      <c r="U3002" s="4">
        <v>1</v>
      </c>
    </row>
    <row r="3003" spans="20:21">
      <c r="T3003" s="9">
        <v>636</v>
      </c>
      <c r="U3003" s="4">
        <v>1</v>
      </c>
    </row>
    <row r="3004" spans="20:21">
      <c r="T3004" s="9">
        <v>636.20000000000005</v>
      </c>
      <c r="U3004" s="4">
        <v>1</v>
      </c>
    </row>
    <row r="3005" spans="20:21">
      <c r="T3005" s="9">
        <v>636.4</v>
      </c>
      <c r="U3005" s="4">
        <v>1</v>
      </c>
    </row>
    <row r="3006" spans="20:21">
      <c r="T3006" s="9">
        <v>636.79999999999995</v>
      </c>
      <c r="U3006" s="4">
        <v>1</v>
      </c>
    </row>
    <row r="3007" spans="20:21">
      <c r="T3007" s="9">
        <v>637</v>
      </c>
      <c r="U3007" s="4">
        <v>1</v>
      </c>
    </row>
    <row r="3008" spans="20:21">
      <c r="T3008" s="9">
        <v>637.1</v>
      </c>
      <c r="U3008" s="4">
        <v>2</v>
      </c>
    </row>
    <row r="3009" spans="20:21">
      <c r="T3009" s="9">
        <v>637.29999999999995</v>
      </c>
      <c r="U3009" s="4">
        <v>1</v>
      </c>
    </row>
    <row r="3010" spans="20:21">
      <c r="T3010" s="9">
        <v>637.6</v>
      </c>
      <c r="U3010" s="4">
        <v>1</v>
      </c>
    </row>
    <row r="3011" spans="20:21">
      <c r="T3011" s="9">
        <v>638.1</v>
      </c>
      <c r="U3011" s="4">
        <v>1</v>
      </c>
    </row>
    <row r="3012" spans="20:21">
      <c r="T3012" s="9">
        <v>638.20000000000005</v>
      </c>
      <c r="U3012" s="4">
        <v>1</v>
      </c>
    </row>
    <row r="3013" spans="20:21">
      <c r="T3013" s="9">
        <v>638.70000000000005</v>
      </c>
      <c r="U3013" s="4">
        <v>1</v>
      </c>
    </row>
    <row r="3014" spans="20:21">
      <c r="T3014" s="9">
        <v>639.5</v>
      </c>
      <c r="U3014" s="4">
        <v>1</v>
      </c>
    </row>
    <row r="3015" spans="20:21">
      <c r="T3015" s="9">
        <v>639.6</v>
      </c>
      <c r="U3015" s="4">
        <v>1</v>
      </c>
    </row>
    <row r="3016" spans="20:21">
      <c r="T3016" s="9">
        <v>640.1</v>
      </c>
      <c r="U3016" s="4">
        <v>2</v>
      </c>
    </row>
    <row r="3017" spans="20:21">
      <c r="T3017" s="9">
        <v>640.20000000000005</v>
      </c>
      <c r="U3017" s="4">
        <v>1</v>
      </c>
    </row>
    <row r="3018" spans="20:21">
      <c r="T3018" s="9">
        <v>640.4</v>
      </c>
      <c r="U3018" s="4">
        <v>1</v>
      </c>
    </row>
    <row r="3019" spans="20:21">
      <c r="T3019" s="9">
        <v>640.6</v>
      </c>
      <c r="U3019" s="4">
        <v>1</v>
      </c>
    </row>
    <row r="3020" spans="20:21">
      <c r="T3020" s="9">
        <v>641.29999999999995</v>
      </c>
      <c r="U3020" s="4">
        <v>1</v>
      </c>
    </row>
    <row r="3021" spans="20:21">
      <c r="T3021" s="9">
        <v>641.5</v>
      </c>
      <c r="U3021" s="4">
        <v>2</v>
      </c>
    </row>
    <row r="3022" spans="20:21">
      <c r="T3022" s="9">
        <v>641.6</v>
      </c>
      <c r="U3022" s="4">
        <v>1</v>
      </c>
    </row>
    <row r="3023" spans="20:21">
      <c r="T3023" s="9">
        <v>642.1</v>
      </c>
      <c r="U3023" s="4">
        <v>1</v>
      </c>
    </row>
    <row r="3024" spans="20:21">
      <c r="T3024" s="9">
        <v>642.9</v>
      </c>
      <c r="U3024" s="4">
        <v>1</v>
      </c>
    </row>
    <row r="3025" spans="20:21">
      <c r="T3025" s="9">
        <v>643</v>
      </c>
      <c r="U3025" s="4">
        <v>1</v>
      </c>
    </row>
    <row r="3026" spans="20:21">
      <c r="T3026" s="9">
        <v>643.70000000000005</v>
      </c>
      <c r="U3026" s="4">
        <v>1</v>
      </c>
    </row>
    <row r="3027" spans="20:21">
      <c r="T3027" s="9">
        <v>644.4</v>
      </c>
      <c r="U3027" s="4">
        <v>1</v>
      </c>
    </row>
    <row r="3028" spans="20:21">
      <c r="T3028" s="9">
        <v>644.6</v>
      </c>
      <c r="U3028" s="4">
        <v>1</v>
      </c>
    </row>
    <row r="3029" spans="20:21">
      <c r="T3029" s="9">
        <v>645</v>
      </c>
      <c r="U3029" s="4">
        <v>1</v>
      </c>
    </row>
    <row r="3030" spans="20:21">
      <c r="T3030" s="9">
        <v>645.4</v>
      </c>
      <c r="U3030" s="4">
        <v>1</v>
      </c>
    </row>
    <row r="3031" spans="20:21">
      <c r="T3031" s="9">
        <v>645.70000000000005</v>
      </c>
      <c r="U3031" s="4">
        <v>1</v>
      </c>
    </row>
    <row r="3032" spans="20:21">
      <c r="T3032" s="9">
        <v>645.79999999999995</v>
      </c>
      <c r="U3032" s="4">
        <v>1</v>
      </c>
    </row>
    <row r="3033" spans="20:21">
      <c r="T3033" s="9">
        <v>646.5</v>
      </c>
      <c r="U3033" s="4">
        <v>2</v>
      </c>
    </row>
    <row r="3034" spans="20:21">
      <c r="T3034" s="9">
        <v>647.20000000000005</v>
      </c>
      <c r="U3034" s="4">
        <v>1</v>
      </c>
    </row>
    <row r="3035" spans="20:21">
      <c r="T3035" s="9">
        <v>647.29999999999995</v>
      </c>
      <c r="U3035" s="4">
        <v>1</v>
      </c>
    </row>
    <row r="3036" spans="20:21">
      <c r="T3036" s="9">
        <v>647.5</v>
      </c>
      <c r="U3036" s="4">
        <v>1</v>
      </c>
    </row>
    <row r="3037" spans="20:21">
      <c r="T3037" s="9">
        <v>647.6</v>
      </c>
      <c r="U3037" s="4">
        <v>1</v>
      </c>
    </row>
    <row r="3038" spans="20:21">
      <c r="T3038" s="9">
        <v>648</v>
      </c>
      <c r="U3038" s="4">
        <v>1</v>
      </c>
    </row>
    <row r="3039" spans="20:21">
      <c r="T3039" s="9">
        <v>648.4</v>
      </c>
      <c r="U3039" s="4">
        <v>1</v>
      </c>
    </row>
    <row r="3040" spans="20:21">
      <c r="T3040" s="9">
        <v>649.20000000000005</v>
      </c>
      <c r="U3040" s="4">
        <v>2</v>
      </c>
    </row>
    <row r="3041" spans="20:21">
      <c r="T3041" s="9">
        <v>650</v>
      </c>
      <c r="U3041" s="4">
        <v>1</v>
      </c>
    </row>
    <row r="3042" spans="20:21">
      <c r="T3042" s="9">
        <v>650.20000000000005</v>
      </c>
      <c r="U3042" s="4">
        <v>1</v>
      </c>
    </row>
    <row r="3043" spans="20:21">
      <c r="T3043" s="9">
        <v>650.29999999999995</v>
      </c>
      <c r="U3043" s="4">
        <v>1</v>
      </c>
    </row>
    <row r="3044" spans="20:21">
      <c r="T3044" s="9">
        <v>650.70000000000005</v>
      </c>
      <c r="U3044" s="4">
        <v>1</v>
      </c>
    </row>
    <row r="3045" spans="20:21">
      <c r="T3045" s="9">
        <v>651.20000000000005</v>
      </c>
      <c r="U3045" s="4">
        <v>1</v>
      </c>
    </row>
    <row r="3046" spans="20:21">
      <c r="T3046" s="9">
        <v>651.5</v>
      </c>
      <c r="U3046" s="4">
        <v>1</v>
      </c>
    </row>
    <row r="3047" spans="20:21">
      <c r="T3047" s="9">
        <v>651.70000000000005</v>
      </c>
      <c r="U3047" s="4">
        <v>1</v>
      </c>
    </row>
    <row r="3048" spans="20:21">
      <c r="T3048" s="9">
        <v>652</v>
      </c>
      <c r="U3048" s="4">
        <v>1</v>
      </c>
    </row>
    <row r="3049" spans="20:21">
      <c r="T3049" s="9">
        <v>652.5</v>
      </c>
      <c r="U3049" s="4">
        <v>1</v>
      </c>
    </row>
    <row r="3050" spans="20:21">
      <c r="T3050" s="9">
        <v>653.1</v>
      </c>
      <c r="U3050" s="4">
        <v>1</v>
      </c>
    </row>
    <row r="3051" spans="20:21">
      <c r="T3051" s="9">
        <v>654.4</v>
      </c>
      <c r="U3051" s="4">
        <v>1</v>
      </c>
    </row>
    <row r="3052" spans="20:21">
      <c r="T3052" s="9">
        <v>654.5</v>
      </c>
      <c r="U3052" s="4">
        <v>1</v>
      </c>
    </row>
    <row r="3053" spans="20:21">
      <c r="T3053" s="9">
        <v>654.70000000000005</v>
      </c>
      <c r="U3053" s="4">
        <v>1</v>
      </c>
    </row>
    <row r="3054" spans="20:21">
      <c r="T3054" s="9">
        <v>655.6</v>
      </c>
      <c r="U3054" s="4">
        <v>1</v>
      </c>
    </row>
    <row r="3055" spans="20:21">
      <c r="T3055" s="9">
        <v>656.1</v>
      </c>
      <c r="U3055" s="4">
        <v>1</v>
      </c>
    </row>
    <row r="3056" spans="20:21">
      <c r="T3056" s="9">
        <v>656.8</v>
      </c>
      <c r="U3056" s="4">
        <v>2</v>
      </c>
    </row>
    <row r="3057" spans="20:21">
      <c r="T3057" s="9">
        <v>657</v>
      </c>
      <c r="U3057" s="4">
        <v>1</v>
      </c>
    </row>
    <row r="3058" spans="20:21">
      <c r="T3058" s="9">
        <v>657.1</v>
      </c>
      <c r="U3058" s="4">
        <v>1</v>
      </c>
    </row>
    <row r="3059" spans="20:21">
      <c r="T3059" s="9">
        <v>658.4</v>
      </c>
      <c r="U3059" s="4">
        <v>1</v>
      </c>
    </row>
    <row r="3060" spans="20:21">
      <c r="T3060" s="9">
        <v>659</v>
      </c>
      <c r="U3060" s="4">
        <v>1</v>
      </c>
    </row>
    <row r="3061" spans="20:21">
      <c r="T3061" s="9">
        <v>659.1</v>
      </c>
      <c r="U3061" s="4">
        <v>1</v>
      </c>
    </row>
    <row r="3062" spans="20:21">
      <c r="T3062" s="9">
        <v>659.9</v>
      </c>
      <c r="U3062" s="4">
        <v>3</v>
      </c>
    </row>
    <row r="3063" spans="20:21">
      <c r="T3063" s="9">
        <v>660.1</v>
      </c>
      <c r="U3063" s="4">
        <v>1</v>
      </c>
    </row>
    <row r="3064" spans="20:21">
      <c r="T3064" s="9">
        <v>660.7</v>
      </c>
      <c r="U3064" s="4">
        <v>1</v>
      </c>
    </row>
    <row r="3065" spans="20:21">
      <c r="T3065" s="9">
        <v>660.8</v>
      </c>
      <c r="U3065" s="4">
        <v>1</v>
      </c>
    </row>
    <row r="3066" spans="20:21">
      <c r="T3066" s="9">
        <v>660.9</v>
      </c>
      <c r="U3066" s="4">
        <v>1</v>
      </c>
    </row>
    <row r="3067" spans="20:21">
      <c r="T3067" s="9">
        <v>661.2</v>
      </c>
      <c r="U3067" s="4">
        <v>1</v>
      </c>
    </row>
    <row r="3068" spans="20:21">
      <c r="T3068" s="9">
        <v>661.9</v>
      </c>
      <c r="U3068" s="4">
        <v>1</v>
      </c>
    </row>
    <row r="3069" spans="20:21">
      <c r="T3069" s="9">
        <v>662.7</v>
      </c>
      <c r="U3069" s="4">
        <v>1</v>
      </c>
    </row>
    <row r="3070" spans="20:21">
      <c r="T3070" s="9">
        <v>663</v>
      </c>
      <c r="U3070" s="4">
        <v>1</v>
      </c>
    </row>
    <row r="3071" spans="20:21">
      <c r="T3071" s="9">
        <v>663.3</v>
      </c>
      <c r="U3071" s="4">
        <v>1</v>
      </c>
    </row>
    <row r="3072" spans="20:21">
      <c r="T3072" s="9">
        <v>663.4</v>
      </c>
      <c r="U3072" s="4">
        <v>2</v>
      </c>
    </row>
    <row r="3073" spans="20:21">
      <c r="T3073" s="9">
        <v>663.8</v>
      </c>
      <c r="U3073" s="4">
        <v>1</v>
      </c>
    </row>
    <row r="3074" spans="20:21">
      <c r="T3074" s="9">
        <v>664.4</v>
      </c>
      <c r="U3074" s="4">
        <v>1</v>
      </c>
    </row>
    <row r="3075" spans="20:21">
      <c r="T3075" s="9">
        <v>667</v>
      </c>
      <c r="U3075" s="4">
        <v>1</v>
      </c>
    </row>
    <row r="3076" spans="20:21">
      <c r="T3076" s="9">
        <v>667.1</v>
      </c>
      <c r="U3076" s="4">
        <v>1</v>
      </c>
    </row>
    <row r="3077" spans="20:21">
      <c r="T3077" s="9">
        <v>667.2</v>
      </c>
      <c r="U3077" s="4">
        <v>1</v>
      </c>
    </row>
    <row r="3078" spans="20:21">
      <c r="T3078" s="9">
        <v>667.6</v>
      </c>
      <c r="U3078" s="4">
        <v>1</v>
      </c>
    </row>
    <row r="3079" spans="20:21">
      <c r="T3079" s="9">
        <v>668.4</v>
      </c>
      <c r="U3079" s="4">
        <v>1</v>
      </c>
    </row>
    <row r="3080" spans="20:21">
      <c r="T3080" s="9">
        <v>668.5</v>
      </c>
      <c r="U3080" s="4">
        <v>1</v>
      </c>
    </row>
    <row r="3081" spans="20:21">
      <c r="T3081" s="9">
        <v>669.5</v>
      </c>
      <c r="U3081" s="4">
        <v>1</v>
      </c>
    </row>
    <row r="3082" spans="20:21">
      <c r="T3082" s="9">
        <v>669.6</v>
      </c>
      <c r="U3082" s="4">
        <v>1</v>
      </c>
    </row>
    <row r="3083" spans="20:21">
      <c r="T3083" s="9">
        <v>670.2</v>
      </c>
      <c r="U3083" s="4">
        <v>2</v>
      </c>
    </row>
    <row r="3084" spans="20:21">
      <c r="T3084" s="9">
        <v>670.6</v>
      </c>
      <c r="U3084" s="4">
        <v>2</v>
      </c>
    </row>
    <row r="3085" spans="20:21">
      <c r="T3085" s="9">
        <v>670.7</v>
      </c>
      <c r="U3085" s="4">
        <v>1</v>
      </c>
    </row>
    <row r="3086" spans="20:21">
      <c r="T3086" s="9">
        <v>671.5</v>
      </c>
      <c r="U3086" s="4">
        <v>1</v>
      </c>
    </row>
    <row r="3087" spans="20:21">
      <c r="T3087" s="9">
        <v>671.8</v>
      </c>
      <c r="U3087" s="4">
        <v>1</v>
      </c>
    </row>
    <row r="3088" spans="20:21">
      <c r="T3088" s="9">
        <v>672.8</v>
      </c>
      <c r="U3088" s="4">
        <v>1</v>
      </c>
    </row>
    <row r="3089" spans="20:21">
      <c r="T3089" s="9">
        <v>675.5</v>
      </c>
      <c r="U3089" s="4">
        <v>1</v>
      </c>
    </row>
    <row r="3090" spans="20:21">
      <c r="T3090" s="9">
        <v>675.7</v>
      </c>
      <c r="U3090" s="4">
        <v>1</v>
      </c>
    </row>
    <row r="3091" spans="20:21">
      <c r="T3091" s="9">
        <v>675.9</v>
      </c>
      <c r="U3091" s="4">
        <v>1</v>
      </c>
    </row>
    <row r="3092" spans="20:21">
      <c r="T3092" s="9">
        <v>676.6</v>
      </c>
      <c r="U3092" s="4">
        <v>1</v>
      </c>
    </row>
    <row r="3093" spans="20:21">
      <c r="T3093" s="9">
        <v>677.2</v>
      </c>
      <c r="U3093" s="4">
        <v>1</v>
      </c>
    </row>
    <row r="3094" spans="20:21">
      <c r="T3094" s="9">
        <v>677.5</v>
      </c>
      <c r="U3094" s="4">
        <v>1</v>
      </c>
    </row>
    <row r="3095" spans="20:21">
      <c r="T3095" s="9">
        <v>677.9</v>
      </c>
      <c r="U3095" s="4">
        <v>1</v>
      </c>
    </row>
    <row r="3096" spans="20:21">
      <c r="T3096" s="9">
        <v>679</v>
      </c>
      <c r="U3096" s="4">
        <v>1</v>
      </c>
    </row>
    <row r="3097" spans="20:21">
      <c r="T3097" s="9">
        <v>679.3</v>
      </c>
      <c r="U3097" s="4">
        <v>1</v>
      </c>
    </row>
    <row r="3098" spans="20:21">
      <c r="T3098" s="9">
        <v>679.5</v>
      </c>
      <c r="U3098" s="4">
        <v>3</v>
      </c>
    </row>
    <row r="3099" spans="20:21">
      <c r="T3099" s="9">
        <v>679.6</v>
      </c>
      <c r="U3099" s="4">
        <v>1</v>
      </c>
    </row>
    <row r="3100" spans="20:21">
      <c r="T3100" s="9">
        <v>680.3</v>
      </c>
      <c r="U3100" s="4">
        <v>1</v>
      </c>
    </row>
    <row r="3101" spans="20:21">
      <c r="T3101" s="9">
        <v>680.6</v>
      </c>
      <c r="U3101" s="4">
        <v>1</v>
      </c>
    </row>
    <row r="3102" spans="20:21">
      <c r="T3102" s="9">
        <v>681</v>
      </c>
      <c r="U3102" s="4">
        <v>1</v>
      </c>
    </row>
    <row r="3103" spans="20:21">
      <c r="T3103" s="9">
        <v>681.3</v>
      </c>
      <c r="U3103" s="4">
        <v>1</v>
      </c>
    </row>
    <row r="3104" spans="20:21">
      <c r="T3104" s="9">
        <v>681.5</v>
      </c>
      <c r="U3104" s="4">
        <v>1</v>
      </c>
    </row>
    <row r="3105" spans="20:21">
      <c r="T3105" s="9">
        <v>682.3</v>
      </c>
      <c r="U3105" s="4">
        <v>1</v>
      </c>
    </row>
    <row r="3106" spans="20:21">
      <c r="T3106" s="9">
        <v>682.4</v>
      </c>
      <c r="U3106" s="4">
        <v>1</v>
      </c>
    </row>
    <row r="3107" spans="20:21">
      <c r="T3107" s="9">
        <v>683.2</v>
      </c>
      <c r="U3107" s="4">
        <v>2</v>
      </c>
    </row>
    <row r="3108" spans="20:21">
      <c r="T3108" s="9">
        <v>683.8</v>
      </c>
      <c r="U3108" s="4">
        <v>1</v>
      </c>
    </row>
    <row r="3109" spans="20:21">
      <c r="T3109" s="9">
        <v>684.1</v>
      </c>
      <c r="U3109" s="4">
        <v>1</v>
      </c>
    </row>
    <row r="3110" spans="20:21">
      <c r="T3110" s="9">
        <v>684.2</v>
      </c>
      <c r="U3110" s="4">
        <v>1</v>
      </c>
    </row>
    <row r="3111" spans="20:21">
      <c r="T3111" s="9">
        <v>685.2</v>
      </c>
      <c r="U3111" s="4">
        <v>3</v>
      </c>
    </row>
    <row r="3112" spans="20:21">
      <c r="T3112" s="9">
        <v>686.4</v>
      </c>
      <c r="U3112" s="4">
        <v>1</v>
      </c>
    </row>
    <row r="3113" spans="20:21">
      <c r="T3113" s="9">
        <v>686.6</v>
      </c>
      <c r="U3113" s="4">
        <v>2</v>
      </c>
    </row>
    <row r="3114" spans="20:21">
      <c r="T3114" s="9">
        <v>687.3</v>
      </c>
      <c r="U3114" s="4">
        <v>1</v>
      </c>
    </row>
    <row r="3115" spans="20:21">
      <c r="T3115" s="9">
        <v>687.4</v>
      </c>
      <c r="U3115" s="4">
        <v>1</v>
      </c>
    </row>
    <row r="3116" spans="20:21">
      <c r="T3116" s="9">
        <v>687.9</v>
      </c>
      <c r="U3116" s="4">
        <v>1</v>
      </c>
    </row>
    <row r="3117" spans="20:21">
      <c r="T3117" s="9">
        <v>688.3</v>
      </c>
      <c r="U3117" s="4">
        <v>1</v>
      </c>
    </row>
    <row r="3118" spans="20:21">
      <c r="T3118" s="9">
        <v>688.8</v>
      </c>
      <c r="U3118" s="4">
        <v>1</v>
      </c>
    </row>
    <row r="3119" spans="20:21">
      <c r="T3119" s="9">
        <v>689</v>
      </c>
      <c r="U3119" s="4">
        <v>1</v>
      </c>
    </row>
    <row r="3120" spans="20:21">
      <c r="T3120" s="9">
        <v>689.3</v>
      </c>
      <c r="U3120" s="4">
        <v>1</v>
      </c>
    </row>
    <row r="3121" spans="20:21">
      <c r="T3121" s="9">
        <v>689.4</v>
      </c>
      <c r="U3121" s="4">
        <v>2</v>
      </c>
    </row>
    <row r="3122" spans="20:21">
      <c r="T3122" s="9">
        <v>689.6</v>
      </c>
      <c r="U3122" s="4">
        <v>1</v>
      </c>
    </row>
    <row r="3123" spans="20:21">
      <c r="T3123" s="9">
        <v>691.3</v>
      </c>
      <c r="U3123" s="4">
        <v>1</v>
      </c>
    </row>
    <row r="3124" spans="20:21">
      <c r="T3124" s="9">
        <v>691.6</v>
      </c>
      <c r="U3124" s="4">
        <v>1</v>
      </c>
    </row>
    <row r="3125" spans="20:21">
      <c r="T3125" s="9">
        <v>692.6</v>
      </c>
      <c r="U3125" s="4">
        <v>1</v>
      </c>
    </row>
    <row r="3126" spans="20:21">
      <c r="T3126" s="9">
        <v>693.3</v>
      </c>
      <c r="U3126" s="4">
        <v>1</v>
      </c>
    </row>
    <row r="3127" spans="20:21">
      <c r="T3127" s="9">
        <v>693.4</v>
      </c>
      <c r="U3127" s="4">
        <v>1</v>
      </c>
    </row>
    <row r="3128" spans="20:21">
      <c r="T3128" s="9">
        <v>695.2</v>
      </c>
      <c r="U3128" s="4">
        <v>1</v>
      </c>
    </row>
    <row r="3129" spans="20:21">
      <c r="T3129" s="9">
        <v>695.5</v>
      </c>
      <c r="U3129" s="4">
        <v>1</v>
      </c>
    </row>
    <row r="3130" spans="20:21">
      <c r="T3130" s="9">
        <v>695.6</v>
      </c>
      <c r="U3130" s="4">
        <v>1</v>
      </c>
    </row>
    <row r="3131" spans="20:21">
      <c r="T3131" s="9">
        <v>695.7</v>
      </c>
      <c r="U3131" s="4">
        <v>2</v>
      </c>
    </row>
    <row r="3132" spans="20:21">
      <c r="T3132" s="9">
        <v>695.9</v>
      </c>
      <c r="U3132" s="4">
        <v>1</v>
      </c>
    </row>
    <row r="3133" spans="20:21">
      <c r="T3133" s="9">
        <v>696.9</v>
      </c>
      <c r="U3133" s="4">
        <v>1</v>
      </c>
    </row>
    <row r="3134" spans="20:21">
      <c r="T3134" s="9">
        <v>697.5</v>
      </c>
      <c r="U3134" s="4">
        <v>1</v>
      </c>
    </row>
    <row r="3135" spans="20:21">
      <c r="T3135" s="9">
        <v>698.7</v>
      </c>
      <c r="U3135" s="4">
        <v>1</v>
      </c>
    </row>
    <row r="3136" spans="20:21">
      <c r="T3136" s="9">
        <v>699</v>
      </c>
      <c r="U3136" s="4">
        <v>1</v>
      </c>
    </row>
    <row r="3137" spans="20:21">
      <c r="T3137" s="9">
        <v>699.5</v>
      </c>
      <c r="U3137" s="4">
        <v>1</v>
      </c>
    </row>
    <row r="3138" spans="20:21">
      <c r="T3138" s="9">
        <v>699.7</v>
      </c>
      <c r="U3138" s="4">
        <v>1</v>
      </c>
    </row>
    <row r="3139" spans="20:21">
      <c r="T3139" s="9">
        <v>699.8</v>
      </c>
      <c r="U3139" s="4">
        <v>3</v>
      </c>
    </row>
    <row r="3140" spans="20:21">
      <c r="T3140" s="9">
        <v>700.2</v>
      </c>
      <c r="U3140" s="4">
        <v>1</v>
      </c>
    </row>
    <row r="3141" spans="20:21">
      <c r="T3141" s="9">
        <v>700.6</v>
      </c>
      <c r="U3141" s="4">
        <v>1</v>
      </c>
    </row>
    <row r="3142" spans="20:21">
      <c r="T3142" s="9">
        <v>702.1</v>
      </c>
      <c r="U3142" s="4">
        <v>1</v>
      </c>
    </row>
    <row r="3143" spans="20:21">
      <c r="T3143" s="9">
        <v>702.5</v>
      </c>
      <c r="U3143" s="4">
        <v>1</v>
      </c>
    </row>
    <row r="3144" spans="20:21">
      <c r="T3144" s="9">
        <v>704.1</v>
      </c>
      <c r="U3144" s="4">
        <v>1</v>
      </c>
    </row>
    <row r="3145" spans="20:21">
      <c r="T3145" s="9">
        <v>705.5</v>
      </c>
      <c r="U3145" s="4">
        <v>1</v>
      </c>
    </row>
    <row r="3146" spans="20:21">
      <c r="T3146" s="9">
        <v>705.6</v>
      </c>
      <c r="U3146" s="4">
        <v>1</v>
      </c>
    </row>
    <row r="3147" spans="20:21">
      <c r="T3147" s="9">
        <v>707.7</v>
      </c>
      <c r="U3147" s="4">
        <v>1</v>
      </c>
    </row>
    <row r="3148" spans="20:21">
      <c r="T3148" s="9">
        <v>708.6</v>
      </c>
      <c r="U3148" s="4">
        <v>1</v>
      </c>
    </row>
    <row r="3149" spans="20:21">
      <c r="T3149" s="9">
        <v>709</v>
      </c>
      <c r="U3149" s="4">
        <v>1</v>
      </c>
    </row>
    <row r="3150" spans="20:21">
      <c r="T3150" s="9">
        <v>709.2</v>
      </c>
      <c r="U3150" s="4">
        <v>3</v>
      </c>
    </row>
    <row r="3151" spans="20:21">
      <c r="T3151" s="9">
        <v>709.4</v>
      </c>
      <c r="U3151" s="4">
        <v>1</v>
      </c>
    </row>
    <row r="3152" spans="20:21">
      <c r="T3152" s="9">
        <v>709.9</v>
      </c>
      <c r="U3152" s="4">
        <v>1</v>
      </c>
    </row>
    <row r="3153" spans="20:21">
      <c r="T3153" s="9">
        <v>710.8</v>
      </c>
      <c r="U3153" s="4">
        <v>1</v>
      </c>
    </row>
    <row r="3154" spans="20:21">
      <c r="T3154" s="9">
        <v>711.1</v>
      </c>
      <c r="U3154" s="4">
        <v>1</v>
      </c>
    </row>
    <row r="3155" spans="20:21">
      <c r="T3155" s="9">
        <v>712.1</v>
      </c>
      <c r="U3155" s="4">
        <v>1</v>
      </c>
    </row>
    <row r="3156" spans="20:21">
      <c r="T3156" s="9">
        <v>712.8</v>
      </c>
      <c r="U3156" s="4">
        <v>1</v>
      </c>
    </row>
    <row r="3157" spans="20:21">
      <c r="T3157" s="9">
        <v>714.1</v>
      </c>
      <c r="U3157" s="4">
        <v>2</v>
      </c>
    </row>
    <row r="3158" spans="20:21">
      <c r="T3158" s="9">
        <v>714.3</v>
      </c>
      <c r="U3158" s="4">
        <v>1</v>
      </c>
    </row>
    <row r="3159" spans="20:21">
      <c r="T3159" s="9">
        <v>714.5</v>
      </c>
      <c r="U3159" s="4">
        <v>1</v>
      </c>
    </row>
    <row r="3160" spans="20:21">
      <c r="T3160" s="9">
        <v>714.7</v>
      </c>
      <c r="U3160" s="4">
        <v>1</v>
      </c>
    </row>
    <row r="3161" spans="20:21">
      <c r="T3161" s="9">
        <v>715.5</v>
      </c>
      <c r="U3161" s="4">
        <v>1</v>
      </c>
    </row>
    <row r="3162" spans="20:21">
      <c r="T3162" s="9">
        <v>715.8</v>
      </c>
      <c r="U3162" s="4">
        <v>1</v>
      </c>
    </row>
    <row r="3163" spans="20:21">
      <c r="T3163" s="9">
        <v>716.2</v>
      </c>
      <c r="U3163" s="4">
        <v>1</v>
      </c>
    </row>
    <row r="3164" spans="20:21">
      <c r="T3164" s="9">
        <v>716.9</v>
      </c>
      <c r="U3164" s="4">
        <v>2</v>
      </c>
    </row>
    <row r="3165" spans="20:21">
      <c r="T3165" s="9">
        <v>717.4</v>
      </c>
      <c r="U3165" s="4">
        <v>1</v>
      </c>
    </row>
    <row r="3166" spans="20:21">
      <c r="T3166" s="9">
        <v>719.1</v>
      </c>
      <c r="U3166" s="4">
        <v>1</v>
      </c>
    </row>
    <row r="3167" spans="20:21">
      <c r="T3167" s="9">
        <v>719.8</v>
      </c>
      <c r="U3167" s="4">
        <v>1</v>
      </c>
    </row>
    <row r="3168" spans="20:21">
      <c r="T3168" s="9">
        <v>719.9</v>
      </c>
      <c r="U3168" s="4">
        <v>1</v>
      </c>
    </row>
    <row r="3169" spans="20:21">
      <c r="T3169" s="9">
        <v>720</v>
      </c>
      <c r="U3169" s="4">
        <v>1</v>
      </c>
    </row>
    <row r="3170" spans="20:21">
      <c r="T3170" s="9">
        <v>720.3</v>
      </c>
      <c r="U3170" s="4">
        <v>1</v>
      </c>
    </row>
    <row r="3171" spans="20:21">
      <c r="T3171" s="9">
        <v>721</v>
      </c>
      <c r="U3171" s="4">
        <v>1</v>
      </c>
    </row>
    <row r="3172" spans="20:21">
      <c r="T3172" s="9">
        <v>721.6</v>
      </c>
      <c r="U3172" s="4">
        <v>1</v>
      </c>
    </row>
    <row r="3173" spans="20:21">
      <c r="T3173" s="9">
        <v>721.7</v>
      </c>
      <c r="U3173" s="4">
        <v>1</v>
      </c>
    </row>
    <row r="3174" spans="20:21">
      <c r="T3174" s="9">
        <v>722.4</v>
      </c>
      <c r="U3174" s="4">
        <v>1</v>
      </c>
    </row>
    <row r="3175" spans="20:21">
      <c r="T3175" s="9">
        <v>723</v>
      </c>
      <c r="U3175" s="4">
        <v>1</v>
      </c>
    </row>
    <row r="3176" spans="20:21">
      <c r="T3176" s="9">
        <v>724</v>
      </c>
      <c r="U3176" s="4">
        <v>1</v>
      </c>
    </row>
    <row r="3177" spans="20:21">
      <c r="T3177" s="9">
        <v>724.7</v>
      </c>
      <c r="U3177" s="4">
        <v>1</v>
      </c>
    </row>
    <row r="3178" spans="20:21">
      <c r="T3178" s="9">
        <v>724.9</v>
      </c>
      <c r="U3178" s="4">
        <v>1</v>
      </c>
    </row>
    <row r="3179" spans="20:21">
      <c r="T3179" s="9">
        <v>725.4</v>
      </c>
      <c r="U3179" s="4">
        <v>1</v>
      </c>
    </row>
    <row r="3180" spans="20:21">
      <c r="T3180" s="9">
        <v>725.8</v>
      </c>
      <c r="U3180" s="4">
        <v>1</v>
      </c>
    </row>
    <row r="3181" spans="20:21">
      <c r="T3181" s="9">
        <v>725.9</v>
      </c>
      <c r="U3181" s="4">
        <v>1</v>
      </c>
    </row>
    <row r="3182" spans="20:21">
      <c r="T3182" s="9">
        <v>726</v>
      </c>
      <c r="U3182" s="4">
        <v>1</v>
      </c>
    </row>
    <row r="3183" spans="20:21">
      <c r="T3183" s="9">
        <v>726.1</v>
      </c>
      <c r="U3183" s="4">
        <v>1</v>
      </c>
    </row>
    <row r="3184" spans="20:21">
      <c r="T3184" s="9">
        <v>726.3</v>
      </c>
      <c r="U3184" s="4">
        <v>1</v>
      </c>
    </row>
    <row r="3185" spans="20:21">
      <c r="T3185" s="9">
        <v>726.4</v>
      </c>
      <c r="U3185" s="4">
        <v>1</v>
      </c>
    </row>
    <row r="3186" spans="20:21">
      <c r="T3186" s="9">
        <v>726.6</v>
      </c>
      <c r="U3186" s="4">
        <v>1</v>
      </c>
    </row>
    <row r="3187" spans="20:21">
      <c r="T3187" s="9">
        <v>728.1</v>
      </c>
      <c r="U3187" s="4">
        <v>1</v>
      </c>
    </row>
    <row r="3188" spans="20:21">
      <c r="T3188" s="9">
        <v>728.5</v>
      </c>
      <c r="U3188" s="4">
        <v>2</v>
      </c>
    </row>
    <row r="3189" spans="20:21">
      <c r="T3189" s="9">
        <v>729.5</v>
      </c>
      <c r="U3189" s="4">
        <v>1</v>
      </c>
    </row>
    <row r="3190" spans="20:21">
      <c r="T3190" s="9">
        <v>729.6</v>
      </c>
      <c r="U3190" s="4">
        <v>1</v>
      </c>
    </row>
    <row r="3191" spans="20:21">
      <c r="T3191" s="9">
        <v>729.7</v>
      </c>
      <c r="U3191" s="4">
        <v>1</v>
      </c>
    </row>
    <row r="3192" spans="20:21">
      <c r="T3192" s="9">
        <v>730.1</v>
      </c>
      <c r="U3192" s="4">
        <v>1</v>
      </c>
    </row>
    <row r="3193" spans="20:21">
      <c r="T3193" s="9">
        <v>731</v>
      </c>
      <c r="U3193" s="4">
        <v>1</v>
      </c>
    </row>
    <row r="3194" spans="20:21">
      <c r="T3194" s="9">
        <v>731.3</v>
      </c>
      <c r="U3194" s="4">
        <v>1</v>
      </c>
    </row>
    <row r="3195" spans="20:21">
      <c r="T3195" s="9">
        <v>731.5</v>
      </c>
      <c r="U3195" s="4">
        <v>1</v>
      </c>
    </row>
    <row r="3196" spans="20:21">
      <c r="T3196" s="9">
        <v>731.7</v>
      </c>
      <c r="U3196" s="4">
        <v>1</v>
      </c>
    </row>
    <row r="3197" spans="20:21">
      <c r="T3197" s="9">
        <v>732.4</v>
      </c>
      <c r="U3197" s="4">
        <v>1</v>
      </c>
    </row>
    <row r="3198" spans="20:21">
      <c r="T3198" s="9">
        <v>732.5</v>
      </c>
      <c r="U3198" s="4">
        <v>1</v>
      </c>
    </row>
    <row r="3199" spans="20:21">
      <c r="T3199" s="9">
        <v>732.6</v>
      </c>
      <c r="U3199" s="4">
        <v>1</v>
      </c>
    </row>
    <row r="3200" spans="20:21">
      <c r="T3200" s="9">
        <v>733.3</v>
      </c>
      <c r="U3200" s="4">
        <v>1</v>
      </c>
    </row>
    <row r="3201" spans="20:21">
      <c r="T3201" s="9">
        <v>734</v>
      </c>
      <c r="U3201" s="4">
        <v>1</v>
      </c>
    </row>
    <row r="3202" spans="20:21">
      <c r="T3202" s="9">
        <v>734.6</v>
      </c>
      <c r="U3202" s="4">
        <v>1</v>
      </c>
    </row>
    <row r="3203" spans="20:21">
      <c r="T3203" s="9">
        <v>735.3</v>
      </c>
      <c r="U3203" s="4">
        <v>1</v>
      </c>
    </row>
    <row r="3204" spans="20:21">
      <c r="T3204" s="9">
        <v>735.5</v>
      </c>
      <c r="U3204" s="4">
        <v>1</v>
      </c>
    </row>
    <row r="3205" spans="20:21">
      <c r="T3205" s="9">
        <v>736.6</v>
      </c>
      <c r="U3205" s="4">
        <v>1</v>
      </c>
    </row>
    <row r="3206" spans="20:21">
      <c r="T3206" s="9">
        <v>737.6</v>
      </c>
      <c r="U3206" s="4">
        <v>1</v>
      </c>
    </row>
    <row r="3207" spans="20:21">
      <c r="T3207" s="9">
        <v>738.6</v>
      </c>
      <c r="U3207" s="4">
        <v>1</v>
      </c>
    </row>
    <row r="3208" spans="20:21">
      <c r="T3208" s="9">
        <v>738.8</v>
      </c>
      <c r="U3208" s="4">
        <v>1</v>
      </c>
    </row>
    <row r="3209" spans="20:21">
      <c r="T3209" s="9">
        <v>739.6</v>
      </c>
      <c r="U3209" s="4">
        <v>1</v>
      </c>
    </row>
    <row r="3210" spans="20:21">
      <c r="T3210" s="9">
        <v>740</v>
      </c>
      <c r="U3210" s="4">
        <v>1</v>
      </c>
    </row>
    <row r="3211" spans="20:21">
      <c r="T3211" s="9">
        <v>740.7</v>
      </c>
      <c r="U3211" s="4">
        <v>1</v>
      </c>
    </row>
    <row r="3212" spans="20:21">
      <c r="T3212" s="9">
        <v>741.6</v>
      </c>
      <c r="U3212" s="4">
        <v>1</v>
      </c>
    </row>
    <row r="3213" spans="20:21">
      <c r="T3213" s="9">
        <v>742.5</v>
      </c>
      <c r="U3213" s="4">
        <v>1</v>
      </c>
    </row>
    <row r="3214" spans="20:21">
      <c r="T3214" s="9">
        <v>742.9</v>
      </c>
      <c r="U3214" s="4">
        <v>1</v>
      </c>
    </row>
    <row r="3215" spans="20:21">
      <c r="T3215" s="9">
        <v>743.2</v>
      </c>
      <c r="U3215" s="4">
        <v>1</v>
      </c>
    </row>
    <row r="3216" spans="20:21">
      <c r="T3216" s="9">
        <v>743.7</v>
      </c>
      <c r="U3216" s="4">
        <v>1</v>
      </c>
    </row>
    <row r="3217" spans="20:21">
      <c r="T3217" s="9">
        <v>744</v>
      </c>
      <c r="U3217" s="4">
        <v>1</v>
      </c>
    </row>
    <row r="3218" spans="20:21">
      <c r="T3218" s="9">
        <v>744.4</v>
      </c>
      <c r="U3218" s="4">
        <v>1</v>
      </c>
    </row>
    <row r="3219" spans="20:21">
      <c r="T3219" s="9">
        <v>744.5</v>
      </c>
      <c r="U3219" s="4">
        <v>1</v>
      </c>
    </row>
    <row r="3220" spans="20:21">
      <c r="T3220" s="9">
        <v>745.3</v>
      </c>
      <c r="U3220" s="4">
        <v>1</v>
      </c>
    </row>
    <row r="3221" spans="20:21">
      <c r="T3221" s="9">
        <v>746.1</v>
      </c>
      <c r="U3221" s="4">
        <v>1</v>
      </c>
    </row>
    <row r="3222" spans="20:21">
      <c r="T3222" s="9">
        <v>747.6</v>
      </c>
      <c r="U3222" s="4">
        <v>1</v>
      </c>
    </row>
    <row r="3223" spans="20:21">
      <c r="T3223" s="9">
        <v>748.1</v>
      </c>
      <c r="U3223" s="4">
        <v>1</v>
      </c>
    </row>
    <row r="3224" spans="20:21">
      <c r="T3224" s="9">
        <v>748.4</v>
      </c>
      <c r="U3224" s="4">
        <v>1</v>
      </c>
    </row>
    <row r="3225" spans="20:21">
      <c r="T3225" s="9">
        <v>749.6</v>
      </c>
      <c r="U3225" s="4">
        <v>1</v>
      </c>
    </row>
    <row r="3226" spans="20:21">
      <c r="T3226" s="9">
        <v>750.8</v>
      </c>
      <c r="U3226" s="4">
        <v>1</v>
      </c>
    </row>
    <row r="3227" spans="20:21">
      <c r="T3227" s="9">
        <v>752</v>
      </c>
      <c r="U3227" s="4">
        <v>1</v>
      </c>
    </row>
    <row r="3228" spans="20:21">
      <c r="T3228" s="9">
        <v>752.6</v>
      </c>
      <c r="U3228" s="4">
        <v>1</v>
      </c>
    </row>
    <row r="3229" spans="20:21">
      <c r="T3229" s="9">
        <v>752.7</v>
      </c>
      <c r="U3229" s="4">
        <v>1</v>
      </c>
    </row>
    <row r="3230" spans="20:21">
      <c r="T3230" s="9">
        <v>752.8</v>
      </c>
      <c r="U3230" s="4">
        <v>1</v>
      </c>
    </row>
    <row r="3231" spans="20:21">
      <c r="T3231" s="9">
        <v>754</v>
      </c>
      <c r="U3231" s="4">
        <v>2</v>
      </c>
    </row>
    <row r="3232" spans="20:21">
      <c r="T3232" s="9">
        <v>754.3</v>
      </c>
      <c r="U3232" s="4">
        <v>1</v>
      </c>
    </row>
    <row r="3233" spans="20:21">
      <c r="T3233" s="9">
        <v>755</v>
      </c>
      <c r="U3233" s="4">
        <v>1</v>
      </c>
    </row>
    <row r="3234" spans="20:21">
      <c r="T3234" s="9">
        <v>755.3</v>
      </c>
      <c r="U3234" s="4">
        <v>1</v>
      </c>
    </row>
    <row r="3235" spans="20:21">
      <c r="T3235" s="9">
        <v>755.7</v>
      </c>
      <c r="U3235" s="4">
        <v>1</v>
      </c>
    </row>
    <row r="3236" spans="20:21">
      <c r="T3236" s="9">
        <v>757.5</v>
      </c>
      <c r="U3236" s="4">
        <v>1</v>
      </c>
    </row>
    <row r="3237" spans="20:21">
      <c r="T3237" s="9">
        <v>758.1</v>
      </c>
      <c r="U3237" s="4">
        <v>1</v>
      </c>
    </row>
    <row r="3238" spans="20:21">
      <c r="T3238" s="9">
        <v>758.3</v>
      </c>
      <c r="U3238" s="4">
        <v>1</v>
      </c>
    </row>
    <row r="3239" spans="20:21">
      <c r="T3239" s="9">
        <v>758.4</v>
      </c>
      <c r="U3239" s="4">
        <v>1</v>
      </c>
    </row>
    <row r="3240" spans="20:21">
      <c r="T3240" s="9">
        <v>758.7</v>
      </c>
      <c r="U3240" s="4">
        <v>1</v>
      </c>
    </row>
    <row r="3241" spans="20:21">
      <c r="T3241" s="9">
        <v>759.2</v>
      </c>
      <c r="U3241" s="4">
        <v>1</v>
      </c>
    </row>
    <row r="3242" spans="20:21">
      <c r="T3242" s="9">
        <v>759.7</v>
      </c>
      <c r="U3242" s="4">
        <v>1</v>
      </c>
    </row>
    <row r="3243" spans="20:21">
      <c r="T3243" s="9">
        <v>760.2</v>
      </c>
      <c r="U3243" s="4">
        <v>1</v>
      </c>
    </row>
    <row r="3244" spans="20:21">
      <c r="T3244" s="9">
        <v>761.4</v>
      </c>
      <c r="U3244" s="4">
        <v>1</v>
      </c>
    </row>
    <row r="3245" spans="20:21">
      <c r="T3245" s="9">
        <v>762.3</v>
      </c>
      <c r="U3245" s="4">
        <v>1</v>
      </c>
    </row>
    <row r="3246" spans="20:21">
      <c r="T3246" s="9">
        <v>762.9</v>
      </c>
      <c r="U3246" s="4">
        <v>1</v>
      </c>
    </row>
    <row r="3247" spans="20:21">
      <c r="T3247" s="9">
        <v>763.5</v>
      </c>
      <c r="U3247" s="4">
        <v>1</v>
      </c>
    </row>
    <row r="3248" spans="20:21">
      <c r="T3248" s="9">
        <v>764.3</v>
      </c>
      <c r="U3248" s="4">
        <v>1</v>
      </c>
    </row>
    <row r="3249" spans="20:21">
      <c r="T3249" s="9">
        <v>765.1</v>
      </c>
      <c r="U3249" s="4">
        <v>1</v>
      </c>
    </row>
    <row r="3250" spans="20:21">
      <c r="T3250" s="9">
        <v>765.9</v>
      </c>
      <c r="U3250" s="4">
        <v>1</v>
      </c>
    </row>
    <row r="3251" spans="20:21">
      <c r="T3251" s="9">
        <v>766.2</v>
      </c>
      <c r="U3251" s="4">
        <v>1</v>
      </c>
    </row>
    <row r="3252" spans="20:21">
      <c r="T3252" s="9">
        <v>766.7</v>
      </c>
      <c r="U3252" s="4">
        <v>1</v>
      </c>
    </row>
    <row r="3253" spans="20:21">
      <c r="T3253" s="9">
        <v>770.4</v>
      </c>
      <c r="U3253" s="4">
        <v>1</v>
      </c>
    </row>
    <row r="3254" spans="20:21">
      <c r="T3254" s="9">
        <v>770.5</v>
      </c>
      <c r="U3254" s="4">
        <v>1</v>
      </c>
    </row>
    <row r="3255" spans="20:21">
      <c r="T3255" s="9">
        <v>771.7</v>
      </c>
      <c r="U3255" s="4">
        <v>1</v>
      </c>
    </row>
    <row r="3256" spans="20:21">
      <c r="T3256" s="9">
        <v>774.7</v>
      </c>
      <c r="U3256" s="4">
        <v>1</v>
      </c>
    </row>
    <row r="3257" spans="20:21">
      <c r="T3257" s="9">
        <v>775.2</v>
      </c>
      <c r="U3257" s="4">
        <v>1</v>
      </c>
    </row>
    <row r="3258" spans="20:21">
      <c r="T3258" s="9">
        <v>775.7</v>
      </c>
      <c r="U3258" s="4">
        <v>1</v>
      </c>
    </row>
    <row r="3259" spans="20:21">
      <c r="T3259" s="9">
        <v>776.7</v>
      </c>
      <c r="U3259" s="4">
        <v>1</v>
      </c>
    </row>
    <row r="3260" spans="20:21">
      <c r="T3260" s="9">
        <v>777.4</v>
      </c>
      <c r="U3260" s="4">
        <v>1</v>
      </c>
    </row>
    <row r="3261" spans="20:21">
      <c r="T3261" s="9">
        <v>777.5</v>
      </c>
      <c r="U3261" s="4">
        <v>1</v>
      </c>
    </row>
    <row r="3262" spans="20:21">
      <c r="T3262" s="9">
        <v>777.7</v>
      </c>
      <c r="U3262" s="4">
        <v>1</v>
      </c>
    </row>
    <row r="3263" spans="20:21">
      <c r="T3263" s="9">
        <v>778.5</v>
      </c>
      <c r="U3263" s="4">
        <v>1</v>
      </c>
    </row>
    <row r="3264" spans="20:21">
      <c r="T3264" s="9">
        <v>778.6</v>
      </c>
      <c r="U3264" s="4">
        <v>2</v>
      </c>
    </row>
    <row r="3265" spans="20:21">
      <c r="T3265" s="9">
        <v>779.2</v>
      </c>
      <c r="U3265" s="4">
        <v>1</v>
      </c>
    </row>
    <row r="3266" spans="20:21">
      <c r="T3266" s="9">
        <v>779.7</v>
      </c>
      <c r="U3266" s="4">
        <v>1</v>
      </c>
    </row>
    <row r="3267" spans="20:21">
      <c r="T3267" s="9">
        <v>780.8</v>
      </c>
      <c r="U3267" s="4">
        <v>1</v>
      </c>
    </row>
    <row r="3268" spans="20:21">
      <c r="T3268" s="9">
        <v>780.9</v>
      </c>
      <c r="U3268" s="4">
        <v>1</v>
      </c>
    </row>
    <row r="3269" spans="20:21">
      <c r="T3269" s="9">
        <v>781.3</v>
      </c>
      <c r="U3269" s="4">
        <v>1</v>
      </c>
    </row>
    <row r="3270" spans="20:21">
      <c r="T3270" s="9">
        <v>782.3</v>
      </c>
      <c r="U3270" s="4">
        <v>1</v>
      </c>
    </row>
    <row r="3271" spans="20:21">
      <c r="T3271" s="9">
        <v>782.6</v>
      </c>
      <c r="U3271" s="4">
        <v>1</v>
      </c>
    </row>
    <row r="3272" spans="20:21">
      <c r="T3272" s="9">
        <v>782.9</v>
      </c>
      <c r="U3272" s="4">
        <v>1</v>
      </c>
    </row>
    <row r="3273" spans="20:21">
      <c r="T3273" s="9">
        <v>783.6</v>
      </c>
      <c r="U3273" s="4">
        <v>1</v>
      </c>
    </row>
    <row r="3274" spans="20:21">
      <c r="T3274" s="9">
        <v>784.2</v>
      </c>
      <c r="U3274" s="4">
        <v>1</v>
      </c>
    </row>
    <row r="3275" spans="20:21">
      <c r="T3275" s="9">
        <v>785.8</v>
      </c>
      <c r="U3275" s="4">
        <v>1</v>
      </c>
    </row>
    <row r="3276" spans="20:21">
      <c r="T3276" s="9">
        <v>787</v>
      </c>
      <c r="U3276" s="4">
        <v>1</v>
      </c>
    </row>
    <row r="3277" spans="20:21">
      <c r="T3277" s="9">
        <v>787.4</v>
      </c>
      <c r="U3277" s="4">
        <v>1</v>
      </c>
    </row>
    <row r="3278" spans="20:21">
      <c r="T3278" s="9">
        <v>787.5</v>
      </c>
      <c r="U3278" s="4">
        <v>1</v>
      </c>
    </row>
    <row r="3279" spans="20:21">
      <c r="T3279" s="9">
        <v>788.3</v>
      </c>
      <c r="U3279" s="4">
        <v>1</v>
      </c>
    </row>
    <row r="3280" spans="20:21">
      <c r="T3280" s="9">
        <v>788.9</v>
      </c>
      <c r="U3280" s="4">
        <v>1</v>
      </c>
    </row>
    <row r="3281" spans="20:21">
      <c r="T3281" s="9">
        <v>789.6</v>
      </c>
      <c r="U3281" s="4">
        <v>1</v>
      </c>
    </row>
    <row r="3282" spans="20:21">
      <c r="T3282" s="9">
        <v>789.9</v>
      </c>
      <c r="U3282" s="4">
        <v>1</v>
      </c>
    </row>
    <row r="3283" spans="20:21">
      <c r="T3283" s="9">
        <v>790.6</v>
      </c>
      <c r="U3283" s="4">
        <v>1</v>
      </c>
    </row>
    <row r="3284" spans="20:21">
      <c r="T3284" s="9">
        <v>791.7</v>
      </c>
      <c r="U3284" s="4">
        <v>1</v>
      </c>
    </row>
    <row r="3285" spans="20:21">
      <c r="T3285" s="9">
        <v>791.8</v>
      </c>
      <c r="U3285" s="4">
        <v>1</v>
      </c>
    </row>
    <row r="3286" spans="20:21">
      <c r="T3286" s="9">
        <v>792.3</v>
      </c>
      <c r="U3286" s="4">
        <v>1</v>
      </c>
    </row>
    <row r="3287" spans="20:21">
      <c r="T3287" s="9">
        <v>793.9</v>
      </c>
      <c r="U3287" s="4">
        <v>1</v>
      </c>
    </row>
    <row r="3288" spans="20:21">
      <c r="T3288" s="9">
        <v>794.8</v>
      </c>
      <c r="U3288" s="4">
        <v>1</v>
      </c>
    </row>
    <row r="3289" spans="20:21">
      <c r="T3289" s="9">
        <v>795</v>
      </c>
      <c r="U3289" s="4">
        <v>1</v>
      </c>
    </row>
    <row r="3290" spans="20:21">
      <c r="T3290" s="9">
        <v>797.7</v>
      </c>
      <c r="U3290" s="4">
        <v>1</v>
      </c>
    </row>
    <row r="3291" spans="20:21">
      <c r="T3291" s="9">
        <v>798.1</v>
      </c>
      <c r="U3291" s="4">
        <v>1</v>
      </c>
    </row>
    <row r="3292" spans="20:21">
      <c r="T3292" s="9">
        <v>798.4</v>
      </c>
      <c r="U3292" s="4">
        <v>1</v>
      </c>
    </row>
    <row r="3293" spans="20:21">
      <c r="T3293" s="9">
        <v>800.1</v>
      </c>
      <c r="U3293" s="4">
        <v>1</v>
      </c>
    </row>
    <row r="3294" spans="20:21">
      <c r="T3294" s="9">
        <v>800.7</v>
      </c>
      <c r="U3294" s="4">
        <v>1</v>
      </c>
    </row>
    <row r="3295" spans="20:21">
      <c r="T3295" s="9">
        <v>801.3</v>
      </c>
      <c r="U3295" s="4">
        <v>1</v>
      </c>
    </row>
    <row r="3296" spans="20:21">
      <c r="T3296" s="9">
        <v>803.7</v>
      </c>
      <c r="U3296" s="4">
        <v>1</v>
      </c>
    </row>
    <row r="3297" spans="20:21">
      <c r="T3297" s="9">
        <v>803.8</v>
      </c>
      <c r="U3297" s="4">
        <v>1</v>
      </c>
    </row>
    <row r="3298" spans="20:21">
      <c r="T3298" s="9">
        <v>805.5</v>
      </c>
      <c r="U3298" s="4">
        <v>1</v>
      </c>
    </row>
    <row r="3299" spans="20:21">
      <c r="T3299" s="9">
        <v>806</v>
      </c>
      <c r="U3299" s="4">
        <v>2</v>
      </c>
    </row>
    <row r="3300" spans="20:21">
      <c r="T3300" s="9">
        <v>806.4</v>
      </c>
      <c r="U3300" s="4">
        <v>2</v>
      </c>
    </row>
    <row r="3301" spans="20:21">
      <c r="T3301" s="9">
        <v>807</v>
      </c>
      <c r="U3301" s="4">
        <v>1</v>
      </c>
    </row>
    <row r="3302" spans="20:21">
      <c r="T3302" s="9">
        <v>807.1</v>
      </c>
      <c r="U3302" s="4">
        <v>1</v>
      </c>
    </row>
    <row r="3303" spans="20:21">
      <c r="T3303" s="9">
        <v>808.5</v>
      </c>
      <c r="U3303" s="4">
        <v>1</v>
      </c>
    </row>
    <row r="3304" spans="20:21">
      <c r="T3304" s="9">
        <v>808.6</v>
      </c>
      <c r="U3304" s="4">
        <v>1</v>
      </c>
    </row>
    <row r="3305" spans="20:21">
      <c r="T3305" s="9">
        <v>809.1</v>
      </c>
      <c r="U3305" s="4">
        <v>1</v>
      </c>
    </row>
    <row r="3306" spans="20:21">
      <c r="T3306" s="9">
        <v>810.9</v>
      </c>
      <c r="U3306" s="4">
        <v>1</v>
      </c>
    </row>
    <row r="3307" spans="20:21">
      <c r="T3307" s="9">
        <v>811.8</v>
      </c>
      <c r="U3307" s="4">
        <v>1</v>
      </c>
    </row>
    <row r="3308" spans="20:21">
      <c r="T3308" s="9">
        <v>814.2</v>
      </c>
      <c r="U3308" s="4">
        <v>1</v>
      </c>
    </row>
    <row r="3309" spans="20:21">
      <c r="T3309" s="9">
        <v>814.5</v>
      </c>
      <c r="U3309" s="4">
        <v>1</v>
      </c>
    </row>
    <row r="3310" spans="20:21">
      <c r="T3310" s="9">
        <v>815.6</v>
      </c>
      <c r="U3310" s="4">
        <v>1</v>
      </c>
    </row>
    <row r="3311" spans="20:21">
      <c r="T3311" s="9">
        <v>816.2</v>
      </c>
      <c r="U3311" s="4">
        <v>2</v>
      </c>
    </row>
    <row r="3312" spans="20:21">
      <c r="T3312" s="9">
        <v>816.5</v>
      </c>
      <c r="U3312" s="4">
        <v>1</v>
      </c>
    </row>
    <row r="3313" spans="20:21">
      <c r="T3313" s="9">
        <v>817.3</v>
      </c>
      <c r="U3313" s="4">
        <v>1</v>
      </c>
    </row>
    <row r="3314" spans="20:21">
      <c r="T3314" s="9">
        <v>819</v>
      </c>
      <c r="U3314" s="4">
        <v>1</v>
      </c>
    </row>
    <row r="3315" spans="20:21">
      <c r="T3315" s="9">
        <v>819.2</v>
      </c>
      <c r="U3315" s="4">
        <v>1</v>
      </c>
    </row>
    <row r="3316" spans="20:21">
      <c r="T3316" s="9">
        <v>819.7</v>
      </c>
      <c r="U3316" s="4">
        <v>1</v>
      </c>
    </row>
    <row r="3317" spans="20:21">
      <c r="T3317" s="9">
        <v>820.8</v>
      </c>
      <c r="U3317" s="4">
        <v>1</v>
      </c>
    </row>
    <row r="3318" spans="20:21">
      <c r="T3318" s="9">
        <v>821.2</v>
      </c>
      <c r="U3318" s="4">
        <v>1</v>
      </c>
    </row>
    <row r="3319" spans="20:21">
      <c r="T3319" s="9">
        <v>823.6</v>
      </c>
      <c r="U3319" s="4">
        <v>1</v>
      </c>
    </row>
    <row r="3320" spans="20:21">
      <c r="T3320" s="9">
        <v>824.1</v>
      </c>
      <c r="U3320" s="4">
        <v>1</v>
      </c>
    </row>
    <row r="3321" spans="20:21">
      <c r="T3321" s="9">
        <v>825.3</v>
      </c>
      <c r="U3321" s="4">
        <v>1</v>
      </c>
    </row>
    <row r="3322" spans="20:21">
      <c r="T3322" s="9">
        <v>825.8</v>
      </c>
      <c r="U3322" s="4">
        <v>1</v>
      </c>
    </row>
    <row r="3323" spans="20:21">
      <c r="T3323" s="9">
        <v>828.3</v>
      </c>
      <c r="U3323" s="4">
        <v>1</v>
      </c>
    </row>
    <row r="3324" spans="20:21">
      <c r="T3324" s="9">
        <v>829</v>
      </c>
      <c r="U3324" s="4">
        <v>1</v>
      </c>
    </row>
    <row r="3325" spans="20:21">
      <c r="T3325" s="9">
        <v>829.2</v>
      </c>
      <c r="U3325" s="4">
        <v>1</v>
      </c>
    </row>
    <row r="3326" spans="20:21">
      <c r="T3326" s="9">
        <v>830.2</v>
      </c>
      <c r="U3326" s="4">
        <v>1</v>
      </c>
    </row>
    <row r="3327" spans="20:21">
      <c r="T3327" s="9">
        <v>830.8</v>
      </c>
      <c r="U3327" s="4">
        <v>1</v>
      </c>
    </row>
    <row r="3328" spans="20:21">
      <c r="T3328" s="9">
        <v>831.3</v>
      </c>
      <c r="U3328" s="4">
        <v>1</v>
      </c>
    </row>
    <row r="3329" spans="20:21">
      <c r="T3329" s="9">
        <v>831.4</v>
      </c>
      <c r="U3329" s="4">
        <v>1</v>
      </c>
    </row>
    <row r="3330" spans="20:21">
      <c r="T3330" s="9">
        <v>831.9</v>
      </c>
      <c r="U3330" s="4">
        <v>1</v>
      </c>
    </row>
    <row r="3331" spans="20:21">
      <c r="T3331" s="9">
        <v>832.6</v>
      </c>
      <c r="U3331" s="4">
        <v>1</v>
      </c>
    </row>
    <row r="3332" spans="20:21">
      <c r="T3332" s="9">
        <v>832.9</v>
      </c>
      <c r="U3332" s="4">
        <v>1</v>
      </c>
    </row>
    <row r="3333" spans="20:21">
      <c r="T3333" s="9">
        <v>833.1</v>
      </c>
      <c r="U3333" s="4">
        <v>1</v>
      </c>
    </row>
    <row r="3334" spans="20:21">
      <c r="T3334" s="9">
        <v>835.6</v>
      </c>
      <c r="U3334" s="4">
        <v>1</v>
      </c>
    </row>
    <row r="3335" spans="20:21">
      <c r="T3335" s="9">
        <v>835.7</v>
      </c>
      <c r="U3335" s="4">
        <v>1</v>
      </c>
    </row>
    <row r="3336" spans="20:21">
      <c r="T3336" s="9">
        <v>836.1</v>
      </c>
      <c r="U3336" s="4">
        <v>1</v>
      </c>
    </row>
    <row r="3337" spans="20:21">
      <c r="T3337" s="9">
        <v>837.2</v>
      </c>
      <c r="U3337" s="4">
        <v>1</v>
      </c>
    </row>
    <row r="3338" spans="20:21">
      <c r="T3338" s="9">
        <v>837.7</v>
      </c>
      <c r="U3338" s="4">
        <v>1</v>
      </c>
    </row>
    <row r="3339" spans="20:21">
      <c r="T3339" s="9">
        <v>838</v>
      </c>
      <c r="U3339" s="4">
        <v>1</v>
      </c>
    </row>
    <row r="3340" spans="20:21">
      <c r="T3340" s="9">
        <v>838.1</v>
      </c>
      <c r="U3340" s="4">
        <v>1</v>
      </c>
    </row>
    <row r="3341" spans="20:21">
      <c r="T3341" s="9">
        <v>838.2</v>
      </c>
      <c r="U3341" s="4">
        <v>1</v>
      </c>
    </row>
    <row r="3342" spans="20:21">
      <c r="T3342" s="9">
        <v>840.5</v>
      </c>
      <c r="U3342" s="4">
        <v>1</v>
      </c>
    </row>
    <row r="3343" spans="20:21">
      <c r="T3343" s="9">
        <v>840.8</v>
      </c>
      <c r="U3343" s="4">
        <v>1</v>
      </c>
    </row>
    <row r="3344" spans="20:21">
      <c r="T3344" s="9">
        <v>840.9</v>
      </c>
      <c r="U3344" s="4">
        <v>1</v>
      </c>
    </row>
    <row r="3345" spans="20:21">
      <c r="T3345" s="9">
        <v>841</v>
      </c>
      <c r="U3345" s="4">
        <v>1</v>
      </c>
    </row>
    <row r="3346" spans="20:21">
      <c r="T3346" s="9">
        <v>842.5</v>
      </c>
      <c r="U3346" s="4">
        <v>1</v>
      </c>
    </row>
    <row r="3347" spans="20:21">
      <c r="T3347" s="9">
        <v>843.4</v>
      </c>
      <c r="U3347" s="4">
        <v>1</v>
      </c>
    </row>
    <row r="3348" spans="20:21">
      <c r="T3348" s="9">
        <v>844.7</v>
      </c>
      <c r="U3348" s="4">
        <v>1</v>
      </c>
    </row>
    <row r="3349" spans="20:21">
      <c r="T3349" s="9">
        <v>845.5</v>
      </c>
      <c r="U3349" s="4">
        <v>1</v>
      </c>
    </row>
    <row r="3350" spans="20:21">
      <c r="T3350" s="9">
        <v>846.1</v>
      </c>
      <c r="U3350" s="4">
        <v>1</v>
      </c>
    </row>
    <row r="3351" spans="20:21">
      <c r="T3351" s="9">
        <v>847.4</v>
      </c>
      <c r="U3351" s="4">
        <v>1</v>
      </c>
    </row>
    <row r="3352" spans="20:21">
      <c r="T3352" s="9">
        <v>847.5</v>
      </c>
      <c r="U3352" s="4">
        <v>1</v>
      </c>
    </row>
    <row r="3353" spans="20:21">
      <c r="T3353" s="9">
        <v>848.1</v>
      </c>
      <c r="U3353" s="4">
        <v>1</v>
      </c>
    </row>
    <row r="3354" spans="20:21">
      <c r="T3354" s="9">
        <v>848.3</v>
      </c>
      <c r="U3354" s="4">
        <v>1</v>
      </c>
    </row>
    <row r="3355" spans="20:21">
      <c r="T3355" s="9">
        <v>848.4</v>
      </c>
      <c r="U3355" s="4">
        <v>1</v>
      </c>
    </row>
    <row r="3356" spans="20:21">
      <c r="T3356" s="9">
        <v>849</v>
      </c>
      <c r="U3356" s="4">
        <v>1</v>
      </c>
    </row>
    <row r="3357" spans="20:21">
      <c r="T3357" s="9">
        <v>851.4</v>
      </c>
      <c r="U3357" s="4">
        <v>1</v>
      </c>
    </row>
    <row r="3358" spans="20:21">
      <c r="T3358" s="9">
        <v>852.3</v>
      </c>
      <c r="U3358" s="4">
        <v>1</v>
      </c>
    </row>
    <row r="3359" spans="20:21">
      <c r="T3359" s="9">
        <v>852.6</v>
      </c>
      <c r="U3359" s="4">
        <v>1</v>
      </c>
    </row>
    <row r="3360" spans="20:21">
      <c r="T3360" s="9">
        <v>853.4</v>
      </c>
      <c r="U3360" s="4">
        <v>1</v>
      </c>
    </row>
    <row r="3361" spans="20:21">
      <c r="T3361" s="9">
        <v>854.1</v>
      </c>
      <c r="U3361" s="4">
        <v>1</v>
      </c>
    </row>
    <row r="3362" spans="20:21">
      <c r="T3362" s="9">
        <v>854.2</v>
      </c>
      <c r="U3362" s="4">
        <v>1</v>
      </c>
    </row>
    <row r="3363" spans="20:21">
      <c r="T3363" s="9">
        <v>854.9</v>
      </c>
      <c r="U3363" s="4">
        <v>1</v>
      </c>
    </row>
    <row r="3364" spans="20:21">
      <c r="T3364" s="9">
        <v>855</v>
      </c>
      <c r="U3364" s="4">
        <v>1</v>
      </c>
    </row>
    <row r="3365" spans="20:21">
      <c r="T3365" s="9">
        <v>855.4</v>
      </c>
      <c r="U3365" s="4">
        <v>1</v>
      </c>
    </row>
    <row r="3366" spans="20:21">
      <c r="T3366" s="9">
        <v>855.6</v>
      </c>
      <c r="U3366" s="4">
        <v>1</v>
      </c>
    </row>
    <row r="3367" spans="20:21">
      <c r="T3367" s="9">
        <v>855.9</v>
      </c>
      <c r="U3367" s="4">
        <v>1</v>
      </c>
    </row>
    <row r="3368" spans="20:21">
      <c r="T3368" s="9">
        <v>857</v>
      </c>
      <c r="U3368" s="4">
        <v>1</v>
      </c>
    </row>
    <row r="3369" spans="20:21">
      <c r="T3369" s="9">
        <v>857.2</v>
      </c>
      <c r="U3369" s="4">
        <v>1</v>
      </c>
    </row>
    <row r="3370" spans="20:21">
      <c r="T3370" s="9">
        <v>861.1</v>
      </c>
      <c r="U3370" s="4">
        <v>1</v>
      </c>
    </row>
    <row r="3371" spans="20:21">
      <c r="T3371" s="9">
        <v>861.5</v>
      </c>
      <c r="U3371" s="4">
        <v>1</v>
      </c>
    </row>
    <row r="3372" spans="20:21">
      <c r="T3372" s="9">
        <v>861.6</v>
      </c>
      <c r="U3372" s="4">
        <v>1</v>
      </c>
    </row>
    <row r="3373" spans="20:21">
      <c r="T3373" s="9">
        <v>862.2</v>
      </c>
      <c r="U3373" s="4">
        <v>1</v>
      </c>
    </row>
    <row r="3374" spans="20:21">
      <c r="T3374" s="9">
        <v>862.6</v>
      </c>
      <c r="U3374" s="4">
        <v>1</v>
      </c>
    </row>
    <row r="3375" spans="20:21">
      <c r="T3375" s="9">
        <v>863.5</v>
      </c>
      <c r="U3375" s="4">
        <v>1</v>
      </c>
    </row>
    <row r="3376" spans="20:21">
      <c r="T3376" s="9">
        <v>864.8</v>
      </c>
      <c r="U3376" s="4">
        <v>1</v>
      </c>
    </row>
    <row r="3377" spans="20:21">
      <c r="T3377" s="9">
        <v>864.9</v>
      </c>
      <c r="U3377" s="4">
        <v>1</v>
      </c>
    </row>
    <row r="3378" spans="20:21">
      <c r="T3378" s="9">
        <v>865</v>
      </c>
      <c r="U3378" s="4">
        <v>1</v>
      </c>
    </row>
    <row r="3379" spans="20:21">
      <c r="T3379" s="9">
        <v>865.2</v>
      </c>
      <c r="U3379" s="4">
        <v>1</v>
      </c>
    </row>
    <row r="3380" spans="20:21">
      <c r="T3380" s="9">
        <v>866.9</v>
      </c>
      <c r="U3380" s="4">
        <v>1</v>
      </c>
    </row>
    <row r="3381" spans="20:21">
      <c r="T3381" s="9">
        <v>868.3</v>
      </c>
      <c r="U3381" s="4">
        <v>1</v>
      </c>
    </row>
    <row r="3382" spans="20:21">
      <c r="T3382" s="9">
        <v>869.2</v>
      </c>
      <c r="U3382" s="4">
        <v>1</v>
      </c>
    </row>
    <row r="3383" spans="20:21">
      <c r="T3383" s="9">
        <v>869.4</v>
      </c>
      <c r="U3383" s="4">
        <v>1</v>
      </c>
    </row>
    <row r="3384" spans="20:21">
      <c r="T3384" s="9">
        <v>870.2</v>
      </c>
      <c r="U3384" s="4">
        <v>1</v>
      </c>
    </row>
    <row r="3385" spans="20:21">
      <c r="T3385" s="9">
        <v>870.6</v>
      </c>
      <c r="U3385" s="4">
        <v>1</v>
      </c>
    </row>
    <row r="3386" spans="20:21">
      <c r="T3386" s="9">
        <v>872.4</v>
      </c>
      <c r="U3386" s="4">
        <v>2</v>
      </c>
    </row>
    <row r="3387" spans="20:21">
      <c r="T3387" s="9">
        <v>875.8</v>
      </c>
      <c r="U3387" s="4">
        <v>1</v>
      </c>
    </row>
    <row r="3388" spans="20:21">
      <c r="T3388" s="9">
        <v>875.9</v>
      </c>
      <c r="U3388" s="4">
        <v>2</v>
      </c>
    </row>
    <row r="3389" spans="20:21">
      <c r="T3389" s="9">
        <v>876.1</v>
      </c>
      <c r="U3389" s="4">
        <v>1</v>
      </c>
    </row>
    <row r="3390" spans="20:21">
      <c r="T3390" s="9">
        <v>877.4</v>
      </c>
      <c r="U3390" s="4">
        <v>1</v>
      </c>
    </row>
    <row r="3391" spans="20:21">
      <c r="T3391" s="9">
        <v>878.1</v>
      </c>
      <c r="U3391" s="4">
        <v>1</v>
      </c>
    </row>
    <row r="3392" spans="20:21">
      <c r="T3392" s="9">
        <v>878.7</v>
      </c>
      <c r="U3392" s="4">
        <v>1</v>
      </c>
    </row>
    <row r="3393" spans="20:21">
      <c r="T3393" s="9">
        <v>879.5</v>
      </c>
      <c r="U3393" s="4">
        <v>1</v>
      </c>
    </row>
    <row r="3394" spans="20:21">
      <c r="T3394" s="9">
        <v>879.8</v>
      </c>
      <c r="U3394" s="4">
        <v>1</v>
      </c>
    </row>
    <row r="3395" spans="20:21">
      <c r="T3395" s="9">
        <v>880.2</v>
      </c>
      <c r="U3395" s="4">
        <v>2</v>
      </c>
    </row>
    <row r="3396" spans="20:21">
      <c r="T3396" s="9">
        <v>880.8</v>
      </c>
      <c r="U3396" s="4">
        <v>1</v>
      </c>
    </row>
    <row r="3397" spans="20:21">
      <c r="T3397" s="9">
        <v>881.2</v>
      </c>
      <c r="U3397" s="4">
        <v>1</v>
      </c>
    </row>
    <row r="3398" spans="20:21">
      <c r="T3398" s="9">
        <v>881.9</v>
      </c>
      <c r="U3398" s="4">
        <v>1</v>
      </c>
    </row>
    <row r="3399" spans="20:21">
      <c r="T3399" s="9">
        <v>882.3</v>
      </c>
      <c r="U3399" s="4">
        <v>1</v>
      </c>
    </row>
    <row r="3400" spans="20:21">
      <c r="T3400" s="9">
        <v>884.6</v>
      </c>
      <c r="U3400" s="4">
        <v>1</v>
      </c>
    </row>
    <row r="3401" spans="20:21">
      <c r="T3401" s="9">
        <v>886.1</v>
      </c>
      <c r="U3401" s="4">
        <v>1</v>
      </c>
    </row>
    <row r="3402" spans="20:21">
      <c r="T3402" s="9">
        <v>890.3</v>
      </c>
      <c r="U3402" s="4">
        <v>1</v>
      </c>
    </row>
    <row r="3403" spans="20:21">
      <c r="T3403" s="9">
        <v>890.9</v>
      </c>
      <c r="U3403" s="4">
        <v>1</v>
      </c>
    </row>
    <row r="3404" spans="20:21">
      <c r="T3404" s="9">
        <v>891.7</v>
      </c>
      <c r="U3404" s="4">
        <v>2</v>
      </c>
    </row>
    <row r="3405" spans="20:21">
      <c r="T3405" s="9">
        <v>892.9</v>
      </c>
      <c r="U3405" s="4">
        <v>1</v>
      </c>
    </row>
    <row r="3406" spans="20:21">
      <c r="T3406" s="9">
        <v>894.2</v>
      </c>
      <c r="U3406" s="4">
        <v>1</v>
      </c>
    </row>
    <row r="3407" spans="20:21">
      <c r="T3407" s="9">
        <v>894.5</v>
      </c>
      <c r="U3407" s="4">
        <v>1</v>
      </c>
    </row>
    <row r="3408" spans="20:21">
      <c r="T3408" s="9">
        <v>894.8</v>
      </c>
      <c r="U3408" s="4">
        <v>1</v>
      </c>
    </row>
    <row r="3409" spans="20:21">
      <c r="T3409" s="9">
        <v>896.6</v>
      </c>
      <c r="U3409" s="4">
        <v>1</v>
      </c>
    </row>
    <row r="3410" spans="20:21">
      <c r="T3410" s="9">
        <v>897.5</v>
      </c>
      <c r="U3410" s="4">
        <v>1</v>
      </c>
    </row>
    <row r="3411" spans="20:21">
      <c r="T3411" s="9">
        <v>899</v>
      </c>
      <c r="U3411" s="4">
        <v>1</v>
      </c>
    </row>
    <row r="3412" spans="20:21">
      <c r="T3412" s="9">
        <v>900</v>
      </c>
      <c r="U3412" s="4">
        <v>1</v>
      </c>
    </row>
    <row r="3413" spans="20:21">
      <c r="T3413" s="9">
        <v>901.8</v>
      </c>
      <c r="U3413" s="4">
        <v>1</v>
      </c>
    </row>
    <row r="3414" spans="20:21">
      <c r="T3414" s="9">
        <v>901.9</v>
      </c>
      <c r="U3414" s="4">
        <v>1</v>
      </c>
    </row>
    <row r="3415" spans="20:21">
      <c r="T3415" s="9">
        <v>902.1</v>
      </c>
      <c r="U3415" s="4">
        <v>1</v>
      </c>
    </row>
    <row r="3416" spans="20:21">
      <c r="T3416" s="9">
        <v>902.2</v>
      </c>
      <c r="U3416" s="4">
        <v>1</v>
      </c>
    </row>
    <row r="3417" spans="20:21">
      <c r="T3417" s="9">
        <v>902.9</v>
      </c>
      <c r="U3417" s="4">
        <v>1</v>
      </c>
    </row>
    <row r="3418" spans="20:21">
      <c r="T3418" s="9">
        <v>903.5</v>
      </c>
      <c r="U3418" s="4">
        <v>1</v>
      </c>
    </row>
    <row r="3419" spans="20:21">
      <c r="T3419" s="9">
        <v>905.4</v>
      </c>
      <c r="U3419" s="4">
        <v>1</v>
      </c>
    </row>
    <row r="3420" spans="20:21">
      <c r="T3420" s="9">
        <v>906.5</v>
      </c>
      <c r="U3420" s="4">
        <v>1</v>
      </c>
    </row>
    <row r="3421" spans="20:21">
      <c r="T3421" s="9">
        <v>906.6</v>
      </c>
      <c r="U3421" s="4">
        <v>1</v>
      </c>
    </row>
    <row r="3422" spans="20:21">
      <c r="T3422" s="9">
        <v>908.9</v>
      </c>
      <c r="U3422" s="4">
        <v>1</v>
      </c>
    </row>
    <row r="3423" spans="20:21">
      <c r="T3423" s="9">
        <v>910.2</v>
      </c>
      <c r="U3423" s="4">
        <v>1</v>
      </c>
    </row>
    <row r="3424" spans="20:21">
      <c r="T3424" s="9">
        <v>910.3</v>
      </c>
      <c r="U3424" s="4">
        <v>1</v>
      </c>
    </row>
    <row r="3425" spans="20:21">
      <c r="T3425" s="9">
        <v>913.8</v>
      </c>
      <c r="U3425" s="4">
        <v>1</v>
      </c>
    </row>
    <row r="3426" spans="20:21">
      <c r="T3426" s="9">
        <v>915.1</v>
      </c>
      <c r="U3426" s="4">
        <v>1</v>
      </c>
    </row>
    <row r="3427" spans="20:21">
      <c r="T3427" s="9">
        <v>915.6</v>
      </c>
      <c r="U3427" s="4">
        <v>1</v>
      </c>
    </row>
    <row r="3428" spans="20:21">
      <c r="T3428" s="9">
        <v>920.1</v>
      </c>
      <c r="U3428" s="4">
        <v>1</v>
      </c>
    </row>
    <row r="3429" spans="20:21">
      <c r="T3429" s="9">
        <v>921.5</v>
      </c>
      <c r="U3429" s="4">
        <v>1</v>
      </c>
    </row>
    <row r="3430" spans="20:21">
      <c r="T3430" s="9">
        <v>923</v>
      </c>
      <c r="U3430" s="4">
        <v>1</v>
      </c>
    </row>
    <row r="3431" spans="20:21">
      <c r="T3431" s="9">
        <v>923.1</v>
      </c>
      <c r="U3431" s="4">
        <v>1</v>
      </c>
    </row>
    <row r="3432" spans="20:21">
      <c r="T3432" s="9">
        <v>923.7</v>
      </c>
      <c r="U3432" s="4">
        <v>1</v>
      </c>
    </row>
    <row r="3433" spans="20:21">
      <c r="T3433" s="9">
        <v>924.5</v>
      </c>
      <c r="U3433" s="4">
        <v>1</v>
      </c>
    </row>
    <row r="3434" spans="20:21">
      <c r="T3434" s="9">
        <v>924.6</v>
      </c>
      <c r="U3434" s="4">
        <v>1</v>
      </c>
    </row>
    <row r="3435" spans="20:21">
      <c r="T3435" s="9">
        <v>924.7</v>
      </c>
      <c r="U3435" s="4">
        <v>2</v>
      </c>
    </row>
    <row r="3436" spans="20:21">
      <c r="T3436" s="9">
        <v>924.9</v>
      </c>
      <c r="U3436" s="4">
        <v>1</v>
      </c>
    </row>
    <row r="3437" spans="20:21">
      <c r="T3437" s="9">
        <v>925.4</v>
      </c>
      <c r="U3437" s="4">
        <v>1</v>
      </c>
    </row>
    <row r="3438" spans="20:21">
      <c r="T3438" s="9">
        <v>928.4</v>
      </c>
      <c r="U3438" s="4">
        <v>1</v>
      </c>
    </row>
    <row r="3439" spans="20:21">
      <c r="T3439" s="9">
        <v>929</v>
      </c>
      <c r="U3439" s="4">
        <v>1</v>
      </c>
    </row>
    <row r="3440" spans="20:21">
      <c r="T3440" s="9">
        <v>929.1</v>
      </c>
      <c r="U3440" s="4">
        <v>1</v>
      </c>
    </row>
    <row r="3441" spans="20:21">
      <c r="T3441" s="9">
        <v>930.8</v>
      </c>
      <c r="U3441" s="4">
        <v>1</v>
      </c>
    </row>
    <row r="3442" spans="20:21">
      <c r="T3442" s="9">
        <v>931</v>
      </c>
      <c r="U3442" s="4">
        <v>1</v>
      </c>
    </row>
    <row r="3443" spans="20:21">
      <c r="T3443" s="9">
        <v>931.8</v>
      </c>
      <c r="U3443" s="4">
        <v>1</v>
      </c>
    </row>
    <row r="3444" spans="20:21">
      <c r="T3444" s="9">
        <v>931.9</v>
      </c>
      <c r="U3444" s="4">
        <v>1</v>
      </c>
    </row>
    <row r="3445" spans="20:21">
      <c r="T3445" s="9">
        <v>932.6</v>
      </c>
      <c r="U3445" s="4">
        <v>1</v>
      </c>
    </row>
    <row r="3446" spans="20:21">
      <c r="T3446" s="9">
        <v>934.5</v>
      </c>
      <c r="U3446" s="4">
        <v>1</v>
      </c>
    </row>
    <row r="3447" spans="20:21">
      <c r="T3447" s="9">
        <v>934.8</v>
      </c>
      <c r="U3447" s="4">
        <v>1</v>
      </c>
    </row>
    <row r="3448" spans="20:21">
      <c r="T3448" s="9">
        <v>935.1</v>
      </c>
      <c r="U3448" s="4">
        <v>1</v>
      </c>
    </row>
    <row r="3449" spans="20:21">
      <c r="T3449" s="9">
        <v>935.8</v>
      </c>
      <c r="U3449" s="4">
        <v>1</v>
      </c>
    </row>
    <row r="3450" spans="20:21">
      <c r="T3450" s="9">
        <v>937.5</v>
      </c>
      <c r="U3450" s="4">
        <v>1</v>
      </c>
    </row>
    <row r="3451" spans="20:21">
      <c r="T3451" s="9">
        <v>937.8</v>
      </c>
      <c r="U3451" s="4">
        <v>2</v>
      </c>
    </row>
    <row r="3452" spans="20:21">
      <c r="T3452" s="9">
        <v>938.2</v>
      </c>
      <c r="U3452" s="4">
        <v>1</v>
      </c>
    </row>
    <row r="3453" spans="20:21">
      <c r="T3453" s="9">
        <v>939.6</v>
      </c>
      <c r="U3453" s="4">
        <v>1</v>
      </c>
    </row>
    <row r="3454" spans="20:21">
      <c r="T3454" s="9">
        <v>944.8</v>
      </c>
      <c r="U3454" s="4">
        <v>1</v>
      </c>
    </row>
    <row r="3455" spans="20:21">
      <c r="T3455" s="9">
        <v>945.5</v>
      </c>
      <c r="U3455" s="4">
        <v>1</v>
      </c>
    </row>
    <row r="3456" spans="20:21">
      <c r="T3456" s="9">
        <v>946.9</v>
      </c>
      <c r="U3456" s="4">
        <v>1</v>
      </c>
    </row>
    <row r="3457" spans="20:21">
      <c r="T3457" s="9">
        <v>948.1</v>
      </c>
      <c r="U3457" s="4">
        <v>1</v>
      </c>
    </row>
    <row r="3458" spans="20:21">
      <c r="T3458" s="9">
        <v>948.9</v>
      </c>
      <c r="U3458" s="4">
        <v>1</v>
      </c>
    </row>
    <row r="3459" spans="20:21">
      <c r="T3459" s="9">
        <v>949.2</v>
      </c>
      <c r="U3459" s="4">
        <v>1</v>
      </c>
    </row>
    <row r="3460" spans="20:21">
      <c r="T3460" s="9">
        <v>950</v>
      </c>
      <c r="U3460" s="4">
        <v>1</v>
      </c>
    </row>
    <row r="3461" spans="20:21">
      <c r="T3461" s="9">
        <v>950.1</v>
      </c>
      <c r="U3461" s="4">
        <v>1</v>
      </c>
    </row>
    <row r="3462" spans="20:21">
      <c r="T3462" s="9">
        <v>950.3</v>
      </c>
      <c r="U3462" s="4">
        <v>1</v>
      </c>
    </row>
    <row r="3463" spans="20:21">
      <c r="T3463" s="9">
        <v>953.3</v>
      </c>
      <c r="U3463" s="4">
        <v>1</v>
      </c>
    </row>
    <row r="3464" spans="20:21">
      <c r="T3464" s="9">
        <v>953.8</v>
      </c>
      <c r="U3464" s="4">
        <v>1</v>
      </c>
    </row>
    <row r="3465" spans="20:21">
      <c r="T3465" s="9">
        <v>955.9</v>
      </c>
      <c r="U3465" s="4">
        <v>1</v>
      </c>
    </row>
    <row r="3466" spans="20:21">
      <c r="T3466" s="9">
        <v>959.8</v>
      </c>
      <c r="U3466" s="4">
        <v>1</v>
      </c>
    </row>
    <row r="3467" spans="20:21">
      <c r="T3467" s="9">
        <v>959.9</v>
      </c>
      <c r="U3467" s="4">
        <v>1</v>
      </c>
    </row>
    <row r="3468" spans="20:21">
      <c r="T3468" s="9">
        <v>964.6</v>
      </c>
      <c r="U3468" s="4">
        <v>1</v>
      </c>
    </row>
    <row r="3469" spans="20:21">
      <c r="T3469" s="9">
        <v>966.8</v>
      </c>
      <c r="U3469" s="4">
        <v>1</v>
      </c>
    </row>
    <row r="3470" spans="20:21">
      <c r="T3470" s="9">
        <v>969.9</v>
      </c>
      <c r="U3470" s="4">
        <v>1</v>
      </c>
    </row>
    <row r="3471" spans="20:21">
      <c r="T3471" s="9">
        <v>970</v>
      </c>
      <c r="U3471" s="4">
        <v>1</v>
      </c>
    </row>
    <row r="3472" spans="20:21">
      <c r="T3472" s="9">
        <v>970.2</v>
      </c>
      <c r="U3472" s="4">
        <v>1</v>
      </c>
    </row>
    <row r="3473" spans="20:21">
      <c r="T3473" s="9">
        <v>971</v>
      </c>
      <c r="U3473" s="4">
        <v>2</v>
      </c>
    </row>
    <row r="3474" spans="20:21">
      <c r="T3474" s="9">
        <v>971.2</v>
      </c>
      <c r="U3474" s="4">
        <v>1</v>
      </c>
    </row>
    <row r="3475" spans="20:21">
      <c r="T3475" s="9">
        <v>981.7</v>
      </c>
      <c r="U3475" s="4">
        <v>1</v>
      </c>
    </row>
    <row r="3476" spans="20:21">
      <c r="T3476" s="9">
        <v>981.8</v>
      </c>
      <c r="U3476" s="4">
        <v>1</v>
      </c>
    </row>
    <row r="3477" spans="20:21">
      <c r="T3477" s="9">
        <v>982.2</v>
      </c>
      <c r="U3477" s="4">
        <v>1</v>
      </c>
    </row>
    <row r="3478" spans="20:21">
      <c r="T3478" s="9">
        <v>986.2</v>
      </c>
      <c r="U3478" s="4">
        <v>1</v>
      </c>
    </row>
    <row r="3479" spans="20:21">
      <c r="T3479" s="9">
        <v>986.9</v>
      </c>
      <c r="U3479" s="4">
        <v>1</v>
      </c>
    </row>
    <row r="3480" spans="20:21">
      <c r="T3480" s="9">
        <v>987.1</v>
      </c>
      <c r="U3480" s="4">
        <v>1</v>
      </c>
    </row>
    <row r="3481" spans="20:21">
      <c r="T3481" s="9">
        <v>987.4</v>
      </c>
      <c r="U3481" s="4">
        <v>1</v>
      </c>
    </row>
    <row r="3482" spans="20:21">
      <c r="T3482" s="9">
        <v>988.6</v>
      </c>
      <c r="U3482" s="4">
        <v>1</v>
      </c>
    </row>
    <row r="3483" spans="20:21">
      <c r="T3483" s="9">
        <v>989.2</v>
      </c>
      <c r="U3483" s="4">
        <v>1</v>
      </c>
    </row>
    <row r="3484" spans="20:21">
      <c r="T3484" s="9">
        <v>989.3</v>
      </c>
      <c r="U3484" s="4">
        <v>1</v>
      </c>
    </row>
    <row r="3485" spans="20:21">
      <c r="T3485" s="9">
        <v>991.8</v>
      </c>
      <c r="U3485" s="4">
        <v>1</v>
      </c>
    </row>
    <row r="3486" spans="20:21">
      <c r="T3486" s="9">
        <v>992.4</v>
      </c>
      <c r="U3486" s="4">
        <v>1</v>
      </c>
    </row>
    <row r="3487" spans="20:21">
      <c r="T3487" s="9">
        <v>992.6</v>
      </c>
      <c r="U3487" s="4">
        <v>1</v>
      </c>
    </row>
    <row r="3488" spans="20:21">
      <c r="T3488" s="9">
        <v>993.1</v>
      </c>
      <c r="U3488" s="4">
        <v>1</v>
      </c>
    </row>
    <row r="3489" spans="20:21">
      <c r="T3489" s="9">
        <v>996.6</v>
      </c>
      <c r="U3489" s="4">
        <v>1</v>
      </c>
    </row>
    <row r="3490" spans="20:21">
      <c r="T3490" s="9">
        <v>997.3</v>
      </c>
      <c r="U3490" s="4">
        <v>1</v>
      </c>
    </row>
    <row r="3491" spans="20:21">
      <c r="T3491" s="9">
        <v>998.9</v>
      </c>
      <c r="U3491" s="4">
        <v>1</v>
      </c>
    </row>
    <row r="3492" spans="20:21">
      <c r="T3492" s="9">
        <v>999.7</v>
      </c>
      <c r="U3492" s="4">
        <v>1</v>
      </c>
    </row>
    <row r="3493" spans="20:21">
      <c r="T3493" s="9">
        <v>999.9</v>
      </c>
      <c r="U3493" s="4">
        <v>1</v>
      </c>
    </row>
    <row r="3494" spans="20:21">
      <c r="T3494" s="9">
        <v>1001.3</v>
      </c>
      <c r="U3494" s="4">
        <v>1</v>
      </c>
    </row>
    <row r="3495" spans="20:21">
      <c r="T3495" s="9">
        <v>1002.8</v>
      </c>
      <c r="U3495" s="4">
        <v>1</v>
      </c>
    </row>
    <row r="3496" spans="20:21">
      <c r="T3496" s="9">
        <v>1003.9</v>
      </c>
      <c r="U3496" s="4">
        <v>1</v>
      </c>
    </row>
    <row r="3497" spans="20:21">
      <c r="T3497" s="9">
        <v>1005</v>
      </c>
      <c r="U3497" s="4">
        <v>1</v>
      </c>
    </row>
    <row r="3498" spans="20:21">
      <c r="T3498" s="9">
        <v>1005.1</v>
      </c>
      <c r="U3498" s="4">
        <v>1</v>
      </c>
    </row>
    <row r="3499" spans="20:21">
      <c r="T3499" s="9">
        <v>1006</v>
      </c>
      <c r="U3499" s="4">
        <v>1</v>
      </c>
    </row>
    <row r="3500" spans="20:21">
      <c r="T3500" s="9">
        <v>1006.6</v>
      </c>
      <c r="U3500" s="4">
        <v>1</v>
      </c>
    </row>
    <row r="3501" spans="20:21">
      <c r="T3501" s="9">
        <v>1007</v>
      </c>
      <c r="U3501" s="4">
        <v>1</v>
      </c>
    </row>
    <row r="3502" spans="20:21">
      <c r="T3502" s="9">
        <v>1007.7</v>
      </c>
      <c r="U3502" s="4">
        <v>1</v>
      </c>
    </row>
    <row r="3503" spans="20:21">
      <c r="T3503" s="9">
        <v>1008</v>
      </c>
      <c r="U3503" s="4">
        <v>1</v>
      </c>
    </row>
    <row r="3504" spans="20:21">
      <c r="T3504" s="9">
        <v>1008.4</v>
      </c>
      <c r="U3504" s="4">
        <v>1</v>
      </c>
    </row>
    <row r="3505" spans="20:21">
      <c r="T3505" s="9">
        <v>1009.9</v>
      </c>
      <c r="U3505" s="4">
        <v>1</v>
      </c>
    </row>
    <row r="3506" spans="20:21">
      <c r="T3506" s="9">
        <v>1010.8</v>
      </c>
      <c r="U3506" s="4">
        <v>2</v>
      </c>
    </row>
    <row r="3507" spans="20:21">
      <c r="T3507" s="9">
        <v>1014.5</v>
      </c>
      <c r="U3507" s="4">
        <v>1</v>
      </c>
    </row>
    <row r="3508" spans="20:21">
      <c r="T3508" s="9">
        <v>1016.5</v>
      </c>
      <c r="U3508" s="4">
        <v>1</v>
      </c>
    </row>
    <row r="3509" spans="20:21">
      <c r="T3509" s="9">
        <v>1022.5</v>
      </c>
      <c r="U3509" s="4">
        <v>1</v>
      </c>
    </row>
    <row r="3510" spans="20:21">
      <c r="T3510" s="9">
        <v>1025.3</v>
      </c>
      <c r="U3510" s="4">
        <v>1</v>
      </c>
    </row>
    <row r="3511" spans="20:21">
      <c r="T3511" s="9">
        <v>1027</v>
      </c>
      <c r="U3511" s="4">
        <v>1</v>
      </c>
    </row>
    <row r="3512" spans="20:21">
      <c r="T3512" s="9">
        <v>1028.7</v>
      </c>
      <c r="U3512" s="4">
        <v>1</v>
      </c>
    </row>
    <row r="3513" spans="20:21">
      <c r="T3513" s="9">
        <v>1035.5</v>
      </c>
      <c r="U3513" s="4">
        <v>1</v>
      </c>
    </row>
    <row r="3514" spans="20:21">
      <c r="T3514" s="9">
        <v>1040.8</v>
      </c>
      <c r="U3514" s="4">
        <v>1</v>
      </c>
    </row>
    <row r="3515" spans="20:21">
      <c r="T3515" s="9">
        <v>1042.8</v>
      </c>
      <c r="U3515" s="4">
        <v>1</v>
      </c>
    </row>
    <row r="3516" spans="20:21">
      <c r="T3516" s="9">
        <v>1050.3</v>
      </c>
      <c r="U3516" s="4">
        <v>2</v>
      </c>
    </row>
    <row r="3517" spans="20:21">
      <c r="T3517" s="9">
        <v>1051.9000000000001</v>
      </c>
      <c r="U3517" s="4">
        <v>1</v>
      </c>
    </row>
    <row r="3518" spans="20:21">
      <c r="T3518" s="9">
        <v>1056</v>
      </c>
      <c r="U3518" s="4">
        <v>1</v>
      </c>
    </row>
    <row r="3519" spans="20:21">
      <c r="T3519" s="9">
        <v>1058</v>
      </c>
      <c r="U3519" s="4">
        <v>1</v>
      </c>
    </row>
    <row r="3520" spans="20:21">
      <c r="T3520" s="9">
        <v>1058.3</v>
      </c>
      <c r="U3520" s="4">
        <v>1</v>
      </c>
    </row>
    <row r="3521" spans="20:21">
      <c r="T3521" s="9">
        <v>1060.0999999999999</v>
      </c>
      <c r="U3521" s="4">
        <v>1</v>
      </c>
    </row>
    <row r="3522" spans="20:21">
      <c r="T3522" s="9">
        <v>1061.9000000000001</v>
      </c>
      <c r="U3522" s="4">
        <v>1</v>
      </c>
    </row>
    <row r="3523" spans="20:21">
      <c r="T3523" s="9">
        <v>1069.2</v>
      </c>
      <c r="U3523" s="4">
        <v>1</v>
      </c>
    </row>
    <row r="3524" spans="20:21">
      <c r="T3524" s="9">
        <v>1070.5</v>
      </c>
      <c r="U3524" s="4">
        <v>1</v>
      </c>
    </row>
    <row r="3525" spans="20:21">
      <c r="T3525" s="9">
        <v>1071.8</v>
      </c>
      <c r="U3525" s="4">
        <v>1</v>
      </c>
    </row>
    <row r="3526" spans="20:21">
      <c r="T3526" s="9">
        <v>1074.3</v>
      </c>
      <c r="U3526" s="4">
        <v>1</v>
      </c>
    </row>
    <row r="3527" spans="20:21">
      <c r="T3527" s="9">
        <v>1076.4000000000001</v>
      </c>
      <c r="U3527" s="4">
        <v>1</v>
      </c>
    </row>
    <row r="3528" spans="20:21">
      <c r="T3528" s="9">
        <v>1080.9000000000001</v>
      </c>
      <c r="U3528" s="4">
        <v>1</v>
      </c>
    </row>
    <row r="3529" spans="20:21">
      <c r="T3529" s="9">
        <v>1082.3</v>
      </c>
      <c r="U3529" s="4">
        <v>1</v>
      </c>
    </row>
    <row r="3530" spans="20:21">
      <c r="T3530" s="9">
        <v>1084.2</v>
      </c>
      <c r="U3530" s="4">
        <v>1</v>
      </c>
    </row>
    <row r="3531" spans="20:21">
      <c r="T3531" s="9">
        <v>1084.8</v>
      </c>
      <c r="U3531" s="4">
        <v>1</v>
      </c>
    </row>
    <row r="3532" spans="20:21">
      <c r="T3532" s="9">
        <v>1085.7</v>
      </c>
      <c r="U3532" s="4">
        <v>1</v>
      </c>
    </row>
    <row r="3533" spans="20:21">
      <c r="T3533" s="9">
        <v>1090.9000000000001</v>
      </c>
      <c r="U3533" s="4">
        <v>1</v>
      </c>
    </row>
    <row r="3534" spans="20:21">
      <c r="T3534" s="9">
        <v>1091.5999999999999</v>
      </c>
      <c r="U3534" s="4">
        <v>1</v>
      </c>
    </row>
    <row r="3535" spans="20:21">
      <c r="T3535" s="9">
        <v>1094.7</v>
      </c>
      <c r="U3535" s="4">
        <v>1</v>
      </c>
    </row>
    <row r="3536" spans="20:21">
      <c r="T3536" s="9">
        <v>1103.7</v>
      </c>
      <c r="U3536" s="4">
        <v>1</v>
      </c>
    </row>
    <row r="3537" spans="20:21">
      <c r="T3537" s="9">
        <v>1106.5</v>
      </c>
      <c r="U3537" s="4">
        <v>1</v>
      </c>
    </row>
    <row r="3538" spans="20:21">
      <c r="T3538" s="9">
        <v>1115.0999999999999</v>
      </c>
      <c r="U3538" s="4">
        <v>1</v>
      </c>
    </row>
    <row r="3539" spans="20:21">
      <c r="T3539" s="9">
        <v>1118.8</v>
      </c>
      <c r="U3539" s="4">
        <v>1</v>
      </c>
    </row>
    <row r="3540" spans="20:21">
      <c r="T3540" s="9">
        <v>1123.7</v>
      </c>
      <c r="U3540" s="4">
        <v>1</v>
      </c>
    </row>
    <row r="3541" spans="20:21">
      <c r="T3541" s="9">
        <v>1124.5999999999999</v>
      </c>
      <c r="U3541" s="4">
        <v>1</v>
      </c>
    </row>
    <row r="3542" spans="20:21">
      <c r="T3542" s="9">
        <v>1128.9000000000001</v>
      </c>
      <c r="U3542" s="4">
        <v>1</v>
      </c>
    </row>
    <row r="3543" spans="20:21">
      <c r="T3543" s="9">
        <v>1129.8</v>
      </c>
      <c r="U3543" s="4">
        <v>1</v>
      </c>
    </row>
    <row r="3544" spans="20:21">
      <c r="T3544" s="9">
        <v>1131.9000000000001</v>
      </c>
      <c r="U3544" s="4">
        <v>1</v>
      </c>
    </row>
    <row r="3545" spans="20:21">
      <c r="T3545" s="9">
        <v>1132.0999999999999</v>
      </c>
      <c r="U3545" s="4">
        <v>1</v>
      </c>
    </row>
    <row r="3546" spans="20:21">
      <c r="T3546" s="9">
        <v>1132.8</v>
      </c>
      <c r="U3546" s="4">
        <v>1</v>
      </c>
    </row>
    <row r="3547" spans="20:21">
      <c r="T3547" s="9">
        <v>1142.9000000000001</v>
      </c>
      <c r="U3547" s="4">
        <v>1</v>
      </c>
    </row>
    <row r="3548" spans="20:21">
      <c r="T3548" s="9">
        <v>1146.5</v>
      </c>
      <c r="U3548" s="4">
        <v>1</v>
      </c>
    </row>
    <row r="3549" spans="20:21">
      <c r="T3549" s="9">
        <v>1150.0999999999999</v>
      </c>
      <c r="U3549" s="4">
        <v>1</v>
      </c>
    </row>
    <row r="3550" spans="20:21">
      <c r="T3550" s="9">
        <v>1151.4000000000001</v>
      </c>
      <c r="U3550" s="4">
        <v>1</v>
      </c>
    </row>
    <row r="3551" spans="20:21">
      <c r="T3551" s="9">
        <v>1153.8</v>
      </c>
      <c r="U3551" s="4">
        <v>1</v>
      </c>
    </row>
    <row r="3552" spans="20:21">
      <c r="T3552" s="9">
        <v>1154.3</v>
      </c>
      <c r="U3552" s="4">
        <v>1</v>
      </c>
    </row>
    <row r="3553" spans="20:21">
      <c r="T3553" s="9">
        <v>1155.5999999999999</v>
      </c>
      <c r="U3553" s="4">
        <v>1</v>
      </c>
    </row>
    <row r="3554" spans="20:21">
      <c r="T3554" s="9">
        <v>1156</v>
      </c>
      <c r="U3554" s="4">
        <v>1</v>
      </c>
    </row>
    <row r="3555" spans="20:21">
      <c r="T3555" s="9">
        <v>1156.2</v>
      </c>
      <c r="U3555" s="4">
        <v>1</v>
      </c>
    </row>
    <row r="3556" spans="20:21">
      <c r="T3556" s="9">
        <v>1157.9000000000001</v>
      </c>
      <c r="U3556" s="4">
        <v>1</v>
      </c>
    </row>
    <row r="3557" spans="20:21">
      <c r="T3557" s="9">
        <v>1161.2</v>
      </c>
      <c r="U3557" s="4">
        <v>1</v>
      </c>
    </row>
    <row r="3558" spans="20:21">
      <c r="T3558" s="9">
        <v>1162.9000000000001</v>
      </c>
      <c r="U3558" s="4">
        <v>1</v>
      </c>
    </row>
    <row r="3559" spans="20:21">
      <c r="T3559" s="9">
        <v>1168.3</v>
      </c>
      <c r="U3559" s="4">
        <v>1</v>
      </c>
    </row>
    <row r="3560" spans="20:21">
      <c r="T3560" s="9">
        <v>1173.3</v>
      </c>
      <c r="U3560" s="4">
        <v>1</v>
      </c>
    </row>
    <row r="3561" spans="20:21">
      <c r="T3561" s="9">
        <v>1187.7</v>
      </c>
      <c r="U3561" s="4">
        <v>1</v>
      </c>
    </row>
    <row r="3562" spans="20:21">
      <c r="T3562" s="9">
        <v>1194.9000000000001</v>
      </c>
      <c r="U3562" s="4">
        <v>1</v>
      </c>
    </row>
    <row r="3563" spans="20:21">
      <c r="T3563" s="9">
        <v>1195</v>
      </c>
      <c r="U3563" s="4">
        <v>1</v>
      </c>
    </row>
    <row r="3564" spans="20:21">
      <c r="T3564" s="9">
        <v>1200</v>
      </c>
      <c r="U3564" s="4">
        <v>1</v>
      </c>
    </row>
    <row r="3565" spans="20:21">
      <c r="T3565" s="9">
        <v>1201.8</v>
      </c>
      <c r="U3565" s="4">
        <v>1</v>
      </c>
    </row>
    <row r="3566" spans="20:21">
      <c r="T3566" s="9">
        <v>1203.5</v>
      </c>
      <c r="U3566" s="4">
        <v>1</v>
      </c>
    </row>
    <row r="3567" spans="20:21">
      <c r="T3567" s="9">
        <v>1214.7</v>
      </c>
      <c r="U3567" s="4">
        <v>1</v>
      </c>
    </row>
    <row r="3568" spans="20:21">
      <c r="T3568" s="9">
        <v>1216.9000000000001</v>
      </c>
      <c r="U3568" s="4">
        <v>1</v>
      </c>
    </row>
    <row r="3569" spans="20:21">
      <c r="T3569" s="9">
        <v>1228.4000000000001</v>
      </c>
      <c r="U3569" s="4">
        <v>1</v>
      </c>
    </row>
    <row r="3570" spans="20:21">
      <c r="T3570" s="9">
        <v>1229.5999999999999</v>
      </c>
      <c r="U3570" s="4">
        <v>1</v>
      </c>
    </row>
    <row r="3571" spans="20:21">
      <c r="T3571" s="9">
        <v>1236.2</v>
      </c>
      <c r="U3571" s="4">
        <v>1</v>
      </c>
    </row>
    <row r="3572" spans="20:21">
      <c r="T3572" s="9">
        <v>1241.0999999999999</v>
      </c>
      <c r="U3572" s="4">
        <v>1</v>
      </c>
    </row>
    <row r="3573" spans="20:21">
      <c r="T3573" s="9">
        <v>1255.5</v>
      </c>
      <c r="U3573" s="4">
        <v>1</v>
      </c>
    </row>
    <row r="3574" spans="20:21">
      <c r="T3574" s="9">
        <v>1264</v>
      </c>
      <c r="U3574" s="4">
        <v>1</v>
      </c>
    </row>
    <row r="3575" spans="20:21">
      <c r="T3575" s="9">
        <v>1265.4000000000001</v>
      </c>
      <c r="U3575" s="4">
        <v>1</v>
      </c>
    </row>
    <row r="3576" spans="20:21">
      <c r="T3576" s="9">
        <v>1277.5</v>
      </c>
      <c r="U3576" s="4">
        <v>1</v>
      </c>
    </row>
    <row r="3577" spans="20:21">
      <c r="T3577" s="9">
        <v>1279.3</v>
      </c>
      <c r="U3577" s="4">
        <v>1</v>
      </c>
    </row>
    <row r="3578" spans="20:21">
      <c r="T3578" s="9">
        <v>1288.5</v>
      </c>
      <c r="U3578" s="4">
        <v>1</v>
      </c>
    </row>
    <row r="3579" spans="20:21">
      <c r="T3579" s="9">
        <v>1290.9000000000001</v>
      </c>
      <c r="U3579" s="4">
        <v>1</v>
      </c>
    </row>
    <row r="3580" spans="20:21">
      <c r="T3580" s="9">
        <v>1291.3</v>
      </c>
      <c r="U3580" s="4">
        <v>1</v>
      </c>
    </row>
    <row r="3581" spans="20:21">
      <c r="T3581" s="9">
        <v>1298.2</v>
      </c>
      <c r="U3581" s="4">
        <v>1</v>
      </c>
    </row>
    <row r="3582" spans="20:21">
      <c r="T3582" s="9">
        <v>1298.8</v>
      </c>
      <c r="U3582" s="4">
        <v>1</v>
      </c>
    </row>
    <row r="3583" spans="20:21">
      <c r="T3583" s="9">
        <v>1301.2</v>
      </c>
      <c r="U3583" s="4">
        <v>1</v>
      </c>
    </row>
    <row r="3584" spans="20:21">
      <c r="T3584" s="9">
        <v>1302.3</v>
      </c>
      <c r="U3584" s="4">
        <v>1</v>
      </c>
    </row>
    <row r="3585" spans="20:21">
      <c r="T3585" s="9">
        <v>1305.7</v>
      </c>
      <c r="U3585" s="4">
        <v>1</v>
      </c>
    </row>
    <row r="3586" spans="20:21">
      <c r="T3586" s="9">
        <v>1306.5</v>
      </c>
      <c r="U3586" s="4">
        <v>1</v>
      </c>
    </row>
    <row r="3587" spans="20:21">
      <c r="T3587" s="9">
        <v>1320.2</v>
      </c>
      <c r="U3587" s="4">
        <v>1</v>
      </c>
    </row>
    <row r="3588" spans="20:21">
      <c r="T3588" s="9">
        <v>1321</v>
      </c>
      <c r="U3588" s="4">
        <v>1</v>
      </c>
    </row>
    <row r="3589" spans="20:21">
      <c r="T3589" s="9">
        <v>1325.8</v>
      </c>
      <c r="U3589" s="4">
        <v>1</v>
      </c>
    </row>
    <row r="3590" spans="20:21">
      <c r="T3590" s="9">
        <v>1327.2</v>
      </c>
      <c r="U3590" s="4">
        <v>1</v>
      </c>
    </row>
    <row r="3591" spans="20:21">
      <c r="T3591" s="9">
        <v>1331.1</v>
      </c>
      <c r="U3591" s="4">
        <v>1</v>
      </c>
    </row>
    <row r="3592" spans="20:21">
      <c r="T3592" s="9">
        <v>1343.4</v>
      </c>
      <c r="U3592" s="4">
        <v>1</v>
      </c>
    </row>
    <row r="3593" spans="20:21">
      <c r="T3593" s="9">
        <v>1345.2</v>
      </c>
      <c r="U3593" s="4">
        <v>1</v>
      </c>
    </row>
    <row r="3594" spans="20:21">
      <c r="T3594" s="9">
        <v>1348.6</v>
      </c>
      <c r="U3594" s="4">
        <v>1</v>
      </c>
    </row>
    <row r="3595" spans="20:21">
      <c r="T3595" s="9">
        <v>1348.8</v>
      </c>
      <c r="U3595" s="4">
        <v>1</v>
      </c>
    </row>
    <row r="3596" spans="20:21">
      <c r="T3596" s="9">
        <v>1358.5</v>
      </c>
      <c r="U3596" s="4">
        <v>1</v>
      </c>
    </row>
    <row r="3597" spans="20:21">
      <c r="T3597" s="9">
        <v>1378.1</v>
      </c>
      <c r="U3597" s="4">
        <v>1</v>
      </c>
    </row>
    <row r="3598" spans="20:21">
      <c r="T3598" s="9">
        <v>1378.8</v>
      </c>
      <c r="U3598" s="4">
        <v>1</v>
      </c>
    </row>
    <row r="3599" spans="20:21">
      <c r="T3599" s="9">
        <v>1392.3</v>
      </c>
      <c r="U3599" s="4">
        <v>1</v>
      </c>
    </row>
    <row r="3600" spans="20:21">
      <c r="T3600" s="9">
        <v>1392.7</v>
      </c>
      <c r="U3600" s="4">
        <v>1</v>
      </c>
    </row>
    <row r="3601" spans="20:21">
      <c r="T3601" s="9">
        <v>1407.9</v>
      </c>
      <c r="U3601" s="4">
        <v>1</v>
      </c>
    </row>
    <row r="3602" spans="20:21">
      <c r="T3602" s="9">
        <v>1417.7</v>
      </c>
      <c r="U3602" s="4">
        <v>1</v>
      </c>
    </row>
    <row r="3603" spans="20:21">
      <c r="T3603" s="9">
        <v>1456.7</v>
      </c>
      <c r="U3603" s="4">
        <v>1</v>
      </c>
    </row>
    <row r="3604" spans="20:21">
      <c r="T3604" s="9">
        <v>1489.3</v>
      </c>
      <c r="U3604" s="4">
        <v>1</v>
      </c>
    </row>
    <row r="3605" spans="20:21">
      <c r="T3605" s="9">
        <v>1509</v>
      </c>
      <c r="U3605" s="4">
        <v>1</v>
      </c>
    </row>
    <row r="3606" spans="20:21">
      <c r="T3606" s="9">
        <v>1510</v>
      </c>
      <c r="U3606" s="4">
        <v>1</v>
      </c>
    </row>
    <row r="3607" spans="20:21">
      <c r="T3607" s="9">
        <v>1539.7</v>
      </c>
      <c r="U3607" s="4">
        <v>1</v>
      </c>
    </row>
    <row r="3608" spans="20:21">
      <c r="T3608" s="9">
        <v>1570.2</v>
      </c>
      <c r="U3608" s="4">
        <v>1</v>
      </c>
    </row>
    <row r="3609" spans="20:21">
      <c r="T3609" s="9">
        <v>1577.6</v>
      </c>
      <c r="U3609" s="4">
        <v>1</v>
      </c>
    </row>
    <row r="3610" spans="20:21">
      <c r="T3610" s="9">
        <v>1645.1</v>
      </c>
      <c r="U3610" s="4">
        <v>1</v>
      </c>
    </row>
    <row r="3611" spans="20:21">
      <c r="T3611" s="9">
        <v>1675.6</v>
      </c>
      <c r="U3611" s="4">
        <v>1</v>
      </c>
    </row>
    <row r="3612" spans="20:21">
      <c r="T3612" s="9">
        <v>1686.7</v>
      </c>
      <c r="U3612" s="4">
        <v>1</v>
      </c>
    </row>
    <row r="3613" spans="20:21">
      <c r="T3613" s="9">
        <v>1704.7</v>
      </c>
      <c r="U3613" s="4">
        <v>1</v>
      </c>
    </row>
    <row r="3614" spans="20:21">
      <c r="T3614" s="9">
        <v>1775.3</v>
      </c>
      <c r="U3614" s="4">
        <v>1</v>
      </c>
    </row>
    <row r="3615" spans="20:21">
      <c r="T3615" s="9">
        <v>1778.6</v>
      </c>
      <c r="U3615" s="4">
        <v>1</v>
      </c>
    </row>
    <row r="3616" spans="20:21">
      <c r="T3616" s="9">
        <v>1839.2</v>
      </c>
      <c r="U3616" s="4">
        <v>1</v>
      </c>
    </row>
    <row r="3617" spans="20:21">
      <c r="T3617" s="9">
        <v>2235.3000000000002</v>
      </c>
      <c r="U3617" s="4">
        <v>1</v>
      </c>
    </row>
  </sheetData>
  <mergeCells count="4">
    <mergeCell ref="L2:L3"/>
    <mergeCell ref="U1:U2"/>
    <mergeCell ref="L24:L25"/>
    <mergeCell ref="L45:L46"/>
  </mergeCells>
  <pageMargins left="0.7" right="0.7" top="0.75" bottom="0.75" header="0.3" footer="0.3"/>
  <pageSetup paperSize="9" orientation="portrait" horizontalDpi="1200" verticalDpi="1200" r:id="rId2"/>
  <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'Сводная таблица для А'!L4:L20</xm:f>
              <xm:sqref>L2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'Сводная таблица для А'!L26:L41</xm:f>
              <xm:sqref>L24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'Сводная таблица для А'!U3:U3617</xm:f>
              <xm:sqref>U1</xm:sqref>
            </x14:sparkline>
          </x14:sparklines>
        </x14:sparklineGroup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'Сводная таблица для А'!L47:L50</xm:f>
              <xm:sqref>L45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1"/>
  <sheetViews>
    <sheetView zoomScale="85" zoomScaleNormal="85" workbookViewId="0">
      <selection activeCell="B9" sqref="B9"/>
    </sheetView>
  </sheetViews>
  <sheetFormatPr defaultRowHeight="14.4" outlineLevelCol="1"/>
  <cols>
    <col min="1" max="1" width="16.88671875" customWidth="1"/>
    <col min="2" max="2" width="45.77734375" customWidth="1"/>
    <col min="3" max="3" width="18.109375" customWidth="1"/>
    <col min="4" max="4" width="9" customWidth="1"/>
    <col min="5" max="5" width="16.33203125" customWidth="1"/>
    <col min="6" max="6" width="14" customWidth="1" outlineLevel="1"/>
    <col min="7" max="7" width="7.88671875" customWidth="1" outlineLevel="1"/>
    <col min="8" max="8" width="8.88671875" customWidth="1" outlineLevel="1"/>
    <col min="9" max="9" width="41.44140625" customWidth="1" outlineLevel="1"/>
    <col min="10" max="10" width="10.6640625" customWidth="1" outlineLevel="1"/>
    <col min="11" max="11" width="10" customWidth="1" outlineLevel="1"/>
    <col min="12" max="14" width="8.88671875" customWidth="1" outlineLevel="1"/>
    <col min="15" max="15" width="11.21875" customWidth="1"/>
    <col min="16" max="16" width="12.6640625" customWidth="1"/>
    <col min="19" max="19" width="23.5546875" customWidth="1"/>
    <col min="20" max="21" width="14.109375" customWidth="1"/>
  </cols>
  <sheetData>
    <row r="1" spans="1:21">
      <c r="A1" t="s">
        <v>0</v>
      </c>
      <c r="B1" t="s">
        <v>32</v>
      </c>
      <c r="C1" t="s">
        <v>33</v>
      </c>
      <c r="E1" t="s">
        <v>60</v>
      </c>
      <c r="F1" s="7" t="s">
        <v>56</v>
      </c>
      <c r="G1" s="7" t="s">
        <v>59</v>
      </c>
      <c r="I1" t="s">
        <v>57</v>
      </c>
      <c r="J1" s="3">
        <f>MIN(F:F)</f>
        <v>45658</v>
      </c>
      <c r="K1" s="3">
        <f>MAX(F:F)</f>
        <v>45837</v>
      </c>
      <c r="P1" s="9"/>
      <c r="Q1" s="4"/>
      <c r="T1" s="9"/>
      <c r="U1" s="9"/>
    </row>
    <row r="2" spans="1:21">
      <c r="A2" t="s">
        <v>34</v>
      </c>
      <c r="B2" t="s">
        <v>35</v>
      </c>
      <c r="C2" t="s">
        <v>36</v>
      </c>
      <c r="F2" s="3">
        <v>45658</v>
      </c>
      <c r="G2" s="4">
        <v>23</v>
      </c>
      <c r="I2" t="s">
        <v>58</v>
      </c>
      <c r="J2" s="8">
        <f>AVERAGE(G:G)</f>
        <v>27.777777777777779</v>
      </c>
      <c r="P2" s="9"/>
      <c r="Q2" s="4"/>
      <c r="T2" s="9"/>
    </row>
    <row r="3" spans="1:21">
      <c r="A3" t="s">
        <v>2</v>
      </c>
      <c r="B3" t="s">
        <v>37</v>
      </c>
      <c r="C3" t="s">
        <v>33</v>
      </c>
      <c r="F3" s="3">
        <v>45659</v>
      </c>
      <c r="G3" s="4">
        <v>29</v>
      </c>
      <c r="P3" s="9"/>
      <c r="Q3" s="4"/>
      <c r="T3" s="9"/>
    </row>
    <row r="4" spans="1:21">
      <c r="A4" t="s">
        <v>3</v>
      </c>
      <c r="B4" t="s">
        <v>38</v>
      </c>
      <c r="C4" t="s">
        <v>39</v>
      </c>
      <c r="F4" s="3">
        <v>45660</v>
      </c>
      <c r="G4" s="4">
        <v>31</v>
      </c>
      <c r="P4" s="9"/>
      <c r="Q4" s="4"/>
      <c r="T4" s="10"/>
    </row>
    <row r="5" spans="1:21">
      <c r="A5" t="s">
        <v>4</v>
      </c>
      <c r="B5" t="s">
        <v>40</v>
      </c>
      <c r="C5" t="s">
        <v>39</v>
      </c>
      <c r="F5" s="3">
        <v>45661</v>
      </c>
      <c r="G5" s="4">
        <v>26</v>
      </c>
      <c r="P5" s="9"/>
      <c r="Q5" s="4"/>
      <c r="T5" s="10"/>
    </row>
    <row r="6" spans="1:21">
      <c r="A6" t="s">
        <v>5</v>
      </c>
      <c r="B6" t="s">
        <v>41</v>
      </c>
      <c r="C6" t="s">
        <v>39</v>
      </c>
      <c r="F6" s="3">
        <v>45662</v>
      </c>
      <c r="G6" s="4">
        <v>33</v>
      </c>
      <c r="P6" s="9"/>
      <c r="Q6" s="4"/>
    </row>
    <row r="7" spans="1:21">
      <c r="A7" t="s">
        <v>6</v>
      </c>
      <c r="B7" t="s">
        <v>42</v>
      </c>
      <c r="C7" t="s">
        <v>39</v>
      </c>
      <c r="F7" s="3">
        <v>45663</v>
      </c>
      <c r="G7" s="4">
        <v>24</v>
      </c>
      <c r="P7" s="9"/>
      <c r="Q7" s="4"/>
    </row>
    <row r="8" spans="1:21">
      <c r="A8" t="s">
        <v>7</v>
      </c>
      <c r="B8" t="s">
        <v>43</v>
      </c>
      <c r="C8" t="s">
        <v>44</v>
      </c>
      <c r="F8" s="3">
        <v>45664</v>
      </c>
      <c r="G8" s="4">
        <v>22</v>
      </c>
      <c r="P8" s="9"/>
      <c r="Q8" s="4"/>
    </row>
    <row r="9" spans="1:21">
      <c r="A9" t="s">
        <v>8</v>
      </c>
      <c r="B9" t="s">
        <v>45</v>
      </c>
      <c r="C9" t="s">
        <v>33</v>
      </c>
      <c r="F9" s="3">
        <v>45665</v>
      </c>
      <c r="G9" s="4">
        <v>38</v>
      </c>
      <c r="P9" s="9"/>
      <c r="Q9" s="4"/>
    </row>
    <row r="10" spans="1:21">
      <c r="A10" t="s">
        <v>9</v>
      </c>
      <c r="B10" t="s">
        <v>46</v>
      </c>
      <c r="C10" t="s">
        <v>47</v>
      </c>
      <c r="F10" s="3">
        <v>45666</v>
      </c>
      <c r="G10" s="4">
        <v>23</v>
      </c>
      <c r="P10" s="9"/>
      <c r="Q10" s="4"/>
    </row>
    <row r="11" spans="1:21">
      <c r="A11" t="s">
        <v>10</v>
      </c>
      <c r="B11" t="s">
        <v>48</v>
      </c>
      <c r="C11" t="s">
        <v>44</v>
      </c>
      <c r="F11" s="3">
        <v>45667</v>
      </c>
      <c r="G11" s="4">
        <v>30</v>
      </c>
      <c r="P11" s="9"/>
      <c r="Q11" s="4"/>
    </row>
    <row r="12" spans="1:21">
      <c r="A12" t="s">
        <v>11</v>
      </c>
      <c r="B12" t="s">
        <v>49</v>
      </c>
      <c r="C12" t="s">
        <v>33</v>
      </c>
      <c r="F12" s="3">
        <v>45668</v>
      </c>
      <c r="G12" s="4">
        <v>32</v>
      </c>
      <c r="P12" s="9"/>
      <c r="Q12" s="4"/>
    </row>
    <row r="13" spans="1:21">
      <c r="A13" t="s">
        <v>12</v>
      </c>
      <c r="B13" t="s">
        <v>50</v>
      </c>
      <c r="C13" t="s">
        <v>33</v>
      </c>
      <c r="F13" s="3">
        <v>45669</v>
      </c>
      <c r="G13" s="4">
        <v>34</v>
      </c>
      <c r="P13" s="9"/>
      <c r="Q13" s="4"/>
    </row>
    <row r="14" spans="1:21">
      <c r="A14" t="s">
        <v>13</v>
      </c>
      <c r="B14" t="s">
        <v>51</v>
      </c>
      <c r="C14" t="s">
        <v>33</v>
      </c>
      <c r="F14" s="3">
        <v>45670</v>
      </c>
      <c r="G14" s="4">
        <v>41</v>
      </c>
      <c r="P14" s="9"/>
      <c r="Q14" s="4"/>
    </row>
    <row r="15" spans="1:21">
      <c r="F15" s="3">
        <v>45671</v>
      </c>
      <c r="G15" s="4">
        <v>31</v>
      </c>
      <c r="P15" s="9"/>
      <c r="Q15" s="4"/>
    </row>
    <row r="16" spans="1:21">
      <c r="F16" s="3">
        <v>45672</v>
      </c>
      <c r="G16" s="4">
        <v>32</v>
      </c>
      <c r="P16" s="9"/>
      <c r="Q16" s="4"/>
    </row>
    <row r="17" spans="6:17">
      <c r="F17" s="3">
        <v>45673</v>
      </c>
      <c r="G17" s="4">
        <v>32</v>
      </c>
      <c r="P17" s="9"/>
      <c r="Q17" s="4"/>
    </row>
    <row r="18" spans="6:17">
      <c r="F18" s="3">
        <v>45674</v>
      </c>
      <c r="G18" s="4">
        <v>24</v>
      </c>
      <c r="P18" s="9"/>
      <c r="Q18" s="4"/>
    </row>
    <row r="19" spans="6:17">
      <c r="F19" s="3">
        <v>45675</v>
      </c>
      <c r="G19" s="4">
        <v>20</v>
      </c>
      <c r="P19" s="9"/>
      <c r="Q19" s="4"/>
    </row>
    <row r="20" spans="6:17">
      <c r="F20" s="3">
        <v>45676</v>
      </c>
      <c r="G20" s="4">
        <v>32</v>
      </c>
      <c r="P20" s="9"/>
      <c r="Q20" s="4"/>
    </row>
    <row r="21" spans="6:17">
      <c r="F21" s="3">
        <v>45677</v>
      </c>
      <c r="G21" s="4">
        <v>25</v>
      </c>
      <c r="P21" s="9"/>
      <c r="Q21" s="4"/>
    </row>
    <row r="22" spans="6:17">
      <c r="F22" s="3">
        <v>45678</v>
      </c>
      <c r="G22" s="4">
        <v>25</v>
      </c>
      <c r="P22" s="9"/>
      <c r="Q22" s="4"/>
    </row>
    <row r="23" spans="6:17">
      <c r="F23" s="3">
        <v>45679</v>
      </c>
      <c r="G23" s="4">
        <v>36</v>
      </c>
      <c r="P23" s="9"/>
      <c r="Q23" s="4"/>
    </row>
    <row r="24" spans="6:17">
      <c r="F24" s="3">
        <v>45680</v>
      </c>
      <c r="G24" s="4">
        <v>25</v>
      </c>
      <c r="P24" s="9"/>
      <c r="Q24" s="4"/>
    </row>
    <row r="25" spans="6:17">
      <c r="F25" s="3">
        <v>45681</v>
      </c>
      <c r="G25" s="4">
        <v>30</v>
      </c>
      <c r="P25" s="9"/>
      <c r="Q25" s="4"/>
    </row>
    <row r="26" spans="6:17">
      <c r="F26" s="3">
        <v>45682</v>
      </c>
      <c r="G26" s="4">
        <v>23</v>
      </c>
      <c r="P26" s="9"/>
      <c r="Q26" s="4"/>
    </row>
    <row r="27" spans="6:17">
      <c r="F27" s="3">
        <v>45683</v>
      </c>
      <c r="G27" s="4">
        <v>34</v>
      </c>
      <c r="P27" s="9"/>
      <c r="Q27" s="4"/>
    </row>
    <row r="28" spans="6:17">
      <c r="F28" s="3">
        <v>45684</v>
      </c>
      <c r="G28" s="4">
        <v>20</v>
      </c>
      <c r="P28" s="9"/>
      <c r="Q28" s="4"/>
    </row>
    <row r="29" spans="6:17">
      <c r="F29" s="3">
        <v>45685</v>
      </c>
      <c r="G29" s="4">
        <v>30</v>
      </c>
      <c r="P29" s="9"/>
      <c r="Q29" s="4"/>
    </row>
    <row r="30" spans="6:17">
      <c r="F30" s="3">
        <v>45686</v>
      </c>
      <c r="G30" s="4">
        <v>27</v>
      </c>
      <c r="P30" s="9"/>
      <c r="Q30" s="4"/>
    </row>
    <row r="31" spans="6:17">
      <c r="F31" s="3">
        <v>45687</v>
      </c>
      <c r="G31" s="4">
        <v>33</v>
      </c>
      <c r="P31" s="9"/>
      <c r="Q31" s="4"/>
    </row>
    <row r="32" spans="6:17">
      <c r="F32" s="3">
        <v>45688</v>
      </c>
      <c r="G32" s="4">
        <v>29</v>
      </c>
      <c r="P32" s="9"/>
      <c r="Q32" s="4"/>
    </row>
    <row r="33" spans="6:17">
      <c r="F33" s="3">
        <v>45689</v>
      </c>
      <c r="G33" s="4">
        <v>30</v>
      </c>
      <c r="P33" s="9"/>
      <c r="Q33" s="4"/>
    </row>
    <row r="34" spans="6:17">
      <c r="F34" s="3">
        <v>45690</v>
      </c>
      <c r="G34" s="4">
        <v>28</v>
      </c>
      <c r="P34" s="9"/>
      <c r="Q34" s="4"/>
    </row>
    <row r="35" spans="6:17">
      <c r="F35" s="3">
        <v>45691</v>
      </c>
      <c r="G35" s="4">
        <v>33</v>
      </c>
      <c r="P35" s="9"/>
      <c r="Q35" s="4"/>
    </row>
    <row r="36" spans="6:17">
      <c r="F36" s="3">
        <v>45692</v>
      </c>
      <c r="G36" s="4">
        <v>14</v>
      </c>
      <c r="P36" s="9"/>
      <c r="Q36" s="4"/>
    </row>
    <row r="37" spans="6:17">
      <c r="F37" s="3">
        <v>45693</v>
      </c>
      <c r="G37" s="4">
        <v>30</v>
      </c>
      <c r="P37" s="9"/>
      <c r="Q37" s="4"/>
    </row>
    <row r="38" spans="6:17">
      <c r="F38" s="3">
        <v>45694</v>
      </c>
      <c r="G38" s="4">
        <v>29</v>
      </c>
      <c r="P38" s="9"/>
      <c r="Q38" s="4"/>
    </row>
    <row r="39" spans="6:17">
      <c r="F39" s="3">
        <v>45695</v>
      </c>
      <c r="G39" s="4">
        <v>27</v>
      </c>
      <c r="P39" s="9"/>
      <c r="Q39" s="4"/>
    </row>
    <row r="40" spans="6:17">
      <c r="F40" s="3">
        <v>45696</v>
      </c>
      <c r="G40" s="4">
        <v>24</v>
      </c>
      <c r="P40" s="9"/>
      <c r="Q40" s="4"/>
    </row>
    <row r="41" spans="6:17">
      <c r="F41" s="3">
        <v>45697</v>
      </c>
      <c r="G41" s="4">
        <v>28</v>
      </c>
      <c r="P41" s="9"/>
      <c r="Q41" s="4"/>
    </row>
    <row r="42" spans="6:17">
      <c r="F42" s="3">
        <v>45698</v>
      </c>
      <c r="G42" s="4">
        <v>25</v>
      </c>
      <c r="P42" s="9"/>
      <c r="Q42" s="4"/>
    </row>
    <row r="43" spans="6:17">
      <c r="F43" s="3">
        <v>45699</v>
      </c>
      <c r="G43" s="4">
        <v>31</v>
      </c>
      <c r="P43" s="9"/>
      <c r="Q43" s="4"/>
    </row>
    <row r="44" spans="6:17">
      <c r="F44" s="3">
        <v>45700</v>
      </c>
      <c r="G44" s="4">
        <v>26</v>
      </c>
      <c r="P44" s="9"/>
      <c r="Q44" s="4"/>
    </row>
    <row r="45" spans="6:17">
      <c r="F45" s="3">
        <v>45701</v>
      </c>
      <c r="G45" s="4">
        <v>32</v>
      </c>
      <c r="P45" s="9"/>
      <c r="Q45" s="4"/>
    </row>
    <row r="46" spans="6:17">
      <c r="F46" s="3">
        <v>45702</v>
      </c>
      <c r="G46" s="4">
        <v>32</v>
      </c>
      <c r="P46" s="9"/>
      <c r="Q46" s="4"/>
    </row>
    <row r="47" spans="6:17">
      <c r="F47" s="3">
        <v>45703</v>
      </c>
      <c r="G47" s="4">
        <v>23</v>
      </c>
      <c r="P47" s="9"/>
      <c r="Q47" s="4"/>
    </row>
    <row r="48" spans="6:17">
      <c r="F48" s="3">
        <v>45704</v>
      </c>
      <c r="G48" s="4">
        <v>33</v>
      </c>
      <c r="P48" s="9"/>
      <c r="Q48" s="4"/>
    </row>
    <row r="49" spans="6:17">
      <c r="F49" s="3">
        <v>45705</v>
      </c>
      <c r="G49" s="4">
        <v>16</v>
      </c>
      <c r="P49" s="9"/>
      <c r="Q49" s="4"/>
    </row>
    <row r="50" spans="6:17">
      <c r="F50" s="3">
        <v>45706</v>
      </c>
      <c r="G50" s="4">
        <v>34</v>
      </c>
      <c r="P50" s="9"/>
      <c r="Q50" s="4"/>
    </row>
    <row r="51" spans="6:17">
      <c r="F51" s="3">
        <v>45707</v>
      </c>
      <c r="G51" s="4">
        <v>30</v>
      </c>
      <c r="P51" s="9"/>
      <c r="Q51" s="4"/>
    </row>
    <row r="52" spans="6:17">
      <c r="F52" s="3">
        <v>45708</v>
      </c>
      <c r="G52" s="4">
        <v>27</v>
      </c>
      <c r="P52" s="9"/>
      <c r="Q52" s="4"/>
    </row>
    <row r="53" spans="6:17">
      <c r="F53" s="3">
        <v>45709</v>
      </c>
      <c r="G53" s="4">
        <v>28</v>
      </c>
      <c r="P53" s="9"/>
      <c r="Q53" s="4"/>
    </row>
    <row r="54" spans="6:17">
      <c r="F54" s="3">
        <v>45710</v>
      </c>
      <c r="G54" s="4">
        <v>23</v>
      </c>
      <c r="P54" s="9"/>
      <c r="Q54" s="4"/>
    </row>
    <row r="55" spans="6:17">
      <c r="F55" s="3">
        <v>45711</v>
      </c>
      <c r="G55" s="4">
        <v>34</v>
      </c>
      <c r="P55" s="9"/>
      <c r="Q55" s="4"/>
    </row>
    <row r="56" spans="6:17">
      <c r="F56" s="3">
        <v>45712</v>
      </c>
      <c r="G56" s="4">
        <v>23</v>
      </c>
      <c r="P56" s="9"/>
      <c r="Q56" s="4"/>
    </row>
    <row r="57" spans="6:17">
      <c r="F57" s="3">
        <v>45713</v>
      </c>
      <c r="G57" s="4">
        <v>23</v>
      </c>
      <c r="P57" s="9"/>
      <c r="Q57" s="4"/>
    </row>
    <row r="58" spans="6:17">
      <c r="F58" s="3">
        <v>45714</v>
      </c>
      <c r="G58" s="4">
        <v>31</v>
      </c>
      <c r="P58" s="9"/>
      <c r="Q58" s="4"/>
    </row>
    <row r="59" spans="6:17">
      <c r="F59" s="3">
        <v>45715</v>
      </c>
      <c r="G59" s="4">
        <v>20</v>
      </c>
      <c r="P59" s="9"/>
      <c r="Q59" s="4"/>
    </row>
    <row r="60" spans="6:17">
      <c r="F60" s="3">
        <v>45716</v>
      </c>
      <c r="G60" s="4">
        <v>30</v>
      </c>
      <c r="P60" s="9"/>
      <c r="Q60" s="4"/>
    </row>
    <row r="61" spans="6:17">
      <c r="F61" s="3">
        <v>45717</v>
      </c>
      <c r="G61" s="4">
        <v>20</v>
      </c>
      <c r="P61" s="9"/>
      <c r="Q61" s="4"/>
    </row>
    <row r="62" spans="6:17">
      <c r="F62" s="3">
        <v>45718</v>
      </c>
      <c r="G62" s="4">
        <v>29</v>
      </c>
      <c r="P62" s="9"/>
      <c r="Q62" s="4"/>
    </row>
    <row r="63" spans="6:17">
      <c r="F63" s="3">
        <v>45719</v>
      </c>
      <c r="G63" s="4">
        <v>32</v>
      </c>
      <c r="P63" s="9"/>
      <c r="Q63" s="4"/>
    </row>
    <row r="64" spans="6:17">
      <c r="F64" s="3">
        <v>45720</v>
      </c>
      <c r="G64" s="4">
        <v>32</v>
      </c>
      <c r="P64" s="9"/>
      <c r="Q64" s="4"/>
    </row>
    <row r="65" spans="6:17">
      <c r="F65" s="3">
        <v>45721</v>
      </c>
      <c r="G65" s="4">
        <v>33</v>
      </c>
      <c r="P65" s="9"/>
      <c r="Q65" s="4"/>
    </row>
    <row r="66" spans="6:17">
      <c r="F66" s="3">
        <v>45722</v>
      </c>
      <c r="G66" s="4">
        <v>32</v>
      </c>
      <c r="P66" s="9"/>
      <c r="Q66" s="4"/>
    </row>
    <row r="67" spans="6:17">
      <c r="F67" s="3">
        <v>45723</v>
      </c>
      <c r="G67" s="4">
        <v>17</v>
      </c>
    </row>
    <row r="68" spans="6:17">
      <c r="F68" s="3">
        <v>45724</v>
      </c>
      <c r="G68" s="4">
        <v>33</v>
      </c>
    </row>
    <row r="69" spans="6:17">
      <c r="F69" s="3">
        <v>45725</v>
      </c>
      <c r="G69" s="4">
        <v>29</v>
      </c>
    </row>
    <row r="70" spans="6:17">
      <c r="F70" s="3">
        <v>45726</v>
      </c>
      <c r="G70" s="4">
        <v>23</v>
      </c>
    </row>
    <row r="71" spans="6:17">
      <c r="F71" s="3">
        <v>45727</v>
      </c>
      <c r="G71" s="4">
        <v>27</v>
      </c>
    </row>
    <row r="72" spans="6:17">
      <c r="F72" s="3">
        <v>45728</v>
      </c>
      <c r="G72" s="4">
        <v>29</v>
      </c>
    </row>
    <row r="73" spans="6:17">
      <c r="F73" s="3">
        <v>45729</v>
      </c>
      <c r="G73" s="4">
        <v>39</v>
      </c>
    </row>
    <row r="74" spans="6:17">
      <c r="F74" s="3">
        <v>45730</v>
      </c>
      <c r="G74" s="4">
        <v>29</v>
      </c>
    </row>
    <row r="75" spans="6:17">
      <c r="F75" s="3">
        <v>45731</v>
      </c>
      <c r="G75" s="4">
        <v>28</v>
      </c>
    </row>
    <row r="76" spans="6:17">
      <c r="F76" s="3">
        <v>45732</v>
      </c>
      <c r="G76" s="4">
        <v>26</v>
      </c>
    </row>
    <row r="77" spans="6:17">
      <c r="F77" s="3">
        <v>45733</v>
      </c>
      <c r="G77" s="4">
        <v>33</v>
      </c>
    </row>
    <row r="78" spans="6:17">
      <c r="F78" s="3">
        <v>45734</v>
      </c>
      <c r="G78" s="4">
        <v>26</v>
      </c>
    </row>
    <row r="79" spans="6:17">
      <c r="F79" s="3">
        <v>45735</v>
      </c>
      <c r="G79" s="4">
        <v>31</v>
      </c>
    </row>
    <row r="80" spans="6:17">
      <c r="F80" s="3">
        <v>45736</v>
      </c>
      <c r="G80" s="4">
        <v>22</v>
      </c>
    </row>
    <row r="81" spans="6:7">
      <c r="F81" s="3">
        <v>45737</v>
      </c>
      <c r="G81" s="4">
        <v>29</v>
      </c>
    </row>
    <row r="82" spans="6:7">
      <c r="F82" s="3">
        <v>45738</v>
      </c>
      <c r="G82" s="4">
        <v>20</v>
      </c>
    </row>
    <row r="83" spans="6:7">
      <c r="F83" s="3">
        <v>45739</v>
      </c>
      <c r="G83" s="4">
        <v>28</v>
      </c>
    </row>
    <row r="84" spans="6:7">
      <c r="F84" s="3">
        <v>45740</v>
      </c>
      <c r="G84" s="4">
        <v>28</v>
      </c>
    </row>
    <row r="85" spans="6:7">
      <c r="F85" s="3">
        <v>45741</v>
      </c>
      <c r="G85" s="4">
        <v>24</v>
      </c>
    </row>
    <row r="86" spans="6:7">
      <c r="F86" s="3">
        <v>45742</v>
      </c>
      <c r="G86" s="4">
        <v>18</v>
      </c>
    </row>
    <row r="87" spans="6:7">
      <c r="F87" s="3">
        <v>45743</v>
      </c>
      <c r="G87" s="4">
        <v>25</v>
      </c>
    </row>
    <row r="88" spans="6:7">
      <c r="F88" s="3">
        <v>45744</v>
      </c>
      <c r="G88" s="4">
        <v>21</v>
      </c>
    </row>
    <row r="89" spans="6:7">
      <c r="F89" s="3">
        <v>45745</v>
      </c>
      <c r="G89" s="4">
        <v>30</v>
      </c>
    </row>
    <row r="90" spans="6:7">
      <c r="F90" s="3">
        <v>45746</v>
      </c>
      <c r="G90" s="4">
        <v>26</v>
      </c>
    </row>
    <row r="91" spans="6:7">
      <c r="F91" s="3">
        <v>45747</v>
      </c>
      <c r="G91" s="4">
        <v>23</v>
      </c>
    </row>
    <row r="92" spans="6:7">
      <c r="F92" s="3">
        <v>45748</v>
      </c>
      <c r="G92" s="4">
        <v>30</v>
      </c>
    </row>
    <row r="93" spans="6:7">
      <c r="F93" s="3">
        <v>45749</v>
      </c>
      <c r="G93" s="4">
        <v>26</v>
      </c>
    </row>
    <row r="94" spans="6:7">
      <c r="F94" s="3">
        <v>45750</v>
      </c>
      <c r="G94" s="4">
        <v>31</v>
      </c>
    </row>
    <row r="95" spans="6:7">
      <c r="F95" s="3">
        <v>45751</v>
      </c>
      <c r="G95" s="4">
        <v>33</v>
      </c>
    </row>
    <row r="96" spans="6:7">
      <c r="F96" s="3">
        <v>45752</v>
      </c>
      <c r="G96" s="4">
        <v>22</v>
      </c>
    </row>
    <row r="97" spans="6:7">
      <c r="F97" s="3">
        <v>45753</v>
      </c>
      <c r="G97" s="4">
        <v>20</v>
      </c>
    </row>
    <row r="98" spans="6:7">
      <c r="F98" s="3">
        <v>45754</v>
      </c>
      <c r="G98" s="4">
        <v>19</v>
      </c>
    </row>
    <row r="99" spans="6:7">
      <c r="F99" s="3">
        <v>45755</v>
      </c>
      <c r="G99" s="4">
        <v>35</v>
      </c>
    </row>
    <row r="100" spans="6:7">
      <c r="F100" s="3">
        <v>45756</v>
      </c>
      <c r="G100" s="4">
        <v>32</v>
      </c>
    </row>
    <row r="101" spans="6:7">
      <c r="F101" s="3">
        <v>45757</v>
      </c>
      <c r="G101" s="4">
        <v>29</v>
      </c>
    </row>
    <row r="102" spans="6:7">
      <c r="F102" s="3">
        <v>45758</v>
      </c>
      <c r="G102" s="4">
        <v>23</v>
      </c>
    </row>
    <row r="103" spans="6:7">
      <c r="F103" s="3">
        <v>45759</v>
      </c>
      <c r="G103" s="4">
        <v>26</v>
      </c>
    </row>
    <row r="104" spans="6:7">
      <c r="F104" s="3">
        <v>45760</v>
      </c>
      <c r="G104" s="4">
        <v>26</v>
      </c>
    </row>
    <row r="105" spans="6:7">
      <c r="F105" s="3">
        <v>45761</v>
      </c>
      <c r="G105" s="4">
        <v>26</v>
      </c>
    </row>
    <row r="106" spans="6:7">
      <c r="F106" s="3">
        <v>45762</v>
      </c>
      <c r="G106" s="4">
        <v>33</v>
      </c>
    </row>
    <row r="107" spans="6:7">
      <c r="F107" s="3">
        <v>45763</v>
      </c>
      <c r="G107" s="4">
        <v>26</v>
      </c>
    </row>
    <row r="108" spans="6:7">
      <c r="F108" s="3">
        <v>45764</v>
      </c>
      <c r="G108" s="4">
        <v>27</v>
      </c>
    </row>
    <row r="109" spans="6:7">
      <c r="F109" s="3">
        <v>45765</v>
      </c>
      <c r="G109" s="4">
        <v>35</v>
      </c>
    </row>
    <row r="110" spans="6:7">
      <c r="F110" s="3">
        <v>45766</v>
      </c>
      <c r="G110" s="4">
        <v>27</v>
      </c>
    </row>
    <row r="111" spans="6:7">
      <c r="F111" s="3">
        <v>45767</v>
      </c>
      <c r="G111" s="4">
        <v>32</v>
      </c>
    </row>
    <row r="112" spans="6:7">
      <c r="F112" s="3">
        <v>45768</v>
      </c>
      <c r="G112" s="4">
        <v>26</v>
      </c>
    </row>
    <row r="113" spans="6:7">
      <c r="F113" s="3">
        <v>45769</v>
      </c>
      <c r="G113" s="4">
        <v>27</v>
      </c>
    </row>
    <row r="114" spans="6:7">
      <c r="F114" s="3">
        <v>45770</v>
      </c>
      <c r="G114" s="4">
        <v>36</v>
      </c>
    </row>
    <row r="115" spans="6:7">
      <c r="F115" s="3">
        <v>45771</v>
      </c>
      <c r="G115" s="4">
        <v>27</v>
      </c>
    </row>
    <row r="116" spans="6:7">
      <c r="F116" s="3">
        <v>45772</v>
      </c>
      <c r="G116" s="4">
        <v>33</v>
      </c>
    </row>
    <row r="117" spans="6:7">
      <c r="F117" s="3">
        <v>45773</v>
      </c>
      <c r="G117" s="4">
        <v>24</v>
      </c>
    </row>
    <row r="118" spans="6:7">
      <c r="F118" s="3">
        <v>45774</v>
      </c>
      <c r="G118" s="4">
        <v>30</v>
      </c>
    </row>
    <row r="119" spans="6:7">
      <c r="F119" s="3">
        <v>45775</v>
      </c>
      <c r="G119" s="4">
        <v>22</v>
      </c>
    </row>
    <row r="120" spans="6:7">
      <c r="F120" s="3">
        <v>45776</v>
      </c>
      <c r="G120" s="4">
        <v>34</v>
      </c>
    </row>
    <row r="121" spans="6:7">
      <c r="F121" s="3">
        <v>45777</v>
      </c>
      <c r="G121" s="4">
        <v>33</v>
      </c>
    </row>
    <row r="122" spans="6:7">
      <c r="F122" s="3">
        <v>45778</v>
      </c>
      <c r="G122" s="4">
        <v>31</v>
      </c>
    </row>
    <row r="123" spans="6:7">
      <c r="F123" s="3">
        <v>45779</v>
      </c>
      <c r="G123" s="4">
        <v>40</v>
      </c>
    </row>
    <row r="124" spans="6:7">
      <c r="F124" s="3">
        <v>45780</v>
      </c>
      <c r="G124" s="4">
        <v>26</v>
      </c>
    </row>
    <row r="125" spans="6:7">
      <c r="F125" s="3">
        <v>45781</v>
      </c>
      <c r="G125" s="4">
        <v>20</v>
      </c>
    </row>
    <row r="126" spans="6:7">
      <c r="F126" s="3">
        <v>45782</v>
      </c>
      <c r="G126" s="4">
        <v>31</v>
      </c>
    </row>
    <row r="127" spans="6:7">
      <c r="F127" s="3">
        <v>45783</v>
      </c>
      <c r="G127" s="4">
        <v>32</v>
      </c>
    </row>
    <row r="128" spans="6:7">
      <c r="F128" s="3">
        <v>45784</v>
      </c>
      <c r="G128" s="4">
        <v>25</v>
      </c>
    </row>
    <row r="129" spans="6:7">
      <c r="F129" s="3">
        <v>45785</v>
      </c>
      <c r="G129" s="4">
        <v>28</v>
      </c>
    </row>
    <row r="130" spans="6:7">
      <c r="F130" s="3">
        <v>45786</v>
      </c>
      <c r="G130" s="4">
        <v>26</v>
      </c>
    </row>
    <row r="131" spans="6:7">
      <c r="F131" s="3">
        <v>45787</v>
      </c>
      <c r="G131" s="4">
        <v>16</v>
      </c>
    </row>
    <row r="132" spans="6:7">
      <c r="F132" s="3">
        <v>45788</v>
      </c>
      <c r="G132" s="4">
        <v>25</v>
      </c>
    </row>
    <row r="133" spans="6:7">
      <c r="F133" s="3">
        <v>45789</v>
      </c>
      <c r="G133" s="4">
        <v>38</v>
      </c>
    </row>
    <row r="134" spans="6:7">
      <c r="F134" s="3">
        <v>45790</v>
      </c>
      <c r="G134" s="4">
        <v>30</v>
      </c>
    </row>
    <row r="135" spans="6:7">
      <c r="F135" s="3">
        <v>45791</v>
      </c>
      <c r="G135" s="4">
        <v>22</v>
      </c>
    </row>
    <row r="136" spans="6:7">
      <c r="F136" s="3">
        <v>45792</v>
      </c>
      <c r="G136" s="4">
        <v>23</v>
      </c>
    </row>
    <row r="137" spans="6:7">
      <c r="F137" s="3">
        <v>45793</v>
      </c>
      <c r="G137" s="4">
        <v>30</v>
      </c>
    </row>
    <row r="138" spans="6:7">
      <c r="F138" s="3">
        <v>45794</v>
      </c>
      <c r="G138" s="4">
        <v>30</v>
      </c>
    </row>
    <row r="139" spans="6:7">
      <c r="F139" s="3">
        <v>45795</v>
      </c>
      <c r="G139" s="4">
        <v>28</v>
      </c>
    </row>
    <row r="140" spans="6:7">
      <c r="F140" s="3">
        <v>45796</v>
      </c>
      <c r="G140" s="4">
        <v>22</v>
      </c>
    </row>
    <row r="141" spans="6:7">
      <c r="F141" s="3">
        <v>45797</v>
      </c>
      <c r="G141" s="4">
        <v>24</v>
      </c>
    </row>
    <row r="142" spans="6:7">
      <c r="F142" s="3">
        <v>45798</v>
      </c>
      <c r="G142" s="4">
        <v>25</v>
      </c>
    </row>
    <row r="143" spans="6:7">
      <c r="F143" s="3">
        <v>45799</v>
      </c>
      <c r="G143" s="4">
        <v>23</v>
      </c>
    </row>
    <row r="144" spans="6:7">
      <c r="F144" s="3">
        <v>45800</v>
      </c>
      <c r="G144" s="4">
        <v>23</v>
      </c>
    </row>
    <row r="145" spans="6:7">
      <c r="F145" s="3">
        <v>45801</v>
      </c>
      <c r="G145" s="4">
        <v>33</v>
      </c>
    </row>
    <row r="146" spans="6:7">
      <c r="F146" s="3">
        <v>45802</v>
      </c>
      <c r="G146" s="4">
        <v>38</v>
      </c>
    </row>
    <row r="147" spans="6:7">
      <c r="F147" s="3">
        <v>45803</v>
      </c>
      <c r="G147" s="4">
        <v>32</v>
      </c>
    </row>
    <row r="148" spans="6:7">
      <c r="F148" s="3">
        <v>45804</v>
      </c>
      <c r="G148" s="4">
        <v>25</v>
      </c>
    </row>
    <row r="149" spans="6:7">
      <c r="F149" s="3">
        <v>45805</v>
      </c>
      <c r="G149" s="4">
        <v>35</v>
      </c>
    </row>
    <row r="150" spans="6:7">
      <c r="F150" s="3">
        <v>45806</v>
      </c>
      <c r="G150" s="4">
        <v>36</v>
      </c>
    </row>
    <row r="151" spans="6:7">
      <c r="F151" s="3">
        <v>45807</v>
      </c>
      <c r="G151" s="4">
        <v>26</v>
      </c>
    </row>
    <row r="152" spans="6:7">
      <c r="F152" s="3">
        <v>45808</v>
      </c>
      <c r="G152" s="4">
        <v>23</v>
      </c>
    </row>
    <row r="153" spans="6:7">
      <c r="F153" s="3">
        <v>45809</v>
      </c>
      <c r="G153" s="4">
        <v>27</v>
      </c>
    </row>
    <row r="154" spans="6:7">
      <c r="F154" s="3">
        <v>45810</v>
      </c>
      <c r="G154" s="4">
        <v>27</v>
      </c>
    </row>
    <row r="155" spans="6:7">
      <c r="F155" s="3">
        <v>45811</v>
      </c>
      <c r="G155" s="4">
        <v>19</v>
      </c>
    </row>
    <row r="156" spans="6:7">
      <c r="F156" s="3">
        <v>45812</v>
      </c>
      <c r="G156" s="4">
        <v>23</v>
      </c>
    </row>
    <row r="157" spans="6:7">
      <c r="F157" s="3">
        <v>45813</v>
      </c>
      <c r="G157" s="4">
        <v>32</v>
      </c>
    </row>
    <row r="158" spans="6:7">
      <c r="F158" s="3">
        <v>45814</v>
      </c>
      <c r="G158" s="4">
        <v>32</v>
      </c>
    </row>
    <row r="159" spans="6:7">
      <c r="F159" s="3">
        <v>45815</v>
      </c>
      <c r="G159" s="4">
        <v>32</v>
      </c>
    </row>
    <row r="160" spans="6:7">
      <c r="F160" s="3">
        <v>45816</v>
      </c>
      <c r="G160" s="4">
        <v>27</v>
      </c>
    </row>
    <row r="161" spans="6:7">
      <c r="F161" s="3">
        <v>45817</v>
      </c>
      <c r="G161" s="4">
        <v>25</v>
      </c>
    </row>
    <row r="162" spans="6:7">
      <c r="F162" s="3">
        <v>45818</v>
      </c>
      <c r="G162" s="4">
        <v>29</v>
      </c>
    </row>
    <row r="163" spans="6:7">
      <c r="F163" s="3">
        <v>45819</v>
      </c>
      <c r="G163" s="4">
        <v>32</v>
      </c>
    </row>
    <row r="164" spans="6:7">
      <c r="F164" s="3">
        <v>45820</v>
      </c>
      <c r="G164" s="4">
        <v>22</v>
      </c>
    </row>
    <row r="165" spans="6:7">
      <c r="F165" s="3">
        <v>45821</v>
      </c>
      <c r="G165" s="4">
        <v>33</v>
      </c>
    </row>
    <row r="166" spans="6:7">
      <c r="F166" s="3">
        <v>45822</v>
      </c>
      <c r="G166" s="4">
        <v>18</v>
      </c>
    </row>
    <row r="167" spans="6:7">
      <c r="F167" s="3">
        <v>45823</v>
      </c>
      <c r="G167" s="4">
        <v>22</v>
      </c>
    </row>
    <row r="168" spans="6:7">
      <c r="F168" s="3">
        <v>45824</v>
      </c>
      <c r="G168" s="4">
        <v>18</v>
      </c>
    </row>
    <row r="169" spans="6:7">
      <c r="F169" s="3">
        <v>45825</v>
      </c>
      <c r="G169" s="4">
        <v>28</v>
      </c>
    </row>
    <row r="170" spans="6:7">
      <c r="F170" s="3">
        <v>45826</v>
      </c>
      <c r="G170" s="4">
        <v>28</v>
      </c>
    </row>
    <row r="171" spans="6:7">
      <c r="F171" s="3">
        <v>45827</v>
      </c>
      <c r="G171" s="4">
        <v>27</v>
      </c>
    </row>
    <row r="172" spans="6:7">
      <c r="F172" s="3">
        <v>45828</v>
      </c>
      <c r="G172" s="4">
        <v>27</v>
      </c>
    </row>
    <row r="173" spans="6:7">
      <c r="F173" s="3">
        <v>45829</v>
      </c>
      <c r="G173" s="4">
        <v>32</v>
      </c>
    </row>
    <row r="174" spans="6:7">
      <c r="F174" s="3">
        <v>45830</v>
      </c>
      <c r="G174" s="4">
        <v>26</v>
      </c>
    </row>
    <row r="175" spans="6:7">
      <c r="F175" s="3">
        <v>45831</v>
      </c>
      <c r="G175" s="4">
        <v>35</v>
      </c>
    </row>
    <row r="176" spans="6:7">
      <c r="F176" s="3">
        <v>45832</v>
      </c>
      <c r="G176" s="4">
        <v>34</v>
      </c>
    </row>
    <row r="177" spans="6:7">
      <c r="F177" s="3">
        <v>45833</v>
      </c>
      <c r="G177" s="4">
        <v>25</v>
      </c>
    </row>
    <row r="178" spans="6:7">
      <c r="F178" s="3">
        <v>45834</v>
      </c>
      <c r="G178" s="4">
        <v>22</v>
      </c>
    </row>
    <row r="179" spans="6:7">
      <c r="F179" s="3">
        <v>45835</v>
      </c>
      <c r="G179" s="4">
        <v>30</v>
      </c>
    </row>
    <row r="180" spans="6:7">
      <c r="F180" s="3">
        <v>45836</v>
      </c>
      <c r="G180" s="4">
        <v>25</v>
      </c>
    </row>
    <row r="181" spans="6:7">
      <c r="F181" s="3">
        <v>45837</v>
      </c>
      <c r="G181" s="4">
        <v>27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workbookViewId="0">
      <selection activeCell="B2" sqref="B2:J2"/>
    </sheetView>
  </sheetViews>
  <sheetFormatPr defaultRowHeight="14.4"/>
  <cols>
    <col min="3" max="3" width="10.88671875" customWidth="1"/>
    <col min="4" max="4" width="16.21875" customWidth="1"/>
    <col min="5" max="5" width="11.88671875" customWidth="1"/>
    <col min="6" max="6" width="11.77734375" customWidth="1"/>
    <col min="7" max="7" width="12.33203125" customWidth="1"/>
    <col min="8" max="8" width="9.77734375" customWidth="1"/>
    <col min="9" max="9" width="12.6640625" customWidth="1"/>
    <col min="10" max="10" width="15.5546875" customWidth="1"/>
  </cols>
  <sheetData>
    <row r="1" spans="1:14">
      <c r="L1" s="11" t="s">
        <v>0</v>
      </c>
      <c r="M1" s="11" t="s">
        <v>97</v>
      </c>
      <c r="N1" s="11" t="s">
        <v>6</v>
      </c>
    </row>
    <row r="2" spans="1:14" ht="28.8">
      <c r="B2" s="19" t="s">
        <v>87</v>
      </c>
      <c r="C2" s="19" t="s">
        <v>88</v>
      </c>
      <c r="D2" s="19" t="s">
        <v>89</v>
      </c>
      <c r="E2" s="19" t="s">
        <v>90</v>
      </c>
      <c r="F2" s="19" t="s">
        <v>91</v>
      </c>
      <c r="G2" s="19" t="s">
        <v>92</v>
      </c>
      <c r="H2" s="19" t="s">
        <v>94</v>
      </c>
      <c r="I2" s="19" t="s">
        <v>93</v>
      </c>
      <c r="J2" s="19" t="s">
        <v>95</v>
      </c>
      <c r="L2">
        <v>2295</v>
      </c>
      <c r="N2" t="str">
        <f>IFERROR(VLOOKUP(M2,$A$3:$B$10,2,0),"")</f>
        <v/>
      </c>
    </row>
    <row r="3" spans="1:14">
      <c r="A3" s="20" t="s">
        <v>30</v>
      </c>
      <c r="B3" s="20">
        <v>7</v>
      </c>
      <c r="C3" s="20" t="s">
        <v>30</v>
      </c>
      <c r="D3" s="20">
        <v>219</v>
      </c>
      <c r="E3" s="20">
        <v>85</v>
      </c>
      <c r="F3" s="20">
        <v>38.81</v>
      </c>
      <c r="G3" s="20">
        <v>113.58</v>
      </c>
      <c r="H3" s="20">
        <v>9654.0400000000009</v>
      </c>
      <c r="I3" s="20">
        <v>44.08</v>
      </c>
      <c r="J3" s="20">
        <v>0.92</v>
      </c>
      <c r="L3">
        <v>2903</v>
      </c>
      <c r="M3" t="s">
        <v>19</v>
      </c>
      <c r="N3">
        <f t="shared" ref="N3:N66" si="0">IFERROR(VLOOKUP(M3,$A$3:$B$10,2,0),"")</f>
        <v>2</v>
      </c>
    </row>
    <row r="4" spans="1:14">
      <c r="A4" s="20" t="s">
        <v>31</v>
      </c>
      <c r="B4" s="20">
        <v>6</v>
      </c>
      <c r="C4" s="20" t="s">
        <v>31</v>
      </c>
      <c r="D4" s="20">
        <v>223</v>
      </c>
      <c r="E4" s="20">
        <v>77</v>
      </c>
      <c r="F4" s="20">
        <v>34.53</v>
      </c>
      <c r="G4" s="20">
        <v>113.78</v>
      </c>
      <c r="H4" s="20">
        <v>8761.27</v>
      </c>
      <c r="I4" s="20">
        <v>39.29</v>
      </c>
      <c r="J4" s="20">
        <v>0.66</v>
      </c>
      <c r="L4">
        <v>1922</v>
      </c>
      <c r="N4" t="str">
        <f t="shared" si="0"/>
        <v/>
      </c>
    </row>
    <row r="5" spans="1:14">
      <c r="A5" s="20" t="s">
        <v>25</v>
      </c>
      <c r="B5" s="20">
        <v>5</v>
      </c>
      <c r="C5" s="20" t="s">
        <v>25</v>
      </c>
      <c r="D5" s="20">
        <v>215</v>
      </c>
      <c r="E5" s="20">
        <v>83</v>
      </c>
      <c r="F5" s="20">
        <v>38.6</v>
      </c>
      <c r="G5" s="20">
        <v>90.79</v>
      </c>
      <c r="H5" s="20">
        <v>7535.52</v>
      </c>
      <c r="I5" s="20">
        <v>35.049999999999997</v>
      </c>
      <c r="J5" s="20">
        <v>0.62</v>
      </c>
      <c r="L5">
        <v>3627</v>
      </c>
      <c r="N5" t="str">
        <f t="shared" si="0"/>
        <v/>
      </c>
    </row>
    <row r="6" spans="1:14">
      <c r="A6" s="20" t="s">
        <v>29</v>
      </c>
      <c r="B6" s="20">
        <v>4</v>
      </c>
      <c r="C6" s="20" t="s">
        <v>29</v>
      </c>
      <c r="D6" s="20">
        <v>205</v>
      </c>
      <c r="E6" s="20">
        <v>80</v>
      </c>
      <c r="F6" s="20">
        <v>39.020000000000003</v>
      </c>
      <c r="G6" s="20">
        <v>85.65</v>
      </c>
      <c r="H6" s="20">
        <v>6851.85</v>
      </c>
      <c r="I6" s="20">
        <v>33.42</v>
      </c>
      <c r="J6" s="20">
        <v>0.56000000000000005</v>
      </c>
      <c r="L6">
        <v>2605</v>
      </c>
      <c r="N6" t="str">
        <f t="shared" si="0"/>
        <v/>
      </c>
    </row>
    <row r="7" spans="1:14">
      <c r="A7" s="20" t="s">
        <v>28</v>
      </c>
      <c r="B7" s="20">
        <v>3</v>
      </c>
      <c r="C7" s="20" t="s">
        <v>28</v>
      </c>
      <c r="D7" s="20">
        <v>221</v>
      </c>
      <c r="E7" s="20">
        <v>70</v>
      </c>
      <c r="F7" s="20">
        <v>31.67</v>
      </c>
      <c r="G7" s="20">
        <v>108.08</v>
      </c>
      <c r="H7" s="20">
        <v>7565.65</v>
      </c>
      <c r="I7" s="20">
        <v>34.229999999999997</v>
      </c>
      <c r="J7" s="20">
        <v>0.42</v>
      </c>
      <c r="L7">
        <v>3218</v>
      </c>
      <c r="N7" t="str">
        <f t="shared" si="0"/>
        <v/>
      </c>
    </row>
    <row r="8" spans="1:14">
      <c r="A8" s="20" t="s">
        <v>19</v>
      </c>
      <c r="B8" s="20">
        <v>2</v>
      </c>
      <c r="C8" s="20" t="s">
        <v>19</v>
      </c>
      <c r="D8" s="20">
        <v>212</v>
      </c>
      <c r="E8" s="20">
        <v>66</v>
      </c>
      <c r="F8" s="20">
        <v>31.13</v>
      </c>
      <c r="G8" s="20">
        <v>102.51</v>
      </c>
      <c r="H8" s="20">
        <v>6765.53</v>
      </c>
      <c r="I8" s="20">
        <v>31.91</v>
      </c>
      <c r="J8" s="20">
        <v>0.3</v>
      </c>
      <c r="L8">
        <v>822</v>
      </c>
      <c r="N8" t="str">
        <f t="shared" si="0"/>
        <v/>
      </c>
    </row>
    <row r="9" spans="1:14">
      <c r="A9" s="20" t="s">
        <v>26</v>
      </c>
      <c r="B9" s="20">
        <v>1</v>
      </c>
      <c r="C9" s="20" t="s">
        <v>26</v>
      </c>
      <c r="D9" s="20">
        <v>256</v>
      </c>
      <c r="E9" s="20">
        <v>77</v>
      </c>
      <c r="F9" s="20">
        <v>30.08</v>
      </c>
      <c r="G9" s="20">
        <v>81.7</v>
      </c>
      <c r="H9" s="20">
        <v>6291.28</v>
      </c>
      <c r="I9" s="20">
        <v>24.58</v>
      </c>
      <c r="J9" s="20">
        <v>0.1</v>
      </c>
      <c r="L9">
        <v>73</v>
      </c>
      <c r="N9" t="str">
        <f t="shared" si="0"/>
        <v/>
      </c>
    </row>
    <row r="10" spans="1:14">
      <c r="L10">
        <v>1902</v>
      </c>
      <c r="N10" t="str">
        <f t="shared" si="0"/>
        <v/>
      </c>
    </row>
    <row r="11" spans="1:14">
      <c r="L11">
        <v>4979</v>
      </c>
      <c r="N11" t="str">
        <f t="shared" si="0"/>
        <v/>
      </c>
    </row>
    <row r="12" spans="1:14">
      <c r="L12">
        <v>1427</v>
      </c>
      <c r="N12" t="str">
        <f t="shared" si="0"/>
        <v/>
      </c>
    </row>
    <row r="13" spans="1:14">
      <c r="L13">
        <v>2633</v>
      </c>
      <c r="M13" t="s">
        <v>25</v>
      </c>
      <c r="N13">
        <f t="shared" si="0"/>
        <v>5</v>
      </c>
    </row>
    <row r="14" spans="1:14">
      <c r="C14" t="s">
        <v>96</v>
      </c>
      <c r="L14">
        <v>4777</v>
      </c>
      <c r="N14" t="str">
        <f t="shared" si="0"/>
        <v/>
      </c>
    </row>
    <row r="15" spans="1:14">
      <c r="L15">
        <v>4412</v>
      </c>
      <c r="M15" t="s">
        <v>19</v>
      </c>
      <c r="N15">
        <f t="shared" si="0"/>
        <v>2</v>
      </c>
    </row>
    <row r="16" spans="1:14">
      <c r="L16">
        <v>2328</v>
      </c>
      <c r="N16" t="str">
        <f t="shared" si="0"/>
        <v/>
      </c>
    </row>
    <row r="17" spans="10:14">
      <c r="L17">
        <v>4152</v>
      </c>
      <c r="N17" t="str">
        <f t="shared" si="0"/>
        <v/>
      </c>
    </row>
    <row r="18" spans="10:14">
      <c r="L18">
        <v>4130</v>
      </c>
      <c r="M18" t="s">
        <v>26</v>
      </c>
      <c r="N18">
        <f t="shared" si="0"/>
        <v>1</v>
      </c>
    </row>
    <row r="19" spans="10:14">
      <c r="L19">
        <v>2612</v>
      </c>
      <c r="N19" t="str">
        <f t="shared" si="0"/>
        <v/>
      </c>
    </row>
    <row r="20" spans="10:14">
      <c r="L20">
        <v>2912</v>
      </c>
      <c r="N20" t="str">
        <f t="shared" si="0"/>
        <v/>
      </c>
    </row>
    <row r="21" spans="10:14">
      <c r="L21">
        <v>2715</v>
      </c>
      <c r="N21" t="str">
        <f t="shared" si="0"/>
        <v/>
      </c>
    </row>
    <row r="22" spans="10:14">
      <c r="L22">
        <v>209</v>
      </c>
      <c r="N22" t="str">
        <f t="shared" si="0"/>
        <v/>
      </c>
    </row>
    <row r="23" spans="10:14">
      <c r="J23" s="6"/>
      <c r="L23">
        <v>4726</v>
      </c>
      <c r="M23" t="s">
        <v>28</v>
      </c>
      <c r="N23">
        <f t="shared" si="0"/>
        <v>3</v>
      </c>
    </row>
    <row r="24" spans="10:14">
      <c r="L24">
        <v>3318</v>
      </c>
      <c r="N24" t="str">
        <f t="shared" si="0"/>
        <v/>
      </c>
    </row>
    <row r="25" spans="10:14">
      <c r="L25">
        <v>953</v>
      </c>
      <c r="N25" t="str">
        <f t="shared" si="0"/>
        <v/>
      </c>
    </row>
    <row r="26" spans="10:14">
      <c r="L26">
        <v>1625</v>
      </c>
      <c r="M26" t="s">
        <v>25</v>
      </c>
      <c r="N26">
        <f t="shared" si="0"/>
        <v>5</v>
      </c>
    </row>
    <row r="27" spans="10:14">
      <c r="L27">
        <v>1863</v>
      </c>
      <c r="N27" t="str">
        <f t="shared" si="0"/>
        <v/>
      </c>
    </row>
    <row r="28" spans="10:14">
      <c r="L28">
        <v>318</v>
      </c>
      <c r="N28" t="str">
        <f t="shared" si="0"/>
        <v/>
      </c>
    </row>
    <row r="29" spans="10:14">
      <c r="L29">
        <v>2860</v>
      </c>
      <c r="M29" t="s">
        <v>19</v>
      </c>
      <c r="N29">
        <f t="shared" si="0"/>
        <v>2</v>
      </c>
    </row>
    <row r="30" spans="10:14">
      <c r="L30">
        <v>3592</v>
      </c>
      <c r="N30" t="str">
        <f t="shared" si="0"/>
        <v/>
      </c>
    </row>
    <row r="31" spans="10:14">
      <c r="L31">
        <v>4420</v>
      </c>
      <c r="N31" t="str">
        <f t="shared" si="0"/>
        <v/>
      </c>
    </row>
    <row r="32" spans="10:14">
      <c r="L32">
        <v>4104</v>
      </c>
      <c r="N32" t="str">
        <f t="shared" si="0"/>
        <v/>
      </c>
    </row>
    <row r="33" spans="12:14">
      <c r="L33">
        <v>176</v>
      </c>
      <c r="N33" t="str">
        <f t="shared" si="0"/>
        <v/>
      </c>
    </row>
    <row r="34" spans="12:14">
      <c r="L34">
        <v>240</v>
      </c>
      <c r="N34" t="str">
        <f t="shared" si="0"/>
        <v/>
      </c>
    </row>
    <row r="35" spans="12:14">
      <c r="L35">
        <v>3677</v>
      </c>
      <c r="M35" t="s">
        <v>28</v>
      </c>
      <c r="N35">
        <f t="shared" si="0"/>
        <v>3</v>
      </c>
    </row>
    <row r="36" spans="12:14">
      <c r="L36">
        <v>2173</v>
      </c>
      <c r="N36" t="str">
        <f t="shared" si="0"/>
        <v/>
      </c>
    </row>
    <row r="37" spans="12:14">
      <c r="L37">
        <v>343</v>
      </c>
      <c r="N37" t="str">
        <f t="shared" si="0"/>
        <v/>
      </c>
    </row>
    <row r="38" spans="12:14">
      <c r="L38">
        <v>1106</v>
      </c>
      <c r="M38" t="s">
        <v>26</v>
      </c>
      <c r="N38">
        <f t="shared" si="0"/>
        <v>1</v>
      </c>
    </row>
    <row r="39" spans="12:14">
      <c r="L39">
        <v>1691</v>
      </c>
      <c r="N39" t="str">
        <f t="shared" si="0"/>
        <v/>
      </c>
    </row>
    <row r="40" spans="12:14">
      <c r="L40">
        <v>4316</v>
      </c>
      <c r="N40" t="str">
        <f t="shared" si="0"/>
        <v/>
      </c>
    </row>
    <row r="41" spans="12:14">
      <c r="L41">
        <v>2152</v>
      </c>
      <c r="M41" t="s">
        <v>28</v>
      </c>
      <c r="N41">
        <f t="shared" si="0"/>
        <v>3</v>
      </c>
    </row>
    <row r="42" spans="12:14">
      <c r="L42">
        <v>1446</v>
      </c>
      <c r="N42" t="str">
        <f t="shared" si="0"/>
        <v/>
      </c>
    </row>
    <row r="43" spans="12:14">
      <c r="L43">
        <v>3620</v>
      </c>
      <c r="N43" t="str">
        <f t="shared" si="0"/>
        <v/>
      </c>
    </row>
    <row r="44" spans="12:14">
      <c r="L44">
        <v>3799</v>
      </c>
      <c r="N44" t="str">
        <f t="shared" si="0"/>
        <v/>
      </c>
    </row>
    <row r="45" spans="12:14">
      <c r="L45">
        <v>1809</v>
      </c>
      <c r="N45" t="str">
        <f t="shared" si="0"/>
        <v/>
      </c>
    </row>
    <row r="46" spans="12:14">
      <c r="L46">
        <v>1096</v>
      </c>
      <c r="M46" t="s">
        <v>19</v>
      </c>
      <c r="N46">
        <f t="shared" si="0"/>
        <v>2</v>
      </c>
    </row>
    <row r="47" spans="12:14">
      <c r="L47">
        <v>598</v>
      </c>
      <c r="N47" t="str">
        <f t="shared" si="0"/>
        <v/>
      </c>
    </row>
    <row r="48" spans="12:14">
      <c r="L48">
        <v>388</v>
      </c>
      <c r="N48" t="str">
        <f t="shared" si="0"/>
        <v/>
      </c>
    </row>
    <row r="49" spans="12:14">
      <c r="L49">
        <v>4511</v>
      </c>
      <c r="N49" t="str">
        <f t="shared" si="0"/>
        <v/>
      </c>
    </row>
    <row r="50" spans="12:14">
      <c r="L50">
        <v>603</v>
      </c>
      <c r="M50" t="s">
        <v>29</v>
      </c>
      <c r="N50">
        <f t="shared" si="0"/>
        <v>4</v>
      </c>
    </row>
    <row r="51" spans="12:14">
      <c r="L51">
        <v>4171</v>
      </c>
      <c r="N51" t="str">
        <f t="shared" si="0"/>
        <v/>
      </c>
    </row>
    <row r="52" spans="12:14">
      <c r="L52">
        <v>671</v>
      </c>
      <c r="N52" t="str">
        <f t="shared" si="0"/>
        <v/>
      </c>
    </row>
    <row r="53" spans="12:14">
      <c r="L53">
        <v>834</v>
      </c>
      <c r="N53" t="str">
        <f t="shared" si="0"/>
        <v/>
      </c>
    </row>
    <row r="54" spans="12:14">
      <c r="L54">
        <v>1679</v>
      </c>
      <c r="M54" t="s">
        <v>30</v>
      </c>
      <c r="N54">
        <f t="shared" si="0"/>
        <v>7</v>
      </c>
    </row>
    <row r="55" spans="12:14">
      <c r="L55">
        <v>3586</v>
      </c>
      <c r="N55" t="str">
        <f t="shared" si="0"/>
        <v/>
      </c>
    </row>
    <row r="56" spans="12:14">
      <c r="L56">
        <v>83</v>
      </c>
      <c r="N56" t="str">
        <f t="shared" si="0"/>
        <v/>
      </c>
    </row>
    <row r="57" spans="12:14">
      <c r="L57">
        <v>418</v>
      </c>
      <c r="N57" t="str">
        <f t="shared" si="0"/>
        <v/>
      </c>
    </row>
    <row r="58" spans="12:14">
      <c r="L58">
        <v>1949</v>
      </c>
      <c r="M58" t="s">
        <v>29</v>
      </c>
      <c r="N58">
        <f t="shared" si="0"/>
        <v>4</v>
      </c>
    </row>
    <row r="59" spans="12:14">
      <c r="L59">
        <v>3824</v>
      </c>
      <c r="N59" t="str">
        <f t="shared" si="0"/>
        <v/>
      </c>
    </row>
    <row r="60" spans="12:14">
      <c r="L60">
        <v>2288</v>
      </c>
      <c r="N60" t="str">
        <f t="shared" si="0"/>
        <v/>
      </c>
    </row>
    <row r="61" spans="12:14">
      <c r="L61">
        <v>2881</v>
      </c>
      <c r="N61" t="str">
        <f t="shared" si="0"/>
        <v/>
      </c>
    </row>
    <row r="62" spans="12:14">
      <c r="L62">
        <v>3024</v>
      </c>
      <c r="M62" t="s">
        <v>31</v>
      </c>
      <c r="N62">
        <f t="shared" si="0"/>
        <v>6</v>
      </c>
    </row>
    <row r="63" spans="12:14">
      <c r="L63">
        <v>4047</v>
      </c>
      <c r="M63" t="s">
        <v>19</v>
      </c>
      <c r="N63">
        <f t="shared" si="0"/>
        <v>2</v>
      </c>
    </row>
    <row r="64" spans="12:14">
      <c r="L64">
        <v>4998</v>
      </c>
      <c r="N64" t="str">
        <f t="shared" si="0"/>
        <v/>
      </c>
    </row>
    <row r="65" spans="12:14">
      <c r="L65">
        <v>1615</v>
      </c>
      <c r="N65" t="str">
        <f t="shared" si="0"/>
        <v/>
      </c>
    </row>
    <row r="66" spans="12:14">
      <c r="L66">
        <v>4637</v>
      </c>
      <c r="N66" t="str">
        <f t="shared" si="0"/>
        <v/>
      </c>
    </row>
    <row r="67" spans="12:14">
      <c r="L67">
        <v>4790</v>
      </c>
      <c r="N67" t="str">
        <f t="shared" ref="N67:N130" si="1">IFERROR(VLOOKUP(M67,$A$3:$B$10,2,0),"")</f>
        <v/>
      </c>
    </row>
    <row r="68" spans="12:14">
      <c r="L68">
        <v>4917</v>
      </c>
      <c r="N68" t="str">
        <f t="shared" si="1"/>
        <v/>
      </c>
    </row>
    <row r="69" spans="12:14">
      <c r="L69">
        <v>2070</v>
      </c>
      <c r="N69" t="str">
        <f t="shared" si="1"/>
        <v/>
      </c>
    </row>
    <row r="70" spans="12:14">
      <c r="L70">
        <v>4627</v>
      </c>
      <c r="N70" t="str">
        <f t="shared" si="1"/>
        <v/>
      </c>
    </row>
    <row r="71" spans="12:14">
      <c r="L71">
        <v>2891</v>
      </c>
      <c r="M71" t="s">
        <v>26</v>
      </c>
      <c r="N71">
        <f t="shared" si="1"/>
        <v>1</v>
      </c>
    </row>
    <row r="72" spans="12:14">
      <c r="L72">
        <v>584</v>
      </c>
      <c r="M72" t="s">
        <v>25</v>
      </c>
      <c r="N72">
        <f t="shared" si="1"/>
        <v>5</v>
      </c>
    </row>
    <row r="73" spans="12:14">
      <c r="L73">
        <v>4095</v>
      </c>
      <c r="N73" t="str">
        <f t="shared" si="1"/>
        <v/>
      </c>
    </row>
    <row r="74" spans="12:14">
      <c r="L74">
        <v>4240</v>
      </c>
      <c r="N74" t="str">
        <f t="shared" si="1"/>
        <v/>
      </c>
    </row>
    <row r="75" spans="12:14">
      <c r="L75">
        <v>849</v>
      </c>
      <c r="N75" t="str">
        <f t="shared" si="1"/>
        <v/>
      </c>
    </row>
    <row r="76" spans="12:14">
      <c r="L76">
        <v>3554</v>
      </c>
      <c r="N76" t="str">
        <f t="shared" si="1"/>
        <v/>
      </c>
    </row>
    <row r="77" spans="12:14">
      <c r="L77">
        <v>3457</v>
      </c>
      <c r="M77" t="s">
        <v>29</v>
      </c>
      <c r="N77">
        <f t="shared" si="1"/>
        <v>4</v>
      </c>
    </row>
    <row r="78" spans="12:14">
      <c r="L78">
        <v>276</v>
      </c>
      <c r="N78" t="str">
        <f t="shared" si="1"/>
        <v/>
      </c>
    </row>
    <row r="79" spans="12:14">
      <c r="L79">
        <v>2648</v>
      </c>
      <c r="N79" t="str">
        <f t="shared" si="1"/>
        <v/>
      </c>
    </row>
    <row r="80" spans="12:14">
      <c r="L80">
        <v>3164</v>
      </c>
      <c r="N80" t="str">
        <f t="shared" si="1"/>
        <v/>
      </c>
    </row>
    <row r="81" spans="12:14">
      <c r="L81">
        <v>2415</v>
      </c>
      <c r="N81" t="str">
        <f t="shared" si="1"/>
        <v/>
      </c>
    </row>
    <row r="82" spans="12:14">
      <c r="L82">
        <v>2988</v>
      </c>
      <c r="N82" t="str">
        <f t="shared" si="1"/>
        <v/>
      </c>
    </row>
    <row r="83" spans="12:14">
      <c r="L83">
        <v>2583</v>
      </c>
      <c r="N83" t="str">
        <f t="shared" si="1"/>
        <v/>
      </c>
    </row>
    <row r="84" spans="12:14">
      <c r="L84">
        <v>2122</v>
      </c>
      <c r="N84" t="str">
        <f t="shared" si="1"/>
        <v/>
      </c>
    </row>
    <row r="85" spans="12:14">
      <c r="L85">
        <v>3202</v>
      </c>
      <c r="N85" t="str">
        <f t="shared" si="1"/>
        <v/>
      </c>
    </row>
    <row r="86" spans="12:14">
      <c r="L86">
        <v>4697</v>
      </c>
      <c r="M86" t="s">
        <v>28</v>
      </c>
      <c r="N86">
        <f t="shared" si="1"/>
        <v>3</v>
      </c>
    </row>
    <row r="87" spans="12:14">
      <c r="L87">
        <v>232</v>
      </c>
      <c r="N87" t="str">
        <f t="shared" si="1"/>
        <v/>
      </c>
    </row>
    <row r="88" spans="12:14">
      <c r="L88">
        <v>3881</v>
      </c>
      <c r="M88" t="s">
        <v>26</v>
      </c>
      <c r="N88">
        <f t="shared" si="1"/>
        <v>1</v>
      </c>
    </row>
    <row r="89" spans="12:14">
      <c r="L89">
        <v>403</v>
      </c>
      <c r="N89" t="str">
        <f t="shared" si="1"/>
        <v/>
      </c>
    </row>
    <row r="90" spans="12:14">
      <c r="L90">
        <v>4112</v>
      </c>
      <c r="N90" t="str">
        <f t="shared" si="1"/>
        <v/>
      </c>
    </row>
    <row r="91" spans="12:14">
      <c r="L91">
        <v>3734</v>
      </c>
      <c r="N91" t="str">
        <f t="shared" si="1"/>
        <v/>
      </c>
    </row>
    <row r="92" spans="12:14">
      <c r="L92">
        <v>148</v>
      </c>
      <c r="N92" t="str">
        <f t="shared" si="1"/>
        <v/>
      </c>
    </row>
    <row r="93" spans="12:14">
      <c r="L93">
        <v>351</v>
      </c>
      <c r="M93" t="s">
        <v>28</v>
      </c>
      <c r="N93">
        <f t="shared" si="1"/>
        <v>3</v>
      </c>
    </row>
    <row r="94" spans="12:14">
      <c r="L94">
        <v>4830</v>
      </c>
      <c r="N94" t="str">
        <f t="shared" si="1"/>
        <v/>
      </c>
    </row>
    <row r="95" spans="12:14">
      <c r="L95">
        <v>3662</v>
      </c>
      <c r="M95" t="s">
        <v>28</v>
      </c>
      <c r="N95">
        <f t="shared" si="1"/>
        <v>3</v>
      </c>
    </row>
    <row r="96" spans="12:14">
      <c r="L96">
        <v>4593</v>
      </c>
      <c r="N96" t="str">
        <f t="shared" si="1"/>
        <v/>
      </c>
    </row>
    <row r="97" spans="12:14">
      <c r="L97">
        <v>609</v>
      </c>
      <c r="M97" t="s">
        <v>26</v>
      </c>
      <c r="N97">
        <f t="shared" si="1"/>
        <v>1</v>
      </c>
    </row>
    <row r="98" spans="12:14">
      <c r="L98">
        <v>3247</v>
      </c>
      <c r="N98" t="str">
        <f t="shared" si="1"/>
        <v/>
      </c>
    </row>
    <row r="99" spans="12:14">
      <c r="L99">
        <v>1692</v>
      </c>
      <c r="N99" t="str">
        <f t="shared" si="1"/>
        <v/>
      </c>
    </row>
    <row r="100" spans="12:14">
      <c r="L100">
        <v>4571</v>
      </c>
      <c r="M100" t="s">
        <v>19</v>
      </c>
      <c r="N100">
        <f t="shared" si="1"/>
        <v>2</v>
      </c>
    </row>
    <row r="101" spans="12:14">
      <c r="L101">
        <v>4628</v>
      </c>
      <c r="M101" t="s">
        <v>26</v>
      </c>
      <c r="N101">
        <f t="shared" si="1"/>
        <v>1</v>
      </c>
    </row>
    <row r="102" spans="12:14">
      <c r="L102">
        <v>744</v>
      </c>
      <c r="N102" t="str">
        <f t="shared" si="1"/>
        <v/>
      </c>
    </row>
    <row r="103" spans="12:14">
      <c r="L103">
        <v>2769</v>
      </c>
      <c r="N103" t="str">
        <f t="shared" si="1"/>
        <v/>
      </c>
    </row>
    <row r="104" spans="12:14">
      <c r="L104">
        <v>2560</v>
      </c>
      <c r="M104" t="s">
        <v>28</v>
      </c>
      <c r="N104">
        <f t="shared" si="1"/>
        <v>3</v>
      </c>
    </row>
    <row r="105" spans="12:14">
      <c r="L105">
        <v>3468</v>
      </c>
      <c r="N105" t="str">
        <f t="shared" si="1"/>
        <v/>
      </c>
    </row>
    <row r="106" spans="12:14">
      <c r="L106">
        <v>548</v>
      </c>
      <c r="N106" t="str">
        <f t="shared" si="1"/>
        <v/>
      </c>
    </row>
    <row r="107" spans="12:14">
      <c r="L107">
        <v>4669</v>
      </c>
      <c r="N107" t="str">
        <f t="shared" si="1"/>
        <v/>
      </c>
    </row>
    <row r="108" spans="12:14">
      <c r="L108">
        <v>1476</v>
      </c>
      <c r="N108" t="str">
        <f t="shared" si="1"/>
        <v/>
      </c>
    </row>
    <row r="109" spans="12:14">
      <c r="L109">
        <v>1567</v>
      </c>
      <c r="M109" t="s">
        <v>30</v>
      </c>
      <c r="N109">
        <f t="shared" si="1"/>
        <v>7</v>
      </c>
    </row>
    <row r="110" spans="12:14">
      <c r="L110">
        <v>882</v>
      </c>
      <c r="N110" t="str">
        <f t="shared" si="1"/>
        <v/>
      </c>
    </row>
    <row r="111" spans="12:14">
      <c r="L111">
        <v>1496</v>
      </c>
      <c r="N111" t="str">
        <f t="shared" si="1"/>
        <v/>
      </c>
    </row>
    <row r="112" spans="12:14">
      <c r="L112">
        <v>4589</v>
      </c>
      <c r="M112" t="s">
        <v>31</v>
      </c>
      <c r="N112">
        <f t="shared" si="1"/>
        <v>6</v>
      </c>
    </row>
    <row r="113" spans="12:14">
      <c r="L113">
        <v>684</v>
      </c>
      <c r="M113" t="s">
        <v>28</v>
      </c>
      <c r="N113">
        <f t="shared" si="1"/>
        <v>3</v>
      </c>
    </row>
    <row r="114" spans="12:14">
      <c r="L114">
        <v>895</v>
      </c>
      <c r="N114" t="str">
        <f t="shared" si="1"/>
        <v/>
      </c>
    </row>
    <row r="115" spans="12:14">
      <c r="L115">
        <v>2056</v>
      </c>
      <c r="N115" t="str">
        <f t="shared" si="1"/>
        <v/>
      </c>
    </row>
    <row r="116" spans="12:14">
      <c r="L116">
        <v>157</v>
      </c>
      <c r="N116" t="str">
        <f t="shared" si="1"/>
        <v/>
      </c>
    </row>
    <row r="117" spans="12:14">
      <c r="L117">
        <v>544</v>
      </c>
      <c r="N117" t="str">
        <f t="shared" si="1"/>
        <v/>
      </c>
    </row>
    <row r="118" spans="12:14">
      <c r="L118">
        <v>3698</v>
      </c>
      <c r="N118" t="str">
        <f t="shared" si="1"/>
        <v/>
      </c>
    </row>
    <row r="119" spans="12:14">
      <c r="L119">
        <v>4475</v>
      </c>
      <c r="M119" t="s">
        <v>26</v>
      </c>
      <c r="N119">
        <f t="shared" si="1"/>
        <v>1</v>
      </c>
    </row>
    <row r="120" spans="12:14">
      <c r="L120">
        <v>2193</v>
      </c>
      <c r="N120" t="str">
        <f t="shared" si="1"/>
        <v/>
      </c>
    </row>
    <row r="121" spans="12:14">
      <c r="L121">
        <v>2346</v>
      </c>
      <c r="N121" t="str">
        <f t="shared" si="1"/>
        <v/>
      </c>
    </row>
    <row r="122" spans="12:14">
      <c r="L122">
        <v>3390</v>
      </c>
      <c r="N122" t="str">
        <f t="shared" si="1"/>
        <v/>
      </c>
    </row>
    <row r="123" spans="12:14">
      <c r="L123">
        <v>4413</v>
      </c>
      <c r="N123" t="str">
        <f t="shared" si="1"/>
        <v/>
      </c>
    </row>
    <row r="124" spans="12:14">
      <c r="L124">
        <v>3919</v>
      </c>
      <c r="M124" t="s">
        <v>28</v>
      </c>
      <c r="N124">
        <f t="shared" si="1"/>
        <v>3</v>
      </c>
    </row>
    <row r="125" spans="12:14">
      <c r="L125">
        <v>2126</v>
      </c>
      <c r="N125" t="str">
        <f t="shared" si="1"/>
        <v/>
      </c>
    </row>
    <row r="126" spans="12:14">
      <c r="L126">
        <v>597</v>
      </c>
      <c r="N126" t="str">
        <f t="shared" si="1"/>
        <v/>
      </c>
    </row>
    <row r="127" spans="12:14">
      <c r="L127">
        <v>3029</v>
      </c>
      <c r="N127" t="str">
        <f t="shared" si="1"/>
        <v/>
      </c>
    </row>
    <row r="128" spans="12:14">
      <c r="L128">
        <v>2253</v>
      </c>
      <c r="N128" t="str">
        <f t="shared" si="1"/>
        <v/>
      </c>
    </row>
    <row r="129" spans="12:14">
      <c r="L129">
        <v>3568</v>
      </c>
      <c r="M129" t="s">
        <v>19</v>
      </c>
      <c r="N129">
        <f t="shared" si="1"/>
        <v>2</v>
      </c>
    </row>
    <row r="130" spans="12:14">
      <c r="L130">
        <v>4549</v>
      </c>
      <c r="N130" t="str">
        <f t="shared" si="1"/>
        <v/>
      </c>
    </row>
    <row r="131" spans="12:14">
      <c r="L131">
        <v>4031</v>
      </c>
      <c r="M131" t="s">
        <v>26</v>
      </c>
      <c r="N131">
        <f t="shared" ref="N131:N194" si="2">IFERROR(VLOOKUP(M131,$A$3:$B$10,2,0),"")</f>
        <v>1</v>
      </c>
    </row>
    <row r="132" spans="12:14">
      <c r="L132">
        <v>1616</v>
      </c>
      <c r="N132" t="str">
        <f t="shared" si="2"/>
        <v/>
      </c>
    </row>
    <row r="133" spans="12:14">
      <c r="L133">
        <v>1434</v>
      </c>
      <c r="M133" t="s">
        <v>26</v>
      </c>
      <c r="N133">
        <f t="shared" si="2"/>
        <v>1</v>
      </c>
    </row>
    <row r="134" spans="12:14">
      <c r="L134">
        <v>2235</v>
      </c>
      <c r="M134" t="s">
        <v>19</v>
      </c>
      <c r="N134">
        <f t="shared" si="2"/>
        <v>2</v>
      </c>
    </row>
    <row r="135" spans="12:14">
      <c r="L135">
        <v>3330</v>
      </c>
      <c r="N135" t="str">
        <f t="shared" si="2"/>
        <v/>
      </c>
    </row>
    <row r="136" spans="12:14">
      <c r="L136">
        <v>1963</v>
      </c>
      <c r="N136" t="str">
        <f t="shared" si="2"/>
        <v/>
      </c>
    </row>
    <row r="137" spans="12:14">
      <c r="L137">
        <v>1559</v>
      </c>
      <c r="M137" t="s">
        <v>19</v>
      </c>
      <c r="N137">
        <f t="shared" si="2"/>
        <v>2</v>
      </c>
    </row>
    <row r="138" spans="12:14">
      <c r="L138">
        <v>524</v>
      </c>
      <c r="N138" t="str">
        <f t="shared" si="2"/>
        <v/>
      </c>
    </row>
    <row r="139" spans="12:14">
      <c r="L139">
        <v>1407</v>
      </c>
      <c r="N139" t="str">
        <f t="shared" si="2"/>
        <v/>
      </c>
    </row>
    <row r="140" spans="12:14">
      <c r="L140">
        <v>4728</v>
      </c>
      <c r="M140" t="s">
        <v>29</v>
      </c>
      <c r="N140">
        <f t="shared" si="2"/>
        <v>4</v>
      </c>
    </row>
    <row r="141" spans="12:14">
      <c r="L141">
        <v>3829</v>
      </c>
      <c r="M141" t="s">
        <v>19</v>
      </c>
      <c r="N141">
        <f t="shared" si="2"/>
        <v>2</v>
      </c>
    </row>
    <row r="142" spans="12:14">
      <c r="L142">
        <v>4378</v>
      </c>
      <c r="N142" t="str">
        <f t="shared" si="2"/>
        <v/>
      </c>
    </row>
    <row r="143" spans="12:14">
      <c r="L143">
        <v>3277</v>
      </c>
      <c r="M143" t="s">
        <v>19</v>
      </c>
      <c r="N143">
        <f t="shared" si="2"/>
        <v>2</v>
      </c>
    </row>
    <row r="144" spans="12:14">
      <c r="L144">
        <v>3667</v>
      </c>
      <c r="N144" t="str">
        <f t="shared" si="2"/>
        <v/>
      </c>
    </row>
    <row r="145" spans="12:14">
      <c r="L145">
        <v>2977</v>
      </c>
      <c r="M145" t="s">
        <v>19</v>
      </c>
      <c r="N145">
        <f t="shared" si="2"/>
        <v>2</v>
      </c>
    </row>
    <row r="146" spans="12:14">
      <c r="L146">
        <v>4396</v>
      </c>
      <c r="N146" t="str">
        <f t="shared" si="2"/>
        <v/>
      </c>
    </row>
    <row r="147" spans="12:14">
      <c r="L147">
        <v>726</v>
      </c>
      <c r="N147" t="str">
        <f t="shared" si="2"/>
        <v/>
      </c>
    </row>
    <row r="148" spans="12:14">
      <c r="L148">
        <v>3905</v>
      </c>
      <c r="M148" t="s">
        <v>25</v>
      </c>
      <c r="N148">
        <f t="shared" si="2"/>
        <v>5</v>
      </c>
    </row>
    <row r="149" spans="12:14">
      <c r="L149">
        <v>1859</v>
      </c>
      <c r="M149" t="s">
        <v>26</v>
      </c>
      <c r="N149">
        <f t="shared" si="2"/>
        <v>1</v>
      </c>
    </row>
    <row r="150" spans="12:14">
      <c r="L150">
        <v>1642</v>
      </c>
      <c r="N150" t="str">
        <f t="shared" si="2"/>
        <v/>
      </c>
    </row>
    <row r="151" spans="12:14">
      <c r="L151">
        <v>1874</v>
      </c>
      <c r="N151" t="str">
        <f t="shared" si="2"/>
        <v/>
      </c>
    </row>
    <row r="152" spans="12:14">
      <c r="L152">
        <v>2619</v>
      </c>
      <c r="N152" t="str">
        <f t="shared" si="2"/>
        <v/>
      </c>
    </row>
    <row r="153" spans="12:14">
      <c r="L153">
        <v>4984</v>
      </c>
      <c r="N153" t="str">
        <f t="shared" si="2"/>
        <v/>
      </c>
    </row>
    <row r="154" spans="12:14">
      <c r="L154">
        <v>2782</v>
      </c>
      <c r="M154" t="s">
        <v>28</v>
      </c>
      <c r="N154">
        <f t="shared" si="2"/>
        <v>3</v>
      </c>
    </row>
    <row r="155" spans="12:14">
      <c r="L155">
        <v>1762</v>
      </c>
      <c r="N155" t="str">
        <f t="shared" si="2"/>
        <v/>
      </c>
    </row>
    <row r="156" spans="12:14">
      <c r="L156">
        <v>3573</v>
      </c>
      <c r="N156" t="str">
        <f t="shared" si="2"/>
        <v/>
      </c>
    </row>
    <row r="157" spans="12:14">
      <c r="L157">
        <v>1780</v>
      </c>
      <c r="N157" t="str">
        <f t="shared" si="2"/>
        <v/>
      </c>
    </row>
    <row r="158" spans="12:14">
      <c r="L158">
        <v>2611</v>
      </c>
      <c r="N158" t="str">
        <f t="shared" si="2"/>
        <v/>
      </c>
    </row>
    <row r="159" spans="12:14">
      <c r="L159">
        <v>1980</v>
      </c>
      <c r="N159" t="str">
        <f t="shared" si="2"/>
        <v/>
      </c>
    </row>
    <row r="160" spans="12:14">
      <c r="L160">
        <v>2164</v>
      </c>
      <c r="N160" t="str">
        <f t="shared" si="2"/>
        <v/>
      </c>
    </row>
    <row r="161" spans="12:14">
      <c r="L161">
        <v>812</v>
      </c>
      <c r="N161" t="str">
        <f t="shared" si="2"/>
        <v/>
      </c>
    </row>
    <row r="162" spans="12:14">
      <c r="L162">
        <v>3094</v>
      </c>
      <c r="N162" t="str">
        <f t="shared" si="2"/>
        <v/>
      </c>
    </row>
    <row r="163" spans="12:14">
      <c r="L163">
        <v>2693</v>
      </c>
      <c r="N163" t="str">
        <f t="shared" si="2"/>
        <v/>
      </c>
    </row>
    <row r="164" spans="12:14">
      <c r="L164">
        <v>1744</v>
      </c>
      <c r="N164" t="str">
        <f t="shared" si="2"/>
        <v/>
      </c>
    </row>
    <row r="165" spans="12:14">
      <c r="L165">
        <v>4771</v>
      </c>
      <c r="M165" t="s">
        <v>31</v>
      </c>
      <c r="N165">
        <f t="shared" si="2"/>
        <v>6</v>
      </c>
    </row>
    <row r="166" spans="12:14">
      <c r="L166">
        <v>408</v>
      </c>
      <c r="N166" t="str">
        <f t="shared" si="2"/>
        <v/>
      </c>
    </row>
    <row r="167" spans="12:14">
      <c r="L167">
        <v>3108</v>
      </c>
      <c r="N167" t="str">
        <f t="shared" si="2"/>
        <v/>
      </c>
    </row>
    <row r="168" spans="12:14">
      <c r="L168">
        <v>3913</v>
      </c>
      <c r="N168" t="str">
        <f t="shared" si="2"/>
        <v/>
      </c>
    </row>
    <row r="169" spans="12:14">
      <c r="L169">
        <v>2296</v>
      </c>
      <c r="M169" t="s">
        <v>30</v>
      </c>
      <c r="N169">
        <f t="shared" si="2"/>
        <v>7</v>
      </c>
    </row>
    <row r="170" spans="12:14">
      <c r="L170">
        <v>3745</v>
      </c>
      <c r="N170" t="str">
        <f t="shared" si="2"/>
        <v/>
      </c>
    </row>
    <row r="171" spans="12:14">
      <c r="L171">
        <v>2819</v>
      </c>
      <c r="M171" t="s">
        <v>25</v>
      </c>
      <c r="N171">
        <f t="shared" si="2"/>
        <v>5</v>
      </c>
    </row>
    <row r="172" spans="12:14">
      <c r="L172">
        <v>2762</v>
      </c>
      <c r="N172" t="str">
        <f t="shared" si="2"/>
        <v/>
      </c>
    </row>
    <row r="173" spans="12:14">
      <c r="L173">
        <v>3783</v>
      </c>
      <c r="M173" t="s">
        <v>29</v>
      </c>
      <c r="N173">
        <f t="shared" si="2"/>
        <v>4</v>
      </c>
    </row>
    <row r="174" spans="12:14">
      <c r="L174">
        <v>206</v>
      </c>
      <c r="N174" t="str">
        <f t="shared" si="2"/>
        <v/>
      </c>
    </row>
    <row r="175" spans="12:14">
      <c r="L175">
        <v>1284</v>
      </c>
      <c r="N175" t="str">
        <f t="shared" si="2"/>
        <v/>
      </c>
    </row>
    <row r="176" spans="12:14">
      <c r="L176">
        <v>2350</v>
      </c>
      <c r="N176" t="str">
        <f t="shared" si="2"/>
        <v/>
      </c>
    </row>
    <row r="177" spans="12:14">
      <c r="L177">
        <v>3272</v>
      </c>
      <c r="N177" t="str">
        <f t="shared" si="2"/>
        <v/>
      </c>
    </row>
    <row r="178" spans="12:14">
      <c r="L178">
        <v>1887</v>
      </c>
      <c r="M178" t="s">
        <v>26</v>
      </c>
      <c r="N178">
        <f t="shared" si="2"/>
        <v>1</v>
      </c>
    </row>
    <row r="179" spans="12:14">
      <c r="L179">
        <v>3099</v>
      </c>
      <c r="N179" t="str">
        <f t="shared" si="2"/>
        <v/>
      </c>
    </row>
    <row r="180" spans="12:14">
      <c r="L180">
        <v>4901</v>
      </c>
      <c r="M180" t="s">
        <v>28</v>
      </c>
      <c r="N180">
        <f t="shared" si="2"/>
        <v>3</v>
      </c>
    </row>
    <row r="181" spans="12:14">
      <c r="L181">
        <v>2529</v>
      </c>
      <c r="M181" t="s">
        <v>26</v>
      </c>
      <c r="N181">
        <f t="shared" si="2"/>
        <v>1</v>
      </c>
    </row>
    <row r="182" spans="12:14">
      <c r="L182">
        <v>1484</v>
      </c>
      <c r="M182" t="s">
        <v>30</v>
      </c>
      <c r="N182">
        <f t="shared" si="2"/>
        <v>7</v>
      </c>
    </row>
    <row r="183" spans="12:14">
      <c r="L183">
        <v>129</v>
      </c>
      <c r="N183" t="str">
        <f t="shared" si="2"/>
        <v/>
      </c>
    </row>
    <row r="184" spans="12:14">
      <c r="L184">
        <v>946</v>
      </c>
      <c r="N184" t="str">
        <f t="shared" si="2"/>
        <v/>
      </c>
    </row>
    <row r="185" spans="12:14">
      <c r="L185">
        <v>1169</v>
      </c>
      <c r="M185" t="s">
        <v>26</v>
      </c>
      <c r="N185">
        <f t="shared" si="2"/>
        <v>1</v>
      </c>
    </row>
    <row r="186" spans="12:14">
      <c r="L186">
        <v>3711</v>
      </c>
      <c r="M186" t="s">
        <v>26</v>
      </c>
      <c r="N186">
        <f t="shared" si="2"/>
        <v>1</v>
      </c>
    </row>
    <row r="187" spans="12:14">
      <c r="L187">
        <v>4504</v>
      </c>
      <c r="M187" t="s">
        <v>25</v>
      </c>
      <c r="N187">
        <f t="shared" si="2"/>
        <v>5</v>
      </c>
    </row>
    <row r="188" spans="12:14">
      <c r="L188">
        <v>4757</v>
      </c>
      <c r="M188" t="s">
        <v>31</v>
      </c>
      <c r="N188">
        <f t="shared" si="2"/>
        <v>6</v>
      </c>
    </row>
    <row r="189" spans="12:14">
      <c r="L189">
        <v>3314</v>
      </c>
      <c r="M189" t="s">
        <v>25</v>
      </c>
      <c r="N189">
        <f t="shared" si="2"/>
        <v>5</v>
      </c>
    </row>
    <row r="190" spans="12:14">
      <c r="L190">
        <v>1516</v>
      </c>
      <c r="N190" t="str">
        <f t="shared" si="2"/>
        <v/>
      </c>
    </row>
    <row r="191" spans="12:14">
      <c r="L191">
        <v>4688</v>
      </c>
      <c r="N191" t="str">
        <f t="shared" si="2"/>
        <v/>
      </c>
    </row>
    <row r="192" spans="12:14">
      <c r="L192">
        <v>3606</v>
      </c>
      <c r="M192" t="s">
        <v>29</v>
      </c>
      <c r="N192">
        <f t="shared" si="2"/>
        <v>4</v>
      </c>
    </row>
    <row r="193" spans="12:14">
      <c r="L193">
        <v>1539</v>
      </c>
      <c r="M193" t="s">
        <v>29</v>
      </c>
      <c r="N193">
        <f t="shared" si="2"/>
        <v>4</v>
      </c>
    </row>
    <row r="194" spans="12:14">
      <c r="L194">
        <v>1017</v>
      </c>
      <c r="N194" t="str">
        <f t="shared" si="2"/>
        <v/>
      </c>
    </row>
    <row r="195" spans="12:14">
      <c r="L195">
        <v>4884</v>
      </c>
      <c r="M195" t="s">
        <v>19</v>
      </c>
      <c r="N195">
        <f t="shared" ref="N195:N258" si="3">IFERROR(VLOOKUP(M195,$A$3:$B$10,2,0),"")</f>
        <v>2</v>
      </c>
    </row>
    <row r="196" spans="12:14">
      <c r="L196">
        <v>4429</v>
      </c>
      <c r="N196" t="str">
        <f t="shared" si="3"/>
        <v/>
      </c>
    </row>
    <row r="197" spans="12:14">
      <c r="L197">
        <v>3041</v>
      </c>
      <c r="N197" t="str">
        <f t="shared" si="3"/>
        <v/>
      </c>
    </row>
    <row r="198" spans="12:14">
      <c r="L198">
        <v>4447</v>
      </c>
      <c r="N198" t="str">
        <f t="shared" si="3"/>
        <v/>
      </c>
    </row>
    <row r="199" spans="12:14">
      <c r="L199">
        <v>1327</v>
      </c>
      <c r="M199" t="s">
        <v>28</v>
      </c>
      <c r="N199">
        <f t="shared" si="3"/>
        <v>3</v>
      </c>
    </row>
    <row r="200" spans="12:14">
      <c r="L200">
        <v>3465</v>
      </c>
      <c r="N200" t="str">
        <f t="shared" si="3"/>
        <v/>
      </c>
    </row>
    <row r="201" spans="12:14">
      <c r="L201">
        <v>3932</v>
      </c>
      <c r="M201" t="s">
        <v>30</v>
      </c>
      <c r="N201">
        <f t="shared" si="3"/>
        <v>7</v>
      </c>
    </row>
    <row r="202" spans="12:14">
      <c r="L202">
        <v>2924</v>
      </c>
      <c r="M202" t="s">
        <v>28</v>
      </c>
      <c r="N202">
        <f t="shared" si="3"/>
        <v>3</v>
      </c>
    </row>
    <row r="203" spans="12:14">
      <c r="L203">
        <v>903</v>
      </c>
      <c r="N203" t="str">
        <f t="shared" si="3"/>
        <v/>
      </c>
    </row>
    <row r="204" spans="12:14">
      <c r="L204">
        <v>722</v>
      </c>
      <c r="N204" t="str">
        <f t="shared" si="3"/>
        <v/>
      </c>
    </row>
    <row r="205" spans="12:14">
      <c r="L205">
        <v>843</v>
      </c>
      <c r="N205" t="str">
        <f t="shared" si="3"/>
        <v/>
      </c>
    </row>
    <row r="206" spans="12:14">
      <c r="L206">
        <v>868</v>
      </c>
      <c r="M206" t="s">
        <v>30</v>
      </c>
      <c r="N206">
        <f t="shared" si="3"/>
        <v>7</v>
      </c>
    </row>
    <row r="207" spans="12:14">
      <c r="L207">
        <v>886</v>
      </c>
      <c r="N207" t="str">
        <f t="shared" si="3"/>
        <v/>
      </c>
    </row>
    <row r="208" spans="12:14">
      <c r="L208">
        <v>1369</v>
      </c>
      <c r="N208" t="str">
        <f t="shared" si="3"/>
        <v/>
      </c>
    </row>
    <row r="209" spans="12:14">
      <c r="L209">
        <v>3213</v>
      </c>
      <c r="N209" t="str">
        <f t="shared" si="3"/>
        <v/>
      </c>
    </row>
    <row r="210" spans="12:14">
      <c r="L210">
        <v>4845</v>
      </c>
      <c r="N210" t="str">
        <f t="shared" si="3"/>
        <v/>
      </c>
    </row>
    <row r="211" spans="12:14">
      <c r="L211">
        <v>2991</v>
      </c>
      <c r="N211" t="str">
        <f t="shared" si="3"/>
        <v/>
      </c>
    </row>
    <row r="212" spans="12:14">
      <c r="L212">
        <v>785</v>
      </c>
      <c r="N212" t="str">
        <f t="shared" si="3"/>
        <v/>
      </c>
    </row>
    <row r="213" spans="12:14">
      <c r="L213">
        <v>593</v>
      </c>
      <c r="M213" t="s">
        <v>30</v>
      </c>
      <c r="N213">
        <f t="shared" si="3"/>
        <v>7</v>
      </c>
    </row>
    <row r="214" spans="12:14">
      <c r="L214">
        <v>3872</v>
      </c>
      <c r="N214" t="str">
        <f t="shared" si="3"/>
        <v/>
      </c>
    </row>
    <row r="215" spans="12:14">
      <c r="L215">
        <v>4530</v>
      </c>
      <c r="M215" t="s">
        <v>19</v>
      </c>
      <c r="N215">
        <f t="shared" si="3"/>
        <v>2</v>
      </c>
    </row>
    <row r="216" spans="12:14">
      <c r="L216">
        <v>1372</v>
      </c>
      <c r="N216" t="str">
        <f t="shared" si="3"/>
        <v/>
      </c>
    </row>
    <row r="217" spans="12:14">
      <c r="L217">
        <v>15</v>
      </c>
      <c r="M217" t="s">
        <v>19</v>
      </c>
      <c r="N217">
        <f t="shared" si="3"/>
        <v>2</v>
      </c>
    </row>
    <row r="218" spans="12:14">
      <c r="L218">
        <v>4608</v>
      </c>
      <c r="N218" t="str">
        <f t="shared" si="3"/>
        <v/>
      </c>
    </row>
    <row r="219" spans="12:14">
      <c r="L219">
        <v>1537</v>
      </c>
      <c r="N219" t="str">
        <f t="shared" si="3"/>
        <v/>
      </c>
    </row>
    <row r="220" spans="12:14">
      <c r="L220">
        <v>754</v>
      </c>
      <c r="N220" t="str">
        <f t="shared" si="3"/>
        <v/>
      </c>
    </row>
    <row r="221" spans="12:14">
      <c r="L221">
        <v>1838</v>
      </c>
      <c r="N221" t="str">
        <f t="shared" si="3"/>
        <v/>
      </c>
    </row>
    <row r="222" spans="12:14">
      <c r="L222">
        <v>4419</v>
      </c>
      <c r="N222" t="str">
        <f t="shared" si="3"/>
        <v/>
      </c>
    </row>
    <row r="223" spans="12:14">
      <c r="L223">
        <v>4864</v>
      </c>
      <c r="N223" t="str">
        <f t="shared" si="3"/>
        <v/>
      </c>
    </row>
    <row r="224" spans="12:14">
      <c r="L224">
        <v>3255</v>
      </c>
      <c r="N224" t="str">
        <f t="shared" si="3"/>
        <v/>
      </c>
    </row>
    <row r="225" spans="12:14">
      <c r="L225">
        <v>823</v>
      </c>
      <c r="N225" t="str">
        <f t="shared" si="3"/>
        <v/>
      </c>
    </row>
    <row r="226" spans="12:14">
      <c r="L226">
        <v>703</v>
      </c>
      <c r="N226" t="str">
        <f t="shared" si="3"/>
        <v/>
      </c>
    </row>
    <row r="227" spans="12:14">
      <c r="L227">
        <v>1163</v>
      </c>
      <c r="M227" t="s">
        <v>29</v>
      </c>
      <c r="N227">
        <f t="shared" si="3"/>
        <v>4</v>
      </c>
    </row>
    <row r="228" spans="12:14">
      <c r="L228">
        <v>1969</v>
      </c>
      <c r="N228" t="str">
        <f t="shared" si="3"/>
        <v/>
      </c>
    </row>
    <row r="229" spans="12:14">
      <c r="L229">
        <v>2151</v>
      </c>
      <c r="N229" t="str">
        <f t="shared" si="3"/>
        <v/>
      </c>
    </row>
    <row r="230" spans="12:14">
      <c r="L230">
        <v>4449</v>
      </c>
      <c r="N230" t="str">
        <f t="shared" si="3"/>
        <v/>
      </c>
    </row>
    <row r="231" spans="12:14">
      <c r="L231">
        <v>282</v>
      </c>
      <c r="N231" t="str">
        <f t="shared" si="3"/>
        <v/>
      </c>
    </row>
    <row r="232" spans="12:14">
      <c r="L232">
        <v>4278</v>
      </c>
      <c r="N232" t="str">
        <f t="shared" si="3"/>
        <v/>
      </c>
    </row>
    <row r="233" spans="12:14">
      <c r="L233">
        <v>3989</v>
      </c>
      <c r="N233" t="str">
        <f t="shared" si="3"/>
        <v/>
      </c>
    </row>
    <row r="234" spans="12:14">
      <c r="L234">
        <v>2685</v>
      </c>
      <c r="M234" t="s">
        <v>19</v>
      </c>
      <c r="N234">
        <f t="shared" si="3"/>
        <v>2</v>
      </c>
    </row>
    <row r="235" spans="12:14">
      <c r="L235">
        <v>2963</v>
      </c>
      <c r="N235" t="str">
        <f t="shared" si="3"/>
        <v/>
      </c>
    </row>
    <row r="236" spans="12:14">
      <c r="L236">
        <v>820</v>
      </c>
      <c r="N236" t="str">
        <f t="shared" si="3"/>
        <v/>
      </c>
    </row>
    <row r="237" spans="12:14">
      <c r="L237">
        <v>4775</v>
      </c>
      <c r="M237" t="s">
        <v>31</v>
      </c>
      <c r="N237">
        <f t="shared" si="3"/>
        <v>6</v>
      </c>
    </row>
    <row r="238" spans="12:14">
      <c r="L238">
        <v>1326</v>
      </c>
      <c r="N238" t="str">
        <f t="shared" si="3"/>
        <v/>
      </c>
    </row>
    <row r="239" spans="12:14">
      <c r="L239">
        <v>3511</v>
      </c>
      <c r="N239" t="str">
        <f t="shared" si="3"/>
        <v/>
      </c>
    </row>
    <row r="240" spans="12:14">
      <c r="L240">
        <v>134</v>
      </c>
      <c r="N240" t="str">
        <f t="shared" si="3"/>
        <v/>
      </c>
    </row>
    <row r="241" spans="12:14">
      <c r="L241">
        <v>3016</v>
      </c>
      <c r="N241" t="str">
        <f t="shared" si="3"/>
        <v/>
      </c>
    </row>
    <row r="242" spans="12:14">
      <c r="L242">
        <v>3997</v>
      </c>
      <c r="N242" t="str">
        <f t="shared" si="3"/>
        <v/>
      </c>
    </row>
    <row r="243" spans="12:14">
      <c r="L243">
        <v>3279</v>
      </c>
      <c r="M243" t="s">
        <v>28</v>
      </c>
      <c r="N243">
        <f t="shared" si="3"/>
        <v>3</v>
      </c>
    </row>
    <row r="244" spans="12:14">
      <c r="L244">
        <v>1942</v>
      </c>
      <c r="N244" t="str">
        <f t="shared" si="3"/>
        <v/>
      </c>
    </row>
    <row r="245" spans="12:14">
      <c r="L245">
        <v>1395</v>
      </c>
      <c r="N245" t="str">
        <f t="shared" si="3"/>
        <v/>
      </c>
    </row>
    <row r="246" spans="12:14">
      <c r="L246">
        <v>4920</v>
      </c>
      <c r="M246" t="s">
        <v>26</v>
      </c>
      <c r="N246">
        <f t="shared" si="3"/>
        <v>1</v>
      </c>
    </row>
    <row r="247" spans="12:14">
      <c r="L247">
        <v>2300</v>
      </c>
      <c r="N247" t="str">
        <f t="shared" si="3"/>
        <v/>
      </c>
    </row>
    <row r="248" spans="12:14">
      <c r="L248">
        <v>981</v>
      </c>
      <c r="M248" t="s">
        <v>25</v>
      </c>
      <c r="N248">
        <f t="shared" si="3"/>
        <v>5</v>
      </c>
    </row>
    <row r="249" spans="12:14">
      <c r="L249">
        <v>2948</v>
      </c>
      <c r="N249" t="str">
        <f t="shared" si="3"/>
        <v/>
      </c>
    </row>
    <row r="250" spans="12:14">
      <c r="L250">
        <v>4380</v>
      </c>
      <c r="N250" t="str">
        <f t="shared" si="3"/>
        <v/>
      </c>
    </row>
    <row r="251" spans="12:14">
      <c r="L251">
        <v>2887</v>
      </c>
      <c r="N251" t="str">
        <f t="shared" si="3"/>
        <v/>
      </c>
    </row>
    <row r="252" spans="12:14">
      <c r="L252">
        <v>2514</v>
      </c>
      <c r="M252" t="s">
        <v>31</v>
      </c>
      <c r="N252">
        <f t="shared" si="3"/>
        <v>6</v>
      </c>
    </row>
    <row r="253" spans="12:14">
      <c r="L253">
        <v>693</v>
      </c>
      <c r="N253" t="str">
        <f t="shared" si="3"/>
        <v/>
      </c>
    </row>
    <row r="254" spans="12:14">
      <c r="L254">
        <v>3658</v>
      </c>
      <c r="M254" t="s">
        <v>31</v>
      </c>
      <c r="N254">
        <f t="shared" si="3"/>
        <v>6</v>
      </c>
    </row>
    <row r="255" spans="12:14">
      <c r="L255">
        <v>4698</v>
      </c>
      <c r="N255" t="str">
        <f t="shared" si="3"/>
        <v/>
      </c>
    </row>
    <row r="256" spans="12:14">
      <c r="L256">
        <v>3262</v>
      </c>
      <c r="N256" t="str">
        <f t="shared" si="3"/>
        <v/>
      </c>
    </row>
    <row r="257" spans="12:14">
      <c r="L257">
        <v>1878</v>
      </c>
      <c r="N257" t="str">
        <f t="shared" si="3"/>
        <v/>
      </c>
    </row>
    <row r="258" spans="12:14">
      <c r="L258">
        <v>1168</v>
      </c>
      <c r="N258" t="str">
        <f t="shared" si="3"/>
        <v/>
      </c>
    </row>
    <row r="259" spans="12:14">
      <c r="L259">
        <v>3196</v>
      </c>
      <c r="N259" t="str">
        <f t="shared" ref="N259:N322" si="4">IFERROR(VLOOKUP(M259,$A$3:$B$10,2,0),"")</f>
        <v/>
      </c>
    </row>
    <row r="260" spans="12:14">
      <c r="L260">
        <v>4254</v>
      </c>
      <c r="N260" t="str">
        <f t="shared" si="4"/>
        <v/>
      </c>
    </row>
    <row r="261" spans="12:14">
      <c r="L261">
        <v>130</v>
      </c>
      <c r="M261" t="s">
        <v>26</v>
      </c>
      <c r="N261">
        <f t="shared" si="4"/>
        <v>1</v>
      </c>
    </row>
    <row r="262" spans="12:14">
      <c r="L262">
        <v>4630</v>
      </c>
      <c r="M262" t="s">
        <v>28</v>
      </c>
      <c r="N262">
        <f t="shared" si="4"/>
        <v>3</v>
      </c>
    </row>
    <row r="263" spans="12:14">
      <c r="L263">
        <v>1704</v>
      </c>
      <c r="N263" t="str">
        <f t="shared" si="4"/>
        <v/>
      </c>
    </row>
    <row r="264" spans="12:14">
      <c r="L264">
        <v>2311</v>
      </c>
      <c r="M264" t="s">
        <v>28</v>
      </c>
      <c r="N264">
        <f t="shared" si="4"/>
        <v>3</v>
      </c>
    </row>
    <row r="265" spans="12:14">
      <c r="L265">
        <v>104</v>
      </c>
      <c r="N265" t="str">
        <f t="shared" si="4"/>
        <v/>
      </c>
    </row>
    <row r="266" spans="12:14">
      <c r="L266">
        <v>2856</v>
      </c>
      <c r="N266" t="str">
        <f t="shared" si="4"/>
        <v/>
      </c>
    </row>
    <row r="267" spans="12:14">
      <c r="L267">
        <v>2278</v>
      </c>
      <c r="N267" t="str">
        <f t="shared" si="4"/>
        <v/>
      </c>
    </row>
    <row r="268" spans="12:14">
      <c r="L268">
        <v>1422</v>
      </c>
      <c r="M268" t="s">
        <v>31</v>
      </c>
      <c r="N268">
        <f t="shared" si="4"/>
        <v>6</v>
      </c>
    </row>
    <row r="269" spans="12:14">
      <c r="L269">
        <v>3354</v>
      </c>
      <c r="N269" t="str">
        <f t="shared" si="4"/>
        <v/>
      </c>
    </row>
    <row r="270" spans="12:14">
      <c r="L270">
        <v>4754</v>
      </c>
      <c r="N270" t="str">
        <f t="shared" si="4"/>
        <v/>
      </c>
    </row>
    <row r="271" spans="12:14">
      <c r="L271">
        <v>1873</v>
      </c>
      <c r="N271" t="str">
        <f t="shared" si="4"/>
        <v/>
      </c>
    </row>
    <row r="272" spans="12:14">
      <c r="L272">
        <v>3661</v>
      </c>
      <c r="M272" t="s">
        <v>25</v>
      </c>
      <c r="N272">
        <f t="shared" si="4"/>
        <v>5</v>
      </c>
    </row>
    <row r="273" spans="12:14">
      <c r="L273">
        <v>1727</v>
      </c>
      <c r="N273" t="str">
        <f t="shared" si="4"/>
        <v/>
      </c>
    </row>
    <row r="274" spans="12:14">
      <c r="L274">
        <v>793</v>
      </c>
      <c r="N274" t="str">
        <f t="shared" si="4"/>
        <v/>
      </c>
    </row>
    <row r="275" spans="12:14">
      <c r="L275">
        <v>1440</v>
      </c>
      <c r="N275" t="str">
        <f t="shared" si="4"/>
        <v/>
      </c>
    </row>
    <row r="276" spans="12:14">
      <c r="L276">
        <v>3127</v>
      </c>
      <c r="N276" t="str">
        <f t="shared" si="4"/>
        <v/>
      </c>
    </row>
    <row r="277" spans="12:14">
      <c r="L277">
        <v>4431</v>
      </c>
      <c r="N277" t="str">
        <f t="shared" si="4"/>
        <v/>
      </c>
    </row>
    <row r="278" spans="12:14">
      <c r="L278">
        <v>3539</v>
      </c>
      <c r="N278" t="str">
        <f t="shared" si="4"/>
        <v/>
      </c>
    </row>
    <row r="279" spans="12:14">
      <c r="L279">
        <v>2697</v>
      </c>
      <c r="N279" t="str">
        <f t="shared" si="4"/>
        <v/>
      </c>
    </row>
    <row r="280" spans="12:14">
      <c r="L280">
        <v>1935</v>
      </c>
      <c r="N280" t="str">
        <f t="shared" si="4"/>
        <v/>
      </c>
    </row>
    <row r="281" spans="12:14">
      <c r="L281">
        <v>2752</v>
      </c>
      <c r="N281" t="str">
        <f t="shared" si="4"/>
        <v/>
      </c>
    </row>
    <row r="282" spans="12:14">
      <c r="L282">
        <v>4126</v>
      </c>
      <c r="M282" t="s">
        <v>30</v>
      </c>
      <c r="N282">
        <f t="shared" si="4"/>
        <v>7</v>
      </c>
    </row>
    <row r="283" spans="12:14">
      <c r="L283">
        <v>4323</v>
      </c>
      <c r="M283" t="s">
        <v>31</v>
      </c>
      <c r="N283">
        <f t="shared" si="4"/>
        <v>6</v>
      </c>
    </row>
    <row r="284" spans="12:14">
      <c r="L284">
        <v>1443</v>
      </c>
      <c r="N284" t="str">
        <f t="shared" si="4"/>
        <v/>
      </c>
    </row>
    <row r="285" spans="12:14">
      <c r="L285">
        <v>4647</v>
      </c>
      <c r="N285" t="str">
        <f t="shared" si="4"/>
        <v/>
      </c>
    </row>
    <row r="286" spans="12:14">
      <c r="L286">
        <v>3205</v>
      </c>
      <c r="N286" t="str">
        <f t="shared" si="4"/>
        <v/>
      </c>
    </row>
    <row r="287" spans="12:14">
      <c r="L287">
        <v>3868</v>
      </c>
      <c r="M287" t="s">
        <v>26</v>
      </c>
      <c r="N287">
        <f t="shared" si="4"/>
        <v>1</v>
      </c>
    </row>
    <row r="288" spans="12:14">
      <c r="L288">
        <v>4069</v>
      </c>
      <c r="N288" t="str">
        <f t="shared" si="4"/>
        <v/>
      </c>
    </row>
    <row r="289" spans="12:14">
      <c r="L289">
        <v>4182</v>
      </c>
      <c r="N289" t="str">
        <f t="shared" si="4"/>
        <v/>
      </c>
    </row>
    <row r="290" spans="12:14">
      <c r="L290">
        <v>2405</v>
      </c>
      <c r="N290" t="str">
        <f t="shared" si="4"/>
        <v/>
      </c>
    </row>
    <row r="291" spans="12:14">
      <c r="L291">
        <v>3096</v>
      </c>
      <c r="M291" t="s">
        <v>31</v>
      </c>
      <c r="N291">
        <f t="shared" si="4"/>
        <v>6</v>
      </c>
    </row>
    <row r="292" spans="12:14">
      <c r="L292">
        <v>3453</v>
      </c>
      <c r="N292" t="str">
        <f t="shared" si="4"/>
        <v/>
      </c>
    </row>
    <row r="293" spans="12:14">
      <c r="L293">
        <v>4753</v>
      </c>
      <c r="N293" t="str">
        <f t="shared" si="4"/>
        <v/>
      </c>
    </row>
    <row r="294" spans="12:14">
      <c r="L294">
        <v>4465</v>
      </c>
      <c r="N294" t="str">
        <f t="shared" si="4"/>
        <v/>
      </c>
    </row>
    <row r="295" spans="12:14">
      <c r="L295">
        <v>3070</v>
      </c>
      <c r="M295" t="s">
        <v>29</v>
      </c>
      <c r="N295">
        <f t="shared" si="4"/>
        <v>4</v>
      </c>
    </row>
    <row r="296" spans="12:14">
      <c r="L296">
        <v>2375</v>
      </c>
      <c r="N296" t="str">
        <f t="shared" si="4"/>
        <v/>
      </c>
    </row>
    <row r="297" spans="12:14">
      <c r="L297">
        <v>3001</v>
      </c>
      <c r="N297" t="str">
        <f t="shared" si="4"/>
        <v/>
      </c>
    </row>
    <row r="298" spans="12:14">
      <c r="L298">
        <v>3009</v>
      </c>
      <c r="N298" t="str">
        <f t="shared" si="4"/>
        <v/>
      </c>
    </row>
    <row r="299" spans="12:14">
      <c r="L299">
        <v>4023</v>
      </c>
      <c r="N299" t="str">
        <f t="shared" si="4"/>
        <v/>
      </c>
    </row>
    <row r="300" spans="12:14">
      <c r="L300">
        <v>4241</v>
      </c>
      <c r="N300" t="str">
        <f t="shared" si="4"/>
        <v/>
      </c>
    </row>
    <row r="301" spans="12:14">
      <c r="L301">
        <v>4025</v>
      </c>
      <c r="M301" t="s">
        <v>29</v>
      </c>
      <c r="N301">
        <f t="shared" si="4"/>
        <v>4</v>
      </c>
    </row>
    <row r="302" spans="12:14">
      <c r="L302">
        <v>171</v>
      </c>
      <c r="M302" t="s">
        <v>28</v>
      </c>
      <c r="N302">
        <f t="shared" si="4"/>
        <v>3</v>
      </c>
    </row>
    <row r="303" spans="12:14">
      <c r="L303">
        <v>2531</v>
      </c>
      <c r="M303" t="s">
        <v>25</v>
      </c>
      <c r="N303">
        <f t="shared" si="4"/>
        <v>5</v>
      </c>
    </row>
    <row r="304" spans="12:14">
      <c r="L304">
        <v>1458</v>
      </c>
      <c r="M304" t="s">
        <v>31</v>
      </c>
      <c r="N304">
        <f t="shared" si="4"/>
        <v>6</v>
      </c>
    </row>
    <row r="305" spans="12:14">
      <c r="L305">
        <v>4572</v>
      </c>
      <c r="M305" t="s">
        <v>26</v>
      </c>
      <c r="N305">
        <f t="shared" si="4"/>
        <v>1</v>
      </c>
    </row>
    <row r="306" spans="12:14">
      <c r="L306">
        <v>4954</v>
      </c>
      <c r="N306" t="str">
        <f t="shared" si="4"/>
        <v/>
      </c>
    </row>
    <row r="307" spans="12:14">
      <c r="L307">
        <v>3685</v>
      </c>
      <c r="N307" t="str">
        <f t="shared" si="4"/>
        <v/>
      </c>
    </row>
    <row r="308" spans="12:14">
      <c r="L308">
        <v>419</v>
      </c>
      <c r="N308" t="str">
        <f t="shared" si="4"/>
        <v/>
      </c>
    </row>
    <row r="309" spans="12:14">
      <c r="L309">
        <v>3452</v>
      </c>
      <c r="N309" t="str">
        <f t="shared" si="4"/>
        <v/>
      </c>
    </row>
    <row r="310" spans="12:14">
      <c r="L310">
        <v>4072</v>
      </c>
      <c r="N310" t="str">
        <f t="shared" si="4"/>
        <v/>
      </c>
    </row>
    <row r="311" spans="12:14">
      <c r="L311">
        <v>3621</v>
      </c>
      <c r="M311" t="s">
        <v>28</v>
      </c>
      <c r="N311">
        <f t="shared" si="4"/>
        <v>3</v>
      </c>
    </row>
    <row r="312" spans="12:14">
      <c r="L312">
        <v>3212</v>
      </c>
      <c r="M312" t="s">
        <v>31</v>
      </c>
      <c r="N312">
        <f t="shared" si="4"/>
        <v>6</v>
      </c>
    </row>
    <row r="313" spans="12:14">
      <c r="L313">
        <v>3893</v>
      </c>
      <c r="N313" t="str">
        <f t="shared" si="4"/>
        <v/>
      </c>
    </row>
    <row r="314" spans="12:14">
      <c r="L314">
        <v>2169</v>
      </c>
      <c r="N314" t="str">
        <f t="shared" si="4"/>
        <v/>
      </c>
    </row>
    <row r="315" spans="12:14">
      <c r="L315">
        <v>4201</v>
      </c>
      <c r="N315" t="str">
        <f t="shared" si="4"/>
        <v/>
      </c>
    </row>
    <row r="316" spans="12:14">
      <c r="L316">
        <v>2918</v>
      </c>
      <c r="M316" t="s">
        <v>29</v>
      </c>
      <c r="N316">
        <f t="shared" si="4"/>
        <v>4</v>
      </c>
    </row>
    <row r="317" spans="12:14">
      <c r="L317">
        <v>4950</v>
      </c>
      <c r="N317" t="str">
        <f t="shared" si="4"/>
        <v/>
      </c>
    </row>
    <row r="318" spans="12:14">
      <c r="L318">
        <v>2055</v>
      </c>
      <c r="N318" t="str">
        <f t="shared" si="4"/>
        <v/>
      </c>
    </row>
    <row r="319" spans="12:14">
      <c r="L319">
        <v>4607</v>
      </c>
      <c r="M319" t="s">
        <v>30</v>
      </c>
      <c r="N319">
        <f t="shared" si="4"/>
        <v>7</v>
      </c>
    </row>
    <row r="320" spans="12:14">
      <c r="L320">
        <v>772</v>
      </c>
      <c r="N320" t="str">
        <f t="shared" si="4"/>
        <v/>
      </c>
    </row>
    <row r="321" spans="12:14">
      <c r="L321">
        <v>537</v>
      </c>
      <c r="M321" t="s">
        <v>30</v>
      </c>
      <c r="N321">
        <f t="shared" si="4"/>
        <v>7</v>
      </c>
    </row>
    <row r="322" spans="12:14">
      <c r="L322">
        <v>4089</v>
      </c>
      <c r="N322" t="str">
        <f t="shared" si="4"/>
        <v/>
      </c>
    </row>
    <row r="323" spans="12:14">
      <c r="L323">
        <v>3509</v>
      </c>
      <c r="N323" t="str">
        <f t="shared" ref="N323:N386" si="5">IFERROR(VLOOKUP(M323,$A$3:$B$10,2,0),"")</f>
        <v/>
      </c>
    </row>
    <row r="324" spans="12:14">
      <c r="L324">
        <v>2509</v>
      </c>
      <c r="N324" t="str">
        <f t="shared" si="5"/>
        <v/>
      </c>
    </row>
    <row r="325" spans="12:14">
      <c r="L325">
        <v>2826</v>
      </c>
      <c r="N325" t="str">
        <f t="shared" si="5"/>
        <v/>
      </c>
    </row>
    <row r="326" spans="12:14">
      <c r="L326">
        <v>1854</v>
      </c>
      <c r="N326" t="str">
        <f t="shared" si="5"/>
        <v/>
      </c>
    </row>
    <row r="327" spans="12:14">
      <c r="L327">
        <v>1028</v>
      </c>
      <c r="N327" t="str">
        <f t="shared" si="5"/>
        <v/>
      </c>
    </row>
    <row r="328" spans="12:14">
      <c r="L328">
        <v>3900</v>
      </c>
      <c r="N328" t="str">
        <f t="shared" si="5"/>
        <v/>
      </c>
    </row>
    <row r="329" spans="12:14">
      <c r="L329">
        <v>4070</v>
      </c>
      <c r="N329" t="str">
        <f t="shared" si="5"/>
        <v/>
      </c>
    </row>
    <row r="330" spans="12:14">
      <c r="L330">
        <v>2543</v>
      </c>
      <c r="N330" t="str">
        <f t="shared" si="5"/>
        <v/>
      </c>
    </row>
    <row r="331" spans="12:14">
      <c r="L331">
        <v>4654</v>
      </c>
      <c r="N331" t="str">
        <f t="shared" si="5"/>
        <v/>
      </c>
    </row>
    <row r="332" spans="12:14">
      <c r="L332">
        <v>4943</v>
      </c>
      <c r="M332" t="s">
        <v>19</v>
      </c>
      <c r="N332">
        <f t="shared" si="5"/>
        <v>2</v>
      </c>
    </row>
    <row r="333" spans="12:14">
      <c r="L333">
        <v>1008</v>
      </c>
      <c r="N333" t="str">
        <f t="shared" si="5"/>
        <v/>
      </c>
    </row>
    <row r="334" spans="12:14">
      <c r="L334">
        <v>3398</v>
      </c>
      <c r="N334" t="str">
        <f t="shared" si="5"/>
        <v/>
      </c>
    </row>
    <row r="335" spans="12:14">
      <c r="L335">
        <v>3618</v>
      </c>
      <c r="N335" t="str">
        <f t="shared" si="5"/>
        <v/>
      </c>
    </row>
    <row r="336" spans="12:14">
      <c r="L336">
        <v>377</v>
      </c>
      <c r="N336" t="str">
        <f t="shared" si="5"/>
        <v/>
      </c>
    </row>
    <row r="337" spans="12:14">
      <c r="L337">
        <v>2719</v>
      </c>
      <c r="N337" t="str">
        <f t="shared" si="5"/>
        <v/>
      </c>
    </row>
    <row r="338" spans="12:14">
      <c r="L338">
        <v>220</v>
      </c>
      <c r="M338" t="s">
        <v>31</v>
      </c>
      <c r="N338">
        <f t="shared" si="5"/>
        <v>6</v>
      </c>
    </row>
    <row r="339" spans="12:14">
      <c r="L339">
        <v>2372</v>
      </c>
      <c r="N339" t="str">
        <f t="shared" si="5"/>
        <v/>
      </c>
    </row>
    <row r="340" spans="12:14">
      <c r="L340">
        <v>1244</v>
      </c>
      <c r="N340" t="str">
        <f t="shared" si="5"/>
        <v/>
      </c>
    </row>
    <row r="341" spans="12:14">
      <c r="L341">
        <v>3704</v>
      </c>
      <c r="N341" t="str">
        <f t="shared" si="5"/>
        <v/>
      </c>
    </row>
    <row r="342" spans="12:14">
      <c r="L342">
        <v>2683</v>
      </c>
      <c r="N342" t="str">
        <f t="shared" si="5"/>
        <v/>
      </c>
    </row>
    <row r="343" spans="12:14">
      <c r="L343">
        <v>1753</v>
      </c>
      <c r="M343" t="s">
        <v>25</v>
      </c>
      <c r="N343">
        <f t="shared" si="5"/>
        <v>5</v>
      </c>
    </row>
    <row r="344" spans="12:14">
      <c r="L344">
        <v>4136</v>
      </c>
      <c r="N344" t="str">
        <f t="shared" si="5"/>
        <v/>
      </c>
    </row>
    <row r="345" spans="12:14">
      <c r="L345">
        <v>2978</v>
      </c>
      <c r="N345" t="str">
        <f t="shared" si="5"/>
        <v/>
      </c>
    </row>
    <row r="346" spans="12:14">
      <c r="L346">
        <v>2361</v>
      </c>
      <c r="M346" t="s">
        <v>30</v>
      </c>
      <c r="N346">
        <f t="shared" si="5"/>
        <v>7</v>
      </c>
    </row>
    <row r="347" spans="12:14">
      <c r="L347">
        <v>3965</v>
      </c>
      <c r="M347" t="s">
        <v>29</v>
      </c>
      <c r="N347">
        <f t="shared" si="5"/>
        <v>4</v>
      </c>
    </row>
    <row r="348" spans="12:14">
      <c r="L348">
        <v>2225</v>
      </c>
      <c r="M348" t="s">
        <v>30</v>
      </c>
      <c r="N348">
        <f t="shared" si="5"/>
        <v>7</v>
      </c>
    </row>
    <row r="349" spans="12:14">
      <c r="L349">
        <v>1800</v>
      </c>
      <c r="N349" t="str">
        <f t="shared" si="5"/>
        <v/>
      </c>
    </row>
    <row r="350" spans="12:14">
      <c r="L350">
        <v>899</v>
      </c>
      <c r="N350" t="str">
        <f t="shared" si="5"/>
        <v/>
      </c>
    </row>
    <row r="351" spans="12:14">
      <c r="L351">
        <v>333</v>
      </c>
      <c r="N351" t="str">
        <f t="shared" si="5"/>
        <v/>
      </c>
    </row>
    <row r="352" spans="12:14">
      <c r="L352">
        <v>3008</v>
      </c>
      <c r="N352" t="str">
        <f t="shared" si="5"/>
        <v/>
      </c>
    </row>
    <row r="353" spans="12:14">
      <c r="L353">
        <v>4056</v>
      </c>
      <c r="N353" t="str">
        <f t="shared" si="5"/>
        <v/>
      </c>
    </row>
    <row r="354" spans="12:14">
      <c r="L354">
        <v>4547</v>
      </c>
      <c r="M354" t="s">
        <v>28</v>
      </c>
      <c r="N354">
        <f t="shared" si="5"/>
        <v>3</v>
      </c>
    </row>
    <row r="355" spans="12:14">
      <c r="L355">
        <v>3088</v>
      </c>
      <c r="N355" t="str">
        <f t="shared" si="5"/>
        <v/>
      </c>
    </row>
    <row r="356" spans="12:14">
      <c r="L356">
        <v>4156</v>
      </c>
      <c r="N356" t="str">
        <f t="shared" si="5"/>
        <v/>
      </c>
    </row>
    <row r="357" spans="12:14">
      <c r="L357">
        <v>4813</v>
      </c>
      <c r="N357" t="str">
        <f t="shared" si="5"/>
        <v/>
      </c>
    </row>
    <row r="358" spans="12:14">
      <c r="L358">
        <v>2534</v>
      </c>
      <c r="N358" t="str">
        <f t="shared" si="5"/>
        <v/>
      </c>
    </row>
    <row r="359" spans="12:14">
      <c r="L359">
        <v>471</v>
      </c>
      <c r="N359" t="str">
        <f t="shared" si="5"/>
        <v/>
      </c>
    </row>
    <row r="360" spans="12:14">
      <c r="L360">
        <v>3118</v>
      </c>
      <c r="N360" t="str">
        <f t="shared" si="5"/>
        <v/>
      </c>
    </row>
    <row r="361" spans="12:14">
      <c r="L361">
        <v>3946</v>
      </c>
      <c r="N361" t="str">
        <f t="shared" si="5"/>
        <v/>
      </c>
    </row>
    <row r="362" spans="12:14">
      <c r="L362">
        <v>2132</v>
      </c>
      <c r="N362" t="str">
        <f t="shared" si="5"/>
        <v/>
      </c>
    </row>
    <row r="363" spans="12:14">
      <c r="L363">
        <v>841</v>
      </c>
      <c r="M363" t="s">
        <v>30</v>
      </c>
      <c r="N363">
        <f t="shared" si="5"/>
        <v>7</v>
      </c>
    </row>
    <row r="364" spans="12:14">
      <c r="L364">
        <v>3067</v>
      </c>
      <c r="N364" t="str">
        <f t="shared" si="5"/>
        <v/>
      </c>
    </row>
    <row r="365" spans="12:14">
      <c r="L365">
        <v>4097</v>
      </c>
      <c r="M365" t="s">
        <v>25</v>
      </c>
      <c r="N365">
        <f t="shared" si="5"/>
        <v>5</v>
      </c>
    </row>
    <row r="366" spans="12:14">
      <c r="L366">
        <v>564</v>
      </c>
      <c r="N366" t="str">
        <f t="shared" si="5"/>
        <v/>
      </c>
    </row>
    <row r="367" spans="12:14">
      <c r="L367">
        <v>172</v>
      </c>
      <c r="N367" t="str">
        <f t="shared" si="5"/>
        <v/>
      </c>
    </row>
    <row r="368" spans="12:14">
      <c r="L368">
        <v>1265</v>
      </c>
      <c r="N368" t="str">
        <f t="shared" si="5"/>
        <v/>
      </c>
    </row>
    <row r="369" spans="12:14">
      <c r="L369">
        <v>245</v>
      </c>
      <c r="M369" t="s">
        <v>29</v>
      </c>
      <c r="N369">
        <f t="shared" si="5"/>
        <v>4</v>
      </c>
    </row>
    <row r="370" spans="12:14">
      <c r="L370">
        <v>3420</v>
      </c>
      <c r="N370" t="str">
        <f t="shared" si="5"/>
        <v/>
      </c>
    </row>
    <row r="371" spans="12:14">
      <c r="L371">
        <v>457</v>
      </c>
      <c r="N371" t="str">
        <f t="shared" si="5"/>
        <v/>
      </c>
    </row>
    <row r="372" spans="12:14">
      <c r="L372">
        <v>2818</v>
      </c>
      <c r="M372" t="s">
        <v>26</v>
      </c>
      <c r="N372">
        <f t="shared" si="5"/>
        <v>1</v>
      </c>
    </row>
    <row r="373" spans="12:14">
      <c r="L373">
        <v>1098</v>
      </c>
      <c r="M373" t="s">
        <v>29</v>
      </c>
      <c r="N373">
        <f t="shared" si="5"/>
        <v>4</v>
      </c>
    </row>
    <row r="374" spans="12:14">
      <c r="L374">
        <v>4196</v>
      </c>
      <c r="M374" t="s">
        <v>19</v>
      </c>
      <c r="N374">
        <f t="shared" si="5"/>
        <v>2</v>
      </c>
    </row>
    <row r="375" spans="12:14">
      <c r="L375">
        <v>4370</v>
      </c>
      <c r="M375" t="s">
        <v>19</v>
      </c>
      <c r="N375">
        <f t="shared" si="5"/>
        <v>2</v>
      </c>
    </row>
    <row r="376" spans="12:14">
      <c r="L376">
        <v>3355</v>
      </c>
      <c r="M376" t="s">
        <v>28</v>
      </c>
      <c r="N376">
        <f t="shared" si="5"/>
        <v>3</v>
      </c>
    </row>
    <row r="377" spans="12:14">
      <c r="L377">
        <v>1981</v>
      </c>
      <c r="N377" t="str">
        <f t="shared" si="5"/>
        <v/>
      </c>
    </row>
    <row r="378" spans="12:14">
      <c r="L378">
        <v>16</v>
      </c>
      <c r="N378" t="str">
        <f t="shared" si="5"/>
        <v/>
      </c>
    </row>
    <row r="379" spans="12:14">
      <c r="L379">
        <v>1001</v>
      </c>
      <c r="N379" t="str">
        <f t="shared" si="5"/>
        <v/>
      </c>
    </row>
    <row r="380" spans="12:14">
      <c r="L380">
        <v>2880</v>
      </c>
      <c r="N380" t="str">
        <f t="shared" si="5"/>
        <v/>
      </c>
    </row>
    <row r="381" spans="12:14">
      <c r="L381">
        <v>168</v>
      </c>
      <c r="N381" t="str">
        <f t="shared" si="5"/>
        <v/>
      </c>
    </row>
    <row r="382" spans="12:14">
      <c r="L382">
        <v>1898</v>
      </c>
      <c r="M382" t="s">
        <v>30</v>
      </c>
      <c r="N382">
        <f t="shared" si="5"/>
        <v>7</v>
      </c>
    </row>
    <row r="383" spans="12:14">
      <c r="L383">
        <v>1808</v>
      </c>
      <c r="N383" t="str">
        <f t="shared" si="5"/>
        <v/>
      </c>
    </row>
    <row r="384" spans="12:14">
      <c r="L384">
        <v>3757</v>
      </c>
      <c r="N384" t="str">
        <f t="shared" si="5"/>
        <v/>
      </c>
    </row>
    <row r="385" spans="12:14">
      <c r="L385">
        <v>50</v>
      </c>
      <c r="N385" t="str">
        <f t="shared" si="5"/>
        <v/>
      </c>
    </row>
    <row r="386" spans="12:14">
      <c r="L386">
        <v>2113</v>
      </c>
      <c r="N386" t="str">
        <f t="shared" si="5"/>
        <v/>
      </c>
    </row>
    <row r="387" spans="12:14">
      <c r="L387">
        <v>1967</v>
      </c>
      <c r="N387" t="str">
        <f t="shared" ref="N387:N450" si="6">IFERROR(VLOOKUP(M387,$A$3:$B$10,2,0),"")</f>
        <v/>
      </c>
    </row>
    <row r="388" spans="12:14">
      <c r="L388">
        <v>4782</v>
      </c>
      <c r="N388" t="str">
        <f t="shared" si="6"/>
        <v/>
      </c>
    </row>
    <row r="389" spans="12:14">
      <c r="L389">
        <v>4959</v>
      </c>
      <c r="N389" t="str">
        <f t="shared" si="6"/>
        <v/>
      </c>
    </row>
    <row r="390" spans="12:14">
      <c r="L390">
        <v>621</v>
      </c>
      <c r="N390" t="str">
        <f t="shared" si="6"/>
        <v/>
      </c>
    </row>
    <row r="391" spans="12:14">
      <c r="L391">
        <v>3095</v>
      </c>
      <c r="M391" t="s">
        <v>26</v>
      </c>
      <c r="N391">
        <f t="shared" si="6"/>
        <v>1</v>
      </c>
    </row>
    <row r="392" spans="12:14">
      <c r="L392">
        <v>3176</v>
      </c>
      <c r="N392" t="str">
        <f t="shared" si="6"/>
        <v/>
      </c>
    </row>
    <row r="393" spans="12:14">
      <c r="L393">
        <v>118</v>
      </c>
      <c r="N393" t="str">
        <f t="shared" si="6"/>
        <v/>
      </c>
    </row>
    <row r="394" spans="12:14">
      <c r="L394">
        <v>2139</v>
      </c>
      <c r="N394" t="str">
        <f t="shared" si="6"/>
        <v/>
      </c>
    </row>
    <row r="395" spans="12:14">
      <c r="L395">
        <v>3378</v>
      </c>
      <c r="N395" t="str">
        <f t="shared" si="6"/>
        <v/>
      </c>
    </row>
    <row r="396" spans="12:14">
      <c r="L396">
        <v>4391</v>
      </c>
      <c r="N396" t="str">
        <f t="shared" si="6"/>
        <v/>
      </c>
    </row>
    <row r="397" spans="12:14">
      <c r="L397">
        <v>1240</v>
      </c>
      <c r="M397" t="s">
        <v>26</v>
      </c>
      <c r="N397">
        <f t="shared" si="6"/>
        <v>1</v>
      </c>
    </row>
    <row r="398" spans="12:14">
      <c r="L398">
        <v>3603</v>
      </c>
      <c r="N398" t="str">
        <f t="shared" si="6"/>
        <v/>
      </c>
    </row>
    <row r="399" spans="12:14">
      <c r="L399">
        <v>4360</v>
      </c>
      <c r="N399" t="str">
        <f t="shared" si="6"/>
        <v/>
      </c>
    </row>
    <row r="400" spans="12:14">
      <c r="L400">
        <v>669</v>
      </c>
      <c r="M400" t="s">
        <v>30</v>
      </c>
      <c r="N400">
        <f t="shared" si="6"/>
        <v>7</v>
      </c>
    </row>
    <row r="401" spans="12:14">
      <c r="L401">
        <v>690</v>
      </c>
      <c r="M401" t="s">
        <v>29</v>
      </c>
      <c r="N401">
        <f t="shared" si="6"/>
        <v>4</v>
      </c>
    </row>
    <row r="402" spans="12:14">
      <c r="L402">
        <v>494</v>
      </c>
      <c r="M402" t="s">
        <v>19</v>
      </c>
      <c r="N402">
        <f t="shared" si="6"/>
        <v>2</v>
      </c>
    </row>
    <row r="403" spans="12:14">
      <c r="L403">
        <v>3724</v>
      </c>
      <c r="N403" t="str">
        <f t="shared" si="6"/>
        <v/>
      </c>
    </row>
    <row r="404" spans="12:14">
      <c r="L404">
        <v>3282</v>
      </c>
      <c r="N404" t="str">
        <f t="shared" si="6"/>
        <v/>
      </c>
    </row>
    <row r="405" spans="12:14">
      <c r="L405">
        <v>2238</v>
      </c>
      <c r="N405" t="str">
        <f t="shared" si="6"/>
        <v/>
      </c>
    </row>
    <row r="406" spans="12:14">
      <c r="L406">
        <v>3758</v>
      </c>
      <c r="M406" t="s">
        <v>29</v>
      </c>
      <c r="N406">
        <f t="shared" si="6"/>
        <v>4</v>
      </c>
    </row>
    <row r="407" spans="12:14">
      <c r="L407">
        <v>1309</v>
      </c>
      <c r="N407" t="str">
        <f t="shared" si="6"/>
        <v/>
      </c>
    </row>
    <row r="408" spans="12:14">
      <c r="L408">
        <v>4141</v>
      </c>
      <c r="N408" t="str">
        <f t="shared" si="6"/>
        <v/>
      </c>
    </row>
    <row r="409" spans="12:14">
      <c r="L409">
        <v>2401</v>
      </c>
      <c r="N409" t="str">
        <f t="shared" si="6"/>
        <v/>
      </c>
    </row>
    <row r="410" spans="12:14">
      <c r="L410">
        <v>195</v>
      </c>
      <c r="N410" t="str">
        <f t="shared" si="6"/>
        <v/>
      </c>
    </row>
    <row r="411" spans="12:14">
      <c r="L411">
        <v>3657</v>
      </c>
      <c r="M411" t="s">
        <v>26</v>
      </c>
      <c r="N411">
        <f t="shared" si="6"/>
        <v>1</v>
      </c>
    </row>
    <row r="412" spans="12:14">
      <c r="L412">
        <v>3773</v>
      </c>
      <c r="M412" t="s">
        <v>19</v>
      </c>
      <c r="N412">
        <f t="shared" si="6"/>
        <v>2</v>
      </c>
    </row>
    <row r="413" spans="12:14">
      <c r="L413">
        <v>4887</v>
      </c>
      <c r="N413" t="str">
        <f t="shared" si="6"/>
        <v/>
      </c>
    </row>
    <row r="414" spans="12:14">
      <c r="L414">
        <v>2369</v>
      </c>
      <c r="N414" t="str">
        <f t="shared" si="6"/>
        <v/>
      </c>
    </row>
    <row r="415" spans="12:14">
      <c r="L415">
        <v>4693</v>
      </c>
      <c r="M415" t="s">
        <v>30</v>
      </c>
      <c r="N415">
        <f t="shared" si="6"/>
        <v>7</v>
      </c>
    </row>
    <row r="416" spans="12:14">
      <c r="L416">
        <v>4092</v>
      </c>
      <c r="N416" t="str">
        <f t="shared" si="6"/>
        <v/>
      </c>
    </row>
    <row r="417" spans="12:14">
      <c r="L417">
        <v>3544</v>
      </c>
      <c r="N417" t="str">
        <f t="shared" si="6"/>
        <v/>
      </c>
    </row>
    <row r="418" spans="12:14">
      <c r="L418">
        <v>1504</v>
      </c>
      <c r="N418" t="str">
        <f t="shared" si="6"/>
        <v/>
      </c>
    </row>
    <row r="419" spans="12:14">
      <c r="L419">
        <v>4932</v>
      </c>
      <c r="M419" t="s">
        <v>19</v>
      </c>
      <c r="N419">
        <f t="shared" si="6"/>
        <v>2</v>
      </c>
    </row>
    <row r="420" spans="12:14">
      <c r="L420">
        <v>769</v>
      </c>
      <c r="N420" t="str">
        <f t="shared" si="6"/>
        <v/>
      </c>
    </row>
    <row r="421" spans="12:14">
      <c r="L421">
        <v>4854</v>
      </c>
      <c r="N421" t="str">
        <f t="shared" si="6"/>
        <v/>
      </c>
    </row>
    <row r="422" spans="12:14">
      <c r="L422">
        <v>1037</v>
      </c>
      <c r="N422" t="str">
        <f t="shared" si="6"/>
        <v/>
      </c>
    </row>
    <row r="423" spans="12:14">
      <c r="L423">
        <v>4993</v>
      </c>
      <c r="N423" t="str">
        <f t="shared" si="6"/>
        <v/>
      </c>
    </row>
    <row r="424" spans="12:14">
      <c r="L424">
        <v>1182</v>
      </c>
      <c r="N424" t="str">
        <f t="shared" si="6"/>
        <v/>
      </c>
    </row>
    <row r="425" spans="12:14">
      <c r="L425">
        <v>3717</v>
      </c>
      <c r="M425" t="s">
        <v>31</v>
      </c>
      <c r="N425">
        <f t="shared" si="6"/>
        <v>6</v>
      </c>
    </row>
    <row r="426" spans="12:14">
      <c r="L426">
        <v>4751</v>
      </c>
      <c r="N426" t="str">
        <f t="shared" si="6"/>
        <v/>
      </c>
    </row>
    <row r="427" spans="12:14">
      <c r="L427">
        <v>2450</v>
      </c>
      <c r="N427" t="str">
        <f t="shared" si="6"/>
        <v/>
      </c>
    </row>
    <row r="428" spans="12:14">
      <c r="L428">
        <v>4116</v>
      </c>
      <c r="N428" t="str">
        <f t="shared" si="6"/>
        <v/>
      </c>
    </row>
    <row r="429" spans="12:14">
      <c r="L429">
        <v>4941</v>
      </c>
      <c r="N429" t="str">
        <f t="shared" si="6"/>
        <v/>
      </c>
    </row>
    <row r="430" spans="12:14">
      <c r="L430">
        <v>395</v>
      </c>
      <c r="N430" t="str">
        <f t="shared" si="6"/>
        <v/>
      </c>
    </row>
    <row r="431" spans="12:14">
      <c r="L431">
        <v>181</v>
      </c>
      <c r="N431" t="str">
        <f t="shared" si="6"/>
        <v/>
      </c>
    </row>
    <row r="432" spans="12:14">
      <c r="L432">
        <v>4611</v>
      </c>
      <c r="N432" t="str">
        <f t="shared" si="6"/>
        <v/>
      </c>
    </row>
    <row r="433" spans="12:14">
      <c r="L433">
        <v>908</v>
      </c>
      <c r="N433" t="str">
        <f t="shared" si="6"/>
        <v/>
      </c>
    </row>
    <row r="434" spans="12:14">
      <c r="L434">
        <v>4253</v>
      </c>
      <c r="N434" t="str">
        <f t="shared" si="6"/>
        <v/>
      </c>
    </row>
    <row r="435" spans="12:14">
      <c r="L435">
        <v>2438</v>
      </c>
      <c r="N435" t="str">
        <f t="shared" si="6"/>
        <v/>
      </c>
    </row>
    <row r="436" spans="12:14">
      <c r="L436">
        <v>3721</v>
      </c>
      <c r="M436" t="s">
        <v>19</v>
      </c>
      <c r="N436">
        <f t="shared" si="6"/>
        <v>2</v>
      </c>
    </row>
    <row r="437" spans="12:14">
      <c r="L437">
        <v>3441</v>
      </c>
      <c r="N437" t="str">
        <f t="shared" si="6"/>
        <v/>
      </c>
    </row>
    <row r="438" spans="12:14">
      <c r="L438">
        <v>2180</v>
      </c>
      <c r="N438" t="str">
        <f t="shared" si="6"/>
        <v/>
      </c>
    </row>
    <row r="439" spans="12:14">
      <c r="L439">
        <v>4715</v>
      </c>
      <c r="N439" t="str">
        <f t="shared" si="6"/>
        <v/>
      </c>
    </row>
    <row r="440" spans="12:14">
      <c r="L440">
        <v>173</v>
      </c>
      <c r="M440" t="s">
        <v>30</v>
      </c>
      <c r="N440">
        <f t="shared" si="6"/>
        <v>7</v>
      </c>
    </row>
    <row r="441" spans="12:14">
      <c r="L441">
        <v>4661</v>
      </c>
      <c r="N441" t="str">
        <f t="shared" si="6"/>
        <v/>
      </c>
    </row>
    <row r="442" spans="12:14">
      <c r="L442">
        <v>1662</v>
      </c>
      <c r="N442" t="str">
        <f t="shared" si="6"/>
        <v/>
      </c>
    </row>
    <row r="443" spans="12:14">
      <c r="L443">
        <v>4502</v>
      </c>
      <c r="N443" t="str">
        <f t="shared" si="6"/>
        <v/>
      </c>
    </row>
    <row r="444" spans="12:14">
      <c r="L444">
        <v>2062</v>
      </c>
      <c r="N444" t="str">
        <f t="shared" si="6"/>
        <v/>
      </c>
    </row>
    <row r="445" spans="12:14">
      <c r="L445">
        <v>275</v>
      </c>
      <c r="N445" t="str">
        <f t="shared" si="6"/>
        <v/>
      </c>
    </row>
    <row r="446" spans="12:14">
      <c r="L446">
        <v>4161</v>
      </c>
      <c r="N446" t="str">
        <f t="shared" si="6"/>
        <v/>
      </c>
    </row>
    <row r="447" spans="12:14">
      <c r="L447">
        <v>2303</v>
      </c>
      <c r="N447" t="str">
        <f t="shared" si="6"/>
        <v/>
      </c>
    </row>
    <row r="448" spans="12:14">
      <c r="L448">
        <v>1432</v>
      </c>
      <c r="N448" t="str">
        <f t="shared" si="6"/>
        <v/>
      </c>
    </row>
    <row r="449" spans="12:14">
      <c r="L449">
        <v>2606</v>
      </c>
      <c r="N449" t="str">
        <f t="shared" si="6"/>
        <v/>
      </c>
    </row>
    <row r="450" spans="12:14">
      <c r="L450">
        <v>2680</v>
      </c>
      <c r="M450" t="s">
        <v>30</v>
      </c>
      <c r="N450">
        <f t="shared" si="6"/>
        <v>7</v>
      </c>
    </row>
    <row r="451" spans="12:14">
      <c r="L451">
        <v>1378</v>
      </c>
      <c r="N451" t="str">
        <f t="shared" ref="N451:N514" si="7">IFERROR(VLOOKUP(M451,$A$3:$B$10,2,0),"")</f>
        <v/>
      </c>
    </row>
    <row r="452" spans="12:14">
      <c r="L452">
        <v>1793</v>
      </c>
      <c r="N452" t="str">
        <f t="shared" si="7"/>
        <v/>
      </c>
    </row>
    <row r="453" spans="12:14">
      <c r="L453">
        <v>1094</v>
      </c>
      <c r="N453" t="str">
        <f t="shared" si="7"/>
        <v/>
      </c>
    </row>
    <row r="454" spans="12:14">
      <c r="L454">
        <v>2270</v>
      </c>
      <c r="M454" t="s">
        <v>25</v>
      </c>
      <c r="N454">
        <f t="shared" si="7"/>
        <v>5</v>
      </c>
    </row>
    <row r="455" spans="12:14">
      <c r="L455">
        <v>4737</v>
      </c>
      <c r="N455" t="str">
        <f t="shared" si="7"/>
        <v/>
      </c>
    </row>
    <row r="456" spans="12:14">
      <c r="L456">
        <v>2294</v>
      </c>
      <c r="N456" t="str">
        <f t="shared" si="7"/>
        <v/>
      </c>
    </row>
    <row r="457" spans="12:14">
      <c r="L457">
        <v>3907</v>
      </c>
      <c r="N457" t="str">
        <f t="shared" si="7"/>
        <v/>
      </c>
    </row>
    <row r="458" spans="12:14">
      <c r="L458">
        <v>3185</v>
      </c>
      <c r="N458" t="str">
        <f t="shared" si="7"/>
        <v/>
      </c>
    </row>
    <row r="459" spans="12:14">
      <c r="L459">
        <v>4375</v>
      </c>
      <c r="M459" t="s">
        <v>25</v>
      </c>
      <c r="N459">
        <f t="shared" si="7"/>
        <v>5</v>
      </c>
    </row>
    <row r="460" spans="12:14">
      <c r="L460">
        <v>307</v>
      </c>
      <c r="M460" t="s">
        <v>28</v>
      </c>
      <c r="N460">
        <f t="shared" si="7"/>
        <v>3</v>
      </c>
    </row>
    <row r="461" spans="12:14">
      <c r="L461">
        <v>571</v>
      </c>
      <c r="N461" t="str">
        <f t="shared" si="7"/>
        <v/>
      </c>
    </row>
    <row r="462" spans="12:14">
      <c r="L462">
        <v>4814</v>
      </c>
      <c r="M462" t="s">
        <v>28</v>
      </c>
      <c r="N462">
        <f t="shared" si="7"/>
        <v>3</v>
      </c>
    </row>
    <row r="463" spans="12:14">
      <c r="L463">
        <v>633</v>
      </c>
      <c r="M463" t="s">
        <v>25</v>
      </c>
      <c r="N463">
        <f t="shared" si="7"/>
        <v>5</v>
      </c>
    </row>
    <row r="464" spans="12:14">
      <c r="L464">
        <v>28</v>
      </c>
      <c r="M464" t="s">
        <v>30</v>
      </c>
      <c r="N464">
        <f t="shared" si="7"/>
        <v>7</v>
      </c>
    </row>
    <row r="465" spans="12:14">
      <c r="L465">
        <v>4320</v>
      </c>
      <c r="N465" t="str">
        <f t="shared" si="7"/>
        <v/>
      </c>
    </row>
    <row r="466" spans="12:14">
      <c r="L466">
        <v>3221</v>
      </c>
      <c r="N466" t="str">
        <f t="shared" si="7"/>
        <v/>
      </c>
    </row>
    <row r="467" spans="12:14">
      <c r="L467">
        <v>2947</v>
      </c>
      <c r="N467" t="str">
        <f t="shared" si="7"/>
        <v/>
      </c>
    </row>
    <row r="468" spans="12:14">
      <c r="L468">
        <v>2495</v>
      </c>
      <c r="N468" t="str">
        <f t="shared" si="7"/>
        <v/>
      </c>
    </row>
    <row r="469" spans="12:14">
      <c r="L469">
        <v>1338</v>
      </c>
      <c r="M469" t="s">
        <v>19</v>
      </c>
      <c r="N469">
        <f t="shared" si="7"/>
        <v>2</v>
      </c>
    </row>
    <row r="470" spans="12:14">
      <c r="L470">
        <v>1154</v>
      </c>
      <c r="N470" t="str">
        <f t="shared" si="7"/>
        <v/>
      </c>
    </row>
    <row r="471" spans="12:14">
      <c r="L471">
        <v>4558</v>
      </c>
      <c r="M471" t="s">
        <v>29</v>
      </c>
      <c r="N471">
        <f t="shared" si="7"/>
        <v>4</v>
      </c>
    </row>
    <row r="472" spans="12:14">
      <c r="L472">
        <v>1135</v>
      </c>
      <c r="N472" t="str">
        <f t="shared" si="7"/>
        <v/>
      </c>
    </row>
    <row r="473" spans="12:14">
      <c r="L473">
        <v>1207</v>
      </c>
      <c r="M473" t="s">
        <v>25</v>
      </c>
      <c r="N473">
        <f t="shared" si="7"/>
        <v>5</v>
      </c>
    </row>
    <row r="474" spans="12:14">
      <c r="L474">
        <v>1143</v>
      </c>
      <c r="N474" t="str">
        <f t="shared" si="7"/>
        <v/>
      </c>
    </row>
    <row r="475" spans="12:14">
      <c r="L475">
        <v>4075</v>
      </c>
      <c r="M475" t="s">
        <v>26</v>
      </c>
      <c r="N475">
        <f t="shared" si="7"/>
        <v>1</v>
      </c>
    </row>
    <row r="476" spans="12:14">
      <c r="L476">
        <v>2770</v>
      </c>
      <c r="M476" t="s">
        <v>30</v>
      </c>
      <c r="N476">
        <f t="shared" si="7"/>
        <v>7</v>
      </c>
    </row>
    <row r="477" spans="12:14">
      <c r="L477">
        <v>1450</v>
      </c>
      <c r="N477" t="str">
        <f t="shared" si="7"/>
        <v/>
      </c>
    </row>
    <row r="478" spans="12:14">
      <c r="L478">
        <v>648</v>
      </c>
      <c r="M478" t="s">
        <v>29</v>
      </c>
      <c r="N478">
        <f t="shared" si="7"/>
        <v>4</v>
      </c>
    </row>
    <row r="479" spans="12:14">
      <c r="L479">
        <v>4127</v>
      </c>
      <c r="N479" t="str">
        <f t="shared" si="7"/>
        <v/>
      </c>
    </row>
    <row r="480" spans="12:14">
      <c r="L480">
        <v>1078</v>
      </c>
      <c r="M480" t="s">
        <v>28</v>
      </c>
      <c r="N480">
        <f t="shared" si="7"/>
        <v>3</v>
      </c>
    </row>
    <row r="481" spans="12:14">
      <c r="L481">
        <v>710</v>
      </c>
      <c r="M481" t="s">
        <v>28</v>
      </c>
      <c r="N481">
        <f t="shared" si="7"/>
        <v>3</v>
      </c>
    </row>
    <row r="482" spans="12:14">
      <c r="L482">
        <v>4626</v>
      </c>
      <c r="N482" t="str">
        <f t="shared" si="7"/>
        <v/>
      </c>
    </row>
    <row r="483" spans="12:14">
      <c r="L483">
        <v>2664</v>
      </c>
      <c r="N483" t="str">
        <f t="shared" si="7"/>
        <v/>
      </c>
    </row>
    <row r="484" spans="12:14">
      <c r="L484">
        <v>1538</v>
      </c>
      <c r="M484" t="s">
        <v>26</v>
      </c>
      <c r="N484">
        <f t="shared" si="7"/>
        <v>1</v>
      </c>
    </row>
    <row r="485" spans="12:14">
      <c r="L485">
        <v>2347</v>
      </c>
      <c r="N485" t="str">
        <f t="shared" si="7"/>
        <v/>
      </c>
    </row>
    <row r="486" spans="12:14">
      <c r="L486">
        <v>4009</v>
      </c>
      <c r="N486" t="str">
        <f t="shared" si="7"/>
        <v/>
      </c>
    </row>
    <row r="487" spans="12:14">
      <c r="L487">
        <v>3702</v>
      </c>
      <c r="N487" t="str">
        <f t="shared" si="7"/>
        <v/>
      </c>
    </row>
    <row r="488" spans="12:14">
      <c r="L488">
        <v>4679</v>
      </c>
      <c r="N488" t="str">
        <f t="shared" si="7"/>
        <v/>
      </c>
    </row>
    <row r="489" spans="12:14">
      <c r="L489">
        <v>2588</v>
      </c>
      <c r="M489" t="s">
        <v>29</v>
      </c>
      <c r="N489">
        <f t="shared" si="7"/>
        <v>4</v>
      </c>
    </row>
    <row r="490" spans="12:14">
      <c r="L490">
        <v>4183</v>
      </c>
      <c r="M490" t="s">
        <v>28</v>
      </c>
      <c r="N490">
        <f t="shared" si="7"/>
        <v>3</v>
      </c>
    </row>
    <row r="491" spans="12:14">
      <c r="L491">
        <v>1218</v>
      </c>
      <c r="N491" t="str">
        <f t="shared" si="7"/>
        <v/>
      </c>
    </row>
    <row r="492" spans="12:14">
      <c r="L492">
        <v>1794</v>
      </c>
      <c r="N492" t="str">
        <f t="shared" si="7"/>
        <v/>
      </c>
    </row>
    <row r="493" spans="12:14">
      <c r="L493">
        <v>3086</v>
      </c>
      <c r="N493" t="str">
        <f t="shared" si="7"/>
        <v/>
      </c>
    </row>
    <row r="494" spans="12:14">
      <c r="L494">
        <v>374</v>
      </c>
      <c r="N494" t="str">
        <f t="shared" si="7"/>
        <v/>
      </c>
    </row>
    <row r="495" spans="12:14">
      <c r="L495">
        <v>3283</v>
      </c>
      <c r="N495" t="str">
        <f t="shared" si="7"/>
        <v/>
      </c>
    </row>
    <row r="496" spans="12:14">
      <c r="L496">
        <v>2658</v>
      </c>
      <c r="N496" t="str">
        <f t="shared" si="7"/>
        <v/>
      </c>
    </row>
    <row r="497" spans="12:14">
      <c r="L497">
        <v>250</v>
      </c>
      <c r="N497" t="str">
        <f t="shared" si="7"/>
        <v/>
      </c>
    </row>
    <row r="498" spans="12:14">
      <c r="L498">
        <v>4049</v>
      </c>
      <c r="M498" t="s">
        <v>28</v>
      </c>
      <c r="N498">
        <f t="shared" si="7"/>
        <v>3</v>
      </c>
    </row>
    <row r="499" spans="12:14">
      <c r="L499">
        <v>337</v>
      </c>
      <c r="N499" t="str">
        <f t="shared" si="7"/>
        <v/>
      </c>
    </row>
    <row r="500" spans="12:14">
      <c r="L500">
        <v>552</v>
      </c>
      <c r="N500" t="str">
        <f t="shared" si="7"/>
        <v/>
      </c>
    </row>
    <row r="501" spans="12:14">
      <c r="L501">
        <v>1373</v>
      </c>
      <c r="M501" t="s">
        <v>28</v>
      </c>
      <c r="N501">
        <f t="shared" si="7"/>
        <v>3</v>
      </c>
    </row>
    <row r="502" spans="12:14">
      <c r="L502">
        <v>2882</v>
      </c>
      <c r="M502" t="s">
        <v>28</v>
      </c>
      <c r="N502">
        <f t="shared" si="7"/>
        <v>3</v>
      </c>
    </row>
    <row r="503" spans="12:14">
      <c r="L503">
        <v>1149</v>
      </c>
      <c r="M503" t="s">
        <v>25</v>
      </c>
      <c r="N503">
        <f t="shared" si="7"/>
        <v>5</v>
      </c>
    </row>
    <row r="504" spans="12:14">
      <c r="L504">
        <v>4812</v>
      </c>
      <c r="N504" t="str">
        <f t="shared" si="7"/>
        <v/>
      </c>
    </row>
    <row r="505" spans="12:14">
      <c r="L505">
        <v>253</v>
      </c>
      <c r="N505" t="str">
        <f t="shared" si="7"/>
        <v/>
      </c>
    </row>
    <row r="506" spans="12:14">
      <c r="L506">
        <v>4158</v>
      </c>
      <c r="N506" t="str">
        <f t="shared" si="7"/>
        <v/>
      </c>
    </row>
    <row r="507" spans="12:14">
      <c r="L507">
        <v>2234</v>
      </c>
      <c r="M507" t="s">
        <v>29</v>
      </c>
      <c r="N507">
        <f t="shared" si="7"/>
        <v>4</v>
      </c>
    </row>
    <row r="508" spans="12:14">
      <c r="L508">
        <v>3515</v>
      </c>
      <c r="M508" t="s">
        <v>30</v>
      </c>
      <c r="N508">
        <f t="shared" si="7"/>
        <v>7</v>
      </c>
    </row>
    <row r="509" spans="12:14">
      <c r="L509">
        <v>2785</v>
      </c>
      <c r="N509" t="str">
        <f t="shared" si="7"/>
        <v/>
      </c>
    </row>
    <row r="510" spans="12:14">
      <c r="L510">
        <v>2507</v>
      </c>
      <c r="N510" t="str">
        <f t="shared" si="7"/>
        <v/>
      </c>
    </row>
    <row r="511" spans="12:14">
      <c r="L511">
        <v>1666</v>
      </c>
      <c r="N511" t="str">
        <f t="shared" si="7"/>
        <v/>
      </c>
    </row>
    <row r="512" spans="12:14">
      <c r="L512">
        <v>1137</v>
      </c>
      <c r="M512" t="s">
        <v>19</v>
      </c>
      <c r="N512">
        <f t="shared" si="7"/>
        <v>2</v>
      </c>
    </row>
    <row r="513" spans="12:14">
      <c r="L513">
        <v>2041</v>
      </c>
      <c r="N513" t="str">
        <f t="shared" si="7"/>
        <v/>
      </c>
    </row>
    <row r="514" spans="12:14">
      <c r="L514">
        <v>2019</v>
      </c>
      <c r="N514" t="str">
        <f t="shared" si="7"/>
        <v/>
      </c>
    </row>
    <row r="515" spans="12:14">
      <c r="L515">
        <v>2686</v>
      </c>
      <c r="M515" t="s">
        <v>30</v>
      </c>
      <c r="N515">
        <f t="shared" ref="N515:N578" si="8">IFERROR(VLOOKUP(M515,$A$3:$B$10,2,0),"")</f>
        <v>7</v>
      </c>
    </row>
    <row r="516" spans="12:14">
      <c r="L516">
        <v>2709</v>
      </c>
      <c r="N516" t="str">
        <f t="shared" si="8"/>
        <v/>
      </c>
    </row>
    <row r="517" spans="12:14">
      <c r="L517">
        <v>3471</v>
      </c>
      <c r="M517" t="s">
        <v>26</v>
      </c>
      <c r="N517">
        <f t="shared" si="8"/>
        <v>1</v>
      </c>
    </row>
    <row r="518" spans="12:14">
      <c r="L518">
        <v>3264</v>
      </c>
      <c r="M518" t="s">
        <v>19</v>
      </c>
      <c r="N518">
        <f t="shared" si="8"/>
        <v>2</v>
      </c>
    </row>
    <row r="519" spans="12:14">
      <c r="L519">
        <v>3690</v>
      </c>
      <c r="M519" t="s">
        <v>28</v>
      </c>
      <c r="N519">
        <f t="shared" si="8"/>
        <v>3</v>
      </c>
    </row>
    <row r="520" spans="12:14">
      <c r="L520">
        <v>2704</v>
      </c>
      <c r="M520" t="s">
        <v>31</v>
      </c>
      <c r="N520">
        <f t="shared" si="8"/>
        <v>6</v>
      </c>
    </row>
    <row r="521" spans="12:14">
      <c r="L521">
        <v>641</v>
      </c>
      <c r="N521" t="str">
        <f t="shared" si="8"/>
        <v/>
      </c>
    </row>
    <row r="522" spans="12:14">
      <c r="L522">
        <v>2213</v>
      </c>
      <c r="N522" t="str">
        <f t="shared" si="8"/>
        <v/>
      </c>
    </row>
    <row r="523" spans="12:14">
      <c r="L523">
        <v>1814</v>
      </c>
      <c r="M523" t="s">
        <v>28</v>
      </c>
      <c r="N523">
        <f t="shared" si="8"/>
        <v>3</v>
      </c>
    </row>
    <row r="524" spans="12:14">
      <c r="L524">
        <v>372</v>
      </c>
      <c r="N524" t="str">
        <f t="shared" si="8"/>
        <v/>
      </c>
    </row>
    <row r="525" spans="12:14">
      <c r="L525">
        <v>1514</v>
      </c>
      <c r="M525" t="s">
        <v>28</v>
      </c>
      <c r="N525">
        <f t="shared" si="8"/>
        <v>3</v>
      </c>
    </row>
    <row r="526" spans="12:14">
      <c r="L526">
        <v>883</v>
      </c>
      <c r="M526" t="s">
        <v>30</v>
      </c>
      <c r="N526">
        <f t="shared" si="8"/>
        <v>7</v>
      </c>
    </row>
    <row r="527" spans="12:14">
      <c r="L527">
        <v>3162</v>
      </c>
      <c r="N527" t="str">
        <f t="shared" si="8"/>
        <v/>
      </c>
    </row>
    <row r="528" spans="12:14">
      <c r="L528">
        <v>1050</v>
      </c>
      <c r="N528" t="str">
        <f t="shared" si="8"/>
        <v/>
      </c>
    </row>
    <row r="529" spans="12:14">
      <c r="L529">
        <v>795</v>
      </c>
      <c r="N529" t="str">
        <f t="shared" si="8"/>
        <v/>
      </c>
    </row>
    <row r="530" spans="12:14">
      <c r="L530">
        <v>11</v>
      </c>
      <c r="N530" t="str">
        <f t="shared" si="8"/>
        <v/>
      </c>
    </row>
    <row r="531" spans="12:14">
      <c r="L531">
        <v>3224</v>
      </c>
      <c r="N531" t="str">
        <f t="shared" si="8"/>
        <v/>
      </c>
    </row>
    <row r="532" spans="12:14">
      <c r="L532">
        <v>1203</v>
      </c>
      <c r="M532" t="s">
        <v>26</v>
      </c>
      <c r="N532">
        <f t="shared" si="8"/>
        <v>1</v>
      </c>
    </row>
    <row r="533" spans="12:14">
      <c r="L533">
        <v>2517</v>
      </c>
      <c r="N533" t="str">
        <f t="shared" si="8"/>
        <v/>
      </c>
    </row>
    <row r="534" spans="12:14">
      <c r="L534">
        <v>4327</v>
      </c>
      <c r="N534" t="str">
        <f t="shared" si="8"/>
        <v/>
      </c>
    </row>
    <row r="535" spans="12:14">
      <c r="L535">
        <v>1074</v>
      </c>
      <c r="N535" t="str">
        <f t="shared" si="8"/>
        <v/>
      </c>
    </row>
    <row r="536" spans="12:14">
      <c r="L536">
        <v>937</v>
      </c>
      <c r="N536" t="str">
        <f t="shared" si="8"/>
        <v/>
      </c>
    </row>
    <row r="537" spans="12:14">
      <c r="L537">
        <v>4552</v>
      </c>
      <c r="N537" t="str">
        <f t="shared" si="8"/>
        <v/>
      </c>
    </row>
    <row r="538" spans="12:14">
      <c r="L538">
        <v>4235</v>
      </c>
      <c r="N538" t="str">
        <f t="shared" si="8"/>
        <v/>
      </c>
    </row>
    <row r="539" spans="12:14">
      <c r="L539">
        <v>1747</v>
      </c>
      <c r="N539" t="str">
        <f t="shared" si="8"/>
        <v/>
      </c>
    </row>
    <row r="540" spans="12:14">
      <c r="L540">
        <v>4659</v>
      </c>
      <c r="N540" t="str">
        <f t="shared" si="8"/>
        <v/>
      </c>
    </row>
    <row r="541" spans="12:14">
      <c r="L541">
        <v>4804</v>
      </c>
      <c r="N541" t="str">
        <f t="shared" si="8"/>
        <v/>
      </c>
    </row>
    <row r="542" spans="12:14">
      <c r="L542">
        <v>4230</v>
      </c>
      <c r="N542" t="str">
        <f t="shared" si="8"/>
        <v/>
      </c>
    </row>
    <row r="543" spans="12:14">
      <c r="L543">
        <v>3203</v>
      </c>
      <c r="N543" t="str">
        <f t="shared" si="8"/>
        <v/>
      </c>
    </row>
    <row r="544" spans="12:14">
      <c r="L544">
        <v>2800</v>
      </c>
      <c r="M544" t="s">
        <v>31</v>
      </c>
      <c r="N544">
        <f t="shared" si="8"/>
        <v>6</v>
      </c>
    </row>
    <row r="545" spans="12:14">
      <c r="L545">
        <v>856</v>
      </c>
      <c r="N545" t="str">
        <f t="shared" si="8"/>
        <v/>
      </c>
    </row>
    <row r="546" spans="12:14">
      <c r="L546">
        <v>1601</v>
      </c>
      <c r="N546" t="str">
        <f t="shared" si="8"/>
        <v/>
      </c>
    </row>
    <row r="547" spans="12:14">
      <c r="L547">
        <v>2853</v>
      </c>
      <c r="M547" t="s">
        <v>26</v>
      </c>
      <c r="N547">
        <f t="shared" si="8"/>
        <v>1</v>
      </c>
    </row>
    <row r="548" spans="12:14">
      <c r="L548">
        <v>3369</v>
      </c>
      <c r="N548" t="str">
        <f t="shared" si="8"/>
        <v/>
      </c>
    </row>
    <row r="549" spans="12:14">
      <c r="L549">
        <v>3756</v>
      </c>
      <c r="N549" t="str">
        <f t="shared" si="8"/>
        <v/>
      </c>
    </row>
    <row r="550" spans="12:14">
      <c r="L550">
        <v>599</v>
      </c>
      <c r="N550" t="str">
        <f t="shared" si="8"/>
        <v/>
      </c>
    </row>
    <row r="551" spans="12:14">
      <c r="L551">
        <v>4747</v>
      </c>
      <c r="M551" t="s">
        <v>30</v>
      </c>
      <c r="N551">
        <f t="shared" si="8"/>
        <v>7</v>
      </c>
    </row>
    <row r="552" spans="12:14">
      <c r="L552">
        <v>4014</v>
      </c>
      <c r="N552" t="str">
        <f t="shared" si="8"/>
        <v/>
      </c>
    </row>
    <row r="553" spans="12:14">
      <c r="L553">
        <v>4856</v>
      </c>
      <c r="N553" t="str">
        <f t="shared" si="8"/>
        <v/>
      </c>
    </row>
    <row r="554" spans="12:14">
      <c r="L554">
        <v>1681</v>
      </c>
      <c r="N554" t="str">
        <f t="shared" si="8"/>
        <v/>
      </c>
    </row>
    <row r="555" spans="12:14">
      <c r="L555">
        <v>2158</v>
      </c>
      <c r="N555" t="str">
        <f t="shared" si="8"/>
        <v/>
      </c>
    </row>
    <row r="556" spans="12:14">
      <c r="L556">
        <v>3918</v>
      </c>
      <c r="N556" t="str">
        <f t="shared" si="8"/>
        <v/>
      </c>
    </row>
    <row r="557" spans="12:14">
      <c r="L557">
        <v>2396</v>
      </c>
      <c r="N557" t="str">
        <f t="shared" si="8"/>
        <v/>
      </c>
    </row>
    <row r="558" spans="12:14">
      <c r="L558">
        <v>2754</v>
      </c>
      <c r="N558" t="str">
        <f t="shared" si="8"/>
        <v/>
      </c>
    </row>
    <row r="559" spans="12:14">
      <c r="L559">
        <v>2962</v>
      </c>
      <c r="N559" t="str">
        <f t="shared" si="8"/>
        <v/>
      </c>
    </row>
    <row r="560" spans="12:14">
      <c r="L560">
        <v>2551</v>
      </c>
      <c r="N560" t="str">
        <f t="shared" si="8"/>
        <v/>
      </c>
    </row>
    <row r="561" spans="12:14">
      <c r="L561">
        <v>3048</v>
      </c>
      <c r="M561" t="s">
        <v>31</v>
      </c>
      <c r="N561">
        <f t="shared" si="8"/>
        <v>6</v>
      </c>
    </row>
    <row r="562" spans="12:14">
      <c r="L562">
        <v>570</v>
      </c>
      <c r="N562" t="str">
        <f t="shared" si="8"/>
        <v/>
      </c>
    </row>
    <row r="563" spans="12:14">
      <c r="L563">
        <v>784</v>
      </c>
      <c r="N563" t="str">
        <f t="shared" si="8"/>
        <v/>
      </c>
    </row>
    <row r="564" spans="12:14">
      <c r="L564">
        <v>3695</v>
      </c>
      <c r="N564" t="str">
        <f t="shared" si="8"/>
        <v/>
      </c>
    </row>
    <row r="565" spans="12:14">
      <c r="L565">
        <v>827</v>
      </c>
      <c r="N565" t="str">
        <f t="shared" si="8"/>
        <v/>
      </c>
    </row>
    <row r="566" spans="12:14">
      <c r="L566">
        <v>4437</v>
      </c>
      <c r="N566" t="str">
        <f t="shared" si="8"/>
        <v/>
      </c>
    </row>
    <row r="567" spans="12:14">
      <c r="L567">
        <v>1142</v>
      </c>
      <c r="N567" t="str">
        <f t="shared" si="8"/>
        <v/>
      </c>
    </row>
    <row r="568" spans="12:14">
      <c r="L568">
        <v>1632</v>
      </c>
      <c r="N568" t="str">
        <f t="shared" si="8"/>
        <v/>
      </c>
    </row>
    <row r="569" spans="12:14">
      <c r="L569">
        <v>1347</v>
      </c>
      <c r="N569" t="str">
        <f t="shared" si="8"/>
        <v/>
      </c>
    </row>
    <row r="570" spans="12:14">
      <c r="L570">
        <v>4721</v>
      </c>
      <c r="N570" t="str">
        <f t="shared" si="8"/>
        <v/>
      </c>
    </row>
    <row r="571" spans="12:14">
      <c r="L571">
        <v>196</v>
      </c>
      <c r="N571" t="str">
        <f t="shared" si="8"/>
        <v/>
      </c>
    </row>
    <row r="572" spans="12:14">
      <c r="L572">
        <v>4770</v>
      </c>
      <c r="N572" t="str">
        <f t="shared" si="8"/>
        <v/>
      </c>
    </row>
    <row r="573" spans="12:14">
      <c r="L573">
        <v>2017</v>
      </c>
      <c r="M573" t="s">
        <v>31</v>
      </c>
      <c r="N573">
        <f t="shared" si="8"/>
        <v>6</v>
      </c>
    </row>
    <row r="574" spans="12:14">
      <c r="L574">
        <v>2713</v>
      </c>
      <c r="N574" t="str">
        <f t="shared" si="8"/>
        <v/>
      </c>
    </row>
    <row r="575" spans="12:14">
      <c r="L575">
        <v>2454</v>
      </c>
      <c r="N575" t="str">
        <f t="shared" si="8"/>
        <v/>
      </c>
    </row>
    <row r="576" spans="12:14">
      <c r="L576">
        <v>828</v>
      </c>
      <c r="M576" t="s">
        <v>29</v>
      </c>
      <c r="N576">
        <f t="shared" si="8"/>
        <v>4</v>
      </c>
    </row>
    <row r="577" spans="12:14">
      <c r="L577">
        <v>4738</v>
      </c>
      <c r="N577" t="str">
        <f t="shared" si="8"/>
        <v/>
      </c>
    </row>
    <row r="578" spans="12:14">
      <c r="L578">
        <v>594</v>
      </c>
      <c r="N578" t="str">
        <f t="shared" si="8"/>
        <v/>
      </c>
    </row>
    <row r="579" spans="12:14">
      <c r="L579">
        <v>1193</v>
      </c>
      <c r="M579" t="s">
        <v>25</v>
      </c>
      <c r="N579">
        <f t="shared" ref="N579:N642" si="9">IFERROR(VLOOKUP(M579,$A$3:$B$10,2,0),"")</f>
        <v>5</v>
      </c>
    </row>
    <row r="580" spans="12:14">
      <c r="L580">
        <v>1805</v>
      </c>
      <c r="N580" t="str">
        <f t="shared" si="9"/>
        <v/>
      </c>
    </row>
    <row r="581" spans="12:14">
      <c r="L581">
        <v>3808</v>
      </c>
      <c r="N581" t="str">
        <f t="shared" si="9"/>
        <v/>
      </c>
    </row>
    <row r="582" spans="12:14">
      <c r="L582">
        <v>2310</v>
      </c>
      <c r="N582" t="str">
        <f t="shared" si="9"/>
        <v/>
      </c>
    </row>
    <row r="583" spans="12:14">
      <c r="L583">
        <v>2036</v>
      </c>
      <c r="N583" t="str">
        <f t="shared" si="9"/>
        <v/>
      </c>
    </row>
    <row r="584" spans="12:14">
      <c r="L584">
        <v>4289</v>
      </c>
      <c r="N584" t="str">
        <f t="shared" si="9"/>
        <v/>
      </c>
    </row>
    <row r="585" spans="12:14">
      <c r="L585">
        <v>715</v>
      </c>
      <c r="M585" t="s">
        <v>25</v>
      </c>
      <c r="N585">
        <f t="shared" si="9"/>
        <v>5</v>
      </c>
    </row>
    <row r="586" spans="12:14">
      <c r="L586">
        <v>1946</v>
      </c>
      <c r="N586" t="str">
        <f t="shared" si="9"/>
        <v/>
      </c>
    </row>
    <row r="587" spans="12:14">
      <c r="L587">
        <v>4694</v>
      </c>
      <c r="N587" t="str">
        <f t="shared" si="9"/>
        <v/>
      </c>
    </row>
    <row r="588" spans="12:14">
      <c r="L588">
        <v>957</v>
      </c>
      <c r="M588" t="s">
        <v>26</v>
      </c>
      <c r="N588">
        <f t="shared" si="9"/>
        <v>1</v>
      </c>
    </row>
    <row r="589" spans="12:14">
      <c r="L589">
        <v>48</v>
      </c>
      <c r="N589" t="str">
        <f t="shared" si="9"/>
        <v/>
      </c>
    </row>
    <row r="590" spans="12:14">
      <c r="L590">
        <v>1790</v>
      </c>
      <c r="N590" t="str">
        <f t="shared" si="9"/>
        <v/>
      </c>
    </row>
    <row r="591" spans="12:14">
      <c r="L591">
        <v>2696</v>
      </c>
      <c r="N591" t="str">
        <f t="shared" si="9"/>
        <v/>
      </c>
    </row>
    <row r="592" spans="12:14">
      <c r="L592">
        <v>3231</v>
      </c>
      <c r="M592" t="s">
        <v>25</v>
      </c>
      <c r="N592">
        <f t="shared" si="9"/>
        <v>5</v>
      </c>
    </row>
    <row r="593" spans="12:14">
      <c r="L593">
        <v>2712</v>
      </c>
      <c r="N593" t="str">
        <f t="shared" si="9"/>
        <v/>
      </c>
    </row>
    <row r="594" spans="12:14">
      <c r="L594">
        <v>4542</v>
      </c>
      <c r="N594" t="str">
        <f t="shared" si="9"/>
        <v/>
      </c>
    </row>
    <row r="595" spans="12:14">
      <c r="L595">
        <v>1286</v>
      </c>
      <c r="N595" t="str">
        <f t="shared" si="9"/>
        <v/>
      </c>
    </row>
    <row r="596" spans="12:14">
      <c r="L596">
        <v>3040</v>
      </c>
      <c r="M596" t="s">
        <v>29</v>
      </c>
      <c r="N596">
        <f t="shared" si="9"/>
        <v>4</v>
      </c>
    </row>
    <row r="597" spans="12:14">
      <c r="L597">
        <v>4402</v>
      </c>
      <c r="N597" t="str">
        <f t="shared" si="9"/>
        <v/>
      </c>
    </row>
    <row r="598" spans="12:14">
      <c r="L598">
        <v>549</v>
      </c>
      <c r="M598" t="s">
        <v>19</v>
      </c>
      <c r="N598">
        <f t="shared" si="9"/>
        <v>2</v>
      </c>
    </row>
    <row r="599" spans="12:14">
      <c r="L599">
        <v>3328</v>
      </c>
      <c r="N599" t="str">
        <f t="shared" si="9"/>
        <v/>
      </c>
    </row>
    <row r="600" spans="12:14">
      <c r="L600">
        <v>1643</v>
      </c>
      <c r="N600" t="str">
        <f t="shared" si="9"/>
        <v/>
      </c>
    </row>
    <row r="601" spans="12:14">
      <c r="L601">
        <v>264</v>
      </c>
      <c r="N601" t="str">
        <f t="shared" si="9"/>
        <v/>
      </c>
    </row>
    <row r="602" spans="12:14">
      <c r="L602">
        <v>816</v>
      </c>
      <c r="N602" t="str">
        <f t="shared" si="9"/>
        <v/>
      </c>
    </row>
    <row r="603" spans="12:14">
      <c r="L603">
        <v>2701</v>
      </c>
      <c r="N603" t="str">
        <f t="shared" si="9"/>
        <v/>
      </c>
    </row>
    <row r="604" spans="12:14">
      <c r="L604">
        <v>2805</v>
      </c>
      <c r="N604" t="str">
        <f t="shared" si="9"/>
        <v/>
      </c>
    </row>
    <row r="605" spans="12:14">
      <c r="L605">
        <v>2072</v>
      </c>
      <c r="N605" t="str">
        <f t="shared" si="9"/>
        <v/>
      </c>
    </row>
    <row r="606" spans="12:14">
      <c r="L606">
        <v>551</v>
      </c>
      <c r="M606" t="s">
        <v>31</v>
      </c>
      <c r="N606">
        <f t="shared" si="9"/>
        <v>6</v>
      </c>
    </row>
    <row r="607" spans="12:14">
      <c r="L607">
        <v>1394</v>
      </c>
      <c r="N607" t="str">
        <f t="shared" si="9"/>
        <v/>
      </c>
    </row>
    <row r="608" spans="12:14">
      <c r="L608">
        <v>3139</v>
      </c>
      <c r="M608" t="s">
        <v>26</v>
      </c>
      <c r="N608">
        <f t="shared" si="9"/>
        <v>1</v>
      </c>
    </row>
    <row r="609" spans="12:14">
      <c r="L609">
        <v>137</v>
      </c>
      <c r="M609" t="s">
        <v>29</v>
      </c>
      <c r="N609">
        <f t="shared" si="9"/>
        <v>4</v>
      </c>
    </row>
    <row r="610" spans="12:14">
      <c r="L610">
        <v>2594</v>
      </c>
      <c r="N610" t="str">
        <f t="shared" si="9"/>
        <v/>
      </c>
    </row>
    <row r="611" spans="12:14">
      <c r="L611">
        <v>1501</v>
      </c>
      <c r="M611" t="s">
        <v>29</v>
      </c>
      <c r="N611">
        <f t="shared" si="9"/>
        <v>4</v>
      </c>
    </row>
    <row r="612" spans="12:14">
      <c r="L612">
        <v>1974</v>
      </c>
      <c r="M612" t="s">
        <v>26</v>
      </c>
      <c r="N612">
        <f t="shared" si="9"/>
        <v>1</v>
      </c>
    </row>
    <row r="613" spans="12:14">
      <c r="L613">
        <v>2246</v>
      </c>
      <c r="N613" t="str">
        <f t="shared" si="9"/>
        <v/>
      </c>
    </row>
    <row r="614" spans="12:14">
      <c r="L614">
        <v>1606</v>
      </c>
      <c r="M614" t="s">
        <v>19</v>
      </c>
      <c r="N614">
        <f t="shared" si="9"/>
        <v>2</v>
      </c>
    </row>
    <row r="615" spans="12:14">
      <c r="L615">
        <v>4517</v>
      </c>
      <c r="M615" t="s">
        <v>30</v>
      </c>
      <c r="N615">
        <f t="shared" si="9"/>
        <v>7</v>
      </c>
    </row>
    <row r="616" spans="12:14">
      <c r="L616">
        <v>2257</v>
      </c>
      <c r="M616" t="s">
        <v>30</v>
      </c>
      <c r="N616">
        <f t="shared" si="9"/>
        <v>7</v>
      </c>
    </row>
    <row r="617" spans="12:14">
      <c r="L617">
        <v>2867</v>
      </c>
      <c r="N617" t="str">
        <f t="shared" si="9"/>
        <v/>
      </c>
    </row>
    <row r="618" spans="12:14">
      <c r="L618">
        <v>4462</v>
      </c>
      <c r="N618" t="str">
        <f t="shared" si="9"/>
        <v/>
      </c>
    </row>
    <row r="619" spans="12:14">
      <c r="L619">
        <v>3180</v>
      </c>
      <c r="N619" t="str">
        <f t="shared" si="9"/>
        <v/>
      </c>
    </row>
    <row r="620" spans="12:14">
      <c r="L620">
        <v>505</v>
      </c>
      <c r="M620" t="s">
        <v>25</v>
      </c>
      <c r="N620">
        <f t="shared" si="9"/>
        <v>5</v>
      </c>
    </row>
    <row r="621" spans="12:14">
      <c r="L621">
        <v>2411</v>
      </c>
      <c r="N621" t="str">
        <f t="shared" si="9"/>
        <v/>
      </c>
    </row>
    <row r="622" spans="12:14">
      <c r="L622">
        <v>3840</v>
      </c>
      <c r="M622" t="s">
        <v>28</v>
      </c>
      <c r="N622">
        <f t="shared" si="9"/>
        <v>3</v>
      </c>
    </row>
    <row r="623" spans="12:14">
      <c r="L623">
        <v>2171</v>
      </c>
      <c r="N623" t="str">
        <f t="shared" si="9"/>
        <v/>
      </c>
    </row>
    <row r="624" spans="12:14">
      <c r="L624">
        <v>3270</v>
      </c>
      <c r="M624" t="s">
        <v>28</v>
      </c>
      <c r="N624">
        <f t="shared" si="9"/>
        <v>3</v>
      </c>
    </row>
    <row r="625" spans="12:14">
      <c r="L625">
        <v>987</v>
      </c>
      <c r="N625" t="str">
        <f t="shared" si="9"/>
        <v/>
      </c>
    </row>
    <row r="626" spans="12:14">
      <c r="L626">
        <v>4406</v>
      </c>
      <c r="N626" t="str">
        <f t="shared" si="9"/>
        <v/>
      </c>
    </row>
    <row r="627" spans="12:14">
      <c r="L627">
        <v>1777</v>
      </c>
      <c r="M627" t="s">
        <v>31</v>
      </c>
      <c r="N627">
        <f t="shared" si="9"/>
        <v>6</v>
      </c>
    </row>
    <row r="628" spans="12:14">
      <c r="L628">
        <v>1187</v>
      </c>
      <c r="N628" t="str">
        <f t="shared" si="9"/>
        <v/>
      </c>
    </row>
    <row r="629" spans="12:14">
      <c r="L629">
        <v>2334</v>
      </c>
      <c r="N629" t="str">
        <f t="shared" si="9"/>
        <v/>
      </c>
    </row>
    <row r="630" spans="12:14">
      <c r="L630">
        <v>1881</v>
      </c>
      <c r="N630" t="str">
        <f t="shared" si="9"/>
        <v/>
      </c>
    </row>
    <row r="631" spans="12:14">
      <c r="L631">
        <v>2628</v>
      </c>
      <c r="N631" t="str">
        <f t="shared" si="9"/>
        <v/>
      </c>
    </row>
    <row r="632" spans="12:14">
      <c r="L632">
        <v>4888</v>
      </c>
      <c r="M632" t="s">
        <v>31</v>
      </c>
      <c r="N632">
        <f t="shared" si="9"/>
        <v>6</v>
      </c>
    </row>
    <row r="633" spans="12:14">
      <c r="L633">
        <v>39</v>
      </c>
      <c r="M633" t="s">
        <v>19</v>
      </c>
      <c r="N633">
        <f t="shared" si="9"/>
        <v>2</v>
      </c>
    </row>
    <row r="634" spans="12:14">
      <c r="L634">
        <v>2390</v>
      </c>
      <c r="N634" t="str">
        <f t="shared" si="9"/>
        <v/>
      </c>
    </row>
    <row r="635" spans="12:14">
      <c r="L635">
        <v>1255</v>
      </c>
      <c r="N635" t="str">
        <f t="shared" si="9"/>
        <v/>
      </c>
    </row>
    <row r="636" spans="12:14">
      <c r="L636">
        <v>3929</v>
      </c>
      <c r="N636" t="str">
        <f t="shared" si="9"/>
        <v/>
      </c>
    </row>
    <row r="637" spans="12:14">
      <c r="L637">
        <v>2519</v>
      </c>
      <c r="N637" t="str">
        <f t="shared" si="9"/>
        <v/>
      </c>
    </row>
    <row r="638" spans="12:14">
      <c r="L638">
        <v>3023</v>
      </c>
      <c r="M638" t="s">
        <v>26</v>
      </c>
      <c r="N638">
        <f t="shared" si="9"/>
        <v>1</v>
      </c>
    </row>
    <row r="639" spans="12:14">
      <c r="L639">
        <v>352</v>
      </c>
      <c r="M639" t="s">
        <v>25</v>
      </c>
      <c r="N639">
        <f t="shared" si="9"/>
        <v>5</v>
      </c>
    </row>
    <row r="640" spans="12:14">
      <c r="L640">
        <v>2208</v>
      </c>
      <c r="M640" t="s">
        <v>26</v>
      </c>
      <c r="N640">
        <f t="shared" si="9"/>
        <v>1</v>
      </c>
    </row>
    <row r="641" spans="12:14">
      <c r="L641">
        <v>3584</v>
      </c>
      <c r="N641" t="str">
        <f t="shared" si="9"/>
        <v/>
      </c>
    </row>
    <row r="642" spans="12:14">
      <c r="L642">
        <v>2140</v>
      </c>
      <c r="N642" t="str">
        <f t="shared" si="9"/>
        <v/>
      </c>
    </row>
    <row r="643" spans="12:14">
      <c r="L643">
        <v>4621</v>
      </c>
      <c r="N643" t="str">
        <f t="shared" ref="N643:N706" si="10">IFERROR(VLOOKUP(M643,$A$3:$B$10,2,0),"")</f>
        <v/>
      </c>
    </row>
    <row r="644" spans="12:14">
      <c r="L644">
        <v>4767</v>
      </c>
      <c r="N644" t="str">
        <f t="shared" si="10"/>
        <v/>
      </c>
    </row>
    <row r="645" spans="12:14">
      <c r="L645">
        <v>2174</v>
      </c>
      <c r="N645" t="str">
        <f t="shared" si="10"/>
        <v/>
      </c>
    </row>
    <row r="646" spans="12:14">
      <c r="L646">
        <v>4643</v>
      </c>
      <c r="N646" t="str">
        <f t="shared" si="10"/>
        <v/>
      </c>
    </row>
    <row r="647" spans="12:14">
      <c r="L647">
        <v>2382</v>
      </c>
      <c r="N647" t="str">
        <f t="shared" si="10"/>
        <v/>
      </c>
    </row>
    <row r="648" spans="12:14">
      <c r="L648">
        <v>2107</v>
      </c>
      <c r="N648" t="str">
        <f t="shared" si="10"/>
        <v/>
      </c>
    </row>
    <row r="649" spans="12:14">
      <c r="L649">
        <v>3207</v>
      </c>
      <c r="N649" t="str">
        <f t="shared" si="10"/>
        <v/>
      </c>
    </row>
    <row r="650" spans="12:14">
      <c r="L650">
        <v>4620</v>
      </c>
      <c r="N650" t="str">
        <f t="shared" si="10"/>
        <v/>
      </c>
    </row>
    <row r="651" spans="12:14">
      <c r="L651">
        <v>2045</v>
      </c>
      <c r="N651" t="str">
        <f t="shared" si="10"/>
        <v/>
      </c>
    </row>
    <row r="652" spans="12:14">
      <c r="L652">
        <v>2245</v>
      </c>
      <c r="N652" t="str">
        <f t="shared" si="10"/>
        <v/>
      </c>
    </row>
    <row r="653" spans="12:14">
      <c r="L653">
        <v>128</v>
      </c>
      <c r="N653" t="str">
        <f t="shared" si="10"/>
        <v/>
      </c>
    </row>
    <row r="654" spans="12:14">
      <c r="L654">
        <v>3407</v>
      </c>
      <c r="N654" t="str">
        <f t="shared" si="10"/>
        <v/>
      </c>
    </row>
    <row r="655" spans="12:14">
      <c r="L655">
        <v>4810</v>
      </c>
      <c r="N655" t="str">
        <f t="shared" si="10"/>
        <v/>
      </c>
    </row>
    <row r="656" spans="12:14">
      <c r="L656">
        <v>2965</v>
      </c>
      <c r="N656" t="str">
        <f t="shared" si="10"/>
        <v/>
      </c>
    </row>
    <row r="657" spans="12:14">
      <c r="L657">
        <v>397</v>
      </c>
      <c r="N657" t="str">
        <f t="shared" si="10"/>
        <v/>
      </c>
    </row>
    <row r="658" spans="12:14">
      <c r="L658">
        <v>3204</v>
      </c>
      <c r="M658" t="s">
        <v>29</v>
      </c>
      <c r="N658">
        <f t="shared" si="10"/>
        <v>4</v>
      </c>
    </row>
    <row r="659" spans="12:14">
      <c r="L659">
        <v>892</v>
      </c>
      <c r="M659" t="s">
        <v>25</v>
      </c>
      <c r="N659">
        <f t="shared" si="10"/>
        <v>5</v>
      </c>
    </row>
    <row r="660" spans="12:14">
      <c r="L660">
        <v>1272</v>
      </c>
      <c r="N660" t="str">
        <f t="shared" si="10"/>
        <v/>
      </c>
    </row>
    <row r="661" spans="12:14">
      <c r="L661">
        <v>4570</v>
      </c>
      <c r="N661" t="str">
        <f t="shared" si="10"/>
        <v/>
      </c>
    </row>
    <row r="662" spans="12:14">
      <c r="L662">
        <v>3669</v>
      </c>
      <c r="M662" t="s">
        <v>25</v>
      </c>
      <c r="N662">
        <f t="shared" si="10"/>
        <v>5</v>
      </c>
    </row>
    <row r="663" spans="12:14">
      <c r="L663">
        <v>2976</v>
      </c>
      <c r="M663" t="s">
        <v>25</v>
      </c>
      <c r="N663">
        <f t="shared" si="10"/>
        <v>5</v>
      </c>
    </row>
    <row r="664" spans="12:14">
      <c r="L664">
        <v>2398</v>
      </c>
      <c r="N664" t="str">
        <f t="shared" si="10"/>
        <v/>
      </c>
    </row>
    <row r="665" spans="12:14">
      <c r="L665">
        <v>4197</v>
      </c>
      <c r="N665" t="str">
        <f t="shared" si="10"/>
        <v/>
      </c>
    </row>
    <row r="666" spans="12:14">
      <c r="L666">
        <v>2414</v>
      </c>
      <c r="N666" t="str">
        <f t="shared" si="10"/>
        <v/>
      </c>
    </row>
    <row r="667" spans="12:14">
      <c r="L667">
        <v>2422</v>
      </c>
      <c r="N667" t="str">
        <f t="shared" si="10"/>
        <v/>
      </c>
    </row>
    <row r="668" spans="12:14">
      <c r="L668">
        <v>357</v>
      </c>
      <c r="N668" t="str">
        <f t="shared" si="10"/>
        <v/>
      </c>
    </row>
    <row r="669" spans="12:14">
      <c r="L669">
        <v>902</v>
      </c>
      <c r="M669" t="s">
        <v>31</v>
      </c>
      <c r="N669">
        <f t="shared" si="10"/>
        <v>6</v>
      </c>
    </row>
    <row r="670" spans="12:14">
      <c r="L670">
        <v>1048</v>
      </c>
      <c r="M670" t="s">
        <v>28</v>
      </c>
      <c r="N670">
        <f t="shared" si="10"/>
        <v>3</v>
      </c>
    </row>
    <row r="671" spans="12:14">
      <c r="L671">
        <v>516</v>
      </c>
      <c r="N671" t="str">
        <f t="shared" si="10"/>
        <v/>
      </c>
    </row>
    <row r="672" spans="12:14">
      <c r="L672">
        <v>378</v>
      </c>
      <c r="N672" t="str">
        <f t="shared" si="10"/>
        <v/>
      </c>
    </row>
    <row r="673" spans="12:14">
      <c r="L673">
        <v>3951</v>
      </c>
      <c r="N673" t="str">
        <f t="shared" si="10"/>
        <v/>
      </c>
    </row>
    <row r="674" spans="12:14">
      <c r="L674">
        <v>3926</v>
      </c>
      <c r="M674" t="s">
        <v>26</v>
      </c>
      <c r="N674">
        <f t="shared" si="10"/>
        <v>1</v>
      </c>
    </row>
    <row r="675" spans="12:14">
      <c r="L675">
        <v>3413</v>
      </c>
      <c r="N675" t="str">
        <f t="shared" si="10"/>
        <v/>
      </c>
    </row>
    <row r="676" spans="12:14">
      <c r="L676">
        <v>99</v>
      </c>
      <c r="N676" t="str">
        <f t="shared" si="10"/>
        <v/>
      </c>
    </row>
    <row r="677" spans="12:14">
      <c r="L677">
        <v>2720</v>
      </c>
      <c r="N677" t="str">
        <f t="shared" si="10"/>
        <v/>
      </c>
    </row>
    <row r="678" spans="12:14">
      <c r="L678">
        <v>4418</v>
      </c>
      <c r="N678" t="str">
        <f t="shared" si="10"/>
        <v/>
      </c>
    </row>
    <row r="679" spans="12:14">
      <c r="L679">
        <v>4487</v>
      </c>
      <c r="M679" t="s">
        <v>30</v>
      </c>
      <c r="N679">
        <f t="shared" si="10"/>
        <v>7</v>
      </c>
    </row>
    <row r="680" spans="12:14">
      <c r="L680">
        <v>313</v>
      </c>
      <c r="N680" t="str">
        <f t="shared" si="10"/>
        <v/>
      </c>
    </row>
    <row r="681" spans="12:14">
      <c r="L681">
        <v>1503</v>
      </c>
      <c r="N681" t="str">
        <f t="shared" si="10"/>
        <v/>
      </c>
    </row>
    <row r="682" spans="12:14">
      <c r="L682">
        <v>875</v>
      </c>
      <c r="N682" t="str">
        <f t="shared" si="10"/>
        <v/>
      </c>
    </row>
    <row r="683" spans="12:14">
      <c r="L683">
        <v>926</v>
      </c>
      <c r="N683" t="str">
        <f t="shared" si="10"/>
        <v/>
      </c>
    </row>
    <row r="684" spans="12:14">
      <c r="L684">
        <v>1202</v>
      </c>
      <c r="N684" t="str">
        <f t="shared" si="10"/>
        <v/>
      </c>
    </row>
    <row r="685" spans="12:14">
      <c r="L685">
        <v>879</v>
      </c>
      <c r="N685" t="str">
        <f t="shared" si="10"/>
        <v/>
      </c>
    </row>
    <row r="686" spans="12:14">
      <c r="L686">
        <v>238</v>
      </c>
      <c r="N686" t="str">
        <f t="shared" si="10"/>
        <v/>
      </c>
    </row>
    <row r="687" spans="12:14">
      <c r="L687">
        <v>2081</v>
      </c>
      <c r="M687" t="s">
        <v>31</v>
      </c>
      <c r="N687">
        <f t="shared" si="10"/>
        <v>6</v>
      </c>
    </row>
    <row r="688" spans="12:14">
      <c r="L688">
        <v>1970</v>
      </c>
      <c r="N688" t="str">
        <f t="shared" si="10"/>
        <v/>
      </c>
    </row>
    <row r="689" spans="12:14">
      <c r="L689">
        <v>1697</v>
      </c>
      <c r="N689" t="str">
        <f t="shared" si="10"/>
        <v/>
      </c>
    </row>
    <row r="690" spans="12:14">
      <c r="L690">
        <v>1577</v>
      </c>
      <c r="N690" t="str">
        <f t="shared" si="10"/>
        <v/>
      </c>
    </row>
    <row r="691" spans="12:14">
      <c r="L691">
        <v>4520</v>
      </c>
      <c r="M691" t="s">
        <v>19</v>
      </c>
      <c r="N691">
        <f t="shared" si="10"/>
        <v>2</v>
      </c>
    </row>
    <row r="692" spans="12:14">
      <c r="L692">
        <v>4508</v>
      </c>
      <c r="N692" t="str">
        <f t="shared" si="10"/>
        <v/>
      </c>
    </row>
    <row r="693" spans="12:14">
      <c r="L693">
        <v>1971</v>
      </c>
      <c r="M693" t="s">
        <v>19</v>
      </c>
      <c r="N693">
        <f t="shared" si="10"/>
        <v>2</v>
      </c>
    </row>
    <row r="694" spans="12:14">
      <c r="L694">
        <v>4889</v>
      </c>
      <c r="N694" t="str">
        <f t="shared" si="10"/>
        <v/>
      </c>
    </row>
    <row r="695" spans="12:14">
      <c r="L695">
        <v>1337</v>
      </c>
      <c r="N695" t="str">
        <f t="shared" si="10"/>
        <v/>
      </c>
    </row>
    <row r="696" spans="12:14">
      <c r="L696">
        <v>4202</v>
      </c>
      <c r="N696" t="str">
        <f t="shared" si="10"/>
        <v/>
      </c>
    </row>
    <row r="697" spans="12:14">
      <c r="L697">
        <v>3577</v>
      </c>
      <c r="N697" t="str">
        <f t="shared" si="10"/>
        <v/>
      </c>
    </row>
    <row r="698" spans="12:14">
      <c r="L698">
        <v>4601</v>
      </c>
      <c r="N698" t="str">
        <f t="shared" si="10"/>
        <v/>
      </c>
    </row>
    <row r="699" spans="12:14">
      <c r="L699">
        <v>3590</v>
      </c>
      <c r="N699" t="str">
        <f t="shared" si="10"/>
        <v/>
      </c>
    </row>
    <row r="700" spans="12:14">
      <c r="L700">
        <v>2961</v>
      </c>
      <c r="M700" t="s">
        <v>29</v>
      </c>
      <c r="N700">
        <f t="shared" si="10"/>
        <v>4</v>
      </c>
    </row>
    <row r="701" spans="12:14">
      <c r="L701">
        <v>27</v>
      </c>
      <c r="N701" t="str">
        <f t="shared" si="10"/>
        <v/>
      </c>
    </row>
    <row r="702" spans="12:14">
      <c r="L702">
        <v>4519</v>
      </c>
      <c r="N702" t="str">
        <f t="shared" si="10"/>
        <v/>
      </c>
    </row>
    <row r="703" spans="12:14">
      <c r="L703">
        <v>369</v>
      </c>
      <c r="N703" t="str">
        <f t="shared" si="10"/>
        <v/>
      </c>
    </row>
    <row r="704" spans="12:14">
      <c r="L704">
        <v>4708</v>
      </c>
      <c r="N704" t="str">
        <f t="shared" si="10"/>
        <v/>
      </c>
    </row>
    <row r="705" spans="12:14">
      <c r="L705">
        <v>2290</v>
      </c>
      <c r="M705" t="s">
        <v>29</v>
      </c>
      <c r="N705">
        <f t="shared" si="10"/>
        <v>4</v>
      </c>
    </row>
    <row r="706" spans="12:14">
      <c r="L706">
        <v>2448</v>
      </c>
      <c r="N706" t="str">
        <f t="shared" si="10"/>
        <v/>
      </c>
    </row>
    <row r="707" spans="12:14">
      <c r="L707">
        <v>235</v>
      </c>
      <c r="N707" t="str">
        <f t="shared" ref="N707:N770" si="11">IFERROR(VLOOKUP(M707,$A$3:$B$10,2,0),"")</f>
        <v/>
      </c>
    </row>
    <row r="708" spans="12:14">
      <c r="L708">
        <v>2743</v>
      </c>
      <c r="N708" t="str">
        <f t="shared" si="11"/>
        <v/>
      </c>
    </row>
    <row r="709" spans="12:14">
      <c r="L709">
        <v>4820</v>
      </c>
      <c r="N709" t="str">
        <f t="shared" si="11"/>
        <v/>
      </c>
    </row>
    <row r="710" spans="12:14">
      <c r="L710">
        <v>3031</v>
      </c>
      <c r="N710" t="str">
        <f t="shared" si="11"/>
        <v/>
      </c>
    </row>
    <row r="711" spans="12:14">
      <c r="L711">
        <v>1848</v>
      </c>
      <c r="M711" t="s">
        <v>19</v>
      </c>
      <c r="N711">
        <f t="shared" si="11"/>
        <v>2</v>
      </c>
    </row>
    <row r="712" spans="12:14">
      <c r="L712">
        <v>58</v>
      </c>
      <c r="N712" t="str">
        <f t="shared" si="11"/>
        <v/>
      </c>
    </row>
    <row r="713" spans="12:14">
      <c r="L713">
        <v>72</v>
      </c>
      <c r="N713" t="str">
        <f t="shared" si="11"/>
        <v/>
      </c>
    </row>
    <row r="714" spans="12:14">
      <c r="L714">
        <v>1515</v>
      </c>
      <c r="N714" t="str">
        <f t="shared" si="11"/>
        <v/>
      </c>
    </row>
    <row r="715" spans="12:14">
      <c r="L715">
        <v>1738</v>
      </c>
      <c r="N715" t="str">
        <f t="shared" si="11"/>
        <v/>
      </c>
    </row>
    <row r="716" spans="12:14">
      <c r="L716">
        <v>4914</v>
      </c>
      <c r="N716" t="str">
        <f t="shared" si="11"/>
        <v/>
      </c>
    </row>
    <row r="717" spans="12:14">
      <c r="L717">
        <v>2674</v>
      </c>
      <c r="N717" t="str">
        <f t="shared" si="11"/>
        <v/>
      </c>
    </row>
    <row r="718" spans="12:14">
      <c r="L718">
        <v>3499</v>
      </c>
      <c r="N718" t="str">
        <f t="shared" si="11"/>
        <v/>
      </c>
    </row>
    <row r="719" spans="12:14">
      <c r="L719">
        <v>4873</v>
      </c>
      <c r="N719" t="str">
        <f t="shared" si="11"/>
        <v/>
      </c>
    </row>
    <row r="720" spans="12:14">
      <c r="L720">
        <v>2031</v>
      </c>
      <c r="N720" t="str">
        <f t="shared" si="11"/>
        <v/>
      </c>
    </row>
    <row r="721" spans="12:14">
      <c r="L721">
        <v>3115</v>
      </c>
      <c r="M721" t="s">
        <v>19</v>
      </c>
      <c r="N721">
        <f t="shared" si="11"/>
        <v>2</v>
      </c>
    </row>
    <row r="722" spans="12:14">
      <c r="L722">
        <v>3334</v>
      </c>
      <c r="N722" t="str">
        <f t="shared" si="11"/>
        <v/>
      </c>
    </row>
    <row r="723" spans="12:14">
      <c r="L723">
        <v>4532</v>
      </c>
      <c r="N723" t="str">
        <f t="shared" si="11"/>
        <v/>
      </c>
    </row>
    <row r="724" spans="12:14">
      <c r="L724">
        <v>2788</v>
      </c>
      <c r="M724" t="s">
        <v>30</v>
      </c>
      <c r="N724">
        <f t="shared" si="11"/>
        <v>7</v>
      </c>
    </row>
    <row r="725" spans="12:14">
      <c r="L725">
        <v>1604</v>
      </c>
      <c r="N725" t="str">
        <f t="shared" si="11"/>
        <v/>
      </c>
    </row>
    <row r="726" spans="12:14">
      <c r="L726">
        <v>1523</v>
      </c>
      <c r="N726" t="str">
        <f t="shared" si="11"/>
        <v/>
      </c>
    </row>
    <row r="727" spans="12:14">
      <c r="L727">
        <v>1056</v>
      </c>
      <c r="N727" t="str">
        <f t="shared" si="11"/>
        <v/>
      </c>
    </row>
    <row r="728" spans="12:14">
      <c r="L728">
        <v>2344</v>
      </c>
      <c r="N728" t="str">
        <f t="shared" si="11"/>
        <v/>
      </c>
    </row>
    <row r="729" spans="12:14">
      <c r="L729">
        <v>2163</v>
      </c>
      <c r="N729" t="str">
        <f t="shared" si="11"/>
        <v/>
      </c>
    </row>
    <row r="730" spans="12:14">
      <c r="L730">
        <v>3228</v>
      </c>
      <c r="N730" t="str">
        <f t="shared" si="11"/>
        <v/>
      </c>
    </row>
    <row r="731" spans="12:14">
      <c r="L731">
        <v>4843</v>
      </c>
      <c r="N731" t="str">
        <f t="shared" si="11"/>
        <v/>
      </c>
    </row>
    <row r="732" spans="12:14">
      <c r="L732">
        <v>1100</v>
      </c>
      <c r="N732" t="str">
        <f t="shared" si="11"/>
        <v/>
      </c>
    </row>
    <row r="733" spans="12:14">
      <c r="L733">
        <v>1803</v>
      </c>
      <c r="N733" t="str">
        <f t="shared" si="11"/>
        <v/>
      </c>
    </row>
    <row r="734" spans="12:14">
      <c r="L734">
        <v>1561</v>
      </c>
      <c r="M734" t="s">
        <v>29</v>
      </c>
      <c r="N734">
        <f t="shared" si="11"/>
        <v>4</v>
      </c>
    </row>
    <row r="735" spans="12:14">
      <c r="L735">
        <v>3634</v>
      </c>
      <c r="N735" t="str">
        <f t="shared" si="11"/>
        <v/>
      </c>
    </row>
    <row r="736" spans="12:14">
      <c r="L736">
        <v>1069</v>
      </c>
      <c r="N736" t="str">
        <f t="shared" si="11"/>
        <v/>
      </c>
    </row>
    <row r="737" spans="12:14">
      <c r="L737">
        <v>565</v>
      </c>
      <c r="M737" t="s">
        <v>26</v>
      </c>
      <c r="N737">
        <f t="shared" si="11"/>
        <v>1</v>
      </c>
    </row>
    <row r="738" spans="12:14">
      <c r="L738">
        <v>496</v>
      </c>
      <c r="M738" t="s">
        <v>29</v>
      </c>
      <c r="N738">
        <f t="shared" si="11"/>
        <v>4</v>
      </c>
    </row>
    <row r="739" spans="12:14">
      <c r="L739">
        <v>2870</v>
      </c>
      <c r="M739" t="s">
        <v>28</v>
      </c>
      <c r="N739">
        <f t="shared" si="11"/>
        <v>3</v>
      </c>
    </row>
    <row r="740" spans="12:14">
      <c r="L740">
        <v>3538</v>
      </c>
      <c r="M740" t="s">
        <v>26</v>
      </c>
      <c r="N740">
        <f t="shared" si="11"/>
        <v>1</v>
      </c>
    </row>
    <row r="741" spans="12:14">
      <c r="L741">
        <v>3866</v>
      </c>
      <c r="M741" t="s">
        <v>26</v>
      </c>
      <c r="N741">
        <f t="shared" si="11"/>
        <v>1</v>
      </c>
    </row>
    <row r="742" spans="12:14">
      <c r="L742">
        <v>3188</v>
      </c>
      <c r="M742" t="s">
        <v>31</v>
      </c>
      <c r="N742">
        <f t="shared" si="11"/>
        <v>6</v>
      </c>
    </row>
    <row r="743" spans="12:14">
      <c r="L743">
        <v>1288</v>
      </c>
      <c r="N743" t="str">
        <f t="shared" si="11"/>
        <v/>
      </c>
    </row>
    <row r="744" spans="12:14">
      <c r="L744">
        <v>3821</v>
      </c>
      <c r="M744" t="s">
        <v>19</v>
      </c>
      <c r="N744">
        <f t="shared" si="11"/>
        <v>2</v>
      </c>
    </row>
    <row r="745" spans="12:14">
      <c r="L745">
        <v>3857</v>
      </c>
      <c r="M745" t="s">
        <v>30</v>
      </c>
      <c r="N745">
        <f t="shared" si="11"/>
        <v>7</v>
      </c>
    </row>
    <row r="746" spans="12:14">
      <c r="L746">
        <v>1899</v>
      </c>
      <c r="N746" t="str">
        <f t="shared" si="11"/>
        <v/>
      </c>
    </row>
    <row r="747" spans="12:14">
      <c r="L747">
        <v>1924</v>
      </c>
      <c r="N747" t="str">
        <f t="shared" si="11"/>
        <v/>
      </c>
    </row>
    <row r="748" spans="12:14">
      <c r="L748">
        <v>4259</v>
      </c>
      <c r="N748" t="str">
        <f t="shared" si="11"/>
        <v/>
      </c>
    </row>
    <row r="749" spans="12:14">
      <c r="L749">
        <v>429</v>
      </c>
      <c r="N749" t="str">
        <f t="shared" si="11"/>
        <v/>
      </c>
    </row>
    <row r="750" spans="12:14">
      <c r="L750">
        <v>3306</v>
      </c>
      <c r="N750" t="str">
        <f t="shared" si="11"/>
        <v/>
      </c>
    </row>
    <row r="751" spans="12:14">
      <c r="L751">
        <v>4346</v>
      </c>
      <c r="M751" t="s">
        <v>19</v>
      </c>
      <c r="N751">
        <f t="shared" si="11"/>
        <v>2</v>
      </c>
    </row>
    <row r="752" spans="12:14">
      <c r="L752">
        <v>3014</v>
      </c>
      <c r="M752" t="s">
        <v>19</v>
      </c>
      <c r="N752">
        <f t="shared" si="11"/>
        <v>2</v>
      </c>
    </row>
    <row r="753" spans="12:14">
      <c r="L753">
        <v>4474</v>
      </c>
      <c r="N753" t="str">
        <f t="shared" si="11"/>
        <v/>
      </c>
    </row>
    <row r="754" spans="12:14">
      <c r="L754">
        <v>3195</v>
      </c>
      <c r="M754" t="s">
        <v>26</v>
      </c>
      <c r="N754">
        <f t="shared" si="11"/>
        <v>1</v>
      </c>
    </row>
    <row r="755" spans="12:14">
      <c r="L755">
        <v>4488</v>
      </c>
      <c r="N755" t="str">
        <f t="shared" si="11"/>
        <v/>
      </c>
    </row>
    <row r="756" spans="12:14">
      <c r="L756">
        <v>4936</v>
      </c>
      <c r="N756" t="str">
        <f t="shared" si="11"/>
        <v/>
      </c>
    </row>
    <row r="757" spans="12:14">
      <c r="L757">
        <v>3487</v>
      </c>
      <c r="N757" t="str">
        <f t="shared" si="11"/>
        <v/>
      </c>
    </row>
    <row r="758" spans="12:14">
      <c r="L758">
        <v>1317</v>
      </c>
      <c r="N758" t="str">
        <f t="shared" si="11"/>
        <v/>
      </c>
    </row>
    <row r="759" spans="12:14">
      <c r="L759">
        <v>2905</v>
      </c>
      <c r="M759" t="s">
        <v>31</v>
      </c>
      <c r="N759">
        <f t="shared" si="11"/>
        <v>6</v>
      </c>
    </row>
    <row r="760" spans="12:14">
      <c r="L760">
        <v>2094</v>
      </c>
      <c r="M760" t="s">
        <v>28</v>
      </c>
      <c r="N760">
        <f t="shared" si="11"/>
        <v>3</v>
      </c>
    </row>
    <row r="761" spans="12:14">
      <c r="L761">
        <v>97</v>
      </c>
      <c r="N761" t="str">
        <f t="shared" si="11"/>
        <v/>
      </c>
    </row>
    <row r="762" spans="12:14">
      <c r="L762">
        <v>934</v>
      </c>
      <c r="N762" t="str">
        <f t="shared" si="11"/>
        <v/>
      </c>
    </row>
    <row r="763" spans="12:14">
      <c r="L763">
        <v>4973</v>
      </c>
      <c r="M763" t="s">
        <v>19</v>
      </c>
      <c r="N763">
        <f t="shared" si="11"/>
        <v>2</v>
      </c>
    </row>
    <row r="764" spans="12:14">
      <c r="L764">
        <v>480</v>
      </c>
      <c r="N764" t="str">
        <f t="shared" si="11"/>
        <v/>
      </c>
    </row>
    <row r="765" spans="12:14">
      <c r="L765">
        <v>18</v>
      </c>
      <c r="M765" t="s">
        <v>25</v>
      </c>
      <c r="N765">
        <f t="shared" si="11"/>
        <v>5</v>
      </c>
    </row>
    <row r="766" spans="12:14">
      <c r="L766">
        <v>3442</v>
      </c>
      <c r="N766" t="str">
        <f t="shared" si="11"/>
        <v/>
      </c>
    </row>
    <row r="767" spans="12:14">
      <c r="L767">
        <v>734</v>
      </c>
      <c r="N767" t="str">
        <f t="shared" si="11"/>
        <v/>
      </c>
    </row>
    <row r="768" spans="12:14">
      <c r="L768">
        <v>296</v>
      </c>
      <c r="N768" t="str">
        <f t="shared" si="11"/>
        <v/>
      </c>
    </row>
    <row r="769" spans="12:14">
      <c r="L769">
        <v>4122</v>
      </c>
      <c r="N769" t="str">
        <f t="shared" si="11"/>
        <v/>
      </c>
    </row>
    <row r="770" spans="12:14">
      <c r="L770">
        <v>3692</v>
      </c>
      <c r="N770" t="str">
        <f t="shared" si="11"/>
        <v/>
      </c>
    </row>
    <row r="771" spans="12:14">
      <c r="L771">
        <v>674</v>
      </c>
      <c r="M771" t="s">
        <v>28</v>
      </c>
      <c r="N771">
        <f t="shared" ref="N771:N834" si="12">IFERROR(VLOOKUP(M771,$A$3:$B$10,2,0),"")</f>
        <v>3</v>
      </c>
    </row>
    <row r="772" spans="12:14">
      <c r="L772">
        <v>4364</v>
      </c>
      <c r="N772" t="str">
        <f t="shared" si="12"/>
        <v/>
      </c>
    </row>
    <row r="773" spans="12:14">
      <c r="L773">
        <v>2043</v>
      </c>
      <c r="N773" t="str">
        <f t="shared" si="12"/>
        <v/>
      </c>
    </row>
    <row r="774" spans="12:14">
      <c r="L774">
        <v>863</v>
      </c>
      <c r="N774" t="str">
        <f t="shared" si="12"/>
        <v/>
      </c>
    </row>
    <row r="775" spans="12:14">
      <c r="L775">
        <v>1733</v>
      </c>
      <c r="N775" t="str">
        <f t="shared" si="12"/>
        <v/>
      </c>
    </row>
    <row r="776" spans="12:14">
      <c r="L776">
        <v>2557</v>
      </c>
      <c r="M776" t="s">
        <v>30</v>
      </c>
      <c r="N776">
        <f t="shared" si="12"/>
        <v>7</v>
      </c>
    </row>
    <row r="777" spans="12:14">
      <c r="L777">
        <v>2134</v>
      </c>
      <c r="N777" t="str">
        <f t="shared" si="12"/>
        <v/>
      </c>
    </row>
    <row r="778" spans="12:14">
      <c r="L778">
        <v>475</v>
      </c>
      <c r="N778" t="str">
        <f t="shared" si="12"/>
        <v/>
      </c>
    </row>
    <row r="779" spans="12:14">
      <c r="L779">
        <v>1540</v>
      </c>
      <c r="N779" t="str">
        <f t="shared" si="12"/>
        <v/>
      </c>
    </row>
    <row r="780" spans="12:14">
      <c r="L780">
        <v>781</v>
      </c>
      <c r="N780" t="str">
        <f t="shared" si="12"/>
        <v/>
      </c>
    </row>
    <row r="781" spans="12:14">
      <c r="L781">
        <v>3257</v>
      </c>
      <c r="N781" t="str">
        <f t="shared" si="12"/>
        <v/>
      </c>
    </row>
    <row r="782" spans="12:14">
      <c r="L782">
        <v>1725</v>
      </c>
      <c r="M782" t="s">
        <v>25</v>
      </c>
      <c r="N782">
        <f t="shared" si="12"/>
        <v>5</v>
      </c>
    </row>
    <row r="783" spans="12:14">
      <c r="L783">
        <v>3214</v>
      </c>
      <c r="N783" t="str">
        <f t="shared" si="12"/>
        <v/>
      </c>
    </row>
    <row r="784" spans="12:14">
      <c r="L784">
        <v>4890</v>
      </c>
      <c r="N784" t="str">
        <f t="shared" si="12"/>
        <v/>
      </c>
    </row>
    <row r="785" spans="12:14">
      <c r="L785">
        <v>3754</v>
      </c>
      <c r="N785" t="str">
        <f t="shared" si="12"/>
        <v/>
      </c>
    </row>
    <row r="786" spans="12:14">
      <c r="L786">
        <v>1215</v>
      </c>
      <c r="N786" t="str">
        <f t="shared" si="12"/>
        <v/>
      </c>
    </row>
    <row r="787" spans="12:14">
      <c r="L787">
        <v>4624</v>
      </c>
      <c r="N787" t="str">
        <f t="shared" si="12"/>
        <v/>
      </c>
    </row>
    <row r="788" spans="12:14">
      <c r="L788">
        <v>1626</v>
      </c>
      <c r="N788" t="str">
        <f t="shared" si="12"/>
        <v/>
      </c>
    </row>
    <row r="789" spans="12:14">
      <c r="L789">
        <v>2892</v>
      </c>
      <c r="N789" t="str">
        <f t="shared" si="12"/>
        <v/>
      </c>
    </row>
    <row r="790" spans="12:14">
      <c r="L790">
        <v>4081</v>
      </c>
      <c r="N790" t="str">
        <f t="shared" si="12"/>
        <v/>
      </c>
    </row>
    <row r="791" spans="12:14">
      <c r="L791">
        <v>3458</v>
      </c>
      <c r="M791" t="s">
        <v>29</v>
      </c>
      <c r="N791">
        <f t="shared" si="12"/>
        <v>4</v>
      </c>
    </row>
    <row r="792" spans="12:14">
      <c r="L792">
        <v>4827</v>
      </c>
      <c r="N792" t="str">
        <f t="shared" si="12"/>
        <v/>
      </c>
    </row>
    <row r="793" spans="12:14">
      <c r="L793">
        <v>1457</v>
      </c>
      <c r="N793" t="str">
        <f t="shared" si="12"/>
        <v/>
      </c>
    </row>
    <row r="794" spans="12:14">
      <c r="L794">
        <v>2373</v>
      </c>
      <c r="M794" t="s">
        <v>28</v>
      </c>
      <c r="N794">
        <f t="shared" si="12"/>
        <v>3</v>
      </c>
    </row>
    <row r="795" spans="12:14">
      <c r="L795">
        <v>610</v>
      </c>
      <c r="N795" t="str">
        <f t="shared" si="12"/>
        <v/>
      </c>
    </row>
    <row r="796" spans="12:14">
      <c r="L796">
        <v>2179</v>
      </c>
      <c r="N796" t="str">
        <f t="shared" si="12"/>
        <v/>
      </c>
    </row>
    <row r="797" spans="12:14">
      <c r="L797">
        <v>4189</v>
      </c>
      <c r="N797" t="str">
        <f t="shared" si="12"/>
        <v/>
      </c>
    </row>
    <row r="798" spans="12:14">
      <c r="L798">
        <v>1007</v>
      </c>
      <c r="N798" t="str">
        <f t="shared" si="12"/>
        <v/>
      </c>
    </row>
    <row r="799" spans="12:14">
      <c r="L799">
        <v>4457</v>
      </c>
      <c r="M799" t="s">
        <v>25</v>
      </c>
      <c r="N799">
        <f t="shared" si="12"/>
        <v>5</v>
      </c>
    </row>
    <row r="800" spans="12:14">
      <c r="L800">
        <v>3363</v>
      </c>
      <c r="N800" t="str">
        <f t="shared" si="12"/>
        <v/>
      </c>
    </row>
    <row r="801" spans="12:14">
      <c r="L801">
        <v>3811</v>
      </c>
      <c r="M801" t="s">
        <v>31</v>
      </c>
      <c r="N801">
        <f t="shared" si="12"/>
        <v>6</v>
      </c>
    </row>
    <row r="802" spans="12:14">
      <c r="L802">
        <v>4052</v>
      </c>
      <c r="M802" t="s">
        <v>30</v>
      </c>
      <c r="N802">
        <f t="shared" si="12"/>
        <v>7</v>
      </c>
    </row>
    <row r="803" spans="12:14">
      <c r="L803">
        <v>1591</v>
      </c>
      <c r="N803" t="str">
        <f t="shared" si="12"/>
        <v/>
      </c>
    </row>
    <row r="804" spans="12:14">
      <c r="L804">
        <v>1447</v>
      </c>
      <c r="M804" t="s">
        <v>19</v>
      </c>
      <c r="N804">
        <f t="shared" si="12"/>
        <v>2</v>
      </c>
    </row>
    <row r="805" spans="12:14">
      <c r="L805">
        <v>212</v>
      </c>
      <c r="N805" t="str">
        <f t="shared" si="12"/>
        <v/>
      </c>
    </row>
    <row r="806" spans="12:14">
      <c r="L806">
        <v>1294</v>
      </c>
      <c r="N806" t="str">
        <f t="shared" si="12"/>
        <v/>
      </c>
    </row>
    <row r="807" spans="12:14">
      <c r="L807">
        <v>177</v>
      </c>
      <c r="N807" t="str">
        <f t="shared" si="12"/>
        <v/>
      </c>
    </row>
    <row r="808" spans="12:14">
      <c r="L808">
        <v>2521</v>
      </c>
      <c r="N808" t="str">
        <f t="shared" si="12"/>
        <v/>
      </c>
    </row>
    <row r="809" spans="12:14">
      <c r="L809">
        <v>4219</v>
      </c>
      <c r="M809" t="s">
        <v>30</v>
      </c>
      <c r="N809">
        <f t="shared" si="12"/>
        <v>7</v>
      </c>
    </row>
    <row r="810" spans="12:14">
      <c r="L810">
        <v>4585</v>
      </c>
      <c r="N810" t="str">
        <f t="shared" si="12"/>
        <v/>
      </c>
    </row>
    <row r="811" spans="12:14">
      <c r="L811">
        <v>4065</v>
      </c>
      <c r="M811" t="s">
        <v>25</v>
      </c>
      <c r="N811">
        <f t="shared" si="12"/>
        <v>5</v>
      </c>
    </row>
    <row r="812" spans="12:14">
      <c r="L812">
        <v>869</v>
      </c>
      <c r="N812" t="str">
        <f t="shared" si="12"/>
        <v/>
      </c>
    </row>
    <row r="813" spans="12:14">
      <c r="L813">
        <v>1574</v>
      </c>
      <c r="N813" t="str">
        <f t="shared" si="12"/>
        <v/>
      </c>
    </row>
    <row r="814" spans="12:14">
      <c r="L814">
        <v>81</v>
      </c>
      <c r="N814" t="str">
        <f t="shared" si="12"/>
        <v/>
      </c>
    </row>
    <row r="815" spans="12:14">
      <c r="L815">
        <v>2990</v>
      </c>
      <c r="M815" t="s">
        <v>25</v>
      </c>
      <c r="N815">
        <f t="shared" si="12"/>
        <v>5</v>
      </c>
    </row>
    <row r="816" spans="12:14">
      <c r="L816">
        <v>3429</v>
      </c>
      <c r="M816" t="s">
        <v>26</v>
      </c>
      <c r="N816">
        <f t="shared" si="12"/>
        <v>1</v>
      </c>
    </row>
    <row r="817" spans="12:14">
      <c r="L817">
        <v>8</v>
      </c>
      <c r="N817" t="str">
        <f t="shared" si="12"/>
        <v/>
      </c>
    </row>
    <row r="818" spans="12:14">
      <c r="L818">
        <v>2996</v>
      </c>
      <c r="N818" t="str">
        <f t="shared" si="12"/>
        <v/>
      </c>
    </row>
    <row r="819" spans="12:14">
      <c r="L819">
        <v>2498</v>
      </c>
      <c r="N819" t="str">
        <f t="shared" si="12"/>
        <v/>
      </c>
    </row>
    <row r="820" spans="12:14">
      <c r="L820">
        <v>1853</v>
      </c>
      <c r="N820" t="str">
        <f t="shared" si="12"/>
        <v/>
      </c>
    </row>
    <row r="821" spans="12:14">
      <c r="L821">
        <v>1686</v>
      </c>
      <c r="N821" t="str">
        <f t="shared" si="12"/>
        <v/>
      </c>
    </row>
    <row r="822" spans="12:14">
      <c r="L822">
        <v>2198</v>
      </c>
      <c r="N822" t="str">
        <f t="shared" si="12"/>
        <v/>
      </c>
    </row>
    <row r="823" spans="12:14">
      <c r="L823">
        <v>1500</v>
      </c>
      <c r="M823" t="s">
        <v>29</v>
      </c>
      <c r="N823">
        <f t="shared" si="12"/>
        <v>4</v>
      </c>
    </row>
    <row r="824" spans="12:14">
      <c r="L824">
        <v>1123</v>
      </c>
      <c r="N824" t="str">
        <f t="shared" si="12"/>
        <v/>
      </c>
    </row>
    <row r="825" spans="12:14">
      <c r="L825">
        <v>2958</v>
      </c>
      <c r="N825" t="str">
        <f t="shared" si="12"/>
        <v/>
      </c>
    </row>
    <row r="826" spans="12:14">
      <c r="L826">
        <v>575</v>
      </c>
      <c r="N826" t="str">
        <f t="shared" si="12"/>
        <v/>
      </c>
    </row>
    <row r="827" spans="12:14">
      <c r="L827">
        <v>530</v>
      </c>
      <c r="N827" t="str">
        <f t="shared" si="12"/>
        <v/>
      </c>
    </row>
    <row r="828" spans="12:14">
      <c r="L828">
        <v>4041</v>
      </c>
      <c r="N828" t="str">
        <f t="shared" si="12"/>
        <v/>
      </c>
    </row>
    <row r="829" spans="12:14">
      <c r="L829">
        <v>514</v>
      </c>
      <c r="N829" t="str">
        <f t="shared" si="12"/>
        <v/>
      </c>
    </row>
    <row r="830" spans="12:14">
      <c r="L830">
        <v>3545</v>
      </c>
      <c r="M830" t="s">
        <v>26</v>
      </c>
      <c r="N830">
        <f t="shared" si="12"/>
        <v>1</v>
      </c>
    </row>
    <row r="831" spans="12:14">
      <c r="L831">
        <v>4455</v>
      </c>
      <c r="N831" t="str">
        <f t="shared" si="12"/>
        <v/>
      </c>
    </row>
    <row r="832" spans="12:14">
      <c r="L832">
        <v>4756</v>
      </c>
      <c r="N832" t="str">
        <f t="shared" si="12"/>
        <v/>
      </c>
    </row>
    <row r="833" spans="12:14">
      <c r="L833">
        <v>1237</v>
      </c>
      <c r="N833" t="str">
        <f t="shared" si="12"/>
        <v/>
      </c>
    </row>
    <row r="834" spans="12:14">
      <c r="L834">
        <v>2488</v>
      </c>
      <c r="N834" t="str">
        <f t="shared" si="12"/>
        <v/>
      </c>
    </row>
    <row r="835" spans="12:14">
      <c r="L835">
        <v>680</v>
      </c>
      <c r="N835" t="str">
        <f t="shared" ref="N835:N898" si="13">IFERROR(VLOOKUP(M835,$A$3:$B$10,2,0),"")</f>
        <v/>
      </c>
    </row>
    <row r="836" spans="12:14">
      <c r="L836">
        <v>4634</v>
      </c>
      <c r="N836" t="str">
        <f t="shared" si="13"/>
        <v/>
      </c>
    </row>
    <row r="837" spans="12:14">
      <c r="L837">
        <v>3076</v>
      </c>
      <c r="N837" t="str">
        <f t="shared" si="13"/>
        <v/>
      </c>
    </row>
    <row r="838" spans="12:14">
      <c r="L838">
        <v>4755</v>
      </c>
      <c r="M838" t="s">
        <v>19</v>
      </c>
      <c r="N838">
        <f t="shared" si="13"/>
        <v>2</v>
      </c>
    </row>
    <row r="839" spans="12:14">
      <c r="L839">
        <v>4521</v>
      </c>
      <c r="N839" t="str">
        <f t="shared" si="13"/>
        <v/>
      </c>
    </row>
    <row r="840" spans="12:14">
      <c r="L840">
        <v>3570</v>
      </c>
      <c r="M840" t="s">
        <v>30</v>
      </c>
      <c r="N840">
        <f t="shared" si="13"/>
        <v>7</v>
      </c>
    </row>
    <row r="841" spans="12:14">
      <c r="L841">
        <v>1027</v>
      </c>
      <c r="N841" t="str">
        <f t="shared" si="13"/>
        <v/>
      </c>
    </row>
    <row r="842" spans="12:14">
      <c r="L842">
        <v>3497</v>
      </c>
      <c r="M842" t="s">
        <v>19</v>
      </c>
      <c r="N842">
        <f t="shared" si="13"/>
        <v>2</v>
      </c>
    </row>
    <row r="843" spans="12:14">
      <c r="L843">
        <v>1234</v>
      </c>
      <c r="M843" t="s">
        <v>31</v>
      </c>
      <c r="N843">
        <f t="shared" si="13"/>
        <v>6</v>
      </c>
    </row>
    <row r="844" spans="12:14">
      <c r="L844">
        <v>4100</v>
      </c>
      <c r="N844" t="str">
        <f t="shared" si="13"/>
        <v/>
      </c>
    </row>
    <row r="845" spans="12:14">
      <c r="L845">
        <v>1301</v>
      </c>
      <c r="N845" t="str">
        <f t="shared" si="13"/>
        <v/>
      </c>
    </row>
    <row r="846" spans="12:14">
      <c r="L846">
        <v>1160</v>
      </c>
      <c r="N846" t="str">
        <f t="shared" si="13"/>
        <v/>
      </c>
    </row>
    <row r="847" spans="12:14">
      <c r="L847">
        <v>3504</v>
      </c>
      <c r="N847" t="str">
        <f t="shared" si="13"/>
        <v/>
      </c>
    </row>
    <row r="848" spans="12:14">
      <c r="L848">
        <v>3795</v>
      </c>
      <c r="N848" t="str">
        <f t="shared" si="13"/>
        <v/>
      </c>
    </row>
    <row r="849" spans="12:14">
      <c r="L849">
        <v>3489</v>
      </c>
      <c r="N849" t="str">
        <f t="shared" si="13"/>
        <v/>
      </c>
    </row>
    <row r="850" spans="12:14">
      <c r="L850">
        <v>3696</v>
      </c>
      <c r="M850" t="s">
        <v>28</v>
      </c>
      <c r="N850">
        <f t="shared" si="13"/>
        <v>3</v>
      </c>
    </row>
    <row r="851" spans="12:14">
      <c r="L851">
        <v>3842</v>
      </c>
      <c r="N851" t="str">
        <f t="shared" si="13"/>
        <v/>
      </c>
    </row>
    <row r="852" spans="12:14">
      <c r="L852">
        <v>3963</v>
      </c>
      <c r="N852" t="str">
        <f t="shared" si="13"/>
        <v/>
      </c>
    </row>
    <row r="853" spans="12:14">
      <c r="L853">
        <v>101</v>
      </c>
      <c r="M853" t="s">
        <v>29</v>
      </c>
      <c r="N853">
        <f t="shared" si="13"/>
        <v>4</v>
      </c>
    </row>
    <row r="854" spans="12:14">
      <c r="L854">
        <v>1340</v>
      </c>
      <c r="M854" t="s">
        <v>28</v>
      </c>
      <c r="N854">
        <f t="shared" si="13"/>
        <v>3</v>
      </c>
    </row>
    <row r="855" spans="12:14">
      <c r="L855">
        <v>3383</v>
      </c>
      <c r="M855" t="s">
        <v>26</v>
      </c>
      <c r="N855">
        <f t="shared" si="13"/>
        <v>1</v>
      </c>
    </row>
    <row r="856" spans="12:14">
      <c r="L856">
        <v>1455</v>
      </c>
      <c r="M856" t="s">
        <v>29</v>
      </c>
      <c r="N856">
        <f t="shared" si="13"/>
        <v>4</v>
      </c>
    </row>
    <row r="857" spans="12:14">
      <c r="L857">
        <v>975</v>
      </c>
      <c r="N857" t="str">
        <f t="shared" si="13"/>
        <v/>
      </c>
    </row>
    <row r="858" spans="12:14">
      <c r="L858">
        <v>2419</v>
      </c>
      <c r="M858" t="s">
        <v>31</v>
      </c>
      <c r="N858">
        <f t="shared" si="13"/>
        <v>6</v>
      </c>
    </row>
    <row r="859" spans="12:14">
      <c r="L859">
        <v>1436</v>
      </c>
      <c r="N859" t="str">
        <f t="shared" si="13"/>
        <v/>
      </c>
    </row>
    <row r="860" spans="12:14">
      <c r="L860">
        <v>3655</v>
      </c>
      <c r="N860" t="str">
        <f t="shared" si="13"/>
        <v/>
      </c>
    </row>
    <row r="861" spans="12:14">
      <c r="L861">
        <v>2830</v>
      </c>
      <c r="N861" t="str">
        <f t="shared" si="13"/>
        <v/>
      </c>
    </row>
    <row r="862" spans="12:14">
      <c r="L862">
        <v>291</v>
      </c>
      <c r="N862" t="str">
        <f t="shared" si="13"/>
        <v/>
      </c>
    </row>
    <row r="863" spans="12:14">
      <c r="L863">
        <v>1289</v>
      </c>
      <c r="M863" t="s">
        <v>19</v>
      </c>
      <c r="N863">
        <f t="shared" si="13"/>
        <v>2</v>
      </c>
    </row>
    <row r="864" spans="12:14">
      <c r="L864">
        <v>1248</v>
      </c>
      <c r="N864" t="str">
        <f t="shared" si="13"/>
        <v/>
      </c>
    </row>
    <row r="865" spans="12:14">
      <c r="L865">
        <v>2183</v>
      </c>
      <c r="N865" t="str">
        <f t="shared" si="13"/>
        <v/>
      </c>
    </row>
    <row r="866" spans="12:14">
      <c r="L866">
        <v>558</v>
      </c>
      <c r="N866" t="str">
        <f t="shared" si="13"/>
        <v/>
      </c>
    </row>
    <row r="867" spans="12:14">
      <c r="L867">
        <v>4371</v>
      </c>
      <c r="N867" t="str">
        <f t="shared" si="13"/>
        <v/>
      </c>
    </row>
    <row r="868" spans="12:14">
      <c r="L868">
        <v>2505</v>
      </c>
      <c r="N868" t="str">
        <f t="shared" si="13"/>
        <v/>
      </c>
    </row>
    <row r="869" spans="12:14">
      <c r="L869">
        <v>2492</v>
      </c>
      <c r="N869" t="str">
        <f t="shared" si="13"/>
        <v/>
      </c>
    </row>
    <row r="870" spans="12:14">
      <c r="L870">
        <v>2466</v>
      </c>
      <c r="M870" t="s">
        <v>25</v>
      </c>
      <c r="N870">
        <f t="shared" si="13"/>
        <v>5</v>
      </c>
    </row>
    <row r="871" spans="12:14">
      <c r="L871">
        <v>1439</v>
      </c>
      <c r="M871" t="s">
        <v>29</v>
      </c>
      <c r="N871">
        <f t="shared" si="13"/>
        <v>4</v>
      </c>
    </row>
    <row r="872" spans="12:14">
      <c r="L872">
        <v>3051</v>
      </c>
      <c r="N872" t="str">
        <f t="shared" si="13"/>
        <v/>
      </c>
    </row>
    <row r="873" spans="12:14">
      <c r="L873">
        <v>4881</v>
      </c>
      <c r="N873" t="str">
        <f t="shared" si="13"/>
        <v/>
      </c>
    </row>
    <row r="874" spans="12:14">
      <c r="L874">
        <v>896</v>
      </c>
      <c r="M874" t="s">
        <v>29</v>
      </c>
      <c r="N874">
        <f t="shared" si="13"/>
        <v>4</v>
      </c>
    </row>
    <row r="875" spans="12:14">
      <c r="L875">
        <v>3135</v>
      </c>
      <c r="M875" t="s">
        <v>29</v>
      </c>
      <c r="N875">
        <f t="shared" si="13"/>
        <v>4</v>
      </c>
    </row>
    <row r="876" spans="12:14">
      <c r="L876">
        <v>1627</v>
      </c>
      <c r="N876" t="str">
        <f t="shared" si="13"/>
        <v/>
      </c>
    </row>
    <row r="877" spans="12:14">
      <c r="L877">
        <v>1894</v>
      </c>
      <c r="N877" t="str">
        <f t="shared" si="13"/>
        <v/>
      </c>
    </row>
    <row r="878" spans="12:14">
      <c r="L878">
        <v>4962</v>
      </c>
      <c r="N878" t="str">
        <f t="shared" si="13"/>
        <v/>
      </c>
    </row>
    <row r="879" spans="12:14">
      <c r="L879">
        <v>3083</v>
      </c>
      <c r="N879" t="str">
        <f t="shared" si="13"/>
        <v/>
      </c>
    </row>
    <row r="880" spans="12:14">
      <c r="L880">
        <v>4723</v>
      </c>
      <c r="N880" t="str">
        <f t="shared" si="13"/>
        <v/>
      </c>
    </row>
    <row r="881" spans="12:14">
      <c r="L881">
        <v>3261</v>
      </c>
      <c r="N881" t="str">
        <f t="shared" si="13"/>
        <v/>
      </c>
    </row>
    <row r="882" spans="12:14">
      <c r="L882">
        <v>1296</v>
      </c>
      <c r="N882" t="str">
        <f t="shared" si="13"/>
        <v/>
      </c>
    </row>
    <row r="883" spans="12:14">
      <c r="L883">
        <v>2878</v>
      </c>
      <c r="N883" t="str">
        <f t="shared" si="13"/>
        <v/>
      </c>
    </row>
    <row r="884" spans="12:14">
      <c r="L884">
        <v>3656</v>
      </c>
      <c r="M884" t="s">
        <v>29</v>
      </c>
      <c r="N884">
        <f t="shared" si="13"/>
        <v>4</v>
      </c>
    </row>
    <row r="885" spans="12:14">
      <c r="L885">
        <v>4050</v>
      </c>
      <c r="N885" t="str">
        <f t="shared" si="13"/>
        <v/>
      </c>
    </row>
    <row r="886" spans="12:14">
      <c r="L886">
        <v>2093</v>
      </c>
      <c r="M886" t="s">
        <v>26</v>
      </c>
      <c r="N886">
        <f t="shared" si="13"/>
        <v>1</v>
      </c>
    </row>
    <row r="887" spans="12:14">
      <c r="L887">
        <v>729</v>
      </c>
      <c r="N887" t="str">
        <f t="shared" si="13"/>
        <v/>
      </c>
    </row>
    <row r="888" spans="12:14">
      <c r="L888">
        <v>2073</v>
      </c>
      <c r="N888" t="str">
        <f t="shared" si="13"/>
        <v/>
      </c>
    </row>
    <row r="889" spans="12:14">
      <c r="L889">
        <v>3348</v>
      </c>
      <c r="N889" t="str">
        <f t="shared" si="13"/>
        <v/>
      </c>
    </row>
    <row r="890" spans="12:14">
      <c r="L890">
        <v>1257</v>
      </c>
      <c r="M890" t="s">
        <v>25</v>
      </c>
      <c r="N890">
        <f t="shared" si="13"/>
        <v>5</v>
      </c>
    </row>
    <row r="891" spans="12:14">
      <c r="L891">
        <v>2067</v>
      </c>
      <c r="M891" t="s">
        <v>19</v>
      </c>
      <c r="N891">
        <f t="shared" si="13"/>
        <v>2</v>
      </c>
    </row>
    <row r="892" spans="12:14">
      <c r="L892">
        <v>2112</v>
      </c>
      <c r="N892" t="str">
        <f t="shared" si="13"/>
        <v/>
      </c>
    </row>
    <row r="893" spans="12:14">
      <c r="L893">
        <v>855</v>
      </c>
      <c r="N893" t="str">
        <f t="shared" si="13"/>
        <v/>
      </c>
    </row>
    <row r="894" spans="12:14">
      <c r="L894">
        <v>3290</v>
      </c>
      <c r="N894" t="str">
        <f t="shared" si="13"/>
        <v/>
      </c>
    </row>
    <row r="895" spans="12:14">
      <c r="L895">
        <v>1906</v>
      </c>
      <c r="N895" t="str">
        <f t="shared" si="13"/>
        <v/>
      </c>
    </row>
    <row r="896" spans="12:14">
      <c r="L896">
        <v>661</v>
      </c>
      <c r="M896" t="s">
        <v>19</v>
      </c>
      <c r="N896">
        <f t="shared" si="13"/>
        <v>2</v>
      </c>
    </row>
    <row r="897" spans="12:14">
      <c r="L897">
        <v>4007</v>
      </c>
      <c r="N897" t="str">
        <f t="shared" si="13"/>
        <v/>
      </c>
    </row>
    <row r="898" spans="12:14">
      <c r="L898">
        <v>3414</v>
      </c>
      <c r="N898" t="str">
        <f t="shared" si="13"/>
        <v/>
      </c>
    </row>
    <row r="899" spans="12:14">
      <c r="L899">
        <v>4404</v>
      </c>
      <c r="N899" t="str">
        <f t="shared" ref="N899:N962" si="14">IFERROR(VLOOKUP(M899,$A$3:$B$10,2,0),"")</f>
        <v/>
      </c>
    </row>
    <row r="900" spans="12:14">
      <c r="L900">
        <v>4957</v>
      </c>
      <c r="N900" t="str">
        <f t="shared" si="14"/>
        <v/>
      </c>
    </row>
    <row r="901" spans="12:14">
      <c r="L901">
        <v>2820</v>
      </c>
      <c r="N901" t="str">
        <f t="shared" si="14"/>
        <v/>
      </c>
    </row>
    <row r="902" spans="12:14">
      <c r="L902">
        <v>3817</v>
      </c>
      <c r="N902" t="str">
        <f t="shared" si="14"/>
        <v/>
      </c>
    </row>
    <row r="903" spans="12:14">
      <c r="L903">
        <v>64</v>
      </c>
      <c r="N903" t="str">
        <f t="shared" si="14"/>
        <v/>
      </c>
    </row>
    <row r="904" spans="12:14">
      <c r="L904">
        <v>735</v>
      </c>
      <c r="N904" t="str">
        <f t="shared" si="14"/>
        <v/>
      </c>
    </row>
    <row r="905" spans="12:14">
      <c r="L905">
        <v>966</v>
      </c>
      <c r="M905" t="s">
        <v>31</v>
      </c>
      <c r="N905">
        <f t="shared" si="14"/>
        <v>6</v>
      </c>
    </row>
    <row r="906" spans="12:14">
      <c r="L906">
        <v>1654</v>
      </c>
      <c r="N906" t="str">
        <f t="shared" si="14"/>
        <v/>
      </c>
    </row>
    <row r="907" spans="12:14">
      <c r="L907">
        <v>294</v>
      </c>
      <c r="N907" t="str">
        <f t="shared" si="14"/>
        <v/>
      </c>
    </row>
    <row r="908" spans="12:14">
      <c r="L908">
        <v>79</v>
      </c>
      <c r="M908" t="s">
        <v>30</v>
      </c>
      <c r="N908">
        <f t="shared" si="14"/>
        <v>7</v>
      </c>
    </row>
    <row r="909" spans="12:14">
      <c r="L909">
        <v>995</v>
      </c>
      <c r="M909" t="s">
        <v>31</v>
      </c>
      <c r="N909">
        <f t="shared" si="14"/>
        <v>6</v>
      </c>
    </row>
    <row r="910" spans="12:14">
      <c r="L910">
        <v>2617</v>
      </c>
      <c r="N910" t="str">
        <f t="shared" si="14"/>
        <v/>
      </c>
    </row>
    <row r="911" spans="12:14">
      <c r="L911">
        <v>4030</v>
      </c>
      <c r="N911" t="str">
        <f t="shared" si="14"/>
        <v/>
      </c>
    </row>
    <row r="912" spans="12:14">
      <c r="L912">
        <v>2646</v>
      </c>
      <c r="N912" t="str">
        <f t="shared" si="14"/>
        <v/>
      </c>
    </row>
    <row r="913" spans="12:14">
      <c r="L913">
        <v>4154</v>
      </c>
      <c r="N913" t="str">
        <f t="shared" si="14"/>
        <v/>
      </c>
    </row>
    <row r="914" spans="12:14">
      <c r="L914">
        <v>331</v>
      </c>
      <c r="M914" t="s">
        <v>30</v>
      </c>
      <c r="N914">
        <f t="shared" si="14"/>
        <v>7</v>
      </c>
    </row>
    <row r="915" spans="12:14">
      <c r="L915">
        <v>4233</v>
      </c>
      <c r="N915" t="str">
        <f t="shared" si="14"/>
        <v/>
      </c>
    </row>
    <row r="916" spans="12:14">
      <c r="L916">
        <v>4867</v>
      </c>
      <c r="N916" t="str">
        <f t="shared" si="14"/>
        <v/>
      </c>
    </row>
    <row r="917" spans="12:14">
      <c r="L917">
        <v>546</v>
      </c>
      <c r="N917" t="str">
        <f t="shared" si="14"/>
        <v/>
      </c>
    </row>
    <row r="918" spans="12:14">
      <c r="L918">
        <v>2579</v>
      </c>
      <c r="M918" t="s">
        <v>19</v>
      </c>
      <c r="N918">
        <f t="shared" si="14"/>
        <v>2</v>
      </c>
    </row>
    <row r="919" spans="12:14">
      <c r="L919">
        <v>1379</v>
      </c>
      <c r="N919" t="str">
        <f t="shared" si="14"/>
        <v/>
      </c>
    </row>
    <row r="920" spans="12:14">
      <c r="L920">
        <v>269</v>
      </c>
      <c r="M920" t="s">
        <v>26</v>
      </c>
      <c r="N920">
        <f t="shared" si="14"/>
        <v>1</v>
      </c>
    </row>
    <row r="921" spans="12:14">
      <c r="L921">
        <v>2148</v>
      </c>
      <c r="N921" t="str">
        <f t="shared" si="14"/>
        <v/>
      </c>
    </row>
    <row r="922" spans="12:14">
      <c r="L922">
        <v>2846</v>
      </c>
      <c r="N922" t="str">
        <f t="shared" si="14"/>
        <v/>
      </c>
    </row>
    <row r="923" spans="12:14">
      <c r="L923">
        <v>4478</v>
      </c>
      <c r="N923" t="str">
        <f t="shared" si="14"/>
        <v/>
      </c>
    </row>
    <row r="924" spans="12:14">
      <c r="L924">
        <v>4692</v>
      </c>
      <c r="M924" t="s">
        <v>26</v>
      </c>
      <c r="N924">
        <f t="shared" si="14"/>
        <v>1</v>
      </c>
    </row>
    <row r="925" spans="12:14">
      <c r="L925">
        <v>2850</v>
      </c>
      <c r="M925" t="s">
        <v>30</v>
      </c>
      <c r="N925">
        <f t="shared" si="14"/>
        <v>7</v>
      </c>
    </row>
    <row r="926" spans="12:14">
      <c r="L926">
        <v>3187</v>
      </c>
      <c r="N926" t="str">
        <f t="shared" si="14"/>
        <v/>
      </c>
    </row>
    <row r="927" spans="12:14">
      <c r="L927">
        <v>2524</v>
      </c>
      <c r="N927" t="str">
        <f t="shared" si="14"/>
        <v/>
      </c>
    </row>
    <row r="928" spans="12:14">
      <c r="L928">
        <v>2767</v>
      </c>
      <c r="N928" t="str">
        <f t="shared" si="14"/>
        <v/>
      </c>
    </row>
    <row r="929" spans="12:14">
      <c r="L929">
        <v>1613</v>
      </c>
      <c r="M929" t="s">
        <v>25</v>
      </c>
      <c r="N929">
        <f t="shared" si="14"/>
        <v>5</v>
      </c>
    </row>
    <row r="930" spans="12:14">
      <c r="L930">
        <v>3841</v>
      </c>
      <c r="N930" t="str">
        <f t="shared" si="14"/>
        <v/>
      </c>
    </row>
    <row r="931" spans="12:14">
      <c r="L931">
        <v>189</v>
      </c>
      <c r="N931" t="str">
        <f t="shared" si="14"/>
        <v/>
      </c>
    </row>
    <row r="932" spans="12:14">
      <c r="L932">
        <v>302</v>
      </c>
      <c r="M932" t="s">
        <v>26</v>
      </c>
      <c r="N932">
        <f t="shared" si="14"/>
        <v>1</v>
      </c>
    </row>
    <row r="933" spans="12:14">
      <c r="L933">
        <v>701</v>
      </c>
      <c r="M933" t="s">
        <v>28</v>
      </c>
      <c r="N933">
        <f t="shared" si="14"/>
        <v>3</v>
      </c>
    </row>
    <row r="934" spans="12:14">
      <c r="L934">
        <v>1052</v>
      </c>
      <c r="N934" t="str">
        <f t="shared" si="14"/>
        <v/>
      </c>
    </row>
    <row r="935" spans="12:14">
      <c r="L935">
        <v>3797</v>
      </c>
      <c r="M935" t="s">
        <v>28</v>
      </c>
      <c r="N935">
        <f t="shared" si="14"/>
        <v>3</v>
      </c>
    </row>
    <row r="936" spans="12:14">
      <c r="L936">
        <v>1415</v>
      </c>
      <c r="M936" t="s">
        <v>29</v>
      </c>
      <c r="N936">
        <f t="shared" si="14"/>
        <v>4</v>
      </c>
    </row>
    <row r="937" spans="12:14">
      <c r="L937">
        <v>1826</v>
      </c>
      <c r="N937" t="str">
        <f t="shared" si="14"/>
        <v/>
      </c>
    </row>
    <row r="938" spans="12:14">
      <c r="L938">
        <v>4174</v>
      </c>
      <c r="M938" t="s">
        <v>28</v>
      </c>
      <c r="N938">
        <f t="shared" si="14"/>
        <v>3</v>
      </c>
    </row>
    <row r="939" spans="12:14">
      <c r="L939">
        <v>3251</v>
      </c>
      <c r="N939" t="str">
        <f t="shared" si="14"/>
        <v/>
      </c>
    </row>
    <row r="940" spans="12:14">
      <c r="L940">
        <v>637</v>
      </c>
      <c r="M940" t="s">
        <v>31</v>
      </c>
      <c r="N940">
        <f t="shared" si="14"/>
        <v>6</v>
      </c>
    </row>
    <row r="941" spans="12:14">
      <c r="L941">
        <v>2015</v>
      </c>
      <c r="N941" t="str">
        <f t="shared" si="14"/>
        <v/>
      </c>
    </row>
    <row r="942" spans="12:14">
      <c r="L942">
        <v>2691</v>
      </c>
      <c r="N942" t="str">
        <f t="shared" si="14"/>
        <v/>
      </c>
    </row>
    <row r="943" spans="12:14">
      <c r="L943">
        <v>3999</v>
      </c>
      <c r="N943" t="str">
        <f t="shared" si="14"/>
        <v/>
      </c>
    </row>
    <row r="944" spans="12:14">
      <c r="L944">
        <v>634</v>
      </c>
      <c r="N944" t="str">
        <f t="shared" si="14"/>
        <v/>
      </c>
    </row>
    <row r="945" spans="12:14">
      <c r="L945">
        <v>3892</v>
      </c>
      <c r="M945" t="s">
        <v>29</v>
      </c>
      <c r="N945">
        <f t="shared" si="14"/>
        <v>4</v>
      </c>
    </row>
    <row r="946" spans="12:14">
      <c r="L946">
        <v>2102</v>
      </c>
      <c r="N946" t="str">
        <f t="shared" si="14"/>
        <v/>
      </c>
    </row>
    <row r="947" spans="12:14">
      <c r="L947">
        <v>3763</v>
      </c>
      <c r="M947" t="s">
        <v>30</v>
      </c>
      <c r="N947">
        <f t="shared" si="14"/>
        <v>7</v>
      </c>
    </row>
    <row r="948" spans="12:14">
      <c r="L948">
        <v>4123</v>
      </c>
      <c r="N948" t="str">
        <f t="shared" si="14"/>
        <v/>
      </c>
    </row>
    <row r="949" spans="12:14">
      <c r="L949">
        <v>992</v>
      </c>
      <c r="M949" t="s">
        <v>19</v>
      </c>
      <c r="N949">
        <f t="shared" si="14"/>
        <v>2</v>
      </c>
    </row>
    <row r="950" spans="12:14">
      <c r="L950">
        <v>2952</v>
      </c>
      <c r="N950" t="str">
        <f t="shared" si="14"/>
        <v/>
      </c>
    </row>
    <row r="951" spans="12:14">
      <c r="L951">
        <v>4878</v>
      </c>
      <c r="N951" t="str">
        <f t="shared" si="14"/>
        <v/>
      </c>
    </row>
    <row r="952" spans="12:14">
      <c r="L952">
        <v>799</v>
      </c>
      <c r="N952" t="str">
        <f t="shared" si="14"/>
        <v/>
      </c>
    </row>
    <row r="953" spans="12:14">
      <c r="L953">
        <v>382</v>
      </c>
      <c r="N953" t="str">
        <f t="shared" si="14"/>
        <v/>
      </c>
    </row>
    <row r="954" spans="12:14">
      <c r="L954">
        <v>4492</v>
      </c>
      <c r="N954" t="str">
        <f t="shared" si="14"/>
        <v/>
      </c>
    </row>
    <row r="955" spans="12:14">
      <c r="L955">
        <v>3474</v>
      </c>
      <c r="N955" t="str">
        <f t="shared" si="14"/>
        <v/>
      </c>
    </row>
    <row r="956" spans="12:14">
      <c r="L956">
        <v>3357</v>
      </c>
      <c r="N956" t="str">
        <f t="shared" si="14"/>
        <v/>
      </c>
    </row>
    <row r="957" spans="12:14">
      <c r="L957">
        <v>1488</v>
      </c>
      <c r="N957" t="str">
        <f t="shared" si="14"/>
        <v/>
      </c>
    </row>
    <row r="958" spans="12:14">
      <c r="L958">
        <v>1921</v>
      </c>
      <c r="M958" t="s">
        <v>30</v>
      </c>
      <c r="N958">
        <f t="shared" si="14"/>
        <v>7</v>
      </c>
    </row>
    <row r="959" spans="12:14">
      <c r="L959">
        <v>3380</v>
      </c>
      <c r="N959" t="str">
        <f t="shared" si="14"/>
        <v/>
      </c>
    </row>
    <row r="960" spans="12:14">
      <c r="L960">
        <v>4670</v>
      </c>
      <c r="N960" t="str">
        <f t="shared" si="14"/>
        <v/>
      </c>
    </row>
    <row r="961" spans="12:14">
      <c r="L961">
        <v>1680</v>
      </c>
      <c r="N961" t="str">
        <f t="shared" si="14"/>
        <v/>
      </c>
    </row>
    <row r="962" spans="12:14">
      <c r="L962">
        <v>3244</v>
      </c>
      <c r="N962" t="str">
        <f t="shared" si="14"/>
        <v/>
      </c>
    </row>
    <row r="963" spans="12:14">
      <c r="L963">
        <v>2104</v>
      </c>
      <c r="N963" t="str">
        <f t="shared" ref="N963:N1026" si="15">IFERROR(VLOOKUP(M963,$A$3:$B$10,2,0),"")</f>
        <v/>
      </c>
    </row>
    <row r="964" spans="12:14">
      <c r="L964">
        <v>1109</v>
      </c>
      <c r="M964" t="s">
        <v>19</v>
      </c>
      <c r="N964">
        <f t="shared" si="15"/>
        <v>2</v>
      </c>
    </row>
    <row r="965" spans="12:14">
      <c r="L965">
        <v>2956</v>
      </c>
      <c r="N965" t="str">
        <f t="shared" si="15"/>
        <v/>
      </c>
    </row>
    <row r="966" spans="12:14">
      <c r="L966">
        <v>1153</v>
      </c>
      <c r="N966" t="str">
        <f t="shared" si="15"/>
        <v/>
      </c>
    </row>
    <row r="967" spans="12:14">
      <c r="L967">
        <v>1021</v>
      </c>
      <c r="M967" t="s">
        <v>31</v>
      </c>
      <c r="N967">
        <f t="shared" si="15"/>
        <v>6</v>
      </c>
    </row>
    <row r="968" spans="12:14">
      <c r="L968">
        <v>1271</v>
      </c>
      <c r="M968" t="s">
        <v>25</v>
      </c>
      <c r="N968">
        <f t="shared" si="15"/>
        <v>5</v>
      </c>
    </row>
    <row r="969" spans="12:14">
      <c r="L969">
        <v>501</v>
      </c>
      <c r="N969" t="str">
        <f t="shared" si="15"/>
        <v/>
      </c>
    </row>
    <row r="970" spans="12:14">
      <c r="L970">
        <v>1587</v>
      </c>
      <c r="N970" t="str">
        <f t="shared" si="15"/>
        <v/>
      </c>
    </row>
    <row r="971" spans="12:14">
      <c r="L971">
        <v>482</v>
      </c>
      <c r="N971" t="str">
        <f t="shared" si="15"/>
        <v/>
      </c>
    </row>
    <row r="972" spans="12:14">
      <c r="L972">
        <v>316</v>
      </c>
      <c r="N972" t="str">
        <f t="shared" si="15"/>
        <v/>
      </c>
    </row>
    <row r="973" spans="12:14">
      <c r="L973">
        <v>3370</v>
      </c>
      <c r="M973" t="s">
        <v>26</v>
      </c>
      <c r="N973">
        <f t="shared" si="15"/>
        <v>1</v>
      </c>
    </row>
    <row r="974" spans="12:14">
      <c r="L974">
        <v>4013</v>
      </c>
      <c r="M974" t="s">
        <v>26</v>
      </c>
      <c r="N974">
        <f t="shared" si="15"/>
        <v>1</v>
      </c>
    </row>
    <row r="975" spans="12:14">
      <c r="L975">
        <v>267</v>
      </c>
      <c r="M975" t="s">
        <v>26</v>
      </c>
      <c r="N975">
        <f t="shared" si="15"/>
        <v>1</v>
      </c>
    </row>
    <row r="976" spans="12:14">
      <c r="L976">
        <v>3459</v>
      </c>
      <c r="M976" t="s">
        <v>30</v>
      </c>
      <c r="N976">
        <f t="shared" si="15"/>
        <v>7</v>
      </c>
    </row>
    <row r="977" spans="12:14">
      <c r="L977">
        <v>258</v>
      </c>
      <c r="N977" t="str">
        <f t="shared" si="15"/>
        <v/>
      </c>
    </row>
    <row r="978" spans="12:14">
      <c r="L978">
        <v>1718</v>
      </c>
      <c r="N978" t="str">
        <f t="shared" si="15"/>
        <v/>
      </c>
    </row>
    <row r="979" spans="12:14">
      <c r="L979">
        <v>1036</v>
      </c>
      <c r="N979" t="str">
        <f t="shared" si="15"/>
        <v/>
      </c>
    </row>
    <row r="980" spans="12:14">
      <c r="L980">
        <v>3628</v>
      </c>
      <c r="N980" t="str">
        <f t="shared" si="15"/>
        <v/>
      </c>
    </row>
    <row r="981" spans="12:14">
      <c r="L981">
        <v>1323</v>
      </c>
      <c r="M981" t="s">
        <v>30</v>
      </c>
      <c r="N981">
        <f t="shared" si="15"/>
        <v>7</v>
      </c>
    </row>
    <row r="982" spans="12:14">
      <c r="L982">
        <v>921</v>
      </c>
      <c r="N982" t="str">
        <f t="shared" si="15"/>
        <v/>
      </c>
    </row>
    <row r="983" spans="12:14">
      <c r="L983">
        <v>468</v>
      </c>
      <c r="N983" t="str">
        <f t="shared" si="15"/>
        <v/>
      </c>
    </row>
    <row r="984" spans="12:14">
      <c r="L984">
        <v>1343</v>
      </c>
      <c r="N984" t="str">
        <f t="shared" si="15"/>
        <v/>
      </c>
    </row>
    <row r="985" spans="12:14">
      <c r="L985">
        <v>273</v>
      </c>
      <c r="M985" t="s">
        <v>28</v>
      </c>
      <c r="N985">
        <f t="shared" si="15"/>
        <v>3</v>
      </c>
    </row>
    <row r="986" spans="12:14">
      <c r="L986">
        <v>3000</v>
      </c>
      <c r="N986" t="str">
        <f t="shared" si="15"/>
        <v/>
      </c>
    </row>
    <row r="987" spans="12:14">
      <c r="L987">
        <v>3956</v>
      </c>
      <c r="M987" t="s">
        <v>29</v>
      </c>
      <c r="N987">
        <f t="shared" si="15"/>
        <v>4</v>
      </c>
    </row>
    <row r="988" spans="12:14">
      <c r="L988">
        <v>1159</v>
      </c>
      <c r="M988" t="s">
        <v>25</v>
      </c>
      <c r="N988">
        <f t="shared" si="15"/>
        <v>5</v>
      </c>
    </row>
    <row r="989" spans="12:14">
      <c r="L989">
        <v>1351</v>
      </c>
      <c r="N989" t="str">
        <f t="shared" si="15"/>
        <v/>
      </c>
    </row>
    <row r="990" spans="12:14">
      <c r="L990">
        <v>1196</v>
      </c>
      <c r="N990" t="str">
        <f t="shared" si="15"/>
        <v/>
      </c>
    </row>
    <row r="991" spans="12:14">
      <c r="L991">
        <v>2476</v>
      </c>
      <c r="N991" t="str">
        <f t="shared" si="15"/>
        <v/>
      </c>
    </row>
    <row r="992" spans="12:14">
      <c r="L992">
        <v>1445</v>
      </c>
      <c r="N992" t="str">
        <f t="shared" si="15"/>
        <v/>
      </c>
    </row>
    <row r="993" spans="12:14">
      <c r="L993">
        <v>4287</v>
      </c>
      <c r="N993" t="str">
        <f t="shared" si="15"/>
        <v/>
      </c>
    </row>
    <row r="994" spans="12:14">
      <c r="L994">
        <v>1049</v>
      </c>
      <c r="N994" t="str">
        <f t="shared" si="15"/>
        <v/>
      </c>
    </row>
    <row r="995" spans="12:14">
      <c r="L995">
        <v>1376</v>
      </c>
      <c r="N995" t="str">
        <f t="shared" si="15"/>
        <v/>
      </c>
    </row>
    <row r="996" spans="12:14">
      <c r="L996">
        <v>2861</v>
      </c>
      <c r="N996" t="str">
        <f t="shared" si="15"/>
        <v/>
      </c>
    </row>
    <row r="997" spans="12:14">
      <c r="L997">
        <v>815</v>
      </c>
      <c r="N997" t="str">
        <f t="shared" si="15"/>
        <v/>
      </c>
    </row>
    <row r="998" spans="12:14">
      <c r="L998">
        <v>1150</v>
      </c>
      <c r="N998" t="str">
        <f t="shared" si="15"/>
        <v/>
      </c>
    </row>
    <row r="999" spans="12:14">
      <c r="L999">
        <v>1673</v>
      </c>
      <c r="N999" t="str">
        <f t="shared" si="15"/>
        <v/>
      </c>
    </row>
    <row r="1000" spans="12:14">
      <c r="L1000">
        <v>3249</v>
      </c>
      <c r="N1000" t="str">
        <f t="shared" si="15"/>
        <v/>
      </c>
    </row>
    <row r="1001" spans="12:14">
      <c r="L1001">
        <v>3990</v>
      </c>
      <c r="N1001" t="str">
        <f t="shared" si="15"/>
        <v/>
      </c>
    </row>
    <row r="1002" spans="12:14">
      <c r="L1002">
        <v>116</v>
      </c>
      <c r="N1002" t="str">
        <f t="shared" si="15"/>
        <v/>
      </c>
    </row>
    <row r="1003" spans="12:14">
      <c r="L1003">
        <v>1469</v>
      </c>
      <c r="N1003" t="str">
        <f t="shared" si="15"/>
        <v/>
      </c>
    </row>
    <row r="1004" spans="12:14">
      <c r="L1004">
        <v>796</v>
      </c>
      <c r="N1004" t="str">
        <f t="shared" si="15"/>
        <v/>
      </c>
    </row>
    <row r="1005" spans="12:14">
      <c r="L1005">
        <v>2076</v>
      </c>
      <c r="N1005" t="str">
        <f t="shared" si="15"/>
        <v/>
      </c>
    </row>
    <row r="1006" spans="12:14">
      <c r="L1006">
        <v>2187</v>
      </c>
      <c r="M1006" t="s">
        <v>25</v>
      </c>
      <c r="N1006">
        <f t="shared" si="15"/>
        <v>5</v>
      </c>
    </row>
    <row r="1007" spans="12:14">
      <c r="L1007">
        <v>1453</v>
      </c>
      <c r="N1007" t="str">
        <f t="shared" si="15"/>
        <v/>
      </c>
    </row>
    <row r="1008" spans="12:14">
      <c r="L1008">
        <v>1430</v>
      </c>
      <c r="N1008" t="str">
        <f t="shared" si="15"/>
        <v/>
      </c>
    </row>
    <row r="1009" spans="12:14">
      <c r="L1009">
        <v>1241</v>
      </c>
      <c r="N1009" t="str">
        <f t="shared" si="15"/>
        <v/>
      </c>
    </row>
    <row r="1010" spans="12:14">
      <c r="L1010">
        <v>1410</v>
      </c>
      <c r="N1010" t="str">
        <f t="shared" si="15"/>
        <v/>
      </c>
    </row>
    <row r="1011" spans="12:14">
      <c r="L1011">
        <v>1306</v>
      </c>
      <c r="N1011" t="str">
        <f t="shared" si="15"/>
        <v/>
      </c>
    </row>
    <row r="1012" spans="12:14">
      <c r="L1012">
        <v>2859</v>
      </c>
      <c r="N1012" t="str">
        <f t="shared" si="15"/>
        <v/>
      </c>
    </row>
    <row r="1013" spans="12:14">
      <c r="L1013">
        <v>765</v>
      </c>
      <c r="N1013" t="str">
        <f t="shared" si="15"/>
        <v/>
      </c>
    </row>
    <row r="1014" spans="12:14">
      <c r="L1014">
        <v>2011</v>
      </c>
      <c r="M1014" t="s">
        <v>31</v>
      </c>
      <c r="N1014">
        <f t="shared" si="15"/>
        <v>6</v>
      </c>
    </row>
    <row r="1015" spans="12:14">
      <c r="L1015">
        <v>3664</v>
      </c>
      <c r="N1015" t="str">
        <f t="shared" si="15"/>
        <v/>
      </c>
    </row>
    <row r="1016" spans="12:14">
      <c r="L1016">
        <v>2900</v>
      </c>
      <c r="N1016" t="str">
        <f t="shared" si="15"/>
        <v/>
      </c>
    </row>
    <row r="1017" spans="12:14">
      <c r="L1017">
        <v>629</v>
      </c>
      <c r="M1017" t="s">
        <v>28</v>
      </c>
      <c r="N1017">
        <f t="shared" si="15"/>
        <v>3</v>
      </c>
    </row>
    <row r="1018" spans="12:14">
      <c r="L1018">
        <v>146</v>
      </c>
      <c r="N1018" t="str">
        <f t="shared" si="15"/>
        <v/>
      </c>
    </row>
    <row r="1019" spans="12:14">
      <c r="L1019">
        <v>2298</v>
      </c>
      <c r="N1019" t="str">
        <f t="shared" si="15"/>
        <v/>
      </c>
    </row>
    <row r="1020" spans="12:14">
      <c r="L1020">
        <v>43</v>
      </c>
      <c r="M1020" t="s">
        <v>28</v>
      </c>
      <c r="N1020">
        <f t="shared" si="15"/>
        <v>3</v>
      </c>
    </row>
    <row r="1021" spans="12:14">
      <c r="L1021">
        <v>1904</v>
      </c>
      <c r="N1021" t="str">
        <f t="shared" si="15"/>
        <v/>
      </c>
    </row>
    <row r="1022" spans="12:14">
      <c r="L1022">
        <v>1020</v>
      </c>
      <c r="N1022" t="str">
        <f t="shared" si="15"/>
        <v/>
      </c>
    </row>
    <row r="1023" spans="12:14">
      <c r="L1023">
        <v>1403</v>
      </c>
      <c r="M1023" t="s">
        <v>29</v>
      </c>
      <c r="N1023">
        <f t="shared" si="15"/>
        <v>4</v>
      </c>
    </row>
    <row r="1024" spans="12:14">
      <c r="L1024">
        <v>3385</v>
      </c>
      <c r="M1024" t="s">
        <v>28</v>
      </c>
      <c r="N1024">
        <f t="shared" si="15"/>
        <v>3</v>
      </c>
    </row>
    <row r="1025" spans="12:14">
      <c r="L1025">
        <v>286</v>
      </c>
      <c r="N1025" t="str">
        <f t="shared" si="15"/>
        <v/>
      </c>
    </row>
    <row r="1026" spans="12:14">
      <c r="L1026">
        <v>292</v>
      </c>
      <c r="N1026" t="str">
        <f t="shared" si="15"/>
        <v/>
      </c>
    </row>
    <row r="1027" spans="12:14">
      <c r="L1027">
        <v>1781</v>
      </c>
      <c r="N1027" t="str">
        <f t="shared" ref="N1027:N1090" si="16">IFERROR(VLOOKUP(M1027,$A$3:$B$10,2,0),"")</f>
        <v/>
      </c>
    </row>
    <row r="1028" spans="12:14">
      <c r="L1028">
        <v>4743</v>
      </c>
      <c r="N1028" t="str">
        <f t="shared" si="16"/>
        <v/>
      </c>
    </row>
    <row r="1029" spans="12:14">
      <c r="L1029">
        <v>2242</v>
      </c>
      <c r="N1029" t="str">
        <f t="shared" si="16"/>
        <v/>
      </c>
    </row>
    <row r="1030" spans="12:14">
      <c r="L1030">
        <v>4011</v>
      </c>
      <c r="N1030" t="str">
        <f t="shared" si="16"/>
        <v/>
      </c>
    </row>
    <row r="1031" spans="12:14">
      <c r="L1031">
        <v>1031</v>
      </c>
      <c r="N1031" t="str">
        <f t="shared" si="16"/>
        <v/>
      </c>
    </row>
    <row r="1032" spans="12:14">
      <c r="L1032">
        <v>1651</v>
      </c>
      <c r="N1032" t="str">
        <f t="shared" si="16"/>
        <v/>
      </c>
    </row>
    <row r="1033" spans="12:14">
      <c r="L1033">
        <v>857</v>
      </c>
      <c r="N1033" t="str">
        <f t="shared" si="16"/>
        <v/>
      </c>
    </row>
    <row r="1034" spans="12:14">
      <c r="L1034">
        <v>4283</v>
      </c>
      <c r="M1034" t="s">
        <v>30</v>
      </c>
      <c r="N1034">
        <f t="shared" si="16"/>
        <v>7</v>
      </c>
    </row>
    <row r="1035" spans="12:14">
      <c r="L1035">
        <v>2527</v>
      </c>
      <c r="N1035" t="str">
        <f t="shared" si="16"/>
        <v/>
      </c>
    </row>
    <row r="1036" spans="12:14">
      <c r="L1036">
        <v>4908</v>
      </c>
      <c r="N1036" t="str">
        <f t="shared" si="16"/>
        <v/>
      </c>
    </row>
    <row r="1037" spans="12:14">
      <c r="L1037">
        <v>3541</v>
      </c>
      <c r="M1037" t="s">
        <v>30</v>
      </c>
      <c r="N1037">
        <f t="shared" si="16"/>
        <v>7</v>
      </c>
    </row>
    <row r="1038" spans="12:14">
      <c r="L1038">
        <v>3258</v>
      </c>
      <c r="N1038" t="str">
        <f t="shared" si="16"/>
        <v/>
      </c>
    </row>
    <row r="1039" spans="12:14">
      <c r="L1039">
        <v>3825</v>
      </c>
      <c r="N1039" t="str">
        <f t="shared" si="16"/>
        <v/>
      </c>
    </row>
    <row r="1040" spans="12:14">
      <c r="L1040">
        <v>4062</v>
      </c>
      <c r="N1040" t="str">
        <f t="shared" si="16"/>
        <v/>
      </c>
    </row>
    <row r="1041" spans="12:14">
      <c r="L1041">
        <v>1362</v>
      </c>
      <c r="N1041" t="str">
        <f t="shared" si="16"/>
        <v/>
      </c>
    </row>
    <row r="1042" spans="12:14">
      <c r="L1042">
        <v>945</v>
      </c>
      <c r="M1042" t="s">
        <v>25</v>
      </c>
      <c r="N1042">
        <f t="shared" si="16"/>
        <v>5</v>
      </c>
    </row>
    <row r="1043" spans="12:14">
      <c r="L1043">
        <v>4473</v>
      </c>
      <c r="N1043" t="str">
        <f t="shared" si="16"/>
        <v/>
      </c>
    </row>
    <row r="1044" spans="12:14">
      <c r="L1044">
        <v>2883</v>
      </c>
      <c r="M1044" t="s">
        <v>31</v>
      </c>
      <c r="N1044">
        <f t="shared" si="16"/>
        <v>6</v>
      </c>
    </row>
    <row r="1045" spans="12:14">
      <c r="L1045">
        <v>2293</v>
      </c>
      <c r="M1045" t="s">
        <v>19</v>
      </c>
      <c r="N1045">
        <f t="shared" si="16"/>
        <v>2</v>
      </c>
    </row>
    <row r="1046" spans="12:14">
      <c r="L1046">
        <v>4978</v>
      </c>
      <c r="M1046" t="s">
        <v>30</v>
      </c>
      <c r="N1046">
        <f t="shared" si="16"/>
        <v>7</v>
      </c>
    </row>
    <row r="1047" spans="12:14">
      <c r="L1047">
        <v>901</v>
      </c>
      <c r="N1047" t="str">
        <f t="shared" si="16"/>
        <v/>
      </c>
    </row>
    <row r="1048" spans="12:14">
      <c r="L1048">
        <v>4578</v>
      </c>
      <c r="N1048" t="str">
        <f t="shared" si="16"/>
        <v/>
      </c>
    </row>
    <row r="1049" spans="12:14">
      <c r="L1049">
        <v>4592</v>
      </c>
      <c r="M1049" t="s">
        <v>19</v>
      </c>
      <c r="N1049">
        <f t="shared" si="16"/>
        <v>2</v>
      </c>
    </row>
    <row r="1050" spans="12:14">
      <c r="L1050">
        <v>2651</v>
      </c>
      <c r="N1050" t="str">
        <f t="shared" si="16"/>
        <v/>
      </c>
    </row>
    <row r="1051" spans="12:14">
      <c r="L1051">
        <v>607</v>
      </c>
      <c r="M1051" t="s">
        <v>30</v>
      </c>
      <c r="N1051">
        <f t="shared" si="16"/>
        <v>7</v>
      </c>
    </row>
    <row r="1052" spans="12:14">
      <c r="L1052">
        <v>4485</v>
      </c>
      <c r="N1052" t="str">
        <f t="shared" si="16"/>
        <v/>
      </c>
    </row>
    <row r="1053" spans="12:14">
      <c r="L1053">
        <v>1821</v>
      </c>
      <c r="M1053" t="s">
        <v>30</v>
      </c>
      <c r="N1053">
        <f t="shared" si="16"/>
        <v>7</v>
      </c>
    </row>
    <row r="1054" spans="12:14">
      <c r="L1054">
        <v>2780</v>
      </c>
      <c r="M1054" t="s">
        <v>26</v>
      </c>
      <c r="N1054">
        <f t="shared" si="16"/>
        <v>1</v>
      </c>
    </row>
    <row r="1055" spans="12:14">
      <c r="L1055">
        <v>853</v>
      </c>
      <c r="N1055" t="str">
        <f t="shared" si="16"/>
        <v/>
      </c>
    </row>
    <row r="1056" spans="12:14">
      <c r="L1056">
        <v>3640</v>
      </c>
      <c r="M1056" t="s">
        <v>30</v>
      </c>
      <c r="N1056">
        <f t="shared" si="16"/>
        <v>7</v>
      </c>
    </row>
    <row r="1057" spans="12:14">
      <c r="L1057">
        <v>622</v>
      </c>
      <c r="N1057" t="str">
        <f t="shared" si="16"/>
        <v/>
      </c>
    </row>
    <row r="1058" spans="12:14">
      <c r="L1058">
        <v>1667</v>
      </c>
      <c r="N1058" t="str">
        <f t="shared" si="16"/>
        <v/>
      </c>
    </row>
    <row r="1059" spans="12:14">
      <c r="L1059">
        <v>3520</v>
      </c>
      <c r="N1059" t="str">
        <f t="shared" si="16"/>
        <v/>
      </c>
    </row>
    <row r="1060" spans="12:14">
      <c r="L1060">
        <v>1411</v>
      </c>
      <c r="M1060" t="s">
        <v>19</v>
      </c>
      <c r="N1060">
        <f t="shared" si="16"/>
        <v>2</v>
      </c>
    </row>
    <row r="1061" spans="12:14">
      <c r="L1061">
        <v>658</v>
      </c>
      <c r="N1061" t="str">
        <f t="shared" si="16"/>
        <v/>
      </c>
    </row>
    <row r="1062" spans="12:14">
      <c r="L1062">
        <v>24</v>
      </c>
      <c r="M1062" t="s">
        <v>19</v>
      </c>
      <c r="N1062">
        <f t="shared" si="16"/>
        <v>2</v>
      </c>
    </row>
    <row r="1063" spans="12:14">
      <c r="L1063">
        <v>2348</v>
      </c>
      <c r="M1063" t="s">
        <v>19</v>
      </c>
      <c r="N1063">
        <f t="shared" si="16"/>
        <v>2</v>
      </c>
    </row>
    <row r="1064" spans="12:14">
      <c r="L1064">
        <v>2282</v>
      </c>
      <c r="N1064" t="str">
        <f t="shared" si="16"/>
        <v/>
      </c>
    </row>
    <row r="1065" spans="12:14">
      <c r="L1065">
        <v>4671</v>
      </c>
      <c r="N1065" t="str">
        <f t="shared" si="16"/>
        <v/>
      </c>
    </row>
    <row r="1066" spans="12:14">
      <c r="L1066">
        <v>1968</v>
      </c>
      <c r="N1066" t="str">
        <f t="shared" si="16"/>
        <v/>
      </c>
    </row>
    <row r="1067" spans="12:14">
      <c r="L1067">
        <v>4944</v>
      </c>
      <c r="N1067" t="str">
        <f t="shared" si="16"/>
        <v/>
      </c>
    </row>
    <row r="1068" spans="12:14">
      <c r="L1068">
        <v>139</v>
      </c>
      <c r="M1068" t="s">
        <v>29</v>
      </c>
      <c r="N1068">
        <f t="shared" si="16"/>
        <v>4</v>
      </c>
    </row>
    <row r="1069" spans="12:14">
      <c r="L1069">
        <v>4227</v>
      </c>
      <c r="N1069" t="str">
        <f t="shared" si="16"/>
        <v/>
      </c>
    </row>
    <row r="1070" spans="12:14">
      <c r="L1070">
        <v>2741</v>
      </c>
      <c r="M1070" t="s">
        <v>26</v>
      </c>
      <c r="N1070">
        <f t="shared" si="16"/>
        <v>1</v>
      </c>
    </row>
    <row r="1071" spans="12:14">
      <c r="L1071">
        <v>3583</v>
      </c>
      <c r="N1071" t="str">
        <f t="shared" si="16"/>
        <v/>
      </c>
    </row>
    <row r="1072" spans="12:14">
      <c r="L1072">
        <v>608</v>
      </c>
      <c r="N1072" t="str">
        <f t="shared" si="16"/>
        <v/>
      </c>
    </row>
    <row r="1073" spans="12:14">
      <c r="L1073">
        <v>838</v>
      </c>
      <c r="M1073" t="s">
        <v>29</v>
      </c>
      <c r="N1073">
        <f t="shared" si="16"/>
        <v>4</v>
      </c>
    </row>
    <row r="1074" spans="12:14">
      <c r="L1074">
        <v>2407</v>
      </c>
      <c r="N1074" t="str">
        <f t="shared" si="16"/>
        <v/>
      </c>
    </row>
    <row r="1075" spans="12:14">
      <c r="L1075">
        <v>1486</v>
      </c>
      <c r="N1075" t="str">
        <f t="shared" si="16"/>
        <v/>
      </c>
    </row>
    <row r="1076" spans="12:14">
      <c r="L1076">
        <v>4879</v>
      </c>
      <c r="N1076" t="str">
        <f t="shared" si="16"/>
        <v/>
      </c>
    </row>
    <row r="1077" spans="12:14">
      <c r="L1077">
        <v>3822</v>
      </c>
      <c r="N1077" t="str">
        <f t="shared" si="16"/>
        <v/>
      </c>
    </row>
    <row r="1078" spans="12:14">
      <c r="L1078">
        <v>1628</v>
      </c>
      <c r="N1078" t="str">
        <f t="shared" si="16"/>
        <v/>
      </c>
    </row>
    <row r="1079" spans="12:14">
      <c r="L1079">
        <v>3186</v>
      </c>
      <c r="N1079" t="str">
        <f t="shared" si="16"/>
        <v/>
      </c>
    </row>
    <row r="1080" spans="12:14">
      <c r="L1080">
        <v>652</v>
      </c>
      <c r="N1080" t="str">
        <f t="shared" si="16"/>
        <v/>
      </c>
    </row>
    <row r="1081" spans="12:14">
      <c r="L1081">
        <v>2475</v>
      </c>
      <c r="N1081" t="str">
        <f t="shared" si="16"/>
        <v/>
      </c>
    </row>
    <row r="1082" spans="12:14">
      <c r="L1082">
        <v>2085</v>
      </c>
      <c r="M1082" t="s">
        <v>29</v>
      </c>
      <c r="N1082">
        <f t="shared" si="16"/>
        <v>4</v>
      </c>
    </row>
    <row r="1083" spans="12:14">
      <c r="L1083">
        <v>1114</v>
      </c>
      <c r="N1083" t="str">
        <f t="shared" si="16"/>
        <v/>
      </c>
    </row>
    <row r="1084" spans="12:14">
      <c r="L1084">
        <v>3572</v>
      </c>
      <c r="M1084" t="s">
        <v>31</v>
      </c>
      <c r="N1084">
        <f t="shared" si="16"/>
        <v>6</v>
      </c>
    </row>
    <row r="1085" spans="12:14">
      <c r="L1085">
        <v>4913</v>
      </c>
      <c r="N1085" t="str">
        <f t="shared" si="16"/>
        <v/>
      </c>
    </row>
    <row r="1086" spans="12:14">
      <c r="L1086">
        <v>164</v>
      </c>
      <c r="N1086" t="str">
        <f t="shared" si="16"/>
        <v/>
      </c>
    </row>
    <row r="1087" spans="12:14">
      <c r="L1087">
        <v>3274</v>
      </c>
      <c r="M1087" t="s">
        <v>25</v>
      </c>
      <c r="N1087">
        <f t="shared" si="16"/>
        <v>5</v>
      </c>
    </row>
    <row r="1088" spans="12:14">
      <c r="L1088">
        <v>502</v>
      </c>
      <c r="N1088" t="str">
        <f t="shared" si="16"/>
        <v/>
      </c>
    </row>
    <row r="1089" spans="12:14">
      <c r="L1089">
        <v>758</v>
      </c>
      <c r="N1089" t="str">
        <f t="shared" si="16"/>
        <v/>
      </c>
    </row>
    <row r="1090" spans="12:14">
      <c r="L1090">
        <v>1751</v>
      </c>
      <c r="N1090" t="str">
        <f t="shared" si="16"/>
        <v/>
      </c>
    </row>
    <row r="1091" spans="12:14">
      <c r="L1091">
        <v>1508</v>
      </c>
      <c r="M1091" t="s">
        <v>29</v>
      </c>
      <c r="N1091">
        <f t="shared" ref="N1091:N1154" si="17">IFERROR(VLOOKUP(M1091,$A$3:$B$10,2,0),"")</f>
        <v>4</v>
      </c>
    </row>
    <row r="1092" spans="12:14">
      <c r="L1092">
        <v>3478</v>
      </c>
      <c r="N1092" t="str">
        <f t="shared" si="17"/>
        <v/>
      </c>
    </row>
    <row r="1093" spans="12:14">
      <c r="L1093">
        <v>4765</v>
      </c>
      <c r="N1093" t="str">
        <f t="shared" si="17"/>
        <v/>
      </c>
    </row>
    <row r="1094" spans="12:14">
      <c r="L1094">
        <v>3144</v>
      </c>
      <c r="M1094" t="s">
        <v>30</v>
      </c>
      <c r="N1094">
        <f t="shared" si="17"/>
        <v>7</v>
      </c>
    </row>
    <row r="1095" spans="12:14">
      <c r="L1095">
        <v>825</v>
      </c>
      <c r="N1095" t="str">
        <f t="shared" si="17"/>
        <v/>
      </c>
    </row>
    <row r="1096" spans="12:14">
      <c r="L1096">
        <v>2359</v>
      </c>
      <c r="N1096" t="str">
        <f t="shared" si="17"/>
        <v/>
      </c>
    </row>
    <row r="1097" spans="12:14">
      <c r="L1097">
        <v>561</v>
      </c>
      <c r="N1097" t="str">
        <f t="shared" si="17"/>
        <v/>
      </c>
    </row>
    <row r="1098" spans="12:14">
      <c r="L1098">
        <v>4645</v>
      </c>
      <c r="N1098" t="str">
        <f t="shared" si="17"/>
        <v/>
      </c>
    </row>
    <row r="1099" spans="12:14">
      <c r="L1099">
        <v>2314</v>
      </c>
      <c r="N1099" t="str">
        <f t="shared" si="17"/>
        <v/>
      </c>
    </row>
    <row r="1100" spans="12:14">
      <c r="L1100">
        <v>3085</v>
      </c>
      <c r="N1100" t="str">
        <f t="shared" si="17"/>
        <v/>
      </c>
    </row>
    <row r="1101" spans="12:14">
      <c r="L1101">
        <v>3245</v>
      </c>
      <c r="N1101" t="str">
        <f t="shared" si="17"/>
        <v/>
      </c>
    </row>
    <row r="1102" spans="12:14">
      <c r="L1102">
        <v>2632</v>
      </c>
      <c r="N1102" t="str">
        <f t="shared" si="17"/>
        <v/>
      </c>
    </row>
    <row r="1103" spans="12:14">
      <c r="L1103">
        <v>4231</v>
      </c>
      <c r="N1103" t="str">
        <f t="shared" si="17"/>
        <v/>
      </c>
    </row>
    <row r="1104" spans="12:14">
      <c r="L1104">
        <v>338</v>
      </c>
      <c r="N1104" t="str">
        <f t="shared" si="17"/>
        <v/>
      </c>
    </row>
    <row r="1105" spans="12:14">
      <c r="L1105">
        <v>2640</v>
      </c>
      <c r="N1105" t="str">
        <f t="shared" si="17"/>
        <v/>
      </c>
    </row>
    <row r="1106" spans="12:14">
      <c r="L1106">
        <v>1438</v>
      </c>
      <c r="M1106" t="s">
        <v>19</v>
      </c>
      <c r="N1106">
        <f t="shared" si="17"/>
        <v>2</v>
      </c>
    </row>
    <row r="1107" spans="12:14">
      <c r="L1107">
        <v>2966</v>
      </c>
      <c r="M1107" t="s">
        <v>19</v>
      </c>
      <c r="N1107">
        <f t="shared" si="17"/>
        <v>2</v>
      </c>
    </row>
    <row r="1108" spans="12:14">
      <c r="L1108">
        <v>2983</v>
      </c>
      <c r="M1108" t="s">
        <v>28</v>
      </c>
      <c r="N1108">
        <f t="shared" si="17"/>
        <v>3</v>
      </c>
    </row>
    <row r="1109" spans="12:14">
      <c r="L1109">
        <v>3153</v>
      </c>
      <c r="N1109" t="str">
        <f t="shared" si="17"/>
        <v/>
      </c>
    </row>
    <row r="1110" spans="12:14">
      <c r="L1110">
        <v>2979</v>
      </c>
      <c r="N1110" t="str">
        <f t="shared" si="17"/>
        <v/>
      </c>
    </row>
    <row r="1111" spans="12:14">
      <c r="L1111">
        <v>2221</v>
      </c>
      <c r="N1111" t="str">
        <f t="shared" si="17"/>
        <v/>
      </c>
    </row>
    <row r="1112" spans="12:14">
      <c r="L1112">
        <v>3046</v>
      </c>
      <c r="M1112" t="s">
        <v>19</v>
      </c>
      <c r="N1112">
        <f t="shared" si="17"/>
        <v>2</v>
      </c>
    </row>
    <row r="1113" spans="12:14">
      <c r="L1113">
        <v>2268</v>
      </c>
      <c r="N1113" t="str">
        <f t="shared" si="17"/>
        <v/>
      </c>
    </row>
    <row r="1114" spans="12:14">
      <c r="L1114">
        <v>138</v>
      </c>
      <c r="M1114" t="s">
        <v>25</v>
      </c>
      <c r="N1114">
        <f t="shared" si="17"/>
        <v>5</v>
      </c>
    </row>
    <row r="1115" spans="12:14">
      <c r="L1115">
        <v>268</v>
      </c>
      <c r="N1115" t="str">
        <f t="shared" si="17"/>
        <v/>
      </c>
    </row>
    <row r="1116" spans="12:14">
      <c r="L1116">
        <v>4190</v>
      </c>
      <c r="N1116" t="str">
        <f t="shared" si="17"/>
        <v/>
      </c>
    </row>
    <row r="1117" spans="12:14">
      <c r="L1117">
        <v>436</v>
      </c>
      <c r="N1117" t="str">
        <f t="shared" si="17"/>
        <v/>
      </c>
    </row>
    <row r="1118" spans="12:14">
      <c r="L1118">
        <v>279</v>
      </c>
      <c r="N1118" t="str">
        <f t="shared" si="17"/>
        <v/>
      </c>
    </row>
    <row r="1119" spans="12:14">
      <c r="L1119">
        <v>4239</v>
      </c>
      <c r="N1119" t="str">
        <f t="shared" si="17"/>
        <v/>
      </c>
    </row>
    <row r="1120" spans="12:14">
      <c r="L1120">
        <v>3466</v>
      </c>
      <c r="N1120" t="str">
        <f t="shared" si="17"/>
        <v/>
      </c>
    </row>
    <row r="1121" spans="12:14">
      <c r="L1121">
        <v>1282</v>
      </c>
      <c r="N1121" t="str">
        <f t="shared" si="17"/>
        <v/>
      </c>
    </row>
    <row r="1122" spans="12:14">
      <c r="L1122">
        <v>1003</v>
      </c>
      <c r="M1122" t="s">
        <v>19</v>
      </c>
      <c r="N1122">
        <f t="shared" si="17"/>
        <v>2</v>
      </c>
    </row>
    <row r="1123" spans="12:14">
      <c r="L1123">
        <v>1979</v>
      </c>
      <c r="N1123" t="str">
        <f t="shared" si="17"/>
        <v/>
      </c>
    </row>
    <row r="1124" spans="12:14">
      <c r="L1124">
        <v>4618</v>
      </c>
      <c r="N1124" t="str">
        <f t="shared" si="17"/>
        <v/>
      </c>
    </row>
    <row r="1125" spans="12:14">
      <c r="L1125">
        <v>265</v>
      </c>
      <c r="M1125" t="s">
        <v>26</v>
      </c>
      <c r="N1125">
        <f t="shared" si="17"/>
        <v>1</v>
      </c>
    </row>
    <row r="1126" spans="12:14">
      <c r="L1126">
        <v>2482</v>
      </c>
      <c r="M1126" t="s">
        <v>25</v>
      </c>
      <c r="N1126">
        <f t="shared" si="17"/>
        <v>5</v>
      </c>
    </row>
    <row r="1127" spans="12:14">
      <c r="L1127">
        <v>4192</v>
      </c>
      <c r="M1127" t="s">
        <v>25</v>
      </c>
      <c r="N1127">
        <f t="shared" si="17"/>
        <v>5</v>
      </c>
    </row>
    <row r="1128" spans="12:14">
      <c r="L1128">
        <v>2312</v>
      </c>
      <c r="M1128" t="s">
        <v>29</v>
      </c>
      <c r="N1128">
        <f t="shared" si="17"/>
        <v>4</v>
      </c>
    </row>
    <row r="1129" spans="12:14">
      <c r="L1129">
        <v>949</v>
      </c>
      <c r="N1129" t="str">
        <f t="shared" si="17"/>
        <v/>
      </c>
    </row>
    <row r="1130" spans="12:14">
      <c r="L1130">
        <v>2896</v>
      </c>
      <c r="N1130" t="str">
        <f t="shared" si="17"/>
        <v/>
      </c>
    </row>
    <row r="1131" spans="12:14">
      <c r="L1131">
        <v>1118</v>
      </c>
      <c r="N1131" t="str">
        <f t="shared" si="17"/>
        <v/>
      </c>
    </row>
    <row r="1132" spans="12:14">
      <c r="L1132">
        <v>615</v>
      </c>
      <c r="M1132" t="s">
        <v>19</v>
      </c>
      <c r="N1132">
        <f t="shared" si="17"/>
        <v>2</v>
      </c>
    </row>
    <row r="1133" spans="12:14">
      <c r="L1133">
        <v>3292</v>
      </c>
      <c r="M1133" t="s">
        <v>30</v>
      </c>
      <c r="N1133">
        <f t="shared" si="17"/>
        <v>7</v>
      </c>
    </row>
    <row r="1134" spans="12:14">
      <c r="L1134">
        <v>2354</v>
      </c>
      <c r="N1134" t="str">
        <f t="shared" si="17"/>
        <v/>
      </c>
    </row>
    <row r="1135" spans="12:14">
      <c r="L1135">
        <v>1912</v>
      </c>
      <c r="N1135" t="str">
        <f t="shared" si="17"/>
        <v/>
      </c>
    </row>
    <row r="1136" spans="12:14">
      <c r="L1136">
        <v>4314</v>
      </c>
      <c r="N1136" t="str">
        <f t="shared" si="17"/>
        <v/>
      </c>
    </row>
    <row r="1137" spans="12:14">
      <c r="L1137">
        <v>3624</v>
      </c>
      <c r="N1137" t="str">
        <f t="shared" si="17"/>
        <v/>
      </c>
    </row>
    <row r="1138" spans="12:14">
      <c r="L1138">
        <v>2219</v>
      </c>
      <c r="N1138" t="str">
        <f t="shared" si="17"/>
        <v/>
      </c>
    </row>
    <row r="1139" spans="12:14">
      <c r="L1139">
        <v>4441</v>
      </c>
      <c r="N1139" t="str">
        <f t="shared" si="17"/>
        <v/>
      </c>
    </row>
    <row r="1140" spans="12:14">
      <c r="L1140">
        <v>4787</v>
      </c>
      <c r="M1140" t="s">
        <v>26</v>
      </c>
      <c r="N1140">
        <f t="shared" si="17"/>
        <v>1</v>
      </c>
    </row>
    <row r="1141" spans="12:14">
      <c r="L1141">
        <v>4649</v>
      </c>
      <c r="N1141" t="str">
        <f t="shared" si="17"/>
        <v/>
      </c>
    </row>
    <row r="1142" spans="12:14">
      <c r="L1142">
        <v>3116</v>
      </c>
      <c r="M1142" t="s">
        <v>25</v>
      </c>
      <c r="N1142">
        <f t="shared" si="17"/>
        <v>5</v>
      </c>
    </row>
    <row r="1143" spans="12:14">
      <c r="L1143">
        <v>1882</v>
      </c>
      <c r="N1143" t="str">
        <f t="shared" si="17"/>
        <v/>
      </c>
    </row>
    <row r="1144" spans="12:14">
      <c r="L1144">
        <v>1061</v>
      </c>
      <c r="N1144" t="str">
        <f t="shared" si="17"/>
        <v/>
      </c>
    </row>
    <row r="1145" spans="12:14">
      <c r="L1145">
        <v>4175</v>
      </c>
      <c r="M1145" t="s">
        <v>25</v>
      </c>
      <c r="N1145">
        <f t="shared" si="17"/>
        <v>5</v>
      </c>
    </row>
    <row r="1146" spans="12:14">
      <c r="L1146">
        <v>555</v>
      </c>
      <c r="M1146" t="s">
        <v>25</v>
      </c>
      <c r="N1146">
        <f t="shared" si="17"/>
        <v>5</v>
      </c>
    </row>
    <row r="1147" spans="12:14">
      <c r="L1147">
        <v>736</v>
      </c>
      <c r="N1147" t="str">
        <f t="shared" si="17"/>
        <v/>
      </c>
    </row>
    <row r="1148" spans="12:14">
      <c r="L1148">
        <v>184</v>
      </c>
      <c r="N1148" t="str">
        <f t="shared" si="17"/>
        <v/>
      </c>
    </row>
    <row r="1149" spans="12:14">
      <c r="L1149">
        <v>384</v>
      </c>
      <c r="N1149" t="str">
        <f t="shared" si="17"/>
        <v/>
      </c>
    </row>
    <row r="1150" spans="12:14">
      <c r="L1150">
        <v>1051</v>
      </c>
      <c r="M1150" t="s">
        <v>19</v>
      </c>
      <c r="N1150">
        <f t="shared" si="17"/>
        <v>2</v>
      </c>
    </row>
    <row r="1151" spans="12:14">
      <c r="L1151">
        <v>768</v>
      </c>
      <c r="M1151" t="s">
        <v>19</v>
      </c>
      <c r="N1151">
        <f t="shared" si="17"/>
        <v>2</v>
      </c>
    </row>
    <row r="1152" spans="12:14">
      <c r="L1152">
        <v>3198</v>
      </c>
      <c r="N1152" t="str">
        <f t="shared" si="17"/>
        <v/>
      </c>
    </row>
    <row r="1153" spans="12:14">
      <c r="L1153">
        <v>1356</v>
      </c>
      <c r="N1153" t="str">
        <f t="shared" si="17"/>
        <v/>
      </c>
    </row>
    <row r="1154" spans="12:14">
      <c r="L1154">
        <v>2940</v>
      </c>
      <c r="N1154" t="str">
        <f t="shared" si="17"/>
        <v/>
      </c>
    </row>
    <row r="1155" spans="12:14">
      <c r="L1155">
        <v>3424</v>
      </c>
      <c r="M1155" t="s">
        <v>31</v>
      </c>
      <c r="N1155">
        <f t="shared" ref="N1155:N1218" si="18">IFERROR(VLOOKUP(M1155,$A$3:$B$10,2,0),"")</f>
        <v>6</v>
      </c>
    </row>
    <row r="1156" spans="12:14">
      <c r="L1156">
        <v>4748</v>
      </c>
      <c r="N1156" t="str">
        <f t="shared" si="18"/>
        <v/>
      </c>
    </row>
    <row r="1157" spans="12:14">
      <c r="L1157">
        <v>4058</v>
      </c>
      <c r="N1157" t="str">
        <f t="shared" si="18"/>
        <v/>
      </c>
    </row>
    <row r="1158" spans="12:14">
      <c r="L1158">
        <v>1350</v>
      </c>
      <c r="N1158" t="str">
        <f t="shared" si="18"/>
        <v/>
      </c>
    </row>
    <row r="1159" spans="12:14">
      <c r="L1159">
        <v>600</v>
      </c>
      <c r="N1159" t="str">
        <f t="shared" si="18"/>
        <v/>
      </c>
    </row>
    <row r="1160" spans="12:14">
      <c r="L1160">
        <v>2418</v>
      </c>
      <c r="N1160" t="str">
        <f t="shared" si="18"/>
        <v/>
      </c>
    </row>
    <row r="1161" spans="12:14">
      <c r="L1161">
        <v>1423</v>
      </c>
      <c r="M1161" t="s">
        <v>26</v>
      </c>
      <c r="N1161">
        <f t="shared" si="18"/>
        <v>1</v>
      </c>
    </row>
    <row r="1162" spans="12:14">
      <c r="L1162">
        <v>1274</v>
      </c>
      <c r="N1162" t="str">
        <f t="shared" si="18"/>
        <v/>
      </c>
    </row>
    <row r="1163" spans="12:14">
      <c r="L1163">
        <v>1795</v>
      </c>
      <c r="M1163" t="s">
        <v>29</v>
      </c>
      <c r="N1163">
        <f t="shared" si="18"/>
        <v>4</v>
      </c>
    </row>
    <row r="1164" spans="12:14">
      <c r="L1164">
        <v>336</v>
      </c>
      <c r="N1164" t="str">
        <f t="shared" si="18"/>
        <v/>
      </c>
    </row>
    <row r="1165" spans="12:14">
      <c r="L1165">
        <v>1014</v>
      </c>
      <c r="N1165" t="str">
        <f t="shared" si="18"/>
        <v/>
      </c>
    </row>
    <row r="1166" spans="12:14">
      <c r="L1166">
        <v>3875</v>
      </c>
      <c r="N1166" t="str">
        <f t="shared" si="18"/>
        <v/>
      </c>
    </row>
    <row r="1167" spans="12:14">
      <c r="L1167">
        <v>2777</v>
      </c>
      <c r="N1167" t="str">
        <f t="shared" si="18"/>
        <v/>
      </c>
    </row>
    <row r="1168" spans="12:14">
      <c r="L1168">
        <v>169</v>
      </c>
      <c r="M1168" t="s">
        <v>29</v>
      </c>
      <c r="N1168">
        <f t="shared" si="18"/>
        <v>4</v>
      </c>
    </row>
    <row r="1169" spans="12:14">
      <c r="L1169">
        <v>3389</v>
      </c>
      <c r="N1169" t="str">
        <f t="shared" si="18"/>
        <v/>
      </c>
    </row>
    <row r="1170" spans="12:14">
      <c r="L1170">
        <v>3960</v>
      </c>
      <c r="N1170" t="str">
        <f t="shared" si="18"/>
        <v/>
      </c>
    </row>
    <row r="1171" spans="12:14">
      <c r="L1171">
        <v>3968</v>
      </c>
      <c r="N1171" t="str">
        <f t="shared" si="18"/>
        <v/>
      </c>
    </row>
    <row r="1172" spans="12:14">
      <c r="L1172">
        <v>4844</v>
      </c>
      <c r="N1172" t="str">
        <f t="shared" si="18"/>
        <v/>
      </c>
    </row>
    <row r="1173" spans="12:14">
      <c r="L1173">
        <v>3410</v>
      </c>
      <c r="N1173" t="str">
        <f t="shared" si="18"/>
        <v/>
      </c>
    </row>
    <row r="1174" spans="12:14">
      <c r="L1174">
        <v>2468</v>
      </c>
      <c r="M1174" t="s">
        <v>19</v>
      </c>
      <c r="N1174">
        <f t="shared" si="18"/>
        <v>2</v>
      </c>
    </row>
    <row r="1175" spans="12:14">
      <c r="L1175">
        <v>1417</v>
      </c>
      <c r="N1175" t="str">
        <f t="shared" si="18"/>
        <v/>
      </c>
    </row>
    <row r="1176" spans="12:14">
      <c r="L1176">
        <v>473</v>
      </c>
      <c r="N1176" t="str">
        <f t="shared" si="18"/>
        <v/>
      </c>
    </row>
    <row r="1177" spans="12:14">
      <c r="L1177">
        <v>3911</v>
      </c>
      <c r="N1177" t="str">
        <f t="shared" si="18"/>
        <v/>
      </c>
    </row>
    <row r="1178" spans="12:14">
      <c r="L1178">
        <v>1549</v>
      </c>
      <c r="N1178" t="str">
        <f t="shared" si="18"/>
        <v/>
      </c>
    </row>
    <row r="1179" spans="12:14">
      <c r="L1179">
        <v>2204</v>
      </c>
      <c r="M1179" t="s">
        <v>26</v>
      </c>
      <c r="N1179">
        <f t="shared" si="18"/>
        <v>1</v>
      </c>
    </row>
    <row r="1180" spans="12:14">
      <c r="L1180">
        <v>1073</v>
      </c>
      <c r="M1180" t="s">
        <v>19</v>
      </c>
      <c r="N1180">
        <f t="shared" si="18"/>
        <v>2</v>
      </c>
    </row>
    <row r="1181" spans="12:14">
      <c r="L1181">
        <v>4390</v>
      </c>
      <c r="N1181" t="str">
        <f t="shared" si="18"/>
        <v/>
      </c>
    </row>
    <row r="1182" spans="12:14">
      <c r="L1182">
        <v>1827</v>
      </c>
      <c r="N1182" t="str">
        <f t="shared" si="18"/>
        <v/>
      </c>
    </row>
    <row r="1183" spans="12:14">
      <c r="L1183">
        <v>611</v>
      </c>
      <c r="N1183" t="str">
        <f t="shared" si="18"/>
        <v/>
      </c>
    </row>
    <row r="1184" spans="12:14">
      <c r="L1184">
        <v>2366</v>
      </c>
      <c r="M1184" t="s">
        <v>26</v>
      </c>
      <c r="N1184">
        <f t="shared" si="18"/>
        <v>1</v>
      </c>
    </row>
    <row r="1185" spans="12:14">
      <c r="L1185">
        <v>3638</v>
      </c>
      <c r="M1185" t="s">
        <v>26</v>
      </c>
      <c r="N1185">
        <f t="shared" si="18"/>
        <v>1</v>
      </c>
    </row>
    <row r="1186" spans="12:14">
      <c r="L1186">
        <v>4318</v>
      </c>
      <c r="N1186" t="str">
        <f t="shared" si="18"/>
        <v/>
      </c>
    </row>
    <row r="1187" spans="12:14">
      <c r="L1187">
        <v>1867</v>
      </c>
      <c r="N1187" t="str">
        <f t="shared" si="18"/>
        <v/>
      </c>
    </row>
    <row r="1188" spans="12:14">
      <c r="L1188">
        <v>2858</v>
      </c>
      <c r="M1188" t="s">
        <v>31</v>
      </c>
      <c r="N1188">
        <f t="shared" si="18"/>
        <v>6</v>
      </c>
    </row>
    <row r="1189" spans="12:14">
      <c r="L1189">
        <v>4217</v>
      </c>
      <c r="M1189" t="s">
        <v>29</v>
      </c>
      <c r="N1189">
        <f t="shared" si="18"/>
        <v>4</v>
      </c>
    </row>
    <row r="1190" spans="12:14">
      <c r="L1190">
        <v>4980</v>
      </c>
      <c r="N1190" t="str">
        <f t="shared" si="18"/>
        <v/>
      </c>
    </row>
    <row r="1191" spans="12:14">
      <c r="L1191">
        <v>4839</v>
      </c>
      <c r="M1191" t="s">
        <v>28</v>
      </c>
      <c r="N1191">
        <f t="shared" si="18"/>
        <v>3</v>
      </c>
    </row>
    <row r="1192" spans="12:14">
      <c r="L1192">
        <v>1708</v>
      </c>
      <c r="N1192" t="str">
        <f t="shared" si="18"/>
        <v/>
      </c>
    </row>
    <row r="1193" spans="12:14">
      <c r="L1193">
        <v>3992</v>
      </c>
      <c r="N1193" t="str">
        <f t="shared" si="18"/>
        <v/>
      </c>
    </row>
    <row r="1194" spans="12:14">
      <c r="L1194">
        <v>2182</v>
      </c>
      <c r="N1194" t="str">
        <f t="shared" si="18"/>
        <v/>
      </c>
    </row>
    <row r="1195" spans="12:14">
      <c r="L1195">
        <v>2663</v>
      </c>
      <c r="N1195" t="str">
        <f t="shared" si="18"/>
        <v/>
      </c>
    </row>
    <row r="1196" spans="12:14">
      <c r="L1196">
        <v>2659</v>
      </c>
      <c r="N1196" t="str">
        <f t="shared" si="18"/>
        <v/>
      </c>
    </row>
    <row r="1197" spans="12:14">
      <c r="L1197">
        <v>1556</v>
      </c>
      <c r="M1197" t="s">
        <v>26</v>
      </c>
      <c r="N1197">
        <f t="shared" si="18"/>
        <v>1</v>
      </c>
    </row>
    <row r="1198" spans="12:14">
      <c r="L1198">
        <v>14</v>
      </c>
      <c r="M1198" t="s">
        <v>29</v>
      </c>
      <c r="N1198">
        <f t="shared" si="18"/>
        <v>4</v>
      </c>
    </row>
    <row r="1199" spans="12:14">
      <c r="L1199">
        <v>1752</v>
      </c>
      <c r="N1199" t="str">
        <f t="shared" si="18"/>
        <v/>
      </c>
    </row>
    <row r="1200" spans="12:14">
      <c r="L1200">
        <v>1459</v>
      </c>
      <c r="N1200" t="str">
        <f t="shared" si="18"/>
        <v/>
      </c>
    </row>
    <row r="1201" spans="12:14">
      <c r="L1201">
        <v>3351</v>
      </c>
      <c r="M1201" t="s">
        <v>29</v>
      </c>
      <c r="N1201">
        <f t="shared" si="18"/>
        <v>4</v>
      </c>
    </row>
    <row r="1202" spans="12:14">
      <c r="L1202">
        <v>298</v>
      </c>
      <c r="M1202" t="s">
        <v>29</v>
      </c>
      <c r="N1202">
        <f t="shared" si="18"/>
        <v>4</v>
      </c>
    </row>
    <row r="1203" spans="12:14">
      <c r="L1203">
        <v>4966</v>
      </c>
      <c r="M1203" t="s">
        <v>19</v>
      </c>
      <c r="N1203">
        <f t="shared" si="18"/>
        <v>2</v>
      </c>
    </row>
    <row r="1204" spans="12:14">
      <c r="L1204">
        <v>3791</v>
      </c>
      <c r="N1204" t="str">
        <f t="shared" si="18"/>
        <v/>
      </c>
    </row>
    <row r="1205" spans="12:14">
      <c r="L1205">
        <v>1872</v>
      </c>
      <c r="N1205" t="str">
        <f t="shared" si="18"/>
        <v/>
      </c>
    </row>
    <row r="1206" spans="12:14">
      <c r="L1206">
        <v>562</v>
      </c>
      <c r="M1206" t="s">
        <v>19</v>
      </c>
      <c r="N1206">
        <f t="shared" si="18"/>
        <v>2</v>
      </c>
    </row>
    <row r="1207" spans="12:14">
      <c r="L1207">
        <v>3496</v>
      </c>
      <c r="N1207" t="str">
        <f t="shared" si="18"/>
        <v/>
      </c>
    </row>
    <row r="1208" spans="12:14">
      <c r="L1208">
        <v>643</v>
      </c>
      <c r="N1208" t="str">
        <f t="shared" si="18"/>
        <v/>
      </c>
    </row>
    <row r="1209" spans="12:14">
      <c r="L1209">
        <v>1233</v>
      </c>
      <c r="N1209" t="str">
        <f t="shared" si="18"/>
        <v/>
      </c>
    </row>
    <row r="1210" spans="12:14">
      <c r="L1210">
        <v>4543</v>
      </c>
      <c r="N1210" t="str">
        <f t="shared" si="18"/>
        <v/>
      </c>
    </row>
    <row r="1211" spans="12:14">
      <c r="L1211">
        <v>3443</v>
      </c>
      <c r="M1211" t="s">
        <v>29</v>
      </c>
      <c r="N1211">
        <f t="shared" si="18"/>
        <v>4</v>
      </c>
    </row>
    <row r="1212" spans="12:14">
      <c r="L1212">
        <v>4340</v>
      </c>
      <c r="N1212" t="str">
        <f t="shared" si="18"/>
        <v/>
      </c>
    </row>
    <row r="1213" spans="12:14">
      <c r="L1213">
        <v>974</v>
      </c>
      <c r="N1213" t="str">
        <f t="shared" si="18"/>
        <v/>
      </c>
    </row>
    <row r="1214" spans="12:14">
      <c r="L1214">
        <v>3746</v>
      </c>
      <c r="N1214" t="str">
        <f t="shared" si="18"/>
        <v/>
      </c>
    </row>
    <row r="1215" spans="12:14">
      <c r="L1215">
        <v>3120</v>
      </c>
      <c r="N1215" t="str">
        <f t="shared" si="18"/>
        <v/>
      </c>
    </row>
    <row r="1216" spans="12:14">
      <c r="L1216">
        <v>2653</v>
      </c>
      <c r="N1216" t="str">
        <f t="shared" si="18"/>
        <v/>
      </c>
    </row>
    <row r="1217" spans="12:14">
      <c r="L1217">
        <v>2714</v>
      </c>
      <c r="M1217" t="s">
        <v>29</v>
      </c>
      <c r="N1217">
        <f t="shared" si="18"/>
        <v>4</v>
      </c>
    </row>
    <row r="1218" spans="12:14">
      <c r="L1218">
        <v>244</v>
      </c>
      <c r="M1218" t="s">
        <v>31</v>
      </c>
      <c r="N1218">
        <f t="shared" si="18"/>
        <v>6</v>
      </c>
    </row>
    <row r="1219" spans="12:14">
      <c r="L1219">
        <v>2652</v>
      </c>
      <c r="M1219" t="s">
        <v>19</v>
      </c>
      <c r="N1219">
        <f t="shared" ref="N1219:N1282" si="19">IFERROR(VLOOKUP(M1219,$A$3:$B$10,2,0),"")</f>
        <v>2</v>
      </c>
    </row>
    <row r="1220" spans="12:14">
      <c r="L1220">
        <v>3381</v>
      </c>
      <c r="N1220" t="str">
        <f t="shared" si="19"/>
        <v/>
      </c>
    </row>
    <row r="1221" spans="12:14">
      <c r="L1221">
        <v>3146</v>
      </c>
      <c r="N1221" t="str">
        <f t="shared" si="19"/>
        <v/>
      </c>
    </row>
    <row r="1222" spans="12:14">
      <c r="L1222">
        <v>224</v>
      </c>
      <c r="N1222" t="str">
        <f t="shared" si="19"/>
        <v/>
      </c>
    </row>
    <row r="1223" spans="12:14">
      <c r="L1223">
        <v>3309</v>
      </c>
      <c r="N1223" t="str">
        <f t="shared" si="19"/>
        <v/>
      </c>
    </row>
    <row r="1224" spans="12:14">
      <c r="L1224">
        <v>2387</v>
      </c>
      <c r="N1224" t="str">
        <f t="shared" si="19"/>
        <v/>
      </c>
    </row>
    <row r="1225" spans="12:14">
      <c r="L1225">
        <v>626</v>
      </c>
      <c r="M1225" t="s">
        <v>31</v>
      </c>
      <c r="N1225">
        <f t="shared" si="19"/>
        <v>6</v>
      </c>
    </row>
    <row r="1226" spans="12:14">
      <c r="L1226">
        <v>3141</v>
      </c>
      <c r="N1226" t="str">
        <f t="shared" si="19"/>
        <v/>
      </c>
    </row>
    <row r="1227" spans="12:14">
      <c r="L1227">
        <v>4691</v>
      </c>
      <c r="N1227" t="str">
        <f t="shared" si="19"/>
        <v/>
      </c>
    </row>
    <row r="1228" spans="12:14">
      <c r="L1228">
        <v>3576</v>
      </c>
      <c r="M1228" t="s">
        <v>31</v>
      </c>
      <c r="N1228">
        <f t="shared" si="19"/>
        <v>6</v>
      </c>
    </row>
    <row r="1229" spans="12:14">
      <c r="L1229">
        <v>3615</v>
      </c>
      <c r="M1229" t="s">
        <v>25</v>
      </c>
      <c r="N1229">
        <f t="shared" si="19"/>
        <v>5</v>
      </c>
    </row>
    <row r="1230" spans="12:14">
      <c r="L1230">
        <v>1908</v>
      </c>
      <c r="N1230" t="str">
        <f t="shared" si="19"/>
        <v/>
      </c>
    </row>
    <row r="1231" spans="12:14">
      <c r="L1231">
        <v>444</v>
      </c>
      <c r="N1231" t="str">
        <f t="shared" si="19"/>
        <v/>
      </c>
    </row>
    <row r="1232" spans="12:14">
      <c r="L1232">
        <v>4604</v>
      </c>
      <c r="N1232" t="str">
        <f t="shared" si="19"/>
        <v/>
      </c>
    </row>
    <row r="1233" spans="12:14">
      <c r="L1233">
        <v>3599</v>
      </c>
      <c r="N1233" t="str">
        <f t="shared" si="19"/>
        <v/>
      </c>
    </row>
    <row r="1234" spans="12:14">
      <c r="L1234">
        <v>1841</v>
      </c>
      <c r="N1234" t="str">
        <f t="shared" si="19"/>
        <v/>
      </c>
    </row>
    <row r="1235" spans="12:14">
      <c r="L1235">
        <v>623</v>
      </c>
      <c r="M1235" t="s">
        <v>19</v>
      </c>
      <c r="N1235">
        <f t="shared" si="19"/>
        <v>2</v>
      </c>
    </row>
    <row r="1236" spans="12:14">
      <c r="L1236">
        <v>2840</v>
      </c>
      <c r="N1236" t="str">
        <f t="shared" si="19"/>
        <v/>
      </c>
    </row>
    <row r="1237" spans="12:14">
      <c r="L1237">
        <v>1695</v>
      </c>
      <c r="N1237" t="str">
        <f t="shared" si="19"/>
        <v/>
      </c>
    </row>
    <row r="1238" spans="12:14">
      <c r="L1238">
        <v>1236</v>
      </c>
      <c r="M1238" t="s">
        <v>29</v>
      </c>
      <c r="N1238">
        <f t="shared" si="19"/>
        <v>4</v>
      </c>
    </row>
    <row r="1239" spans="12:14">
      <c r="L1239">
        <v>2338</v>
      </c>
      <c r="M1239" t="s">
        <v>30</v>
      </c>
      <c r="N1239">
        <f t="shared" si="19"/>
        <v>7</v>
      </c>
    </row>
    <row r="1240" spans="12:14">
      <c r="L1240">
        <v>2677</v>
      </c>
      <c r="N1240" t="str">
        <f t="shared" si="19"/>
        <v/>
      </c>
    </row>
    <row r="1241" spans="12:14">
      <c r="L1241">
        <v>1348</v>
      </c>
      <c r="N1241" t="str">
        <f t="shared" si="19"/>
        <v/>
      </c>
    </row>
    <row r="1242" spans="12:14">
      <c r="L1242">
        <v>2949</v>
      </c>
      <c r="M1242" t="s">
        <v>29</v>
      </c>
      <c r="N1242">
        <f t="shared" si="19"/>
        <v>4</v>
      </c>
    </row>
    <row r="1243" spans="12:14">
      <c r="L1243">
        <v>1739</v>
      </c>
      <c r="M1243" t="s">
        <v>31</v>
      </c>
      <c r="N1243">
        <f t="shared" si="19"/>
        <v>6</v>
      </c>
    </row>
    <row r="1244" spans="12:14">
      <c r="L1244">
        <v>4918</v>
      </c>
      <c r="N1244" t="str">
        <f t="shared" si="19"/>
        <v/>
      </c>
    </row>
    <row r="1245" spans="12:14">
      <c r="L1245">
        <v>161</v>
      </c>
      <c r="N1245" t="str">
        <f t="shared" si="19"/>
        <v/>
      </c>
    </row>
    <row r="1246" spans="12:14">
      <c r="L1246">
        <v>1914</v>
      </c>
      <c r="N1246" t="str">
        <f t="shared" si="19"/>
        <v/>
      </c>
    </row>
    <row r="1247" spans="12:14">
      <c r="L1247">
        <v>2925</v>
      </c>
      <c r="M1247" t="s">
        <v>31</v>
      </c>
      <c r="N1247">
        <f t="shared" si="19"/>
        <v>6</v>
      </c>
    </row>
    <row r="1248" spans="12:14">
      <c r="L1248">
        <v>393</v>
      </c>
      <c r="N1248" t="str">
        <f t="shared" si="19"/>
        <v/>
      </c>
    </row>
    <row r="1249" spans="12:14">
      <c r="L1249">
        <v>2049</v>
      </c>
      <c r="N1249" t="str">
        <f t="shared" si="19"/>
        <v/>
      </c>
    </row>
    <row r="1250" spans="12:14">
      <c r="L1250">
        <v>3243</v>
      </c>
      <c r="N1250" t="str">
        <f t="shared" si="19"/>
        <v/>
      </c>
    </row>
    <row r="1251" spans="12:14">
      <c r="L1251">
        <v>2470</v>
      </c>
      <c r="N1251" t="str">
        <f t="shared" si="19"/>
        <v/>
      </c>
    </row>
    <row r="1252" spans="12:14">
      <c r="L1252">
        <v>1002</v>
      </c>
      <c r="M1252" t="s">
        <v>31</v>
      </c>
      <c r="N1252">
        <f t="shared" si="19"/>
        <v>6</v>
      </c>
    </row>
    <row r="1253" spans="12:14">
      <c r="L1253">
        <v>4157</v>
      </c>
      <c r="N1253" t="str">
        <f t="shared" si="19"/>
        <v/>
      </c>
    </row>
    <row r="1254" spans="12:14">
      <c r="L1254">
        <v>3294</v>
      </c>
      <c r="M1254" t="s">
        <v>29</v>
      </c>
      <c r="N1254">
        <f t="shared" si="19"/>
        <v>4</v>
      </c>
    </row>
    <row r="1255" spans="12:14">
      <c r="L1255">
        <v>1876</v>
      </c>
      <c r="M1255" t="s">
        <v>26</v>
      </c>
      <c r="N1255">
        <f t="shared" si="19"/>
        <v>1</v>
      </c>
    </row>
    <row r="1256" spans="12:14">
      <c r="L1256">
        <v>120</v>
      </c>
      <c r="N1256" t="str">
        <f t="shared" si="19"/>
        <v/>
      </c>
    </row>
    <row r="1257" spans="12:14">
      <c r="L1257">
        <v>4291</v>
      </c>
      <c r="M1257" t="s">
        <v>19</v>
      </c>
      <c r="N1257">
        <f t="shared" si="19"/>
        <v>2</v>
      </c>
    </row>
    <row r="1258" spans="12:14">
      <c r="L1258">
        <v>3972</v>
      </c>
      <c r="M1258" t="s">
        <v>28</v>
      </c>
      <c r="N1258">
        <f t="shared" si="19"/>
        <v>3</v>
      </c>
    </row>
    <row r="1259" spans="12:14">
      <c r="L1259">
        <v>4689</v>
      </c>
      <c r="N1259" t="str">
        <f t="shared" si="19"/>
        <v/>
      </c>
    </row>
    <row r="1260" spans="12:14">
      <c r="L1260">
        <v>4208</v>
      </c>
      <c r="M1260" t="s">
        <v>28</v>
      </c>
      <c r="N1260">
        <f t="shared" si="19"/>
        <v>3</v>
      </c>
    </row>
    <row r="1261" spans="12:14">
      <c r="L1261">
        <v>1641</v>
      </c>
      <c r="M1261" t="s">
        <v>19</v>
      </c>
      <c r="N1261">
        <f t="shared" si="19"/>
        <v>2</v>
      </c>
    </row>
    <row r="1262" spans="12:14">
      <c r="L1262">
        <v>2142</v>
      </c>
      <c r="N1262" t="str">
        <f t="shared" si="19"/>
        <v/>
      </c>
    </row>
    <row r="1263" spans="12:14">
      <c r="L1263">
        <v>1530</v>
      </c>
      <c r="N1263" t="str">
        <f t="shared" si="19"/>
        <v/>
      </c>
    </row>
    <row r="1264" spans="12:14">
      <c r="L1264">
        <v>928</v>
      </c>
      <c r="N1264" t="str">
        <f t="shared" si="19"/>
        <v/>
      </c>
    </row>
    <row r="1265" spans="12:14">
      <c r="L1265">
        <v>3134</v>
      </c>
      <c r="N1265" t="str">
        <f t="shared" si="19"/>
        <v/>
      </c>
    </row>
    <row r="1266" spans="12:14">
      <c r="L1266">
        <v>2897</v>
      </c>
      <c r="N1266" t="str">
        <f t="shared" si="19"/>
        <v/>
      </c>
    </row>
    <row r="1267" spans="12:14">
      <c r="L1267">
        <v>782</v>
      </c>
      <c r="M1267" t="s">
        <v>28</v>
      </c>
      <c r="N1267">
        <f t="shared" si="19"/>
        <v>3</v>
      </c>
    </row>
    <row r="1268" spans="12:14">
      <c r="L1268">
        <v>1304</v>
      </c>
      <c r="M1268" t="s">
        <v>29</v>
      </c>
      <c r="N1268">
        <f t="shared" si="19"/>
        <v>4</v>
      </c>
    </row>
    <row r="1269" spans="12:14">
      <c r="L1269">
        <v>2222</v>
      </c>
      <c r="N1269" t="str">
        <f t="shared" si="19"/>
        <v/>
      </c>
    </row>
    <row r="1270" spans="12:14">
      <c r="L1270">
        <v>288</v>
      </c>
      <c r="N1270" t="str">
        <f t="shared" si="19"/>
        <v/>
      </c>
    </row>
    <row r="1271" spans="12:14">
      <c r="L1271">
        <v>1041</v>
      </c>
      <c r="N1271" t="str">
        <f t="shared" si="19"/>
        <v/>
      </c>
    </row>
    <row r="1272" spans="12:14">
      <c r="L1272">
        <v>303</v>
      </c>
      <c r="M1272" t="s">
        <v>30</v>
      </c>
      <c r="N1272">
        <f t="shared" si="19"/>
        <v>7</v>
      </c>
    </row>
    <row r="1273" spans="12:14">
      <c r="L1273">
        <v>2439</v>
      </c>
      <c r="N1273" t="str">
        <f t="shared" si="19"/>
        <v/>
      </c>
    </row>
    <row r="1274" spans="12:14">
      <c r="L1274">
        <v>1176</v>
      </c>
      <c r="N1274" t="str">
        <f t="shared" si="19"/>
        <v/>
      </c>
    </row>
    <row r="1275" spans="12:14">
      <c r="L1275">
        <v>748</v>
      </c>
      <c r="N1275" t="str">
        <f t="shared" si="19"/>
        <v/>
      </c>
    </row>
    <row r="1276" spans="12:14">
      <c r="L1276">
        <v>4392</v>
      </c>
      <c r="N1276" t="str">
        <f t="shared" si="19"/>
        <v/>
      </c>
    </row>
    <row r="1277" spans="12:14">
      <c r="L1277">
        <v>4213</v>
      </c>
      <c r="M1277" t="s">
        <v>25</v>
      </c>
      <c r="N1277">
        <f t="shared" si="19"/>
        <v>5</v>
      </c>
    </row>
    <row r="1278" spans="12:14">
      <c r="L1278">
        <v>4355</v>
      </c>
      <c r="N1278" t="str">
        <f t="shared" si="19"/>
        <v/>
      </c>
    </row>
    <row r="1279" spans="12:14">
      <c r="L1279">
        <v>1610</v>
      </c>
      <c r="N1279" t="str">
        <f t="shared" si="19"/>
        <v/>
      </c>
    </row>
    <row r="1280" spans="12:14">
      <c r="L1280">
        <v>1180</v>
      </c>
      <c r="N1280" t="str">
        <f t="shared" si="19"/>
        <v/>
      </c>
    </row>
    <row r="1281" spans="12:14">
      <c r="L1281">
        <v>2442</v>
      </c>
      <c r="N1281" t="str">
        <f t="shared" si="19"/>
        <v/>
      </c>
    </row>
    <row r="1282" spans="12:14">
      <c r="L1282">
        <v>66</v>
      </c>
      <c r="N1282" t="str">
        <f t="shared" si="19"/>
        <v/>
      </c>
    </row>
    <row r="1283" spans="12:14">
      <c r="L1283">
        <v>3899</v>
      </c>
      <c r="N1283" t="str">
        <f t="shared" ref="N1283:N1346" si="20">IFERROR(VLOOKUP(M1283,$A$3:$B$10,2,0),"")</f>
        <v/>
      </c>
    </row>
    <row r="1284" spans="12:14">
      <c r="L1284">
        <v>1015</v>
      </c>
      <c r="N1284" t="str">
        <f t="shared" si="20"/>
        <v/>
      </c>
    </row>
    <row r="1285" spans="12:14">
      <c r="L1285">
        <v>439</v>
      </c>
      <c r="N1285" t="str">
        <f t="shared" si="20"/>
        <v/>
      </c>
    </row>
    <row r="1286" spans="12:14">
      <c r="L1286">
        <v>1300</v>
      </c>
      <c r="N1286" t="str">
        <f t="shared" si="20"/>
        <v/>
      </c>
    </row>
    <row r="1287" spans="12:14">
      <c r="L1287">
        <v>2759</v>
      </c>
      <c r="N1287" t="str">
        <f t="shared" si="20"/>
        <v/>
      </c>
    </row>
    <row r="1288" spans="12:14">
      <c r="L1288">
        <v>1400</v>
      </c>
      <c r="M1288" t="s">
        <v>25</v>
      </c>
      <c r="N1288">
        <f t="shared" si="20"/>
        <v>5</v>
      </c>
    </row>
    <row r="1289" spans="12:14">
      <c r="L1289">
        <v>3974</v>
      </c>
      <c r="N1289" t="str">
        <f t="shared" si="20"/>
        <v/>
      </c>
    </row>
    <row r="1290" spans="12:14">
      <c r="L1290">
        <v>2935</v>
      </c>
      <c r="M1290" t="s">
        <v>26</v>
      </c>
      <c r="N1290">
        <f t="shared" si="20"/>
        <v>1</v>
      </c>
    </row>
    <row r="1291" spans="12:14">
      <c r="L1291">
        <v>1541</v>
      </c>
      <c r="N1291" t="str">
        <f t="shared" si="20"/>
        <v/>
      </c>
    </row>
    <row r="1292" spans="12:14">
      <c r="L1292">
        <v>1305</v>
      </c>
      <c r="M1292" t="s">
        <v>19</v>
      </c>
      <c r="N1292">
        <f t="shared" si="20"/>
        <v>2</v>
      </c>
    </row>
    <row r="1293" spans="12:14">
      <c r="L1293">
        <v>1151</v>
      </c>
      <c r="N1293" t="str">
        <f t="shared" si="20"/>
        <v/>
      </c>
    </row>
    <row r="1294" spans="12:14">
      <c r="L1294">
        <v>3071</v>
      </c>
      <c r="M1294" t="s">
        <v>31</v>
      </c>
      <c r="N1294">
        <f t="shared" si="20"/>
        <v>6</v>
      </c>
    </row>
    <row r="1295" spans="12:14">
      <c r="L1295">
        <v>2048</v>
      </c>
      <c r="M1295" t="s">
        <v>26</v>
      </c>
      <c r="N1295">
        <f t="shared" si="20"/>
        <v>1</v>
      </c>
    </row>
    <row r="1296" spans="12:14">
      <c r="L1296">
        <v>2389</v>
      </c>
      <c r="N1296" t="str">
        <f t="shared" si="20"/>
        <v/>
      </c>
    </row>
    <row r="1297" spans="12:14">
      <c r="L1297">
        <v>4769</v>
      </c>
      <c r="N1297" t="str">
        <f t="shared" si="20"/>
        <v/>
      </c>
    </row>
    <row r="1298" spans="12:14">
      <c r="L1298">
        <v>3713</v>
      </c>
      <c r="N1298" t="str">
        <f t="shared" si="20"/>
        <v/>
      </c>
    </row>
    <row r="1299" spans="12:14">
      <c r="L1299">
        <v>10</v>
      </c>
      <c r="N1299" t="str">
        <f t="shared" si="20"/>
        <v/>
      </c>
    </row>
    <row r="1300" spans="12:14">
      <c r="L1300">
        <v>3313</v>
      </c>
      <c r="N1300" t="str">
        <f t="shared" si="20"/>
        <v/>
      </c>
    </row>
    <row r="1301" spans="12:14">
      <c r="L1301">
        <v>801</v>
      </c>
      <c r="N1301" t="str">
        <f t="shared" si="20"/>
        <v/>
      </c>
    </row>
    <row r="1302" spans="12:14">
      <c r="L1302">
        <v>1650</v>
      </c>
      <c r="N1302" t="str">
        <f t="shared" si="20"/>
        <v/>
      </c>
    </row>
    <row r="1303" spans="12:14">
      <c r="L1303">
        <v>3435</v>
      </c>
      <c r="N1303" t="str">
        <f t="shared" si="20"/>
        <v/>
      </c>
    </row>
    <row r="1304" spans="12:14">
      <c r="L1304">
        <v>1190</v>
      </c>
      <c r="N1304" t="str">
        <f t="shared" si="20"/>
        <v/>
      </c>
    </row>
    <row r="1305" spans="12:14">
      <c r="L1305">
        <v>2562</v>
      </c>
      <c r="N1305" t="str">
        <f t="shared" si="20"/>
        <v/>
      </c>
    </row>
    <row r="1306" spans="12:14">
      <c r="L1306">
        <v>2609</v>
      </c>
      <c r="N1306" t="str">
        <f t="shared" si="20"/>
        <v/>
      </c>
    </row>
    <row r="1307" spans="12:14">
      <c r="L1307">
        <v>4666</v>
      </c>
      <c r="N1307" t="str">
        <f t="shared" si="20"/>
        <v/>
      </c>
    </row>
    <row r="1308" spans="12:14">
      <c r="L1308">
        <v>2143</v>
      </c>
      <c r="N1308" t="str">
        <f t="shared" si="20"/>
        <v/>
      </c>
    </row>
    <row r="1309" spans="12:14">
      <c r="L1309">
        <v>4974</v>
      </c>
      <c r="M1309" t="s">
        <v>28</v>
      </c>
      <c r="N1309">
        <f t="shared" si="20"/>
        <v>3</v>
      </c>
    </row>
    <row r="1310" spans="12:14">
      <c r="L1310">
        <v>1944</v>
      </c>
      <c r="N1310" t="str">
        <f t="shared" si="20"/>
        <v/>
      </c>
    </row>
    <row r="1311" spans="12:14">
      <c r="L1311">
        <v>75</v>
      </c>
      <c r="M1311" t="s">
        <v>30</v>
      </c>
      <c r="N1311">
        <f t="shared" si="20"/>
        <v>7</v>
      </c>
    </row>
    <row r="1312" spans="12:14">
      <c r="L1312">
        <v>1158</v>
      </c>
      <c r="N1312" t="str">
        <f t="shared" si="20"/>
        <v/>
      </c>
    </row>
    <row r="1313" spans="12:14">
      <c r="L1313">
        <v>1473</v>
      </c>
      <c r="N1313" t="str">
        <f t="shared" si="20"/>
        <v/>
      </c>
    </row>
    <row r="1314" spans="12:14">
      <c r="L1314">
        <v>4672</v>
      </c>
      <c r="N1314" t="str">
        <f t="shared" si="20"/>
        <v/>
      </c>
    </row>
    <row r="1315" spans="12:14">
      <c r="L1315">
        <v>4696</v>
      </c>
      <c r="N1315" t="str">
        <f t="shared" si="20"/>
        <v/>
      </c>
    </row>
    <row r="1316" spans="12:14">
      <c r="L1316">
        <v>1672</v>
      </c>
      <c r="N1316" t="str">
        <f t="shared" si="20"/>
        <v/>
      </c>
    </row>
    <row r="1317" spans="12:14">
      <c r="L1317">
        <v>4924</v>
      </c>
      <c r="N1317" t="str">
        <f t="shared" si="20"/>
        <v/>
      </c>
    </row>
    <row r="1318" spans="12:14">
      <c r="L1318">
        <v>3878</v>
      </c>
      <c r="N1318" t="str">
        <f t="shared" si="20"/>
        <v/>
      </c>
    </row>
    <row r="1319" spans="12:14">
      <c r="L1319">
        <v>1611</v>
      </c>
      <c r="N1319" t="str">
        <f t="shared" si="20"/>
        <v/>
      </c>
    </row>
    <row r="1320" spans="12:14">
      <c r="L1320">
        <v>4470</v>
      </c>
      <c r="M1320" t="s">
        <v>26</v>
      </c>
      <c r="N1320">
        <f t="shared" si="20"/>
        <v>1</v>
      </c>
    </row>
    <row r="1321" spans="12:14">
      <c r="L1321">
        <v>3386</v>
      </c>
      <c r="M1321" t="s">
        <v>31</v>
      </c>
      <c r="N1321">
        <f t="shared" si="20"/>
        <v>6</v>
      </c>
    </row>
    <row r="1322" spans="12:14">
      <c r="L1322">
        <v>1084</v>
      </c>
      <c r="N1322" t="str">
        <f t="shared" si="20"/>
        <v/>
      </c>
    </row>
    <row r="1323" spans="12:14">
      <c r="L1323">
        <v>2662</v>
      </c>
      <c r="M1323" t="s">
        <v>28</v>
      </c>
      <c r="N1323">
        <f t="shared" si="20"/>
        <v>3</v>
      </c>
    </row>
    <row r="1324" spans="12:14">
      <c r="L1324">
        <v>2120</v>
      </c>
      <c r="N1324" t="str">
        <f t="shared" si="20"/>
        <v/>
      </c>
    </row>
    <row r="1325" spans="12:14">
      <c r="L1325">
        <v>2129</v>
      </c>
      <c r="N1325" t="str">
        <f t="shared" si="20"/>
        <v/>
      </c>
    </row>
    <row r="1326" spans="12:14">
      <c r="L1326">
        <v>3494</v>
      </c>
      <c r="N1326" t="str">
        <f t="shared" si="20"/>
        <v/>
      </c>
    </row>
    <row r="1327" spans="12:14">
      <c r="L1327">
        <v>1146</v>
      </c>
      <c r="N1327" t="str">
        <f t="shared" si="20"/>
        <v/>
      </c>
    </row>
    <row r="1328" spans="12:14">
      <c r="L1328">
        <v>2462</v>
      </c>
      <c r="M1328" t="s">
        <v>29</v>
      </c>
      <c r="N1328">
        <f t="shared" si="20"/>
        <v>4</v>
      </c>
    </row>
    <row r="1329" spans="12:14">
      <c r="L1329">
        <v>2255</v>
      </c>
      <c r="N1329" t="str">
        <f t="shared" si="20"/>
        <v/>
      </c>
    </row>
    <row r="1330" spans="12:14">
      <c r="L1330">
        <v>4563</v>
      </c>
      <c r="M1330" t="s">
        <v>30</v>
      </c>
      <c r="N1330">
        <f t="shared" si="20"/>
        <v>7</v>
      </c>
    </row>
    <row r="1331" spans="12:14">
      <c r="L1331">
        <v>3082</v>
      </c>
      <c r="N1331" t="str">
        <f t="shared" si="20"/>
        <v/>
      </c>
    </row>
    <row r="1332" spans="12:14">
      <c r="L1332">
        <v>4262</v>
      </c>
      <c r="M1332" t="s">
        <v>30</v>
      </c>
      <c r="N1332">
        <f t="shared" si="20"/>
        <v>7</v>
      </c>
    </row>
    <row r="1333" spans="12:14">
      <c r="L1333">
        <v>4385</v>
      </c>
      <c r="M1333" t="s">
        <v>28</v>
      </c>
      <c r="N1333">
        <f t="shared" si="20"/>
        <v>3</v>
      </c>
    </row>
    <row r="1334" spans="12:14">
      <c r="L1334">
        <v>2075</v>
      </c>
      <c r="N1334" t="str">
        <f t="shared" si="20"/>
        <v/>
      </c>
    </row>
    <row r="1335" spans="12:14">
      <c r="L1335">
        <v>3178</v>
      </c>
      <c r="M1335" t="s">
        <v>30</v>
      </c>
      <c r="N1335">
        <f t="shared" si="20"/>
        <v>7</v>
      </c>
    </row>
    <row r="1336" spans="12:14">
      <c r="L1336">
        <v>3284</v>
      </c>
      <c r="M1336" t="s">
        <v>19</v>
      </c>
      <c r="N1336">
        <f t="shared" si="20"/>
        <v>2</v>
      </c>
    </row>
    <row r="1337" spans="12:14">
      <c r="L1337">
        <v>2074</v>
      </c>
      <c r="N1337" t="str">
        <f t="shared" si="20"/>
        <v/>
      </c>
    </row>
    <row r="1338" spans="12:14">
      <c r="L1338">
        <v>3493</v>
      </c>
      <c r="N1338" t="str">
        <f t="shared" si="20"/>
        <v/>
      </c>
    </row>
    <row r="1339" spans="12:14">
      <c r="L1339">
        <v>1466</v>
      </c>
      <c r="N1339" t="str">
        <f t="shared" si="20"/>
        <v/>
      </c>
    </row>
    <row r="1340" spans="12:14">
      <c r="L1340">
        <v>4394</v>
      </c>
      <c r="N1340" t="str">
        <f t="shared" si="20"/>
        <v/>
      </c>
    </row>
    <row r="1341" spans="12:14">
      <c r="L1341">
        <v>3672</v>
      </c>
      <c r="N1341" t="str">
        <f t="shared" si="20"/>
        <v/>
      </c>
    </row>
    <row r="1342" spans="12:14">
      <c r="L1342">
        <v>2781</v>
      </c>
      <c r="N1342" t="str">
        <f t="shared" si="20"/>
        <v/>
      </c>
    </row>
    <row r="1343" spans="12:14">
      <c r="L1343">
        <v>2232</v>
      </c>
      <c r="N1343" t="str">
        <f t="shared" si="20"/>
        <v/>
      </c>
    </row>
    <row r="1344" spans="12:14">
      <c r="L1344">
        <v>4090</v>
      </c>
      <c r="N1344" t="str">
        <f t="shared" si="20"/>
        <v/>
      </c>
    </row>
    <row r="1345" spans="12:14">
      <c r="L1345">
        <v>2645</v>
      </c>
      <c r="N1345" t="str">
        <f t="shared" si="20"/>
        <v/>
      </c>
    </row>
    <row r="1346" spans="12:14">
      <c r="L1346">
        <v>1195</v>
      </c>
      <c r="N1346" t="str">
        <f t="shared" si="20"/>
        <v/>
      </c>
    </row>
    <row r="1347" spans="12:14">
      <c r="L1347">
        <v>59</v>
      </c>
      <c r="N1347" t="str">
        <f t="shared" ref="N1347:N1410" si="21">IFERROR(VLOOKUP(M1347,$A$3:$B$10,2,0),"")</f>
        <v/>
      </c>
    </row>
    <row r="1348" spans="12:14">
      <c r="L1348">
        <v>2607</v>
      </c>
      <c r="N1348" t="str">
        <f t="shared" si="21"/>
        <v/>
      </c>
    </row>
    <row r="1349" spans="12:14">
      <c r="L1349">
        <v>348</v>
      </c>
      <c r="N1349" t="str">
        <f t="shared" si="21"/>
        <v/>
      </c>
    </row>
    <row r="1350" spans="12:14">
      <c r="L1350">
        <v>4564</v>
      </c>
      <c r="M1350" t="s">
        <v>19</v>
      </c>
      <c r="N1350">
        <f t="shared" si="21"/>
        <v>2</v>
      </c>
    </row>
    <row r="1351" spans="12:14">
      <c r="L1351">
        <v>2284</v>
      </c>
      <c r="M1351" t="s">
        <v>26</v>
      </c>
      <c r="N1351">
        <f t="shared" si="21"/>
        <v>1</v>
      </c>
    </row>
    <row r="1352" spans="12:14">
      <c r="L1352">
        <v>487</v>
      </c>
      <c r="N1352" t="str">
        <f t="shared" si="21"/>
        <v/>
      </c>
    </row>
    <row r="1353" spans="12:14">
      <c r="L1353">
        <v>4342</v>
      </c>
      <c r="N1353" t="str">
        <f t="shared" si="21"/>
        <v/>
      </c>
    </row>
    <row r="1354" spans="12:14">
      <c r="L1354">
        <v>30</v>
      </c>
      <c r="M1354" t="s">
        <v>26</v>
      </c>
      <c r="N1354">
        <f t="shared" si="21"/>
        <v>1</v>
      </c>
    </row>
    <row r="1355" spans="12:14">
      <c r="L1355">
        <v>4925</v>
      </c>
      <c r="N1355" t="str">
        <f t="shared" si="21"/>
        <v/>
      </c>
    </row>
    <row r="1356" spans="12:14">
      <c r="L1356">
        <v>4677</v>
      </c>
      <c r="N1356" t="str">
        <f t="shared" si="21"/>
        <v/>
      </c>
    </row>
    <row r="1357" spans="12:14">
      <c r="L1357">
        <v>2838</v>
      </c>
      <c r="N1357" t="str">
        <f t="shared" si="21"/>
        <v/>
      </c>
    </row>
    <row r="1358" spans="12:14">
      <c r="L1358">
        <v>335</v>
      </c>
      <c r="M1358" t="s">
        <v>30</v>
      </c>
      <c r="N1358">
        <f t="shared" si="21"/>
        <v>7</v>
      </c>
    </row>
    <row r="1359" spans="12:14">
      <c r="L1359">
        <v>515</v>
      </c>
      <c r="M1359" t="s">
        <v>28</v>
      </c>
      <c r="N1359">
        <f t="shared" si="21"/>
        <v>3</v>
      </c>
    </row>
    <row r="1360" spans="12:14">
      <c r="L1360">
        <v>4388</v>
      </c>
      <c r="N1360" t="str">
        <f t="shared" si="21"/>
        <v/>
      </c>
    </row>
    <row r="1361" spans="12:14">
      <c r="L1361">
        <v>958</v>
      </c>
      <c r="N1361" t="str">
        <f t="shared" si="21"/>
        <v/>
      </c>
    </row>
    <row r="1362" spans="12:14">
      <c r="L1362">
        <v>2857</v>
      </c>
      <c r="N1362" t="str">
        <f t="shared" si="21"/>
        <v/>
      </c>
    </row>
    <row r="1363" spans="12:14">
      <c r="L1363">
        <v>4085</v>
      </c>
      <c r="N1363" t="str">
        <f t="shared" si="21"/>
        <v/>
      </c>
    </row>
    <row r="1364" spans="12:14">
      <c r="L1364">
        <v>1097</v>
      </c>
      <c r="M1364" t="s">
        <v>25</v>
      </c>
      <c r="N1364">
        <f t="shared" si="21"/>
        <v>5</v>
      </c>
    </row>
    <row r="1365" spans="12:14">
      <c r="L1365">
        <v>3237</v>
      </c>
      <c r="N1365" t="str">
        <f t="shared" si="21"/>
        <v/>
      </c>
    </row>
    <row r="1366" spans="12:14">
      <c r="L1366">
        <v>2297</v>
      </c>
      <c r="M1366" t="s">
        <v>30</v>
      </c>
      <c r="N1366">
        <f t="shared" si="21"/>
        <v>7</v>
      </c>
    </row>
    <row r="1367" spans="12:14">
      <c r="L1367">
        <v>3884</v>
      </c>
      <c r="N1367" t="str">
        <f t="shared" si="21"/>
        <v/>
      </c>
    </row>
    <row r="1368" spans="12:14">
      <c r="L1368">
        <v>1952</v>
      </c>
      <c r="N1368" t="str">
        <f t="shared" si="21"/>
        <v/>
      </c>
    </row>
    <row r="1369" spans="12:14">
      <c r="L1369">
        <v>1324</v>
      </c>
      <c r="N1369" t="str">
        <f t="shared" si="21"/>
        <v/>
      </c>
    </row>
    <row r="1370" spans="12:14">
      <c r="L1370">
        <v>3623</v>
      </c>
      <c r="N1370" t="str">
        <f t="shared" si="21"/>
        <v/>
      </c>
    </row>
    <row r="1371" spans="12:14">
      <c r="L1371">
        <v>3371</v>
      </c>
      <c r="N1371" t="str">
        <f t="shared" si="21"/>
        <v/>
      </c>
    </row>
    <row r="1372" spans="12:14">
      <c r="L1372">
        <v>3305</v>
      </c>
      <c r="M1372" t="s">
        <v>19</v>
      </c>
      <c r="N1372">
        <f t="shared" si="21"/>
        <v>2</v>
      </c>
    </row>
    <row r="1373" spans="12:14">
      <c r="L1373">
        <v>2408</v>
      </c>
      <c r="N1373" t="str">
        <f t="shared" si="21"/>
        <v/>
      </c>
    </row>
    <row r="1374" spans="12:14">
      <c r="L1374">
        <v>1575</v>
      </c>
      <c r="M1374" t="s">
        <v>31</v>
      </c>
      <c r="N1374">
        <f t="shared" si="21"/>
        <v>6</v>
      </c>
    </row>
    <row r="1375" spans="12:14">
      <c r="L1375">
        <v>4568</v>
      </c>
      <c r="N1375" t="str">
        <f t="shared" si="21"/>
        <v/>
      </c>
    </row>
    <row r="1376" spans="12:14">
      <c r="L1376">
        <v>4132</v>
      </c>
      <c r="M1376" t="s">
        <v>29</v>
      </c>
      <c r="N1376">
        <f t="shared" si="21"/>
        <v>4</v>
      </c>
    </row>
    <row r="1377" spans="12:14">
      <c r="L1377">
        <v>4357</v>
      </c>
      <c r="M1377" t="s">
        <v>29</v>
      </c>
      <c r="N1377">
        <f t="shared" si="21"/>
        <v>4</v>
      </c>
    </row>
    <row r="1378" spans="12:14">
      <c r="L1378">
        <v>4725</v>
      </c>
      <c r="M1378" t="s">
        <v>31</v>
      </c>
      <c r="N1378">
        <f t="shared" si="21"/>
        <v>6</v>
      </c>
    </row>
    <row r="1379" spans="12:14">
      <c r="L1379">
        <v>3622</v>
      </c>
      <c r="N1379" t="str">
        <f t="shared" si="21"/>
        <v/>
      </c>
    </row>
    <row r="1380" spans="12:14">
      <c r="L1380">
        <v>1216</v>
      </c>
      <c r="M1380" t="s">
        <v>28</v>
      </c>
      <c r="N1380">
        <f t="shared" si="21"/>
        <v>3</v>
      </c>
    </row>
    <row r="1381" spans="12:14">
      <c r="L1381">
        <v>132</v>
      </c>
      <c r="N1381" t="str">
        <f t="shared" si="21"/>
        <v/>
      </c>
    </row>
    <row r="1382" spans="12:14">
      <c r="L1382">
        <v>1011</v>
      </c>
      <c r="N1382" t="str">
        <f t="shared" si="21"/>
        <v/>
      </c>
    </row>
    <row r="1383" spans="12:14">
      <c r="L1383">
        <v>1079</v>
      </c>
      <c r="N1383" t="str">
        <f t="shared" si="21"/>
        <v/>
      </c>
    </row>
    <row r="1384" spans="12:14">
      <c r="L1384">
        <v>2824</v>
      </c>
      <c r="N1384" t="str">
        <f t="shared" si="21"/>
        <v/>
      </c>
    </row>
    <row r="1385" spans="12:14">
      <c r="L1385">
        <v>3315</v>
      </c>
      <c r="N1385" t="str">
        <f t="shared" si="21"/>
        <v/>
      </c>
    </row>
    <row r="1386" spans="12:14">
      <c r="L1386">
        <v>3605</v>
      </c>
      <c r="N1386" t="str">
        <f t="shared" si="21"/>
        <v/>
      </c>
    </row>
    <row r="1387" spans="12:14">
      <c r="L1387">
        <v>1134</v>
      </c>
      <c r="M1387" t="s">
        <v>29</v>
      </c>
      <c r="N1387">
        <f t="shared" si="21"/>
        <v>4</v>
      </c>
    </row>
    <row r="1388" spans="12:14">
      <c r="L1388">
        <v>880</v>
      </c>
      <c r="N1388" t="str">
        <f t="shared" si="21"/>
        <v/>
      </c>
    </row>
    <row r="1389" spans="12:14">
      <c r="L1389">
        <v>3830</v>
      </c>
      <c r="M1389" t="s">
        <v>31</v>
      </c>
      <c r="N1389">
        <f t="shared" si="21"/>
        <v>6</v>
      </c>
    </row>
    <row r="1390" spans="12:14">
      <c r="L1390">
        <v>740</v>
      </c>
      <c r="N1390" t="str">
        <f t="shared" si="21"/>
        <v/>
      </c>
    </row>
    <row r="1391" spans="12:14">
      <c r="L1391">
        <v>517</v>
      </c>
      <c r="N1391" t="str">
        <f t="shared" si="21"/>
        <v/>
      </c>
    </row>
    <row r="1392" spans="12:14">
      <c r="L1392">
        <v>1129</v>
      </c>
      <c r="N1392" t="str">
        <f t="shared" si="21"/>
        <v/>
      </c>
    </row>
    <row r="1393" spans="12:14">
      <c r="L1393">
        <v>2625</v>
      </c>
      <c r="M1393" t="s">
        <v>30</v>
      </c>
      <c r="N1393">
        <f t="shared" si="21"/>
        <v>7</v>
      </c>
    </row>
    <row r="1394" spans="12:14">
      <c r="L1394">
        <v>349</v>
      </c>
      <c r="M1394" t="s">
        <v>19</v>
      </c>
      <c r="N1394">
        <f t="shared" si="21"/>
        <v>2</v>
      </c>
    </row>
    <row r="1395" spans="12:14">
      <c r="L1395">
        <v>2490</v>
      </c>
      <c r="M1395" t="s">
        <v>25</v>
      </c>
      <c r="N1395">
        <f t="shared" si="21"/>
        <v>5</v>
      </c>
    </row>
    <row r="1396" spans="12:14">
      <c r="L1396">
        <v>4837</v>
      </c>
      <c r="N1396" t="str">
        <f t="shared" si="21"/>
        <v/>
      </c>
    </row>
    <row r="1397" spans="12:14">
      <c r="L1397">
        <v>3863</v>
      </c>
      <c r="N1397" t="str">
        <f t="shared" si="21"/>
        <v/>
      </c>
    </row>
    <row r="1398" spans="12:14">
      <c r="L1398">
        <v>4610</v>
      </c>
      <c r="N1398" t="str">
        <f t="shared" si="21"/>
        <v/>
      </c>
    </row>
    <row r="1399" spans="12:14">
      <c r="L1399">
        <v>3454</v>
      </c>
      <c r="M1399" t="s">
        <v>29</v>
      </c>
      <c r="N1399">
        <f t="shared" si="21"/>
        <v>4</v>
      </c>
    </row>
    <row r="1400" spans="12:14">
      <c r="L1400">
        <v>640</v>
      </c>
      <c r="N1400" t="str">
        <f t="shared" si="21"/>
        <v/>
      </c>
    </row>
    <row r="1401" spans="12:14">
      <c r="L1401">
        <v>1492</v>
      </c>
      <c r="M1401" t="s">
        <v>25</v>
      </c>
      <c r="N1401">
        <f t="shared" si="21"/>
        <v>5</v>
      </c>
    </row>
    <row r="1402" spans="12:14">
      <c r="L1402">
        <v>3026</v>
      </c>
      <c r="N1402" t="str">
        <f t="shared" si="21"/>
        <v/>
      </c>
    </row>
    <row r="1403" spans="12:14">
      <c r="L1403">
        <v>4823</v>
      </c>
      <c r="N1403" t="str">
        <f t="shared" si="21"/>
        <v/>
      </c>
    </row>
    <row r="1404" spans="12:14">
      <c r="L1404">
        <v>466</v>
      </c>
      <c r="M1404" t="s">
        <v>30</v>
      </c>
      <c r="N1404">
        <f t="shared" si="21"/>
        <v>7</v>
      </c>
    </row>
    <row r="1405" spans="12:14">
      <c r="L1405">
        <v>3299</v>
      </c>
      <c r="N1405" t="str">
        <f t="shared" si="21"/>
        <v/>
      </c>
    </row>
    <row r="1406" spans="12:14">
      <c r="L1406">
        <v>3613</v>
      </c>
      <c r="N1406" t="str">
        <f t="shared" si="21"/>
        <v/>
      </c>
    </row>
    <row r="1407" spans="12:14">
      <c r="L1407">
        <v>871</v>
      </c>
      <c r="N1407" t="str">
        <f t="shared" si="21"/>
        <v/>
      </c>
    </row>
    <row r="1408" spans="12:14">
      <c r="L1408">
        <v>283</v>
      </c>
      <c r="N1408" t="str">
        <f t="shared" si="21"/>
        <v/>
      </c>
    </row>
    <row r="1409" spans="12:14">
      <c r="L1409">
        <v>3977</v>
      </c>
      <c r="N1409" t="str">
        <f t="shared" si="21"/>
        <v/>
      </c>
    </row>
    <row r="1410" spans="12:14">
      <c r="L1410">
        <v>3307</v>
      </c>
      <c r="N1410" t="str">
        <f t="shared" si="21"/>
        <v/>
      </c>
    </row>
    <row r="1411" spans="12:14">
      <c r="L1411">
        <v>443</v>
      </c>
      <c r="M1411" t="s">
        <v>30</v>
      </c>
      <c r="N1411">
        <f t="shared" ref="N1411:N1474" si="22">IFERROR(VLOOKUP(M1411,$A$3:$B$10,2,0),"")</f>
        <v>7</v>
      </c>
    </row>
    <row r="1412" spans="12:14">
      <c r="L1412">
        <v>1769</v>
      </c>
      <c r="M1412" t="s">
        <v>29</v>
      </c>
      <c r="N1412">
        <f t="shared" si="22"/>
        <v>4</v>
      </c>
    </row>
    <row r="1413" spans="12:14">
      <c r="L1413">
        <v>2391</v>
      </c>
      <c r="M1413" t="s">
        <v>19</v>
      </c>
      <c r="N1413">
        <f t="shared" si="22"/>
        <v>2</v>
      </c>
    </row>
    <row r="1414" spans="12:14">
      <c r="L1414">
        <v>449</v>
      </c>
      <c r="N1414" t="str">
        <f t="shared" si="22"/>
        <v/>
      </c>
    </row>
    <row r="1415" spans="12:14">
      <c r="L1415">
        <v>4739</v>
      </c>
      <c r="M1415" t="s">
        <v>25</v>
      </c>
      <c r="N1415">
        <f t="shared" si="22"/>
        <v>5</v>
      </c>
    </row>
    <row r="1416" spans="12:14">
      <c r="L1416">
        <v>3725</v>
      </c>
      <c r="N1416" t="str">
        <f t="shared" si="22"/>
        <v/>
      </c>
    </row>
    <row r="1417" spans="12:14">
      <c r="L1417">
        <v>1</v>
      </c>
      <c r="N1417" t="str">
        <f t="shared" si="22"/>
        <v/>
      </c>
    </row>
    <row r="1418" spans="12:14">
      <c r="L1418">
        <v>4786</v>
      </c>
      <c r="N1418" t="str">
        <f t="shared" si="22"/>
        <v/>
      </c>
    </row>
    <row r="1419" spans="12:14">
      <c r="L1419">
        <v>4658</v>
      </c>
      <c r="N1419" t="str">
        <f t="shared" si="22"/>
        <v/>
      </c>
    </row>
    <row r="1420" spans="12:14">
      <c r="L1420">
        <v>4835</v>
      </c>
      <c r="N1420" t="str">
        <f t="shared" si="22"/>
        <v/>
      </c>
    </row>
    <row r="1421" spans="12:14">
      <c r="L1421">
        <v>49</v>
      </c>
      <c r="M1421" t="s">
        <v>19</v>
      </c>
      <c r="N1421">
        <f t="shared" si="22"/>
        <v>2</v>
      </c>
    </row>
    <row r="1422" spans="12:14">
      <c r="L1422">
        <v>1700</v>
      </c>
      <c r="N1422" t="str">
        <f t="shared" si="22"/>
        <v/>
      </c>
    </row>
    <row r="1423" spans="12:14">
      <c r="L1423">
        <v>1864</v>
      </c>
      <c r="M1423" t="s">
        <v>29</v>
      </c>
      <c r="N1423">
        <f t="shared" si="22"/>
        <v>4</v>
      </c>
    </row>
    <row r="1424" spans="12:14">
      <c r="L1424">
        <v>4825</v>
      </c>
      <c r="N1424" t="str">
        <f t="shared" si="22"/>
        <v/>
      </c>
    </row>
    <row r="1425" spans="12:14">
      <c r="L1425">
        <v>2060</v>
      </c>
      <c r="M1425" t="s">
        <v>29</v>
      </c>
      <c r="N1425">
        <f t="shared" si="22"/>
        <v>4</v>
      </c>
    </row>
    <row r="1426" spans="12:14">
      <c r="L1426">
        <v>211</v>
      </c>
      <c r="N1426" t="str">
        <f t="shared" si="22"/>
        <v/>
      </c>
    </row>
    <row r="1427" spans="12:14">
      <c r="L1427">
        <v>3771</v>
      </c>
      <c r="N1427" t="str">
        <f t="shared" si="22"/>
        <v/>
      </c>
    </row>
    <row r="1428" spans="12:14">
      <c r="L1428">
        <v>1580</v>
      </c>
      <c r="M1428" t="s">
        <v>30</v>
      </c>
      <c r="N1428">
        <f t="shared" si="22"/>
        <v>7</v>
      </c>
    </row>
    <row r="1429" spans="12:14">
      <c r="L1429">
        <v>4460</v>
      </c>
      <c r="N1429" t="str">
        <f t="shared" si="22"/>
        <v/>
      </c>
    </row>
    <row r="1430" spans="12:14">
      <c r="L1430">
        <v>3936</v>
      </c>
      <c r="N1430" t="str">
        <f t="shared" si="22"/>
        <v/>
      </c>
    </row>
    <row r="1431" spans="12:14">
      <c r="L1431">
        <v>4432</v>
      </c>
      <c r="N1431" t="str">
        <f t="shared" si="22"/>
        <v/>
      </c>
    </row>
    <row r="1432" spans="12:14">
      <c r="L1432">
        <v>3011</v>
      </c>
      <c r="N1432" t="str">
        <f t="shared" si="22"/>
        <v/>
      </c>
    </row>
    <row r="1433" spans="12:14">
      <c r="L1433">
        <v>2985</v>
      </c>
      <c r="N1433" t="str">
        <f t="shared" si="22"/>
        <v/>
      </c>
    </row>
    <row r="1434" spans="12:14">
      <c r="L1434">
        <v>4961</v>
      </c>
      <c r="M1434" t="s">
        <v>31</v>
      </c>
      <c r="N1434">
        <f t="shared" si="22"/>
        <v>6</v>
      </c>
    </row>
    <row r="1435" spans="12:14">
      <c r="L1435">
        <v>2775</v>
      </c>
      <c r="M1435" t="s">
        <v>26</v>
      </c>
      <c r="N1435">
        <f t="shared" si="22"/>
        <v>1</v>
      </c>
    </row>
    <row r="1436" spans="12:14">
      <c r="L1436">
        <v>4910</v>
      </c>
      <c r="M1436" t="s">
        <v>19</v>
      </c>
      <c r="N1436">
        <f t="shared" si="22"/>
        <v>2</v>
      </c>
    </row>
    <row r="1437" spans="12:14">
      <c r="L1437">
        <v>4103</v>
      </c>
      <c r="N1437" t="str">
        <f t="shared" si="22"/>
        <v/>
      </c>
    </row>
    <row r="1438" spans="12:14">
      <c r="L1438">
        <v>2199</v>
      </c>
      <c r="M1438" t="s">
        <v>29</v>
      </c>
      <c r="N1438">
        <f t="shared" si="22"/>
        <v>4</v>
      </c>
    </row>
    <row r="1439" spans="12:14">
      <c r="L1439">
        <v>1760</v>
      </c>
      <c r="N1439" t="str">
        <f t="shared" si="22"/>
        <v/>
      </c>
    </row>
    <row r="1440" spans="12:14">
      <c r="L1440">
        <v>1483</v>
      </c>
      <c r="N1440" t="str">
        <f t="shared" si="22"/>
        <v/>
      </c>
    </row>
    <row r="1441" spans="12:14">
      <c r="L1441">
        <v>4163</v>
      </c>
      <c r="N1441" t="str">
        <f t="shared" si="22"/>
        <v/>
      </c>
    </row>
    <row r="1442" spans="12:14">
      <c r="L1442">
        <v>2934</v>
      </c>
      <c r="M1442" t="s">
        <v>28</v>
      </c>
      <c r="N1442">
        <f t="shared" si="22"/>
        <v>3</v>
      </c>
    </row>
    <row r="1443" spans="12:14">
      <c r="L1443">
        <v>3321</v>
      </c>
      <c r="N1443" t="str">
        <f t="shared" si="22"/>
        <v/>
      </c>
    </row>
    <row r="1444" spans="12:14">
      <c r="L1444">
        <v>364</v>
      </c>
      <c r="N1444" t="str">
        <f t="shared" si="22"/>
        <v/>
      </c>
    </row>
    <row r="1445" spans="12:14">
      <c r="L1445">
        <v>426</v>
      </c>
      <c r="N1445" t="str">
        <f t="shared" si="22"/>
        <v/>
      </c>
    </row>
    <row r="1446" spans="12:14">
      <c r="L1446">
        <v>1313</v>
      </c>
      <c r="N1446" t="str">
        <f t="shared" si="22"/>
        <v/>
      </c>
    </row>
    <row r="1447" spans="12:14">
      <c r="L1447">
        <v>2738</v>
      </c>
      <c r="N1447" t="str">
        <f t="shared" si="22"/>
        <v/>
      </c>
    </row>
    <row r="1448" spans="12:14">
      <c r="L1448">
        <v>4806</v>
      </c>
      <c r="N1448" t="str">
        <f t="shared" si="22"/>
        <v/>
      </c>
    </row>
    <row r="1449" spans="12:14">
      <c r="L1449">
        <v>3978</v>
      </c>
      <c r="M1449" t="s">
        <v>29</v>
      </c>
      <c r="N1449">
        <f t="shared" si="22"/>
        <v>4</v>
      </c>
    </row>
    <row r="1450" spans="12:14">
      <c r="L1450">
        <v>321</v>
      </c>
      <c r="N1450" t="str">
        <f t="shared" si="22"/>
        <v/>
      </c>
    </row>
    <row r="1451" spans="12:14">
      <c r="L1451">
        <v>322</v>
      </c>
      <c r="M1451" t="s">
        <v>28</v>
      </c>
      <c r="N1451">
        <f t="shared" si="22"/>
        <v>3</v>
      </c>
    </row>
    <row r="1452" spans="12:14">
      <c r="L1452">
        <v>92</v>
      </c>
      <c r="M1452" t="s">
        <v>26</v>
      </c>
      <c r="N1452">
        <f t="shared" si="22"/>
        <v>1</v>
      </c>
    </row>
    <row r="1453" spans="12:14">
      <c r="L1453">
        <v>2953</v>
      </c>
      <c r="N1453" t="str">
        <f t="shared" si="22"/>
        <v/>
      </c>
    </row>
    <row r="1454" spans="12:14">
      <c r="L1454">
        <v>1307</v>
      </c>
      <c r="M1454" t="s">
        <v>26</v>
      </c>
      <c r="N1454">
        <f t="shared" si="22"/>
        <v>1</v>
      </c>
    </row>
    <row r="1455" spans="12:14">
      <c r="L1455">
        <v>3346</v>
      </c>
      <c r="M1455" t="s">
        <v>31</v>
      </c>
      <c r="N1455">
        <f t="shared" si="22"/>
        <v>6</v>
      </c>
    </row>
    <row r="1456" spans="12:14">
      <c r="L1456">
        <v>2153</v>
      </c>
      <c r="N1456" t="str">
        <f t="shared" si="22"/>
        <v/>
      </c>
    </row>
    <row r="1457" spans="12:14">
      <c r="L1457">
        <v>631</v>
      </c>
      <c r="M1457" t="s">
        <v>31</v>
      </c>
      <c r="N1457">
        <f t="shared" si="22"/>
        <v>6</v>
      </c>
    </row>
    <row r="1458" spans="12:14">
      <c r="L1458">
        <v>3712</v>
      </c>
      <c r="N1458" t="str">
        <f t="shared" si="22"/>
        <v/>
      </c>
    </row>
    <row r="1459" spans="12:14">
      <c r="L1459">
        <v>2322</v>
      </c>
      <c r="N1459" t="str">
        <f t="shared" si="22"/>
        <v/>
      </c>
    </row>
    <row r="1460" spans="12:14">
      <c r="L1460">
        <v>1797</v>
      </c>
      <c r="M1460" t="s">
        <v>25</v>
      </c>
      <c r="N1460">
        <f t="shared" si="22"/>
        <v>5</v>
      </c>
    </row>
    <row r="1461" spans="12:14">
      <c r="L1461">
        <v>1367</v>
      </c>
      <c r="N1461" t="str">
        <f t="shared" si="22"/>
        <v/>
      </c>
    </row>
    <row r="1462" spans="12:14">
      <c r="L1462">
        <v>3448</v>
      </c>
      <c r="N1462" t="str">
        <f t="shared" si="22"/>
        <v/>
      </c>
    </row>
    <row r="1463" spans="12:14">
      <c r="L1463">
        <v>877</v>
      </c>
      <c r="M1463" t="s">
        <v>30</v>
      </c>
      <c r="N1463">
        <f t="shared" si="22"/>
        <v>7</v>
      </c>
    </row>
    <row r="1464" spans="12:14">
      <c r="L1464">
        <v>1533</v>
      </c>
      <c r="N1464" t="str">
        <f t="shared" si="22"/>
        <v/>
      </c>
    </row>
    <row r="1465" spans="12:14">
      <c r="L1465">
        <v>2673</v>
      </c>
      <c r="N1465" t="str">
        <f t="shared" si="22"/>
        <v/>
      </c>
    </row>
    <row r="1466" spans="12:14">
      <c r="L1466">
        <v>4120</v>
      </c>
      <c r="N1466" t="str">
        <f t="shared" si="22"/>
        <v/>
      </c>
    </row>
    <row r="1467" spans="12:14">
      <c r="L1467">
        <v>4968</v>
      </c>
      <c r="N1467" t="str">
        <f t="shared" si="22"/>
        <v/>
      </c>
    </row>
    <row r="1468" spans="12:14">
      <c r="L1468">
        <v>2922</v>
      </c>
      <c r="N1468" t="str">
        <f t="shared" si="22"/>
        <v/>
      </c>
    </row>
    <row r="1469" spans="12:14">
      <c r="L1469">
        <v>3849</v>
      </c>
      <c r="N1469" t="str">
        <f t="shared" si="22"/>
        <v/>
      </c>
    </row>
    <row r="1470" spans="12:14">
      <c r="L1470">
        <v>4153</v>
      </c>
      <c r="N1470" t="str">
        <f t="shared" si="22"/>
        <v/>
      </c>
    </row>
    <row r="1471" spans="12:14">
      <c r="L1471">
        <v>2635</v>
      </c>
      <c r="M1471" t="s">
        <v>29</v>
      </c>
      <c r="N1471">
        <f t="shared" si="22"/>
        <v>4</v>
      </c>
    </row>
    <row r="1472" spans="12:14">
      <c r="L1472">
        <v>2590</v>
      </c>
      <c r="N1472" t="str">
        <f t="shared" si="22"/>
        <v/>
      </c>
    </row>
    <row r="1473" spans="12:14">
      <c r="L1473">
        <v>2944</v>
      </c>
      <c r="M1473" t="s">
        <v>26</v>
      </c>
      <c r="N1473">
        <f t="shared" si="22"/>
        <v>1</v>
      </c>
    </row>
    <row r="1474" spans="12:14">
      <c r="L1474">
        <v>2791</v>
      </c>
      <c r="M1474" t="s">
        <v>28</v>
      </c>
      <c r="N1474">
        <f t="shared" si="22"/>
        <v>3</v>
      </c>
    </row>
    <row r="1475" spans="12:14">
      <c r="L1475">
        <v>3113</v>
      </c>
      <c r="N1475" t="str">
        <f t="shared" ref="N1475:N1538" si="23">IFERROR(VLOOKUP(M1475,$A$3:$B$10,2,0),"")</f>
        <v/>
      </c>
    </row>
    <row r="1476" spans="12:14">
      <c r="L1476">
        <v>215</v>
      </c>
      <c r="M1476" t="s">
        <v>28</v>
      </c>
      <c r="N1476">
        <f t="shared" si="23"/>
        <v>3</v>
      </c>
    </row>
    <row r="1477" spans="12:14">
      <c r="L1477">
        <v>4886</v>
      </c>
      <c r="N1477" t="str">
        <f t="shared" si="23"/>
        <v/>
      </c>
    </row>
    <row r="1478" spans="12:14">
      <c r="L1478">
        <v>3393</v>
      </c>
      <c r="N1478" t="str">
        <f t="shared" si="23"/>
        <v/>
      </c>
    </row>
    <row r="1479" spans="12:14">
      <c r="L1479">
        <v>1849</v>
      </c>
      <c r="N1479" t="str">
        <f t="shared" si="23"/>
        <v/>
      </c>
    </row>
    <row r="1480" spans="12:14">
      <c r="L1480">
        <v>3885</v>
      </c>
      <c r="M1480" t="s">
        <v>26</v>
      </c>
      <c r="N1480">
        <f t="shared" si="23"/>
        <v>1</v>
      </c>
    </row>
    <row r="1481" spans="12:14">
      <c r="L1481">
        <v>4819</v>
      </c>
      <c r="N1481" t="str">
        <f t="shared" si="23"/>
        <v/>
      </c>
    </row>
    <row r="1482" spans="12:14">
      <c r="L1482">
        <v>4017</v>
      </c>
      <c r="M1482" t="s">
        <v>28</v>
      </c>
      <c r="N1482">
        <f t="shared" si="23"/>
        <v>3</v>
      </c>
    </row>
    <row r="1483" spans="12:14">
      <c r="L1483">
        <v>199</v>
      </c>
      <c r="N1483" t="str">
        <f t="shared" si="23"/>
        <v/>
      </c>
    </row>
    <row r="1484" spans="12:14">
      <c r="L1484">
        <v>1736</v>
      </c>
      <c r="M1484" t="s">
        <v>26</v>
      </c>
      <c r="N1484">
        <f t="shared" si="23"/>
        <v>1</v>
      </c>
    </row>
    <row r="1485" spans="12:14">
      <c r="L1485">
        <v>2430</v>
      </c>
      <c r="N1485" t="str">
        <f t="shared" si="23"/>
        <v/>
      </c>
    </row>
    <row r="1486" spans="12:14">
      <c r="L1486">
        <v>4676</v>
      </c>
      <c r="M1486" t="s">
        <v>26</v>
      </c>
      <c r="N1486">
        <f t="shared" si="23"/>
        <v>1</v>
      </c>
    </row>
    <row r="1487" spans="12:14">
      <c r="L1487">
        <v>4860</v>
      </c>
      <c r="M1487" t="s">
        <v>29</v>
      </c>
      <c r="N1487">
        <f t="shared" si="23"/>
        <v>4</v>
      </c>
    </row>
    <row r="1488" spans="12:14">
      <c r="L1488">
        <v>3498</v>
      </c>
      <c r="N1488" t="str">
        <f t="shared" si="23"/>
        <v/>
      </c>
    </row>
    <row r="1489" spans="12:14">
      <c r="L1489">
        <v>2582</v>
      </c>
      <c r="N1489" t="str">
        <f t="shared" si="23"/>
        <v/>
      </c>
    </row>
    <row r="1490" spans="12:14">
      <c r="L1490">
        <v>4554</v>
      </c>
      <c r="N1490" t="str">
        <f t="shared" si="23"/>
        <v/>
      </c>
    </row>
    <row r="1491" spans="12:14">
      <c r="L1491">
        <v>3706</v>
      </c>
      <c r="N1491" t="str">
        <f t="shared" si="23"/>
        <v/>
      </c>
    </row>
    <row r="1492" spans="12:14">
      <c r="L1492">
        <v>2512</v>
      </c>
      <c r="N1492" t="str">
        <f t="shared" si="23"/>
        <v/>
      </c>
    </row>
    <row r="1493" spans="12:14">
      <c r="L1493">
        <v>1554</v>
      </c>
      <c r="M1493" t="s">
        <v>28</v>
      </c>
      <c r="N1493">
        <f t="shared" si="23"/>
        <v>3</v>
      </c>
    </row>
    <row r="1494" spans="12:14">
      <c r="L1494">
        <v>428</v>
      </c>
      <c r="N1494" t="str">
        <f t="shared" si="23"/>
        <v/>
      </c>
    </row>
    <row r="1495" spans="12:14">
      <c r="L1495">
        <v>4911</v>
      </c>
      <c r="N1495" t="str">
        <f t="shared" si="23"/>
        <v/>
      </c>
    </row>
    <row r="1496" spans="12:14">
      <c r="L1496">
        <v>89</v>
      </c>
      <c r="N1496" t="str">
        <f t="shared" si="23"/>
        <v/>
      </c>
    </row>
    <row r="1497" spans="12:14">
      <c r="L1497">
        <v>1917</v>
      </c>
      <c r="N1497" t="str">
        <f t="shared" si="23"/>
        <v/>
      </c>
    </row>
    <row r="1498" spans="12:14">
      <c r="L1498">
        <v>1045</v>
      </c>
      <c r="M1498" t="s">
        <v>26</v>
      </c>
      <c r="N1498">
        <f t="shared" si="23"/>
        <v>1</v>
      </c>
    </row>
    <row r="1499" spans="12:14">
      <c r="L1499">
        <v>3750</v>
      </c>
      <c r="N1499" t="str">
        <f t="shared" si="23"/>
        <v/>
      </c>
    </row>
    <row r="1500" spans="12:14">
      <c r="L1500">
        <v>1103</v>
      </c>
      <c r="N1500" t="str">
        <f t="shared" si="23"/>
        <v/>
      </c>
    </row>
    <row r="1501" spans="12:14">
      <c r="L1501">
        <v>1121</v>
      </c>
      <c r="N1501" t="str">
        <f t="shared" si="23"/>
        <v/>
      </c>
    </row>
    <row r="1502" spans="12:14">
      <c r="L1502">
        <v>4722</v>
      </c>
      <c r="M1502" t="s">
        <v>28</v>
      </c>
      <c r="N1502">
        <f t="shared" si="23"/>
        <v>3</v>
      </c>
    </row>
    <row r="1503" spans="12:14">
      <c r="L1503">
        <v>301</v>
      </c>
      <c r="N1503" t="str">
        <f t="shared" si="23"/>
        <v/>
      </c>
    </row>
    <row r="1504" spans="12:14">
      <c r="L1504">
        <v>3663</v>
      </c>
      <c r="N1504" t="str">
        <f t="shared" si="23"/>
        <v/>
      </c>
    </row>
    <row r="1505" spans="12:14">
      <c r="L1505">
        <v>1303</v>
      </c>
      <c r="N1505" t="str">
        <f t="shared" si="23"/>
        <v/>
      </c>
    </row>
    <row r="1506" spans="12:14">
      <c r="L1506">
        <v>2602</v>
      </c>
      <c r="N1506" t="str">
        <f t="shared" si="23"/>
        <v/>
      </c>
    </row>
    <row r="1507" spans="12:14">
      <c r="L1507">
        <v>3810</v>
      </c>
      <c r="N1507" t="str">
        <f t="shared" si="23"/>
        <v/>
      </c>
    </row>
    <row r="1508" spans="12:14">
      <c r="L1508">
        <v>3979</v>
      </c>
      <c r="M1508" t="s">
        <v>25</v>
      </c>
      <c r="N1508">
        <f t="shared" si="23"/>
        <v>5</v>
      </c>
    </row>
    <row r="1509" spans="12:14">
      <c r="L1509">
        <v>2024</v>
      </c>
      <c r="N1509" t="str">
        <f t="shared" si="23"/>
        <v/>
      </c>
    </row>
    <row r="1510" spans="12:14">
      <c r="L1510">
        <v>3488</v>
      </c>
      <c r="N1510" t="str">
        <f t="shared" si="23"/>
        <v/>
      </c>
    </row>
    <row r="1511" spans="12:14">
      <c r="L1511">
        <v>2906</v>
      </c>
      <c r="M1511" t="s">
        <v>19</v>
      </c>
      <c r="N1511">
        <f t="shared" si="23"/>
        <v>2</v>
      </c>
    </row>
    <row r="1512" spans="12:14">
      <c r="L1512">
        <v>4108</v>
      </c>
      <c r="M1512" t="s">
        <v>25</v>
      </c>
      <c r="N1512">
        <f t="shared" si="23"/>
        <v>5</v>
      </c>
    </row>
    <row r="1513" spans="12:14">
      <c r="L1513">
        <v>3994</v>
      </c>
      <c r="N1513" t="str">
        <f t="shared" si="23"/>
        <v/>
      </c>
    </row>
    <row r="1514" spans="12:14">
      <c r="L1514">
        <v>4651</v>
      </c>
      <c r="N1514" t="str">
        <f t="shared" si="23"/>
        <v/>
      </c>
    </row>
    <row r="1515" spans="12:14">
      <c r="L1515">
        <v>2330</v>
      </c>
      <c r="N1515" t="str">
        <f t="shared" si="23"/>
        <v/>
      </c>
    </row>
    <row r="1516" spans="12:14">
      <c r="L1516">
        <v>4373</v>
      </c>
      <c r="N1516" t="str">
        <f t="shared" si="23"/>
        <v/>
      </c>
    </row>
    <row r="1517" spans="12:14">
      <c r="L1517">
        <v>2654</v>
      </c>
      <c r="N1517" t="str">
        <f t="shared" si="23"/>
        <v/>
      </c>
    </row>
    <row r="1518" spans="12:14">
      <c r="L1518">
        <v>2987</v>
      </c>
      <c r="M1518" t="s">
        <v>19</v>
      </c>
      <c r="N1518">
        <f t="shared" si="23"/>
        <v>2</v>
      </c>
    </row>
    <row r="1519" spans="12:14">
      <c r="L1519">
        <v>4336</v>
      </c>
      <c r="M1519" t="s">
        <v>19</v>
      </c>
      <c r="N1519">
        <f t="shared" si="23"/>
        <v>2</v>
      </c>
    </row>
    <row r="1520" spans="12:14">
      <c r="L1520">
        <v>2563</v>
      </c>
      <c r="N1520" t="str">
        <f t="shared" si="23"/>
        <v/>
      </c>
    </row>
    <row r="1521" spans="12:14">
      <c r="L1521">
        <v>149</v>
      </c>
      <c r="N1521" t="str">
        <f t="shared" si="23"/>
        <v/>
      </c>
    </row>
    <row r="1522" spans="12:14">
      <c r="L1522">
        <v>819</v>
      </c>
      <c r="M1522" t="s">
        <v>19</v>
      </c>
      <c r="N1522">
        <f t="shared" si="23"/>
        <v>2</v>
      </c>
    </row>
    <row r="1523" spans="12:14">
      <c r="L1523">
        <v>978</v>
      </c>
      <c r="N1523" t="str">
        <f t="shared" si="23"/>
        <v/>
      </c>
    </row>
    <row r="1524" spans="12:14">
      <c r="L1524">
        <v>4952</v>
      </c>
      <c r="N1524" t="str">
        <f t="shared" si="23"/>
        <v/>
      </c>
    </row>
    <row r="1525" spans="12:14">
      <c r="L1525">
        <v>3809</v>
      </c>
      <c r="M1525" t="s">
        <v>28</v>
      </c>
      <c r="N1525">
        <f t="shared" si="23"/>
        <v>3</v>
      </c>
    </row>
    <row r="1526" spans="12:14">
      <c r="L1526">
        <v>3450</v>
      </c>
      <c r="N1526" t="str">
        <f t="shared" si="23"/>
        <v/>
      </c>
    </row>
    <row r="1527" spans="12:14">
      <c r="L1527">
        <v>3959</v>
      </c>
      <c r="M1527" t="s">
        <v>31</v>
      </c>
      <c r="N1527">
        <f t="shared" si="23"/>
        <v>6</v>
      </c>
    </row>
    <row r="1528" spans="12:14">
      <c r="L1528">
        <v>3010</v>
      </c>
      <c r="N1528" t="str">
        <f t="shared" si="23"/>
        <v/>
      </c>
    </row>
    <row r="1529" spans="12:14">
      <c r="L1529">
        <v>4746</v>
      </c>
      <c r="N1529" t="str">
        <f t="shared" si="23"/>
        <v/>
      </c>
    </row>
    <row r="1530" spans="12:14">
      <c r="L1530">
        <v>2065</v>
      </c>
      <c r="N1530" t="str">
        <f t="shared" si="23"/>
        <v/>
      </c>
    </row>
    <row r="1531" spans="12:14">
      <c r="L1531">
        <v>702</v>
      </c>
      <c r="N1531" t="str">
        <f t="shared" si="23"/>
        <v/>
      </c>
    </row>
    <row r="1532" spans="12:14">
      <c r="L1532">
        <v>4928</v>
      </c>
      <c r="N1532" t="str">
        <f t="shared" si="23"/>
        <v/>
      </c>
    </row>
    <row r="1533" spans="12:14">
      <c r="L1533">
        <v>214</v>
      </c>
      <c r="N1533" t="str">
        <f t="shared" si="23"/>
        <v/>
      </c>
    </row>
    <row r="1534" spans="12:14">
      <c r="L1534">
        <v>2915</v>
      </c>
      <c r="N1534" t="str">
        <f t="shared" si="23"/>
        <v/>
      </c>
    </row>
    <row r="1535" spans="12:14">
      <c r="L1535">
        <v>3983</v>
      </c>
      <c r="M1535" t="s">
        <v>29</v>
      </c>
      <c r="N1535">
        <f t="shared" si="23"/>
        <v>4</v>
      </c>
    </row>
    <row r="1536" spans="12:14">
      <c r="L1536">
        <v>3813</v>
      </c>
      <c r="N1536" t="str">
        <f t="shared" si="23"/>
        <v/>
      </c>
    </row>
    <row r="1537" spans="12:14">
      <c r="L1537">
        <v>469</v>
      </c>
      <c r="M1537" t="s">
        <v>29</v>
      </c>
      <c r="N1537">
        <f t="shared" si="23"/>
        <v>4</v>
      </c>
    </row>
    <row r="1538" spans="12:14">
      <c r="L1538">
        <v>2039</v>
      </c>
      <c r="M1538" t="s">
        <v>30</v>
      </c>
      <c r="N1538">
        <f t="shared" si="23"/>
        <v>7</v>
      </c>
    </row>
    <row r="1539" spans="12:14">
      <c r="L1539">
        <v>1112</v>
      </c>
      <c r="N1539" t="str">
        <f t="shared" ref="N1539:N1602" si="24">IFERROR(VLOOKUP(M1539,$A$3:$B$10,2,0),"")</f>
        <v/>
      </c>
    </row>
    <row r="1540" spans="12:14">
      <c r="L1540">
        <v>1113</v>
      </c>
      <c r="N1540" t="str">
        <f t="shared" si="24"/>
        <v/>
      </c>
    </row>
    <row r="1541" spans="12:14">
      <c r="L1541">
        <v>174</v>
      </c>
      <c r="M1541" t="s">
        <v>30</v>
      </c>
      <c r="N1541">
        <f t="shared" si="24"/>
        <v>7</v>
      </c>
    </row>
    <row r="1542" spans="12:14">
      <c r="L1542">
        <v>2908</v>
      </c>
      <c r="N1542" t="str">
        <f t="shared" si="24"/>
        <v/>
      </c>
    </row>
    <row r="1543" spans="12:14">
      <c r="L1543">
        <v>1840</v>
      </c>
      <c r="N1543" t="str">
        <f t="shared" si="24"/>
        <v/>
      </c>
    </row>
    <row r="1544" spans="12:14">
      <c r="L1544">
        <v>4080</v>
      </c>
      <c r="M1544" t="s">
        <v>28</v>
      </c>
      <c r="N1544">
        <f t="shared" si="24"/>
        <v>3</v>
      </c>
    </row>
    <row r="1545" spans="12:14">
      <c r="L1545">
        <v>2471</v>
      </c>
      <c r="N1545" t="str">
        <f t="shared" si="24"/>
        <v/>
      </c>
    </row>
    <row r="1546" spans="12:14">
      <c r="L1546">
        <v>3934</v>
      </c>
      <c r="N1546" t="str">
        <f t="shared" si="24"/>
        <v/>
      </c>
    </row>
    <row r="1547" spans="12:14">
      <c r="L1547">
        <v>831</v>
      </c>
      <c r="N1547" t="str">
        <f t="shared" si="24"/>
        <v/>
      </c>
    </row>
    <row r="1548" spans="12:14">
      <c r="L1548">
        <v>1493</v>
      </c>
      <c r="M1548" t="s">
        <v>31</v>
      </c>
      <c r="N1548">
        <f t="shared" si="24"/>
        <v>6</v>
      </c>
    </row>
    <row r="1549" spans="12:14">
      <c r="L1549">
        <v>2175</v>
      </c>
      <c r="M1549" t="s">
        <v>31</v>
      </c>
      <c r="N1549">
        <f t="shared" si="24"/>
        <v>6</v>
      </c>
    </row>
    <row r="1550" spans="12:14">
      <c r="L1550">
        <v>2742</v>
      </c>
      <c r="M1550" t="s">
        <v>25</v>
      </c>
      <c r="N1550">
        <f t="shared" si="24"/>
        <v>5</v>
      </c>
    </row>
    <row r="1551" spans="12:14">
      <c r="L1551">
        <v>4443</v>
      </c>
      <c r="N1551" t="str">
        <f t="shared" si="24"/>
        <v/>
      </c>
    </row>
    <row r="1552" spans="12:14">
      <c r="L1552">
        <v>3984</v>
      </c>
      <c r="N1552" t="str">
        <f t="shared" si="24"/>
        <v/>
      </c>
    </row>
    <row r="1553" spans="12:14">
      <c r="L1553">
        <v>1603</v>
      </c>
      <c r="N1553" t="str">
        <f t="shared" si="24"/>
        <v/>
      </c>
    </row>
    <row r="1554" spans="12:14">
      <c r="L1554">
        <v>3230</v>
      </c>
      <c r="N1554" t="str">
        <f t="shared" si="24"/>
        <v/>
      </c>
    </row>
    <row r="1555" spans="12:14">
      <c r="L1555">
        <v>4365</v>
      </c>
      <c r="M1555" t="s">
        <v>19</v>
      </c>
      <c r="N1555">
        <f t="shared" si="24"/>
        <v>2</v>
      </c>
    </row>
    <row r="1556" spans="12:14">
      <c r="L1556">
        <v>2575</v>
      </c>
      <c r="M1556" t="s">
        <v>31</v>
      </c>
      <c r="N1556">
        <f t="shared" si="24"/>
        <v>6</v>
      </c>
    </row>
    <row r="1557" spans="12:14">
      <c r="L1557">
        <v>2200</v>
      </c>
      <c r="N1557" t="str">
        <f t="shared" si="24"/>
        <v/>
      </c>
    </row>
    <row r="1558" spans="12:14">
      <c r="L1558">
        <v>956</v>
      </c>
      <c r="N1558" t="str">
        <f t="shared" si="24"/>
        <v/>
      </c>
    </row>
    <row r="1559" spans="12:14">
      <c r="L1559">
        <v>3358</v>
      </c>
      <c r="M1559" t="s">
        <v>28</v>
      </c>
      <c r="N1559">
        <f t="shared" si="24"/>
        <v>3</v>
      </c>
    </row>
    <row r="1560" spans="12:14">
      <c r="L1560">
        <v>4871</v>
      </c>
      <c r="N1560" t="str">
        <f t="shared" si="24"/>
        <v/>
      </c>
    </row>
    <row r="1561" spans="12:14">
      <c r="L1561">
        <v>522</v>
      </c>
      <c r="N1561" t="str">
        <f t="shared" si="24"/>
        <v/>
      </c>
    </row>
    <row r="1562" spans="12:14">
      <c r="L1562">
        <v>1820</v>
      </c>
      <c r="N1562" t="str">
        <f t="shared" si="24"/>
        <v/>
      </c>
    </row>
    <row r="1563" spans="12:14">
      <c r="L1563">
        <v>4251</v>
      </c>
      <c r="N1563" t="str">
        <f t="shared" si="24"/>
        <v/>
      </c>
    </row>
    <row r="1564" spans="12:14">
      <c r="L1564">
        <v>2971</v>
      </c>
      <c r="M1564" t="s">
        <v>19</v>
      </c>
      <c r="N1564">
        <f t="shared" si="24"/>
        <v>2</v>
      </c>
    </row>
    <row r="1565" spans="12:14">
      <c r="L1565">
        <v>3902</v>
      </c>
      <c r="N1565" t="str">
        <f t="shared" si="24"/>
        <v/>
      </c>
    </row>
    <row r="1566" spans="12:14">
      <c r="L1566">
        <v>2684</v>
      </c>
      <c r="N1566" t="str">
        <f t="shared" si="24"/>
        <v/>
      </c>
    </row>
    <row r="1567" spans="12:14">
      <c r="L1567">
        <v>3678</v>
      </c>
      <c r="N1567" t="str">
        <f t="shared" si="24"/>
        <v/>
      </c>
    </row>
    <row r="1568" spans="12:14">
      <c r="L1568">
        <v>4164</v>
      </c>
      <c r="N1568" t="str">
        <f t="shared" si="24"/>
        <v/>
      </c>
    </row>
    <row r="1569" spans="12:14">
      <c r="L1569">
        <v>1499</v>
      </c>
      <c r="N1569" t="str">
        <f t="shared" si="24"/>
        <v/>
      </c>
    </row>
    <row r="1570" spans="12:14">
      <c r="L1570">
        <v>4335</v>
      </c>
      <c r="N1570" t="str">
        <f t="shared" si="24"/>
        <v/>
      </c>
    </row>
    <row r="1571" spans="12:14">
      <c r="L1571">
        <v>2090</v>
      </c>
      <c r="N1571" t="str">
        <f t="shared" si="24"/>
        <v/>
      </c>
    </row>
    <row r="1572" spans="12:14">
      <c r="L1572">
        <v>4339</v>
      </c>
      <c r="N1572" t="str">
        <f t="shared" si="24"/>
        <v/>
      </c>
    </row>
    <row r="1573" spans="12:14">
      <c r="L1573">
        <v>3831</v>
      </c>
      <c r="N1573" t="str">
        <f t="shared" si="24"/>
        <v/>
      </c>
    </row>
    <row r="1574" spans="12:14">
      <c r="L1574">
        <v>1505</v>
      </c>
      <c r="M1574" t="s">
        <v>25</v>
      </c>
      <c r="N1574">
        <f t="shared" si="24"/>
        <v>5</v>
      </c>
    </row>
    <row r="1575" spans="12:14">
      <c r="L1575">
        <v>4852</v>
      </c>
      <c r="M1575" t="s">
        <v>26</v>
      </c>
      <c r="N1575">
        <f t="shared" si="24"/>
        <v>1</v>
      </c>
    </row>
    <row r="1576" spans="12:14">
      <c r="L1576">
        <v>4409</v>
      </c>
      <c r="M1576" t="s">
        <v>25</v>
      </c>
      <c r="N1576">
        <f t="shared" si="24"/>
        <v>5</v>
      </c>
    </row>
    <row r="1577" spans="12:14">
      <c r="L1577">
        <v>1671</v>
      </c>
      <c r="N1577" t="str">
        <f t="shared" si="24"/>
        <v/>
      </c>
    </row>
    <row r="1578" spans="12:14">
      <c r="L1578">
        <v>4377</v>
      </c>
      <c r="M1578" t="s">
        <v>19</v>
      </c>
      <c r="N1578">
        <f t="shared" si="24"/>
        <v>2</v>
      </c>
    </row>
    <row r="1579" spans="12:14">
      <c r="L1579">
        <v>910</v>
      </c>
      <c r="N1579" t="str">
        <f t="shared" si="24"/>
        <v/>
      </c>
    </row>
    <row r="1580" spans="12:14">
      <c r="L1580">
        <v>188</v>
      </c>
      <c r="N1580" t="str">
        <f t="shared" si="24"/>
        <v/>
      </c>
    </row>
    <row r="1581" spans="12:14">
      <c r="L1581">
        <v>4285</v>
      </c>
      <c r="N1581" t="str">
        <f t="shared" si="24"/>
        <v/>
      </c>
    </row>
    <row r="1582" spans="12:14">
      <c r="L1582">
        <v>4483</v>
      </c>
      <c r="M1582" t="s">
        <v>30</v>
      </c>
      <c r="N1582">
        <f t="shared" si="24"/>
        <v>7</v>
      </c>
    </row>
    <row r="1583" spans="12:14">
      <c r="L1583">
        <v>4783</v>
      </c>
      <c r="M1583" t="s">
        <v>30</v>
      </c>
      <c r="N1583">
        <f t="shared" si="24"/>
        <v>7</v>
      </c>
    </row>
    <row r="1584" spans="12:14">
      <c r="L1584">
        <v>915</v>
      </c>
      <c r="N1584" t="str">
        <f t="shared" si="24"/>
        <v/>
      </c>
    </row>
    <row r="1585" spans="12:14">
      <c r="L1585">
        <v>3858</v>
      </c>
      <c r="M1585" t="s">
        <v>30</v>
      </c>
      <c r="N1585">
        <f t="shared" si="24"/>
        <v>7</v>
      </c>
    </row>
    <row r="1586" spans="12:14">
      <c r="L1586">
        <v>534</v>
      </c>
      <c r="N1586" t="str">
        <f t="shared" si="24"/>
        <v/>
      </c>
    </row>
    <row r="1587" spans="12:14">
      <c r="L1587">
        <v>1901</v>
      </c>
      <c r="N1587" t="str">
        <f t="shared" si="24"/>
        <v/>
      </c>
    </row>
    <row r="1588" spans="12:14">
      <c r="L1588">
        <v>4535</v>
      </c>
      <c r="M1588" t="s">
        <v>28</v>
      </c>
      <c r="N1588">
        <f t="shared" si="24"/>
        <v>3</v>
      </c>
    </row>
    <row r="1589" spans="12:14">
      <c r="L1589">
        <v>1331</v>
      </c>
      <c r="M1589" t="s">
        <v>19</v>
      </c>
      <c r="N1589">
        <f t="shared" si="24"/>
        <v>2</v>
      </c>
    </row>
    <row r="1590" spans="12:14">
      <c r="L1590">
        <v>553</v>
      </c>
      <c r="M1590" t="s">
        <v>25</v>
      </c>
      <c r="N1590">
        <f t="shared" si="24"/>
        <v>5</v>
      </c>
    </row>
    <row r="1591" spans="12:14">
      <c r="L1591">
        <v>1657</v>
      </c>
      <c r="M1591" t="s">
        <v>29</v>
      </c>
      <c r="N1591">
        <f t="shared" si="24"/>
        <v>4</v>
      </c>
    </row>
    <row r="1592" spans="12:14">
      <c r="L1592">
        <v>1548</v>
      </c>
      <c r="N1592" t="str">
        <f t="shared" si="24"/>
        <v/>
      </c>
    </row>
    <row r="1593" spans="12:14">
      <c r="L1593">
        <v>3201</v>
      </c>
      <c r="N1593" t="str">
        <f t="shared" si="24"/>
        <v/>
      </c>
    </row>
    <row r="1594" spans="12:14">
      <c r="L1594">
        <v>478</v>
      </c>
      <c r="N1594" t="str">
        <f t="shared" si="24"/>
        <v/>
      </c>
    </row>
    <row r="1595" spans="12:14">
      <c r="L1595">
        <v>327</v>
      </c>
      <c r="N1595" t="str">
        <f t="shared" si="24"/>
        <v/>
      </c>
    </row>
    <row r="1596" spans="12:14">
      <c r="L1596">
        <v>4912</v>
      </c>
      <c r="N1596" t="str">
        <f t="shared" si="24"/>
        <v/>
      </c>
    </row>
    <row r="1597" spans="12:14">
      <c r="L1597">
        <v>2441</v>
      </c>
      <c r="N1597" t="str">
        <f t="shared" si="24"/>
        <v/>
      </c>
    </row>
    <row r="1598" spans="12:14">
      <c r="L1598">
        <v>2593</v>
      </c>
      <c r="N1598" t="str">
        <f t="shared" si="24"/>
        <v/>
      </c>
    </row>
    <row r="1599" spans="12:14">
      <c r="L1599">
        <v>1126</v>
      </c>
      <c r="M1599" t="s">
        <v>25</v>
      </c>
      <c r="N1599">
        <f t="shared" si="24"/>
        <v>5</v>
      </c>
    </row>
    <row r="1600" spans="12:14">
      <c r="L1600">
        <v>3665</v>
      </c>
      <c r="M1600" t="s">
        <v>30</v>
      </c>
      <c r="N1600">
        <f t="shared" si="24"/>
        <v>7</v>
      </c>
    </row>
    <row r="1601" spans="12:14">
      <c r="L1601">
        <v>4985</v>
      </c>
      <c r="N1601" t="str">
        <f t="shared" si="24"/>
        <v/>
      </c>
    </row>
    <row r="1602" spans="12:14">
      <c r="L1602">
        <v>1895</v>
      </c>
      <c r="M1602" t="s">
        <v>30</v>
      </c>
      <c r="N1602">
        <f t="shared" si="24"/>
        <v>7</v>
      </c>
    </row>
    <row r="1603" spans="12:14">
      <c r="L1603">
        <v>4410</v>
      </c>
      <c r="M1603" t="s">
        <v>30</v>
      </c>
      <c r="N1603">
        <f t="shared" ref="N1603:N1666" si="25">IFERROR(VLOOKUP(M1603,$A$3:$B$10,2,0),"")</f>
        <v>7</v>
      </c>
    </row>
    <row r="1604" spans="12:14">
      <c r="L1604">
        <v>2993</v>
      </c>
      <c r="N1604" t="str">
        <f t="shared" si="25"/>
        <v/>
      </c>
    </row>
    <row r="1605" spans="12:14">
      <c r="L1605">
        <v>4348</v>
      </c>
      <c r="M1605" t="s">
        <v>29</v>
      </c>
      <c r="N1605">
        <f t="shared" si="25"/>
        <v>4</v>
      </c>
    </row>
    <row r="1606" spans="12:14">
      <c r="L1606">
        <v>942</v>
      </c>
      <c r="N1606" t="str">
        <f t="shared" si="25"/>
        <v/>
      </c>
    </row>
    <row r="1607" spans="12:14">
      <c r="L1607">
        <v>4515</v>
      </c>
      <c r="N1607" t="str">
        <f t="shared" si="25"/>
        <v/>
      </c>
    </row>
    <row r="1608" spans="12:14">
      <c r="L1608">
        <v>3598</v>
      </c>
      <c r="M1608" t="s">
        <v>28</v>
      </c>
      <c r="N1608">
        <f t="shared" si="25"/>
        <v>3</v>
      </c>
    </row>
    <row r="1609" spans="12:14">
      <c r="L1609">
        <v>1332</v>
      </c>
      <c r="N1609" t="str">
        <f t="shared" si="25"/>
        <v/>
      </c>
    </row>
    <row r="1610" spans="12:14">
      <c r="L1610">
        <v>2989</v>
      </c>
      <c r="M1610" t="s">
        <v>26</v>
      </c>
      <c r="N1610">
        <f t="shared" si="25"/>
        <v>1</v>
      </c>
    </row>
    <row r="1611" spans="12:14">
      <c r="L1611">
        <v>3219</v>
      </c>
      <c r="N1611" t="str">
        <f t="shared" si="25"/>
        <v/>
      </c>
    </row>
    <row r="1612" spans="12:14">
      <c r="L1612">
        <v>4317</v>
      </c>
      <c r="N1612" t="str">
        <f t="shared" si="25"/>
        <v/>
      </c>
    </row>
    <row r="1613" spans="12:14">
      <c r="L1613">
        <v>2135</v>
      </c>
      <c r="M1613" t="s">
        <v>25</v>
      </c>
      <c r="N1613">
        <f t="shared" si="25"/>
        <v>5</v>
      </c>
    </row>
    <row r="1614" spans="12:14">
      <c r="L1614">
        <v>1590</v>
      </c>
      <c r="N1614" t="str">
        <f t="shared" si="25"/>
        <v/>
      </c>
    </row>
    <row r="1615" spans="12:14">
      <c r="L1615">
        <v>4652</v>
      </c>
      <c r="N1615" t="str">
        <f t="shared" si="25"/>
        <v/>
      </c>
    </row>
    <row r="1616" spans="12:14">
      <c r="L1616">
        <v>779</v>
      </c>
      <c r="N1616" t="str">
        <f t="shared" si="25"/>
        <v/>
      </c>
    </row>
    <row r="1617" spans="12:14">
      <c r="L1617">
        <v>1916</v>
      </c>
      <c r="M1617" t="s">
        <v>30</v>
      </c>
      <c r="N1617">
        <f t="shared" si="25"/>
        <v>7</v>
      </c>
    </row>
    <row r="1618" spans="12:14">
      <c r="L1618">
        <v>4741</v>
      </c>
      <c r="M1618" t="s">
        <v>31</v>
      </c>
      <c r="N1618">
        <f t="shared" si="25"/>
        <v>6</v>
      </c>
    </row>
    <row r="1619" spans="12:14">
      <c r="L1619">
        <v>4660</v>
      </c>
      <c r="N1619" t="str">
        <f t="shared" si="25"/>
        <v/>
      </c>
    </row>
    <row r="1620" spans="12:14">
      <c r="L1620">
        <v>967</v>
      </c>
      <c r="N1620" t="str">
        <f t="shared" si="25"/>
        <v/>
      </c>
    </row>
    <row r="1621" spans="12:14">
      <c r="L1621">
        <v>2810</v>
      </c>
      <c r="N1621" t="str">
        <f t="shared" si="25"/>
        <v/>
      </c>
    </row>
    <row r="1622" spans="12:14">
      <c r="L1622">
        <v>1512</v>
      </c>
      <c r="M1622" t="s">
        <v>31</v>
      </c>
      <c r="N1622">
        <f t="shared" si="25"/>
        <v>6</v>
      </c>
    </row>
    <row r="1623" spans="12:14">
      <c r="L1623">
        <v>4561</v>
      </c>
      <c r="M1623" t="s">
        <v>28</v>
      </c>
      <c r="N1623">
        <f t="shared" si="25"/>
        <v>3</v>
      </c>
    </row>
    <row r="1624" spans="12:14">
      <c r="L1624">
        <v>2474</v>
      </c>
      <c r="N1624" t="str">
        <f t="shared" si="25"/>
        <v/>
      </c>
    </row>
    <row r="1625" spans="12:14">
      <c r="L1625">
        <v>646</v>
      </c>
      <c r="N1625" t="str">
        <f t="shared" si="25"/>
        <v/>
      </c>
    </row>
    <row r="1626" spans="12:14">
      <c r="L1626">
        <v>4059</v>
      </c>
      <c r="N1626" t="str">
        <f t="shared" si="25"/>
        <v/>
      </c>
    </row>
    <row r="1627" spans="12:14">
      <c r="L1627">
        <v>2136</v>
      </c>
      <c r="N1627" t="str">
        <f t="shared" si="25"/>
        <v/>
      </c>
    </row>
    <row r="1628" spans="12:14">
      <c r="L1628">
        <v>1773</v>
      </c>
      <c r="N1628" t="str">
        <f t="shared" si="25"/>
        <v/>
      </c>
    </row>
    <row r="1629" spans="12:14">
      <c r="L1629">
        <v>2871</v>
      </c>
      <c r="N1629" t="str">
        <f t="shared" si="25"/>
        <v/>
      </c>
    </row>
    <row r="1630" spans="12:14">
      <c r="L1630">
        <v>119</v>
      </c>
      <c r="M1630" t="s">
        <v>30</v>
      </c>
      <c r="N1630">
        <f t="shared" si="25"/>
        <v>7</v>
      </c>
    </row>
    <row r="1631" spans="12:14">
      <c r="L1631">
        <v>759</v>
      </c>
      <c r="N1631" t="str">
        <f t="shared" si="25"/>
        <v/>
      </c>
    </row>
    <row r="1632" spans="12:14">
      <c r="L1632">
        <v>2237</v>
      </c>
      <c r="N1632" t="str">
        <f t="shared" si="25"/>
        <v/>
      </c>
    </row>
    <row r="1633" spans="12:14">
      <c r="L1633">
        <v>2622</v>
      </c>
      <c r="N1633" t="str">
        <f t="shared" si="25"/>
        <v/>
      </c>
    </row>
    <row r="1634" spans="12:14">
      <c r="L1634">
        <v>2873</v>
      </c>
      <c r="N1634" t="str">
        <f t="shared" si="25"/>
        <v/>
      </c>
    </row>
    <row r="1635" spans="12:14">
      <c r="L1635">
        <v>474</v>
      </c>
      <c r="M1635" t="s">
        <v>31</v>
      </c>
      <c r="N1635">
        <f t="shared" si="25"/>
        <v>6</v>
      </c>
    </row>
    <row r="1636" spans="12:14">
      <c r="L1636">
        <v>2675</v>
      </c>
      <c r="N1636" t="str">
        <f t="shared" si="25"/>
        <v/>
      </c>
    </row>
    <row r="1637" spans="12:14">
      <c r="L1637">
        <v>1600</v>
      </c>
      <c r="N1637" t="str">
        <f t="shared" si="25"/>
        <v/>
      </c>
    </row>
    <row r="1638" spans="12:14">
      <c r="L1638">
        <v>2395</v>
      </c>
      <c r="N1638" t="str">
        <f t="shared" si="25"/>
        <v/>
      </c>
    </row>
    <row r="1639" spans="12:14">
      <c r="L1639">
        <v>229</v>
      </c>
      <c r="M1639" t="s">
        <v>26</v>
      </c>
      <c r="N1639">
        <f t="shared" si="25"/>
        <v>1</v>
      </c>
    </row>
    <row r="1640" spans="12:14">
      <c r="L1640">
        <v>4109</v>
      </c>
      <c r="N1640" t="str">
        <f t="shared" si="25"/>
        <v/>
      </c>
    </row>
    <row r="1641" spans="12:14">
      <c r="L1641">
        <v>3226</v>
      </c>
      <c r="M1641" t="s">
        <v>29</v>
      </c>
      <c r="N1641">
        <f t="shared" si="25"/>
        <v>4</v>
      </c>
    </row>
    <row r="1642" spans="12:14">
      <c r="L1642">
        <v>3341</v>
      </c>
      <c r="M1642" t="s">
        <v>19</v>
      </c>
      <c r="N1642">
        <f t="shared" si="25"/>
        <v>2</v>
      </c>
    </row>
    <row r="1643" spans="12:14">
      <c r="L1643">
        <v>281</v>
      </c>
      <c r="M1643" t="s">
        <v>26</v>
      </c>
      <c r="N1643">
        <f t="shared" si="25"/>
        <v>1</v>
      </c>
    </row>
    <row r="1644" spans="12:14">
      <c r="L1644">
        <v>3335</v>
      </c>
      <c r="N1644" t="str">
        <f t="shared" si="25"/>
        <v/>
      </c>
    </row>
    <row r="1645" spans="12:14">
      <c r="L1645">
        <v>2510</v>
      </c>
      <c r="N1645" t="str">
        <f t="shared" si="25"/>
        <v/>
      </c>
    </row>
    <row r="1646" spans="12:14">
      <c r="L1646">
        <v>490</v>
      </c>
      <c r="N1646" t="str">
        <f t="shared" si="25"/>
        <v/>
      </c>
    </row>
    <row r="1647" spans="12:14">
      <c r="L1647">
        <v>4523</v>
      </c>
      <c r="M1647" t="s">
        <v>19</v>
      </c>
      <c r="N1647">
        <f t="shared" si="25"/>
        <v>2</v>
      </c>
    </row>
    <row r="1648" spans="12:14">
      <c r="L1648">
        <v>2758</v>
      </c>
      <c r="N1648" t="str">
        <f t="shared" si="25"/>
        <v/>
      </c>
    </row>
    <row r="1649" spans="12:14">
      <c r="L1649">
        <v>906</v>
      </c>
      <c r="N1649" t="str">
        <f t="shared" si="25"/>
        <v/>
      </c>
    </row>
    <row r="1650" spans="12:14">
      <c r="L1650">
        <v>1231</v>
      </c>
      <c r="M1650" t="s">
        <v>28</v>
      </c>
      <c r="N1650">
        <f t="shared" si="25"/>
        <v>3</v>
      </c>
    </row>
    <row r="1651" spans="12:14">
      <c r="L1651">
        <v>2263</v>
      </c>
      <c r="M1651" t="s">
        <v>25</v>
      </c>
      <c r="N1651">
        <f t="shared" si="25"/>
        <v>5</v>
      </c>
    </row>
    <row r="1652" spans="12:14">
      <c r="L1652">
        <v>2114</v>
      </c>
      <c r="M1652" t="s">
        <v>29</v>
      </c>
      <c r="N1652">
        <f t="shared" si="25"/>
        <v>4</v>
      </c>
    </row>
    <row r="1653" spans="12:14">
      <c r="L1653">
        <v>3575</v>
      </c>
      <c r="M1653" t="s">
        <v>29</v>
      </c>
      <c r="N1653">
        <f t="shared" si="25"/>
        <v>4</v>
      </c>
    </row>
    <row r="1654" spans="12:14">
      <c r="L1654">
        <v>459</v>
      </c>
      <c r="N1654" t="str">
        <f t="shared" si="25"/>
        <v/>
      </c>
    </row>
    <row r="1655" spans="12:14">
      <c r="L1655">
        <v>4284</v>
      </c>
      <c r="N1655" t="str">
        <f t="shared" si="25"/>
        <v/>
      </c>
    </row>
    <row r="1656" spans="12:14">
      <c r="L1656">
        <v>1941</v>
      </c>
      <c r="M1656" t="s">
        <v>25</v>
      </c>
      <c r="N1656">
        <f t="shared" si="25"/>
        <v>5</v>
      </c>
    </row>
    <row r="1657" spans="12:14">
      <c r="L1657">
        <v>2332</v>
      </c>
      <c r="M1657" t="s">
        <v>29</v>
      </c>
      <c r="N1657">
        <f t="shared" si="25"/>
        <v>4</v>
      </c>
    </row>
    <row r="1658" spans="12:14">
      <c r="L1658">
        <v>529</v>
      </c>
      <c r="N1658" t="str">
        <f t="shared" si="25"/>
        <v/>
      </c>
    </row>
    <row r="1659" spans="12:14">
      <c r="L1659">
        <v>1622</v>
      </c>
      <c r="M1659" t="s">
        <v>31</v>
      </c>
      <c r="N1659">
        <f t="shared" si="25"/>
        <v>6</v>
      </c>
    </row>
    <row r="1660" spans="12:14">
      <c r="L1660">
        <v>3025</v>
      </c>
      <c r="N1660" t="str">
        <f t="shared" si="25"/>
        <v/>
      </c>
    </row>
    <row r="1661" spans="12:14">
      <c r="L1661">
        <v>4010</v>
      </c>
      <c r="M1661" t="s">
        <v>25</v>
      </c>
      <c r="N1661">
        <f t="shared" si="25"/>
        <v>5</v>
      </c>
    </row>
    <row r="1662" spans="12:14">
      <c r="L1662">
        <v>3563</v>
      </c>
      <c r="N1662" t="str">
        <f t="shared" si="25"/>
        <v/>
      </c>
    </row>
    <row r="1663" spans="12:14">
      <c r="L1663">
        <v>4361</v>
      </c>
      <c r="N1663" t="str">
        <f t="shared" si="25"/>
        <v/>
      </c>
    </row>
    <row r="1664" spans="12:14">
      <c r="L1664">
        <v>1101</v>
      </c>
      <c r="M1664" t="s">
        <v>19</v>
      </c>
      <c r="N1664">
        <f t="shared" si="25"/>
        <v>2</v>
      </c>
    </row>
    <row r="1665" spans="12:14">
      <c r="L1665">
        <v>7</v>
      </c>
      <c r="M1665" t="s">
        <v>31</v>
      </c>
      <c r="N1665">
        <f t="shared" si="25"/>
        <v>6</v>
      </c>
    </row>
    <row r="1666" spans="12:14">
      <c r="L1666">
        <v>4892</v>
      </c>
      <c r="N1666" t="str">
        <f t="shared" si="25"/>
        <v/>
      </c>
    </row>
    <row r="1667" spans="12:14">
      <c r="L1667">
        <v>617</v>
      </c>
      <c r="M1667" t="s">
        <v>28</v>
      </c>
      <c r="N1667">
        <f t="shared" ref="N1667:N1730" si="26">IFERROR(VLOOKUP(M1667,$A$3:$B$10,2,0),"")</f>
        <v>3</v>
      </c>
    </row>
    <row r="1668" spans="12:14">
      <c r="L1668">
        <v>1320</v>
      </c>
      <c r="M1668" t="s">
        <v>28</v>
      </c>
      <c r="N1668">
        <f t="shared" si="26"/>
        <v>3</v>
      </c>
    </row>
    <row r="1669" spans="12:14">
      <c r="L1669">
        <v>4237</v>
      </c>
      <c r="M1669" t="s">
        <v>26</v>
      </c>
      <c r="N1669">
        <f t="shared" si="26"/>
        <v>1</v>
      </c>
    </row>
    <row r="1670" spans="12:14">
      <c r="L1670">
        <v>4456</v>
      </c>
      <c r="N1670" t="str">
        <f t="shared" si="26"/>
        <v/>
      </c>
    </row>
    <row r="1671" spans="12:14">
      <c r="L1671">
        <v>1414</v>
      </c>
      <c r="N1671" t="str">
        <f t="shared" si="26"/>
        <v/>
      </c>
    </row>
    <row r="1672" spans="12:14">
      <c r="L1672">
        <v>4210</v>
      </c>
      <c r="M1672" t="s">
        <v>29</v>
      </c>
      <c r="N1672">
        <f t="shared" si="26"/>
        <v>4</v>
      </c>
    </row>
    <row r="1673" spans="12:14">
      <c r="L1673">
        <v>425</v>
      </c>
      <c r="N1673" t="str">
        <f t="shared" si="26"/>
        <v/>
      </c>
    </row>
    <row r="1674" spans="12:14">
      <c r="L1674">
        <v>4086</v>
      </c>
      <c r="N1674" t="str">
        <f t="shared" si="26"/>
        <v/>
      </c>
    </row>
    <row r="1675" spans="12:14">
      <c r="L1675">
        <v>2733</v>
      </c>
      <c r="N1675" t="str">
        <f t="shared" si="26"/>
        <v/>
      </c>
    </row>
    <row r="1676" spans="12:14">
      <c r="L1676">
        <v>4793</v>
      </c>
      <c r="N1676" t="str">
        <f t="shared" si="26"/>
        <v/>
      </c>
    </row>
    <row r="1677" spans="12:14">
      <c r="L1677">
        <v>3744</v>
      </c>
      <c r="N1677" t="str">
        <f t="shared" si="26"/>
        <v/>
      </c>
    </row>
    <row r="1678" spans="12:14">
      <c r="L1678">
        <v>1717</v>
      </c>
      <c r="N1678" t="str">
        <f t="shared" si="26"/>
        <v/>
      </c>
    </row>
    <row r="1679" spans="12:14">
      <c r="L1679">
        <v>1521</v>
      </c>
      <c r="M1679" t="s">
        <v>31</v>
      </c>
      <c r="N1679">
        <f t="shared" si="26"/>
        <v>6</v>
      </c>
    </row>
    <row r="1680" spans="12:14">
      <c r="L1680">
        <v>2678</v>
      </c>
      <c r="M1680" t="s">
        <v>26</v>
      </c>
      <c r="N1680">
        <f t="shared" si="26"/>
        <v>1</v>
      </c>
    </row>
    <row r="1681" spans="12:14">
      <c r="L1681">
        <v>1999</v>
      </c>
      <c r="M1681" t="s">
        <v>28</v>
      </c>
      <c r="N1681">
        <f t="shared" si="26"/>
        <v>3</v>
      </c>
    </row>
    <row r="1682" spans="12:14">
      <c r="L1682">
        <v>1715</v>
      </c>
      <c r="N1682" t="str">
        <f t="shared" si="26"/>
        <v/>
      </c>
    </row>
    <row r="1683" spans="12:14">
      <c r="L1683">
        <v>3165</v>
      </c>
      <c r="N1683" t="str">
        <f t="shared" si="26"/>
        <v/>
      </c>
    </row>
    <row r="1684" spans="12:14">
      <c r="L1684">
        <v>2449</v>
      </c>
      <c r="N1684" t="str">
        <f t="shared" si="26"/>
        <v/>
      </c>
    </row>
    <row r="1685" spans="12:14">
      <c r="L1685">
        <v>3234</v>
      </c>
      <c r="N1685" t="str">
        <f t="shared" si="26"/>
        <v/>
      </c>
    </row>
    <row r="1686" spans="12:14">
      <c r="L1686">
        <v>1232</v>
      </c>
      <c r="M1686" t="s">
        <v>29</v>
      </c>
      <c r="N1686">
        <f t="shared" si="26"/>
        <v>4</v>
      </c>
    </row>
    <row r="1687" spans="12:14">
      <c r="L1687">
        <v>125</v>
      </c>
      <c r="N1687" t="str">
        <f t="shared" si="26"/>
        <v/>
      </c>
    </row>
    <row r="1688" spans="12:14">
      <c r="L1688">
        <v>1033</v>
      </c>
      <c r="M1688" t="s">
        <v>29</v>
      </c>
      <c r="N1688">
        <f t="shared" si="26"/>
        <v>4</v>
      </c>
    </row>
    <row r="1689" spans="12:14">
      <c r="L1689">
        <v>3955</v>
      </c>
      <c r="N1689" t="str">
        <f t="shared" si="26"/>
        <v/>
      </c>
    </row>
    <row r="1690" spans="12:14">
      <c r="L1690">
        <v>543</v>
      </c>
      <c r="M1690" t="s">
        <v>31</v>
      </c>
      <c r="N1690">
        <f t="shared" si="26"/>
        <v>6</v>
      </c>
    </row>
    <row r="1691" spans="12:14">
      <c r="L1691">
        <v>1095</v>
      </c>
      <c r="N1691" t="str">
        <f t="shared" si="26"/>
        <v/>
      </c>
    </row>
    <row r="1692" spans="12:14">
      <c r="L1692">
        <v>1555</v>
      </c>
      <c r="N1692" t="str">
        <f t="shared" si="26"/>
        <v/>
      </c>
    </row>
    <row r="1693" spans="12:14">
      <c r="L1693">
        <v>1333</v>
      </c>
      <c r="M1693" t="s">
        <v>25</v>
      </c>
      <c r="N1693">
        <f t="shared" si="26"/>
        <v>5</v>
      </c>
    </row>
    <row r="1694" spans="12:14">
      <c r="L1694">
        <v>109</v>
      </c>
      <c r="N1694" t="str">
        <f t="shared" si="26"/>
        <v/>
      </c>
    </row>
    <row r="1695" spans="12:14">
      <c r="L1695">
        <v>745</v>
      </c>
      <c r="N1695" t="str">
        <f t="shared" si="26"/>
        <v/>
      </c>
    </row>
    <row r="1696" spans="12:14">
      <c r="L1696">
        <v>3535</v>
      </c>
      <c r="N1696" t="str">
        <f t="shared" si="26"/>
        <v/>
      </c>
    </row>
    <row r="1697" spans="12:14">
      <c r="L1697">
        <v>881</v>
      </c>
      <c r="N1697" t="str">
        <f t="shared" si="26"/>
        <v/>
      </c>
    </row>
    <row r="1698" spans="12:14">
      <c r="L1698">
        <v>777</v>
      </c>
      <c r="M1698" t="s">
        <v>25</v>
      </c>
      <c r="N1698">
        <f t="shared" si="26"/>
        <v>5</v>
      </c>
    </row>
    <row r="1699" spans="12:14">
      <c r="L1699">
        <v>4082</v>
      </c>
      <c r="M1699" t="s">
        <v>26</v>
      </c>
      <c r="N1699">
        <f t="shared" si="26"/>
        <v>1</v>
      </c>
    </row>
    <row r="1700" spans="12:14">
      <c r="L1700">
        <v>3437</v>
      </c>
      <c r="N1700" t="str">
        <f t="shared" si="26"/>
        <v/>
      </c>
    </row>
    <row r="1701" spans="12:14">
      <c r="L1701">
        <v>2567</v>
      </c>
      <c r="M1701" t="s">
        <v>28</v>
      </c>
      <c r="N1701">
        <f t="shared" si="26"/>
        <v>3</v>
      </c>
    </row>
    <row r="1702" spans="12:14">
      <c r="L1702">
        <v>1581</v>
      </c>
      <c r="N1702" t="str">
        <f t="shared" si="26"/>
        <v/>
      </c>
    </row>
    <row r="1703" spans="12:14">
      <c r="L1703">
        <v>4565</v>
      </c>
      <c r="N1703" t="str">
        <f t="shared" si="26"/>
        <v/>
      </c>
    </row>
    <row r="1704" spans="12:14">
      <c r="L1704">
        <v>3597</v>
      </c>
      <c r="M1704" t="s">
        <v>19</v>
      </c>
      <c r="N1704">
        <f t="shared" si="26"/>
        <v>2</v>
      </c>
    </row>
    <row r="1705" spans="12:14">
      <c r="L1705">
        <v>2728</v>
      </c>
      <c r="N1705" t="str">
        <f t="shared" si="26"/>
        <v/>
      </c>
    </row>
    <row r="1706" spans="12:14">
      <c r="L1706">
        <v>4020</v>
      </c>
      <c r="N1706" t="str">
        <f t="shared" si="26"/>
        <v/>
      </c>
    </row>
    <row r="1707" spans="12:14">
      <c r="L1707">
        <v>3215</v>
      </c>
      <c r="N1707" t="str">
        <f t="shared" si="26"/>
        <v/>
      </c>
    </row>
    <row r="1708" spans="12:14">
      <c r="L1708">
        <v>3521</v>
      </c>
      <c r="N1708" t="str">
        <f t="shared" si="26"/>
        <v/>
      </c>
    </row>
    <row r="1709" spans="12:14">
      <c r="L1709">
        <v>3880</v>
      </c>
      <c r="M1709" t="s">
        <v>19</v>
      </c>
      <c r="N1709">
        <f t="shared" si="26"/>
        <v>2</v>
      </c>
    </row>
    <row r="1710" spans="12:14">
      <c r="L1710">
        <v>3419</v>
      </c>
      <c r="N1710" t="str">
        <f t="shared" si="26"/>
        <v/>
      </c>
    </row>
    <row r="1711" spans="12:14">
      <c r="L1711">
        <v>1090</v>
      </c>
      <c r="N1711" t="str">
        <f t="shared" si="26"/>
        <v/>
      </c>
    </row>
    <row r="1712" spans="12:14">
      <c r="L1712">
        <v>1047</v>
      </c>
      <c r="N1712" t="str">
        <f t="shared" si="26"/>
        <v/>
      </c>
    </row>
    <row r="1713" spans="12:14">
      <c r="L1713">
        <v>2822</v>
      </c>
      <c r="N1713" t="str">
        <f t="shared" si="26"/>
        <v/>
      </c>
    </row>
    <row r="1714" spans="12:14">
      <c r="L1714">
        <v>2911</v>
      </c>
      <c r="N1714" t="str">
        <f t="shared" si="26"/>
        <v/>
      </c>
    </row>
    <row r="1715" spans="12:14">
      <c r="L1715">
        <v>4598</v>
      </c>
      <c r="M1715" t="s">
        <v>31</v>
      </c>
      <c r="N1715">
        <f t="shared" si="26"/>
        <v>6</v>
      </c>
    </row>
    <row r="1716" spans="12:14">
      <c r="L1716">
        <v>4745</v>
      </c>
      <c r="N1716" t="str">
        <f t="shared" si="26"/>
        <v/>
      </c>
    </row>
    <row r="1717" spans="12:14">
      <c r="L1717">
        <v>4372</v>
      </c>
      <c r="M1717" t="s">
        <v>30</v>
      </c>
      <c r="N1717">
        <f t="shared" si="26"/>
        <v>7</v>
      </c>
    </row>
    <row r="1718" spans="12:14">
      <c r="L1718">
        <v>2751</v>
      </c>
      <c r="M1718" t="s">
        <v>29</v>
      </c>
      <c r="N1718">
        <f t="shared" si="26"/>
        <v>4</v>
      </c>
    </row>
    <row r="1719" spans="12:14">
      <c r="L1719">
        <v>4264</v>
      </c>
      <c r="N1719" t="str">
        <f t="shared" si="26"/>
        <v/>
      </c>
    </row>
    <row r="1720" spans="12:14">
      <c r="L1720">
        <v>3287</v>
      </c>
      <c r="M1720" t="s">
        <v>30</v>
      </c>
      <c r="N1720">
        <f t="shared" si="26"/>
        <v>7</v>
      </c>
    </row>
    <row r="1721" spans="12:14">
      <c r="L1721">
        <v>361</v>
      </c>
      <c r="M1721" t="s">
        <v>26</v>
      </c>
      <c r="N1721">
        <f t="shared" si="26"/>
        <v>1</v>
      </c>
    </row>
    <row r="1722" spans="12:14">
      <c r="L1722">
        <v>2630</v>
      </c>
      <c r="N1722" t="str">
        <f t="shared" si="26"/>
        <v/>
      </c>
    </row>
    <row r="1723" spans="12:14">
      <c r="L1723">
        <v>2494</v>
      </c>
      <c r="N1723" t="str">
        <f t="shared" si="26"/>
        <v/>
      </c>
    </row>
    <row r="1724" spans="12:14">
      <c r="L1724">
        <v>252</v>
      </c>
      <c r="N1724" t="str">
        <f t="shared" si="26"/>
        <v/>
      </c>
    </row>
    <row r="1725" spans="12:14">
      <c r="L1725">
        <v>3688</v>
      </c>
      <c r="N1725" t="str">
        <f t="shared" si="26"/>
        <v/>
      </c>
    </row>
    <row r="1726" spans="12:14">
      <c r="L1726">
        <v>178</v>
      </c>
      <c r="N1726" t="str">
        <f t="shared" si="26"/>
        <v/>
      </c>
    </row>
    <row r="1727" spans="12:14">
      <c r="L1727">
        <v>1077</v>
      </c>
      <c r="N1727" t="str">
        <f t="shared" si="26"/>
        <v/>
      </c>
    </row>
    <row r="1728" spans="12:14">
      <c r="L1728">
        <v>366</v>
      </c>
      <c r="N1728" t="str">
        <f t="shared" si="26"/>
        <v/>
      </c>
    </row>
    <row r="1729" spans="12:14">
      <c r="L1729">
        <v>4895</v>
      </c>
      <c r="N1729" t="str">
        <f t="shared" si="26"/>
        <v/>
      </c>
    </row>
    <row r="1730" spans="12:14">
      <c r="L1730">
        <v>3518</v>
      </c>
      <c r="N1730" t="str">
        <f t="shared" si="26"/>
        <v/>
      </c>
    </row>
    <row r="1731" spans="12:14">
      <c r="L1731">
        <v>61</v>
      </c>
      <c r="N1731" t="str">
        <f t="shared" ref="N1731:N1794" si="27">IFERROR(VLOOKUP(M1731,$A$3:$B$10,2,0),"")</f>
        <v/>
      </c>
    </row>
    <row r="1732" spans="12:14">
      <c r="L1732">
        <v>2417</v>
      </c>
      <c r="N1732" t="str">
        <f t="shared" si="27"/>
        <v/>
      </c>
    </row>
    <row r="1733" spans="12:14">
      <c r="L1733">
        <v>2437</v>
      </c>
      <c r="N1733" t="str">
        <f t="shared" si="27"/>
        <v/>
      </c>
    </row>
    <row r="1734" spans="12:14">
      <c r="L1734">
        <v>2336</v>
      </c>
      <c r="N1734" t="str">
        <f t="shared" si="27"/>
        <v/>
      </c>
    </row>
    <row r="1735" spans="12:14">
      <c r="L1735">
        <v>2272</v>
      </c>
      <c r="N1735" t="str">
        <f t="shared" si="27"/>
        <v/>
      </c>
    </row>
    <row r="1736" spans="12:14">
      <c r="L1736">
        <v>2420</v>
      </c>
      <c r="N1736" t="str">
        <f t="shared" si="27"/>
        <v/>
      </c>
    </row>
    <row r="1737" spans="12:14">
      <c r="L1737">
        <v>3834</v>
      </c>
      <c r="N1737" t="str">
        <f t="shared" si="27"/>
        <v/>
      </c>
    </row>
    <row r="1738" spans="12:14">
      <c r="L1738">
        <v>4655</v>
      </c>
      <c r="M1738" t="s">
        <v>26</v>
      </c>
      <c r="N1738">
        <f t="shared" si="27"/>
        <v>1</v>
      </c>
    </row>
    <row r="1739" spans="12:14">
      <c r="L1739">
        <v>4166</v>
      </c>
      <c r="M1739" t="s">
        <v>19</v>
      </c>
      <c r="N1739">
        <f t="shared" si="27"/>
        <v>2</v>
      </c>
    </row>
    <row r="1740" spans="12:14">
      <c r="L1740">
        <v>2975</v>
      </c>
      <c r="M1740" t="s">
        <v>30</v>
      </c>
      <c r="N1740">
        <f t="shared" si="27"/>
        <v>7</v>
      </c>
    </row>
    <row r="1741" spans="12:14">
      <c r="L1741">
        <v>1964</v>
      </c>
      <c r="M1741" t="s">
        <v>26</v>
      </c>
      <c r="N1741">
        <f t="shared" si="27"/>
        <v>1</v>
      </c>
    </row>
    <row r="1742" spans="12:14">
      <c r="L1742">
        <v>1489</v>
      </c>
      <c r="N1742" t="str">
        <f t="shared" si="27"/>
        <v/>
      </c>
    </row>
    <row r="1743" spans="12:14">
      <c r="L1743">
        <v>747</v>
      </c>
      <c r="N1743" t="str">
        <f t="shared" si="27"/>
        <v/>
      </c>
    </row>
    <row r="1744" spans="12:14">
      <c r="L1744">
        <v>4054</v>
      </c>
      <c r="N1744" t="str">
        <f t="shared" si="27"/>
        <v/>
      </c>
    </row>
    <row r="1745" spans="12:14">
      <c r="L1745">
        <v>686</v>
      </c>
      <c r="N1745" t="str">
        <f t="shared" si="27"/>
        <v/>
      </c>
    </row>
    <row r="1746" spans="12:14">
      <c r="L1746">
        <v>452</v>
      </c>
      <c r="N1746" t="str">
        <f t="shared" si="27"/>
        <v/>
      </c>
    </row>
    <row r="1747" spans="12:14">
      <c r="L1747">
        <v>3617</v>
      </c>
      <c r="N1747" t="str">
        <f t="shared" si="27"/>
        <v/>
      </c>
    </row>
    <row r="1748" spans="12:14">
      <c r="L1748">
        <v>2194</v>
      </c>
      <c r="M1748" t="s">
        <v>25</v>
      </c>
      <c r="N1748">
        <f t="shared" si="27"/>
        <v>5</v>
      </c>
    </row>
    <row r="1749" spans="12:14">
      <c r="L1749">
        <v>2453</v>
      </c>
      <c r="M1749" t="s">
        <v>25</v>
      </c>
      <c r="N1749">
        <f t="shared" si="27"/>
        <v>5</v>
      </c>
    </row>
    <row r="1750" spans="12:14">
      <c r="L1750">
        <v>4386</v>
      </c>
      <c r="N1750" t="str">
        <f t="shared" si="27"/>
        <v/>
      </c>
    </row>
    <row r="1751" spans="12:14">
      <c r="L1751">
        <v>3388</v>
      </c>
      <c r="N1751" t="str">
        <f t="shared" si="27"/>
        <v/>
      </c>
    </row>
    <row r="1752" spans="12:14">
      <c r="L1752">
        <v>3303</v>
      </c>
      <c r="N1752" t="str">
        <f t="shared" si="27"/>
        <v/>
      </c>
    </row>
    <row r="1753" spans="12:14">
      <c r="L1753">
        <v>256</v>
      </c>
      <c r="N1753" t="str">
        <f t="shared" si="27"/>
        <v/>
      </c>
    </row>
    <row r="1754" spans="12:14">
      <c r="L1754">
        <v>3268</v>
      </c>
      <c r="N1754" t="str">
        <f t="shared" si="27"/>
        <v/>
      </c>
    </row>
    <row r="1755" spans="12:14">
      <c r="L1755">
        <v>2368</v>
      </c>
      <c r="M1755" t="s">
        <v>25</v>
      </c>
      <c r="N1755">
        <f t="shared" si="27"/>
        <v>5</v>
      </c>
    </row>
    <row r="1756" spans="12:14">
      <c r="L1756">
        <v>3879</v>
      </c>
      <c r="M1756" t="s">
        <v>25</v>
      </c>
      <c r="N1756">
        <f t="shared" si="27"/>
        <v>5</v>
      </c>
    </row>
    <row r="1757" spans="12:14">
      <c r="L1757">
        <v>1619</v>
      </c>
      <c r="N1757" t="str">
        <f t="shared" si="27"/>
        <v/>
      </c>
    </row>
    <row r="1758" spans="12:14">
      <c r="L1758">
        <v>1933</v>
      </c>
      <c r="N1758" t="str">
        <f t="shared" si="27"/>
        <v/>
      </c>
    </row>
    <row r="1759" spans="12:14">
      <c r="L1759">
        <v>1283</v>
      </c>
      <c r="M1759" t="s">
        <v>30</v>
      </c>
      <c r="N1759">
        <f t="shared" si="27"/>
        <v>7</v>
      </c>
    </row>
    <row r="1760" spans="12:14">
      <c r="L1760">
        <v>866</v>
      </c>
      <c r="N1760" t="str">
        <f t="shared" si="27"/>
        <v/>
      </c>
    </row>
    <row r="1761" spans="12:14">
      <c r="L1761">
        <v>4232</v>
      </c>
      <c r="N1761" t="str">
        <f t="shared" si="27"/>
        <v/>
      </c>
    </row>
    <row r="1762" spans="12:14">
      <c r="L1762">
        <v>2022</v>
      </c>
      <c r="N1762" t="str">
        <f t="shared" si="27"/>
        <v/>
      </c>
    </row>
    <row r="1763" spans="12:14">
      <c r="L1763">
        <v>3240</v>
      </c>
      <c r="N1763" t="str">
        <f t="shared" si="27"/>
        <v/>
      </c>
    </row>
    <row r="1764" spans="12:14">
      <c r="L1764">
        <v>554</v>
      </c>
      <c r="N1764" t="str">
        <f t="shared" si="27"/>
        <v/>
      </c>
    </row>
    <row r="1765" spans="12:14">
      <c r="L1765">
        <v>2133</v>
      </c>
      <c r="M1765" t="s">
        <v>28</v>
      </c>
      <c r="N1765">
        <f t="shared" si="27"/>
        <v>3</v>
      </c>
    </row>
    <row r="1766" spans="12:14">
      <c r="L1766">
        <v>4140</v>
      </c>
      <c r="N1766" t="str">
        <f t="shared" si="27"/>
        <v/>
      </c>
    </row>
    <row r="1767" spans="12:14">
      <c r="L1767">
        <v>1038</v>
      </c>
      <c r="N1767" t="str">
        <f t="shared" si="27"/>
        <v/>
      </c>
    </row>
    <row r="1768" spans="12:14">
      <c r="L1768">
        <v>3107</v>
      </c>
      <c r="M1768" t="s">
        <v>31</v>
      </c>
      <c r="N1768">
        <f t="shared" si="27"/>
        <v>6</v>
      </c>
    </row>
    <row r="1769" spans="12:14">
      <c r="L1769">
        <v>510</v>
      </c>
      <c r="N1769" t="str">
        <f t="shared" si="27"/>
        <v/>
      </c>
    </row>
    <row r="1770" spans="12:14">
      <c r="L1770">
        <v>3673</v>
      </c>
      <c r="N1770" t="str">
        <f t="shared" si="27"/>
        <v/>
      </c>
    </row>
    <row r="1771" spans="12:14">
      <c r="L1771">
        <v>1595</v>
      </c>
      <c r="N1771" t="str">
        <f t="shared" si="27"/>
        <v/>
      </c>
    </row>
    <row r="1772" spans="12:14">
      <c r="L1772">
        <v>197</v>
      </c>
      <c r="N1772" t="str">
        <f t="shared" si="27"/>
        <v/>
      </c>
    </row>
    <row r="1773" spans="12:14">
      <c r="L1773">
        <v>2967</v>
      </c>
      <c r="N1773" t="str">
        <f t="shared" si="27"/>
        <v/>
      </c>
    </row>
    <row r="1774" spans="12:14">
      <c r="L1774">
        <v>2046</v>
      </c>
      <c r="N1774" t="str">
        <f t="shared" si="27"/>
        <v/>
      </c>
    </row>
    <row r="1775" spans="12:14">
      <c r="L1775">
        <v>778</v>
      </c>
      <c r="N1775" t="str">
        <f t="shared" si="27"/>
        <v/>
      </c>
    </row>
    <row r="1776" spans="12:14">
      <c r="L1776">
        <v>236</v>
      </c>
      <c r="N1776" t="str">
        <f t="shared" si="27"/>
        <v/>
      </c>
    </row>
    <row r="1777" spans="12:14">
      <c r="L1777">
        <v>1131</v>
      </c>
      <c r="N1777" t="str">
        <f t="shared" si="27"/>
        <v/>
      </c>
    </row>
    <row r="1778" spans="12:14">
      <c r="L1778">
        <v>3273</v>
      </c>
      <c r="N1778" t="str">
        <f t="shared" si="27"/>
        <v/>
      </c>
    </row>
    <row r="1779" spans="12:14">
      <c r="L1779">
        <v>2215</v>
      </c>
      <c r="N1779" t="str">
        <f t="shared" si="27"/>
        <v/>
      </c>
    </row>
    <row r="1780" spans="12:14">
      <c r="L1780">
        <v>1354</v>
      </c>
      <c r="M1780" t="s">
        <v>28</v>
      </c>
      <c r="N1780">
        <f t="shared" si="27"/>
        <v>3</v>
      </c>
    </row>
    <row r="1781" spans="12:14">
      <c r="L1781">
        <v>3311</v>
      </c>
      <c r="N1781" t="str">
        <f t="shared" si="27"/>
        <v/>
      </c>
    </row>
    <row r="1782" spans="12:14">
      <c r="L1782">
        <v>4673</v>
      </c>
      <c r="N1782" t="str">
        <f t="shared" si="27"/>
        <v/>
      </c>
    </row>
    <row r="1783" spans="12:14">
      <c r="L1783">
        <v>2355</v>
      </c>
      <c r="N1783" t="str">
        <f t="shared" si="27"/>
        <v/>
      </c>
    </row>
    <row r="1784" spans="12:14">
      <c r="L1784">
        <v>1870</v>
      </c>
      <c r="N1784" t="str">
        <f t="shared" si="27"/>
        <v/>
      </c>
    </row>
    <row r="1785" spans="12:14">
      <c r="L1785">
        <v>891</v>
      </c>
      <c r="N1785" t="str">
        <f t="shared" si="27"/>
        <v/>
      </c>
    </row>
    <row r="1786" spans="12:14">
      <c r="L1786">
        <v>2520</v>
      </c>
      <c r="N1786" t="str">
        <f t="shared" si="27"/>
        <v/>
      </c>
    </row>
    <row r="1787" spans="12:14">
      <c r="L1787">
        <v>1889</v>
      </c>
      <c r="N1787" t="str">
        <f t="shared" si="27"/>
        <v/>
      </c>
    </row>
    <row r="1788" spans="12:14">
      <c r="L1788">
        <v>4733</v>
      </c>
      <c r="N1788" t="str">
        <f t="shared" si="27"/>
        <v/>
      </c>
    </row>
    <row r="1789" spans="12:14">
      <c r="L1789">
        <v>305</v>
      </c>
      <c r="N1789" t="str">
        <f t="shared" si="27"/>
        <v/>
      </c>
    </row>
    <row r="1790" spans="12:14">
      <c r="L1790">
        <v>1344</v>
      </c>
      <c r="N1790" t="str">
        <f t="shared" si="27"/>
        <v/>
      </c>
    </row>
    <row r="1791" spans="12:14">
      <c r="L1791">
        <v>3566</v>
      </c>
      <c r="N1791" t="str">
        <f t="shared" si="27"/>
        <v/>
      </c>
    </row>
    <row r="1792" spans="12:14">
      <c r="L1792">
        <v>3942</v>
      </c>
      <c r="M1792" t="s">
        <v>19</v>
      </c>
      <c r="N1792">
        <f t="shared" si="27"/>
        <v>2</v>
      </c>
    </row>
    <row r="1793" spans="12:14">
      <c r="L1793">
        <v>4518</v>
      </c>
      <c r="N1793" t="str">
        <f t="shared" si="27"/>
        <v/>
      </c>
    </row>
    <row r="1794" spans="12:14">
      <c r="L1794">
        <v>1312</v>
      </c>
      <c r="N1794" t="str">
        <f t="shared" si="27"/>
        <v/>
      </c>
    </row>
    <row r="1795" spans="12:14">
      <c r="L1795">
        <v>406</v>
      </c>
      <c r="N1795" t="str">
        <f t="shared" ref="N1795:N1858" si="28">IFERROR(VLOOKUP(M1795,$A$3:$B$10,2,0),"")</f>
        <v/>
      </c>
    </row>
    <row r="1796" spans="12:14">
      <c r="L1796">
        <v>595</v>
      </c>
      <c r="M1796" t="s">
        <v>26</v>
      </c>
      <c r="N1796">
        <f t="shared" si="28"/>
        <v>1</v>
      </c>
    </row>
    <row r="1797" spans="12:14">
      <c r="L1797">
        <v>923</v>
      </c>
      <c r="N1797" t="str">
        <f t="shared" si="28"/>
        <v/>
      </c>
    </row>
    <row r="1798" spans="12:14">
      <c r="L1798">
        <v>4018</v>
      </c>
      <c r="N1798" t="str">
        <f t="shared" si="28"/>
        <v/>
      </c>
    </row>
    <row r="1799" spans="12:14">
      <c r="L1799">
        <v>1786</v>
      </c>
      <c r="N1799" t="str">
        <f t="shared" si="28"/>
        <v/>
      </c>
    </row>
    <row r="1800" spans="12:14">
      <c r="L1800">
        <v>4996</v>
      </c>
      <c r="N1800" t="str">
        <f t="shared" si="28"/>
        <v/>
      </c>
    </row>
    <row r="1801" spans="12:14">
      <c r="L1801">
        <v>632</v>
      </c>
      <c r="N1801" t="str">
        <f t="shared" si="28"/>
        <v/>
      </c>
    </row>
    <row r="1802" spans="12:14">
      <c r="L1802">
        <v>198</v>
      </c>
      <c r="N1802" t="str">
        <f t="shared" si="28"/>
        <v/>
      </c>
    </row>
    <row r="1803" spans="12:14">
      <c r="L1803">
        <v>1518</v>
      </c>
      <c r="N1803" t="str">
        <f t="shared" si="28"/>
        <v/>
      </c>
    </row>
    <row r="1804" spans="12:14">
      <c r="L1804">
        <v>122</v>
      </c>
      <c r="M1804" t="s">
        <v>31</v>
      </c>
      <c r="N1804">
        <f t="shared" si="28"/>
        <v>6</v>
      </c>
    </row>
    <row r="1805" spans="12:14">
      <c r="L1805">
        <v>3392</v>
      </c>
      <c r="N1805" t="str">
        <f t="shared" si="28"/>
        <v/>
      </c>
    </row>
    <row r="1806" spans="12:14">
      <c r="L1806">
        <v>898</v>
      </c>
      <c r="N1806" t="str">
        <f t="shared" si="28"/>
        <v/>
      </c>
    </row>
    <row r="1807" spans="12:14">
      <c r="L1807">
        <v>3751</v>
      </c>
      <c r="N1807" t="str">
        <f t="shared" si="28"/>
        <v/>
      </c>
    </row>
    <row r="1808" spans="12:14">
      <c r="L1808">
        <v>854</v>
      </c>
      <c r="M1808" t="s">
        <v>30</v>
      </c>
      <c r="N1808">
        <f t="shared" si="28"/>
        <v>7</v>
      </c>
    </row>
    <row r="1809" spans="12:14">
      <c r="L1809">
        <v>192</v>
      </c>
      <c r="N1809" t="str">
        <f t="shared" si="28"/>
        <v/>
      </c>
    </row>
    <row r="1810" spans="12:14">
      <c r="L1810">
        <v>3260</v>
      </c>
      <c r="N1810" t="str">
        <f t="shared" si="28"/>
        <v/>
      </c>
    </row>
    <row r="1811" spans="12:14">
      <c r="L1811">
        <v>672</v>
      </c>
      <c r="N1811" t="str">
        <f t="shared" si="28"/>
        <v/>
      </c>
    </row>
    <row r="1812" spans="12:14">
      <c r="L1812">
        <v>2721</v>
      </c>
      <c r="N1812" t="str">
        <f t="shared" si="28"/>
        <v/>
      </c>
    </row>
    <row r="1813" spans="12:14">
      <c r="L1813">
        <v>4606</v>
      </c>
      <c r="N1813" t="str">
        <f t="shared" si="28"/>
        <v/>
      </c>
    </row>
    <row r="1814" spans="12:14">
      <c r="L1814">
        <v>4972</v>
      </c>
      <c r="M1814" t="s">
        <v>29</v>
      </c>
      <c r="N1814">
        <f t="shared" si="28"/>
        <v>4</v>
      </c>
    </row>
    <row r="1815" spans="12:14">
      <c r="L1815">
        <v>746</v>
      </c>
      <c r="N1815" t="str">
        <f t="shared" si="28"/>
        <v/>
      </c>
    </row>
    <row r="1816" spans="12:14">
      <c r="L1816">
        <v>4223</v>
      </c>
      <c r="N1816" t="str">
        <f t="shared" si="28"/>
        <v/>
      </c>
    </row>
    <row r="1817" spans="12:14">
      <c r="L1817">
        <v>3505</v>
      </c>
      <c r="N1817" t="str">
        <f t="shared" si="28"/>
        <v/>
      </c>
    </row>
    <row r="1818" spans="12:14">
      <c r="L1818">
        <v>2018</v>
      </c>
      <c r="M1818" t="s">
        <v>26</v>
      </c>
      <c r="N1818">
        <f t="shared" si="28"/>
        <v>1</v>
      </c>
    </row>
    <row r="1819" spans="12:14">
      <c r="L1819">
        <v>4566</v>
      </c>
      <c r="N1819" t="str">
        <f t="shared" si="28"/>
        <v/>
      </c>
    </row>
    <row r="1820" spans="12:14">
      <c r="L1820">
        <v>3147</v>
      </c>
      <c r="M1820" t="s">
        <v>19</v>
      </c>
      <c r="N1820">
        <f t="shared" si="28"/>
        <v>2</v>
      </c>
    </row>
    <row r="1821" spans="12:14">
      <c r="L1821">
        <v>204</v>
      </c>
      <c r="N1821" t="str">
        <f t="shared" si="28"/>
        <v/>
      </c>
    </row>
    <row r="1822" spans="12:14">
      <c r="L1822">
        <v>54</v>
      </c>
      <c r="M1822" t="s">
        <v>30</v>
      </c>
      <c r="N1822">
        <f t="shared" si="28"/>
        <v>7</v>
      </c>
    </row>
    <row r="1823" spans="12:14">
      <c r="L1823">
        <v>3780</v>
      </c>
      <c r="N1823" t="str">
        <f t="shared" si="28"/>
        <v/>
      </c>
    </row>
    <row r="1824" spans="12:14">
      <c r="L1824">
        <v>723</v>
      </c>
      <c r="M1824" t="s">
        <v>30</v>
      </c>
      <c r="N1824">
        <f t="shared" si="28"/>
        <v>7</v>
      </c>
    </row>
    <row r="1825" spans="12:14">
      <c r="L1825">
        <v>4612</v>
      </c>
      <c r="M1825" t="s">
        <v>25</v>
      </c>
      <c r="N1825">
        <f t="shared" si="28"/>
        <v>5</v>
      </c>
    </row>
    <row r="1826" spans="12:14">
      <c r="L1826">
        <v>4268</v>
      </c>
      <c r="N1826" t="str">
        <f t="shared" si="28"/>
        <v/>
      </c>
    </row>
    <row r="1827" spans="12:14">
      <c r="L1827">
        <v>2082</v>
      </c>
      <c r="N1827" t="str">
        <f t="shared" si="28"/>
        <v/>
      </c>
    </row>
    <row r="1828" spans="12:14">
      <c r="L1828">
        <v>2061</v>
      </c>
      <c r="N1828" t="str">
        <f t="shared" si="28"/>
        <v/>
      </c>
    </row>
    <row r="1829" spans="12:14">
      <c r="L1829">
        <v>3689</v>
      </c>
      <c r="N1829" t="str">
        <f t="shared" si="28"/>
        <v/>
      </c>
    </row>
    <row r="1830" spans="12:14">
      <c r="L1830">
        <v>2610</v>
      </c>
      <c r="N1830" t="str">
        <f t="shared" si="28"/>
        <v/>
      </c>
    </row>
    <row r="1831" spans="12:14">
      <c r="L1831">
        <v>1726</v>
      </c>
      <c r="M1831" t="s">
        <v>29</v>
      </c>
      <c r="N1831">
        <f t="shared" si="28"/>
        <v>4</v>
      </c>
    </row>
    <row r="1832" spans="12:14">
      <c r="L1832">
        <v>2550</v>
      </c>
      <c r="N1832" t="str">
        <f t="shared" si="28"/>
        <v/>
      </c>
    </row>
    <row r="1833" spans="12:14">
      <c r="L1833">
        <v>84</v>
      </c>
      <c r="N1833" t="str">
        <f t="shared" si="28"/>
        <v/>
      </c>
    </row>
    <row r="1834" spans="12:14">
      <c r="L1834">
        <v>2727</v>
      </c>
      <c r="N1834" t="str">
        <f t="shared" si="28"/>
        <v/>
      </c>
    </row>
    <row r="1835" spans="12:14">
      <c r="L1835">
        <v>3296</v>
      </c>
      <c r="N1835" t="str">
        <f t="shared" si="28"/>
        <v/>
      </c>
    </row>
    <row r="1836" spans="12:14">
      <c r="L1836">
        <v>4381</v>
      </c>
      <c r="N1836" t="str">
        <f t="shared" si="28"/>
        <v/>
      </c>
    </row>
    <row r="1837" spans="12:14">
      <c r="L1837">
        <v>4252</v>
      </c>
      <c r="N1837" t="str">
        <f t="shared" si="28"/>
        <v/>
      </c>
    </row>
    <row r="1838" spans="12:14">
      <c r="L1838">
        <v>2511</v>
      </c>
      <c r="M1838" t="s">
        <v>29</v>
      </c>
      <c r="N1838">
        <f t="shared" si="28"/>
        <v>4</v>
      </c>
    </row>
    <row r="1839" spans="12:14">
      <c r="L1839">
        <v>2247</v>
      </c>
      <c r="M1839" t="s">
        <v>25</v>
      </c>
      <c r="N1839">
        <f t="shared" si="28"/>
        <v>5</v>
      </c>
    </row>
    <row r="1840" spans="12:14">
      <c r="L1840">
        <v>1789</v>
      </c>
      <c r="N1840" t="str">
        <f t="shared" si="28"/>
        <v/>
      </c>
    </row>
    <row r="1841" spans="12:14">
      <c r="L1841">
        <v>3158</v>
      </c>
      <c r="N1841" t="str">
        <f t="shared" si="28"/>
        <v/>
      </c>
    </row>
    <row r="1842" spans="12:14">
      <c r="L1842">
        <v>1712</v>
      </c>
      <c r="N1842" t="str">
        <f t="shared" si="28"/>
        <v/>
      </c>
    </row>
    <row r="1843" spans="12:14">
      <c r="L1843">
        <v>1259</v>
      </c>
      <c r="M1843" t="s">
        <v>28</v>
      </c>
      <c r="N1843">
        <f t="shared" si="28"/>
        <v>3</v>
      </c>
    </row>
    <row r="1844" spans="12:14">
      <c r="L1844">
        <v>3510</v>
      </c>
      <c r="M1844" t="s">
        <v>28</v>
      </c>
      <c r="N1844">
        <f t="shared" si="28"/>
        <v>3</v>
      </c>
    </row>
    <row r="1845" spans="12:14">
      <c r="L1845">
        <v>1930</v>
      </c>
      <c r="N1845" t="str">
        <f t="shared" si="28"/>
        <v/>
      </c>
    </row>
    <row r="1846" spans="12:14">
      <c r="L1846">
        <v>3123</v>
      </c>
      <c r="N1846" t="str">
        <f t="shared" si="28"/>
        <v/>
      </c>
    </row>
    <row r="1847" spans="12:14">
      <c r="L1847">
        <v>1039</v>
      </c>
      <c r="M1847" t="s">
        <v>25</v>
      </c>
      <c r="N1847">
        <f t="shared" si="28"/>
        <v>5</v>
      </c>
    </row>
    <row r="1848" spans="12:14">
      <c r="L1848">
        <v>2009</v>
      </c>
      <c r="N1848" t="str">
        <f t="shared" si="28"/>
        <v/>
      </c>
    </row>
    <row r="1849" spans="12:14">
      <c r="L1849">
        <v>3540</v>
      </c>
      <c r="M1849" t="s">
        <v>25</v>
      </c>
      <c r="N1849">
        <f t="shared" si="28"/>
        <v>5</v>
      </c>
    </row>
    <row r="1850" spans="12:14">
      <c r="L1850">
        <v>860</v>
      </c>
      <c r="M1850" t="s">
        <v>28</v>
      </c>
      <c r="N1850">
        <f t="shared" si="28"/>
        <v>3</v>
      </c>
    </row>
    <row r="1851" spans="12:14">
      <c r="L1851">
        <v>2358</v>
      </c>
      <c r="N1851" t="str">
        <f t="shared" si="28"/>
        <v/>
      </c>
    </row>
    <row r="1852" spans="12:14">
      <c r="L1852">
        <v>3727</v>
      </c>
      <c r="N1852" t="str">
        <f t="shared" si="28"/>
        <v/>
      </c>
    </row>
    <row r="1853" spans="12:14">
      <c r="L1853">
        <v>2760</v>
      </c>
      <c r="N1853" t="str">
        <f t="shared" si="28"/>
        <v/>
      </c>
    </row>
    <row r="1854" spans="12:14">
      <c r="L1854">
        <v>705</v>
      </c>
      <c r="M1854" t="s">
        <v>28</v>
      </c>
      <c r="N1854">
        <f t="shared" si="28"/>
        <v>3</v>
      </c>
    </row>
    <row r="1855" spans="12:14">
      <c r="L1855">
        <v>3322</v>
      </c>
      <c r="M1855" t="s">
        <v>28</v>
      </c>
      <c r="N1855">
        <f t="shared" si="28"/>
        <v>3</v>
      </c>
    </row>
    <row r="1856" spans="12:14">
      <c r="L1856">
        <v>2012</v>
      </c>
      <c r="M1856" t="s">
        <v>26</v>
      </c>
      <c r="N1856">
        <f t="shared" si="28"/>
        <v>1</v>
      </c>
    </row>
    <row r="1857" spans="12:14">
      <c r="L1857">
        <v>33</v>
      </c>
      <c r="N1857" t="str">
        <f t="shared" si="28"/>
        <v/>
      </c>
    </row>
    <row r="1858" spans="12:14">
      <c r="L1858">
        <v>3684</v>
      </c>
      <c r="N1858" t="str">
        <f t="shared" si="28"/>
        <v/>
      </c>
    </row>
    <row r="1859" spans="12:14">
      <c r="L1859">
        <v>216</v>
      </c>
      <c r="N1859" t="str">
        <f t="shared" ref="N1859:N1922" si="29">IFERROR(VLOOKUP(M1859,$A$3:$B$10,2,0),"")</f>
        <v/>
      </c>
    </row>
    <row r="1860" spans="12:14">
      <c r="L1860">
        <v>4874</v>
      </c>
      <c r="N1860" t="str">
        <f t="shared" si="29"/>
        <v/>
      </c>
    </row>
    <row r="1861" spans="12:14">
      <c r="L1861">
        <v>3671</v>
      </c>
      <c r="N1861" t="str">
        <f t="shared" si="29"/>
        <v/>
      </c>
    </row>
    <row r="1862" spans="12:14">
      <c r="L1862">
        <v>1562</v>
      </c>
      <c r="N1862" t="str">
        <f t="shared" si="29"/>
        <v/>
      </c>
    </row>
    <row r="1863" spans="12:14">
      <c r="L1863">
        <v>2269</v>
      </c>
      <c r="M1863" t="s">
        <v>25</v>
      </c>
      <c r="N1863">
        <f t="shared" si="29"/>
        <v>5</v>
      </c>
    </row>
    <row r="1864" spans="12:14">
      <c r="L1864">
        <v>664</v>
      </c>
      <c r="N1864" t="str">
        <f t="shared" si="29"/>
        <v/>
      </c>
    </row>
    <row r="1865" spans="12:14">
      <c r="L1865">
        <v>1072</v>
      </c>
      <c r="N1865" t="str">
        <f t="shared" si="29"/>
        <v/>
      </c>
    </row>
    <row r="1866" spans="12:14">
      <c r="L1866">
        <v>4780</v>
      </c>
      <c r="N1866" t="str">
        <f t="shared" si="29"/>
        <v/>
      </c>
    </row>
    <row r="1867" spans="12:14">
      <c r="L1867">
        <v>159</v>
      </c>
      <c r="N1867" t="str">
        <f t="shared" si="29"/>
        <v/>
      </c>
    </row>
    <row r="1868" spans="12:14">
      <c r="L1868">
        <v>3694</v>
      </c>
      <c r="M1868" t="s">
        <v>25</v>
      </c>
      <c r="N1868">
        <f t="shared" si="29"/>
        <v>5</v>
      </c>
    </row>
    <row r="1869" spans="12:14">
      <c r="L1869">
        <v>1391</v>
      </c>
      <c r="N1869" t="str">
        <f t="shared" si="29"/>
        <v/>
      </c>
    </row>
    <row r="1870" spans="12:14">
      <c r="L1870">
        <v>4773</v>
      </c>
      <c r="M1870" t="s">
        <v>25</v>
      </c>
      <c r="N1870">
        <f t="shared" si="29"/>
        <v>5</v>
      </c>
    </row>
    <row r="1871" spans="12:14">
      <c r="L1871">
        <v>2077</v>
      </c>
      <c r="M1871" t="s">
        <v>28</v>
      </c>
      <c r="N1871">
        <f t="shared" si="29"/>
        <v>3</v>
      </c>
    </row>
    <row r="1872" spans="12:14">
      <c r="L1872">
        <v>1491</v>
      </c>
      <c r="N1872" t="str">
        <f t="shared" si="29"/>
        <v/>
      </c>
    </row>
    <row r="1873" spans="12:14">
      <c r="L1873">
        <v>3641</v>
      </c>
      <c r="M1873" t="s">
        <v>28</v>
      </c>
      <c r="N1873">
        <f t="shared" si="29"/>
        <v>3</v>
      </c>
    </row>
    <row r="1874" spans="12:14">
      <c r="L1874">
        <v>1370</v>
      </c>
      <c r="N1874" t="str">
        <f t="shared" si="29"/>
        <v/>
      </c>
    </row>
    <row r="1875" spans="12:14">
      <c r="L1875">
        <v>4214</v>
      </c>
      <c r="M1875" t="s">
        <v>31</v>
      </c>
      <c r="N1875">
        <f t="shared" si="29"/>
        <v>6</v>
      </c>
    </row>
    <row r="1876" spans="12:14">
      <c r="L1876">
        <v>2982</v>
      </c>
      <c r="N1876" t="str">
        <f t="shared" si="29"/>
        <v/>
      </c>
    </row>
    <row r="1877" spans="12:14">
      <c r="L1877">
        <v>1636</v>
      </c>
      <c r="N1877" t="str">
        <f t="shared" si="29"/>
        <v/>
      </c>
    </row>
    <row r="1878" spans="12:14">
      <c r="L1878">
        <v>3236</v>
      </c>
      <c r="N1878" t="str">
        <f t="shared" si="29"/>
        <v/>
      </c>
    </row>
    <row r="1879" spans="12:14">
      <c r="L1879">
        <v>1609</v>
      </c>
      <c r="M1879" t="s">
        <v>30</v>
      </c>
      <c r="N1879">
        <f t="shared" si="29"/>
        <v>7</v>
      </c>
    </row>
    <row r="1880" spans="12:14">
      <c r="L1880">
        <v>4427</v>
      </c>
      <c r="N1880" t="str">
        <f t="shared" si="29"/>
        <v/>
      </c>
    </row>
    <row r="1881" spans="12:14">
      <c r="L1881">
        <v>3950</v>
      </c>
      <c r="N1881" t="str">
        <f t="shared" si="29"/>
        <v/>
      </c>
    </row>
    <row r="1882" spans="12:14">
      <c r="L1882">
        <v>1067</v>
      </c>
      <c r="N1882" t="str">
        <f t="shared" si="29"/>
        <v/>
      </c>
    </row>
    <row r="1883" spans="12:14">
      <c r="L1883">
        <v>888</v>
      </c>
      <c r="M1883" t="s">
        <v>31</v>
      </c>
      <c r="N1883">
        <f t="shared" si="29"/>
        <v>6</v>
      </c>
    </row>
    <row r="1884" spans="12:14">
      <c r="L1884">
        <v>3259</v>
      </c>
      <c r="M1884" t="s">
        <v>29</v>
      </c>
      <c r="N1884">
        <f t="shared" si="29"/>
        <v>4</v>
      </c>
    </row>
    <row r="1885" spans="12:14">
      <c r="L1885">
        <v>1461</v>
      </c>
      <c r="N1885" t="str">
        <f t="shared" si="29"/>
        <v/>
      </c>
    </row>
    <row r="1886" spans="12:14">
      <c r="L1886">
        <v>4587</v>
      </c>
      <c r="M1886" t="s">
        <v>29</v>
      </c>
      <c r="N1886">
        <f t="shared" si="29"/>
        <v>4</v>
      </c>
    </row>
    <row r="1887" spans="12:14">
      <c r="L1887">
        <v>4280</v>
      </c>
      <c r="M1887" t="s">
        <v>25</v>
      </c>
      <c r="N1887">
        <f t="shared" si="29"/>
        <v>5</v>
      </c>
    </row>
    <row r="1888" spans="12:14">
      <c r="L1888">
        <v>3235</v>
      </c>
      <c r="N1888" t="str">
        <f t="shared" si="29"/>
        <v/>
      </c>
    </row>
    <row r="1889" spans="12:14">
      <c r="L1889">
        <v>3293</v>
      </c>
      <c r="M1889" t="s">
        <v>25</v>
      </c>
      <c r="N1889">
        <f t="shared" si="29"/>
        <v>5</v>
      </c>
    </row>
    <row r="1890" spans="12:14">
      <c r="L1890">
        <v>4749</v>
      </c>
      <c r="M1890" t="s">
        <v>19</v>
      </c>
      <c r="N1890">
        <f t="shared" si="29"/>
        <v>2</v>
      </c>
    </row>
    <row r="1891" spans="12:14">
      <c r="L1891">
        <v>3944</v>
      </c>
      <c r="N1891" t="str">
        <f t="shared" si="29"/>
        <v/>
      </c>
    </row>
    <row r="1892" spans="12:14">
      <c r="L1892">
        <v>1582</v>
      </c>
      <c r="N1892" t="str">
        <f t="shared" si="29"/>
        <v/>
      </c>
    </row>
    <row r="1893" spans="12:14">
      <c r="L1893">
        <v>4686</v>
      </c>
      <c r="M1893" t="s">
        <v>25</v>
      </c>
      <c r="N1893">
        <f t="shared" si="29"/>
        <v>5</v>
      </c>
    </row>
    <row r="1894" spans="12:14">
      <c r="L1894">
        <v>3200</v>
      </c>
      <c r="N1894" t="str">
        <f t="shared" si="29"/>
        <v/>
      </c>
    </row>
    <row r="1895" spans="12:14">
      <c r="L1895">
        <v>4426</v>
      </c>
      <c r="N1895" t="str">
        <f t="shared" si="29"/>
        <v/>
      </c>
    </row>
    <row r="1896" spans="12:14">
      <c r="L1896">
        <v>228</v>
      </c>
      <c r="M1896" t="s">
        <v>26</v>
      </c>
      <c r="N1896">
        <f t="shared" si="29"/>
        <v>1</v>
      </c>
    </row>
    <row r="1897" spans="12:14">
      <c r="L1897">
        <v>407</v>
      </c>
      <c r="M1897" t="s">
        <v>19</v>
      </c>
      <c r="N1897">
        <f t="shared" si="29"/>
        <v>2</v>
      </c>
    </row>
    <row r="1898" spans="12:14">
      <c r="L1898">
        <v>964</v>
      </c>
      <c r="N1898" t="str">
        <f t="shared" si="29"/>
        <v/>
      </c>
    </row>
    <row r="1899" spans="12:14">
      <c r="L1899">
        <v>4846</v>
      </c>
      <c r="N1899" t="str">
        <f t="shared" si="29"/>
        <v/>
      </c>
    </row>
    <row r="1900" spans="12:14">
      <c r="L1900">
        <v>1382</v>
      </c>
      <c r="N1900" t="str">
        <f t="shared" si="29"/>
        <v/>
      </c>
    </row>
    <row r="1901" spans="12:14">
      <c r="L1901">
        <v>3436</v>
      </c>
      <c r="N1901" t="str">
        <f t="shared" si="29"/>
        <v/>
      </c>
    </row>
    <row r="1902" spans="12:14">
      <c r="L1902">
        <v>567</v>
      </c>
      <c r="N1902" t="str">
        <f t="shared" si="29"/>
        <v/>
      </c>
    </row>
    <row r="1903" spans="12:14">
      <c r="L1903">
        <v>1267</v>
      </c>
      <c r="N1903" t="str">
        <f t="shared" si="29"/>
        <v/>
      </c>
    </row>
    <row r="1904" spans="12:14">
      <c r="L1904">
        <v>2436</v>
      </c>
      <c r="N1904" t="str">
        <f t="shared" si="29"/>
        <v/>
      </c>
    </row>
    <row r="1905" spans="12:14">
      <c r="L1905">
        <v>3680</v>
      </c>
      <c r="N1905" t="str">
        <f t="shared" si="29"/>
        <v/>
      </c>
    </row>
    <row r="1906" spans="12:14">
      <c r="L1906">
        <v>4012</v>
      </c>
      <c r="N1906" t="str">
        <f t="shared" si="29"/>
        <v/>
      </c>
    </row>
    <row r="1907" spans="12:14">
      <c r="L1907">
        <v>4824</v>
      </c>
      <c r="N1907" t="str">
        <f t="shared" si="29"/>
        <v/>
      </c>
    </row>
    <row r="1908" spans="12:14">
      <c r="L1908">
        <v>2930</v>
      </c>
      <c r="N1908" t="str">
        <f t="shared" si="29"/>
        <v/>
      </c>
    </row>
    <row r="1909" spans="12:14">
      <c r="L1909">
        <v>737</v>
      </c>
      <c r="N1909" t="str">
        <f t="shared" si="29"/>
        <v/>
      </c>
    </row>
    <row r="1910" spans="12:14">
      <c r="L1910">
        <v>2841</v>
      </c>
      <c r="N1910" t="str">
        <f t="shared" si="29"/>
        <v/>
      </c>
    </row>
    <row r="1911" spans="12:14">
      <c r="L1911">
        <v>3962</v>
      </c>
      <c r="N1911" t="str">
        <f t="shared" si="29"/>
        <v/>
      </c>
    </row>
    <row r="1912" spans="12:14">
      <c r="L1912">
        <v>1919</v>
      </c>
      <c r="M1912" t="s">
        <v>26</v>
      </c>
      <c r="N1912">
        <f t="shared" si="29"/>
        <v>1</v>
      </c>
    </row>
    <row r="1913" spans="12:14">
      <c r="L1913">
        <v>4160</v>
      </c>
      <c r="N1913" t="str">
        <f t="shared" si="29"/>
        <v/>
      </c>
    </row>
    <row r="1914" spans="12:14">
      <c r="L1914">
        <v>3686</v>
      </c>
      <c r="N1914" t="str">
        <f t="shared" si="29"/>
        <v/>
      </c>
    </row>
    <row r="1915" spans="12:14">
      <c r="L1915">
        <v>2032</v>
      </c>
      <c r="N1915" t="str">
        <f t="shared" si="29"/>
        <v/>
      </c>
    </row>
    <row r="1916" spans="12:14">
      <c r="L1916">
        <v>4293</v>
      </c>
      <c r="N1916" t="str">
        <f t="shared" si="29"/>
        <v/>
      </c>
    </row>
    <row r="1917" spans="12:14">
      <c r="L1917">
        <v>3848</v>
      </c>
      <c r="N1917" t="str">
        <f t="shared" si="29"/>
        <v/>
      </c>
    </row>
    <row r="1918" spans="12:14">
      <c r="L1918">
        <v>3778</v>
      </c>
      <c r="N1918" t="str">
        <f t="shared" si="29"/>
        <v/>
      </c>
    </row>
    <row r="1919" spans="12:14">
      <c r="L1919">
        <v>94</v>
      </c>
      <c r="N1919" t="str">
        <f t="shared" si="29"/>
        <v/>
      </c>
    </row>
    <row r="1920" spans="12:14">
      <c r="L1920">
        <v>1623</v>
      </c>
      <c r="N1920" t="str">
        <f t="shared" si="29"/>
        <v/>
      </c>
    </row>
    <row r="1921" spans="12:14">
      <c r="L1921">
        <v>1144</v>
      </c>
      <c r="N1921" t="str">
        <f t="shared" si="29"/>
        <v/>
      </c>
    </row>
    <row r="1922" spans="12:14">
      <c r="L1922">
        <v>3550</v>
      </c>
      <c r="N1922" t="str">
        <f t="shared" si="29"/>
        <v/>
      </c>
    </row>
    <row r="1923" spans="12:14">
      <c r="L1923">
        <v>3427</v>
      </c>
      <c r="M1923" t="s">
        <v>30</v>
      </c>
      <c r="N1923">
        <f t="shared" ref="N1923:N1986" si="30">IFERROR(VLOOKUP(M1923,$A$3:$B$10,2,0),"")</f>
        <v>7</v>
      </c>
    </row>
    <row r="1924" spans="12:14">
      <c r="L1924">
        <v>2042</v>
      </c>
      <c r="N1924" t="str">
        <f t="shared" si="30"/>
        <v/>
      </c>
    </row>
    <row r="1925" spans="12:14">
      <c r="L1925">
        <v>4048</v>
      </c>
      <c r="N1925" t="str">
        <f t="shared" si="30"/>
        <v/>
      </c>
    </row>
    <row r="1926" spans="12:14">
      <c r="L1926">
        <v>1932</v>
      </c>
      <c r="N1926" t="str">
        <f t="shared" si="30"/>
        <v/>
      </c>
    </row>
    <row r="1927" spans="12:14">
      <c r="L1927">
        <v>2968</v>
      </c>
      <c r="N1927" t="str">
        <f t="shared" si="30"/>
        <v/>
      </c>
    </row>
    <row r="1928" spans="12:14">
      <c r="L1928">
        <v>4490</v>
      </c>
      <c r="N1928" t="str">
        <f t="shared" si="30"/>
        <v/>
      </c>
    </row>
    <row r="1929" spans="12:14">
      <c r="L1929">
        <v>2815</v>
      </c>
      <c r="M1929" t="s">
        <v>26</v>
      </c>
      <c r="N1929">
        <f t="shared" si="30"/>
        <v>1</v>
      </c>
    </row>
    <row r="1930" spans="12:14">
      <c r="L1930">
        <v>4384</v>
      </c>
      <c r="M1930" t="s">
        <v>25</v>
      </c>
      <c r="N1930">
        <f t="shared" si="30"/>
        <v>5</v>
      </c>
    </row>
    <row r="1931" spans="12:14">
      <c r="L1931">
        <v>859</v>
      </c>
      <c r="N1931" t="str">
        <f t="shared" si="30"/>
        <v/>
      </c>
    </row>
    <row r="1932" spans="12:14">
      <c r="L1932">
        <v>4111</v>
      </c>
      <c r="M1932" t="s">
        <v>29</v>
      </c>
      <c r="N1932">
        <f t="shared" si="30"/>
        <v>4</v>
      </c>
    </row>
    <row r="1933" spans="12:14">
      <c r="L1933">
        <v>1880</v>
      </c>
      <c r="M1933" t="s">
        <v>19</v>
      </c>
      <c r="N1933">
        <f t="shared" si="30"/>
        <v>2</v>
      </c>
    </row>
    <row r="1934" spans="12:14">
      <c r="L1934">
        <v>798</v>
      </c>
      <c r="N1934" t="str">
        <f t="shared" si="30"/>
        <v/>
      </c>
    </row>
    <row r="1935" spans="12:14">
      <c r="L1935">
        <v>4556</v>
      </c>
      <c r="N1935" t="str">
        <f t="shared" si="30"/>
        <v/>
      </c>
    </row>
    <row r="1936" spans="12:14">
      <c r="L1936">
        <v>2849</v>
      </c>
      <c r="M1936" t="s">
        <v>19</v>
      </c>
      <c r="N1936">
        <f t="shared" si="30"/>
        <v>2</v>
      </c>
    </row>
    <row r="1937" spans="12:14">
      <c r="L1937">
        <v>3416</v>
      </c>
      <c r="M1937" t="s">
        <v>31</v>
      </c>
      <c r="N1937">
        <f t="shared" si="30"/>
        <v>6</v>
      </c>
    </row>
    <row r="1938" spans="12:14">
      <c r="L1938">
        <v>969</v>
      </c>
      <c r="N1938" t="str">
        <f t="shared" si="30"/>
        <v/>
      </c>
    </row>
    <row r="1939" spans="12:14">
      <c r="L1939">
        <v>4194</v>
      </c>
      <c r="N1939" t="str">
        <f t="shared" si="30"/>
        <v/>
      </c>
    </row>
    <row r="1940" spans="12:14">
      <c r="L1940">
        <v>4590</v>
      </c>
      <c r="N1940" t="str">
        <f t="shared" si="30"/>
        <v/>
      </c>
    </row>
    <row r="1941" spans="12:14">
      <c r="L1941">
        <v>1875</v>
      </c>
      <c r="N1941" t="str">
        <f t="shared" si="30"/>
        <v/>
      </c>
    </row>
    <row r="1942" spans="12:14">
      <c r="L1942">
        <v>4989</v>
      </c>
      <c r="N1942" t="str">
        <f t="shared" si="30"/>
        <v/>
      </c>
    </row>
    <row r="1943" spans="12:14">
      <c r="L1943">
        <v>3917</v>
      </c>
      <c r="N1943" t="str">
        <f t="shared" si="30"/>
        <v/>
      </c>
    </row>
    <row r="1944" spans="12:14">
      <c r="L1944">
        <v>4226</v>
      </c>
      <c r="N1944" t="str">
        <f t="shared" si="30"/>
        <v/>
      </c>
    </row>
    <row r="1945" spans="12:14">
      <c r="L1945">
        <v>4137</v>
      </c>
      <c r="N1945" t="str">
        <f t="shared" si="30"/>
        <v/>
      </c>
    </row>
    <row r="1946" spans="12:14">
      <c r="L1946">
        <v>1004</v>
      </c>
      <c r="M1946" t="s">
        <v>25</v>
      </c>
      <c r="N1946">
        <f t="shared" si="30"/>
        <v>5</v>
      </c>
    </row>
    <row r="1947" spans="12:14">
      <c r="L1947">
        <v>1620</v>
      </c>
      <c r="M1947" t="s">
        <v>25</v>
      </c>
      <c r="N1947">
        <f t="shared" si="30"/>
        <v>5</v>
      </c>
    </row>
    <row r="1948" spans="12:14">
      <c r="L1948">
        <v>1318</v>
      </c>
      <c r="N1948" t="str">
        <f t="shared" si="30"/>
        <v/>
      </c>
    </row>
    <row r="1949" spans="12:14">
      <c r="L1949">
        <v>3</v>
      </c>
      <c r="M1949" t="s">
        <v>28</v>
      </c>
      <c r="N1949">
        <f t="shared" si="30"/>
        <v>3</v>
      </c>
    </row>
    <row r="1950" spans="12:14">
      <c r="L1950">
        <v>2913</v>
      </c>
      <c r="N1950" t="str">
        <f t="shared" si="30"/>
        <v/>
      </c>
    </row>
    <row r="1951" spans="12:14">
      <c r="L1951">
        <v>3017</v>
      </c>
      <c r="M1951" t="s">
        <v>25</v>
      </c>
      <c r="N1951">
        <f t="shared" si="30"/>
        <v>5</v>
      </c>
    </row>
    <row r="1952" spans="12:14">
      <c r="L1952">
        <v>973</v>
      </c>
      <c r="N1952" t="str">
        <f t="shared" si="30"/>
        <v/>
      </c>
    </row>
    <row r="1953" spans="12:14">
      <c r="L1953">
        <v>76</v>
      </c>
      <c r="N1953" t="str">
        <f t="shared" si="30"/>
        <v/>
      </c>
    </row>
    <row r="1954" spans="12:14">
      <c r="L1954">
        <v>4424</v>
      </c>
      <c r="M1954" t="s">
        <v>28</v>
      </c>
      <c r="N1954">
        <f t="shared" si="30"/>
        <v>3</v>
      </c>
    </row>
    <row r="1955" spans="12:14">
      <c r="L1955">
        <v>1987</v>
      </c>
      <c r="M1955" t="s">
        <v>31</v>
      </c>
      <c r="N1955">
        <f t="shared" si="30"/>
        <v>6</v>
      </c>
    </row>
    <row r="1956" spans="12:14">
      <c r="L1956">
        <v>3895</v>
      </c>
      <c r="M1956" t="s">
        <v>26</v>
      </c>
      <c r="N1956">
        <f t="shared" si="30"/>
        <v>1</v>
      </c>
    </row>
    <row r="1957" spans="12:14">
      <c r="L1957">
        <v>3125</v>
      </c>
      <c r="N1957" t="str">
        <f t="shared" si="30"/>
        <v/>
      </c>
    </row>
    <row r="1958" spans="12:14">
      <c r="L1958">
        <v>3220</v>
      </c>
      <c r="N1958" t="str">
        <f t="shared" si="30"/>
        <v/>
      </c>
    </row>
    <row r="1959" spans="12:14">
      <c r="L1959">
        <v>3774</v>
      </c>
      <c r="N1959" t="str">
        <f t="shared" si="30"/>
        <v/>
      </c>
    </row>
    <row r="1960" spans="12:14">
      <c r="L1960">
        <v>720</v>
      </c>
      <c r="M1960" t="s">
        <v>29</v>
      </c>
      <c r="N1960">
        <f t="shared" si="30"/>
        <v>4</v>
      </c>
    </row>
    <row r="1961" spans="12:14">
      <c r="L1961">
        <v>87</v>
      </c>
      <c r="N1961" t="str">
        <f t="shared" si="30"/>
        <v/>
      </c>
    </row>
    <row r="1962" spans="12:14">
      <c r="L1962">
        <v>2370</v>
      </c>
      <c r="N1962" t="str">
        <f t="shared" si="30"/>
        <v/>
      </c>
    </row>
    <row r="1963" spans="12:14">
      <c r="L1963">
        <v>2138</v>
      </c>
      <c r="N1963" t="str">
        <f t="shared" si="30"/>
        <v/>
      </c>
    </row>
    <row r="1964" spans="12:14">
      <c r="L1964">
        <v>1860</v>
      </c>
      <c r="N1964" t="str">
        <f t="shared" si="30"/>
        <v/>
      </c>
    </row>
    <row r="1965" spans="12:14">
      <c r="L1965">
        <v>2827</v>
      </c>
      <c r="N1965" t="str">
        <f t="shared" si="30"/>
        <v/>
      </c>
    </row>
    <row r="1966" spans="12:14">
      <c r="L1966">
        <v>4987</v>
      </c>
      <c r="N1966" t="str">
        <f t="shared" si="30"/>
        <v/>
      </c>
    </row>
    <row r="1967" spans="12:14">
      <c r="L1967">
        <v>4450</v>
      </c>
      <c r="N1967" t="str">
        <f t="shared" si="30"/>
        <v/>
      </c>
    </row>
    <row r="1968" spans="12:14">
      <c r="L1968">
        <v>1896</v>
      </c>
      <c r="M1968" t="s">
        <v>29</v>
      </c>
      <c r="N1968">
        <f t="shared" si="30"/>
        <v>4</v>
      </c>
    </row>
    <row r="1969" spans="12:14">
      <c r="L1969">
        <v>4149</v>
      </c>
      <c r="N1969" t="str">
        <f t="shared" si="30"/>
        <v/>
      </c>
    </row>
    <row r="1970" spans="12:14">
      <c r="L1970">
        <v>2027</v>
      </c>
      <c r="N1970" t="str">
        <f t="shared" si="30"/>
        <v/>
      </c>
    </row>
    <row r="1971" spans="12:14">
      <c r="L1971">
        <v>160</v>
      </c>
      <c r="N1971" t="str">
        <f t="shared" si="30"/>
        <v/>
      </c>
    </row>
    <row r="1972" spans="12:14">
      <c r="L1972">
        <v>1365</v>
      </c>
      <c r="M1972" t="s">
        <v>26</v>
      </c>
      <c r="N1972">
        <f t="shared" si="30"/>
        <v>1</v>
      </c>
    </row>
    <row r="1973" spans="12:14">
      <c r="L1973">
        <v>985</v>
      </c>
      <c r="N1973" t="str">
        <f t="shared" si="30"/>
        <v/>
      </c>
    </row>
    <row r="1974" spans="12:14">
      <c r="L1974">
        <v>1990</v>
      </c>
      <c r="M1974" t="s">
        <v>26</v>
      </c>
      <c r="N1974">
        <f t="shared" si="30"/>
        <v>1</v>
      </c>
    </row>
    <row r="1975" spans="12:14">
      <c r="L1975">
        <v>3882</v>
      </c>
      <c r="N1975" t="str">
        <f t="shared" si="30"/>
        <v/>
      </c>
    </row>
    <row r="1976" spans="12:14">
      <c r="L1976">
        <v>2957</v>
      </c>
      <c r="N1976" t="str">
        <f t="shared" si="30"/>
        <v/>
      </c>
    </row>
    <row r="1977" spans="12:14">
      <c r="L1977">
        <v>2926</v>
      </c>
      <c r="N1977" t="str">
        <f t="shared" si="30"/>
        <v/>
      </c>
    </row>
    <row r="1978" spans="12:14">
      <c r="L1978">
        <v>948</v>
      </c>
      <c r="N1978" t="str">
        <f t="shared" si="30"/>
        <v/>
      </c>
    </row>
    <row r="1979" spans="12:14">
      <c r="L1979">
        <v>569</v>
      </c>
      <c r="N1979" t="str">
        <f t="shared" si="30"/>
        <v/>
      </c>
    </row>
    <row r="1980" spans="12:14">
      <c r="L1980">
        <v>193</v>
      </c>
      <c r="M1980" t="s">
        <v>25</v>
      </c>
      <c r="N1980">
        <f t="shared" si="30"/>
        <v>5</v>
      </c>
    </row>
    <row r="1981" spans="12:14">
      <c r="L1981">
        <v>4338</v>
      </c>
      <c r="N1981" t="str">
        <f t="shared" si="30"/>
        <v/>
      </c>
    </row>
    <row r="1982" spans="12:14">
      <c r="L1982">
        <v>3289</v>
      </c>
      <c r="M1982" t="s">
        <v>31</v>
      </c>
      <c r="N1982">
        <f t="shared" si="30"/>
        <v>6</v>
      </c>
    </row>
    <row r="1983" spans="12:14">
      <c r="L1983">
        <v>3741</v>
      </c>
      <c r="M1983" t="s">
        <v>25</v>
      </c>
      <c r="N1983">
        <f t="shared" si="30"/>
        <v>5</v>
      </c>
    </row>
    <row r="1984" spans="12:14">
      <c r="L1984">
        <v>1782</v>
      </c>
      <c r="N1984" t="str">
        <f t="shared" si="30"/>
        <v/>
      </c>
    </row>
    <row r="1985" spans="12:14">
      <c r="L1985">
        <v>402</v>
      </c>
      <c r="N1985" t="str">
        <f t="shared" si="30"/>
        <v/>
      </c>
    </row>
    <row r="1986" spans="12:14">
      <c r="L1986">
        <v>3772</v>
      </c>
      <c r="N1986" t="str">
        <f t="shared" si="30"/>
        <v/>
      </c>
    </row>
    <row r="1987" spans="12:14">
      <c r="L1987">
        <v>2426</v>
      </c>
      <c r="N1987" t="str">
        <f t="shared" ref="N1987:N2050" si="31">IFERROR(VLOOKUP(M1987,$A$3:$B$10,2,0),"")</f>
        <v/>
      </c>
    </row>
    <row r="1988" spans="12:14">
      <c r="L1988">
        <v>2233</v>
      </c>
      <c r="N1988" t="str">
        <f t="shared" si="31"/>
        <v/>
      </c>
    </row>
    <row r="1989" spans="12:14">
      <c r="L1989">
        <v>486</v>
      </c>
      <c r="N1989" t="str">
        <f t="shared" si="31"/>
        <v/>
      </c>
    </row>
    <row r="1990" spans="12:14">
      <c r="L1990">
        <v>368</v>
      </c>
      <c r="N1990" t="str">
        <f t="shared" si="31"/>
        <v/>
      </c>
    </row>
    <row r="1991" spans="12:14">
      <c r="L1991">
        <v>4788</v>
      </c>
      <c r="M1991" t="s">
        <v>19</v>
      </c>
      <c r="N1991">
        <f t="shared" si="31"/>
        <v>2</v>
      </c>
    </row>
    <row r="1992" spans="12:14">
      <c r="L1992">
        <v>2357</v>
      </c>
      <c r="N1992" t="str">
        <f t="shared" si="31"/>
        <v/>
      </c>
    </row>
    <row r="1993" spans="12:14">
      <c r="L1993">
        <v>3395</v>
      </c>
      <c r="N1993" t="str">
        <f t="shared" si="31"/>
        <v/>
      </c>
    </row>
    <row r="1994" spans="12:14">
      <c r="L1994">
        <v>1357</v>
      </c>
      <c r="M1994" t="s">
        <v>29</v>
      </c>
      <c r="N1994">
        <f t="shared" si="31"/>
        <v>4</v>
      </c>
    </row>
    <row r="1995" spans="12:14">
      <c r="L1995">
        <v>4124</v>
      </c>
      <c r="N1995" t="str">
        <f t="shared" si="31"/>
        <v/>
      </c>
    </row>
    <row r="1996" spans="12:14">
      <c r="L1996">
        <v>1560</v>
      </c>
      <c r="M1996" t="s">
        <v>30</v>
      </c>
      <c r="N1996">
        <f t="shared" si="31"/>
        <v>7</v>
      </c>
    </row>
    <row r="1997" spans="12:14">
      <c r="L1997">
        <v>3976</v>
      </c>
      <c r="N1997" t="str">
        <f t="shared" si="31"/>
        <v/>
      </c>
    </row>
    <row r="1998" spans="12:14">
      <c r="L1998">
        <v>409</v>
      </c>
      <c r="N1998" t="str">
        <f t="shared" si="31"/>
        <v/>
      </c>
    </row>
    <row r="1999" spans="12:14">
      <c r="L1999">
        <v>1605</v>
      </c>
      <c r="N1999" t="str">
        <f t="shared" si="31"/>
        <v/>
      </c>
    </row>
    <row r="2000" spans="12:14">
      <c r="L2000">
        <v>2172</v>
      </c>
      <c r="N2000" t="str">
        <f t="shared" si="31"/>
        <v/>
      </c>
    </row>
    <row r="2001" spans="12:14">
      <c r="L2001">
        <v>4382</v>
      </c>
      <c r="M2001" t="s">
        <v>28</v>
      </c>
      <c r="N2001">
        <f t="shared" si="31"/>
        <v>3</v>
      </c>
    </row>
    <row r="2002" spans="12:14">
      <c r="L2002">
        <v>2402</v>
      </c>
      <c r="N2002" t="str">
        <f t="shared" si="31"/>
        <v/>
      </c>
    </row>
    <row r="2003" spans="12:14">
      <c r="L2003">
        <v>355</v>
      </c>
      <c r="N2003" t="str">
        <f t="shared" si="31"/>
        <v/>
      </c>
    </row>
    <row r="2004" spans="12:14">
      <c r="L2004">
        <v>2884</v>
      </c>
      <c r="M2004" t="s">
        <v>31</v>
      </c>
      <c r="N2004">
        <f t="shared" si="31"/>
        <v>6</v>
      </c>
    </row>
    <row r="2005" spans="12:14">
      <c r="L2005">
        <v>3291</v>
      </c>
      <c r="M2005" t="s">
        <v>26</v>
      </c>
      <c r="N2005">
        <f t="shared" si="31"/>
        <v>1</v>
      </c>
    </row>
    <row r="2006" spans="12:14">
      <c r="L2006">
        <v>3308</v>
      </c>
      <c r="N2006" t="str">
        <f t="shared" si="31"/>
        <v/>
      </c>
    </row>
    <row r="2007" spans="12:14">
      <c r="L2007">
        <v>4802</v>
      </c>
      <c r="N2007" t="str">
        <f t="shared" si="31"/>
        <v/>
      </c>
    </row>
    <row r="2008" spans="12:14">
      <c r="L2008">
        <v>3870</v>
      </c>
      <c r="N2008" t="str">
        <f t="shared" si="31"/>
        <v/>
      </c>
    </row>
    <row r="2009" spans="12:14">
      <c r="L2009">
        <v>3175</v>
      </c>
      <c r="N2009" t="str">
        <f t="shared" si="31"/>
        <v/>
      </c>
    </row>
    <row r="2010" spans="12:14">
      <c r="L2010">
        <v>375</v>
      </c>
      <c r="M2010" t="s">
        <v>25</v>
      </c>
      <c r="N2010">
        <f t="shared" si="31"/>
        <v>5</v>
      </c>
    </row>
    <row r="2011" spans="12:14">
      <c r="L2011">
        <v>3792</v>
      </c>
      <c r="M2011" t="s">
        <v>28</v>
      </c>
      <c r="N2011">
        <f t="shared" si="31"/>
        <v>3</v>
      </c>
    </row>
    <row r="2012" spans="12:14">
      <c r="L2012">
        <v>2885</v>
      </c>
      <c r="N2012" t="str">
        <f t="shared" si="31"/>
        <v/>
      </c>
    </row>
    <row r="2013" spans="12:14">
      <c r="L2013">
        <v>370</v>
      </c>
      <c r="M2013" t="s">
        <v>19</v>
      </c>
      <c r="N2013">
        <f t="shared" si="31"/>
        <v>2</v>
      </c>
    </row>
    <row r="2014" spans="12:14">
      <c r="L2014">
        <v>1799</v>
      </c>
      <c r="N2014" t="str">
        <f t="shared" si="31"/>
        <v/>
      </c>
    </row>
    <row r="2015" spans="12:14">
      <c r="L2015">
        <v>2047</v>
      </c>
      <c r="N2015" t="str">
        <f t="shared" si="31"/>
        <v/>
      </c>
    </row>
    <row r="2016" spans="12:14">
      <c r="L2016">
        <v>1607</v>
      </c>
      <c r="M2016" t="s">
        <v>30</v>
      </c>
      <c r="N2016">
        <f t="shared" si="31"/>
        <v>7</v>
      </c>
    </row>
    <row r="2017" spans="12:14">
      <c r="L2017">
        <v>1188</v>
      </c>
      <c r="N2017" t="str">
        <f t="shared" si="31"/>
        <v/>
      </c>
    </row>
    <row r="2018" spans="12:14">
      <c r="L2018">
        <v>2280</v>
      </c>
      <c r="N2018" t="str">
        <f t="shared" si="31"/>
        <v/>
      </c>
    </row>
    <row r="2019" spans="12:14">
      <c r="L2019">
        <v>3519</v>
      </c>
      <c r="N2019" t="str">
        <f t="shared" si="31"/>
        <v/>
      </c>
    </row>
    <row r="2020" spans="12:14">
      <c r="L2020">
        <v>2587</v>
      </c>
      <c r="M2020" t="s">
        <v>28</v>
      </c>
      <c r="N2020">
        <f t="shared" si="31"/>
        <v>3</v>
      </c>
    </row>
    <row r="2021" spans="12:14">
      <c r="L2021">
        <v>3039</v>
      </c>
      <c r="N2021" t="str">
        <f t="shared" si="31"/>
        <v/>
      </c>
    </row>
    <row r="2022" spans="12:14">
      <c r="L2022">
        <v>3850</v>
      </c>
      <c r="N2022" t="str">
        <f t="shared" si="31"/>
        <v/>
      </c>
    </row>
    <row r="2023" spans="12:14">
      <c r="L2023">
        <v>4781</v>
      </c>
      <c r="M2023" t="s">
        <v>25</v>
      </c>
      <c r="N2023">
        <f t="shared" si="31"/>
        <v>5</v>
      </c>
    </row>
    <row r="2024" spans="12:14">
      <c r="L2024">
        <v>1191</v>
      </c>
      <c r="N2024" t="str">
        <f t="shared" si="31"/>
        <v/>
      </c>
    </row>
    <row r="2025" spans="12:14">
      <c r="L2025">
        <v>3266</v>
      </c>
      <c r="N2025" t="str">
        <f t="shared" si="31"/>
        <v/>
      </c>
    </row>
    <row r="2026" spans="12:14">
      <c r="L2026">
        <v>1339</v>
      </c>
      <c r="N2026" t="str">
        <f t="shared" si="31"/>
        <v/>
      </c>
    </row>
    <row r="2027" spans="12:14">
      <c r="L2027">
        <v>4113</v>
      </c>
      <c r="N2027" t="str">
        <f t="shared" si="31"/>
        <v/>
      </c>
    </row>
    <row r="2028" spans="12:14">
      <c r="L2028">
        <v>4863</v>
      </c>
      <c r="M2028" t="s">
        <v>25</v>
      </c>
      <c r="N2028">
        <f t="shared" si="31"/>
        <v>5</v>
      </c>
    </row>
    <row r="2029" spans="12:14">
      <c r="L2029">
        <v>2342</v>
      </c>
      <c r="N2029" t="str">
        <f t="shared" si="31"/>
        <v/>
      </c>
    </row>
    <row r="2030" spans="12:14">
      <c r="L2030">
        <v>3512</v>
      </c>
      <c r="N2030" t="str">
        <f t="shared" si="31"/>
        <v/>
      </c>
    </row>
    <row r="2031" spans="12:14">
      <c r="L2031">
        <v>3140</v>
      </c>
      <c r="M2031" t="s">
        <v>19</v>
      </c>
      <c r="N2031">
        <f t="shared" si="31"/>
        <v>2</v>
      </c>
    </row>
    <row r="2032" spans="12:14">
      <c r="L2032">
        <v>1696</v>
      </c>
      <c r="N2032" t="str">
        <f t="shared" si="31"/>
        <v/>
      </c>
    </row>
    <row r="2033" spans="12:14">
      <c r="L2033">
        <v>1998</v>
      </c>
      <c r="N2033" t="str">
        <f t="shared" si="31"/>
        <v/>
      </c>
    </row>
    <row r="2034" spans="12:14">
      <c r="L2034">
        <v>4995</v>
      </c>
      <c r="M2034" t="s">
        <v>28</v>
      </c>
      <c r="N2034">
        <f t="shared" si="31"/>
        <v>3</v>
      </c>
    </row>
    <row r="2035" spans="12:14">
      <c r="L2035">
        <v>3401</v>
      </c>
      <c r="M2035" t="s">
        <v>26</v>
      </c>
      <c r="N2035">
        <f t="shared" si="31"/>
        <v>1</v>
      </c>
    </row>
    <row r="2036" spans="12:14">
      <c r="L2036">
        <v>4732</v>
      </c>
      <c r="N2036" t="str">
        <f t="shared" si="31"/>
        <v/>
      </c>
    </row>
    <row r="2037" spans="12:14">
      <c r="L2037">
        <v>851</v>
      </c>
      <c r="N2037" t="str">
        <f t="shared" si="31"/>
        <v/>
      </c>
    </row>
    <row r="2038" spans="12:14">
      <c r="L2038">
        <v>3019</v>
      </c>
      <c r="N2038" t="str">
        <f t="shared" si="31"/>
        <v/>
      </c>
    </row>
    <row r="2039" spans="12:14">
      <c r="L2039">
        <v>1798</v>
      </c>
      <c r="M2039" t="s">
        <v>29</v>
      </c>
      <c r="N2039">
        <f t="shared" si="31"/>
        <v>4</v>
      </c>
    </row>
    <row r="2040" spans="12:14">
      <c r="L2040">
        <v>190</v>
      </c>
      <c r="N2040" t="str">
        <f t="shared" si="31"/>
        <v/>
      </c>
    </row>
    <row r="2041" spans="12:14">
      <c r="L2041">
        <v>4573</v>
      </c>
      <c r="N2041" t="str">
        <f t="shared" si="31"/>
        <v/>
      </c>
    </row>
    <row r="2042" spans="12:14">
      <c r="L2042">
        <v>638</v>
      </c>
      <c r="N2042" t="str">
        <f t="shared" si="31"/>
        <v/>
      </c>
    </row>
    <row r="2043" spans="12:14">
      <c r="L2043">
        <v>1277</v>
      </c>
      <c r="M2043" t="s">
        <v>30</v>
      </c>
      <c r="N2043">
        <f t="shared" si="31"/>
        <v>7</v>
      </c>
    </row>
    <row r="2044" spans="12:14">
      <c r="L2044">
        <v>2589</v>
      </c>
      <c r="N2044" t="str">
        <f t="shared" si="31"/>
        <v/>
      </c>
    </row>
    <row r="2045" spans="12:14">
      <c r="L2045">
        <v>3227</v>
      </c>
      <c r="N2045" t="str">
        <f t="shared" si="31"/>
        <v/>
      </c>
    </row>
    <row r="2046" spans="12:14">
      <c r="L2046">
        <v>2240</v>
      </c>
      <c r="N2046" t="str">
        <f t="shared" si="31"/>
        <v/>
      </c>
    </row>
    <row r="2047" spans="12:14">
      <c r="L2047">
        <v>1754</v>
      </c>
      <c r="M2047" t="s">
        <v>31</v>
      </c>
      <c r="N2047">
        <f t="shared" si="31"/>
        <v>6</v>
      </c>
    </row>
    <row r="2048" spans="12:14">
      <c r="L2048">
        <v>4894</v>
      </c>
      <c r="N2048" t="str">
        <f t="shared" si="31"/>
        <v/>
      </c>
    </row>
    <row r="2049" spans="12:14">
      <c r="L2049">
        <v>2156</v>
      </c>
      <c r="N2049" t="str">
        <f t="shared" si="31"/>
        <v/>
      </c>
    </row>
    <row r="2050" spans="12:14">
      <c r="L2050">
        <v>3112</v>
      </c>
      <c r="M2050" t="s">
        <v>31</v>
      </c>
      <c r="N2050">
        <f t="shared" si="31"/>
        <v>6</v>
      </c>
    </row>
    <row r="2051" spans="12:14">
      <c r="L2051">
        <v>4440</v>
      </c>
      <c r="M2051" t="s">
        <v>28</v>
      </c>
      <c r="N2051">
        <f t="shared" ref="N2051:N2114" si="32">IFERROR(VLOOKUP(M2051,$A$3:$B$10,2,0),"")</f>
        <v>3</v>
      </c>
    </row>
    <row r="2052" spans="12:14">
      <c r="L2052">
        <v>3350</v>
      </c>
      <c r="N2052" t="str">
        <f t="shared" si="32"/>
        <v/>
      </c>
    </row>
    <row r="2053" spans="12:14">
      <c r="L2053">
        <v>2852</v>
      </c>
      <c r="M2053" t="s">
        <v>31</v>
      </c>
      <c r="N2053">
        <f t="shared" si="32"/>
        <v>6</v>
      </c>
    </row>
    <row r="2054" spans="12:14">
      <c r="L2054">
        <v>4982</v>
      </c>
      <c r="N2054" t="str">
        <f t="shared" si="32"/>
        <v/>
      </c>
    </row>
    <row r="2055" spans="12:14">
      <c r="L2055">
        <v>226</v>
      </c>
      <c r="N2055" t="str">
        <f t="shared" si="32"/>
        <v/>
      </c>
    </row>
    <row r="2056" spans="12:14">
      <c r="L2056">
        <v>2786</v>
      </c>
      <c r="M2056" t="s">
        <v>30</v>
      </c>
      <c r="N2056">
        <f t="shared" si="32"/>
        <v>7</v>
      </c>
    </row>
    <row r="2057" spans="12:14">
      <c r="L2057">
        <v>4779</v>
      </c>
      <c r="N2057" t="str">
        <f t="shared" si="32"/>
        <v/>
      </c>
    </row>
    <row r="2058" spans="12:14">
      <c r="L2058">
        <v>1720</v>
      </c>
      <c r="N2058" t="str">
        <f t="shared" si="32"/>
        <v/>
      </c>
    </row>
    <row r="2059" spans="12:14">
      <c r="L2059">
        <v>4167</v>
      </c>
      <c r="N2059" t="str">
        <f t="shared" si="32"/>
        <v/>
      </c>
    </row>
    <row r="2060" spans="12:14">
      <c r="L2060">
        <v>156</v>
      </c>
      <c r="N2060" t="str">
        <f t="shared" si="32"/>
        <v/>
      </c>
    </row>
    <row r="2061" spans="12:14">
      <c r="L2061">
        <v>4022</v>
      </c>
      <c r="N2061" t="str">
        <f t="shared" si="32"/>
        <v/>
      </c>
    </row>
    <row r="2062" spans="12:14">
      <c r="L2062">
        <v>2768</v>
      </c>
      <c r="M2062" t="s">
        <v>28</v>
      </c>
      <c r="N2062">
        <f t="shared" si="32"/>
        <v>3</v>
      </c>
    </row>
    <row r="2063" spans="12:14">
      <c r="L2063">
        <v>3409</v>
      </c>
      <c r="M2063" t="s">
        <v>25</v>
      </c>
      <c r="N2063">
        <f t="shared" si="32"/>
        <v>5</v>
      </c>
    </row>
    <row r="2064" spans="12:14">
      <c r="L2064">
        <v>3387</v>
      </c>
      <c r="M2064" t="s">
        <v>25</v>
      </c>
      <c r="N2064">
        <f t="shared" si="32"/>
        <v>5</v>
      </c>
    </row>
    <row r="2065" spans="12:14">
      <c r="L2065">
        <v>694</v>
      </c>
      <c r="M2065" t="s">
        <v>26</v>
      </c>
      <c r="N2065">
        <f t="shared" si="32"/>
        <v>1</v>
      </c>
    </row>
    <row r="2066" spans="12:14">
      <c r="L2066">
        <v>586</v>
      </c>
      <c r="N2066" t="str">
        <f t="shared" si="32"/>
        <v/>
      </c>
    </row>
    <row r="2067" spans="12:14">
      <c r="L2067">
        <v>152</v>
      </c>
      <c r="N2067" t="str">
        <f t="shared" si="32"/>
        <v/>
      </c>
    </row>
    <row r="2068" spans="12:14">
      <c r="L2068">
        <v>890</v>
      </c>
      <c r="N2068" t="str">
        <f t="shared" si="32"/>
        <v/>
      </c>
    </row>
    <row r="2069" spans="12:14">
      <c r="L2069">
        <v>1519</v>
      </c>
      <c r="N2069" t="str">
        <f t="shared" si="32"/>
        <v/>
      </c>
    </row>
    <row r="2070" spans="12:14">
      <c r="L2070">
        <v>1846</v>
      </c>
      <c r="N2070" t="str">
        <f t="shared" si="32"/>
        <v/>
      </c>
    </row>
    <row r="2071" spans="12:14">
      <c r="L2071">
        <v>2224</v>
      </c>
      <c r="N2071" t="str">
        <f t="shared" si="32"/>
        <v/>
      </c>
    </row>
    <row r="2072" spans="12:14">
      <c r="L2072">
        <v>1487</v>
      </c>
      <c r="N2072" t="str">
        <f t="shared" si="32"/>
        <v/>
      </c>
    </row>
    <row r="2073" spans="12:14">
      <c r="L2073">
        <v>2994</v>
      </c>
      <c r="N2073" t="str">
        <f t="shared" si="32"/>
        <v/>
      </c>
    </row>
    <row r="2074" spans="12:14">
      <c r="L2074">
        <v>4444</v>
      </c>
      <c r="N2074" t="str">
        <f t="shared" si="32"/>
        <v/>
      </c>
    </row>
    <row r="2075" spans="12:14">
      <c r="L2075">
        <v>4242</v>
      </c>
      <c r="N2075" t="str">
        <f t="shared" si="32"/>
        <v/>
      </c>
    </row>
    <row r="2076" spans="12:14">
      <c r="L2076">
        <v>3998</v>
      </c>
      <c r="M2076" t="s">
        <v>25</v>
      </c>
      <c r="N2076">
        <f t="shared" si="32"/>
        <v>5</v>
      </c>
    </row>
    <row r="2077" spans="12:14">
      <c r="L2077">
        <v>4374</v>
      </c>
      <c r="N2077" t="str">
        <f t="shared" si="32"/>
        <v/>
      </c>
    </row>
    <row r="2078" spans="12:14">
      <c r="L2078">
        <v>1659</v>
      </c>
      <c r="M2078" t="s">
        <v>28</v>
      </c>
      <c r="N2078">
        <f t="shared" si="32"/>
        <v>3</v>
      </c>
    </row>
    <row r="2079" spans="12:14">
      <c r="L2079">
        <v>1291</v>
      </c>
      <c r="N2079" t="str">
        <f t="shared" si="32"/>
        <v/>
      </c>
    </row>
    <row r="2080" spans="12:14">
      <c r="L2080">
        <v>1506</v>
      </c>
      <c r="N2080" t="str">
        <f t="shared" si="32"/>
        <v/>
      </c>
    </row>
    <row r="2081" spans="12:14">
      <c r="L2081">
        <v>1227</v>
      </c>
      <c r="M2081" t="s">
        <v>26</v>
      </c>
      <c r="N2081">
        <f t="shared" si="32"/>
        <v>1</v>
      </c>
    </row>
    <row r="2082" spans="12:14">
      <c r="L2082">
        <v>2306</v>
      </c>
      <c r="N2082" t="str">
        <f t="shared" si="32"/>
        <v/>
      </c>
    </row>
    <row r="2083" spans="12:14">
      <c r="L2083">
        <v>1637</v>
      </c>
      <c r="N2083" t="str">
        <f t="shared" si="32"/>
        <v/>
      </c>
    </row>
    <row r="2084" spans="12:14">
      <c r="L2084">
        <v>345</v>
      </c>
      <c r="N2084" t="str">
        <f t="shared" si="32"/>
        <v/>
      </c>
    </row>
    <row r="2085" spans="12:14">
      <c r="L2085">
        <v>3652</v>
      </c>
      <c r="N2085" t="str">
        <f t="shared" si="32"/>
        <v/>
      </c>
    </row>
    <row r="2086" spans="12:14">
      <c r="L2086">
        <v>678</v>
      </c>
      <c r="N2086" t="str">
        <f t="shared" si="32"/>
        <v/>
      </c>
    </row>
    <row r="2087" spans="12:14">
      <c r="L2087">
        <v>3093</v>
      </c>
      <c r="N2087" t="str">
        <f t="shared" si="32"/>
        <v/>
      </c>
    </row>
    <row r="2088" spans="12:14">
      <c r="L2088">
        <v>1693</v>
      </c>
      <c r="N2088" t="str">
        <f t="shared" si="32"/>
        <v/>
      </c>
    </row>
    <row r="2089" spans="12:14">
      <c r="L2089">
        <v>4295</v>
      </c>
      <c r="N2089" t="str">
        <f t="shared" si="32"/>
        <v/>
      </c>
    </row>
    <row r="2090" spans="12:14">
      <c r="L2090">
        <v>2672</v>
      </c>
      <c r="N2090" t="str">
        <f t="shared" si="32"/>
        <v/>
      </c>
    </row>
    <row r="2091" spans="12:14">
      <c r="L2091">
        <v>3970</v>
      </c>
      <c r="N2091" t="str">
        <f t="shared" si="32"/>
        <v/>
      </c>
    </row>
    <row r="2092" spans="12:14">
      <c r="L2092">
        <v>894</v>
      </c>
      <c r="N2092" t="str">
        <f t="shared" si="32"/>
        <v/>
      </c>
    </row>
    <row r="2093" spans="12:14">
      <c r="L2093">
        <v>4466</v>
      </c>
      <c r="N2093" t="str">
        <f t="shared" si="32"/>
        <v/>
      </c>
    </row>
    <row r="2094" spans="12:14">
      <c r="L2094">
        <v>2835</v>
      </c>
      <c r="M2094" t="s">
        <v>29</v>
      </c>
      <c r="N2094">
        <f t="shared" si="32"/>
        <v>4</v>
      </c>
    </row>
    <row r="2095" spans="12:14">
      <c r="L2095">
        <v>1107</v>
      </c>
      <c r="M2095" t="s">
        <v>29</v>
      </c>
      <c r="N2095">
        <f t="shared" si="32"/>
        <v>4</v>
      </c>
    </row>
    <row r="2096" spans="12:14">
      <c r="L2096">
        <v>3049</v>
      </c>
      <c r="N2096" t="str">
        <f t="shared" si="32"/>
        <v/>
      </c>
    </row>
    <row r="2097" spans="12:14">
      <c r="L2097">
        <v>2318</v>
      </c>
      <c r="N2097" t="str">
        <f t="shared" si="32"/>
        <v/>
      </c>
    </row>
    <row r="2098" spans="12:14">
      <c r="L2098">
        <v>3871</v>
      </c>
      <c r="N2098" t="str">
        <f t="shared" si="32"/>
        <v/>
      </c>
    </row>
    <row r="2099" spans="12:14">
      <c r="L2099">
        <v>2467</v>
      </c>
      <c r="N2099" t="str">
        <f t="shared" si="32"/>
        <v/>
      </c>
    </row>
    <row r="2100" spans="12:14">
      <c r="L2100">
        <v>774</v>
      </c>
      <c r="M2100" t="s">
        <v>30</v>
      </c>
      <c r="N2100">
        <f t="shared" si="32"/>
        <v>7</v>
      </c>
    </row>
    <row r="2101" spans="12:14">
      <c r="L2101">
        <v>818</v>
      </c>
      <c r="N2101" t="str">
        <f t="shared" si="32"/>
        <v/>
      </c>
    </row>
    <row r="2102" spans="12:14">
      <c r="L2102">
        <v>3781</v>
      </c>
      <c r="M2102" t="s">
        <v>31</v>
      </c>
      <c r="N2102">
        <f t="shared" si="32"/>
        <v>6</v>
      </c>
    </row>
    <row r="2103" spans="12:14">
      <c r="L2103">
        <v>2100</v>
      </c>
      <c r="N2103" t="str">
        <f t="shared" si="32"/>
        <v/>
      </c>
    </row>
    <row r="2104" spans="12:14">
      <c r="L2104">
        <v>573</v>
      </c>
      <c r="M2104" t="s">
        <v>28</v>
      </c>
      <c r="N2104">
        <f t="shared" si="32"/>
        <v>3</v>
      </c>
    </row>
    <row r="2105" spans="12:14">
      <c r="L2105">
        <v>4027</v>
      </c>
      <c r="N2105" t="str">
        <f t="shared" si="32"/>
        <v/>
      </c>
    </row>
    <row r="2106" spans="12:14">
      <c r="L2106">
        <v>3916</v>
      </c>
      <c r="M2106" t="s">
        <v>26</v>
      </c>
      <c r="N2106">
        <f t="shared" si="32"/>
        <v>1</v>
      </c>
    </row>
    <row r="2107" spans="12:14">
      <c r="L2107">
        <v>2725</v>
      </c>
      <c r="N2107" t="str">
        <f t="shared" si="32"/>
        <v/>
      </c>
    </row>
    <row r="2108" spans="12:14">
      <c r="L2108">
        <v>1770</v>
      </c>
      <c r="N2108" t="str">
        <f t="shared" si="32"/>
        <v/>
      </c>
    </row>
    <row r="2109" spans="12:14">
      <c r="L2109">
        <v>824</v>
      </c>
      <c r="N2109" t="str">
        <f t="shared" si="32"/>
        <v/>
      </c>
    </row>
    <row r="2110" spans="12:14">
      <c r="L2110">
        <v>4951</v>
      </c>
      <c r="N2110" t="str">
        <f t="shared" si="32"/>
        <v/>
      </c>
    </row>
    <row r="2111" spans="12:14">
      <c r="L2111">
        <v>4938</v>
      </c>
      <c r="N2111" t="str">
        <f t="shared" si="32"/>
        <v/>
      </c>
    </row>
    <row r="2112" spans="12:14">
      <c r="L2112">
        <v>1293</v>
      </c>
      <c r="M2112" t="s">
        <v>30</v>
      </c>
      <c r="N2112">
        <f t="shared" si="32"/>
        <v>7</v>
      </c>
    </row>
    <row r="2113" spans="12:14">
      <c r="L2113">
        <v>4359</v>
      </c>
      <c r="N2113" t="str">
        <f t="shared" si="32"/>
        <v/>
      </c>
    </row>
    <row r="2114" spans="12:14">
      <c r="L2114">
        <v>687</v>
      </c>
      <c r="M2114" t="s">
        <v>26</v>
      </c>
      <c r="N2114">
        <f t="shared" si="32"/>
        <v>1</v>
      </c>
    </row>
    <row r="2115" spans="12:14">
      <c r="L2115">
        <v>1018</v>
      </c>
      <c r="N2115" t="str">
        <f t="shared" ref="N2115:N2178" si="33">IFERROR(VLOOKUP(M2115,$A$3:$B$10,2,0),"")</f>
        <v/>
      </c>
    </row>
    <row r="2116" spans="12:14">
      <c r="L2116">
        <v>1454</v>
      </c>
      <c r="N2116" t="str">
        <f t="shared" si="33"/>
        <v/>
      </c>
    </row>
    <row r="2117" spans="12:14">
      <c r="L2117">
        <v>4001</v>
      </c>
      <c r="N2117" t="str">
        <f t="shared" si="33"/>
        <v/>
      </c>
    </row>
    <row r="2118" spans="12:14">
      <c r="L2118">
        <v>2302</v>
      </c>
      <c r="N2118" t="str">
        <f t="shared" si="33"/>
        <v/>
      </c>
    </row>
    <row r="2119" spans="12:14">
      <c r="L2119">
        <v>1471</v>
      </c>
      <c r="N2119" t="str">
        <f t="shared" si="33"/>
        <v/>
      </c>
    </row>
    <row r="2120" spans="12:14">
      <c r="L2120">
        <v>2464</v>
      </c>
      <c r="N2120" t="str">
        <f t="shared" si="33"/>
        <v/>
      </c>
    </row>
    <row r="2121" spans="12:14">
      <c r="L2121">
        <v>3593</v>
      </c>
      <c r="M2121" t="s">
        <v>30</v>
      </c>
      <c r="N2121">
        <f t="shared" si="33"/>
        <v>7</v>
      </c>
    </row>
    <row r="2122" spans="12:14">
      <c r="L2122">
        <v>4484</v>
      </c>
      <c r="N2122" t="str">
        <f t="shared" si="33"/>
        <v/>
      </c>
    </row>
    <row r="2123" spans="12:14">
      <c r="L2123">
        <v>660</v>
      </c>
      <c r="N2123" t="str">
        <f t="shared" si="33"/>
        <v/>
      </c>
    </row>
    <row r="2124" spans="12:14">
      <c r="L2124">
        <v>4493</v>
      </c>
      <c r="N2124" t="str">
        <f t="shared" si="33"/>
        <v/>
      </c>
    </row>
    <row r="2125" spans="12:14">
      <c r="L2125">
        <v>766</v>
      </c>
      <c r="N2125" t="str">
        <f t="shared" si="33"/>
        <v/>
      </c>
    </row>
    <row r="2126" spans="12:14">
      <c r="L2126">
        <v>3005</v>
      </c>
      <c r="M2126" t="s">
        <v>25</v>
      </c>
      <c r="N2126">
        <f t="shared" si="33"/>
        <v>5</v>
      </c>
    </row>
    <row r="2127" spans="12:14">
      <c r="L2127">
        <v>222</v>
      </c>
      <c r="N2127" t="str">
        <f t="shared" si="33"/>
        <v/>
      </c>
    </row>
    <row r="2128" spans="12:14">
      <c r="L2128">
        <v>2256</v>
      </c>
      <c r="N2128" t="str">
        <f t="shared" si="33"/>
        <v/>
      </c>
    </row>
    <row r="2129" spans="12:14">
      <c r="L2129">
        <v>3611</v>
      </c>
      <c r="N2129" t="str">
        <f t="shared" si="33"/>
        <v/>
      </c>
    </row>
    <row r="2130" spans="12:14">
      <c r="L2130">
        <v>1543</v>
      </c>
      <c r="N2130" t="str">
        <f t="shared" si="33"/>
        <v/>
      </c>
    </row>
    <row r="2131" spans="12:14">
      <c r="L2131">
        <v>4529</v>
      </c>
      <c r="N2131" t="str">
        <f t="shared" si="33"/>
        <v/>
      </c>
    </row>
    <row r="2132" spans="12:14">
      <c r="L2132">
        <v>259</v>
      </c>
      <c r="N2132" t="str">
        <f t="shared" si="33"/>
        <v/>
      </c>
    </row>
    <row r="2133" spans="12:14">
      <c r="L2133">
        <v>1965</v>
      </c>
      <c r="N2133" t="str">
        <f t="shared" si="33"/>
        <v/>
      </c>
    </row>
    <row r="2134" spans="12:14">
      <c r="L2134">
        <v>2793</v>
      </c>
      <c r="N2134" t="str">
        <f t="shared" si="33"/>
        <v/>
      </c>
    </row>
    <row r="2135" spans="12:14">
      <c r="L2135">
        <v>3602</v>
      </c>
      <c r="N2135" t="str">
        <f t="shared" si="33"/>
        <v/>
      </c>
    </row>
    <row r="2136" spans="12:14">
      <c r="L2136">
        <v>3800</v>
      </c>
      <c r="N2136" t="str">
        <f t="shared" si="33"/>
        <v/>
      </c>
    </row>
    <row r="2137" spans="12:14">
      <c r="L2137">
        <v>3045</v>
      </c>
      <c r="N2137" t="str">
        <f t="shared" si="33"/>
        <v/>
      </c>
    </row>
    <row r="2138" spans="12:14">
      <c r="L2138">
        <v>3138</v>
      </c>
      <c r="M2138" t="s">
        <v>28</v>
      </c>
      <c r="N2138">
        <f t="shared" si="33"/>
        <v>3</v>
      </c>
    </row>
    <row r="2139" spans="12:14">
      <c r="L2139">
        <v>385</v>
      </c>
      <c r="N2139" t="str">
        <f t="shared" si="33"/>
        <v/>
      </c>
    </row>
    <row r="2140" spans="12:14">
      <c r="L2140">
        <v>1802</v>
      </c>
      <c r="N2140" t="str">
        <f t="shared" si="33"/>
        <v/>
      </c>
    </row>
    <row r="2141" spans="12:14">
      <c r="L2141">
        <v>960</v>
      </c>
      <c r="N2141" t="str">
        <f t="shared" si="33"/>
        <v/>
      </c>
    </row>
    <row r="2142" spans="12:14">
      <c r="L2142">
        <v>2669</v>
      </c>
      <c r="N2142" t="str">
        <f t="shared" si="33"/>
        <v/>
      </c>
    </row>
    <row r="2143" spans="12:14">
      <c r="L2143">
        <v>1767</v>
      </c>
      <c r="N2143" t="str">
        <f t="shared" si="33"/>
        <v/>
      </c>
    </row>
    <row r="2144" spans="12:14">
      <c r="L2144">
        <v>1792</v>
      </c>
      <c r="N2144" t="str">
        <f t="shared" si="33"/>
        <v/>
      </c>
    </row>
    <row r="2145" spans="12:14">
      <c r="L2145">
        <v>1066</v>
      </c>
      <c r="N2145" t="str">
        <f t="shared" si="33"/>
        <v/>
      </c>
    </row>
    <row r="2146" spans="12:14">
      <c r="L2146">
        <v>326</v>
      </c>
      <c r="N2146" t="str">
        <f t="shared" si="33"/>
        <v/>
      </c>
    </row>
    <row r="2147" spans="12:14">
      <c r="L2147">
        <v>806</v>
      </c>
      <c r="N2147" t="str">
        <f t="shared" si="33"/>
        <v/>
      </c>
    </row>
    <row r="2148" spans="12:14">
      <c r="L2148">
        <v>4922</v>
      </c>
      <c r="N2148" t="str">
        <f t="shared" si="33"/>
        <v/>
      </c>
    </row>
    <row r="2149" spans="12:14">
      <c r="L2149">
        <v>4507</v>
      </c>
      <c r="N2149" t="str">
        <f t="shared" si="33"/>
        <v/>
      </c>
    </row>
    <row r="2150" spans="12:14">
      <c r="L2150">
        <v>3500</v>
      </c>
      <c r="N2150" t="str">
        <f t="shared" si="33"/>
        <v/>
      </c>
    </row>
    <row r="2151" spans="12:14">
      <c r="L2151">
        <v>2974</v>
      </c>
      <c r="M2151" t="s">
        <v>25</v>
      </c>
      <c r="N2151">
        <f t="shared" si="33"/>
        <v>5</v>
      </c>
    </row>
    <row r="2152" spans="12:14">
      <c r="L2152">
        <v>4282</v>
      </c>
      <c r="N2152" t="str">
        <f t="shared" si="33"/>
        <v/>
      </c>
    </row>
    <row r="2153" spans="12:14">
      <c r="L2153">
        <v>2535</v>
      </c>
      <c r="N2153" t="str">
        <f t="shared" si="33"/>
        <v/>
      </c>
    </row>
    <row r="2154" spans="12:14">
      <c r="L2154">
        <v>4091</v>
      </c>
      <c r="N2154" t="str">
        <f t="shared" si="33"/>
        <v/>
      </c>
    </row>
    <row r="2155" spans="12:14">
      <c r="L2155">
        <v>4029</v>
      </c>
      <c r="M2155" t="s">
        <v>25</v>
      </c>
      <c r="N2155">
        <f t="shared" si="33"/>
        <v>5</v>
      </c>
    </row>
    <row r="2156" spans="12:14">
      <c r="L2156">
        <v>1742</v>
      </c>
      <c r="M2156" t="s">
        <v>26</v>
      </c>
      <c r="N2156">
        <f t="shared" si="33"/>
        <v>1</v>
      </c>
    </row>
    <row r="2157" spans="12:14">
      <c r="L2157">
        <v>3117</v>
      </c>
      <c r="N2157" t="str">
        <f t="shared" si="33"/>
        <v/>
      </c>
    </row>
    <row r="2158" spans="12:14">
      <c r="L2158">
        <v>1573</v>
      </c>
      <c r="N2158" t="str">
        <f t="shared" si="33"/>
        <v/>
      </c>
    </row>
    <row r="2159" spans="12:14">
      <c r="L2159">
        <v>3794</v>
      </c>
      <c r="N2159" t="str">
        <f t="shared" si="33"/>
        <v/>
      </c>
    </row>
    <row r="2160" spans="12:14">
      <c r="L2160">
        <v>1954</v>
      </c>
      <c r="N2160" t="str">
        <f t="shared" si="33"/>
        <v/>
      </c>
    </row>
    <row r="2161" spans="12:14">
      <c r="L2161">
        <v>3081</v>
      </c>
      <c r="N2161" t="str">
        <f t="shared" si="33"/>
        <v/>
      </c>
    </row>
    <row r="2162" spans="12:14">
      <c r="L2162">
        <v>4495</v>
      </c>
      <c r="M2162" t="s">
        <v>19</v>
      </c>
      <c r="N2162">
        <f t="shared" si="33"/>
        <v>2</v>
      </c>
    </row>
    <row r="2163" spans="12:14">
      <c r="L2163">
        <v>1472</v>
      </c>
      <c r="N2163" t="str">
        <f t="shared" si="33"/>
        <v/>
      </c>
    </row>
    <row r="2164" spans="12:14">
      <c r="L2164">
        <v>3762</v>
      </c>
      <c r="N2164" t="str">
        <f t="shared" si="33"/>
        <v/>
      </c>
    </row>
    <row r="2165" spans="12:14">
      <c r="L2165">
        <v>829</v>
      </c>
      <c r="M2165" t="s">
        <v>19</v>
      </c>
      <c r="N2165">
        <f t="shared" si="33"/>
        <v>2</v>
      </c>
    </row>
    <row r="2166" spans="12:14">
      <c r="L2166">
        <v>1404</v>
      </c>
      <c r="N2166" t="str">
        <f t="shared" si="33"/>
        <v/>
      </c>
    </row>
    <row r="2167" spans="12:14">
      <c r="L2167">
        <v>2013</v>
      </c>
      <c r="N2167" t="str">
        <f t="shared" si="33"/>
        <v/>
      </c>
    </row>
    <row r="2168" spans="12:14">
      <c r="L2168">
        <v>749</v>
      </c>
      <c r="N2168" t="str">
        <f t="shared" si="33"/>
        <v/>
      </c>
    </row>
    <row r="2169" spans="12:14">
      <c r="L2169">
        <v>3642</v>
      </c>
      <c r="N2169" t="str">
        <f t="shared" si="33"/>
        <v/>
      </c>
    </row>
    <row r="2170" spans="12:14">
      <c r="L2170">
        <v>4603</v>
      </c>
      <c r="M2170" t="s">
        <v>26</v>
      </c>
      <c r="N2170">
        <f t="shared" si="33"/>
        <v>1</v>
      </c>
    </row>
    <row r="2171" spans="12:14">
      <c r="L2171">
        <v>2572</v>
      </c>
      <c r="N2171" t="str">
        <f t="shared" si="33"/>
        <v/>
      </c>
    </row>
    <row r="2172" spans="12:14">
      <c r="L2172">
        <v>4803</v>
      </c>
      <c r="N2172" t="str">
        <f t="shared" si="33"/>
        <v/>
      </c>
    </row>
    <row r="2173" spans="12:14">
      <c r="L2173">
        <v>2192</v>
      </c>
      <c r="N2173" t="str">
        <f t="shared" si="33"/>
        <v/>
      </c>
    </row>
    <row r="2174" spans="12:14">
      <c r="L2174">
        <v>2084</v>
      </c>
      <c r="N2174" t="str">
        <f t="shared" si="33"/>
        <v/>
      </c>
    </row>
    <row r="2175" spans="12:14">
      <c r="L2175">
        <v>151</v>
      </c>
      <c r="M2175" t="s">
        <v>25</v>
      </c>
      <c r="N2175">
        <f t="shared" si="33"/>
        <v>5</v>
      </c>
    </row>
    <row r="2176" spans="12:14">
      <c r="L2176">
        <v>105</v>
      </c>
      <c r="N2176" t="str">
        <f t="shared" si="33"/>
        <v/>
      </c>
    </row>
    <row r="2177" spans="12:14">
      <c r="L2177">
        <v>3660</v>
      </c>
      <c r="N2177" t="str">
        <f t="shared" si="33"/>
        <v/>
      </c>
    </row>
    <row r="2178" spans="12:14">
      <c r="L2178">
        <v>2003</v>
      </c>
      <c r="N2178" t="str">
        <f t="shared" si="33"/>
        <v/>
      </c>
    </row>
    <row r="2179" spans="12:14">
      <c r="L2179">
        <v>2108</v>
      </c>
      <c r="N2179" t="str">
        <f t="shared" ref="N2179:N2242" si="34">IFERROR(VLOOKUP(M2179,$A$3:$B$10,2,0),"")</f>
        <v/>
      </c>
    </row>
    <row r="2180" spans="12:14">
      <c r="L2180">
        <v>454</v>
      </c>
      <c r="M2180" t="s">
        <v>30</v>
      </c>
      <c r="N2180">
        <f t="shared" si="34"/>
        <v>7</v>
      </c>
    </row>
    <row r="2181" spans="12:14">
      <c r="L2181">
        <v>4817</v>
      </c>
      <c r="M2181" t="s">
        <v>30</v>
      </c>
      <c r="N2181">
        <f t="shared" si="34"/>
        <v>7</v>
      </c>
    </row>
    <row r="2182" spans="12:14">
      <c r="L2182">
        <v>2473</v>
      </c>
      <c r="N2182" t="str">
        <f t="shared" si="34"/>
        <v/>
      </c>
    </row>
    <row r="2183" spans="12:14">
      <c r="L2183">
        <v>4937</v>
      </c>
      <c r="M2183" t="s">
        <v>31</v>
      </c>
      <c r="N2183">
        <f t="shared" si="34"/>
        <v>6</v>
      </c>
    </row>
    <row r="2184" spans="12:14">
      <c r="L2184">
        <v>2802</v>
      </c>
      <c r="M2184" t="s">
        <v>26</v>
      </c>
      <c r="N2184">
        <f t="shared" si="34"/>
        <v>1</v>
      </c>
    </row>
    <row r="2185" spans="12:14">
      <c r="L2185">
        <v>4471</v>
      </c>
      <c r="N2185" t="str">
        <f t="shared" si="34"/>
        <v/>
      </c>
    </row>
    <row r="2186" spans="12:14">
      <c r="L2186">
        <v>4900</v>
      </c>
      <c r="N2186" t="str">
        <f t="shared" si="34"/>
        <v/>
      </c>
    </row>
    <row r="2187" spans="12:14">
      <c r="L2187">
        <v>507</v>
      </c>
      <c r="M2187" t="s">
        <v>29</v>
      </c>
      <c r="N2187">
        <f t="shared" si="34"/>
        <v>4</v>
      </c>
    </row>
    <row r="2188" spans="12:14">
      <c r="L2188">
        <v>3752</v>
      </c>
      <c r="N2188" t="str">
        <f t="shared" si="34"/>
        <v/>
      </c>
    </row>
    <row r="2189" spans="12:14">
      <c r="L2189">
        <v>2624</v>
      </c>
      <c r="N2189" t="str">
        <f t="shared" si="34"/>
        <v/>
      </c>
    </row>
    <row r="2190" spans="12:14">
      <c r="L2190">
        <v>2210</v>
      </c>
      <c r="N2190" t="str">
        <f t="shared" si="34"/>
        <v/>
      </c>
    </row>
    <row r="2191" spans="12:14">
      <c r="L2191">
        <v>3007</v>
      </c>
      <c r="M2191" t="s">
        <v>19</v>
      </c>
      <c r="N2191">
        <f t="shared" si="34"/>
        <v>2</v>
      </c>
    </row>
    <row r="2192" spans="12:14">
      <c r="L2192">
        <v>2321</v>
      </c>
      <c r="N2192" t="str">
        <f t="shared" si="34"/>
        <v/>
      </c>
    </row>
    <row r="2193" spans="12:14">
      <c r="L2193">
        <v>4294</v>
      </c>
      <c r="M2193" t="s">
        <v>29</v>
      </c>
      <c r="N2193">
        <f t="shared" si="34"/>
        <v>4</v>
      </c>
    </row>
    <row r="2194" spans="12:14">
      <c r="L2194">
        <v>1368</v>
      </c>
      <c r="M2194" t="s">
        <v>25</v>
      </c>
      <c r="N2194">
        <f t="shared" si="34"/>
        <v>5</v>
      </c>
    </row>
    <row r="2195" spans="12:14">
      <c r="L2195">
        <v>3353</v>
      </c>
      <c r="N2195" t="str">
        <f t="shared" si="34"/>
        <v/>
      </c>
    </row>
    <row r="2196" spans="12:14">
      <c r="L2196">
        <v>3337</v>
      </c>
      <c r="N2196" t="str">
        <f t="shared" si="34"/>
        <v/>
      </c>
    </row>
    <row r="2197" spans="12:14">
      <c r="L2197">
        <v>786</v>
      </c>
      <c r="M2197" t="s">
        <v>28</v>
      </c>
      <c r="N2197">
        <f t="shared" si="34"/>
        <v>3</v>
      </c>
    </row>
    <row r="2198" spans="12:14">
      <c r="L2198">
        <v>44</v>
      </c>
      <c r="N2198" t="str">
        <f t="shared" si="34"/>
        <v/>
      </c>
    </row>
    <row r="2199" spans="12:14">
      <c r="L2199">
        <v>2252</v>
      </c>
      <c r="M2199" t="s">
        <v>19</v>
      </c>
      <c r="N2199">
        <f t="shared" si="34"/>
        <v>2</v>
      </c>
    </row>
    <row r="2200" spans="12:14">
      <c r="L2200">
        <v>2797</v>
      </c>
      <c r="N2200" t="str">
        <f t="shared" si="34"/>
        <v/>
      </c>
    </row>
    <row r="2201" spans="12:14">
      <c r="L2201">
        <v>1392</v>
      </c>
      <c r="N2201" t="str">
        <f t="shared" si="34"/>
        <v/>
      </c>
    </row>
    <row r="2202" spans="12:14">
      <c r="L2202">
        <v>3286</v>
      </c>
      <c r="M2202" t="s">
        <v>31</v>
      </c>
      <c r="N2202">
        <f t="shared" si="34"/>
        <v>6</v>
      </c>
    </row>
    <row r="2203" spans="12:14">
      <c r="L2203">
        <v>3298</v>
      </c>
      <c r="N2203" t="str">
        <f t="shared" si="34"/>
        <v/>
      </c>
    </row>
    <row r="2204" spans="12:14">
      <c r="L2204">
        <v>4398</v>
      </c>
      <c r="N2204" t="str">
        <f t="shared" si="34"/>
        <v/>
      </c>
    </row>
    <row r="2205" spans="12:14">
      <c r="L2205">
        <v>3856</v>
      </c>
      <c r="N2205" t="str">
        <f t="shared" si="34"/>
        <v/>
      </c>
    </row>
    <row r="2206" spans="12:14">
      <c r="L2206">
        <v>1136</v>
      </c>
      <c r="N2206" t="str">
        <f t="shared" si="34"/>
        <v/>
      </c>
    </row>
    <row r="2207" spans="12:14">
      <c r="L2207">
        <v>78</v>
      </c>
      <c r="M2207" t="s">
        <v>25</v>
      </c>
      <c r="N2207">
        <f t="shared" si="34"/>
        <v>5</v>
      </c>
    </row>
    <row r="2208" spans="12:14">
      <c r="L2208">
        <v>2771</v>
      </c>
      <c r="N2208" t="str">
        <f t="shared" si="34"/>
        <v/>
      </c>
    </row>
    <row r="2209" spans="12:14">
      <c r="L2209">
        <v>984</v>
      </c>
      <c r="N2209" t="str">
        <f t="shared" si="34"/>
        <v/>
      </c>
    </row>
    <row r="2210" spans="12:14">
      <c r="L2210">
        <v>498</v>
      </c>
      <c r="N2210" t="str">
        <f t="shared" si="34"/>
        <v/>
      </c>
    </row>
    <row r="2211" spans="12:14">
      <c r="L2211">
        <v>2555</v>
      </c>
      <c r="N2211" t="str">
        <f t="shared" si="34"/>
        <v/>
      </c>
    </row>
    <row r="2212" spans="12:14">
      <c r="L2212">
        <v>4411</v>
      </c>
      <c r="N2212" t="str">
        <f t="shared" si="34"/>
        <v/>
      </c>
    </row>
    <row r="2213" spans="12:14">
      <c r="L2213">
        <v>1494</v>
      </c>
      <c r="M2213" t="s">
        <v>26</v>
      </c>
      <c r="N2213">
        <f t="shared" si="34"/>
        <v>1</v>
      </c>
    </row>
    <row r="2214" spans="12:14">
      <c r="L2214">
        <v>69</v>
      </c>
      <c r="M2214" t="s">
        <v>29</v>
      </c>
      <c r="N2214">
        <f t="shared" si="34"/>
        <v>4</v>
      </c>
    </row>
    <row r="2215" spans="12:14">
      <c r="L2215">
        <v>477</v>
      </c>
      <c r="M2215" t="s">
        <v>19</v>
      </c>
      <c r="N2215">
        <f t="shared" si="34"/>
        <v>2</v>
      </c>
    </row>
    <row r="2216" spans="12:14">
      <c r="L2216">
        <v>4435</v>
      </c>
      <c r="N2216" t="str">
        <f t="shared" si="34"/>
        <v/>
      </c>
    </row>
    <row r="2217" spans="12:14">
      <c r="L2217">
        <v>2740</v>
      </c>
      <c r="M2217" t="s">
        <v>28</v>
      </c>
      <c r="N2217">
        <f t="shared" si="34"/>
        <v>3</v>
      </c>
    </row>
    <row r="2218" spans="12:14">
      <c r="L2218">
        <v>3058</v>
      </c>
      <c r="M2218" t="s">
        <v>28</v>
      </c>
      <c r="N2218">
        <f t="shared" si="34"/>
        <v>3</v>
      </c>
    </row>
    <row r="2219" spans="12:14">
      <c r="L2219">
        <v>1035</v>
      </c>
      <c r="N2219" t="str">
        <f t="shared" si="34"/>
        <v/>
      </c>
    </row>
    <row r="2220" spans="12:14">
      <c r="L2220">
        <v>1266</v>
      </c>
      <c r="N2220" t="str">
        <f t="shared" si="34"/>
        <v/>
      </c>
    </row>
    <row r="2221" spans="12:14">
      <c r="L2221">
        <v>2564</v>
      </c>
      <c r="N2221" t="str">
        <f t="shared" si="34"/>
        <v/>
      </c>
    </row>
    <row r="2222" spans="12:14">
      <c r="L2222">
        <v>3356</v>
      </c>
      <c r="M2222" t="s">
        <v>31</v>
      </c>
      <c r="N2222">
        <f t="shared" si="34"/>
        <v>6</v>
      </c>
    </row>
    <row r="2223" spans="12:14">
      <c r="L2223">
        <v>2547</v>
      </c>
      <c r="N2223" t="str">
        <f t="shared" si="34"/>
        <v/>
      </c>
    </row>
    <row r="2224" spans="12:14">
      <c r="L2224">
        <v>4702</v>
      </c>
      <c r="N2224" t="str">
        <f t="shared" si="34"/>
        <v/>
      </c>
    </row>
    <row r="2225" spans="12:14">
      <c r="L2225">
        <v>437</v>
      </c>
      <c r="N2225" t="str">
        <f t="shared" si="34"/>
        <v/>
      </c>
    </row>
    <row r="2226" spans="12:14">
      <c r="L2226">
        <v>1940</v>
      </c>
      <c r="N2226" t="str">
        <f t="shared" si="34"/>
        <v/>
      </c>
    </row>
    <row r="2227" spans="12:14">
      <c r="L2227">
        <v>110</v>
      </c>
      <c r="N2227" t="str">
        <f t="shared" si="34"/>
        <v/>
      </c>
    </row>
    <row r="2228" spans="12:14">
      <c r="L2228">
        <v>587</v>
      </c>
      <c r="N2228" t="str">
        <f t="shared" si="34"/>
        <v/>
      </c>
    </row>
    <row r="2229" spans="12:14">
      <c r="L2229">
        <v>3059</v>
      </c>
      <c r="N2229" t="str">
        <f t="shared" si="34"/>
        <v/>
      </c>
    </row>
    <row r="2230" spans="12:14">
      <c r="L2230">
        <v>2559</v>
      </c>
      <c r="M2230" t="s">
        <v>28</v>
      </c>
      <c r="N2230">
        <f t="shared" si="34"/>
        <v>3</v>
      </c>
    </row>
    <row r="2231" spans="12:14">
      <c r="L2231">
        <v>1321</v>
      </c>
      <c r="N2231" t="str">
        <f t="shared" si="34"/>
        <v/>
      </c>
    </row>
    <row r="2232" spans="12:14">
      <c r="L2232">
        <v>989</v>
      </c>
      <c r="N2232" t="str">
        <f t="shared" si="34"/>
        <v/>
      </c>
    </row>
    <row r="2233" spans="12:14">
      <c r="L2233">
        <v>4701</v>
      </c>
      <c r="N2233" t="str">
        <f t="shared" si="34"/>
        <v/>
      </c>
    </row>
    <row r="2234" spans="12:14">
      <c r="L2234">
        <v>963</v>
      </c>
      <c r="N2234" t="str">
        <f t="shared" si="34"/>
        <v/>
      </c>
    </row>
    <row r="2235" spans="12:14">
      <c r="L2235">
        <v>4809</v>
      </c>
      <c r="N2235" t="str">
        <f t="shared" si="34"/>
        <v/>
      </c>
    </row>
    <row r="2236" spans="12:14">
      <c r="L2236">
        <v>667</v>
      </c>
      <c r="N2236" t="str">
        <f t="shared" si="34"/>
        <v/>
      </c>
    </row>
    <row r="2237" spans="12:14">
      <c r="L2237">
        <v>2004</v>
      </c>
      <c r="N2237" t="str">
        <f t="shared" si="34"/>
        <v/>
      </c>
    </row>
    <row r="2238" spans="12:14">
      <c r="L2238">
        <v>1009</v>
      </c>
      <c r="N2238" t="str">
        <f t="shared" si="34"/>
        <v/>
      </c>
    </row>
    <row r="2239" spans="12:14">
      <c r="L2239">
        <v>4615</v>
      </c>
      <c r="N2239" t="str">
        <f t="shared" si="34"/>
        <v/>
      </c>
    </row>
    <row r="2240" spans="12:14">
      <c r="L2240">
        <v>1398</v>
      </c>
      <c r="N2240" t="str">
        <f t="shared" si="34"/>
        <v/>
      </c>
    </row>
    <row r="2241" spans="12:14">
      <c r="L2241">
        <v>3184</v>
      </c>
      <c r="N2241" t="str">
        <f t="shared" si="34"/>
        <v/>
      </c>
    </row>
    <row r="2242" spans="12:14">
      <c r="L2242">
        <v>330</v>
      </c>
      <c r="M2242" t="s">
        <v>29</v>
      </c>
      <c r="N2242">
        <f t="shared" si="34"/>
        <v>4</v>
      </c>
    </row>
    <row r="2243" spans="12:14">
      <c r="L2243">
        <v>2613</v>
      </c>
      <c r="N2243" t="str">
        <f t="shared" ref="N2243:N2306" si="35">IFERROR(VLOOKUP(M2243,$A$3:$B$10,2,0),"")</f>
        <v/>
      </c>
    </row>
    <row r="2244" spans="12:14">
      <c r="L2244">
        <v>3152</v>
      </c>
      <c r="N2244" t="str">
        <f t="shared" si="35"/>
        <v/>
      </c>
    </row>
    <row r="2245" spans="12:14">
      <c r="L2245">
        <v>2002</v>
      </c>
      <c r="M2245" t="s">
        <v>29</v>
      </c>
      <c r="N2245">
        <f t="shared" si="35"/>
        <v>4</v>
      </c>
    </row>
    <row r="2246" spans="12:14">
      <c r="L2246">
        <v>1375</v>
      </c>
      <c r="N2246" t="str">
        <f t="shared" si="35"/>
        <v/>
      </c>
    </row>
    <row r="2247" spans="12:14">
      <c r="L2247">
        <v>106</v>
      </c>
      <c r="N2247" t="str">
        <f t="shared" si="35"/>
        <v/>
      </c>
    </row>
    <row r="2248" spans="12:14">
      <c r="L2248">
        <v>4403</v>
      </c>
      <c r="M2248" t="s">
        <v>30</v>
      </c>
      <c r="N2248">
        <f t="shared" si="35"/>
        <v>7</v>
      </c>
    </row>
    <row r="2249" spans="12:14">
      <c r="L2249">
        <v>3735</v>
      </c>
      <c r="N2249" t="str">
        <f t="shared" si="35"/>
        <v/>
      </c>
    </row>
    <row r="2250" spans="12:14">
      <c r="L2250">
        <v>3399</v>
      </c>
      <c r="M2250" t="s">
        <v>25</v>
      </c>
      <c r="N2250">
        <f t="shared" si="35"/>
        <v>5</v>
      </c>
    </row>
    <row r="2251" spans="12:14">
      <c r="L2251">
        <v>2811</v>
      </c>
      <c r="N2251" t="str">
        <f t="shared" si="35"/>
        <v/>
      </c>
    </row>
    <row r="2252" spans="12:14">
      <c r="L2252">
        <v>2729</v>
      </c>
      <c r="N2252" t="str">
        <f t="shared" si="35"/>
        <v/>
      </c>
    </row>
    <row r="2253" spans="12:14">
      <c r="L2253">
        <v>3625</v>
      </c>
      <c r="N2253" t="str">
        <f t="shared" si="35"/>
        <v/>
      </c>
    </row>
    <row r="2254" spans="12:14">
      <c r="L2254">
        <v>3122</v>
      </c>
      <c r="N2254" t="str">
        <f t="shared" si="35"/>
        <v/>
      </c>
    </row>
    <row r="2255" spans="12:14">
      <c r="L2255">
        <v>763</v>
      </c>
      <c r="N2255" t="str">
        <f t="shared" si="35"/>
        <v/>
      </c>
    </row>
    <row r="2256" spans="12:14">
      <c r="L2256">
        <v>4682</v>
      </c>
      <c r="N2256" t="str">
        <f t="shared" si="35"/>
        <v/>
      </c>
    </row>
    <row r="2257" spans="12:14">
      <c r="L2257">
        <v>4764</v>
      </c>
      <c r="N2257" t="str">
        <f t="shared" si="35"/>
        <v/>
      </c>
    </row>
    <row r="2258" spans="12:14">
      <c r="L2258">
        <v>3233</v>
      </c>
      <c r="M2258" t="s">
        <v>19</v>
      </c>
      <c r="N2258">
        <f t="shared" si="35"/>
        <v>2</v>
      </c>
    </row>
    <row r="2259" spans="12:14">
      <c r="L2259">
        <v>1888</v>
      </c>
      <c r="M2259" t="s">
        <v>28</v>
      </c>
      <c r="N2259">
        <f t="shared" si="35"/>
        <v>3</v>
      </c>
    </row>
    <row r="2260" spans="12:14">
      <c r="L2260">
        <v>538</v>
      </c>
      <c r="N2260" t="str">
        <f t="shared" si="35"/>
        <v/>
      </c>
    </row>
    <row r="2261" spans="12:14">
      <c r="L2261">
        <v>4533</v>
      </c>
      <c r="N2261" t="str">
        <f t="shared" si="35"/>
        <v/>
      </c>
    </row>
    <row r="2262" spans="12:14">
      <c r="L2262">
        <v>3119</v>
      </c>
      <c r="N2262" t="str">
        <f t="shared" si="35"/>
        <v/>
      </c>
    </row>
    <row r="2263" spans="12:14">
      <c r="L2263">
        <v>1588</v>
      </c>
      <c r="N2263" t="str">
        <f t="shared" si="35"/>
        <v/>
      </c>
    </row>
    <row r="2264" spans="12:14">
      <c r="L2264">
        <v>2565</v>
      </c>
      <c r="N2264" t="str">
        <f t="shared" si="35"/>
        <v/>
      </c>
    </row>
    <row r="2265" spans="12:14">
      <c r="L2265">
        <v>2690</v>
      </c>
      <c r="N2265" t="str">
        <f t="shared" si="35"/>
        <v/>
      </c>
    </row>
    <row r="2266" spans="12:14">
      <c r="L2266">
        <v>2460</v>
      </c>
      <c r="N2266" t="str">
        <f t="shared" si="35"/>
        <v/>
      </c>
    </row>
    <row r="2267" spans="12:14">
      <c r="L2267">
        <v>4260</v>
      </c>
      <c r="N2267" t="str">
        <f t="shared" si="35"/>
        <v/>
      </c>
    </row>
    <row r="2268" spans="12:14">
      <c r="L2268">
        <v>556</v>
      </c>
      <c r="N2268" t="str">
        <f t="shared" si="35"/>
        <v/>
      </c>
    </row>
    <row r="2269" spans="12:14">
      <c r="L2269">
        <v>4319</v>
      </c>
      <c r="N2269" t="str">
        <f t="shared" si="35"/>
        <v/>
      </c>
    </row>
    <row r="2270" spans="12:14">
      <c r="L2270">
        <v>4953</v>
      </c>
      <c r="M2270" t="s">
        <v>28</v>
      </c>
      <c r="N2270">
        <f t="shared" si="35"/>
        <v>3</v>
      </c>
    </row>
    <row r="2271" spans="12:14">
      <c r="L2271">
        <v>4599</v>
      </c>
      <c r="N2271" t="str">
        <f t="shared" si="35"/>
        <v/>
      </c>
    </row>
    <row r="2272" spans="12:14">
      <c r="L2272">
        <v>1678</v>
      </c>
      <c r="N2272" t="str">
        <f t="shared" si="35"/>
        <v/>
      </c>
    </row>
    <row r="2273" spans="12:14">
      <c r="L2273">
        <v>2571</v>
      </c>
      <c r="M2273" t="s">
        <v>19</v>
      </c>
      <c r="N2273">
        <f t="shared" si="35"/>
        <v>2</v>
      </c>
    </row>
    <row r="2274" spans="12:14">
      <c r="L2274">
        <v>1892</v>
      </c>
      <c r="N2274" t="str">
        <f t="shared" si="35"/>
        <v/>
      </c>
    </row>
    <row r="2275" spans="12:14">
      <c r="L2275">
        <v>4277</v>
      </c>
      <c r="N2275" t="str">
        <f t="shared" si="35"/>
        <v/>
      </c>
    </row>
    <row r="2276" spans="12:14">
      <c r="L2276">
        <v>1058</v>
      </c>
      <c r="N2276" t="str">
        <f t="shared" si="35"/>
        <v/>
      </c>
    </row>
    <row r="2277" spans="12:14">
      <c r="L2277">
        <v>4148</v>
      </c>
      <c r="N2277" t="str">
        <f t="shared" si="35"/>
        <v/>
      </c>
    </row>
    <row r="2278" spans="12:14">
      <c r="L2278">
        <v>865</v>
      </c>
      <c r="N2278" t="str">
        <f t="shared" si="35"/>
        <v/>
      </c>
    </row>
    <row r="2279" spans="12:14">
      <c r="L2279">
        <v>3044</v>
      </c>
      <c r="N2279" t="str">
        <f t="shared" si="35"/>
        <v/>
      </c>
    </row>
    <row r="2280" spans="12:14">
      <c r="L2280">
        <v>3749</v>
      </c>
      <c r="N2280" t="str">
        <f t="shared" si="35"/>
        <v/>
      </c>
    </row>
    <row r="2281" spans="12:14">
      <c r="L2281">
        <v>1474</v>
      </c>
      <c r="N2281" t="str">
        <f t="shared" si="35"/>
        <v/>
      </c>
    </row>
    <row r="2282" spans="12:14">
      <c r="L2282">
        <v>788</v>
      </c>
      <c r="N2282" t="str">
        <f t="shared" si="35"/>
        <v/>
      </c>
    </row>
    <row r="2283" spans="12:14">
      <c r="L2283">
        <v>3859</v>
      </c>
      <c r="N2283" t="str">
        <f t="shared" si="35"/>
        <v/>
      </c>
    </row>
    <row r="2284" spans="12:14">
      <c r="L2284">
        <v>3480</v>
      </c>
      <c r="N2284" t="str">
        <f t="shared" si="35"/>
        <v/>
      </c>
    </row>
    <row r="2285" spans="12:14">
      <c r="L2285">
        <v>3018</v>
      </c>
      <c r="M2285" t="s">
        <v>28</v>
      </c>
      <c r="N2285">
        <f t="shared" si="35"/>
        <v>3</v>
      </c>
    </row>
    <row r="2286" spans="12:14">
      <c r="L2286">
        <v>4772</v>
      </c>
      <c r="N2286" t="str">
        <f t="shared" si="35"/>
        <v/>
      </c>
    </row>
    <row r="2287" spans="12:14">
      <c r="L2287">
        <v>3922</v>
      </c>
      <c r="N2287" t="str">
        <f t="shared" si="35"/>
        <v/>
      </c>
    </row>
    <row r="2288" spans="12:14">
      <c r="L2288">
        <v>4181</v>
      </c>
      <c r="N2288" t="str">
        <f t="shared" si="35"/>
        <v/>
      </c>
    </row>
    <row r="2289" spans="12:14">
      <c r="L2289">
        <v>4545</v>
      </c>
      <c r="N2289" t="str">
        <f t="shared" si="35"/>
        <v/>
      </c>
    </row>
    <row r="2290" spans="12:14">
      <c r="L2290">
        <v>3890</v>
      </c>
      <c r="N2290" t="str">
        <f t="shared" si="35"/>
        <v/>
      </c>
    </row>
    <row r="2291" spans="12:14">
      <c r="L2291">
        <v>4461</v>
      </c>
      <c r="N2291" t="str">
        <f t="shared" si="35"/>
        <v/>
      </c>
    </row>
    <row r="2292" spans="12:14">
      <c r="L2292">
        <v>414</v>
      </c>
      <c r="M2292" t="s">
        <v>30</v>
      </c>
      <c r="N2292">
        <f t="shared" si="35"/>
        <v>7</v>
      </c>
    </row>
    <row r="2293" spans="12:14">
      <c r="L2293">
        <v>3787</v>
      </c>
      <c r="N2293" t="str">
        <f t="shared" si="35"/>
        <v/>
      </c>
    </row>
    <row r="2294" spans="12:14">
      <c r="L2294">
        <v>4591</v>
      </c>
      <c r="N2294" t="str">
        <f t="shared" si="35"/>
        <v/>
      </c>
    </row>
    <row r="2295" spans="12:14">
      <c r="L2295">
        <v>4383</v>
      </c>
      <c r="N2295" t="str">
        <f t="shared" si="35"/>
        <v/>
      </c>
    </row>
    <row r="2296" spans="12:14">
      <c r="L2296">
        <v>3567</v>
      </c>
      <c r="N2296" t="str">
        <f t="shared" si="35"/>
        <v/>
      </c>
    </row>
    <row r="2297" spans="12:14">
      <c r="L2297">
        <v>2845</v>
      </c>
      <c r="N2297" t="str">
        <f t="shared" si="35"/>
        <v/>
      </c>
    </row>
    <row r="2298" spans="12:14">
      <c r="L2298">
        <v>4992</v>
      </c>
      <c r="N2298" t="str">
        <f t="shared" si="35"/>
        <v/>
      </c>
    </row>
    <row r="2299" spans="12:14">
      <c r="L2299">
        <v>725</v>
      </c>
      <c r="N2299" t="str">
        <f t="shared" si="35"/>
        <v/>
      </c>
    </row>
    <row r="2300" spans="12:14">
      <c r="L2300">
        <v>2097</v>
      </c>
      <c r="M2300" t="s">
        <v>26</v>
      </c>
      <c r="N2300">
        <f t="shared" si="35"/>
        <v>1</v>
      </c>
    </row>
    <row r="2301" spans="12:14">
      <c r="L2301">
        <v>2503</v>
      </c>
      <c r="N2301" t="str">
        <f t="shared" si="35"/>
        <v/>
      </c>
    </row>
    <row r="2302" spans="12:14">
      <c r="L2302">
        <v>4288</v>
      </c>
      <c r="N2302" t="str">
        <f t="shared" si="35"/>
        <v/>
      </c>
    </row>
    <row r="2303" spans="12:14">
      <c r="L2303">
        <v>3909</v>
      </c>
      <c r="N2303" t="str">
        <f t="shared" si="35"/>
        <v/>
      </c>
    </row>
    <row r="2304" spans="12:14">
      <c r="L2304">
        <v>233</v>
      </c>
      <c r="N2304" t="str">
        <f t="shared" si="35"/>
        <v/>
      </c>
    </row>
    <row r="2305" spans="12:14">
      <c r="L2305">
        <v>4480</v>
      </c>
      <c r="M2305" t="s">
        <v>30</v>
      </c>
      <c r="N2305">
        <f t="shared" si="35"/>
        <v>7</v>
      </c>
    </row>
    <row r="2306" spans="12:14">
      <c r="L2306">
        <v>2365</v>
      </c>
      <c r="N2306" t="str">
        <f t="shared" si="35"/>
        <v/>
      </c>
    </row>
    <row r="2307" spans="12:14">
      <c r="L2307">
        <v>3482</v>
      </c>
      <c r="N2307" t="str">
        <f t="shared" ref="N2307:N2370" si="36">IFERROR(VLOOKUP(M2307,$A$3:$B$10,2,0),"")</f>
        <v/>
      </c>
    </row>
    <row r="2308" spans="12:14">
      <c r="L2308">
        <v>2497</v>
      </c>
      <c r="M2308" t="s">
        <v>25</v>
      </c>
      <c r="N2308">
        <f t="shared" si="36"/>
        <v>5</v>
      </c>
    </row>
    <row r="2309" spans="12:14">
      <c r="L2309">
        <v>4522</v>
      </c>
      <c r="N2309" t="str">
        <f t="shared" si="36"/>
        <v/>
      </c>
    </row>
    <row r="2310" spans="12:14">
      <c r="L2310">
        <v>803</v>
      </c>
      <c r="N2310" t="str">
        <f t="shared" si="36"/>
        <v/>
      </c>
    </row>
    <row r="2311" spans="12:14">
      <c r="L2311">
        <v>3961</v>
      </c>
      <c r="M2311" t="s">
        <v>31</v>
      </c>
      <c r="N2311">
        <f t="shared" si="36"/>
        <v>6</v>
      </c>
    </row>
    <row r="2312" spans="12:14">
      <c r="L2312">
        <v>4076</v>
      </c>
      <c r="N2312" t="str">
        <f t="shared" si="36"/>
        <v/>
      </c>
    </row>
    <row r="2313" spans="12:14">
      <c r="L2313">
        <v>940</v>
      </c>
      <c r="M2313" t="s">
        <v>31</v>
      </c>
      <c r="N2313">
        <f t="shared" si="36"/>
        <v>6</v>
      </c>
    </row>
    <row r="2314" spans="12:14">
      <c r="L2314">
        <v>4110</v>
      </c>
      <c r="N2314" t="str">
        <f t="shared" si="36"/>
        <v/>
      </c>
    </row>
    <row r="2315" spans="12:14">
      <c r="L2315">
        <v>360</v>
      </c>
      <c r="N2315" t="str">
        <f t="shared" si="36"/>
        <v/>
      </c>
    </row>
    <row r="2316" spans="12:14">
      <c r="L2316">
        <v>3816</v>
      </c>
      <c r="N2316" t="str">
        <f t="shared" si="36"/>
        <v/>
      </c>
    </row>
    <row r="2317" spans="12:14">
      <c r="L2317">
        <v>3400</v>
      </c>
      <c r="N2317" t="str">
        <f t="shared" si="36"/>
        <v/>
      </c>
    </row>
    <row r="2318" spans="12:14">
      <c r="L2318">
        <v>3332</v>
      </c>
      <c r="M2318" t="s">
        <v>26</v>
      </c>
      <c r="N2318">
        <f t="shared" si="36"/>
        <v>1</v>
      </c>
    </row>
    <row r="2319" spans="12:14">
      <c r="L2319">
        <v>764</v>
      </c>
      <c r="M2319" t="s">
        <v>19</v>
      </c>
      <c r="N2319">
        <f t="shared" si="36"/>
        <v>2</v>
      </c>
    </row>
    <row r="2320" spans="12:14">
      <c r="L2320">
        <v>1345</v>
      </c>
      <c r="N2320" t="str">
        <f t="shared" si="36"/>
        <v/>
      </c>
    </row>
    <row r="2321" spans="12:14">
      <c r="L2321">
        <v>2231</v>
      </c>
      <c r="N2321" t="str">
        <f t="shared" si="36"/>
        <v/>
      </c>
    </row>
    <row r="2322" spans="12:14">
      <c r="L2322">
        <v>2614</v>
      </c>
      <c r="N2322" t="str">
        <f t="shared" si="36"/>
        <v/>
      </c>
    </row>
    <row r="2323" spans="12:14">
      <c r="L2323">
        <v>2205</v>
      </c>
      <c r="M2323" t="s">
        <v>31</v>
      </c>
      <c r="N2323">
        <f t="shared" si="36"/>
        <v>6</v>
      </c>
    </row>
    <row r="2324" spans="12:14">
      <c r="L2324">
        <v>1164</v>
      </c>
      <c r="M2324" t="s">
        <v>30</v>
      </c>
      <c r="N2324">
        <f t="shared" si="36"/>
        <v>7</v>
      </c>
    </row>
    <row r="2325" spans="12:14">
      <c r="L2325">
        <v>4729</v>
      </c>
      <c r="N2325" t="str">
        <f t="shared" si="36"/>
        <v/>
      </c>
    </row>
    <row r="2326" spans="12:14">
      <c r="L2326">
        <v>3579</v>
      </c>
      <c r="N2326" t="str">
        <f t="shared" si="36"/>
        <v/>
      </c>
    </row>
    <row r="2327" spans="12:14">
      <c r="L2327">
        <v>724</v>
      </c>
      <c r="N2327" t="str">
        <f t="shared" si="36"/>
        <v/>
      </c>
    </row>
    <row r="2328" spans="12:14">
      <c r="L2328">
        <v>3707</v>
      </c>
      <c r="N2328" t="str">
        <f t="shared" si="36"/>
        <v/>
      </c>
    </row>
    <row r="2329" spans="12:14">
      <c r="L2329">
        <v>4909</v>
      </c>
      <c r="N2329" t="str">
        <f t="shared" si="36"/>
        <v/>
      </c>
    </row>
    <row r="2330" spans="12:14">
      <c r="L2330">
        <v>2537</v>
      </c>
      <c r="N2330" t="str">
        <f t="shared" si="36"/>
        <v/>
      </c>
    </row>
    <row r="2331" spans="12:14">
      <c r="L2331">
        <v>4832</v>
      </c>
      <c r="N2331" t="str">
        <f t="shared" si="36"/>
        <v/>
      </c>
    </row>
    <row r="2332" spans="12:14">
      <c r="L2332">
        <v>4929</v>
      </c>
      <c r="N2332" t="str">
        <f t="shared" si="36"/>
        <v/>
      </c>
    </row>
    <row r="2333" spans="12:14">
      <c r="L2333">
        <v>4948</v>
      </c>
      <c r="N2333" t="str">
        <f t="shared" si="36"/>
        <v/>
      </c>
    </row>
    <row r="2334" spans="12:14">
      <c r="L2334">
        <v>4486</v>
      </c>
      <c r="N2334" t="str">
        <f t="shared" si="36"/>
        <v/>
      </c>
    </row>
    <row r="2335" spans="12:14">
      <c r="L2335">
        <v>2917</v>
      </c>
      <c r="N2335" t="str">
        <f t="shared" si="36"/>
        <v/>
      </c>
    </row>
    <row r="2336" spans="12:14">
      <c r="L2336">
        <v>266</v>
      </c>
      <c r="M2336" t="s">
        <v>28</v>
      </c>
      <c r="N2336">
        <f t="shared" si="36"/>
        <v>3</v>
      </c>
    </row>
    <row r="2337" spans="12:14">
      <c r="L2337">
        <v>2277</v>
      </c>
      <c r="N2337" t="str">
        <f t="shared" si="36"/>
        <v/>
      </c>
    </row>
    <row r="2338" spans="12:14">
      <c r="L2338">
        <v>3137</v>
      </c>
      <c r="N2338" t="str">
        <f t="shared" si="36"/>
        <v/>
      </c>
    </row>
    <row r="2339" spans="12:14">
      <c r="L2339">
        <v>4646</v>
      </c>
      <c r="M2339" t="s">
        <v>26</v>
      </c>
      <c r="N2339">
        <f t="shared" si="36"/>
        <v>1</v>
      </c>
    </row>
    <row r="2340" spans="12:14">
      <c r="L2340">
        <v>938</v>
      </c>
      <c r="N2340" t="str">
        <f t="shared" si="36"/>
        <v/>
      </c>
    </row>
    <row r="2341" spans="12:14">
      <c r="L2341">
        <v>2383</v>
      </c>
      <c r="N2341" t="str">
        <f t="shared" si="36"/>
        <v/>
      </c>
    </row>
    <row r="2342" spans="12:14">
      <c r="L2342">
        <v>1361</v>
      </c>
      <c r="N2342" t="str">
        <f t="shared" si="36"/>
        <v/>
      </c>
    </row>
    <row r="2343" spans="12:14">
      <c r="L2343">
        <v>4727</v>
      </c>
      <c r="N2343" t="str">
        <f t="shared" si="36"/>
        <v/>
      </c>
    </row>
    <row r="2344" spans="12:14">
      <c r="L2344">
        <v>1019</v>
      </c>
      <c r="N2344" t="str">
        <f t="shared" si="36"/>
        <v/>
      </c>
    </row>
    <row r="2345" spans="12:14">
      <c r="L2345">
        <v>3103</v>
      </c>
      <c r="M2345" t="s">
        <v>28</v>
      </c>
      <c r="N2345">
        <f t="shared" si="36"/>
        <v>3</v>
      </c>
    </row>
    <row r="2346" spans="12:14">
      <c r="L2346">
        <v>3192</v>
      </c>
      <c r="N2346" t="str">
        <f t="shared" si="36"/>
        <v/>
      </c>
    </row>
    <row r="2347" spans="12:14">
      <c r="L2347">
        <v>3903</v>
      </c>
      <c r="M2347" t="s">
        <v>31</v>
      </c>
      <c r="N2347">
        <f t="shared" si="36"/>
        <v>6</v>
      </c>
    </row>
    <row r="2348" spans="12:14">
      <c r="L2348">
        <v>243</v>
      </c>
      <c r="N2348" t="str">
        <f t="shared" si="36"/>
        <v/>
      </c>
    </row>
    <row r="2349" spans="12:14">
      <c r="L2349">
        <v>2352</v>
      </c>
      <c r="N2349" t="str">
        <f t="shared" si="36"/>
        <v/>
      </c>
    </row>
    <row r="2350" spans="12:14">
      <c r="L2350">
        <v>954</v>
      </c>
      <c r="M2350" t="s">
        <v>25</v>
      </c>
      <c r="N2350">
        <f t="shared" si="36"/>
        <v>5</v>
      </c>
    </row>
    <row r="2351" spans="12:14">
      <c r="L2351">
        <v>274</v>
      </c>
      <c r="N2351" t="str">
        <f t="shared" si="36"/>
        <v/>
      </c>
    </row>
    <row r="2352" spans="12:14">
      <c r="L2352">
        <v>2101</v>
      </c>
      <c r="N2352" t="str">
        <f t="shared" si="36"/>
        <v/>
      </c>
    </row>
    <row r="2353" spans="12:14">
      <c r="L2353">
        <v>4528</v>
      </c>
      <c r="N2353" t="str">
        <f t="shared" si="36"/>
        <v/>
      </c>
    </row>
    <row r="2354" spans="12:14">
      <c r="L2354">
        <v>837</v>
      </c>
      <c r="M2354" t="s">
        <v>19</v>
      </c>
      <c r="N2354">
        <f t="shared" si="36"/>
        <v>2</v>
      </c>
    </row>
    <row r="2355" spans="12:14">
      <c r="L2355">
        <v>4234</v>
      </c>
      <c r="N2355" t="str">
        <f t="shared" si="36"/>
        <v/>
      </c>
    </row>
    <row r="2356" spans="12:14">
      <c r="L2356">
        <v>3887</v>
      </c>
      <c r="M2356" t="s">
        <v>25</v>
      </c>
      <c r="N2356">
        <f t="shared" si="36"/>
        <v>5</v>
      </c>
    </row>
    <row r="2357" spans="12:14">
      <c r="L2357">
        <v>4916</v>
      </c>
      <c r="N2357" t="str">
        <f t="shared" si="36"/>
        <v/>
      </c>
    </row>
    <row r="2358" spans="12:14">
      <c r="L2358">
        <v>1319</v>
      </c>
      <c r="M2358" t="s">
        <v>31</v>
      </c>
      <c r="N2358">
        <f t="shared" si="36"/>
        <v>6</v>
      </c>
    </row>
    <row r="2359" spans="12:14">
      <c r="L2359">
        <v>1815</v>
      </c>
      <c r="N2359" t="str">
        <f t="shared" si="36"/>
        <v/>
      </c>
    </row>
    <row r="2360" spans="12:14">
      <c r="L2360">
        <v>4539</v>
      </c>
      <c r="M2360" t="s">
        <v>28</v>
      </c>
      <c r="N2360">
        <f t="shared" si="36"/>
        <v>3</v>
      </c>
    </row>
    <row r="2361" spans="12:14">
      <c r="L2361">
        <v>2933</v>
      </c>
      <c r="N2361" t="str">
        <f t="shared" si="36"/>
        <v/>
      </c>
    </row>
    <row r="2362" spans="12:14">
      <c r="L2362">
        <v>4301</v>
      </c>
      <c r="M2362" t="s">
        <v>25</v>
      </c>
      <c r="N2362">
        <f t="shared" si="36"/>
        <v>5</v>
      </c>
    </row>
    <row r="2363" spans="12:14">
      <c r="L2363">
        <v>3128</v>
      </c>
      <c r="N2363" t="str">
        <f t="shared" si="36"/>
        <v/>
      </c>
    </row>
    <row r="2364" spans="12:14">
      <c r="L2364">
        <v>614</v>
      </c>
      <c r="N2364" t="str">
        <f t="shared" si="36"/>
        <v/>
      </c>
    </row>
    <row r="2365" spans="12:14">
      <c r="L2365">
        <v>1217</v>
      </c>
      <c r="N2365" t="str">
        <f t="shared" si="36"/>
        <v/>
      </c>
    </row>
    <row r="2366" spans="12:14">
      <c r="L2366">
        <v>4306</v>
      </c>
      <c r="M2366" t="s">
        <v>19</v>
      </c>
      <c r="N2366">
        <f t="shared" si="36"/>
        <v>2</v>
      </c>
    </row>
    <row r="2367" spans="12:14">
      <c r="L2367">
        <v>1598</v>
      </c>
      <c r="M2367" t="s">
        <v>31</v>
      </c>
      <c r="N2367">
        <f t="shared" si="36"/>
        <v>6</v>
      </c>
    </row>
    <row r="2368" spans="12:14">
      <c r="L2368">
        <v>3559</v>
      </c>
      <c r="M2368" t="s">
        <v>30</v>
      </c>
      <c r="N2368">
        <f t="shared" si="36"/>
        <v>7</v>
      </c>
    </row>
    <row r="2369" spans="12:14">
      <c r="L2369">
        <v>4292</v>
      </c>
      <c r="N2369" t="str">
        <f t="shared" si="36"/>
        <v/>
      </c>
    </row>
    <row r="2370" spans="12:14">
      <c r="L2370">
        <v>1290</v>
      </c>
      <c r="M2370" t="s">
        <v>29</v>
      </c>
      <c r="N2370">
        <f t="shared" si="36"/>
        <v>4</v>
      </c>
    </row>
    <row r="2371" spans="12:14">
      <c r="L2371">
        <v>4367</v>
      </c>
      <c r="N2371" t="str">
        <f t="shared" ref="N2371:N2434" si="37">IFERROR(VLOOKUP(M2371,$A$3:$B$10,2,0),"")</f>
        <v/>
      </c>
    </row>
    <row r="2372" spans="12:14">
      <c r="L2372">
        <v>2137</v>
      </c>
      <c r="N2372" t="str">
        <f t="shared" si="37"/>
        <v/>
      </c>
    </row>
    <row r="2373" spans="12:14">
      <c r="L2373">
        <v>440</v>
      </c>
      <c r="N2373" t="str">
        <f t="shared" si="37"/>
        <v/>
      </c>
    </row>
    <row r="2374" spans="12:14">
      <c r="L2374">
        <v>312</v>
      </c>
      <c r="N2374" t="str">
        <f t="shared" si="37"/>
        <v/>
      </c>
    </row>
    <row r="2375" spans="12:14">
      <c r="L2375">
        <v>3718</v>
      </c>
      <c r="N2375" t="str">
        <f t="shared" si="37"/>
        <v/>
      </c>
    </row>
    <row r="2376" spans="12:14">
      <c r="L2376">
        <v>1986</v>
      </c>
      <c r="N2376" t="str">
        <f t="shared" si="37"/>
        <v/>
      </c>
    </row>
    <row r="2377" spans="12:14">
      <c r="L2377">
        <v>1677</v>
      </c>
      <c r="N2377" t="str">
        <f t="shared" si="37"/>
        <v/>
      </c>
    </row>
    <row r="2378" spans="12:14">
      <c r="L2378">
        <v>2239</v>
      </c>
      <c r="N2378" t="str">
        <f t="shared" si="37"/>
        <v/>
      </c>
    </row>
    <row r="2379" spans="12:14">
      <c r="L2379">
        <v>1133</v>
      </c>
      <c r="N2379" t="str">
        <f t="shared" si="37"/>
        <v/>
      </c>
    </row>
    <row r="2380" spans="12:14">
      <c r="L2380">
        <v>4033</v>
      </c>
      <c r="M2380" t="s">
        <v>19</v>
      </c>
      <c r="N2380">
        <f t="shared" si="37"/>
        <v>2</v>
      </c>
    </row>
    <row r="2381" spans="12:14">
      <c r="L2381">
        <v>4896</v>
      </c>
      <c r="N2381" t="str">
        <f t="shared" si="37"/>
        <v/>
      </c>
    </row>
    <row r="2382" spans="12:14">
      <c r="L2382">
        <v>4098</v>
      </c>
      <c r="N2382" t="str">
        <f t="shared" si="37"/>
        <v/>
      </c>
    </row>
    <row r="2383" spans="12:14">
      <c r="L2383">
        <v>961</v>
      </c>
      <c r="N2383" t="str">
        <f t="shared" si="37"/>
        <v/>
      </c>
    </row>
    <row r="2384" spans="12:14">
      <c r="L2384">
        <v>1311</v>
      </c>
      <c r="N2384" t="str">
        <f t="shared" si="37"/>
        <v/>
      </c>
    </row>
    <row r="2385" spans="12:14">
      <c r="L2385">
        <v>4807</v>
      </c>
      <c r="M2385" t="s">
        <v>19</v>
      </c>
      <c r="N2385">
        <f t="shared" si="37"/>
        <v>2</v>
      </c>
    </row>
    <row r="2386" spans="12:14">
      <c r="L2386">
        <v>673</v>
      </c>
      <c r="N2386" t="str">
        <f t="shared" si="37"/>
        <v/>
      </c>
    </row>
    <row r="2387" spans="12:14">
      <c r="L2387">
        <v>3547</v>
      </c>
      <c r="N2387" t="str">
        <f t="shared" si="37"/>
        <v/>
      </c>
    </row>
    <row r="2388" spans="12:14">
      <c r="L2388">
        <v>2343</v>
      </c>
      <c r="M2388" t="s">
        <v>29</v>
      </c>
      <c r="N2388">
        <f t="shared" si="37"/>
        <v>4</v>
      </c>
    </row>
    <row r="2389" spans="12:14">
      <c r="L2389">
        <v>2050</v>
      </c>
      <c r="N2389" t="str">
        <f t="shared" si="37"/>
        <v/>
      </c>
    </row>
    <row r="2390" spans="12:14">
      <c r="L2390">
        <v>1856</v>
      </c>
      <c r="N2390" t="str">
        <f t="shared" si="37"/>
        <v/>
      </c>
    </row>
    <row r="2391" spans="12:14">
      <c r="L2391">
        <v>2848</v>
      </c>
      <c r="M2391" t="s">
        <v>26</v>
      </c>
      <c r="N2391">
        <f t="shared" si="37"/>
        <v>1</v>
      </c>
    </row>
    <row r="2392" spans="12:14">
      <c r="L2392">
        <v>2040</v>
      </c>
      <c r="N2392" t="str">
        <f t="shared" si="37"/>
        <v/>
      </c>
    </row>
    <row r="2393" spans="12:14">
      <c r="L2393">
        <v>320</v>
      </c>
      <c r="M2393" t="s">
        <v>19</v>
      </c>
      <c r="N2393">
        <f t="shared" si="37"/>
        <v>2</v>
      </c>
    </row>
    <row r="2394" spans="12:14">
      <c r="L2394">
        <v>3864</v>
      </c>
      <c r="M2394" t="s">
        <v>19</v>
      </c>
      <c r="N2394">
        <f t="shared" si="37"/>
        <v>2</v>
      </c>
    </row>
    <row r="2395" spans="12:14">
      <c r="L2395">
        <v>3271</v>
      </c>
      <c r="N2395" t="str">
        <f t="shared" si="37"/>
        <v/>
      </c>
    </row>
    <row r="2396" spans="12:14">
      <c r="L2396">
        <v>3090</v>
      </c>
      <c r="N2396" t="str">
        <f t="shared" si="37"/>
        <v/>
      </c>
    </row>
    <row r="2397" spans="12:14">
      <c r="L2397">
        <v>3815</v>
      </c>
      <c r="M2397" t="s">
        <v>26</v>
      </c>
      <c r="N2397">
        <f t="shared" si="37"/>
        <v>1</v>
      </c>
    </row>
    <row r="2398" spans="12:14">
      <c r="L2398">
        <v>630</v>
      </c>
      <c r="N2398" t="str">
        <f t="shared" si="37"/>
        <v/>
      </c>
    </row>
    <row r="2399" spans="12:14">
      <c r="L2399">
        <v>709</v>
      </c>
      <c r="N2399" t="str">
        <f t="shared" si="37"/>
        <v/>
      </c>
    </row>
    <row r="2400" spans="12:14">
      <c r="L2400">
        <v>4220</v>
      </c>
      <c r="M2400" t="s">
        <v>26</v>
      </c>
      <c r="N2400">
        <f t="shared" si="37"/>
        <v>1</v>
      </c>
    </row>
    <row r="2401" spans="12:14">
      <c r="L2401">
        <v>3069</v>
      </c>
      <c r="N2401" t="str">
        <f t="shared" si="37"/>
        <v/>
      </c>
    </row>
    <row r="2402" spans="12:14">
      <c r="L2402">
        <v>142</v>
      </c>
      <c r="M2402" t="s">
        <v>28</v>
      </c>
      <c r="N2402">
        <f t="shared" si="37"/>
        <v>3</v>
      </c>
    </row>
    <row r="2403" spans="12:14">
      <c r="L2403">
        <v>4155</v>
      </c>
      <c r="N2403" t="str">
        <f t="shared" si="37"/>
        <v/>
      </c>
    </row>
    <row r="2404" spans="12:14">
      <c r="L2404">
        <v>4648</v>
      </c>
      <c r="N2404" t="str">
        <f t="shared" si="37"/>
        <v/>
      </c>
    </row>
    <row r="2405" spans="12:14">
      <c r="L2405">
        <v>4064</v>
      </c>
      <c r="N2405" t="str">
        <f t="shared" si="37"/>
        <v/>
      </c>
    </row>
    <row r="2406" spans="12:14">
      <c r="L2406">
        <v>1779</v>
      </c>
      <c r="M2406" t="s">
        <v>30</v>
      </c>
      <c r="N2406">
        <f t="shared" si="37"/>
        <v>7</v>
      </c>
    </row>
    <row r="2407" spans="12:14">
      <c r="L2407">
        <v>4975</v>
      </c>
      <c r="M2407" t="s">
        <v>25</v>
      </c>
      <c r="N2407">
        <f t="shared" si="37"/>
        <v>5</v>
      </c>
    </row>
    <row r="2408" spans="12:14">
      <c r="L2408">
        <v>3003</v>
      </c>
      <c r="N2408" t="str">
        <f t="shared" si="37"/>
        <v/>
      </c>
    </row>
    <row r="2409" spans="12:14">
      <c r="L2409">
        <v>783</v>
      </c>
      <c r="N2409" t="str">
        <f t="shared" si="37"/>
        <v/>
      </c>
    </row>
    <row r="2410" spans="12:14">
      <c r="L2410">
        <v>2281</v>
      </c>
      <c r="N2410" t="str">
        <f t="shared" si="37"/>
        <v/>
      </c>
    </row>
    <row r="2411" spans="12:14">
      <c r="L2411">
        <v>3904</v>
      </c>
      <c r="N2411" t="str">
        <f t="shared" si="37"/>
        <v/>
      </c>
    </row>
    <row r="2412" spans="12:14">
      <c r="L2412">
        <v>4247</v>
      </c>
      <c r="N2412" t="str">
        <f t="shared" si="37"/>
        <v/>
      </c>
    </row>
    <row r="2413" spans="12:14">
      <c r="L2413">
        <v>317</v>
      </c>
      <c r="N2413" t="str">
        <f t="shared" si="37"/>
        <v/>
      </c>
    </row>
    <row r="2414" spans="12:14">
      <c r="L2414">
        <v>1962</v>
      </c>
      <c r="N2414" t="str">
        <f t="shared" si="37"/>
        <v/>
      </c>
    </row>
    <row r="2415" spans="12:14">
      <c r="L2415">
        <v>4118</v>
      </c>
      <c r="M2415" t="s">
        <v>28</v>
      </c>
      <c r="N2415">
        <f t="shared" si="37"/>
        <v>3</v>
      </c>
    </row>
    <row r="2416" spans="12:14">
      <c r="L2416">
        <v>4675</v>
      </c>
      <c r="N2416" t="str">
        <f t="shared" si="37"/>
        <v/>
      </c>
    </row>
    <row r="2417" spans="12:14">
      <c r="L2417">
        <v>3585</v>
      </c>
      <c r="N2417" t="str">
        <f t="shared" si="37"/>
        <v/>
      </c>
    </row>
    <row r="2418" spans="12:14">
      <c r="L2418">
        <v>4516</v>
      </c>
      <c r="N2418" t="str">
        <f t="shared" si="37"/>
        <v/>
      </c>
    </row>
    <row r="2419" spans="12:14">
      <c r="L2419">
        <v>4445</v>
      </c>
      <c r="N2419" t="str">
        <f t="shared" si="37"/>
        <v/>
      </c>
    </row>
    <row r="2420" spans="12:14">
      <c r="L2420">
        <v>3170</v>
      </c>
      <c r="N2420" t="str">
        <f t="shared" si="37"/>
        <v/>
      </c>
    </row>
    <row r="2421" spans="12:14">
      <c r="L2421">
        <v>4415</v>
      </c>
      <c r="M2421" t="s">
        <v>30</v>
      </c>
      <c r="N2421">
        <f t="shared" si="37"/>
        <v>7</v>
      </c>
    </row>
    <row r="2422" spans="12:14">
      <c r="L2422">
        <v>2016</v>
      </c>
      <c r="N2422" t="str">
        <f t="shared" si="37"/>
        <v/>
      </c>
    </row>
    <row r="2423" spans="12:14">
      <c r="L2423">
        <v>1558</v>
      </c>
      <c r="N2423" t="str">
        <f t="shared" si="37"/>
        <v/>
      </c>
    </row>
    <row r="2424" spans="12:14">
      <c r="L2424">
        <v>2320</v>
      </c>
      <c r="M2424" t="s">
        <v>19</v>
      </c>
      <c r="N2424">
        <f t="shared" si="37"/>
        <v>2</v>
      </c>
    </row>
    <row r="2425" spans="12:14">
      <c r="L2425">
        <v>1230</v>
      </c>
      <c r="N2425" t="str">
        <f t="shared" si="37"/>
        <v/>
      </c>
    </row>
    <row r="2426" spans="12:14">
      <c r="L2426">
        <v>2548</v>
      </c>
      <c r="N2426" t="str">
        <f t="shared" si="37"/>
        <v/>
      </c>
    </row>
    <row r="2427" spans="12:14">
      <c r="L2427">
        <v>1468</v>
      </c>
      <c r="N2427" t="str">
        <f t="shared" si="37"/>
        <v/>
      </c>
    </row>
    <row r="2428" spans="12:14">
      <c r="L2428">
        <v>2403</v>
      </c>
      <c r="N2428" t="str">
        <f t="shared" si="37"/>
        <v/>
      </c>
    </row>
    <row r="2429" spans="12:14">
      <c r="L2429">
        <v>2888</v>
      </c>
      <c r="M2429" t="s">
        <v>25</v>
      </c>
      <c r="N2429">
        <f t="shared" si="37"/>
        <v>5</v>
      </c>
    </row>
    <row r="2430" spans="12:14">
      <c r="L2430">
        <v>3844</v>
      </c>
      <c r="N2430" t="str">
        <f t="shared" si="37"/>
        <v/>
      </c>
    </row>
    <row r="2431" spans="12:14">
      <c r="L2431">
        <v>107</v>
      </c>
      <c r="M2431" t="s">
        <v>26</v>
      </c>
      <c r="N2431">
        <f t="shared" si="37"/>
        <v>1</v>
      </c>
    </row>
    <row r="2432" spans="12:14">
      <c r="L2432">
        <v>4577</v>
      </c>
      <c r="N2432" t="str">
        <f t="shared" si="37"/>
        <v/>
      </c>
    </row>
    <row r="2433" spans="12:14">
      <c r="L2433">
        <v>675</v>
      </c>
      <c r="M2433" t="s">
        <v>26</v>
      </c>
      <c r="N2433">
        <f t="shared" si="37"/>
        <v>1</v>
      </c>
    </row>
    <row r="2434" spans="12:14">
      <c r="L2434">
        <v>2500</v>
      </c>
      <c r="M2434" t="s">
        <v>31</v>
      </c>
      <c r="N2434">
        <f t="shared" si="37"/>
        <v>6</v>
      </c>
    </row>
    <row r="2435" spans="12:14">
      <c r="L2435">
        <v>1128</v>
      </c>
      <c r="M2435" t="s">
        <v>25</v>
      </c>
      <c r="N2435">
        <f t="shared" ref="N2435:N2498" si="38">IFERROR(VLOOKUP(M2435,$A$3:$B$10,2,0),"")</f>
        <v>5</v>
      </c>
    </row>
    <row r="2436" spans="12:14">
      <c r="L2436">
        <v>3087</v>
      </c>
      <c r="N2436" t="str">
        <f t="shared" si="38"/>
        <v/>
      </c>
    </row>
    <row r="2437" spans="12:14">
      <c r="L2437">
        <v>2549</v>
      </c>
      <c r="N2437" t="str">
        <f t="shared" si="38"/>
        <v/>
      </c>
    </row>
    <row r="2438" spans="12:14">
      <c r="L2438">
        <v>874</v>
      </c>
      <c r="M2438" t="s">
        <v>26</v>
      </c>
      <c r="N2438">
        <f t="shared" si="38"/>
        <v>1</v>
      </c>
    </row>
    <row r="2439" spans="12:14">
      <c r="L2439">
        <v>4008</v>
      </c>
      <c r="N2439" t="str">
        <f t="shared" si="38"/>
        <v/>
      </c>
    </row>
    <row r="2440" spans="12:14">
      <c r="L2440">
        <v>914</v>
      </c>
      <c r="M2440" t="s">
        <v>25</v>
      </c>
      <c r="N2440">
        <f t="shared" si="38"/>
        <v>5</v>
      </c>
    </row>
    <row r="2441" spans="12:14">
      <c r="L2441">
        <v>3740</v>
      </c>
      <c r="N2441" t="str">
        <f t="shared" si="38"/>
        <v/>
      </c>
    </row>
    <row r="2442" spans="12:14">
      <c r="L2442">
        <v>2866</v>
      </c>
      <c r="M2442" t="s">
        <v>30</v>
      </c>
      <c r="N2442">
        <f t="shared" si="38"/>
        <v>7</v>
      </c>
    </row>
    <row r="2443" spans="12:14">
      <c r="L2443">
        <v>1260</v>
      </c>
      <c r="N2443" t="str">
        <f t="shared" si="38"/>
        <v/>
      </c>
    </row>
    <row r="2444" spans="12:14">
      <c r="L2444">
        <v>3431</v>
      </c>
      <c r="N2444" t="str">
        <f t="shared" si="38"/>
        <v/>
      </c>
    </row>
    <row r="2445" spans="12:14">
      <c r="L2445">
        <v>3089</v>
      </c>
      <c r="N2445" t="str">
        <f t="shared" si="38"/>
        <v/>
      </c>
    </row>
    <row r="2446" spans="12:14">
      <c r="L2446">
        <v>1116</v>
      </c>
      <c r="N2446" t="str">
        <f t="shared" si="38"/>
        <v/>
      </c>
    </row>
    <row r="2447" spans="12:14">
      <c r="L2447">
        <v>3553</v>
      </c>
      <c r="N2447" t="str">
        <f t="shared" si="38"/>
        <v/>
      </c>
    </row>
    <row r="2448" spans="12:14">
      <c r="L2448">
        <v>4276</v>
      </c>
      <c r="N2448" t="str">
        <f t="shared" si="38"/>
        <v/>
      </c>
    </row>
    <row r="2449" spans="12:14">
      <c r="L2449">
        <v>3594</v>
      </c>
      <c r="M2449" t="s">
        <v>29</v>
      </c>
      <c r="N2449">
        <f t="shared" si="38"/>
        <v>4</v>
      </c>
    </row>
    <row r="2450" spans="12:14">
      <c r="L2450">
        <v>2243</v>
      </c>
      <c r="N2450" t="str">
        <f t="shared" si="38"/>
        <v/>
      </c>
    </row>
    <row r="2451" spans="12:14">
      <c r="L2451">
        <v>4225</v>
      </c>
      <c r="N2451" t="str">
        <f t="shared" si="38"/>
        <v/>
      </c>
    </row>
    <row r="2452" spans="12:14">
      <c r="L2452">
        <v>1507</v>
      </c>
      <c r="N2452" t="str">
        <f t="shared" si="38"/>
        <v/>
      </c>
    </row>
    <row r="2453" spans="12:14">
      <c r="L2453">
        <v>1596</v>
      </c>
      <c r="N2453" t="str">
        <f t="shared" si="38"/>
        <v/>
      </c>
    </row>
    <row r="2454" spans="12:14">
      <c r="L2454">
        <v>698</v>
      </c>
      <c r="N2454" t="str">
        <f t="shared" si="38"/>
        <v/>
      </c>
    </row>
    <row r="2455" spans="12:14">
      <c r="L2455">
        <v>3342</v>
      </c>
      <c r="N2455" t="str">
        <f t="shared" si="38"/>
        <v/>
      </c>
    </row>
    <row r="2456" spans="12:14">
      <c r="L2456">
        <v>1931</v>
      </c>
      <c r="N2456" t="str">
        <f t="shared" si="38"/>
        <v/>
      </c>
    </row>
    <row r="2457" spans="12:14">
      <c r="L2457">
        <v>2386</v>
      </c>
      <c r="N2457" t="str">
        <f t="shared" si="38"/>
        <v/>
      </c>
    </row>
    <row r="2458" spans="12:14">
      <c r="L2458">
        <v>4452</v>
      </c>
      <c r="M2458" t="s">
        <v>31</v>
      </c>
      <c r="N2458">
        <f t="shared" si="38"/>
        <v>6</v>
      </c>
    </row>
    <row r="2459" spans="12:14">
      <c r="L2459">
        <v>1352</v>
      </c>
      <c r="M2459" t="s">
        <v>28</v>
      </c>
      <c r="N2459">
        <f t="shared" si="38"/>
        <v>3</v>
      </c>
    </row>
    <row r="2460" spans="12:14">
      <c r="L2460">
        <v>4177</v>
      </c>
      <c r="N2460" t="str">
        <f t="shared" si="38"/>
        <v/>
      </c>
    </row>
    <row r="2461" spans="12:14">
      <c r="L2461">
        <v>1833</v>
      </c>
      <c r="M2461" t="s">
        <v>29</v>
      </c>
      <c r="N2461">
        <f t="shared" si="38"/>
        <v>4</v>
      </c>
    </row>
    <row r="2462" spans="12:14">
      <c r="L2462">
        <v>3964</v>
      </c>
      <c r="N2462" t="str">
        <f t="shared" si="38"/>
        <v/>
      </c>
    </row>
    <row r="2463" spans="12:14">
      <c r="L2463">
        <v>2864</v>
      </c>
      <c r="N2463" t="str">
        <f t="shared" si="38"/>
        <v/>
      </c>
    </row>
    <row r="2464" spans="12:14">
      <c r="L2464">
        <v>839</v>
      </c>
      <c r="N2464" t="str">
        <f t="shared" si="38"/>
        <v/>
      </c>
    </row>
    <row r="2465" spans="12:14">
      <c r="L2465">
        <v>2455</v>
      </c>
      <c r="M2465" t="s">
        <v>28</v>
      </c>
      <c r="N2465">
        <f t="shared" si="38"/>
        <v>3</v>
      </c>
    </row>
    <row r="2466" spans="12:14">
      <c r="L2466">
        <v>3485</v>
      </c>
      <c r="M2466" t="s">
        <v>26</v>
      </c>
      <c r="N2466">
        <f t="shared" si="38"/>
        <v>1</v>
      </c>
    </row>
    <row r="2467" spans="12:14">
      <c r="L2467">
        <v>4188</v>
      </c>
      <c r="N2467" t="str">
        <f t="shared" si="38"/>
        <v/>
      </c>
    </row>
    <row r="2468" spans="12:14">
      <c r="L2468">
        <v>285</v>
      </c>
      <c r="M2468" t="s">
        <v>19</v>
      </c>
      <c r="N2468">
        <f t="shared" si="38"/>
        <v>2</v>
      </c>
    </row>
    <row r="2469" spans="12:14">
      <c r="L2469">
        <v>4321</v>
      </c>
      <c r="N2469" t="str">
        <f t="shared" si="38"/>
        <v/>
      </c>
    </row>
    <row r="2470" spans="12:14">
      <c r="L2470">
        <v>4040</v>
      </c>
      <c r="M2470" t="s">
        <v>19</v>
      </c>
      <c r="N2470">
        <f t="shared" si="38"/>
        <v>2</v>
      </c>
    </row>
    <row r="2471" spans="12:14">
      <c r="L2471">
        <v>1192</v>
      </c>
      <c r="N2471" t="str">
        <f t="shared" si="38"/>
        <v/>
      </c>
    </row>
    <row r="2472" spans="12:14">
      <c r="L2472">
        <v>2747</v>
      </c>
      <c r="N2472" t="str">
        <f t="shared" si="38"/>
        <v/>
      </c>
    </row>
    <row r="2473" spans="12:14">
      <c r="L2473">
        <v>904</v>
      </c>
      <c r="N2473" t="str">
        <f t="shared" si="38"/>
        <v/>
      </c>
    </row>
    <row r="2474" spans="12:14">
      <c r="L2474">
        <v>628</v>
      </c>
      <c r="M2474" t="s">
        <v>25</v>
      </c>
      <c r="N2474">
        <f t="shared" si="38"/>
        <v>5</v>
      </c>
    </row>
    <row r="2475" spans="12:14">
      <c r="L2475">
        <v>4960</v>
      </c>
      <c r="N2475" t="str">
        <f t="shared" si="38"/>
        <v/>
      </c>
    </row>
    <row r="2476" spans="12:14">
      <c r="L2476">
        <v>4956</v>
      </c>
      <c r="N2476" t="str">
        <f t="shared" si="38"/>
        <v/>
      </c>
    </row>
    <row r="2477" spans="12:14">
      <c r="L2477">
        <v>4527</v>
      </c>
      <c r="N2477" t="str">
        <f t="shared" si="38"/>
        <v/>
      </c>
    </row>
    <row r="2478" spans="12:14">
      <c r="L2478">
        <v>3102</v>
      </c>
      <c r="N2478" t="str">
        <f t="shared" si="38"/>
        <v/>
      </c>
    </row>
    <row r="2479" spans="12:14">
      <c r="L2479">
        <v>2160</v>
      </c>
      <c r="M2479" t="s">
        <v>25</v>
      </c>
      <c r="N2479">
        <f t="shared" si="38"/>
        <v>5</v>
      </c>
    </row>
    <row r="2480" spans="12:14">
      <c r="L2480">
        <v>2603</v>
      </c>
      <c r="M2480" t="s">
        <v>25</v>
      </c>
      <c r="N2480">
        <f t="shared" si="38"/>
        <v>5</v>
      </c>
    </row>
    <row r="2481" spans="12:14">
      <c r="L2481">
        <v>3336</v>
      </c>
      <c r="N2481" t="str">
        <f t="shared" si="38"/>
        <v/>
      </c>
    </row>
    <row r="2482" spans="12:14">
      <c r="L2482">
        <v>620</v>
      </c>
      <c r="N2482" t="str">
        <f t="shared" si="38"/>
        <v/>
      </c>
    </row>
    <row r="2483" spans="12:14">
      <c r="L2483">
        <v>4964</v>
      </c>
      <c r="N2483" t="str">
        <f t="shared" si="38"/>
        <v/>
      </c>
    </row>
    <row r="2484" spans="12:14">
      <c r="L2484">
        <v>654</v>
      </c>
      <c r="N2484" t="str">
        <f t="shared" si="38"/>
        <v/>
      </c>
    </row>
    <row r="2485" spans="12:14">
      <c r="L2485">
        <v>3208</v>
      </c>
      <c r="N2485" t="str">
        <f t="shared" si="38"/>
        <v/>
      </c>
    </row>
    <row r="2486" spans="12:14">
      <c r="L2486">
        <v>463</v>
      </c>
      <c r="M2486" t="s">
        <v>30</v>
      </c>
      <c r="N2486">
        <f t="shared" si="38"/>
        <v>7</v>
      </c>
    </row>
    <row r="2487" spans="12:14">
      <c r="L2487">
        <v>2731</v>
      </c>
      <c r="M2487" t="s">
        <v>26</v>
      </c>
      <c r="N2487">
        <f t="shared" si="38"/>
        <v>1</v>
      </c>
    </row>
    <row r="2488" spans="12:14">
      <c r="L2488">
        <v>1199</v>
      </c>
      <c r="M2488" t="s">
        <v>30</v>
      </c>
      <c r="N2488">
        <f t="shared" si="38"/>
        <v>7</v>
      </c>
    </row>
    <row r="2489" spans="12:14">
      <c r="L2489">
        <v>218</v>
      </c>
      <c r="N2489" t="str">
        <f t="shared" si="38"/>
        <v/>
      </c>
    </row>
    <row r="2490" spans="12:14">
      <c r="L2490">
        <v>852</v>
      </c>
      <c r="N2490" t="str">
        <f t="shared" si="38"/>
        <v/>
      </c>
    </row>
    <row r="2491" spans="12:14">
      <c r="L2491">
        <v>4084</v>
      </c>
      <c r="N2491" t="str">
        <f t="shared" si="38"/>
        <v/>
      </c>
    </row>
    <row r="2492" spans="12:14">
      <c r="L2492">
        <v>3405</v>
      </c>
      <c r="M2492" t="s">
        <v>30</v>
      </c>
      <c r="N2492">
        <f t="shared" si="38"/>
        <v>7</v>
      </c>
    </row>
    <row r="2493" spans="12:14">
      <c r="L2493">
        <v>743</v>
      </c>
      <c r="M2493" t="s">
        <v>19</v>
      </c>
      <c r="N2493">
        <f t="shared" si="38"/>
        <v>2</v>
      </c>
    </row>
    <row r="2494" spans="12:14">
      <c r="L2494">
        <v>1905</v>
      </c>
      <c r="N2494" t="str">
        <f t="shared" si="38"/>
        <v/>
      </c>
    </row>
    <row r="2495" spans="12:14">
      <c r="L2495">
        <v>4597</v>
      </c>
      <c r="N2495" t="str">
        <f t="shared" si="38"/>
        <v/>
      </c>
    </row>
    <row r="2496" spans="12:14">
      <c r="L2496">
        <v>1834</v>
      </c>
      <c r="N2496" t="str">
        <f t="shared" si="38"/>
        <v/>
      </c>
    </row>
    <row r="2497" spans="12:14">
      <c r="L2497">
        <v>997</v>
      </c>
      <c r="M2497" t="s">
        <v>31</v>
      </c>
      <c r="N2497">
        <f t="shared" si="38"/>
        <v>6</v>
      </c>
    </row>
    <row r="2498" spans="12:14">
      <c r="L2498">
        <v>1249</v>
      </c>
      <c r="N2498" t="str">
        <f t="shared" si="38"/>
        <v/>
      </c>
    </row>
    <row r="2499" spans="12:14">
      <c r="L2499">
        <v>4720</v>
      </c>
      <c r="N2499" t="str">
        <f t="shared" ref="N2499:N2562" si="39">IFERROR(VLOOKUP(M2499,$A$3:$B$10,2,0),"")</f>
        <v/>
      </c>
    </row>
    <row r="2500" spans="12:14">
      <c r="L2500">
        <v>56</v>
      </c>
      <c r="M2500" t="s">
        <v>26</v>
      </c>
      <c r="N2500">
        <f t="shared" si="39"/>
        <v>1</v>
      </c>
    </row>
    <row r="2501" spans="12:14">
      <c r="L2501">
        <v>826</v>
      </c>
      <c r="M2501" t="s">
        <v>30</v>
      </c>
      <c r="N2501">
        <f t="shared" si="39"/>
        <v>7</v>
      </c>
    </row>
    <row r="2502" spans="12:14">
      <c r="L2502">
        <v>814</v>
      </c>
      <c r="N2502" t="str">
        <f t="shared" si="39"/>
        <v/>
      </c>
    </row>
    <row r="2503" spans="12:14">
      <c r="L2503">
        <v>2955</v>
      </c>
      <c r="M2503" t="s">
        <v>26</v>
      </c>
      <c r="N2503">
        <f t="shared" si="39"/>
        <v>1</v>
      </c>
    </row>
    <row r="2504" spans="12:14">
      <c r="L2504">
        <v>2843</v>
      </c>
      <c r="M2504" t="s">
        <v>31</v>
      </c>
      <c r="N2504">
        <f t="shared" si="39"/>
        <v>6</v>
      </c>
    </row>
    <row r="2505" spans="12:14">
      <c r="L2505">
        <v>2854</v>
      </c>
      <c r="N2505" t="str">
        <f t="shared" si="39"/>
        <v/>
      </c>
    </row>
    <row r="2506" spans="12:14">
      <c r="L2506">
        <v>4145</v>
      </c>
      <c r="N2506" t="str">
        <f t="shared" si="39"/>
        <v/>
      </c>
    </row>
    <row r="2507" spans="12:14">
      <c r="L2507">
        <v>616</v>
      </c>
      <c r="N2507" t="str">
        <f t="shared" si="39"/>
        <v/>
      </c>
    </row>
    <row r="2508" spans="12:14">
      <c r="L2508">
        <v>4930</v>
      </c>
      <c r="M2508" t="s">
        <v>29</v>
      </c>
      <c r="N2508">
        <f t="shared" si="39"/>
        <v>4</v>
      </c>
    </row>
    <row r="2509" spans="12:14">
      <c r="L2509">
        <v>4117</v>
      </c>
      <c r="N2509" t="str">
        <f t="shared" si="39"/>
        <v/>
      </c>
    </row>
    <row r="2510" spans="12:14">
      <c r="L2510">
        <v>4859</v>
      </c>
      <c r="M2510" t="s">
        <v>30</v>
      </c>
      <c r="N2510">
        <f t="shared" si="39"/>
        <v>7</v>
      </c>
    </row>
    <row r="2511" spans="12:14">
      <c r="L2511">
        <v>3484</v>
      </c>
      <c r="N2511" t="str">
        <f t="shared" si="39"/>
        <v/>
      </c>
    </row>
    <row r="2512" spans="12:14">
      <c r="L2512">
        <v>1855</v>
      </c>
      <c r="M2512" t="s">
        <v>19</v>
      </c>
      <c r="N2512">
        <f t="shared" si="39"/>
        <v>2</v>
      </c>
    </row>
    <row r="2513" spans="12:14">
      <c r="L2513">
        <v>3142</v>
      </c>
      <c r="M2513" t="s">
        <v>26</v>
      </c>
      <c r="N2513">
        <f t="shared" si="39"/>
        <v>1</v>
      </c>
    </row>
    <row r="2514" spans="12:14">
      <c r="L2514">
        <v>2836</v>
      </c>
      <c r="N2514" t="str">
        <f t="shared" si="39"/>
        <v/>
      </c>
    </row>
    <row r="2515" spans="12:14">
      <c r="L2515">
        <v>2755</v>
      </c>
      <c r="N2515" t="str">
        <f t="shared" si="39"/>
        <v/>
      </c>
    </row>
    <row r="2516" spans="12:14">
      <c r="L2516">
        <v>2206</v>
      </c>
      <c r="N2516" t="str">
        <f t="shared" si="39"/>
        <v/>
      </c>
    </row>
    <row r="2517" spans="12:14">
      <c r="L2517">
        <v>3637</v>
      </c>
      <c r="M2517" t="s">
        <v>28</v>
      </c>
      <c r="N2517">
        <f t="shared" si="39"/>
        <v>3</v>
      </c>
    </row>
    <row r="2518" spans="12:14">
      <c r="L2518">
        <v>1663</v>
      </c>
      <c r="N2518" t="str">
        <f t="shared" si="39"/>
        <v/>
      </c>
    </row>
    <row r="2519" spans="12:14">
      <c r="L2519">
        <v>3491</v>
      </c>
      <c r="N2519" t="str">
        <f t="shared" si="39"/>
        <v/>
      </c>
    </row>
    <row r="2520" spans="12:14">
      <c r="L2520">
        <v>4209</v>
      </c>
      <c r="N2520" t="str">
        <f t="shared" si="39"/>
        <v/>
      </c>
    </row>
    <row r="2521" spans="12:14">
      <c r="L2521">
        <v>2119</v>
      </c>
      <c r="N2521" t="str">
        <f t="shared" si="39"/>
        <v/>
      </c>
    </row>
    <row r="2522" spans="12:14">
      <c r="L2522">
        <v>1287</v>
      </c>
      <c r="M2522" t="s">
        <v>26</v>
      </c>
      <c r="N2522">
        <f t="shared" si="39"/>
        <v>1</v>
      </c>
    </row>
    <row r="2523" spans="12:14">
      <c r="L2523">
        <v>1655</v>
      </c>
      <c r="N2523" t="str">
        <f t="shared" si="39"/>
        <v/>
      </c>
    </row>
    <row r="2524" spans="12:14">
      <c r="L2524">
        <v>4836</v>
      </c>
      <c r="N2524" t="str">
        <f t="shared" si="39"/>
        <v/>
      </c>
    </row>
    <row r="2525" spans="12:14">
      <c r="L2525">
        <v>3826</v>
      </c>
      <c r="N2525" t="str">
        <f t="shared" si="39"/>
        <v/>
      </c>
    </row>
    <row r="2526" spans="12:14">
      <c r="L2526">
        <v>604</v>
      </c>
      <c r="N2526" t="str">
        <f t="shared" si="39"/>
        <v/>
      </c>
    </row>
    <row r="2527" spans="12:14">
      <c r="L2527">
        <v>3223</v>
      </c>
      <c r="N2527" t="str">
        <f t="shared" si="39"/>
        <v/>
      </c>
    </row>
    <row r="2528" spans="12:14">
      <c r="L2528">
        <v>450</v>
      </c>
      <c r="N2528" t="str">
        <f t="shared" si="39"/>
        <v/>
      </c>
    </row>
    <row r="2529" spans="12:14">
      <c r="L2529">
        <v>1796</v>
      </c>
      <c r="M2529" t="s">
        <v>26</v>
      </c>
      <c r="N2529">
        <f t="shared" si="39"/>
        <v>1</v>
      </c>
    </row>
    <row r="2530" spans="12:14">
      <c r="L2530">
        <v>2545</v>
      </c>
      <c r="N2530" t="str">
        <f t="shared" si="39"/>
        <v/>
      </c>
    </row>
    <row r="2531" spans="12:14">
      <c r="L2531">
        <v>4162</v>
      </c>
      <c r="M2531" t="s">
        <v>26</v>
      </c>
      <c r="N2531">
        <f t="shared" si="39"/>
        <v>1</v>
      </c>
    </row>
    <row r="2532" spans="12:14">
      <c r="L2532">
        <v>3517</v>
      </c>
      <c r="M2532" t="s">
        <v>28</v>
      </c>
      <c r="N2532">
        <f t="shared" si="39"/>
        <v>3</v>
      </c>
    </row>
    <row r="2533" spans="12:14">
      <c r="L2533">
        <v>900</v>
      </c>
      <c r="M2533" t="s">
        <v>30</v>
      </c>
      <c r="N2533">
        <f t="shared" si="39"/>
        <v>7</v>
      </c>
    </row>
    <row r="2534" spans="12:14">
      <c r="L2534">
        <v>2307</v>
      </c>
      <c r="M2534" t="s">
        <v>26</v>
      </c>
      <c r="N2534">
        <f t="shared" si="39"/>
        <v>1</v>
      </c>
    </row>
    <row r="2535" spans="12:14">
      <c r="L2535">
        <v>651</v>
      </c>
      <c r="N2535" t="str">
        <f t="shared" si="39"/>
        <v/>
      </c>
    </row>
    <row r="2536" spans="12:14">
      <c r="L2536">
        <v>1599</v>
      </c>
      <c r="N2536" t="str">
        <f t="shared" si="39"/>
        <v/>
      </c>
    </row>
    <row r="2537" spans="12:14">
      <c r="L2537">
        <v>202</v>
      </c>
      <c r="N2537" t="str">
        <f t="shared" si="39"/>
        <v/>
      </c>
    </row>
    <row r="2538" spans="12:14">
      <c r="L2538">
        <v>4540</v>
      </c>
      <c r="N2538" t="str">
        <f t="shared" si="39"/>
        <v/>
      </c>
    </row>
    <row r="2539" spans="12:14">
      <c r="L2539">
        <v>435</v>
      </c>
      <c r="N2539" t="str">
        <f t="shared" si="39"/>
        <v/>
      </c>
    </row>
    <row r="2540" spans="12:14">
      <c r="L2540">
        <v>3379</v>
      </c>
      <c r="N2540" t="str">
        <f t="shared" si="39"/>
        <v/>
      </c>
    </row>
    <row r="2541" spans="12:14">
      <c r="L2541">
        <v>300</v>
      </c>
      <c r="N2541" t="str">
        <f t="shared" si="39"/>
        <v/>
      </c>
    </row>
    <row r="2542" spans="12:14">
      <c r="L2542">
        <v>3991</v>
      </c>
      <c r="M2542" t="s">
        <v>31</v>
      </c>
      <c r="N2542">
        <f t="shared" si="39"/>
        <v>6</v>
      </c>
    </row>
    <row r="2543" spans="12:14">
      <c r="L2543">
        <v>3616</v>
      </c>
      <c r="N2543" t="str">
        <f t="shared" si="39"/>
        <v/>
      </c>
    </row>
    <row r="2544" spans="12:14">
      <c r="L2544">
        <v>4329</v>
      </c>
      <c r="M2544" t="s">
        <v>26</v>
      </c>
      <c r="N2544">
        <f t="shared" si="39"/>
        <v>1</v>
      </c>
    </row>
    <row r="2545" spans="12:14">
      <c r="L2545">
        <v>441</v>
      </c>
      <c r="M2545" t="s">
        <v>29</v>
      </c>
      <c r="N2545">
        <f t="shared" si="39"/>
        <v>4</v>
      </c>
    </row>
    <row r="2546" spans="12:14">
      <c r="L2546">
        <v>1951</v>
      </c>
      <c r="M2546" t="s">
        <v>29</v>
      </c>
      <c r="N2546">
        <f t="shared" si="39"/>
        <v>4</v>
      </c>
    </row>
    <row r="2547" spans="12:14">
      <c r="L2547">
        <v>1127</v>
      </c>
      <c r="N2547" t="str">
        <f t="shared" si="39"/>
        <v/>
      </c>
    </row>
    <row r="2548" spans="12:14">
      <c r="L2548">
        <v>847</v>
      </c>
      <c r="N2548" t="str">
        <f t="shared" si="39"/>
        <v/>
      </c>
    </row>
    <row r="2549" spans="12:14">
      <c r="L2549">
        <v>57</v>
      </c>
      <c r="M2549" t="s">
        <v>31</v>
      </c>
      <c r="N2549">
        <f t="shared" si="39"/>
        <v>6</v>
      </c>
    </row>
    <row r="2550" spans="12:14">
      <c r="L2550">
        <v>3943</v>
      </c>
      <c r="M2550" t="s">
        <v>25</v>
      </c>
      <c r="N2550">
        <f t="shared" si="39"/>
        <v>5</v>
      </c>
    </row>
    <row r="2551" spans="12:14">
      <c r="L2551">
        <v>45</v>
      </c>
      <c r="M2551" t="s">
        <v>30</v>
      </c>
      <c r="N2551">
        <f t="shared" si="39"/>
        <v>7</v>
      </c>
    </row>
    <row r="2552" spans="12:14">
      <c r="L2552">
        <v>3384</v>
      </c>
      <c r="N2552" t="str">
        <f t="shared" si="39"/>
        <v/>
      </c>
    </row>
    <row r="2553" spans="12:14">
      <c r="L2553">
        <v>580</v>
      </c>
      <c r="N2553" t="str">
        <f t="shared" si="39"/>
        <v/>
      </c>
    </row>
    <row r="2554" spans="12:14">
      <c r="L2554">
        <v>2794</v>
      </c>
      <c r="N2554" t="str">
        <f t="shared" si="39"/>
        <v/>
      </c>
    </row>
    <row r="2555" spans="12:14">
      <c r="L2555">
        <v>185</v>
      </c>
      <c r="N2555" t="str">
        <f t="shared" si="39"/>
        <v/>
      </c>
    </row>
    <row r="2556" spans="12:14">
      <c r="L2556">
        <v>682</v>
      </c>
      <c r="N2556" t="str">
        <f t="shared" si="39"/>
        <v/>
      </c>
    </row>
    <row r="2557" spans="12:14">
      <c r="L2557">
        <v>1748</v>
      </c>
      <c r="N2557" t="str">
        <f t="shared" si="39"/>
        <v/>
      </c>
    </row>
    <row r="2558" spans="12:14">
      <c r="L2558">
        <v>930</v>
      </c>
      <c r="N2558" t="str">
        <f t="shared" si="39"/>
        <v/>
      </c>
    </row>
    <row r="2559" spans="12:14">
      <c r="L2559">
        <v>3105</v>
      </c>
      <c r="N2559" t="str">
        <f t="shared" si="39"/>
        <v/>
      </c>
    </row>
    <row r="2560" spans="12:14">
      <c r="L2560">
        <v>4099</v>
      </c>
      <c r="N2560" t="str">
        <f t="shared" si="39"/>
        <v/>
      </c>
    </row>
    <row r="2561" spans="12:14">
      <c r="L2561">
        <v>909</v>
      </c>
      <c r="N2561" t="str">
        <f t="shared" si="39"/>
        <v/>
      </c>
    </row>
    <row r="2562" spans="12:14">
      <c r="L2562">
        <v>4016</v>
      </c>
      <c r="M2562" t="s">
        <v>31</v>
      </c>
      <c r="N2562">
        <f t="shared" si="39"/>
        <v>6</v>
      </c>
    </row>
    <row r="2563" spans="12:14">
      <c r="L2563">
        <v>2029</v>
      </c>
      <c r="N2563" t="str">
        <f t="shared" ref="N2563:N2626" si="40">IFERROR(VLOOKUP(M2563,$A$3:$B$10,2,0),"")</f>
        <v/>
      </c>
    </row>
    <row r="2564" spans="12:14">
      <c r="L2564">
        <v>4926</v>
      </c>
      <c r="M2564" t="s">
        <v>28</v>
      </c>
      <c r="N2564">
        <f t="shared" si="40"/>
        <v>3</v>
      </c>
    </row>
    <row r="2565" spans="12:14">
      <c r="L2565">
        <v>2191</v>
      </c>
      <c r="M2565" t="s">
        <v>30</v>
      </c>
      <c r="N2565">
        <f t="shared" si="40"/>
        <v>7</v>
      </c>
    </row>
    <row r="2566" spans="12:14">
      <c r="L2566">
        <v>4567</v>
      </c>
      <c r="N2566" t="str">
        <f t="shared" si="40"/>
        <v/>
      </c>
    </row>
    <row r="2567" spans="12:14">
      <c r="L2567">
        <v>2068</v>
      </c>
      <c r="N2567" t="str">
        <f t="shared" si="40"/>
        <v/>
      </c>
    </row>
    <row r="2568" spans="12:14">
      <c r="L2568">
        <v>2753</v>
      </c>
      <c r="M2568" t="s">
        <v>25</v>
      </c>
      <c r="N2568">
        <f t="shared" si="40"/>
        <v>5</v>
      </c>
    </row>
    <row r="2569" spans="12:14">
      <c r="L2569">
        <v>1977</v>
      </c>
      <c r="N2569" t="str">
        <f t="shared" si="40"/>
        <v/>
      </c>
    </row>
    <row r="2570" spans="12:14">
      <c r="L2570">
        <v>1544</v>
      </c>
      <c r="M2570" t="s">
        <v>26</v>
      </c>
      <c r="N2570">
        <f t="shared" si="40"/>
        <v>1</v>
      </c>
    </row>
    <row r="2571" spans="12:14">
      <c r="L2571">
        <v>3720</v>
      </c>
      <c r="M2571" t="s">
        <v>30</v>
      </c>
      <c r="N2571">
        <f t="shared" si="40"/>
        <v>7</v>
      </c>
    </row>
    <row r="2572" spans="12:14">
      <c r="L2572">
        <v>3172</v>
      </c>
      <c r="N2572" t="str">
        <f t="shared" si="40"/>
        <v/>
      </c>
    </row>
    <row r="2573" spans="12:14">
      <c r="L2573">
        <v>3805</v>
      </c>
      <c r="N2573" t="str">
        <f t="shared" si="40"/>
        <v/>
      </c>
    </row>
    <row r="2574" spans="12:14">
      <c r="L2574">
        <v>2026</v>
      </c>
      <c r="N2574" t="str">
        <f t="shared" si="40"/>
        <v/>
      </c>
    </row>
    <row r="2575" spans="12:14">
      <c r="L2575">
        <v>1526</v>
      </c>
      <c r="N2575" t="str">
        <f t="shared" si="40"/>
        <v/>
      </c>
    </row>
    <row r="2576" spans="12:14">
      <c r="L2576">
        <v>3537</v>
      </c>
      <c r="M2576" t="s">
        <v>31</v>
      </c>
      <c r="N2576">
        <f t="shared" si="40"/>
        <v>6</v>
      </c>
    </row>
    <row r="2577" spans="12:14">
      <c r="L2577">
        <v>1384</v>
      </c>
      <c r="N2577" t="str">
        <f t="shared" si="40"/>
        <v/>
      </c>
    </row>
    <row r="2578" spans="12:14">
      <c r="L2578">
        <v>1341</v>
      </c>
      <c r="M2578" t="s">
        <v>28</v>
      </c>
      <c r="N2578">
        <f t="shared" si="40"/>
        <v>3</v>
      </c>
    </row>
    <row r="2579" spans="12:14">
      <c r="L2579">
        <v>1174</v>
      </c>
      <c r="M2579" t="s">
        <v>26</v>
      </c>
      <c r="N2579">
        <f t="shared" si="40"/>
        <v>1</v>
      </c>
    </row>
    <row r="2580" spans="12:14">
      <c r="L2580">
        <v>1130</v>
      </c>
      <c r="N2580" t="str">
        <f t="shared" si="40"/>
        <v/>
      </c>
    </row>
    <row r="2581" spans="12:14">
      <c r="L2581">
        <v>2331</v>
      </c>
      <c r="M2581" t="s">
        <v>30</v>
      </c>
      <c r="N2581">
        <f t="shared" si="40"/>
        <v>7</v>
      </c>
    </row>
    <row r="2582" spans="12:14">
      <c r="L2582">
        <v>4713</v>
      </c>
      <c r="M2582" t="s">
        <v>26</v>
      </c>
      <c r="N2582">
        <f t="shared" si="40"/>
        <v>1</v>
      </c>
    </row>
    <row r="2583" spans="12:14">
      <c r="L2583">
        <v>2447</v>
      </c>
      <c r="N2583" t="str">
        <f t="shared" si="40"/>
        <v/>
      </c>
    </row>
    <row r="2584" spans="12:14">
      <c r="L2584">
        <v>4263</v>
      </c>
      <c r="M2584" t="s">
        <v>31</v>
      </c>
      <c r="N2584">
        <f t="shared" si="40"/>
        <v>6</v>
      </c>
    </row>
    <row r="2585" spans="12:14">
      <c r="L2585">
        <v>527</v>
      </c>
      <c r="N2585" t="str">
        <f t="shared" si="40"/>
        <v/>
      </c>
    </row>
    <row r="2586" spans="12:14">
      <c r="L2586">
        <v>1920</v>
      </c>
      <c r="N2586" t="str">
        <f t="shared" si="40"/>
        <v/>
      </c>
    </row>
    <row r="2587" spans="12:14">
      <c r="L2587">
        <v>4245</v>
      </c>
      <c r="N2587" t="str">
        <f t="shared" si="40"/>
        <v/>
      </c>
    </row>
    <row r="2588" spans="12:14">
      <c r="L2588">
        <v>714</v>
      </c>
      <c r="M2588" t="s">
        <v>30</v>
      </c>
      <c r="N2588">
        <f t="shared" si="40"/>
        <v>7</v>
      </c>
    </row>
    <row r="2589" spans="12:14">
      <c r="L2589">
        <v>2058</v>
      </c>
      <c r="N2589" t="str">
        <f t="shared" si="40"/>
        <v/>
      </c>
    </row>
    <row r="2590" spans="12:14">
      <c r="L2590">
        <v>3411</v>
      </c>
      <c r="M2590" t="s">
        <v>28</v>
      </c>
      <c r="N2590">
        <f t="shared" si="40"/>
        <v>3</v>
      </c>
    </row>
    <row r="2591" spans="12:14">
      <c r="L2591">
        <v>2904</v>
      </c>
      <c r="N2591" t="str">
        <f t="shared" si="40"/>
        <v/>
      </c>
    </row>
    <row r="2592" spans="12:14">
      <c r="L2592">
        <v>3241</v>
      </c>
      <c r="N2592" t="str">
        <f t="shared" si="40"/>
        <v/>
      </c>
    </row>
    <row r="2593" spans="12:14">
      <c r="L2593">
        <v>4838</v>
      </c>
      <c r="M2593" t="s">
        <v>31</v>
      </c>
      <c r="N2593">
        <f t="shared" si="40"/>
        <v>6</v>
      </c>
    </row>
    <row r="2594" spans="12:14">
      <c r="L2594">
        <v>3248</v>
      </c>
      <c r="N2594" t="str">
        <f t="shared" si="40"/>
        <v/>
      </c>
    </row>
    <row r="2595" spans="12:14">
      <c r="L2595">
        <v>2656</v>
      </c>
      <c r="N2595" t="str">
        <f t="shared" si="40"/>
        <v/>
      </c>
    </row>
    <row r="2596" spans="12:14">
      <c r="L2596">
        <v>4021</v>
      </c>
      <c r="N2596" t="str">
        <f t="shared" si="40"/>
        <v/>
      </c>
    </row>
    <row r="2597" spans="12:14">
      <c r="L2597">
        <v>3867</v>
      </c>
      <c r="N2597" t="str">
        <f t="shared" si="40"/>
        <v/>
      </c>
    </row>
    <row r="2598" spans="12:14">
      <c r="L2598">
        <v>846</v>
      </c>
      <c r="N2598" t="str">
        <f t="shared" si="40"/>
        <v/>
      </c>
    </row>
    <row r="2599" spans="12:14">
      <c r="L2599">
        <v>3748</v>
      </c>
      <c r="M2599" t="s">
        <v>25</v>
      </c>
      <c r="N2599">
        <f t="shared" si="40"/>
        <v>5</v>
      </c>
    </row>
    <row r="2600" spans="12:14">
      <c r="L2600">
        <v>1740</v>
      </c>
      <c r="M2600" t="s">
        <v>31</v>
      </c>
      <c r="N2600">
        <f t="shared" si="40"/>
        <v>6</v>
      </c>
    </row>
    <row r="2601" spans="12:14">
      <c r="L2601">
        <v>1535</v>
      </c>
      <c r="M2601" t="s">
        <v>30</v>
      </c>
      <c r="N2601">
        <f t="shared" si="40"/>
        <v>7</v>
      </c>
    </row>
    <row r="2602" spans="12:14">
      <c r="L2602">
        <v>4417</v>
      </c>
      <c r="M2602" t="s">
        <v>29</v>
      </c>
      <c r="N2602">
        <f t="shared" si="40"/>
        <v>4</v>
      </c>
    </row>
    <row r="2603" spans="12:14">
      <c r="L2603">
        <v>4705</v>
      </c>
      <c r="N2603" t="str">
        <f t="shared" si="40"/>
        <v/>
      </c>
    </row>
    <row r="2604" spans="12:14">
      <c r="L2604">
        <v>2688</v>
      </c>
      <c r="N2604" t="str">
        <f t="shared" si="40"/>
        <v/>
      </c>
    </row>
    <row r="2605" spans="12:14">
      <c r="L2605">
        <v>1745</v>
      </c>
      <c r="M2605" t="s">
        <v>19</v>
      </c>
      <c r="N2605">
        <f t="shared" si="40"/>
        <v>2</v>
      </c>
    </row>
    <row r="2606" spans="12:14">
      <c r="L2606">
        <v>392</v>
      </c>
      <c r="N2606" t="str">
        <f t="shared" si="40"/>
        <v/>
      </c>
    </row>
    <row r="2607" spans="12:14">
      <c r="L2607">
        <v>4045</v>
      </c>
      <c r="N2607" t="str">
        <f t="shared" si="40"/>
        <v/>
      </c>
    </row>
    <row r="2608" spans="12:14">
      <c r="L2608">
        <v>4353</v>
      </c>
      <c r="N2608" t="str">
        <f t="shared" si="40"/>
        <v/>
      </c>
    </row>
    <row r="2609" spans="12:14">
      <c r="L2609">
        <v>4459</v>
      </c>
      <c r="M2609" t="s">
        <v>28</v>
      </c>
      <c r="N2609">
        <f t="shared" si="40"/>
        <v>3</v>
      </c>
    </row>
    <row r="2610" spans="12:14">
      <c r="L2610">
        <v>653</v>
      </c>
      <c r="M2610" t="s">
        <v>19</v>
      </c>
      <c r="N2610">
        <f t="shared" si="40"/>
        <v>2</v>
      </c>
    </row>
    <row r="2611" spans="12:14">
      <c r="L2611">
        <v>358</v>
      </c>
      <c r="N2611" t="str">
        <f t="shared" si="40"/>
        <v/>
      </c>
    </row>
    <row r="2612" spans="12:14">
      <c r="L2612">
        <v>3430</v>
      </c>
      <c r="N2612" t="str">
        <f t="shared" si="40"/>
        <v/>
      </c>
    </row>
    <row r="2613" spans="12:14">
      <c r="L2613">
        <v>4345</v>
      </c>
      <c r="N2613" t="str">
        <f t="shared" si="40"/>
        <v/>
      </c>
    </row>
    <row r="2614" spans="12:14">
      <c r="L2614">
        <v>4249</v>
      </c>
      <c r="M2614" t="s">
        <v>26</v>
      </c>
      <c r="N2614">
        <f t="shared" si="40"/>
        <v>1</v>
      </c>
    </row>
    <row r="2615" spans="12:14">
      <c r="L2615">
        <v>2585</v>
      </c>
      <c r="M2615" t="s">
        <v>28</v>
      </c>
      <c r="N2615">
        <f t="shared" si="40"/>
        <v>3</v>
      </c>
    </row>
    <row r="2616" spans="12:14">
      <c r="L2616">
        <v>4536</v>
      </c>
      <c r="N2616" t="str">
        <f t="shared" si="40"/>
        <v/>
      </c>
    </row>
    <row r="2617" spans="12:14">
      <c r="L2617">
        <v>1409</v>
      </c>
      <c r="M2617" t="s">
        <v>29</v>
      </c>
      <c r="N2617">
        <f t="shared" si="40"/>
        <v>4</v>
      </c>
    </row>
    <row r="2618" spans="12:14">
      <c r="L2618">
        <v>3084</v>
      </c>
      <c r="N2618" t="str">
        <f t="shared" si="40"/>
        <v/>
      </c>
    </row>
    <row r="2619" spans="12:14">
      <c r="L2619">
        <v>3143</v>
      </c>
      <c r="N2619" t="str">
        <f t="shared" si="40"/>
        <v/>
      </c>
    </row>
    <row r="2620" spans="12:14">
      <c r="L2620">
        <v>787</v>
      </c>
      <c r="M2620" t="s">
        <v>30</v>
      </c>
      <c r="N2620">
        <f t="shared" si="40"/>
        <v>7</v>
      </c>
    </row>
    <row r="2621" spans="12:14">
      <c r="L2621">
        <v>1571</v>
      </c>
      <c r="M2621" t="s">
        <v>26</v>
      </c>
      <c r="N2621">
        <f t="shared" si="40"/>
        <v>1</v>
      </c>
    </row>
    <row r="2622" spans="12:14">
      <c r="L2622">
        <v>4304</v>
      </c>
      <c r="N2622" t="str">
        <f t="shared" si="40"/>
        <v/>
      </c>
    </row>
    <row r="2623" spans="12:14">
      <c r="L2623">
        <v>3969</v>
      </c>
      <c r="N2623" t="str">
        <f t="shared" si="40"/>
        <v/>
      </c>
    </row>
    <row r="2624" spans="12:14">
      <c r="L2624">
        <v>1966</v>
      </c>
      <c r="M2624" t="s">
        <v>31</v>
      </c>
      <c r="N2624">
        <f t="shared" si="40"/>
        <v>6</v>
      </c>
    </row>
    <row r="2625" spans="12:14">
      <c r="L2625">
        <v>2938</v>
      </c>
      <c r="N2625" t="str">
        <f t="shared" si="40"/>
        <v/>
      </c>
    </row>
    <row r="2626" spans="12:14">
      <c r="L2626">
        <v>792</v>
      </c>
      <c r="N2626" t="str">
        <f t="shared" si="40"/>
        <v/>
      </c>
    </row>
    <row r="2627" spans="12:14">
      <c r="L2627">
        <v>485</v>
      </c>
      <c r="N2627" t="str">
        <f t="shared" ref="N2627:N2690" si="41">IFERROR(VLOOKUP(M2627,$A$3:$B$10,2,0),"")</f>
        <v/>
      </c>
    </row>
    <row r="2628" spans="12:14">
      <c r="L2628">
        <v>464</v>
      </c>
      <c r="M2628" t="s">
        <v>30</v>
      </c>
      <c r="N2628">
        <f t="shared" si="41"/>
        <v>7</v>
      </c>
    </row>
    <row r="2629" spans="12:14">
      <c r="L2629">
        <v>4212</v>
      </c>
      <c r="N2629" t="str">
        <f t="shared" si="41"/>
        <v/>
      </c>
    </row>
    <row r="2630" spans="12:14">
      <c r="L2630">
        <v>4207</v>
      </c>
      <c r="N2630" t="str">
        <f t="shared" si="41"/>
        <v/>
      </c>
    </row>
    <row r="2631" spans="12:14">
      <c r="L2631">
        <v>2489</v>
      </c>
      <c r="N2631" t="str">
        <f t="shared" si="41"/>
        <v/>
      </c>
    </row>
    <row r="2632" spans="12:14">
      <c r="L2632">
        <v>4509</v>
      </c>
      <c r="M2632" t="s">
        <v>30</v>
      </c>
      <c r="N2632">
        <f t="shared" si="41"/>
        <v>7</v>
      </c>
    </row>
    <row r="2633" spans="12:14">
      <c r="L2633">
        <v>1927</v>
      </c>
      <c r="N2633" t="str">
        <f t="shared" si="41"/>
        <v/>
      </c>
    </row>
    <row r="2634" spans="12:14">
      <c r="L2634">
        <v>497</v>
      </c>
      <c r="N2634" t="str">
        <f t="shared" si="41"/>
        <v/>
      </c>
    </row>
    <row r="2635" spans="12:14">
      <c r="L2635">
        <v>3324</v>
      </c>
      <c r="N2635" t="str">
        <f t="shared" si="41"/>
        <v/>
      </c>
    </row>
    <row r="2636" spans="12:14">
      <c r="L2636">
        <v>3681</v>
      </c>
      <c r="M2636" t="s">
        <v>26</v>
      </c>
      <c r="N2636">
        <f t="shared" si="41"/>
        <v>1</v>
      </c>
    </row>
    <row r="2637" spans="12:14">
      <c r="L2637">
        <v>2929</v>
      </c>
      <c r="M2637" t="s">
        <v>30</v>
      </c>
      <c r="N2637">
        <f t="shared" si="41"/>
        <v>7</v>
      </c>
    </row>
    <row r="2638" spans="12:14">
      <c r="L2638">
        <v>4763</v>
      </c>
      <c r="M2638" t="s">
        <v>26</v>
      </c>
      <c r="N2638">
        <f t="shared" si="41"/>
        <v>1</v>
      </c>
    </row>
    <row r="2639" spans="12:14">
      <c r="L2639">
        <v>1857</v>
      </c>
      <c r="M2639" t="s">
        <v>19</v>
      </c>
      <c r="N2639">
        <f t="shared" si="41"/>
        <v>2</v>
      </c>
    </row>
    <row r="2640" spans="12:14">
      <c r="L2640">
        <v>3739</v>
      </c>
      <c r="N2640" t="str">
        <f t="shared" si="41"/>
        <v/>
      </c>
    </row>
    <row r="2641" spans="12:14">
      <c r="L2641">
        <v>420</v>
      </c>
      <c r="N2641" t="str">
        <f t="shared" si="41"/>
        <v/>
      </c>
    </row>
    <row r="2642" spans="12:14">
      <c r="L2642">
        <v>2842</v>
      </c>
      <c r="N2642" t="str">
        <f t="shared" si="41"/>
        <v/>
      </c>
    </row>
    <row r="2643" spans="12:14">
      <c r="L2643">
        <v>1995</v>
      </c>
      <c r="M2643" t="s">
        <v>25</v>
      </c>
      <c r="N2643">
        <f t="shared" si="41"/>
        <v>5</v>
      </c>
    </row>
    <row r="2644" spans="12:14">
      <c r="L2644">
        <v>2341</v>
      </c>
      <c r="N2644" t="str">
        <f t="shared" si="41"/>
        <v/>
      </c>
    </row>
    <row r="2645" spans="12:14">
      <c r="L2645">
        <v>4639</v>
      </c>
      <c r="N2645" t="str">
        <f t="shared" si="41"/>
        <v/>
      </c>
    </row>
    <row r="2646" spans="12:14">
      <c r="L2646">
        <v>389</v>
      </c>
      <c r="N2646" t="str">
        <f t="shared" si="41"/>
        <v/>
      </c>
    </row>
    <row r="2647" spans="12:14">
      <c r="L2647">
        <v>3631</v>
      </c>
      <c r="N2647" t="str">
        <f t="shared" si="41"/>
        <v/>
      </c>
    </row>
    <row r="2648" spans="12:14">
      <c r="L2648">
        <v>108</v>
      </c>
      <c r="N2648" t="str">
        <f t="shared" si="41"/>
        <v/>
      </c>
    </row>
    <row r="2649" spans="12:14">
      <c r="L2649">
        <v>3738</v>
      </c>
      <c r="N2649" t="str">
        <f t="shared" si="41"/>
        <v/>
      </c>
    </row>
    <row r="2650" spans="12:14">
      <c r="L2650">
        <v>3326</v>
      </c>
      <c r="N2650" t="str">
        <f t="shared" si="41"/>
        <v/>
      </c>
    </row>
    <row r="2651" spans="12:14">
      <c r="L2651">
        <v>559</v>
      </c>
      <c r="M2651" t="s">
        <v>29</v>
      </c>
      <c r="N2651">
        <f t="shared" si="41"/>
        <v>4</v>
      </c>
    </row>
    <row r="2652" spans="12:14">
      <c r="L2652">
        <v>3993</v>
      </c>
      <c r="M2652" t="s">
        <v>28</v>
      </c>
      <c r="N2652">
        <f t="shared" si="41"/>
        <v>3</v>
      </c>
    </row>
    <row r="2653" spans="12:14">
      <c r="L2653">
        <v>3033</v>
      </c>
      <c r="N2653" t="str">
        <f t="shared" si="41"/>
        <v/>
      </c>
    </row>
    <row r="2654" spans="12:14">
      <c r="L2654">
        <v>2539</v>
      </c>
      <c r="N2654" t="str">
        <f t="shared" si="41"/>
        <v/>
      </c>
    </row>
    <row r="2655" spans="12:14">
      <c r="L2655">
        <v>3891</v>
      </c>
      <c r="N2655" t="str">
        <f t="shared" si="41"/>
        <v/>
      </c>
    </row>
    <row r="2656" spans="12:14">
      <c r="L2656">
        <v>2211</v>
      </c>
      <c r="N2656" t="str">
        <f t="shared" si="41"/>
        <v/>
      </c>
    </row>
    <row r="2657" spans="12:14">
      <c r="L2657">
        <v>400</v>
      </c>
      <c r="N2657" t="str">
        <f t="shared" si="41"/>
        <v/>
      </c>
    </row>
    <row r="2658" spans="12:14">
      <c r="L2658">
        <v>448</v>
      </c>
      <c r="M2658" t="s">
        <v>19</v>
      </c>
      <c r="N2658">
        <f t="shared" si="41"/>
        <v>2</v>
      </c>
    </row>
    <row r="2659" spans="12:14">
      <c r="L2659">
        <v>4605</v>
      </c>
      <c r="N2659" t="str">
        <f t="shared" si="41"/>
        <v/>
      </c>
    </row>
    <row r="2660" spans="12:14">
      <c r="L2660">
        <v>4303</v>
      </c>
      <c r="N2660" t="str">
        <f t="shared" si="41"/>
        <v/>
      </c>
    </row>
    <row r="2661" spans="12:14">
      <c r="L2661">
        <v>399</v>
      </c>
      <c r="M2661" t="s">
        <v>19</v>
      </c>
      <c r="N2661">
        <f t="shared" si="41"/>
        <v>2</v>
      </c>
    </row>
    <row r="2662" spans="12:14">
      <c r="L2662">
        <v>1156</v>
      </c>
      <c r="N2662" t="str">
        <f t="shared" si="41"/>
        <v/>
      </c>
    </row>
    <row r="2663" spans="12:14">
      <c r="L2663">
        <v>4191</v>
      </c>
      <c r="M2663" t="s">
        <v>31</v>
      </c>
      <c r="N2663">
        <f t="shared" si="41"/>
        <v>6</v>
      </c>
    </row>
    <row r="2664" spans="12:14">
      <c r="L2664">
        <v>4714</v>
      </c>
      <c r="N2664" t="str">
        <f t="shared" si="41"/>
        <v/>
      </c>
    </row>
    <row r="2665" spans="12:14">
      <c r="L2665">
        <v>1646</v>
      </c>
      <c r="M2665" t="s">
        <v>29</v>
      </c>
      <c r="N2665">
        <f t="shared" si="41"/>
        <v>4</v>
      </c>
    </row>
    <row r="2666" spans="12:14">
      <c r="L2666">
        <v>1023</v>
      </c>
      <c r="N2666" t="str">
        <f t="shared" si="41"/>
        <v/>
      </c>
    </row>
    <row r="2667" spans="12:14">
      <c r="L2667">
        <v>3957</v>
      </c>
      <c r="N2667" t="str">
        <f t="shared" si="41"/>
        <v/>
      </c>
    </row>
    <row r="2668" spans="12:14">
      <c r="L2668">
        <v>1104</v>
      </c>
      <c r="N2668" t="str">
        <f t="shared" si="41"/>
        <v/>
      </c>
    </row>
    <row r="2669" spans="12:14">
      <c r="L2669">
        <v>578</v>
      </c>
      <c r="N2669" t="str">
        <f t="shared" si="41"/>
        <v/>
      </c>
    </row>
    <row r="2670" spans="12:14">
      <c r="L2670">
        <v>4905</v>
      </c>
      <c r="N2670" t="str">
        <f t="shared" si="41"/>
        <v/>
      </c>
    </row>
    <row r="2671" spans="12:14">
      <c r="L2671">
        <v>1016</v>
      </c>
      <c r="N2671" t="str">
        <f t="shared" si="41"/>
        <v/>
      </c>
    </row>
    <row r="2672" spans="12:14">
      <c r="L2672">
        <v>1640</v>
      </c>
      <c r="N2672" t="str">
        <f t="shared" si="41"/>
        <v/>
      </c>
    </row>
    <row r="2673" spans="12:14">
      <c r="L2673">
        <v>800</v>
      </c>
      <c r="N2673" t="str">
        <f t="shared" si="41"/>
        <v/>
      </c>
    </row>
    <row r="2674" spans="12:14">
      <c r="L2674">
        <v>1635</v>
      </c>
      <c r="N2674" t="str">
        <f t="shared" si="41"/>
        <v/>
      </c>
    </row>
    <row r="2675" spans="12:14">
      <c r="L2675">
        <v>1687</v>
      </c>
      <c r="N2675" t="str">
        <f t="shared" si="41"/>
        <v/>
      </c>
    </row>
    <row r="2676" spans="12:14">
      <c r="L2676">
        <v>2821</v>
      </c>
      <c r="M2676" t="s">
        <v>25</v>
      </c>
      <c r="N2676">
        <f t="shared" si="41"/>
        <v>5</v>
      </c>
    </row>
    <row r="2677" spans="12:14">
      <c r="L2677">
        <v>2516</v>
      </c>
      <c r="M2677" t="s">
        <v>28</v>
      </c>
      <c r="N2677">
        <f t="shared" si="41"/>
        <v>3</v>
      </c>
    </row>
    <row r="2678" spans="12:14">
      <c r="L2678">
        <v>4434</v>
      </c>
      <c r="N2678" t="str">
        <f t="shared" si="41"/>
        <v/>
      </c>
    </row>
    <row r="2679" spans="12:14">
      <c r="L2679">
        <v>3609</v>
      </c>
      <c r="M2679" t="s">
        <v>30</v>
      </c>
      <c r="N2679">
        <f t="shared" si="41"/>
        <v>7</v>
      </c>
    </row>
    <row r="2680" spans="12:14">
      <c r="L2680">
        <v>808</v>
      </c>
      <c r="N2680" t="str">
        <f t="shared" si="41"/>
        <v/>
      </c>
    </row>
    <row r="2681" spans="12:14">
      <c r="L2681">
        <v>3167</v>
      </c>
      <c r="N2681" t="str">
        <f t="shared" si="41"/>
        <v/>
      </c>
    </row>
    <row r="2682" spans="12:14">
      <c r="L2682">
        <v>183</v>
      </c>
      <c r="N2682" t="str">
        <f t="shared" si="41"/>
        <v/>
      </c>
    </row>
    <row r="2683" spans="12:14">
      <c r="L2683">
        <v>1520</v>
      </c>
      <c r="N2683" t="str">
        <f t="shared" si="41"/>
        <v/>
      </c>
    </row>
    <row r="2684" spans="12:14">
      <c r="L2684">
        <v>1082</v>
      </c>
      <c r="N2684" t="str">
        <f t="shared" si="41"/>
        <v/>
      </c>
    </row>
    <row r="2685" spans="12:14">
      <c r="L2685">
        <v>3062</v>
      </c>
      <c r="M2685" t="s">
        <v>30</v>
      </c>
      <c r="N2685">
        <f t="shared" si="41"/>
        <v>7</v>
      </c>
    </row>
    <row r="2686" spans="12:14">
      <c r="L2686">
        <v>165</v>
      </c>
      <c r="M2686" t="s">
        <v>25</v>
      </c>
      <c r="N2686">
        <f t="shared" si="41"/>
        <v>5</v>
      </c>
    </row>
    <row r="2687" spans="12:14">
      <c r="L2687">
        <v>2627</v>
      </c>
      <c r="M2687" t="s">
        <v>29</v>
      </c>
      <c r="N2687">
        <f t="shared" si="41"/>
        <v>4</v>
      </c>
    </row>
    <row r="2688" spans="12:14">
      <c r="L2688">
        <v>1645</v>
      </c>
      <c r="N2688" t="str">
        <f t="shared" si="41"/>
        <v/>
      </c>
    </row>
    <row r="2689" spans="12:14">
      <c r="L2689">
        <v>1117</v>
      </c>
      <c r="N2689" t="str">
        <f t="shared" si="41"/>
        <v/>
      </c>
    </row>
    <row r="2690" spans="12:14">
      <c r="L2690">
        <v>3114</v>
      </c>
      <c r="N2690" t="str">
        <f t="shared" si="41"/>
        <v/>
      </c>
    </row>
    <row r="2691" spans="12:14">
      <c r="L2691">
        <v>191</v>
      </c>
      <c r="N2691" t="str">
        <f t="shared" ref="N2691:N2754" si="42">IFERROR(VLOOKUP(M2691,$A$3:$B$10,2,0),"")</f>
        <v/>
      </c>
    </row>
    <row r="2692" spans="12:14">
      <c r="L2692">
        <v>1926</v>
      </c>
      <c r="M2692" t="s">
        <v>31</v>
      </c>
      <c r="N2692">
        <f t="shared" si="42"/>
        <v>6</v>
      </c>
    </row>
    <row r="2693" spans="12:14">
      <c r="L2693">
        <v>423</v>
      </c>
      <c r="N2693" t="str">
        <f t="shared" si="42"/>
        <v/>
      </c>
    </row>
    <row r="2694" spans="12:14">
      <c r="L2694">
        <v>3635</v>
      </c>
      <c r="M2694" t="s">
        <v>19</v>
      </c>
      <c r="N2694">
        <f t="shared" si="42"/>
        <v>2</v>
      </c>
    </row>
    <row r="2695" spans="12:14">
      <c r="L2695">
        <v>996</v>
      </c>
      <c r="N2695" t="str">
        <f t="shared" si="42"/>
        <v/>
      </c>
    </row>
    <row r="2696" spans="12:14">
      <c r="L2696">
        <v>4899</v>
      </c>
      <c r="N2696" t="str">
        <f t="shared" si="42"/>
        <v/>
      </c>
    </row>
    <row r="2697" spans="12:14">
      <c r="L2697">
        <v>284</v>
      </c>
      <c r="N2697" t="str">
        <f t="shared" si="42"/>
        <v/>
      </c>
    </row>
    <row r="2698" spans="12:14">
      <c r="L2698">
        <v>373</v>
      </c>
      <c r="N2698" t="str">
        <f t="shared" si="42"/>
        <v/>
      </c>
    </row>
    <row r="2699" spans="12:14">
      <c r="L2699">
        <v>4114</v>
      </c>
      <c r="N2699" t="str">
        <f t="shared" si="42"/>
        <v/>
      </c>
    </row>
    <row r="2700" spans="12:14">
      <c r="L2700">
        <v>223</v>
      </c>
      <c r="N2700" t="str">
        <f t="shared" si="42"/>
        <v/>
      </c>
    </row>
    <row r="2701" spans="12:14">
      <c r="L2701">
        <v>4143</v>
      </c>
      <c r="N2701" t="str">
        <f t="shared" si="42"/>
        <v/>
      </c>
    </row>
    <row r="2702" spans="12:14">
      <c r="L2702">
        <v>2251</v>
      </c>
      <c r="N2702" t="str">
        <f t="shared" si="42"/>
        <v/>
      </c>
    </row>
    <row r="2703" spans="12:14">
      <c r="L2703">
        <v>410</v>
      </c>
      <c r="N2703" t="str">
        <f t="shared" si="42"/>
        <v/>
      </c>
    </row>
    <row r="2704" spans="12:14">
      <c r="L2704">
        <v>3728</v>
      </c>
      <c r="M2704" t="s">
        <v>31</v>
      </c>
      <c r="N2704">
        <f t="shared" si="42"/>
        <v>6</v>
      </c>
    </row>
    <row r="2705" spans="12:14">
      <c r="L2705">
        <v>3101</v>
      </c>
      <c r="M2705" t="s">
        <v>19</v>
      </c>
      <c r="N2705">
        <f t="shared" si="42"/>
        <v>2</v>
      </c>
    </row>
    <row r="2706" spans="12:14">
      <c r="L2706">
        <v>4513</v>
      </c>
      <c r="N2706" t="str">
        <f t="shared" si="42"/>
        <v/>
      </c>
    </row>
    <row r="2707" spans="12:14">
      <c r="L2707">
        <v>1442</v>
      </c>
      <c r="N2707" t="str">
        <f t="shared" si="42"/>
        <v/>
      </c>
    </row>
    <row r="2708" spans="12:14">
      <c r="L2708">
        <v>1119</v>
      </c>
      <c r="M2708" t="s">
        <v>30</v>
      </c>
      <c r="N2708">
        <f t="shared" si="42"/>
        <v>7</v>
      </c>
    </row>
    <row r="2709" spans="12:14">
      <c r="L2709">
        <v>2708</v>
      </c>
      <c r="N2709" t="str">
        <f t="shared" si="42"/>
        <v/>
      </c>
    </row>
    <row r="2710" spans="12:14">
      <c r="L2710">
        <v>3626</v>
      </c>
      <c r="N2710" t="str">
        <f t="shared" si="42"/>
        <v/>
      </c>
    </row>
    <row r="2711" spans="12:14">
      <c r="L2711">
        <v>1813</v>
      </c>
      <c r="N2711" t="str">
        <f t="shared" si="42"/>
        <v/>
      </c>
    </row>
    <row r="2712" spans="12:14">
      <c r="L2712">
        <v>3050</v>
      </c>
      <c r="N2712" t="str">
        <f t="shared" si="42"/>
        <v/>
      </c>
    </row>
    <row r="2713" spans="12:14">
      <c r="L2713">
        <v>2941</v>
      </c>
      <c r="N2713" t="str">
        <f t="shared" si="42"/>
        <v/>
      </c>
    </row>
    <row r="2714" spans="12:14">
      <c r="L2714">
        <v>4491</v>
      </c>
      <c r="N2714" t="str">
        <f t="shared" si="42"/>
        <v/>
      </c>
    </row>
    <row r="2715" spans="12:14">
      <c r="L2715">
        <v>2001</v>
      </c>
      <c r="N2715" t="str">
        <f t="shared" si="42"/>
        <v/>
      </c>
    </row>
    <row r="2716" spans="12:14">
      <c r="L2716">
        <v>3364</v>
      </c>
      <c r="N2716" t="str">
        <f t="shared" si="42"/>
        <v/>
      </c>
    </row>
    <row r="2717" spans="12:14">
      <c r="L2717">
        <v>976</v>
      </c>
      <c r="M2717" t="s">
        <v>30</v>
      </c>
      <c r="N2717">
        <f t="shared" si="42"/>
        <v>7</v>
      </c>
    </row>
    <row r="2718" spans="12:14">
      <c r="L2718">
        <v>3373</v>
      </c>
      <c r="M2718" t="s">
        <v>30</v>
      </c>
      <c r="N2718">
        <f t="shared" si="42"/>
        <v>7</v>
      </c>
    </row>
    <row r="2719" spans="12:14">
      <c r="L2719">
        <v>3924</v>
      </c>
      <c r="N2719" t="str">
        <f t="shared" si="42"/>
        <v/>
      </c>
    </row>
    <row r="2720" spans="12:14">
      <c r="L2720">
        <v>4499</v>
      </c>
      <c r="N2720" t="str">
        <f t="shared" si="42"/>
        <v/>
      </c>
    </row>
    <row r="2721" spans="12:14">
      <c r="L2721">
        <v>3700</v>
      </c>
      <c r="N2721" t="str">
        <f t="shared" si="42"/>
        <v/>
      </c>
    </row>
    <row r="2722" spans="12:14">
      <c r="L2722">
        <v>225</v>
      </c>
      <c r="M2722" t="s">
        <v>29</v>
      </c>
      <c r="N2722">
        <f t="shared" si="42"/>
        <v>4</v>
      </c>
    </row>
    <row r="2723" spans="12:14">
      <c r="L2723">
        <v>1653</v>
      </c>
      <c r="M2723" t="s">
        <v>26</v>
      </c>
      <c r="N2723">
        <f t="shared" si="42"/>
        <v>1</v>
      </c>
    </row>
    <row r="2724" spans="12:14">
      <c r="L2724">
        <v>1064</v>
      </c>
      <c r="N2724" t="str">
        <f t="shared" si="42"/>
        <v/>
      </c>
    </row>
    <row r="2725" spans="12:14">
      <c r="L2725">
        <v>3851</v>
      </c>
      <c r="N2725" t="str">
        <f t="shared" si="42"/>
        <v/>
      </c>
    </row>
    <row r="2726" spans="12:14">
      <c r="L2726">
        <v>3263</v>
      </c>
      <c r="N2726" t="str">
        <f t="shared" si="42"/>
        <v/>
      </c>
    </row>
    <row r="2727" spans="12:14">
      <c r="L2727">
        <v>1083</v>
      </c>
      <c r="N2727" t="str">
        <f t="shared" si="42"/>
        <v/>
      </c>
    </row>
    <row r="2728" spans="12:14">
      <c r="L2728">
        <v>836</v>
      </c>
      <c r="M2728" t="s">
        <v>30</v>
      </c>
      <c r="N2728">
        <f t="shared" si="42"/>
        <v>7</v>
      </c>
    </row>
    <row r="2729" spans="12:14">
      <c r="L2729">
        <v>1065</v>
      </c>
      <c r="M2729" t="s">
        <v>25</v>
      </c>
      <c r="N2729">
        <f t="shared" si="42"/>
        <v>5</v>
      </c>
    </row>
    <row r="2730" spans="12:14">
      <c r="L2730">
        <v>1958</v>
      </c>
      <c r="M2730" t="s">
        <v>25</v>
      </c>
      <c r="N2730">
        <f t="shared" si="42"/>
        <v>5</v>
      </c>
    </row>
    <row r="2731" spans="12:14">
      <c r="L2731">
        <v>3876</v>
      </c>
      <c r="N2731" t="str">
        <f t="shared" si="42"/>
        <v/>
      </c>
    </row>
    <row r="2732" spans="12:14">
      <c r="L2732">
        <v>512</v>
      </c>
      <c r="N2732" t="str">
        <f t="shared" si="42"/>
        <v/>
      </c>
    </row>
    <row r="2733" spans="12:14">
      <c r="L2733">
        <v>4500</v>
      </c>
      <c r="M2733" t="s">
        <v>26</v>
      </c>
      <c r="N2733">
        <f t="shared" si="42"/>
        <v>1</v>
      </c>
    </row>
    <row r="2734" spans="12:14">
      <c r="L2734">
        <v>2362</v>
      </c>
      <c r="N2734" t="str">
        <f t="shared" si="42"/>
        <v/>
      </c>
    </row>
    <row r="2735" spans="12:14">
      <c r="L2735">
        <v>1358</v>
      </c>
      <c r="N2735" t="str">
        <f t="shared" si="42"/>
        <v/>
      </c>
    </row>
    <row r="2736" spans="12:14">
      <c r="L2736">
        <v>2124</v>
      </c>
      <c r="M2736" t="s">
        <v>29</v>
      </c>
      <c r="N2736">
        <f t="shared" si="42"/>
        <v>4</v>
      </c>
    </row>
    <row r="2737" spans="12:14">
      <c r="L2737">
        <v>2025</v>
      </c>
      <c r="N2737" t="str">
        <f t="shared" si="42"/>
        <v/>
      </c>
    </row>
    <row r="2738" spans="12:14">
      <c r="L2738">
        <v>3937</v>
      </c>
      <c r="N2738" t="str">
        <f t="shared" si="42"/>
        <v/>
      </c>
    </row>
    <row r="2739" spans="12:14">
      <c r="L2739">
        <v>2340</v>
      </c>
      <c r="N2739" t="str">
        <f t="shared" si="42"/>
        <v/>
      </c>
    </row>
    <row r="2740" spans="12:14">
      <c r="L2740">
        <v>4711</v>
      </c>
      <c r="M2740" t="s">
        <v>31</v>
      </c>
      <c r="N2740">
        <f t="shared" si="42"/>
        <v>6</v>
      </c>
    </row>
    <row r="2741" spans="12:14">
      <c r="L2741">
        <v>4706</v>
      </c>
      <c r="M2741" t="s">
        <v>26</v>
      </c>
      <c r="N2741">
        <f t="shared" si="42"/>
        <v>1</v>
      </c>
    </row>
    <row r="2742" spans="12:14">
      <c r="L2742">
        <v>3032</v>
      </c>
      <c r="N2742" t="str">
        <f t="shared" si="42"/>
        <v/>
      </c>
    </row>
    <row r="2743" spans="12:14">
      <c r="L2743">
        <v>4477</v>
      </c>
      <c r="N2743" t="str">
        <f t="shared" si="42"/>
        <v/>
      </c>
    </row>
    <row r="2744" spans="12:14">
      <c r="L2744">
        <v>2874</v>
      </c>
      <c r="N2744" t="str">
        <f t="shared" si="42"/>
        <v/>
      </c>
    </row>
    <row r="2745" spans="12:14">
      <c r="L2745">
        <v>3940</v>
      </c>
      <c r="N2745" t="str">
        <f t="shared" si="42"/>
        <v/>
      </c>
    </row>
    <row r="2746" spans="12:14">
      <c r="L2746">
        <v>3958</v>
      </c>
      <c r="M2746" t="s">
        <v>26</v>
      </c>
      <c r="N2746">
        <f t="shared" si="42"/>
        <v>1</v>
      </c>
    </row>
    <row r="2747" spans="12:14">
      <c r="L2747">
        <v>4451</v>
      </c>
      <c r="N2747" t="str">
        <f t="shared" si="42"/>
        <v/>
      </c>
    </row>
    <row r="2748" spans="12:14">
      <c r="L2748">
        <v>2319</v>
      </c>
      <c r="N2748" t="str">
        <f t="shared" si="42"/>
        <v/>
      </c>
    </row>
    <row r="2749" spans="12:14">
      <c r="L2749">
        <v>4785</v>
      </c>
      <c r="N2749" t="str">
        <f t="shared" si="42"/>
        <v/>
      </c>
    </row>
    <row r="2750" spans="12:14">
      <c r="L2750">
        <v>4724</v>
      </c>
      <c r="M2750" t="s">
        <v>19</v>
      </c>
      <c r="N2750">
        <f t="shared" si="42"/>
        <v>2</v>
      </c>
    </row>
    <row r="2751" spans="12:14">
      <c r="L2751">
        <v>1225</v>
      </c>
      <c r="N2751" t="str">
        <f t="shared" si="42"/>
        <v/>
      </c>
    </row>
    <row r="2752" spans="12:14">
      <c r="L2752">
        <v>131</v>
      </c>
      <c r="N2752" t="str">
        <f t="shared" si="42"/>
        <v/>
      </c>
    </row>
    <row r="2753" spans="12:14">
      <c r="L2753">
        <v>905</v>
      </c>
      <c r="N2753" t="str">
        <f t="shared" si="42"/>
        <v/>
      </c>
    </row>
    <row r="2754" spans="12:14">
      <c r="L2754">
        <v>329</v>
      </c>
      <c r="N2754" t="str">
        <f t="shared" si="42"/>
        <v/>
      </c>
    </row>
    <row r="2755" spans="12:14">
      <c r="L2755">
        <v>3564</v>
      </c>
      <c r="N2755" t="str">
        <f t="shared" ref="N2755:N2818" si="43">IFERROR(VLOOKUP(M2755,$A$3:$B$10,2,0),"")</f>
        <v/>
      </c>
    </row>
    <row r="2756" spans="12:14">
      <c r="L2756">
        <v>955</v>
      </c>
      <c r="N2756" t="str">
        <f t="shared" si="43"/>
        <v/>
      </c>
    </row>
    <row r="2757" spans="12:14">
      <c r="L2757">
        <v>2267</v>
      </c>
      <c r="N2757" t="str">
        <f t="shared" si="43"/>
        <v/>
      </c>
    </row>
    <row r="2758" spans="12:14">
      <c r="L2758">
        <v>1140</v>
      </c>
      <c r="N2758" t="str">
        <f t="shared" si="43"/>
        <v/>
      </c>
    </row>
    <row r="2759" spans="12:14">
      <c r="L2759">
        <v>2349</v>
      </c>
      <c r="M2759" t="s">
        <v>31</v>
      </c>
      <c r="N2759">
        <f t="shared" si="43"/>
        <v>6</v>
      </c>
    </row>
    <row r="2760" spans="12:14">
      <c r="L2760">
        <v>3449</v>
      </c>
      <c r="N2760" t="str">
        <f t="shared" si="43"/>
        <v/>
      </c>
    </row>
    <row r="2761" spans="12:14">
      <c r="L2761">
        <v>1115</v>
      </c>
      <c r="M2761" t="s">
        <v>30</v>
      </c>
      <c r="N2761">
        <f t="shared" si="43"/>
        <v>7</v>
      </c>
    </row>
    <row r="2762" spans="12:14">
      <c r="L2762">
        <v>170</v>
      </c>
      <c r="N2762" t="str">
        <f t="shared" si="43"/>
        <v/>
      </c>
    </row>
    <row r="2763" spans="12:14">
      <c r="L2763">
        <v>647</v>
      </c>
      <c r="N2763" t="str">
        <f t="shared" si="43"/>
        <v/>
      </c>
    </row>
    <row r="2764" spans="12:14">
      <c r="L2764">
        <v>29</v>
      </c>
      <c r="N2764" t="str">
        <f t="shared" si="43"/>
        <v/>
      </c>
    </row>
    <row r="2765" spans="12:14">
      <c r="L2765">
        <v>4135</v>
      </c>
      <c r="N2765" t="str">
        <f t="shared" si="43"/>
        <v/>
      </c>
    </row>
    <row r="2766" spans="12:14">
      <c r="L2766">
        <v>4073</v>
      </c>
      <c r="N2766" t="str">
        <f t="shared" si="43"/>
        <v/>
      </c>
    </row>
    <row r="2767" spans="12:14">
      <c r="L2767">
        <v>911</v>
      </c>
      <c r="N2767" t="str">
        <f t="shared" si="43"/>
        <v/>
      </c>
    </row>
    <row r="2768" spans="12:14">
      <c r="L2768">
        <v>817</v>
      </c>
      <c r="M2768" t="s">
        <v>29</v>
      </c>
      <c r="N2768">
        <f t="shared" si="43"/>
        <v>4</v>
      </c>
    </row>
    <row r="2769" spans="12:14">
      <c r="L2769">
        <v>521</v>
      </c>
      <c r="M2769" t="s">
        <v>30</v>
      </c>
      <c r="N2769">
        <f t="shared" si="43"/>
        <v>7</v>
      </c>
    </row>
    <row r="2770" spans="12:14">
      <c r="L2770">
        <v>2236</v>
      </c>
      <c r="N2770" t="str">
        <f t="shared" si="43"/>
        <v/>
      </c>
    </row>
    <row r="2771" spans="12:14">
      <c r="L2771">
        <v>1877</v>
      </c>
      <c r="M2771" t="s">
        <v>28</v>
      </c>
      <c r="N2771">
        <f t="shared" si="43"/>
        <v>3</v>
      </c>
    </row>
    <row r="2772" spans="12:14">
      <c r="L2772">
        <v>3486</v>
      </c>
      <c r="N2772" t="str">
        <f t="shared" si="43"/>
        <v/>
      </c>
    </row>
    <row r="2773" spans="12:14">
      <c r="L2773">
        <v>4479</v>
      </c>
      <c r="N2773" t="str">
        <f t="shared" si="43"/>
        <v/>
      </c>
    </row>
    <row r="2774" spans="12:14">
      <c r="L2774">
        <v>2796</v>
      </c>
      <c r="M2774" t="s">
        <v>25</v>
      </c>
      <c r="N2774">
        <f t="shared" si="43"/>
        <v>5</v>
      </c>
    </row>
    <row r="2775" spans="12:14">
      <c r="L2775">
        <v>566</v>
      </c>
      <c r="M2775" t="s">
        <v>29</v>
      </c>
      <c r="N2775">
        <f t="shared" si="43"/>
        <v>4</v>
      </c>
    </row>
    <row r="2776" spans="12:14">
      <c r="L2776">
        <v>994</v>
      </c>
      <c r="N2776" t="str">
        <f t="shared" si="43"/>
        <v/>
      </c>
    </row>
    <row r="2777" spans="12:14">
      <c r="L2777">
        <v>2879</v>
      </c>
      <c r="N2777" t="str">
        <f t="shared" si="43"/>
        <v/>
      </c>
    </row>
    <row r="2778" spans="12:14">
      <c r="L2778">
        <v>1380</v>
      </c>
      <c r="M2778" t="s">
        <v>29</v>
      </c>
      <c r="N2778">
        <f t="shared" si="43"/>
        <v>4</v>
      </c>
    </row>
    <row r="2779" spans="12:14">
      <c r="L2779">
        <v>2931</v>
      </c>
      <c r="N2779" t="str">
        <f t="shared" si="43"/>
        <v/>
      </c>
    </row>
    <row r="2780" spans="12:14">
      <c r="L2780">
        <v>1918</v>
      </c>
      <c r="N2780" t="str">
        <f t="shared" si="43"/>
        <v/>
      </c>
    </row>
    <row r="2781" spans="12:14">
      <c r="L2781">
        <v>290</v>
      </c>
      <c r="N2781" t="str">
        <f t="shared" si="43"/>
        <v/>
      </c>
    </row>
    <row r="2782" spans="12:14">
      <c r="L2782">
        <v>1360</v>
      </c>
      <c r="N2782" t="str">
        <f t="shared" si="43"/>
        <v/>
      </c>
    </row>
    <row r="2783" spans="12:14">
      <c r="L2783">
        <v>3109</v>
      </c>
      <c r="M2783" t="s">
        <v>26</v>
      </c>
      <c r="N2783">
        <f t="shared" si="43"/>
        <v>1</v>
      </c>
    </row>
    <row r="2784" spans="12:14">
      <c r="L2784">
        <v>2868</v>
      </c>
      <c r="M2784" t="s">
        <v>25</v>
      </c>
      <c r="N2784">
        <f t="shared" si="43"/>
        <v>5</v>
      </c>
    </row>
    <row r="2785" spans="12:14">
      <c r="L2785">
        <v>2071</v>
      </c>
      <c r="M2785" t="s">
        <v>26</v>
      </c>
      <c r="N2785">
        <f t="shared" si="43"/>
        <v>1</v>
      </c>
    </row>
    <row r="2786" spans="12:14">
      <c r="L2786">
        <v>3645</v>
      </c>
      <c r="N2786" t="str">
        <f t="shared" si="43"/>
        <v/>
      </c>
    </row>
    <row r="2787" spans="12:14">
      <c r="L2787">
        <v>1903</v>
      </c>
      <c r="N2787" t="str">
        <f t="shared" si="43"/>
        <v/>
      </c>
    </row>
    <row r="2788" spans="12:14">
      <c r="L2788">
        <v>3528</v>
      </c>
      <c r="N2788" t="str">
        <f t="shared" si="43"/>
        <v/>
      </c>
    </row>
    <row r="2789" spans="12:14">
      <c r="L2789">
        <v>1108</v>
      </c>
      <c r="N2789" t="str">
        <f t="shared" si="43"/>
        <v/>
      </c>
    </row>
    <row r="2790" spans="12:14">
      <c r="L2790">
        <v>2839</v>
      </c>
      <c r="N2790" t="str">
        <f t="shared" si="43"/>
        <v/>
      </c>
    </row>
    <row r="2791" spans="12:14">
      <c r="L2791">
        <v>2638</v>
      </c>
      <c r="M2791" t="s">
        <v>28</v>
      </c>
      <c r="N2791">
        <f t="shared" si="43"/>
        <v>3</v>
      </c>
    </row>
    <row r="2792" spans="12:14">
      <c r="L2792">
        <v>3338</v>
      </c>
      <c r="N2792" t="str">
        <f t="shared" si="43"/>
        <v/>
      </c>
    </row>
    <row r="2793" spans="12:14">
      <c r="L2793">
        <v>3941</v>
      </c>
      <c r="N2793" t="str">
        <f t="shared" si="43"/>
        <v/>
      </c>
    </row>
    <row r="2794" spans="12:14">
      <c r="L2794">
        <v>4575</v>
      </c>
      <c r="N2794" t="str">
        <f t="shared" si="43"/>
        <v/>
      </c>
    </row>
    <row r="2795" spans="12:14">
      <c r="L2795">
        <v>3433</v>
      </c>
      <c r="M2795" t="s">
        <v>29</v>
      </c>
      <c r="N2795">
        <f t="shared" si="43"/>
        <v>4</v>
      </c>
    </row>
    <row r="2796" spans="12:14">
      <c r="L2796">
        <v>93</v>
      </c>
      <c r="N2796" t="str">
        <f t="shared" si="43"/>
        <v/>
      </c>
    </row>
    <row r="2797" spans="12:14">
      <c r="L2797">
        <v>1201</v>
      </c>
      <c r="N2797" t="str">
        <f t="shared" si="43"/>
        <v/>
      </c>
    </row>
    <row r="2798" spans="12:14">
      <c r="L2798">
        <v>2006</v>
      </c>
      <c r="M2798" t="s">
        <v>31</v>
      </c>
      <c r="N2798">
        <f t="shared" si="43"/>
        <v>6</v>
      </c>
    </row>
    <row r="2799" spans="12:14">
      <c r="L2799">
        <v>332</v>
      </c>
      <c r="N2799" t="str">
        <f t="shared" si="43"/>
        <v/>
      </c>
    </row>
    <row r="2800" spans="12:14">
      <c r="L2800">
        <v>3743</v>
      </c>
      <c r="M2800" t="s">
        <v>31</v>
      </c>
      <c r="N2800">
        <f t="shared" si="43"/>
        <v>6</v>
      </c>
    </row>
    <row r="2801" spans="12:14">
      <c r="L2801">
        <v>711</v>
      </c>
      <c r="M2801" t="s">
        <v>30</v>
      </c>
      <c r="N2801">
        <f t="shared" si="43"/>
        <v>7</v>
      </c>
    </row>
    <row r="2802" spans="12:14">
      <c r="L2802">
        <v>1245</v>
      </c>
      <c r="N2802" t="str">
        <f t="shared" si="43"/>
        <v/>
      </c>
    </row>
    <row r="2803" spans="12:14">
      <c r="L2803">
        <v>4919</v>
      </c>
      <c r="N2803" t="str">
        <f t="shared" si="43"/>
        <v/>
      </c>
    </row>
    <row r="2804" spans="12:14">
      <c r="L2804">
        <v>4003</v>
      </c>
      <c r="M2804" t="s">
        <v>31</v>
      </c>
      <c r="N2804">
        <f t="shared" si="43"/>
        <v>6</v>
      </c>
    </row>
    <row r="2805" spans="12:14">
      <c r="L2805">
        <v>4243</v>
      </c>
      <c r="N2805" t="str">
        <f t="shared" si="43"/>
        <v/>
      </c>
    </row>
    <row r="2806" spans="12:14">
      <c r="L2806">
        <v>1179</v>
      </c>
      <c r="N2806" t="str">
        <f t="shared" si="43"/>
        <v/>
      </c>
    </row>
    <row r="2807" spans="12:14">
      <c r="L2807">
        <v>2945</v>
      </c>
      <c r="N2807" t="str">
        <f t="shared" si="43"/>
        <v/>
      </c>
    </row>
    <row r="2808" spans="12:14">
      <c r="L2808">
        <v>1749</v>
      </c>
      <c r="M2808" t="s">
        <v>31</v>
      </c>
      <c r="N2808">
        <f t="shared" si="43"/>
        <v>6</v>
      </c>
    </row>
    <row r="2809" spans="12:14">
      <c r="L2809">
        <v>1631</v>
      </c>
      <c r="M2809" t="s">
        <v>31</v>
      </c>
      <c r="N2809">
        <f t="shared" si="43"/>
        <v>6</v>
      </c>
    </row>
    <row r="2810" spans="12:14">
      <c r="L2810">
        <v>4574</v>
      </c>
      <c r="N2810" t="str">
        <f t="shared" si="43"/>
        <v/>
      </c>
    </row>
    <row r="2811" spans="12:14">
      <c r="L2811">
        <v>2423</v>
      </c>
      <c r="N2811" t="str">
        <f t="shared" si="43"/>
        <v/>
      </c>
    </row>
    <row r="2812" spans="12:14">
      <c r="L2812">
        <v>3377</v>
      </c>
      <c r="N2812" t="str">
        <f t="shared" si="43"/>
        <v/>
      </c>
    </row>
    <row r="2813" spans="12:14">
      <c r="L2813">
        <v>2807</v>
      </c>
      <c r="M2813" t="s">
        <v>25</v>
      </c>
      <c r="N2813">
        <f t="shared" si="43"/>
        <v>5</v>
      </c>
    </row>
    <row r="2814" spans="12:14">
      <c r="L2814">
        <v>1668</v>
      </c>
      <c r="N2814" t="str">
        <f t="shared" si="43"/>
        <v/>
      </c>
    </row>
    <row r="2815" spans="12:14">
      <c r="L2815">
        <v>685</v>
      </c>
      <c r="M2815" t="s">
        <v>28</v>
      </c>
      <c r="N2815">
        <f t="shared" si="43"/>
        <v>3</v>
      </c>
    </row>
    <row r="2816" spans="12:14">
      <c r="L2816">
        <v>396</v>
      </c>
      <c r="M2816" t="s">
        <v>19</v>
      </c>
      <c r="N2816">
        <f t="shared" si="43"/>
        <v>2</v>
      </c>
    </row>
    <row r="2817" spans="12:14">
      <c r="L2817">
        <v>2570</v>
      </c>
      <c r="N2817" t="str">
        <f t="shared" si="43"/>
        <v/>
      </c>
    </row>
    <row r="2818" spans="12:14">
      <c r="L2818">
        <v>4551</v>
      </c>
      <c r="N2818" t="str">
        <f t="shared" si="43"/>
        <v/>
      </c>
    </row>
    <row r="2819" spans="12:14">
      <c r="L2819">
        <v>4559</v>
      </c>
      <c r="M2819" t="s">
        <v>26</v>
      </c>
      <c r="N2819">
        <f t="shared" ref="N2819:N2882" si="44">IFERROR(VLOOKUP(M2819,$A$3:$B$10,2,0),"")</f>
        <v>1</v>
      </c>
    </row>
    <row r="2820" spans="12:14">
      <c r="L2820">
        <v>3837</v>
      </c>
      <c r="N2820" t="str">
        <f t="shared" si="44"/>
        <v/>
      </c>
    </row>
    <row r="2821" spans="12:14">
      <c r="L2821">
        <v>716</v>
      </c>
      <c r="N2821" t="str">
        <f t="shared" si="44"/>
        <v/>
      </c>
    </row>
    <row r="2822" spans="12:14">
      <c r="L2822">
        <v>3440</v>
      </c>
      <c r="N2822" t="str">
        <f t="shared" si="44"/>
        <v/>
      </c>
    </row>
    <row r="2823" spans="12:14">
      <c r="L2823">
        <v>3776</v>
      </c>
      <c r="N2823" t="str">
        <f t="shared" si="44"/>
        <v/>
      </c>
    </row>
    <row r="2824" spans="12:14">
      <c r="L2824">
        <v>4094</v>
      </c>
      <c r="N2824" t="str">
        <f t="shared" si="44"/>
        <v/>
      </c>
    </row>
    <row r="2825" spans="12:14">
      <c r="L2825">
        <v>1456</v>
      </c>
      <c r="N2825" t="str">
        <f t="shared" si="44"/>
        <v/>
      </c>
    </row>
    <row r="2826" spans="12:14">
      <c r="L2826">
        <v>113</v>
      </c>
      <c r="N2826" t="str">
        <f t="shared" si="44"/>
        <v/>
      </c>
    </row>
    <row r="2827" spans="12:14">
      <c r="L2827">
        <v>3439</v>
      </c>
      <c r="N2827" t="str">
        <f t="shared" si="44"/>
        <v/>
      </c>
    </row>
    <row r="2828" spans="12:14">
      <c r="L2828">
        <v>4734</v>
      </c>
      <c r="N2828" t="str">
        <f t="shared" si="44"/>
        <v/>
      </c>
    </row>
    <row r="2829" spans="12:14">
      <c r="L2829">
        <v>2950</v>
      </c>
      <c r="N2829" t="str">
        <f t="shared" si="44"/>
        <v/>
      </c>
    </row>
    <row r="2830" spans="12:14">
      <c r="L2830">
        <v>2305</v>
      </c>
      <c r="M2830" t="s">
        <v>25</v>
      </c>
      <c r="N2830">
        <f t="shared" si="44"/>
        <v>5</v>
      </c>
    </row>
    <row r="2831" spans="12:14">
      <c r="L2831">
        <v>1184</v>
      </c>
      <c r="M2831" t="s">
        <v>26</v>
      </c>
      <c r="N2831">
        <f t="shared" si="44"/>
        <v>1</v>
      </c>
    </row>
    <row r="2832" spans="12:14">
      <c r="L2832">
        <v>3687</v>
      </c>
      <c r="N2832" t="str">
        <f t="shared" si="44"/>
        <v/>
      </c>
    </row>
    <row r="2833" spans="12:14">
      <c r="L2833">
        <v>797</v>
      </c>
      <c r="N2833" t="str">
        <f t="shared" si="44"/>
        <v/>
      </c>
    </row>
    <row r="2834" spans="12:14">
      <c r="L2834">
        <v>1839</v>
      </c>
      <c r="N2834" t="str">
        <f t="shared" si="44"/>
        <v/>
      </c>
    </row>
    <row r="2835" spans="12:14">
      <c r="L2835">
        <v>3726</v>
      </c>
      <c r="N2835" t="str">
        <f t="shared" si="44"/>
        <v/>
      </c>
    </row>
    <row r="2836" spans="12:14">
      <c r="L2836">
        <v>3986</v>
      </c>
      <c r="N2836" t="str">
        <f t="shared" si="44"/>
        <v/>
      </c>
    </row>
    <row r="2837" spans="12:14">
      <c r="L2837">
        <v>3699</v>
      </c>
      <c r="N2837" t="str">
        <f t="shared" si="44"/>
        <v/>
      </c>
    </row>
    <row r="2838" spans="12:14">
      <c r="L2838">
        <v>513</v>
      </c>
      <c r="N2838" t="str">
        <f t="shared" si="44"/>
        <v/>
      </c>
    </row>
    <row r="2839" spans="12:14">
      <c r="L2839">
        <v>3133</v>
      </c>
      <c r="M2839" t="s">
        <v>25</v>
      </c>
      <c r="N2839">
        <f t="shared" si="44"/>
        <v>5</v>
      </c>
    </row>
    <row r="2840" spans="12:14">
      <c r="L2840">
        <v>246</v>
      </c>
      <c r="N2840" t="str">
        <f t="shared" si="44"/>
        <v/>
      </c>
    </row>
    <row r="2841" spans="12:14">
      <c r="L2841">
        <v>1956</v>
      </c>
      <c r="M2841" t="s">
        <v>26</v>
      </c>
      <c r="N2841">
        <f t="shared" si="44"/>
        <v>1</v>
      </c>
    </row>
    <row r="2842" spans="12:14">
      <c r="L2842">
        <v>1576</v>
      </c>
      <c r="N2842" t="str">
        <f t="shared" si="44"/>
        <v/>
      </c>
    </row>
    <row r="2843" spans="12:14">
      <c r="L2843">
        <v>1629</v>
      </c>
      <c r="N2843" t="str">
        <f t="shared" si="44"/>
        <v/>
      </c>
    </row>
    <row r="2844" spans="12:14">
      <c r="L2844">
        <v>2828</v>
      </c>
      <c r="N2844" t="str">
        <f t="shared" si="44"/>
        <v/>
      </c>
    </row>
    <row r="2845" spans="12:14">
      <c r="L2845">
        <v>4768</v>
      </c>
      <c r="N2845" t="str">
        <f t="shared" si="44"/>
        <v/>
      </c>
    </row>
    <row r="2846" spans="12:14">
      <c r="L2846">
        <v>3987</v>
      </c>
      <c r="M2846" t="s">
        <v>28</v>
      </c>
      <c r="N2846">
        <f t="shared" si="44"/>
        <v>3</v>
      </c>
    </row>
    <row r="2847" spans="12:14">
      <c r="L2847">
        <v>1763</v>
      </c>
      <c r="M2847" t="s">
        <v>30</v>
      </c>
      <c r="N2847">
        <f t="shared" si="44"/>
        <v>7</v>
      </c>
    </row>
    <row r="2848" spans="12:14">
      <c r="L2848">
        <v>1810</v>
      </c>
      <c r="N2848" t="str">
        <f t="shared" si="44"/>
        <v/>
      </c>
    </row>
    <row r="2849" spans="12:14">
      <c r="L2849">
        <v>340</v>
      </c>
      <c r="N2849" t="str">
        <f t="shared" si="44"/>
        <v/>
      </c>
    </row>
    <row r="2850" spans="12:14">
      <c r="L2850">
        <v>38</v>
      </c>
      <c r="N2850" t="str">
        <f t="shared" si="44"/>
        <v/>
      </c>
    </row>
    <row r="2851" spans="12:14">
      <c r="L2851">
        <v>889</v>
      </c>
      <c r="M2851" t="s">
        <v>29</v>
      </c>
      <c r="N2851">
        <f t="shared" si="44"/>
        <v>4</v>
      </c>
    </row>
    <row r="2852" spans="12:14">
      <c r="L2852">
        <v>4421</v>
      </c>
      <c r="N2852" t="str">
        <f t="shared" si="44"/>
        <v/>
      </c>
    </row>
    <row r="2853" spans="12:14">
      <c r="L2853">
        <v>4168</v>
      </c>
      <c r="M2853" t="s">
        <v>31</v>
      </c>
      <c r="N2853">
        <f t="shared" si="44"/>
        <v>6</v>
      </c>
    </row>
    <row r="2854" spans="12:14">
      <c r="L2854">
        <v>4428</v>
      </c>
      <c r="N2854" t="str">
        <f t="shared" si="44"/>
        <v/>
      </c>
    </row>
    <row r="2855" spans="12:14">
      <c r="L2855">
        <v>4170</v>
      </c>
      <c r="N2855" t="str">
        <f t="shared" si="44"/>
        <v/>
      </c>
    </row>
    <row r="2856" spans="12:14">
      <c r="L2856">
        <v>1891</v>
      </c>
      <c r="M2856" t="s">
        <v>28</v>
      </c>
      <c r="N2856">
        <f t="shared" si="44"/>
        <v>3</v>
      </c>
    </row>
    <row r="2857" spans="12:14">
      <c r="L2857">
        <v>260</v>
      </c>
      <c r="M2857" t="s">
        <v>25</v>
      </c>
      <c r="N2857">
        <f t="shared" si="44"/>
        <v>5</v>
      </c>
    </row>
    <row r="2858" spans="12:14">
      <c r="L2858">
        <v>4389</v>
      </c>
      <c r="N2858" t="str">
        <f t="shared" si="44"/>
        <v/>
      </c>
    </row>
    <row r="2859" spans="12:14">
      <c r="L2859">
        <v>2223</v>
      </c>
      <c r="N2859" t="str">
        <f t="shared" si="44"/>
        <v/>
      </c>
    </row>
    <row r="2860" spans="12:14">
      <c r="L2860">
        <v>1568</v>
      </c>
      <c r="M2860" t="s">
        <v>25</v>
      </c>
      <c r="N2860">
        <f t="shared" si="44"/>
        <v>5</v>
      </c>
    </row>
    <row r="2861" spans="12:14">
      <c r="L2861">
        <v>3402</v>
      </c>
      <c r="N2861" t="str">
        <f t="shared" si="44"/>
        <v/>
      </c>
    </row>
    <row r="2862" spans="12:14">
      <c r="L2862">
        <v>912</v>
      </c>
      <c r="N2862" t="str">
        <f t="shared" si="44"/>
        <v/>
      </c>
    </row>
    <row r="2863" spans="12:14">
      <c r="L2863">
        <v>4531</v>
      </c>
      <c r="M2863" t="s">
        <v>26</v>
      </c>
      <c r="N2863">
        <f t="shared" si="44"/>
        <v>1</v>
      </c>
    </row>
    <row r="2864" spans="12:14">
      <c r="L2864">
        <v>4681</v>
      </c>
      <c r="M2864" t="s">
        <v>30</v>
      </c>
      <c r="N2864">
        <f t="shared" si="44"/>
        <v>7</v>
      </c>
    </row>
    <row r="2865" spans="12:14">
      <c r="L2865">
        <v>1413</v>
      </c>
      <c r="M2865" t="s">
        <v>30</v>
      </c>
      <c r="N2865">
        <f t="shared" si="44"/>
        <v>7</v>
      </c>
    </row>
    <row r="2866" spans="12:14">
      <c r="L2866">
        <v>310</v>
      </c>
      <c r="M2866" t="s">
        <v>26</v>
      </c>
      <c r="N2866">
        <f t="shared" si="44"/>
        <v>1</v>
      </c>
    </row>
    <row r="2867" spans="12:14">
      <c r="L2867">
        <v>993</v>
      </c>
      <c r="N2867" t="str">
        <f t="shared" si="44"/>
        <v/>
      </c>
    </row>
    <row r="2868" spans="12:14">
      <c r="L2868">
        <v>639</v>
      </c>
      <c r="N2868" t="str">
        <f t="shared" si="44"/>
        <v/>
      </c>
    </row>
    <row r="2869" spans="12:14">
      <c r="L2869">
        <v>1937</v>
      </c>
      <c r="N2869" t="str">
        <f t="shared" si="44"/>
        <v/>
      </c>
    </row>
    <row r="2870" spans="12:14">
      <c r="L2870">
        <v>4006</v>
      </c>
      <c r="N2870" t="str">
        <f t="shared" si="44"/>
        <v/>
      </c>
    </row>
    <row r="2871" spans="12:14">
      <c r="L2871">
        <v>927</v>
      </c>
      <c r="N2871" t="str">
        <f t="shared" si="44"/>
        <v/>
      </c>
    </row>
    <row r="2872" spans="12:14">
      <c r="L2872">
        <v>2597</v>
      </c>
      <c r="N2872" t="str">
        <f t="shared" si="44"/>
        <v/>
      </c>
    </row>
    <row r="2873" spans="12:14">
      <c r="L2873">
        <v>4032</v>
      </c>
      <c r="N2873" t="str">
        <f t="shared" si="44"/>
        <v/>
      </c>
    </row>
    <row r="2874" spans="12:14">
      <c r="L2874">
        <v>3755</v>
      </c>
      <c r="N2874" t="str">
        <f t="shared" si="44"/>
        <v/>
      </c>
    </row>
    <row r="2875" spans="12:14">
      <c r="L2875">
        <v>3053</v>
      </c>
      <c r="N2875" t="str">
        <f t="shared" si="44"/>
        <v/>
      </c>
    </row>
    <row r="2876" spans="12:14">
      <c r="L2876">
        <v>3145</v>
      </c>
      <c r="M2876" t="s">
        <v>28</v>
      </c>
      <c r="N2876">
        <f t="shared" si="44"/>
        <v>3</v>
      </c>
    </row>
    <row r="2877" spans="12:14">
      <c r="L2877">
        <v>2005</v>
      </c>
      <c r="N2877" t="str">
        <f t="shared" si="44"/>
        <v/>
      </c>
    </row>
    <row r="2878" spans="12:14">
      <c r="L2878">
        <v>2618</v>
      </c>
      <c r="N2878" t="str">
        <f t="shared" si="44"/>
        <v/>
      </c>
    </row>
    <row r="2879" spans="12:14">
      <c r="L2879">
        <v>3347</v>
      </c>
      <c r="N2879" t="str">
        <f t="shared" si="44"/>
        <v/>
      </c>
    </row>
    <row r="2880" spans="12:14">
      <c r="L2880">
        <v>3066</v>
      </c>
      <c r="N2880" t="str">
        <f t="shared" si="44"/>
        <v/>
      </c>
    </row>
    <row r="2881" spans="12:14">
      <c r="L2881">
        <v>2681</v>
      </c>
      <c r="N2881" t="str">
        <f t="shared" si="44"/>
        <v/>
      </c>
    </row>
    <row r="2882" spans="12:14">
      <c r="L2882">
        <v>3368</v>
      </c>
      <c r="N2882" t="str">
        <f t="shared" si="44"/>
        <v/>
      </c>
    </row>
    <row r="2883" spans="12:14">
      <c r="L2883">
        <v>1261</v>
      </c>
      <c r="N2883" t="str">
        <f t="shared" ref="N2883:N2946" si="45">IFERROR(VLOOKUP(M2883,$A$3:$B$10,2,0),"")</f>
        <v/>
      </c>
    </row>
    <row r="2884" spans="12:14">
      <c r="L2884">
        <v>3362</v>
      </c>
      <c r="N2884" t="str">
        <f t="shared" si="45"/>
        <v/>
      </c>
    </row>
    <row r="2885" spans="12:14">
      <c r="L2885">
        <v>3523</v>
      </c>
      <c r="N2885" t="str">
        <f t="shared" si="45"/>
        <v/>
      </c>
    </row>
    <row r="2886" spans="12:14">
      <c r="L2886">
        <v>3074</v>
      </c>
      <c r="N2886" t="str">
        <f t="shared" si="45"/>
        <v/>
      </c>
    </row>
    <row r="2887" spans="12:14">
      <c r="L2887">
        <v>4131</v>
      </c>
      <c r="N2887" t="str">
        <f t="shared" si="45"/>
        <v/>
      </c>
    </row>
    <row r="2888" spans="12:14">
      <c r="L2888">
        <v>3912</v>
      </c>
      <c r="N2888" t="str">
        <f t="shared" si="45"/>
        <v/>
      </c>
    </row>
    <row r="2889" spans="12:14">
      <c r="L2889">
        <v>2451</v>
      </c>
      <c r="M2889" t="s">
        <v>26</v>
      </c>
      <c r="N2889">
        <f t="shared" si="45"/>
        <v>1</v>
      </c>
    </row>
    <row r="2890" spans="12:14">
      <c r="L2890">
        <v>1145</v>
      </c>
      <c r="N2890" t="str">
        <f t="shared" si="45"/>
        <v/>
      </c>
    </row>
    <row r="2891" spans="12:14">
      <c r="L2891">
        <v>4600</v>
      </c>
      <c r="N2891" t="str">
        <f t="shared" si="45"/>
        <v/>
      </c>
    </row>
    <row r="2892" spans="12:14">
      <c r="L2892">
        <v>872</v>
      </c>
      <c r="N2892" t="str">
        <f t="shared" si="45"/>
        <v/>
      </c>
    </row>
    <row r="2893" spans="12:14">
      <c r="L2893">
        <v>3975</v>
      </c>
      <c r="N2893" t="str">
        <f t="shared" si="45"/>
        <v/>
      </c>
    </row>
    <row r="2894" spans="12:14">
      <c r="L2894">
        <v>62</v>
      </c>
      <c r="M2894" t="s">
        <v>29</v>
      </c>
      <c r="N2894">
        <f t="shared" si="45"/>
        <v>4</v>
      </c>
    </row>
    <row r="2895" spans="12:14">
      <c r="L2895">
        <v>3121</v>
      </c>
      <c r="N2895" t="str">
        <f t="shared" si="45"/>
        <v/>
      </c>
    </row>
    <row r="2896" spans="12:14">
      <c r="L2896">
        <v>126</v>
      </c>
      <c r="N2896" t="str">
        <f t="shared" si="45"/>
        <v/>
      </c>
    </row>
    <row r="2897" spans="12:14">
      <c r="L2897">
        <v>2899</v>
      </c>
      <c r="N2897" t="str">
        <f t="shared" si="45"/>
        <v/>
      </c>
    </row>
    <row r="2898" spans="12:14">
      <c r="L2898">
        <v>3352</v>
      </c>
      <c r="M2898" t="s">
        <v>29</v>
      </c>
      <c r="N2898">
        <f t="shared" si="45"/>
        <v>4</v>
      </c>
    </row>
    <row r="2899" spans="12:14">
      <c r="L2899">
        <v>1566</v>
      </c>
      <c r="N2899" t="str">
        <f t="shared" si="45"/>
        <v/>
      </c>
    </row>
    <row r="2900" spans="12:14">
      <c r="L2900">
        <v>2203</v>
      </c>
      <c r="N2900" t="str">
        <f t="shared" si="45"/>
        <v/>
      </c>
    </row>
    <row r="2901" spans="12:14">
      <c r="L2901">
        <v>2919</v>
      </c>
      <c r="M2901" t="s">
        <v>28</v>
      </c>
      <c r="N2901">
        <f t="shared" si="45"/>
        <v>3</v>
      </c>
    </row>
    <row r="2902" spans="12:14">
      <c r="L2902">
        <v>3047</v>
      </c>
      <c r="N2902" t="str">
        <f t="shared" si="45"/>
        <v/>
      </c>
    </row>
    <row r="2903" spans="12:14">
      <c r="L2903">
        <v>1211</v>
      </c>
      <c r="N2903" t="str">
        <f t="shared" si="45"/>
        <v/>
      </c>
    </row>
    <row r="2904" spans="12:14">
      <c r="L2904">
        <v>925</v>
      </c>
      <c r="M2904" t="s">
        <v>31</v>
      </c>
      <c r="N2904">
        <f t="shared" si="45"/>
        <v>6</v>
      </c>
    </row>
    <row r="2905" spans="12:14">
      <c r="L2905">
        <v>453</v>
      </c>
      <c r="N2905" t="str">
        <f t="shared" si="45"/>
        <v/>
      </c>
    </row>
    <row r="2906" spans="12:14">
      <c r="L2906">
        <v>98</v>
      </c>
      <c r="M2906" t="s">
        <v>30</v>
      </c>
      <c r="N2906">
        <f t="shared" si="45"/>
        <v>7</v>
      </c>
    </row>
    <row r="2907" spans="12:14">
      <c r="L2907">
        <v>1076</v>
      </c>
      <c r="N2907" t="str">
        <f t="shared" si="45"/>
        <v/>
      </c>
    </row>
    <row r="2908" spans="12:14">
      <c r="L2908">
        <v>3490</v>
      </c>
      <c r="M2908" t="s">
        <v>29</v>
      </c>
      <c r="N2908">
        <f t="shared" si="45"/>
        <v>4</v>
      </c>
    </row>
    <row r="2909" spans="12:14">
      <c r="L2909">
        <v>4595</v>
      </c>
      <c r="M2909" t="s">
        <v>30</v>
      </c>
      <c r="N2909">
        <f t="shared" si="45"/>
        <v>7</v>
      </c>
    </row>
    <row r="2910" spans="12:14">
      <c r="L2910">
        <v>3154</v>
      </c>
      <c r="N2910" t="str">
        <f t="shared" si="45"/>
        <v/>
      </c>
    </row>
    <row r="2911" spans="12:14">
      <c r="L2911">
        <v>4931</v>
      </c>
      <c r="N2911" t="str">
        <f t="shared" si="45"/>
        <v/>
      </c>
    </row>
    <row r="2912" spans="12:14">
      <c r="L2912">
        <v>3980</v>
      </c>
      <c r="M2912" t="s">
        <v>28</v>
      </c>
      <c r="N2912">
        <f t="shared" si="45"/>
        <v>3</v>
      </c>
    </row>
    <row r="2913" spans="12:14">
      <c r="L2913">
        <v>692</v>
      </c>
      <c r="N2913" t="str">
        <f t="shared" si="45"/>
        <v/>
      </c>
    </row>
    <row r="2914" spans="12:14">
      <c r="L2914">
        <v>1346</v>
      </c>
      <c r="N2914" t="str">
        <f t="shared" si="45"/>
        <v/>
      </c>
    </row>
    <row r="2915" spans="12:14">
      <c r="L2915">
        <v>4046</v>
      </c>
      <c r="N2915" t="str">
        <f t="shared" si="45"/>
        <v/>
      </c>
    </row>
    <row r="2916" spans="12:14">
      <c r="L2916">
        <v>4537</v>
      </c>
      <c r="N2916" t="str">
        <f t="shared" si="45"/>
        <v/>
      </c>
    </row>
    <row r="2917" spans="12:14">
      <c r="L2917">
        <v>4970</v>
      </c>
      <c r="N2917" t="str">
        <f t="shared" si="45"/>
        <v/>
      </c>
    </row>
    <row r="2918" spans="12:14">
      <c r="L2918">
        <v>805</v>
      </c>
      <c r="N2918" t="str">
        <f t="shared" si="45"/>
        <v/>
      </c>
    </row>
    <row r="2919" spans="12:14">
      <c r="L2919">
        <v>1734</v>
      </c>
      <c r="N2919" t="str">
        <f t="shared" si="45"/>
        <v/>
      </c>
    </row>
    <row r="2920" spans="12:14">
      <c r="L2920">
        <v>2130</v>
      </c>
      <c r="N2920" t="str">
        <f t="shared" si="45"/>
        <v/>
      </c>
    </row>
    <row r="2921" spans="12:14">
      <c r="L2921">
        <v>4102</v>
      </c>
      <c r="N2921" t="str">
        <f t="shared" si="45"/>
        <v/>
      </c>
    </row>
    <row r="2922" spans="12:14">
      <c r="L2922">
        <v>3438</v>
      </c>
      <c r="N2922" t="str">
        <f t="shared" si="45"/>
        <v/>
      </c>
    </row>
    <row r="2923" spans="12:14">
      <c r="L2923">
        <v>2228</v>
      </c>
      <c r="N2923" t="str">
        <f t="shared" si="45"/>
        <v/>
      </c>
    </row>
    <row r="2924" spans="12:14">
      <c r="L2924">
        <v>4923</v>
      </c>
      <c r="N2924" t="str">
        <f t="shared" si="45"/>
        <v/>
      </c>
    </row>
    <row r="2925" spans="12:14">
      <c r="L2925">
        <v>3730</v>
      </c>
      <c r="M2925" t="s">
        <v>26</v>
      </c>
      <c r="N2925">
        <f t="shared" si="45"/>
        <v>1</v>
      </c>
    </row>
    <row r="2926" spans="12:14">
      <c r="L2926">
        <v>4524</v>
      </c>
      <c r="N2926" t="str">
        <f t="shared" si="45"/>
        <v/>
      </c>
    </row>
    <row r="2927" spans="12:14">
      <c r="L2927">
        <v>4337</v>
      </c>
      <c r="N2927" t="str">
        <f t="shared" si="45"/>
        <v/>
      </c>
    </row>
    <row r="2928" spans="12:14">
      <c r="L2928">
        <v>850</v>
      </c>
      <c r="M2928" t="s">
        <v>26</v>
      </c>
      <c r="N2928">
        <f t="shared" si="45"/>
        <v>1</v>
      </c>
    </row>
    <row r="2929" spans="12:14">
      <c r="L2929">
        <v>1032</v>
      </c>
      <c r="N2929" t="str">
        <f t="shared" si="45"/>
        <v/>
      </c>
    </row>
    <row r="2930" spans="12:14">
      <c r="L2930">
        <v>977</v>
      </c>
      <c r="N2930" t="str">
        <f t="shared" si="45"/>
        <v/>
      </c>
    </row>
    <row r="2931" spans="12:14">
      <c r="L2931">
        <v>950</v>
      </c>
      <c r="M2931" t="s">
        <v>29</v>
      </c>
      <c r="N2931">
        <f t="shared" si="45"/>
        <v>4</v>
      </c>
    </row>
    <row r="2932" spans="12:14">
      <c r="L2932">
        <v>4352</v>
      </c>
      <c r="M2932" t="s">
        <v>31</v>
      </c>
      <c r="N2932">
        <f t="shared" si="45"/>
        <v>6</v>
      </c>
    </row>
    <row r="2933" spans="12:14">
      <c r="L2933">
        <v>3767</v>
      </c>
      <c r="M2933" t="s">
        <v>29</v>
      </c>
      <c r="N2933">
        <f t="shared" si="45"/>
        <v>4</v>
      </c>
    </row>
    <row r="2934" spans="12:14">
      <c r="L2934">
        <v>4501</v>
      </c>
      <c r="M2934" t="s">
        <v>25</v>
      </c>
      <c r="N2934">
        <f t="shared" si="45"/>
        <v>5</v>
      </c>
    </row>
    <row r="2935" spans="12:14">
      <c r="L2935">
        <v>3339</v>
      </c>
      <c r="M2935" t="s">
        <v>31</v>
      </c>
      <c r="N2935">
        <f t="shared" si="45"/>
        <v>6</v>
      </c>
    </row>
    <row r="2936" spans="12:14">
      <c r="L2936">
        <v>3793</v>
      </c>
      <c r="N2936" t="str">
        <f t="shared" si="45"/>
        <v/>
      </c>
    </row>
    <row r="2937" spans="12:14">
      <c r="L2937">
        <v>3063</v>
      </c>
      <c r="N2937" t="str">
        <f t="shared" si="45"/>
        <v/>
      </c>
    </row>
    <row r="2938" spans="12:14">
      <c r="L2938">
        <v>3075</v>
      </c>
      <c r="N2938" t="str">
        <f t="shared" si="45"/>
        <v/>
      </c>
    </row>
    <row r="2939" spans="12:14">
      <c r="L2939">
        <v>1953</v>
      </c>
      <c r="N2939" t="str">
        <f t="shared" si="45"/>
        <v/>
      </c>
    </row>
    <row r="2940" spans="12:14">
      <c r="L2940">
        <v>4286</v>
      </c>
      <c r="M2940" t="s">
        <v>31</v>
      </c>
      <c r="N2940">
        <f t="shared" si="45"/>
        <v>6</v>
      </c>
    </row>
    <row r="2941" spans="12:14">
      <c r="L2941">
        <v>2692</v>
      </c>
      <c r="M2941" t="s">
        <v>26</v>
      </c>
      <c r="N2941">
        <f t="shared" si="45"/>
        <v>1</v>
      </c>
    </row>
    <row r="2942" spans="12:14">
      <c r="L2942">
        <v>712</v>
      </c>
      <c r="N2942" t="str">
        <f t="shared" si="45"/>
        <v/>
      </c>
    </row>
    <row r="2943" spans="12:14">
      <c r="L2943">
        <v>3464</v>
      </c>
      <c r="N2943" t="str">
        <f t="shared" si="45"/>
        <v/>
      </c>
    </row>
    <row r="2944" spans="12:14">
      <c r="L2944">
        <v>4300</v>
      </c>
      <c r="M2944" t="s">
        <v>31</v>
      </c>
      <c r="N2944">
        <f t="shared" si="45"/>
        <v>6</v>
      </c>
    </row>
    <row r="2945" spans="12:14">
      <c r="L2945">
        <v>4717</v>
      </c>
      <c r="N2945" t="str">
        <f t="shared" si="45"/>
        <v/>
      </c>
    </row>
    <row r="2946" spans="12:14">
      <c r="L2946">
        <v>3649</v>
      </c>
      <c r="N2946" t="str">
        <f t="shared" si="45"/>
        <v/>
      </c>
    </row>
    <row r="2947" spans="12:14">
      <c r="L2947">
        <v>980</v>
      </c>
      <c r="N2947" t="str">
        <f t="shared" ref="N2947:N3010" si="46">IFERROR(VLOOKUP(M2947,$A$3:$B$10,2,0),"")</f>
        <v/>
      </c>
    </row>
    <row r="2948" spans="12:14">
      <c r="L2948">
        <v>1583</v>
      </c>
      <c r="N2948" t="str">
        <f t="shared" si="46"/>
        <v/>
      </c>
    </row>
    <row r="2949" spans="12:14">
      <c r="L2949">
        <v>3372</v>
      </c>
      <c r="N2949" t="str">
        <f t="shared" si="46"/>
        <v/>
      </c>
    </row>
    <row r="2950" spans="12:14">
      <c r="L2950">
        <v>4704</v>
      </c>
      <c r="N2950" t="str">
        <f t="shared" si="46"/>
        <v/>
      </c>
    </row>
    <row r="2951" spans="12:14">
      <c r="L2951">
        <v>55</v>
      </c>
      <c r="N2951" t="str">
        <f t="shared" si="46"/>
        <v/>
      </c>
    </row>
    <row r="2952" spans="12:14">
      <c r="L2952">
        <v>2249</v>
      </c>
      <c r="N2952" t="str">
        <f t="shared" si="46"/>
        <v/>
      </c>
    </row>
    <row r="2953" spans="12:14">
      <c r="L2953">
        <v>4423</v>
      </c>
      <c r="M2953" t="s">
        <v>25</v>
      </c>
      <c r="N2953">
        <f t="shared" si="46"/>
        <v>5</v>
      </c>
    </row>
    <row r="2954" spans="12:14">
      <c r="L2954">
        <v>4869</v>
      </c>
      <c r="M2954" t="s">
        <v>31</v>
      </c>
      <c r="N2954">
        <f t="shared" si="46"/>
        <v>6</v>
      </c>
    </row>
    <row r="2955" spans="12:14">
      <c r="L2955">
        <v>4</v>
      </c>
      <c r="M2955" t="s">
        <v>29</v>
      </c>
      <c r="N2955">
        <f t="shared" si="46"/>
        <v>4</v>
      </c>
    </row>
    <row r="2956" spans="12:14">
      <c r="L2956">
        <v>5000</v>
      </c>
      <c r="M2956" t="s">
        <v>30</v>
      </c>
      <c r="N2956">
        <f t="shared" si="46"/>
        <v>7</v>
      </c>
    </row>
    <row r="2957" spans="12:14">
      <c r="L2957">
        <v>4584</v>
      </c>
      <c r="N2957" t="str">
        <f t="shared" si="46"/>
        <v/>
      </c>
    </row>
    <row r="2958" spans="12:14">
      <c r="L2958">
        <v>1884</v>
      </c>
      <c r="M2958" t="s">
        <v>29</v>
      </c>
      <c r="N2958">
        <f t="shared" si="46"/>
        <v>4</v>
      </c>
    </row>
    <row r="2959" spans="12:14">
      <c r="L2959">
        <v>1478</v>
      </c>
      <c r="N2959" t="str">
        <f t="shared" si="46"/>
        <v/>
      </c>
    </row>
    <row r="2960" spans="12:14">
      <c r="L2960">
        <v>2188</v>
      </c>
      <c r="N2960" t="str">
        <f t="shared" si="46"/>
        <v/>
      </c>
    </row>
    <row r="2961" spans="12:14">
      <c r="L2961">
        <v>2443</v>
      </c>
      <c r="N2961" t="str">
        <f t="shared" si="46"/>
        <v/>
      </c>
    </row>
    <row r="2962" spans="12:14">
      <c r="L2962">
        <v>432</v>
      </c>
      <c r="N2962" t="str">
        <f t="shared" si="46"/>
        <v/>
      </c>
    </row>
    <row r="2963" spans="12:14">
      <c r="L2963">
        <v>1991</v>
      </c>
      <c r="N2963" t="str">
        <f t="shared" si="46"/>
        <v/>
      </c>
    </row>
    <row r="2964" spans="12:14">
      <c r="L2964">
        <v>4363</v>
      </c>
      <c r="N2964" t="str">
        <f t="shared" si="46"/>
        <v/>
      </c>
    </row>
    <row r="2965" spans="12:14">
      <c r="L2965">
        <v>2902</v>
      </c>
      <c r="N2965" t="str">
        <f t="shared" si="46"/>
        <v/>
      </c>
    </row>
    <row r="2966" spans="12:14">
      <c r="L2966">
        <v>1690</v>
      </c>
      <c r="M2966" t="s">
        <v>28</v>
      </c>
      <c r="N2966">
        <f t="shared" si="46"/>
        <v>3</v>
      </c>
    </row>
    <row r="2967" spans="12:14">
      <c r="L2967">
        <v>919</v>
      </c>
      <c r="N2967" t="str">
        <f t="shared" si="46"/>
        <v/>
      </c>
    </row>
    <row r="2968" spans="12:14">
      <c r="L2968">
        <v>1812</v>
      </c>
      <c r="N2968" t="str">
        <f t="shared" si="46"/>
        <v/>
      </c>
    </row>
    <row r="2969" spans="12:14">
      <c r="L2969">
        <v>2542</v>
      </c>
      <c r="N2969" t="str">
        <f t="shared" si="46"/>
        <v/>
      </c>
    </row>
    <row r="2970" spans="12:14">
      <c r="L2970">
        <v>3169</v>
      </c>
      <c r="M2970" t="s">
        <v>30</v>
      </c>
      <c r="N2970">
        <f t="shared" si="46"/>
        <v>7</v>
      </c>
    </row>
    <row r="2971" spans="12:14">
      <c r="L2971">
        <v>3421</v>
      </c>
      <c r="N2971" t="str">
        <f t="shared" si="46"/>
        <v/>
      </c>
    </row>
    <row r="2972" spans="12:14">
      <c r="L2972">
        <v>4063</v>
      </c>
      <c r="M2972" t="s">
        <v>26</v>
      </c>
      <c r="N2972">
        <f t="shared" si="46"/>
        <v>1</v>
      </c>
    </row>
    <row r="2973" spans="12:14">
      <c r="L2973">
        <v>1510</v>
      </c>
      <c r="N2973" t="str">
        <f t="shared" si="46"/>
        <v/>
      </c>
    </row>
    <row r="2974" spans="12:14">
      <c r="L2974">
        <v>4622</v>
      </c>
      <c r="N2974" t="str">
        <f t="shared" si="46"/>
        <v/>
      </c>
    </row>
    <row r="2975" spans="12:14">
      <c r="L2975">
        <v>4849</v>
      </c>
      <c r="N2975" t="str">
        <f t="shared" si="46"/>
        <v/>
      </c>
    </row>
    <row r="2976" spans="12:14">
      <c r="L2976">
        <v>4939</v>
      </c>
      <c r="N2976" t="str">
        <f t="shared" si="46"/>
        <v/>
      </c>
    </row>
    <row r="2977" spans="12:14">
      <c r="L2977">
        <v>3323</v>
      </c>
      <c r="N2977" t="str">
        <f t="shared" si="46"/>
        <v/>
      </c>
    </row>
    <row r="2978" spans="12:14">
      <c r="L2978">
        <v>3588</v>
      </c>
      <c r="N2978" t="str">
        <f t="shared" si="46"/>
        <v/>
      </c>
    </row>
    <row r="2979" spans="12:14">
      <c r="L2979">
        <v>3423</v>
      </c>
      <c r="M2979" t="s">
        <v>25</v>
      </c>
      <c r="N2979">
        <f t="shared" si="46"/>
        <v>5</v>
      </c>
    </row>
    <row r="2980" spans="12:14">
      <c r="L2980">
        <v>2493</v>
      </c>
      <c r="N2980" t="str">
        <f t="shared" si="46"/>
        <v/>
      </c>
    </row>
    <row r="2981" spans="12:14">
      <c r="L2981">
        <v>158</v>
      </c>
      <c r="N2981" t="str">
        <f t="shared" si="46"/>
        <v/>
      </c>
    </row>
    <row r="2982" spans="12:14">
      <c r="L2982">
        <v>767</v>
      </c>
      <c r="M2982" t="s">
        <v>28</v>
      </c>
      <c r="N2982">
        <f t="shared" si="46"/>
        <v>3</v>
      </c>
    </row>
    <row r="2983" spans="12:14">
      <c r="L2983">
        <v>2502</v>
      </c>
      <c r="N2983" t="str">
        <f t="shared" si="46"/>
        <v/>
      </c>
    </row>
    <row r="2984" spans="12:14">
      <c r="L2984">
        <v>4238</v>
      </c>
      <c r="M2984" t="s">
        <v>28</v>
      </c>
      <c r="N2984">
        <f t="shared" si="46"/>
        <v>3</v>
      </c>
    </row>
    <row r="2985" spans="12:14">
      <c r="L2985">
        <v>257</v>
      </c>
      <c r="M2985" t="s">
        <v>29</v>
      </c>
      <c r="N2985">
        <f t="shared" si="46"/>
        <v>4</v>
      </c>
    </row>
    <row r="2986" spans="12:14">
      <c r="L2986">
        <v>4816</v>
      </c>
      <c r="M2986" t="s">
        <v>29</v>
      </c>
      <c r="N2986">
        <f t="shared" si="46"/>
        <v>4</v>
      </c>
    </row>
    <row r="2987" spans="12:14">
      <c r="L2987">
        <v>3802</v>
      </c>
      <c r="N2987" t="str">
        <f t="shared" si="46"/>
        <v/>
      </c>
    </row>
    <row r="2988" spans="12:14">
      <c r="L2988">
        <v>1656</v>
      </c>
      <c r="N2988" t="str">
        <f t="shared" si="46"/>
        <v/>
      </c>
    </row>
    <row r="2989" spans="12:14">
      <c r="L2989">
        <v>2023</v>
      </c>
      <c r="N2989" t="str">
        <f t="shared" si="46"/>
        <v/>
      </c>
    </row>
    <row r="2990" spans="12:14">
      <c r="L2990">
        <v>3157</v>
      </c>
      <c r="M2990" t="s">
        <v>25</v>
      </c>
      <c r="N2990">
        <f t="shared" si="46"/>
        <v>5</v>
      </c>
    </row>
    <row r="2991" spans="12:14">
      <c r="L2991">
        <v>3516</v>
      </c>
      <c r="N2991" t="str">
        <f t="shared" si="46"/>
        <v/>
      </c>
    </row>
    <row r="2992" spans="12:14">
      <c r="L2992">
        <v>4246</v>
      </c>
      <c r="N2992" t="str">
        <f t="shared" si="46"/>
        <v/>
      </c>
    </row>
    <row r="2993" spans="12:14">
      <c r="L2993">
        <v>4858</v>
      </c>
      <c r="M2993" t="s">
        <v>30</v>
      </c>
      <c r="N2993">
        <f t="shared" si="46"/>
        <v>7</v>
      </c>
    </row>
    <row r="2994" spans="12:14">
      <c r="L2994">
        <v>3886</v>
      </c>
      <c r="N2994" t="str">
        <f t="shared" si="46"/>
        <v/>
      </c>
    </row>
    <row r="2995" spans="12:14">
      <c r="L2995">
        <v>3723</v>
      </c>
      <c r="N2995" t="str">
        <f t="shared" si="46"/>
        <v/>
      </c>
    </row>
    <row r="2996" spans="12:14">
      <c r="L2996">
        <v>3931</v>
      </c>
      <c r="N2996" t="str">
        <f t="shared" si="46"/>
        <v/>
      </c>
    </row>
    <row r="2997" spans="12:14">
      <c r="L2997">
        <v>1420</v>
      </c>
      <c r="N2997" t="str">
        <f t="shared" si="46"/>
        <v/>
      </c>
    </row>
    <row r="2998" spans="12:14">
      <c r="L2998">
        <v>4322</v>
      </c>
      <c r="M2998" t="s">
        <v>29</v>
      </c>
      <c r="N2998">
        <f t="shared" si="46"/>
        <v>4</v>
      </c>
    </row>
    <row r="2999" spans="12:14">
      <c r="L2999">
        <v>3854</v>
      </c>
      <c r="N2999" t="str">
        <f t="shared" si="46"/>
        <v/>
      </c>
    </row>
    <row r="3000" spans="12:14">
      <c r="L3000">
        <v>972</v>
      </c>
      <c r="N3000" t="str">
        <f t="shared" si="46"/>
        <v/>
      </c>
    </row>
    <row r="3001" spans="12:14">
      <c r="L3001">
        <v>3839</v>
      </c>
      <c r="N3001" t="str">
        <f t="shared" si="46"/>
        <v/>
      </c>
    </row>
    <row r="3002" spans="12:14">
      <c r="L3002">
        <v>807</v>
      </c>
      <c r="M3002" t="s">
        <v>31</v>
      </c>
      <c r="N3002">
        <f t="shared" si="46"/>
        <v>6</v>
      </c>
    </row>
    <row r="3003" spans="12:14">
      <c r="L3003">
        <v>179</v>
      </c>
      <c r="N3003" t="str">
        <f t="shared" si="46"/>
        <v/>
      </c>
    </row>
    <row r="3004" spans="12:14">
      <c r="L3004">
        <v>1302</v>
      </c>
      <c r="N3004" t="str">
        <f t="shared" si="46"/>
        <v/>
      </c>
    </row>
    <row r="3005" spans="12:14">
      <c r="L3005">
        <v>2186</v>
      </c>
      <c r="M3005" t="s">
        <v>19</v>
      </c>
      <c r="N3005">
        <f t="shared" si="46"/>
        <v>2</v>
      </c>
    </row>
    <row r="3006" spans="12:14">
      <c r="L3006">
        <v>1186</v>
      </c>
      <c r="N3006" t="str">
        <f t="shared" si="46"/>
        <v/>
      </c>
    </row>
    <row r="3007" spans="12:14">
      <c r="L3007">
        <v>721</v>
      </c>
      <c r="M3007" t="s">
        <v>26</v>
      </c>
      <c r="N3007">
        <f t="shared" si="46"/>
        <v>1</v>
      </c>
    </row>
    <row r="3008" spans="12:14">
      <c r="L3008">
        <v>1866</v>
      </c>
      <c r="N3008" t="str">
        <f t="shared" si="46"/>
        <v/>
      </c>
    </row>
    <row r="3009" spans="12:14">
      <c r="L3009">
        <v>1416</v>
      </c>
      <c r="N3009" t="str">
        <f t="shared" si="46"/>
        <v/>
      </c>
    </row>
    <row r="3010" spans="12:14">
      <c r="L3010">
        <v>1522</v>
      </c>
      <c r="N3010" t="str">
        <f t="shared" si="46"/>
        <v/>
      </c>
    </row>
    <row r="3011" spans="12:14">
      <c r="L3011">
        <v>4581</v>
      </c>
      <c r="N3011" t="str">
        <f t="shared" ref="N3011:N3074" si="47">IFERROR(VLOOKUP(M3011,$A$3:$B$10,2,0),"")</f>
        <v/>
      </c>
    </row>
    <row r="3012" spans="12:14">
      <c r="L3012">
        <v>4051</v>
      </c>
      <c r="N3012" t="str">
        <f t="shared" si="47"/>
        <v/>
      </c>
    </row>
    <row r="3013" spans="12:14">
      <c r="L3013">
        <v>3786</v>
      </c>
      <c r="M3013" t="s">
        <v>25</v>
      </c>
      <c r="N3013">
        <f t="shared" si="47"/>
        <v>5</v>
      </c>
    </row>
    <row r="3014" spans="12:14">
      <c r="L3014">
        <v>4667</v>
      </c>
      <c r="N3014" t="str">
        <f t="shared" si="47"/>
        <v/>
      </c>
    </row>
    <row r="3015" spans="12:14">
      <c r="L3015">
        <v>3034</v>
      </c>
      <c r="N3015" t="str">
        <f t="shared" si="47"/>
        <v/>
      </c>
    </row>
    <row r="3016" spans="12:14">
      <c r="L3016">
        <v>2616</v>
      </c>
      <c r="N3016" t="str">
        <f t="shared" si="47"/>
        <v/>
      </c>
    </row>
    <row r="3017" spans="12:14">
      <c r="L3017">
        <v>2855</v>
      </c>
      <c r="M3017" t="s">
        <v>30</v>
      </c>
      <c r="N3017">
        <f t="shared" si="47"/>
        <v>7</v>
      </c>
    </row>
    <row r="3018" spans="12:14">
      <c r="L3018">
        <v>3945</v>
      </c>
      <c r="M3018" t="s">
        <v>25</v>
      </c>
      <c r="N3018">
        <f t="shared" si="47"/>
        <v>5</v>
      </c>
    </row>
    <row r="3019" spans="12:14">
      <c r="L3019">
        <v>3098</v>
      </c>
      <c r="N3019" t="str">
        <f t="shared" si="47"/>
        <v/>
      </c>
    </row>
    <row r="3020" spans="12:14">
      <c r="L3020">
        <v>2087</v>
      </c>
      <c r="N3020" t="str">
        <f t="shared" si="47"/>
        <v/>
      </c>
    </row>
    <row r="3021" spans="12:14">
      <c r="L3021">
        <v>4147</v>
      </c>
      <c r="N3021" t="str">
        <f t="shared" si="47"/>
        <v/>
      </c>
    </row>
    <row r="3022" spans="12:14">
      <c r="L3022">
        <v>3168</v>
      </c>
      <c r="N3022" t="str">
        <f t="shared" si="47"/>
        <v/>
      </c>
    </row>
    <row r="3023" spans="12:14">
      <c r="L3023">
        <v>1524</v>
      </c>
      <c r="N3023" t="str">
        <f t="shared" si="47"/>
        <v/>
      </c>
    </row>
    <row r="3024" spans="12:14">
      <c r="L3024">
        <v>2642</v>
      </c>
      <c r="N3024" t="str">
        <f t="shared" si="47"/>
        <v/>
      </c>
    </row>
    <row r="3025" spans="12:14">
      <c r="L3025">
        <v>434</v>
      </c>
      <c r="N3025" t="str">
        <f t="shared" si="47"/>
        <v/>
      </c>
    </row>
    <row r="3026" spans="12:14">
      <c r="L3026">
        <v>1276</v>
      </c>
      <c r="N3026" t="str">
        <f t="shared" si="47"/>
        <v/>
      </c>
    </row>
    <row r="3027" spans="12:14">
      <c r="L3027">
        <v>1298</v>
      </c>
      <c r="N3027" t="str">
        <f t="shared" si="47"/>
        <v/>
      </c>
    </row>
    <row r="3028" spans="12:14">
      <c r="L3028">
        <v>1594</v>
      </c>
      <c r="M3028" t="s">
        <v>25</v>
      </c>
      <c r="N3028">
        <f t="shared" si="47"/>
        <v>5</v>
      </c>
    </row>
    <row r="3029" spans="12:14">
      <c r="L3029">
        <v>2155</v>
      </c>
      <c r="N3029" t="str">
        <f t="shared" si="47"/>
        <v/>
      </c>
    </row>
    <row r="3030" spans="12:14">
      <c r="L3030">
        <v>207</v>
      </c>
      <c r="N3030" t="str">
        <f t="shared" si="47"/>
        <v/>
      </c>
    </row>
    <row r="3031" spans="12:14">
      <c r="L3031">
        <v>4211</v>
      </c>
      <c r="N3031" t="str">
        <f t="shared" si="47"/>
        <v/>
      </c>
    </row>
    <row r="3032" spans="12:14">
      <c r="L3032">
        <v>3798</v>
      </c>
      <c r="N3032" t="str">
        <f t="shared" si="47"/>
        <v/>
      </c>
    </row>
    <row r="3033" spans="12:14">
      <c r="L3033">
        <v>4066</v>
      </c>
      <c r="M3033" t="s">
        <v>26</v>
      </c>
      <c r="N3033">
        <f t="shared" si="47"/>
        <v>1</v>
      </c>
    </row>
    <row r="3034" spans="12:14">
      <c r="L3034">
        <v>665</v>
      </c>
      <c r="N3034" t="str">
        <f t="shared" si="47"/>
        <v/>
      </c>
    </row>
    <row r="3035" spans="12:14">
      <c r="L3035">
        <v>401</v>
      </c>
      <c r="N3035" t="str">
        <f t="shared" si="47"/>
        <v/>
      </c>
    </row>
    <row r="3036" spans="12:14">
      <c r="L3036">
        <v>2946</v>
      </c>
      <c r="M3036" t="s">
        <v>19</v>
      </c>
      <c r="N3036">
        <f t="shared" si="47"/>
        <v>2</v>
      </c>
    </row>
    <row r="3037" spans="12:14">
      <c r="L3037">
        <v>1185</v>
      </c>
      <c r="M3037" t="s">
        <v>31</v>
      </c>
      <c r="N3037">
        <f t="shared" si="47"/>
        <v>6</v>
      </c>
    </row>
    <row r="3038" spans="12:14">
      <c r="L3038">
        <v>3524</v>
      </c>
      <c r="N3038" t="str">
        <f t="shared" si="47"/>
        <v/>
      </c>
    </row>
    <row r="3039" spans="12:14">
      <c r="L3039">
        <v>884</v>
      </c>
      <c r="N3039" t="str">
        <f t="shared" si="47"/>
        <v/>
      </c>
    </row>
    <row r="3040" spans="12:14">
      <c r="L3040">
        <v>371</v>
      </c>
      <c r="N3040" t="str">
        <f t="shared" si="47"/>
        <v/>
      </c>
    </row>
    <row r="3041" spans="12:14">
      <c r="L3041">
        <v>3199</v>
      </c>
      <c r="N3041" t="str">
        <f t="shared" si="47"/>
        <v/>
      </c>
    </row>
    <row r="3042" spans="12:14">
      <c r="L3042">
        <v>3229</v>
      </c>
      <c r="N3042" t="str">
        <f t="shared" si="47"/>
        <v/>
      </c>
    </row>
    <row r="3043" spans="12:14">
      <c r="L3043">
        <v>2271</v>
      </c>
      <c r="N3043" t="str">
        <f t="shared" si="47"/>
        <v/>
      </c>
    </row>
    <row r="3044" spans="12:14">
      <c r="L3044">
        <v>1724</v>
      </c>
      <c r="N3044" t="str">
        <f t="shared" si="47"/>
        <v/>
      </c>
    </row>
    <row r="3045" spans="12:14">
      <c r="L3045">
        <v>2376</v>
      </c>
      <c r="M3045" t="s">
        <v>29</v>
      </c>
      <c r="N3045">
        <f t="shared" si="47"/>
        <v>4</v>
      </c>
    </row>
    <row r="3046" spans="12:14">
      <c r="L3046">
        <v>2608</v>
      </c>
      <c r="N3046" t="str">
        <f t="shared" si="47"/>
        <v/>
      </c>
    </row>
    <row r="3047" spans="12:14">
      <c r="L3047">
        <v>618</v>
      </c>
      <c r="N3047" t="str">
        <f t="shared" si="47"/>
        <v/>
      </c>
    </row>
    <row r="3048" spans="12:14">
      <c r="L3048">
        <v>941</v>
      </c>
      <c r="N3048" t="str">
        <f t="shared" si="47"/>
        <v/>
      </c>
    </row>
    <row r="3049" spans="12:14">
      <c r="L3049">
        <v>936</v>
      </c>
      <c r="N3049" t="str">
        <f t="shared" si="47"/>
        <v/>
      </c>
    </row>
    <row r="3050" spans="12:14">
      <c r="L3050">
        <v>1220</v>
      </c>
      <c r="N3050" t="str">
        <f t="shared" si="47"/>
        <v/>
      </c>
    </row>
    <row r="3051" spans="12:14">
      <c r="L3051">
        <v>1359</v>
      </c>
      <c r="N3051" t="str">
        <f t="shared" si="47"/>
        <v/>
      </c>
    </row>
    <row r="3052" spans="12:14">
      <c r="L3052">
        <v>1228</v>
      </c>
      <c r="N3052" t="str">
        <f t="shared" si="47"/>
        <v/>
      </c>
    </row>
    <row r="3053" spans="12:14">
      <c r="L3053">
        <v>2286</v>
      </c>
      <c r="M3053" t="s">
        <v>31</v>
      </c>
      <c r="N3053">
        <f t="shared" si="47"/>
        <v>6</v>
      </c>
    </row>
    <row r="3054" spans="12:14">
      <c r="L3054">
        <v>4840</v>
      </c>
      <c r="N3054" t="str">
        <f t="shared" si="47"/>
        <v/>
      </c>
    </row>
    <row r="3055" spans="12:14">
      <c r="L3055">
        <v>2772</v>
      </c>
      <c r="M3055" t="s">
        <v>26</v>
      </c>
      <c r="N3055">
        <f t="shared" si="47"/>
        <v>1</v>
      </c>
    </row>
    <row r="3056" spans="12:14">
      <c r="L3056">
        <v>1209</v>
      </c>
      <c r="N3056" t="str">
        <f t="shared" si="47"/>
        <v/>
      </c>
    </row>
    <row r="3057" spans="12:14">
      <c r="L3057">
        <v>1597</v>
      </c>
      <c r="N3057" t="str">
        <f t="shared" si="47"/>
        <v/>
      </c>
    </row>
    <row r="3058" spans="12:14">
      <c r="L3058">
        <v>1973</v>
      </c>
      <c r="N3058" t="str">
        <f t="shared" si="47"/>
        <v/>
      </c>
    </row>
    <row r="3059" spans="12:14">
      <c r="L3059">
        <v>3708</v>
      </c>
      <c r="N3059" t="str">
        <f t="shared" si="47"/>
        <v/>
      </c>
    </row>
    <row r="3060" spans="12:14">
      <c r="L3060">
        <v>3973</v>
      </c>
      <c r="N3060" t="str">
        <f t="shared" si="47"/>
        <v/>
      </c>
    </row>
    <row r="3061" spans="12:14">
      <c r="L3061">
        <v>2317</v>
      </c>
      <c r="N3061" t="str">
        <f t="shared" si="47"/>
        <v/>
      </c>
    </row>
    <row r="3062" spans="12:14">
      <c r="L3062">
        <v>4311</v>
      </c>
      <c r="N3062" t="str">
        <f t="shared" si="47"/>
        <v/>
      </c>
    </row>
    <row r="3063" spans="12:14">
      <c r="L3063">
        <v>2481</v>
      </c>
      <c r="N3063" t="str">
        <f t="shared" si="47"/>
        <v/>
      </c>
    </row>
    <row r="3064" spans="12:14">
      <c r="L3064">
        <v>2109</v>
      </c>
      <c r="N3064" t="str">
        <f t="shared" si="47"/>
        <v/>
      </c>
    </row>
    <row r="3065" spans="12:14">
      <c r="L3065">
        <v>528</v>
      </c>
      <c r="M3065" t="s">
        <v>28</v>
      </c>
      <c r="N3065">
        <f t="shared" si="47"/>
        <v>3</v>
      </c>
    </row>
    <row r="3066" spans="12:14">
      <c r="L3066">
        <v>3461</v>
      </c>
      <c r="M3066" t="s">
        <v>30</v>
      </c>
      <c r="N3066">
        <f t="shared" si="47"/>
        <v>7</v>
      </c>
    </row>
    <row r="3067" spans="12:14">
      <c r="L3067">
        <v>1534</v>
      </c>
      <c r="N3067" t="str">
        <f t="shared" si="47"/>
        <v/>
      </c>
    </row>
    <row r="3068" spans="12:14">
      <c r="L3068">
        <v>3483</v>
      </c>
      <c r="M3068" t="s">
        <v>25</v>
      </c>
      <c r="N3068">
        <f t="shared" si="47"/>
        <v>5</v>
      </c>
    </row>
    <row r="3069" spans="12:14">
      <c r="L3069">
        <v>1564</v>
      </c>
      <c r="N3069" t="str">
        <f t="shared" si="47"/>
        <v/>
      </c>
    </row>
    <row r="3070" spans="12:14">
      <c r="L3070">
        <v>2959</v>
      </c>
      <c r="N3070" t="str">
        <f t="shared" si="47"/>
        <v/>
      </c>
    </row>
    <row r="3071" spans="12:14">
      <c r="L3071">
        <v>3036</v>
      </c>
      <c r="N3071" t="str">
        <f t="shared" si="47"/>
        <v/>
      </c>
    </row>
    <row r="3072" spans="12:14">
      <c r="L3072">
        <v>3557</v>
      </c>
      <c r="M3072" t="s">
        <v>30</v>
      </c>
      <c r="N3072">
        <f t="shared" si="47"/>
        <v>7</v>
      </c>
    </row>
    <row r="3073" spans="12:14">
      <c r="L3073">
        <v>493</v>
      </c>
      <c r="M3073" t="s">
        <v>26</v>
      </c>
      <c r="N3073">
        <f t="shared" si="47"/>
        <v>1</v>
      </c>
    </row>
    <row r="3074" spans="12:14">
      <c r="L3074">
        <v>4078</v>
      </c>
      <c r="N3074" t="str">
        <f t="shared" si="47"/>
        <v/>
      </c>
    </row>
    <row r="3075" spans="12:14">
      <c r="L3075">
        <v>1256</v>
      </c>
      <c r="M3075" t="s">
        <v>31</v>
      </c>
      <c r="N3075">
        <f t="shared" ref="N3075:N3138" si="48">IFERROR(VLOOKUP(M3075,$A$3:$B$10,2,0),"")</f>
        <v>6</v>
      </c>
    </row>
    <row r="3076" spans="12:14">
      <c r="L3076">
        <v>4735</v>
      </c>
      <c r="N3076" t="str">
        <f t="shared" si="48"/>
        <v/>
      </c>
    </row>
    <row r="3077" spans="12:14">
      <c r="L3077">
        <v>398</v>
      </c>
      <c r="M3077" t="s">
        <v>28</v>
      </c>
      <c r="N3077">
        <f t="shared" si="48"/>
        <v>3</v>
      </c>
    </row>
    <row r="3078" spans="12:14">
      <c r="L3078">
        <v>2649</v>
      </c>
      <c r="N3078" t="str">
        <f t="shared" si="48"/>
        <v/>
      </c>
    </row>
    <row r="3079" spans="12:14">
      <c r="L3079">
        <v>1397</v>
      </c>
      <c r="N3079" t="str">
        <f t="shared" si="48"/>
        <v/>
      </c>
    </row>
    <row r="3080" spans="12:14">
      <c r="L3080">
        <v>3901</v>
      </c>
      <c r="N3080" t="str">
        <f t="shared" si="48"/>
        <v/>
      </c>
    </row>
    <row r="3081" spans="12:14">
      <c r="L3081">
        <v>2374</v>
      </c>
      <c r="M3081" t="s">
        <v>25</v>
      </c>
      <c r="N3081">
        <f t="shared" si="48"/>
        <v>5</v>
      </c>
    </row>
    <row r="3082" spans="12:14">
      <c r="L3082">
        <v>2776</v>
      </c>
      <c r="N3082" t="str">
        <f t="shared" si="48"/>
        <v/>
      </c>
    </row>
    <row r="3083" spans="12:14">
      <c r="L3083">
        <v>1978</v>
      </c>
      <c r="N3083" t="str">
        <f t="shared" si="48"/>
        <v/>
      </c>
    </row>
    <row r="3084" spans="12:14">
      <c r="L3084">
        <v>655</v>
      </c>
      <c r="N3084" t="str">
        <f t="shared" si="48"/>
        <v/>
      </c>
    </row>
    <row r="3085" spans="12:14">
      <c r="L3085">
        <v>3242</v>
      </c>
      <c r="M3085" t="s">
        <v>28</v>
      </c>
      <c r="N3085">
        <f t="shared" si="48"/>
        <v>3</v>
      </c>
    </row>
    <row r="3086" spans="12:14">
      <c r="L3086">
        <v>4077</v>
      </c>
      <c r="N3086" t="str">
        <f t="shared" si="48"/>
        <v/>
      </c>
    </row>
    <row r="3087" spans="12:14">
      <c r="L3087">
        <v>2258</v>
      </c>
      <c r="M3087" t="s">
        <v>29</v>
      </c>
      <c r="N3087">
        <f t="shared" si="48"/>
        <v>4</v>
      </c>
    </row>
    <row r="3088" spans="12:14">
      <c r="L3088">
        <v>1223</v>
      </c>
      <c r="N3088" t="str">
        <f t="shared" si="48"/>
        <v/>
      </c>
    </row>
    <row r="3089" spans="12:14">
      <c r="L3089">
        <v>3037</v>
      </c>
      <c r="M3089" t="s">
        <v>25</v>
      </c>
      <c r="N3089">
        <f t="shared" si="48"/>
        <v>5</v>
      </c>
    </row>
    <row r="3090" spans="12:14">
      <c r="L3090">
        <v>3022</v>
      </c>
      <c r="N3090" t="str">
        <f t="shared" si="48"/>
        <v/>
      </c>
    </row>
    <row r="3091" spans="12:14">
      <c r="L3091">
        <v>3894</v>
      </c>
      <c r="N3091" t="str">
        <f t="shared" si="48"/>
        <v/>
      </c>
    </row>
    <row r="3092" spans="12:14">
      <c r="L3092">
        <v>4299</v>
      </c>
      <c r="N3092" t="str">
        <f t="shared" si="48"/>
        <v/>
      </c>
    </row>
    <row r="3093" spans="12:14">
      <c r="L3093">
        <v>1702</v>
      </c>
      <c r="N3093" t="str">
        <f t="shared" si="48"/>
        <v/>
      </c>
    </row>
    <row r="3094" spans="12:14">
      <c r="L3094">
        <v>1842</v>
      </c>
      <c r="M3094" t="s">
        <v>28</v>
      </c>
      <c r="N3094">
        <f t="shared" si="48"/>
        <v>3</v>
      </c>
    </row>
    <row r="3095" spans="12:14">
      <c r="L3095">
        <v>3648</v>
      </c>
      <c r="N3095" t="str">
        <f t="shared" si="48"/>
        <v/>
      </c>
    </row>
    <row r="3096" spans="12:14">
      <c r="L3096">
        <v>19</v>
      </c>
      <c r="N3096" t="str">
        <f t="shared" si="48"/>
        <v/>
      </c>
    </row>
    <row r="3097" spans="12:14">
      <c r="L3097">
        <v>1589</v>
      </c>
      <c r="N3097" t="str">
        <f t="shared" si="48"/>
        <v/>
      </c>
    </row>
    <row r="3098" spans="12:14">
      <c r="L3098">
        <v>2393</v>
      </c>
      <c r="M3098" t="s">
        <v>31</v>
      </c>
      <c r="N3098">
        <f t="shared" si="48"/>
        <v>6</v>
      </c>
    </row>
    <row r="3099" spans="12:14">
      <c r="L3099">
        <v>3807</v>
      </c>
      <c r="N3099" t="str">
        <f t="shared" si="48"/>
        <v/>
      </c>
    </row>
    <row r="3100" spans="12:14">
      <c r="L3100">
        <v>247</v>
      </c>
      <c r="M3100" t="s">
        <v>29</v>
      </c>
      <c r="N3100">
        <f t="shared" si="48"/>
        <v>4</v>
      </c>
    </row>
    <row r="3101" spans="12:14">
      <c r="L3101">
        <v>2829</v>
      </c>
      <c r="M3101" t="s">
        <v>26</v>
      </c>
      <c r="N3101">
        <f t="shared" si="48"/>
        <v>1</v>
      </c>
    </row>
    <row r="3102" spans="12:14">
      <c r="L3102">
        <v>4526</v>
      </c>
      <c r="N3102" t="str">
        <f t="shared" si="48"/>
        <v/>
      </c>
    </row>
    <row r="3103" spans="12:14">
      <c r="L3103">
        <v>3382</v>
      </c>
      <c r="N3103" t="str">
        <f t="shared" si="48"/>
        <v/>
      </c>
    </row>
    <row r="3104" spans="12:14">
      <c r="L3104">
        <v>3759</v>
      </c>
      <c r="N3104" t="str">
        <f t="shared" si="48"/>
        <v/>
      </c>
    </row>
    <row r="3105" spans="12:14">
      <c r="L3105">
        <v>2384</v>
      </c>
      <c r="N3105" t="str">
        <f t="shared" si="48"/>
        <v/>
      </c>
    </row>
    <row r="3106" spans="12:14">
      <c r="L3106">
        <v>4362</v>
      </c>
      <c r="N3106" t="str">
        <f t="shared" si="48"/>
        <v/>
      </c>
    </row>
    <row r="3107" spans="12:14">
      <c r="L3107">
        <v>9</v>
      </c>
      <c r="N3107" t="str">
        <f t="shared" si="48"/>
        <v/>
      </c>
    </row>
    <row r="3108" spans="12:14">
      <c r="L3108">
        <v>4662</v>
      </c>
      <c r="N3108" t="str">
        <f t="shared" si="48"/>
        <v/>
      </c>
    </row>
    <row r="3109" spans="12:14">
      <c r="L3109">
        <v>2388</v>
      </c>
      <c r="N3109" t="str">
        <f t="shared" si="48"/>
        <v/>
      </c>
    </row>
    <row r="3110" spans="12:14">
      <c r="L3110">
        <v>4074</v>
      </c>
      <c r="N3110" t="str">
        <f t="shared" si="48"/>
        <v/>
      </c>
    </row>
    <row r="3111" spans="12:14">
      <c r="L3111">
        <v>2262</v>
      </c>
      <c r="N3111" t="str">
        <f t="shared" si="48"/>
        <v/>
      </c>
    </row>
    <row r="3112" spans="12:14">
      <c r="L3112">
        <v>2942</v>
      </c>
      <c r="M3112" t="s">
        <v>30</v>
      </c>
      <c r="N3112">
        <f t="shared" si="48"/>
        <v>7</v>
      </c>
    </row>
    <row r="3113" spans="12:14">
      <c r="L3113">
        <v>1661</v>
      </c>
      <c r="N3113" t="str">
        <f t="shared" si="48"/>
        <v/>
      </c>
    </row>
    <row r="3114" spans="12:14">
      <c r="L3114">
        <v>3927</v>
      </c>
      <c r="N3114" t="str">
        <f t="shared" si="48"/>
        <v/>
      </c>
    </row>
    <row r="3115" spans="12:14">
      <c r="L3115">
        <v>1832</v>
      </c>
      <c r="N3115" t="str">
        <f t="shared" si="48"/>
        <v/>
      </c>
    </row>
    <row r="3116" spans="12:14">
      <c r="L3116">
        <v>1495</v>
      </c>
      <c r="M3116" t="s">
        <v>19</v>
      </c>
      <c r="N3116">
        <f t="shared" si="48"/>
        <v>2</v>
      </c>
    </row>
    <row r="3117" spans="12:14">
      <c r="L3117">
        <v>2276</v>
      </c>
      <c r="N3117" t="str">
        <f t="shared" si="48"/>
        <v/>
      </c>
    </row>
    <row r="3118" spans="12:14">
      <c r="L3118">
        <v>2578</v>
      </c>
      <c r="N3118" t="str">
        <f t="shared" si="48"/>
        <v/>
      </c>
    </row>
    <row r="3119" spans="12:14">
      <c r="L3119">
        <v>4275</v>
      </c>
      <c r="N3119" t="str">
        <f t="shared" si="48"/>
        <v/>
      </c>
    </row>
    <row r="3120" spans="12:14">
      <c r="L3120">
        <v>1269</v>
      </c>
      <c r="M3120" t="s">
        <v>31</v>
      </c>
      <c r="N3120">
        <f t="shared" si="48"/>
        <v>6</v>
      </c>
    </row>
    <row r="3121" spans="12:14">
      <c r="L3121">
        <v>3948</v>
      </c>
      <c r="M3121" t="s">
        <v>26</v>
      </c>
      <c r="N3121">
        <f t="shared" si="48"/>
        <v>1</v>
      </c>
    </row>
    <row r="3122" spans="12:14">
      <c r="L3122">
        <v>3057</v>
      </c>
      <c r="N3122" t="str">
        <f t="shared" si="48"/>
        <v/>
      </c>
    </row>
    <row r="3123" spans="12:14">
      <c r="L3123">
        <v>1552</v>
      </c>
      <c r="M3123" t="s">
        <v>26</v>
      </c>
      <c r="N3123">
        <f t="shared" si="48"/>
        <v>1</v>
      </c>
    </row>
    <row r="3124" spans="12:14">
      <c r="L3124">
        <v>951</v>
      </c>
      <c r="M3124" t="s">
        <v>29</v>
      </c>
      <c r="N3124">
        <f t="shared" si="48"/>
        <v>4</v>
      </c>
    </row>
    <row r="3125" spans="12:14">
      <c r="L3125">
        <v>4115</v>
      </c>
      <c r="N3125" t="str">
        <f t="shared" si="48"/>
        <v/>
      </c>
    </row>
    <row r="3126" spans="12:14">
      <c r="L3126">
        <v>1934</v>
      </c>
      <c r="N3126" t="str">
        <f t="shared" si="48"/>
        <v/>
      </c>
    </row>
    <row r="3127" spans="12:14">
      <c r="L3127">
        <v>2431</v>
      </c>
      <c r="N3127" t="str">
        <f t="shared" si="48"/>
        <v/>
      </c>
    </row>
    <row r="3128" spans="12:14">
      <c r="L3128">
        <v>962</v>
      </c>
      <c r="M3128" t="s">
        <v>19</v>
      </c>
      <c r="N3128">
        <f t="shared" si="48"/>
        <v>2</v>
      </c>
    </row>
    <row r="3129" spans="12:14">
      <c r="L3129">
        <v>4988</v>
      </c>
      <c r="M3129" t="s">
        <v>28</v>
      </c>
      <c r="N3129">
        <f t="shared" si="48"/>
        <v>3</v>
      </c>
    </row>
    <row r="3130" spans="12:14">
      <c r="L3130">
        <v>4877</v>
      </c>
      <c r="N3130" t="str">
        <f t="shared" si="48"/>
        <v/>
      </c>
    </row>
    <row r="3131" spans="12:14">
      <c r="L3131">
        <v>2333</v>
      </c>
      <c r="M3131" t="s">
        <v>25</v>
      </c>
      <c r="N3131">
        <f t="shared" si="48"/>
        <v>5</v>
      </c>
    </row>
    <row r="3132" spans="12:14">
      <c r="L3132">
        <v>4356</v>
      </c>
      <c r="N3132" t="str">
        <f t="shared" si="48"/>
        <v/>
      </c>
    </row>
    <row r="3133" spans="12:14">
      <c r="L3133">
        <v>4990</v>
      </c>
      <c r="M3133" t="s">
        <v>30</v>
      </c>
      <c r="N3133">
        <f t="shared" si="48"/>
        <v>7</v>
      </c>
    </row>
    <row r="3134" spans="12:14">
      <c r="L3134">
        <v>2080</v>
      </c>
      <c r="M3134" t="s">
        <v>30</v>
      </c>
      <c r="N3134">
        <f t="shared" si="48"/>
        <v>7</v>
      </c>
    </row>
    <row r="3135" spans="12:14">
      <c r="L3135">
        <v>1243</v>
      </c>
      <c r="M3135" t="s">
        <v>30</v>
      </c>
      <c r="N3135">
        <f t="shared" si="48"/>
        <v>7</v>
      </c>
    </row>
    <row r="3136" spans="12:14">
      <c r="L3136">
        <v>2893</v>
      </c>
      <c r="N3136" t="str">
        <f t="shared" si="48"/>
        <v/>
      </c>
    </row>
    <row r="3137" spans="12:14">
      <c r="L3137">
        <v>4079</v>
      </c>
      <c r="M3137" t="s">
        <v>28</v>
      </c>
      <c r="N3137">
        <f t="shared" si="48"/>
        <v>3</v>
      </c>
    </row>
    <row r="3138" spans="12:14">
      <c r="L3138">
        <v>535</v>
      </c>
      <c r="N3138" t="str">
        <f t="shared" si="48"/>
        <v/>
      </c>
    </row>
    <row r="3139" spans="12:14">
      <c r="L3139">
        <v>1206</v>
      </c>
      <c r="M3139" t="s">
        <v>30</v>
      </c>
      <c r="N3139">
        <f t="shared" ref="N3139:N3202" si="49">IFERROR(VLOOKUP(M3139,$A$3:$B$10,2,0),"")</f>
        <v>7</v>
      </c>
    </row>
    <row r="3140" spans="12:14">
      <c r="L3140">
        <v>982</v>
      </c>
      <c r="M3140" t="s">
        <v>30</v>
      </c>
      <c r="N3140">
        <f t="shared" si="49"/>
        <v>7</v>
      </c>
    </row>
    <row r="3141" spans="12:14">
      <c r="L3141">
        <v>2816</v>
      </c>
      <c r="M3141" t="s">
        <v>25</v>
      </c>
      <c r="N3141">
        <f t="shared" si="49"/>
        <v>5</v>
      </c>
    </row>
    <row r="3142" spans="12:14">
      <c r="L3142">
        <v>95</v>
      </c>
      <c r="N3142" t="str">
        <f t="shared" si="49"/>
        <v/>
      </c>
    </row>
    <row r="3143" spans="12:14">
      <c r="L3143">
        <v>77</v>
      </c>
      <c r="N3143" t="str">
        <f t="shared" si="49"/>
        <v/>
      </c>
    </row>
    <row r="3144" spans="12:14">
      <c r="L3144">
        <v>297</v>
      </c>
      <c r="N3144" t="str">
        <f t="shared" si="49"/>
        <v/>
      </c>
    </row>
    <row r="3145" spans="12:14">
      <c r="L3145">
        <v>1057</v>
      </c>
      <c r="N3145" t="str">
        <f t="shared" si="49"/>
        <v/>
      </c>
    </row>
    <row r="3146" spans="12:14">
      <c r="L3146">
        <v>2540</v>
      </c>
      <c r="M3146" t="s">
        <v>29</v>
      </c>
      <c r="N3146">
        <f t="shared" si="49"/>
        <v>4</v>
      </c>
    </row>
    <row r="3147" spans="12:14">
      <c r="L3147">
        <v>1743</v>
      </c>
      <c r="N3147" t="str">
        <f t="shared" si="49"/>
        <v/>
      </c>
    </row>
    <row r="3148" spans="12:14">
      <c r="L3148">
        <v>3651</v>
      </c>
      <c r="N3148" t="str">
        <f t="shared" si="49"/>
        <v/>
      </c>
    </row>
    <row r="3149" spans="12:14">
      <c r="L3149">
        <v>1818</v>
      </c>
      <c r="N3149" t="str">
        <f t="shared" si="49"/>
        <v/>
      </c>
    </row>
    <row r="3150" spans="12:14">
      <c r="L3150">
        <v>2705</v>
      </c>
      <c r="N3150" t="str">
        <f t="shared" si="49"/>
        <v/>
      </c>
    </row>
    <row r="3151" spans="12:14">
      <c r="L3151">
        <v>689</v>
      </c>
      <c r="N3151" t="str">
        <f t="shared" si="49"/>
        <v/>
      </c>
    </row>
    <row r="3152" spans="12:14">
      <c r="L3152">
        <v>2655</v>
      </c>
      <c r="N3152" t="str">
        <f t="shared" si="49"/>
        <v/>
      </c>
    </row>
    <row r="3153" spans="12:14">
      <c r="L3153">
        <v>1063</v>
      </c>
      <c r="N3153" t="str">
        <f t="shared" si="49"/>
        <v/>
      </c>
    </row>
    <row r="3154" spans="12:14">
      <c r="L3154">
        <v>4815</v>
      </c>
      <c r="M3154" t="s">
        <v>31</v>
      </c>
      <c r="N3154">
        <f t="shared" si="49"/>
        <v>6</v>
      </c>
    </row>
    <row r="3155" spans="12:14">
      <c r="L3155">
        <v>1053</v>
      </c>
      <c r="N3155" t="str">
        <f t="shared" si="49"/>
        <v/>
      </c>
    </row>
    <row r="3156" spans="12:14">
      <c r="L3156">
        <v>4302</v>
      </c>
      <c r="N3156" t="str">
        <f t="shared" si="49"/>
        <v/>
      </c>
    </row>
    <row r="3157" spans="12:14">
      <c r="L3157">
        <v>1224</v>
      </c>
      <c r="N3157" t="str">
        <f t="shared" si="49"/>
        <v/>
      </c>
    </row>
    <row r="3158" spans="12:14">
      <c r="L3158">
        <v>4946</v>
      </c>
      <c r="M3158" t="s">
        <v>31</v>
      </c>
      <c r="N3158">
        <f t="shared" si="49"/>
        <v>6</v>
      </c>
    </row>
    <row r="3159" spans="12:14">
      <c r="L3159">
        <v>4683</v>
      </c>
      <c r="N3159" t="str">
        <f t="shared" si="49"/>
        <v/>
      </c>
    </row>
    <row r="3160" spans="12:14">
      <c r="L3160">
        <v>2886</v>
      </c>
      <c r="M3160" t="s">
        <v>28</v>
      </c>
      <c r="N3160">
        <f t="shared" si="49"/>
        <v>3</v>
      </c>
    </row>
    <row r="3161" spans="12:14">
      <c r="L3161">
        <v>4312</v>
      </c>
      <c r="N3161" t="str">
        <f t="shared" si="49"/>
        <v/>
      </c>
    </row>
    <row r="3162" spans="12:14">
      <c r="L3162">
        <v>53</v>
      </c>
      <c r="M3162" t="s">
        <v>28</v>
      </c>
      <c r="N3162">
        <f t="shared" si="49"/>
        <v>3</v>
      </c>
    </row>
    <row r="3163" spans="12:14">
      <c r="L3163">
        <v>241</v>
      </c>
      <c r="N3163" t="str">
        <f t="shared" si="49"/>
        <v/>
      </c>
    </row>
    <row r="3164" spans="12:14">
      <c r="L3164">
        <v>2483</v>
      </c>
      <c r="N3164" t="str">
        <f t="shared" si="49"/>
        <v/>
      </c>
    </row>
    <row r="3165" spans="12:14">
      <c r="L3165">
        <v>359</v>
      </c>
      <c r="M3165" t="s">
        <v>31</v>
      </c>
      <c r="N3165">
        <f t="shared" si="49"/>
        <v>6</v>
      </c>
    </row>
    <row r="3166" spans="12:14">
      <c r="L3166">
        <v>2803</v>
      </c>
      <c r="N3166" t="str">
        <f t="shared" si="49"/>
        <v/>
      </c>
    </row>
    <row r="3167" spans="12:14">
      <c r="L3167">
        <v>135</v>
      </c>
      <c r="N3167" t="str">
        <f t="shared" si="49"/>
        <v/>
      </c>
    </row>
    <row r="3168" spans="12:14">
      <c r="L3168">
        <v>365</v>
      </c>
      <c r="N3168" t="str">
        <f t="shared" si="49"/>
        <v/>
      </c>
    </row>
    <row r="3169" spans="12:14">
      <c r="L3169">
        <v>1091</v>
      </c>
      <c r="N3169" t="str">
        <f t="shared" si="49"/>
        <v/>
      </c>
    </row>
    <row r="3170" spans="12:14">
      <c r="L3170">
        <v>4510</v>
      </c>
      <c r="M3170" t="s">
        <v>31</v>
      </c>
      <c r="N3170">
        <f t="shared" si="49"/>
        <v>6</v>
      </c>
    </row>
    <row r="3171" spans="12:14">
      <c r="L3171">
        <v>1013</v>
      </c>
      <c r="N3171" t="str">
        <f t="shared" si="49"/>
        <v/>
      </c>
    </row>
    <row r="3172" spans="12:14">
      <c r="L3172">
        <v>1976</v>
      </c>
      <c r="N3172" t="str">
        <f t="shared" si="49"/>
        <v/>
      </c>
    </row>
    <row r="3173" spans="12:14">
      <c r="L3173">
        <v>1845</v>
      </c>
      <c r="M3173" t="s">
        <v>28</v>
      </c>
      <c r="N3173">
        <f t="shared" si="49"/>
        <v>3</v>
      </c>
    </row>
    <row r="3174" spans="12:14">
      <c r="L3174">
        <v>3455</v>
      </c>
      <c r="M3174" t="s">
        <v>31</v>
      </c>
      <c r="N3174">
        <f t="shared" si="49"/>
        <v>6</v>
      </c>
    </row>
    <row r="3175" spans="12:14">
      <c r="L3175">
        <v>1025</v>
      </c>
      <c r="N3175" t="str">
        <f t="shared" si="49"/>
        <v/>
      </c>
    </row>
    <row r="3176" spans="12:14">
      <c r="L3176">
        <v>2345</v>
      </c>
      <c r="M3176" t="s">
        <v>25</v>
      </c>
      <c r="N3176">
        <f t="shared" si="49"/>
        <v>5</v>
      </c>
    </row>
    <row r="3177" spans="12:14">
      <c r="L3177">
        <v>2735</v>
      </c>
      <c r="M3177" t="s">
        <v>29</v>
      </c>
      <c r="N3177">
        <f t="shared" si="49"/>
        <v>4</v>
      </c>
    </row>
    <row r="3178" spans="12:14">
      <c r="L3178">
        <v>4270</v>
      </c>
      <c r="N3178" t="str">
        <f t="shared" si="49"/>
        <v/>
      </c>
    </row>
    <row r="3179" spans="12:14">
      <c r="L3179">
        <v>752</v>
      </c>
      <c r="N3179" t="str">
        <f t="shared" si="49"/>
        <v/>
      </c>
    </row>
    <row r="3180" spans="12:14">
      <c r="L3180">
        <v>3197</v>
      </c>
      <c r="N3180" t="str">
        <f t="shared" si="49"/>
        <v/>
      </c>
    </row>
    <row r="3181" spans="12:14">
      <c r="L3181">
        <v>3365</v>
      </c>
      <c r="M3181" t="s">
        <v>25</v>
      </c>
      <c r="N3181">
        <f t="shared" si="49"/>
        <v>5</v>
      </c>
    </row>
    <row r="3182" spans="12:14">
      <c r="L3182">
        <v>635</v>
      </c>
      <c r="N3182" t="str">
        <f t="shared" si="49"/>
        <v/>
      </c>
    </row>
    <row r="3183" spans="12:14">
      <c r="L3183">
        <v>100</v>
      </c>
      <c r="N3183" t="str">
        <f t="shared" si="49"/>
        <v/>
      </c>
    </row>
    <row r="3184" spans="12:14">
      <c r="L3184">
        <v>3181</v>
      </c>
      <c r="M3184" t="s">
        <v>29</v>
      </c>
      <c r="N3184">
        <f t="shared" si="49"/>
        <v>4</v>
      </c>
    </row>
    <row r="3185" spans="12:14">
      <c r="L3185">
        <v>1542</v>
      </c>
      <c r="N3185" t="str">
        <f t="shared" si="49"/>
        <v/>
      </c>
    </row>
    <row r="3186" spans="12:14">
      <c r="L3186">
        <v>4742</v>
      </c>
      <c r="N3186" t="str">
        <f t="shared" si="49"/>
        <v/>
      </c>
    </row>
    <row r="3187" spans="12:14">
      <c r="L3187">
        <v>1178</v>
      </c>
      <c r="N3187" t="str">
        <f t="shared" si="49"/>
        <v/>
      </c>
    </row>
    <row r="3188" spans="12:14">
      <c r="L3188">
        <v>1759</v>
      </c>
      <c r="M3188" t="s">
        <v>26</v>
      </c>
      <c r="N3188">
        <f t="shared" si="49"/>
        <v>1</v>
      </c>
    </row>
    <row r="3189" spans="12:14">
      <c r="L3189">
        <v>4205</v>
      </c>
      <c r="N3189" t="str">
        <f t="shared" si="49"/>
        <v/>
      </c>
    </row>
    <row r="3190" spans="12:14">
      <c r="L3190">
        <v>4885</v>
      </c>
      <c r="M3190" t="s">
        <v>28</v>
      </c>
      <c r="N3190">
        <f t="shared" si="49"/>
        <v>3</v>
      </c>
    </row>
    <row r="3191" spans="12:14">
      <c r="L3191">
        <v>4791</v>
      </c>
      <c r="N3191" t="str">
        <f t="shared" si="49"/>
        <v/>
      </c>
    </row>
    <row r="3192" spans="12:14">
      <c r="L3192">
        <v>1706</v>
      </c>
      <c r="M3192" t="s">
        <v>29</v>
      </c>
      <c r="N3192">
        <f t="shared" si="49"/>
        <v>4</v>
      </c>
    </row>
    <row r="3193" spans="12:14">
      <c r="L3193">
        <v>4850</v>
      </c>
      <c r="N3193" t="str">
        <f t="shared" si="49"/>
        <v/>
      </c>
    </row>
    <row r="3194" spans="12:14">
      <c r="L3194">
        <v>124</v>
      </c>
      <c r="N3194" t="str">
        <f t="shared" si="49"/>
        <v/>
      </c>
    </row>
    <row r="3195" spans="12:14">
      <c r="L3195">
        <v>2506</v>
      </c>
      <c r="M3195" t="s">
        <v>25</v>
      </c>
      <c r="N3195">
        <f t="shared" si="49"/>
        <v>5</v>
      </c>
    </row>
    <row r="3196" spans="12:14">
      <c r="L3196">
        <v>2202</v>
      </c>
      <c r="N3196" t="str">
        <f t="shared" si="49"/>
        <v/>
      </c>
    </row>
    <row r="3197" spans="12:14">
      <c r="L3197">
        <v>1068</v>
      </c>
      <c r="N3197" t="str">
        <f t="shared" si="49"/>
        <v/>
      </c>
    </row>
    <row r="3198" spans="12:14">
      <c r="L3198">
        <v>771</v>
      </c>
      <c r="N3198" t="str">
        <f t="shared" si="49"/>
        <v/>
      </c>
    </row>
    <row r="3199" spans="12:14">
      <c r="L3199">
        <v>2195</v>
      </c>
      <c r="M3199" t="s">
        <v>25</v>
      </c>
      <c r="N3199">
        <f t="shared" si="49"/>
        <v>5</v>
      </c>
    </row>
    <row r="3200" spans="12:14">
      <c r="L3200">
        <v>2299</v>
      </c>
      <c r="N3200" t="str">
        <f t="shared" si="49"/>
        <v/>
      </c>
    </row>
    <row r="3201" spans="12:14">
      <c r="L3201">
        <v>1463</v>
      </c>
      <c r="N3201" t="str">
        <f t="shared" si="49"/>
        <v/>
      </c>
    </row>
    <row r="3202" spans="12:14">
      <c r="L3202">
        <v>4614</v>
      </c>
      <c r="M3202" t="s">
        <v>19</v>
      </c>
      <c r="N3202">
        <f t="shared" si="49"/>
        <v>2</v>
      </c>
    </row>
    <row r="3203" spans="12:14">
      <c r="L3203">
        <v>2552</v>
      </c>
      <c r="N3203" t="str">
        <f t="shared" ref="N3203:N3266" si="50">IFERROR(VLOOKUP(M3203,$A$3:$B$10,2,0),"")</f>
        <v/>
      </c>
    </row>
    <row r="3204" spans="12:14">
      <c r="L3204">
        <v>983</v>
      </c>
      <c r="N3204" t="str">
        <f t="shared" si="50"/>
        <v/>
      </c>
    </row>
    <row r="3205" spans="12:14">
      <c r="L3205">
        <v>3865</v>
      </c>
      <c r="M3205" t="s">
        <v>26</v>
      </c>
      <c r="N3205">
        <f t="shared" si="50"/>
        <v>1</v>
      </c>
    </row>
    <row r="3206" spans="12:14">
      <c r="L3206">
        <v>3078</v>
      </c>
      <c r="N3206" t="str">
        <f t="shared" si="50"/>
        <v/>
      </c>
    </row>
    <row r="3207" spans="12:14">
      <c r="L3207">
        <v>2862</v>
      </c>
      <c r="N3207" t="str">
        <f t="shared" si="50"/>
        <v/>
      </c>
    </row>
    <row r="3208" spans="12:14">
      <c r="L3208">
        <v>2207</v>
      </c>
      <c r="N3208" t="str">
        <f t="shared" si="50"/>
        <v/>
      </c>
    </row>
    <row r="3209" spans="12:14">
      <c r="L3209">
        <v>2218</v>
      </c>
      <c r="M3209" t="s">
        <v>29</v>
      </c>
      <c r="N3209">
        <f t="shared" si="50"/>
        <v>4</v>
      </c>
    </row>
    <row r="3210" spans="12:14">
      <c r="L3210">
        <v>2177</v>
      </c>
      <c r="N3210" t="str">
        <f t="shared" si="50"/>
        <v/>
      </c>
    </row>
    <row r="3211" spans="12:14">
      <c r="L3211">
        <v>324</v>
      </c>
      <c r="N3211" t="str">
        <f t="shared" si="50"/>
        <v/>
      </c>
    </row>
    <row r="3212" spans="12:14">
      <c r="L3212">
        <v>380</v>
      </c>
      <c r="N3212" t="str">
        <f t="shared" si="50"/>
        <v/>
      </c>
    </row>
    <row r="3213" spans="12:14">
      <c r="L3213">
        <v>488</v>
      </c>
      <c r="N3213" t="str">
        <f t="shared" si="50"/>
        <v/>
      </c>
    </row>
    <row r="3214" spans="12:14">
      <c r="L3214">
        <v>602</v>
      </c>
      <c r="N3214" t="str">
        <f t="shared" si="50"/>
        <v/>
      </c>
    </row>
    <row r="3215" spans="12:14">
      <c r="L3215">
        <v>3035</v>
      </c>
      <c r="M3215" t="s">
        <v>25</v>
      </c>
      <c r="N3215">
        <f t="shared" si="50"/>
        <v>5</v>
      </c>
    </row>
    <row r="3216" spans="12:14">
      <c r="L3216">
        <v>4331</v>
      </c>
      <c r="N3216" t="str">
        <f t="shared" si="50"/>
        <v/>
      </c>
    </row>
    <row r="3217" spans="12:14">
      <c r="L3217">
        <v>2898</v>
      </c>
      <c r="N3217" t="str">
        <f t="shared" si="50"/>
        <v/>
      </c>
    </row>
    <row r="3218" spans="12:14">
      <c r="L3218">
        <v>2568</v>
      </c>
      <c r="N3218" t="str">
        <f t="shared" si="50"/>
        <v/>
      </c>
    </row>
    <row r="3219" spans="12:14">
      <c r="L3219">
        <v>150</v>
      </c>
      <c r="N3219" t="str">
        <f t="shared" si="50"/>
        <v/>
      </c>
    </row>
    <row r="3220" spans="12:14">
      <c r="L3220">
        <v>3676</v>
      </c>
      <c r="N3220" t="str">
        <f t="shared" si="50"/>
        <v/>
      </c>
    </row>
    <row r="3221" spans="12:14">
      <c r="L3221">
        <v>3709</v>
      </c>
      <c r="M3221" t="s">
        <v>25</v>
      </c>
      <c r="N3221">
        <f t="shared" si="50"/>
        <v>5</v>
      </c>
    </row>
    <row r="3222" spans="12:14">
      <c r="L3222">
        <v>237</v>
      </c>
      <c r="N3222" t="str">
        <f t="shared" si="50"/>
        <v/>
      </c>
    </row>
    <row r="3223" spans="12:14">
      <c r="L3223">
        <v>2869</v>
      </c>
      <c r="M3223" t="s">
        <v>29</v>
      </c>
      <c r="N3223">
        <f t="shared" si="50"/>
        <v>4</v>
      </c>
    </row>
    <row r="3224" spans="12:14">
      <c r="L3224">
        <v>688</v>
      </c>
      <c r="N3224" t="str">
        <f t="shared" si="50"/>
        <v/>
      </c>
    </row>
    <row r="3225" spans="12:14">
      <c r="L3225">
        <v>3604</v>
      </c>
      <c r="M3225" t="s">
        <v>25</v>
      </c>
      <c r="N3225">
        <f t="shared" si="50"/>
        <v>5</v>
      </c>
    </row>
    <row r="3226" spans="12:14">
      <c r="L3226">
        <v>2292</v>
      </c>
      <c r="N3226" t="str">
        <f t="shared" si="50"/>
        <v/>
      </c>
    </row>
    <row r="3227" spans="12:14">
      <c r="L3227">
        <v>2000</v>
      </c>
      <c r="N3227" t="str">
        <f t="shared" si="50"/>
        <v/>
      </c>
    </row>
    <row r="3228" spans="12:14">
      <c r="L3228">
        <v>4436</v>
      </c>
      <c r="M3228" t="s">
        <v>31</v>
      </c>
      <c r="N3228">
        <f t="shared" si="50"/>
        <v>6</v>
      </c>
    </row>
    <row r="3229" spans="12:14">
      <c r="L3229">
        <v>65</v>
      </c>
      <c r="N3229" t="str">
        <f t="shared" si="50"/>
        <v/>
      </c>
    </row>
    <row r="3230" spans="12:14">
      <c r="L3230">
        <v>4544</v>
      </c>
      <c r="N3230" t="str">
        <f t="shared" si="50"/>
        <v/>
      </c>
    </row>
    <row r="3231" spans="12:14">
      <c r="L3231">
        <v>387</v>
      </c>
      <c r="M3231" t="s">
        <v>26</v>
      </c>
      <c r="N3231">
        <f t="shared" si="50"/>
        <v>1</v>
      </c>
    </row>
    <row r="3232" spans="12:14">
      <c r="L3232">
        <v>2526</v>
      </c>
      <c r="N3232" t="str">
        <f t="shared" si="50"/>
        <v/>
      </c>
    </row>
    <row r="3233" spans="12:14">
      <c r="L3233">
        <v>3531</v>
      </c>
      <c r="M3233" t="s">
        <v>26</v>
      </c>
      <c r="N3233">
        <f t="shared" si="50"/>
        <v>1</v>
      </c>
    </row>
    <row r="3234" spans="12:14">
      <c r="L3234">
        <v>4942</v>
      </c>
      <c r="M3234" t="s">
        <v>26</v>
      </c>
      <c r="N3234">
        <f t="shared" si="50"/>
        <v>1</v>
      </c>
    </row>
    <row r="3235" spans="12:14">
      <c r="L3235">
        <v>3104</v>
      </c>
      <c r="N3235" t="str">
        <f t="shared" si="50"/>
        <v/>
      </c>
    </row>
    <row r="3236" spans="12:14">
      <c r="L3236">
        <v>4719</v>
      </c>
      <c r="N3236" t="str">
        <f t="shared" si="50"/>
        <v/>
      </c>
    </row>
    <row r="3237" spans="12:14">
      <c r="L3237">
        <v>3768</v>
      </c>
      <c r="M3237" t="s">
        <v>28</v>
      </c>
      <c r="N3237">
        <f t="shared" si="50"/>
        <v>3</v>
      </c>
    </row>
    <row r="3238" spans="12:14">
      <c r="L3238">
        <v>3301</v>
      </c>
      <c r="N3238" t="str">
        <f t="shared" si="50"/>
        <v/>
      </c>
    </row>
    <row r="3239" spans="12:14">
      <c r="L3239">
        <v>3100</v>
      </c>
      <c r="N3239" t="str">
        <f t="shared" si="50"/>
        <v/>
      </c>
    </row>
    <row r="3240" spans="12:14">
      <c r="L3240">
        <v>1989</v>
      </c>
      <c r="N3240" t="str">
        <f t="shared" si="50"/>
        <v/>
      </c>
    </row>
    <row r="3241" spans="12:14">
      <c r="L3241">
        <v>568</v>
      </c>
      <c r="N3241" t="str">
        <f t="shared" si="50"/>
        <v/>
      </c>
    </row>
    <row r="3242" spans="12:14">
      <c r="L3242">
        <v>2865</v>
      </c>
      <c r="N3242" t="str">
        <f t="shared" si="50"/>
        <v/>
      </c>
    </row>
    <row r="3243" spans="12:14">
      <c r="L3243">
        <v>2623</v>
      </c>
      <c r="N3243" t="str">
        <f t="shared" si="50"/>
        <v/>
      </c>
    </row>
    <row r="3244" spans="12:14">
      <c r="L3244">
        <v>2260</v>
      </c>
      <c r="N3244" t="str">
        <f t="shared" si="50"/>
        <v/>
      </c>
    </row>
    <row r="3245" spans="12:14">
      <c r="L3245">
        <v>2981</v>
      </c>
      <c r="N3245" t="str">
        <f t="shared" si="50"/>
        <v/>
      </c>
    </row>
    <row r="3246" spans="12:14">
      <c r="L3246">
        <v>3106</v>
      </c>
      <c r="N3246" t="str">
        <f t="shared" si="50"/>
        <v/>
      </c>
    </row>
    <row r="3247" spans="12:14">
      <c r="L3247">
        <v>2795</v>
      </c>
      <c r="N3247" t="str">
        <f t="shared" si="50"/>
        <v/>
      </c>
    </row>
    <row r="3248" spans="12:14">
      <c r="L3248">
        <v>3666</v>
      </c>
      <c r="N3248" t="str">
        <f t="shared" si="50"/>
        <v/>
      </c>
    </row>
    <row r="3249" spans="12:14">
      <c r="L3249">
        <v>1480</v>
      </c>
      <c r="N3249" t="str">
        <f t="shared" si="50"/>
        <v/>
      </c>
    </row>
    <row r="3250" spans="12:14">
      <c r="L3250">
        <v>1950</v>
      </c>
      <c r="N3250" t="str">
        <f t="shared" si="50"/>
        <v/>
      </c>
    </row>
    <row r="3251" spans="12:14">
      <c r="L3251">
        <v>988</v>
      </c>
      <c r="M3251" t="s">
        <v>29</v>
      </c>
      <c r="N3251">
        <f t="shared" si="50"/>
        <v>4</v>
      </c>
    </row>
    <row r="3252" spans="12:14">
      <c r="L3252">
        <v>1778</v>
      </c>
      <c r="M3252" t="s">
        <v>29</v>
      </c>
      <c r="N3252">
        <f t="shared" si="50"/>
        <v>4</v>
      </c>
    </row>
    <row r="3253" spans="12:14">
      <c r="L3253">
        <v>1353</v>
      </c>
      <c r="N3253" t="str">
        <f t="shared" si="50"/>
        <v/>
      </c>
    </row>
    <row r="3254" spans="12:14">
      <c r="L3254">
        <v>344</v>
      </c>
      <c r="N3254" t="str">
        <f t="shared" si="50"/>
        <v/>
      </c>
    </row>
    <row r="3255" spans="12:14">
      <c r="L3255">
        <v>916</v>
      </c>
      <c r="N3255" t="str">
        <f t="shared" si="50"/>
        <v/>
      </c>
    </row>
    <row r="3256" spans="12:14">
      <c r="L3256">
        <v>1557</v>
      </c>
      <c r="M3256" t="s">
        <v>29</v>
      </c>
      <c r="N3256">
        <f t="shared" si="50"/>
        <v>4</v>
      </c>
    </row>
    <row r="3257" spans="12:14">
      <c r="L3257">
        <v>1509</v>
      </c>
      <c r="N3257" t="str">
        <f t="shared" si="50"/>
        <v/>
      </c>
    </row>
    <row r="3258" spans="12:14">
      <c r="L3258">
        <v>3675</v>
      </c>
      <c r="M3258" t="s">
        <v>30</v>
      </c>
      <c r="N3258">
        <f t="shared" si="50"/>
        <v>7</v>
      </c>
    </row>
    <row r="3259" spans="12:14">
      <c r="L3259">
        <v>542</v>
      </c>
      <c r="N3259" t="str">
        <f t="shared" si="50"/>
        <v/>
      </c>
    </row>
    <row r="3260" spans="12:14">
      <c r="L3260">
        <v>2291</v>
      </c>
      <c r="M3260" t="s">
        <v>31</v>
      </c>
      <c r="N3260">
        <f t="shared" si="50"/>
        <v>6</v>
      </c>
    </row>
    <row r="3261" spans="12:14">
      <c r="L3261">
        <v>2665</v>
      </c>
      <c r="N3261" t="str">
        <f t="shared" si="50"/>
        <v/>
      </c>
    </row>
    <row r="3262" spans="12:14">
      <c r="L3262">
        <v>3126</v>
      </c>
      <c r="N3262" t="str">
        <f t="shared" si="50"/>
        <v/>
      </c>
    </row>
    <row r="3263" spans="12:14">
      <c r="L3263">
        <v>1689</v>
      </c>
      <c r="N3263" t="str">
        <f t="shared" si="50"/>
        <v/>
      </c>
    </row>
    <row r="3264" spans="12:14">
      <c r="L3264">
        <v>4893</v>
      </c>
      <c r="N3264" t="str">
        <f t="shared" si="50"/>
        <v/>
      </c>
    </row>
    <row r="3265" spans="12:14">
      <c r="L3265">
        <v>205</v>
      </c>
      <c r="M3265" t="s">
        <v>31</v>
      </c>
      <c r="N3265">
        <f t="shared" si="50"/>
        <v>6</v>
      </c>
    </row>
    <row r="3266" spans="12:14">
      <c r="L3266">
        <v>2035</v>
      </c>
      <c r="N3266" t="str">
        <f t="shared" si="50"/>
        <v/>
      </c>
    </row>
    <row r="3267" spans="12:14">
      <c r="L3267">
        <v>3072</v>
      </c>
      <c r="N3267" t="str">
        <f t="shared" ref="N3267:N3330" si="51">IFERROR(VLOOKUP(M3267,$A$3:$B$10,2,0),"")</f>
        <v/>
      </c>
    </row>
    <row r="3268" spans="12:14">
      <c r="L3268">
        <v>4496</v>
      </c>
      <c r="N3268" t="str">
        <f t="shared" si="51"/>
        <v/>
      </c>
    </row>
    <row r="3269" spans="12:14">
      <c r="L3269">
        <v>696</v>
      </c>
      <c r="N3269" t="str">
        <f t="shared" si="51"/>
        <v/>
      </c>
    </row>
    <row r="3270" spans="12:14">
      <c r="L3270">
        <v>4165</v>
      </c>
      <c r="M3270" t="s">
        <v>31</v>
      </c>
      <c r="N3270">
        <f t="shared" si="51"/>
        <v>6</v>
      </c>
    </row>
    <row r="3271" spans="12:14">
      <c r="L3271">
        <v>804</v>
      </c>
      <c r="N3271" t="str">
        <f t="shared" si="51"/>
        <v/>
      </c>
    </row>
    <row r="3272" spans="12:14">
      <c r="L3272">
        <v>4088</v>
      </c>
      <c r="M3272" t="s">
        <v>26</v>
      </c>
      <c r="N3272">
        <f t="shared" si="51"/>
        <v>1</v>
      </c>
    </row>
    <row r="3273" spans="12:14">
      <c r="L3273">
        <v>3253</v>
      </c>
      <c r="M3273" t="s">
        <v>19</v>
      </c>
      <c r="N3273">
        <f t="shared" si="51"/>
        <v>2</v>
      </c>
    </row>
    <row r="3274" spans="12:14">
      <c r="L3274">
        <v>2265</v>
      </c>
      <c r="M3274" t="s">
        <v>31</v>
      </c>
      <c r="N3274">
        <f t="shared" si="51"/>
        <v>6</v>
      </c>
    </row>
    <row r="3275" spans="12:14">
      <c r="L3275">
        <v>1579</v>
      </c>
      <c r="N3275" t="str">
        <f t="shared" si="51"/>
        <v/>
      </c>
    </row>
    <row r="3276" spans="12:14">
      <c r="L3276">
        <v>147</v>
      </c>
      <c r="M3276" t="s">
        <v>19</v>
      </c>
      <c r="N3276">
        <f t="shared" si="51"/>
        <v>2</v>
      </c>
    </row>
    <row r="3277" spans="12:14">
      <c r="L3277">
        <v>31</v>
      </c>
      <c r="N3277" t="str">
        <f t="shared" si="51"/>
        <v/>
      </c>
    </row>
    <row r="3278" spans="12:14">
      <c r="L3278">
        <v>3210</v>
      </c>
      <c r="N3278" t="str">
        <f t="shared" si="51"/>
        <v/>
      </c>
    </row>
    <row r="3279" spans="12:14">
      <c r="L3279">
        <v>1093</v>
      </c>
      <c r="N3279" t="str">
        <f t="shared" si="51"/>
        <v/>
      </c>
    </row>
    <row r="3280" spans="12:14">
      <c r="L3280">
        <v>2323</v>
      </c>
      <c r="N3280" t="str">
        <f t="shared" si="51"/>
        <v/>
      </c>
    </row>
    <row r="3281" spans="12:14">
      <c r="L3281">
        <v>663</v>
      </c>
      <c r="N3281" t="str">
        <f t="shared" si="51"/>
        <v/>
      </c>
    </row>
    <row r="3282" spans="12:14">
      <c r="L3282">
        <v>2406</v>
      </c>
      <c r="N3282" t="str">
        <f t="shared" si="51"/>
        <v/>
      </c>
    </row>
    <row r="3283" spans="12:14">
      <c r="L3283">
        <v>1993</v>
      </c>
      <c r="N3283" t="str">
        <f t="shared" si="51"/>
        <v/>
      </c>
    </row>
    <row r="3284" spans="12:14">
      <c r="L3284">
        <v>3232</v>
      </c>
      <c r="N3284" t="str">
        <f t="shared" si="51"/>
        <v/>
      </c>
    </row>
    <row r="3285" spans="12:14">
      <c r="L3285">
        <v>3492</v>
      </c>
      <c r="N3285" t="str">
        <f t="shared" si="51"/>
        <v/>
      </c>
    </row>
    <row r="3286" spans="12:14">
      <c r="L3286">
        <v>3473</v>
      </c>
      <c r="M3286" t="s">
        <v>30</v>
      </c>
      <c r="N3286">
        <f t="shared" si="51"/>
        <v>7</v>
      </c>
    </row>
    <row r="3287" spans="12:14">
      <c r="L3287">
        <v>1532</v>
      </c>
      <c r="M3287" t="s">
        <v>25</v>
      </c>
      <c r="N3287">
        <f t="shared" si="51"/>
        <v>5</v>
      </c>
    </row>
    <row r="3288" spans="12:14">
      <c r="L3288">
        <v>1387</v>
      </c>
      <c r="N3288" t="str">
        <f t="shared" si="51"/>
        <v/>
      </c>
    </row>
    <row r="3289" spans="12:14">
      <c r="L3289">
        <v>1824</v>
      </c>
      <c r="M3289" t="s">
        <v>25</v>
      </c>
      <c r="N3289">
        <f t="shared" si="51"/>
        <v>5</v>
      </c>
    </row>
    <row r="3290" spans="12:14">
      <c r="L3290">
        <v>2700</v>
      </c>
      <c r="N3290" t="str">
        <f t="shared" si="51"/>
        <v/>
      </c>
    </row>
    <row r="3291" spans="12:14">
      <c r="L3291">
        <v>2091</v>
      </c>
      <c r="N3291" t="str">
        <f t="shared" si="51"/>
        <v/>
      </c>
    </row>
    <row r="3292" spans="12:14">
      <c r="L3292">
        <v>1861</v>
      </c>
      <c r="N3292" t="str">
        <f t="shared" si="51"/>
        <v/>
      </c>
    </row>
    <row r="3293" spans="12:14">
      <c r="L3293">
        <v>4685</v>
      </c>
      <c r="N3293" t="str">
        <f t="shared" si="51"/>
        <v/>
      </c>
    </row>
    <row r="3294" spans="12:14">
      <c r="L3294">
        <v>394</v>
      </c>
      <c r="N3294" t="str">
        <f t="shared" si="51"/>
        <v/>
      </c>
    </row>
    <row r="3295" spans="12:14">
      <c r="L3295">
        <v>550</v>
      </c>
      <c r="M3295" t="s">
        <v>28</v>
      </c>
      <c r="N3295">
        <f t="shared" si="51"/>
        <v>3</v>
      </c>
    </row>
    <row r="3296" spans="12:14">
      <c r="L3296">
        <v>4853</v>
      </c>
      <c r="N3296" t="str">
        <f t="shared" si="51"/>
        <v/>
      </c>
    </row>
    <row r="3297" spans="12:14">
      <c r="L3297">
        <v>451</v>
      </c>
      <c r="M3297" t="s">
        <v>19</v>
      </c>
      <c r="N3297">
        <f t="shared" si="51"/>
        <v>2</v>
      </c>
    </row>
    <row r="3298" spans="12:14">
      <c r="L3298">
        <v>52</v>
      </c>
      <c r="N3298" t="str">
        <f t="shared" si="51"/>
        <v/>
      </c>
    </row>
    <row r="3299" spans="12:14">
      <c r="L3299">
        <v>2596</v>
      </c>
      <c r="M3299" t="s">
        <v>26</v>
      </c>
      <c r="N3299">
        <f t="shared" si="51"/>
        <v>1</v>
      </c>
    </row>
    <row r="3300" spans="12:14">
      <c r="L3300">
        <v>2261</v>
      </c>
      <c r="N3300" t="str">
        <f t="shared" si="51"/>
        <v/>
      </c>
    </row>
    <row r="3301" spans="12:14">
      <c r="L3301">
        <v>71</v>
      </c>
      <c r="N3301" t="str">
        <f t="shared" si="51"/>
        <v/>
      </c>
    </row>
    <row r="3302" spans="12:14">
      <c r="L3302">
        <v>3320</v>
      </c>
      <c r="N3302" t="str">
        <f t="shared" si="51"/>
        <v/>
      </c>
    </row>
    <row r="3303" spans="12:14">
      <c r="L3303">
        <v>2008</v>
      </c>
      <c r="N3303" t="str">
        <f t="shared" si="51"/>
        <v/>
      </c>
    </row>
    <row r="3304" spans="12:14">
      <c r="L3304">
        <v>3569</v>
      </c>
      <c r="M3304" t="s">
        <v>31</v>
      </c>
      <c r="N3304">
        <f t="shared" si="51"/>
        <v>6</v>
      </c>
    </row>
    <row r="3305" spans="12:14">
      <c r="L3305">
        <v>2699</v>
      </c>
      <c r="N3305" t="str">
        <f t="shared" si="51"/>
        <v/>
      </c>
    </row>
    <row r="3306" spans="12:14">
      <c r="L3306">
        <v>861</v>
      </c>
      <c r="N3306" t="str">
        <f t="shared" si="51"/>
        <v/>
      </c>
    </row>
    <row r="3307" spans="12:14">
      <c r="L3307">
        <v>1242</v>
      </c>
      <c r="M3307" t="s">
        <v>30</v>
      </c>
      <c r="N3307">
        <f t="shared" si="51"/>
        <v>7</v>
      </c>
    </row>
    <row r="3308" spans="12:14">
      <c r="L3308">
        <v>2711</v>
      </c>
      <c r="N3308" t="str">
        <f t="shared" si="51"/>
        <v/>
      </c>
    </row>
    <row r="3309" spans="12:14">
      <c r="L3309">
        <v>3683</v>
      </c>
      <c r="M3309" t="s">
        <v>19</v>
      </c>
      <c r="N3309">
        <f t="shared" si="51"/>
        <v>2</v>
      </c>
    </row>
    <row r="3310" spans="12:14">
      <c r="L3310">
        <v>3693</v>
      </c>
      <c r="N3310" t="str">
        <f t="shared" si="51"/>
        <v/>
      </c>
    </row>
    <row r="3311" spans="12:14">
      <c r="L3311">
        <v>1806</v>
      </c>
      <c r="N3311" t="str">
        <f t="shared" si="51"/>
        <v/>
      </c>
    </row>
    <row r="3312" spans="12:14">
      <c r="L3312">
        <v>4407</v>
      </c>
      <c r="N3312" t="str">
        <f t="shared" si="51"/>
        <v/>
      </c>
    </row>
    <row r="3313" spans="12:14">
      <c r="L3313">
        <v>3705</v>
      </c>
      <c r="N3313" t="str">
        <f t="shared" si="51"/>
        <v/>
      </c>
    </row>
    <row r="3314" spans="12:14">
      <c r="L3314">
        <v>3921</v>
      </c>
      <c r="N3314" t="str">
        <f t="shared" si="51"/>
        <v/>
      </c>
    </row>
    <row r="3315" spans="12:14">
      <c r="L3315">
        <v>2054</v>
      </c>
      <c r="M3315" t="s">
        <v>28</v>
      </c>
      <c r="N3315">
        <f t="shared" si="51"/>
        <v>3</v>
      </c>
    </row>
    <row r="3316" spans="12:14">
      <c r="L3316">
        <v>4469</v>
      </c>
      <c r="N3316" t="str">
        <f t="shared" si="51"/>
        <v/>
      </c>
    </row>
    <row r="3317" spans="12:14">
      <c r="L3317">
        <v>4395</v>
      </c>
      <c r="N3317" t="str">
        <f t="shared" si="51"/>
        <v/>
      </c>
    </row>
    <row r="3318" spans="12:14">
      <c r="L3318">
        <v>509</v>
      </c>
      <c r="N3318" t="str">
        <f t="shared" si="51"/>
        <v/>
      </c>
    </row>
    <row r="3319" spans="12:14">
      <c r="L3319">
        <v>446</v>
      </c>
      <c r="N3319" t="str">
        <f t="shared" si="51"/>
        <v/>
      </c>
    </row>
    <row r="3320" spans="12:14">
      <c r="L3320">
        <v>2554</v>
      </c>
      <c r="M3320" t="s">
        <v>25</v>
      </c>
      <c r="N3320">
        <f t="shared" si="51"/>
        <v>5</v>
      </c>
    </row>
    <row r="3321" spans="12:14">
      <c r="L3321">
        <v>1080</v>
      </c>
      <c r="N3321" t="str">
        <f t="shared" si="51"/>
        <v/>
      </c>
    </row>
    <row r="3322" spans="12:14">
      <c r="L3322">
        <v>1449</v>
      </c>
      <c r="M3322" t="s">
        <v>30</v>
      </c>
      <c r="N3322">
        <f t="shared" si="51"/>
        <v>7</v>
      </c>
    </row>
    <row r="3323" spans="12:14">
      <c r="L3323">
        <v>3080</v>
      </c>
      <c r="N3323" t="str">
        <f t="shared" si="51"/>
        <v/>
      </c>
    </row>
    <row r="3324" spans="12:14">
      <c r="L3324">
        <v>790</v>
      </c>
      <c r="N3324" t="str">
        <f t="shared" si="51"/>
        <v/>
      </c>
    </row>
    <row r="3325" spans="12:14">
      <c r="L3325">
        <v>4625</v>
      </c>
      <c r="M3325" t="s">
        <v>28</v>
      </c>
      <c r="N3325">
        <f t="shared" si="51"/>
        <v>3</v>
      </c>
    </row>
    <row r="3326" spans="12:14">
      <c r="L3326">
        <v>3077</v>
      </c>
      <c r="N3326" t="str">
        <f t="shared" si="51"/>
        <v/>
      </c>
    </row>
    <row r="3327" spans="12:14">
      <c r="L3327">
        <v>536</v>
      </c>
      <c r="M3327" t="s">
        <v>19</v>
      </c>
      <c r="N3327">
        <f t="shared" si="51"/>
        <v>2</v>
      </c>
    </row>
    <row r="3328" spans="12:14">
      <c r="L3328">
        <v>576</v>
      </c>
      <c r="N3328" t="str">
        <f t="shared" si="51"/>
        <v/>
      </c>
    </row>
    <row r="3329" spans="12:14">
      <c r="L3329">
        <v>870</v>
      </c>
      <c r="N3329" t="str">
        <f t="shared" si="51"/>
        <v/>
      </c>
    </row>
    <row r="3330" spans="12:14">
      <c r="L3330">
        <v>4847</v>
      </c>
      <c r="N3330" t="str">
        <f t="shared" si="51"/>
        <v/>
      </c>
    </row>
    <row r="3331" spans="12:14">
      <c r="L3331">
        <v>918</v>
      </c>
      <c r="N3331" t="str">
        <f t="shared" ref="N3331:N3394" si="52">IFERROR(VLOOKUP(M3331,$A$3:$B$10,2,0),"")</f>
        <v/>
      </c>
    </row>
    <row r="3332" spans="12:14">
      <c r="L3332">
        <v>3027</v>
      </c>
      <c r="M3332" t="s">
        <v>30</v>
      </c>
      <c r="N3332">
        <f t="shared" si="52"/>
        <v>7</v>
      </c>
    </row>
    <row r="3333" spans="12:14">
      <c r="L3333">
        <v>4128</v>
      </c>
      <c r="N3333" t="str">
        <f t="shared" si="52"/>
        <v/>
      </c>
    </row>
    <row r="3334" spans="12:14">
      <c r="L3334">
        <v>2969</v>
      </c>
      <c r="N3334" t="str">
        <f t="shared" si="52"/>
        <v/>
      </c>
    </row>
    <row r="3335" spans="12:14">
      <c r="L3335">
        <v>2872</v>
      </c>
      <c r="N3335" t="str">
        <f t="shared" si="52"/>
        <v/>
      </c>
    </row>
    <row r="3336" spans="12:14">
      <c r="L3336">
        <v>34</v>
      </c>
      <c r="N3336" t="str">
        <f t="shared" si="52"/>
        <v/>
      </c>
    </row>
    <row r="3337" spans="12:14">
      <c r="L3337">
        <v>4641</v>
      </c>
      <c r="N3337" t="str">
        <f t="shared" si="52"/>
        <v/>
      </c>
    </row>
    <row r="3338" spans="12:14">
      <c r="L3338">
        <v>1085</v>
      </c>
      <c r="M3338" t="s">
        <v>26</v>
      </c>
      <c r="N3338">
        <f t="shared" si="52"/>
        <v>1</v>
      </c>
    </row>
    <row r="3339" spans="12:14">
      <c r="L3339">
        <v>182</v>
      </c>
      <c r="N3339" t="str">
        <f t="shared" si="52"/>
        <v/>
      </c>
    </row>
    <row r="3340" spans="12:14">
      <c r="L3340">
        <v>2309</v>
      </c>
      <c r="M3340" t="s">
        <v>29</v>
      </c>
      <c r="N3340">
        <f t="shared" si="52"/>
        <v>4</v>
      </c>
    </row>
    <row r="3341" spans="12:14">
      <c r="L3341">
        <v>547</v>
      </c>
      <c r="M3341" t="s">
        <v>26</v>
      </c>
      <c r="N3341">
        <f t="shared" si="52"/>
        <v>1</v>
      </c>
    </row>
    <row r="3342" spans="12:14">
      <c r="L3342">
        <v>1412</v>
      </c>
      <c r="N3342" t="str">
        <f t="shared" si="52"/>
        <v/>
      </c>
    </row>
    <row r="3343" spans="12:14">
      <c r="L3343">
        <v>2044</v>
      </c>
      <c r="M3343" t="s">
        <v>25</v>
      </c>
      <c r="N3343">
        <f t="shared" si="52"/>
        <v>5</v>
      </c>
    </row>
    <row r="3344" spans="12:14">
      <c r="L3344">
        <v>2220</v>
      </c>
      <c r="M3344" t="s">
        <v>28</v>
      </c>
      <c r="N3344">
        <f t="shared" si="52"/>
        <v>3</v>
      </c>
    </row>
    <row r="3345" spans="12:14">
      <c r="L3345">
        <v>695</v>
      </c>
      <c r="N3345" t="str">
        <f t="shared" si="52"/>
        <v/>
      </c>
    </row>
    <row r="3346" spans="12:14">
      <c r="L3346">
        <v>2427</v>
      </c>
      <c r="N3346" t="str">
        <f t="shared" si="52"/>
        <v/>
      </c>
    </row>
    <row r="3347" spans="12:14">
      <c r="L3347">
        <v>810</v>
      </c>
      <c r="N3347" t="str">
        <f t="shared" si="52"/>
        <v/>
      </c>
    </row>
    <row r="3348" spans="12:14">
      <c r="L3348">
        <v>3852</v>
      </c>
      <c r="N3348" t="str">
        <f t="shared" si="52"/>
        <v/>
      </c>
    </row>
    <row r="3349" spans="12:14">
      <c r="L3349">
        <v>1669</v>
      </c>
      <c r="N3349" t="str">
        <f t="shared" si="52"/>
        <v/>
      </c>
    </row>
    <row r="3350" spans="12:14">
      <c r="L3350">
        <v>3674</v>
      </c>
      <c r="N3350" t="str">
        <f t="shared" si="52"/>
        <v/>
      </c>
    </row>
    <row r="3351" spans="12:14">
      <c r="L3351">
        <v>2250</v>
      </c>
      <c r="M3351" t="s">
        <v>29</v>
      </c>
      <c r="N3351">
        <f t="shared" si="52"/>
        <v>4</v>
      </c>
    </row>
    <row r="3352" spans="12:14">
      <c r="L3352">
        <v>3770</v>
      </c>
      <c r="N3352" t="str">
        <f t="shared" si="52"/>
        <v/>
      </c>
    </row>
    <row r="3353" spans="12:14">
      <c r="L3353">
        <v>334</v>
      </c>
      <c r="N3353" t="str">
        <f t="shared" si="52"/>
        <v/>
      </c>
    </row>
    <row r="3354" spans="12:14">
      <c r="L3354">
        <v>2679</v>
      </c>
      <c r="M3354" t="s">
        <v>25</v>
      </c>
      <c r="N3354">
        <f t="shared" si="52"/>
        <v>5</v>
      </c>
    </row>
    <row r="3355" spans="12:14">
      <c r="L3355">
        <v>2037</v>
      </c>
      <c r="N3355" t="str">
        <f t="shared" si="52"/>
        <v/>
      </c>
    </row>
    <row r="3356" spans="12:14">
      <c r="L3356">
        <v>4261</v>
      </c>
      <c r="N3356" t="str">
        <f t="shared" si="52"/>
        <v/>
      </c>
    </row>
    <row r="3357" spans="12:14">
      <c r="L3357">
        <v>455</v>
      </c>
      <c r="N3357" t="str">
        <f t="shared" si="52"/>
        <v/>
      </c>
    </row>
    <row r="3358" spans="12:14">
      <c r="L3358">
        <v>3043</v>
      </c>
      <c r="M3358" t="s">
        <v>28</v>
      </c>
      <c r="N3358">
        <f t="shared" si="52"/>
        <v>3</v>
      </c>
    </row>
    <row r="3359" spans="12:14">
      <c r="L3359">
        <v>80</v>
      </c>
      <c r="M3359" t="s">
        <v>31</v>
      </c>
      <c r="N3359">
        <f t="shared" si="52"/>
        <v>6</v>
      </c>
    </row>
    <row r="3360" spans="12:14">
      <c r="L3360">
        <v>3252</v>
      </c>
      <c r="N3360" t="str">
        <f t="shared" si="52"/>
        <v/>
      </c>
    </row>
    <row r="3361" spans="12:14">
      <c r="L3361">
        <v>4674</v>
      </c>
      <c r="N3361" t="str">
        <f t="shared" si="52"/>
        <v/>
      </c>
    </row>
    <row r="3362" spans="12:14">
      <c r="L3362">
        <v>2335</v>
      </c>
      <c r="N3362" t="str">
        <f t="shared" si="52"/>
        <v/>
      </c>
    </row>
    <row r="3363" spans="12:14">
      <c r="L3363">
        <v>677</v>
      </c>
      <c r="N3363" t="str">
        <f t="shared" si="52"/>
        <v/>
      </c>
    </row>
    <row r="3364" spans="12:14">
      <c r="L3364">
        <v>467</v>
      </c>
      <c r="M3364" t="s">
        <v>28</v>
      </c>
      <c r="N3364">
        <f t="shared" si="52"/>
        <v>3</v>
      </c>
    </row>
    <row r="3365" spans="12:14">
      <c r="L3365">
        <v>965</v>
      </c>
      <c r="N3365" t="str">
        <f t="shared" si="52"/>
        <v/>
      </c>
    </row>
    <row r="3366" spans="12:14">
      <c r="L3366">
        <v>3608</v>
      </c>
      <c r="N3366" t="str">
        <f t="shared" si="52"/>
        <v/>
      </c>
    </row>
    <row r="3367" spans="12:14">
      <c r="L3367">
        <v>145</v>
      </c>
      <c r="N3367" t="str">
        <f t="shared" si="52"/>
        <v/>
      </c>
    </row>
    <row r="3368" spans="12:14">
      <c r="L3368">
        <v>4198</v>
      </c>
      <c r="N3368" t="str">
        <f t="shared" si="52"/>
        <v/>
      </c>
    </row>
    <row r="3369" spans="12:14">
      <c r="L3369">
        <v>3021</v>
      </c>
      <c r="N3369" t="str">
        <f t="shared" si="52"/>
        <v/>
      </c>
    </row>
    <row r="3370" spans="12:14">
      <c r="L3370">
        <v>4506</v>
      </c>
      <c r="N3370" t="str">
        <f t="shared" si="52"/>
        <v/>
      </c>
    </row>
    <row r="3371" spans="12:14">
      <c r="L3371">
        <v>3054</v>
      </c>
      <c r="M3371" t="s">
        <v>25</v>
      </c>
      <c r="N3371">
        <f t="shared" si="52"/>
        <v>5</v>
      </c>
    </row>
    <row r="3372" spans="12:14">
      <c r="L3372">
        <v>3501</v>
      </c>
      <c r="M3372" t="s">
        <v>25</v>
      </c>
      <c r="N3372">
        <f t="shared" si="52"/>
        <v>5</v>
      </c>
    </row>
    <row r="3373" spans="12:14">
      <c r="L3373">
        <v>1170</v>
      </c>
      <c r="N3373" t="str">
        <f t="shared" si="52"/>
        <v/>
      </c>
    </row>
    <row r="3374" spans="12:14">
      <c r="L3374">
        <v>2095</v>
      </c>
      <c r="N3374" t="str">
        <f t="shared" si="52"/>
        <v/>
      </c>
    </row>
    <row r="3375" spans="12:14">
      <c r="L3375">
        <v>3012</v>
      </c>
      <c r="M3375" t="s">
        <v>26</v>
      </c>
      <c r="N3375">
        <f t="shared" si="52"/>
        <v>1</v>
      </c>
    </row>
    <row r="3376" spans="12:14">
      <c r="L3376">
        <v>4821</v>
      </c>
      <c r="N3376" t="str">
        <f t="shared" si="52"/>
        <v/>
      </c>
    </row>
    <row r="3377" spans="12:14">
      <c r="L3377">
        <v>657</v>
      </c>
      <c r="N3377" t="str">
        <f t="shared" si="52"/>
        <v/>
      </c>
    </row>
    <row r="3378" spans="12:14">
      <c r="L3378">
        <v>2491</v>
      </c>
      <c r="M3378" t="s">
        <v>19</v>
      </c>
      <c r="N3378">
        <f t="shared" si="52"/>
        <v>2</v>
      </c>
    </row>
    <row r="3379" spans="12:14">
      <c r="L3379">
        <v>2676</v>
      </c>
      <c r="N3379" t="str">
        <f t="shared" si="52"/>
        <v/>
      </c>
    </row>
    <row r="3380" spans="12:14">
      <c r="L3380">
        <v>4562</v>
      </c>
      <c r="N3380" t="str">
        <f t="shared" si="52"/>
        <v/>
      </c>
    </row>
    <row r="3381" spans="12:14">
      <c r="L3381">
        <v>1070</v>
      </c>
      <c r="M3381" t="s">
        <v>25</v>
      </c>
      <c r="N3381">
        <f t="shared" si="52"/>
        <v>5</v>
      </c>
    </row>
    <row r="3382" spans="12:14">
      <c r="L3382">
        <v>289</v>
      </c>
      <c r="M3382" t="s">
        <v>30</v>
      </c>
      <c r="N3382">
        <f t="shared" si="52"/>
        <v>7</v>
      </c>
    </row>
    <row r="3383" spans="12:14">
      <c r="L3383">
        <v>1851</v>
      </c>
      <c r="M3383" t="s">
        <v>30</v>
      </c>
      <c r="N3383">
        <f t="shared" si="52"/>
        <v>7</v>
      </c>
    </row>
    <row r="3384" spans="12:14">
      <c r="L3384">
        <v>1527</v>
      </c>
      <c r="N3384" t="str">
        <f t="shared" si="52"/>
        <v/>
      </c>
    </row>
    <row r="3385" spans="12:14">
      <c r="L3385">
        <v>3764</v>
      </c>
      <c r="N3385" t="str">
        <f t="shared" si="52"/>
        <v/>
      </c>
    </row>
    <row r="3386" spans="12:14">
      <c r="L3386">
        <v>4503</v>
      </c>
      <c r="M3386" t="s">
        <v>29</v>
      </c>
      <c r="N3386">
        <f t="shared" si="52"/>
        <v>4</v>
      </c>
    </row>
    <row r="3387" spans="12:14">
      <c r="L3387">
        <v>697</v>
      </c>
      <c r="N3387" t="str">
        <f t="shared" si="52"/>
        <v/>
      </c>
    </row>
    <row r="3388" spans="12:14">
      <c r="L3388">
        <v>670</v>
      </c>
      <c r="N3388" t="str">
        <f t="shared" si="52"/>
        <v/>
      </c>
    </row>
    <row r="3389" spans="12:14">
      <c r="L3389">
        <v>2599</v>
      </c>
      <c r="M3389" t="s">
        <v>19</v>
      </c>
      <c r="N3389">
        <f t="shared" si="52"/>
        <v>2</v>
      </c>
    </row>
    <row r="3390" spans="12:14">
      <c r="L3390">
        <v>2434</v>
      </c>
      <c r="N3390" t="str">
        <f t="shared" si="52"/>
        <v/>
      </c>
    </row>
    <row r="3391" spans="12:14">
      <c r="L3391">
        <v>2834</v>
      </c>
      <c r="N3391" t="str">
        <f t="shared" si="52"/>
        <v/>
      </c>
    </row>
    <row r="3392" spans="12:14">
      <c r="L3392">
        <v>2508</v>
      </c>
      <c r="N3392" t="str">
        <f t="shared" si="52"/>
        <v/>
      </c>
    </row>
    <row r="3393" spans="12:14">
      <c r="L3393">
        <v>4333</v>
      </c>
      <c r="M3393" t="s">
        <v>31</v>
      </c>
      <c r="N3393">
        <f t="shared" si="52"/>
        <v>6</v>
      </c>
    </row>
    <row r="3394" spans="12:14">
      <c r="L3394">
        <v>4695</v>
      </c>
      <c r="M3394" t="s">
        <v>28</v>
      </c>
      <c r="N3394">
        <f t="shared" si="52"/>
        <v>3</v>
      </c>
    </row>
    <row r="3395" spans="12:14">
      <c r="L3395">
        <v>3161</v>
      </c>
      <c r="N3395" t="str">
        <f t="shared" ref="N3395:N3458" si="53">IFERROR(VLOOKUP(M3395,$A$3:$B$10,2,0),"")</f>
        <v/>
      </c>
    </row>
    <row r="3396" spans="12:14">
      <c r="L3396">
        <v>3155</v>
      </c>
      <c r="M3396" t="s">
        <v>30</v>
      </c>
      <c r="N3396">
        <f t="shared" si="53"/>
        <v>7</v>
      </c>
    </row>
    <row r="3397" spans="12:14">
      <c r="L3397">
        <v>3719</v>
      </c>
      <c r="N3397" t="str">
        <f t="shared" si="53"/>
        <v/>
      </c>
    </row>
    <row r="3398" spans="12:14">
      <c r="L3398">
        <v>864</v>
      </c>
      <c r="N3398" t="str">
        <f t="shared" si="53"/>
        <v/>
      </c>
    </row>
    <row r="3399" spans="12:14">
      <c r="L3399">
        <v>4199</v>
      </c>
      <c r="M3399" t="s">
        <v>31</v>
      </c>
      <c r="N3399">
        <f t="shared" si="53"/>
        <v>6</v>
      </c>
    </row>
    <row r="3400" spans="12:14">
      <c r="L3400">
        <v>427</v>
      </c>
      <c r="N3400" t="str">
        <f t="shared" si="53"/>
        <v/>
      </c>
    </row>
    <row r="3401" spans="12:14">
      <c r="L3401">
        <v>2457</v>
      </c>
      <c r="M3401" t="s">
        <v>19</v>
      </c>
      <c r="N3401">
        <f t="shared" si="53"/>
        <v>2</v>
      </c>
    </row>
    <row r="3402" spans="12:14">
      <c r="L3402">
        <v>311</v>
      </c>
      <c r="M3402" t="s">
        <v>30</v>
      </c>
      <c r="N3402">
        <f t="shared" si="53"/>
        <v>7</v>
      </c>
    </row>
    <row r="3403" spans="12:14">
      <c r="L3403">
        <v>3209</v>
      </c>
      <c r="M3403" t="s">
        <v>28</v>
      </c>
      <c r="N3403">
        <f t="shared" si="53"/>
        <v>3</v>
      </c>
    </row>
    <row r="3404" spans="12:14">
      <c r="L3404">
        <v>4752</v>
      </c>
      <c r="N3404" t="str">
        <f t="shared" si="53"/>
        <v/>
      </c>
    </row>
    <row r="3405" spans="12:14">
      <c r="L3405">
        <v>2445</v>
      </c>
      <c r="N3405" t="str">
        <f t="shared" si="53"/>
        <v/>
      </c>
    </row>
    <row r="3406" spans="12:14">
      <c r="L3406">
        <v>3996</v>
      </c>
      <c r="N3406" t="str">
        <f t="shared" si="53"/>
        <v/>
      </c>
    </row>
    <row r="3407" spans="12:14">
      <c r="L3407">
        <v>3434</v>
      </c>
      <c r="M3407" t="s">
        <v>19</v>
      </c>
      <c r="N3407">
        <f t="shared" si="53"/>
        <v>2</v>
      </c>
    </row>
    <row r="3408" spans="12:14">
      <c r="L3408">
        <v>1843</v>
      </c>
      <c r="N3408" t="str">
        <f t="shared" si="53"/>
        <v/>
      </c>
    </row>
    <row r="3409" spans="12:14">
      <c r="L3409">
        <v>739</v>
      </c>
      <c r="M3409" t="s">
        <v>26</v>
      </c>
      <c r="N3409">
        <f t="shared" si="53"/>
        <v>1</v>
      </c>
    </row>
    <row r="3410" spans="12:14">
      <c r="L3410">
        <v>40</v>
      </c>
      <c r="N3410" t="str">
        <f t="shared" si="53"/>
        <v/>
      </c>
    </row>
    <row r="3411" spans="12:14">
      <c r="L3411">
        <v>1444</v>
      </c>
      <c r="M3411" t="s">
        <v>25</v>
      </c>
      <c r="N3411">
        <f t="shared" si="53"/>
        <v>5</v>
      </c>
    </row>
    <row r="3412" spans="12:14">
      <c r="L3412">
        <v>4368</v>
      </c>
      <c r="N3412" t="str">
        <f t="shared" si="53"/>
        <v/>
      </c>
    </row>
    <row r="3413" spans="12:14">
      <c r="L3413">
        <v>1705</v>
      </c>
      <c r="M3413" t="s">
        <v>26</v>
      </c>
      <c r="N3413">
        <f t="shared" si="53"/>
        <v>1</v>
      </c>
    </row>
    <row r="3414" spans="12:14">
      <c r="L3414">
        <v>2264</v>
      </c>
      <c r="N3414" t="str">
        <f t="shared" si="53"/>
        <v/>
      </c>
    </row>
    <row r="3415" spans="12:14">
      <c r="L3415">
        <v>4173</v>
      </c>
      <c r="N3415" t="str">
        <f t="shared" si="53"/>
        <v/>
      </c>
    </row>
    <row r="3416" spans="12:14">
      <c r="L3416">
        <v>2117</v>
      </c>
      <c r="N3416" t="str">
        <f t="shared" si="53"/>
        <v/>
      </c>
    </row>
    <row r="3417" spans="12:14">
      <c r="L3417">
        <v>4266</v>
      </c>
      <c r="N3417" t="str">
        <f t="shared" si="53"/>
        <v/>
      </c>
    </row>
    <row r="3418" spans="12:14">
      <c r="L3418">
        <v>1947</v>
      </c>
      <c r="M3418" t="s">
        <v>19</v>
      </c>
      <c r="N3418">
        <f t="shared" si="53"/>
        <v>2</v>
      </c>
    </row>
    <row r="3419" spans="12:14">
      <c r="L3419">
        <v>4341</v>
      </c>
      <c r="N3419" t="str">
        <f t="shared" si="53"/>
        <v/>
      </c>
    </row>
    <row r="3420" spans="12:14">
      <c r="L3420">
        <v>3530</v>
      </c>
      <c r="N3420" t="str">
        <f t="shared" si="53"/>
        <v/>
      </c>
    </row>
    <row r="3421" spans="12:14">
      <c r="L3421">
        <v>3659</v>
      </c>
      <c r="M3421" t="s">
        <v>31</v>
      </c>
      <c r="N3421">
        <f t="shared" si="53"/>
        <v>6</v>
      </c>
    </row>
    <row r="3422" spans="12:14">
      <c r="L3422">
        <v>1788</v>
      </c>
      <c r="N3422" t="str">
        <f t="shared" si="53"/>
        <v/>
      </c>
    </row>
    <row r="3423" spans="12:14">
      <c r="L3423">
        <v>1730</v>
      </c>
      <c r="N3423" t="str">
        <f t="shared" si="53"/>
        <v/>
      </c>
    </row>
    <row r="3424" spans="12:14">
      <c r="L3424">
        <v>1897</v>
      </c>
      <c r="N3424" t="str">
        <f t="shared" si="53"/>
        <v/>
      </c>
    </row>
    <row r="3425" spans="12:14">
      <c r="L3425">
        <v>4222</v>
      </c>
      <c r="M3425" t="s">
        <v>25</v>
      </c>
      <c r="N3425">
        <f t="shared" si="53"/>
        <v>5</v>
      </c>
    </row>
    <row r="3426" spans="12:14">
      <c r="L3426">
        <v>1046</v>
      </c>
      <c r="N3426" t="str">
        <f t="shared" si="53"/>
        <v/>
      </c>
    </row>
    <row r="3427" spans="12:14">
      <c r="L3427">
        <v>3701</v>
      </c>
      <c r="M3427" t="s">
        <v>30</v>
      </c>
      <c r="N3427">
        <f t="shared" si="53"/>
        <v>7</v>
      </c>
    </row>
    <row r="3428" spans="12:14">
      <c r="L3428">
        <v>4538</v>
      </c>
      <c r="N3428" t="str">
        <f t="shared" si="53"/>
        <v/>
      </c>
    </row>
    <row r="3429" spans="12:14">
      <c r="L3429">
        <v>511</v>
      </c>
      <c r="N3429" t="str">
        <f t="shared" si="53"/>
        <v/>
      </c>
    </row>
    <row r="3430" spans="12:14">
      <c r="L3430">
        <v>328</v>
      </c>
      <c r="M3430" t="s">
        <v>25</v>
      </c>
      <c r="N3430">
        <f t="shared" si="53"/>
        <v>5</v>
      </c>
    </row>
    <row r="3431" spans="12:14">
      <c r="L3431">
        <v>1844</v>
      </c>
      <c r="N3431" t="str">
        <f t="shared" si="53"/>
        <v/>
      </c>
    </row>
    <row r="3432" spans="12:14">
      <c r="L3432">
        <v>3853</v>
      </c>
      <c r="M3432" t="s">
        <v>31</v>
      </c>
      <c r="N3432">
        <f t="shared" si="53"/>
        <v>6</v>
      </c>
    </row>
    <row r="3433" spans="12:14">
      <c r="L3433">
        <v>1823</v>
      </c>
      <c r="N3433" t="str">
        <f t="shared" si="53"/>
        <v/>
      </c>
    </row>
    <row r="3434" spans="12:14">
      <c r="L3434">
        <v>2118</v>
      </c>
      <c r="M3434" t="s">
        <v>28</v>
      </c>
      <c r="N3434">
        <f t="shared" si="53"/>
        <v>3</v>
      </c>
    </row>
    <row r="3435" spans="12:14">
      <c r="L3435">
        <v>1087</v>
      </c>
      <c r="N3435" t="str">
        <f t="shared" si="53"/>
        <v/>
      </c>
    </row>
    <row r="3436" spans="12:14">
      <c r="L3436">
        <v>3814</v>
      </c>
      <c r="N3436" t="str">
        <f t="shared" si="53"/>
        <v/>
      </c>
    </row>
    <row r="3437" spans="12:14">
      <c r="L3437">
        <v>346</v>
      </c>
      <c r="M3437" t="s">
        <v>29</v>
      </c>
      <c r="N3437">
        <f t="shared" si="53"/>
        <v>4</v>
      </c>
    </row>
    <row r="3438" spans="12:14">
      <c r="L3438">
        <v>21</v>
      </c>
      <c r="M3438" t="s">
        <v>19</v>
      </c>
      <c r="N3438">
        <f t="shared" si="53"/>
        <v>2</v>
      </c>
    </row>
    <row r="3439" spans="12:14">
      <c r="L3439">
        <v>2353</v>
      </c>
      <c r="M3439" t="s">
        <v>31</v>
      </c>
      <c r="N3439">
        <f t="shared" si="53"/>
        <v>6</v>
      </c>
    </row>
    <row r="3440" spans="12:14">
      <c r="L3440">
        <v>261</v>
      </c>
      <c r="N3440" t="str">
        <f t="shared" si="53"/>
        <v/>
      </c>
    </row>
    <row r="3441" spans="12:14">
      <c r="L3441">
        <v>1250</v>
      </c>
      <c r="N3441" t="str">
        <f t="shared" si="53"/>
        <v/>
      </c>
    </row>
    <row r="3442" spans="12:14">
      <c r="L3442">
        <v>2544</v>
      </c>
      <c r="N3442" t="str">
        <f t="shared" si="53"/>
        <v/>
      </c>
    </row>
    <row r="3443" spans="12:14">
      <c r="L3443">
        <v>794</v>
      </c>
      <c r="N3443" t="str">
        <f t="shared" si="53"/>
        <v/>
      </c>
    </row>
    <row r="3444" spans="12:14">
      <c r="L3444">
        <v>3862</v>
      </c>
      <c r="M3444" t="s">
        <v>19</v>
      </c>
      <c r="N3444">
        <f t="shared" si="53"/>
        <v>2</v>
      </c>
    </row>
    <row r="3445" spans="12:14">
      <c r="L3445">
        <v>3239</v>
      </c>
      <c r="M3445" t="s">
        <v>31</v>
      </c>
      <c r="N3445">
        <f t="shared" si="53"/>
        <v>6</v>
      </c>
    </row>
    <row r="3446" spans="12:14">
      <c r="L3446">
        <v>3110</v>
      </c>
      <c r="N3446" t="str">
        <f t="shared" si="53"/>
        <v/>
      </c>
    </row>
    <row r="3447" spans="12:14">
      <c r="L3447">
        <v>2875</v>
      </c>
      <c r="M3447" t="s">
        <v>31</v>
      </c>
      <c r="N3447">
        <f t="shared" si="53"/>
        <v>6</v>
      </c>
    </row>
    <row r="3448" spans="12:14">
      <c r="L3448">
        <v>4055</v>
      </c>
      <c r="N3448" t="str">
        <f t="shared" si="53"/>
        <v/>
      </c>
    </row>
    <row r="3449" spans="12:14">
      <c r="L3449">
        <v>4438</v>
      </c>
      <c r="N3449" t="str">
        <f t="shared" si="53"/>
        <v/>
      </c>
    </row>
    <row r="3450" spans="12:14">
      <c r="L3450">
        <v>3376</v>
      </c>
      <c r="M3450" t="s">
        <v>31</v>
      </c>
      <c r="N3450">
        <f t="shared" si="53"/>
        <v>6</v>
      </c>
    </row>
    <row r="3451" spans="12:14">
      <c r="L3451">
        <v>1177</v>
      </c>
      <c r="N3451" t="str">
        <f t="shared" si="53"/>
        <v/>
      </c>
    </row>
    <row r="3452" spans="12:14">
      <c r="L3452">
        <v>1099</v>
      </c>
      <c r="N3452" t="str">
        <f t="shared" si="53"/>
        <v/>
      </c>
    </row>
    <row r="3453" spans="12:14">
      <c r="L3453">
        <v>4758</v>
      </c>
      <c r="N3453" t="str">
        <f t="shared" si="53"/>
        <v/>
      </c>
    </row>
    <row r="3454" spans="12:14">
      <c r="L3454">
        <v>3472</v>
      </c>
      <c r="M3454" t="s">
        <v>30</v>
      </c>
      <c r="N3454">
        <f t="shared" si="53"/>
        <v>7</v>
      </c>
    </row>
    <row r="3455" spans="12:14">
      <c r="L3455">
        <v>1470</v>
      </c>
      <c r="M3455" t="s">
        <v>31</v>
      </c>
      <c r="N3455">
        <f t="shared" si="53"/>
        <v>6</v>
      </c>
    </row>
    <row r="3456" spans="12:14">
      <c r="L3456">
        <v>2746</v>
      </c>
      <c r="N3456" t="str">
        <f t="shared" si="53"/>
        <v/>
      </c>
    </row>
    <row r="3457" spans="12:14">
      <c r="L3457">
        <v>1649</v>
      </c>
      <c r="M3457" t="s">
        <v>26</v>
      </c>
      <c r="N3457">
        <f t="shared" si="53"/>
        <v>1</v>
      </c>
    </row>
    <row r="3458" spans="12:14">
      <c r="L3458">
        <v>1273</v>
      </c>
      <c r="M3458" t="s">
        <v>28</v>
      </c>
      <c r="N3458">
        <f t="shared" si="53"/>
        <v>3</v>
      </c>
    </row>
    <row r="3459" spans="12:14">
      <c r="L3459">
        <v>4583</v>
      </c>
      <c r="M3459" t="s">
        <v>31</v>
      </c>
      <c r="N3459">
        <f t="shared" ref="N3459:N3522" si="54">IFERROR(VLOOKUP(M3459,$A$3:$B$10,2,0),"")</f>
        <v>6</v>
      </c>
    </row>
    <row r="3460" spans="12:14">
      <c r="L3460">
        <v>4798</v>
      </c>
      <c r="N3460" t="str">
        <f t="shared" si="54"/>
        <v/>
      </c>
    </row>
    <row r="3461" spans="12:14">
      <c r="L3461">
        <v>2643</v>
      </c>
      <c r="N3461" t="str">
        <f t="shared" si="54"/>
        <v/>
      </c>
    </row>
    <row r="3462" spans="12:14">
      <c r="L3462">
        <v>200</v>
      </c>
      <c r="N3462" t="str">
        <f t="shared" si="54"/>
        <v/>
      </c>
    </row>
    <row r="3463" spans="12:14">
      <c r="L3463">
        <v>4489</v>
      </c>
      <c r="M3463" t="s">
        <v>30</v>
      </c>
      <c r="N3463">
        <f t="shared" si="54"/>
        <v>7</v>
      </c>
    </row>
    <row r="3464" spans="12:14">
      <c r="L3464">
        <v>3923</v>
      </c>
      <c r="N3464" t="str">
        <f t="shared" si="54"/>
        <v/>
      </c>
    </row>
    <row r="3465" spans="12:14">
      <c r="L3465">
        <v>2723</v>
      </c>
      <c r="N3465" t="str">
        <f t="shared" si="54"/>
        <v/>
      </c>
    </row>
    <row r="3466" spans="12:14">
      <c r="L3466">
        <v>1713</v>
      </c>
      <c r="N3466" t="str">
        <f t="shared" si="54"/>
        <v/>
      </c>
    </row>
    <row r="3467" spans="12:14">
      <c r="L3467">
        <v>3325</v>
      </c>
      <c r="M3467" t="s">
        <v>29</v>
      </c>
      <c r="N3467">
        <f t="shared" si="54"/>
        <v>4</v>
      </c>
    </row>
    <row r="3468" spans="12:14">
      <c r="L3468">
        <v>1563</v>
      </c>
      <c r="N3468" t="str">
        <f t="shared" si="54"/>
        <v/>
      </c>
    </row>
    <row r="3469" spans="12:14">
      <c r="L3469">
        <v>4150</v>
      </c>
      <c r="M3469" t="s">
        <v>31</v>
      </c>
      <c r="N3469">
        <f t="shared" si="54"/>
        <v>6</v>
      </c>
    </row>
    <row r="3470" spans="12:14">
      <c r="L3470">
        <v>2722</v>
      </c>
      <c r="M3470" t="s">
        <v>30</v>
      </c>
      <c r="N3470">
        <f t="shared" si="54"/>
        <v>7</v>
      </c>
    </row>
    <row r="3471" spans="12:14">
      <c r="L3471">
        <v>2937</v>
      </c>
      <c r="N3471" t="str">
        <f t="shared" si="54"/>
        <v/>
      </c>
    </row>
    <row r="3472" spans="12:14">
      <c r="L3472">
        <v>999</v>
      </c>
      <c r="M3472" t="s">
        <v>26</v>
      </c>
      <c r="N3472">
        <f t="shared" si="54"/>
        <v>1</v>
      </c>
    </row>
    <row r="3473" spans="12:14">
      <c r="L3473">
        <v>2789</v>
      </c>
      <c r="M3473" t="s">
        <v>28</v>
      </c>
      <c r="N3473">
        <f t="shared" si="54"/>
        <v>3</v>
      </c>
    </row>
    <row r="3474" spans="12:14">
      <c r="L3474">
        <v>3591</v>
      </c>
      <c r="N3474" t="str">
        <f t="shared" si="54"/>
        <v/>
      </c>
    </row>
    <row r="3475" spans="12:14">
      <c r="L3475">
        <v>2</v>
      </c>
      <c r="N3475" t="str">
        <f t="shared" si="54"/>
        <v/>
      </c>
    </row>
    <row r="3476" spans="12:14">
      <c r="L3476">
        <v>325</v>
      </c>
      <c r="N3476" t="str">
        <f t="shared" si="54"/>
        <v/>
      </c>
    </row>
    <row r="3477" spans="12:14">
      <c r="L3477">
        <v>413</v>
      </c>
      <c r="M3477" t="s">
        <v>29</v>
      </c>
      <c r="N3477">
        <f t="shared" si="54"/>
        <v>4</v>
      </c>
    </row>
    <row r="3478" spans="12:14">
      <c r="L3478">
        <v>2326</v>
      </c>
      <c r="N3478" t="str">
        <f t="shared" si="54"/>
        <v/>
      </c>
    </row>
    <row r="3479" spans="12:14">
      <c r="L3479">
        <v>1428</v>
      </c>
      <c r="N3479" t="str">
        <f t="shared" si="54"/>
        <v/>
      </c>
    </row>
    <row r="3480" spans="12:14">
      <c r="L3480">
        <v>2939</v>
      </c>
      <c r="M3480" t="s">
        <v>26</v>
      </c>
      <c r="N3480">
        <f t="shared" si="54"/>
        <v>1</v>
      </c>
    </row>
    <row r="3481" spans="12:14">
      <c r="L3481">
        <v>2844</v>
      </c>
      <c r="N3481" t="str">
        <f t="shared" si="54"/>
        <v/>
      </c>
    </row>
    <row r="3482" spans="12:14">
      <c r="L3482">
        <v>1513</v>
      </c>
      <c r="N3482" t="str">
        <f t="shared" si="54"/>
        <v/>
      </c>
    </row>
    <row r="3483" spans="12:14">
      <c r="L3483">
        <v>1774</v>
      </c>
      <c r="N3483" t="str">
        <f t="shared" si="54"/>
        <v/>
      </c>
    </row>
    <row r="3484" spans="12:14">
      <c r="L3484">
        <v>3060</v>
      </c>
      <c r="N3484" t="str">
        <f t="shared" si="54"/>
        <v/>
      </c>
    </row>
    <row r="3485" spans="12:14">
      <c r="L3485">
        <v>4842</v>
      </c>
      <c r="M3485" t="s">
        <v>25</v>
      </c>
      <c r="N3485">
        <f t="shared" si="54"/>
        <v>5</v>
      </c>
    </row>
    <row r="3486" spans="12:14">
      <c r="L3486">
        <v>2275</v>
      </c>
      <c r="N3486" t="str">
        <f t="shared" si="54"/>
        <v/>
      </c>
    </row>
    <row r="3487" spans="12:14">
      <c r="L3487">
        <v>3129</v>
      </c>
      <c r="N3487" t="str">
        <f t="shared" si="54"/>
        <v/>
      </c>
    </row>
    <row r="3488" spans="12:14">
      <c r="L3488">
        <v>4921</v>
      </c>
      <c r="N3488" t="str">
        <f t="shared" si="54"/>
        <v/>
      </c>
    </row>
    <row r="3489" spans="12:14">
      <c r="L3489">
        <v>541</v>
      </c>
      <c r="M3489" t="s">
        <v>19</v>
      </c>
      <c r="N3489">
        <f t="shared" si="54"/>
        <v>2</v>
      </c>
    </row>
    <row r="3490" spans="12:14">
      <c r="L3490">
        <v>1551</v>
      </c>
      <c r="M3490" t="s">
        <v>31</v>
      </c>
      <c r="N3490">
        <f t="shared" si="54"/>
        <v>6</v>
      </c>
    </row>
    <row r="3491" spans="12:14">
      <c r="L3491">
        <v>2556</v>
      </c>
      <c r="M3491" t="s">
        <v>30</v>
      </c>
      <c r="N3491">
        <f t="shared" si="54"/>
        <v>7</v>
      </c>
    </row>
    <row r="3492" spans="12:14">
      <c r="L3492">
        <v>1221</v>
      </c>
      <c r="M3492" t="s">
        <v>31</v>
      </c>
      <c r="N3492">
        <f t="shared" si="54"/>
        <v>6</v>
      </c>
    </row>
    <row r="3493" spans="12:14">
      <c r="L3493">
        <v>4808</v>
      </c>
      <c r="N3493" t="str">
        <f t="shared" si="54"/>
        <v/>
      </c>
    </row>
    <row r="3494" spans="12:14">
      <c r="L3494">
        <v>412</v>
      </c>
      <c r="N3494" t="str">
        <f t="shared" si="54"/>
        <v/>
      </c>
    </row>
    <row r="3495" spans="12:14">
      <c r="L3495">
        <v>4792</v>
      </c>
      <c r="M3495" t="s">
        <v>26</v>
      </c>
      <c r="N3495">
        <f t="shared" si="54"/>
        <v>1</v>
      </c>
    </row>
    <row r="3496" spans="12:14">
      <c r="L3496">
        <v>4272</v>
      </c>
      <c r="M3496" t="s">
        <v>25</v>
      </c>
      <c r="N3496">
        <f t="shared" si="54"/>
        <v>5</v>
      </c>
    </row>
    <row r="3497" spans="12:14">
      <c r="L3497">
        <v>3193</v>
      </c>
      <c r="M3497" t="s">
        <v>29</v>
      </c>
      <c r="N3497">
        <f t="shared" si="54"/>
        <v>4</v>
      </c>
    </row>
    <row r="3498" spans="12:14">
      <c r="L3498">
        <v>4636</v>
      </c>
      <c r="M3498" t="s">
        <v>26</v>
      </c>
      <c r="N3498">
        <f t="shared" si="54"/>
        <v>1</v>
      </c>
    </row>
    <row r="3499" spans="12:14">
      <c r="L3499">
        <v>489</v>
      </c>
      <c r="N3499" t="str">
        <f t="shared" si="54"/>
        <v/>
      </c>
    </row>
    <row r="3500" spans="12:14">
      <c r="L3500">
        <v>2863</v>
      </c>
      <c r="N3500" t="str">
        <f t="shared" si="54"/>
        <v/>
      </c>
    </row>
    <row r="3501" spans="12:14">
      <c r="L3501">
        <v>4326</v>
      </c>
      <c r="N3501" t="str">
        <f t="shared" si="54"/>
        <v/>
      </c>
    </row>
    <row r="3502" spans="12:14">
      <c r="L3502">
        <v>2639</v>
      </c>
      <c r="M3502" t="s">
        <v>25</v>
      </c>
      <c r="N3502">
        <f t="shared" si="54"/>
        <v>5</v>
      </c>
    </row>
    <row r="3503" spans="12:14">
      <c r="L3503">
        <v>242</v>
      </c>
      <c r="N3503" t="str">
        <f t="shared" si="54"/>
        <v/>
      </c>
    </row>
    <row r="3504" spans="12:14">
      <c r="L3504">
        <v>133</v>
      </c>
      <c r="M3504" t="s">
        <v>30</v>
      </c>
      <c r="N3504">
        <f t="shared" si="54"/>
        <v>7</v>
      </c>
    </row>
    <row r="3505" spans="12:14">
      <c r="L3505">
        <v>41</v>
      </c>
      <c r="N3505" t="str">
        <f t="shared" si="54"/>
        <v/>
      </c>
    </row>
    <row r="3506" spans="12:14">
      <c r="L3506">
        <v>1482</v>
      </c>
      <c r="M3506" t="s">
        <v>29</v>
      </c>
      <c r="N3506">
        <f t="shared" si="54"/>
        <v>4</v>
      </c>
    </row>
    <row r="3507" spans="12:14">
      <c r="L3507">
        <v>1536</v>
      </c>
      <c r="N3507" t="str">
        <f t="shared" si="54"/>
        <v/>
      </c>
    </row>
    <row r="3508" spans="12:14">
      <c r="L3508">
        <v>1961</v>
      </c>
      <c r="N3508" t="str">
        <f t="shared" si="54"/>
        <v/>
      </c>
    </row>
    <row r="3509" spans="12:14">
      <c r="L3509">
        <v>1847</v>
      </c>
      <c r="N3509" t="str">
        <f t="shared" si="54"/>
        <v/>
      </c>
    </row>
    <row r="3510" spans="12:14">
      <c r="L3510">
        <v>2356</v>
      </c>
      <c r="M3510" t="s">
        <v>25</v>
      </c>
      <c r="N3510">
        <f t="shared" si="54"/>
        <v>5</v>
      </c>
    </row>
    <row r="3511" spans="12:14">
      <c r="L3511">
        <v>3930</v>
      </c>
      <c r="N3511" t="str">
        <f t="shared" si="54"/>
        <v/>
      </c>
    </row>
    <row r="3512" spans="12:14">
      <c r="L3512">
        <v>4731</v>
      </c>
      <c r="M3512" t="s">
        <v>29</v>
      </c>
      <c r="N3512">
        <f t="shared" si="54"/>
        <v>4</v>
      </c>
    </row>
    <row r="3513" spans="12:14">
      <c r="L3513">
        <v>1034</v>
      </c>
      <c r="N3513" t="str">
        <f t="shared" si="54"/>
        <v/>
      </c>
    </row>
    <row r="3514" spans="12:14">
      <c r="L3514">
        <v>4151</v>
      </c>
      <c r="N3514" t="str">
        <f t="shared" si="54"/>
        <v/>
      </c>
    </row>
    <row r="3515" spans="12:14">
      <c r="L3515">
        <v>2833</v>
      </c>
      <c r="N3515" t="str">
        <f t="shared" si="54"/>
        <v/>
      </c>
    </row>
    <row r="3516" spans="12:14">
      <c r="L3516">
        <v>1418</v>
      </c>
      <c r="N3516" t="str">
        <f t="shared" si="54"/>
        <v/>
      </c>
    </row>
    <row r="3517" spans="12:14">
      <c r="L3517">
        <v>4631</v>
      </c>
      <c r="N3517" t="str">
        <f t="shared" si="54"/>
        <v/>
      </c>
    </row>
    <row r="3518" spans="12:14">
      <c r="L3518">
        <v>3216</v>
      </c>
      <c r="M3518" t="s">
        <v>31</v>
      </c>
      <c r="N3518">
        <f t="shared" si="54"/>
        <v>6</v>
      </c>
    </row>
    <row r="3519" spans="12:14">
      <c r="L3519">
        <v>3789</v>
      </c>
      <c r="M3519" t="s">
        <v>30</v>
      </c>
      <c r="N3519">
        <f t="shared" si="54"/>
        <v>7</v>
      </c>
    </row>
    <row r="3520" spans="12:14">
      <c r="L3520">
        <v>4736</v>
      </c>
      <c r="N3520" t="str">
        <f t="shared" si="54"/>
        <v/>
      </c>
    </row>
    <row r="3521" spans="12:14">
      <c r="L3521">
        <v>605</v>
      </c>
      <c r="N3521" t="str">
        <f t="shared" si="54"/>
        <v/>
      </c>
    </row>
    <row r="3522" spans="12:14">
      <c r="L3522">
        <v>645</v>
      </c>
      <c r="M3522" t="s">
        <v>26</v>
      </c>
      <c r="N3522">
        <f t="shared" si="54"/>
        <v>1</v>
      </c>
    </row>
    <row r="3523" spans="12:14">
      <c r="L3523">
        <v>3761</v>
      </c>
      <c r="M3523" t="s">
        <v>30</v>
      </c>
      <c r="N3523">
        <f t="shared" ref="N3523:N3586" si="55">IFERROR(VLOOKUP(M3523,$A$3:$B$10,2,0),"")</f>
        <v>7</v>
      </c>
    </row>
    <row r="3524" spans="12:14">
      <c r="L3524">
        <v>381</v>
      </c>
      <c r="N3524" t="str">
        <f t="shared" si="55"/>
        <v/>
      </c>
    </row>
    <row r="3525" spans="12:14">
      <c r="L3525">
        <v>4997</v>
      </c>
      <c r="M3525" t="s">
        <v>25</v>
      </c>
      <c r="N3525">
        <f t="shared" si="55"/>
        <v>5</v>
      </c>
    </row>
    <row r="3526" spans="12:14">
      <c r="L3526">
        <v>1822</v>
      </c>
      <c r="N3526" t="str">
        <f t="shared" si="55"/>
        <v/>
      </c>
    </row>
    <row r="3527" spans="12:14">
      <c r="L3527">
        <v>2707</v>
      </c>
      <c r="N3527" t="str">
        <f t="shared" si="55"/>
        <v/>
      </c>
    </row>
    <row r="3528" spans="12:14">
      <c r="L3528">
        <v>4248</v>
      </c>
      <c r="M3528" t="s">
        <v>26</v>
      </c>
      <c r="N3528">
        <f t="shared" si="55"/>
        <v>1</v>
      </c>
    </row>
    <row r="3529" spans="12:14">
      <c r="L3529">
        <v>461</v>
      </c>
      <c r="N3529" t="str">
        <f t="shared" si="55"/>
        <v/>
      </c>
    </row>
    <row r="3530" spans="12:14">
      <c r="L3530">
        <v>1722</v>
      </c>
      <c r="N3530" t="str">
        <f t="shared" si="55"/>
        <v/>
      </c>
    </row>
    <row r="3531" spans="12:14">
      <c r="L3531">
        <v>91</v>
      </c>
      <c r="M3531" t="s">
        <v>26</v>
      </c>
      <c r="N3531">
        <f t="shared" si="55"/>
        <v>1</v>
      </c>
    </row>
    <row r="3532" spans="12:14">
      <c r="L3532">
        <v>939</v>
      </c>
      <c r="N3532" t="str">
        <f t="shared" si="55"/>
        <v/>
      </c>
    </row>
    <row r="3533" spans="12:14">
      <c r="L3533">
        <v>2339</v>
      </c>
      <c r="N3533" t="str">
        <f t="shared" si="55"/>
        <v/>
      </c>
    </row>
    <row r="3534" spans="12:14">
      <c r="L3534">
        <v>751</v>
      </c>
      <c r="N3534" t="str">
        <f t="shared" si="55"/>
        <v/>
      </c>
    </row>
    <row r="3535" spans="12:14">
      <c r="L3535">
        <v>430</v>
      </c>
      <c r="M3535" t="s">
        <v>31</v>
      </c>
      <c r="N3535">
        <f t="shared" si="55"/>
        <v>6</v>
      </c>
    </row>
    <row r="3536" spans="12:14">
      <c r="L3536">
        <v>3838</v>
      </c>
      <c r="M3536" t="s">
        <v>26</v>
      </c>
      <c r="N3536">
        <f t="shared" si="55"/>
        <v>1</v>
      </c>
    </row>
    <row r="3537" spans="12:14">
      <c r="L3537">
        <v>3254</v>
      </c>
      <c r="N3537" t="str">
        <f t="shared" si="55"/>
        <v/>
      </c>
    </row>
    <row r="3538" spans="12:14">
      <c r="L3538">
        <v>1253</v>
      </c>
      <c r="N3538" t="str">
        <f t="shared" si="55"/>
        <v/>
      </c>
    </row>
    <row r="3539" spans="12:14">
      <c r="L3539">
        <v>460</v>
      </c>
      <c r="N3539" t="str">
        <f t="shared" si="55"/>
        <v/>
      </c>
    </row>
    <row r="3540" spans="12:14">
      <c r="L3540">
        <v>1830</v>
      </c>
      <c r="N3540" t="str">
        <f t="shared" si="55"/>
        <v/>
      </c>
    </row>
    <row r="3541" spans="12:14">
      <c r="L3541">
        <v>2710</v>
      </c>
      <c r="N3541" t="str">
        <f t="shared" si="55"/>
        <v/>
      </c>
    </row>
    <row r="3542" spans="12:14">
      <c r="L3542">
        <v>3639</v>
      </c>
      <c r="N3542" t="str">
        <f t="shared" si="55"/>
        <v/>
      </c>
    </row>
    <row r="3543" spans="12:14">
      <c r="L3543">
        <v>4963</v>
      </c>
      <c r="N3543" t="str">
        <f t="shared" si="55"/>
        <v/>
      </c>
    </row>
    <row r="3544" spans="12:14">
      <c r="L3544">
        <v>4822</v>
      </c>
      <c r="N3544" t="str">
        <f t="shared" si="55"/>
        <v/>
      </c>
    </row>
    <row r="3545" spans="12:14">
      <c r="L3545">
        <v>417</v>
      </c>
      <c r="N3545" t="str">
        <f t="shared" si="55"/>
        <v/>
      </c>
    </row>
    <row r="3546" spans="12:14">
      <c r="L3546">
        <v>2209</v>
      </c>
      <c r="N3546" t="str">
        <f t="shared" si="55"/>
        <v/>
      </c>
    </row>
    <row r="3547" spans="12:14">
      <c r="L3547">
        <v>23</v>
      </c>
      <c r="N3547" t="str">
        <f t="shared" si="55"/>
        <v/>
      </c>
    </row>
    <row r="3548" spans="12:14">
      <c r="L3548">
        <v>3182</v>
      </c>
      <c r="N3548" t="str">
        <f t="shared" si="55"/>
        <v/>
      </c>
    </row>
    <row r="3549" spans="12:14">
      <c r="L3549">
        <v>20</v>
      </c>
      <c r="M3549" t="s">
        <v>29</v>
      </c>
      <c r="N3549">
        <f t="shared" si="55"/>
        <v>4</v>
      </c>
    </row>
    <row r="3550" spans="12:14">
      <c r="L3550">
        <v>3160</v>
      </c>
      <c r="N3550" t="str">
        <f t="shared" si="55"/>
        <v/>
      </c>
    </row>
    <row r="3551" spans="12:14">
      <c r="L3551">
        <v>4061</v>
      </c>
      <c r="N3551" t="str">
        <f t="shared" si="55"/>
        <v/>
      </c>
    </row>
    <row r="3552" spans="12:14">
      <c r="L3552">
        <v>111</v>
      </c>
      <c r="M3552" t="s">
        <v>19</v>
      </c>
      <c r="N3552">
        <f t="shared" si="55"/>
        <v>2</v>
      </c>
    </row>
    <row r="3553" spans="12:14">
      <c r="L3553">
        <v>2999</v>
      </c>
      <c r="M3553" t="s">
        <v>28</v>
      </c>
      <c r="N3553">
        <f t="shared" si="55"/>
        <v>3</v>
      </c>
    </row>
    <row r="3554" spans="12:14">
      <c r="L3554">
        <v>4042</v>
      </c>
      <c r="N3554" t="str">
        <f t="shared" si="55"/>
        <v/>
      </c>
    </row>
    <row r="3555" spans="12:14">
      <c r="L3555">
        <v>4784</v>
      </c>
      <c r="N3555" t="str">
        <f t="shared" si="55"/>
        <v/>
      </c>
    </row>
    <row r="3556" spans="12:14">
      <c r="L3556">
        <v>2756</v>
      </c>
      <c r="N3556" t="str">
        <f t="shared" si="55"/>
        <v/>
      </c>
    </row>
    <row r="3557" spans="12:14">
      <c r="L3557">
        <v>1270</v>
      </c>
      <c r="N3557" t="str">
        <f t="shared" si="55"/>
        <v/>
      </c>
    </row>
    <row r="3558" spans="12:14">
      <c r="L3558">
        <v>2425</v>
      </c>
      <c r="N3558" t="str">
        <f t="shared" si="55"/>
        <v/>
      </c>
    </row>
    <row r="3559" spans="12:14">
      <c r="L3559">
        <v>897</v>
      </c>
      <c r="M3559" t="s">
        <v>26</v>
      </c>
      <c r="N3559">
        <f t="shared" si="55"/>
        <v>1</v>
      </c>
    </row>
    <row r="3560" spans="12:14">
      <c r="L3560">
        <v>4121</v>
      </c>
      <c r="N3560" t="str">
        <f t="shared" si="55"/>
        <v/>
      </c>
    </row>
    <row r="3561" spans="12:14">
      <c r="L3561">
        <v>270</v>
      </c>
      <c r="N3561" t="str">
        <f t="shared" si="55"/>
        <v/>
      </c>
    </row>
    <row r="3562" spans="12:14">
      <c r="L3562">
        <v>2304</v>
      </c>
      <c r="M3562" t="s">
        <v>28</v>
      </c>
      <c r="N3562">
        <f t="shared" si="55"/>
        <v>3</v>
      </c>
    </row>
    <row r="3563" spans="12:14">
      <c r="L3563">
        <v>636</v>
      </c>
      <c r="M3563" t="s">
        <v>28</v>
      </c>
      <c r="N3563">
        <f t="shared" si="55"/>
        <v>3</v>
      </c>
    </row>
    <row r="3564" spans="12:14">
      <c r="L3564">
        <v>2584</v>
      </c>
      <c r="N3564" t="str">
        <f t="shared" si="55"/>
        <v/>
      </c>
    </row>
    <row r="3565" spans="12:14">
      <c r="L3565">
        <v>3670</v>
      </c>
      <c r="N3565" t="str">
        <f t="shared" si="55"/>
        <v/>
      </c>
    </row>
    <row r="3566" spans="12:14">
      <c r="L3566">
        <v>1737</v>
      </c>
      <c r="N3566" t="str">
        <f t="shared" si="55"/>
        <v/>
      </c>
    </row>
    <row r="3567" spans="12:14">
      <c r="L3567">
        <v>1377</v>
      </c>
      <c r="N3567" t="str">
        <f t="shared" si="55"/>
        <v/>
      </c>
    </row>
    <row r="3568" spans="12:14">
      <c r="L3568">
        <v>2764</v>
      </c>
      <c r="N3568" t="str">
        <f t="shared" si="55"/>
        <v/>
      </c>
    </row>
    <row r="3569" spans="12:14">
      <c r="L3569">
        <v>2007</v>
      </c>
      <c r="M3569" t="s">
        <v>28</v>
      </c>
      <c r="N3569">
        <f t="shared" si="55"/>
        <v>3</v>
      </c>
    </row>
    <row r="3570" spans="12:14">
      <c r="L3570">
        <v>416</v>
      </c>
      <c r="M3570" t="s">
        <v>19</v>
      </c>
      <c r="N3570">
        <f t="shared" si="55"/>
        <v>2</v>
      </c>
    </row>
    <row r="3571" spans="12:14">
      <c r="L3571">
        <v>3733</v>
      </c>
      <c r="N3571" t="str">
        <f t="shared" si="55"/>
        <v/>
      </c>
    </row>
    <row r="3572" spans="12:14">
      <c r="L3572">
        <v>2513</v>
      </c>
      <c r="N3572" t="str">
        <f t="shared" si="55"/>
        <v/>
      </c>
    </row>
    <row r="3573" spans="12:14">
      <c r="L3573">
        <v>4934</v>
      </c>
      <c r="N3573" t="str">
        <f t="shared" si="55"/>
        <v/>
      </c>
    </row>
    <row r="3574" spans="12:14">
      <c r="L3574">
        <v>1208</v>
      </c>
      <c r="N3574" t="str">
        <f t="shared" si="55"/>
        <v/>
      </c>
    </row>
    <row r="3575" spans="12:14">
      <c r="L3575">
        <v>1660</v>
      </c>
      <c r="N3575" t="str">
        <f t="shared" si="55"/>
        <v/>
      </c>
    </row>
    <row r="3576" spans="12:14">
      <c r="L3576">
        <v>2379</v>
      </c>
      <c r="N3576" t="str">
        <f t="shared" si="55"/>
        <v/>
      </c>
    </row>
    <row r="3577" spans="12:14">
      <c r="L3577">
        <v>2196</v>
      </c>
      <c r="N3577" t="str">
        <f t="shared" si="55"/>
        <v/>
      </c>
    </row>
    <row r="3578" spans="12:14">
      <c r="L3578">
        <v>1000</v>
      </c>
      <c r="N3578" t="str">
        <f t="shared" si="55"/>
        <v/>
      </c>
    </row>
    <row r="3579" spans="12:14">
      <c r="L3579">
        <v>1490</v>
      </c>
      <c r="N3579" t="str">
        <f t="shared" si="55"/>
        <v/>
      </c>
    </row>
    <row r="3580" spans="12:14">
      <c r="L3580">
        <v>4976</v>
      </c>
      <c r="N3580" t="str">
        <f t="shared" si="55"/>
        <v/>
      </c>
    </row>
    <row r="3581" spans="12:14">
      <c r="L3581">
        <v>1915</v>
      </c>
      <c r="M3581" t="s">
        <v>19</v>
      </c>
      <c r="N3581">
        <f t="shared" si="55"/>
        <v>2</v>
      </c>
    </row>
    <row r="3582" spans="12:14">
      <c r="L3582">
        <v>2779</v>
      </c>
      <c r="M3582" t="s">
        <v>25</v>
      </c>
      <c r="N3582">
        <f t="shared" si="55"/>
        <v>5</v>
      </c>
    </row>
    <row r="3583" spans="12:14">
      <c r="L3583">
        <v>4195</v>
      </c>
      <c r="N3583" t="str">
        <f t="shared" si="55"/>
        <v/>
      </c>
    </row>
    <row r="3584" spans="12:14">
      <c r="L3584">
        <v>2465</v>
      </c>
      <c r="M3584" t="s">
        <v>26</v>
      </c>
      <c r="N3584">
        <f t="shared" si="55"/>
        <v>1</v>
      </c>
    </row>
    <row r="3585" spans="12:14">
      <c r="L3585">
        <v>625</v>
      </c>
      <c r="N3585" t="str">
        <f t="shared" si="55"/>
        <v/>
      </c>
    </row>
    <row r="3586" spans="12:14">
      <c r="L3586">
        <v>1452</v>
      </c>
      <c r="N3586" t="str">
        <f t="shared" si="55"/>
        <v/>
      </c>
    </row>
    <row r="3587" spans="12:14">
      <c r="L3587">
        <v>574</v>
      </c>
      <c r="M3587" t="s">
        <v>30</v>
      </c>
      <c r="N3587">
        <f t="shared" ref="N3587:N3650" si="56">IFERROR(VLOOKUP(M3587,$A$3:$B$10,2,0),"")</f>
        <v>7</v>
      </c>
    </row>
    <row r="3588" spans="12:14">
      <c r="L3588">
        <v>1171</v>
      </c>
      <c r="N3588" t="str">
        <f t="shared" si="56"/>
        <v/>
      </c>
    </row>
    <row r="3589" spans="12:14">
      <c r="L3589">
        <v>3136</v>
      </c>
      <c r="N3589" t="str">
        <f t="shared" si="56"/>
        <v/>
      </c>
    </row>
    <row r="3590" spans="12:14">
      <c r="L3590">
        <v>4740</v>
      </c>
      <c r="M3590" t="s">
        <v>28</v>
      </c>
      <c r="N3590">
        <f t="shared" si="56"/>
        <v>3</v>
      </c>
    </row>
    <row r="3591" spans="12:14">
      <c r="L3591">
        <v>1281</v>
      </c>
      <c r="N3591" t="str">
        <f t="shared" si="56"/>
        <v/>
      </c>
    </row>
    <row r="3592" spans="12:14">
      <c r="L3592">
        <v>492</v>
      </c>
      <c r="N3592" t="str">
        <f t="shared" si="56"/>
        <v/>
      </c>
    </row>
    <row r="3593" spans="12:14">
      <c r="L3593">
        <v>1709</v>
      </c>
      <c r="N3593" t="str">
        <f t="shared" si="56"/>
        <v/>
      </c>
    </row>
    <row r="3594" spans="12:14">
      <c r="L3594">
        <v>1923</v>
      </c>
      <c r="M3594" t="s">
        <v>31</v>
      </c>
      <c r="N3594">
        <f t="shared" si="56"/>
        <v>6</v>
      </c>
    </row>
    <row r="3595" spans="12:14">
      <c r="L3595">
        <v>4200</v>
      </c>
      <c r="N3595" t="str">
        <f t="shared" si="56"/>
        <v/>
      </c>
    </row>
    <row r="3596" spans="12:14">
      <c r="L3596">
        <v>3426</v>
      </c>
      <c r="N3596" t="str">
        <f t="shared" si="56"/>
        <v/>
      </c>
    </row>
    <row r="3597" spans="12:14">
      <c r="L3597">
        <v>1399</v>
      </c>
      <c r="M3597" t="s">
        <v>31</v>
      </c>
      <c r="N3597">
        <f t="shared" si="56"/>
        <v>6</v>
      </c>
    </row>
    <row r="3598" spans="12:14">
      <c r="L3598">
        <v>433</v>
      </c>
      <c r="N3598" t="str">
        <f t="shared" si="56"/>
        <v/>
      </c>
    </row>
    <row r="3599" spans="12:14">
      <c r="L3599">
        <v>560</v>
      </c>
      <c r="M3599" t="s">
        <v>25</v>
      </c>
      <c r="N3599">
        <f t="shared" si="56"/>
        <v>5</v>
      </c>
    </row>
    <row r="3600" spans="12:14">
      <c r="L3600">
        <v>3331</v>
      </c>
      <c r="N3600" t="str">
        <f t="shared" si="56"/>
        <v/>
      </c>
    </row>
    <row r="3601" spans="12:14">
      <c r="L3601">
        <v>1194</v>
      </c>
      <c r="N3601" t="str">
        <f t="shared" si="56"/>
        <v/>
      </c>
    </row>
    <row r="3602" spans="12:14">
      <c r="L3602">
        <v>4044</v>
      </c>
      <c r="M3602" t="s">
        <v>31</v>
      </c>
      <c r="N3602">
        <f t="shared" si="56"/>
        <v>6</v>
      </c>
    </row>
    <row r="3603" spans="12:14">
      <c r="L3603">
        <v>3015</v>
      </c>
      <c r="N3603" t="str">
        <f t="shared" si="56"/>
        <v/>
      </c>
    </row>
    <row r="3604" spans="12:14">
      <c r="L3604">
        <v>757</v>
      </c>
      <c r="N3604" t="str">
        <f t="shared" si="56"/>
        <v/>
      </c>
    </row>
    <row r="3605" spans="12:14">
      <c r="L3605">
        <v>2308</v>
      </c>
      <c r="M3605" t="s">
        <v>30</v>
      </c>
      <c r="N3605">
        <f t="shared" si="56"/>
        <v>7</v>
      </c>
    </row>
    <row r="3606" spans="12:14">
      <c r="L3606">
        <v>1155</v>
      </c>
      <c r="N3606" t="str">
        <f t="shared" si="56"/>
        <v/>
      </c>
    </row>
    <row r="3607" spans="12:14">
      <c r="L3607">
        <v>1497</v>
      </c>
      <c r="M3607" t="s">
        <v>31</v>
      </c>
      <c r="N3607">
        <f t="shared" si="56"/>
        <v>6</v>
      </c>
    </row>
    <row r="3608" spans="12:14">
      <c r="L3608">
        <v>2162</v>
      </c>
      <c r="N3608" t="str">
        <f t="shared" si="56"/>
        <v/>
      </c>
    </row>
    <row r="3609" spans="12:14">
      <c r="L3609">
        <v>545</v>
      </c>
      <c r="M3609" t="s">
        <v>28</v>
      </c>
      <c r="N3609">
        <f t="shared" si="56"/>
        <v>3</v>
      </c>
    </row>
    <row r="3610" spans="12:14">
      <c r="L3610">
        <v>2736</v>
      </c>
      <c r="N3610" t="str">
        <f t="shared" si="56"/>
        <v/>
      </c>
    </row>
    <row r="3611" spans="12:14">
      <c r="L3611">
        <v>2847</v>
      </c>
      <c r="N3611" t="str">
        <f t="shared" si="56"/>
        <v/>
      </c>
    </row>
    <row r="3612" spans="12:14">
      <c r="L3612">
        <v>1772</v>
      </c>
      <c r="N3612" t="str">
        <f t="shared" si="56"/>
        <v/>
      </c>
    </row>
    <row r="3613" spans="12:14">
      <c r="L3613">
        <v>572</v>
      </c>
      <c r="N3613" t="str">
        <f t="shared" si="56"/>
        <v/>
      </c>
    </row>
    <row r="3614" spans="12:14">
      <c r="L3614">
        <v>2066</v>
      </c>
      <c r="N3614" t="str">
        <f t="shared" si="56"/>
        <v/>
      </c>
    </row>
    <row r="3615" spans="12:14">
      <c r="L3615">
        <v>1943</v>
      </c>
      <c r="M3615" t="s">
        <v>25</v>
      </c>
      <c r="N3615">
        <f t="shared" si="56"/>
        <v>5</v>
      </c>
    </row>
    <row r="3616" spans="12:14">
      <c r="L3616">
        <v>1775</v>
      </c>
      <c r="N3616" t="str">
        <f t="shared" si="56"/>
        <v/>
      </c>
    </row>
    <row r="3617" spans="12:14">
      <c r="L3617">
        <v>1900</v>
      </c>
      <c r="N3617" t="str">
        <f t="shared" si="56"/>
        <v/>
      </c>
    </row>
    <row r="3618" spans="12:14">
      <c r="L3618">
        <v>4707</v>
      </c>
      <c r="N3618" t="str">
        <f t="shared" si="56"/>
        <v/>
      </c>
    </row>
    <row r="3619" spans="12:14">
      <c r="L3619">
        <v>3149</v>
      </c>
      <c r="N3619" t="str">
        <f t="shared" si="56"/>
        <v/>
      </c>
    </row>
    <row r="3620" spans="12:14">
      <c r="L3620">
        <v>760</v>
      </c>
      <c r="M3620" t="s">
        <v>19</v>
      </c>
      <c r="N3620">
        <f t="shared" si="56"/>
        <v>2</v>
      </c>
    </row>
    <row r="3621" spans="12:14">
      <c r="L3621">
        <v>1081</v>
      </c>
      <c r="M3621" t="s">
        <v>26</v>
      </c>
      <c r="N3621">
        <f t="shared" si="56"/>
        <v>1</v>
      </c>
    </row>
    <row r="3622" spans="12:14">
      <c r="L3622">
        <v>4602</v>
      </c>
      <c r="N3622" t="str">
        <f t="shared" si="56"/>
        <v/>
      </c>
    </row>
    <row r="3623" spans="12:14">
      <c r="L3623">
        <v>4310</v>
      </c>
      <c r="M3623" t="s">
        <v>31</v>
      </c>
      <c r="N3623">
        <f t="shared" si="56"/>
        <v>6</v>
      </c>
    </row>
    <row r="3624" spans="12:14">
      <c r="L3624">
        <v>2189</v>
      </c>
      <c r="N3624" t="str">
        <f t="shared" si="56"/>
        <v/>
      </c>
    </row>
    <row r="3625" spans="12:14">
      <c r="L3625">
        <v>3415</v>
      </c>
      <c r="M3625" t="s">
        <v>25</v>
      </c>
      <c r="N3625">
        <f t="shared" si="56"/>
        <v>5</v>
      </c>
    </row>
    <row r="3626" spans="12:14">
      <c r="L3626">
        <v>1945</v>
      </c>
      <c r="N3626" t="str">
        <f t="shared" si="56"/>
        <v/>
      </c>
    </row>
    <row r="3627" spans="12:14">
      <c r="L3627">
        <v>1960</v>
      </c>
      <c r="N3627" t="str">
        <f t="shared" si="56"/>
        <v/>
      </c>
    </row>
    <row r="3628" spans="12:14">
      <c r="L3628">
        <v>3020</v>
      </c>
      <c r="N3628" t="str">
        <f t="shared" si="56"/>
        <v/>
      </c>
    </row>
    <row r="3629" spans="12:14">
      <c r="L3629">
        <v>26</v>
      </c>
      <c r="N3629" t="str">
        <f t="shared" si="56"/>
        <v/>
      </c>
    </row>
    <row r="3630" spans="12:14">
      <c r="L3630">
        <v>3966</v>
      </c>
      <c r="N3630" t="str">
        <f t="shared" si="56"/>
        <v/>
      </c>
    </row>
    <row r="3631" spans="12:14">
      <c r="L3631">
        <v>2973</v>
      </c>
      <c r="N3631" t="str">
        <f t="shared" si="56"/>
        <v/>
      </c>
    </row>
    <row r="3632" spans="12:14">
      <c r="L3632">
        <v>4351</v>
      </c>
      <c r="M3632" t="s">
        <v>19</v>
      </c>
      <c r="N3632">
        <f t="shared" si="56"/>
        <v>2</v>
      </c>
    </row>
    <row r="3633" spans="12:14">
      <c r="L3633">
        <v>4841</v>
      </c>
      <c r="M3633" t="s">
        <v>31</v>
      </c>
      <c r="N3633">
        <f t="shared" si="56"/>
        <v>6</v>
      </c>
    </row>
    <row r="3634" spans="12:14">
      <c r="L3634">
        <v>1997</v>
      </c>
      <c r="M3634" t="s">
        <v>30</v>
      </c>
      <c r="N3634">
        <f t="shared" si="56"/>
        <v>7</v>
      </c>
    </row>
    <row r="3635" spans="12:14">
      <c r="L3635">
        <v>2647</v>
      </c>
      <c r="M3635" t="s">
        <v>31</v>
      </c>
      <c r="N3635">
        <f t="shared" si="56"/>
        <v>6</v>
      </c>
    </row>
    <row r="3636" spans="12:14">
      <c r="L3636">
        <v>844</v>
      </c>
      <c r="N3636" t="str">
        <f t="shared" si="56"/>
        <v/>
      </c>
    </row>
    <row r="3637" spans="12:14">
      <c r="L3637">
        <v>1757</v>
      </c>
      <c r="N3637" t="str">
        <f t="shared" si="56"/>
        <v/>
      </c>
    </row>
    <row r="3638" spans="12:14">
      <c r="L3638">
        <v>4609</v>
      </c>
      <c r="N3638" t="str">
        <f t="shared" si="56"/>
        <v/>
      </c>
    </row>
    <row r="3639" spans="12:14">
      <c r="L3639">
        <v>1624</v>
      </c>
      <c r="N3639" t="str">
        <f t="shared" si="56"/>
        <v/>
      </c>
    </row>
    <row r="3640" spans="12:14">
      <c r="L3640">
        <v>4354</v>
      </c>
      <c r="N3640" t="str">
        <f t="shared" si="56"/>
        <v/>
      </c>
    </row>
    <row r="3641" spans="12:14">
      <c r="L3641">
        <v>2804</v>
      </c>
      <c r="M3641" t="s">
        <v>31</v>
      </c>
      <c r="N3641">
        <f t="shared" si="56"/>
        <v>6</v>
      </c>
    </row>
    <row r="3642" spans="12:14">
      <c r="L3642">
        <v>1801</v>
      </c>
      <c r="N3642" t="str">
        <f t="shared" si="56"/>
        <v/>
      </c>
    </row>
    <row r="3643" spans="12:14">
      <c r="L3643">
        <v>3477</v>
      </c>
      <c r="M3643" t="s">
        <v>26</v>
      </c>
      <c r="N3643">
        <f t="shared" si="56"/>
        <v>1</v>
      </c>
    </row>
    <row r="3644" spans="12:14">
      <c r="L3644">
        <v>4159</v>
      </c>
      <c r="N3644" t="str">
        <f t="shared" si="56"/>
        <v/>
      </c>
    </row>
    <row r="3645" spans="12:14">
      <c r="L3645">
        <v>2504</v>
      </c>
      <c r="N3645" t="str">
        <f t="shared" si="56"/>
        <v/>
      </c>
    </row>
    <row r="3646" spans="12:14">
      <c r="L3646">
        <v>4387</v>
      </c>
      <c r="N3646" t="str">
        <f t="shared" si="56"/>
        <v/>
      </c>
    </row>
    <row r="3647" spans="12:14">
      <c r="L3647">
        <v>2734</v>
      </c>
      <c r="N3647" t="str">
        <f t="shared" si="56"/>
        <v/>
      </c>
    </row>
    <row r="3648" spans="12:14">
      <c r="L3648">
        <v>2528</v>
      </c>
      <c r="N3648" t="str">
        <f t="shared" si="56"/>
        <v/>
      </c>
    </row>
    <row r="3649" spans="12:14">
      <c r="L3649">
        <v>4969</v>
      </c>
      <c r="N3649" t="str">
        <f t="shared" si="56"/>
        <v/>
      </c>
    </row>
    <row r="3650" spans="12:14">
      <c r="L3650">
        <v>2428</v>
      </c>
      <c r="M3650" t="s">
        <v>31</v>
      </c>
      <c r="N3650">
        <f t="shared" si="56"/>
        <v>6</v>
      </c>
    </row>
    <row r="3651" spans="12:14">
      <c r="L3651">
        <v>3238</v>
      </c>
      <c r="M3651" t="s">
        <v>25</v>
      </c>
      <c r="N3651">
        <f t="shared" ref="N3651:N3714" si="57">IFERROR(VLOOKUP(M3651,$A$3:$B$10,2,0),"")</f>
        <v>5</v>
      </c>
    </row>
    <row r="3652" spans="12:14">
      <c r="L3652">
        <v>3092</v>
      </c>
      <c r="M3652" t="s">
        <v>28</v>
      </c>
      <c r="N3652">
        <f t="shared" si="57"/>
        <v>3</v>
      </c>
    </row>
    <row r="3653" spans="12:14">
      <c r="L3653">
        <v>2787</v>
      </c>
      <c r="N3653" t="str">
        <f t="shared" si="57"/>
        <v/>
      </c>
    </row>
    <row r="3654" spans="12:14">
      <c r="L3654">
        <v>1122</v>
      </c>
      <c r="M3654" t="s">
        <v>28</v>
      </c>
      <c r="N3654">
        <f t="shared" si="57"/>
        <v>3</v>
      </c>
    </row>
    <row r="3655" spans="12:14">
      <c r="L3655">
        <v>1907</v>
      </c>
      <c r="N3655" t="str">
        <f t="shared" si="57"/>
        <v/>
      </c>
    </row>
    <row r="3656" spans="12:14">
      <c r="L3656">
        <v>4422</v>
      </c>
      <c r="N3656" t="str">
        <f t="shared" si="57"/>
        <v/>
      </c>
    </row>
    <row r="3657" spans="12:14">
      <c r="L3657">
        <v>3883</v>
      </c>
      <c r="M3657" t="s">
        <v>25</v>
      </c>
      <c r="N3657">
        <f t="shared" si="57"/>
        <v>5</v>
      </c>
    </row>
    <row r="3658" spans="12:14">
      <c r="L3658">
        <v>2766</v>
      </c>
      <c r="N3658" t="str">
        <f t="shared" si="57"/>
        <v/>
      </c>
    </row>
    <row r="3659" spans="12:14">
      <c r="L3659">
        <v>719</v>
      </c>
      <c r="M3659" t="s">
        <v>28</v>
      </c>
      <c r="N3659">
        <f t="shared" si="57"/>
        <v>3</v>
      </c>
    </row>
    <row r="3660" spans="12:14">
      <c r="L3660">
        <v>4799</v>
      </c>
      <c r="M3660" t="s">
        <v>30</v>
      </c>
      <c r="N3660">
        <f t="shared" si="57"/>
        <v>7</v>
      </c>
    </row>
    <row r="3661" spans="12:14">
      <c r="L3661">
        <v>2703</v>
      </c>
      <c r="N3661" t="str">
        <f t="shared" si="57"/>
        <v/>
      </c>
    </row>
    <row r="3662" spans="12:14">
      <c r="L3662">
        <v>295</v>
      </c>
      <c r="N3662" t="str">
        <f t="shared" si="57"/>
        <v/>
      </c>
    </row>
    <row r="3663" spans="12:14">
      <c r="L3663">
        <v>4313</v>
      </c>
      <c r="M3663" t="s">
        <v>31</v>
      </c>
      <c r="N3663">
        <f t="shared" si="57"/>
        <v>6</v>
      </c>
    </row>
    <row r="3664" spans="12:14">
      <c r="L3664">
        <v>813</v>
      </c>
      <c r="N3664" t="str">
        <f t="shared" si="57"/>
        <v/>
      </c>
    </row>
    <row r="3665" spans="12:14">
      <c r="L3665">
        <v>1647</v>
      </c>
      <c r="N3665" t="str">
        <f t="shared" si="57"/>
        <v/>
      </c>
    </row>
    <row r="3666" spans="12:14">
      <c r="L3666">
        <v>656</v>
      </c>
      <c r="N3666" t="str">
        <f t="shared" si="57"/>
        <v/>
      </c>
    </row>
    <row r="3667" spans="12:14">
      <c r="L3667">
        <v>4067</v>
      </c>
      <c r="M3667" t="s">
        <v>28</v>
      </c>
      <c r="N3667">
        <f t="shared" si="57"/>
        <v>3</v>
      </c>
    </row>
    <row r="3668" spans="12:14">
      <c r="L3668">
        <v>2367</v>
      </c>
      <c r="N3668" t="str">
        <f t="shared" si="57"/>
        <v/>
      </c>
    </row>
    <row r="3669" spans="12:14">
      <c r="L3669">
        <v>4903</v>
      </c>
      <c r="N3669" t="str">
        <f t="shared" si="57"/>
        <v/>
      </c>
    </row>
    <row r="3670" spans="12:14">
      <c r="L3670">
        <v>2687</v>
      </c>
      <c r="N3670" t="str">
        <f t="shared" si="57"/>
        <v/>
      </c>
    </row>
    <row r="3671" spans="12:14">
      <c r="L3671">
        <v>4801</v>
      </c>
      <c r="M3671" t="s">
        <v>31</v>
      </c>
      <c r="N3671">
        <f t="shared" si="57"/>
        <v>6</v>
      </c>
    </row>
    <row r="3672" spans="12:14">
      <c r="L3672">
        <v>2479</v>
      </c>
      <c r="N3672" t="str">
        <f t="shared" si="57"/>
        <v/>
      </c>
    </row>
    <row r="3673" spans="12:14">
      <c r="L3673">
        <v>4401</v>
      </c>
      <c r="N3673" t="str">
        <f t="shared" si="57"/>
        <v/>
      </c>
    </row>
    <row r="3674" spans="12:14">
      <c r="L3674">
        <v>2581</v>
      </c>
      <c r="N3674" t="str">
        <f t="shared" si="57"/>
        <v/>
      </c>
    </row>
    <row r="3675" spans="12:14">
      <c r="L3675">
        <v>3589</v>
      </c>
      <c r="M3675" t="s">
        <v>30</v>
      </c>
      <c r="N3675">
        <f t="shared" si="57"/>
        <v>7</v>
      </c>
    </row>
    <row r="3676" spans="12:14">
      <c r="L3676">
        <v>1254</v>
      </c>
      <c r="N3676" t="str">
        <f t="shared" si="57"/>
        <v/>
      </c>
    </row>
    <row r="3677" spans="12:14">
      <c r="L3677">
        <v>2168</v>
      </c>
      <c r="M3677" t="s">
        <v>29</v>
      </c>
      <c r="N3677">
        <f t="shared" si="57"/>
        <v>4</v>
      </c>
    </row>
    <row r="3678" spans="12:14">
      <c r="L3678">
        <v>3682</v>
      </c>
      <c r="N3678" t="str">
        <f t="shared" si="57"/>
        <v/>
      </c>
    </row>
    <row r="3679" spans="12:14">
      <c r="L3679">
        <v>4400</v>
      </c>
      <c r="N3679" t="str">
        <f t="shared" si="57"/>
        <v/>
      </c>
    </row>
    <row r="3680" spans="12:14">
      <c r="L3680">
        <v>773</v>
      </c>
      <c r="N3680" t="str">
        <f t="shared" si="57"/>
        <v/>
      </c>
    </row>
    <row r="3681" spans="12:14">
      <c r="L3681">
        <v>4203</v>
      </c>
      <c r="N3681" t="str">
        <f t="shared" si="57"/>
        <v/>
      </c>
    </row>
    <row r="3682" spans="12:14">
      <c r="L3682">
        <v>4977</v>
      </c>
      <c r="M3682" t="s">
        <v>29</v>
      </c>
      <c r="N3682">
        <f t="shared" si="57"/>
        <v>4</v>
      </c>
    </row>
    <row r="3683" spans="12:14">
      <c r="L3683">
        <v>4279</v>
      </c>
      <c r="N3683" t="str">
        <f t="shared" si="57"/>
        <v/>
      </c>
    </row>
    <row r="3684" spans="12:14">
      <c r="L3684">
        <v>4684</v>
      </c>
      <c r="N3684" t="str">
        <f t="shared" si="57"/>
        <v/>
      </c>
    </row>
    <row r="3685" spans="12:14">
      <c r="L3685">
        <v>1975</v>
      </c>
      <c r="M3685" t="s">
        <v>29</v>
      </c>
      <c r="N3685">
        <f t="shared" si="57"/>
        <v>4</v>
      </c>
    </row>
    <row r="3686" spans="12:14">
      <c r="L3686">
        <v>1071</v>
      </c>
      <c r="M3686" t="s">
        <v>26</v>
      </c>
      <c r="N3686">
        <f t="shared" si="57"/>
        <v>1</v>
      </c>
    </row>
    <row r="3687" spans="12:14">
      <c r="L3687">
        <v>2716</v>
      </c>
      <c r="N3687" t="str">
        <f t="shared" si="57"/>
        <v/>
      </c>
    </row>
    <row r="3688" spans="12:14">
      <c r="L3688">
        <v>3766</v>
      </c>
      <c r="M3688" t="s">
        <v>29</v>
      </c>
      <c r="N3688">
        <f t="shared" si="57"/>
        <v>4</v>
      </c>
    </row>
    <row r="3689" spans="12:14">
      <c r="L3689">
        <v>3801</v>
      </c>
      <c r="N3689" t="str">
        <f t="shared" si="57"/>
        <v/>
      </c>
    </row>
    <row r="3690" spans="12:14">
      <c r="L3690">
        <v>2363</v>
      </c>
      <c r="N3690" t="str">
        <f t="shared" si="57"/>
        <v/>
      </c>
    </row>
    <row r="3691" spans="12:14">
      <c r="L3691">
        <v>2641</v>
      </c>
      <c r="N3691" t="str">
        <f t="shared" si="57"/>
        <v/>
      </c>
    </row>
    <row r="3692" spans="12:14">
      <c r="L3692">
        <v>4795</v>
      </c>
      <c r="N3692" t="str">
        <f t="shared" si="57"/>
        <v/>
      </c>
    </row>
    <row r="3693" spans="12:14">
      <c r="L3693">
        <v>4898</v>
      </c>
      <c r="M3693" t="s">
        <v>19</v>
      </c>
      <c r="N3693">
        <f t="shared" si="57"/>
        <v>2</v>
      </c>
    </row>
    <row r="3694" spans="12:14">
      <c r="L3694">
        <v>2943</v>
      </c>
      <c r="N3694" t="str">
        <f t="shared" si="57"/>
        <v/>
      </c>
    </row>
    <row r="3695" spans="12:14">
      <c r="L3695">
        <v>968</v>
      </c>
      <c r="N3695" t="str">
        <f t="shared" si="57"/>
        <v/>
      </c>
    </row>
    <row r="3696" spans="12:14">
      <c r="L3696">
        <v>2229</v>
      </c>
      <c r="N3696" t="str">
        <f t="shared" si="57"/>
        <v/>
      </c>
    </row>
    <row r="3697" spans="12:14">
      <c r="L3697">
        <v>2230</v>
      </c>
      <c r="N3697" t="str">
        <f t="shared" si="57"/>
        <v/>
      </c>
    </row>
    <row r="3698" spans="12:14">
      <c r="L3698">
        <v>4105</v>
      </c>
      <c r="N3698" t="str">
        <f t="shared" si="57"/>
        <v/>
      </c>
    </row>
    <row r="3699" spans="12:14">
      <c r="L3699">
        <v>4875</v>
      </c>
      <c r="M3699" t="s">
        <v>19</v>
      </c>
      <c r="N3699">
        <f t="shared" si="57"/>
        <v>2</v>
      </c>
    </row>
    <row r="3700" spans="12:14">
      <c r="L3700">
        <v>1879</v>
      </c>
      <c r="M3700" t="s">
        <v>28</v>
      </c>
      <c r="N3700">
        <f t="shared" si="57"/>
        <v>3</v>
      </c>
    </row>
    <row r="3701" spans="12:14">
      <c r="L3701">
        <v>2566</v>
      </c>
      <c r="N3701" t="str">
        <f t="shared" si="57"/>
        <v/>
      </c>
    </row>
    <row r="3702" spans="12:14">
      <c r="L3702">
        <v>4129</v>
      </c>
      <c r="N3702" t="str">
        <f t="shared" si="57"/>
        <v/>
      </c>
    </row>
    <row r="3703" spans="12:14">
      <c r="L3703">
        <v>2533</v>
      </c>
      <c r="N3703" t="str">
        <f t="shared" si="57"/>
        <v/>
      </c>
    </row>
    <row r="3704" spans="12:14">
      <c r="L3704">
        <v>2523</v>
      </c>
      <c r="N3704" t="str">
        <f t="shared" si="57"/>
        <v/>
      </c>
    </row>
    <row r="3705" spans="12:14">
      <c r="L3705">
        <v>1022</v>
      </c>
      <c r="M3705" t="s">
        <v>29</v>
      </c>
      <c r="N3705">
        <f t="shared" si="57"/>
        <v>4</v>
      </c>
    </row>
    <row r="3706" spans="12:14">
      <c r="L3706">
        <v>4397</v>
      </c>
      <c r="N3706" t="str">
        <f t="shared" si="57"/>
        <v/>
      </c>
    </row>
    <row r="3707" spans="12:14">
      <c r="L3707">
        <v>4019</v>
      </c>
      <c r="N3707" t="str">
        <f t="shared" si="57"/>
        <v/>
      </c>
    </row>
    <row r="3708" spans="12:14">
      <c r="L3708">
        <v>2558</v>
      </c>
      <c r="M3708" t="s">
        <v>28</v>
      </c>
      <c r="N3708">
        <f t="shared" si="57"/>
        <v>3</v>
      </c>
    </row>
    <row r="3709" spans="12:14">
      <c r="L3709">
        <v>1804</v>
      </c>
      <c r="N3709" t="str">
        <f t="shared" si="57"/>
        <v/>
      </c>
    </row>
    <row r="3710" spans="12:14">
      <c r="L3710">
        <v>4296</v>
      </c>
      <c r="N3710" t="str">
        <f t="shared" si="57"/>
        <v/>
      </c>
    </row>
    <row r="3711" spans="12:14">
      <c r="L3711">
        <v>2666</v>
      </c>
      <c r="M3711" t="s">
        <v>30</v>
      </c>
      <c r="N3711">
        <f t="shared" si="57"/>
        <v>7</v>
      </c>
    </row>
    <row r="3712" spans="12:14">
      <c r="L3712">
        <v>917</v>
      </c>
      <c r="N3712" t="str">
        <f t="shared" si="57"/>
        <v/>
      </c>
    </row>
    <row r="3713" spans="12:14">
      <c r="L3713">
        <v>3061</v>
      </c>
      <c r="M3713" t="s">
        <v>30</v>
      </c>
      <c r="N3713">
        <f t="shared" si="57"/>
        <v>7</v>
      </c>
    </row>
    <row r="3714" spans="12:14">
      <c r="L3714">
        <v>1817</v>
      </c>
      <c r="N3714" t="str">
        <f t="shared" si="57"/>
        <v/>
      </c>
    </row>
    <row r="3715" spans="12:14">
      <c r="L3715">
        <v>3534</v>
      </c>
      <c r="N3715" t="str">
        <f t="shared" ref="N3715:N3778" si="58">IFERROR(VLOOKUP(M3715,$A$3:$B$10,2,0),"")</f>
        <v/>
      </c>
    </row>
    <row r="3716" spans="12:14">
      <c r="L3716">
        <v>251</v>
      </c>
      <c r="M3716" t="s">
        <v>26</v>
      </c>
      <c r="N3716">
        <f t="shared" si="58"/>
        <v>1</v>
      </c>
    </row>
    <row r="3717" spans="12:14">
      <c r="L3717">
        <v>4794</v>
      </c>
      <c r="N3717" t="str">
        <f t="shared" si="58"/>
        <v/>
      </c>
    </row>
    <row r="3718" spans="12:14">
      <c r="L3718">
        <v>1390</v>
      </c>
      <c r="M3718" t="s">
        <v>28</v>
      </c>
      <c r="N3718">
        <f t="shared" si="58"/>
        <v>3</v>
      </c>
    </row>
    <row r="3719" spans="12:14">
      <c r="L3719">
        <v>1761</v>
      </c>
      <c r="N3719" t="str">
        <f t="shared" si="58"/>
        <v/>
      </c>
    </row>
    <row r="3720" spans="12:14">
      <c r="L3720">
        <v>4244</v>
      </c>
      <c r="M3720" t="s">
        <v>19</v>
      </c>
      <c r="N3720">
        <f t="shared" si="58"/>
        <v>2</v>
      </c>
    </row>
    <row r="3721" spans="12:14">
      <c r="L3721">
        <v>830</v>
      </c>
      <c r="M3721" t="s">
        <v>25</v>
      </c>
      <c r="N3721">
        <f t="shared" si="58"/>
        <v>5</v>
      </c>
    </row>
    <row r="3722" spans="12:14">
      <c r="L3722">
        <v>3281</v>
      </c>
      <c r="M3722" t="s">
        <v>25</v>
      </c>
      <c r="N3722">
        <f t="shared" si="58"/>
        <v>5</v>
      </c>
    </row>
    <row r="3723" spans="12:14">
      <c r="L3723">
        <v>862</v>
      </c>
      <c r="M3723" t="s">
        <v>19</v>
      </c>
      <c r="N3723">
        <f t="shared" si="58"/>
        <v>2</v>
      </c>
    </row>
    <row r="3724" spans="12:14">
      <c r="L3724">
        <v>1570</v>
      </c>
      <c r="N3724" t="str">
        <f t="shared" si="58"/>
        <v/>
      </c>
    </row>
    <row r="3725" spans="12:14">
      <c r="L3725">
        <v>539</v>
      </c>
      <c r="M3725" t="s">
        <v>26</v>
      </c>
      <c r="N3725">
        <f t="shared" si="58"/>
        <v>1</v>
      </c>
    </row>
    <row r="3726" spans="12:14">
      <c r="L3726">
        <v>1212</v>
      </c>
      <c r="M3726" t="s">
        <v>31</v>
      </c>
      <c r="N3726">
        <f t="shared" si="58"/>
        <v>6</v>
      </c>
    </row>
    <row r="3727" spans="12:14">
      <c r="L3727">
        <v>3988</v>
      </c>
      <c r="M3727" t="s">
        <v>25</v>
      </c>
      <c r="N3727">
        <f t="shared" si="58"/>
        <v>5</v>
      </c>
    </row>
    <row r="3728" spans="12:14">
      <c r="L3728">
        <v>3150</v>
      </c>
      <c r="N3728" t="str">
        <f t="shared" si="58"/>
        <v/>
      </c>
    </row>
    <row r="3729" spans="12:14">
      <c r="L3729">
        <v>4955</v>
      </c>
      <c r="M3729" t="s">
        <v>28</v>
      </c>
      <c r="N3729">
        <f t="shared" si="58"/>
        <v>3</v>
      </c>
    </row>
    <row r="3730" spans="12:14">
      <c r="L3730">
        <v>3587</v>
      </c>
      <c r="M3730" t="s">
        <v>28</v>
      </c>
      <c r="N3730">
        <f t="shared" si="58"/>
        <v>3</v>
      </c>
    </row>
    <row r="3731" spans="12:14">
      <c r="L3731">
        <v>2078</v>
      </c>
      <c r="N3731" t="str">
        <f t="shared" si="58"/>
        <v/>
      </c>
    </row>
    <row r="3732" spans="12:14">
      <c r="L3732">
        <v>3467</v>
      </c>
      <c r="N3732" t="str">
        <f t="shared" si="58"/>
        <v/>
      </c>
    </row>
    <row r="3733" spans="12:14">
      <c r="L3733">
        <v>1315</v>
      </c>
      <c r="M3733" t="s">
        <v>31</v>
      </c>
      <c r="N3733">
        <f t="shared" si="58"/>
        <v>6</v>
      </c>
    </row>
    <row r="3734" spans="12:14">
      <c r="L3734">
        <v>3091</v>
      </c>
      <c r="N3734" t="str">
        <f t="shared" si="58"/>
        <v/>
      </c>
    </row>
    <row r="3735" spans="12:14">
      <c r="L3735">
        <v>1630</v>
      </c>
      <c r="M3735" t="s">
        <v>19</v>
      </c>
      <c r="N3735">
        <f t="shared" si="58"/>
        <v>2</v>
      </c>
    </row>
    <row r="3736" spans="12:14">
      <c r="L3736">
        <v>832</v>
      </c>
      <c r="N3736" t="str">
        <f t="shared" si="58"/>
        <v/>
      </c>
    </row>
    <row r="3737" spans="12:14">
      <c r="L3737">
        <v>483</v>
      </c>
      <c r="N3737" t="str">
        <f t="shared" si="58"/>
        <v/>
      </c>
    </row>
    <row r="3738" spans="12:14">
      <c r="L3738">
        <v>2159</v>
      </c>
      <c r="N3738" t="str">
        <f t="shared" si="58"/>
        <v/>
      </c>
    </row>
    <row r="3739" spans="12:14">
      <c r="L3739">
        <v>3451</v>
      </c>
      <c r="M3739" t="s">
        <v>30</v>
      </c>
      <c r="N3739">
        <f t="shared" si="58"/>
        <v>7</v>
      </c>
    </row>
    <row r="3740" spans="12:14">
      <c r="L3740">
        <v>4258</v>
      </c>
      <c r="N3740" t="str">
        <f t="shared" si="58"/>
        <v/>
      </c>
    </row>
    <row r="3741" spans="12:14">
      <c r="L3741">
        <v>1419</v>
      </c>
      <c r="M3741" t="s">
        <v>31</v>
      </c>
      <c r="N3741">
        <f t="shared" si="58"/>
        <v>6</v>
      </c>
    </row>
    <row r="3742" spans="12:14">
      <c r="L3742">
        <v>1431</v>
      </c>
      <c r="N3742" t="str">
        <f t="shared" si="58"/>
        <v/>
      </c>
    </row>
    <row r="3743" spans="12:14">
      <c r="L3743">
        <v>809</v>
      </c>
      <c r="N3743" t="str">
        <f t="shared" si="58"/>
        <v/>
      </c>
    </row>
    <row r="3744" spans="12:14">
      <c r="L3744">
        <v>1264</v>
      </c>
      <c r="M3744" t="s">
        <v>31</v>
      </c>
      <c r="N3744">
        <f t="shared" si="58"/>
        <v>6</v>
      </c>
    </row>
    <row r="3745" spans="12:14">
      <c r="L3745">
        <v>2410</v>
      </c>
      <c r="N3745" t="str">
        <f t="shared" si="58"/>
        <v/>
      </c>
    </row>
    <row r="3746" spans="12:14">
      <c r="L3746">
        <v>2586</v>
      </c>
      <c r="M3746" t="s">
        <v>19</v>
      </c>
      <c r="N3746">
        <f t="shared" si="58"/>
        <v>2</v>
      </c>
    </row>
    <row r="3747" spans="12:14">
      <c r="L3747">
        <v>484</v>
      </c>
      <c r="N3747" t="str">
        <f t="shared" si="58"/>
        <v/>
      </c>
    </row>
    <row r="3748" spans="12:14">
      <c r="L3748">
        <v>913</v>
      </c>
      <c r="N3748" t="str">
        <f t="shared" si="58"/>
        <v/>
      </c>
    </row>
    <row r="3749" spans="12:14">
      <c r="L3749">
        <v>1363</v>
      </c>
      <c r="N3749" t="str">
        <f t="shared" si="58"/>
        <v/>
      </c>
    </row>
    <row r="3750" spans="12:14">
      <c r="L3750">
        <v>1732</v>
      </c>
      <c r="M3750" t="s">
        <v>25</v>
      </c>
      <c r="N3750">
        <f t="shared" si="58"/>
        <v>5</v>
      </c>
    </row>
    <row r="3751" spans="12:14">
      <c r="L3751">
        <v>750</v>
      </c>
      <c r="N3751" t="str">
        <f t="shared" si="58"/>
        <v/>
      </c>
    </row>
    <row r="3752" spans="12:14">
      <c r="L3752">
        <v>1246</v>
      </c>
      <c r="N3752" t="str">
        <f t="shared" si="58"/>
        <v/>
      </c>
    </row>
    <row r="3753" spans="12:14">
      <c r="L3753">
        <v>3556</v>
      </c>
      <c r="N3753" t="str">
        <f t="shared" si="58"/>
        <v/>
      </c>
    </row>
    <row r="3754" spans="12:14">
      <c r="L3754">
        <v>3064</v>
      </c>
      <c r="N3754" t="str">
        <f t="shared" si="58"/>
        <v/>
      </c>
    </row>
    <row r="3755" spans="12:14">
      <c r="L3755">
        <v>3506</v>
      </c>
      <c r="N3755" t="str">
        <f t="shared" si="58"/>
        <v/>
      </c>
    </row>
    <row r="3756" spans="12:14">
      <c r="L3756">
        <v>1819</v>
      </c>
      <c r="N3756" t="str">
        <f t="shared" si="58"/>
        <v/>
      </c>
    </row>
    <row r="3757" spans="12:14">
      <c r="L3757">
        <v>1044</v>
      </c>
      <c r="M3757" t="s">
        <v>26</v>
      </c>
      <c r="N3757">
        <f t="shared" si="58"/>
        <v>1</v>
      </c>
    </row>
    <row r="3758" spans="12:14">
      <c r="L3758">
        <v>3630</v>
      </c>
      <c r="N3758" t="str">
        <f t="shared" si="58"/>
        <v/>
      </c>
    </row>
    <row r="3759" spans="12:14">
      <c r="L3759">
        <v>1569</v>
      </c>
      <c r="N3759" t="str">
        <f t="shared" si="58"/>
        <v/>
      </c>
    </row>
    <row r="3760" spans="12:14">
      <c r="L3760">
        <v>4855</v>
      </c>
      <c r="M3760" t="s">
        <v>31</v>
      </c>
      <c r="N3760">
        <f t="shared" si="58"/>
        <v>6</v>
      </c>
    </row>
    <row r="3761" spans="12:14">
      <c r="L3761">
        <v>3428</v>
      </c>
      <c r="N3761" t="str">
        <f t="shared" si="58"/>
        <v/>
      </c>
    </row>
    <row r="3762" spans="12:14">
      <c r="L3762">
        <v>2458</v>
      </c>
      <c r="M3762" t="s">
        <v>19</v>
      </c>
      <c r="N3762">
        <f t="shared" si="58"/>
        <v>2</v>
      </c>
    </row>
    <row r="3763" spans="12:14">
      <c r="L3763">
        <v>4083</v>
      </c>
      <c r="M3763" t="s">
        <v>30</v>
      </c>
      <c r="N3763">
        <f t="shared" si="58"/>
        <v>7</v>
      </c>
    </row>
    <row r="3764" spans="12:14">
      <c r="L3764">
        <v>753</v>
      </c>
      <c r="N3764" t="str">
        <f t="shared" si="58"/>
        <v/>
      </c>
    </row>
    <row r="3765" spans="12:14">
      <c r="L3765">
        <v>82</v>
      </c>
      <c r="M3765" t="s">
        <v>30</v>
      </c>
      <c r="N3765">
        <f t="shared" si="58"/>
        <v>7</v>
      </c>
    </row>
    <row r="3766" spans="12:14">
      <c r="L3766">
        <v>2798</v>
      </c>
      <c r="M3766" t="s">
        <v>29</v>
      </c>
      <c r="N3766">
        <f t="shared" si="58"/>
        <v>4</v>
      </c>
    </row>
    <row r="3767" spans="12:14">
      <c r="L3767">
        <v>4514</v>
      </c>
      <c r="N3767" t="str">
        <f t="shared" si="58"/>
        <v/>
      </c>
    </row>
    <row r="3768" spans="12:14">
      <c r="L3768">
        <v>4947</v>
      </c>
      <c r="N3768" t="str">
        <f t="shared" si="58"/>
        <v/>
      </c>
    </row>
    <row r="3769" spans="12:14">
      <c r="L3769">
        <v>4358</v>
      </c>
      <c r="N3769" t="str">
        <f t="shared" si="58"/>
        <v/>
      </c>
    </row>
    <row r="3770" spans="12:14">
      <c r="L3770">
        <v>3004</v>
      </c>
      <c r="N3770" t="str">
        <f t="shared" si="58"/>
        <v/>
      </c>
    </row>
    <row r="3771" spans="12:14">
      <c r="L3771">
        <v>350</v>
      </c>
      <c r="M3771" t="s">
        <v>26</v>
      </c>
      <c r="N3771">
        <f t="shared" si="58"/>
        <v>1</v>
      </c>
    </row>
    <row r="3772" spans="12:14">
      <c r="L3772">
        <v>2745</v>
      </c>
      <c r="N3772" t="str">
        <f t="shared" si="58"/>
        <v/>
      </c>
    </row>
    <row r="3773" spans="12:14">
      <c r="L3773">
        <v>4861</v>
      </c>
      <c r="M3773" t="s">
        <v>29</v>
      </c>
      <c r="N3773">
        <f t="shared" si="58"/>
        <v>4</v>
      </c>
    </row>
    <row r="3774" spans="12:14">
      <c r="L3774">
        <v>2463</v>
      </c>
      <c r="N3774" t="str">
        <f t="shared" si="58"/>
        <v/>
      </c>
    </row>
    <row r="3775" spans="12:14">
      <c r="L3775">
        <v>3422</v>
      </c>
      <c r="N3775" t="str">
        <f t="shared" si="58"/>
        <v/>
      </c>
    </row>
    <row r="3776" spans="12:14">
      <c r="L3776">
        <v>1644</v>
      </c>
      <c r="N3776" t="str">
        <f t="shared" si="58"/>
        <v/>
      </c>
    </row>
    <row r="3777" spans="12:14">
      <c r="L3777">
        <v>3714</v>
      </c>
      <c r="M3777" t="s">
        <v>25</v>
      </c>
      <c r="N3777">
        <f t="shared" si="58"/>
        <v>5</v>
      </c>
    </row>
    <row r="3778" spans="12:14">
      <c r="L3778">
        <v>299</v>
      </c>
      <c r="N3778" t="str">
        <f t="shared" si="58"/>
        <v/>
      </c>
    </row>
    <row r="3779" spans="12:14">
      <c r="L3779">
        <v>1060</v>
      </c>
      <c r="N3779" t="str">
        <f t="shared" ref="N3779:N3842" si="59">IFERROR(VLOOKUP(M3779,$A$3:$B$10,2,0),"")</f>
        <v/>
      </c>
    </row>
    <row r="3780" spans="12:14">
      <c r="L3780">
        <v>2515</v>
      </c>
      <c r="N3780" t="str">
        <f t="shared" si="59"/>
        <v/>
      </c>
    </row>
    <row r="3781" spans="12:14">
      <c r="L3781">
        <v>3933</v>
      </c>
      <c r="N3781" t="str">
        <f t="shared" si="59"/>
        <v/>
      </c>
    </row>
    <row r="3782" spans="12:14">
      <c r="L3782">
        <v>2480</v>
      </c>
      <c r="N3782" t="str">
        <f t="shared" si="59"/>
        <v/>
      </c>
    </row>
    <row r="3783" spans="12:14">
      <c r="L3783">
        <v>756</v>
      </c>
      <c r="N3783" t="str">
        <f t="shared" si="59"/>
        <v/>
      </c>
    </row>
    <row r="3784" spans="12:14">
      <c r="L3784">
        <v>2621</v>
      </c>
      <c r="N3784" t="str">
        <f t="shared" si="59"/>
        <v/>
      </c>
    </row>
    <row r="3785" spans="12:14">
      <c r="L3785">
        <v>3280</v>
      </c>
      <c r="M3785" t="s">
        <v>31</v>
      </c>
      <c r="N3785">
        <f t="shared" si="59"/>
        <v>6</v>
      </c>
    </row>
    <row r="3786" spans="12:14">
      <c r="L3786">
        <v>4945</v>
      </c>
      <c r="N3786" t="str">
        <f t="shared" si="59"/>
        <v/>
      </c>
    </row>
    <row r="3787" spans="12:14">
      <c r="L3787">
        <v>4125</v>
      </c>
      <c r="N3787" t="str">
        <f t="shared" si="59"/>
        <v/>
      </c>
    </row>
    <row r="3788" spans="12:14">
      <c r="L3788">
        <v>2096</v>
      </c>
      <c r="N3788" t="str">
        <f t="shared" si="59"/>
        <v/>
      </c>
    </row>
    <row r="3789" spans="12:14">
      <c r="L3789">
        <v>2105</v>
      </c>
      <c r="N3789" t="str">
        <f t="shared" si="59"/>
        <v/>
      </c>
    </row>
    <row r="3790" spans="12:14">
      <c r="L3790">
        <v>649</v>
      </c>
      <c r="N3790" t="str">
        <f t="shared" si="59"/>
        <v/>
      </c>
    </row>
    <row r="3791" spans="12:14">
      <c r="L3791">
        <v>2378</v>
      </c>
      <c r="N3791" t="str">
        <f t="shared" si="59"/>
        <v/>
      </c>
    </row>
    <row r="3792" spans="12:14">
      <c r="L3792">
        <v>1675</v>
      </c>
      <c r="N3792" t="str">
        <f t="shared" si="59"/>
        <v/>
      </c>
    </row>
    <row r="3793" spans="12:14">
      <c r="L3793">
        <v>422</v>
      </c>
      <c r="M3793" t="s">
        <v>26</v>
      </c>
      <c r="N3793">
        <f t="shared" si="59"/>
        <v>1</v>
      </c>
    </row>
    <row r="3794" spans="12:14">
      <c r="L3794">
        <v>1925</v>
      </c>
      <c r="N3794" t="str">
        <f t="shared" si="59"/>
        <v/>
      </c>
    </row>
    <row r="3795" spans="12:14">
      <c r="L3795">
        <v>3265</v>
      </c>
      <c r="N3795" t="str">
        <f t="shared" si="59"/>
        <v/>
      </c>
    </row>
    <row r="3796" spans="12:14">
      <c r="L3796">
        <v>2478</v>
      </c>
      <c r="M3796" t="s">
        <v>26</v>
      </c>
      <c r="N3796">
        <f t="shared" si="59"/>
        <v>1</v>
      </c>
    </row>
    <row r="3797" spans="12:14">
      <c r="L3797">
        <v>4038</v>
      </c>
      <c r="N3797" t="str">
        <f t="shared" si="59"/>
        <v/>
      </c>
    </row>
    <row r="3798" spans="12:14">
      <c r="L3798">
        <v>3629</v>
      </c>
      <c r="N3798" t="str">
        <f t="shared" si="59"/>
        <v/>
      </c>
    </row>
    <row r="3799" spans="12:14">
      <c r="L3799">
        <v>3190</v>
      </c>
      <c r="M3799" t="s">
        <v>26</v>
      </c>
      <c r="N3799">
        <f t="shared" si="59"/>
        <v>1</v>
      </c>
    </row>
    <row r="3800" spans="12:14">
      <c r="L3800">
        <v>421</v>
      </c>
      <c r="N3800" t="str">
        <f t="shared" si="59"/>
        <v/>
      </c>
    </row>
    <row r="3801" spans="12:14">
      <c r="L3801">
        <v>2784</v>
      </c>
      <c r="M3801" t="s">
        <v>31</v>
      </c>
      <c r="N3801">
        <f t="shared" si="59"/>
        <v>6</v>
      </c>
    </row>
    <row r="3802" spans="12:14">
      <c r="L3802">
        <v>1042</v>
      </c>
      <c r="N3802" t="str">
        <f t="shared" si="59"/>
        <v/>
      </c>
    </row>
    <row r="3803" spans="12:14">
      <c r="L3803">
        <v>2801</v>
      </c>
      <c r="M3803" t="s">
        <v>19</v>
      </c>
      <c r="N3803">
        <f t="shared" si="59"/>
        <v>2</v>
      </c>
    </row>
    <row r="3804" spans="12:14">
      <c r="L3804">
        <v>1328</v>
      </c>
      <c r="N3804" t="str">
        <f t="shared" si="59"/>
        <v/>
      </c>
    </row>
    <row r="3805" spans="12:14">
      <c r="L3805">
        <v>4678</v>
      </c>
      <c r="N3805" t="str">
        <f t="shared" si="59"/>
        <v/>
      </c>
    </row>
    <row r="3806" spans="12:14">
      <c r="L3806">
        <v>2435</v>
      </c>
      <c r="N3806" t="str">
        <f t="shared" si="59"/>
        <v/>
      </c>
    </row>
    <row r="3807" spans="12:14">
      <c r="L3807">
        <v>1181</v>
      </c>
      <c r="N3807" t="str">
        <f t="shared" si="59"/>
        <v/>
      </c>
    </row>
    <row r="3808" spans="12:14">
      <c r="L3808">
        <v>2739</v>
      </c>
      <c r="M3808" t="s">
        <v>31</v>
      </c>
      <c r="N3808">
        <f t="shared" si="59"/>
        <v>6</v>
      </c>
    </row>
    <row r="3809" spans="12:14">
      <c r="L3809">
        <v>465</v>
      </c>
      <c r="M3809" t="s">
        <v>25</v>
      </c>
      <c r="N3809">
        <f t="shared" si="59"/>
        <v>5</v>
      </c>
    </row>
    <row r="3810" spans="12:14">
      <c r="L3810">
        <v>3915</v>
      </c>
      <c r="M3810" t="s">
        <v>29</v>
      </c>
      <c r="N3810">
        <f t="shared" si="59"/>
        <v>4</v>
      </c>
    </row>
    <row r="3811" spans="12:14">
      <c r="L3811">
        <v>1426</v>
      </c>
      <c r="N3811" t="str">
        <f t="shared" si="59"/>
        <v/>
      </c>
    </row>
    <row r="3812" spans="12:14">
      <c r="L3812">
        <v>35</v>
      </c>
      <c r="M3812" t="s">
        <v>31</v>
      </c>
      <c r="N3812">
        <f t="shared" si="59"/>
        <v>6</v>
      </c>
    </row>
    <row r="3813" spans="12:14">
      <c r="L3813">
        <v>4907</v>
      </c>
      <c r="M3813" t="s">
        <v>25</v>
      </c>
      <c r="N3813">
        <f t="shared" si="59"/>
        <v>5</v>
      </c>
    </row>
    <row r="3814" spans="12:14">
      <c r="L3814">
        <v>4933</v>
      </c>
      <c r="N3814" t="str">
        <f t="shared" si="59"/>
        <v/>
      </c>
    </row>
    <row r="3815" spans="12:14">
      <c r="L3815">
        <v>3697</v>
      </c>
      <c r="N3815" t="str">
        <f t="shared" si="59"/>
        <v/>
      </c>
    </row>
    <row r="3816" spans="12:14">
      <c r="L3816">
        <v>4107</v>
      </c>
      <c r="N3816" t="str">
        <f t="shared" si="59"/>
        <v/>
      </c>
    </row>
    <row r="3817" spans="12:14">
      <c r="L3817">
        <v>2472</v>
      </c>
      <c r="M3817" t="s">
        <v>31</v>
      </c>
      <c r="N3817">
        <f t="shared" si="59"/>
        <v>6</v>
      </c>
    </row>
    <row r="3818" spans="12:14">
      <c r="L3818">
        <v>2092</v>
      </c>
      <c r="N3818" t="str">
        <f t="shared" si="59"/>
        <v/>
      </c>
    </row>
    <row r="3819" spans="12:14">
      <c r="L3819">
        <v>1699</v>
      </c>
      <c r="M3819" t="s">
        <v>29</v>
      </c>
      <c r="N3819">
        <f t="shared" si="59"/>
        <v>4</v>
      </c>
    </row>
    <row r="3820" spans="12:14">
      <c r="L3820">
        <v>367</v>
      </c>
      <c r="M3820" t="s">
        <v>25</v>
      </c>
      <c r="N3820">
        <f t="shared" si="59"/>
        <v>5</v>
      </c>
    </row>
    <row r="3821" spans="12:14">
      <c r="L3821">
        <v>141</v>
      </c>
      <c r="N3821" t="str">
        <f t="shared" si="59"/>
        <v/>
      </c>
    </row>
    <row r="3822" spans="12:14">
      <c r="L3822">
        <v>3068</v>
      </c>
      <c r="N3822" t="str">
        <f t="shared" si="59"/>
        <v/>
      </c>
    </row>
    <row r="3823" spans="12:14">
      <c r="L3823">
        <v>4204</v>
      </c>
      <c r="N3823" t="str">
        <f t="shared" si="59"/>
        <v/>
      </c>
    </row>
    <row r="3824" spans="12:14">
      <c r="L3824">
        <v>1545</v>
      </c>
      <c r="N3824" t="str">
        <f t="shared" si="59"/>
        <v/>
      </c>
    </row>
    <row r="3825" spans="12:14">
      <c r="L3825">
        <v>2637</v>
      </c>
      <c r="M3825" t="s">
        <v>31</v>
      </c>
      <c r="N3825">
        <f t="shared" si="59"/>
        <v>6</v>
      </c>
    </row>
    <row r="3826" spans="12:14">
      <c r="L3826">
        <v>2695</v>
      </c>
      <c r="N3826" t="str">
        <f t="shared" si="59"/>
        <v/>
      </c>
    </row>
    <row r="3827" spans="12:14">
      <c r="L3827">
        <v>3710</v>
      </c>
      <c r="M3827" t="s">
        <v>25</v>
      </c>
      <c r="N3827">
        <f t="shared" si="59"/>
        <v>5</v>
      </c>
    </row>
    <row r="3828" spans="12:14">
      <c r="L3828">
        <v>248</v>
      </c>
      <c r="N3828" t="str">
        <f t="shared" si="59"/>
        <v/>
      </c>
    </row>
    <row r="3829" spans="12:14">
      <c r="L3829">
        <v>2214</v>
      </c>
      <c r="N3829" t="str">
        <f t="shared" si="59"/>
        <v/>
      </c>
    </row>
    <row r="3830" spans="12:14">
      <c r="L3830">
        <v>2416</v>
      </c>
      <c r="N3830" t="str">
        <f t="shared" si="59"/>
        <v/>
      </c>
    </row>
    <row r="3831" spans="12:14">
      <c r="L3831">
        <v>1701</v>
      </c>
      <c r="N3831" t="str">
        <f t="shared" si="59"/>
        <v/>
      </c>
    </row>
    <row r="3832" spans="12:14">
      <c r="L3832">
        <v>314</v>
      </c>
      <c r="N3832" t="str">
        <f t="shared" si="59"/>
        <v/>
      </c>
    </row>
    <row r="3833" spans="12:14">
      <c r="L3833">
        <v>2626</v>
      </c>
      <c r="N3833" t="str">
        <f t="shared" si="59"/>
        <v/>
      </c>
    </row>
    <row r="3834" spans="12:14">
      <c r="L3834">
        <v>470</v>
      </c>
      <c r="N3834" t="str">
        <f t="shared" si="59"/>
        <v/>
      </c>
    </row>
    <row r="3835" spans="12:14">
      <c r="L3835">
        <v>2021</v>
      </c>
      <c r="N3835" t="str">
        <f t="shared" si="59"/>
        <v/>
      </c>
    </row>
    <row r="3836" spans="12:14">
      <c r="L3836">
        <v>718</v>
      </c>
      <c r="M3836" t="s">
        <v>26</v>
      </c>
      <c r="N3836">
        <f t="shared" si="59"/>
        <v>1</v>
      </c>
    </row>
    <row r="3837" spans="12:14">
      <c r="L3837">
        <v>4586</v>
      </c>
      <c r="N3837" t="str">
        <f t="shared" si="59"/>
        <v/>
      </c>
    </row>
    <row r="3838" spans="12:14">
      <c r="L3838">
        <v>249</v>
      </c>
      <c r="N3838" t="str">
        <f t="shared" si="59"/>
        <v/>
      </c>
    </row>
    <row r="3839" spans="12:14">
      <c r="L3839">
        <v>2452</v>
      </c>
      <c r="N3839" t="str">
        <f t="shared" si="59"/>
        <v/>
      </c>
    </row>
    <row r="3840" spans="12:14">
      <c r="L3840">
        <v>4644</v>
      </c>
      <c r="N3840" t="str">
        <f t="shared" si="59"/>
        <v/>
      </c>
    </row>
    <row r="3841" spans="12:14">
      <c r="L3841">
        <v>4872</v>
      </c>
      <c r="M3841" t="s">
        <v>29</v>
      </c>
      <c r="N3841">
        <f t="shared" si="59"/>
        <v>4</v>
      </c>
    </row>
    <row r="3842" spans="12:14">
      <c r="L3842">
        <v>4332</v>
      </c>
      <c r="N3842" t="str">
        <f t="shared" si="59"/>
        <v/>
      </c>
    </row>
    <row r="3843" spans="12:14">
      <c r="L3843">
        <v>1247</v>
      </c>
      <c r="N3843" t="str">
        <f t="shared" ref="N3843:N3906" si="60">IFERROR(VLOOKUP(M3843,$A$3:$B$10,2,0),"")</f>
        <v/>
      </c>
    </row>
    <row r="3844" spans="12:14">
      <c r="L3844">
        <v>4185</v>
      </c>
      <c r="M3844" t="s">
        <v>30</v>
      </c>
      <c r="N3844">
        <f t="shared" si="60"/>
        <v>7</v>
      </c>
    </row>
    <row r="3845" spans="12:14">
      <c r="L3845">
        <v>1837</v>
      </c>
      <c r="N3845" t="str">
        <f t="shared" si="60"/>
        <v/>
      </c>
    </row>
    <row r="3846" spans="12:14">
      <c r="L3846">
        <v>2477</v>
      </c>
      <c r="N3846" t="str">
        <f t="shared" si="60"/>
        <v/>
      </c>
    </row>
    <row r="3847" spans="12:14">
      <c r="L3847">
        <v>1685</v>
      </c>
      <c r="N3847" t="str">
        <f t="shared" si="60"/>
        <v/>
      </c>
    </row>
    <row r="3848" spans="12:14">
      <c r="L3848">
        <v>1735</v>
      </c>
      <c r="N3848" t="str">
        <f t="shared" si="60"/>
        <v/>
      </c>
    </row>
    <row r="3849" spans="12:14">
      <c r="L3849">
        <v>2995</v>
      </c>
      <c r="M3849" t="s">
        <v>28</v>
      </c>
      <c r="N3849">
        <f t="shared" si="60"/>
        <v>3</v>
      </c>
    </row>
    <row r="3850" spans="12:14">
      <c r="L3850">
        <v>1292</v>
      </c>
      <c r="N3850" t="str">
        <f t="shared" si="60"/>
        <v/>
      </c>
    </row>
    <row r="3851" spans="12:14">
      <c r="L3851">
        <v>3412</v>
      </c>
      <c r="N3851" t="str">
        <f t="shared" si="60"/>
        <v/>
      </c>
    </row>
    <row r="3852" spans="12:14">
      <c r="L3852">
        <v>2316</v>
      </c>
      <c r="M3852" t="s">
        <v>28</v>
      </c>
      <c r="N3852">
        <f t="shared" si="60"/>
        <v>3</v>
      </c>
    </row>
    <row r="3853" spans="12:14">
      <c r="L3853">
        <v>1162</v>
      </c>
      <c r="N3853" t="str">
        <f t="shared" si="60"/>
        <v/>
      </c>
    </row>
    <row r="3854" spans="12:14">
      <c r="L3854">
        <v>589</v>
      </c>
      <c r="M3854" t="s">
        <v>26</v>
      </c>
      <c r="N3854">
        <f t="shared" si="60"/>
        <v>1</v>
      </c>
    </row>
    <row r="3855" spans="12:14">
      <c r="L3855">
        <v>1869</v>
      </c>
      <c r="M3855" t="s">
        <v>26</v>
      </c>
      <c r="N3855">
        <f t="shared" si="60"/>
        <v>1</v>
      </c>
    </row>
    <row r="3856" spans="12:14">
      <c r="L3856">
        <v>1388</v>
      </c>
      <c r="N3856" t="str">
        <f t="shared" si="60"/>
        <v/>
      </c>
    </row>
    <row r="3857" spans="12:14">
      <c r="L3857">
        <v>2901</v>
      </c>
      <c r="N3857" t="str">
        <f t="shared" si="60"/>
        <v/>
      </c>
    </row>
    <row r="3858" spans="12:14">
      <c r="L3858">
        <v>4467</v>
      </c>
      <c r="N3858" t="str">
        <f t="shared" si="60"/>
        <v/>
      </c>
    </row>
    <row r="3859" spans="12:14">
      <c r="L3859">
        <v>1366</v>
      </c>
      <c r="N3859" t="str">
        <f t="shared" si="60"/>
        <v/>
      </c>
    </row>
    <row r="3860" spans="12:14">
      <c r="L3860">
        <v>540</v>
      </c>
      <c r="M3860" t="s">
        <v>31</v>
      </c>
      <c r="N3860">
        <f t="shared" si="60"/>
        <v>6</v>
      </c>
    </row>
    <row r="3861" spans="12:14">
      <c r="L3861">
        <v>4187</v>
      </c>
      <c r="N3861" t="str">
        <f t="shared" si="60"/>
        <v/>
      </c>
    </row>
    <row r="3862" spans="12:14">
      <c r="L3862">
        <v>4087</v>
      </c>
      <c r="N3862" t="str">
        <f t="shared" si="60"/>
        <v/>
      </c>
    </row>
    <row r="3863" spans="12:14">
      <c r="L3863">
        <v>3536</v>
      </c>
      <c r="N3863" t="str">
        <f t="shared" si="60"/>
        <v/>
      </c>
    </row>
    <row r="3864" spans="12:14">
      <c r="L3864">
        <v>4588</v>
      </c>
      <c r="N3864" t="str">
        <f t="shared" si="60"/>
        <v/>
      </c>
    </row>
    <row r="3865" spans="12:14">
      <c r="L3865">
        <v>1120</v>
      </c>
      <c r="M3865" t="s">
        <v>19</v>
      </c>
      <c r="N3865">
        <f t="shared" si="60"/>
        <v>2</v>
      </c>
    </row>
    <row r="3866" spans="12:14">
      <c r="L3866">
        <v>4498</v>
      </c>
      <c r="M3866" t="s">
        <v>30</v>
      </c>
      <c r="N3866">
        <f t="shared" si="60"/>
        <v>7</v>
      </c>
    </row>
    <row r="3867" spans="12:14">
      <c r="L3867">
        <v>1200</v>
      </c>
      <c r="N3867" t="str">
        <f t="shared" si="60"/>
        <v/>
      </c>
    </row>
    <row r="3868" spans="12:14">
      <c r="L3868">
        <v>1593</v>
      </c>
      <c r="M3868" t="s">
        <v>19</v>
      </c>
      <c r="N3868">
        <f t="shared" si="60"/>
        <v>2</v>
      </c>
    </row>
    <row r="3869" spans="12:14">
      <c r="L3869">
        <v>588</v>
      </c>
      <c r="N3869" t="str">
        <f t="shared" si="60"/>
        <v/>
      </c>
    </row>
    <row r="3870" spans="12:14">
      <c r="L3870">
        <v>1652</v>
      </c>
      <c r="M3870" t="s">
        <v>25</v>
      </c>
      <c r="N3870">
        <f t="shared" si="60"/>
        <v>5</v>
      </c>
    </row>
    <row r="3871" spans="12:14">
      <c r="L3871">
        <v>742</v>
      </c>
      <c r="M3871" t="s">
        <v>26</v>
      </c>
      <c r="N3871">
        <f t="shared" si="60"/>
        <v>1</v>
      </c>
    </row>
    <row r="3872" spans="12:14">
      <c r="L3872">
        <v>3549</v>
      </c>
      <c r="M3872" t="s">
        <v>28</v>
      </c>
      <c r="N3872">
        <f t="shared" si="60"/>
        <v>3</v>
      </c>
    </row>
    <row r="3873" spans="12:14">
      <c r="L3873">
        <v>37</v>
      </c>
      <c r="N3873" t="str">
        <f t="shared" si="60"/>
        <v/>
      </c>
    </row>
    <row r="3874" spans="12:14">
      <c r="L3874">
        <v>4619</v>
      </c>
      <c r="N3874" t="str">
        <f t="shared" si="60"/>
        <v/>
      </c>
    </row>
    <row r="3875" spans="12:14">
      <c r="L3875">
        <v>1658</v>
      </c>
      <c r="N3875" t="str">
        <f t="shared" si="60"/>
        <v/>
      </c>
    </row>
    <row r="3876" spans="12:14">
      <c r="L3876">
        <v>3836</v>
      </c>
      <c r="N3876" t="str">
        <f t="shared" si="60"/>
        <v/>
      </c>
    </row>
    <row r="3877" spans="12:14">
      <c r="L3877">
        <v>1676</v>
      </c>
      <c r="N3877" t="str">
        <f t="shared" si="60"/>
        <v/>
      </c>
    </row>
    <row r="3878" spans="12:14">
      <c r="L3878">
        <v>144</v>
      </c>
      <c r="N3878" t="str">
        <f t="shared" si="60"/>
        <v/>
      </c>
    </row>
    <row r="3879" spans="12:14">
      <c r="L3879">
        <v>1189</v>
      </c>
      <c r="N3879" t="str">
        <f t="shared" si="60"/>
        <v/>
      </c>
    </row>
    <row r="3880" spans="12:14">
      <c r="L3880">
        <v>2910</v>
      </c>
      <c r="N3880" t="str">
        <f t="shared" si="60"/>
        <v/>
      </c>
    </row>
    <row r="3881" spans="12:14">
      <c r="L3881">
        <v>2184</v>
      </c>
      <c r="N3881" t="str">
        <f t="shared" si="60"/>
        <v/>
      </c>
    </row>
    <row r="3882" spans="12:14">
      <c r="L3882">
        <v>2181</v>
      </c>
      <c r="M3882" t="s">
        <v>28</v>
      </c>
      <c r="N3882">
        <f t="shared" si="60"/>
        <v>3</v>
      </c>
    </row>
    <row r="3883" spans="12:14">
      <c r="L3883">
        <v>2909</v>
      </c>
      <c r="N3883" t="str">
        <f t="shared" si="60"/>
        <v/>
      </c>
    </row>
    <row r="3884" spans="12:14">
      <c r="L3884">
        <v>2216</v>
      </c>
      <c r="N3884" t="str">
        <f t="shared" si="60"/>
        <v/>
      </c>
    </row>
    <row r="3885" spans="12:14">
      <c r="L3885">
        <v>3163</v>
      </c>
      <c r="N3885" t="str">
        <f t="shared" si="60"/>
        <v/>
      </c>
    </row>
    <row r="3886" spans="12:14">
      <c r="L3886">
        <v>2227</v>
      </c>
      <c r="N3886" t="str">
        <f t="shared" si="60"/>
        <v/>
      </c>
    </row>
    <row r="3887" spans="12:14">
      <c r="L3887">
        <v>1723</v>
      </c>
      <c r="M3887" t="s">
        <v>28</v>
      </c>
      <c r="N3887">
        <f t="shared" si="60"/>
        <v>3</v>
      </c>
    </row>
    <row r="3888" spans="12:14">
      <c r="L3888">
        <v>17</v>
      </c>
      <c r="N3888" t="str">
        <f t="shared" si="60"/>
        <v/>
      </c>
    </row>
    <row r="3889" spans="12:14">
      <c r="L3889">
        <v>2726</v>
      </c>
      <c r="M3889" t="s">
        <v>31</v>
      </c>
      <c r="N3889">
        <f t="shared" si="60"/>
        <v>6</v>
      </c>
    </row>
    <row r="3890" spans="12:14">
      <c r="L3890">
        <v>2920</v>
      </c>
      <c r="M3890" t="s">
        <v>26</v>
      </c>
      <c r="N3890">
        <f t="shared" si="60"/>
        <v>1</v>
      </c>
    </row>
    <row r="3891" spans="12:14">
      <c r="L3891">
        <v>4582</v>
      </c>
      <c r="N3891" t="str">
        <f t="shared" si="60"/>
        <v/>
      </c>
    </row>
    <row r="3892" spans="12:14">
      <c r="L3892">
        <v>2446</v>
      </c>
      <c r="N3892" t="str">
        <f t="shared" si="60"/>
        <v/>
      </c>
    </row>
    <row r="3893" spans="12:14">
      <c r="L3893">
        <v>4663</v>
      </c>
      <c r="N3893" t="str">
        <f t="shared" si="60"/>
        <v/>
      </c>
    </row>
    <row r="3894" spans="12:14">
      <c r="L3894">
        <v>1714</v>
      </c>
      <c r="N3894" t="str">
        <f t="shared" si="60"/>
        <v/>
      </c>
    </row>
    <row r="3895" spans="12:14">
      <c r="L3895">
        <v>3633</v>
      </c>
      <c r="M3895" t="s">
        <v>28</v>
      </c>
      <c r="N3895">
        <f t="shared" si="60"/>
        <v>3</v>
      </c>
    </row>
    <row r="3896" spans="12:14">
      <c r="L3896">
        <v>3812</v>
      </c>
      <c r="M3896" t="s">
        <v>31</v>
      </c>
      <c r="N3896">
        <f t="shared" si="60"/>
        <v>6</v>
      </c>
    </row>
    <row r="3897" spans="12:14">
      <c r="L3897">
        <v>581</v>
      </c>
      <c r="N3897" t="str">
        <f t="shared" si="60"/>
        <v/>
      </c>
    </row>
    <row r="3898" spans="12:14">
      <c r="L3898">
        <v>2051</v>
      </c>
      <c r="N3898" t="str">
        <f t="shared" si="60"/>
        <v/>
      </c>
    </row>
    <row r="3899" spans="12:14">
      <c r="L3899">
        <v>1771</v>
      </c>
      <c r="M3899" t="s">
        <v>31</v>
      </c>
      <c r="N3899">
        <f t="shared" si="60"/>
        <v>6</v>
      </c>
    </row>
    <row r="3900" spans="12:14">
      <c r="L3900">
        <v>2064</v>
      </c>
      <c r="N3900" t="str">
        <f t="shared" si="60"/>
        <v/>
      </c>
    </row>
    <row r="3901" spans="12:14">
      <c r="L3901">
        <v>363</v>
      </c>
      <c r="N3901" t="str">
        <f t="shared" si="60"/>
        <v/>
      </c>
    </row>
    <row r="3902" spans="12:14">
      <c r="L3902">
        <v>2774</v>
      </c>
      <c r="N3902" t="str">
        <f t="shared" si="60"/>
        <v/>
      </c>
    </row>
    <row r="3903" spans="12:14">
      <c r="L3903">
        <v>2724</v>
      </c>
      <c r="N3903" t="str">
        <f t="shared" si="60"/>
        <v/>
      </c>
    </row>
    <row r="3904" spans="12:14">
      <c r="L3904">
        <v>1983</v>
      </c>
      <c r="M3904" t="s">
        <v>31</v>
      </c>
      <c r="N3904">
        <f t="shared" si="60"/>
        <v>6</v>
      </c>
    </row>
    <row r="3905" spans="12:14">
      <c r="L3905">
        <v>2650</v>
      </c>
      <c r="M3905" t="s">
        <v>25</v>
      </c>
      <c r="N3905">
        <f t="shared" si="60"/>
        <v>5</v>
      </c>
    </row>
    <row r="3906" spans="12:14">
      <c r="L3906">
        <v>25</v>
      </c>
      <c r="N3906" t="str">
        <f t="shared" si="60"/>
        <v/>
      </c>
    </row>
    <row r="3907" spans="12:14">
      <c r="L3907">
        <v>1858</v>
      </c>
      <c r="M3907" t="s">
        <v>30</v>
      </c>
      <c r="N3907">
        <f t="shared" ref="N3907:N3970" si="61">IFERROR(VLOOKUP(M3907,$A$3:$B$10,2,0),"")</f>
        <v>7</v>
      </c>
    </row>
    <row r="3908" spans="12:14">
      <c r="L3908">
        <v>2424</v>
      </c>
      <c r="N3908" t="str">
        <f t="shared" si="61"/>
        <v/>
      </c>
    </row>
    <row r="3909" spans="12:14">
      <c r="L3909">
        <v>4555</v>
      </c>
      <c r="N3909" t="str">
        <f t="shared" si="61"/>
        <v/>
      </c>
    </row>
    <row r="3910" spans="12:14">
      <c r="L3910">
        <v>2147</v>
      </c>
      <c r="N3910" t="str">
        <f t="shared" si="61"/>
        <v/>
      </c>
    </row>
    <row r="3911" spans="12:14">
      <c r="L3911">
        <v>2337</v>
      </c>
      <c r="N3911" t="str">
        <f t="shared" si="61"/>
        <v/>
      </c>
    </row>
    <row r="3912" spans="12:14">
      <c r="L3912">
        <v>3124</v>
      </c>
      <c r="N3912" t="str">
        <f t="shared" si="61"/>
        <v/>
      </c>
    </row>
    <row r="3913" spans="12:14">
      <c r="L3913">
        <v>3835</v>
      </c>
      <c r="M3913" t="s">
        <v>26</v>
      </c>
      <c r="N3913">
        <f t="shared" si="61"/>
        <v>1</v>
      </c>
    </row>
    <row r="3914" spans="12:14">
      <c r="L3914">
        <v>2197</v>
      </c>
      <c r="M3914" t="s">
        <v>30</v>
      </c>
      <c r="N3914">
        <f t="shared" si="61"/>
        <v>7</v>
      </c>
    </row>
    <row r="3915" spans="12:14">
      <c r="L3915">
        <v>3565</v>
      </c>
      <c r="N3915" t="str">
        <f t="shared" si="61"/>
        <v/>
      </c>
    </row>
    <row r="3916" spans="12:14">
      <c r="L3916">
        <v>491</v>
      </c>
      <c r="N3916" t="str">
        <f t="shared" si="61"/>
        <v/>
      </c>
    </row>
    <row r="3917" spans="12:14">
      <c r="L3917">
        <v>606</v>
      </c>
      <c r="N3917" t="str">
        <f t="shared" si="61"/>
        <v/>
      </c>
    </row>
    <row r="3918" spans="12:14">
      <c r="L3918">
        <v>4759</v>
      </c>
      <c r="N3918" t="str">
        <f t="shared" si="61"/>
        <v/>
      </c>
    </row>
    <row r="3919" spans="12:14">
      <c r="L3919">
        <v>3560</v>
      </c>
      <c r="N3919" t="str">
        <f t="shared" si="61"/>
        <v/>
      </c>
    </row>
    <row r="3920" spans="12:14">
      <c r="L3920">
        <v>4712</v>
      </c>
      <c r="N3920" t="str">
        <f t="shared" si="61"/>
        <v/>
      </c>
    </row>
    <row r="3921" spans="12:14">
      <c r="L3921">
        <v>1183</v>
      </c>
      <c r="N3921" t="str">
        <f t="shared" si="61"/>
        <v/>
      </c>
    </row>
    <row r="3922" spans="12:14">
      <c r="L3922">
        <v>2601</v>
      </c>
      <c r="N3922" t="str">
        <f t="shared" si="61"/>
        <v/>
      </c>
    </row>
    <row r="3923" spans="12:14">
      <c r="L3923">
        <v>613</v>
      </c>
      <c r="N3923" t="str">
        <f t="shared" si="61"/>
        <v/>
      </c>
    </row>
    <row r="3924" spans="12:14">
      <c r="L3924">
        <v>4308</v>
      </c>
      <c r="M3924" t="s">
        <v>29</v>
      </c>
      <c r="N3924">
        <f t="shared" si="61"/>
        <v>4</v>
      </c>
    </row>
    <row r="3925" spans="12:14">
      <c r="L3925">
        <v>3151</v>
      </c>
      <c r="N3925" t="str">
        <f t="shared" si="61"/>
        <v/>
      </c>
    </row>
    <row r="3926" spans="12:14">
      <c r="L3926">
        <v>1173</v>
      </c>
      <c r="N3926" t="str">
        <f t="shared" si="61"/>
        <v/>
      </c>
    </row>
    <row r="3927" spans="12:14">
      <c r="L3927">
        <v>2763</v>
      </c>
      <c r="N3927" t="str">
        <f t="shared" si="61"/>
        <v/>
      </c>
    </row>
    <row r="3928" spans="12:14">
      <c r="L3928">
        <v>481</v>
      </c>
      <c r="M3928" t="s">
        <v>31</v>
      </c>
      <c r="N3928">
        <f t="shared" si="61"/>
        <v>6</v>
      </c>
    </row>
    <row r="3929" spans="12:14">
      <c r="L3929">
        <v>3343</v>
      </c>
      <c r="N3929" t="str">
        <f t="shared" si="61"/>
        <v/>
      </c>
    </row>
    <row r="3930" spans="12:14">
      <c r="L3930">
        <v>840</v>
      </c>
      <c r="N3930" t="str">
        <f t="shared" si="61"/>
        <v/>
      </c>
    </row>
    <row r="3931" spans="12:14">
      <c r="L3931">
        <v>1364</v>
      </c>
      <c r="N3931" t="str">
        <f t="shared" si="61"/>
        <v/>
      </c>
    </row>
    <row r="3932" spans="12:14">
      <c r="L3932">
        <v>194</v>
      </c>
      <c r="M3932" t="s">
        <v>25</v>
      </c>
      <c r="N3932">
        <f t="shared" si="61"/>
        <v>5</v>
      </c>
    </row>
    <row r="3933" spans="12:14">
      <c r="L3933">
        <v>162</v>
      </c>
      <c r="M3933" t="s">
        <v>28</v>
      </c>
      <c r="N3933">
        <f t="shared" si="61"/>
        <v>3</v>
      </c>
    </row>
    <row r="3934" spans="12:14">
      <c r="L3934">
        <v>230</v>
      </c>
      <c r="N3934" t="str">
        <f t="shared" si="61"/>
        <v/>
      </c>
    </row>
    <row r="3935" spans="12:14">
      <c r="L3935">
        <v>3889</v>
      </c>
      <c r="N3935" t="str">
        <f t="shared" si="61"/>
        <v/>
      </c>
    </row>
    <row r="3936" spans="12:14">
      <c r="L3936">
        <v>2631</v>
      </c>
      <c r="M3936" t="s">
        <v>28</v>
      </c>
      <c r="N3936">
        <f t="shared" si="61"/>
        <v>3</v>
      </c>
    </row>
    <row r="3937" spans="12:14">
      <c r="L3937">
        <v>4186</v>
      </c>
      <c r="N3937" t="str">
        <f t="shared" si="61"/>
        <v/>
      </c>
    </row>
    <row r="3938" spans="12:14">
      <c r="L3938">
        <v>1550</v>
      </c>
      <c r="M3938" t="s">
        <v>29</v>
      </c>
      <c r="N3938">
        <f t="shared" si="61"/>
        <v>4</v>
      </c>
    </row>
    <row r="3939" spans="12:14">
      <c r="L3939">
        <v>2266</v>
      </c>
      <c r="N3939" t="str">
        <f t="shared" si="61"/>
        <v/>
      </c>
    </row>
    <row r="3940" spans="12:14">
      <c r="L3940">
        <v>4101</v>
      </c>
      <c r="N3940" t="str">
        <f t="shared" si="61"/>
        <v/>
      </c>
    </row>
    <row r="3941" spans="12:14">
      <c r="L3941">
        <v>383</v>
      </c>
      <c r="N3941" t="str">
        <f t="shared" si="61"/>
        <v/>
      </c>
    </row>
    <row r="3942" spans="12:14">
      <c r="L3942">
        <v>4350</v>
      </c>
      <c r="N3942" t="str">
        <f t="shared" si="61"/>
        <v/>
      </c>
    </row>
    <row r="3943" spans="12:14">
      <c r="L3943">
        <v>4680</v>
      </c>
      <c r="N3943" t="str">
        <f t="shared" si="61"/>
        <v/>
      </c>
    </row>
    <row r="3944" spans="12:14">
      <c r="L3944">
        <v>3030</v>
      </c>
      <c r="N3944" t="str">
        <f t="shared" si="61"/>
        <v/>
      </c>
    </row>
    <row r="3945" spans="12:14">
      <c r="L3945">
        <v>415</v>
      </c>
      <c r="N3945" t="str">
        <f t="shared" si="61"/>
        <v/>
      </c>
    </row>
    <row r="3946" spans="12:14">
      <c r="L3946">
        <v>3250</v>
      </c>
      <c r="N3946" t="str">
        <f t="shared" si="61"/>
        <v/>
      </c>
    </row>
    <row r="3947" spans="12:14">
      <c r="L3947">
        <v>3269</v>
      </c>
      <c r="N3947" t="str">
        <f t="shared" si="61"/>
        <v/>
      </c>
    </row>
    <row r="3948" spans="12:14">
      <c r="L3948">
        <v>231</v>
      </c>
      <c r="M3948" t="s">
        <v>26</v>
      </c>
      <c r="N3948">
        <f t="shared" si="61"/>
        <v>1</v>
      </c>
    </row>
    <row r="3949" spans="12:14">
      <c r="L3949">
        <v>1147</v>
      </c>
      <c r="N3949" t="str">
        <f t="shared" si="61"/>
        <v/>
      </c>
    </row>
    <row r="3950" spans="12:14">
      <c r="L3950">
        <v>2241</v>
      </c>
      <c r="N3950" t="str">
        <f t="shared" si="61"/>
        <v/>
      </c>
    </row>
    <row r="3951" spans="12:14">
      <c r="L3951">
        <v>4550</v>
      </c>
      <c r="M3951" t="s">
        <v>26</v>
      </c>
      <c r="N3951">
        <f t="shared" si="61"/>
        <v>1</v>
      </c>
    </row>
    <row r="3952" spans="12:14">
      <c r="L3952">
        <v>4831</v>
      </c>
      <c r="N3952" t="str">
        <f t="shared" si="61"/>
        <v/>
      </c>
    </row>
    <row r="3953" spans="12:14">
      <c r="L3953">
        <v>2380</v>
      </c>
      <c r="N3953" t="str">
        <f t="shared" si="61"/>
        <v/>
      </c>
    </row>
    <row r="3954" spans="12:14">
      <c r="L3954">
        <v>1054</v>
      </c>
      <c r="N3954" t="str">
        <f t="shared" si="61"/>
        <v/>
      </c>
    </row>
    <row r="3955" spans="12:14">
      <c r="L3955">
        <v>280</v>
      </c>
      <c r="N3955" t="str">
        <f t="shared" si="61"/>
        <v/>
      </c>
    </row>
    <row r="3956" spans="12:14">
      <c r="L3956">
        <v>4347</v>
      </c>
      <c r="M3956" t="s">
        <v>26</v>
      </c>
      <c r="N3956">
        <f t="shared" si="61"/>
        <v>1</v>
      </c>
    </row>
    <row r="3957" spans="12:14">
      <c r="L3957">
        <v>885</v>
      </c>
      <c r="N3957" t="str">
        <f t="shared" si="61"/>
        <v/>
      </c>
    </row>
    <row r="3958" spans="12:14">
      <c r="L3958">
        <v>924</v>
      </c>
      <c r="N3958" t="str">
        <f t="shared" si="61"/>
        <v/>
      </c>
    </row>
    <row r="3959" spans="12:14">
      <c r="L3959">
        <v>3532</v>
      </c>
      <c r="M3959" t="s">
        <v>26</v>
      </c>
      <c r="N3959">
        <f t="shared" si="61"/>
        <v>1</v>
      </c>
    </row>
    <row r="3960" spans="12:14">
      <c r="L3960">
        <v>2561</v>
      </c>
      <c r="N3960" t="str">
        <f t="shared" si="61"/>
        <v/>
      </c>
    </row>
    <row r="3961" spans="12:14">
      <c r="L3961">
        <v>775</v>
      </c>
      <c r="M3961" t="s">
        <v>25</v>
      </c>
      <c r="N3961">
        <f t="shared" si="61"/>
        <v>5</v>
      </c>
    </row>
    <row r="3962" spans="12:14">
      <c r="L3962">
        <v>2099</v>
      </c>
      <c r="N3962" t="str">
        <f t="shared" si="61"/>
        <v/>
      </c>
    </row>
    <row r="3963" spans="12:14">
      <c r="L3963">
        <v>3002</v>
      </c>
      <c r="N3963" t="str">
        <f t="shared" si="61"/>
        <v/>
      </c>
    </row>
    <row r="3964" spans="12:14">
      <c r="L3964">
        <v>4430</v>
      </c>
      <c r="M3964" t="s">
        <v>31</v>
      </c>
      <c r="N3964">
        <f t="shared" si="61"/>
        <v>6</v>
      </c>
    </row>
    <row r="3965" spans="12:14">
      <c r="L3965">
        <v>612</v>
      </c>
      <c r="M3965" t="s">
        <v>25</v>
      </c>
      <c r="N3965">
        <f t="shared" si="61"/>
        <v>5</v>
      </c>
    </row>
    <row r="3966" spans="12:14">
      <c r="L3966">
        <v>4448</v>
      </c>
      <c r="N3966" t="str">
        <f t="shared" si="61"/>
        <v/>
      </c>
    </row>
    <row r="3967" spans="12:14">
      <c r="L3967">
        <v>1262</v>
      </c>
      <c r="N3967" t="str">
        <f t="shared" si="61"/>
        <v/>
      </c>
    </row>
    <row r="3968" spans="12:14">
      <c r="L3968">
        <v>1251</v>
      </c>
      <c r="M3968" t="s">
        <v>31</v>
      </c>
      <c r="N3968">
        <f t="shared" si="61"/>
        <v>6</v>
      </c>
    </row>
    <row r="3969" spans="12:14">
      <c r="L3969">
        <v>3361</v>
      </c>
      <c r="N3969" t="str">
        <f t="shared" si="61"/>
        <v/>
      </c>
    </row>
    <row r="3970" spans="12:14">
      <c r="L3970">
        <v>1479</v>
      </c>
      <c r="N3970" t="str">
        <f t="shared" si="61"/>
        <v/>
      </c>
    </row>
    <row r="3971" spans="12:14">
      <c r="L3971">
        <v>277</v>
      </c>
      <c r="N3971" t="str">
        <f t="shared" ref="N3971:N4034" si="62">IFERROR(VLOOKUP(M3971,$A$3:$B$10,2,0),"")</f>
        <v/>
      </c>
    </row>
    <row r="3972" spans="12:14">
      <c r="L3972">
        <v>309</v>
      </c>
      <c r="N3972" t="str">
        <f t="shared" si="62"/>
        <v/>
      </c>
    </row>
    <row r="3973" spans="12:14">
      <c r="L3973">
        <v>1214</v>
      </c>
      <c r="M3973" t="s">
        <v>29</v>
      </c>
      <c r="N3973">
        <f t="shared" si="62"/>
        <v>4</v>
      </c>
    </row>
    <row r="3974" spans="12:14">
      <c r="L3974">
        <v>991</v>
      </c>
      <c r="N3974" t="str">
        <f t="shared" si="62"/>
        <v/>
      </c>
    </row>
    <row r="3975" spans="12:14">
      <c r="L3975">
        <v>728</v>
      </c>
      <c r="N3975" t="str">
        <f t="shared" si="62"/>
        <v/>
      </c>
    </row>
    <row r="3976" spans="12:14">
      <c r="L3976">
        <v>3619</v>
      </c>
      <c r="N3976" t="str">
        <f t="shared" si="62"/>
        <v/>
      </c>
    </row>
    <row r="3977" spans="12:14">
      <c r="L3977">
        <v>4494</v>
      </c>
      <c r="N3977" t="str">
        <f t="shared" si="62"/>
        <v/>
      </c>
    </row>
    <row r="3978" spans="12:14">
      <c r="L3978">
        <v>3614</v>
      </c>
      <c r="N3978" t="str">
        <f t="shared" si="62"/>
        <v/>
      </c>
    </row>
    <row r="3979" spans="12:14">
      <c r="L3979">
        <v>1634</v>
      </c>
      <c r="M3979" t="s">
        <v>19</v>
      </c>
      <c r="N3979">
        <f t="shared" si="62"/>
        <v>2</v>
      </c>
    </row>
    <row r="3980" spans="12:14">
      <c r="L3980">
        <v>1829</v>
      </c>
      <c r="N3980" t="str">
        <f t="shared" si="62"/>
        <v/>
      </c>
    </row>
    <row r="3981" spans="12:14">
      <c r="L3981">
        <v>2034</v>
      </c>
      <c r="N3981" t="str">
        <f t="shared" si="62"/>
        <v/>
      </c>
    </row>
    <row r="3982" spans="12:14">
      <c r="L3982">
        <v>140</v>
      </c>
      <c r="M3982" t="s">
        <v>31</v>
      </c>
      <c r="N3982">
        <f t="shared" si="62"/>
        <v>6</v>
      </c>
    </row>
    <row r="3983" spans="12:14">
      <c r="L3983">
        <v>2986</v>
      </c>
      <c r="M3983" t="s">
        <v>19</v>
      </c>
      <c r="N3983">
        <f t="shared" si="62"/>
        <v>2</v>
      </c>
    </row>
    <row r="3984" spans="12:14">
      <c r="L3984">
        <v>1383</v>
      </c>
      <c r="N3984" t="str">
        <f t="shared" si="62"/>
        <v/>
      </c>
    </row>
    <row r="3985" spans="12:14">
      <c r="L3985">
        <v>2123</v>
      </c>
      <c r="N3985" t="str">
        <f t="shared" si="62"/>
        <v/>
      </c>
    </row>
    <row r="3986" spans="12:14">
      <c r="L3986">
        <v>1828</v>
      </c>
      <c r="M3986" t="s">
        <v>25</v>
      </c>
      <c r="N3986">
        <f t="shared" si="62"/>
        <v>5</v>
      </c>
    </row>
    <row r="3987" spans="12:14">
      <c r="L3987">
        <v>2287</v>
      </c>
      <c r="M3987" t="s">
        <v>28</v>
      </c>
      <c r="N3987">
        <f t="shared" si="62"/>
        <v>3</v>
      </c>
    </row>
    <row r="3988" spans="12:14">
      <c r="L3988">
        <v>3056</v>
      </c>
      <c r="N3988" t="str">
        <f t="shared" si="62"/>
        <v/>
      </c>
    </row>
    <row r="3989" spans="12:14">
      <c r="L3989">
        <v>2914</v>
      </c>
      <c r="N3989" t="str">
        <f t="shared" si="62"/>
        <v/>
      </c>
    </row>
    <row r="3990" spans="12:14">
      <c r="L3990">
        <v>4967</v>
      </c>
      <c r="N3990" t="str">
        <f t="shared" si="62"/>
        <v/>
      </c>
    </row>
    <row r="3991" spans="12:14">
      <c r="L3991">
        <v>479</v>
      </c>
      <c r="M3991" t="s">
        <v>26</v>
      </c>
      <c r="N3991">
        <f t="shared" si="62"/>
        <v>1</v>
      </c>
    </row>
    <row r="3992" spans="12:14">
      <c r="L3992">
        <v>1024</v>
      </c>
      <c r="N3992" t="str">
        <f t="shared" si="62"/>
        <v/>
      </c>
    </row>
    <row r="3993" spans="12:14">
      <c r="L3993">
        <v>1816</v>
      </c>
      <c r="N3993" t="str">
        <f t="shared" si="62"/>
        <v/>
      </c>
    </row>
    <row r="3994" spans="12:14">
      <c r="L3994">
        <v>51</v>
      </c>
      <c r="N3994" t="str">
        <f t="shared" si="62"/>
        <v/>
      </c>
    </row>
    <row r="3995" spans="12:14">
      <c r="L3995">
        <v>1441</v>
      </c>
      <c r="N3995" t="str">
        <f t="shared" si="62"/>
        <v/>
      </c>
    </row>
    <row r="3996" spans="12:14">
      <c r="L3996">
        <v>523</v>
      </c>
      <c r="N3996" t="str">
        <f t="shared" si="62"/>
        <v/>
      </c>
    </row>
    <row r="3997" spans="12:14">
      <c r="L3997">
        <v>1371</v>
      </c>
      <c r="N3997" t="str">
        <f t="shared" si="62"/>
        <v/>
      </c>
    </row>
    <row r="3998" spans="12:14">
      <c r="L3998">
        <v>4315</v>
      </c>
      <c r="N3998" t="str">
        <f t="shared" si="62"/>
        <v/>
      </c>
    </row>
    <row r="3999" spans="12:14">
      <c r="L3999">
        <v>3042</v>
      </c>
      <c r="N3999" t="str">
        <f t="shared" si="62"/>
        <v/>
      </c>
    </row>
    <row r="4000" spans="12:14">
      <c r="L4000">
        <v>3295</v>
      </c>
      <c r="N4000" t="str">
        <f t="shared" si="62"/>
        <v/>
      </c>
    </row>
    <row r="4001" spans="12:14">
      <c r="L4001">
        <v>3610</v>
      </c>
      <c r="N4001" t="str">
        <f t="shared" si="62"/>
        <v/>
      </c>
    </row>
    <row r="4002" spans="12:14">
      <c r="L4002">
        <v>1389</v>
      </c>
      <c r="N4002" t="str">
        <f t="shared" si="62"/>
        <v/>
      </c>
    </row>
    <row r="4003" spans="12:14">
      <c r="L4003">
        <v>4250</v>
      </c>
      <c r="M4003" t="s">
        <v>25</v>
      </c>
      <c r="N4003">
        <f t="shared" si="62"/>
        <v>5</v>
      </c>
    </row>
    <row r="4004" spans="12:14">
      <c r="L4004">
        <v>12</v>
      </c>
      <c r="M4004" t="s">
        <v>29</v>
      </c>
      <c r="N4004">
        <f t="shared" si="62"/>
        <v>4</v>
      </c>
    </row>
    <row r="4005" spans="12:14">
      <c r="L4005">
        <v>1198</v>
      </c>
      <c r="N4005" t="str">
        <f t="shared" si="62"/>
        <v/>
      </c>
    </row>
    <row r="4006" spans="12:14">
      <c r="L4006">
        <v>472</v>
      </c>
      <c r="N4006" t="str">
        <f t="shared" si="62"/>
        <v/>
      </c>
    </row>
    <row r="4007" spans="12:14">
      <c r="L4007">
        <v>679</v>
      </c>
      <c r="N4007" t="str">
        <f t="shared" si="62"/>
        <v/>
      </c>
    </row>
    <row r="4008" spans="12:14">
      <c r="L4008">
        <v>2980</v>
      </c>
      <c r="M4008" t="s">
        <v>19</v>
      </c>
      <c r="N4008">
        <f t="shared" si="62"/>
        <v>2</v>
      </c>
    </row>
    <row r="4009" spans="12:14">
      <c r="L4009">
        <v>3806</v>
      </c>
      <c r="N4009" t="str">
        <f t="shared" si="62"/>
        <v/>
      </c>
    </row>
    <row r="4010" spans="12:14">
      <c r="L4010">
        <v>3732</v>
      </c>
      <c r="N4010" t="str">
        <f t="shared" si="62"/>
        <v/>
      </c>
    </row>
    <row r="4011" spans="12:14">
      <c r="L4011">
        <v>1239</v>
      </c>
      <c r="N4011" t="str">
        <f t="shared" si="62"/>
        <v/>
      </c>
    </row>
    <row r="4012" spans="12:14">
      <c r="L4012">
        <v>3847</v>
      </c>
      <c r="N4012" t="str">
        <f t="shared" si="62"/>
        <v/>
      </c>
    </row>
    <row r="4013" spans="12:14">
      <c r="L4013">
        <v>3529</v>
      </c>
      <c r="N4013" t="str">
        <f t="shared" si="62"/>
        <v/>
      </c>
    </row>
    <row r="4014" spans="12:14">
      <c r="L4014">
        <v>1102</v>
      </c>
      <c r="N4014" t="str">
        <f t="shared" si="62"/>
        <v/>
      </c>
    </row>
    <row r="4015" spans="12:14">
      <c r="L4015">
        <v>704</v>
      </c>
      <c r="N4015" t="str">
        <f t="shared" si="62"/>
        <v/>
      </c>
    </row>
    <row r="4016" spans="12:14">
      <c r="L4016">
        <v>1586</v>
      </c>
      <c r="N4016" t="str">
        <f t="shared" si="62"/>
        <v/>
      </c>
    </row>
    <row r="4017" spans="12:14">
      <c r="L4017">
        <v>947</v>
      </c>
      <c r="N4017" t="str">
        <f t="shared" si="62"/>
        <v/>
      </c>
    </row>
    <row r="4018" spans="12:14">
      <c r="L4018">
        <v>1985</v>
      </c>
      <c r="N4018" t="str">
        <f t="shared" si="62"/>
        <v/>
      </c>
    </row>
    <row r="4019" spans="12:14">
      <c r="L4019">
        <v>4635</v>
      </c>
      <c r="N4019" t="str">
        <f t="shared" si="62"/>
        <v/>
      </c>
    </row>
    <row r="4020" spans="12:14">
      <c r="L4020">
        <v>591</v>
      </c>
      <c r="N4020" t="str">
        <f t="shared" si="62"/>
        <v/>
      </c>
    </row>
    <row r="4021" spans="12:14">
      <c r="L4021">
        <v>3552</v>
      </c>
      <c r="N4021" t="str">
        <f t="shared" si="62"/>
        <v/>
      </c>
    </row>
    <row r="4022" spans="12:14">
      <c r="L4022">
        <v>2765</v>
      </c>
      <c r="N4022" t="str">
        <f t="shared" si="62"/>
        <v/>
      </c>
    </row>
    <row r="4023" spans="12:14">
      <c r="L4023">
        <v>180</v>
      </c>
      <c r="N4023" t="str">
        <f t="shared" si="62"/>
        <v/>
      </c>
    </row>
    <row r="4024" spans="12:14">
      <c r="L4024">
        <v>2600</v>
      </c>
      <c r="N4024" t="str">
        <f t="shared" si="62"/>
        <v/>
      </c>
    </row>
    <row r="4025" spans="12:14">
      <c r="L4025">
        <v>4142</v>
      </c>
      <c r="N4025" t="str">
        <f t="shared" si="62"/>
        <v/>
      </c>
    </row>
    <row r="4026" spans="12:14">
      <c r="L4026">
        <v>557</v>
      </c>
      <c r="N4026" t="str">
        <f t="shared" si="62"/>
        <v/>
      </c>
    </row>
    <row r="4027" spans="12:14">
      <c r="L4027">
        <v>1994</v>
      </c>
      <c r="N4027" t="str">
        <f t="shared" si="62"/>
        <v/>
      </c>
    </row>
    <row r="4028" spans="12:14">
      <c r="L4028">
        <v>1750</v>
      </c>
      <c r="N4028" t="str">
        <f t="shared" si="62"/>
        <v/>
      </c>
    </row>
    <row r="4029" spans="12:14">
      <c r="L4029">
        <v>2522</v>
      </c>
      <c r="N4029" t="str">
        <f t="shared" si="62"/>
        <v/>
      </c>
    </row>
    <row r="4030" spans="12:14">
      <c r="L4030">
        <v>563</v>
      </c>
      <c r="N4030" t="str">
        <f t="shared" si="62"/>
        <v/>
      </c>
    </row>
    <row r="4031" spans="12:14">
      <c r="L4031">
        <v>998</v>
      </c>
      <c r="N4031" t="str">
        <f t="shared" si="62"/>
        <v/>
      </c>
    </row>
    <row r="4032" spans="12:14">
      <c r="L4032">
        <v>4569</v>
      </c>
      <c r="N4032" t="str">
        <f t="shared" si="62"/>
        <v/>
      </c>
    </row>
    <row r="4033" spans="12:14">
      <c r="L4033">
        <v>1698</v>
      </c>
      <c r="M4033" t="s">
        <v>28</v>
      </c>
      <c r="N4033">
        <f t="shared" si="62"/>
        <v>3</v>
      </c>
    </row>
    <row r="4034" spans="12:14">
      <c r="L4034">
        <v>3954</v>
      </c>
      <c r="N4034" t="str">
        <f t="shared" si="62"/>
        <v/>
      </c>
    </row>
    <row r="4035" spans="12:14">
      <c r="L4035">
        <v>4699</v>
      </c>
      <c r="M4035" t="s">
        <v>25</v>
      </c>
      <c r="N4035">
        <f t="shared" ref="N4035:N4098" si="63">IFERROR(VLOOKUP(M4035,$A$3:$B$10,2,0),"")</f>
        <v>5</v>
      </c>
    </row>
    <row r="4036" spans="12:14">
      <c r="L4036">
        <v>2667</v>
      </c>
      <c r="N4036" t="str">
        <f t="shared" si="63"/>
        <v/>
      </c>
    </row>
    <row r="4037" spans="12:14">
      <c r="L4037">
        <v>4464</v>
      </c>
      <c r="N4037" t="str">
        <f t="shared" si="63"/>
        <v/>
      </c>
    </row>
    <row r="4038" spans="12:14">
      <c r="L4038">
        <v>3013</v>
      </c>
      <c r="M4038" t="s">
        <v>29</v>
      </c>
      <c r="N4038">
        <f t="shared" si="63"/>
        <v>4</v>
      </c>
    </row>
    <row r="4039" spans="12:14">
      <c r="L4039">
        <v>1263</v>
      </c>
      <c r="M4039" t="s">
        <v>19</v>
      </c>
      <c r="N4039">
        <f t="shared" si="63"/>
        <v>2</v>
      </c>
    </row>
    <row r="4040" spans="12:14">
      <c r="L4040">
        <v>3183</v>
      </c>
      <c r="N4040" t="str">
        <f t="shared" si="63"/>
        <v/>
      </c>
    </row>
    <row r="4041" spans="12:14">
      <c r="L4041">
        <v>3191</v>
      </c>
      <c r="N4041" t="str">
        <f t="shared" si="63"/>
        <v/>
      </c>
    </row>
    <row r="4042" spans="12:14">
      <c r="L4042">
        <v>4221</v>
      </c>
      <c r="M4042" t="s">
        <v>26</v>
      </c>
      <c r="N4042">
        <f t="shared" si="63"/>
        <v>1</v>
      </c>
    </row>
    <row r="4043" spans="12:14">
      <c r="L4043">
        <v>4180</v>
      </c>
      <c r="N4043" t="str">
        <f t="shared" si="63"/>
        <v/>
      </c>
    </row>
    <row r="4044" spans="12:14">
      <c r="L4044">
        <v>4829</v>
      </c>
      <c r="N4044" t="str">
        <f t="shared" si="63"/>
        <v/>
      </c>
    </row>
    <row r="4045" spans="12:14">
      <c r="L4045">
        <v>1437</v>
      </c>
      <c r="N4045" t="str">
        <f t="shared" si="63"/>
        <v/>
      </c>
    </row>
    <row r="4046" spans="12:14">
      <c r="L4046">
        <v>2377</v>
      </c>
      <c r="N4046" t="str">
        <f t="shared" si="63"/>
        <v/>
      </c>
    </row>
    <row r="4047" spans="12:14">
      <c r="L4047">
        <v>3935</v>
      </c>
      <c r="M4047" t="s">
        <v>30</v>
      </c>
      <c r="N4047">
        <f t="shared" si="63"/>
        <v>7</v>
      </c>
    </row>
    <row r="4048" spans="12:14">
      <c r="L4048">
        <v>2998</v>
      </c>
      <c r="M4048" t="s">
        <v>19</v>
      </c>
      <c r="N4048">
        <f t="shared" si="63"/>
        <v>2</v>
      </c>
    </row>
    <row r="4049" spans="12:14">
      <c r="L4049">
        <v>4904</v>
      </c>
      <c r="N4049" t="str">
        <f t="shared" si="63"/>
        <v/>
      </c>
    </row>
    <row r="4050" spans="12:14">
      <c r="L4050">
        <v>85</v>
      </c>
      <c r="N4050" t="str">
        <f t="shared" si="63"/>
        <v/>
      </c>
    </row>
    <row r="4051" spans="12:14">
      <c r="L4051">
        <v>3561</v>
      </c>
      <c r="N4051" t="str">
        <f t="shared" si="63"/>
        <v/>
      </c>
    </row>
    <row r="4052" spans="12:14">
      <c r="L4052">
        <v>503</v>
      </c>
      <c r="N4052" t="str">
        <f t="shared" si="63"/>
        <v/>
      </c>
    </row>
    <row r="4053" spans="12:14">
      <c r="L4053">
        <v>4534</v>
      </c>
      <c r="N4053" t="str">
        <f t="shared" si="63"/>
        <v/>
      </c>
    </row>
    <row r="4054" spans="12:14">
      <c r="L4054">
        <v>1731</v>
      </c>
      <c r="M4054" t="s">
        <v>19</v>
      </c>
      <c r="N4054">
        <f t="shared" si="63"/>
        <v>2</v>
      </c>
    </row>
    <row r="4055" spans="12:14">
      <c r="L4055">
        <v>2324</v>
      </c>
      <c r="M4055" t="s">
        <v>31</v>
      </c>
      <c r="N4055">
        <f t="shared" si="63"/>
        <v>6</v>
      </c>
    </row>
    <row r="4056" spans="12:14">
      <c r="L4056">
        <v>3967</v>
      </c>
      <c r="N4056" t="str">
        <f t="shared" si="63"/>
        <v/>
      </c>
    </row>
    <row r="4057" spans="12:14">
      <c r="L4057">
        <v>1911</v>
      </c>
      <c r="M4057" t="s">
        <v>30</v>
      </c>
      <c r="N4057">
        <f t="shared" si="63"/>
        <v>7</v>
      </c>
    </row>
    <row r="4058" spans="12:14">
      <c r="L4058">
        <v>3908</v>
      </c>
      <c r="M4058" t="s">
        <v>30</v>
      </c>
      <c r="N4058">
        <f t="shared" si="63"/>
        <v>7</v>
      </c>
    </row>
    <row r="4059" spans="12:14">
      <c r="L4059">
        <v>4778</v>
      </c>
      <c r="N4059" t="str">
        <f t="shared" si="63"/>
        <v/>
      </c>
    </row>
    <row r="4060" spans="12:14">
      <c r="L4060">
        <v>1528</v>
      </c>
      <c r="M4060" t="s">
        <v>19</v>
      </c>
      <c r="N4060">
        <f t="shared" si="63"/>
        <v>2</v>
      </c>
    </row>
    <row r="4061" spans="12:14">
      <c r="L4061">
        <v>2057</v>
      </c>
      <c r="M4061" t="s">
        <v>19</v>
      </c>
      <c r="N4061">
        <f t="shared" si="63"/>
        <v>2</v>
      </c>
    </row>
    <row r="4062" spans="12:14">
      <c r="L4062">
        <v>1498</v>
      </c>
      <c r="N4062" t="str">
        <f t="shared" si="63"/>
        <v/>
      </c>
    </row>
    <row r="4063" spans="12:14">
      <c r="L4063">
        <v>3310</v>
      </c>
      <c r="N4063" t="str">
        <f t="shared" si="63"/>
        <v/>
      </c>
    </row>
    <row r="4064" spans="12:14">
      <c r="L4064">
        <v>1886</v>
      </c>
      <c r="N4064" t="str">
        <f t="shared" si="63"/>
        <v/>
      </c>
    </row>
    <row r="4065" spans="12:14">
      <c r="L4065">
        <v>2083</v>
      </c>
      <c r="M4065" t="s">
        <v>30</v>
      </c>
      <c r="N4065">
        <f t="shared" si="63"/>
        <v>7</v>
      </c>
    </row>
    <row r="4066" spans="12:14">
      <c r="L4066">
        <v>627</v>
      </c>
      <c r="M4066" t="s">
        <v>31</v>
      </c>
      <c r="N4066">
        <f t="shared" si="63"/>
        <v>6</v>
      </c>
    </row>
    <row r="4067" spans="12:14">
      <c r="L4067">
        <v>741</v>
      </c>
      <c r="N4067" t="str">
        <f t="shared" si="63"/>
        <v/>
      </c>
    </row>
    <row r="4068" spans="12:14">
      <c r="L4068">
        <v>1342</v>
      </c>
      <c r="M4068" t="s">
        <v>25</v>
      </c>
      <c r="N4068">
        <f t="shared" si="63"/>
        <v>5</v>
      </c>
    </row>
    <row r="4069" spans="12:14">
      <c r="L4069">
        <v>4927</v>
      </c>
      <c r="N4069" t="str">
        <f t="shared" si="63"/>
        <v/>
      </c>
    </row>
    <row r="4070" spans="12:14">
      <c r="L4070">
        <v>1783</v>
      </c>
      <c r="N4070" t="str">
        <f t="shared" si="63"/>
        <v/>
      </c>
    </row>
    <row r="4071" spans="12:14">
      <c r="L4071">
        <v>2033</v>
      </c>
      <c r="N4071" t="str">
        <f t="shared" si="63"/>
        <v/>
      </c>
    </row>
    <row r="4072" spans="12:14">
      <c r="L4072">
        <v>287</v>
      </c>
      <c r="N4072" t="str">
        <f t="shared" si="63"/>
        <v/>
      </c>
    </row>
    <row r="4073" spans="12:14">
      <c r="L4073">
        <v>4229</v>
      </c>
      <c r="N4073" t="str">
        <f t="shared" si="63"/>
        <v/>
      </c>
    </row>
    <row r="4074" spans="12:14">
      <c r="L4074">
        <v>2954</v>
      </c>
      <c r="M4074" t="s">
        <v>25</v>
      </c>
      <c r="N4074">
        <f t="shared" si="63"/>
        <v>5</v>
      </c>
    </row>
    <row r="4075" spans="12:14">
      <c r="L4075">
        <v>2694</v>
      </c>
      <c r="N4075" t="str">
        <f t="shared" si="63"/>
        <v/>
      </c>
    </row>
    <row r="4076" spans="12:14">
      <c r="L4076">
        <v>495</v>
      </c>
      <c r="N4076" t="str">
        <f t="shared" si="63"/>
        <v/>
      </c>
    </row>
    <row r="4077" spans="12:14">
      <c r="L4077">
        <v>789</v>
      </c>
      <c r="N4077" t="str">
        <f t="shared" si="63"/>
        <v/>
      </c>
    </row>
    <row r="4078" spans="12:14">
      <c r="L4078">
        <v>2485</v>
      </c>
      <c r="M4078" t="s">
        <v>19</v>
      </c>
      <c r="N4078">
        <f t="shared" si="63"/>
        <v>2</v>
      </c>
    </row>
    <row r="4079" spans="12:14">
      <c r="L4079">
        <v>3788</v>
      </c>
      <c r="N4079" t="str">
        <f t="shared" si="63"/>
        <v/>
      </c>
    </row>
    <row r="4080" spans="12:14">
      <c r="L4080">
        <v>3285</v>
      </c>
      <c r="M4080" t="s">
        <v>26</v>
      </c>
      <c r="N4080">
        <f t="shared" si="63"/>
        <v>1</v>
      </c>
    </row>
    <row r="4081" spans="12:14">
      <c r="L4081">
        <v>4096</v>
      </c>
      <c r="N4081" t="str">
        <f t="shared" si="63"/>
        <v/>
      </c>
    </row>
    <row r="4082" spans="12:14">
      <c r="L4082">
        <v>3508</v>
      </c>
      <c r="M4082" t="s">
        <v>31</v>
      </c>
      <c r="N4082">
        <f t="shared" si="63"/>
        <v>6</v>
      </c>
    </row>
    <row r="4083" spans="12:14">
      <c r="L4083">
        <v>1621</v>
      </c>
      <c r="N4083" t="str">
        <f t="shared" si="63"/>
        <v/>
      </c>
    </row>
    <row r="4084" spans="12:14">
      <c r="L4084">
        <v>3644</v>
      </c>
      <c r="M4084" t="s">
        <v>28</v>
      </c>
      <c r="N4084">
        <f t="shared" si="63"/>
        <v>3</v>
      </c>
    </row>
    <row r="4085" spans="12:14">
      <c r="L4085">
        <v>163</v>
      </c>
      <c r="N4085" t="str">
        <f t="shared" si="63"/>
        <v/>
      </c>
    </row>
    <row r="4086" spans="12:14">
      <c r="L4086">
        <v>4134</v>
      </c>
      <c r="N4086" t="str">
        <f t="shared" si="63"/>
        <v/>
      </c>
    </row>
    <row r="4087" spans="12:14">
      <c r="L4087">
        <v>1959</v>
      </c>
      <c r="N4087" t="str">
        <f t="shared" si="63"/>
        <v/>
      </c>
    </row>
    <row r="4088" spans="12:14">
      <c r="L4088">
        <v>115</v>
      </c>
      <c r="M4088" t="s">
        <v>19</v>
      </c>
      <c r="N4088">
        <f t="shared" si="63"/>
        <v>2</v>
      </c>
    </row>
    <row r="4089" spans="12:14">
      <c r="L4089">
        <v>304</v>
      </c>
      <c r="N4089" t="str">
        <f t="shared" si="63"/>
        <v/>
      </c>
    </row>
    <row r="4090" spans="12:14">
      <c r="L4090">
        <v>2823</v>
      </c>
      <c r="N4090" t="str">
        <f t="shared" si="63"/>
        <v/>
      </c>
    </row>
    <row r="4091" spans="12:14">
      <c r="L4091">
        <v>4800</v>
      </c>
      <c r="N4091" t="str">
        <f t="shared" si="63"/>
        <v/>
      </c>
    </row>
    <row r="4092" spans="12:14">
      <c r="L4092">
        <v>88</v>
      </c>
      <c r="N4092" t="str">
        <f t="shared" si="63"/>
        <v/>
      </c>
    </row>
    <row r="4093" spans="12:14">
      <c r="L4093">
        <v>2351</v>
      </c>
      <c r="M4093" t="s">
        <v>26</v>
      </c>
      <c r="N4093">
        <f t="shared" si="63"/>
        <v>1</v>
      </c>
    </row>
    <row r="4094" spans="12:14">
      <c r="L4094">
        <v>4215</v>
      </c>
      <c r="M4094" t="s">
        <v>28</v>
      </c>
      <c r="N4094">
        <f t="shared" si="63"/>
        <v>3</v>
      </c>
    </row>
    <row r="4095" spans="12:14">
      <c r="L4095">
        <v>3366</v>
      </c>
      <c r="N4095" t="str">
        <f t="shared" si="63"/>
        <v/>
      </c>
    </row>
    <row r="4096" spans="12:14">
      <c r="L4096">
        <v>1787</v>
      </c>
      <c r="M4096" t="s">
        <v>30</v>
      </c>
      <c r="N4096">
        <f t="shared" si="63"/>
        <v>7</v>
      </c>
    </row>
    <row r="4097" spans="12:14">
      <c r="L4097">
        <v>4958</v>
      </c>
      <c r="N4097" t="str">
        <f t="shared" si="63"/>
        <v/>
      </c>
    </row>
    <row r="4098" spans="12:14">
      <c r="L4098">
        <v>1883</v>
      </c>
      <c r="M4098" t="s">
        <v>31</v>
      </c>
      <c r="N4098">
        <f t="shared" si="63"/>
        <v>6</v>
      </c>
    </row>
    <row r="4099" spans="12:14">
      <c r="L4099">
        <v>1175</v>
      </c>
      <c r="N4099" t="str">
        <f t="shared" ref="N4099:N4162" si="64">IFERROR(VLOOKUP(M4099,$A$3:$B$10,2,0),"")</f>
        <v/>
      </c>
    </row>
    <row r="4100" spans="12:14">
      <c r="L4100">
        <v>2167</v>
      </c>
      <c r="M4100" t="s">
        <v>30</v>
      </c>
      <c r="N4100">
        <f t="shared" si="64"/>
        <v>7</v>
      </c>
    </row>
    <row r="4101" spans="12:14">
      <c r="L4101">
        <v>3111</v>
      </c>
      <c r="N4101" t="str">
        <f t="shared" si="64"/>
        <v/>
      </c>
    </row>
    <row r="4102" spans="12:14">
      <c r="L4102">
        <v>2279</v>
      </c>
      <c r="M4102" t="s">
        <v>28</v>
      </c>
      <c r="N4102">
        <f t="shared" si="64"/>
        <v>3</v>
      </c>
    </row>
    <row r="4103" spans="12:14">
      <c r="L4103">
        <v>3463</v>
      </c>
      <c r="N4103" t="str">
        <f t="shared" si="64"/>
        <v/>
      </c>
    </row>
    <row r="4104" spans="12:14">
      <c r="L4104">
        <v>2400</v>
      </c>
      <c r="N4104" t="str">
        <f t="shared" si="64"/>
        <v/>
      </c>
    </row>
    <row r="4105" spans="12:14">
      <c r="L4105">
        <v>1226</v>
      </c>
      <c r="N4105" t="str">
        <f t="shared" si="64"/>
        <v/>
      </c>
    </row>
    <row r="4106" spans="12:14">
      <c r="L4106">
        <v>2098</v>
      </c>
      <c r="M4106" t="s">
        <v>31</v>
      </c>
      <c r="N4106">
        <f t="shared" si="64"/>
        <v>6</v>
      </c>
    </row>
    <row r="4107" spans="12:14">
      <c r="L4107">
        <v>585</v>
      </c>
      <c r="N4107" t="str">
        <f t="shared" si="64"/>
        <v/>
      </c>
    </row>
    <row r="4108" spans="12:14">
      <c r="L4108">
        <v>4866</v>
      </c>
      <c r="N4108" t="str">
        <f t="shared" si="64"/>
        <v/>
      </c>
    </row>
    <row r="4109" spans="12:14">
      <c r="L4109">
        <v>1784</v>
      </c>
      <c r="M4109" t="s">
        <v>29</v>
      </c>
      <c r="N4109">
        <f t="shared" si="64"/>
        <v>4</v>
      </c>
    </row>
    <row r="4110" spans="12:14">
      <c r="L4110">
        <v>2750</v>
      </c>
      <c r="N4110" t="str">
        <f t="shared" si="64"/>
        <v/>
      </c>
    </row>
    <row r="4111" spans="12:14">
      <c r="L4111">
        <v>3888</v>
      </c>
      <c r="M4111" t="s">
        <v>29</v>
      </c>
      <c r="N4111">
        <f t="shared" si="64"/>
        <v>4</v>
      </c>
    </row>
    <row r="4112" spans="12:14">
      <c r="L4112">
        <v>2329</v>
      </c>
      <c r="N4112" t="str">
        <f t="shared" si="64"/>
        <v/>
      </c>
    </row>
    <row r="4113" spans="12:14">
      <c r="L4113">
        <v>102</v>
      </c>
      <c r="M4113" t="s">
        <v>31</v>
      </c>
      <c r="N4113">
        <f t="shared" si="64"/>
        <v>6</v>
      </c>
    </row>
    <row r="4114" spans="12:14">
      <c r="L4114">
        <v>1299</v>
      </c>
      <c r="N4114" t="str">
        <f t="shared" si="64"/>
        <v/>
      </c>
    </row>
    <row r="4115" spans="12:14">
      <c r="L4115">
        <v>2127</v>
      </c>
      <c r="N4115" t="str">
        <f t="shared" si="64"/>
        <v/>
      </c>
    </row>
    <row r="4116" spans="12:14">
      <c r="L4116">
        <v>347</v>
      </c>
      <c r="N4116" t="str">
        <f t="shared" si="64"/>
        <v/>
      </c>
    </row>
    <row r="4117" spans="12:14">
      <c r="L4117">
        <v>929</v>
      </c>
      <c r="N4117" t="str">
        <f t="shared" si="64"/>
        <v/>
      </c>
    </row>
    <row r="4118" spans="12:14">
      <c r="L4118">
        <v>4290</v>
      </c>
      <c r="N4118" t="str">
        <f t="shared" si="64"/>
        <v/>
      </c>
    </row>
    <row r="4119" spans="12:14">
      <c r="L4119">
        <v>2569</v>
      </c>
      <c r="N4119" t="str">
        <f t="shared" si="64"/>
        <v/>
      </c>
    </row>
    <row r="4120" spans="12:14">
      <c r="L4120">
        <v>1756</v>
      </c>
      <c r="M4120" t="s">
        <v>31</v>
      </c>
      <c r="N4120">
        <f t="shared" si="64"/>
        <v>6</v>
      </c>
    </row>
    <row r="4121" spans="12:14">
      <c r="L4121">
        <v>3476</v>
      </c>
      <c r="N4121" t="str">
        <f t="shared" si="64"/>
        <v/>
      </c>
    </row>
    <row r="4122" spans="12:14">
      <c r="L4122">
        <v>1308</v>
      </c>
      <c r="N4122" t="str">
        <f t="shared" si="64"/>
        <v/>
      </c>
    </row>
    <row r="4123" spans="12:14">
      <c r="L4123">
        <v>3502</v>
      </c>
      <c r="N4123" t="str">
        <f t="shared" si="64"/>
        <v/>
      </c>
    </row>
    <row r="4124" spans="12:14">
      <c r="L4124">
        <v>4454</v>
      </c>
      <c r="N4124" t="str">
        <f t="shared" si="64"/>
        <v/>
      </c>
    </row>
    <row r="4125" spans="12:14">
      <c r="L4125">
        <v>821</v>
      </c>
      <c r="N4125" t="str">
        <f t="shared" si="64"/>
        <v/>
      </c>
    </row>
    <row r="4126" spans="12:14">
      <c r="L4126">
        <v>4002</v>
      </c>
      <c r="M4126" t="s">
        <v>29</v>
      </c>
      <c r="N4126">
        <f t="shared" si="64"/>
        <v>4</v>
      </c>
    </row>
    <row r="4127" spans="12:14">
      <c r="L4127">
        <v>1295</v>
      </c>
      <c r="N4127" t="str">
        <f t="shared" si="64"/>
        <v/>
      </c>
    </row>
    <row r="4128" spans="12:14">
      <c r="L4128">
        <v>3319</v>
      </c>
      <c r="N4128" t="str">
        <f t="shared" si="64"/>
        <v/>
      </c>
    </row>
    <row r="4129" spans="12:14">
      <c r="L4129">
        <v>3288</v>
      </c>
      <c r="N4129" t="str">
        <f t="shared" si="64"/>
        <v/>
      </c>
    </row>
    <row r="4130" spans="12:14">
      <c r="L4130">
        <v>1608</v>
      </c>
      <c r="M4130" t="s">
        <v>26</v>
      </c>
      <c r="N4130">
        <f t="shared" si="64"/>
        <v>1</v>
      </c>
    </row>
    <row r="4131" spans="12:14">
      <c r="L4131">
        <v>117</v>
      </c>
      <c r="N4131" t="str">
        <f t="shared" si="64"/>
        <v/>
      </c>
    </row>
    <row r="4132" spans="12:14">
      <c r="L4132">
        <v>1893</v>
      </c>
      <c r="M4132" t="s">
        <v>30</v>
      </c>
      <c r="N4132">
        <f t="shared" si="64"/>
        <v>7</v>
      </c>
    </row>
    <row r="4133" spans="12:14">
      <c r="L4133">
        <v>3327</v>
      </c>
      <c r="M4133" t="s">
        <v>28</v>
      </c>
      <c r="N4133">
        <f t="shared" si="64"/>
        <v>3</v>
      </c>
    </row>
    <row r="4134" spans="12:14">
      <c r="L4134">
        <v>4883</v>
      </c>
      <c r="M4134" t="s">
        <v>26</v>
      </c>
      <c r="N4134">
        <f t="shared" si="64"/>
        <v>1</v>
      </c>
    </row>
    <row r="4135" spans="12:14">
      <c r="L4135">
        <v>2121</v>
      </c>
      <c r="N4135" t="str">
        <f t="shared" si="64"/>
        <v/>
      </c>
    </row>
    <row r="4136" spans="12:14">
      <c r="L4136">
        <v>2212</v>
      </c>
      <c r="N4136" t="str">
        <f t="shared" si="64"/>
        <v/>
      </c>
    </row>
    <row r="4137" spans="12:14">
      <c r="L4137">
        <v>1936</v>
      </c>
      <c r="N4137" t="str">
        <f t="shared" si="64"/>
        <v/>
      </c>
    </row>
    <row r="4138" spans="12:14">
      <c r="L4138">
        <v>386</v>
      </c>
      <c r="N4138" t="str">
        <f t="shared" si="64"/>
        <v/>
      </c>
    </row>
    <row r="4139" spans="12:14">
      <c r="L4139">
        <v>3300</v>
      </c>
      <c r="N4139" t="str">
        <f t="shared" si="64"/>
        <v/>
      </c>
    </row>
    <row r="4140" spans="12:14">
      <c r="L4140">
        <v>68</v>
      </c>
      <c r="N4140" t="str">
        <f t="shared" si="64"/>
        <v/>
      </c>
    </row>
    <row r="4141" spans="12:14">
      <c r="L4141">
        <v>3131</v>
      </c>
      <c r="N4141" t="str">
        <f t="shared" si="64"/>
        <v/>
      </c>
    </row>
    <row r="4142" spans="12:14">
      <c r="L4142">
        <v>3679</v>
      </c>
      <c r="N4142" t="str">
        <f t="shared" si="64"/>
        <v/>
      </c>
    </row>
    <row r="4143" spans="12:14">
      <c r="L4143">
        <v>2592</v>
      </c>
      <c r="N4143" t="str">
        <f t="shared" si="64"/>
        <v/>
      </c>
    </row>
    <row r="4144" spans="12:14">
      <c r="L4144">
        <v>1529</v>
      </c>
      <c r="M4144" t="s">
        <v>30</v>
      </c>
      <c r="N4144">
        <f t="shared" si="64"/>
        <v>7</v>
      </c>
    </row>
    <row r="4145" spans="12:14">
      <c r="L4145">
        <v>4633</v>
      </c>
      <c r="N4145" t="str">
        <f t="shared" si="64"/>
        <v/>
      </c>
    </row>
    <row r="4146" spans="12:14">
      <c r="L4146">
        <v>3920</v>
      </c>
      <c r="N4146" t="str">
        <f t="shared" si="64"/>
        <v/>
      </c>
    </row>
    <row r="4147" spans="12:14">
      <c r="L4147">
        <v>2992</v>
      </c>
      <c r="N4147" t="str">
        <f t="shared" si="64"/>
        <v/>
      </c>
    </row>
    <row r="4148" spans="12:14">
      <c r="L4148">
        <v>4750</v>
      </c>
      <c r="N4148" t="str">
        <f t="shared" si="64"/>
        <v/>
      </c>
    </row>
    <row r="4149" spans="12:14">
      <c r="L4149">
        <v>3785</v>
      </c>
      <c r="N4149" t="str">
        <f t="shared" si="64"/>
        <v/>
      </c>
    </row>
    <row r="4150" spans="12:14">
      <c r="L4150">
        <v>2301</v>
      </c>
      <c r="N4150" t="str">
        <f t="shared" si="64"/>
        <v/>
      </c>
    </row>
    <row r="4151" spans="12:14">
      <c r="L4151">
        <v>4949</v>
      </c>
      <c r="N4151" t="str">
        <f t="shared" si="64"/>
        <v/>
      </c>
    </row>
    <row r="4152" spans="12:14">
      <c r="L4152">
        <v>3447</v>
      </c>
      <c r="N4152" t="str">
        <f t="shared" si="64"/>
        <v/>
      </c>
    </row>
    <row r="4153" spans="12:14">
      <c r="L4153">
        <v>2525</v>
      </c>
      <c r="N4153" t="str">
        <f t="shared" si="64"/>
        <v/>
      </c>
    </row>
    <row r="4154" spans="12:14">
      <c r="L4154">
        <v>3551</v>
      </c>
      <c r="N4154" t="str">
        <f t="shared" si="64"/>
        <v/>
      </c>
    </row>
    <row r="4155" spans="12:14">
      <c r="L4155">
        <v>1982</v>
      </c>
      <c r="N4155" t="str">
        <f t="shared" si="64"/>
        <v/>
      </c>
    </row>
    <row r="4156" spans="12:14">
      <c r="L4156">
        <v>2806</v>
      </c>
      <c r="N4156" t="str">
        <f t="shared" si="64"/>
        <v/>
      </c>
    </row>
    <row r="4157" spans="12:14">
      <c r="L4157">
        <v>1682</v>
      </c>
      <c r="M4157" t="s">
        <v>30</v>
      </c>
      <c r="N4157">
        <f t="shared" si="64"/>
        <v>7</v>
      </c>
    </row>
    <row r="4158" spans="12:14">
      <c r="L4158">
        <v>4991</v>
      </c>
      <c r="N4158" t="str">
        <f t="shared" si="64"/>
        <v/>
      </c>
    </row>
    <row r="4159" spans="12:14">
      <c r="L4159">
        <v>3097</v>
      </c>
      <c r="N4159" t="str">
        <f t="shared" si="64"/>
        <v/>
      </c>
    </row>
    <row r="4160" spans="12:14">
      <c r="L4160">
        <v>1467</v>
      </c>
      <c r="M4160" t="s">
        <v>31</v>
      </c>
      <c r="N4160">
        <f t="shared" si="64"/>
        <v>6</v>
      </c>
    </row>
    <row r="4161" spans="12:14">
      <c r="L4161">
        <v>227</v>
      </c>
      <c r="M4161" t="s">
        <v>19</v>
      </c>
      <c r="N4161">
        <f t="shared" si="64"/>
        <v>2</v>
      </c>
    </row>
    <row r="4162" spans="12:14">
      <c r="L4162">
        <v>2907</v>
      </c>
      <c r="N4162" t="str">
        <f t="shared" si="64"/>
        <v/>
      </c>
    </row>
    <row r="4163" spans="12:14">
      <c r="L4163">
        <v>1325</v>
      </c>
      <c r="N4163" t="str">
        <f t="shared" ref="N4163:N4226" si="65">IFERROR(VLOOKUP(M4163,$A$3:$B$10,2,0),"")</f>
        <v/>
      </c>
    </row>
    <row r="4164" spans="12:14">
      <c r="L4164">
        <v>2201</v>
      </c>
      <c r="N4164" t="str">
        <f t="shared" si="65"/>
        <v/>
      </c>
    </row>
    <row r="4165" spans="12:14">
      <c r="L4165">
        <v>4690</v>
      </c>
      <c r="N4165" t="str">
        <f t="shared" si="65"/>
        <v/>
      </c>
    </row>
    <row r="4166" spans="12:14">
      <c r="L4166">
        <v>3527</v>
      </c>
      <c r="N4166" t="str">
        <f t="shared" si="65"/>
        <v/>
      </c>
    </row>
    <row r="4167" spans="12:14">
      <c r="L4167">
        <v>2702</v>
      </c>
      <c r="M4167" t="s">
        <v>28</v>
      </c>
      <c r="N4167">
        <f t="shared" si="65"/>
        <v>3</v>
      </c>
    </row>
    <row r="4168" spans="12:14">
      <c r="L4168">
        <v>3507</v>
      </c>
      <c r="N4168" t="str">
        <f t="shared" si="65"/>
        <v/>
      </c>
    </row>
    <row r="4169" spans="12:14">
      <c r="L4169">
        <v>499</v>
      </c>
      <c r="N4169" t="str">
        <f t="shared" si="65"/>
        <v/>
      </c>
    </row>
    <row r="4170" spans="12:14">
      <c r="L4170">
        <v>1755</v>
      </c>
      <c r="M4170" t="s">
        <v>25</v>
      </c>
      <c r="N4170">
        <f t="shared" si="65"/>
        <v>5</v>
      </c>
    </row>
    <row r="4171" spans="12:14">
      <c r="L4171">
        <v>4037</v>
      </c>
      <c r="N4171" t="str">
        <f t="shared" si="65"/>
        <v/>
      </c>
    </row>
    <row r="4172" spans="12:14">
      <c r="L4172">
        <v>3971</v>
      </c>
      <c r="N4172" t="str">
        <f t="shared" si="65"/>
        <v/>
      </c>
    </row>
    <row r="4173" spans="12:14">
      <c r="L4173">
        <v>1335</v>
      </c>
      <c r="N4173" t="str">
        <f t="shared" si="65"/>
        <v/>
      </c>
    </row>
    <row r="4174" spans="12:14">
      <c r="L4174">
        <v>1197</v>
      </c>
      <c r="N4174" t="str">
        <f t="shared" si="65"/>
        <v/>
      </c>
    </row>
    <row r="4175" spans="12:14">
      <c r="L4175">
        <v>3953</v>
      </c>
      <c r="M4175" t="s">
        <v>19</v>
      </c>
      <c r="N4175">
        <f t="shared" si="65"/>
        <v>2</v>
      </c>
    </row>
    <row r="4176" spans="12:14">
      <c r="L4176">
        <v>3513</v>
      </c>
      <c r="M4176" t="s">
        <v>26</v>
      </c>
      <c r="N4176">
        <f t="shared" si="65"/>
        <v>1</v>
      </c>
    </row>
    <row r="4177" spans="12:14">
      <c r="L4177">
        <v>4981</v>
      </c>
      <c r="N4177" t="str">
        <f t="shared" si="65"/>
        <v/>
      </c>
    </row>
    <row r="4178" spans="12:14">
      <c r="L4178">
        <v>2718</v>
      </c>
      <c r="N4178" t="str">
        <f t="shared" si="65"/>
        <v/>
      </c>
    </row>
    <row r="4179" spans="12:14">
      <c r="L4179">
        <v>4579</v>
      </c>
      <c r="N4179" t="str">
        <f t="shared" si="65"/>
        <v/>
      </c>
    </row>
    <row r="4180" spans="12:14">
      <c r="L4180">
        <v>306</v>
      </c>
      <c r="N4180" t="str">
        <f t="shared" si="65"/>
        <v/>
      </c>
    </row>
    <row r="4181" spans="12:14">
      <c r="L4181">
        <v>431</v>
      </c>
      <c r="N4181" t="str">
        <f t="shared" si="65"/>
        <v/>
      </c>
    </row>
    <row r="4182" spans="12:14">
      <c r="L4182">
        <v>833</v>
      </c>
      <c r="N4182" t="str">
        <f t="shared" si="65"/>
        <v/>
      </c>
    </row>
    <row r="4183" spans="12:14">
      <c r="L4183">
        <v>2360</v>
      </c>
      <c r="N4183" t="str">
        <f t="shared" si="65"/>
        <v/>
      </c>
    </row>
    <row r="4184" spans="12:14">
      <c r="L4184">
        <v>2394</v>
      </c>
      <c r="N4184" t="str">
        <f t="shared" si="65"/>
        <v/>
      </c>
    </row>
    <row r="4185" spans="12:14">
      <c r="L4185">
        <v>2456</v>
      </c>
      <c r="N4185" t="str">
        <f t="shared" si="65"/>
        <v/>
      </c>
    </row>
    <row r="4186" spans="12:14">
      <c r="L4186">
        <v>4848</v>
      </c>
      <c r="N4186" t="str">
        <f t="shared" si="65"/>
        <v/>
      </c>
    </row>
    <row r="4187" spans="12:14">
      <c r="L4187">
        <v>3612</v>
      </c>
      <c r="N4187" t="str">
        <f t="shared" si="65"/>
        <v/>
      </c>
    </row>
    <row r="4188" spans="12:14">
      <c r="L4188">
        <v>727</v>
      </c>
      <c r="N4188" t="str">
        <f t="shared" si="65"/>
        <v/>
      </c>
    </row>
    <row r="4189" spans="12:14">
      <c r="L4189">
        <v>67</v>
      </c>
      <c r="M4189" t="s">
        <v>26</v>
      </c>
      <c r="N4189">
        <f t="shared" si="65"/>
        <v>1</v>
      </c>
    </row>
    <row r="4190" spans="12:14">
      <c r="L4190">
        <v>1435</v>
      </c>
      <c r="N4190" t="str">
        <f t="shared" si="65"/>
        <v/>
      </c>
    </row>
    <row r="4191" spans="12:14">
      <c r="L4191">
        <v>3329</v>
      </c>
      <c r="N4191" t="str">
        <f t="shared" si="65"/>
        <v/>
      </c>
    </row>
    <row r="4192" spans="12:14">
      <c r="L4192">
        <v>2111</v>
      </c>
      <c r="N4192" t="str">
        <f t="shared" si="65"/>
        <v/>
      </c>
    </row>
    <row r="4193" spans="12:14">
      <c r="L4193">
        <v>3601</v>
      </c>
      <c r="N4193" t="str">
        <f t="shared" si="65"/>
        <v/>
      </c>
    </row>
    <row r="4194" spans="12:14">
      <c r="L4194">
        <v>2595</v>
      </c>
      <c r="M4194" t="s">
        <v>28</v>
      </c>
      <c r="N4194">
        <f t="shared" si="65"/>
        <v>3</v>
      </c>
    </row>
    <row r="4195" spans="12:14">
      <c r="L4195">
        <v>2412</v>
      </c>
      <c r="N4195" t="str">
        <f t="shared" si="65"/>
        <v/>
      </c>
    </row>
    <row r="4196" spans="12:14">
      <c r="L4196">
        <v>4687</v>
      </c>
      <c r="N4196" t="str">
        <f t="shared" si="65"/>
        <v/>
      </c>
    </row>
    <row r="4197" spans="12:14">
      <c r="L4197">
        <v>2285</v>
      </c>
      <c r="N4197" t="str">
        <f t="shared" si="65"/>
        <v/>
      </c>
    </row>
    <row r="4198" spans="12:14">
      <c r="L4198">
        <v>4408</v>
      </c>
      <c r="N4198" t="str">
        <f t="shared" si="65"/>
        <v/>
      </c>
    </row>
    <row r="4199" spans="12:14">
      <c r="L4199">
        <v>3555</v>
      </c>
      <c r="N4199" t="str">
        <f t="shared" si="65"/>
        <v/>
      </c>
    </row>
    <row r="4200" spans="12:14">
      <c r="L4200">
        <v>920</v>
      </c>
      <c r="N4200" t="str">
        <f t="shared" si="65"/>
        <v/>
      </c>
    </row>
    <row r="4201" spans="12:14">
      <c r="L4201">
        <v>263</v>
      </c>
      <c r="N4201" t="str">
        <f t="shared" si="65"/>
        <v/>
      </c>
    </row>
    <row r="4202" spans="12:14">
      <c r="L4202">
        <v>2744</v>
      </c>
      <c r="M4202" t="s">
        <v>29</v>
      </c>
      <c r="N4202">
        <f t="shared" si="65"/>
        <v>4</v>
      </c>
    </row>
    <row r="4203" spans="12:14">
      <c r="L4203">
        <v>931</v>
      </c>
      <c r="M4203" t="s">
        <v>19</v>
      </c>
      <c r="N4203">
        <f t="shared" si="65"/>
        <v>2</v>
      </c>
    </row>
    <row r="4204" spans="12:14">
      <c r="L4204">
        <v>1721</v>
      </c>
      <c r="M4204" t="s">
        <v>26</v>
      </c>
      <c r="N4204">
        <f t="shared" si="65"/>
        <v>1</v>
      </c>
    </row>
    <row r="4205" spans="12:14">
      <c r="L4205">
        <v>4119</v>
      </c>
      <c r="M4205" t="s">
        <v>19</v>
      </c>
      <c r="N4205">
        <f t="shared" si="65"/>
        <v>2</v>
      </c>
    </row>
    <row r="4206" spans="12:14">
      <c r="L4206">
        <v>2157</v>
      </c>
      <c r="N4206" t="str">
        <f t="shared" si="65"/>
        <v/>
      </c>
    </row>
    <row r="4207" spans="12:14">
      <c r="L4207">
        <v>22</v>
      </c>
      <c r="M4207" t="s">
        <v>28</v>
      </c>
      <c r="N4207">
        <f t="shared" si="65"/>
        <v>3</v>
      </c>
    </row>
    <row r="4208" spans="12:14">
      <c r="L4208">
        <v>2538</v>
      </c>
      <c r="N4208" t="str">
        <f t="shared" si="65"/>
        <v/>
      </c>
    </row>
    <row r="4209" spans="12:14">
      <c r="L4209">
        <v>4297</v>
      </c>
      <c r="M4209" t="s">
        <v>30</v>
      </c>
      <c r="N4209">
        <f t="shared" si="65"/>
        <v>7</v>
      </c>
    </row>
    <row r="4210" spans="12:14">
      <c r="L4210">
        <v>755</v>
      </c>
      <c r="N4210" t="str">
        <f t="shared" si="65"/>
        <v/>
      </c>
    </row>
    <row r="4211" spans="12:14">
      <c r="L4211">
        <v>1279</v>
      </c>
      <c r="M4211" t="s">
        <v>31</v>
      </c>
      <c r="N4211">
        <f t="shared" si="65"/>
        <v>6</v>
      </c>
    </row>
    <row r="4212" spans="12:14">
      <c r="L4212">
        <v>4458</v>
      </c>
      <c r="N4212" t="str">
        <f t="shared" si="65"/>
        <v/>
      </c>
    </row>
    <row r="4213" spans="12:14">
      <c r="L4213">
        <v>3256</v>
      </c>
      <c r="N4213" t="str">
        <f t="shared" si="65"/>
        <v/>
      </c>
    </row>
    <row r="4214" spans="12:14">
      <c r="L4214">
        <v>2014</v>
      </c>
      <c r="N4214" t="str">
        <f t="shared" si="65"/>
        <v/>
      </c>
    </row>
    <row r="4215" spans="12:14">
      <c r="L4215">
        <v>3349</v>
      </c>
      <c r="N4215" t="str">
        <f t="shared" si="65"/>
        <v/>
      </c>
    </row>
    <row r="4216" spans="12:14">
      <c r="L4216">
        <v>4632</v>
      </c>
      <c r="N4216" t="str">
        <f t="shared" si="65"/>
        <v/>
      </c>
    </row>
    <row r="4217" spans="12:14">
      <c r="L4217">
        <v>3073</v>
      </c>
      <c r="N4217" t="str">
        <f t="shared" si="65"/>
        <v/>
      </c>
    </row>
    <row r="4218" spans="12:14">
      <c r="L4218">
        <v>3716</v>
      </c>
      <c r="M4218" t="s">
        <v>31</v>
      </c>
      <c r="N4218">
        <f t="shared" si="65"/>
        <v>6</v>
      </c>
    </row>
    <row r="4219" spans="12:14">
      <c r="L4219">
        <v>2404</v>
      </c>
      <c r="M4219" t="s">
        <v>29</v>
      </c>
      <c r="N4219">
        <f t="shared" si="65"/>
        <v>4</v>
      </c>
    </row>
    <row r="4220" spans="12:14">
      <c r="L4220">
        <v>4865</v>
      </c>
      <c r="M4220" t="s">
        <v>25</v>
      </c>
      <c r="N4220">
        <f t="shared" si="65"/>
        <v>5</v>
      </c>
    </row>
    <row r="4221" spans="12:14">
      <c r="L4221">
        <v>3571</v>
      </c>
      <c r="N4221" t="str">
        <f t="shared" si="65"/>
        <v/>
      </c>
    </row>
    <row r="4222" spans="12:14">
      <c r="L4222">
        <v>103</v>
      </c>
      <c r="N4222" t="str">
        <f t="shared" si="65"/>
        <v/>
      </c>
    </row>
    <row r="4223" spans="12:14">
      <c r="L4223">
        <v>2698</v>
      </c>
      <c r="N4223" t="str">
        <f t="shared" si="65"/>
        <v/>
      </c>
    </row>
    <row r="4224" spans="12:14">
      <c r="L4224">
        <v>1040</v>
      </c>
      <c r="N4224" t="str">
        <f t="shared" si="65"/>
        <v/>
      </c>
    </row>
    <row r="4225" spans="12:14">
      <c r="L4225">
        <v>1776</v>
      </c>
      <c r="M4225" t="s">
        <v>29</v>
      </c>
      <c r="N4225">
        <f t="shared" si="65"/>
        <v>4</v>
      </c>
    </row>
    <row r="4226" spans="12:14">
      <c r="L4226">
        <v>762</v>
      </c>
      <c r="N4226" t="str">
        <f t="shared" si="65"/>
        <v/>
      </c>
    </row>
    <row r="4227" spans="12:14">
      <c r="L4227">
        <v>2670</v>
      </c>
      <c r="N4227" t="str">
        <f t="shared" ref="N4227:N4290" si="66">IFERROR(VLOOKUP(M4227,$A$3:$B$10,2,0),"")</f>
        <v/>
      </c>
    </row>
    <row r="4228" spans="12:14">
      <c r="L4228">
        <v>1531</v>
      </c>
      <c r="N4228" t="str">
        <f t="shared" si="66"/>
        <v/>
      </c>
    </row>
    <row r="4229" spans="12:14">
      <c r="L4229">
        <v>4184</v>
      </c>
      <c r="N4229" t="str">
        <f t="shared" si="66"/>
        <v/>
      </c>
    </row>
    <row r="4230" spans="12:14">
      <c r="L4230">
        <v>2620</v>
      </c>
      <c r="N4230" t="str">
        <f t="shared" si="66"/>
        <v/>
      </c>
    </row>
    <row r="4231" spans="12:14">
      <c r="L4231">
        <v>4594</v>
      </c>
      <c r="N4231" t="str">
        <f t="shared" si="66"/>
        <v/>
      </c>
    </row>
    <row r="4232" spans="12:14">
      <c r="L4232">
        <v>1703</v>
      </c>
      <c r="N4232" t="str">
        <f t="shared" si="66"/>
        <v/>
      </c>
    </row>
    <row r="4233" spans="12:14">
      <c r="L4233">
        <v>3417</v>
      </c>
      <c r="N4233" t="str">
        <f t="shared" si="66"/>
        <v/>
      </c>
    </row>
    <row r="4234" spans="12:14">
      <c r="L4234">
        <v>4642</v>
      </c>
      <c r="N4234" t="str">
        <f t="shared" si="66"/>
        <v/>
      </c>
    </row>
    <row r="4235" spans="12:14">
      <c r="L4235">
        <v>1421</v>
      </c>
      <c r="M4235" t="s">
        <v>30</v>
      </c>
      <c r="N4235">
        <f t="shared" si="66"/>
        <v>7</v>
      </c>
    </row>
    <row r="4236" spans="12:14">
      <c r="L4236">
        <v>4425</v>
      </c>
      <c r="N4236" t="str">
        <f t="shared" si="66"/>
        <v/>
      </c>
    </row>
    <row r="4237" spans="12:14">
      <c r="L4237">
        <v>2144</v>
      </c>
      <c r="N4237" t="str">
        <f t="shared" si="66"/>
        <v/>
      </c>
    </row>
    <row r="4238" spans="12:14">
      <c r="L4238">
        <v>4169</v>
      </c>
      <c r="M4238" t="s">
        <v>26</v>
      </c>
      <c r="N4238">
        <f t="shared" si="66"/>
        <v>1</v>
      </c>
    </row>
    <row r="4239" spans="12:14">
      <c r="L4239">
        <v>4576</v>
      </c>
      <c r="N4239" t="str">
        <f t="shared" si="66"/>
        <v/>
      </c>
    </row>
    <row r="4240" spans="12:14">
      <c r="L4240">
        <v>47</v>
      </c>
      <c r="M4240" t="s">
        <v>29</v>
      </c>
      <c r="N4240">
        <f t="shared" si="66"/>
        <v>4</v>
      </c>
    </row>
    <row r="4241" spans="12:14">
      <c r="L4241">
        <v>4891</v>
      </c>
      <c r="N4241" t="str">
        <f t="shared" si="66"/>
        <v/>
      </c>
    </row>
    <row r="4242" spans="12:14">
      <c r="L4242">
        <v>4236</v>
      </c>
      <c r="N4242" t="str">
        <f t="shared" si="66"/>
        <v/>
      </c>
    </row>
    <row r="4243" spans="12:14">
      <c r="L4243">
        <v>2615</v>
      </c>
      <c r="M4243" t="s">
        <v>29</v>
      </c>
      <c r="N4243">
        <f t="shared" si="66"/>
        <v>4</v>
      </c>
    </row>
    <row r="4244" spans="12:14">
      <c r="L4244">
        <v>2429</v>
      </c>
      <c r="N4244" t="str">
        <f t="shared" si="66"/>
        <v/>
      </c>
    </row>
    <row r="4245" spans="12:14">
      <c r="L4245">
        <v>3753</v>
      </c>
      <c r="N4245" t="str">
        <f t="shared" si="66"/>
        <v/>
      </c>
    </row>
    <row r="4246" spans="12:14">
      <c r="L4246">
        <v>4043</v>
      </c>
      <c r="M4246" t="s">
        <v>26</v>
      </c>
      <c r="N4246">
        <f t="shared" si="66"/>
        <v>1</v>
      </c>
    </row>
    <row r="4247" spans="12:14">
      <c r="L4247">
        <v>4482</v>
      </c>
      <c r="M4247" t="s">
        <v>28</v>
      </c>
      <c r="N4247">
        <f t="shared" si="66"/>
        <v>3</v>
      </c>
    </row>
    <row r="4248" spans="12:14">
      <c r="L4248">
        <v>90</v>
      </c>
      <c r="N4248" t="str">
        <f t="shared" si="66"/>
        <v/>
      </c>
    </row>
    <row r="4249" spans="12:14">
      <c r="L4249">
        <v>1086</v>
      </c>
      <c r="M4249" t="s">
        <v>29</v>
      </c>
      <c r="N4249">
        <f t="shared" si="66"/>
        <v>4</v>
      </c>
    </row>
    <row r="4250" spans="12:14">
      <c r="L4250">
        <v>3827</v>
      </c>
      <c r="N4250" t="str">
        <f t="shared" si="66"/>
        <v/>
      </c>
    </row>
    <row r="4251" spans="12:14">
      <c r="L4251">
        <v>3736</v>
      </c>
      <c r="N4251" t="str">
        <f t="shared" si="66"/>
        <v/>
      </c>
    </row>
    <row r="4252" spans="12:14">
      <c r="L4252">
        <v>858</v>
      </c>
      <c r="N4252" t="str">
        <f t="shared" si="66"/>
        <v/>
      </c>
    </row>
    <row r="4253" spans="12:14">
      <c r="L4253">
        <v>4882</v>
      </c>
      <c r="N4253" t="str">
        <f t="shared" si="66"/>
        <v/>
      </c>
    </row>
    <row r="4254" spans="12:14">
      <c r="L4254">
        <v>3522</v>
      </c>
      <c r="M4254" t="s">
        <v>31</v>
      </c>
      <c r="N4254">
        <f t="shared" si="66"/>
        <v>6</v>
      </c>
    </row>
    <row r="4255" spans="12:14">
      <c r="L4255">
        <v>713</v>
      </c>
      <c r="N4255" t="str">
        <f t="shared" si="66"/>
        <v/>
      </c>
    </row>
    <row r="4256" spans="12:14">
      <c r="L4256">
        <v>2145</v>
      </c>
      <c r="M4256" t="s">
        <v>31</v>
      </c>
      <c r="N4256">
        <f t="shared" si="66"/>
        <v>6</v>
      </c>
    </row>
    <row r="4257" spans="12:14">
      <c r="L4257">
        <v>2757</v>
      </c>
      <c r="M4257" t="s">
        <v>26</v>
      </c>
      <c r="N4257">
        <f t="shared" si="66"/>
        <v>1</v>
      </c>
    </row>
    <row r="4258" spans="12:14">
      <c r="L4258">
        <v>458</v>
      </c>
      <c r="N4258" t="str">
        <f t="shared" si="66"/>
        <v/>
      </c>
    </row>
    <row r="4259" spans="12:14">
      <c r="L4259">
        <v>526</v>
      </c>
      <c r="M4259" t="s">
        <v>26</v>
      </c>
      <c r="N4259">
        <f t="shared" si="66"/>
        <v>1</v>
      </c>
    </row>
    <row r="4260" spans="12:14">
      <c r="L4260">
        <v>3643</v>
      </c>
      <c r="N4260" t="str">
        <f t="shared" si="66"/>
        <v/>
      </c>
    </row>
    <row r="4261" spans="12:14">
      <c r="L4261">
        <v>2165</v>
      </c>
      <c r="N4261" t="str">
        <f t="shared" si="66"/>
        <v/>
      </c>
    </row>
    <row r="4262" spans="12:14">
      <c r="L4262">
        <v>4512</v>
      </c>
      <c r="N4262" t="str">
        <f t="shared" si="66"/>
        <v/>
      </c>
    </row>
    <row r="4263" spans="12:14">
      <c r="L4263">
        <v>2226</v>
      </c>
      <c r="N4263" t="str">
        <f t="shared" si="66"/>
        <v/>
      </c>
    </row>
    <row r="4264" spans="12:14">
      <c r="L4264">
        <v>4015</v>
      </c>
      <c r="N4264" t="str">
        <f t="shared" si="66"/>
        <v/>
      </c>
    </row>
    <row r="4265" spans="12:14">
      <c r="L4265">
        <v>1429</v>
      </c>
      <c r="N4265" t="str">
        <f t="shared" si="66"/>
        <v/>
      </c>
    </row>
    <row r="4266" spans="12:14">
      <c r="L4266">
        <v>592</v>
      </c>
      <c r="N4266" t="str">
        <f t="shared" si="66"/>
        <v/>
      </c>
    </row>
    <row r="4267" spans="12:14">
      <c r="L4267">
        <v>1957</v>
      </c>
      <c r="M4267" t="s">
        <v>30</v>
      </c>
      <c r="N4267">
        <f t="shared" si="66"/>
        <v>7</v>
      </c>
    </row>
    <row r="4268" spans="12:14">
      <c r="L4268">
        <v>4876</v>
      </c>
      <c r="M4268" t="s">
        <v>30</v>
      </c>
      <c r="N4268">
        <f t="shared" si="66"/>
        <v>7</v>
      </c>
    </row>
    <row r="4269" spans="12:14">
      <c r="L4269">
        <v>4228</v>
      </c>
      <c r="M4269" t="s">
        <v>19</v>
      </c>
      <c r="N4269">
        <f t="shared" si="66"/>
        <v>2</v>
      </c>
    </row>
    <row r="4270" spans="12:14">
      <c r="L4270">
        <v>2812</v>
      </c>
      <c r="M4270" t="s">
        <v>29</v>
      </c>
      <c r="N4270">
        <f t="shared" si="66"/>
        <v>4</v>
      </c>
    </row>
    <row r="4271" spans="12:14">
      <c r="L4271">
        <v>4334</v>
      </c>
      <c r="N4271" t="str">
        <f t="shared" si="66"/>
        <v/>
      </c>
    </row>
    <row r="4272" spans="12:14">
      <c r="L4272">
        <v>1929</v>
      </c>
      <c r="N4272" t="str">
        <f t="shared" si="66"/>
        <v/>
      </c>
    </row>
    <row r="4273" spans="12:14">
      <c r="L4273">
        <v>2644</v>
      </c>
      <c r="M4273" t="s">
        <v>26</v>
      </c>
      <c r="N4273">
        <f t="shared" si="66"/>
        <v>1</v>
      </c>
    </row>
    <row r="4274" spans="12:14">
      <c r="L4274">
        <v>1683</v>
      </c>
      <c r="M4274" t="s">
        <v>26</v>
      </c>
      <c r="N4274">
        <f t="shared" si="66"/>
        <v>1</v>
      </c>
    </row>
    <row r="4275" spans="12:14">
      <c r="L4275">
        <v>3028</v>
      </c>
      <c r="M4275" t="s">
        <v>31</v>
      </c>
      <c r="N4275">
        <f t="shared" si="66"/>
        <v>6</v>
      </c>
    </row>
    <row r="4276" spans="12:14">
      <c r="L4276">
        <v>4414</v>
      </c>
      <c r="N4276" t="str">
        <f t="shared" si="66"/>
        <v/>
      </c>
    </row>
    <row r="4277" spans="12:14">
      <c r="L4277">
        <v>2576</v>
      </c>
      <c r="M4277" t="s">
        <v>31</v>
      </c>
      <c r="N4277">
        <f t="shared" si="66"/>
        <v>6</v>
      </c>
    </row>
    <row r="4278" spans="12:14">
      <c r="L4278">
        <v>356</v>
      </c>
      <c r="M4278" t="s">
        <v>26</v>
      </c>
      <c r="N4278">
        <f t="shared" si="66"/>
        <v>1</v>
      </c>
    </row>
    <row r="4279" spans="12:14">
      <c r="L4279">
        <v>1578</v>
      </c>
      <c r="M4279" t="s">
        <v>28</v>
      </c>
      <c r="N4279">
        <f t="shared" si="66"/>
        <v>3</v>
      </c>
    </row>
    <row r="4280" spans="12:14">
      <c r="L4280">
        <v>1316</v>
      </c>
      <c r="N4280" t="str">
        <f t="shared" si="66"/>
        <v/>
      </c>
    </row>
    <row r="4281" spans="12:14">
      <c r="L4281">
        <v>362</v>
      </c>
      <c r="N4281" t="str">
        <f t="shared" si="66"/>
        <v/>
      </c>
    </row>
    <row r="4282" spans="12:14">
      <c r="L4282">
        <v>873</v>
      </c>
      <c r="N4282" t="str">
        <f t="shared" si="66"/>
        <v/>
      </c>
    </row>
    <row r="4283" spans="12:14">
      <c r="L4283">
        <v>1825</v>
      </c>
      <c r="N4283" t="str">
        <f t="shared" si="66"/>
        <v/>
      </c>
    </row>
    <row r="4284" spans="12:14">
      <c r="L4284">
        <v>201</v>
      </c>
      <c r="N4284" t="str">
        <f t="shared" si="66"/>
        <v/>
      </c>
    </row>
    <row r="4285" spans="12:14">
      <c r="L4285">
        <v>1707</v>
      </c>
      <c r="N4285" t="str">
        <f t="shared" si="66"/>
        <v/>
      </c>
    </row>
    <row r="4286" spans="12:14">
      <c r="L4286">
        <v>2178</v>
      </c>
      <c r="M4286" t="s">
        <v>30</v>
      </c>
      <c r="N4286">
        <f t="shared" si="66"/>
        <v>7</v>
      </c>
    </row>
    <row r="4287" spans="12:14">
      <c r="L4287">
        <v>780</v>
      </c>
      <c r="N4287" t="str">
        <f t="shared" si="66"/>
        <v/>
      </c>
    </row>
    <row r="4288" spans="12:14">
      <c r="L4288">
        <v>272</v>
      </c>
      <c r="M4288" t="s">
        <v>19</v>
      </c>
      <c r="N4288">
        <f t="shared" si="66"/>
        <v>2</v>
      </c>
    </row>
    <row r="4289" spans="12:14">
      <c r="L4289">
        <v>4617</v>
      </c>
      <c r="M4289" t="s">
        <v>26</v>
      </c>
      <c r="N4289">
        <f t="shared" si="66"/>
        <v>1</v>
      </c>
    </row>
    <row r="4290" spans="12:14">
      <c r="L4290">
        <v>2773</v>
      </c>
      <c r="N4290" t="str">
        <f t="shared" si="66"/>
        <v/>
      </c>
    </row>
    <row r="4291" spans="12:14">
      <c r="L4291">
        <v>2960</v>
      </c>
      <c r="M4291" t="s">
        <v>31</v>
      </c>
      <c r="N4291">
        <f t="shared" ref="N4291:N4354" si="67">IFERROR(VLOOKUP(M4291,$A$3:$B$10,2,0),"")</f>
        <v>6</v>
      </c>
    </row>
    <row r="4292" spans="12:14">
      <c r="L4292">
        <v>619</v>
      </c>
      <c r="N4292" t="str">
        <f t="shared" si="67"/>
        <v/>
      </c>
    </row>
    <row r="4293" spans="12:14">
      <c r="L4293">
        <v>3982</v>
      </c>
      <c r="N4293" t="str">
        <f t="shared" si="67"/>
        <v/>
      </c>
    </row>
    <row r="4294" spans="12:14">
      <c r="L4294">
        <v>4525</v>
      </c>
      <c r="M4294" t="s">
        <v>26</v>
      </c>
      <c r="N4294">
        <f t="shared" si="67"/>
        <v>1</v>
      </c>
    </row>
    <row r="4295" spans="12:14">
      <c r="L4295">
        <v>3832</v>
      </c>
      <c r="N4295" t="str">
        <f t="shared" si="67"/>
        <v/>
      </c>
    </row>
    <row r="4296" spans="12:14">
      <c r="L4296">
        <v>271</v>
      </c>
      <c r="M4296" t="s">
        <v>26</v>
      </c>
      <c r="N4296">
        <f t="shared" si="67"/>
        <v>1</v>
      </c>
    </row>
    <row r="4297" spans="12:14">
      <c r="L4297">
        <v>1547</v>
      </c>
      <c r="N4297" t="str">
        <f t="shared" si="67"/>
        <v/>
      </c>
    </row>
    <row r="4298" spans="12:14">
      <c r="L4298">
        <v>2927</v>
      </c>
      <c r="N4298" t="str">
        <f t="shared" si="67"/>
        <v/>
      </c>
    </row>
    <row r="4299" spans="12:14">
      <c r="L4299">
        <v>708</v>
      </c>
      <c r="N4299" t="str">
        <f t="shared" si="67"/>
        <v/>
      </c>
    </row>
    <row r="4300" spans="12:14">
      <c r="L4300">
        <v>1124</v>
      </c>
      <c r="N4300" t="str">
        <f t="shared" si="67"/>
        <v/>
      </c>
    </row>
    <row r="4301" spans="12:14">
      <c r="L4301">
        <v>2889</v>
      </c>
      <c r="M4301" t="s">
        <v>26</v>
      </c>
      <c r="N4301">
        <f t="shared" si="67"/>
        <v>1</v>
      </c>
    </row>
    <row r="4302" spans="12:14">
      <c r="L4302">
        <v>518</v>
      </c>
      <c r="M4302" t="s">
        <v>28</v>
      </c>
      <c r="N4302">
        <f t="shared" si="67"/>
        <v>3</v>
      </c>
    </row>
    <row r="4303" spans="12:14">
      <c r="L4303">
        <v>1477</v>
      </c>
      <c r="N4303" t="str">
        <f t="shared" si="67"/>
        <v/>
      </c>
    </row>
    <row r="4304" spans="12:14">
      <c r="L4304">
        <v>4325</v>
      </c>
      <c r="N4304" t="str">
        <f t="shared" si="67"/>
        <v/>
      </c>
    </row>
    <row r="4305" spans="12:14">
      <c r="L4305">
        <v>2706</v>
      </c>
      <c r="N4305" t="str">
        <f t="shared" si="67"/>
        <v/>
      </c>
    </row>
    <row r="4306" spans="12:14">
      <c r="L4306">
        <v>36</v>
      </c>
      <c r="N4306" t="str">
        <f t="shared" si="67"/>
        <v/>
      </c>
    </row>
    <row r="4307" spans="12:14">
      <c r="L4307">
        <v>4862</v>
      </c>
      <c r="N4307" t="str">
        <f t="shared" si="67"/>
        <v/>
      </c>
    </row>
    <row r="4308" spans="12:14">
      <c r="L4308">
        <v>121</v>
      </c>
      <c r="M4308" t="s">
        <v>19</v>
      </c>
      <c r="N4308">
        <f t="shared" si="67"/>
        <v>2</v>
      </c>
    </row>
    <row r="4309" spans="12:14">
      <c r="L4309">
        <v>390</v>
      </c>
      <c r="N4309" t="str">
        <f t="shared" si="67"/>
        <v/>
      </c>
    </row>
    <row r="4310" spans="12:14">
      <c r="L4310">
        <v>2063</v>
      </c>
      <c r="N4310" t="str">
        <f t="shared" si="67"/>
        <v/>
      </c>
    </row>
    <row r="4311" spans="12:14">
      <c r="L4311">
        <v>4224</v>
      </c>
      <c r="N4311" t="str">
        <f t="shared" si="67"/>
        <v/>
      </c>
    </row>
    <row r="4312" spans="12:14">
      <c r="L4312">
        <v>3542</v>
      </c>
      <c r="M4312" t="s">
        <v>26</v>
      </c>
      <c r="N4312">
        <f t="shared" si="67"/>
        <v>1</v>
      </c>
    </row>
    <row r="4313" spans="12:14">
      <c r="L4313">
        <v>3406</v>
      </c>
      <c r="N4313" t="str">
        <f t="shared" si="67"/>
        <v/>
      </c>
    </row>
    <row r="4314" spans="12:14">
      <c r="L4314">
        <v>3823</v>
      </c>
      <c r="N4314" t="str">
        <f t="shared" si="67"/>
        <v/>
      </c>
    </row>
    <row r="4315" spans="12:14">
      <c r="L4315">
        <v>1674</v>
      </c>
      <c r="N4315" t="str">
        <f t="shared" si="67"/>
        <v/>
      </c>
    </row>
    <row r="4316" spans="12:14">
      <c r="L4316">
        <v>114</v>
      </c>
      <c r="N4316" t="str">
        <f t="shared" si="67"/>
        <v/>
      </c>
    </row>
    <row r="4317" spans="12:14">
      <c r="L4317">
        <v>2553</v>
      </c>
      <c r="M4317" t="s">
        <v>28</v>
      </c>
      <c r="N4317">
        <f t="shared" si="67"/>
        <v>3</v>
      </c>
    </row>
    <row r="4318" spans="12:14">
      <c r="L4318">
        <v>1408</v>
      </c>
      <c r="N4318" t="str">
        <f t="shared" si="67"/>
        <v/>
      </c>
    </row>
    <row r="4319" spans="12:14">
      <c r="L4319">
        <v>1005</v>
      </c>
      <c r="M4319" t="s">
        <v>30</v>
      </c>
      <c r="N4319">
        <f t="shared" si="67"/>
        <v>7</v>
      </c>
    </row>
    <row r="4320" spans="12:14">
      <c r="L4320">
        <v>2166</v>
      </c>
      <c r="N4320" t="str">
        <f t="shared" si="67"/>
        <v/>
      </c>
    </row>
    <row r="4321" spans="12:14">
      <c r="L4321">
        <v>3038</v>
      </c>
      <c r="M4321" t="s">
        <v>26</v>
      </c>
      <c r="N4321">
        <f t="shared" si="67"/>
        <v>1</v>
      </c>
    </row>
    <row r="4322" spans="12:14">
      <c r="L4322">
        <v>3914</v>
      </c>
      <c r="M4322" t="s">
        <v>30</v>
      </c>
      <c r="N4322">
        <f t="shared" si="67"/>
        <v>7</v>
      </c>
    </row>
    <row r="4323" spans="12:14">
      <c r="L4323">
        <v>2799</v>
      </c>
      <c r="N4323" t="str">
        <f t="shared" si="67"/>
        <v/>
      </c>
    </row>
    <row r="4324" spans="12:14">
      <c r="L4324">
        <v>2486</v>
      </c>
      <c r="N4324" t="str">
        <f t="shared" si="67"/>
        <v/>
      </c>
    </row>
    <row r="4325" spans="12:14">
      <c r="L4325">
        <v>2028</v>
      </c>
      <c r="M4325" t="s">
        <v>26</v>
      </c>
      <c r="N4325">
        <f t="shared" si="67"/>
        <v>1</v>
      </c>
    </row>
    <row r="4326" spans="12:14">
      <c r="L4326">
        <v>3445</v>
      </c>
      <c r="N4326" t="str">
        <f t="shared" si="67"/>
        <v/>
      </c>
    </row>
    <row r="4327" spans="12:14">
      <c r="L4327">
        <v>2792</v>
      </c>
      <c r="N4327" t="str">
        <f t="shared" si="67"/>
        <v/>
      </c>
    </row>
    <row r="4328" spans="12:14">
      <c r="L4328">
        <v>4068</v>
      </c>
      <c r="N4328" t="str">
        <f t="shared" si="67"/>
        <v/>
      </c>
    </row>
    <row r="4329" spans="12:14">
      <c r="L4329">
        <v>2499</v>
      </c>
      <c r="N4329" t="str">
        <f t="shared" si="67"/>
        <v/>
      </c>
    </row>
    <row r="4330" spans="12:14">
      <c r="L4330">
        <v>4328</v>
      </c>
      <c r="M4330" t="s">
        <v>25</v>
      </c>
      <c r="N4330">
        <f t="shared" si="67"/>
        <v>5</v>
      </c>
    </row>
    <row r="4331" spans="12:14">
      <c r="L4331">
        <v>582</v>
      </c>
      <c r="N4331" t="str">
        <f t="shared" si="67"/>
        <v/>
      </c>
    </row>
    <row r="4332" spans="12:14">
      <c r="L4332">
        <v>2577</v>
      </c>
      <c r="M4332" t="s">
        <v>29</v>
      </c>
      <c r="N4332">
        <f t="shared" si="67"/>
        <v>4</v>
      </c>
    </row>
    <row r="4333" spans="12:14">
      <c r="L4333">
        <v>1172</v>
      </c>
      <c r="M4333" t="s">
        <v>28</v>
      </c>
      <c r="N4333">
        <f t="shared" si="67"/>
        <v>3</v>
      </c>
    </row>
    <row r="4334" spans="12:14">
      <c r="L4334">
        <v>4446</v>
      </c>
      <c r="N4334" t="str">
        <f t="shared" si="67"/>
        <v/>
      </c>
    </row>
    <row r="4335" spans="12:14">
      <c r="L4335">
        <v>2964</v>
      </c>
      <c r="N4335" t="str">
        <f t="shared" si="67"/>
        <v/>
      </c>
    </row>
    <row r="4336" spans="12:14">
      <c r="L4336">
        <v>3790</v>
      </c>
      <c r="M4336" t="s">
        <v>19</v>
      </c>
      <c r="N4336">
        <f t="shared" si="67"/>
        <v>2</v>
      </c>
    </row>
    <row r="4337" spans="12:14">
      <c r="L4337">
        <v>1831</v>
      </c>
      <c r="M4337" t="s">
        <v>25</v>
      </c>
      <c r="N4337">
        <f t="shared" si="67"/>
        <v>5</v>
      </c>
    </row>
    <row r="4338" spans="12:14">
      <c r="L4338">
        <v>2783</v>
      </c>
      <c r="N4338" t="str">
        <f t="shared" si="67"/>
        <v/>
      </c>
    </row>
    <row r="4339" spans="12:14">
      <c r="L4339">
        <v>676</v>
      </c>
      <c r="M4339" t="s">
        <v>28</v>
      </c>
      <c r="N4339">
        <f t="shared" si="67"/>
        <v>3</v>
      </c>
    </row>
    <row r="4340" spans="12:14">
      <c r="L4340">
        <v>4700</v>
      </c>
      <c r="M4340" t="s">
        <v>28</v>
      </c>
      <c r="N4340">
        <f t="shared" si="67"/>
        <v>3</v>
      </c>
    </row>
    <row r="4341" spans="12:14">
      <c r="L4341">
        <v>4851</v>
      </c>
      <c r="N4341" t="str">
        <f t="shared" si="67"/>
        <v/>
      </c>
    </row>
    <row r="4342" spans="12:14">
      <c r="L4342">
        <v>1910</v>
      </c>
      <c r="N4342" t="str">
        <f t="shared" si="67"/>
        <v/>
      </c>
    </row>
    <row r="4343" spans="12:14">
      <c r="L4343">
        <v>1948</v>
      </c>
      <c r="N4343" t="str">
        <f t="shared" si="67"/>
        <v/>
      </c>
    </row>
    <row r="4344" spans="12:14">
      <c r="L4344">
        <v>4005</v>
      </c>
      <c r="N4344" t="str">
        <f t="shared" si="67"/>
        <v/>
      </c>
    </row>
    <row r="4345" spans="12:14">
      <c r="L4345">
        <v>4897</v>
      </c>
      <c r="M4345" t="s">
        <v>30</v>
      </c>
      <c r="N4345">
        <f t="shared" si="67"/>
        <v>7</v>
      </c>
    </row>
    <row r="4346" spans="12:14">
      <c r="L4346">
        <v>845</v>
      </c>
      <c r="N4346" t="str">
        <f t="shared" si="67"/>
        <v/>
      </c>
    </row>
    <row r="4347" spans="12:14">
      <c r="L4347">
        <v>577</v>
      </c>
      <c r="N4347" t="str">
        <f t="shared" si="67"/>
        <v/>
      </c>
    </row>
    <row r="4348" spans="12:14">
      <c r="L4348">
        <v>4623</v>
      </c>
      <c r="M4348" t="s">
        <v>31</v>
      </c>
      <c r="N4348">
        <f t="shared" si="67"/>
        <v>6</v>
      </c>
    </row>
    <row r="4349" spans="12:14">
      <c r="L4349">
        <v>2761</v>
      </c>
      <c r="N4349" t="str">
        <f t="shared" si="67"/>
        <v/>
      </c>
    </row>
    <row r="4350" spans="12:14">
      <c r="L4350">
        <v>153</v>
      </c>
      <c r="M4350" t="s">
        <v>19</v>
      </c>
      <c r="N4350">
        <f t="shared" si="67"/>
        <v>2</v>
      </c>
    </row>
    <row r="4351" spans="12:14">
      <c r="L4351">
        <v>4868</v>
      </c>
      <c r="M4351" t="s">
        <v>29</v>
      </c>
      <c r="N4351">
        <f t="shared" si="67"/>
        <v>4</v>
      </c>
    </row>
    <row r="4352" spans="12:14">
      <c r="L4352">
        <v>2748</v>
      </c>
      <c r="M4352" t="s">
        <v>29</v>
      </c>
      <c r="N4352">
        <f t="shared" si="67"/>
        <v>4</v>
      </c>
    </row>
    <row r="4353" spans="12:14">
      <c r="L4353">
        <v>3543</v>
      </c>
      <c r="N4353" t="str">
        <f t="shared" si="67"/>
        <v/>
      </c>
    </row>
    <row r="4354" spans="12:14">
      <c r="L4354">
        <v>4379</v>
      </c>
      <c r="M4354" t="s">
        <v>28</v>
      </c>
      <c r="N4354">
        <f t="shared" si="67"/>
        <v>3</v>
      </c>
    </row>
    <row r="4355" spans="12:14">
      <c r="L4355">
        <v>2484</v>
      </c>
      <c r="M4355" t="s">
        <v>28</v>
      </c>
      <c r="N4355">
        <f t="shared" ref="N4355:N4418" si="68">IFERROR(VLOOKUP(M4355,$A$3:$B$10,2,0),"")</f>
        <v>3</v>
      </c>
    </row>
    <row r="4356" spans="12:14">
      <c r="L4356">
        <v>3897</v>
      </c>
      <c r="N4356" t="str">
        <f t="shared" si="68"/>
        <v/>
      </c>
    </row>
    <row r="4357" spans="12:14">
      <c r="L4357">
        <v>3526</v>
      </c>
      <c r="N4357" t="str">
        <f t="shared" si="68"/>
        <v/>
      </c>
    </row>
    <row r="4358" spans="12:14">
      <c r="L4358">
        <v>1694</v>
      </c>
      <c r="N4358" t="str">
        <f t="shared" si="68"/>
        <v/>
      </c>
    </row>
    <row r="4359" spans="12:14">
      <c r="L4359">
        <v>4857</v>
      </c>
      <c r="M4359" t="s">
        <v>29</v>
      </c>
      <c r="N4359">
        <f t="shared" si="68"/>
        <v>4</v>
      </c>
    </row>
    <row r="4360" spans="12:14">
      <c r="L4360">
        <v>1424</v>
      </c>
      <c r="N4360" t="str">
        <f t="shared" si="68"/>
        <v/>
      </c>
    </row>
    <row r="4361" spans="12:14">
      <c r="L4361">
        <v>776</v>
      </c>
      <c r="M4361" t="s">
        <v>26</v>
      </c>
      <c r="N4361">
        <f t="shared" si="68"/>
        <v>1</v>
      </c>
    </row>
    <row r="4362" spans="12:14">
      <c r="L4362">
        <v>376</v>
      </c>
      <c r="N4362" t="str">
        <f t="shared" si="68"/>
        <v/>
      </c>
    </row>
    <row r="4363" spans="12:14">
      <c r="L4363">
        <v>254</v>
      </c>
      <c r="M4363" t="s">
        <v>28</v>
      </c>
      <c r="N4363">
        <f t="shared" si="68"/>
        <v>3</v>
      </c>
    </row>
    <row r="4364" spans="12:14">
      <c r="L4364">
        <v>4716</v>
      </c>
      <c r="N4364" t="str">
        <f t="shared" si="68"/>
        <v/>
      </c>
    </row>
    <row r="4365" spans="12:14">
      <c r="L4365">
        <v>2259</v>
      </c>
      <c r="N4365" t="str">
        <f t="shared" si="68"/>
        <v/>
      </c>
    </row>
    <row r="4366" spans="12:14">
      <c r="L4366">
        <v>405</v>
      </c>
      <c r="M4366" t="s">
        <v>26</v>
      </c>
      <c r="N4366">
        <f t="shared" si="68"/>
        <v>1</v>
      </c>
    </row>
    <row r="4367" spans="12:14">
      <c r="L4367">
        <v>3304</v>
      </c>
      <c r="N4367" t="str">
        <f t="shared" si="68"/>
        <v/>
      </c>
    </row>
    <row r="4368" spans="12:14">
      <c r="L4368">
        <v>3703</v>
      </c>
      <c r="N4368" t="str">
        <f t="shared" si="68"/>
        <v/>
      </c>
    </row>
    <row r="4369" spans="12:14">
      <c r="L4369">
        <v>642</v>
      </c>
      <c r="M4369" t="s">
        <v>28</v>
      </c>
      <c r="N4369">
        <f t="shared" si="68"/>
        <v>3</v>
      </c>
    </row>
    <row r="4370" spans="12:14">
      <c r="L4370">
        <v>2573</v>
      </c>
      <c r="N4370" t="str">
        <f t="shared" si="68"/>
        <v/>
      </c>
    </row>
    <row r="4371" spans="12:14">
      <c r="L4371">
        <v>411</v>
      </c>
      <c r="M4371" t="s">
        <v>19</v>
      </c>
      <c r="N4371">
        <f t="shared" si="68"/>
        <v>2</v>
      </c>
    </row>
    <row r="4372" spans="12:14">
      <c r="L4372">
        <v>2106</v>
      </c>
      <c r="M4372" t="s">
        <v>26</v>
      </c>
      <c r="N4372">
        <f t="shared" si="68"/>
        <v>1</v>
      </c>
    </row>
    <row r="4373" spans="12:14">
      <c r="L4373">
        <v>2385</v>
      </c>
      <c r="N4373" t="str">
        <f t="shared" si="68"/>
        <v/>
      </c>
    </row>
    <row r="4374" spans="12:14">
      <c r="L4374">
        <v>4796</v>
      </c>
      <c r="N4374" t="str">
        <f t="shared" si="68"/>
        <v/>
      </c>
    </row>
    <row r="4375" spans="12:14">
      <c r="L4375">
        <v>167</v>
      </c>
      <c r="M4375" t="s">
        <v>30</v>
      </c>
      <c r="N4375">
        <f t="shared" si="68"/>
        <v>7</v>
      </c>
    </row>
    <row r="4376" spans="12:14">
      <c r="L4376">
        <v>1029</v>
      </c>
      <c r="N4376" t="str">
        <f t="shared" si="68"/>
        <v/>
      </c>
    </row>
    <row r="4377" spans="12:14">
      <c r="L4377">
        <v>4616</v>
      </c>
      <c r="M4377" t="s">
        <v>29</v>
      </c>
      <c r="N4377">
        <f t="shared" si="68"/>
        <v>4</v>
      </c>
    </row>
    <row r="4378" spans="12:14">
      <c r="L4378">
        <v>123</v>
      </c>
      <c r="M4378" t="s">
        <v>19</v>
      </c>
      <c r="N4378">
        <f t="shared" si="68"/>
        <v>2</v>
      </c>
    </row>
    <row r="4379" spans="12:14">
      <c r="L4379">
        <v>2825</v>
      </c>
      <c r="M4379" t="s">
        <v>25</v>
      </c>
      <c r="N4379">
        <f t="shared" si="68"/>
        <v>5</v>
      </c>
    </row>
    <row r="4380" spans="12:14">
      <c r="L4380">
        <v>1043</v>
      </c>
      <c r="M4380" t="s">
        <v>28</v>
      </c>
      <c r="N4380">
        <f t="shared" si="68"/>
        <v>3</v>
      </c>
    </row>
    <row r="4381" spans="12:14">
      <c r="L4381">
        <v>2604</v>
      </c>
      <c r="N4381" t="str">
        <f t="shared" si="68"/>
        <v/>
      </c>
    </row>
    <row r="4382" spans="12:14">
      <c r="L4382">
        <v>4653</v>
      </c>
      <c r="M4382" t="s">
        <v>26</v>
      </c>
      <c r="N4382">
        <f t="shared" si="68"/>
        <v>1</v>
      </c>
    </row>
    <row r="4383" spans="12:14">
      <c r="L4383">
        <v>339</v>
      </c>
      <c r="N4383" t="str">
        <f t="shared" si="68"/>
        <v/>
      </c>
    </row>
    <row r="4384" spans="12:14">
      <c r="L4384">
        <v>1238</v>
      </c>
      <c r="M4384" t="s">
        <v>26</v>
      </c>
      <c r="N4384">
        <f t="shared" si="68"/>
        <v>1</v>
      </c>
    </row>
    <row r="4385" spans="12:14">
      <c r="L4385">
        <v>970</v>
      </c>
      <c r="N4385" t="str">
        <f t="shared" si="68"/>
        <v/>
      </c>
    </row>
    <row r="4386" spans="12:14">
      <c r="L4386">
        <v>2574</v>
      </c>
      <c r="N4386" t="str">
        <f t="shared" si="68"/>
        <v/>
      </c>
    </row>
    <row r="4387" spans="12:14">
      <c r="L4387">
        <v>4307</v>
      </c>
      <c r="N4387" t="str">
        <f t="shared" si="68"/>
        <v/>
      </c>
    </row>
    <row r="4388" spans="12:14">
      <c r="L4388">
        <v>4971</v>
      </c>
      <c r="M4388" t="s">
        <v>28</v>
      </c>
      <c r="N4388">
        <f t="shared" si="68"/>
        <v>3</v>
      </c>
    </row>
    <row r="4389" spans="12:14">
      <c r="L4389">
        <v>4274</v>
      </c>
      <c r="N4389" t="str">
        <f t="shared" si="68"/>
        <v/>
      </c>
    </row>
    <row r="4390" spans="12:14">
      <c r="L4390">
        <v>3843</v>
      </c>
      <c r="M4390" t="s">
        <v>26</v>
      </c>
      <c r="N4390">
        <f t="shared" si="68"/>
        <v>1</v>
      </c>
    </row>
    <row r="4391" spans="12:14">
      <c r="L4391">
        <v>1406</v>
      </c>
      <c r="N4391" t="str">
        <f t="shared" si="68"/>
        <v/>
      </c>
    </row>
    <row r="4392" spans="12:14">
      <c r="L4392">
        <v>2283</v>
      </c>
      <c r="N4392" t="str">
        <f t="shared" si="68"/>
        <v/>
      </c>
    </row>
    <row r="4393" spans="12:14">
      <c r="L4393">
        <v>1768</v>
      </c>
      <c r="M4393" t="s">
        <v>30</v>
      </c>
      <c r="N4393">
        <f t="shared" si="68"/>
        <v>7</v>
      </c>
    </row>
    <row r="4394" spans="12:14">
      <c r="L4394">
        <v>4433</v>
      </c>
      <c r="N4394" t="str">
        <f t="shared" si="68"/>
        <v/>
      </c>
    </row>
    <row r="4395" spans="12:14">
      <c r="L4395">
        <v>2876</v>
      </c>
      <c r="M4395" t="s">
        <v>26</v>
      </c>
      <c r="N4395">
        <f t="shared" si="68"/>
        <v>1</v>
      </c>
    </row>
    <row r="4396" spans="12:14">
      <c r="L4396">
        <v>2518</v>
      </c>
      <c r="N4396" t="str">
        <f t="shared" si="68"/>
        <v/>
      </c>
    </row>
    <row r="4397" spans="12:14">
      <c r="L4397">
        <v>1026</v>
      </c>
      <c r="N4397" t="str">
        <f t="shared" si="68"/>
        <v/>
      </c>
    </row>
    <row r="4398" spans="12:14">
      <c r="L4398">
        <v>342</v>
      </c>
      <c r="N4398" t="str">
        <f t="shared" si="68"/>
        <v/>
      </c>
    </row>
    <row r="4399" spans="12:14">
      <c r="L4399">
        <v>2809</v>
      </c>
      <c r="N4399" t="str">
        <f t="shared" si="68"/>
        <v/>
      </c>
    </row>
    <row r="4400" spans="12:14">
      <c r="L4400">
        <v>596</v>
      </c>
      <c r="N4400" t="str">
        <f t="shared" si="68"/>
        <v/>
      </c>
    </row>
    <row r="4401" spans="12:14">
      <c r="L4401">
        <v>3267</v>
      </c>
      <c r="M4401" t="s">
        <v>31</v>
      </c>
      <c r="N4401">
        <f t="shared" si="68"/>
        <v>6</v>
      </c>
    </row>
    <row r="4402" spans="12:14">
      <c r="L4402">
        <v>3345</v>
      </c>
      <c r="M4402" t="s">
        <v>19</v>
      </c>
      <c r="N4402">
        <f t="shared" si="68"/>
        <v>2</v>
      </c>
    </row>
    <row r="4403" spans="12:14">
      <c r="L4403">
        <v>3820</v>
      </c>
      <c r="M4403" t="s">
        <v>31</v>
      </c>
      <c r="N4403">
        <f t="shared" si="68"/>
        <v>6</v>
      </c>
    </row>
    <row r="4404" spans="12:14">
      <c r="L4404">
        <v>2732</v>
      </c>
      <c r="N4404" t="str">
        <f t="shared" si="68"/>
        <v/>
      </c>
    </row>
    <row r="4405" spans="12:14">
      <c r="L4405">
        <v>2661</v>
      </c>
      <c r="M4405" t="s">
        <v>30</v>
      </c>
      <c r="N4405">
        <f t="shared" si="68"/>
        <v>7</v>
      </c>
    </row>
    <row r="4406" spans="12:14">
      <c r="L4406">
        <v>2469</v>
      </c>
      <c r="N4406" t="str">
        <f t="shared" si="68"/>
        <v/>
      </c>
    </row>
    <row r="4407" spans="12:14">
      <c r="L4407">
        <v>659</v>
      </c>
      <c r="N4407" t="str">
        <f t="shared" si="68"/>
        <v/>
      </c>
    </row>
    <row r="4408" spans="12:14">
      <c r="L4408">
        <v>1517</v>
      </c>
      <c r="M4408" t="s">
        <v>30</v>
      </c>
      <c r="N4408">
        <f t="shared" si="68"/>
        <v>7</v>
      </c>
    </row>
    <row r="4409" spans="12:14">
      <c r="L4409">
        <v>4596</v>
      </c>
      <c r="M4409" t="s">
        <v>25</v>
      </c>
      <c r="N4409">
        <f t="shared" si="68"/>
        <v>5</v>
      </c>
    </row>
    <row r="4410" spans="12:14">
      <c r="L4410">
        <v>3446</v>
      </c>
      <c r="M4410" t="s">
        <v>30</v>
      </c>
      <c r="N4410">
        <f t="shared" si="68"/>
        <v>7</v>
      </c>
    </row>
    <row r="4411" spans="12:14">
      <c r="L4411">
        <v>3596</v>
      </c>
      <c r="N4411" t="str">
        <f t="shared" si="68"/>
        <v/>
      </c>
    </row>
    <row r="4412" spans="12:14">
      <c r="L4412">
        <v>3297</v>
      </c>
      <c r="N4412" t="str">
        <f t="shared" si="68"/>
        <v/>
      </c>
    </row>
    <row r="4413" spans="12:14">
      <c r="L4413">
        <v>4580</v>
      </c>
      <c r="N4413" t="str">
        <f t="shared" si="68"/>
        <v/>
      </c>
    </row>
    <row r="4414" spans="12:14">
      <c r="L4414">
        <v>4146</v>
      </c>
      <c r="M4414" t="s">
        <v>31</v>
      </c>
      <c r="N4414">
        <f t="shared" si="68"/>
        <v>6</v>
      </c>
    </row>
    <row r="4415" spans="12:14">
      <c r="L4415">
        <v>175</v>
      </c>
      <c r="N4415" t="str">
        <f t="shared" si="68"/>
        <v/>
      </c>
    </row>
    <row r="4416" spans="12:14">
      <c r="L4416">
        <v>1850</v>
      </c>
      <c r="N4416" t="str">
        <f t="shared" si="68"/>
        <v/>
      </c>
    </row>
    <row r="4417" spans="12:14">
      <c r="L4417">
        <v>2671</v>
      </c>
      <c r="N4417" t="str">
        <f t="shared" si="68"/>
        <v/>
      </c>
    </row>
    <row r="4418" spans="12:14">
      <c r="L4418">
        <v>4548</v>
      </c>
      <c r="N4418" t="str">
        <f t="shared" si="68"/>
        <v/>
      </c>
    </row>
    <row r="4419" spans="12:14">
      <c r="L4419">
        <v>3065</v>
      </c>
      <c r="M4419" t="s">
        <v>26</v>
      </c>
      <c r="N4419">
        <f t="shared" ref="N4419:N4482" si="69">IFERROR(VLOOKUP(M4419,$A$3:$B$10,2,0),"")</f>
        <v>1</v>
      </c>
    </row>
    <row r="4420" spans="12:14">
      <c r="L4420">
        <v>4629</v>
      </c>
      <c r="M4420" t="s">
        <v>31</v>
      </c>
      <c r="N4420">
        <f t="shared" si="69"/>
        <v>6</v>
      </c>
    </row>
    <row r="4421" spans="12:14">
      <c r="L4421">
        <v>4994</v>
      </c>
      <c r="N4421" t="str">
        <f t="shared" si="69"/>
        <v/>
      </c>
    </row>
    <row r="4422" spans="12:14">
      <c r="L4422">
        <v>4271</v>
      </c>
      <c r="M4422" t="s">
        <v>29</v>
      </c>
      <c r="N4422">
        <f t="shared" si="69"/>
        <v>4</v>
      </c>
    </row>
    <row r="4423" spans="12:14">
      <c r="L4423">
        <v>2580</v>
      </c>
      <c r="N4423" t="str">
        <f t="shared" si="69"/>
        <v/>
      </c>
    </row>
    <row r="4424" spans="12:14">
      <c r="L4424">
        <v>4393</v>
      </c>
      <c r="N4424" t="str">
        <f t="shared" si="69"/>
        <v/>
      </c>
    </row>
    <row r="4425" spans="12:14">
      <c r="L4425">
        <v>4267</v>
      </c>
      <c r="N4425" t="str">
        <f t="shared" si="69"/>
        <v/>
      </c>
    </row>
    <row r="4426" spans="12:14">
      <c r="L4426">
        <v>239</v>
      </c>
      <c r="M4426" t="s">
        <v>31</v>
      </c>
      <c r="N4426">
        <f t="shared" si="69"/>
        <v>6</v>
      </c>
    </row>
    <row r="4427" spans="12:14">
      <c r="L4427">
        <v>1092</v>
      </c>
      <c r="M4427" t="s">
        <v>19</v>
      </c>
      <c r="N4427">
        <f t="shared" si="69"/>
        <v>2</v>
      </c>
    </row>
    <row r="4428" spans="12:14">
      <c r="L4428">
        <v>278</v>
      </c>
      <c r="N4428" t="str">
        <f t="shared" si="69"/>
        <v/>
      </c>
    </row>
    <row r="4429" spans="12:14">
      <c r="L4429">
        <v>3156</v>
      </c>
      <c r="N4429" t="str">
        <f t="shared" si="69"/>
        <v/>
      </c>
    </row>
    <row r="4430" spans="12:14">
      <c r="L4430">
        <v>2717</v>
      </c>
      <c r="M4430" t="s">
        <v>31</v>
      </c>
      <c r="N4430">
        <f t="shared" si="69"/>
        <v>6</v>
      </c>
    </row>
    <row r="4431" spans="12:14">
      <c r="L4431">
        <v>4833</v>
      </c>
      <c r="N4431" t="str">
        <f t="shared" si="69"/>
        <v/>
      </c>
    </row>
    <row r="4432" spans="12:14">
      <c r="L4432">
        <v>2399</v>
      </c>
      <c r="M4432" t="s">
        <v>28</v>
      </c>
      <c r="N4432">
        <f t="shared" si="69"/>
        <v>3</v>
      </c>
    </row>
    <row r="4433" spans="12:14">
      <c r="L4433">
        <v>4710</v>
      </c>
      <c r="N4433" t="str">
        <f t="shared" si="69"/>
        <v/>
      </c>
    </row>
    <row r="4434" spans="12:14">
      <c r="L4434">
        <v>219</v>
      </c>
      <c r="M4434" t="s">
        <v>19</v>
      </c>
      <c r="N4434">
        <f t="shared" si="69"/>
        <v>2</v>
      </c>
    </row>
    <row r="4435" spans="12:14">
      <c r="L4435">
        <v>462</v>
      </c>
      <c r="N4435" t="str">
        <f t="shared" si="69"/>
        <v/>
      </c>
    </row>
    <row r="4436" spans="12:14">
      <c r="L4436">
        <v>3460</v>
      </c>
      <c r="M4436" t="s">
        <v>26</v>
      </c>
      <c r="N4436">
        <f t="shared" si="69"/>
        <v>1</v>
      </c>
    </row>
    <row r="4437" spans="12:14">
      <c r="L4437">
        <v>4640</v>
      </c>
      <c r="N4437" t="str">
        <f t="shared" si="69"/>
        <v/>
      </c>
    </row>
    <row r="4438" spans="12:14">
      <c r="L4438">
        <v>1852</v>
      </c>
      <c r="N4438" t="str">
        <f t="shared" si="69"/>
        <v/>
      </c>
    </row>
    <row r="4439" spans="12:14">
      <c r="L4439">
        <v>3179</v>
      </c>
      <c r="N4439" t="str">
        <f t="shared" si="69"/>
        <v/>
      </c>
    </row>
    <row r="4440" spans="12:14">
      <c r="L4440">
        <v>4546</v>
      </c>
      <c r="N4440" t="str">
        <f t="shared" si="69"/>
        <v/>
      </c>
    </row>
    <row r="4441" spans="12:14">
      <c r="L4441">
        <v>74</v>
      </c>
      <c r="N4441" t="str">
        <f t="shared" si="69"/>
        <v/>
      </c>
    </row>
    <row r="4442" spans="12:14">
      <c r="L4442">
        <v>1111</v>
      </c>
      <c r="N4442" t="str">
        <f t="shared" si="69"/>
        <v/>
      </c>
    </row>
    <row r="4443" spans="12:14">
      <c r="L4443">
        <v>2749</v>
      </c>
      <c r="N4443" t="str">
        <f t="shared" si="69"/>
        <v/>
      </c>
    </row>
    <row r="4444" spans="12:14">
      <c r="L4444">
        <v>732</v>
      </c>
      <c r="N4444" t="str">
        <f t="shared" si="69"/>
        <v/>
      </c>
    </row>
    <row r="4445" spans="12:14">
      <c r="L4445">
        <v>4178</v>
      </c>
      <c r="M4445" t="s">
        <v>25</v>
      </c>
      <c r="N4445">
        <f t="shared" si="69"/>
        <v>5</v>
      </c>
    </row>
    <row r="4446" spans="12:14">
      <c r="L4446">
        <v>4269</v>
      </c>
      <c r="N4446" t="str">
        <f t="shared" si="69"/>
        <v/>
      </c>
    </row>
    <row r="4447" spans="12:14">
      <c r="L4447">
        <v>379</v>
      </c>
      <c r="N4447" t="str">
        <f t="shared" si="69"/>
        <v/>
      </c>
    </row>
    <row r="4448" spans="12:14">
      <c r="L4448">
        <v>1729</v>
      </c>
      <c r="M4448" t="s">
        <v>19</v>
      </c>
      <c r="N4448">
        <f t="shared" si="69"/>
        <v>2</v>
      </c>
    </row>
    <row r="4449" spans="12:14">
      <c r="L4449">
        <v>4999</v>
      </c>
      <c r="N4449" t="str">
        <f t="shared" si="69"/>
        <v/>
      </c>
    </row>
    <row r="4450" spans="12:14">
      <c r="L4450">
        <v>4940</v>
      </c>
      <c r="N4450" t="str">
        <f t="shared" si="69"/>
        <v/>
      </c>
    </row>
    <row r="4451" spans="12:14">
      <c r="L4451">
        <v>1511</v>
      </c>
      <c r="N4451" t="str">
        <f t="shared" si="69"/>
        <v/>
      </c>
    </row>
    <row r="4452" spans="12:14">
      <c r="L4452">
        <v>445</v>
      </c>
      <c r="N4452" t="str">
        <f t="shared" si="69"/>
        <v/>
      </c>
    </row>
    <row r="4453" spans="12:14">
      <c r="L4453">
        <v>3375</v>
      </c>
      <c r="M4453" t="s">
        <v>28</v>
      </c>
      <c r="N4453">
        <f t="shared" si="69"/>
        <v>3</v>
      </c>
    </row>
    <row r="4454" spans="12:14">
      <c r="L4454">
        <v>1835</v>
      </c>
      <c r="M4454" t="s">
        <v>29</v>
      </c>
      <c r="N4454">
        <f t="shared" si="69"/>
        <v>4</v>
      </c>
    </row>
    <row r="4455" spans="12:14">
      <c r="L4455">
        <v>738</v>
      </c>
      <c r="M4455" t="s">
        <v>26</v>
      </c>
      <c r="N4455">
        <f t="shared" si="69"/>
        <v>1</v>
      </c>
    </row>
    <row r="4456" spans="12:14">
      <c r="L4456">
        <v>504</v>
      </c>
      <c r="N4456" t="str">
        <f t="shared" si="69"/>
        <v/>
      </c>
    </row>
    <row r="4457" spans="12:14">
      <c r="L4457">
        <v>531</v>
      </c>
      <c r="M4457" t="s">
        <v>31</v>
      </c>
      <c r="N4457">
        <f t="shared" si="69"/>
        <v>6</v>
      </c>
    </row>
    <row r="4458" spans="12:14">
      <c r="L4458">
        <v>3861</v>
      </c>
      <c r="N4458" t="str">
        <f t="shared" si="69"/>
        <v/>
      </c>
    </row>
    <row r="4459" spans="12:14">
      <c r="L4459">
        <v>4330</v>
      </c>
      <c r="N4459" t="str">
        <f t="shared" si="69"/>
        <v/>
      </c>
    </row>
    <row r="4460" spans="12:14">
      <c r="L4460">
        <v>4870</v>
      </c>
      <c r="N4460" t="str">
        <f t="shared" si="69"/>
        <v/>
      </c>
    </row>
    <row r="4461" spans="12:14">
      <c r="L4461">
        <v>1310</v>
      </c>
      <c r="N4461" t="str">
        <f t="shared" si="69"/>
        <v/>
      </c>
    </row>
    <row r="4462" spans="12:14">
      <c r="L4462">
        <v>811</v>
      </c>
      <c r="N4462" t="str">
        <f t="shared" si="69"/>
        <v/>
      </c>
    </row>
    <row r="4463" spans="12:14">
      <c r="L4463">
        <v>500</v>
      </c>
      <c r="N4463" t="str">
        <f t="shared" si="69"/>
        <v/>
      </c>
    </row>
    <row r="4464" spans="12:14">
      <c r="L4464">
        <v>933</v>
      </c>
      <c r="N4464" t="str">
        <f t="shared" si="69"/>
        <v/>
      </c>
    </row>
    <row r="4465" spans="12:14">
      <c r="L4465">
        <v>4762</v>
      </c>
      <c r="N4465" t="str">
        <f t="shared" si="69"/>
        <v/>
      </c>
    </row>
    <row r="4466" spans="12:14">
      <c r="L4466">
        <v>1012</v>
      </c>
      <c r="N4466" t="str">
        <f t="shared" si="69"/>
        <v/>
      </c>
    </row>
    <row r="4467" spans="12:14">
      <c r="L4467">
        <v>1719</v>
      </c>
      <c r="N4467" t="str">
        <f t="shared" si="69"/>
        <v/>
      </c>
    </row>
    <row r="4468" spans="12:14">
      <c r="L4468">
        <v>1425</v>
      </c>
      <c r="N4468" t="str">
        <f t="shared" si="69"/>
        <v/>
      </c>
    </row>
    <row r="4469" spans="12:14">
      <c r="L4469">
        <v>2409</v>
      </c>
      <c r="N4469" t="str">
        <f t="shared" si="69"/>
        <v/>
      </c>
    </row>
    <row r="4470" spans="12:14">
      <c r="L4470">
        <v>70</v>
      </c>
      <c r="N4470" t="str">
        <f t="shared" si="69"/>
        <v/>
      </c>
    </row>
    <row r="4471" spans="12:14">
      <c r="L4471">
        <v>1865</v>
      </c>
      <c r="N4471" t="str">
        <f t="shared" si="69"/>
        <v/>
      </c>
    </row>
    <row r="4472" spans="12:14">
      <c r="L4472">
        <v>4036</v>
      </c>
      <c r="M4472" t="s">
        <v>30</v>
      </c>
      <c r="N4472">
        <f t="shared" si="69"/>
        <v>7</v>
      </c>
    </row>
    <row r="4473" spans="12:14">
      <c r="L4473">
        <v>2079</v>
      </c>
      <c r="M4473" t="s">
        <v>28</v>
      </c>
      <c r="N4473">
        <f t="shared" si="69"/>
        <v>3</v>
      </c>
    </row>
    <row r="4474" spans="12:14">
      <c r="L4474">
        <v>155</v>
      </c>
      <c r="N4474" t="str">
        <f t="shared" si="69"/>
        <v/>
      </c>
    </row>
    <row r="4475" spans="12:14">
      <c r="L4475">
        <v>519</v>
      </c>
      <c r="N4475" t="str">
        <f t="shared" si="69"/>
        <v/>
      </c>
    </row>
    <row r="4476" spans="12:14">
      <c r="L4476">
        <v>2928</v>
      </c>
      <c r="M4476" t="s">
        <v>26</v>
      </c>
      <c r="N4476">
        <f t="shared" si="69"/>
        <v>1</v>
      </c>
    </row>
    <row r="4477" spans="12:14">
      <c r="L4477">
        <v>1278</v>
      </c>
      <c r="M4477" t="s">
        <v>26</v>
      </c>
      <c r="N4477">
        <f t="shared" si="69"/>
        <v>1</v>
      </c>
    </row>
    <row r="4478" spans="12:14">
      <c r="L4478">
        <v>1075</v>
      </c>
      <c r="N4478" t="str">
        <f t="shared" si="69"/>
        <v/>
      </c>
    </row>
    <row r="4479" spans="12:14">
      <c r="L4479">
        <v>1349</v>
      </c>
      <c r="N4479" t="str">
        <f t="shared" si="69"/>
        <v/>
      </c>
    </row>
    <row r="4480" spans="12:14">
      <c r="L4480">
        <v>3804</v>
      </c>
      <c r="N4480" t="str">
        <f t="shared" si="69"/>
        <v/>
      </c>
    </row>
    <row r="4481" spans="12:14">
      <c r="L4481">
        <v>1229</v>
      </c>
      <c r="N4481" t="str">
        <f t="shared" si="69"/>
        <v/>
      </c>
    </row>
    <row r="4482" spans="12:14">
      <c r="L4482">
        <v>2125</v>
      </c>
      <c r="M4482" t="s">
        <v>28</v>
      </c>
      <c r="N4482">
        <f t="shared" si="69"/>
        <v>3</v>
      </c>
    </row>
    <row r="4483" spans="12:14">
      <c r="L4483">
        <v>4760</v>
      </c>
      <c r="N4483" t="str">
        <f t="shared" ref="N4483:N4546" si="70">IFERROR(VLOOKUP(M4483,$A$3:$B$10,2,0),"")</f>
        <v/>
      </c>
    </row>
    <row r="4484" spans="12:14">
      <c r="L4484">
        <v>442</v>
      </c>
      <c r="N4484" t="str">
        <f t="shared" si="70"/>
        <v/>
      </c>
    </row>
    <row r="4485" spans="12:14">
      <c r="L4485">
        <v>2433</v>
      </c>
      <c r="N4485" t="str">
        <f t="shared" si="70"/>
        <v/>
      </c>
    </row>
    <row r="4486" spans="12:14">
      <c r="L4486">
        <v>1062</v>
      </c>
      <c r="N4486" t="str">
        <f t="shared" si="70"/>
        <v/>
      </c>
    </row>
    <row r="4487" spans="12:14">
      <c r="L4487">
        <v>662</v>
      </c>
      <c r="M4487" t="s">
        <v>25</v>
      </c>
      <c r="N4487">
        <f t="shared" si="70"/>
        <v>5</v>
      </c>
    </row>
    <row r="4488" spans="12:14">
      <c r="L4488">
        <v>2110</v>
      </c>
      <c r="M4488" t="s">
        <v>26</v>
      </c>
      <c r="N4488">
        <f t="shared" si="70"/>
        <v>1</v>
      </c>
    </row>
    <row r="4489" spans="12:14">
      <c r="L4489">
        <v>1585</v>
      </c>
      <c r="N4489" t="str">
        <f t="shared" si="70"/>
        <v/>
      </c>
    </row>
    <row r="4490" spans="12:14">
      <c r="L4490">
        <v>447</v>
      </c>
      <c r="N4490" t="str">
        <f t="shared" si="70"/>
        <v/>
      </c>
    </row>
    <row r="4491" spans="12:14">
      <c r="L4491">
        <v>4172</v>
      </c>
      <c r="N4491" t="str">
        <f t="shared" si="70"/>
        <v/>
      </c>
    </row>
    <row r="4492" spans="12:14">
      <c r="L4492">
        <v>1765</v>
      </c>
      <c r="N4492" t="str">
        <f t="shared" si="70"/>
        <v/>
      </c>
    </row>
    <row r="4493" spans="12:14">
      <c r="L4493">
        <v>4986</v>
      </c>
      <c r="N4493" t="str">
        <f t="shared" si="70"/>
        <v/>
      </c>
    </row>
    <row r="4494" spans="12:14">
      <c r="L4494">
        <v>520</v>
      </c>
      <c r="N4494" t="str">
        <f t="shared" si="70"/>
        <v/>
      </c>
    </row>
    <row r="4495" spans="12:14">
      <c r="L4495">
        <v>4553</v>
      </c>
      <c r="M4495" t="s">
        <v>30</v>
      </c>
      <c r="N4495">
        <f t="shared" si="70"/>
        <v>7</v>
      </c>
    </row>
    <row r="4496" spans="12:14">
      <c r="L4496">
        <v>4273</v>
      </c>
      <c r="N4496" t="str">
        <f t="shared" si="70"/>
        <v/>
      </c>
    </row>
    <row r="4497" spans="12:14">
      <c r="L4497">
        <v>791</v>
      </c>
      <c r="N4497" t="str">
        <f t="shared" si="70"/>
        <v/>
      </c>
    </row>
    <row r="4498" spans="12:14">
      <c r="L4498">
        <v>1711</v>
      </c>
      <c r="N4498" t="str">
        <f t="shared" si="70"/>
        <v/>
      </c>
    </row>
    <row r="4499" spans="12:14">
      <c r="L4499">
        <v>2116</v>
      </c>
      <c r="N4499" t="str">
        <f t="shared" si="70"/>
        <v/>
      </c>
    </row>
    <row r="4500" spans="12:14">
      <c r="L4500">
        <v>4004</v>
      </c>
      <c r="M4500" t="s">
        <v>25</v>
      </c>
      <c r="N4500">
        <f t="shared" si="70"/>
        <v>5</v>
      </c>
    </row>
    <row r="4501" spans="12:14">
      <c r="L4501">
        <v>1110</v>
      </c>
      <c r="M4501" t="s">
        <v>30</v>
      </c>
      <c r="N4501">
        <f t="shared" si="70"/>
        <v>7</v>
      </c>
    </row>
    <row r="4502" spans="12:14">
      <c r="L4502">
        <v>3481</v>
      </c>
      <c r="N4502" t="str">
        <f t="shared" si="70"/>
        <v/>
      </c>
    </row>
    <row r="4503" spans="12:14">
      <c r="L4503">
        <v>2895</v>
      </c>
      <c r="M4503" t="s">
        <v>25</v>
      </c>
      <c r="N4503">
        <f t="shared" si="70"/>
        <v>5</v>
      </c>
    </row>
    <row r="4504" spans="12:14">
      <c r="L4504">
        <v>1638</v>
      </c>
      <c r="N4504" t="str">
        <f t="shared" si="70"/>
        <v/>
      </c>
    </row>
    <row r="4505" spans="12:14">
      <c r="L4505">
        <v>3079</v>
      </c>
      <c r="N4505" t="str">
        <f t="shared" si="70"/>
        <v/>
      </c>
    </row>
    <row r="4506" spans="12:14">
      <c r="L4506">
        <v>1222</v>
      </c>
      <c r="N4506" t="str">
        <f t="shared" si="70"/>
        <v/>
      </c>
    </row>
    <row r="4507" spans="12:14">
      <c r="L4507">
        <v>2440</v>
      </c>
      <c r="N4507" t="str">
        <f t="shared" si="70"/>
        <v/>
      </c>
    </row>
    <row r="4508" spans="12:14">
      <c r="L4508">
        <v>590</v>
      </c>
      <c r="N4508" t="str">
        <f t="shared" si="70"/>
        <v/>
      </c>
    </row>
    <row r="4509" spans="12:14">
      <c r="L4509">
        <v>3646</v>
      </c>
      <c r="N4509" t="str">
        <f t="shared" si="70"/>
        <v/>
      </c>
    </row>
    <row r="4510" spans="12:14">
      <c r="L4510">
        <v>4298</v>
      </c>
      <c r="M4510" t="s">
        <v>29</v>
      </c>
      <c r="N4510">
        <f t="shared" si="70"/>
        <v>4</v>
      </c>
    </row>
    <row r="4511" spans="12:14">
      <c r="L4511">
        <v>666</v>
      </c>
      <c r="N4511" t="str">
        <f t="shared" si="70"/>
        <v/>
      </c>
    </row>
    <row r="4512" spans="12:14">
      <c r="L4512">
        <v>867</v>
      </c>
      <c r="N4512" t="str">
        <f t="shared" si="70"/>
        <v/>
      </c>
    </row>
    <row r="4513" spans="12:14">
      <c r="L4513">
        <v>1791</v>
      </c>
      <c r="N4513" t="str">
        <f t="shared" si="70"/>
        <v/>
      </c>
    </row>
    <row r="4514" spans="12:14">
      <c r="L4514">
        <v>3632</v>
      </c>
      <c r="N4514" t="str">
        <f t="shared" si="70"/>
        <v/>
      </c>
    </row>
    <row r="4515" spans="12:14">
      <c r="L4515">
        <v>802</v>
      </c>
      <c r="N4515" t="str">
        <f t="shared" si="70"/>
        <v/>
      </c>
    </row>
    <row r="4516" spans="12:14">
      <c r="L4516">
        <v>2397</v>
      </c>
      <c r="N4516" t="str">
        <f t="shared" si="70"/>
        <v/>
      </c>
    </row>
    <row r="4517" spans="12:14">
      <c r="L4517">
        <v>3731</v>
      </c>
      <c r="M4517" t="s">
        <v>28</v>
      </c>
      <c r="N4517">
        <f t="shared" si="70"/>
        <v>3</v>
      </c>
    </row>
    <row r="4518" spans="12:14">
      <c r="L4518">
        <v>699</v>
      </c>
      <c r="M4518" t="s">
        <v>26</v>
      </c>
      <c r="N4518">
        <f t="shared" si="70"/>
        <v>1</v>
      </c>
    </row>
    <row r="4519" spans="12:14">
      <c r="L4519">
        <v>3546</v>
      </c>
      <c r="N4519" t="str">
        <f t="shared" si="70"/>
        <v/>
      </c>
    </row>
    <row r="4520" spans="12:14">
      <c r="L4520">
        <v>761</v>
      </c>
      <c r="M4520" t="s">
        <v>28</v>
      </c>
      <c r="N4520">
        <f t="shared" si="70"/>
        <v>3</v>
      </c>
    </row>
    <row r="4521" spans="12:14">
      <c r="L4521">
        <v>2038</v>
      </c>
      <c r="N4521" t="str">
        <f t="shared" si="70"/>
        <v/>
      </c>
    </row>
    <row r="4522" spans="12:14">
      <c r="L4522">
        <v>86</v>
      </c>
      <c r="M4522" t="s">
        <v>30</v>
      </c>
      <c r="N4522">
        <f t="shared" si="70"/>
        <v>7</v>
      </c>
    </row>
    <row r="4523" spans="12:14">
      <c r="L4523">
        <v>3394</v>
      </c>
      <c r="N4523" t="str">
        <f t="shared" si="70"/>
        <v/>
      </c>
    </row>
    <row r="4524" spans="12:14">
      <c r="L4524">
        <v>1485</v>
      </c>
      <c r="M4524" t="s">
        <v>26</v>
      </c>
      <c r="N4524">
        <f t="shared" si="70"/>
        <v>1</v>
      </c>
    </row>
    <row r="4525" spans="12:14">
      <c r="L4525">
        <v>308</v>
      </c>
      <c r="N4525" t="str">
        <f t="shared" si="70"/>
        <v/>
      </c>
    </row>
    <row r="4526" spans="12:14">
      <c r="L4526">
        <v>3391</v>
      </c>
      <c r="M4526" t="s">
        <v>29</v>
      </c>
      <c r="N4526">
        <f t="shared" si="70"/>
        <v>4</v>
      </c>
    </row>
    <row r="4527" spans="12:14">
      <c r="L4527">
        <v>4179</v>
      </c>
      <c r="M4527" t="s">
        <v>25</v>
      </c>
      <c r="N4527">
        <f t="shared" si="70"/>
        <v>5</v>
      </c>
    </row>
    <row r="4528" spans="12:14">
      <c r="L4528">
        <v>1204</v>
      </c>
      <c r="N4528" t="str">
        <f t="shared" si="70"/>
        <v/>
      </c>
    </row>
    <row r="4529" spans="12:14">
      <c r="L4529">
        <v>3910</v>
      </c>
      <c r="N4529" t="str">
        <f t="shared" si="70"/>
        <v/>
      </c>
    </row>
    <row r="4530" spans="12:14">
      <c r="L4530">
        <v>3533</v>
      </c>
      <c r="N4530" t="str">
        <f t="shared" si="70"/>
        <v/>
      </c>
    </row>
    <row r="4531" spans="12:14">
      <c r="L4531">
        <v>3782</v>
      </c>
      <c r="N4531" t="str">
        <f t="shared" si="70"/>
        <v/>
      </c>
    </row>
    <row r="4532" spans="12:14">
      <c r="L4532">
        <v>1766</v>
      </c>
      <c r="N4532" t="str">
        <f t="shared" si="70"/>
        <v/>
      </c>
    </row>
    <row r="4533" spans="12:14">
      <c r="L4533">
        <v>60</v>
      </c>
      <c r="N4533" t="str">
        <f t="shared" si="70"/>
        <v/>
      </c>
    </row>
    <row r="4534" spans="12:14">
      <c r="L4534">
        <v>3194</v>
      </c>
      <c r="N4534" t="str">
        <f t="shared" si="70"/>
        <v/>
      </c>
    </row>
    <row r="4535" spans="12:14">
      <c r="L4535">
        <v>4071</v>
      </c>
      <c r="N4535" t="str">
        <f t="shared" si="70"/>
        <v/>
      </c>
    </row>
    <row r="4536" spans="12:14">
      <c r="L4536">
        <v>3367</v>
      </c>
      <c r="N4536" t="str">
        <f t="shared" si="70"/>
        <v/>
      </c>
    </row>
    <row r="4537" spans="12:14">
      <c r="L4537">
        <v>2921</v>
      </c>
      <c r="N4537" t="str">
        <f t="shared" si="70"/>
        <v/>
      </c>
    </row>
    <row r="4538" spans="12:14">
      <c r="L4538">
        <v>1614</v>
      </c>
      <c r="N4538" t="str">
        <f t="shared" si="70"/>
        <v/>
      </c>
    </row>
    <row r="4539" spans="12:14">
      <c r="L4539">
        <v>1909</v>
      </c>
      <c r="M4539" t="s">
        <v>19</v>
      </c>
      <c r="N4539">
        <f t="shared" si="70"/>
        <v>2</v>
      </c>
    </row>
    <row r="4540" spans="12:14">
      <c r="L4540">
        <v>1386</v>
      </c>
      <c r="N4540" t="str">
        <f t="shared" si="70"/>
        <v/>
      </c>
    </row>
    <row r="4541" spans="12:14">
      <c r="L4541">
        <v>136</v>
      </c>
      <c r="M4541" t="s">
        <v>19</v>
      </c>
      <c r="N4541">
        <f t="shared" si="70"/>
        <v>2</v>
      </c>
    </row>
    <row r="4542" spans="12:14">
      <c r="L4542">
        <v>1285</v>
      </c>
      <c r="N4542" t="str">
        <f t="shared" si="70"/>
        <v/>
      </c>
    </row>
    <row r="4543" spans="12:14">
      <c r="L4543">
        <v>1475</v>
      </c>
      <c r="M4543" t="s">
        <v>30</v>
      </c>
      <c r="N4543">
        <f t="shared" si="70"/>
        <v>7</v>
      </c>
    </row>
    <row r="4544" spans="12:14">
      <c r="L4544">
        <v>644</v>
      </c>
      <c r="N4544" t="str">
        <f t="shared" si="70"/>
        <v/>
      </c>
    </row>
    <row r="4545" spans="12:14">
      <c r="L4545">
        <v>3404</v>
      </c>
      <c r="N4545" t="str">
        <f t="shared" si="70"/>
        <v/>
      </c>
    </row>
    <row r="4546" spans="12:14">
      <c r="L4546">
        <v>707</v>
      </c>
      <c r="N4546" t="str">
        <f t="shared" si="70"/>
        <v/>
      </c>
    </row>
    <row r="4547" spans="12:14">
      <c r="L4547">
        <v>691</v>
      </c>
      <c r="M4547" t="s">
        <v>30</v>
      </c>
      <c r="N4547">
        <f t="shared" ref="N4547:N4610" si="71">IFERROR(VLOOKUP(M4547,$A$3:$B$10,2,0),"")</f>
        <v>7</v>
      </c>
    </row>
    <row r="4548" spans="12:14">
      <c r="L4548">
        <v>217</v>
      </c>
      <c r="M4548" t="s">
        <v>26</v>
      </c>
      <c r="N4548">
        <f t="shared" si="71"/>
        <v>1</v>
      </c>
    </row>
    <row r="4549" spans="12:14">
      <c r="L4549">
        <v>1602</v>
      </c>
      <c r="N4549" t="str">
        <f t="shared" si="71"/>
        <v/>
      </c>
    </row>
    <row r="4550" spans="12:14">
      <c r="L4550">
        <v>2170</v>
      </c>
      <c r="N4550" t="str">
        <f t="shared" si="71"/>
        <v/>
      </c>
    </row>
    <row r="4551" spans="12:14">
      <c r="L4551">
        <v>4138</v>
      </c>
      <c r="N4551" t="str">
        <f t="shared" si="71"/>
        <v/>
      </c>
    </row>
    <row r="4552" spans="12:14">
      <c r="L4552">
        <v>3828</v>
      </c>
      <c r="N4552" t="str">
        <f t="shared" si="71"/>
        <v/>
      </c>
    </row>
    <row r="4553" spans="12:14">
      <c r="L4553">
        <v>4761</v>
      </c>
      <c r="N4553" t="str">
        <f t="shared" si="71"/>
        <v/>
      </c>
    </row>
    <row r="4554" spans="12:14">
      <c r="L4554">
        <v>4376</v>
      </c>
      <c r="M4554" t="s">
        <v>29</v>
      </c>
      <c r="N4554">
        <f t="shared" si="71"/>
        <v>4</v>
      </c>
    </row>
    <row r="4555" spans="12:14">
      <c r="L4555">
        <v>700</v>
      </c>
      <c r="N4555" t="str">
        <f t="shared" si="71"/>
        <v/>
      </c>
    </row>
    <row r="4556" spans="12:14">
      <c r="L4556">
        <v>1746</v>
      </c>
      <c r="N4556" t="str">
        <f t="shared" si="71"/>
        <v/>
      </c>
    </row>
    <row r="4557" spans="12:14">
      <c r="L4557">
        <v>2289</v>
      </c>
      <c r="N4557" t="str">
        <f t="shared" si="71"/>
        <v/>
      </c>
    </row>
    <row r="4558" spans="12:14">
      <c r="L4558">
        <v>1928</v>
      </c>
      <c r="N4558" t="str">
        <f t="shared" si="71"/>
        <v/>
      </c>
    </row>
    <row r="4559" spans="12:14">
      <c r="L4559">
        <v>1275</v>
      </c>
      <c r="N4559" t="str">
        <f t="shared" si="71"/>
        <v/>
      </c>
    </row>
    <row r="4560" spans="12:14">
      <c r="L4560">
        <v>1139</v>
      </c>
      <c r="M4560" t="s">
        <v>26</v>
      </c>
      <c r="N4560">
        <f t="shared" si="71"/>
        <v>1</v>
      </c>
    </row>
    <row r="4561" spans="12:14">
      <c r="L4561">
        <v>4324</v>
      </c>
      <c r="N4561" t="str">
        <f t="shared" si="71"/>
        <v/>
      </c>
    </row>
    <row r="4562" spans="12:14">
      <c r="L4562">
        <v>4965</v>
      </c>
      <c r="N4562" t="str">
        <f t="shared" si="71"/>
        <v/>
      </c>
    </row>
    <row r="4563" spans="12:14">
      <c r="L4563">
        <v>1252</v>
      </c>
      <c r="M4563" t="s">
        <v>31</v>
      </c>
      <c r="N4563">
        <f t="shared" si="71"/>
        <v>6</v>
      </c>
    </row>
    <row r="4564" spans="12:14">
      <c r="L4564">
        <v>2831</v>
      </c>
      <c r="N4564" t="str">
        <f t="shared" si="71"/>
        <v/>
      </c>
    </row>
    <row r="4565" spans="12:14">
      <c r="L4565">
        <v>1268</v>
      </c>
      <c r="N4565" t="str">
        <f t="shared" si="71"/>
        <v/>
      </c>
    </row>
    <row r="4566" spans="12:14">
      <c r="L4566">
        <v>1502</v>
      </c>
      <c r="M4566" t="s">
        <v>25</v>
      </c>
      <c r="N4566">
        <f t="shared" si="71"/>
        <v>5</v>
      </c>
    </row>
    <row r="4567" spans="12:14">
      <c r="L4567">
        <v>3052</v>
      </c>
      <c r="M4567" t="s">
        <v>31</v>
      </c>
      <c r="N4567">
        <f t="shared" si="71"/>
        <v>6</v>
      </c>
    </row>
    <row r="4568" spans="12:14">
      <c r="L4568">
        <v>3581</v>
      </c>
      <c r="N4568" t="str">
        <f t="shared" si="71"/>
        <v/>
      </c>
    </row>
    <row r="4569" spans="12:14">
      <c r="L4569">
        <v>4093</v>
      </c>
      <c r="M4569" t="s">
        <v>26</v>
      </c>
      <c r="N4569">
        <f t="shared" si="71"/>
        <v>1</v>
      </c>
    </row>
    <row r="4570" spans="12:14">
      <c r="L4570">
        <v>1059</v>
      </c>
      <c r="M4570" t="s">
        <v>26</v>
      </c>
      <c r="N4570">
        <f t="shared" si="71"/>
        <v>1</v>
      </c>
    </row>
    <row r="4571" spans="12:14">
      <c r="L4571">
        <v>1984</v>
      </c>
      <c r="N4571" t="str">
        <f t="shared" si="71"/>
        <v/>
      </c>
    </row>
    <row r="4572" spans="12:14">
      <c r="L4572">
        <v>4206</v>
      </c>
      <c r="N4572" t="str">
        <f t="shared" si="71"/>
        <v/>
      </c>
    </row>
    <row r="4573" spans="12:14">
      <c r="L4573">
        <v>1710</v>
      </c>
      <c r="N4573" t="str">
        <f t="shared" si="71"/>
        <v/>
      </c>
    </row>
    <row r="4574" spans="12:14">
      <c r="L4574">
        <v>2115</v>
      </c>
      <c r="N4574" t="str">
        <f t="shared" si="71"/>
        <v/>
      </c>
    </row>
    <row r="4575" spans="12:14">
      <c r="L4575">
        <v>2371</v>
      </c>
      <c r="M4575" t="s">
        <v>29</v>
      </c>
      <c r="N4575">
        <f t="shared" si="71"/>
        <v>4</v>
      </c>
    </row>
    <row r="4576" spans="12:14">
      <c r="L4576">
        <v>1612</v>
      </c>
      <c r="N4576" t="str">
        <f t="shared" si="71"/>
        <v/>
      </c>
    </row>
    <row r="4577" spans="12:14">
      <c r="L4577">
        <v>1219</v>
      </c>
      <c r="N4577" t="str">
        <f t="shared" si="71"/>
        <v/>
      </c>
    </row>
    <row r="4578" spans="12:14">
      <c r="L4578">
        <v>3418</v>
      </c>
      <c r="M4578" t="s">
        <v>28</v>
      </c>
      <c r="N4578">
        <f t="shared" si="71"/>
        <v>3</v>
      </c>
    </row>
    <row r="4579" spans="12:14">
      <c r="L4579">
        <v>213</v>
      </c>
      <c r="N4579" t="str">
        <f t="shared" si="71"/>
        <v/>
      </c>
    </row>
    <row r="4580" spans="12:14">
      <c r="L4580">
        <v>1235</v>
      </c>
      <c r="N4580" t="str">
        <f t="shared" si="71"/>
        <v/>
      </c>
    </row>
    <row r="4581" spans="12:14">
      <c r="L4581">
        <v>1125</v>
      </c>
      <c r="N4581" t="str">
        <f t="shared" si="71"/>
        <v/>
      </c>
    </row>
    <row r="4582" spans="12:14">
      <c r="L4582">
        <v>2894</v>
      </c>
      <c r="M4582" t="s">
        <v>30</v>
      </c>
      <c r="N4582">
        <f t="shared" si="71"/>
        <v>7</v>
      </c>
    </row>
    <row r="4583" spans="12:14">
      <c r="L4583">
        <v>3171</v>
      </c>
      <c r="N4583" t="str">
        <f t="shared" si="71"/>
        <v/>
      </c>
    </row>
    <row r="4584" spans="12:14">
      <c r="L4584">
        <v>887</v>
      </c>
      <c r="M4584" t="s">
        <v>31</v>
      </c>
      <c r="N4584">
        <f t="shared" si="71"/>
        <v>6</v>
      </c>
    </row>
    <row r="4585" spans="12:14">
      <c r="L4585">
        <v>1336</v>
      </c>
      <c r="N4585" t="str">
        <f t="shared" si="71"/>
        <v/>
      </c>
    </row>
    <row r="4586" spans="12:14">
      <c r="L4586">
        <v>2161</v>
      </c>
      <c r="M4586" t="s">
        <v>31</v>
      </c>
      <c r="N4586">
        <f t="shared" si="71"/>
        <v>6</v>
      </c>
    </row>
    <row r="4587" spans="12:14">
      <c r="L4587">
        <v>3340</v>
      </c>
      <c r="N4587" t="str">
        <f t="shared" si="71"/>
        <v/>
      </c>
    </row>
    <row r="4588" spans="12:14">
      <c r="L4588">
        <v>2059</v>
      </c>
      <c r="N4588" t="str">
        <f t="shared" si="71"/>
        <v/>
      </c>
    </row>
    <row r="4589" spans="12:14">
      <c r="L4589">
        <v>943</v>
      </c>
      <c r="M4589" t="s">
        <v>30</v>
      </c>
      <c r="N4589">
        <f t="shared" si="71"/>
        <v>7</v>
      </c>
    </row>
    <row r="4590" spans="12:14">
      <c r="L4590">
        <v>2274</v>
      </c>
      <c r="M4590" t="s">
        <v>28</v>
      </c>
      <c r="N4590">
        <f t="shared" si="71"/>
        <v>3</v>
      </c>
    </row>
    <row r="4591" spans="12:14">
      <c r="L4591">
        <v>2030</v>
      </c>
      <c r="M4591" t="s">
        <v>31</v>
      </c>
      <c r="N4591">
        <f t="shared" si="71"/>
        <v>6</v>
      </c>
    </row>
    <row r="4592" spans="12:14">
      <c r="L4592">
        <v>2185</v>
      </c>
      <c r="N4592" t="str">
        <f t="shared" si="71"/>
        <v/>
      </c>
    </row>
    <row r="4593" spans="12:14">
      <c r="L4593">
        <v>1462</v>
      </c>
      <c r="N4593" t="str">
        <f t="shared" si="71"/>
        <v/>
      </c>
    </row>
    <row r="4594" spans="12:14">
      <c r="L4594">
        <v>2668</v>
      </c>
      <c r="N4594" t="str">
        <f t="shared" si="71"/>
        <v/>
      </c>
    </row>
    <row r="4595" spans="12:14">
      <c r="L4595">
        <v>187</v>
      </c>
      <c r="M4595" t="s">
        <v>30</v>
      </c>
      <c r="N4595">
        <f t="shared" si="71"/>
        <v>7</v>
      </c>
    </row>
    <row r="4596" spans="12:14">
      <c r="L4596">
        <v>3985</v>
      </c>
      <c r="M4596" t="s">
        <v>29</v>
      </c>
      <c r="N4596">
        <f t="shared" si="71"/>
        <v>4</v>
      </c>
    </row>
    <row r="4597" spans="12:14">
      <c r="L4597">
        <v>3514</v>
      </c>
      <c r="N4597" t="str">
        <f t="shared" si="71"/>
        <v/>
      </c>
    </row>
    <row r="4598" spans="12:14">
      <c r="L4598">
        <v>4709</v>
      </c>
      <c r="M4598" t="s">
        <v>31</v>
      </c>
      <c r="N4598">
        <f t="shared" si="71"/>
        <v>6</v>
      </c>
    </row>
    <row r="4599" spans="12:14">
      <c r="L4599">
        <v>2327</v>
      </c>
      <c r="M4599" t="s">
        <v>30</v>
      </c>
      <c r="N4599">
        <f t="shared" si="71"/>
        <v>7</v>
      </c>
    </row>
    <row r="4600" spans="12:14">
      <c r="L4600">
        <v>2089</v>
      </c>
      <c r="N4600" t="str">
        <f t="shared" si="71"/>
        <v/>
      </c>
    </row>
    <row r="4601" spans="12:14">
      <c r="L4601">
        <v>770</v>
      </c>
      <c r="N4601" t="str">
        <f t="shared" si="71"/>
        <v/>
      </c>
    </row>
    <row r="4602" spans="12:14">
      <c r="L4602">
        <v>2923</v>
      </c>
      <c r="N4602" t="str">
        <f t="shared" si="71"/>
        <v/>
      </c>
    </row>
    <row r="4603" spans="12:14">
      <c r="L4603">
        <v>3819</v>
      </c>
      <c r="N4603" t="str">
        <f t="shared" si="71"/>
        <v/>
      </c>
    </row>
    <row r="4604" spans="12:14">
      <c r="L4604">
        <v>2657</v>
      </c>
      <c r="M4604" t="s">
        <v>30</v>
      </c>
      <c r="N4604">
        <f t="shared" si="71"/>
        <v>7</v>
      </c>
    </row>
    <row r="4605" spans="12:14">
      <c r="L4605">
        <v>4057</v>
      </c>
      <c r="M4605" t="s">
        <v>30</v>
      </c>
      <c r="N4605">
        <f t="shared" si="71"/>
        <v>7</v>
      </c>
    </row>
    <row r="4606" spans="12:14">
      <c r="L4606">
        <v>4805</v>
      </c>
      <c r="N4606" t="str">
        <f t="shared" si="71"/>
        <v/>
      </c>
    </row>
    <row r="4607" spans="12:14">
      <c r="L4607">
        <v>1166</v>
      </c>
      <c r="M4607" t="s">
        <v>26</v>
      </c>
      <c r="N4607">
        <f t="shared" si="71"/>
        <v>1</v>
      </c>
    </row>
    <row r="4608" spans="12:14">
      <c r="L4608">
        <v>2984</v>
      </c>
      <c r="N4608" t="str">
        <f t="shared" si="71"/>
        <v/>
      </c>
    </row>
    <row r="4609" spans="12:14">
      <c r="L4609">
        <v>4774</v>
      </c>
      <c r="M4609" t="s">
        <v>28</v>
      </c>
      <c r="N4609">
        <f t="shared" si="71"/>
        <v>3</v>
      </c>
    </row>
    <row r="4610" spans="12:14">
      <c r="L4610">
        <v>4343</v>
      </c>
      <c r="N4610" t="str">
        <f t="shared" si="71"/>
        <v/>
      </c>
    </row>
    <row r="4611" spans="12:14">
      <c r="L4611">
        <v>907</v>
      </c>
      <c r="M4611" t="s">
        <v>25</v>
      </c>
      <c r="N4611">
        <f t="shared" ref="N4611:N4674" si="72">IFERROR(VLOOKUP(M4611,$A$3:$B$10,2,0),"")</f>
        <v>5</v>
      </c>
    </row>
    <row r="4612" spans="12:14">
      <c r="L4612">
        <v>3777</v>
      </c>
      <c r="M4612" t="s">
        <v>26</v>
      </c>
      <c r="N4612">
        <f t="shared" si="72"/>
        <v>1</v>
      </c>
    </row>
    <row r="4613" spans="12:14">
      <c r="L4613">
        <v>1314</v>
      </c>
      <c r="N4613" t="str">
        <f t="shared" si="72"/>
        <v/>
      </c>
    </row>
    <row r="4614" spans="12:14">
      <c r="L4614">
        <v>438</v>
      </c>
      <c r="N4614" t="str">
        <f t="shared" si="72"/>
        <v/>
      </c>
    </row>
    <row r="4615" spans="12:14">
      <c r="L4615">
        <v>4216</v>
      </c>
      <c r="M4615" t="s">
        <v>26</v>
      </c>
      <c r="N4615">
        <f t="shared" si="72"/>
        <v>1</v>
      </c>
    </row>
    <row r="4616" spans="12:14">
      <c r="L4616">
        <v>3276</v>
      </c>
      <c r="M4616" t="s">
        <v>25</v>
      </c>
      <c r="N4616">
        <f t="shared" si="72"/>
        <v>5</v>
      </c>
    </row>
    <row r="4617" spans="12:14">
      <c r="L4617">
        <v>1481</v>
      </c>
      <c r="M4617" t="s">
        <v>26</v>
      </c>
      <c r="N4617">
        <f t="shared" si="72"/>
        <v>1</v>
      </c>
    </row>
    <row r="4618" spans="12:14">
      <c r="L4618">
        <v>127</v>
      </c>
      <c r="N4618" t="str">
        <f t="shared" si="72"/>
        <v/>
      </c>
    </row>
    <row r="4619" spans="12:14">
      <c r="L4619">
        <v>1670</v>
      </c>
      <c r="M4619" t="s">
        <v>28</v>
      </c>
      <c r="N4619">
        <f t="shared" si="72"/>
        <v>3</v>
      </c>
    </row>
    <row r="4620" spans="12:14">
      <c r="L4620">
        <v>681</v>
      </c>
      <c r="M4620" t="s">
        <v>29</v>
      </c>
      <c r="N4620">
        <f t="shared" si="72"/>
        <v>4</v>
      </c>
    </row>
    <row r="4621" spans="12:14">
      <c r="L4621">
        <v>3742</v>
      </c>
      <c r="N4621" t="str">
        <f t="shared" si="72"/>
        <v/>
      </c>
    </row>
    <row r="4622" spans="12:14">
      <c r="L4622">
        <v>990</v>
      </c>
      <c r="M4622" t="s">
        <v>26</v>
      </c>
      <c r="N4622">
        <f t="shared" si="72"/>
        <v>1</v>
      </c>
    </row>
    <row r="4623" spans="12:14">
      <c r="L4623">
        <v>2146</v>
      </c>
      <c r="N4623" t="str">
        <f t="shared" si="72"/>
        <v/>
      </c>
    </row>
    <row r="4624" spans="12:14">
      <c r="L4624">
        <v>2141</v>
      </c>
      <c r="N4624" t="str">
        <f t="shared" si="72"/>
        <v/>
      </c>
    </row>
    <row r="4625" spans="12:14">
      <c r="L4625">
        <v>3359</v>
      </c>
      <c r="N4625" t="str">
        <f t="shared" si="72"/>
        <v/>
      </c>
    </row>
    <row r="4626" spans="12:14">
      <c r="L4626">
        <v>1553</v>
      </c>
      <c r="M4626" t="s">
        <v>31</v>
      </c>
      <c r="N4626">
        <f t="shared" si="72"/>
        <v>6</v>
      </c>
    </row>
    <row r="4627" spans="12:14">
      <c r="L4627">
        <v>4818</v>
      </c>
      <c r="N4627" t="str">
        <f t="shared" si="72"/>
        <v/>
      </c>
    </row>
    <row r="4628" spans="12:14">
      <c r="L4628">
        <v>3803</v>
      </c>
      <c r="M4628" t="s">
        <v>19</v>
      </c>
      <c r="N4628">
        <f t="shared" si="72"/>
        <v>2</v>
      </c>
    </row>
    <row r="4629" spans="12:14">
      <c r="L4629">
        <v>1871</v>
      </c>
      <c r="N4629" t="str">
        <f t="shared" si="72"/>
        <v/>
      </c>
    </row>
    <row r="4630" spans="12:14">
      <c r="L4630">
        <v>1639</v>
      </c>
      <c r="N4630" t="str">
        <f t="shared" si="72"/>
        <v/>
      </c>
    </row>
    <row r="4631" spans="12:14">
      <c r="L4631">
        <v>706</v>
      </c>
      <c r="M4631" t="s">
        <v>19</v>
      </c>
      <c r="N4631">
        <f t="shared" si="72"/>
        <v>2</v>
      </c>
    </row>
    <row r="4632" spans="12:14">
      <c r="L4632">
        <v>2737</v>
      </c>
      <c r="M4632" t="s">
        <v>29</v>
      </c>
      <c r="N4632">
        <f t="shared" si="72"/>
        <v>4</v>
      </c>
    </row>
    <row r="4633" spans="12:14">
      <c r="L4633">
        <v>2837</v>
      </c>
      <c r="N4633" t="str">
        <f t="shared" si="72"/>
        <v/>
      </c>
    </row>
    <row r="4634" spans="12:14">
      <c r="L4634">
        <v>4405</v>
      </c>
      <c r="N4634" t="str">
        <f t="shared" si="72"/>
        <v/>
      </c>
    </row>
    <row r="4635" spans="12:14">
      <c r="L4635">
        <v>3715</v>
      </c>
      <c r="N4635" t="str">
        <f t="shared" si="72"/>
        <v/>
      </c>
    </row>
    <row r="4636" spans="12:14">
      <c r="L4636">
        <v>1592</v>
      </c>
      <c r="N4636" t="str">
        <f t="shared" si="72"/>
        <v/>
      </c>
    </row>
    <row r="4637" spans="12:14">
      <c r="L4637">
        <v>262</v>
      </c>
      <c r="M4637" t="s">
        <v>28</v>
      </c>
      <c r="N4637">
        <f t="shared" si="72"/>
        <v>3</v>
      </c>
    </row>
    <row r="4638" spans="12:14">
      <c r="L4638">
        <v>4439</v>
      </c>
      <c r="N4638" t="str">
        <f t="shared" si="72"/>
        <v/>
      </c>
    </row>
    <row r="4639" spans="12:14">
      <c r="L4639">
        <v>3574</v>
      </c>
      <c r="N4639" t="str">
        <f t="shared" si="72"/>
        <v/>
      </c>
    </row>
    <row r="4640" spans="12:14">
      <c r="L4640">
        <v>1089</v>
      </c>
      <c r="N4640" t="str">
        <f t="shared" si="72"/>
        <v/>
      </c>
    </row>
    <row r="4641" spans="12:14">
      <c r="L4641">
        <v>476</v>
      </c>
      <c r="N4641" t="str">
        <f t="shared" si="72"/>
        <v/>
      </c>
    </row>
    <row r="4642" spans="12:14">
      <c r="L4642">
        <v>4766</v>
      </c>
      <c r="N4642" t="str">
        <f t="shared" si="72"/>
        <v/>
      </c>
    </row>
    <row r="4643" spans="12:14">
      <c r="L4643">
        <v>1617</v>
      </c>
      <c r="N4643" t="str">
        <f t="shared" si="72"/>
        <v/>
      </c>
    </row>
    <row r="4644" spans="12:14">
      <c r="L4644">
        <v>4744</v>
      </c>
      <c r="N4644" t="str">
        <f t="shared" si="72"/>
        <v/>
      </c>
    </row>
    <row r="4645" spans="12:14">
      <c r="L4645">
        <v>1665</v>
      </c>
      <c r="N4645" t="str">
        <f t="shared" si="72"/>
        <v/>
      </c>
    </row>
    <row r="4646" spans="12:14">
      <c r="L4646">
        <v>3925</v>
      </c>
      <c r="N4646" t="str">
        <f t="shared" si="72"/>
        <v/>
      </c>
    </row>
    <row r="4647" spans="12:14">
      <c r="L4647">
        <v>1890</v>
      </c>
      <c r="N4647" t="str">
        <f t="shared" si="72"/>
        <v/>
      </c>
    </row>
    <row r="4648" spans="12:14">
      <c r="L4648">
        <v>2315</v>
      </c>
      <c r="N4648" t="str">
        <f t="shared" si="72"/>
        <v/>
      </c>
    </row>
    <row r="4649" spans="12:14">
      <c r="L4649">
        <v>391</v>
      </c>
      <c r="N4649" t="str">
        <f t="shared" si="72"/>
        <v/>
      </c>
    </row>
    <row r="4650" spans="12:14">
      <c r="L4650">
        <v>2461</v>
      </c>
      <c r="N4650" t="str">
        <f t="shared" si="72"/>
        <v/>
      </c>
    </row>
    <row r="4651" spans="12:14">
      <c r="L4651">
        <v>4472</v>
      </c>
      <c r="M4651" t="s">
        <v>19</v>
      </c>
      <c r="N4651">
        <f t="shared" si="72"/>
        <v>2</v>
      </c>
    </row>
    <row r="4652" spans="12:14">
      <c r="L4652">
        <v>4034</v>
      </c>
      <c r="N4652" t="str">
        <f t="shared" si="72"/>
        <v/>
      </c>
    </row>
    <row r="4653" spans="12:14">
      <c r="L4653">
        <v>4060</v>
      </c>
      <c r="N4653" t="str">
        <f t="shared" si="72"/>
        <v/>
      </c>
    </row>
    <row r="4654" spans="12:14">
      <c r="L4654">
        <v>3432</v>
      </c>
      <c r="N4654" t="str">
        <f t="shared" si="72"/>
        <v/>
      </c>
    </row>
    <row r="4655" spans="12:14">
      <c r="L4655">
        <v>3668</v>
      </c>
      <c r="N4655" t="str">
        <f t="shared" si="72"/>
        <v/>
      </c>
    </row>
    <row r="4656" spans="12:14">
      <c r="L4656">
        <v>4826</v>
      </c>
      <c r="N4656" t="str">
        <f t="shared" si="72"/>
        <v/>
      </c>
    </row>
    <row r="4657" spans="12:14">
      <c r="L4657">
        <v>3211</v>
      </c>
      <c r="M4657" t="s">
        <v>30</v>
      </c>
      <c r="N4657">
        <f t="shared" si="72"/>
        <v>7</v>
      </c>
    </row>
    <row r="4658" spans="12:14">
      <c r="L4658">
        <v>668</v>
      </c>
      <c r="M4658" t="s">
        <v>28</v>
      </c>
      <c r="N4658">
        <f t="shared" si="72"/>
        <v>3</v>
      </c>
    </row>
    <row r="4659" spans="12:14">
      <c r="L4659">
        <v>1322</v>
      </c>
      <c r="N4659" t="str">
        <f t="shared" si="72"/>
        <v/>
      </c>
    </row>
    <row r="4660" spans="12:14">
      <c r="L4660">
        <v>4035</v>
      </c>
      <c r="N4660" t="str">
        <f t="shared" si="72"/>
        <v/>
      </c>
    </row>
    <row r="4661" spans="12:14">
      <c r="L4661">
        <v>876</v>
      </c>
      <c r="N4661" t="str">
        <f t="shared" si="72"/>
        <v/>
      </c>
    </row>
    <row r="4662" spans="12:14">
      <c r="L4662">
        <v>3344</v>
      </c>
      <c r="N4662" t="str">
        <f t="shared" si="72"/>
        <v/>
      </c>
    </row>
    <row r="4663" spans="12:14">
      <c r="L4663">
        <v>6</v>
      </c>
      <c r="N4663" t="str">
        <f t="shared" si="72"/>
        <v/>
      </c>
    </row>
    <row r="4664" spans="12:14">
      <c r="L4664">
        <v>3873</v>
      </c>
      <c r="M4664" t="s">
        <v>19</v>
      </c>
      <c r="N4664">
        <f t="shared" si="72"/>
        <v>2</v>
      </c>
    </row>
    <row r="4665" spans="12:14">
      <c r="L4665">
        <v>4468</v>
      </c>
      <c r="N4665" t="str">
        <f t="shared" si="72"/>
        <v/>
      </c>
    </row>
    <row r="4666" spans="12:14">
      <c r="L4666">
        <v>2421</v>
      </c>
      <c r="N4666" t="str">
        <f t="shared" si="72"/>
        <v/>
      </c>
    </row>
    <row r="4667" spans="12:14">
      <c r="L4667">
        <v>4028</v>
      </c>
      <c r="N4667" t="str">
        <f t="shared" si="72"/>
        <v/>
      </c>
    </row>
    <row r="4668" spans="12:14">
      <c r="L4668">
        <v>3173</v>
      </c>
      <c r="N4668" t="str">
        <f t="shared" si="72"/>
        <v/>
      </c>
    </row>
    <row r="4669" spans="12:14">
      <c r="L4669">
        <v>3938</v>
      </c>
      <c r="M4669" t="s">
        <v>28</v>
      </c>
      <c r="N4669">
        <f t="shared" si="72"/>
        <v>3</v>
      </c>
    </row>
    <row r="4670" spans="12:14">
      <c r="L4670">
        <v>1157</v>
      </c>
      <c r="M4670" t="s">
        <v>28</v>
      </c>
      <c r="N4670">
        <f t="shared" si="72"/>
        <v>3</v>
      </c>
    </row>
    <row r="4671" spans="12:14">
      <c r="L4671">
        <v>2103</v>
      </c>
      <c r="N4671" t="str">
        <f t="shared" si="72"/>
        <v/>
      </c>
    </row>
    <row r="4672" spans="12:14">
      <c r="L4672">
        <v>319</v>
      </c>
      <c r="N4672" t="str">
        <f t="shared" si="72"/>
        <v/>
      </c>
    </row>
    <row r="4673" spans="12:14">
      <c r="L4673">
        <v>1885</v>
      </c>
      <c r="N4673" t="str">
        <f t="shared" si="72"/>
        <v/>
      </c>
    </row>
    <row r="4674" spans="12:14">
      <c r="L4674">
        <v>2997</v>
      </c>
      <c r="N4674" t="str">
        <f t="shared" si="72"/>
        <v/>
      </c>
    </row>
    <row r="4675" spans="12:14">
      <c r="L4675">
        <v>1165</v>
      </c>
      <c r="N4675" t="str">
        <f t="shared" ref="N4675:N4738" si="73">IFERROR(VLOOKUP(M4675,$A$3:$B$10,2,0),"")</f>
        <v/>
      </c>
    </row>
    <row r="4676" spans="12:14">
      <c r="L4676">
        <v>4834</v>
      </c>
      <c r="N4676" t="str">
        <f t="shared" si="73"/>
        <v/>
      </c>
    </row>
    <row r="4677" spans="12:14">
      <c r="L4677">
        <v>1992</v>
      </c>
      <c r="N4677" t="str">
        <f t="shared" si="73"/>
        <v/>
      </c>
    </row>
    <row r="4678" spans="12:14">
      <c r="L4678">
        <v>3174</v>
      </c>
      <c r="N4678" t="str">
        <f t="shared" si="73"/>
        <v/>
      </c>
    </row>
    <row r="4679" spans="12:14">
      <c r="L4679">
        <v>210</v>
      </c>
      <c r="N4679" t="str">
        <f t="shared" si="73"/>
        <v/>
      </c>
    </row>
    <row r="4680" spans="12:14">
      <c r="L4680">
        <v>3462</v>
      </c>
      <c r="N4680" t="str">
        <f t="shared" si="73"/>
        <v/>
      </c>
    </row>
    <row r="4681" spans="12:14">
      <c r="L4681">
        <v>5</v>
      </c>
      <c r="N4681" t="str">
        <f t="shared" si="73"/>
        <v/>
      </c>
    </row>
    <row r="4682" spans="12:14">
      <c r="L4682">
        <v>1758</v>
      </c>
      <c r="M4682" t="s">
        <v>19</v>
      </c>
      <c r="N4682">
        <f t="shared" si="73"/>
        <v>2</v>
      </c>
    </row>
    <row r="4683" spans="12:14">
      <c r="L4683">
        <v>624</v>
      </c>
      <c r="N4683" t="str">
        <f t="shared" si="73"/>
        <v/>
      </c>
    </row>
    <row r="4684" spans="12:14">
      <c r="L4684">
        <v>4476</v>
      </c>
      <c r="N4684" t="str">
        <f t="shared" si="73"/>
        <v/>
      </c>
    </row>
    <row r="4685" spans="12:14">
      <c r="L4685">
        <v>3647</v>
      </c>
      <c r="N4685" t="str">
        <f t="shared" si="73"/>
        <v/>
      </c>
    </row>
    <row r="4686" spans="12:14">
      <c r="L4686">
        <v>1205</v>
      </c>
      <c r="M4686" t="s">
        <v>31</v>
      </c>
      <c r="N4686">
        <f t="shared" si="73"/>
        <v>6</v>
      </c>
    </row>
    <row r="4687" spans="12:14">
      <c r="L4687">
        <v>3278</v>
      </c>
      <c r="N4687" t="str">
        <f t="shared" si="73"/>
        <v/>
      </c>
    </row>
    <row r="4688" spans="12:14">
      <c r="L4688">
        <v>4497</v>
      </c>
      <c r="N4688" t="str">
        <f t="shared" si="73"/>
        <v/>
      </c>
    </row>
    <row r="4689" spans="12:14">
      <c r="L4689">
        <v>2364</v>
      </c>
      <c r="N4689" t="str">
        <f t="shared" si="73"/>
        <v/>
      </c>
    </row>
    <row r="4690" spans="12:14">
      <c r="L4690">
        <v>2010</v>
      </c>
      <c r="M4690" t="s">
        <v>25</v>
      </c>
      <c r="N4690">
        <f t="shared" si="73"/>
        <v>5</v>
      </c>
    </row>
    <row r="4691" spans="12:14">
      <c r="L4691">
        <v>3548</v>
      </c>
      <c r="N4691" t="str">
        <f t="shared" si="73"/>
        <v/>
      </c>
    </row>
    <row r="4692" spans="12:14">
      <c r="L4692">
        <v>3636</v>
      </c>
      <c r="N4692" t="str">
        <f t="shared" si="73"/>
        <v/>
      </c>
    </row>
    <row r="4693" spans="12:14">
      <c r="L4693">
        <v>4613</v>
      </c>
      <c r="M4693" t="s">
        <v>26</v>
      </c>
      <c r="N4693">
        <f t="shared" si="73"/>
        <v>1</v>
      </c>
    </row>
    <row r="4694" spans="12:14">
      <c r="L4694">
        <v>2273</v>
      </c>
      <c r="M4694" t="s">
        <v>31</v>
      </c>
      <c r="N4694">
        <f t="shared" si="73"/>
        <v>6</v>
      </c>
    </row>
    <row r="4695" spans="12:14">
      <c r="L4695">
        <v>3479</v>
      </c>
      <c r="M4695" t="s">
        <v>30</v>
      </c>
      <c r="N4695">
        <f t="shared" si="73"/>
        <v>7</v>
      </c>
    </row>
    <row r="4696" spans="12:14">
      <c r="L4696">
        <v>3558</v>
      </c>
      <c r="N4696" t="str">
        <f t="shared" si="73"/>
        <v/>
      </c>
    </row>
    <row r="4697" spans="12:14">
      <c r="L4697">
        <v>1764</v>
      </c>
      <c r="N4697" t="str">
        <f t="shared" si="73"/>
        <v/>
      </c>
    </row>
    <row r="4698" spans="12:14">
      <c r="L4698">
        <v>1525</v>
      </c>
      <c r="N4698" t="str">
        <f t="shared" si="73"/>
        <v/>
      </c>
    </row>
    <row r="4699" spans="12:14">
      <c r="L4699">
        <v>1433</v>
      </c>
      <c r="N4699" t="str">
        <f t="shared" si="73"/>
        <v/>
      </c>
    </row>
    <row r="4700" spans="12:14">
      <c r="L4700">
        <v>3906</v>
      </c>
      <c r="N4700" t="str">
        <f t="shared" si="73"/>
        <v/>
      </c>
    </row>
    <row r="4701" spans="12:14">
      <c r="L4701">
        <v>1688</v>
      </c>
      <c r="N4701" t="str">
        <f t="shared" si="73"/>
        <v/>
      </c>
    </row>
    <row r="4702" spans="12:14">
      <c r="L4702">
        <v>2730</v>
      </c>
      <c r="N4702" t="str">
        <f t="shared" si="73"/>
        <v/>
      </c>
    </row>
    <row r="4703" spans="12:14">
      <c r="L4703">
        <v>3317</v>
      </c>
      <c r="N4703" t="str">
        <f t="shared" si="73"/>
        <v/>
      </c>
    </row>
    <row r="4704" spans="12:14">
      <c r="L4704">
        <v>4902</v>
      </c>
      <c r="M4704" t="s">
        <v>29</v>
      </c>
      <c r="N4704">
        <f t="shared" si="73"/>
        <v>4</v>
      </c>
    </row>
    <row r="4705" spans="12:14">
      <c r="L4705">
        <v>2413</v>
      </c>
      <c r="N4705" t="str">
        <f t="shared" si="73"/>
        <v/>
      </c>
    </row>
    <row r="4706" spans="12:14">
      <c r="L4706">
        <v>1546</v>
      </c>
      <c r="M4706" t="s">
        <v>29</v>
      </c>
      <c r="N4706">
        <f t="shared" si="73"/>
        <v>4</v>
      </c>
    </row>
    <row r="4707" spans="12:14">
      <c r="L4707">
        <v>2546</v>
      </c>
      <c r="N4707" t="str">
        <f t="shared" si="73"/>
        <v/>
      </c>
    </row>
    <row r="4708" spans="12:14">
      <c r="L4708">
        <v>2487</v>
      </c>
      <c r="N4708" t="str">
        <f t="shared" si="73"/>
        <v/>
      </c>
    </row>
    <row r="4709" spans="12:14">
      <c r="L4709">
        <v>1355</v>
      </c>
      <c r="N4709" t="str">
        <f t="shared" si="73"/>
        <v/>
      </c>
    </row>
    <row r="4710" spans="12:14">
      <c r="L4710">
        <v>2052</v>
      </c>
      <c r="M4710" t="s">
        <v>30</v>
      </c>
      <c r="N4710">
        <f t="shared" si="73"/>
        <v>7</v>
      </c>
    </row>
    <row r="4711" spans="12:14">
      <c r="L4711">
        <v>922</v>
      </c>
      <c r="M4711" t="s">
        <v>31</v>
      </c>
      <c r="N4711">
        <f t="shared" si="73"/>
        <v>6</v>
      </c>
    </row>
    <row r="4712" spans="12:14">
      <c r="L4712">
        <v>1996</v>
      </c>
      <c r="M4712" t="s">
        <v>25</v>
      </c>
      <c r="N4712">
        <f t="shared" si="73"/>
        <v>5</v>
      </c>
    </row>
    <row r="4713" spans="12:14">
      <c r="L4713">
        <v>1785</v>
      </c>
      <c r="N4713" t="str">
        <f t="shared" si="73"/>
        <v/>
      </c>
    </row>
    <row r="4714" spans="12:14">
      <c r="L4714">
        <v>4256</v>
      </c>
      <c r="N4714" t="str">
        <f t="shared" si="73"/>
        <v/>
      </c>
    </row>
    <row r="4715" spans="12:14">
      <c r="L4715">
        <v>3055</v>
      </c>
      <c r="M4715" t="s">
        <v>25</v>
      </c>
      <c r="N4715">
        <f t="shared" si="73"/>
        <v>5</v>
      </c>
    </row>
    <row r="4716" spans="12:14">
      <c r="L4716">
        <v>1385</v>
      </c>
      <c r="M4716" t="s">
        <v>19</v>
      </c>
      <c r="N4716">
        <f t="shared" si="73"/>
        <v>2</v>
      </c>
    </row>
    <row r="4717" spans="12:14">
      <c r="L4717">
        <v>3495</v>
      </c>
      <c r="M4717" t="s">
        <v>26</v>
      </c>
      <c r="N4717">
        <f t="shared" si="73"/>
        <v>1</v>
      </c>
    </row>
    <row r="4718" spans="12:14">
      <c r="L4718">
        <v>3869</v>
      </c>
      <c r="N4718" t="str">
        <f t="shared" si="73"/>
        <v/>
      </c>
    </row>
    <row r="4719" spans="12:14">
      <c r="L4719">
        <v>2851</v>
      </c>
      <c r="N4719" t="str">
        <f t="shared" si="73"/>
        <v/>
      </c>
    </row>
    <row r="4720" spans="12:14">
      <c r="L4720">
        <v>2088</v>
      </c>
      <c r="M4720" t="s">
        <v>19</v>
      </c>
      <c r="N4720">
        <f t="shared" si="73"/>
        <v>2</v>
      </c>
    </row>
    <row r="4721" spans="12:14">
      <c r="L4721">
        <v>4039</v>
      </c>
      <c r="M4721" t="s">
        <v>29</v>
      </c>
      <c r="N4721">
        <f t="shared" si="73"/>
        <v>4</v>
      </c>
    </row>
    <row r="4722" spans="12:14">
      <c r="L4722">
        <v>2541</v>
      </c>
      <c r="M4722" t="s">
        <v>19</v>
      </c>
      <c r="N4722">
        <f t="shared" si="73"/>
        <v>2</v>
      </c>
    </row>
    <row r="4723" spans="12:14">
      <c r="L4723">
        <v>3312</v>
      </c>
      <c r="N4723" t="str">
        <f t="shared" si="73"/>
        <v/>
      </c>
    </row>
    <row r="4724" spans="12:14">
      <c r="L4724">
        <v>3796</v>
      </c>
      <c r="N4724" t="str">
        <f t="shared" si="73"/>
        <v/>
      </c>
    </row>
    <row r="4725" spans="12:14">
      <c r="L4725">
        <v>353</v>
      </c>
      <c r="N4725" t="str">
        <f t="shared" si="73"/>
        <v/>
      </c>
    </row>
    <row r="4726" spans="12:14">
      <c r="L4726">
        <v>1006</v>
      </c>
      <c r="M4726" t="s">
        <v>26</v>
      </c>
      <c r="N4726">
        <f t="shared" si="73"/>
        <v>1</v>
      </c>
    </row>
    <row r="4727" spans="12:14">
      <c r="L4727">
        <v>186</v>
      </c>
      <c r="M4727" t="s">
        <v>19</v>
      </c>
      <c r="N4727">
        <f t="shared" si="73"/>
        <v>2</v>
      </c>
    </row>
    <row r="4728" spans="12:14">
      <c r="L4728">
        <v>323</v>
      </c>
      <c r="N4728" t="str">
        <f t="shared" si="73"/>
        <v/>
      </c>
    </row>
    <row r="4729" spans="12:14">
      <c r="L4729">
        <v>2932</v>
      </c>
      <c r="N4729" t="str">
        <f t="shared" si="73"/>
        <v/>
      </c>
    </row>
    <row r="4730" spans="12:14">
      <c r="L4730">
        <v>1148</v>
      </c>
      <c r="M4730" t="s">
        <v>19</v>
      </c>
      <c r="N4730">
        <f t="shared" si="73"/>
        <v>2</v>
      </c>
    </row>
    <row r="4731" spans="12:14">
      <c r="L4731">
        <v>2660</v>
      </c>
      <c r="N4731" t="str">
        <f t="shared" si="73"/>
        <v/>
      </c>
    </row>
    <row r="4732" spans="12:14">
      <c r="L4732">
        <v>3775</v>
      </c>
      <c r="M4732" t="s">
        <v>19</v>
      </c>
      <c r="N4732">
        <f t="shared" si="73"/>
        <v>2</v>
      </c>
    </row>
    <row r="4733" spans="12:14">
      <c r="L4733">
        <v>3928</v>
      </c>
      <c r="N4733" t="str">
        <f t="shared" si="73"/>
        <v/>
      </c>
    </row>
    <row r="4734" spans="12:14">
      <c r="L4734">
        <v>3846</v>
      </c>
      <c r="N4734" t="str">
        <f t="shared" si="73"/>
        <v/>
      </c>
    </row>
    <row r="4735" spans="12:14">
      <c r="L4735">
        <v>1862</v>
      </c>
      <c r="N4735" t="str">
        <f t="shared" si="73"/>
        <v/>
      </c>
    </row>
    <row r="4736" spans="12:14">
      <c r="L4736">
        <v>1464</v>
      </c>
      <c r="N4736" t="str">
        <f t="shared" si="73"/>
        <v/>
      </c>
    </row>
    <row r="4737" spans="12:14">
      <c r="L4737">
        <v>878</v>
      </c>
      <c r="N4737" t="str">
        <f t="shared" si="73"/>
        <v/>
      </c>
    </row>
    <row r="4738" spans="12:14">
      <c r="L4738">
        <v>4265</v>
      </c>
      <c r="N4738" t="str">
        <f t="shared" si="73"/>
        <v/>
      </c>
    </row>
    <row r="4739" spans="12:14">
      <c r="L4739">
        <v>221</v>
      </c>
      <c r="N4739" t="str">
        <f t="shared" ref="N4739:N4802" si="74">IFERROR(VLOOKUP(M4739,$A$3:$B$10,2,0),"")</f>
        <v/>
      </c>
    </row>
    <row r="4740" spans="12:14">
      <c r="L4740">
        <v>3779</v>
      </c>
      <c r="N4740" t="str">
        <f t="shared" si="74"/>
        <v/>
      </c>
    </row>
    <row r="4741" spans="12:14">
      <c r="L4741">
        <v>1329</v>
      </c>
      <c r="N4741" t="str">
        <f t="shared" si="74"/>
        <v/>
      </c>
    </row>
    <row r="4742" spans="12:14">
      <c r="L4742">
        <v>1811</v>
      </c>
      <c r="N4742" t="str">
        <f t="shared" si="74"/>
        <v/>
      </c>
    </row>
    <row r="4743" spans="12:14">
      <c r="L4743">
        <v>1836</v>
      </c>
      <c r="M4743" t="s">
        <v>30</v>
      </c>
      <c r="N4743">
        <f t="shared" si="74"/>
        <v>7</v>
      </c>
    </row>
    <row r="4744" spans="12:14">
      <c r="L4744">
        <v>1460</v>
      </c>
      <c r="N4744" t="str">
        <f t="shared" si="74"/>
        <v/>
      </c>
    </row>
    <row r="4745" spans="12:14">
      <c r="L4745">
        <v>3360</v>
      </c>
      <c r="N4745" t="str">
        <f t="shared" si="74"/>
        <v/>
      </c>
    </row>
    <row r="4746" spans="12:14">
      <c r="L4746">
        <v>3896</v>
      </c>
      <c r="N4746" t="str">
        <f t="shared" si="74"/>
        <v/>
      </c>
    </row>
    <row r="4747" spans="12:14">
      <c r="L4747">
        <v>3818</v>
      </c>
      <c r="N4747" t="str">
        <f t="shared" si="74"/>
        <v/>
      </c>
    </row>
    <row r="4748" spans="12:14">
      <c r="L4748">
        <v>3653</v>
      </c>
      <c r="N4748" t="str">
        <f t="shared" si="74"/>
        <v/>
      </c>
    </row>
    <row r="4749" spans="12:14">
      <c r="L4749">
        <v>1684</v>
      </c>
      <c r="N4749" t="str">
        <f t="shared" si="74"/>
        <v/>
      </c>
    </row>
    <row r="4750" spans="12:14">
      <c r="L4750">
        <v>1741</v>
      </c>
      <c r="N4750" t="str">
        <f t="shared" si="74"/>
        <v/>
      </c>
    </row>
    <row r="4751" spans="12:14">
      <c r="L4751">
        <v>2381</v>
      </c>
      <c r="N4751" t="str">
        <f t="shared" si="74"/>
        <v/>
      </c>
    </row>
    <row r="4752" spans="12:14">
      <c r="L4752">
        <v>4053</v>
      </c>
      <c r="N4752" t="str">
        <f t="shared" si="74"/>
        <v/>
      </c>
    </row>
    <row r="4753" spans="12:14">
      <c r="L4753">
        <v>2432</v>
      </c>
      <c r="M4753" t="s">
        <v>19</v>
      </c>
      <c r="N4753">
        <f t="shared" si="74"/>
        <v>2</v>
      </c>
    </row>
    <row r="4754" spans="12:14">
      <c r="L4754">
        <v>404</v>
      </c>
      <c r="M4754" t="s">
        <v>26</v>
      </c>
      <c r="N4754">
        <f t="shared" si="74"/>
        <v>1</v>
      </c>
    </row>
    <row r="4755" spans="12:14">
      <c r="L4755">
        <v>3132</v>
      </c>
      <c r="N4755" t="str">
        <f t="shared" si="74"/>
        <v/>
      </c>
    </row>
    <row r="4756" spans="12:14">
      <c r="L4756">
        <v>3874</v>
      </c>
      <c r="N4756" t="str">
        <f t="shared" si="74"/>
        <v/>
      </c>
    </row>
    <row r="4757" spans="12:14">
      <c r="L4757">
        <v>4344</v>
      </c>
      <c r="M4757" t="s">
        <v>25</v>
      </c>
      <c r="N4757">
        <f t="shared" si="74"/>
        <v>5</v>
      </c>
    </row>
    <row r="4758" spans="12:14">
      <c r="L4758">
        <v>3397</v>
      </c>
      <c r="M4758" t="s">
        <v>31</v>
      </c>
      <c r="N4758">
        <f t="shared" si="74"/>
        <v>6</v>
      </c>
    </row>
    <row r="4759" spans="12:14">
      <c r="L4759">
        <v>4776</v>
      </c>
      <c r="N4759" t="str">
        <f t="shared" si="74"/>
        <v/>
      </c>
    </row>
    <row r="4760" spans="12:14">
      <c r="L4760">
        <v>2501</v>
      </c>
      <c r="N4760" t="str">
        <f t="shared" si="74"/>
        <v/>
      </c>
    </row>
    <row r="4761" spans="12:14">
      <c r="L4761">
        <v>4880</v>
      </c>
      <c r="M4761" t="s">
        <v>19</v>
      </c>
      <c r="N4761">
        <f t="shared" si="74"/>
        <v>2</v>
      </c>
    </row>
    <row r="4762" spans="12:14">
      <c r="L4762">
        <v>3562</v>
      </c>
      <c r="N4762" t="str">
        <f t="shared" si="74"/>
        <v/>
      </c>
    </row>
    <row r="4763" spans="12:14">
      <c r="L4763">
        <v>4349</v>
      </c>
      <c r="M4763" t="s">
        <v>29</v>
      </c>
      <c r="N4763">
        <f t="shared" si="74"/>
        <v>4</v>
      </c>
    </row>
    <row r="4764" spans="12:14">
      <c r="L4764">
        <v>1161</v>
      </c>
      <c r="N4764" t="str">
        <f t="shared" si="74"/>
        <v/>
      </c>
    </row>
    <row r="4765" spans="12:14">
      <c r="L4765">
        <v>4026</v>
      </c>
      <c r="N4765" t="str">
        <f t="shared" si="74"/>
        <v/>
      </c>
    </row>
    <row r="4766" spans="12:14">
      <c r="L4766">
        <v>3607</v>
      </c>
      <c r="M4766" t="s">
        <v>29</v>
      </c>
      <c r="N4766">
        <f t="shared" si="74"/>
        <v>4</v>
      </c>
    </row>
    <row r="4767" spans="12:14">
      <c r="L4767">
        <v>2325</v>
      </c>
      <c r="N4767" t="str">
        <f t="shared" si="74"/>
        <v/>
      </c>
    </row>
    <row r="4768" spans="12:14">
      <c r="L4768">
        <v>2591</v>
      </c>
      <c r="N4768" t="str">
        <f t="shared" si="74"/>
        <v/>
      </c>
    </row>
    <row r="4769" spans="12:14">
      <c r="L4769">
        <v>1938</v>
      </c>
      <c r="M4769" t="s">
        <v>30</v>
      </c>
      <c r="N4769">
        <f t="shared" si="74"/>
        <v>7</v>
      </c>
    </row>
    <row r="4770" spans="12:14">
      <c r="L4770">
        <v>293</v>
      </c>
      <c r="N4770" t="str">
        <f t="shared" si="74"/>
        <v/>
      </c>
    </row>
    <row r="4771" spans="12:14">
      <c r="L4771">
        <v>1648</v>
      </c>
      <c r="N4771" t="str">
        <f t="shared" si="74"/>
        <v/>
      </c>
    </row>
    <row r="4772" spans="12:14">
      <c r="L4772">
        <v>1565</v>
      </c>
      <c r="M4772" t="s">
        <v>19</v>
      </c>
      <c r="N4772">
        <f t="shared" si="74"/>
        <v>2</v>
      </c>
    </row>
    <row r="4773" spans="12:14">
      <c r="L4773">
        <v>2951</v>
      </c>
      <c r="M4773" t="s">
        <v>28</v>
      </c>
      <c r="N4773">
        <f t="shared" si="74"/>
        <v>3</v>
      </c>
    </row>
    <row r="4774" spans="12:14">
      <c r="L4774">
        <v>4024</v>
      </c>
      <c r="N4774" t="str">
        <f t="shared" si="74"/>
        <v/>
      </c>
    </row>
    <row r="4775" spans="12:14">
      <c r="L4775">
        <v>3691</v>
      </c>
      <c r="M4775" t="s">
        <v>25</v>
      </c>
      <c r="N4775">
        <f t="shared" si="74"/>
        <v>5</v>
      </c>
    </row>
    <row r="4776" spans="12:14">
      <c r="L4776">
        <v>3833</v>
      </c>
      <c r="M4776" t="s">
        <v>19</v>
      </c>
      <c r="N4776">
        <f t="shared" si="74"/>
        <v>2</v>
      </c>
    </row>
    <row r="4777" spans="12:14">
      <c r="L4777">
        <v>3784</v>
      </c>
      <c r="N4777" t="str">
        <f t="shared" si="74"/>
        <v/>
      </c>
    </row>
    <row r="4778" spans="12:14">
      <c r="L4778">
        <v>3159</v>
      </c>
      <c r="N4778" t="str">
        <f t="shared" si="74"/>
        <v/>
      </c>
    </row>
    <row r="4779" spans="12:14">
      <c r="L4779">
        <v>508</v>
      </c>
      <c r="N4779" t="str">
        <f t="shared" si="74"/>
        <v/>
      </c>
    </row>
    <row r="4780" spans="12:14">
      <c r="L4780">
        <v>1141</v>
      </c>
      <c r="N4780" t="str">
        <f t="shared" si="74"/>
        <v/>
      </c>
    </row>
    <row r="4781" spans="12:14">
      <c r="L4781">
        <v>2154</v>
      </c>
      <c r="N4781" t="str">
        <f t="shared" si="74"/>
        <v/>
      </c>
    </row>
    <row r="4782" spans="12:14">
      <c r="L4782">
        <v>4718</v>
      </c>
      <c r="N4782" t="str">
        <f t="shared" si="74"/>
        <v/>
      </c>
    </row>
    <row r="4783" spans="12:14">
      <c r="L4783">
        <v>4560</v>
      </c>
      <c r="M4783" t="s">
        <v>28</v>
      </c>
      <c r="N4783">
        <f t="shared" si="74"/>
        <v>3</v>
      </c>
    </row>
    <row r="4784" spans="12:14">
      <c r="L4784">
        <v>533</v>
      </c>
      <c r="M4784" t="s">
        <v>31</v>
      </c>
      <c r="N4784">
        <f t="shared" si="74"/>
        <v>6</v>
      </c>
    </row>
    <row r="4785" spans="12:14">
      <c r="L4785">
        <v>3302</v>
      </c>
      <c r="N4785" t="str">
        <f t="shared" si="74"/>
        <v/>
      </c>
    </row>
    <row r="4786" spans="12:14">
      <c r="L4786">
        <v>3408</v>
      </c>
      <c r="N4786" t="str">
        <f t="shared" si="74"/>
        <v/>
      </c>
    </row>
    <row r="4787" spans="12:14">
      <c r="L4787">
        <v>1055</v>
      </c>
      <c r="N4787" t="str">
        <f t="shared" si="74"/>
        <v/>
      </c>
    </row>
    <row r="4788" spans="12:14">
      <c r="L4788">
        <v>1334</v>
      </c>
      <c r="N4788" t="str">
        <f t="shared" si="74"/>
        <v/>
      </c>
    </row>
    <row r="4789" spans="12:14">
      <c r="L4789">
        <v>3396</v>
      </c>
      <c r="N4789" t="str">
        <f t="shared" si="74"/>
        <v/>
      </c>
    </row>
    <row r="4790" spans="12:14">
      <c r="L4790">
        <v>532</v>
      </c>
      <c r="N4790" t="str">
        <f t="shared" si="74"/>
        <v/>
      </c>
    </row>
    <row r="4791" spans="12:14">
      <c r="L4791">
        <v>1913</v>
      </c>
      <c r="N4791" t="str">
        <f t="shared" si="74"/>
        <v/>
      </c>
    </row>
    <row r="4792" spans="12:14">
      <c r="L4792">
        <v>3444</v>
      </c>
      <c r="N4792" t="str">
        <f t="shared" si="74"/>
        <v/>
      </c>
    </row>
    <row r="4793" spans="12:14">
      <c r="L4793">
        <v>1465</v>
      </c>
      <c r="M4793" t="s">
        <v>26</v>
      </c>
      <c r="N4793">
        <f t="shared" si="74"/>
        <v>1</v>
      </c>
    </row>
    <row r="4794" spans="12:14">
      <c r="L4794">
        <v>4257</v>
      </c>
      <c r="M4794" t="s">
        <v>25</v>
      </c>
      <c r="N4794">
        <f t="shared" si="74"/>
        <v>5</v>
      </c>
    </row>
    <row r="4795" spans="12:14">
      <c r="L4795">
        <v>848</v>
      </c>
      <c r="M4795" t="s">
        <v>19</v>
      </c>
      <c r="N4795">
        <f t="shared" si="74"/>
        <v>2</v>
      </c>
    </row>
    <row r="4796" spans="12:14">
      <c r="L4796">
        <v>1210</v>
      </c>
      <c r="M4796" t="s">
        <v>31</v>
      </c>
      <c r="N4796">
        <f t="shared" si="74"/>
        <v>6</v>
      </c>
    </row>
    <row r="4797" spans="12:14">
      <c r="L4797">
        <v>2244</v>
      </c>
      <c r="M4797" t="s">
        <v>26</v>
      </c>
      <c r="N4797">
        <f t="shared" si="74"/>
        <v>1</v>
      </c>
    </row>
    <row r="4798" spans="12:14">
      <c r="L4798">
        <v>4176</v>
      </c>
      <c r="N4798" t="str">
        <f t="shared" si="74"/>
        <v/>
      </c>
    </row>
    <row r="4799" spans="12:14">
      <c r="L4799">
        <v>1955</v>
      </c>
      <c r="N4799" t="str">
        <f t="shared" si="74"/>
        <v/>
      </c>
    </row>
    <row r="4800" spans="12:14">
      <c r="L4800">
        <v>4463</v>
      </c>
      <c r="N4800" t="str">
        <f t="shared" si="74"/>
        <v/>
      </c>
    </row>
    <row r="4801" spans="12:14">
      <c r="L4801">
        <v>2530</v>
      </c>
      <c r="N4801" t="str">
        <f t="shared" si="74"/>
        <v/>
      </c>
    </row>
    <row r="4802" spans="12:14">
      <c r="L4802">
        <v>3650</v>
      </c>
      <c r="N4802" t="str">
        <f t="shared" si="74"/>
        <v/>
      </c>
    </row>
    <row r="4803" spans="12:14">
      <c r="L4803">
        <v>1105</v>
      </c>
      <c r="M4803" t="s">
        <v>25</v>
      </c>
      <c r="N4803">
        <f t="shared" ref="N4803:N4866" si="75">IFERROR(VLOOKUP(M4803,$A$3:$B$10,2,0),"")</f>
        <v>5</v>
      </c>
    </row>
    <row r="4804" spans="12:14">
      <c r="L4804">
        <v>1716</v>
      </c>
      <c r="M4804" t="s">
        <v>26</v>
      </c>
      <c r="N4804">
        <f t="shared" si="75"/>
        <v>1</v>
      </c>
    </row>
    <row r="4805" spans="12:14">
      <c r="L4805">
        <v>1728</v>
      </c>
      <c r="N4805" t="str">
        <f t="shared" si="75"/>
        <v/>
      </c>
    </row>
    <row r="4806" spans="12:14">
      <c r="L4806">
        <v>3403</v>
      </c>
      <c r="N4806" t="str">
        <f t="shared" si="75"/>
        <v/>
      </c>
    </row>
    <row r="4807" spans="12:14">
      <c r="L4807">
        <v>2790</v>
      </c>
      <c r="N4807" t="str">
        <f t="shared" si="75"/>
        <v/>
      </c>
    </row>
    <row r="4808" spans="12:14">
      <c r="L4808">
        <v>3503</v>
      </c>
      <c r="M4808" t="s">
        <v>31</v>
      </c>
      <c r="N4808">
        <f t="shared" si="75"/>
        <v>6</v>
      </c>
    </row>
    <row r="4809" spans="12:14">
      <c r="L4809">
        <v>3949</v>
      </c>
      <c r="N4809" t="str">
        <f t="shared" si="75"/>
        <v/>
      </c>
    </row>
    <row r="4810" spans="12:14">
      <c r="L4810">
        <v>2053</v>
      </c>
      <c r="N4810" t="str">
        <f t="shared" si="75"/>
        <v/>
      </c>
    </row>
    <row r="4811" spans="12:14">
      <c r="L4811">
        <v>1868</v>
      </c>
      <c r="M4811" t="s">
        <v>28</v>
      </c>
      <c r="N4811">
        <f t="shared" si="75"/>
        <v>3</v>
      </c>
    </row>
    <row r="4812" spans="12:14">
      <c r="L4812">
        <v>730</v>
      </c>
      <c r="N4812" t="str">
        <f t="shared" si="75"/>
        <v/>
      </c>
    </row>
    <row r="4813" spans="12:14">
      <c r="L4813">
        <v>2128</v>
      </c>
      <c r="N4813" t="str">
        <f t="shared" si="75"/>
        <v/>
      </c>
    </row>
    <row r="4814" spans="12:14">
      <c r="L4814">
        <v>2972</v>
      </c>
      <c r="M4814" t="s">
        <v>29</v>
      </c>
      <c r="N4814">
        <f t="shared" si="75"/>
        <v>4</v>
      </c>
    </row>
    <row r="4815" spans="12:14">
      <c r="L4815">
        <v>112</v>
      </c>
      <c r="N4815" t="str">
        <f t="shared" si="75"/>
        <v/>
      </c>
    </row>
    <row r="4816" spans="12:14">
      <c r="L4816">
        <v>1213</v>
      </c>
      <c r="M4816" t="s">
        <v>19</v>
      </c>
      <c r="N4816">
        <f t="shared" si="75"/>
        <v>2</v>
      </c>
    </row>
    <row r="4817" spans="12:14">
      <c r="L4817">
        <v>3729</v>
      </c>
      <c r="M4817" t="s">
        <v>31</v>
      </c>
      <c r="N4817">
        <f t="shared" si="75"/>
        <v>6</v>
      </c>
    </row>
    <row r="4818" spans="12:14">
      <c r="L4818">
        <v>4255</v>
      </c>
      <c r="N4818" t="str">
        <f t="shared" si="75"/>
        <v/>
      </c>
    </row>
    <row r="4819" spans="12:14">
      <c r="L4819">
        <v>731</v>
      </c>
      <c r="M4819" t="s">
        <v>26</v>
      </c>
      <c r="N4819">
        <f t="shared" si="75"/>
        <v>1</v>
      </c>
    </row>
    <row r="4820" spans="12:14">
      <c r="L4820">
        <v>3222</v>
      </c>
      <c r="M4820" t="s">
        <v>31</v>
      </c>
      <c r="N4820">
        <f t="shared" si="75"/>
        <v>6</v>
      </c>
    </row>
    <row r="4821" spans="12:14">
      <c r="L4821">
        <v>4369</v>
      </c>
      <c r="N4821" t="str">
        <f t="shared" si="75"/>
        <v/>
      </c>
    </row>
    <row r="4822" spans="12:14">
      <c r="L4822">
        <v>3217</v>
      </c>
      <c r="N4822" t="str">
        <f t="shared" si="75"/>
        <v/>
      </c>
    </row>
    <row r="4823" spans="12:14">
      <c r="L4823">
        <v>4281</v>
      </c>
      <c r="M4823" t="s">
        <v>30</v>
      </c>
      <c r="N4823">
        <f t="shared" si="75"/>
        <v>7</v>
      </c>
    </row>
    <row r="4824" spans="12:14">
      <c r="L4824">
        <v>3845</v>
      </c>
      <c r="M4824" t="s">
        <v>25</v>
      </c>
      <c r="N4824">
        <f t="shared" si="75"/>
        <v>5</v>
      </c>
    </row>
    <row r="4825" spans="12:14">
      <c r="L4825">
        <v>2814</v>
      </c>
      <c r="N4825" t="str">
        <f t="shared" si="75"/>
        <v/>
      </c>
    </row>
    <row r="4826" spans="12:14">
      <c r="L4826">
        <v>959</v>
      </c>
      <c r="M4826" t="s">
        <v>26</v>
      </c>
      <c r="N4826">
        <f t="shared" si="75"/>
        <v>1</v>
      </c>
    </row>
    <row r="4827" spans="12:14">
      <c r="L4827">
        <v>4797</v>
      </c>
      <c r="N4827" t="str">
        <f t="shared" si="75"/>
        <v/>
      </c>
    </row>
    <row r="4828" spans="12:14">
      <c r="L4828">
        <v>4000</v>
      </c>
      <c r="N4828" t="str">
        <f t="shared" si="75"/>
        <v/>
      </c>
    </row>
    <row r="4829" spans="12:14">
      <c r="L4829">
        <v>3225</v>
      </c>
      <c r="N4829" t="str">
        <f t="shared" si="75"/>
        <v/>
      </c>
    </row>
    <row r="4830" spans="12:14">
      <c r="L4830">
        <v>2069</v>
      </c>
      <c r="N4830" t="str">
        <f t="shared" si="75"/>
        <v/>
      </c>
    </row>
    <row r="4831" spans="12:14">
      <c r="L4831">
        <v>4906</v>
      </c>
      <c r="M4831" t="s">
        <v>28</v>
      </c>
      <c r="N4831">
        <f t="shared" si="75"/>
        <v>3</v>
      </c>
    </row>
    <row r="4832" spans="12:14">
      <c r="L4832">
        <v>3769</v>
      </c>
      <c r="M4832" t="s">
        <v>28</v>
      </c>
      <c r="N4832">
        <f t="shared" si="75"/>
        <v>3</v>
      </c>
    </row>
    <row r="4833" spans="12:14">
      <c r="L4833">
        <v>4481</v>
      </c>
      <c r="M4833" t="s">
        <v>25</v>
      </c>
      <c r="N4833">
        <f t="shared" si="75"/>
        <v>5</v>
      </c>
    </row>
    <row r="4834" spans="12:14">
      <c r="L4834">
        <v>203</v>
      </c>
      <c r="M4834" t="s">
        <v>26</v>
      </c>
      <c r="N4834">
        <f t="shared" si="75"/>
        <v>1</v>
      </c>
    </row>
    <row r="4835" spans="12:14">
      <c r="L4835">
        <v>2131</v>
      </c>
      <c r="N4835" t="str">
        <f t="shared" si="75"/>
        <v/>
      </c>
    </row>
    <row r="4836" spans="12:14">
      <c r="L4836">
        <v>4915</v>
      </c>
      <c r="N4836" t="str">
        <f t="shared" si="75"/>
        <v/>
      </c>
    </row>
    <row r="4837" spans="12:14">
      <c r="L4837">
        <v>506</v>
      </c>
      <c r="M4837" t="s">
        <v>26</v>
      </c>
      <c r="N4837">
        <f t="shared" si="75"/>
        <v>1</v>
      </c>
    </row>
    <row r="4838" spans="12:14">
      <c r="L4838">
        <v>354</v>
      </c>
      <c r="N4838" t="str">
        <f t="shared" si="75"/>
        <v/>
      </c>
    </row>
    <row r="4839" spans="12:14">
      <c r="L4839">
        <v>2808</v>
      </c>
      <c r="N4839" t="str">
        <f t="shared" si="75"/>
        <v/>
      </c>
    </row>
    <row r="4840" spans="12:14">
      <c r="L4840">
        <v>1381</v>
      </c>
      <c r="M4840" t="s">
        <v>29</v>
      </c>
      <c r="N4840">
        <f t="shared" si="75"/>
        <v>4</v>
      </c>
    </row>
    <row r="4841" spans="12:14">
      <c r="L4841">
        <v>2778</v>
      </c>
      <c r="N4841" t="str">
        <f t="shared" si="75"/>
        <v/>
      </c>
    </row>
    <row r="4842" spans="12:14">
      <c r="L4842">
        <v>4935</v>
      </c>
      <c r="N4842" t="str">
        <f t="shared" si="75"/>
        <v/>
      </c>
    </row>
    <row r="4843" spans="12:14">
      <c r="L4843">
        <v>579</v>
      </c>
      <c r="M4843" t="s">
        <v>19</v>
      </c>
      <c r="N4843">
        <f t="shared" si="75"/>
        <v>2</v>
      </c>
    </row>
    <row r="4844" spans="12:14">
      <c r="L4844">
        <v>1258</v>
      </c>
      <c r="M4844" t="s">
        <v>31</v>
      </c>
      <c r="N4844">
        <f t="shared" si="75"/>
        <v>6</v>
      </c>
    </row>
    <row r="4845" spans="12:14">
      <c r="L4845">
        <v>1010</v>
      </c>
      <c r="N4845" t="str">
        <f t="shared" si="75"/>
        <v/>
      </c>
    </row>
    <row r="4846" spans="12:14">
      <c r="L4846">
        <v>154</v>
      </c>
      <c r="M4846" t="s">
        <v>28</v>
      </c>
      <c r="N4846">
        <f t="shared" si="75"/>
        <v>3</v>
      </c>
    </row>
    <row r="4847" spans="12:14">
      <c r="L4847">
        <v>3578</v>
      </c>
      <c r="N4847" t="str">
        <f t="shared" si="75"/>
        <v/>
      </c>
    </row>
    <row r="4848" spans="12:14">
      <c r="L4848">
        <v>234</v>
      </c>
      <c r="N4848" t="str">
        <f t="shared" si="75"/>
        <v/>
      </c>
    </row>
    <row r="4849" spans="12:14">
      <c r="L4849">
        <v>96</v>
      </c>
      <c r="N4849" t="str">
        <f t="shared" si="75"/>
        <v/>
      </c>
    </row>
    <row r="4850" spans="12:14">
      <c r="L4850">
        <v>4416</v>
      </c>
      <c r="N4850" t="str">
        <f t="shared" si="75"/>
        <v/>
      </c>
    </row>
    <row r="4851" spans="12:14">
      <c r="L4851">
        <v>3580</v>
      </c>
      <c r="M4851" t="s">
        <v>30</v>
      </c>
      <c r="N4851">
        <f t="shared" si="75"/>
        <v>7</v>
      </c>
    </row>
    <row r="4852" spans="12:14">
      <c r="L4852">
        <v>4789</v>
      </c>
      <c r="N4852" t="str">
        <f t="shared" si="75"/>
        <v/>
      </c>
    </row>
    <row r="4853" spans="12:14">
      <c r="L4853">
        <v>1374</v>
      </c>
      <c r="N4853" t="str">
        <f t="shared" si="75"/>
        <v/>
      </c>
    </row>
    <row r="4854" spans="12:14">
      <c r="L4854">
        <v>2629</v>
      </c>
      <c r="N4854" t="str">
        <f t="shared" si="75"/>
        <v/>
      </c>
    </row>
    <row r="4855" spans="12:14">
      <c r="L4855">
        <v>2313</v>
      </c>
      <c r="N4855" t="str">
        <f t="shared" si="75"/>
        <v/>
      </c>
    </row>
    <row r="4856" spans="12:14">
      <c r="L4856">
        <v>2459</v>
      </c>
      <c r="M4856" t="s">
        <v>28</v>
      </c>
      <c r="N4856">
        <f t="shared" si="75"/>
        <v>3</v>
      </c>
    </row>
    <row r="4857" spans="12:14">
      <c r="L4857">
        <v>341</v>
      </c>
      <c r="N4857" t="str">
        <f t="shared" si="75"/>
        <v/>
      </c>
    </row>
    <row r="4858" spans="12:14">
      <c r="L4858">
        <v>3166</v>
      </c>
      <c r="N4858" t="str">
        <f t="shared" si="75"/>
        <v/>
      </c>
    </row>
    <row r="4859" spans="12:14">
      <c r="L4859">
        <v>3995</v>
      </c>
      <c r="N4859" t="str">
        <f t="shared" si="75"/>
        <v/>
      </c>
    </row>
    <row r="4860" spans="12:14">
      <c r="L4860">
        <v>2689</v>
      </c>
      <c r="M4860" t="s">
        <v>25</v>
      </c>
      <c r="N4860">
        <f t="shared" si="75"/>
        <v>5</v>
      </c>
    </row>
    <row r="4861" spans="12:14">
      <c r="L4861">
        <v>2149</v>
      </c>
      <c r="M4861" t="s">
        <v>30</v>
      </c>
      <c r="N4861">
        <f t="shared" si="75"/>
        <v>7</v>
      </c>
    </row>
    <row r="4862" spans="12:14">
      <c r="L4862">
        <v>2496</v>
      </c>
      <c r="N4862" t="str">
        <f t="shared" si="75"/>
        <v/>
      </c>
    </row>
    <row r="4863" spans="12:14">
      <c r="L4863">
        <v>583</v>
      </c>
      <c r="M4863" t="s">
        <v>29</v>
      </c>
      <c r="N4863">
        <f t="shared" si="75"/>
        <v>4</v>
      </c>
    </row>
    <row r="4864" spans="12:14">
      <c r="L4864">
        <v>3765</v>
      </c>
      <c r="N4864" t="str">
        <f t="shared" si="75"/>
        <v/>
      </c>
    </row>
    <row r="4865" spans="12:14">
      <c r="L4865">
        <v>456</v>
      </c>
      <c r="M4865" t="s">
        <v>28</v>
      </c>
      <c r="N4865">
        <f t="shared" si="75"/>
        <v>3</v>
      </c>
    </row>
    <row r="4866" spans="12:14">
      <c r="L4866">
        <v>424</v>
      </c>
      <c r="N4866" t="str">
        <f t="shared" si="75"/>
        <v/>
      </c>
    </row>
    <row r="4867" spans="12:14">
      <c r="L4867">
        <v>3595</v>
      </c>
      <c r="M4867" t="s">
        <v>26</v>
      </c>
      <c r="N4867">
        <f t="shared" ref="N4867:N4930" si="76">IFERROR(VLOOKUP(M4867,$A$3:$B$10,2,0),"")</f>
        <v>1</v>
      </c>
    </row>
    <row r="4868" spans="12:14">
      <c r="L4868">
        <v>4638</v>
      </c>
      <c r="M4868" t="s">
        <v>25</v>
      </c>
      <c r="N4868">
        <f t="shared" si="76"/>
        <v>5</v>
      </c>
    </row>
    <row r="4869" spans="12:14">
      <c r="L4869">
        <v>2813</v>
      </c>
      <c r="N4869" t="str">
        <f t="shared" si="76"/>
        <v/>
      </c>
    </row>
    <row r="4870" spans="12:14">
      <c r="L4870">
        <v>4366</v>
      </c>
      <c r="N4870" t="str">
        <f t="shared" si="76"/>
        <v/>
      </c>
    </row>
    <row r="4871" spans="12:14">
      <c r="L4871">
        <v>2636</v>
      </c>
      <c r="N4871" t="str">
        <f t="shared" si="76"/>
        <v/>
      </c>
    </row>
    <row r="4872" spans="12:14">
      <c r="L4872">
        <v>2190</v>
      </c>
      <c r="N4872" t="str">
        <f t="shared" si="76"/>
        <v/>
      </c>
    </row>
    <row r="4873" spans="12:14">
      <c r="L4873">
        <v>1633</v>
      </c>
      <c r="N4873" t="str">
        <f t="shared" si="76"/>
        <v/>
      </c>
    </row>
    <row r="4874" spans="12:14">
      <c r="L4874">
        <v>2832</v>
      </c>
      <c r="M4874" t="s">
        <v>19</v>
      </c>
      <c r="N4874">
        <f t="shared" si="76"/>
        <v>2</v>
      </c>
    </row>
    <row r="4875" spans="12:14">
      <c r="L4875">
        <v>4983</v>
      </c>
      <c r="N4875" t="str">
        <f t="shared" si="76"/>
        <v/>
      </c>
    </row>
    <row r="4876" spans="12:14">
      <c r="L4876">
        <v>3947</v>
      </c>
      <c r="N4876" t="str">
        <f t="shared" si="76"/>
        <v/>
      </c>
    </row>
    <row r="4877" spans="12:14">
      <c r="L4877">
        <v>3600</v>
      </c>
      <c r="M4877" t="s">
        <v>19</v>
      </c>
      <c r="N4877">
        <f t="shared" si="76"/>
        <v>2</v>
      </c>
    </row>
    <row r="4878" spans="12:14">
      <c r="L4878">
        <v>3374</v>
      </c>
      <c r="N4878" t="str">
        <f t="shared" si="76"/>
        <v/>
      </c>
    </row>
    <row r="4879" spans="12:14">
      <c r="L4879">
        <v>1807</v>
      </c>
      <c r="M4879" t="s">
        <v>31</v>
      </c>
      <c r="N4879">
        <f t="shared" si="76"/>
        <v>6</v>
      </c>
    </row>
    <row r="4880" spans="12:14">
      <c r="L4880">
        <v>1405</v>
      </c>
      <c r="N4880" t="str">
        <f t="shared" si="76"/>
        <v/>
      </c>
    </row>
    <row r="4881" spans="12:14">
      <c r="L4881">
        <v>842</v>
      </c>
      <c r="M4881" t="s">
        <v>25</v>
      </c>
      <c r="N4881">
        <f t="shared" si="76"/>
        <v>5</v>
      </c>
    </row>
    <row r="4882" spans="12:14">
      <c r="L4882">
        <v>3148</v>
      </c>
      <c r="M4882" t="s">
        <v>31</v>
      </c>
      <c r="N4882">
        <f t="shared" si="76"/>
        <v>6</v>
      </c>
    </row>
    <row r="4883" spans="12:14">
      <c r="L4883">
        <v>4133</v>
      </c>
      <c r="N4883" t="str">
        <f t="shared" si="76"/>
        <v/>
      </c>
    </row>
    <row r="4884" spans="12:14">
      <c r="L4884">
        <v>3747</v>
      </c>
      <c r="N4884" t="str">
        <f t="shared" si="76"/>
        <v/>
      </c>
    </row>
    <row r="4885" spans="12:14">
      <c r="L4885">
        <v>3316</v>
      </c>
      <c r="M4885" t="s">
        <v>26</v>
      </c>
      <c r="N4885">
        <f t="shared" si="76"/>
        <v>1</v>
      </c>
    </row>
    <row r="4886" spans="12:14">
      <c r="L4886">
        <v>4703</v>
      </c>
      <c r="N4886" t="str">
        <f t="shared" si="76"/>
        <v/>
      </c>
    </row>
    <row r="4887" spans="12:14">
      <c r="L4887">
        <v>3177</v>
      </c>
      <c r="M4887" t="s">
        <v>31</v>
      </c>
      <c r="N4887">
        <f t="shared" si="76"/>
        <v>6</v>
      </c>
    </row>
    <row r="4888" spans="12:14">
      <c r="L4888">
        <v>46</v>
      </c>
      <c r="N4888" t="str">
        <f t="shared" si="76"/>
        <v/>
      </c>
    </row>
    <row r="4889" spans="12:14">
      <c r="L4889">
        <v>208</v>
      </c>
      <c r="N4889" t="str">
        <f t="shared" si="76"/>
        <v/>
      </c>
    </row>
    <row r="4890" spans="12:14">
      <c r="L4890">
        <v>733</v>
      </c>
      <c r="M4890" t="s">
        <v>25</v>
      </c>
      <c r="N4890">
        <f t="shared" si="76"/>
        <v>5</v>
      </c>
    </row>
    <row r="4891" spans="12:14">
      <c r="L4891">
        <v>971</v>
      </c>
      <c r="M4891" t="s">
        <v>25</v>
      </c>
      <c r="N4891">
        <f t="shared" si="76"/>
        <v>5</v>
      </c>
    </row>
    <row r="4892" spans="12:14">
      <c r="L4892">
        <v>3855</v>
      </c>
      <c r="N4892" t="str">
        <f t="shared" si="76"/>
        <v/>
      </c>
    </row>
    <row r="4893" spans="12:14">
      <c r="L4893">
        <v>952</v>
      </c>
      <c r="N4893" t="str">
        <f t="shared" si="76"/>
        <v/>
      </c>
    </row>
    <row r="4894" spans="12:14">
      <c r="L4894">
        <v>4557</v>
      </c>
      <c r="M4894" t="s">
        <v>29</v>
      </c>
      <c r="N4894">
        <f t="shared" si="76"/>
        <v>4</v>
      </c>
    </row>
    <row r="4895" spans="12:14">
      <c r="L4895">
        <v>2020</v>
      </c>
      <c r="M4895" t="s">
        <v>19</v>
      </c>
      <c r="N4895">
        <f t="shared" si="76"/>
        <v>2</v>
      </c>
    </row>
    <row r="4896" spans="12:14">
      <c r="L4896">
        <v>2916</v>
      </c>
      <c r="N4896" t="str">
        <f t="shared" si="76"/>
        <v/>
      </c>
    </row>
    <row r="4897" spans="12:14">
      <c r="L4897">
        <v>1618</v>
      </c>
      <c r="N4897" t="str">
        <f t="shared" si="76"/>
        <v/>
      </c>
    </row>
    <row r="4898" spans="12:14">
      <c r="L4898">
        <v>4139</v>
      </c>
      <c r="M4898" t="s">
        <v>19</v>
      </c>
      <c r="N4898">
        <f t="shared" si="76"/>
        <v>2</v>
      </c>
    </row>
    <row r="4899" spans="12:14">
      <c r="L4899">
        <v>3737</v>
      </c>
      <c r="M4899" t="s">
        <v>26</v>
      </c>
      <c r="N4899">
        <f t="shared" si="76"/>
        <v>1</v>
      </c>
    </row>
    <row r="4900" spans="12:14">
      <c r="L4900">
        <v>4106</v>
      </c>
      <c r="N4900" t="str">
        <f t="shared" si="76"/>
        <v/>
      </c>
    </row>
    <row r="4901" spans="12:14">
      <c r="L4901">
        <v>3981</v>
      </c>
      <c r="N4901" t="str">
        <f t="shared" si="76"/>
        <v/>
      </c>
    </row>
    <row r="4902" spans="12:14">
      <c r="L4902">
        <v>1396</v>
      </c>
      <c r="N4902" t="str">
        <f t="shared" si="76"/>
        <v/>
      </c>
    </row>
    <row r="4903" spans="12:14">
      <c r="L4903">
        <v>2150</v>
      </c>
      <c r="M4903" t="s">
        <v>30</v>
      </c>
      <c r="N4903">
        <f t="shared" si="76"/>
        <v>7</v>
      </c>
    </row>
    <row r="4904" spans="12:14">
      <c r="L4904">
        <v>1030</v>
      </c>
      <c r="N4904" t="str">
        <f t="shared" si="76"/>
        <v/>
      </c>
    </row>
    <row r="4905" spans="12:14">
      <c r="L4905">
        <v>3006</v>
      </c>
      <c r="N4905" t="str">
        <f t="shared" si="76"/>
        <v/>
      </c>
    </row>
    <row r="4906" spans="12:14">
      <c r="L4906">
        <v>2254</v>
      </c>
      <c r="N4906" t="str">
        <f t="shared" si="76"/>
        <v/>
      </c>
    </row>
    <row r="4907" spans="12:14">
      <c r="L4907">
        <v>2532</v>
      </c>
      <c r="N4907" t="str">
        <f t="shared" si="76"/>
        <v/>
      </c>
    </row>
    <row r="4908" spans="12:14">
      <c r="L4908">
        <v>4665</v>
      </c>
      <c r="N4908" t="str">
        <f t="shared" si="76"/>
        <v/>
      </c>
    </row>
    <row r="4909" spans="12:14">
      <c r="L4909">
        <v>13</v>
      </c>
      <c r="M4909" t="s">
        <v>19</v>
      </c>
      <c r="N4909">
        <f t="shared" si="76"/>
        <v>2</v>
      </c>
    </row>
    <row r="4910" spans="12:14">
      <c r="L4910">
        <v>3189</v>
      </c>
      <c r="N4910" t="str">
        <f t="shared" si="76"/>
        <v/>
      </c>
    </row>
    <row r="4911" spans="12:14">
      <c r="L4911">
        <v>2217</v>
      </c>
      <c r="N4911" t="str">
        <f t="shared" si="76"/>
        <v/>
      </c>
    </row>
    <row r="4912" spans="12:14">
      <c r="L4912">
        <v>4305</v>
      </c>
      <c r="N4912" t="str">
        <f t="shared" si="76"/>
        <v/>
      </c>
    </row>
    <row r="4913" spans="12:14">
      <c r="L4913">
        <v>2248</v>
      </c>
      <c r="N4913" t="str">
        <f t="shared" si="76"/>
        <v/>
      </c>
    </row>
    <row r="4914" spans="12:14">
      <c r="L4914">
        <v>4144</v>
      </c>
      <c r="N4914" t="str">
        <f t="shared" si="76"/>
        <v/>
      </c>
    </row>
    <row r="4915" spans="12:14">
      <c r="L4915">
        <v>4442</v>
      </c>
      <c r="N4915" t="str">
        <f t="shared" si="76"/>
        <v/>
      </c>
    </row>
    <row r="4916" spans="12:14">
      <c r="L4916">
        <v>944</v>
      </c>
      <c r="M4916" t="s">
        <v>19</v>
      </c>
      <c r="N4916">
        <f t="shared" si="76"/>
        <v>2</v>
      </c>
    </row>
    <row r="4917" spans="12:14">
      <c r="L4917">
        <v>3760</v>
      </c>
      <c r="N4917" t="str">
        <f t="shared" si="76"/>
        <v/>
      </c>
    </row>
    <row r="4918" spans="12:14">
      <c r="L4918">
        <v>893</v>
      </c>
      <c r="N4918" t="str">
        <f t="shared" si="76"/>
        <v/>
      </c>
    </row>
    <row r="4919" spans="12:14">
      <c r="L4919">
        <v>717</v>
      </c>
      <c r="N4919" t="str">
        <f t="shared" si="76"/>
        <v/>
      </c>
    </row>
    <row r="4920" spans="12:14">
      <c r="L4920">
        <v>4664</v>
      </c>
      <c r="M4920" t="s">
        <v>25</v>
      </c>
      <c r="N4920">
        <f t="shared" si="76"/>
        <v>5</v>
      </c>
    </row>
    <row r="4921" spans="12:14">
      <c r="L4921">
        <v>63</v>
      </c>
      <c r="M4921" t="s">
        <v>26</v>
      </c>
      <c r="N4921">
        <f t="shared" si="76"/>
        <v>1</v>
      </c>
    </row>
    <row r="4922" spans="12:14">
      <c r="L4922">
        <v>3898</v>
      </c>
      <c r="M4922" t="s">
        <v>25</v>
      </c>
      <c r="N4922">
        <f t="shared" si="76"/>
        <v>5</v>
      </c>
    </row>
    <row r="4923" spans="12:14">
      <c r="L4923">
        <v>1167</v>
      </c>
      <c r="N4923" t="str">
        <f t="shared" si="76"/>
        <v/>
      </c>
    </row>
    <row r="4924" spans="12:14">
      <c r="L4924">
        <v>1972</v>
      </c>
      <c r="N4924" t="str">
        <f t="shared" si="76"/>
        <v/>
      </c>
    </row>
    <row r="4925" spans="12:14">
      <c r="L4925">
        <v>4309</v>
      </c>
      <c r="N4925" t="str">
        <f t="shared" si="76"/>
        <v/>
      </c>
    </row>
    <row r="4926" spans="12:14">
      <c r="L4926">
        <v>4453</v>
      </c>
      <c r="N4926" t="str">
        <f t="shared" si="76"/>
        <v/>
      </c>
    </row>
    <row r="4927" spans="12:14">
      <c r="L4927">
        <v>4399</v>
      </c>
      <c r="N4927" t="str">
        <f t="shared" si="76"/>
        <v/>
      </c>
    </row>
    <row r="4928" spans="12:14">
      <c r="L4928">
        <v>935</v>
      </c>
      <c r="N4928" t="str">
        <f t="shared" si="76"/>
        <v/>
      </c>
    </row>
    <row r="4929" spans="12:14">
      <c r="L4929">
        <v>601</v>
      </c>
      <c r="M4929" t="s">
        <v>19</v>
      </c>
      <c r="N4929">
        <f t="shared" si="76"/>
        <v>2</v>
      </c>
    </row>
    <row r="4930" spans="12:14">
      <c r="L4930">
        <v>3525</v>
      </c>
      <c r="N4930" t="str">
        <f t="shared" si="76"/>
        <v/>
      </c>
    </row>
    <row r="4931" spans="12:14">
      <c r="L4931">
        <v>1088</v>
      </c>
      <c r="M4931" t="s">
        <v>30</v>
      </c>
      <c r="N4931">
        <f t="shared" ref="N4931:N4994" si="77">IFERROR(VLOOKUP(M4931,$A$3:$B$10,2,0),"")</f>
        <v>7</v>
      </c>
    </row>
    <row r="4932" spans="12:14">
      <c r="L4932">
        <v>3246</v>
      </c>
      <c r="N4932" t="str">
        <f t="shared" si="77"/>
        <v/>
      </c>
    </row>
    <row r="4933" spans="12:14">
      <c r="L4933">
        <v>2392</v>
      </c>
      <c r="M4933" t="s">
        <v>28</v>
      </c>
      <c r="N4933">
        <f t="shared" si="77"/>
        <v>3</v>
      </c>
    </row>
    <row r="4934" spans="12:14">
      <c r="L4934">
        <v>4811</v>
      </c>
      <c r="N4934" t="str">
        <f t="shared" si="77"/>
        <v/>
      </c>
    </row>
    <row r="4935" spans="12:14">
      <c r="L4935">
        <v>1402</v>
      </c>
      <c r="N4935" t="str">
        <f t="shared" si="77"/>
        <v/>
      </c>
    </row>
    <row r="4936" spans="12:14">
      <c r="L4936">
        <v>4730</v>
      </c>
      <c r="N4936" t="str">
        <f t="shared" si="77"/>
        <v/>
      </c>
    </row>
    <row r="4937" spans="12:14">
      <c r="L4937">
        <v>1572</v>
      </c>
      <c r="N4937" t="str">
        <f t="shared" si="77"/>
        <v/>
      </c>
    </row>
    <row r="4938" spans="12:14">
      <c r="L4938">
        <v>4828</v>
      </c>
      <c r="M4938" t="s">
        <v>19</v>
      </c>
      <c r="N4938">
        <f t="shared" si="77"/>
        <v>2</v>
      </c>
    </row>
    <row r="4939" spans="12:14">
      <c r="L4939">
        <v>3654</v>
      </c>
      <c r="N4939" t="str">
        <f t="shared" si="77"/>
        <v/>
      </c>
    </row>
    <row r="4940" spans="12:14">
      <c r="L4940">
        <v>255</v>
      </c>
      <c r="M4940" t="s">
        <v>29</v>
      </c>
      <c r="N4940">
        <f t="shared" si="77"/>
        <v>4</v>
      </c>
    </row>
    <row r="4941" spans="12:14">
      <c r="L4941">
        <v>1393</v>
      </c>
      <c r="N4941" t="str">
        <f t="shared" si="77"/>
        <v/>
      </c>
    </row>
    <row r="4942" spans="12:14">
      <c r="L4942">
        <v>683</v>
      </c>
      <c r="M4942" t="s">
        <v>30</v>
      </c>
      <c r="N4942">
        <f t="shared" si="77"/>
        <v>7</v>
      </c>
    </row>
    <row r="4943" spans="12:14">
      <c r="L4943">
        <v>2936</v>
      </c>
      <c r="N4943" t="str">
        <f t="shared" si="77"/>
        <v/>
      </c>
    </row>
    <row r="4944" spans="12:14">
      <c r="L4944">
        <v>3877</v>
      </c>
      <c r="N4944" t="str">
        <f t="shared" si="77"/>
        <v/>
      </c>
    </row>
    <row r="4945" spans="12:14">
      <c r="L4945">
        <v>1401</v>
      </c>
      <c r="M4945" t="s">
        <v>30</v>
      </c>
      <c r="N4945">
        <f t="shared" si="77"/>
        <v>7</v>
      </c>
    </row>
    <row r="4946" spans="12:14">
      <c r="L4946">
        <v>4656</v>
      </c>
      <c r="N4946" t="str">
        <f t="shared" si="77"/>
        <v/>
      </c>
    </row>
    <row r="4947" spans="12:14">
      <c r="L4947">
        <v>1297</v>
      </c>
      <c r="M4947" t="s">
        <v>31</v>
      </c>
      <c r="N4947">
        <f t="shared" si="77"/>
        <v>6</v>
      </c>
    </row>
    <row r="4948" spans="12:14">
      <c r="L4948">
        <v>3470</v>
      </c>
      <c r="N4948" t="str">
        <f t="shared" si="77"/>
        <v/>
      </c>
    </row>
    <row r="4949" spans="12:14">
      <c r="L4949">
        <v>2634</v>
      </c>
      <c r="M4949" t="s">
        <v>26</v>
      </c>
      <c r="N4949">
        <f t="shared" si="77"/>
        <v>1</v>
      </c>
    </row>
    <row r="4950" spans="12:14">
      <c r="L4950">
        <v>3939</v>
      </c>
      <c r="M4950" t="s">
        <v>30</v>
      </c>
      <c r="N4950">
        <f t="shared" si="77"/>
        <v>7</v>
      </c>
    </row>
    <row r="4951" spans="12:14">
      <c r="L4951">
        <v>3333</v>
      </c>
      <c r="M4951" t="s">
        <v>29</v>
      </c>
      <c r="N4951">
        <f t="shared" si="77"/>
        <v>4</v>
      </c>
    </row>
    <row r="4952" spans="12:14">
      <c r="L4952">
        <v>3456</v>
      </c>
      <c r="M4952" t="s">
        <v>28</v>
      </c>
      <c r="N4952">
        <f t="shared" si="77"/>
        <v>3</v>
      </c>
    </row>
    <row r="4953" spans="12:14">
      <c r="L4953">
        <v>4541</v>
      </c>
      <c r="N4953" t="str">
        <f t="shared" si="77"/>
        <v/>
      </c>
    </row>
    <row r="4954" spans="12:14">
      <c r="L4954">
        <v>4650</v>
      </c>
      <c r="N4954" t="str">
        <f t="shared" si="77"/>
        <v/>
      </c>
    </row>
    <row r="4955" spans="12:14">
      <c r="L4955">
        <v>32</v>
      </c>
      <c r="N4955" t="str">
        <f t="shared" si="77"/>
        <v/>
      </c>
    </row>
    <row r="4956" spans="12:14">
      <c r="L4956">
        <v>2970</v>
      </c>
      <c r="N4956" t="str">
        <f t="shared" si="77"/>
        <v/>
      </c>
    </row>
    <row r="4957" spans="12:14">
      <c r="L4957">
        <v>986</v>
      </c>
      <c r="N4957" t="str">
        <f t="shared" si="77"/>
        <v/>
      </c>
    </row>
    <row r="4958" spans="12:14">
      <c r="L4958">
        <v>2086</v>
      </c>
      <c r="N4958" t="str">
        <f t="shared" si="77"/>
        <v/>
      </c>
    </row>
    <row r="4959" spans="12:14">
      <c r="L4959">
        <v>650</v>
      </c>
      <c r="M4959" t="s">
        <v>29</v>
      </c>
      <c r="N4959">
        <f t="shared" si="77"/>
        <v>4</v>
      </c>
    </row>
    <row r="4960" spans="12:14">
      <c r="L4960">
        <v>1664</v>
      </c>
      <c r="N4960" t="str">
        <f t="shared" si="77"/>
        <v/>
      </c>
    </row>
    <row r="4961" spans="12:14">
      <c r="L4961">
        <v>1138</v>
      </c>
      <c r="N4961" t="str">
        <f t="shared" si="77"/>
        <v/>
      </c>
    </row>
    <row r="4962" spans="12:14">
      <c r="L4962">
        <v>1584</v>
      </c>
      <c r="N4962" t="str">
        <f t="shared" si="77"/>
        <v/>
      </c>
    </row>
    <row r="4963" spans="12:14">
      <c r="L4963">
        <v>1330</v>
      </c>
      <c r="M4963" t="s">
        <v>31</v>
      </c>
      <c r="N4963">
        <f t="shared" si="77"/>
        <v>6</v>
      </c>
    </row>
    <row r="4964" spans="12:14">
      <c r="L4964">
        <v>143</v>
      </c>
      <c r="N4964" t="str">
        <f t="shared" si="77"/>
        <v/>
      </c>
    </row>
    <row r="4965" spans="12:14">
      <c r="L4965">
        <v>2877</v>
      </c>
      <c r="N4965" t="str">
        <f t="shared" si="77"/>
        <v/>
      </c>
    </row>
    <row r="4966" spans="12:14">
      <c r="L4966">
        <v>4193</v>
      </c>
      <c r="N4966" t="str">
        <f t="shared" si="77"/>
        <v/>
      </c>
    </row>
    <row r="4967" spans="12:14">
      <c r="L4967">
        <v>4218</v>
      </c>
      <c r="M4967" t="s">
        <v>25</v>
      </c>
      <c r="N4967">
        <f t="shared" si="77"/>
        <v>5</v>
      </c>
    </row>
    <row r="4968" spans="12:14">
      <c r="L4968">
        <v>1132</v>
      </c>
      <c r="N4968" t="str">
        <f t="shared" si="77"/>
        <v/>
      </c>
    </row>
    <row r="4969" spans="12:14">
      <c r="L4969">
        <v>835</v>
      </c>
      <c r="M4969" t="s">
        <v>29</v>
      </c>
      <c r="N4969">
        <f t="shared" si="77"/>
        <v>4</v>
      </c>
    </row>
    <row r="4970" spans="12:14">
      <c r="L4970">
        <v>979</v>
      </c>
      <c r="N4970" t="str">
        <f t="shared" si="77"/>
        <v/>
      </c>
    </row>
    <row r="4971" spans="12:14">
      <c r="L4971">
        <v>1451</v>
      </c>
      <c r="N4971" t="str">
        <f t="shared" si="77"/>
        <v/>
      </c>
    </row>
    <row r="4972" spans="12:14">
      <c r="L4972">
        <v>42</v>
      </c>
      <c r="N4972" t="str">
        <f t="shared" si="77"/>
        <v/>
      </c>
    </row>
    <row r="4973" spans="12:14">
      <c r="L4973">
        <v>2598</v>
      </c>
      <c r="M4973" t="s">
        <v>31</v>
      </c>
      <c r="N4973">
        <f t="shared" si="77"/>
        <v>6</v>
      </c>
    </row>
    <row r="4974" spans="12:14">
      <c r="L4974">
        <v>4505</v>
      </c>
      <c r="N4974" t="str">
        <f t="shared" si="77"/>
        <v/>
      </c>
    </row>
    <row r="4975" spans="12:14">
      <c r="L4975">
        <v>1280</v>
      </c>
      <c r="N4975" t="str">
        <f t="shared" si="77"/>
        <v/>
      </c>
    </row>
    <row r="4976" spans="12:14">
      <c r="L4976">
        <v>2817</v>
      </c>
      <c r="N4976" t="str">
        <f t="shared" si="77"/>
        <v/>
      </c>
    </row>
    <row r="4977" spans="12:14">
      <c r="L4977">
        <v>1939</v>
      </c>
      <c r="N4977" t="str">
        <f t="shared" si="77"/>
        <v/>
      </c>
    </row>
    <row r="4978" spans="12:14">
      <c r="L4978">
        <v>1988</v>
      </c>
      <c r="M4978" t="s">
        <v>26</v>
      </c>
      <c r="N4978">
        <f t="shared" si="77"/>
        <v>1</v>
      </c>
    </row>
    <row r="4979" spans="12:14">
      <c r="L4979">
        <v>2682</v>
      </c>
      <c r="N4979" t="str">
        <f t="shared" si="77"/>
        <v/>
      </c>
    </row>
    <row r="4980" spans="12:14">
      <c r="L4980">
        <v>932</v>
      </c>
      <c r="M4980" t="s">
        <v>28</v>
      </c>
      <c r="N4980">
        <f t="shared" si="77"/>
        <v>3</v>
      </c>
    </row>
    <row r="4981" spans="12:14">
      <c r="L4981">
        <v>2176</v>
      </c>
      <c r="M4981" t="s">
        <v>19</v>
      </c>
      <c r="N4981">
        <f t="shared" si="77"/>
        <v>2</v>
      </c>
    </row>
    <row r="4982" spans="12:14">
      <c r="L4982">
        <v>4657</v>
      </c>
      <c r="N4982" t="str">
        <f t="shared" si="77"/>
        <v/>
      </c>
    </row>
    <row r="4983" spans="12:14">
      <c r="L4983">
        <v>166</v>
      </c>
      <c r="N4983" t="str">
        <f t="shared" si="77"/>
        <v/>
      </c>
    </row>
    <row r="4984" spans="12:14">
      <c r="L4984">
        <v>2890</v>
      </c>
      <c r="N4984" t="str">
        <f t="shared" si="77"/>
        <v/>
      </c>
    </row>
    <row r="4985" spans="12:14">
      <c r="L4985">
        <v>1448</v>
      </c>
      <c r="N4985" t="str">
        <f t="shared" si="77"/>
        <v/>
      </c>
    </row>
    <row r="4986" spans="12:14">
      <c r="L4986">
        <v>1152</v>
      </c>
      <c r="M4986" t="s">
        <v>29</v>
      </c>
      <c r="N4986">
        <f t="shared" si="77"/>
        <v>4</v>
      </c>
    </row>
    <row r="4987" spans="12:14">
      <c r="L4987">
        <v>3475</v>
      </c>
      <c r="N4987" t="str">
        <f t="shared" si="77"/>
        <v/>
      </c>
    </row>
    <row r="4988" spans="12:14">
      <c r="L4988">
        <v>3952</v>
      </c>
      <c r="M4988" t="s">
        <v>30</v>
      </c>
      <c r="N4988">
        <f t="shared" si="77"/>
        <v>7</v>
      </c>
    </row>
    <row r="4989" spans="12:14">
      <c r="L4989">
        <v>2444</v>
      </c>
      <c r="M4989" t="s">
        <v>30</v>
      </c>
      <c r="N4989">
        <f t="shared" si="77"/>
        <v>7</v>
      </c>
    </row>
    <row r="4990" spans="12:14">
      <c r="L4990">
        <v>3722</v>
      </c>
      <c r="N4990" t="str">
        <f t="shared" si="77"/>
        <v/>
      </c>
    </row>
    <row r="4991" spans="12:14">
      <c r="L4991">
        <v>3206</v>
      </c>
      <c r="N4991" t="str">
        <f t="shared" si="77"/>
        <v/>
      </c>
    </row>
    <row r="4992" spans="12:14">
      <c r="L4992">
        <v>3275</v>
      </c>
      <c r="M4992" t="s">
        <v>26</v>
      </c>
      <c r="N4992">
        <f t="shared" si="77"/>
        <v>1</v>
      </c>
    </row>
    <row r="4993" spans="12:14">
      <c r="L4993">
        <v>3425</v>
      </c>
      <c r="N4993" t="str">
        <f t="shared" si="77"/>
        <v/>
      </c>
    </row>
    <row r="4994" spans="12:14">
      <c r="L4994">
        <v>3469</v>
      </c>
      <c r="N4994" t="str">
        <f t="shared" si="77"/>
        <v/>
      </c>
    </row>
    <row r="4995" spans="12:14">
      <c r="L4995">
        <v>315</v>
      </c>
      <c r="N4995" t="str">
        <f t="shared" ref="N4995:N5001" si="78">IFERROR(VLOOKUP(M4995,$A$3:$B$10,2,0),"")</f>
        <v/>
      </c>
    </row>
    <row r="4996" spans="12:14">
      <c r="L4996">
        <v>3130</v>
      </c>
      <c r="N4996" t="str">
        <f t="shared" si="78"/>
        <v/>
      </c>
    </row>
    <row r="4997" spans="12:14">
      <c r="L4997">
        <v>4668</v>
      </c>
      <c r="N4997" t="str">
        <f t="shared" si="78"/>
        <v/>
      </c>
    </row>
    <row r="4998" spans="12:14">
      <c r="L4998">
        <v>2536</v>
      </c>
      <c r="N4998" t="str">
        <f t="shared" si="78"/>
        <v/>
      </c>
    </row>
    <row r="4999" spans="12:14">
      <c r="L4999">
        <v>3582</v>
      </c>
      <c r="N4999" t="str">
        <f t="shared" si="78"/>
        <v/>
      </c>
    </row>
    <row r="5000" spans="12:14">
      <c r="L5000">
        <v>3860</v>
      </c>
      <c r="M5000" t="s">
        <v>29</v>
      </c>
      <c r="N5000">
        <f t="shared" si="78"/>
        <v>4</v>
      </c>
    </row>
    <row r="5001" spans="12:14">
      <c r="L5001">
        <v>525</v>
      </c>
      <c r="N5001" t="str">
        <f t="shared" si="78"/>
        <v/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F7" sqref="F7"/>
    </sheetView>
  </sheetViews>
  <sheetFormatPr defaultRowHeight="14.4"/>
  <cols>
    <col min="1" max="1" width="15.5546875" customWidth="1"/>
    <col min="4" max="4" width="13" customWidth="1"/>
    <col min="5" max="6" width="10.88671875" customWidth="1"/>
    <col min="7" max="7" width="12.6640625" customWidth="1"/>
    <col min="8" max="8" width="10.88671875" customWidth="1"/>
    <col min="9" max="9" width="12.44140625" customWidth="1"/>
    <col min="10" max="10" width="14.109375" customWidth="1"/>
  </cols>
  <sheetData>
    <row r="1" spans="1:10">
      <c r="B1" t="s">
        <v>87</v>
      </c>
      <c r="C1" t="s">
        <v>99</v>
      </c>
      <c r="D1" t="s">
        <v>89</v>
      </c>
      <c r="E1" t="s">
        <v>90</v>
      </c>
      <c r="F1" t="s">
        <v>91</v>
      </c>
      <c r="G1" t="s">
        <v>92</v>
      </c>
      <c r="H1" t="s">
        <v>94</v>
      </c>
      <c r="I1" t="s">
        <v>93</v>
      </c>
      <c r="J1" t="s">
        <v>95</v>
      </c>
    </row>
    <row r="2" spans="1:10">
      <c r="A2" t="s">
        <v>23</v>
      </c>
      <c r="C2" t="s">
        <v>23</v>
      </c>
      <c r="D2">
        <v>737</v>
      </c>
      <c r="E2">
        <v>269</v>
      </c>
      <c r="F2" s="23">
        <f>E2/D2</f>
        <v>0.3649932157394844</v>
      </c>
      <c r="G2" s="22">
        <v>97.666399999999996</v>
      </c>
      <c r="H2" s="22">
        <v>26272.250000000011</v>
      </c>
      <c r="I2" s="22">
        <v>35.647557666214361</v>
      </c>
    </row>
    <row r="3" spans="1:10">
      <c r="A3" t="s">
        <v>16</v>
      </c>
      <c r="C3" t="s">
        <v>16</v>
      </c>
      <c r="D3">
        <v>2199</v>
      </c>
      <c r="E3">
        <v>801</v>
      </c>
      <c r="F3" s="23">
        <f t="shared" ref="F3:F5" si="0">E3/D3</f>
        <v>0.36425648021828105</v>
      </c>
      <c r="G3" s="22">
        <v>93.250799999999998</v>
      </c>
      <c r="H3" s="22">
        <v>74693.909999999858</v>
      </c>
      <c r="I3" s="22">
        <v>33.96721691678038</v>
      </c>
    </row>
    <row r="4" spans="1:10">
      <c r="A4" t="s">
        <v>18</v>
      </c>
      <c r="C4" t="s">
        <v>18</v>
      </c>
      <c r="D4">
        <v>1551</v>
      </c>
      <c r="E4">
        <v>538</v>
      </c>
      <c r="F4" s="23">
        <f t="shared" si="0"/>
        <v>0.34687298517085752</v>
      </c>
      <c r="G4" s="22">
        <v>99.303200000000004</v>
      </c>
      <c r="H4" s="22">
        <v>53425.139999999985</v>
      </c>
      <c r="I4" s="22">
        <v>34.445609284332747</v>
      </c>
    </row>
    <row r="5" spans="1:10">
      <c r="A5" t="s">
        <v>21</v>
      </c>
      <c r="C5" t="s">
        <v>21</v>
      </c>
      <c r="D5">
        <v>513</v>
      </c>
      <c r="E5">
        <v>212</v>
      </c>
      <c r="F5" s="23">
        <f t="shared" si="0"/>
        <v>0.41325536062378165</v>
      </c>
      <c r="G5" s="22">
        <v>95.507300000000001</v>
      </c>
      <c r="H5" s="22">
        <v>20247.549999999996</v>
      </c>
      <c r="I5" s="22">
        <v>39.468908382066331</v>
      </c>
    </row>
    <row r="6" spans="1:10">
      <c r="I6" s="22"/>
    </row>
    <row r="7" spans="1:10">
      <c r="B7" t="s">
        <v>100</v>
      </c>
      <c r="F7" s="24" t="str">
        <f>A4</f>
        <v>PaidAds</v>
      </c>
    </row>
    <row r="9" spans="1:10">
      <c r="A9" s="21"/>
    </row>
    <row r="10" spans="1:10">
      <c r="A10" s="21"/>
    </row>
    <row r="11" spans="1:10">
      <c r="A11" s="21"/>
    </row>
    <row r="12" spans="1:10">
      <c r="A12" s="21"/>
    </row>
    <row r="13" spans="1:10">
      <c r="A13" s="21"/>
    </row>
    <row r="14" spans="1:10">
      <c r="A14" s="21"/>
    </row>
    <row r="15" spans="1:10">
      <c r="A15" s="21"/>
    </row>
    <row r="16" spans="1:10">
      <c r="A16" s="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11" workbookViewId="0">
      <selection activeCell="D35" sqref="D35"/>
    </sheetView>
  </sheetViews>
  <sheetFormatPr defaultRowHeight="14.4"/>
  <cols>
    <col min="2" max="2" width="24" customWidth="1"/>
    <col min="3" max="8" width="12.21875" customWidth="1"/>
  </cols>
  <sheetData>
    <row r="1" spans="1:11">
      <c r="A1" s="25"/>
      <c r="B1" s="25"/>
      <c r="C1" s="25"/>
      <c r="D1" s="25"/>
      <c r="E1" s="25"/>
      <c r="F1" s="25"/>
      <c r="G1" s="25"/>
      <c r="H1" s="25"/>
      <c r="I1" s="25"/>
    </row>
    <row r="2" spans="1:11">
      <c r="A2" s="25"/>
      <c r="B2" s="26"/>
      <c r="C2" s="27" t="s">
        <v>30</v>
      </c>
      <c r="D2" s="27"/>
      <c r="E2" s="27" t="s">
        <v>31</v>
      </c>
      <c r="F2" s="27"/>
      <c r="G2" s="27" t="s">
        <v>25</v>
      </c>
      <c r="H2" s="27"/>
      <c r="I2" s="25"/>
    </row>
    <row r="3" spans="1:11">
      <c r="A3" s="25"/>
      <c r="B3" s="28"/>
      <c r="C3" s="29" t="s">
        <v>101</v>
      </c>
      <c r="D3" s="29" t="s">
        <v>102</v>
      </c>
      <c r="E3" s="29" t="s">
        <v>101</v>
      </c>
      <c r="F3" s="29" t="s">
        <v>102</v>
      </c>
      <c r="G3" s="29" t="s">
        <v>101</v>
      </c>
      <c r="H3" s="29" t="s">
        <v>102</v>
      </c>
      <c r="I3" s="25"/>
    </row>
    <row r="4" spans="1:11">
      <c r="A4" s="25"/>
      <c r="B4" s="30" t="s">
        <v>103</v>
      </c>
      <c r="C4" s="31">
        <v>110</v>
      </c>
      <c r="D4" s="31">
        <v>104</v>
      </c>
      <c r="E4" s="31">
        <v>109</v>
      </c>
      <c r="F4" s="31">
        <v>113</v>
      </c>
      <c r="G4" s="31">
        <v>99</v>
      </c>
      <c r="H4" s="31">
        <v>106</v>
      </c>
      <c r="I4" s="25"/>
    </row>
    <row r="5" spans="1:11">
      <c r="A5" s="25"/>
      <c r="B5" s="30" t="s">
        <v>104</v>
      </c>
      <c r="C5" s="31">
        <v>43.636363636363598</v>
      </c>
      <c r="D5" s="31">
        <v>32.692307692307601</v>
      </c>
      <c r="E5" s="31">
        <v>36.697247706421997</v>
      </c>
      <c r="F5" s="31">
        <v>32.743362831858398</v>
      </c>
      <c r="G5" s="31">
        <v>34.343434343434303</v>
      </c>
      <c r="H5" s="31">
        <v>43.396226415094297</v>
      </c>
      <c r="I5" s="25"/>
    </row>
    <row r="6" spans="1:11">
      <c r="A6" s="25"/>
      <c r="B6" s="30" t="s">
        <v>105</v>
      </c>
      <c r="C6" s="31">
        <v>112.265</v>
      </c>
      <c r="D6" s="31">
        <v>109.193529411764</v>
      </c>
      <c r="E6" s="31">
        <v>111.030749999999</v>
      </c>
      <c r="F6" s="31">
        <v>116.757837837837</v>
      </c>
      <c r="G6" s="31">
        <v>97.684117647058798</v>
      </c>
      <c r="H6" s="31">
        <v>89.218478260869503</v>
      </c>
      <c r="I6" s="25"/>
    </row>
    <row r="7" spans="1:11">
      <c r="A7" s="25"/>
      <c r="B7" s="30" t="s">
        <v>106</v>
      </c>
      <c r="C7" s="31">
        <v>380.74</v>
      </c>
      <c r="D7" s="31">
        <v>365.39711538461501</v>
      </c>
      <c r="E7" s="31">
        <v>409.75045871559598</v>
      </c>
      <c r="F7" s="31">
        <v>359.57522123893801</v>
      </c>
      <c r="G7" s="31">
        <v>380.06161616161597</v>
      </c>
      <c r="H7" s="31">
        <v>402.11226415094302</v>
      </c>
      <c r="I7" s="25"/>
    </row>
    <row r="8" spans="1:11">
      <c r="A8" s="25"/>
      <c r="B8" s="30" t="s">
        <v>107</v>
      </c>
      <c r="C8" s="31">
        <v>6.1545454545454499</v>
      </c>
      <c r="D8" s="31">
        <v>6</v>
      </c>
      <c r="E8" s="31">
        <v>6.0825688073394497</v>
      </c>
      <c r="F8" s="31">
        <v>6.2035398230088497</v>
      </c>
      <c r="G8" s="31">
        <v>5.9595959595959496</v>
      </c>
      <c r="H8" s="31">
        <v>6.2641509433962197</v>
      </c>
      <c r="I8" s="25"/>
    </row>
    <row r="9" spans="1:11" ht="28.8">
      <c r="A9" s="25"/>
      <c r="B9" s="30" t="s">
        <v>108</v>
      </c>
      <c r="C9" s="31">
        <v>2.6458333333333299</v>
      </c>
      <c r="D9" s="31">
        <v>3</v>
      </c>
      <c r="E9" s="31">
        <v>2.8250000000000002</v>
      </c>
      <c r="F9" s="31">
        <v>3.1351351351351302</v>
      </c>
      <c r="G9" s="31">
        <v>3.0588235294117601</v>
      </c>
      <c r="H9" s="31">
        <v>3.2826086956521698</v>
      </c>
      <c r="I9" s="25"/>
    </row>
    <row r="10" spans="1:11">
      <c r="A10" s="25"/>
      <c r="B10" s="25"/>
      <c r="C10" s="25"/>
      <c r="D10" s="25"/>
      <c r="E10" s="25"/>
      <c r="F10" s="25"/>
      <c r="G10" s="25"/>
      <c r="H10" s="25"/>
      <c r="I10" s="25"/>
    </row>
    <row r="11" spans="1:11">
      <c r="A11" s="25"/>
      <c r="B11" s="25"/>
      <c r="C11" s="25"/>
      <c r="D11" s="25"/>
      <c r="E11" s="25"/>
      <c r="F11" s="25"/>
      <c r="G11" s="25"/>
      <c r="H11" s="25"/>
      <c r="I11" s="25"/>
    </row>
    <row r="15" spans="1:1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>
      <c r="A16" s="25"/>
      <c r="B16" s="32" t="s">
        <v>109</v>
      </c>
      <c r="C16" s="32"/>
      <c r="D16" s="32"/>
      <c r="E16" s="32"/>
      <c r="F16" s="32"/>
      <c r="G16" s="32"/>
      <c r="H16" s="32"/>
      <c r="I16" s="32"/>
      <c r="J16" s="32"/>
      <c r="K16" s="25"/>
    </row>
    <row r="17" spans="1:11" ht="16.2" thickBot="1">
      <c r="A17" s="25"/>
      <c r="B17" s="33" t="s">
        <v>110</v>
      </c>
      <c r="C17" s="34"/>
      <c r="D17" s="34"/>
      <c r="E17" s="34"/>
      <c r="F17" s="34"/>
      <c r="G17" s="34"/>
      <c r="H17" s="34"/>
      <c r="I17" s="34"/>
      <c r="J17" s="34"/>
      <c r="K17" s="25"/>
    </row>
    <row r="18" spans="1:11" ht="16.2" thickTop="1">
      <c r="A18" s="25"/>
      <c r="B18" s="35" t="s">
        <v>111</v>
      </c>
      <c r="C18" s="36"/>
      <c r="D18" s="37" t="s">
        <v>73</v>
      </c>
      <c r="E18" s="38"/>
      <c r="F18" s="38"/>
      <c r="G18" s="38"/>
      <c r="H18" s="38"/>
      <c r="I18" s="38"/>
      <c r="J18" s="39" t="s">
        <v>98</v>
      </c>
      <c r="K18" s="25"/>
    </row>
    <row r="19" spans="1:11" ht="16.2" thickBot="1">
      <c r="A19" s="25"/>
      <c r="B19" s="40"/>
      <c r="C19" s="41"/>
      <c r="D19" s="42" t="s">
        <v>77</v>
      </c>
      <c r="E19" s="43" t="s">
        <v>78</v>
      </c>
      <c r="F19" s="43" t="s">
        <v>79</v>
      </c>
      <c r="G19" s="43" t="s">
        <v>80</v>
      </c>
      <c r="H19" s="43" t="s">
        <v>81</v>
      </c>
      <c r="I19" s="43" t="s">
        <v>82</v>
      </c>
      <c r="J19" s="44"/>
      <c r="K19" s="25"/>
    </row>
    <row r="20" spans="1:11" ht="15.6" thickTop="1">
      <c r="A20" s="25"/>
      <c r="B20" s="45" t="s">
        <v>51</v>
      </c>
      <c r="C20" s="46" t="s">
        <v>112</v>
      </c>
      <c r="D20" s="47">
        <v>2</v>
      </c>
      <c r="E20" s="48">
        <v>0</v>
      </c>
      <c r="F20" s="48">
        <v>0</v>
      </c>
      <c r="G20" s="48">
        <v>2</v>
      </c>
      <c r="H20" s="48">
        <v>1</v>
      </c>
      <c r="I20" s="48">
        <v>0</v>
      </c>
      <c r="J20" s="49">
        <v>5</v>
      </c>
      <c r="K20" s="25"/>
    </row>
    <row r="21" spans="1:11" ht="15">
      <c r="A21" s="25"/>
      <c r="B21" s="50"/>
      <c r="C21" s="51" t="s">
        <v>113</v>
      </c>
      <c r="D21" s="52">
        <v>56</v>
      </c>
      <c r="E21" s="53">
        <v>49</v>
      </c>
      <c r="F21" s="53">
        <v>45</v>
      </c>
      <c r="G21" s="53">
        <v>49</v>
      </c>
      <c r="H21" s="53">
        <v>37</v>
      </c>
      <c r="I21" s="53">
        <v>48</v>
      </c>
      <c r="J21" s="54">
        <v>284</v>
      </c>
      <c r="K21" s="25"/>
    </row>
    <row r="22" spans="1:11" ht="15">
      <c r="A22" s="25"/>
      <c r="B22" s="50"/>
      <c r="C22" s="51" t="s">
        <v>114</v>
      </c>
      <c r="D22" s="52">
        <v>180</v>
      </c>
      <c r="E22" s="53">
        <v>168</v>
      </c>
      <c r="F22" s="53">
        <v>185</v>
      </c>
      <c r="G22" s="53">
        <v>181</v>
      </c>
      <c r="H22" s="53">
        <v>191</v>
      </c>
      <c r="I22" s="53">
        <v>159</v>
      </c>
      <c r="J22" s="54">
        <v>1064</v>
      </c>
      <c r="K22" s="25"/>
    </row>
    <row r="23" spans="1:11" ht="15">
      <c r="A23" s="25"/>
      <c r="B23" s="50"/>
      <c r="C23" s="51" t="s">
        <v>115</v>
      </c>
      <c r="D23" s="52">
        <v>87</v>
      </c>
      <c r="E23" s="53">
        <v>64</v>
      </c>
      <c r="F23" s="53">
        <v>86</v>
      </c>
      <c r="G23" s="53">
        <v>72</v>
      </c>
      <c r="H23" s="53">
        <v>87</v>
      </c>
      <c r="I23" s="53">
        <v>71</v>
      </c>
      <c r="J23" s="54">
        <v>467</v>
      </c>
      <c r="K23" s="25"/>
    </row>
    <row r="24" spans="1:11" ht="15.6" thickBot="1">
      <c r="A24" s="25"/>
      <c r="B24" s="55" t="s">
        <v>98</v>
      </c>
      <c r="C24" s="56"/>
      <c r="D24" s="57">
        <v>325</v>
      </c>
      <c r="E24" s="58">
        <v>281</v>
      </c>
      <c r="F24" s="58">
        <v>316</v>
      </c>
      <c r="G24" s="58">
        <v>304</v>
      </c>
      <c r="H24" s="58">
        <v>316</v>
      </c>
      <c r="I24" s="58">
        <v>278</v>
      </c>
      <c r="J24" s="59">
        <v>1820</v>
      </c>
      <c r="K24" s="25"/>
    </row>
    <row r="25" spans="1:1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5">
      <c r="A26" s="25"/>
      <c r="B26" s="25"/>
      <c r="C26" s="60" t="s">
        <v>116</v>
      </c>
      <c r="D26" s="61">
        <f>D23/D24-SUM(D20:D21)/D24</f>
        <v>8.9230769230769225E-2</v>
      </c>
      <c r="E26" s="61">
        <f t="shared" ref="E26:J26" si="0">E23/E24-SUM(E20:E21)/E24</f>
        <v>5.3380782918149461E-2</v>
      </c>
      <c r="F26" s="61">
        <f t="shared" si="0"/>
        <v>0.12974683544303797</v>
      </c>
      <c r="G26" s="61">
        <f t="shared" si="0"/>
        <v>6.9078947368421045E-2</v>
      </c>
      <c r="H26" s="61">
        <f t="shared" si="0"/>
        <v>0.15506329113924053</v>
      </c>
      <c r="I26" s="61">
        <f t="shared" si="0"/>
        <v>8.2733812949640301E-2</v>
      </c>
      <c r="J26" s="61">
        <f t="shared" si="0"/>
        <v>9.7802197802197788E-2</v>
      </c>
      <c r="K26" s="25"/>
    </row>
    <row r="27" spans="1:1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</sheetData>
  <mergeCells count="10">
    <mergeCell ref="B20:B23"/>
    <mergeCell ref="B24:C24"/>
    <mergeCell ref="C2:D2"/>
    <mergeCell ref="E2:F2"/>
    <mergeCell ref="G2:H2"/>
    <mergeCell ref="B2:B3"/>
    <mergeCell ref="B16:J16"/>
    <mergeCell ref="B18:C19"/>
    <mergeCell ref="D18:I18"/>
    <mergeCell ref="J18:J19"/>
  </mergeCells>
  <conditionalFormatting sqref="C4:H4">
    <cfRule type="colorScale" priority="7">
      <colorScale>
        <cfvo type="min"/>
        <cfvo type="max"/>
        <color rgb="FFFCFCFF"/>
        <color rgb="FF63BE7B"/>
      </colorScale>
    </cfRule>
  </conditionalFormatting>
  <conditionalFormatting sqref="C5:H5">
    <cfRule type="colorScale" priority="6">
      <colorScale>
        <cfvo type="min"/>
        <cfvo type="max"/>
        <color rgb="FFFCFCFF"/>
        <color rgb="FF63BE7B"/>
      </colorScale>
    </cfRule>
  </conditionalFormatting>
  <conditionalFormatting sqref="C6:H6">
    <cfRule type="colorScale" priority="5">
      <colorScale>
        <cfvo type="min"/>
        <cfvo type="max"/>
        <color rgb="FFFCFCFF"/>
        <color rgb="FF63BE7B"/>
      </colorScale>
    </cfRule>
  </conditionalFormatting>
  <conditionalFormatting sqref="C7:H7">
    <cfRule type="colorScale" priority="4">
      <colorScale>
        <cfvo type="min"/>
        <cfvo type="max"/>
        <color rgb="FFFCFCFF"/>
        <color rgb="FF63BE7B"/>
      </colorScale>
    </cfRule>
  </conditionalFormatting>
  <conditionalFormatting sqref="C8:H8">
    <cfRule type="colorScale" priority="3">
      <colorScale>
        <cfvo type="min"/>
        <cfvo type="max"/>
        <color rgb="FFFCFCFF"/>
        <color rgb="FF63BE7B"/>
      </colorScale>
    </cfRule>
  </conditionalFormatting>
  <conditionalFormatting sqref="C9:H9">
    <cfRule type="colorScale" priority="2">
      <colorScale>
        <cfvo type="min"/>
        <cfvo type="max"/>
        <color rgb="FFFCFCFF"/>
        <color rgb="FF63BE7B"/>
      </colorScale>
    </cfRule>
  </conditionalFormatting>
  <conditionalFormatting sqref="D26:J2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1"/>
  <sheetViews>
    <sheetView tabSelected="1" workbookViewId="0">
      <selection activeCell="K7" sqref="K7"/>
    </sheetView>
  </sheetViews>
  <sheetFormatPr defaultRowHeight="14.4"/>
  <cols>
    <col min="5" max="5" width="14.6640625" customWidth="1"/>
  </cols>
  <sheetData>
    <row r="1" spans="1:11">
      <c r="A1" s="11" t="s">
        <v>6</v>
      </c>
      <c r="B1" s="11" t="s">
        <v>10</v>
      </c>
      <c r="H1" s="11" t="s">
        <v>6</v>
      </c>
      <c r="I1" t="s">
        <v>117</v>
      </c>
      <c r="J1" t="s">
        <v>118</v>
      </c>
      <c r="K1" t="s">
        <v>104</v>
      </c>
    </row>
    <row r="2" spans="1:11">
      <c r="A2">
        <v>0</v>
      </c>
      <c r="B2">
        <v>43</v>
      </c>
      <c r="E2" t="s">
        <v>104</v>
      </c>
      <c r="F2" s="23">
        <f>I2/D3</f>
        <v>0.37170194259205569</v>
      </c>
      <c r="H2" s="9">
        <v>0</v>
      </c>
      <c r="I2">
        <f>COUNTIFS(A:A,H2,B:B,"&gt;0")</f>
        <v>1282</v>
      </c>
      <c r="J2">
        <f>COUNTIF(A:A,H2)</f>
        <v>3449</v>
      </c>
      <c r="K2" s="62">
        <f>I2/J2</f>
        <v>0.37170194259205569</v>
      </c>
    </row>
    <row r="3" spans="1:11">
      <c r="A3" t="s">
        <v>19</v>
      </c>
      <c r="B3">
        <v>294</v>
      </c>
      <c r="D3">
        <f>COUNTIFS(A:A,0)</f>
        <v>3449</v>
      </c>
      <c r="H3" s="9" t="s">
        <v>19</v>
      </c>
      <c r="I3">
        <f t="shared" ref="I3:I9" si="0">COUNTIFS(A:A,H3,B:B,"&gt;0")</f>
        <v>66</v>
      </c>
      <c r="J3">
        <f t="shared" ref="J3:J9" si="1">COUNTIF(A:A,H3)</f>
        <v>212</v>
      </c>
      <c r="K3" s="62">
        <f t="shared" ref="K3:K9" si="2">I3/J3</f>
        <v>0.31132075471698112</v>
      </c>
    </row>
    <row r="4" spans="1:11">
      <c r="A4">
        <v>0</v>
      </c>
      <c r="B4">
        <v>81.55</v>
      </c>
      <c r="H4" s="9" t="s">
        <v>25</v>
      </c>
      <c r="I4">
        <f t="shared" si="0"/>
        <v>83</v>
      </c>
      <c r="J4">
        <f t="shared" si="1"/>
        <v>215</v>
      </c>
      <c r="K4" s="62">
        <f t="shared" si="2"/>
        <v>0.38604651162790699</v>
      </c>
    </row>
    <row r="5" spans="1:11">
      <c r="A5">
        <v>0</v>
      </c>
      <c r="B5">
        <v>60.45</v>
      </c>
      <c r="H5" s="9" t="s">
        <v>26</v>
      </c>
      <c r="I5">
        <f t="shared" si="0"/>
        <v>77</v>
      </c>
      <c r="J5">
        <f t="shared" si="1"/>
        <v>256</v>
      </c>
      <c r="K5" s="62">
        <f t="shared" si="2"/>
        <v>0.30078125</v>
      </c>
    </row>
    <row r="6" spans="1:11">
      <c r="A6">
        <v>0</v>
      </c>
      <c r="B6">
        <v>45.87</v>
      </c>
      <c r="H6" s="9" t="s">
        <v>28</v>
      </c>
      <c r="I6">
        <f t="shared" si="0"/>
        <v>70</v>
      </c>
      <c r="J6">
        <f t="shared" si="1"/>
        <v>221</v>
      </c>
      <c r="K6" s="62">
        <f t="shared" si="2"/>
        <v>0.31674208144796379</v>
      </c>
    </row>
    <row r="7" spans="1:11">
      <c r="A7">
        <v>0</v>
      </c>
      <c r="B7">
        <v>41.92</v>
      </c>
      <c r="H7" s="9" t="s">
        <v>29</v>
      </c>
      <c r="I7">
        <f t="shared" si="0"/>
        <v>80</v>
      </c>
      <c r="J7">
        <f t="shared" si="1"/>
        <v>205</v>
      </c>
      <c r="K7" s="62">
        <f t="shared" si="2"/>
        <v>0.3902439024390244</v>
      </c>
    </row>
    <row r="8" spans="1:11">
      <c r="A8">
        <v>0</v>
      </c>
      <c r="B8">
        <v>32.4</v>
      </c>
      <c r="H8" s="9" t="s">
        <v>30</v>
      </c>
      <c r="I8">
        <f t="shared" si="0"/>
        <v>85</v>
      </c>
      <c r="J8">
        <f t="shared" si="1"/>
        <v>219</v>
      </c>
      <c r="K8" s="62">
        <f t="shared" si="2"/>
        <v>0.38812785388127852</v>
      </c>
    </row>
    <row r="9" spans="1:11">
      <c r="A9">
        <v>0</v>
      </c>
      <c r="B9">
        <v>23.42</v>
      </c>
      <c r="H9" s="9" t="s">
        <v>31</v>
      </c>
      <c r="I9">
        <f t="shared" si="0"/>
        <v>77</v>
      </c>
      <c r="J9">
        <f t="shared" si="1"/>
        <v>223</v>
      </c>
      <c r="K9" s="62">
        <f t="shared" si="2"/>
        <v>0.3452914798206278</v>
      </c>
    </row>
    <row r="10" spans="1:11">
      <c r="A10">
        <v>0</v>
      </c>
      <c r="B10">
        <v>23.34</v>
      </c>
    </row>
    <row r="11" spans="1:11">
      <c r="A11">
        <v>0</v>
      </c>
      <c r="B11">
        <v>20.94</v>
      </c>
    </row>
    <row r="12" spans="1:11">
      <c r="A12">
        <v>0</v>
      </c>
      <c r="B12">
        <v>20.309999999999999</v>
      </c>
    </row>
    <row r="13" spans="1:11">
      <c r="A13" t="s">
        <v>25</v>
      </c>
      <c r="B13">
        <v>0</v>
      </c>
    </row>
    <row r="14" spans="1:11">
      <c r="A14">
        <v>0</v>
      </c>
      <c r="B14">
        <v>0</v>
      </c>
    </row>
    <row r="15" spans="1:11">
      <c r="A15" t="s">
        <v>19</v>
      </c>
      <c r="B15">
        <v>0</v>
      </c>
    </row>
    <row r="16" spans="1:11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 t="s">
        <v>26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 t="s">
        <v>28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289</v>
      </c>
    </row>
    <row r="26" spans="1:2">
      <c r="A26" t="s">
        <v>25</v>
      </c>
      <c r="B26">
        <v>156.97999999999999</v>
      </c>
    </row>
    <row r="27" spans="1:2">
      <c r="A27">
        <v>0</v>
      </c>
      <c r="B27">
        <v>38.58</v>
      </c>
    </row>
    <row r="28" spans="1:2">
      <c r="A28">
        <v>0</v>
      </c>
      <c r="B28">
        <v>37.200000000000003</v>
      </c>
    </row>
    <row r="29" spans="1:2">
      <c r="A29" t="s">
        <v>19</v>
      </c>
      <c r="B29">
        <v>29.49</v>
      </c>
    </row>
    <row r="30" spans="1:2">
      <c r="A30">
        <v>0</v>
      </c>
      <c r="B30">
        <v>24.62</v>
      </c>
    </row>
    <row r="31" spans="1:2">
      <c r="A31">
        <v>0</v>
      </c>
      <c r="B31">
        <v>16.760000000000002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 t="s">
        <v>28</v>
      </c>
      <c r="B35">
        <v>0</v>
      </c>
    </row>
    <row r="36" spans="1:2">
      <c r="A36">
        <v>0</v>
      </c>
      <c r="B36">
        <v>0</v>
      </c>
    </row>
    <row r="37" spans="1:2">
      <c r="A37">
        <v>0</v>
      </c>
      <c r="B37">
        <v>0</v>
      </c>
    </row>
    <row r="38" spans="1:2">
      <c r="A38" t="s">
        <v>26</v>
      </c>
      <c r="B38">
        <v>0</v>
      </c>
    </row>
    <row r="39" spans="1:2">
      <c r="A39">
        <v>0</v>
      </c>
      <c r="B39">
        <v>0</v>
      </c>
    </row>
    <row r="40" spans="1:2">
      <c r="A40">
        <v>0</v>
      </c>
      <c r="B40">
        <v>0</v>
      </c>
    </row>
    <row r="41" spans="1:2">
      <c r="A41" t="s">
        <v>28</v>
      </c>
      <c r="B41">
        <v>0</v>
      </c>
    </row>
    <row r="42" spans="1:2">
      <c r="A42">
        <v>0</v>
      </c>
      <c r="B42">
        <v>0</v>
      </c>
    </row>
    <row r="43" spans="1:2">
      <c r="A43">
        <v>0</v>
      </c>
      <c r="B43">
        <v>0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 t="s">
        <v>19</v>
      </c>
      <c r="B46">
        <v>0</v>
      </c>
    </row>
    <row r="47" spans="1:2">
      <c r="A47">
        <v>0</v>
      </c>
      <c r="B47">
        <v>0</v>
      </c>
    </row>
    <row r="48" spans="1:2">
      <c r="A48">
        <v>0</v>
      </c>
      <c r="B48">
        <v>0</v>
      </c>
    </row>
    <row r="49" spans="1:2">
      <c r="A49">
        <v>0</v>
      </c>
      <c r="B49">
        <v>0</v>
      </c>
    </row>
    <row r="50" spans="1:2">
      <c r="A50" t="s">
        <v>29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 t="s">
        <v>30</v>
      </c>
      <c r="B54">
        <v>0</v>
      </c>
    </row>
    <row r="55" spans="1:2">
      <c r="A55">
        <v>0</v>
      </c>
      <c r="B55">
        <v>157.19</v>
      </c>
    </row>
    <row r="56" spans="1:2">
      <c r="A56">
        <v>0</v>
      </c>
      <c r="B56">
        <v>96.31</v>
      </c>
    </row>
    <row r="57" spans="1:2">
      <c r="A57">
        <v>0</v>
      </c>
      <c r="B57">
        <v>91.56</v>
      </c>
    </row>
    <row r="58" spans="1:2">
      <c r="A58" t="s">
        <v>29</v>
      </c>
      <c r="B58">
        <v>67.61</v>
      </c>
    </row>
    <row r="59" spans="1:2">
      <c r="A59">
        <v>0</v>
      </c>
      <c r="B59">
        <v>45.03</v>
      </c>
    </row>
    <row r="60" spans="1:2">
      <c r="A60">
        <v>0</v>
      </c>
      <c r="B60">
        <v>40.79</v>
      </c>
    </row>
    <row r="61" spans="1:2">
      <c r="A61">
        <v>0</v>
      </c>
      <c r="B61">
        <v>39.94</v>
      </c>
    </row>
    <row r="62" spans="1:2">
      <c r="A62" t="s">
        <v>31</v>
      </c>
      <c r="B62">
        <v>37.020000000000003</v>
      </c>
    </row>
    <row r="63" spans="1:2">
      <c r="A63" t="s">
        <v>19</v>
      </c>
      <c r="B63">
        <v>35.090000000000003</v>
      </c>
    </row>
    <row r="64" spans="1:2">
      <c r="A64">
        <v>0</v>
      </c>
      <c r="B64">
        <v>16.940000000000001</v>
      </c>
    </row>
    <row r="65" spans="1:2">
      <c r="A65">
        <v>0</v>
      </c>
      <c r="B65">
        <v>16.350000000000001</v>
      </c>
    </row>
    <row r="66" spans="1:2">
      <c r="A66">
        <v>0</v>
      </c>
      <c r="B66">
        <v>0</v>
      </c>
    </row>
    <row r="67" spans="1:2">
      <c r="A67">
        <v>0</v>
      </c>
      <c r="B67">
        <v>0</v>
      </c>
    </row>
    <row r="68" spans="1:2">
      <c r="A68">
        <v>0</v>
      </c>
      <c r="B68">
        <v>0</v>
      </c>
    </row>
    <row r="69" spans="1:2">
      <c r="A69">
        <v>0</v>
      </c>
      <c r="B69">
        <v>0</v>
      </c>
    </row>
    <row r="70" spans="1:2">
      <c r="A70">
        <v>0</v>
      </c>
      <c r="B70">
        <v>0</v>
      </c>
    </row>
    <row r="71" spans="1:2">
      <c r="A71" t="s">
        <v>26</v>
      </c>
      <c r="B71">
        <v>0</v>
      </c>
    </row>
    <row r="72" spans="1:2">
      <c r="A72" t="s">
        <v>25</v>
      </c>
      <c r="B72">
        <v>0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204.32</v>
      </c>
    </row>
    <row r="76" spans="1:2">
      <c r="A76">
        <v>0</v>
      </c>
      <c r="B76">
        <v>109.36</v>
      </c>
    </row>
    <row r="77" spans="1:2">
      <c r="A77" t="s">
        <v>29</v>
      </c>
      <c r="B77">
        <v>80.47</v>
      </c>
    </row>
    <row r="78" spans="1:2">
      <c r="A78">
        <v>0</v>
      </c>
      <c r="B78">
        <v>75.97</v>
      </c>
    </row>
    <row r="79" spans="1:2">
      <c r="A79">
        <v>0</v>
      </c>
      <c r="B79">
        <v>69.040000000000006</v>
      </c>
    </row>
    <row r="80" spans="1:2">
      <c r="A80">
        <v>0</v>
      </c>
      <c r="B80">
        <v>62.57</v>
      </c>
    </row>
    <row r="81" spans="1:2">
      <c r="A81">
        <v>0</v>
      </c>
      <c r="B81">
        <v>58.74</v>
      </c>
    </row>
    <row r="82" spans="1:2">
      <c r="A82">
        <v>0</v>
      </c>
      <c r="B82">
        <v>46.19</v>
      </c>
    </row>
    <row r="83" spans="1:2">
      <c r="A83">
        <v>0</v>
      </c>
      <c r="B83">
        <v>43.82</v>
      </c>
    </row>
    <row r="84" spans="1:2">
      <c r="A84">
        <v>0</v>
      </c>
      <c r="B84">
        <v>43.34</v>
      </c>
    </row>
    <row r="85" spans="1:2">
      <c r="A85">
        <v>0</v>
      </c>
      <c r="B85">
        <v>32.090000000000003</v>
      </c>
    </row>
    <row r="86" spans="1:2">
      <c r="A86" t="s">
        <v>28</v>
      </c>
      <c r="B86">
        <v>18.82</v>
      </c>
    </row>
    <row r="87" spans="1:2">
      <c r="A87">
        <v>0</v>
      </c>
      <c r="B87">
        <v>0</v>
      </c>
    </row>
    <row r="88" spans="1:2">
      <c r="A88" t="s">
        <v>26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 t="s">
        <v>28</v>
      </c>
      <c r="B93">
        <v>0</v>
      </c>
    </row>
    <row r="94" spans="1:2">
      <c r="A94">
        <v>0</v>
      </c>
      <c r="B94">
        <v>0</v>
      </c>
    </row>
    <row r="95" spans="1:2">
      <c r="A95" t="s">
        <v>28</v>
      </c>
      <c r="B95">
        <v>0</v>
      </c>
    </row>
    <row r="96" spans="1:2">
      <c r="A96">
        <v>0</v>
      </c>
      <c r="B96">
        <v>0</v>
      </c>
    </row>
    <row r="97" spans="1:2">
      <c r="A97" t="s">
        <v>26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 t="s">
        <v>19</v>
      </c>
      <c r="B100">
        <v>0</v>
      </c>
    </row>
    <row r="101" spans="1:2">
      <c r="A101" t="s">
        <v>26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 t="s">
        <v>28</v>
      </c>
      <c r="B104">
        <v>0</v>
      </c>
    </row>
    <row r="105" spans="1:2">
      <c r="A105">
        <v>0</v>
      </c>
      <c r="B105">
        <v>138.36000000000001</v>
      </c>
    </row>
    <row r="106" spans="1:2">
      <c r="A106">
        <v>0</v>
      </c>
      <c r="B106">
        <v>68.83</v>
      </c>
    </row>
    <row r="107" spans="1:2">
      <c r="A107">
        <v>0</v>
      </c>
      <c r="B107">
        <v>59.59</v>
      </c>
    </row>
    <row r="108" spans="1:2">
      <c r="A108">
        <v>0</v>
      </c>
      <c r="B108">
        <v>57.14</v>
      </c>
    </row>
    <row r="109" spans="1:2">
      <c r="A109" t="s">
        <v>30</v>
      </c>
      <c r="B109">
        <v>35.93</v>
      </c>
    </row>
    <row r="110" spans="1:2">
      <c r="A110">
        <v>0</v>
      </c>
      <c r="B110">
        <v>34.770000000000003</v>
      </c>
    </row>
    <row r="111" spans="1:2">
      <c r="A111">
        <v>0</v>
      </c>
      <c r="B111">
        <v>33.21</v>
      </c>
    </row>
    <row r="112" spans="1:2">
      <c r="A112" t="s">
        <v>31</v>
      </c>
      <c r="B112">
        <v>29.75</v>
      </c>
    </row>
    <row r="113" spans="1:2">
      <c r="A113" t="s">
        <v>28</v>
      </c>
      <c r="B113">
        <v>21.44</v>
      </c>
    </row>
    <row r="114" spans="1:2">
      <c r="A114">
        <v>0</v>
      </c>
      <c r="B114">
        <v>19.510000000000002</v>
      </c>
    </row>
    <row r="115" spans="1:2">
      <c r="A115">
        <v>0</v>
      </c>
      <c r="B115">
        <v>17.63</v>
      </c>
    </row>
    <row r="116" spans="1:2">
      <c r="A116">
        <v>0</v>
      </c>
      <c r="B116">
        <v>16.32</v>
      </c>
    </row>
    <row r="117" spans="1:2">
      <c r="A117">
        <v>0</v>
      </c>
      <c r="B117">
        <v>16.28</v>
      </c>
    </row>
    <row r="118" spans="1:2">
      <c r="A118">
        <v>0</v>
      </c>
      <c r="B118">
        <v>0</v>
      </c>
    </row>
    <row r="119" spans="1:2">
      <c r="A119" t="s">
        <v>26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 t="s">
        <v>28</v>
      </c>
      <c r="B124">
        <v>0</v>
      </c>
    </row>
    <row r="125" spans="1:2">
      <c r="A125">
        <v>0</v>
      </c>
      <c r="B125">
        <v>0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 t="s">
        <v>19</v>
      </c>
      <c r="B129">
        <v>0</v>
      </c>
    </row>
    <row r="130" spans="1:2">
      <c r="A130">
        <v>0</v>
      </c>
      <c r="B130">
        <v>0</v>
      </c>
    </row>
    <row r="131" spans="1:2">
      <c r="A131" t="s">
        <v>26</v>
      </c>
      <c r="B131">
        <v>0</v>
      </c>
    </row>
    <row r="132" spans="1:2">
      <c r="A132">
        <v>0</v>
      </c>
      <c r="B132">
        <v>0</v>
      </c>
    </row>
    <row r="133" spans="1:2">
      <c r="A133" t="s">
        <v>26</v>
      </c>
      <c r="B133">
        <v>0</v>
      </c>
    </row>
    <row r="134" spans="1:2">
      <c r="A134" t="s">
        <v>19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148</v>
      </c>
    </row>
    <row r="137" spans="1:2">
      <c r="A137" t="s">
        <v>19</v>
      </c>
      <c r="B137">
        <v>326.22000000000003</v>
      </c>
    </row>
    <row r="138" spans="1:2">
      <c r="A138">
        <v>0</v>
      </c>
      <c r="B138">
        <v>94.06</v>
      </c>
    </row>
    <row r="139" spans="1:2">
      <c r="A139">
        <v>0</v>
      </c>
      <c r="B139">
        <v>62.43</v>
      </c>
    </row>
    <row r="140" spans="1:2">
      <c r="A140" t="s">
        <v>29</v>
      </c>
      <c r="B140">
        <v>47.17</v>
      </c>
    </row>
    <row r="141" spans="1:2">
      <c r="A141" t="s">
        <v>19</v>
      </c>
      <c r="B141">
        <v>44.88</v>
      </c>
    </row>
    <row r="142" spans="1:2">
      <c r="A142">
        <v>0</v>
      </c>
      <c r="B142">
        <v>33.61</v>
      </c>
    </row>
    <row r="143" spans="1:2">
      <c r="A143" t="s">
        <v>19</v>
      </c>
      <c r="B143">
        <v>32.130000000000003</v>
      </c>
    </row>
    <row r="144" spans="1:2">
      <c r="A144">
        <v>0</v>
      </c>
      <c r="B144">
        <v>17.329999999999998</v>
      </c>
    </row>
    <row r="145" spans="1:2">
      <c r="A145" t="s">
        <v>19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 t="s">
        <v>25</v>
      </c>
      <c r="B148">
        <v>0</v>
      </c>
    </row>
    <row r="149" spans="1:2">
      <c r="A149" t="s">
        <v>26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 t="s">
        <v>28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72</v>
      </c>
    </row>
    <row r="164" spans="1:2">
      <c r="A164">
        <v>0</v>
      </c>
      <c r="B164">
        <v>477</v>
      </c>
    </row>
    <row r="165" spans="1:2">
      <c r="A165" t="s">
        <v>31</v>
      </c>
      <c r="B165">
        <v>286.88</v>
      </c>
    </row>
    <row r="166" spans="1:2">
      <c r="A166">
        <v>0</v>
      </c>
      <c r="B166">
        <v>115.34</v>
      </c>
    </row>
    <row r="167" spans="1:2">
      <c r="A167">
        <v>0</v>
      </c>
      <c r="B167">
        <v>111.1</v>
      </c>
    </row>
    <row r="168" spans="1:2">
      <c r="A168">
        <v>0</v>
      </c>
      <c r="B168">
        <v>95.51</v>
      </c>
    </row>
    <row r="169" spans="1:2">
      <c r="A169" t="s">
        <v>30</v>
      </c>
      <c r="B169">
        <v>62.75</v>
      </c>
    </row>
    <row r="170" spans="1:2">
      <c r="A170">
        <v>0</v>
      </c>
      <c r="B170">
        <v>49.51</v>
      </c>
    </row>
    <row r="171" spans="1:2">
      <c r="A171" t="s">
        <v>25</v>
      </c>
      <c r="B171">
        <v>37.33</v>
      </c>
    </row>
    <row r="172" spans="1:2">
      <c r="A172">
        <v>0</v>
      </c>
      <c r="B172">
        <v>20.77</v>
      </c>
    </row>
    <row r="173" spans="1:2">
      <c r="A173" t="s">
        <v>29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 t="s">
        <v>26</v>
      </c>
      <c r="B178">
        <v>0</v>
      </c>
    </row>
    <row r="179" spans="1:2">
      <c r="A179">
        <v>0</v>
      </c>
      <c r="B179">
        <v>0</v>
      </c>
    </row>
    <row r="180" spans="1:2">
      <c r="A180" t="s">
        <v>28</v>
      </c>
      <c r="B180">
        <v>0</v>
      </c>
    </row>
    <row r="181" spans="1:2">
      <c r="A181" t="s">
        <v>26</v>
      </c>
      <c r="B181">
        <v>0</v>
      </c>
    </row>
    <row r="182" spans="1:2">
      <c r="A182" t="s">
        <v>30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 t="s">
        <v>26</v>
      </c>
      <c r="B185">
        <v>0</v>
      </c>
    </row>
    <row r="186" spans="1:2">
      <c r="A186" t="s">
        <v>26</v>
      </c>
      <c r="B186">
        <v>0</v>
      </c>
    </row>
    <row r="187" spans="1:2">
      <c r="A187" t="s">
        <v>25</v>
      </c>
      <c r="B187">
        <v>0</v>
      </c>
    </row>
    <row r="188" spans="1:2">
      <c r="A188" t="s">
        <v>31</v>
      </c>
      <c r="B188">
        <v>0</v>
      </c>
    </row>
    <row r="189" spans="1:2">
      <c r="A189" t="s">
        <v>25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 t="s">
        <v>29</v>
      </c>
      <c r="B192">
        <v>222.98</v>
      </c>
    </row>
    <row r="193" spans="1:2">
      <c r="A193" t="s">
        <v>29</v>
      </c>
      <c r="B193">
        <v>127.16</v>
      </c>
    </row>
    <row r="194" spans="1:2">
      <c r="A194">
        <v>0</v>
      </c>
      <c r="B194">
        <v>126.85</v>
      </c>
    </row>
    <row r="195" spans="1:2">
      <c r="A195" t="s">
        <v>19</v>
      </c>
      <c r="B195">
        <v>113.31</v>
      </c>
    </row>
    <row r="196" spans="1:2">
      <c r="A196">
        <v>0</v>
      </c>
      <c r="B196">
        <v>107.58</v>
      </c>
    </row>
    <row r="197" spans="1:2">
      <c r="A197">
        <v>0</v>
      </c>
      <c r="B197">
        <v>92.68</v>
      </c>
    </row>
    <row r="198" spans="1:2">
      <c r="A198">
        <v>0</v>
      </c>
      <c r="B198">
        <v>87.42</v>
      </c>
    </row>
    <row r="199" spans="1:2">
      <c r="A199" t="s">
        <v>28</v>
      </c>
      <c r="B199">
        <v>80.92</v>
      </c>
    </row>
    <row r="200" spans="1:2">
      <c r="A200">
        <v>0</v>
      </c>
      <c r="B200">
        <v>78.930000000000007</v>
      </c>
    </row>
    <row r="201" spans="1:2">
      <c r="A201" t="s">
        <v>30</v>
      </c>
      <c r="B201">
        <v>66.52</v>
      </c>
    </row>
    <row r="202" spans="1:2">
      <c r="A202" t="s">
        <v>28</v>
      </c>
      <c r="B202">
        <v>57.23</v>
      </c>
    </row>
    <row r="203" spans="1:2">
      <c r="A203">
        <v>0</v>
      </c>
      <c r="B203">
        <v>49.71</v>
      </c>
    </row>
    <row r="204" spans="1:2">
      <c r="A204">
        <v>0</v>
      </c>
      <c r="B204">
        <v>48.27</v>
      </c>
    </row>
    <row r="205" spans="1:2">
      <c r="A205">
        <v>0</v>
      </c>
      <c r="B205">
        <v>42.55</v>
      </c>
    </row>
    <row r="206" spans="1:2">
      <c r="A206" t="s">
        <v>30</v>
      </c>
      <c r="B206">
        <v>34.94</v>
      </c>
    </row>
    <row r="207" spans="1:2">
      <c r="A207">
        <v>0</v>
      </c>
      <c r="B207">
        <v>0</v>
      </c>
    </row>
    <row r="208" spans="1:2">
      <c r="A208">
        <v>0</v>
      </c>
      <c r="B208">
        <v>0</v>
      </c>
    </row>
    <row r="209" spans="1:2">
      <c r="A209">
        <v>0</v>
      </c>
      <c r="B209">
        <v>0</v>
      </c>
    </row>
    <row r="210" spans="1:2">
      <c r="A210">
        <v>0</v>
      </c>
      <c r="B210">
        <v>0</v>
      </c>
    </row>
    <row r="211" spans="1:2">
      <c r="A211">
        <v>0</v>
      </c>
      <c r="B211">
        <v>0</v>
      </c>
    </row>
    <row r="212" spans="1:2">
      <c r="A212">
        <v>0</v>
      </c>
      <c r="B212">
        <v>0</v>
      </c>
    </row>
    <row r="213" spans="1:2">
      <c r="A213" t="s">
        <v>30</v>
      </c>
      <c r="B213">
        <v>0</v>
      </c>
    </row>
    <row r="214" spans="1:2">
      <c r="A214">
        <v>0</v>
      </c>
      <c r="B214">
        <v>0</v>
      </c>
    </row>
    <row r="215" spans="1:2">
      <c r="A215" t="s">
        <v>19</v>
      </c>
      <c r="B215">
        <v>0</v>
      </c>
    </row>
    <row r="216" spans="1:2">
      <c r="A216">
        <v>0</v>
      </c>
      <c r="B216">
        <v>0</v>
      </c>
    </row>
    <row r="217" spans="1:2">
      <c r="A217" t="s">
        <v>19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0</v>
      </c>
      <c r="B220">
        <v>154.9</v>
      </c>
    </row>
    <row r="221" spans="1:2">
      <c r="A221">
        <v>0</v>
      </c>
      <c r="B221">
        <v>147.94999999999999</v>
      </c>
    </row>
    <row r="222" spans="1:2">
      <c r="A222">
        <v>0</v>
      </c>
      <c r="B222">
        <v>61.05</v>
      </c>
    </row>
    <row r="223" spans="1:2">
      <c r="A223">
        <v>0</v>
      </c>
      <c r="B223">
        <v>59.9</v>
      </c>
    </row>
    <row r="224" spans="1:2">
      <c r="A224">
        <v>0</v>
      </c>
      <c r="B224">
        <v>53.14</v>
      </c>
    </row>
    <row r="225" spans="1:2">
      <c r="A225">
        <v>0</v>
      </c>
      <c r="B225">
        <v>50.98</v>
      </c>
    </row>
    <row r="226" spans="1:2">
      <c r="A226">
        <v>0</v>
      </c>
      <c r="B226">
        <v>46.81</v>
      </c>
    </row>
    <row r="227" spans="1:2">
      <c r="A227" t="s">
        <v>29</v>
      </c>
      <c r="B227">
        <v>45.96</v>
      </c>
    </row>
    <row r="228" spans="1:2">
      <c r="A228">
        <v>0</v>
      </c>
      <c r="B228">
        <v>15.15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0</v>
      </c>
    </row>
    <row r="233" spans="1:2">
      <c r="A233">
        <v>0</v>
      </c>
      <c r="B233">
        <v>0</v>
      </c>
    </row>
    <row r="234" spans="1:2">
      <c r="A234" t="s">
        <v>19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 t="s">
        <v>31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 t="s">
        <v>28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 t="s">
        <v>26</v>
      </c>
      <c r="B246">
        <v>0</v>
      </c>
    </row>
    <row r="247" spans="1:2">
      <c r="A247">
        <v>0</v>
      </c>
      <c r="B247">
        <v>0</v>
      </c>
    </row>
    <row r="248" spans="1:2">
      <c r="A248" t="s">
        <v>25</v>
      </c>
      <c r="B248">
        <v>0</v>
      </c>
    </row>
    <row r="249" spans="1:2">
      <c r="A249">
        <v>0</v>
      </c>
      <c r="B249">
        <v>283</v>
      </c>
    </row>
    <row r="250" spans="1:2">
      <c r="A250">
        <v>0</v>
      </c>
      <c r="B250">
        <v>308.13</v>
      </c>
    </row>
    <row r="251" spans="1:2">
      <c r="A251">
        <v>0</v>
      </c>
      <c r="B251">
        <v>177.55</v>
      </c>
    </row>
    <row r="252" spans="1:2">
      <c r="A252" t="s">
        <v>31</v>
      </c>
      <c r="B252">
        <v>148.97999999999999</v>
      </c>
    </row>
    <row r="253" spans="1:2">
      <c r="A253">
        <v>0</v>
      </c>
      <c r="B253">
        <v>122.92</v>
      </c>
    </row>
    <row r="254" spans="1:2">
      <c r="A254" t="s">
        <v>31</v>
      </c>
      <c r="B254">
        <v>112.6</v>
      </c>
    </row>
    <row r="255" spans="1:2">
      <c r="A255">
        <v>0</v>
      </c>
      <c r="B255">
        <v>110.75</v>
      </c>
    </row>
    <row r="256" spans="1:2">
      <c r="A256">
        <v>0</v>
      </c>
      <c r="B256">
        <v>92.76</v>
      </c>
    </row>
    <row r="257" spans="1:2">
      <c r="A257">
        <v>0</v>
      </c>
      <c r="B257">
        <v>33.36</v>
      </c>
    </row>
    <row r="258" spans="1:2">
      <c r="A258">
        <v>0</v>
      </c>
      <c r="B258">
        <v>31.83</v>
      </c>
    </row>
    <row r="259" spans="1:2">
      <c r="A259">
        <v>0</v>
      </c>
      <c r="B259">
        <v>30.52</v>
      </c>
    </row>
    <row r="260" spans="1:2">
      <c r="A260">
        <v>0</v>
      </c>
      <c r="B260">
        <v>0</v>
      </c>
    </row>
    <row r="261" spans="1:2">
      <c r="A261" t="s">
        <v>26</v>
      </c>
      <c r="B261">
        <v>0</v>
      </c>
    </row>
    <row r="262" spans="1:2">
      <c r="A262" t="s">
        <v>28</v>
      </c>
      <c r="B262">
        <v>0</v>
      </c>
    </row>
    <row r="263" spans="1:2">
      <c r="A263">
        <v>0</v>
      </c>
      <c r="B263">
        <v>0</v>
      </c>
    </row>
    <row r="264" spans="1:2">
      <c r="A264" t="s">
        <v>28</v>
      </c>
      <c r="B264">
        <v>0</v>
      </c>
    </row>
    <row r="265" spans="1:2">
      <c r="A265">
        <v>0</v>
      </c>
      <c r="B265">
        <v>0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 t="s">
        <v>31</v>
      </c>
      <c r="B268">
        <v>0</v>
      </c>
    </row>
    <row r="269" spans="1:2">
      <c r="A269">
        <v>0</v>
      </c>
      <c r="B269">
        <v>0</v>
      </c>
    </row>
    <row r="270" spans="1:2">
      <c r="A270">
        <v>0</v>
      </c>
      <c r="B270">
        <v>0</v>
      </c>
    </row>
    <row r="271" spans="1:2">
      <c r="A271">
        <v>0</v>
      </c>
      <c r="B271">
        <v>0</v>
      </c>
    </row>
    <row r="272" spans="1:2">
      <c r="A272" t="s">
        <v>25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479</v>
      </c>
    </row>
    <row r="276" spans="1:2">
      <c r="A276">
        <v>0</v>
      </c>
      <c r="B276">
        <v>129.18</v>
      </c>
    </row>
    <row r="277" spans="1:2">
      <c r="A277">
        <v>0</v>
      </c>
      <c r="B277">
        <v>110.96</v>
      </c>
    </row>
    <row r="278" spans="1:2">
      <c r="A278">
        <v>0</v>
      </c>
      <c r="B278">
        <v>49.72</v>
      </c>
    </row>
    <row r="279" spans="1:2">
      <c r="A279">
        <v>0</v>
      </c>
      <c r="B279">
        <v>42.63</v>
      </c>
    </row>
    <row r="280" spans="1:2">
      <c r="A280">
        <v>0</v>
      </c>
      <c r="B280">
        <v>41.7</v>
      </c>
    </row>
    <row r="281" spans="1:2">
      <c r="A281">
        <v>0</v>
      </c>
      <c r="B281">
        <v>38.36</v>
      </c>
    </row>
    <row r="282" spans="1:2">
      <c r="A282" t="s">
        <v>30</v>
      </c>
      <c r="B282">
        <v>36.53</v>
      </c>
    </row>
    <row r="283" spans="1:2">
      <c r="A283" t="s">
        <v>31</v>
      </c>
      <c r="B283">
        <v>36.020000000000003</v>
      </c>
    </row>
    <row r="284" spans="1:2">
      <c r="A284">
        <v>0</v>
      </c>
      <c r="B284">
        <v>25.13</v>
      </c>
    </row>
    <row r="285" spans="1:2">
      <c r="A285">
        <v>0</v>
      </c>
      <c r="B285">
        <v>15.84</v>
      </c>
    </row>
    <row r="286" spans="1:2">
      <c r="A286">
        <v>0</v>
      </c>
      <c r="B286">
        <v>15.83</v>
      </c>
    </row>
    <row r="287" spans="1:2">
      <c r="A287" t="s">
        <v>26</v>
      </c>
      <c r="B287">
        <v>14.53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 t="s">
        <v>31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 t="s">
        <v>29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0</v>
      </c>
      <c r="B298">
        <v>0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 t="s">
        <v>29</v>
      </c>
      <c r="B301">
        <v>0</v>
      </c>
    </row>
    <row r="302" spans="1:2">
      <c r="A302" t="s">
        <v>28</v>
      </c>
      <c r="B302">
        <v>0</v>
      </c>
    </row>
    <row r="303" spans="1:2">
      <c r="A303" t="s">
        <v>25</v>
      </c>
      <c r="B303">
        <v>0</v>
      </c>
    </row>
    <row r="304" spans="1:2">
      <c r="A304" t="s">
        <v>31</v>
      </c>
      <c r="B304">
        <v>0</v>
      </c>
    </row>
    <row r="305" spans="1:2">
      <c r="A305" t="s">
        <v>26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 t="s">
        <v>28</v>
      </c>
      <c r="B311">
        <v>0</v>
      </c>
    </row>
    <row r="312" spans="1:2">
      <c r="A312" t="s">
        <v>31</v>
      </c>
      <c r="B312">
        <v>0</v>
      </c>
    </row>
    <row r="313" spans="1:2">
      <c r="A313">
        <v>0</v>
      </c>
      <c r="B313">
        <v>0</v>
      </c>
    </row>
    <row r="314" spans="1:2">
      <c r="A314">
        <v>0</v>
      </c>
      <c r="B314">
        <v>0</v>
      </c>
    </row>
    <row r="315" spans="1:2">
      <c r="A315">
        <v>0</v>
      </c>
      <c r="B315">
        <v>202</v>
      </c>
    </row>
    <row r="316" spans="1:2">
      <c r="A316" t="s">
        <v>29</v>
      </c>
      <c r="B316">
        <v>52.58</v>
      </c>
    </row>
    <row r="317" spans="1:2">
      <c r="A317">
        <v>0</v>
      </c>
      <c r="B317">
        <v>47.33</v>
      </c>
    </row>
    <row r="318" spans="1:2">
      <c r="A318">
        <v>0</v>
      </c>
      <c r="B318">
        <v>44.79</v>
      </c>
    </row>
    <row r="319" spans="1:2">
      <c r="A319" t="s">
        <v>30</v>
      </c>
      <c r="B319">
        <v>30.14</v>
      </c>
    </row>
    <row r="320" spans="1:2">
      <c r="A320">
        <v>0</v>
      </c>
      <c r="B320">
        <v>29.33</v>
      </c>
    </row>
    <row r="321" spans="1:2">
      <c r="A321" t="s">
        <v>30</v>
      </c>
      <c r="B321">
        <v>23.73</v>
      </c>
    </row>
    <row r="322" spans="1:2">
      <c r="A322">
        <v>0</v>
      </c>
      <c r="B322">
        <v>18.13</v>
      </c>
    </row>
    <row r="323" spans="1:2">
      <c r="A323">
        <v>0</v>
      </c>
      <c r="B323">
        <v>13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 t="s">
        <v>19</v>
      </c>
      <c r="B332">
        <v>0</v>
      </c>
    </row>
    <row r="333" spans="1:2">
      <c r="A333">
        <v>0</v>
      </c>
      <c r="B333">
        <v>0</v>
      </c>
    </row>
    <row r="334" spans="1:2">
      <c r="A334">
        <v>0</v>
      </c>
      <c r="B334">
        <v>0</v>
      </c>
    </row>
    <row r="335" spans="1:2">
      <c r="A335">
        <v>0</v>
      </c>
      <c r="B335">
        <v>0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 t="s">
        <v>31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0</v>
      </c>
      <c r="B342">
        <v>95</v>
      </c>
    </row>
    <row r="343" spans="1:2">
      <c r="A343" t="s">
        <v>25</v>
      </c>
      <c r="B343">
        <v>147</v>
      </c>
    </row>
    <row r="344" spans="1:2">
      <c r="A344">
        <v>0</v>
      </c>
      <c r="B344">
        <v>100.55</v>
      </c>
    </row>
    <row r="345" spans="1:2">
      <c r="A345">
        <v>0</v>
      </c>
      <c r="B345">
        <v>77.849999999999994</v>
      </c>
    </row>
    <row r="346" spans="1:2">
      <c r="A346" t="s">
        <v>30</v>
      </c>
      <c r="B346">
        <v>60.53</v>
      </c>
    </row>
    <row r="347" spans="1:2">
      <c r="A347" t="s">
        <v>29</v>
      </c>
      <c r="B347">
        <v>58.1</v>
      </c>
    </row>
    <row r="348" spans="1:2">
      <c r="A348" t="s">
        <v>30</v>
      </c>
      <c r="B348">
        <v>53.8</v>
      </c>
    </row>
    <row r="349" spans="1:2">
      <c r="A349">
        <v>0</v>
      </c>
      <c r="B349">
        <v>44.94</v>
      </c>
    </row>
    <row r="350" spans="1:2">
      <c r="A350">
        <v>0</v>
      </c>
      <c r="B350">
        <v>33.4</v>
      </c>
    </row>
    <row r="351" spans="1:2">
      <c r="A351">
        <v>0</v>
      </c>
      <c r="B351">
        <v>32.93</v>
      </c>
    </row>
    <row r="352" spans="1:2">
      <c r="A352">
        <v>0</v>
      </c>
      <c r="B352">
        <v>25.49</v>
      </c>
    </row>
    <row r="353" spans="1:2">
      <c r="A353">
        <v>0</v>
      </c>
      <c r="B353">
        <v>0</v>
      </c>
    </row>
    <row r="354" spans="1:2">
      <c r="A354" t="s">
        <v>28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 t="s">
        <v>30</v>
      </c>
      <c r="B363">
        <v>0</v>
      </c>
    </row>
    <row r="364" spans="1:2">
      <c r="A364">
        <v>0</v>
      </c>
      <c r="B364">
        <v>0</v>
      </c>
    </row>
    <row r="365" spans="1:2">
      <c r="A365" t="s">
        <v>25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 t="s">
        <v>29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 t="s">
        <v>26</v>
      </c>
      <c r="B372">
        <v>0</v>
      </c>
    </row>
    <row r="373" spans="1:2">
      <c r="A373" t="s">
        <v>29</v>
      </c>
      <c r="B373">
        <v>310</v>
      </c>
    </row>
    <row r="374" spans="1:2">
      <c r="A374" t="s">
        <v>19</v>
      </c>
      <c r="B374">
        <v>95.07</v>
      </c>
    </row>
    <row r="375" spans="1:2">
      <c r="A375" t="s">
        <v>19</v>
      </c>
      <c r="B375">
        <v>57.57</v>
      </c>
    </row>
    <row r="376" spans="1:2">
      <c r="A376" t="s">
        <v>28</v>
      </c>
      <c r="B376">
        <v>55.56</v>
      </c>
    </row>
    <row r="377" spans="1:2">
      <c r="A377">
        <v>0</v>
      </c>
      <c r="B377">
        <v>44.36</v>
      </c>
    </row>
    <row r="378" spans="1:2">
      <c r="A378">
        <v>0</v>
      </c>
      <c r="B378">
        <v>38.03</v>
      </c>
    </row>
    <row r="379" spans="1:2">
      <c r="A379">
        <v>0</v>
      </c>
      <c r="B379">
        <v>36.090000000000003</v>
      </c>
    </row>
    <row r="380" spans="1:2">
      <c r="A380">
        <v>0</v>
      </c>
      <c r="B380">
        <v>32.82</v>
      </c>
    </row>
    <row r="381" spans="1:2">
      <c r="A381">
        <v>0</v>
      </c>
      <c r="B381">
        <v>24.54</v>
      </c>
    </row>
    <row r="382" spans="1:2">
      <c r="A382" t="s">
        <v>30</v>
      </c>
      <c r="B382">
        <v>21.49</v>
      </c>
    </row>
    <row r="383" spans="1:2">
      <c r="A383">
        <v>0</v>
      </c>
      <c r="B383">
        <v>0</v>
      </c>
    </row>
    <row r="384" spans="1:2">
      <c r="A384">
        <v>0</v>
      </c>
      <c r="B384">
        <v>0</v>
      </c>
    </row>
    <row r="385" spans="1:2">
      <c r="A385">
        <v>0</v>
      </c>
      <c r="B385">
        <v>0</v>
      </c>
    </row>
    <row r="386" spans="1:2">
      <c r="A386">
        <v>0</v>
      </c>
      <c r="B386">
        <v>0</v>
      </c>
    </row>
    <row r="387" spans="1:2">
      <c r="A387">
        <v>0</v>
      </c>
      <c r="B387">
        <v>0</v>
      </c>
    </row>
    <row r="388" spans="1:2">
      <c r="A388">
        <v>0</v>
      </c>
      <c r="B388">
        <v>0</v>
      </c>
    </row>
    <row r="389" spans="1:2">
      <c r="A389">
        <v>0</v>
      </c>
      <c r="B389">
        <v>0</v>
      </c>
    </row>
    <row r="390" spans="1:2">
      <c r="A390">
        <v>0</v>
      </c>
      <c r="B390">
        <v>0</v>
      </c>
    </row>
    <row r="391" spans="1:2">
      <c r="A391" t="s">
        <v>26</v>
      </c>
      <c r="B391">
        <v>0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 t="s">
        <v>26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 t="s">
        <v>30</v>
      </c>
      <c r="B400">
        <v>0</v>
      </c>
    </row>
    <row r="401" spans="1:2">
      <c r="A401" t="s">
        <v>29</v>
      </c>
      <c r="B401">
        <v>0</v>
      </c>
    </row>
    <row r="402" spans="1:2">
      <c r="A402" t="s">
        <v>19</v>
      </c>
      <c r="B402">
        <v>0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0</v>
      </c>
      <c r="B405">
        <v>0</v>
      </c>
    </row>
    <row r="406" spans="1:2">
      <c r="A406" t="s">
        <v>29</v>
      </c>
      <c r="B406">
        <v>480</v>
      </c>
    </row>
    <row r="407" spans="1:2">
      <c r="A407">
        <v>0</v>
      </c>
      <c r="B407">
        <v>140.53</v>
      </c>
    </row>
    <row r="408" spans="1:2">
      <c r="A408">
        <v>0</v>
      </c>
      <c r="B408">
        <v>111.57</v>
      </c>
    </row>
    <row r="409" spans="1:2">
      <c r="A409">
        <v>0</v>
      </c>
      <c r="B409">
        <v>66.64</v>
      </c>
    </row>
    <row r="410" spans="1:2">
      <c r="A410">
        <v>0</v>
      </c>
      <c r="B410">
        <v>66.62</v>
      </c>
    </row>
    <row r="411" spans="1:2">
      <c r="A411" t="s">
        <v>26</v>
      </c>
      <c r="B411">
        <v>59.59</v>
      </c>
    </row>
    <row r="412" spans="1:2">
      <c r="A412" t="s">
        <v>19</v>
      </c>
      <c r="B412">
        <v>59.05</v>
      </c>
    </row>
    <row r="413" spans="1:2">
      <c r="A413">
        <v>0</v>
      </c>
      <c r="B413">
        <v>50.86</v>
      </c>
    </row>
    <row r="414" spans="1:2">
      <c r="A414">
        <v>0</v>
      </c>
      <c r="B414">
        <v>50.64</v>
      </c>
    </row>
    <row r="415" spans="1:2">
      <c r="A415" t="s">
        <v>30</v>
      </c>
      <c r="B415">
        <v>39.79</v>
      </c>
    </row>
    <row r="416" spans="1:2">
      <c r="A416">
        <v>0</v>
      </c>
      <c r="B416">
        <v>37.51</v>
      </c>
    </row>
    <row r="417" spans="1:2">
      <c r="A417">
        <v>0</v>
      </c>
      <c r="B417">
        <v>34.93</v>
      </c>
    </row>
    <row r="418" spans="1:2">
      <c r="A418">
        <v>0</v>
      </c>
      <c r="B418">
        <v>27.59</v>
      </c>
    </row>
    <row r="419" spans="1:2">
      <c r="A419" t="s">
        <v>19</v>
      </c>
      <c r="B419">
        <v>17.32</v>
      </c>
    </row>
    <row r="420" spans="1:2">
      <c r="A420">
        <v>0</v>
      </c>
      <c r="B420">
        <v>0</v>
      </c>
    </row>
    <row r="421" spans="1:2">
      <c r="A421">
        <v>0</v>
      </c>
      <c r="B421">
        <v>0</v>
      </c>
    </row>
    <row r="422" spans="1:2">
      <c r="A422">
        <v>0</v>
      </c>
      <c r="B422">
        <v>0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 t="s">
        <v>31</v>
      </c>
      <c r="B425">
        <v>0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0</v>
      </c>
    </row>
    <row r="431" spans="1:2">
      <c r="A431">
        <v>0</v>
      </c>
      <c r="B431">
        <v>0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 t="s">
        <v>19</v>
      </c>
      <c r="B436">
        <v>0</v>
      </c>
    </row>
    <row r="437" spans="1:2">
      <c r="A437">
        <v>0</v>
      </c>
      <c r="B437">
        <v>0</v>
      </c>
    </row>
    <row r="438" spans="1:2">
      <c r="A438">
        <v>0</v>
      </c>
      <c r="B438">
        <v>120</v>
      </c>
    </row>
    <row r="439" spans="1:2">
      <c r="A439">
        <v>0</v>
      </c>
      <c r="B439">
        <v>371</v>
      </c>
    </row>
    <row r="440" spans="1:2">
      <c r="A440" t="s">
        <v>30</v>
      </c>
      <c r="B440">
        <v>114.77</v>
      </c>
    </row>
    <row r="441" spans="1:2">
      <c r="A441">
        <v>0</v>
      </c>
      <c r="B441">
        <v>85.95</v>
      </c>
    </row>
    <row r="442" spans="1:2">
      <c r="A442">
        <v>0</v>
      </c>
      <c r="B442">
        <v>80.010000000000005</v>
      </c>
    </row>
    <row r="443" spans="1:2">
      <c r="A443">
        <v>0</v>
      </c>
      <c r="B443">
        <v>43.36</v>
      </c>
    </row>
    <row r="444" spans="1:2">
      <c r="A444">
        <v>0</v>
      </c>
      <c r="B444">
        <v>41.88</v>
      </c>
    </row>
    <row r="445" spans="1:2">
      <c r="A445">
        <v>0</v>
      </c>
      <c r="B445">
        <v>39.83</v>
      </c>
    </row>
    <row r="446" spans="1:2">
      <c r="A446">
        <v>0</v>
      </c>
      <c r="B446">
        <v>31.91</v>
      </c>
    </row>
    <row r="447" spans="1:2">
      <c r="A447">
        <v>0</v>
      </c>
      <c r="B447">
        <v>28.39</v>
      </c>
    </row>
    <row r="448" spans="1:2">
      <c r="A448">
        <v>0</v>
      </c>
      <c r="B448">
        <v>26.46</v>
      </c>
    </row>
    <row r="449" spans="1:2">
      <c r="A449">
        <v>0</v>
      </c>
      <c r="B449">
        <v>23.65</v>
      </c>
    </row>
    <row r="450" spans="1:2">
      <c r="A450" t="s">
        <v>30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0</v>
      </c>
    </row>
    <row r="454" spans="1:2">
      <c r="A454" t="s">
        <v>25</v>
      </c>
      <c r="B454">
        <v>0</v>
      </c>
    </row>
    <row r="455" spans="1:2">
      <c r="A455">
        <v>0</v>
      </c>
      <c r="B455">
        <v>0</v>
      </c>
    </row>
    <row r="456" spans="1:2">
      <c r="A456">
        <v>0</v>
      </c>
      <c r="B456">
        <v>0</v>
      </c>
    </row>
    <row r="457" spans="1:2">
      <c r="A457">
        <v>0</v>
      </c>
      <c r="B457">
        <v>0</v>
      </c>
    </row>
    <row r="458" spans="1:2">
      <c r="A458">
        <v>0</v>
      </c>
      <c r="B458">
        <v>0</v>
      </c>
    </row>
    <row r="459" spans="1:2">
      <c r="A459" t="s">
        <v>25</v>
      </c>
      <c r="B459">
        <v>0</v>
      </c>
    </row>
    <row r="460" spans="1:2">
      <c r="A460" t="s">
        <v>28</v>
      </c>
      <c r="B460">
        <v>0</v>
      </c>
    </row>
    <row r="461" spans="1:2">
      <c r="A461">
        <v>0</v>
      </c>
      <c r="B461">
        <v>0</v>
      </c>
    </row>
    <row r="462" spans="1:2">
      <c r="A462" t="s">
        <v>28</v>
      </c>
      <c r="B462">
        <v>0</v>
      </c>
    </row>
    <row r="463" spans="1:2">
      <c r="A463" t="s">
        <v>25</v>
      </c>
      <c r="B463">
        <v>0</v>
      </c>
    </row>
    <row r="464" spans="1:2">
      <c r="A464" t="s">
        <v>30</v>
      </c>
      <c r="B464">
        <v>0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 t="s">
        <v>19</v>
      </c>
      <c r="B469">
        <v>144</v>
      </c>
    </row>
    <row r="470" spans="1:2">
      <c r="A470">
        <v>0</v>
      </c>
      <c r="B470">
        <v>56.87</v>
      </c>
    </row>
    <row r="471" spans="1:2">
      <c r="A471" t="s">
        <v>29</v>
      </c>
      <c r="B471">
        <v>55.38</v>
      </c>
    </row>
    <row r="472" spans="1:2">
      <c r="A472">
        <v>0</v>
      </c>
      <c r="B472">
        <v>48.77</v>
      </c>
    </row>
    <row r="473" spans="1:2">
      <c r="A473" t="s">
        <v>25</v>
      </c>
      <c r="B473">
        <v>13.52</v>
      </c>
    </row>
    <row r="474" spans="1:2">
      <c r="A474">
        <v>0</v>
      </c>
      <c r="B474">
        <v>0</v>
      </c>
    </row>
    <row r="475" spans="1:2">
      <c r="A475" t="s">
        <v>26</v>
      </c>
      <c r="B475">
        <v>0</v>
      </c>
    </row>
    <row r="476" spans="1:2">
      <c r="A476" t="s">
        <v>30</v>
      </c>
      <c r="B476">
        <v>0</v>
      </c>
    </row>
    <row r="477" spans="1:2">
      <c r="A477">
        <v>0</v>
      </c>
      <c r="B477">
        <v>0</v>
      </c>
    </row>
    <row r="478" spans="1:2">
      <c r="A478" t="s">
        <v>29</v>
      </c>
      <c r="B478">
        <v>0</v>
      </c>
    </row>
    <row r="479" spans="1:2">
      <c r="A479">
        <v>0</v>
      </c>
      <c r="B479">
        <v>0</v>
      </c>
    </row>
    <row r="480" spans="1:2">
      <c r="A480" t="s">
        <v>28</v>
      </c>
      <c r="B480">
        <v>0</v>
      </c>
    </row>
    <row r="481" spans="1:2">
      <c r="A481" t="s">
        <v>28</v>
      </c>
      <c r="B481">
        <v>0</v>
      </c>
    </row>
    <row r="482" spans="1:2">
      <c r="A482">
        <v>0</v>
      </c>
      <c r="B482">
        <v>0</v>
      </c>
    </row>
    <row r="483" spans="1:2">
      <c r="A483">
        <v>0</v>
      </c>
      <c r="B483">
        <v>0</v>
      </c>
    </row>
    <row r="484" spans="1:2">
      <c r="A484" t="s">
        <v>26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 t="s">
        <v>29</v>
      </c>
      <c r="B489">
        <v>0</v>
      </c>
    </row>
    <row r="490" spans="1:2">
      <c r="A490" t="s">
        <v>28</v>
      </c>
      <c r="B490">
        <v>0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76.739999999999995</v>
      </c>
    </row>
    <row r="496" spans="1:2">
      <c r="A496">
        <v>0</v>
      </c>
      <c r="B496">
        <v>56.04</v>
      </c>
    </row>
    <row r="497" spans="1:2">
      <c r="A497">
        <v>0</v>
      </c>
      <c r="B497">
        <v>52.32</v>
      </c>
    </row>
    <row r="498" spans="1:2">
      <c r="A498" t="s">
        <v>28</v>
      </c>
      <c r="B498">
        <v>46.08</v>
      </c>
    </row>
    <row r="499" spans="1:2">
      <c r="A499">
        <v>0</v>
      </c>
      <c r="B499">
        <v>31.65</v>
      </c>
    </row>
    <row r="500" spans="1:2">
      <c r="A500">
        <v>0</v>
      </c>
      <c r="B500">
        <v>15.96</v>
      </c>
    </row>
    <row r="501" spans="1:2">
      <c r="A501" t="s">
        <v>28</v>
      </c>
      <c r="B501">
        <v>0</v>
      </c>
    </row>
    <row r="502" spans="1:2">
      <c r="A502" t="s">
        <v>28</v>
      </c>
      <c r="B502">
        <v>0</v>
      </c>
    </row>
    <row r="503" spans="1:2">
      <c r="A503" t="s">
        <v>25</v>
      </c>
      <c r="B503">
        <v>0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 t="s">
        <v>29</v>
      </c>
      <c r="B507">
        <v>0</v>
      </c>
    </row>
    <row r="508" spans="1:2">
      <c r="A508" t="s">
        <v>30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 t="s">
        <v>19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108.74</v>
      </c>
    </row>
    <row r="515" spans="1:2">
      <c r="A515" t="s">
        <v>30</v>
      </c>
      <c r="B515">
        <v>82.05</v>
      </c>
    </row>
    <row r="516" spans="1:2">
      <c r="A516">
        <v>0</v>
      </c>
      <c r="B516">
        <v>56.56</v>
      </c>
    </row>
    <row r="517" spans="1:2">
      <c r="A517" t="s">
        <v>26</v>
      </c>
      <c r="B517">
        <v>53.74</v>
      </c>
    </row>
    <row r="518" spans="1:2">
      <c r="A518" t="s">
        <v>19</v>
      </c>
      <c r="B518">
        <v>45.54</v>
      </c>
    </row>
    <row r="519" spans="1:2">
      <c r="A519" t="s">
        <v>28</v>
      </c>
      <c r="B519">
        <v>43.93</v>
      </c>
    </row>
    <row r="520" spans="1:2">
      <c r="A520" t="s">
        <v>31</v>
      </c>
      <c r="B520">
        <v>24.88</v>
      </c>
    </row>
    <row r="521" spans="1:2">
      <c r="A521">
        <v>0</v>
      </c>
      <c r="B521">
        <v>0</v>
      </c>
    </row>
    <row r="522" spans="1:2">
      <c r="A522">
        <v>0</v>
      </c>
      <c r="B522">
        <v>0</v>
      </c>
    </row>
    <row r="523" spans="1:2">
      <c r="A523" t="s">
        <v>28</v>
      </c>
      <c r="B523">
        <v>0</v>
      </c>
    </row>
    <row r="524" spans="1:2">
      <c r="A524">
        <v>0</v>
      </c>
      <c r="B524">
        <v>0</v>
      </c>
    </row>
    <row r="525" spans="1:2">
      <c r="A525" t="s">
        <v>28</v>
      </c>
      <c r="B525">
        <v>0</v>
      </c>
    </row>
    <row r="526" spans="1:2">
      <c r="A526" t="s">
        <v>30</v>
      </c>
      <c r="B526">
        <v>0</v>
      </c>
    </row>
    <row r="527" spans="1:2">
      <c r="A527">
        <v>0</v>
      </c>
      <c r="B527">
        <v>0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 t="s">
        <v>26</v>
      </c>
      <c r="B532">
        <v>0</v>
      </c>
    </row>
    <row r="533" spans="1:2">
      <c r="A533">
        <v>0</v>
      </c>
      <c r="B533">
        <v>0</v>
      </c>
    </row>
    <row r="534" spans="1:2">
      <c r="A534">
        <v>0</v>
      </c>
      <c r="B534">
        <v>0</v>
      </c>
    </row>
    <row r="535" spans="1:2">
      <c r="A535">
        <v>0</v>
      </c>
      <c r="B535">
        <v>0</v>
      </c>
    </row>
    <row r="536" spans="1:2">
      <c r="A536">
        <v>0</v>
      </c>
      <c r="B536">
        <v>0</v>
      </c>
    </row>
    <row r="537" spans="1:2">
      <c r="A537">
        <v>0</v>
      </c>
      <c r="B537">
        <v>0</v>
      </c>
    </row>
    <row r="538" spans="1:2">
      <c r="A538">
        <v>0</v>
      </c>
      <c r="B538">
        <v>0</v>
      </c>
    </row>
    <row r="539" spans="1:2">
      <c r="A539">
        <v>0</v>
      </c>
      <c r="B539">
        <v>0</v>
      </c>
    </row>
    <row r="540" spans="1:2">
      <c r="A540">
        <v>0</v>
      </c>
      <c r="B540">
        <v>12</v>
      </c>
    </row>
    <row r="541" spans="1:2">
      <c r="A541">
        <v>0</v>
      </c>
      <c r="B541">
        <v>94.89</v>
      </c>
    </row>
    <row r="542" spans="1:2">
      <c r="A542">
        <v>0</v>
      </c>
      <c r="B542">
        <v>39.93</v>
      </c>
    </row>
    <row r="543" spans="1:2">
      <c r="A543">
        <v>0</v>
      </c>
      <c r="B543">
        <v>18.88</v>
      </c>
    </row>
    <row r="544" spans="1:2">
      <c r="A544" t="s">
        <v>31</v>
      </c>
      <c r="B544">
        <v>0</v>
      </c>
    </row>
    <row r="545" spans="1:2">
      <c r="A545">
        <v>0</v>
      </c>
      <c r="B545">
        <v>0</v>
      </c>
    </row>
    <row r="546" spans="1:2">
      <c r="A546">
        <v>0</v>
      </c>
      <c r="B546">
        <v>0</v>
      </c>
    </row>
    <row r="547" spans="1:2">
      <c r="A547" t="s">
        <v>26</v>
      </c>
      <c r="B547">
        <v>0</v>
      </c>
    </row>
    <row r="548" spans="1:2">
      <c r="A548">
        <v>0</v>
      </c>
      <c r="B548">
        <v>0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 t="s">
        <v>30</v>
      </c>
      <c r="B551">
        <v>0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140</v>
      </c>
    </row>
    <row r="555" spans="1:2">
      <c r="A555">
        <v>0</v>
      </c>
      <c r="B555">
        <v>203.42</v>
      </c>
    </row>
    <row r="556" spans="1:2">
      <c r="A556">
        <v>0</v>
      </c>
      <c r="B556">
        <v>122.62</v>
      </c>
    </row>
    <row r="557" spans="1:2">
      <c r="A557">
        <v>0</v>
      </c>
      <c r="B557">
        <v>116.63</v>
      </c>
    </row>
    <row r="558" spans="1:2">
      <c r="A558">
        <v>0</v>
      </c>
      <c r="B558">
        <v>107.23</v>
      </c>
    </row>
    <row r="559" spans="1:2">
      <c r="A559">
        <v>0</v>
      </c>
      <c r="B559">
        <v>68.400000000000006</v>
      </c>
    </row>
    <row r="560" spans="1:2">
      <c r="A560">
        <v>0</v>
      </c>
      <c r="B560">
        <v>50.34</v>
      </c>
    </row>
    <row r="561" spans="1:2">
      <c r="A561" t="s">
        <v>31</v>
      </c>
      <c r="B561">
        <v>48.64</v>
      </c>
    </row>
    <row r="562" spans="1:2">
      <c r="A562">
        <v>0</v>
      </c>
      <c r="B562">
        <v>48.12</v>
      </c>
    </row>
    <row r="563" spans="1:2">
      <c r="A563">
        <v>0</v>
      </c>
      <c r="B563">
        <v>37.57</v>
      </c>
    </row>
    <row r="564" spans="1:2">
      <c r="A564">
        <v>0</v>
      </c>
      <c r="B564">
        <v>31.86</v>
      </c>
    </row>
    <row r="565" spans="1:2">
      <c r="A565">
        <v>0</v>
      </c>
      <c r="B565">
        <v>27.29</v>
      </c>
    </row>
    <row r="566" spans="1:2">
      <c r="A566">
        <v>0</v>
      </c>
      <c r="B566">
        <v>27.19</v>
      </c>
    </row>
    <row r="567" spans="1:2">
      <c r="A567">
        <v>0</v>
      </c>
      <c r="B567">
        <v>22.84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 t="s">
        <v>31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 t="s">
        <v>29</v>
      </c>
      <c r="B576">
        <v>0</v>
      </c>
    </row>
    <row r="577" spans="1:2">
      <c r="A577">
        <v>0</v>
      </c>
      <c r="B577">
        <v>0</v>
      </c>
    </row>
    <row r="578" spans="1:2">
      <c r="A578">
        <v>0</v>
      </c>
      <c r="B578">
        <v>0</v>
      </c>
    </row>
    <row r="579" spans="1:2">
      <c r="A579" t="s">
        <v>25</v>
      </c>
      <c r="B579">
        <v>0</v>
      </c>
    </row>
    <row r="580" spans="1:2">
      <c r="A580">
        <v>0</v>
      </c>
      <c r="B580">
        <v>0</v>
      </c>
    </row>
    <row r="581" spans="1:2">
      <c r="A581">
        <v>0</v>
      </c>
      <c r="B581">
        <v>0</v>
      </c>
    </row>
    <row r="582" spans="1:2">
      <c r="A582">
        <v>0</v>
      </c>
      <c r="B582">
        <v>0</v>
      </c>
    </row>
    <row r="583" spans="1:2">
      <c r="A583">
        <v>0</v>
      </c>
      <c r="B583">
        <v>0</v>
      </c>
    </row>
    <row r="584" spans="1:2">
      <c r="A584">
        <v>0</v>
      </c>
      <c r="B584">
        <v>0</v>
      </c>
    </row>
    <row r="585" spans="1:2">
      <c r="A585" t="s">
        <v>25</v>
      </c>
      <c r="B585">
        <v>0</v>
      </c>
    </row>
    <row r="586" spans="1:2">
      <c r="A586">
        <v>0</v>
      </c>
      <c r="B586">
        <v>117.07</v>
      </c>
    </row>
    <row r="587" spans="1:2">
      <c r="A587">
        <v>0</v>
      </c>
      <c r="B587">
        <v>113.3</v>
      </c>
    </row>
    <row r="588" spans="1:2">
      <c r="A588" t="s">
        <v>26</v>
      </c>
      <c r="B588">
        <v>95.02</v>
      </c>
    </row>
    <row r="589" spans="1:2">
      <c r="A589">
        <v>0</v>
      </c>
      <c r="B589">
        <v>88.38</v>
      </c>
    </row>
    <row r="590" spans="1:2">
      <c r="A590">
        <v>0</v>
      </c>
      <c r="B590">
        <v>68.39</v>
      </c>
    </row>
    <row r="591" spans="1:2">
      <c r="A591">
        <v>0</v>
      </c>
      <c r="B591">
        <v>66.599999999999994</v>
      </c>
    </row>
    <row r="592" spans="1:2">
      <c r="A592" t="s">
        <v>25</v>
      </c>
      <c r="B592">
        <v>54.49</v>
      </c>
    </row>
    <row r="593" spans="1:2">
      <c r="A593">
        <v>0</v>
      </c>
      <c r="B593">
        <v>53.27</v>
      </c>
    </row>
    <row r="594" spans="1:2">
      <c r="A594">
        <v>0</v>
      </c>
      <c r="B594">
        <v>50.99</v>
      </c>
    </row>
    <row r="595" spans="1:2">
      <c r="A595">
        <v>0</v>
      </c>
      <c r="B595">
        <v>30.47</v>
      </c>
    </row>
    <row r="596" spans="1:2">
      <c r="A596" t="s">
        <v>29</v>
      </c>
      <c r="B596">
        <v>29</v>
      </c>
    </row>
    <row r="597" spans="1:2">
      <c r="A597">
        <v>0</v>
      </c>
      <c r="B597">
        <v>28.22</v>
      </c>
    </row>
    <row r="598" spans="1:2">
      <c r="A598" t="s">
        <v>19</v>
      </c>
      <c r="B598">
        <v>21.44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0</v>
      </c>
    </row>
    <row r="603" spans="1:2">
      <c r="A603">
        <v>0</v>
      </c>
      <c r="B603">
        <v>0</v>
      </c>
    </row>
    <row r="604" spans="1:2">
      <c r="A604">
        <v>0</v>
      </c>
      <c r="B604">
        <v>0</v>
      </c>
    </row>
    <row r="605" spans="1:2">
      <c r="A605">
        <v>0</v>
      </c>
      <c r="B605">
        <v>0</v>
      </c>
    </row>
    <row r="606" spans="1:2">
      <c r="A606" t="s">
        <v>31</v>
      </c>
      <c r="B606">
        <v>0</v>
      </c>
    </row>
    <row r="607" spans="1:2">
      <c r="A607">
        <v>0</v>
      </c>
      <c r="B607">
        <v>0</v>
      </c>
    </row>
    <row r="608" spans="1:2">
      <c r="A608" t="s">
        <v>26</v>
      </c>
      <c r="B608">
        <v>0</v>
      </c>
    </row>
    <row r="609" spans="1:2">
      <c r="A609" t="s">
        <v>29</v>
      </c>
      <c r="B609">
        <v>0</v>
      </c>
    </row>
    <row r="610" spans="1:2">
      <c r="A610">
        <v>0</v>
      </c>
      <c r="B610">
        <v>0</v>
      </c>
    </row>
    <row r="611" spans="1:2">
      <c r="A611" t="s">
        <v>29</v>
      </c>
      <c r="B611">
        <v>0</v>
      </c>
    </row>
    <row r="612" spans="1:2">
      <c r="A612" t="s">
        <v>26</v>
      </c>
      <c r="B612">
        <v>0</v>
      </c>
    </row>
    <row r="613" spans="1:2">
      <c r="A613">
        <v>0</v>
      </c>
      <c r="B613">
        <v>0</v>
      </c>
    </row>
    <row r="614" spans="1:2">
      <c r="A614" t="s">
        <v>19</v>
      </c>
      <c r="B614">
        <v>0</v>
      </c>
    </row>
    <row r="615" spans="1:2">
      <c r="A615" t="s">
        <v>30</v>
      </c>
      <c r="B615">
        <v>0</v>
      </c>
    </row>
    <row r="616" spans="1:2">
      <c r="A616" t="s">
        <v>30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61.16</v>
      </c>
    </row>
    <row r="620" spans="1:2">
      <c r="A620" t="s">
        <v>25</v>
      </c>
      <c r="B620">
        <v>55.66</v>
      </c>
    </row>
    <row r="621" spans="1:2">
      <c r="A621">
        <v>0</v>
      </c>
      <c r="B621">
        <v>51.24</v>
      </c>
    </row>
    <row r="622" spans="1:2">
      <c r="A622" t="s">
        <v>28</v>
      </c>
      <c r="B622">
        <v>33.46</v>
      </c>
    </row>
    <row r="623" spans="1:2">
      <c r="A623">
        <v>0</v>
      </c>
      <c r="B623">
        <v>33.08</v>
      </c>
    </row>
    <row r="624" spans="1:2">
      <c r="A624" t="s">
        <v>28</v>
      </c>
      <c r="B624">
        <v>29.76</v>
      </c>
    </row>
    <row r="625" spans="1:2">
      <c r="A625">
        <v>0</v>
      </c>
      <c r="B625">
        <v>26.71</v>
      </c>
    </row>
    <row r="626" spans="1:2">
      <c r="A626">
        <v>0</v>
      </c>
      <c r="B626">
        <v>0</v>
      </c>
    </row>
    <row r="627" spans="1:2">
      <c r="A627" t="s">
        <v>31</v>
      </c>
      <c r="B627">
        <v>0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0</v>
      </c>
      <c r="B630">
        <v>0</v>
      </c>
    </row>
    <row r="631" spans="1:2">
      <c r="A631">
        <v>0</v>
      </c>
      <c r="B631">
        <v>0</v>
      </c>
    </row>
    <row r="632" spans="1:2">
      <c r="A632" t="s">
        <v>31</v>
      </c>
      <c r="B632">
        <v>0</v>
      </c>
    </row>
    <row r="633" spans="1:2">
      <c r="A633" t="s">
        <v>19</v>
      </c>
      <c r="B633">
        <v>0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0</v>
      </c>
      <c r="B636">
        <v>0</v>
      </c>
    </row>
    <row r="637" spans="1:2">
      <c r="A637">
        <v>0</v>
      </c>
      <c r="B637">
        <v>0</v>
      </c>
    </row>
    <row r="638" spans="1:2">
      <c r="A638" t="s">
        <v>26</v>
      </c>
      <c r="B638">
        <v>0</v>
      </c>
    </row>
    <row r="639" spans="1:2">
      <c r="A639" t="s">
        <v>25</v>
      </c>
      <c r="B639">
        <v>96</v>
      </c>
    </row>
    <row r="640" spans="1:2">
      <c r="A640" t="s">
        <v>26</v>
      </c>
      <c r="B640">
        <v>103.95</v>
      </c>
    </row>
    <row r="641" spans="1:2">
      <c r="A641">
        <v>0</v>
      </c>
      <c r="B641">
        <v>67.61</v>
      </c>
    </row>
    <row r="642" spans="1:2">
      <c r="A642">
        <v>0</v>
      </c>
      <c r="B642">
        <v>55.81</v>
      </c>
    </row>
    <row r="643" spans="1:2">
      <c r="A643">
        <v>0</v>
      </c>
      <c r="B643">
        <v>49.41</v>
      </c>
    </row>
    <row r="644" spans="1:2">
      <c r="A644">
        <v>0</v>
      </c>
      <c r="B644">
        <v>32.65</v>
      </c>
    </row>
    <row r="645" spans="1:2">
      <c r="A645">
        <v>0</v>
      </c>
      <c r="B645">
        <v>26.79</v>
      </c>
    </row>
    <row r="646" spans="1:2">
      <c r="A646">
        <v>0</v>
      </c>
      <c r="B646">
        <v>20.53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0</v>
      </c>
      <c r="B652">
        <v>0</v>
      </c>
    </row>
    <row r="653" spans="1:2">
      <c r="A653">
        <v>0</v>
      </c>
      <c r="B653">
        <v>0</v>
      </c>
    </row>
    <row r="654" spans="1:2">
      <c r="A654">
        <v>0</v>
      </c>
      <c r="B654">
        <v>0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 t="s">
        <v>29</v>
      </c>
      <c r="B658">
        <v>0</v>
      </c>
    </row>
    <row r="659" spans="1:2">
      <c r="A659" t="s">
        <v>25</v>
      </c>
      <c r="B659">
        <v>0</v>
      </c>
    </row>
    <row r="660" spans="1:2">
      <c r="A660">
        <v>0</v>
      </c>
      <c r="B660">
        <v>0</v>
      </c>
    </row>
    <row r="661" spans="1:2">
      <c r="A661">
        <v>0</v>
      </c>
      <c r="B661">
        <v>0</v>
      </c>
    </row>
    <row r="662" spans="1:2">
      <c r="A662" t="s">
        <v>25</v>
      </c>
      <c r="B662">
        <v>197</v>
      </c>
    </row>
    <row r="663" spans="1:2">
      <c r="A663" t="s">
        <v>25</v>
      </c>
      <c r="B663">
        <v>174.36</v>
      </c>
    </row>
    <row r="664" spans="1:2">
      <c r="A664">
        <v>0</v>
      </c>
      <c r="B664">
        <v>157.91999999999999</v>
      </c>
    </row>
    <row r="665" spans="1:2">
      <c r="A665">
        <v>0</v>
      </c>
      <c r="B665">
        <v>132.55000000000001</v>
      </c>
    </row>
    <row r="666" spans="1:2">
      <c r="A666">
        <v>0</v>
      </c>
      <c r="B666">
        <v>71.66</v>
      </c>
    </row>
    <row r="667" spans="1:2">
      <c r="A667">
        <v>0</v>
      </c>
      <c r="B667">
        <v>68.099999999999994</v>
      </c>
    </row>
    <row r="668" spans="1:2">
      <c r="A668">
        <v>0</v>
      </c>
      <c r="B668">
        <v>44.1</v>
      </c>
    </row>
    <row r="669" spans="1:2">
      <c r="A669" t="s">
        <v>31</v>
      </c>
      <c r="B669">
        <v>41.93</v>
      </c>
    </row>
    <row r="670" spans="1:2">
      <c r="A670" t="s">
        <v>28</v>
      </c>
      <c r="B670">
        <v>41.74</v>
      </c>
    </row>
    <row r="671" spans="1:2">
      <c r="A671">
        <v>0</v>
      </c>
      <c r="B671">
        <v>31.42</v>
      </c>
    </row>
    <row r="672" spans="1:2">
      <c r="A672">
        <v>0</v>
      </c>
      <c r="B672">
        <v>22.85</v>
      </c>
    </row>
    <row r="673" spans="1:2">
      <c r="A673">
        <v>0</v>
      </c>
      <c r="B673">
        <v>14.97</v>
      </c>
    </row>
    <row r="674" spans="1:2">
      <c r="A674" t="s">
        <v>26</v>
      </c>
      <c r="B674">
        <v>13.56</v>
      </c>
    </row>
    <row r="675" spans="1:2">
      <c r="A675">
        <v>0</v>
      </c>
      <c r="B675">
        <v>0</v>
      </c>
    </row>
    <row r="676" spans="1:2">
      <c r="A676">
        <v>0</v>
      </c>
      <c r="B676">
        <v>0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 t="s">
        <v>30</v>
      </c>
      <c r="B679">
        <v>0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0</v>
      </c>
      <c r="B684">
        <v>0</v>
      </c>
    </row>
    <row r="685" spans="1:2">
      <c r="A685">
        <v>0</v>
      </c>
      <c r="B685">
        <v>0</v>
      </c>
    </row>
    <row r="686" spans="1:2">
      <c r="A686">
        <v>0</v>
      </c>
      <c r="B686">
        <v>0</v>
      </c>
    </row>
    <row r="687" spans="1:2">
      <c r="A687" t="s">
        <v>31</v>
      </c>
      <c r="B687">
        <v>0</v>
      </c>
    </row>
    <row r="688" spans="1:2">
      <c r="A688">
        <v>0</v>
      </c>
      <c r="B688">
        <v>0</v>
      </c>
    </row>
    <row r="689" spans="1:2">
      <c r="A689">
        <v>0</v>
      </c>
      <c r="B689">
        <v>0</v>
      </c>
    </row>
    <row r="690" spans="1:2">
      <c r="A690">
        <v>0</v>
      </c>
      <c r="B690">
        <v>0</v>
      </c>
    </row>
    <row r="691" spans="1:2">
      <c r="A691" t="s">
        <v>19</v>
      </c>
      <c r="B691">
        <v>0</v>
      </c>
    </row>
    <row r="692" spans="1:2">
      <c r="A692">
        <v>0</v>
      </c>
      <c r="B692">
        <v>0</v>
      </c>
    </row>
    <row r="693" spans="1:2">
      <c r="A693" t="s">
        <v>19</v>
      </c>
      <c r="B693">
        <v>0</v>
      </c>
    </row>
    <row r="694" spans="1:2">
      <c r="A694">
        <v>0</v>
      </c>
      <c r="B694">
        <v>0</v>
      </c>
    </row>
    <row r="695" spans="1:2">
      <c r="A695">
        <v>0</v>
      </c>
      <c r="B695">
        <v>425</v>
      </c>
    </row>
    <row r="696" spans="1:2">
      <c r="A696">
        <v>0</v>
      </c>
      <c r="B696">
        <v>95.19</v>
      </c>
    </row>
    <row r="697" spans="1:2">
      <c r="A697">
        <v>0</v>
      </c>
      <c r="B697">
        <v>77.430000000000007</v>
      </c>
    </row>
    <row r="698" spans="1:2">
      <c r="A698">
        <v>0</v>
      </c>
      <c r="B698">
        <v>55.82</v>
      </c>
    </row>
    <row r="699" spans="1:2">
      <c r="A699">
        <v>0</v>
      </c>
      <c r="B699">
        <v>50.06</v>
      </c>
    </row>
    <row r="700" spans="1:2">
      <c r="A700" t="s">
        <v>29</v>
      </c>
      <c r="B700">
        <v>36.619999999999997</v>
      </c>
    </row>
    <row r="701" spans="1:2">
      <c r="A701">
        <v>0</v>
      </c>
      <c r="B701">
        <v>36.159999999999997</v>
      </c>
    </row>
    <row r="702" spans="1:2">
      <c r="A702">
        <v>0</v>
      </c>
      <c r="B702">
        <v>0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 t="s">
        <v>29</v>
      </c>
      <c r="B705">
        <v>0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0</v>
      </c>
      <c r="B708">
        <v>0</v>
      </c>
    </row>
    <row r="709" spans="1:2">
      <c r="A709">
        <v>0</v>
      </c>
      <c r="B709">
        <v>0</v>
      </c>
    </row>
    <row r="710" spans="1:2">
      <c r="A710">
        <v>0</v>
      </c>
      <c r="B710">
        <v>0</v>
      </c>
    </row>
    <row r="711" spans="1:2">
      <c r="A711" t="s">
        <v>19</v>
      </c>
      <c r="B711">
        <v>0</v>
      </c>
    </row>
    <row r="712" spans="1:2">
      <c r="A712">
        <v>0</v>
      </c>
      <c r="B712">
        <v>0</v>
      </c>
    </row>
    <row r="713" spans="1:2">
      <c r="A713">
        <v>0</v>
      </c>
      <c r="B713">
        <v>0</v>
      </c>
    </row>
    <row r="714" spans="1:2">
      <c r="A714">
        <v>0</v>
      </c>
      <c r="B714">
        <v>0</v>
      </c>
    </row>
    <row r="715" spans="1:2">
      <c r="A715">
        <v>0</v>
      </c>
      <c r="B715">
        <v>0</v>
      </c>
    </row>
    <row r="716" spans="1:2">
      <c r="A716">
        <v>0</v>
      </c>
      <c r="B716">
        <v>0</v>
      </c>
    </row>
    <row r="717" spans="1:2">
      <c r="A717">
        <v>0</v>
      </c>
      <c r="B717">
        <v>0</v>
      </c>
    </row>
    <row r="718" spans="1:2">
      <c r="A718">
        <v>0</v>
      </c>
      <c r="B718">
        <v>0</v>
      </c>
    </row>
    <row r="719" spans="1:2">
      <c r="A719">
        <v>0</v>
      </c>
      <c r="B719">
        <v>0</v>
      </c>
    </row>
    <row r="720" spans="1:2">
      <c r="A720">
        <v>0</v>
      </c>
      <c r="B720">
        <v>0</v>
      </c>
    </row>
    <row r="721" spans="1:2">
      <c r="A721" t="s">
        <v>19</v>
      </c>
      <c r="B721">
        <v>0</v>
      </c>
    </row>
    <row r="722" spans="1:2">
      <c r="A722">
        <v>0</v>
      </c>
      <c r="B722">
        <v>0</v>
      </c>
    </row>
    <row r="723" spans="1:2">
      <c r="A723">
        <v>0</v>
      </c>
      <c r="B723">
        <v>0</v>
      </c>
    </row>
    <row r="724" spans="1:2">
      <c r="A724" t="s">
        <v>30</v>
      </c>
      <c r="B724">
        <v>0</v>
      </c>
    </row>
    <row r="725" spans="1:2">
      <c r="A725">
        <v>0</v>
      </c>
      <c r="B725">
        <v>546</v>
      </c>
    </row>
    <row r="726" spans="1:2">
      <c r="A726">
        <v>0</v>
      </c>
      <c r="B726">
        <v>139.59</v>
      </c>
    </row>
    <row r="727" spans="1:2">
      <c r="A727">
        <v>0</v>
      </c>
      <c r="B727">
        <v>106.6</v>
      </c>
    </row>
    <row r="728" spans="1:2">
      <c r="A728">
        <v>0</v>
      </c>
      <c r="B728">
        <v>80.040000000000006</v>
      </c>
    </row>
    <row r="729" spans="1:2">
      <c r="A729">
        <v>0</v>
      </c>
      <c r="B729">
        <v>75.540000000000006</v>
      </c>
    </row>
    <row r="730" spans="1:2">
      <c r="A730">
        <v>0</v>
      </c>
      <c r="B730">
        <v>65.02</v>
      </c>
    </row>
    <row r="731" spans="1:2">
      <c r="A731">
        <v>0</v>
      </c>
      <c r="B731">
        <v>57.2</v>
      </c>
    </row>
    <row r="732" spans="1:2">
      <c r="A732">
        <v>0</v>
      </c>
      <c r="B732">
        <v>52.62</v>
      </c>
    </row>
    <row r="733" spans="1:2">
      <c r="A733">
        <v>0</v>
      </c>
      <c r="B733">
        <v>30.78</v>
      </c>
    </row>
    <row r="734" spans="1:2">
      <c r="A734" t="s">
        <v>29</v>
      </c>
      <c r="B734">
        <v>19.309999999999999</v>
      </c>
    </row>
    <row r="735" spans="1:2">
      <c r="A735">
        <v>0</v>
      </c>
      <c r="B735">
        <v>18.77</v>
      </c>
    </row>
    <row r="736" spans="1:2">
      <c r="A736">
        <v>0</v>
      </c>
      <c r="B736">
        <v>16.89</v>
      </c>
    </row>
    <row r="737" spans="1:2">
      <c r="A737" t="s">
        <v>26</v>
      </c>
      <c r="B737">
        <v>13.81</v>
      </c>
    </row>
    <row r="738" spans="1:2">
      <c r="A738" t="s">
        <v>29</v>
      </c>
      <c r="B738">
        <v>0</v>
      </c>
    </row>
    <row r="739" spans="1:2">
      <c r="A739" t="s">
        <v>28</v>
      </c>
      <c r="B739">
        <v>0</v>
      </c>
    </row>
    <row r="740" spans="1:2">
      <c r="A740" t="s">
        <v>26</v>
      </c>
      <c r="B740">
        <v>0</v>
      </c>
    </row>
    <row r="741" spans="1:2">
      <c r="A741" t="s">
        <v>26</v>
      </c>
      <c r="B741">
        <v>0</v>
      </c>
    </row>
    <row r="742" spans="1:2">
      <c r="A742" t="s">
        <v>31</v>
      </c>
      <c r="B742">
        <v>0</v>
      </c>
    </row>
    <row r="743" spans="1:2">
      <c r="A743">
        <v>0</v>
      </c>
      <c r="B743">
        <v>0</v>
      </c>
    </row>
    <row r="744" spans="1:2">
      <c r="A744" t="s">
        <v>19</v>
      </c>
      <c r="B744">
        <v>0</v>
      </c>
    </row>
    <row r="745" spans="1:2">
      <c r="A745" t="s">
        <v>30</v>
      </c>
      <c r="B745">
        <v>0</v>
      </c>
    </row>
    <row r="746" spans="1:2">
      <c r="A746">
        <v>0</v>
      </c>
      <c r="B746">
        <v>0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0</v>
      </c>
      <c r="B749">
        <v>0</v>
      </c>
    </row>
    <row r="750" spans="1:2">
      <c r="A750">
        <v>0</v>
      </c>
      <c r="B750">
        <v>0</v>
      </c>
    </row>
    <row r="751" spans="1:2">
      <c r="A751" t="s">
        <v>19</v>
      </c>
      <c r="B751">
        <v>0</v>
      </c>
    </row>
    <row r="752" spans="1:2">
      <c r="A752" t="s">
        <v>19</v>
      </c>
      <c r="B752">
        <v>0</v>
      </c>
    </row>
    <row r="753" spans="1:2">
      <c r="A753">
        <v>0</v>
      </c>
      <c r="B753">
        <v>0</v>
      </c>
    </row>
    <row r="754" spans="1:2">
      <c r="A754" t="s">
        <v>26</v>
      </c>
      <c r="B754">
        <v>0</v>
      </c>
    </row>
    <row r="755" spans="1:2">
      <c r="A755">
        <v>0</v>
      </c>
      <c r="B755">
        <v>0</v>
      </c>
    </row>
    <row r="756" spans="1:2">
      <c r="A756">
        <v>0</v>
      </c>
      <c r="B756">
        <v>0</v>
      </c>
    </row>
    <row r="757" spans="1:2">
      <c r="A757">
        <v>0</v>
      </c>
      <c r="B757">
        <v>0</v>
      </c>
    </row>
    <row r="758" spans="1:2">
      <c r="A758">
        <v>0</v>
      </c>
      <c r="B758">
        <v>97</v>
      </c>
    </row>
    <row r="759" spans="1:2">
      <c r="A759" t="s">
        <v>31</v>
      </c>
      <c r="B759">
        <v>203.72</v>
      </c>
    </row>
    <row r="760" spans="1:2">
      <c r="A760" t="s">
        <v>28</v>
      </c>
      <c r="B760">
        <v>75.5</v>
      </c>
    </row>
    <row r="761" spans="1:2">
      <c r="A761">
        <v>0</v>
      </c>
      <c r="B761">
        <v>64.87</v>
      </c>
    </row>
    <row r="762" spans="1:2">
      <c r="A762">
        <v>0</v>
      </c>
      <c r="B762">
        <v>58.79</v>
      </c>
    </row>
    <row r="763" spans="1:2">
      <c r="A763" t="s">
        <v>19</v>
      </c>
      <c r="B763">
        <v>53.07</v>
      </c>
    </row>
    <row r="764" spans="1:2">
      <c r="A764">
        <v>0</v>
      </c>
      <c r="B764">
        <v>49.97</v>
      </c>
    </row>
    <row r="765" spans="1:2">
      <c r="A765" t="s">
        <v>25</v>
      </c>
      <c r="B765">
        <v>41.87</v>
      </c>
    </row>
    <row r="766" spans="1:2">
      <c r="A766">
        <v>0</v>
      </c>
      <c r="B766">
        <v>30.32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0</v>
      </c>
      <c r="B769">
        <v>0</v>
      </c>
    </row>
    <row r="770" spans="1:2">
      <c r="A770">
        <v>0</v>
      </c>
      <c r="B770">
        <v>0</v>
      </c>
    </row>
    <row r="771" spans="1:2">
      <c r="A771" t="s">
        <v>28</v>
      </c>
      <c r="B771">
        <v>0</v>
      </c>
    </row>
    <row r="772" spans="1:2">
      <c r="A772">
        <v>0</v>
      </c>
      <c r="B772">
        <v>0</v>
      </c>
    </row>
    <row r="773" spans="1:2">
      <c r="A773">
        <v>0</v>
      </c>
      <c r="B773">
        <v>0</v>
      </c>
    </row>
    <row r="774" spans="1:2">
      <c r="A774">
        <v>0</v>
      </c>
      <c r="B774">
        <v>0</v>
      </c>
    </row>
    <row r="775" spans="1:2">
      <c r="A775">
        <v>0</v>
      </c>
      <c r="B775">
        <v>0</v>
      </c>
    </row>
    <row r="776" spans="1:2">
      <c r="A776" t="s">
        <v>30</v>
      </c>
      <c r="B776">
        <v>0</v>
      </c>
    </row>
    <row r="777" spans="1:2">
      <c r="A777">
        <v>0</v>
      </c>
      <c r="B777">
        <v>0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311.02999999999997</v>
      </c>
    </row>
    <row r="781" spans="1:2">
      <c r="A781">
        <v>0</v>
      </c>
      <c r="B781">
        <v>268.44</v>
      </c>
    </row>
    <row r="782" spans="1:2">
      <c r="A782" t="s">
        <v>25</v>
      </c>
      <c r="B782">
        <v>209.14</v>
      </c>
    </row>
    <row r="783" spans="1:2">
      <c r="A783">
        <v>0</v>
      </c>
      <c r="B783">
        <v>194.02</v>
      </c>
    </row>
    <row r="784" spans="1:2">
      <c r="A784">
        <v>0</v>
      </c>
      <c r="B784">
        <v>167.18</v>
      </c>
    </row>
    <row r="785" spans="1:2">
      <c r="A785">
        <v>0</v>
      </c>
      <c r="B785">
        <v>148.65</v>
      </c>
    </row>
    <row r="786" spans="1:2">
      <c r="A786">
        <v>0</v>
      </c>
      <c r="B786">
        <v>108.98</v>
      </c>
    </row>
    <row r="787" spans="1:2">
      <c r="A787">
        <v>0</v>
      </c>
      <c r="B787">
        <v>32.42</v>
      </c>
    </row>
    <row r="788" spans="1:2">
      <c r="A788">
        <v>0</v>
      </c>
      <c r="B788">
        <v>27.89</v>
      </c>
    </row>
    <row r="789" spans="1:2">
      <c r="A789">
        <v>0</v>
      </c>
      <c r="B789">
        <v>18.940000000000001</v>
      </c>
    </row>
    <row r="790" spans="1:2">
      <c r="A790">
        <v>0</v>
      </c>
      <c r="B790">
        <v>17.32</v>
      </c>
    </row>
    <row r="791" spans="1:2">
      <c r="A791" t="s">
        <v>29</v>
      </c>
      <c r="B791">
        <v>0</v>
      </c>
    </row>
    <row r="792" spans="1:2">
      <c r="A792">
        <v>0</v>
      </c>
      <c r="B792">
        <v>0</v>
      </c>
    </row>
    <row r="793" spans="1:2">
      <c r="A793">
        <v>0</v>
      </c>
      <c r="B793">
        <v>0</v>
      </c>
    </row>
    <row r="794" spans="1:2">
      <c r="A794" t="s">
        <v>28</v>
      </c>
      <c r="B794">
        <v>0</v>
      </c>
    </row>
    <row r="795" spans="1:2">
      <c r="A795">
        <v>0</v>
      </c>
      <c r="B795">
        <v>0</v>
      </c>
    </row>
    <row r="796" spans="1:2">
      <c r="A796">
        <v>0</v>
      </c>
      <c r="B796">
        <v>0</v>
      </c>
    </row>
    <row r="797" spans="1:2">
      <c r="A797">
        <v>0</v>
      </c>
      <c r="B797">
        <v>0</v>
      </c>
    </row>
    <row r="798" spans="1:2">
      <c r="A798">
        <v>0</v>
      </c>
      <c r="B798">
        <v>0</v>
      </c>
    </row>
    <row r="799" spans="1:2">
      <c r="A799" t="s">
        <v>25</v>
      </c>
      <c r="B799">
        <v>0</v>
      </c>
    </row>
    <row r="800" spans="1:2">
      <c r="A800">
        <v>0</v>
      </c>
      <c r="B800">
        <v>0</v>
      </c>
    </row>
    <row r="801" spans="1:2">
      <c r="A801" t="s">
        <v>31</v>
      </c>
      <c r="B801">
        <v>0</v>
      </c>
    </row>
    <row r="802" spans="1:2">
      <c r="A802" t="s">
        <v>30</v>
      </c>
      <c r="B802">
        <v>0</v>
      </c>
    </row>
    <row r="803" spans="1:2">
      <c r="A803">
        <v>0</v>
      </c>
      <c r="B803">
        <v>0</v>
      </c>
    </row>
    <row r="804" spans="1:2">
      <c r="A804" t="s">
        <v>19</v>
      </c>
      <c r="B804">
        <v>0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 t="s">
        <v>30</v>
      </c>
      <c r="B809">
        <v>0</v>
      </c>
    </row>
    <row r="810" spans="1:2">
      <c r="A810">
        <v>0</v>
      </c>
      <c r="B810">
        <v>0</v>
      </c>
    </row>
    <row r="811" spans="1:2">
      <c r="A811" t="s">
        <v>25</v>
      </c>
      <c r="B811">
        <v>180</v>
      </c>
    </row>
    <row r="812" spans="1:2">
      <c r="A812">
        <v>0</v>
      </c>
      <c r="B812">
        <v>364</v>
      </c>
    </row>
    <row r="813" spans="1:2">
      <c r="A813">
        <v>0</v>
      </c>
      <c r="B813">
        <v>114</v>
      </c>
    </row>
    <row r="814" spans="1:2">
      <c r="A814">
        <v>0</v>
      </c>
      <c r="B814">
        <v>263</v>
      </c>
    </row>
    <row r="815" spans="1:2">
      <c r="A815" t="s">
        <v>25</v>
      </c>
      <c r="B815">
        <v>137.88999999999999</v>
      </c>
    </row>
    <row r="816" spans="1:2">
      <c r="A816" t="s">
        <v>26</v>
      </c>
      <c r="B816">
        <v>112.93</v>
      </c>
    </row>
    <row r="817" spans="1:2">
      <c r="A817">
        <v>0</v>
      </c>
      <c r="B817">
        <v>93.36</v>
      </c>
    </row>
    <row r="818" spans="1:2">
      <c r="A818">
        <v>0</v>
      </c>
      <c r="B818">
        <v>88.93</v>
      </c>
    </row>
    <row r="819" spans="1:2">
      <c r="A819">
        <v>0</v>
      </c>
      <c r="B819">
        <v>62.8</v>
      </c>
    </row>
    <row r="820" spans="1:2">
      <c r="A820">
        <v>0</v>
      </c>
      <c r="B820">
        <v>51.69</v>
      </c>
    </row>
    <row r="821" spans="1:2">
      <c r="A821">
        <v>0</v>
      </c>
      <c r="B821">
        <v>48.1</v>
      </c>
    </row>
    <row r="822" spans="1:2">
      <c r="A822">
        <v>0</v>
      </c>
      <c r="B822">
        <v>45.31</v>
      </c>
    </row>
    <row r="823" spans="1:2">
      <c r="A823" t="s">
        <v>29</v>
      </c>
      <c r="B823">
        <v>40.61</v>
      </c>
    </row>
    <row r="824" spans="1:2">
      <c r="A824">
        <v>0</v>
      </c>
      <c r="B824">
        <v>38.43</v>
      </c>
    </row>
    <row r="825" spans="1:2">
      <c r="A825">
        <v>0</v>
      </c>
      <c r="B825">
        <v>36.43</v>
      </c>
    </row>
    <row r="826" spans="1:2">
      <c r="A826">
        <v>0</v>
      </c>
      <c r="B826">
        <v>34.39</v>
      </c>
    </row>
    <row r="827" spans="1:2">
      <c r="A827">
        <v>0</v>
      </c>
      <c r="B827">
        <v>30.34</v>
      </c>
    </row>
    <row r="828" spans="1:2">
      <c r="A828">
        <v>0</v>
      </c>
      <c r="B828">
        <v>0</v>
      </c>
    </row>
    <row r="829" spans="1:2">
      <c r="A829">
        <v>0</v>
      </c>
      <c r="B829">
        <v>0</v>
      </c>
    </row>
    <row r="830" spans="1:2">
      <c r="A830" t="s">
        <v>26</v>
      </c>
      <c r="B830">
        <v>0</v>
      </c>
    </row>
    <row r="831" spans="1:2">
      <c r="A831">
        <v>0</v>
      </c>
      <c r="B831">
        <v>0</v>
      </c>
    </row>
    <row r="832" spans="1:2">
      <c r="A832">
        <v>0</v>
      </c>
      <c r="B832">
        <v>0</v>
      </c>
    </row>
    <row r="833" spans="1:2">
      <c r="A833">
        <v>0</v>
      </c>
      <c r="B833">
        <v>0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0</v>
      </c>
      <c r="B837">
        <v>0</v>
      </c>
    </row>
    <row r="838" spans="1:2">
      <c r="A838" t="s">
        <v>19</v>
      </c>
      <c r="B838">
        <v>0</v>
      </c>
    </row>
    <row r="839" spans="1:2">
      <c r="A839">
        <v>0</v>
      </c>
      <c r="B839">
        <v>0</v>
      </c>
    </row>
    <row r="840" spans="1:2">
      <c r="A840" t="s">
        <v>30</v>
      </c>
      <c r="B840">
        <v>0</v>
      </c>
    </row>
    <row r="841" spans="1:2">
      <c r="A841">
        <v>0</v>
      </c>
      <c r="B841">
        <v>0</v>
      </c>
    </row>
    <row r="842" spans="1:2">
      <c r="A842" t="s">
        <v>19</v>
      </c>
      <c r="B842">
        <v>0</v>
      </c>
    </row>
    <row r="843" spans="1:2">
      <c r="A843" t="s">
        <v>31</v>
      </c>
      <c r="B843">
        <v>424</v>
      </c>
    </row>
    <row r="844" spans="1:2">
      <c r="A844">
        <v>0</v>
      </c>
      <c r="B844">
        <v>374</v>
      </c>
    </row>
    <row r="845" spans="1:2">
      <c r="A845">
        <v>0</v>
      </c>
      <c r="B845">
        <v>111</v>
      </c>
    </row>
    <row r="846" spans="1:2">
      <c r="A846">
        <v>0</v>
      </c>
      <c r="B846">
        <v>93</v>
      </c>
    </row>
    <row r="847" spans="1:2">
      <c r="A847">
        <v>0</v>
      </c>
      <c r="B847">
        <v>91.37</v>
      </c>
    </row>
    <row r="848" spans="1:2">
      <c r="A848">
        <v>0</v>
      </c>
      <c r="B848">
        <v>59.43</v>
      </c>
    </row>
    <row r="849" spans="1:2">
      <c r="A849">
        <v>0</v>
      </c>
      <c r="B849">
        <v>57.37</v>
      </c>
    </row>
    <row r="850" spans="1:2">
      <c r="A850" t="s">
        <v>28</v>
      </c>
      <c r="B850">
        <v>20.61</v>
      </c>
    </row>
    <row r="851" spans="1:2">
      <c r="A851">
        <v>0</v>
      </c>
      <c r="B851">
        <v>0</v>
      </c>
    </row>
    <row r="852" spans="1:2">
      <c r="A852">
        <v>0</v>
      </c>
      <c r="B852">
        <v>0</v>
      </c>
    </row>
    <row r="853" spans="1:2">
      <c r="A853" t="s">
        <v>29</v>
      </c>
      <c r="B853">
        <v>0</v>
      </c>
    </row>
    <row r="854" spans="1:2">
      <c r="A854" t="s">
        <v>28</v>
      </c>
      <c r="B854">
        <v>0</v>
      </c>
    </row>
    <row r="855" spans="1:2">
      <c r="A855" t="s">
        <v>26</v>
      </c>
      <c r="B855">
        <v>0</v>
      </c>
    </row>
    <row r="856" spans="1:2">
      <c r="A856" t="s">
        <v>29</v>
      </c>
      <c r="B856">
        <v>0</v>
      </c>
    </row>
    <row r="857" spans="1:2">
      <c r="A857">
        <v>0</v>
      </c>
      <c r="B857">
        <v>0</v>
      </c>
    </row>
    <row r="858" spans="1:2">
      <c r="A858" t="s">
        <v>31</v>
      </c>
      <c r="B858">
        <v>0</v>
      </c>
    </row>
    <row r="859" spans="1:2">
      <c r="A859">
        <v>0</v>
      </c>
      <c r="B859">
        <v>0</v>
      </c>
    </row>
    <row r="860" spans="1:2">
      <c r="A860">
        <v>0</v>
      </c>
      <c r="B860">
        <v>0</v>
      </c>
    </row>
    <row r="861" spans="1:2">
      <c r="A861">
        <v>0</v>
      </c>
      <c r="B861">
        <v>0</v>
      </c>
    </row>
    <row r="862" spans="1:2">
      <c r="A862">
        <v>0</v>
      </c>
      <c r="B862">
        <v>0</v>
      </c>
    </row>
    <row r="863" spans="1:2">
      <c r="A863" t="s">
        <v>19</v>
      </c>
      <c r="B863">
        <v>0</v>
      </c>
    </row>
    <row r="864" spans="1:2">
      <c r="A864">
        <v>0</v>
      </c>
      <c r="B864">
        <v>0</v>
      </c>
    </row>
    <row r="865" spans="1:2">
      <c r="A865">
        <v>0</v>
      </c>
      <c r="B865">
        <v>0</v>
      </c>
    </row>
    <row r="866" spans="1:2">
      <c r="A866">
        <v>0</v>
      </c>
      <c r="B866">
        <v>0</v>
      </c>
    </row>
    <row r="867" spans="1:2">
      <c r="A867">
        <v>0</v>
      </c>
      <c r="B867">
        <v>188</v>
      </c>
    </row>
    <row r="868" spans="1:2">
      <c r="A868">
        <v>0</v>
      </c>
      <c r="B868">
        <v>125.15</v>
      </c>
    </row>
    <row r="869" spans="1:2">
      <c r="A869">
        <v>0</v>
      </c>
      <c r="B869">
        <v>118.73</v>
      </c>
    </row>
    <row r="870" spans="1:2">
      <c r="A870" t="s">
        <v>25</v>
      </c>
      <c r="B870">
        <v>94.46</v>
      </c>
    </row>
    <row r="871" spans="1:2">
      <c r="A871" t="s">
        <v>29</v>
      </c>
      <c r="B871">
        <v>73.52</v>
      </c>
    </row>
    <row r="872" spans="1:2">
      <c r="A872">
        <v>0</v>
      </c>
      <c r="B872">
        <v>70.94</v>
      </c>
    </row>
    <row r="873" spans="1:2">
      <c r="A873">
        <v>0</v>
      </c>
      <c r="B873">
        <v>34.869999999999997</v>
      </c>
    </row>
    <row r="874" spans="1:2">
      <c r="A874" t="s">
        <v>29</v>
      </c>
      <c r="B874">
        <v>29.68</v>
      </c>
    </row>
    <row r="875" spans="1:2">
      <c r="A875" t="s">
        <v>29</v>
      </c>
      <c r="B875">
        <v>23.54</v>
      </c>
    </row>
    <row r="876" spans="1:2">
      <c r="A876">
        <v>0</v>
      </c>
      <c r="B876">
        <v>21.82</v>
      </c>
    </row>
    <row r="877" spans="1:2">
      <c r="A877">
        <v>0</v>
      </c>
      <c r="B877">
        <v>20.85</v>
      </c>
    </row>
    <row r="878" spans="1:2">
      <c r="A878">
        <v>0</v>
      </c>
      <c r="B878">
        <v>0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0</v>
      </c>
      <c r="B881">
        <v>0</v>
      </c>
    </row>
    <row r="882" spans="1:2">
      <c r="A882">
        <v>0</v>
      </c>
      <c r="B882">
        <v>0</v>
      </c>
    </row>
    <row r="883" spans="1:2">
      <c r="A883">
        <v>0</v>
      </c>
      <c r="B883">
        <v>0</v>
      </c>
    </row>
    <row r="884" spans="1:2">
      <c r="A884" t="s">
        <v>29</v>
      </c>
      <c r="B884">
        <v>0</v>
      </c>
    </row>
    <row r="885" spans="1:2">
      <c r="A885">
        <v>0</v>
      </c>
      <c r="B885">
        <v>0</v>
      </c>
    </row>
    <row r="886" spans="1:2">
      <c r="A886" t="s">
        <v>26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0</v>
      </c>
      <c r="B889">
        <v>0</v>
      </c>
    </row>
    <row r="890" spans="1:2">
      <c r="A890" t="s">
        <v>25</v>
      </c>
      <c r="B890">
        <v>0</v>
      </c>
    </row>
    <row r="891" spans="1:2">
      <c r="A891" t="s">
        <v>19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0</v>
      </c>
      <c r="B894">
        <v>0</v>
      </c>
    </row>
    <row r="895" spans="1:2">
      <c r="A895">
        <v>0</v>
      </c>
      <c r="B895">
        <v>0</v>
      </c>
    </row>
    <row r="896" spans="1:2">
      <c r="A896" t="s">
        <v>19</v>
      </c>
      <c r="B896">
        <v>157</v>
      </c>
    </row>
    <row r="897" spans="1:2">
      <c r="A897">
        <v>0</v>
      </c>
      <c r="B897">
        <v>183.27</v>
      </c>
    </row>
    <row r="898" spans="1:2">
      <c r="A898">
        <v>0</v>
      </c>
      <c r="B898">
        <v>122.1</v>
      </c>
    </row>
    <row r="899" spans="1:2">
      <c r="A899">
        <v>0</v>
      </c>
      <c r="B899">
        <v>75.92</v>
      </c>
    </row>
    <row r="900" spans="1:2">
      <c r="A900">
        <v>0</v>
      </c>
      <c r="B900">
        <v>62.82</v>
      </c>
    </row>
    <row r="901" spans="1:2">
      <c r="A901">
        <v>0</v>
      </c>
      <c r="B901">
        <v>62.29</v>
      </c>
    </row>
    <row r="902" spans="1:2">
      <c r="A902">
        <v>0</v>
      </c>
      <c r="B902">
        <v>52.3</v>
      </c>
    </row>
    <row r="903" spans="1:2">
      <c r="A903">
        <v>0</v>
      </c>
      <c r="B903">
        <v>46.33</v>
      </c>
    </row>
    <row r="904" spans="1:2">
      <c r="A904">
        <v>0</v>
      </c>
      <c r="B904">
        <v>42.08</v>
      </c>
    </row>
    <row r="905" spans="1:2">
      <c r="A905" t="s">
        <v>31</v>
      </c>
      <c r="B905">
        <v>41.01</v>
      </c>
    </row>
    <row r="906" spans="1:2">
      <c r="A906">
        <v>0</v>
      </c>
      <c r="B906">
        <v>35.729999999999997</v>
      </c>
    </row>
    <row r="907" spans="1:2">
      <c r="A907">
        <v>0</v>
      </c>
      <c r="B907">
        <v>32.590000000000003</v>
      </c>
    </row>
    <row r="908" spans="1:2">
      <c r="A908" t="s">
        <v>30</v>
      </c>
      <c r="B908">
        <v>0</v>
      </c>
    </row>
    <row r="909" spans="1:2">
      <c r="A909" t="s">
        <v>31</v>
      </c>
      <c r="B909">
        <v>0</v>
      </c>
    </row>
    <row r="910" spans="1:2">
      <c r="A910">
        <v>0</v>
      </c>
      <c r="B910">
        <v>0</v>
      </c>
    </row>
    <row r="911" spans="1:2">
      <c r="A911">
        <v>0</v>
      </c>
      <c r="B911">
        <v>0</v>
      </c>
    </row>
    <row r="912" spans="1:2">
      <c r="A912">
        <v>0</v>
      </c>
      <c r="B912">
        <v>0</v>
      </c>
    </row>
    <row r="913" spans="1:2">
      <c r="A913">
        <v>0</v>
      </c>
      <c r="B913">
        <v>0</v>
      </c>
    </row>
    <row r="914" spans="1:2">
      <c r="A914" t="s">
        <v>30</v>
      </c>
      <c r="B914">
        <v>0</v>
      </c>
    </row>
    <row r="915" spans="1:2">
      <c r="A915">
        <v>0</v>
      </c>
      <c r="B915">
        <v>0</v>
      </c>
    </row>
    <row r="916" spans="1:2">
      <c r="A916">
        <v>0</v>
      </c>
      <c r="B916">
        <v>0</v>
      </c>
    </row>
    <row r="917" spans="1:2">
      <c r="A917">
        <v>0</v>
      </c>
      <c r="B917">
        <v>0</v>
      </c>
    </row>
    <row r="918" spans="1:2">
      <c r="A918" t="s">
        <v>19</v>
      </c>
      <c r="B918">
        <v>0</v>
      </c>
    </row>
    <row r="919" spans="1:2">
      <c r="A919">
        <v>0</v>
      </c>
      <c r="B919">
        <v>0</v>
      </c>
    </row>
    <row r="920" spans="1:2">
      <c r="A920" t="s">
        <v>26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 t="s">
        <v>26</v>
      </c>
      <c r="B924">
        <v>0</v>
      </c>
    </row>
    <row r="925" spans="1:2">
      <c r="A925" t="s">
        <v>30</v>
      </c>
      <c r="B925">
        <v>0</v>
      </c>
    </row>
    <row r="926" spans="1:2">
      <c r="A926">
        <v>0</v>
      </c>
      <c r="B926">
        <v>0</v>
      </c>
    </row>
    <row r="927" spans="1:2">
      <c r="A927">
        <v>0</v>
      </c>
      <c r="B927">
        <v>0</v>
      </c>
    </row>
    <row r="928" spans="1:2">
      <c r="A928">
        <v>0</v>
      </c>
      <c r="B928">
        <v>103.04</v>
      </c>
    </row>
    <row r="929" spans="1:2">
      <c r="A929" t="s">
        <v>25</v>
      </c>
      <c r="B929">
        <v>81.349999999999994</v>
      </c>
    </row>
    <row r="930" spans="1:2">
      <c r="A930">
        <v>0</v>
      </c>
      <c r="B930">
        <v>58.14</v>
      </c>
    </row>
    <row r="931" spans="1:2">
      <c r="A931">
        <v>0</v>
      </c>
      <c r="B931">
        <v>34.700000000000003</v>
      </c>
    </row>
    <row r="932" spans="1:2">
      <c r="A932" t="s">
        <v>26</v>
      </c>
      <c r="B932">
        <v>29.47</v>
      </c>
    </row>
    <row r="933" spans="1:2">
      <c r="A933" t="s">
        <v>28</v>
      </c>
      <c r="B933">
        <v>13.83</v>
      </c>
    </row>
    <row r="934" spans="1:2">
      <c r="A934">
        <v>0</v>
      </c>
      <c r="B934">
        <v>0</v>
      </c>
    </row>
    <row r="935" spans="1:2">
      <c r="A935" t="s">
        <v>28</v>
      </c>
      <c r="B935">
        <v>0</v>
      </c>
    </row>
    <row r="936" spans="1:2">
      <c r="A936" t="s">
        <v>29</v>
      </c>
      <c r="B936">
        <v>0</v>
      </c>
    </row>
    <row r="937" spans="1:2">
      <c r="A937">
        <v>0</v>
      </c>
      <c r="B937">
        <v>0</v>
      </c>
    </row>
    <row r="938" spans="1:2">
      <c r="A938" t="s">
        <v>28</v>
      </c>
      <c r="B938">
        <v>0</v>
      </c>
    </row>
    <row r="939" spans="1:2">
      <c r="A939">
        <v>0</v>
      </c>
      <c r="B939">
        <v>0</v>
      </c>
    </row>
    <row r="940" spans="1:2">
      <c r="A940" t="s">
        <v>31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0</v>
      </c>
      <c r="B943">
        <v>0</v>
      </c>
    </row>
    <row r="944" spans="1:2">
      <c r="A944">
        <v>0</v>
      </c>
      <c r="B944">
        <v>0</v>
      </c>
    </row>
    <row r="945" spans="1:2">
      <c r="A945" t="s">
        <v>29</v>
      </c>
      <c r="B945">
        <v>0</v>
      </c>
    </row>
    <row r="946" spans="1:2">
      <c r="A946">
        <v>0</v>
      </c>
      <c r="B946">
        <v>0</v>
      </c>
    </row>
    <row r="947" spans="1:2">
      <c r="A947" t="s">
        <v>30</v>
      </c>
      <c r="B947">
        <v>0</v>
      </c>
    </row>
    <row r="948" spans="1:2">
      <c r="A948">
        <v>0</v>
      </c>
      <c r="B948">
        <v>265</v>
      </c>
    </row>
    <row r="949" spans="1:2">
      <c r="A949" t="s">
        <v>19</v>
      </c>
      <c r="B949">
        <v>184</v>
      </c>
    </row>
    <row r="950" spans="1:2">
      <c r="A950">
        <v>0</v>
      </c>
      <c r="B950">
        <v>111.55</v>
      </c>
    </row>
    <row r="951" spans="1:2">
      <c r="A951">
        <v>0</v>
      </c>
      <c r="B951">
        <v>99.52</v>
      </c>
    </row>
    <row r="952" spans="1:2">
      <c r="A952">
        <v>0</v>
      </c>
      <c r="B952">
        <v>77.78</v>
      </c>
    </row>
    <row r="953" spans="1:2">
      <c r="A953">
        <v>0</v>
      </c>
      <c r="B953">
        <v>60.66</v>
      </c>
    </row>
    <row r="954" spans="1:2">
      <c r="A954">
        <v>0</v>
      </c>
      <c r="B954">
        <v>54.49</v>
      </c>
    </row>
    <row r="955" spans="1:2">
      <c r="A955">
        <v>0</v>
      </c>
      <c r="B955">
        <v>37.520000000000003</v>
      </c>
    </row>
    <row r="956" spans="1:2">
      <c r="A956">
        <v>0</v>
      </c>
      <c r="B956">
        <v>28.59</v>
      </c>
    </row>
    <row r="957" spans="1:2">
      <c r="A957">
        <v>0</v>
      </c>
      <c r="B957">
        <v>28.57</v>
      </c>
    </row>
    <row r="958" spans="1:2">
      <c r="A958" t="s">
        <v>30</v>
      </c>
      <c r="B958">
        <v>23.59</v>
      </c>
    </row>
    <row r="959" spans="1:2">
      <c r="A959">
        <v>0</v>
      </c>
      <c r="B959">
        <v>22.98</v>
      </c>
    </row>
    <row r="960" spans="1:2">
      <c r="A960">
        <v>0</v>
      </c>
      <c r="B960">
        <v>21.29</v>
      </c>
    </row>
    <row r="961" spans="1:2">
      <c r="A961">
        <v>0</v>
      </c>
      <c r="B961">
        <v>14.36</v>
      </c>
    </row>
    <row r="962" spans="1:2">
      <c r="A962">
        <v>0</v>
      </c>
      <c r="B962">
        <v>0</v>
      </c>
    </row>
    <row r="963" spans="1:2">
      <c r="A963">
        <v>0</v>
      </c>
      <c r="B963">
        <v>0</v>
      </c>
    </row>
    <row r="964" spans="1:2">
      <c r="A964" t="s">
        <v>19</v>
      </c>
      <c r="B964">
        <v>0</v>
      </c>
    </row>
    <row r="965" spans="1:2">
      <c r="A965">
        <v>0</v>
      </c>
      <c r="B965">
        <v>0</v>
      </c>
    </row>
    <row r="966" spans="1:2">
      <c r="A966">
        <v>0</v>
      </c>
      <c r="B966">
        <v>0</v>
      </c>
    </row>
    <row r="967" spans="1:2">
      <c r="A967" t="s">
        <v>31</v>
      </c>
      <c r="B967">
        <v>0</v>
      </c>
    </row>
    <row r="968" spans="1:2">
      <c r="A968" t="s">
        <v>25</v>
      </c>
      <c r="B968">
        <v>0</v>
      </c>
    </row>
    <row r="969" spans="1:2">
      <c r="A969">
        <v>0</v>
      </c>
      <c r="B969">
        <v>0</v>
      </c>
    </row>
    <row r="970" spans="1:2">
      <c r="A970">
        <v>0</v>
      </c>
      <c r="B970">
        <v>0</v>
      </c>
    </row>
    <row r="971" spans="1:2">
      <c r="A971">
        <v>0</v>
      </c>
      <c r="B971">
        <v>0</v>
      </c>
    </row>
    <row r="972" spans="1:2">
      <c r="A972">
        <v>0</v>
      </c>
      <c r="B972">
        <v>0</v>
      </c>
    </row>
    <row r="973" spans="1:2">
      <c r="A973" t="s">
        <v>26</v>
      </c>
      <c r="B973">
        <v>0</v>
      </c>
    </row>
    <row r="974" spans="1:2">
      <c r="A974" t="s">
        <v>26</v>
      </c>
      <c r="B974">
        <v>0</v>
      </c>
    </row>
    <row r="975" spans="1:2">
      <c r="A975" t="s">
        <v>26</v>
      </c>
      <c r="B975">
        <v>0</v>
      </c>
    </row>
    <row r="976" spans="1:2">
      <c r="A976" t="s">
        <v>30</v>
      </c>
      <c r="B976">
        <v>0</v>
      </c>
    </row>
    <row r="977" spans="1:2">
      <c r="A977">
        <v>0</v>
      </c>
      <c r="B977">
        <v>0</v>
      </c>
    </row>
    <row r="978" spans="1:2">
      <c r="A978">
        <v>0</v>
      </c>
      <c r="B978">
        <v>0</v>
      </c>
    </row>
    <row r="979" spans="1:2">
      <c r="A979">
        <v>0</v>
      </c>
      <c r="B979">
        <v>0</v>
      </c>
    </row>
    <row r="980" spans="1:2">
      <c r="A980">
        <v>0</v>
      </c>
      <c r="B980">
        <v>253</v>
      </c>
    </row>
    <row r="981" spans="1:2">
      <c r="A981" t="s">
        <v>30</v>
      </c>
      <c r="B981">
        <v>169</v>
      </c>
    </row>
    <row r="982" spans="1:2">
      <c r="A982">
        <v>0</v>
      </c>
      <c r="B982">
        <v>158.81</v>
      </c>
    </row>
    <row r="983" spans="1:2">
      <c r="A983">
        <v>0</v>
      </c>
      <c r="B983">
        <v>140.78</v>
      </c>
    </row>
    <row r="984" spans="1:2">
      <c r="A984">
        <v>0</v>
      </c>
      <c r="B984">
        <v>82.74</v>
      </c>
    </row>
    <row r="985" spans="1:2">
      <c r="A985" t="s">
        <v>28</v>
      </c>
      <c r="B985">
        <v>76.45</v>
      </c>
    </row>
    <row r="986" spans="1:2">
      <c r="A986">
        <v>0</v>
      </c>
      <c r="B986">
        <v>68.45</v>
      </c>
    </row>
    <row r="987" spans="1:2">
      <c r="A987" t="s">
        <v>29</v>
      </c>
      <c r="B987">
        <v>59.89</v>
      </c>
    </row>
    <row r="988" spans="1:2">
      <c r="A988" t="s">
        <v>25</v>
      </c>
      <c r="B988">
        <v>52</v>
      </c>
    </row>
    <row r="989" spans="1:2">
      <c r="A989">
        <v>0</v>
      </c>
      <c r="B989">
        <v>29</v>
      </c>
    </row>
    <row r="990" spans="1:2">
      <c r="A990">
        <v>0</v>
      </c>
      <c r="B990">
        <v>27.25</v>
      </c>
    </row>
    <row r="991" spans="1:2">
      <c r="A991">
        <v>0</v>
      </c>
      <c r="B991">
        <v>24.78</v>
      </c>
    </row>
    <row r="992" spans="1:2">
      <c r="A992">
        <v>0</v>
      </c>
      <c r="B992">
        <v>14.99</v>
      </c>
    </row>
    <row r="993" spans="1:2">
      <c r="A993">
        <v>0</v>
      </c>
      <c r="B993">
        <v>0</v>
      </c>
    </row>
    <row r="994" spans="1:2">
      <c r="A994">
        <v>0</v>
      </c>
      <c r="B994">
        <v>0</v>
      </c>
    </row>
    <row r="995" spans="1:2">
      <c r="A995">
        <v>0</v>
      </c>
      <c r="B995">
        <v>0</v>
      </c>
    </row>
    <row r="996" spans="1:2">
      <c r="A996">
        <v>0</v>
      </c>
      <c r="B996">
        <v>0</v>
      </c>
    </row>
    <row r="997" spans="1:2">
      <c r="A997">
        <v>0</v>
      </c>
      <c r="B997">
        <v>0</v>
      </c>
    </row>
    <row r="998" spans="1:2">
      <c r="A998">
        <v>0</v>
      </c>
      <c r="B998">
        <v>0</v>
      </c>
    </row>
    <row r="999" spans="1:2">
      <c r="A999">
        <v>0</v>
      </c>
      <c r="B999">
        <v>0</v>
      </c>
    </row>
    <row r="1000" spans="1:2">
      <c r="A1000">
        <v>0</v>
      </c>
      <c r="B1000">
        <v>0</v>
      </c>
    </row>
    <row r="1001" spans="1:2">
      <c r="A1001">
        <v>0</v>
      </c>
      <c r="B1001">
        <v>0</v>
      </c>
    </row>
    <row r="1002" spans="1:2">
      <c r="A1002">
        <v>0</v>
      </c>
      <c r="B1002">
        <v>0</v>
      </c>
    </row>
    <row r="1003" spans="1:2">
      <c r="A1003">
        <v>0</v>
      </c>
      <c r="B1003">
        <v>0</v>
      </c>
    </row>
    <row r="1004" spans="1:2">
      <c r="A1004">
        <v>0</v>
      </c>
      <c r="B1004">
        <v>0</v>
      </c>
    </row>
    <row r="1005" spans="1:2">
      <c r="A1005">
        <v>0</v>
      </c>
      <c r="B1005">
        <v>0</v>
      </c>
    </row>
    <row r="1006" spans="1:2">
      <c r="A1006" t="s">
        <v>25</v>
      </c>
      <c r="B1006">
        <v>0</v>
      </c>
    </row>
    <row r="1007" spans="1:2">
      <c r="A1007">
        <v>0</v>
      </c>
      <c r="B1007">
        <v>0</v>
      </c>
    </row>
    <row r="1008" spans="1:2">
      <c r="A1008">
        <v>0</v>
      </c>
      <c r="B1008">
        <v>0</v>
      </c>
    </row>
    <row r="1009" spans="1:2">
      <c r="A1009">
        <v>0</v>
      </c>
      <c r="B1009">
        <v>0</v>
      </c>
    </row>
    <row r="1010" spans="1:2">
      <c r="A1010">
        <v>0</v>
      </c>
      <c r="B1010">
        <v>0</v>
      </c>
    </row>
    <row r="1011" spans="1:2">
      <c r="A1011">
        <v>0</v>
      </c>
      <c r="B1011">
        <v>0</v>
      </c>
    </row>
    <row r="1012" spans="1:2">
      <c r="A1012">
        <v>0</v>
      </c>
      <c r="B1012">
        <v>119</v>
      </c>
    </row>
    <row r="1013" spans="1:2">
      <c r="A1013">
        <v>0</v>
      </c>
      <c r="B1013">
        <v>266.27999999999997</v>
      </c>
    </row>
    <row r="1014" spans="1:2">
      <c r="A1014" t="s">
        <v>31</v>
      </c>
      <c r="B1014">
        <v>103.77</v>
      </c>
    </row>
    <row r="1015" spans="1:2">
      <c r="A1015">
        <v>0</v>
      </c>
      <c r="B1015">
        <v>61.29</v>
      </c>
    </row>
    <row r="1016" spans="1:2">
      <c r="A1016">
        <v>0</v>
      </c>
      <c r="B1016">
        <v>33.67</v>
      </c>
    </row>
    <row r="1017" spans="1:2">
      <c r="A1017" t="s">
        <v>28</v>
      </c>
      <c r="B1017">
        <v>23.17</v>
      </c>
    </row>
    <row r="1018" spans="1:2">
      <c r="A1018">
        <v>0</v>
      </c>
      <c r="B1018">
        <v>15.76</v>
      </c>
    </row>
    <row r="1019" spans="1:2">
      <c r="A1019">
        <v>0</v>
      </c>
      <c r="B1019">
        <v>0</v>
      </c>
    </row>
    <row r="1020" spans="1:2">
      <c r="A1020" t="s">
        <v>28</v>
      </c>
      <c r="B1020">
        <v>0</v>
      </c>
    </row>
    <row r="1021" spans="1:2">
      <c r="A1021">
        <v>0</v>
      </c>
      <c r="B1021">
        <v>0</v>
      </c>
    </row>
    <row r="1022" spans="1:2">
      <c r="A1022">
        <v>0</v>
      </c>
      <c r="B1022">
        <v>0</v>
      </c>
    </row>
    <row r="1023" spans="1:2">
      <c r="A1023" t="s">
        <v>29</v>
      </c>
      <c r="B1023">
        <v>0</v>
      </c>
    </row>
    <row r="1024" spans="1:2">
      <c r="A1024" t="s">
        <v>28</v>
      </c>
      <c r="B1024">
        <v>0</v>
      </c>
    </row>
    <row r="1025" spans="1:2">
      <c r="A1025">
        <v>0</v>
      </c>
      <c r="B1025">
        <v>0</v>
      </c>
    </row>
    <row r="1026" spans="1:2">
      <c r="A1026">
        <v>0</v>
      </c>
      <c r="B1026">
        <v>0</v>
      </c>
    </row>
    <row r="1027" spans="1:2">
      <c r="A1027">
        <v>0</v>
      </c>
      <c r="B1027">
        <v>0</v>
      </c>
    </row>
    <row r="1028" spans="1:2">
      <c r="A1028">
        <v>0</v>
      </c>
      <c r="B1028">
        <v>0</v>
      </c>
    </row>
    <row r="1029" spans="1:2">
      <c r="A1029">
        <v>0</v>
      </c>
      <c r="B1029">
        <v>0</v>
      </c>
    </row>
    <row r="1030" spans="1:2">
      <c r="A1030">
        <v>0</v>
      </c>
      <c r="B1030">
        <v>0</v>
      </c>
    </row>
    <row r="1031" spans="1:2">
      <c r="A1031">
        <v>0</v>
      </c>
      <c r="B1031">
        <v>0</v>
      </c>
    </row>
    <row r="1032" spans="1:2">
      <c r="A1032">
        <v>0</v>
      </c>
      <c r="B1032">
        <v>0</v>
      </c>
    </row>
    <row r="1033" spans="1:2">
      <c r="A1033">
        <v>0</v>
      </c>
      <c r="B1033">
        <v>0</v>
      </c>
    </row>
    <row r="1034" spans="1:2">
      <c r="A1034" t="s">
        <v>30</v>
      </c>
      <c r="B1034">
        <v>125.55</v>
      </c>
    </row>
    <row r="1035" spans="1:2">
      <c r="A1035">
        <v>0</v>
      </c>
      <c r="B1035">
        <v>122.95</v>
      </c>
    </row>
    <row r="1036" spans="1:2">
      <c r="A1036">
        <v>0</v>
      </c>
      <c r="B1036">
        <v>82.14</v>
      </c>
    </row>
    <row r="1037" spans="1:2">
      <c r="A1037" t="s">
        <v>30</v>
      </c>
      <c r="B1037">
        <v>80.61</v>
      </c>
    </row>
    <row r="1038" spans="1:2">
      <c r="A1038">
        <v>0</v>
      </c>
      <c r="B1038">
        <v>73.75</v>
      </c>
    </row>
    <row r="1039" spans="1:2">
      <c r="A1039">
        <v>0</v>
      </c>
      <c r="B1039">
        <v>64.540000000000006</v>
      </c>
    </row>
    <row r="1040" spans="1:2">
      <c r="A1040">
        <v>0</v>
      </c>
      <c r="B1040">
        <v>22.44</v>
      </c>
    </row>
    <row r="1041" spans="1:2">
      <c r="A1041">
        <v>0</v>
      </c>
      <c r="B1041">
        <v>18.309999999999999</v>
      </c>
    </row>
    <row r="1042" spans="1:2">
      <c r="A1042" t="s">
        <v>25</v>
      </c>
      <c r="B1042">
        <v>0</v>
      </c>
    </row>
    <row r="1043" spans="1:2">
      <c r="A1043">
        <v>0</v>
      </c>
      <c r="B1043">
        <v>0</v>
      </c>
    </row>
    <row r="1044" spans="1:2">
      <c r="A1044" t="s">
        <v>31</v>
      </c>
      <c r="B1044">
        <v>0</v>
      </c>
    </row>
    <row r="1045" spans="1:2">
      <c r="A1045" t="s">
        <v>19</v>
      </c>
      <c r="B1045">
        <v>0</v>
      </c>
    </row>
    <row r="1046" spans="1:2">
      <c r="A1046" t="s">
        <v>30</v>
      </c>
      <c r="B1046">
        <v>0</v>
      </c>
    </row>
    <row r="1047" spans="1:2">
      <c r="A1047">
        <v>0</v>
      </c>
      <c r="B1047">
        <v>0</v>
      </c>
    </row>
    <row r="1048" spans="1:2">
      <c r="A1048">
        <v>0</v>
      </c>
      <c r="B1048">
        <v>0</v>
      </c>
    </row>
    <row r="1049" spans="1:2">
      <c r="A1049" t="s">
        <v>19</v>
      </c>
      <c r="B1049">
        <v>0</v>
      </c>
    </row>
    <row r="1050" spans="1:2">
      <c r="A1050">
        <v>0</v>
      </c>
      <c r="B1050">
        <v>0</v>
      </c>
    </row>
    <row r="1051" spans="1:2">
      <c r="A1051" t="s">
        <v>30</v>
      </c>
      <c r="B1051">
        <v>0</v>
      </c>
    </row>
    <row r="1052" spans="1:2">
      <c r="A1052">
        <v>0</v>
      </c>
      <c r="B1052">
        <v>0</v>
      </c>
    </row>
    <row r="1053" spans="1:2">
      <c r="A1053" t="s">
        <v>30</v>
      </c>
      <c r="B1053">
        <v>0</v>
      </c>
    </row>
    <row r="1054" spans="1:2">
      <c r="A1054" t="s">
        <v>26</v>
      </c>
      <c r="B1054">
        <v>0</v>
      </c>
    </row>
    <row r="1055" spans="1:2">
      <c r="A1055">
        <v>0</v>
      </c>
      <c r="B1055">
        <v>0</v>
      </c>
    </row>
    <row r="1056" spans="1:2">
      <c r="A1056" t="s">
        <v>30</v>
      </c>
      <c r="B1056">
        <v>0</v>
      </c>
    </row>
    <row r="1057" spans="1:2">
      <c r="A1057">
        <v>0</v>
      </c>
      <c r="B1057">
        <v>0</v>
      </c>
    </row>
    <row r="1058" spans="1:2">
      <c r="A1058">
        <v>0</v>
      </c>
      <c r="B1058">
        <v>0</v>
      </c>
    </row>
    <row r="1059" spans="1:2">
      <c r="A1059">
        <v>0</v>
      </c>
      <c r="B1059">
        <v>0</v>
      </c>
    </row>
    <row r="1060" spans="1:2">
      <c r="A1060" t="s">
        <v>19</v>
      </c>
      <c r="B1060">
        <v>0</v>
      </c>
    </row>
    <row r="1061" spans="1:2">
      <c r="A1061">
        <v>0</v>
      </c>
      <c r="B1061">
        <v>119.47</v>
      </c>
    </row>
    <row r="1062" spans="1:2">
      <c r="A1062" t="s">
        <v>19</v>
      </c>
      <c r="B1062">
        <v>103.47</v>
      </c>
    </row>
    <row r="1063" spans="1:2">
      <c r="A1063" t="s">
        <v>19</v>
      </c>
      <c r="B1063">
        <v>86.14</v>
      </c>
    </row>
    <row r="1064" spans="1:2">
      <c r="A1064">
        <v>0</v>
      </c>
      <c r="B1064">
        <v>62.65</v>
      </c>
    </row>
    <row r="1065" spans="1:2">
      <c r="A1065">
        <v>0</v>
      </c>
      <c r="B1065">
        <v>44.27</v>
      </c>
    </row>
    <row r="1066" spans="1:2">
      <c r="A1066">
        <v>0</v>
      </c>
      <c r="B1066">
        <v>43.05</v>
      </c>
    </row>
    <row r="1067" spans="1:2">
      <c r="A1067">
        <v>0</v>
      </c>
      <c r="B1067">
        <v>40.32</v>
      </c>
    </row>
    <row r="1068" spans="1:2">
      <c r="A1068" t="s">
        <v>29</v>
      </c>
      <c r="B1068">
        <v>0</v>
      </c>
    </row>
    <row r="1069" spans="1:2">
      <c r="A1069">
        <v>0</v>
      </c>
      <c r="B1069">
        <v>0</v>
      </c>
    </row>
    <row r="1070" spans="1:2">
      <c r="A1070" t="s">
        <v>26</v>
      </c>
      <c r="B1070">
        <v>0</v>
      </c>
    </row>
    <row r="1071" spans="1:2">
      <c r="A1071">
        <v>0</v>
      </c>
      <c r="B1071">
        <v>0</v>
      </c>
    </row>
    <row r="1072" spans="1:2">
      <c r="A1072">
        <v>0</v>
      </c>
      <c r="B1072">
        <v>0</v>
      </c>
    </row>
    <row r="1073" spans="1:2">
      <c r="A1073" t="s">
        <v>29</v>
      </c>
      <c r="B1073">
        <v>0</v>
      </c>
    </row>
    <row r="1074" spans="1:2">
      <c r="A1074">
        <v>0</v>
      </c>
      <c r="B1074">
        <v>0</v>
      </c>
    </row>
    <row r="1075" spans="1:2">
      <c r="A1075">
        <v>0</v>
      </c>
      <c r="B1075">
        <v>0</v>
      </c>
    </row>
    <row r="1076" spans="1:2">
      <c r="A1076">
        <v>0</v>
      </c>
      <c r="B1076">
        <v>0</v>
      </c>
    </row>
    <row r="1077" spans="1:2">
      <c r="A1077">
        <v>0</v>
      </c>
      <c r="B1077">
        <v>0</v>
      </c>
    </row>
    <row r="1078" spans="1:2">
      <c r="A1078">
        <v>0</v>
      </c>
      <c r="B1078">
        <v>119.32</v>
      </c>
    </row>
    <row r="1079" spans="1:2">
      <c r="A1079">
        <v>0</v>
      </c>
      <c r="B1079">
        <v>81.55</v>
      </c>
    </row>
    <row r="1080" spans="1:2">
      <c r="A1080">
        <v>0</v>
      </c>
      <c r="B1080">
        <v>48.75</v>
      </c>
    </row>
    <row r="1081" spans="1:2">
      <c r="A1081">
        <v>0</v>
      </c>
      <c r="B1081">
        <v>30.43</v>
      </c>
    </row>
    <row r="1082" spans="1:2">
      <c r="A1082" t="s">
        <v>29</v>
      </c>
      <c r="B1082">
        <v>29.14</v>
      </c>
    </row>
    <row r="1083" spans="1:2">
      <c r="A1083">
        <v>0</v>
      </c>
      <c r="B1083">
        <v>20.81</v>
      </c>
    </row>
    <row r="1084" spans="1:2">
      <c r="A1084" t="s">
        <v>31</v>
      </c>
      <c r="B1084">
        <v>0</v>
      </c>
    </row>
    <row r="1085" spans="1:2">
      <c r="A1085">
        <v>0</v>
      </c>
      <c r="B1085">
        <v>0</v>
      </c>
    </row>
    <row r="1086" spans="1:2">
      <c r="A1086">
        <v>0</v>
      </c>
      <c r="B1086">
        <v>0</v>
      </c>
    </row>
    <row r="1087" spans="1:2">
      <c r="A1087" t="s">
        <v>25</v>
      </c>
      <c r="B1087">
        <v>0</v>
      </c>
    </row>
    <row r="1088" spans="1:2">
      <c r="A1088">
        <v>0</v>
      </c>
      <c r="B1088">
        <v>0</v>
      </c>
    </row>
    <row r="1089" spans="1:2">
      <c r="A1089">
        <v>0</v>
      </c>
      <c r="B1089">
        <v>0</v>
      </c>
    </row>
    <row r="1090" spans="1:2">
      <c r="A1090">
        <v>0</v>
      </c>
      <c r="B1090">
        <v>0</v>
      </c>
    </row>
    <row r="1091" spans="1:2">
      <c r="A1091" t="s">
        <v>29</v>
      </c>
      <c r="B1091">
        <v>0</v>
      </c>
    </row>
    <row r="1092" spans="1:2">
      <c r="A1092">
        <v>0</v>
      </c>
      <c r="B1092">
        <v>0</v>
      </c>
    </row>
    <row r="1093" spans="1:2">
      <c r="A1093">
        <v>0</v>
      </c>
      <c r="B1093">
        <v>0</v>
      </c>
    </row>
    <row r="1094" spans="1:2">
      <c r="A1094" t="s">
        <v>30</v>
      </c>
      <c r="B1094">
        <v>0</v>
      </c>
    </row>
    <row r="1095" spans="1:2">
      <c r="A1095">
        <v>0</v>
      </c>
      <c r="B1095">
        <v>0</v>
      </c>
    </row>
    <row r="1096" spans="1:2">
      <c r="A1096">
        <v>0</v>
      </c>
      <c r="B1096">
        <v>0</v>
      </c>
    </row>
    <row r="1097" spans="1:2">
      <c r="A1097">
        <v>0</v>
      </c>
      <c r="B1097">
        <v>68</v>
      </c>
    </row>
    <row r="1098" spans="1:2">
      <c r="A1098">
        <v>0</v>
      </c>
      <c r="B1098">
        <v>314.73</v>
      </c>
    </row>
    <row r="1099" spans="1:2">
      <c r="A1099">
        <v>0</v>
      </c>
      <c r="B1099">
        <v>115.47</v>
      </c>
    </row>
    <row r="1100" spans="1:2">
      <c r="A1100">
        <v>0</v>
      </c>
      <c r="B1100">
        <v>73.69</v>
      </c>
    </row>
    <row r="1101" spans="1:2">
      <c r="A1101">
        <v>0</v>
      </c>
      <c r="B1101">
        <v>57.32</v>
      </c>
    </row>
    <row r="1102" spans="1:2">
      <c r="A1102">
        <v>0</v>
      </c>
      <c r="B1102">
        <v>53.78</v>
      </c>
    </row>
    <row r="1103" spans="1:2">
      <c r="A1103">
        <v>0</v>
      </c>
      <c r="B1103">
        <v>44.44</v>
      </c>
    </row>
    <row r="1104" spans="1:2">
      <c r="A1104">
        <v>0</v>
      </c>
      <c r="B1104">
        <v>43.96</v>
      </c>
    </row>
    <row r="1105" spans="1:2">
      <c r="A1105">
        <v>0</v>
      </c>
      <c r="B1105">
        <v>41.64</v>
      </c>
    </row>
    <row r="1106" spans="1:2">
      <c r="A1106" t="s">
        <v>19</v>
      </c>
      <c r="B1106">
        <v>41.29</v>
      </c>
    </row>
    <row r="1107" spans="1:2">
      <c r="A1107" t="s">
        <v>19</v>
      </c>
      <c r="B1107">
        <v>41.08</v>
      </c>
    </row>
    <row r="1108" spans="1:2">
      <c r="A1108" t="s">
        <v>28</v>
      </c>
      <c r="B1108">
        <v>35.57</v>
      </c>
    </row>
    <row r="1109" spans="1:2">
      <c r="A1109">
        <v>0</v>
      </c>
      <c r="B1109">
        <v>20.3</v>
      </c>
    </row>
    <row r="1110" spans="1:2">
      <c r="A1110">
        <v>0</v>
      </c>
      <c r="B1110">
        <v>17.66</v>
      </c>
    </row>
    <row r="1111" spans="1:2">
      <c r="A1111">
        <v>0</v>
      </c>
      <c r="B1111">
        <v>0</v>
      </c>
    </row>
    <row r="1112" spans="1:2">
      <c r="A1112" t="s">
        <v>19</v>
      </c>
      <c r="B1112">
        <v>0</v>
      </c>
    </row>
    <row r="1113" spans="1:2">
      <c r="A1113">
        <v>0</v>
      </c>
      <c r="B1113">
        <v>0</v>
      </c>
    </row>
    <row r="1114" spans="1:2">
      <c r="A1114" t="s">
        <v>25</v>
      </c>
      <c r="B1114">
        <v>0</v>
      </c>
    </row>
    <row r="1115" spans="1:2">
      <c r="A1115">
        <v>0</v>
      </c>
      <c r="B1115">
        <v>0</v>
      </c>
    </row>
    <row r="1116" spans="1:2">
      <c r="A1116">
        <v>0</v>
      </c>
      <c r="B1116">
        <v>0</v>
      </c>
    </row>
    <row r="1117" spans="1:2">
      <c r="A1117">
        <v>0</v>
      </c>
      <c r="B1117">
        <v>0</v>
      </c>
    </row>
    <row r="1118" spans="1:2">
      <c r="A1118">
        <v>0</v>
      </c>
      <c r="B1118">
        <v>0</v>
      </c>
    </row>
    <row r="1119" spans="1:2">
      <c r="A1119">
        <v>0</v>
      </c>
      <c r="B1119">
        <v>0</v>
      </c>
    </row>
    <row r="1120" spans="1:2">
      <c r="A1120">
        <v>0</v>
      </c>
      <c r="B1120">
        <v>0</v>
      </c>
    </row>
    <row r="1121" spans="1:2">
      <c r="A1121">
        <v>0</v>
      </c>
      <c r="B1121">
        <v>0</v>
      </c>
    </row>
    <row r="1122" spans="1:2">
      <c r="A1122" t="s">
        <v>19</v>
      </c>
      <c r="B1122">
        <v>272</v>
      </c>
    </row>
    <row r="1123" spans="1:2">
      <c r="A1123">
        <v>0</v>
      </c>
      <c r="B1123">
        <v>344.28</v>
      </c>
    </row>
    <row r="1124" spans="1:2">
      <c r="A1124">
        <v>0</v>
      </c>
      <c r="B1124">
        <v>170.21</v>
      </c>
    </row>
    <row r="1125" spans="1:2">
      <c r="A1125" t="s">
        <v>26</v>
      </c>
      <c r="B1125">
        <v>104.85</v>
      </c>
    </row>
    <row r="1126" spans="1:2">
      <c r="A1126" t="s">
        <v>25</v>
      </c>
      <c r="B1126">
        <v>98.4</v>
      </c>
    </row>
    <row r="1127" spans="1:2">
      <c r="A1127" t="s">
        <v>25</v>
      </c>
      <c r="B1127">
        <v>89.86</v>
      </c>
    </row>
    <row r="1128" spans="1:2">
      <c r="A1128" t="s">
        <v>29</v>
      </c>
      <c r="B1128">
        <v>57.04</v>
      </c>
    </row>
    <row r="1129" spans="1:2">
      <c r="A1129">
        <v>0</v>
      </c>
      <c r="B1129">
        <v>28.44</v>
      </c>
    </row>
    <row r="1130" spans="1:2">
      <c r="A1130">
        <v>0</v>
      </c>
      <c r="B1130">
        <v>28.32</v>
      </c>
    </row>
    <row r="1131" spans="1:2">
      <c r="A1131">
        <v>0</v>
      </c>
      <c r="B1131">
        <v>24.96</v>
      </c>
    </row>
    <row r="1132" spans="1:2">
      <c r="A1132" t="s">
        <v>19</v>
      </c>
      <c r="B1132">
        <v>0</v>
      </c>
    </row>
    <row r="1133" spans="1:2">
      <c r="A1133" t="s">
        <v>30</v>
      </c>
      <c r="B1133">
        <v>0</v>
      </c>
    </row>
    <row r="1134" spans="1:2">
      <c r="A1134">
        <v>0</v>
      </c>
      <c r="B1134">
        <v>0</v>
      </c>
    </row>
    <row r="1135" spans="1:2">
      <c r="A1135">
        <v>0</v>
      </c>
      <c r="B1135">
        <v>0</v>
      </c>
    </row>
    <row r="1136" spans="1:2">
      <c r="A1136">
        <v>0</v>
      </c>
      <c r="B1136">
        <v>0</v>
      </c>
    </row>
    <row r="1137" spans="1:2">
      <c r="A1137">
        <v>0</v>
      </c>
      <c r="B1137">
        <v>0</v>
      </c>
    </row>
    <row r="1138" spans="1:2">
      <c r="A1138">
        <v>0</v>
      </c>
      <c r="B1138">
        <v>0</v>
      </c>
    </row>
    <row r="1139" spans="1:2">
      <c r="A1139">
        <v>0</v>
      </c>
      <c r="B1139">
        <v>0</v>
      </c>
    </row>
    <row r="1140" spans="1:2">
      <c r="A1140" t="s">
        <v>26</v>
      </c>
      <c r="B1140">
        <v>0</v>
      </c>
    </row>
    <row r="1141" spans="1:2">
      <c r="A1141">
        <v>0</v>
      </c>
      <c r="B1141">
        <v>0</v>
      </c>
    </row>
    <row r="1142" spans="1:2">
      <c r="A1142" t="s">
        <v>25</v>
      </c>
      <c r="B1142">
        <v>0</v>
      </c>
    </row>
    <row r="1143" spans="1:2">
      <c r="A1143">
        <v>0</v>
      </c>
      <c r="B1143">
        <v>0</v>
      </c>
    </row>
    <row r="1144" spans="1:2">
      <c r="A1144">
        <v>0</v>
      </c>
      <c r="B1144">
        <v>0</v>
      </c>
    </row>
    <row r="1145" spans="1:2">
      <c r="A1145" t="s">
        <v>25</v>
      </c>
      <c r="B1145">
        <v>0</v>
      </c>
    </row>
    <row r="1146" spans="1:2">
      <c r="A1146" t="s">
        <v>25</v>
      </c>
      <c r="B1146">
        <v>0</v>
      </c>
    </row>
    <row r="1147" spans="1:2">
      <c r="A1147">
        <v>0</v>
      </c>
      <c r="B1147">
        <v>0</v>
      </c>
    </row>
    <row r="1148" spans="1:2">
      <c r="A1148">
        <v>0</v>
      </c>
      <c r="B1148">
        <v>0</v>
      </c>
    </row>
    <row r="1149" spans="1:2">
      <c r="A1149">
        <v>0</v>
      </c>
      <c r="B1149">
        <v>0</v>
      </c>
    </row>
    <row r="1150" spans="1:2">
      <c r="A1150" t="s">
        <v>19</v>
      </c>
      <c r="B1150">
        <v>0</v>
      </c>
    </row>
    <row r="1151" spans="1:2">
      <c r="A1151" t="s">
        <v>19</v>
      </c>
      <c r="B1151">
        <v>0</v>
      </c>
    </row>
    <row r="1152" spans="1:2">
      <c r="A1152">
        <v>0</v>
      </c>
      <c r="B1152">
        <v>0</v>
      </c>
    </row>
    <row r="1153" spans="1:2">
      <c r="A1153">
        <v>0</v>
      </c>
      <c r="B1153">
        <v>0</v>
      </c>
    </row>
    <row r="1154" spans="1:2">
      <c r="A1154">
        <v>0</v>
      </c>
      <c r="B1154">
        <v>482</v>
      </c>
    </row>
    <row r="1155" spans="1:2">
      <c r="A1155" t="s">
        <v>31</v>
      </c>
      <c r="B1155">
        <v>185.69</v>
      </c>
    </row>
    <row r="1156" spans="1:2">
      <c r="A1156">
        <v>0</v>
      </c>
      <c r="B1156">
        <v>106.24</v>
      </c>
    </row>
    <row r="1157" spans="1:2">
      <c r="A1157">
        <v>0</v>
      </c>
      <c r="B1157">
        <v>87.22</v>
      </c>
    </row>
    <row r="1158" spans="1:2">
      <c r="A1158">
        <v>0</v>
      </c>
      <c r="B1158">
        <v>86.81</v>
      </c>
    </row>
    <row r="1159" spans="1:2">
      <c r="A1159">
        <v>0</v>
      </c>
      <c r="B1159">
        <v>65.44</v>
      </c>
    </row>
    <row r="1160" spans="1:2">
      <c r="A1160">
        <v>0</v>
      </c>
      <c r="B1160">
        <v>62.28</v>
      </c>
    </row>
    <row r="1161" spans="1:2">
      <c r="A1161" t="s">
        <v>26</v>
      </c>
      <c r="B1161">
        <v>60.98</v>
      </c>
    </row>
    <row r="1162" spans="1:2">
      <c r="A1162">
        <v>0</v>
      </c>
      <c r="B1162">
        <v>57.26</v>
      </c>
    </row>
    <row r="1163" spans="1:2">
      <c r="A1163" t="s">
        <v>29</v>
      </c>
      <c r="B1163">
        <v>50.66</v>
      </c>
    </row>
    <row r="1164" spans="1:2">
      <c r="A1164">
        <v>0</v>
      </c>
      <c r="B1164">
        <v>44.96</v>
      </c>
    </row>
    <row r="1165" spans="1:2">
      <c r="A1165">
        <v>0</v>
      </c>
      <c r="B1165">
        <v>41.13</v>
      </c>
    </row>
    <row r="1166" spans="1:2">
      <c r="A1166">
        <v>0</v>
      </c>
      <c r="B1166">
        <v>40.61</v>
      </c>
    </row>
    <row r="1167" spans="1:2">
      <c r="A1167">
        <v>0</v>
      </c>
      <c r="B1167">
        <v>31.53</v>
      </c>
    </row>
    <row r="1168" spans="1:2">
      <c r="A1168" t="s">
        <v>29</v>
      </c>
      <c r="B1168">
        <v>24.18</v>
      </c>
    </row>
    <row r="1169" spans="1:2">
      <c r="A1169">
        <v>0</v>
      </c>
      <c r="B1169">
        <v>24.11</v>
      </c>
    </row>
    <row r="1170" spans="1:2">
      <c r="A1170">
        <v>0</v>
      </c>
      <c r="B1170">
        <v>0</v>
      </c>
    </row>
    <row r="1171" spans="1:2">
      <c r="A1171">
        <v>0</v>
      </c>
      <c r="B1171">
        <v>0</v>
      </c>
    </row>
    <row r="1172" spans="1:2">
      <c r="A1172">
        <v>0</v>
      </c>
      <c r="B1172">
        <v>0</v>
      </c>
    </row>
    <row r="1173" spans="1:2">
      <c r="A1173">
        <v>0</v>
      </c>
      <c r="B1173">
        <v>0</v>
      </c>
    </row>
    <row r="1174" spans="1:2">
      <c r="A1174" t="s">
        <v>19</v>
      </c>
      <c r="B1174">
        <v>0</v>
      </c>
    </row>
    <row r="1175" spans="1:2">
      <c r="A1175">
        <v>0</v>
      </c>
      <c r="B1175">
        <v>0</v>
      </c>
    </row>
    <row r="1176" spans="1:2">
      <c r="A1176">
        <v>0</v>
      </c>
      <c r="B1176">
        <v>0</v>
      </c>
    </row>
    <row r="1177" spans="1:2">
      <c r="A1177">
        <v>0</v>
      </c>
      <c r="B1177">
        <v>0</v>
      </c>
    </row>
    <row r="1178" spans="1:2">
      <c r="A1178">
        <v>0</v>
      </c>
      <c r="B1178">
        <v>0</v>
      </c>
    </row>
    <row r="1179" spans="1:2">
      <c r="A1179" t="s">
        <v>26</v>
      </c>
      <c r="B1179">
        <v>0</v>
      </c>
    </row>
    <row r="1180" spans="1:2">
      <c r="A1180" t="s">
        <v>19</v>
      </c>
      <c r="B1180">
        <v>0</v>
      </c>
    </row>
    <row r="1181" spans="1:2">
      <c r="A1181">
        <v>0</v>
      </c>
      <c r="B1181">
        <v>0</v>
      </c>
    </row>
    <row r="1182" spans="1:2">
      <c r="A1182">
        <v>0</v>
      </c>
      <c r="B1182">
        <v>0</v>
      </c>
    </row>
    <row r="1183" spans="1:2">
      <c r="A1183">
        <v>0</v>
      </c>
      <c r="B1183">
        <v>0</v>
      </c>
    </row>
    <row r="1184" spans="1:2">
      <c r="A1184" t="s">
        <v>26</v>
      </c>
      <c r="B1184">
        <v>0</v>
      </c>
    </row>
    <row r="1185" spans="1:2">
      <c r="A1185" t="s">
        <v>26</v>
      </c>
      <c r="B1185">
        <v>0</v>
      </c>
    </row>
    <row r="1186" spans="1:2">
      <c r="A1186">
        <v>0</v>
      </c>
      <c r="B1186">
        <v>0</v>
      </c>
    </row>
    <row r="1187" spans="1:2">
      <c r="A1187">
        <v>0</v>
      </c>
      <c r="B1187">
        <v>0</v>
      </c>
    </row>
    <row r="1188" spans="1:2">
      <c r="A1188" t="s">
        <v>31</v>
      </c>
      <c r="B1188">
        <v>0</v>
      </c>
    </row>
    <row r="1189" spans="1:2">
      <c r="A1189" t="s">
        <v>29</v>
      </c>
      <c r="B1189">
        <v>0</v>
      </c>
    </row>
    <row r="1190" spans="1:2">
      <c r="A1190">
        <v>0</v>
      </c>
      <c r="B1190">
        <v>0</v>
      </c>
    </row>
    <row r="1191" spans="1:2">
      <c r="A1191" t="s">
        <v>28</v>
      </c>
      <c r="B1191">
        <v>0</v>
      </c>
    </row>
    <row r="1192" spans="1:2">
      <c r="A1192">
        <v>0</v>
      </c>
      <c r="B1192">
        <v>411</v>
      </c>
    </row>
    <row r="1193" spans="1:2">
      <c r="A1193">
        <v>0</v>
      </c>
      <c r="B1193">
        <v>108.2</v>
      </c>
    </row>
    <row r="1194" spans="1:2">
      <c r="A1194">
        <v>0</v>
      </c>
      <c r="B1194">
        <v>74.459999999999994</v>
      </c>
    </row>
    <row r="1195" spans="1:2">
      <c r="A1195">
        <v>0</v>
      </c>
      <c r="B1195">
        <v>73.11</v>
      </c>
    </row>
    <row r="1196" spans="1:2">
      <c r="A1196">
        <v>0</v>
      </c>
      <c r="B1196">
        <v>67.45</v>
      </c>
    </row>
    <row r="1197" spans="1:2">
      <c r="A1197" t="s">
        <v>26</v>
      </c>
      <c r="B1197">
        <v>35.97</v>
      </c>
    </row>
    <row r="1198" spans="1:2">
      <c r="A1198" t="s">
        <v>29</v>
      </c>
      <c r="B1198">
        <v>28.93</v>
      </c>
    </row>
    <row r="1199" spans="1:2">
      <c r="A1199">
        <v>0</v>
      </c>
      <c r="B1199">
        <v>24.96</v>
      </c>
    </row>
    <row r="1200" spans="1:2">
      <c r="A1200">
        <v>0</v>
      </c>
      <c r="B1200">
        <v>23.13</v>
      </c>
    </row>
    <row r="1201" spans="1:2">
      <c r="A1201" t="s">
        <v>29</v>
      </c>
      <c r="B1201">
        <v>23.08</v>
      </c>
    </row>
    <row r="1202" spans="1:2">
      <c r="A1202" t="s">
        <v>29</v>
      </c>
      <c r="B1202">
        <v>16.260000000000002</v>
      </c>
    </row>
    <row r="1203" spans="1:2">
      <c r="A1203" t="s">
        <v>19</v>
      </c>
      <c r="B1203">
        <v>0</v>
      </c>
    </row>
    <row r="1204" spans="1:2">
      <c r="A1204">
        <v>0</v>
      </c>
      <c r="B1204">
        <v>0</v>
      </c>
    </row>
    <row r="1205" spans="1:2">
      <c r="A1205">
        <v>0</v>
      </c>
      <c r="B1205">
        <v>0</v>
      </c>
    </row>
    <row r="1206" spans="1:2">
      <c r="A1206" t="s">
        <v>19</v>
      </c>
      <c r="B1206">
        <v>0</v>
      </c>
    </row>
    <row r="1207" spans="1:2">
      <c r="A1207">
        <v>0</v>
      </c>
      <c r="B1207">
        <v>0</v>
      </c>
    </row>
    <row r="1208" spans="1:2">
      <c r="A1208">
        <v>0</v>
      </c>
      <c r="B1208">
        <v>0</v>
      </c>
    </row>
    <row r="1209" spans="1:2">
      <c r="A1209">
        <v>0</v>
      </c>
      <c r="B1209">
        <v>0</v>
      </c>
    </row>
    <row r="1210" spans="1:2">
      <c r="A1210">
        <v>0</v>
      </c>
      <c r="B1210">
        <v>0</v>
      </c>
    </row>
    <row r="1211" spans="1:2">
      <c r="A1211" t="s">
        <v>29</v>
      </c>
      <c r="B1211">
        <v>0</v>
      </c>
    </row>
    <row r="1212" spans="1:2">
      <c r="A1212">
        <v>0</v>
      </c>
      <c r="B1212">
        <v>0</v>
      </c>
    </row>
    <row r="1213" spans="1:2">
      <c r="A1213">
        <v>0</v>
      </c>
      <c r="B1213">
        <v>0</v>
      </c>
    </row>
    <row r="1214" spans="1:2">
      <c r="A1214">
        <v>0</v>
      </c>
      <c r="B1214">
        <v>0</v>
      </c>
    </row>
    <row r="1215" spans="1:2">
      <c r="A1215">
        <v>0</v>
      </c>
      <c r="B1215">
        <v>0</v>
      </c>
    </row>
    <row r="1216" spans="1:2">
      <c r="A1216">
        <v>0</v>
      </c>
      <c r="B1216">
        <v>286.51</v>
      </c>
    </row>
    <row r="1217" spans="1:2">
      <c r="A1217" t="s">
        <v>29</v>
      </c>
      <c r="B1217">
        <v>96.45</v>
      </c>
    </row>
    <row r="1218" spans="1:2">
      <c r="A1218" t="s">
        <v>31</v>
      </c>
      <c r="B1218">
        <v>78.13</v>
      </c>
    </row>
    <row r="1219" spans="1:2">
      <c r="A1219" t="s">
        <v>19</v>
      </c>
      <c r="B1219">
        <v>67.900000000000006</v>
      </c>
    </row>
    <row r="1220" spans="1:2">
      <c r="A1220">
        <v>0</v>
      </c>
      <c r="B1220">
        <v>61.83</v>
      </c>
    </row>
    <row r="1221" spans="1:2">
      <c r="A1221">
        <v>0</v>
      </c>
      <c r="B1221">
        <v>61.63</v>
      </c>
    </row>
    <row r="1222" spans="1:2">
      <c r="A1222">
        <v>0</v>
      </c>
      <c r="B1222">
        <v>54.05</v>
      </c>
    </row>
    <row r="1223" spans="1:2">
      <c r="A1223">
        <v>0</v>
      </c>
      <c r="B1223">
        <v>42.51</v>
      </c>
    </row>
    <row r="1224" spans="1:2">
      <c r="A1224">
        <v>0</v>
      </c>
      <c r="B1224">
        <v>34.39</v>
      </c>
    </row>
    <row r="1225" spans="1:2">
      <c r="A1225" t="s">
        <v>31</v>
      </c>
      <c r="B1225">
        <v>29.24</v>
      </c>
    </row>
    <row r="1226" spans="1:2">
      <c r="A1226">
        <v>0</v>
      </c>
      <c r="B1226">
        <v>22.58</v>
      </c>
    </row>
    <row r="1227" spans="1:2">
      <c r="A1227">
        <v>0</v>
      </c>
      <c r="B1227">
        <v>22.26</v>
      </c>
    </row>
    <row r="1228" spans="1:2">
      <c r="A1228" t="s">
        <v>31</v>
      </c>
      <c r="B1228">
        <v>15.98</v>
      </c>
    </row>
    <row r="1229" spans="1:2">
      <c r="A1229" t="s">
        <v>25</v>
      </c>
      <c r="B1229">
        <v>0</v>
      </c>
    </row>
    <row r="1230" spans="1:2">
      <c r="A1230">
        <v>0</v>
      </c>
      <c r="B1230">
        <v>0</v>
      </c>
    </row>
    <row r="1231" spans="1:2">
      <c r="A1231">
        <v>0</v>
      </c>
      <c r="B1231">
        <v>0</v>
      </c>
    </row>
    <row r="1232" spans="1:2">
      <c r="A1232">
        <v>0</v>
      </c>
      <c r="B1232">
        <v>0</v>
      </c>
    </row>
    <row r="1233" spans="1:2">
      <c r="A1233">
        <v>0</v>
      </c>
      <c r="B1233">
        <v>0</v>
      </c>
    </row>
    <row r="1234" spans="1:2">
      <c r="A1234">
        <v>0</v>
      </c>
      <c r="B1234">
        <v>0</v>
      </c>
    </row>
    <row r="1235" spans="1:2">
      <c r="A1235" t="s">
        <v>19</v>
      </c>
      <c r="B1235">
        <v>0</v>
      </c>
    </row>
    <row r="1236" spans="1:2">
      <c r="A1236">
        <v>0</v>
      </c>
      <c r="B1236">
        <v>0</v>
      </c>
    </row>
    <row r="1237" spans="1:2">
      <c r="A1237">
        <v>0</v>
      </c>
      <c r="B1237">
        <v>0</v>
      </c>
    </row>
    <row r="1238" spans="1:2">
      <c r="A1238" t="s">
        <v>29</v>
      </c>
      <c r="B1238">
        <v>0</v>
      </c>
    </row>
    <row r="1239" spans="1:2">
      <c r="A1239" t="s">
        <v>30</v>
      </c>
      <c r="B1239">
        <v>0</v>
      </c>
    </row>
    <row r="1240" spans="1:2">
      <c r="A1240">
        <v>0</v>
      </c>
      <c r="B1240">
        <v>0</v>
      </c>
    </row>
    <row r="1241" spans="1:2">
      <c r="A1241">
        <v>0</v>
      </c>
      <c r="B1241">
        <v>0</v>
      </c>
    </row>
    <row r="1242" spans="1:2">
      <c r="A1242" t="s">
        <v>29</v>
      </c>
      <c r="B1242">
        <v>0</v>
      </c>
    </row>
    <row r="1243" spans="1:2">
      <c r="A1243" t="s">
        <v>31</v>
      </c>
      <c r="B1243">
        <v>0</v>
      </c>
    </row>
    <row r="1244" spans="1:2">
      <c r="A1244">
        <v>0</v>
      </c>
      <c r="B1244">
        <v>0</v>
      </c>
    </row>
    <row r="1245" spans="1:2">
      <c r="A1245">
        <v>0</v>
      </c>
      <c r="B1245">
        <v>0</v>
      </c>
    </row>
    <row r="1246" spans="1:2">
      <c r="A1246">
        <v>0</v>
      </c>
      <c r="B1246">
        <v>0</v>
      </c>
    </row>
    <row r="1247" spans="1:2">
      <c r="A1247" t="s">
        <v>31</v>
      </c>
      <c r="B1247">
        <v>0</v>
      </c>
    </row>
    <row r="1248" spans="1:2">
      <c r="A1248">
        <v>0</v>
      </c>
      <c r="B1248">
        <v>0</v>
      </c>
    </row>
    <row r="1249" spans="1:2">
      <c r="A1249">
        <v>0</v>
      </c>
      <c r="B1249">
        <v>78</v>
      </c>
    </row>
    <row r="1250" spans="1:2">
      <c r="A1250">
        <v>0</v>
      </c>
      <c r="B1250">
        <v>106.06</v>
      </c>
    </row>
    <row r="1251" spans="1:2">
      <c r="A1251">
        <v>0</v>
      </c>
      <c r="B1251">
        <v>74.790000000000006</v>
      </c>
    </row>
    <row r="1252" spans="1:2">
      <c r="A1252" t="s">
        <v>31</v>
      </c>
      <c r="B1252">
        <v>59.21</v>
      </c>
    </row>
    <row r="1253" spans="1:2">
      <c r="A1253">
        <v>0</v>
      </c>
      <c r="B1253">
        <v>57.95</v>
      </c>
    </row>
    <row r="1254" spans="1:2">
      <c r="A1254" t="s">
        <v>29</v>
      </c>
      <c r="B1254">
        <v>57.7</v>
      </c>
    </row>
    <row r="1255" spans="1:2">
      <c r="A1255" t="s">
        <v>26</v>
      </c>
      <c r="B1255">
        <v>52.2</v>
      </c>
    </row>
    <row r="1256" spans="1:2">
      <c r="A1256">
        <v>0</v>
      </c>
      <c r="B1256">
        <v>41.88</v>
      </c>
    </row>
    <row r="1257" spans="1:2">
      <c r="A1257" t="s">
        <v>19</v>
      </c>
      <c r="B1257">
        <v>30.58</v>
      </c>
    </row>
    <row r="1258" spans="1:2">
      <c r="A1258" t="s">
        <v>28</v>
      </c>
      <c r="B1258">
        <v>21.17</v>
      </c>
    </row>
    <row r="1259" spans="1:2">
      <c r="A1259">
        <v>0</v>
      </c>
      <c r="B1259">
        <v>0</v>
      </c>
    </row>
    <row r="1260" spans="1:2">
      <c r="A1260" t="s">
        <v>28</v>
      </c>
      <c r="B1260">
        <v>0</v>
      </c>
    </row>
    <row r="1261" spans="1:2">
      <c r="A1261" t="s">
        <v>19</v>
      </c>
      <c r="B1261">
        <v>0</v>
      </c>
    </row>
    <row r="1262" spans="1:2">
      <c r="A1262">
        <v>0</v>
      </c>
      <c r="B1262">
        <v>0</v>
      </c>
    </row>
    <row r="1263" spans="1:2">
      <c r="A1263">
        <v>0</v>
      </c>
      <c r="B1263">
        <v>0</v>
      </c>
    </row>
    <row r="1264" spans="1:2">
      <c r="A1264">
        <v>0</v>
      </c>
      <c r="B1264">
        <v>0</v>
      </c>
    </row>
    <row r="1265" spans="1:2">
      <c r="A1265">
        <v>0</v>
      </c>
      <c r="B1265">
        <v>0</v>
      </c>
    </row>
    <row r="1266" spans="1:2">
      <c r="A1266">
        <v>0</v>
      </c>
      <c r="B1266">
        <v>0</v>
      </c>
    </row>
    <row r="1267" spans="1:2">
      <c r="A1267" t="s">
        <v>28</v>
      </c>
      <c r="B1267">
        <v>0</v>
      </c>
    </row>
    <row r="1268" spans="1:2">
      <c r="A1268" t="s">
        <v>29</v>
      </c>
      <c r="B1268">
        <v>0</v>
      </c>
    </row>
    <row r="1269" spans="1:2">
      <c r="A1269">
        <v>0</v>
      </c>
      <c r="B1269">
        <v>0</v>
      </c>
    </row>
    <row r="1270" spans="1:2">
      <c r="A1270">
        <v>0</v>
      </c>
      <c r="B1270">
        <v>0</v>
      </c>
    </row>
    <row r="1271" spans="1:2">
      <c r="A1271">
        <v>0</v>
      </c>
      <c r="B1271">
        <v>0</v>
      </c>
    </row>
    <row r="1272" spans="1:2">
      <c r="A1272" t="s">
        <v>30</v>
      </c>
      <c r="B1272">
        <v>0</v>
      </c>
    </row>
    <row r="1273" spans="1:2">
      <c r="A1273">
        <v>0</v>
      </c>
      <c r="B1273">
        <v>0</v>
      </c>
    </row>
    <row r="1274" spans="1:2">
      <c r="A1274">
        <v>0</v>
      </c>
      <c r="B1274">
        <v>0</v>
      </c>
    </row>
    <row r="1275" spans="1:2">
      <c r="A1275">
        <v>0</v>
      </c>
      <c r="B1275">
        <v>0</v>
      </c>
    </row>
    <row r="1276" spans="1:2">
      <c r="A1276">
        <v>0</v>
      </c>
      <c r="B1276">
        <v>0</v>
      </c>
    </row>
    <row r="1277" spans="1:2">
      <c r="A1277" t="s">
        <v>25</v>
      </c>
      <c r="B1277">
        <v>0</v>
      </c>
    </row>
    <row r="1278" spans="1:2">
      <c r="A1278">
        <v>0</v>
      </c>
      <c r="B1278">
        <v>0</v>
      </c>
    </row>
    <row r="1279" spans="1:2">
      <c r="A1279">
        <v>0</v>
      </c>
      <c r="B1279">
        <v>0</v>
      </c>
    </row>
    <row r="1280" spans="1:2">
      <c r="A1280">
        <v>0</v>
      </c>
      <c r="B1280">
        <v>0</v>
      </c>
    </row>
    <row r="1281" spans="1:2">
      <c r="A1281">
        <v>0</v>
      </c>
      <c r="B1281">
        <v>0</v>
      </c>
    </row>
    <row r="1282" spans="1:2">
      <c r="A1282">
        <v>0</v>
      </c>
      <c r="B1282">
        <v>0</v>
      </c>
    </row>
    <row r="1283" spans="1:2">
      <c r="A1283">
        <v>0</v>
      </c>
      <c r="B1283">
        <v>0</v>
      </c>
    </row>
    <row r="1284" spans="1:2">
      <c r="A1284">
        <v>0</v>
      </c>
      <c r="B1284">
        <v>190</v>
      </c>
    </row>
    <row r="1285" spans="1:2">
      <c r="A1285">
        <v>0</v>
      </c>
      <c r="B1285">
        <v>105.65</v>
      </c>
    </row>
    <row r="1286" spans="1:2">
      <c r="A1286">
        <v>0</v>
      </c>
      <c r="B1286">
        <v>97.61</v>
      </c>
    </row>
    <row r="1287" spans="1:2">
      <c r="A1287">
        <v>0</v>
      </c>
      <c r="B1287">
        <v>78.84</v>
      </c>
    </row>
    <row r="1288" spans="1:2">
      <c r="A1288" t="s">
        <v>25</v>
      </c>
      <c r="B1288">
        <v>78.59</v>
      </c>
    </row>
    <row r="1289" spans="1:2">
      <c r="A1289">
        <v>0</v>
      </c>
      <c r="B1289">
        <v>56.9</v>
      </c>
    </row>
    <row r="1290" spans="1:2">
      <c r="A1290" t="s">
        <v>26</v>
      </c>
      <c r="B1290">
        <v>56.37</v>
      </c>
    </row>
    <row r="1291" spans="1:2">
      <c r="A1291">
        <v>0</v>
      </c>
      <c r="B1291">
        <v>41.27</v>
      </c>
    </row>
    <row r="1292" spans="1:2">
      <c r="A1292" t="s">
        <v>19</v>
      </c>
      <c r="B1292">
        <v>36.51</v>
      </c>
    </row>
    <row r="1293" spans="1:2">
      <c r="A1293">
        <v>0</v>
      </c>
      <c r="B1293">
        <v>18</v>
      </c>
    </row>
    <row r="1294" spans="1:2">
      <c r="A1294" t="s">
        <v>31</v>
      </c>
      <c r="B1294">
        <v>16.45</v>
      </c>
    </row>
    <row r="1295" spans="1:2">
      <c r="A1295" t="s">
        <v>26</v>
      </c>
      <c r="B1295">
        <v>0</v>
      </c>
    </row>
    <row r="1296" spans="1:2">
      <c r="A1296">
        <v>0</v>
      </c>
      <c r="B1296">
        <v>0</v>
      </c>
    </row>
    <row r="1297" spans="1:2">
      <c r="A1297">
        <v>0</v>
      </c>
      <c r="B1297">
        <v>0</v>
      </c>
    </row>
    <row r="1298" spans="1:2">
      <c r="A1298">
        <v>0</v>
      </c>
      <c r="B1298">
        <v>0</v>
      </c>
    </row>
    <row r="1299" spans="1:2">
      <c r="A1299">
        <v>0</v>
      </c>
      <c r="B1299">
        <v>0</v>
      </c>
    </row>
    <row r="1300" spans="1:2">
      <c r="A1300">
        <v>0</v>
      </c>
      <c r="B1300">
        <v>0</v>
      </c>
    </row>
    <row r="1301" spans="1:2">
      <c r="A1301">
        <v>0</v>
      </c>
      <c r="B1301">
        <v>0</v>
      </c>
    </row>
    <row r="1302" spans="1:2">
      <c r="A1302">
        <v>0</v>
      </c>
      <c r="B1302">
        <v>0</v>
      </c>
    </row>
    <row r="1303" spans="1:2">
      <c r="A1303">
        <v>0</v>
      </c>
      <c r="B1303">
        <v>0</v>
      </c>
    </row>
    <row r="1304" spans="1:2">
      <c r="A1304">
        <v>0</v>
      </c>
      <c r="B1304">
        <v>0</v>
      </c>
    </row>
    <row r="1305" spans="1:2">
      <c r="A1305">
        <v>0</v>
      </c>
      <c r="B1305">
        <v>0</v>
      </c>
    </row>
    <row r="1306" spans="1:2">
      <c r="A1306">
        <v>0</v>
      </c>
      <c r="B1306">
        <v>0</v>
      </c>
    </row>
    <row r="1307" spans="1:2">
      <c r="A1307">
        <v>0</v>
      </c>
      <c r="B1307">
        <v>0</v>
      </c>
    </row>
    <row r="1308" spans="1:2">
      <c r="A1308">
        <v>0</v>
      </c>
      <c r="B1308">
        <v>0</v>
      </c>
    </row>
    <row r="1309" spans="1:2">
      <c r="A1309" t="s">
        <v>28</v>
      </c>
      <c r="B1309">
        <v>0</v>
      </c>
    </row>
    <row r="1310" spans="1:2">
      <c r="A1310">
        <v>0</v>
      </c>
      <c r="B1310">
        <v>0</v>
      </c>
    </row>
    <row r="1311" spans="1:2">
      <c r="A1311" t="s">
        <v>30</v>
      </c>
      <c r="B1311">
        <v>0</v>
      </c>
    </row>
    <row r="1312" spans="1:2">
      <c r="A1312">
        <v>0</v>
      </c>
      <c r="B1312">
        <v>164</v>
      </c>
    </row>
    <row r="1313" spans="1:2">
      <c r="A1313">
        <v>0</v>
      </c>
      <c r="B1313">
        <v>161.91</v>
      </c>
    </row>
    <row r="1314" spans="1:2">
      <c r="A1314">
        <v>0</v>
      </c>
      <c r="B1314">
        <v>132.33000000000001</v>
      </c>
    </row>
    <row r="1315" spans="1:2">
      <c r="A1315">
        <v>0</v>
      </c>
      <c r="B1315">
        <v>71.7</v>
      </c>
    </row>
    <row r="1316" spans="1:2">
      <c r="A1316">
        <v>0</v>
      </c>
      <c r="B1316">
        <v>71.05</v>
      </c>
    </row>
    <row r="1317" spans="1:2">
      <c r="A1317">
        <v>0</v>
      </c>
      <c r="B1317">
        <v>61.37</v>
      </c>
    </row>
    <row r="1318" spans="1:2">
      <c r="A1318">
        <v>0</v>
      </c>
      <c r="B1318">
        <v>49.02</v>
      </c>
    </row>
    <row r="1319" spans="1:2">
      <c r="A1319">
        <v>0</v>
      </c>
      <c r="B1319">
        <v>15.88</v>
      </c>
    </row>
    <row r="1320" spans="1:2">
      <c r="A1320" t="s">
        <v>26</v>
      </c>
      <c r="B1320">
        <v>0</v>
      </c>
    </row>
    <row r="1321" spans="1:2">
      <c r="A1321" t="s">
        <v>31</v>
      </c>
      <c r="B1321">
        <v>0</v>
      </c>
    </row>
    <row r="1322" spans="1:2">
      <c r="A1322">
        <v>0</v>
      </c>
      <c r="B1322">
        <v>0</v>
      </c>
    </row>
    <row r="1323" spans="1:2">
      <c r="A1323" t="s">
        <v>28</v>
      </c>
      <c r="B1323">
        <v>0</v>
      </c>
    </row>
    <row r="1324" spans="1:2">
      <c r="A1324">
        <v>0</v>
      </c>
      <c r="B1324">
        <v>0</v>
      </c>
    </row>
    <row r="1325" spans="1:2">
      <c r="A1325">
        <v>0</v>
      </c>
      <c r="B1325">
        <v>0</v>
      </c>
    </row>
    <row r="1326" spans="1:2">
      <c r="A1326">
        <v>0</v>
      </c>
      <c r="B1326">
        <v>0</v>
      </c>
    </row>
    <row r="1327" spans="1:2">
      <c r="A1327">
        <v>0</v>
      </c>
      <c r="B1327">
        <v>0</v>
      </c>
    </row>
    <row r="1328" spans="1:2">
      <c r="A1328" t="s">
        <v>29</v>
      </c>
      <c r="B1328">
        <v>0</v>
      </c>
    </row>
    <row r="1329" spans="1:2">
      <c r="A1329">
        <v>0</v>
      </c>
      <c r="B1329">
        <v>0</v>
      </c>
    </row>
    <row r="1330" spans="1:2">
      <c r="A1330" t="s">
        <v>30</v>
      </c>
      <c r="B1330">
        <v>0</v>
      </c>
    </row>
    <row r="1331" spans="1:2">
      <c r="A1331">
        <v>0</v>
      </c>
      <c r="B1331">
        <v>0</v>
      </c>
    </row>
    <row r="1332" spans="1:2">
      <c r="A1332" t="s">
        <v>30</v>
      </c>
      <c r="B1332">
        <v>0</v>
      </c>
    </row>
    <row r="1333" spans="1:2">
      <c r="A1333" t="s">
        <v>28</v>
      </c>
      <c r="B1333">
        <v>0</v>
      </c>
    </row>
    <row r="1334" spans="1:2">
      <c r="A1334">
        <v>0</v>
      </c>
      <c r="B1334">
        <v>0</v>
      </c>
    </row>
    <row r="1335" spans="1:2">
      <c r="A1335" t="s">
        <v>30</v>
      </c>
      <c r="B1335">
        <v>0</v>
      </c>
    </row>
    <row r="1336" spans="1:2">
      <c r="A1336" t="s">
        <v>19</v>
      </c>
      <c r="B1336">
        <v>0</v>
      </c>
    </row>
    <row r="1337" spans="1:2">
      <c r="A1337">
        <v>0</v>
      </c>
      <c r="B1337">
        <v>0</v>
      </c>
    </row>
    <row r="1338" spans="1:2">
      <c r="A1338">
        <v>0</v>
      </c>
      <c r="B1338">
        <v>0</v>
      </c>
    </row>
    <row r="1339" spans="1:2">
      <c r="A1339">
        <v>0</v>
      </c>
      <c r="B1339">
        <v>172.5</v>
      </c>
    </row>
    <row r="1340" spans="1:2">
      <c r="A1340">
        <v>0</v>
      </c>
      <c r="B1340">
        <v>59.26</v>
      </c>
    </row>
    <row r="1341" spans="1:2">
      <c r="A1341">
        <v>0</v>
      </c>
      <c r="B1341">
        <v>53.17</v>
      </c>
    </row>
    <row r="1342" spans="1:2">
      <c r="A1342">
        <v>0</v>
      </c>
      <c r="B1342">
        <v>45.88</v>
      </c>
    </row>
    <row r="1343" spans="1:2">
      <c r="A1343">
        <v>0</v>
      </c>
      <c r="B1343">
        <v>32.08</v>
      </c>
    </row>
    <row r="1344" spans="1:2">
      <c r="A1344">
        <v>0</v>
      </c>
      <c r="B1344">
        <v>22.88</v>
      </c>
    </row>
    <row r="1345" spans="1:2">
      <c r="A1345">
        <v>0</v>
      </c>
      <c r="B1345">
        <v>17.61</v>
      </c>
    </row>
    <row r="1346" spans="1:2">
      <c r="A1346">
        <v>0</v>
      </c>
      <c r="B1346">
        <v>0</v>
      </c>
    </row>
    <row r="1347" spans="1:2">
      <c r="A1347">
        <v>0</v>
      </c>
      <c r="B1347">
        <v>0</v>
      </c>
    </row>
    <row r="1348" spans="1:2">
      <c r="A1348">
        <v>0</v>
      </c>
      <c r="B1348">
        <v>0</v>
      </c>
    </row>
    <row r="1349" spans="1:2">
      <c r="A1349">
        <v>0</v>
      </c>
      <c r="B1349">
        <v>0</v>
      </c>
    </row>
    <row r="1350" spans="1:2">
      <c r="A1350" t="s">
        <v>19</v>
      </c>
      <c r="B1350">
        <v>0</v>
      </c>
    </row>
    <row r="1351" spans="1:2">
      <c r="A1351" t="s">
        <v>26</v>
      </c>
      <c r="B1351">
        <v>0</v>
      </c>
    </row>
    <row r="1352" spans="1:2">
      <c r="A1352">
        <v>0</v>
      </c>
      <c r="B1352">
        <v>0</v>
      </c>
    </row>
    <row r="1353" spans="1:2">
      <c r="A1353">
        <v>0</v>
      </c>
      <c r="B1353">
        <v>0</v>
      </c>
    </row>
    <row r="1354" spans="1:2">
      <c r="A1354" t="s">
        <v>26</v>
      </c>
      <c r="B1354">
        <v>0</v>
      </c>
    </row>
    <row r="1355" spans="1:2">
      <c r="A1355">
        <v>0</v>
      </c>
      <c r="B1355">
        <v>0</v>
      </c>
    </row>
    <row r="1356" spans="1:2">
      <c r="A1356">
        <v>0</v>
      </c>
      <c r="B1356">
        <v>0</v>
      </c>
    </row>
    <row r="1357" spans="1:2">
      <c r="A1357">
        <v>0</v>
      </c>
      <c r="B1357">
        <v>0</v>
      </c>
    </row>
    <row r="1358" spans="1:2">
      <c r="A1358" t="s">
        <v>30</v>
      </c>
      <c r="B1358">
        <v>0</v>
      </c>
    </row>
    <row r="1359" spans="1:2">
      <c r="A1359" t="s">
        <v>28</v>
      </c>
      <c r="B1359">
        <v>0</v>
      </c>
    </row>
    <row r="1360" spans="1:2">
      <c r="A1360">
        <v>0</v>
      </c>
      <c r="B1360">
        <v>0</v>
      </c>
    </row>
    <row r="1361" spans="1:2">
      <c r="A1361">
        <v>0</v>
      </c>
      <c r="B1361">
        <v>0</v>
      </c>
    </row>
    <row r="1362" spans="1:2">
      <c r="A1362">
        <v>0</v>
      </c>
      <c r="B1362">
        <v>193</v>
      </c>
    </row>
    <row r="1363" spans="1:2">
      <c r="A1363">
        <v>0</v>
      </c>
      <c r="B1363">
        <v>445.39</v>
      </c>
    </row>
    <row r="1364" spans="1:2">
      <c r="A1364" t="s">
        <v>25</v>
      </c>
      <c r="B1364">
        <v>148.19</v>
      </c>
    </row>
    <row r="1365" spans="1:2">
      <c r="A1365">
        <v>0</v>
      </c>
      <c r="B1365">
        <v>62.51</v>
      </c>
    </row>
    <row r="1366" spans="1:2">
      <c r="A1366" t="s">
        <v>30</v>
      </c>
      <c r="B1366">
        <v>51.94</v>
      </c>
    </row>
    <row r="1367" spans="1:2">
      <c r="A1367">
        <v>0</v>
      </c>
      <c r="B1367">
        <v>49.53</v>
      </c>
    </row>
    <row r="1368" spans="1:2">
      <c r="A1368">
        <v>0</v>
      </c>
      <c r="B1368">
        <v>39.68</v>
      </c>
    </row>
    <row r="1369" spans="1:2">
      <c r="A1369">
        <v>0</v>
      </c>
      <c r="B1369">
        <v>21.23</v>
      </c>
    </row>
    <row r="1370" spans="1:2">
      <c r="A1370">
        <v>0</v>
      </c>
      <c r="B1370">
        <v>19.89</v>
      </c>
    </row>
    <row r="1371" spans="1:2">
      <c r="A1371">
        <v>0</v>
      </c>
      <c r="B1371">
        <v>0</v>
      </c>
    </row>
    <row r="1372" spans="1:2">
      <c r="A1372" t="s">
        <v>19</v>
      </c>
      <c r="B1372">
        <v>0</v>
      </c>
    </row>
    <row r="1373" spans="1:2">
      <c r="A1373">
        <v>0</v>
      </c>
      <c r="B1373">
        <v>0</v>
      </c>
    </row>
    <row r="1374" spans="1:2">
      <c r="A1374" t="s">
        <v>31</v>
      </c>
      <c r="B1374">
        <v>0</v>
      </c>
    </row>
    <row r="1375" spans="1:2">
      <c r="A1375">
        <v>0</v>
      </c>
      <c r="B1375">
        <v>0</v>
      </c>
    </row>
    <row r="1376" spans="1:2">
      <c r="A1376" t="s">
        <v>29</v>
      </c>
      <c r="B1376">
        <v>0</v>
      </c>
    </row>
    <row r="1377" spans="1:2">
      <c r="A1377" t="s">
        <v>29</v>
      </c>
      <c r="B1377">
        <v>0</v>
      </c>
    </row>
    <row r="1378" spans="1:2">
      <c r="A1378" t="s">
        <v>31</v>
      </c>
      <c r="B1378">
        <v>0</v>
      </c>
    </row>
    <row r="1379" spans="1:2">
      <c r="A1379">
        <v>0</v>
      </c>
      <c r="B1379">
        <v>0</v>
      </c>
    </row>
    <row r="1380" spans="1:2">
      <c r="A1380" t="s">
        <v>28</v>
      </c>
      <c r="B1380">
        <v>0</v>
      </c>
    </row>
    <row r="1381" spans="1:2">
      <c r="A1381">
        <v>0</v>
      </c>
      <c r="B1381">
        <v>0</v>
      </c>
    </row>
    <row r="1382" spans="1:2">
      <c r="A1382">
        <v>0</v>
      </c>
      <c r="B1382">
        <v>0</v>
      </c>
    </row>
    <row r="1383" spans="1:2">
      <c r="A1383">
        <v>0</v>
      </c>
      <c r="B1383">
        <v>0</v>
      </c>
    </row>
    <row r="1384" spans="1:2">
      <c r="A1384">
        <v>0</v>
      </c>
      <c r="B1384">
        <v>0</v>
      </c>
    </row>
    <row r="1385" spans="1:2">
      <c r="A1385">
        <v>0</v>
      </c>
      <c r="B1385">
        <v>0</v>
      </c>
    </row>
    <row r="1386" spans="1:2">
      <c r="A1386">
        <v>0</v>
      </c>
      <c r="B1386">
        <v>0</v>
      </c>
    </row>
    <row r="1387" spans="1:2">
      <c r="A1387" t="s">
        <v>29</v>
      </c>
      <c r="B1387">
        <v>0</v>
      </c>
    </row>
    <row r="1388" spans="1:2">
      <c r="A1388">
        <v>0</v>
      </c>
      <c r="B1388">
        <v>0</v>
      </c>
    </row>
    <row r="1389" spans="1:2">
      <c r="A1389" t="s">
        <v>31</v>
      </c>
      <c r="B1389">
        <v>0</v>
      </c>
    </row>
    <row r="1390" spans="1:2">
      <c r="A1390">
        <v>0</v>
      </c>
      <c r="B1390">
        <v>92</v>
      </c>
    </row>
    <row r="1391" spans="1:2">
      <c r="A1391">
        <v>0</v>
      </c>
      <c r="B1391">
        <v>141</v>
      </c>
    </row>
    <row r="1392" spans="1:2">
      <c r="A1392">
        <v>0</v>
      </c>
      <c r="B1392">
        <v>63.67</v>
      </c>
    </row>
    <row r="1393" spans="1:2">
      <c r="A1393" t="s">
        <v>30</v>
      </c>
      <c r="B1393">
        <v>46.58</v>
      </c>
    </row>
    <row r="1394" spans="1:2">
      <c r="A1394" t="s">
        <v>19</v>
      </c>
      <c r="B1394">
        <v>42.69</v>
      </c>
    </row>
    <row r="1395" spans="1:2">
      <c r="A1395" t="s">
        <v>25</v>
      </c>
      <c r="B1395">
        <v>42.19</v>
      </c>
    </row>
    <row r="1396" spans="1:2">
      <c r="A1396">
        <v>0</v>
      </c>
      <c r="B1396">
        <v>36.83</v>
      </c>
    </row>
    <row r="1397" spans="1:2">
      <c r="A1397">
        <v>0</v>
      </c>
      <c r="B1397">
        <v>34.479999999999997</v>
      </c>
    </row>
    <row r="1398" spans="1:2">
      <c r="A1398">
        <v>0</v>
      </c>
      <c r="B1398">
        <v>27.31</v>
      </c>
    </row>
    <row r="1399" spans="1:2">
      <c r="A1399" t="s">
        <v>29</v>
      </c>
      <c r="B1399">
        <v>23.9</v>
      </c>
    </row>
    <row r="1400" spans="1:2">
      <c r="A1400">
        <v>0</v>
      </c>
      <c r="B1400">
        <v>0</v>
      </c>
    </row>
    <row r="1401" spans="1:2">
      <c r="A1401" t="s">
        <v>25</v>
      </c>
      <c r="B1401">
        <v>0</v>
      </c>
    </row>
    <row r="1402" spans="1:2">
      <c r="A1402">
        <v>0</v>
      </c>
      <c r="B1402">
        <v>0</v>
      </c>
    </row>
    <row r="1403" spans="1:2">
      <c r="A1403">
        <v>0</v>
      </c>
      <c r="B1403">
        <v>0</v>
      </c>
    </row>
    <row r="1404" spans="1:2">
      <c r="A1404" t="s">
        <v>30</v>
      </c>
      <c r="B1404">
        <v>0</v>
      </c>
    </row>
    <row r="1405" spans="1:2">
      <c r="A1405">
        <v>0</v>
      </c>
      <c r="B1405">
        <v>0</v>
      </c>
    </row>
    <row r="1406" spans="1:2">
      <c r="A1406">
        <v>0</v>
      </c>
      <c r="B1406">
        <v>0</v>
      </c>
    </row>
    <row r="1407" spans="1:2">
      <c r="A1407">
        <v>0</v>
      </c>
      <c r="B1407">
        <v>0</v>
      </c>
    </row>
    <row r="1408" spans="1:2">
      <c r="A1408">
        <v>0</v>
      </c>
      <c r="B1408">
        <v>0</v>
      </c>
    </row>
    <row r="1409" spans="1:2">
      <c r="A1409">
        <v>0</v>
      </c>
      <c r="B1409">
        <v>0</v>
      </c>
    </row>
    <row r="1410" spans="1:2">
      <c r="A1410">
        <v>0</v>
      </c>
      <c r="B1410">
        <v>0</v>
      </c>
    </row>
    <row r="1411" spans="1:2">
      <c r="A1411" t="s">
        <v>30</v>
      </c>
      <c r="B1411">
        <v>0</v>
      </c>
    </row>
    <row r="1412" spans="1:2">
      <c r="A1412" t="s">
        <v>29</v>
      </c>
      <c r="B1412">
        <v>0</v>
      </c>
    </row>
    <row r="1413" spans="1:2">
      <c r="A1413" t="s">
        <v>19</v>
      </c>
      <c r="B1413">
        <v>0</v>
      </c>
    </row>
    <row r="1414" spans="1:2">
      <c r="A1414">
        <v>0</v>
      </c>
      <c r="B1414">
        <v>0</v>
      </c>
    </row>
    <row r="1415" spans="1:2">
      <c r="A1415" t="s">
        <v>25</v>
      </c>
      <c r="B1415">
        <v>0</v>
      </c>
    </row>
    <row r="1416" spans="1:2">
      <c r="A1416">
        <v>0</v>
      </c>
      <c r="B1416">
        <v>0</v>
      </c>
    </row>
    <row r="1417" spans="1:2">
      <c r="A1417">
        <v>0</v>
      </c>
      <c r="B1417">
        <v>0</v>
      </c>
    </row>
    <row r="1418" spans="1:2">
      <c r="A1418">
        <v>0</v>
      </c>
      <c r="B1418">
        <v>0</v>
      </c>
    </row>
    <row r="1419" spans="1:2">
      <c r="A1419">
        <v>0</v>
      </c>
      <c r="B1419">
        <v>64.67</v>
      </c>
    </row>
    <row r="1420" spans="1:2">
      <c r="A1420">
        <v>0</v>
      </c>
      <c r="B1420">
        <v>52.55</v>
      </c>
    </row>
    <row r="1421" spans="1:2">
      <c r="A1421" t="s">
        <v>19</v>
      </c>
      <c r="B1421">
        <v>44.7</v>
      </c>
    </row>
    <row r="1422" spans="1:2">
      <c r="A1422">
        <v>0</v>
      </c>
      <c r="B1422">
        <v>21.16</v>
      </c>
    </row>
    <row r="1423" spans="1:2">
      <c r="A1423" t="s">
        <v>29</v>
      </c>
      <c r="B1423">
        <v>16</v>
      </c>
    </row>
    <row r="1424" spans="1:2">
      <c r="A1424">
        <v>0</v>
      </c>
      <c r="B1424">
        <v>15.62</v>
      </c>
    </row>
    <row r="1425" spans="1:2">
      <c r="A1425" t="s">
        <v>29</v>
      </c>
      <c r="B1425">
        <v>0</v>
      </c>
    </row>
    <row r="1426" spans="1:2">
      <c r="A1426">
        <v>0</v>
      </c>
      <c r="B1426">
        <v>0</v>
      </c>
    </row>
    <row r="1427" spans="1:2">
      <c r="A1427">
        <v>0</v>
      </c>
      <c r="B1427">
        <v>0</v>
      </c>
    </row>
    <row r="1428" spans="1:2">
      <c r="A1428" t="s">
        <v>30</v>
      </c>
      <c r="B1428">
        <v>0</v>
      </c>
    </row>
    <row r="1429" spans="1:2">
      <c r="A1429">
        <v>0</v>
      </c>
      <c r="B1429">
        <v>0</v>
      </c>
    </row>
    <row r="1430" spans="1:2">
      <c r="A1430">
        <v>0</v>
      </c>
      <c r="B1430">
        <v>0</v>
      </c>
    </row>
    <row r="1431" spans="1:2">
      <c r="A1431">
        <v>0</v>
      </c>
      <c r="B1431">
        <v>0</v>
      </c>
    </row>
    <row r="1432" spans="1:2">
      <c r="A1432">
        <v>0</v>
      </c>
      <c r="B1432">
        <v>0</v>
      </c>
    </row>
    <row r="1433" spans="1:2">
      <c r="A1433">
        <v>0</v>
      </c>
      <c r="B1433">
        <v>0</v>
      </c>
    </row>
    <row r="1434" spans="1:2">
      <c r="A1434" t="s">
        <v>31</v>
      </c>
      <c r="B1434">
        <v>0</v>
      </c>
    </row>
    <row r="1435" spans="1:2">
      <c r="A1435" t="s">
        <v>26</v>
      </c>
      <c r="B1435">
        <v>0</v>
      </c>
    </row>
    <row r="1436" spans="1:2">
      <c r="A1436" t="s">
        <v>19</v>
      </c>
      <c r="B1436">
        <v>0</v>
      </c>
    </row>
    <row r="1437" spans="1:2">
      <c r="A1437">
        <v>0</v>
      </c>
      <c r="B1437">
        <v>0</v>
      </c>
    </row>
    <row r="1438" spans="1:2">
      <c r="A1438" t="s">
        <v>29</v>
      </c>
      <c r="B1438">
        <v>0</v>
      </c>
    </row>
    <row r="1439" spans="1:2">
      <c r="A1439">
        <v>0</v>
      </c>
      <c r="B1439">
        <v>0</v>
      </c>
    </row>
    <row r="1440" spans="1:2">
      <c r="A1440">
        <v>0</v>
      </c>
      <c r="B1440">
        <v>0</v>
      </c>
    </row>
    <row r="1441" spans="1:2">
      <c r="A1441">
        <v>0</v>
      </c>
      <c r="B1441">
        <v>0</v>
      </c>
    </row>
    <row r="1442" spans="1:2">
      <c r="A1442" t="s">
        <v>28</v>
      </c>
      <c r="B1442">
        <v>0</v>
      </c>
    </row>
    <row r="1443" spans="1:2">
      <c r="A1443">
        <v>0</v>
      </c>
      <c r="B1443">
        <v>0</v>
      </c>
    </row>
    <row r="1444" spans="1:2">
      <c r="A1444">
        <v>0</v>
      </c>
      <c r="B1444">
        <v>0</v>
      </c>
    </row>
    <row r="1445" spans="1:2">
      <c r="A1445">
        <v>0</v>
      </c>
      <c r="B1445">
        <v>0</v>
      </c>
    </row>
    <row r="1446" spans="1:2">
      <c r="A1446">
        <v>0</v>
      </c>
      <c r="B1446">
        <v>0</v>
      </c>
    </row>
    <row r="1447" spans="1:2">
      <c r="A1447">
        <v>0</v>
      </c>
      <c r="B1447">
        <v>0</v>
      </c>
    </row>
    <row r="1448" spans="1:2">
      <c r="A1448">
        <v>0</v>
      </c>
      <c r="B1448">
        <v>0</v>
      </c>
    </row>
    <row r="1449" spans="1:2">
      <c r="A1449" t="s">
        <v>29</v>
      </c>
      <c r="B1449">
        <v>0</v>
      </c>
    </row>
    <row r="1450" spans="1:2">
      <c r="A1450">
        <v>0</v>
      </c>
      <c r="B1450">
        <v>0</v>
      </c>
    </row>
    <row r="1451" spans="1:2">
      <c r="A1451" t="s">
        <v>28</v>
      </c>
      <c r="B1451">
        <v>409</v>
      </c>
    </row>
    <row r="1452" spans="1:2">
      <c r="A1452" t="s">
        <v>26</v>
      </c>
      <c r="B1452">
        <v>177.66</v>
      </c>
    </row>
    <row r="1453" spans="1:2">
      <c r="A1453">
        <v>0</v>
      </c>
      <c r="B1453">
        <v>43.23</v>
      </c>
    </row>
    <row r="1454" spans="1:2">
      <c r="A1454" t="s">
        <v>26</v>
      </c>
      <c r="B1454">
        <v>37.979999999999997</v>
      </c>
    </row>
    <row r="1455" spans="1:2">
      <c r="A1455" t="s">
        <v>31</v>
      </c>
      <c r="B1455">
        <v>28.13</v>
      </c>
    </row>
    <row r="1456" spans="1:2">
      <c r="A1456">
        <v>0</v>
      </c>
      <c r="B1456">
        <v>25.72</v>
      </c>
    </row>
    <row r="1457" spans="1:2">
      <c r="A1457" t="s">
        <v>31</v>
      </c>
      <c r="B1457">
        <v>0</v>
      </c>
    </row>
    <row r="1458" spans="1:2">
      <c r="A1458">
        <v>0</v>
      </c>
      <c r="B1458">
        <v>0</v>
      </c>
    </row>
    <row r="1459" spans="1:2">
      <c r="A1459">
        <v>0</v>
      </c>
      <c r="B1459">
        <v>0</v>
      </c>
    </row>
    <row r="1460" spans="1:2">
      <c r="A1460" t="s">
        <v>25</v>
      </c>
      <c r="B1460">
        <v>0</v>
      </c>
    </row>
    <row r="1461" spans="1:2">
      <c r="A1461">
        <v>0</v>
      </c>
      <c r="B1461">
        <v>0</v>
      </c>
    </row>
    <row r="1462" spans="1:2">
      <c r="A1462">
        <v>0</v>
      </c>
      <c r="B1462">
        <v>0</v>
      </c>
    </row>
    <row r="1463" spans="1:2">
      <c r="A1463" t="s">
        <v>30</v>
      </c>
      <c r="B1463">
        <v>0</v>
      </c>
    </row>
    <row r="1464" spans="1:2">
      <c r="A1464">
        <v>0</v>
      </c>
      <c r="B1464">
        <v>0</v>
      </c>
    </row>
    <row r="1465" spans="1:2">
      <c r="A1465">
        <v>0</v>
      </c>
      <c r="B1465">
        <v>0</v>
      </c>
    </row>
    <row r="1466" spans="1:2">
      <c r="A1466">
        <v>0</v>
      </c>
      <c r="B1466">
        <v>0</v>
      </c>
    </row>
    <row r="1467" spans="1:2">
      <c r="A1467">
        <v>0</v>
      </c>
      <c r="B1467">
        <v>0</v>
      </c>
    </row>
    <row r="1468" spans="1:2">
      <c r="A1468">
        <v>0</v>
      </c>
      <c r="B1468">
        <v>0</v>
      </c>
    </row>
    <row r="1469" spans="1:2">
      <c r="A1469">
        <v>0</v>
      </c>
      <c r="B1469">
        <v>0</v>
      </c>
    </row>
    <row r="1470" spans="1:2">
      <c r="A1470">
        <v>0</v>
      </c>
      <c r="B1470">
        <v>0</v>
      </c>
    </row>
    <row r="1471" spans="1:2">
      <c r="A1471" t="s">
        <v>29</v>
      </c>
      <c r="B1471">
        <v>0</v>
      </c>
    </row>
    <row r="1472" spans="1:2">
      <c r="A1472">
        <v>0</v>
      </c>
      <c r="B1472">
        <v>0</v>
      </c>
    </row>
    <row r="1473" spans="1:2">
      <c r="A1473" t="s">
        <v>26</v>
      </c>
      <c r="B1473">
        <v>0</v>
      </c>
    </row>
    <row r="1474" spans="1:2">
      <c r="A1474" t="s">
        <v>28</v>
      </c>
      <c r="B1474">
        <v>0</v>
      </c>
    </row>
    <row r="1475" spans="1:2">
      <c r="A1475">
        <v>0</v>
      </c>
      <c r="B1475">
        <v>0</v>
      </c>
    </row>
    <row r="1476" spans="1:2">
      <c r="A1476" t="s">
        <v>28</v>
      </c>
      <c r="B1476">
        <v>0</v>
      </c>
    </row>
    <row r="1477" spans="1:2">
      <c r="A1477">
        <v>0</v>
      </c>
      <c r="B1477">
        <v>136.75</v>
      </c>
    </row>
    <row r="1478" spans="1:2">
      <c r="A1478">
        <v>0</v>
      </c>
      <c r="B1478">
        <v>103.28</v>
      </c>
    </row>
    <row r="1479" spans="1:2">
      <c r="A1479">
        <v>0</v>
      </c>
      <c r="B1479">
        <v>95.84</v>
      </c>
    </row>
    <row r="1480" spans="1:2">
      <c r="A1480" t="s">
        <v>26</v>
      </c>
      <c r="B1480">
        <v>76.41</v>
      </c>
    </row>
    <row r="1481" spans="1:2">
      <c r="A1481">
        <v>0</v>
      </c>
      <c r="B1481">
        <v>72.02</v>
      </c>
    </row>
    <row r="1482" spans="1:2">
      <c r="A1482" t="s">
        <v>28</v>
      </c>
      <c r="B1482">
        <v>70.959999999999994</v>
      </c>
    </row>
    <row r="1483" spans="1:2">
      <c r="A1483">
        <v>0</v>
      </c>
      <c r="B1483">
        <v>61.42</v>
      </c>
    </row>
    <row r="1484" spans="1:2">
      <c r="A1484" t="s">
        <v>26</v>
      </c>
      <c r="B1484">
        <v>51.34</v>
      </c>
    </row>
    <row r="1485" spans="1:2">
      <c r="A1485">
        <v>0</v>
      </c>
      <c r="B1485">
        <v>29.45</v>
      </c>
    </row>
    <row r="1486" spans="1:2">
      <c r="A1486" t="s">
        <v>26</v>
      </c>
      <c r="B1486">
        <v>29.34</v>
      </c>
    </row>
    <row r="1487" spans="1:2">
      <c r="A1487" t="s">
        <v>29</v>
      </c>
      <c r="B1487">
        <v>0</v>
      </c>
    </row>
    <row r="1488" spans="1:2">
      <c r="A1488">
        <v>0</v>
      </c>
      <c r="B1488">
        <v>0</v>
      </c>
    </row>
    <row r="1489" spans="1:2">
      <c r="A1489">
        <v>0</v>
      </c>
      <c r="B1489">
        <v>0</v>
      </c>
    </row>
    <row r="1490" spans="1:2">
      <c r="A1490">
        <v>0</v>
      </c>
      <c r="B1490">
        <v>0</v>
      </c>
    </row>
    <row r="1491" spans="1:2">
      <c r="A1491">
        <v>0</v>
      </c>
      <c r="B1491">
        <v>0</v>
      </c>
    </row>
    <row r="1492" spans="1:2">
      <c r="A1492">
        <v>0</v>
      </c>
      <c r="B1492">
        <v>0</v>
      </c>
    </row>
    <row r="1493" spans="1:2">
      <c r="A1493" t="s">
        <v>28</v>
      </c>
      <c r="B1493">
        <v>0</v>
      </c>
    </row>
    <row r="1494" spans="1:2">
      <c r="A1494">
        <v>0</v>
      </c>
      <c r="B1494">
        <v>0</v>
      </c>
    </row>
    <row r="1495" spans="1:2">
      <c r="A1495">
        <v>0</v>
      </c>
      <c r="B1495">
        <v>0</v>
      </c>
    </row>
    <row r="1496" spans="1:2">
      <c r="A1496">
        <v>0</v>
      </c>
      <c r="B1496">
        <v>0</v>
      </c>
    </row>
    <row r="1497" spans="1:2">
      <c r="A1497">
        <v>0</v>
      </c>
      <c r="B1497">
        <v>0</v>
      </c>
    </row>
    <row r="1498" spans="1:2">
      <c r="A1498" t="s">
        <v>26</v>
      </c>
      <c r="B1498">
        <v>0</v>
      </c>
    </row>
    <row r="1499" spans="1:2">
      <c r="A1499">
        <v>0</v>
      </c>
      <c r="B1499">
        <v>0</v>
      </c>
    </row>
    <row r="1500" spans="1:2">
      <c r="A1500">
        <v>0</v>
      </c>
      <c r="B1500">
        <v>0</v>
      </c>
    </row>
    <row r="1501" spans="1:2">
      <c r="A1501">
        <v>0</v>
      </c>
      <c r="B1501">
        <v>0</v>
      </c>
    </row>
    <row r="1502" spans="1:2">
      <c r="A1502" t="s">
        <v>28</v>
      </c>
      <c r="B1502">
        <v>85.46</v>
      </c>
    </row>
    <row r="1503" spans="1:2">
      <c r="A1503">
        <v>0</v>
      </c>
      <c r="B1503">
        <v>55.13</v>
      </c>
    </row>
    <row r="1504" spans="1:2">
      <c r="A1504">
        <v>0</v>
      </c>
      <c r="B1504">
        <v>43.3</v>
      </c>
    </row>
    <row r="1505" spans="1:2">
      <c r="A1505">
        <v>0</v>
      </c>
      <c r="B1505">
        <v>39.909999999999997</v>
      </c>
    </row>
    <row r="1506" spans="1:2">
      <c r="A1506">
        <v>0</v>
      </c>
      <c r="B1506">
        <v>25.24</v>
      </c>
    </row>
    <row r="1507" spans="1:2">
      <c r="A1507">
        <v>0</v>
      </c>
      <c r="B1507">
        <v>22.33</v>
      </c>
    </row>
    <row r="1508" spans="1:2">
      <c r="A1508" t="s">
        <v>25</v>
      </c>
      <c r="B1508">
        <v>18.420000000000002</v>
      </c>
    </row>
    <row r="1509" spans="1:2">
      <c r="A1509">
        <v>0</v>
      </c>
      <c r="B1509">
        <v>0</v>
      </c>
    </row>
    <row r="1510" spans="1:2">
      <c r="A1510">
        <v>0</v>
      </c>
      <c r="B1510">
        <v>0</v>
      </c>
    </row>
    <row r="1511" spans="1:2">
      <c r="A1511" t="s">
        <v>19</v>
      </c>
      <c r="B1511">
        <v>0</v>
      </c>
    </row>
    <row r="1512" spans="1:2">
      <c r="A1512" t="s">
        <v>25</v>
      </c>
      <c r="B1512">
        <v>0</v>
      </c>
    </row>
    <row r="1513" spans="1:2">
      <c r="A1513">
        <v>0</v>
      </c>
      <c r="B1513">
        <v>0</v>
      </c>
    </row>
    <row r="1514" spans="1:2">
      <c r="A1514">
        <v>0</v>
      </c>
      <c r="B1514">
        <v>0</v>
      </c>
    </row>
    <row r="1515" spans="1:2">
      <c r="A1515">
        <v>0</v>
      </c>
      <c r="B1515">
        <v>0</v>
      </c>
    </row>
    <row r="1516" spans="1:2">
      <c r="A1516">
        <v>0</v>
      </c>
      <c r="B1516">
        <v>0</v>
      </c>
    </row>
    <row r="1517" spans="1:2">
      <c r="A1517">
        <v>0</v>
      </c>
      <c r="B1517">
        <v>0</v>
      </c>
    </row>
    <row r="1518" spans="1:2">
      <c r="A1518" t="s">
        <v>19</v>
      </c>
      <c r="B1518">
        <v>0</v>
      </c>
    </row>
    <row r="1519" spans="1:2">
      <c r="A1519" t="s">
        <v>19</v>
      </c>
      <c r="B1519">
        <v>0</v>
      </c>
    </row>
    <row r="1520" spans="1:2">
      <c r="A1520">
        <v>0</v>
      </c>
      <c r="B1520">
        <v>0</v>
      </c>
    </row>
    <row r="1521" spans="1:2">
      <c r="A1521">
        <v>0</v>
      </c>
      <c r="B1521">
        <v>0</v>
      </c>
    </row>
    <row r="1522" spans="1:2">
      <c r="A1522" t="s">
        <v>19</v>
      </c>
      <c r="B1522">
        <v>0</v>
      </c>
    </row>
    <row r="1523" spans="1:2">
      <c r="A1523">
        <v>0</v>
      </c>
      <c r="B1523">
        <v>0</v>
      </c>
    </row>
    <row r="1524" spans="1:2">
      <c r="A1524">
        <v>0</v>
      </c>
      <c r="B1524">
        <v>0</v>
      </c>
    </row>
    <row r="1525" spans="1:2">
      <c r="A1525" t="s">
        <v>28</v>
      </c>
      <c r="B1525">
        <v>0</v>
      </c>
    </row>
    <row r="1526" spans="1:2">
      <c r="A1526">
        <v>0</v>
      </c>
      <c r="B1526">
        <v>0</v>
      </c>
    </row>
    <row r="1527" spans="1:2">
      <c r="A1527" t="s">
        <v>31</v>
      </c>
      <c r="B1527">
        <v>0</v>
      </c>
    </row>
    <row r="1528" spans="1:2">
      <c r="A1528">
        <v>0</v>
      </c>
      <c r="B1528">
        <v>0</v>
      </c>
    </row>
    <row r="1529" spans="1:2">
      <c r="A1529">
        <v>0</v>
      </c>
      <c r="B1529">
        <v>0</v>
      </c>
    </row>
    <row r="1530" spans="1:2">
      <c r="A1530">
        <v>0</v>
      </c>
      <c r="B1530">
        <v>0</v>
      </c>
    </row>
    <row r="1531" spans="1:2">
      <c r="A1531">
        <v>0</v>
      </c>
      <c r="B1531">
        <v>0</v>
      </c>
    </row>
    <row r="1532" spans="1:2">
      <c r="A1532">
        <v>0</v>
      </c>
      <c r="B1532">
        <v>115.62</v>
      </c>
    </row>
    <row r="1533" spans="1:2">
      <c r="A1533">
        <v>0</v>
      </c>
      <c r="B1533">
        <v>85.8</v>
      </c>
    </row>
    <row r="1534" spans="1:2">
      <c r="A1534">
        <v>0</v>
      </c>
      <c r="B1534">
        <v>73.34</v>
      </c>
    </row>
    <row r="1535" spans="1:2">
      <c r="A1535" t="s">
        <v>29</v>
      </c>
      <c r="B1535">
        <v>71.989999999999995</v>
      </c>
    </row>
    <row r="1536" spans="1:2">
      <c r="A1536">
        <v>0</v>
      </c>
      <c r="B1536">
        <v>57.71</v>
      </c>
    </row>
    <row r="1537" spans="1:2">
      <c r="A1537" t="s">
        <v>29</v>
      </c>
      <c r="B1537">
        <v>56.04</v>
      </c>
    </row>
    <row r="1538" spans="1:2">
      <c r="A1538" t="s">
        <v>30</v>
      </c>
      <c r="B1538">
        <v>24.64</v>
      </c>
    </row>
    <row r="1539" spans="1:2">
      <c r="A1539">
        <v>0</v>
      </c>
      <c r="B1539">
        <v>23.88</v>
      </c>
    </row>
    <row r="1540" spans="1:2">
      <c r="A1540">
        <v>0</v>
      </c>
      <c r="B1540">
        <v>20.76</v>
      </c>
    </row>
    <row r="1541" spans="1:2">
      <c r="A1541" t="s">
        <v>30</v>
      </c>
      <c r="B1541">
        <v>0</v>
      </c>
    </row>
    <row r="1542" spans="1:2">
      <c r="A1542">
        <v>0</v>
      </c>
      <c r="B1542">
        <v>0</v>
      </c>
    </row>
    <row r="1543" spans="1:2">
      <c r="A1543">
        <v>0</v>
      </c>
      <c r="B1543">
        <v>0</v>
      </c>
    </row>
    <row r="1544" spans="1:2">
      <c r="A1544" t="s">
        <v>28</v>
      </c>
      <c r="B1544">
        <v>0</v>
      </c>
    </row>
    <row r="1545" spans="1:2">
      <c r="A1545">
        <v>0</v>
      </c>
      <c r="B1545">
        <v>0</v>
      </c>
    </row>
    <row r="1546" spans="1:2">
      <c r="A1546">
        <v>0</v>
      </c>
      <c r="B1546">
        <v>0</v>
      </c>
    </row>
    <row r="1547" spans="1:2">
      <c r="A1547">
        <v>0</v>
      </c>
      <c r="B1547">
        <v>0</v>
      </c>
    </row>
    <row r="1548" spans="1:2">
      <c r="A1548" t="s">
        <v>31</v>
      </c>
      <c r="B1548">
        <v>0</v>
      </c>
    </row>
    <row r="1549" spans="1:2">
      <c r="A1549" t="s">
        <v>31</v>
      </c>
      <c r="B1549">
        <v>0</v>
      </c>
    </row>
    <row r="1550" spans="1:2">
      <c r="A1550" t="s">
        <v>25</v>
      </c>
      <c r="B1550">
        <v>0</v>
      </c>
    </row>
    <row r="1551" spans="1:2">
      <c r="A1551">
        <v>0</v>
      </c>
      <c r="B1551">
        <v>0</v>
      </c>
    </row>
    <row r="1552" spans="1:2">
      <c r="A1552">
        <v>0</v>
      </c>
      <c r="B1552">
        <v>0</v>
      </c>
    </row>
    <row r="1553" spans="1:2">
      <c r="A1553">
        <v>0</v>
      </c>
      <c r="B1553">
        <v>0</v>
      </c>
    </row>
    <row r="1554" spans="1:2">
      <c r="A1554">
        <v>0</v>
      </c>
      <c r="B1554">
        <v>0</v>
      </c>
    </row>
    <row r="1555" spans="1:2">
      <c r="A1555" t="s">
        <v>19</v>
      </c>
      <c r="B1555">
        <v>0</v>
      </c>
    </row>
    <row r="1556" spans="1:2">
      <c r="A1556" t="s">
        <v>31</v>
      </c>
      <c r="B1556">
        <v>0</v>
      </c>
    </row>
    <row r="1557" spans="1:2">
      <c r="A1557">
        <v>0</v>
      </c>
      <c r="B1557">
        <v>515</v>
      </c>
    </row>
    <row r="1558" spans="1:2">
      <c r="A1558">
        <v>0</v>
      </c>
      <c r="B1558">
        <v>179</v>
      </c>
    </row>
    <row r="1559" spans="1:2">
      <c r="A1559" t="s">
        <v>28</v>
      </c>
      <c r="B1559">
        <v>163.51</v>
      </c>
    </row>
    <row r="1560" spans="1:2">
      <c r="A1560">
        <v>0</v>
      </c>
      <c r="B1560">
        <v>140.96</v>
      </c>
    </row>
    <row r="1561" spans="1:2">
      <c r="A1561">
        <v>0</v>
      </c>
      <c r="B1561">
        <v>119.1</v>
      </c>
    </row>
    <row r="1562" spans="1:2">
      <c r="A1562">
        <v>0</v>
      </c>
      <c r="B1562">
        <v>52.23</v>
      </c>
    </row>
    <row r="1563" spans="1:2">
      <c r="A1563">
        <v>0</v>
      </c>
      <c r="B1563">
        <v>34.049999999999997</v>
      </c>
    </row>
    <row r="1564" spans="1:2">
      <c r="A1564" t="s">
        <v>19</v>
      </c>
      <c r="B1564">
        <v>29.25</v>
      </c>
    </row>
    <row r="1565" spans="1:2">
      <c r="A1565">
        <v>0</v>
      </c>
      <c r="B1565">
        <v>23.47</v>
      </c>
    </row>
    <row r="1566" spans="1:2">
      <c r="A1566">
        <v>0</v>
      </c>
      <c r="B1566">
        <v>23.34</v>
      </c>
    </row>
    <row r="1567" spans="1:2">
      <c r="A1567">
        <v>0</v>
      </c>
      <c r="B1567">
        <v>16.29</v>
      </c>
    </row>
    <row r="1568" spans="1:2">
      <c r="A1568">
        <v>0</v>
      </c>
      <c r="B1568">
        <v>15.43</v>
      </c>
    </row>
    <row r="1569" spans="1:2">
      <c r="A1569">
        <v>0</v>
      </c>
      <c r="B1569">
        <v>13.68</v>
      </c>
    </row>
    <row r="1570" spans="1:2">
      <c r="A1570">
        <v>0</v>
      </c>
      <c r="B1570">
        <v>13.38</v>
      </c>
    </row>
    <row r="1571" spans="1:2">
      <c r="A1571">
        <v>0</v>
      </c>
      <c r="B1571">
        <v>0</v>
      </c>
    </row>
    <row r="1572" spans="1:2">
      <c r="A1572">
        <v>0</v>
      </c>
      <c r="B1572">
        <v>0</v>
      </c>
    </row>
    <row r="1573" spans="1:2">
      <c r="A1573">
        <v>0</v>
      </c>
      <c r="B1573">
        <v>0</v>
      </c>
    </row>
    <row r="1574" spans="1:2">
      <c r="A1574" t="s">
        <v>25</v>
      </c>
      <c r="B1574">
        <v>0</v>
      </c>
    </row>
    <row r="1575" spans="1:2">
      <c r="A1575" t="s">
        <v>26</v>
      </c>
      <c r="B1575">
        <v>0</v>
      </c>
    </row>
    <row r="1576" spans="1:2">
      <c r="A1576" t="s">
        <v>25</v>
      </c>
      <c r="B1576">
        <v>0</v>
      </c>
    </row>
    <row r="1577" spans="1:2">
      <c r="A1577">
        <v>0</v>
      </c>
      <c r="B1577">
        <v>0</v>
      </c>
    </row>
    <row r="1578" spans="1:2">
      <c r="A1578" t="s">
        <v>19</v>
      </c>
      <c r="B1578">
        <v>0</v>
      </c>
    </row>
    <row r="1579" spans="1:2">
      <c r="A1579">
        <v>0</v>
      </c>
      <c r="B1579">
        <v>0</v>
      </c>
    </row>
    <row r="1580" spans="1:2">
      <c r="A1580">
        <v>0</v>
      </c>
      <c r="B1580">
        <v>160</v>
      </c>
    </row>
    <row r="1581" spans="1:2">
      <c r="A1581">
        <v>0</v>
      </c>
      <c r="B1581">
        <v>136</v>
      </c>
    </row>
    <row r="1582" spans="1:2">
      <c r="A1582" t="s">
        <v>30</v>
      </c>
      <c r="B1582">
        <v>100.83</v>
      </c>
    </row>
    <row r="1583" spans="1:2">
      <c r="A1583" t="s">
        <v>30</v>
      </c>
      <c r="B1583">
        <v>52.23</v>
      </c>
    </row>
    <row r="1584" spans="1:2">
      <c r="A1584">
        <v>0</v>
      </c>
      <c r="B1584">
        <v>51.96</v>
      </c>
    </row>
    <row r="1585" spans="1:2">
      <c r="A1585" t="s">
        <v>30</v>
      </c>
      <c r="B1585">
        <v>43.42</v>
      </c>
    </row>
    <row r="1586" spans="1:2">
      <c r="A1586">
        <v>0</v>
      </c>
      <c r="B1586">
        <v>24.81</v>
      </c>
    </row>
    <row r="1587" spans="1:2">
      <c r="A1587">
        <v>0</v>
      </c>
      <c r="B1587">
        <v>17.61</v>
      </c>
    </row>
    <row r="1588" spans="1:2">
      <c r="A1588" t="s">
        <v>28</v>
      </c>
      <c r="B1588">
        <v>14.66</v>
      </c>
    </row>
    <row r="1589" spans="1:2">
      <c r="A1589" t="s">
        <v>19</v>
      </c>
      <c r="B1589">
        <v>0</v>
      </c>
    </row>
    <row r="1590" spans="1:2">
      <c r="A1590" t="s">
        <v>25</v>
      </c>
      <c r="B1590">
        <v>0</v>
      </c>
    </row>
    <row r="1591" spans="1:2">
      <c r="A1591" t="s">
        <v>29</v>
      </c>
      <c r="B1591">
        <v>0</v>
      </c>
    </row>
    <row r="1592" spans="1:2">
      <c r="A1592">
        <v>0</v>
      </c>
      <c r="B1592">
        <v>0</v>
      </c>
    </row>
    <row r="1593" spans="1:2">
      <c r="A1593">
        <v>0</v>
      </c>
      <c r="B1593">
        <v>0</v>
      </c>
    </row>
    <row r="1594" spans="1:2">
      <c r="A1594">
        <v>0</v>
      </c>
      <c r="B1594">
        <v>0</v>
      </c>
    </row>
    <row r="1595" spans="1:2">
      <c r="A1595">
        <v>0</v>
      </c>
      <c r="B1595">
        <v>0</v>
      </c>
    </row>
    <row r="1596" spans="1:2">
      <c r="A1596">
        <v>0</v>
      </c>
      <c r="B1596">
        <v>0</v>
      </c>
    </row>
    <row r="1597" spans="1:2">
      <c r="A1597">
        <v>0</v>
      </c>
      <c r="B1597">
        <v>0</v>
      </c>
    </row>
    <row r="1598" spans="1:2">
      <c r="A1598">
        <v>0</v>
      </c>
      <c r="B1598">
        <v>0</v>
      </c>
    </row>
    <row r="1599" spans="1:2">
      <c r="A1599" t="s">
        <v>25</v>
      </c>
      <c r="B1599">
        <v>0</v>
      </c>
    </row>
    <row r="1600" spans="1:2">
      <c r="A1600" t="s">
        <v>30</v>
      </c>
      <c r="B1600">
        <v>0</v>
      </c>
    </row>
    <row r="1601" spans="1:2">
      <c r="A1601">
        <v>0</v>
      </c>
      <c r="B1601">
        <v>0</v>
      </c>
    </row>
    <row r="1602" spans="1:2">
      <c r="A1602" t="s">
        <v>30</v>
      </c>
      <c r="B1602">
        <v>0</v>
      </c>
    </row>
    <row r="1603" spans="1:2">
      <c r="A1603" t="s">
        <v>30</v>
      </c>
      <c r="B1603">
        <v>0</v>
      </c>
    </row>
    <row r="1604" spans="1:2">
      <c r="A1604">
        <v>0</v>
      </c>
      <c r="B1604">
        <v>0</v>
      </c>
    </row>
    <row r="1605" spans="1:2">
      <c r="A1605" t="s">
        <v>29</v>
      </c>
      <c r="B1605">
        <v>0</v>
      </c>
    </row>
    <row r="1606" spans="1:2">
      <c r="A1606">
        <v>0</v>
      </c>
      <c r="B1606">
        <v>0</v>
      </c>
    </row>
    <row r="1607" spans="1:2">
      <c r="A1607">
        <v>0</v>
      </c>
      <c r="B1607">
        <v>0</v>
      </c>
    </row>
    <row r="1608" spans="1:2">
      <c r="A1608" t="s">
        <v>28</v>
      </c>
      <c r="B1608">
        <v>0</v>
      </c>
    </row>
    <row r="1609" spans="1:2">
      <c r="A1609">
        <v>0</v>
      </c>
      <c r="B1609">
        <v>97.61</v>
      </c>
    </row>
    <row r="1610" spans="1:2">
      <c r="A1610" t="s">
        <v>26</v>
      </c>
      <c r="B1610">
        <v>74</v>
      </c>
    </row>
    <row r="1611" spans="1:2">
      <c r="A1611">
        <v>0</v>
      </c>
      <c r="B1611">
        <v>63.06</v>
      </c>
    </row>
    <row r="1612" spans="1:2">
      <c r="A1612">
        <v>0</v>
      </c>
      <c r="B1612">
        <v>60.49</v>
      </c>
    </row>
    <row r="1613" spans="1:2">
      <c r="A1613" t="s">
        <v>25</v>
      </c>
      <c r="B1613">
        <v>51.57</v>
      </c>
    </row>
    <row r="1614" spans="1:2">
      <c r="A1614">
        <v>0</v>
      </c>
      <c r="B1614">
        <v>45.09</v>
      </c>
    </row>
    <row r="1615" spans="1:2">
      <c r="A1615">
        <v>0</v>
      </c>
      <c r="B1615">
        <v>40.049999999999997</v>
      </c>
    </row>
    <row r="1616" spans="1:2">
      <c r="A1616">
        <v>0</v>
      </c>
      <c r="B1616">
        <v>27.89</v>
      </c>
    </row>
    <row r="1617" spans="1:2">
      <c r="A1617" t="s">
        <v>30</v>
      </c>
      <c r="B1617">
        <v>20.85</v>
      </c>
    </row>
    <row r="1618" spans="1:2">
      <c r="A1618" t="s">
        <v>31</v>
      </c>
      <c r="B1618">
        <v>18.170000000000002</v>
      </c>
    </row>
    <row r="1619" spans="1:2">
      <c r="A1619">
        <v>0</v>
      </c>
      <c r="B1619">
        <v>0</v>
      </c>
    </row>
    <row r="1620" spans="1:2">
      <c r="A1620">
        <v>0</v>
      </c>
      <c r="B1620">
        <v>0</v>
      </c>
    </row>
    <row r="1621" spans="1:2">
      <c r="A1621">
        <v>0</v>
      </c>
      <c r="B1621">
        <v>0</v>
      </c>
    </row>
    <row r="1622" spans="1:2">
      <c r="A1622" t="s">
        <v>31</v>
      </c>
      <c r="B1622">
        <v>0</v>
      </c>
    </row>
    <row r="1623" spans="1:2">
      <c r="A1623" t="s">
        <v>28</v>
      </c>
      <c r="B1623">
        <v>0</v>
      </c>
    </row>
    <row r="1624" spans="1:2">
      <c r="A1624">
        <v>0</v>
      </c>
      <c r="B1624">
        <v>0</v>
      </c>
    </row>
    <row r="1625" spans="1:2">
      <c r="A1625">
        <v>0</v>
      </c>
      <c r="B1625">
        <v>142</v>
      </c>
    </row>
    <row r="1626" spans="1:2">
      <c r="A1626">
        <v>0</v>
      </c>
      <c r="B1626">
        <v>77</v>
      </c>
    </row>
    <row r="1627" spans="1:2">
      <c r="A1627">
        <v>0</v>
      </c>
      <c r="B1627">
        <v>1419.3</v>
      </c>
    </row>
    <row r="1628" spans="1:2">
      <c r="A1628">
        <v>0</v>
      </c>
      <c r="B1628">
        <v>170.79</v>
      </c>
    </row>
    <row r="1629" spans="1:2">
      <c r="A1629">
        <v>0</v>
      </c>
      <c r="B1629">
        <v>82.07</v>
      </c>
    </row>
    <row r="1630" spans="1:2">
      <c r="A1630" t="s">
        <v>30</v>
      </c>
      <c r="B1630">
        <v>74.58</v>
      </c>
    </row>
    <row r="1631" spans="1:2">
      <c r="A1631">
        <v>0</v>
      </c>
      <c r="B1631">
        <v>62.02</v>
      </c>
    </row>
    <row r="1632" spans="1:2">
      <c r="A1632">
        <v>0</v>
      </c>
      <c r="B1632">
        <v>43.08</v>
      </c>
    </row>
    <row r="1633" spans="1:2">
      <c r="A1633">
        <v>0</v>
      </c>
      <c r="B1633">
        <v>34.270000000000003</v>
      </c>
    </row>
    <row r="1634" spans="1:2">
      <c r="A1634">
        <v>0</v>
      </c>
      <c r="B1634">
        <v>20.43</v>
      </c>
    </row>
    <row r="1635" spans="1:2">
      <c r="A1635" t="s">
        <v>31</v>
      </c>
      <c r="B1635">
        <v>19.84</v>
      </c>
    </row>
    <row r="1636" spans="1:2">
      <c r="A1636">
        <v>0</v>
      </c>
      <c r="B1636">
        <v>15.81</v>
      </c>
    </row>
    <row r="1637" spans="1:2">
      <c r="A1637">
        <v>0</v>
      </c>
      <c r="B1637">
        <v>0</v>
      </c>
    </row>
    <row r="1638" spans="1:2">
      <c r="A1638">
        <v>0</v>
      </c>
      <c r="B1638">
        <v>0</v>
      </c>
    </row>
    <row r="1639" spans="1:2">
      <c r="A1639" t="s">
        <v>26</v>
      </c>
      <c r="B1639">
        <v>0</v>
      </c>
    </row>
    <row r="1640" spans="1:2">
      <c r="A1640">
        <v>0</v>
      </c>
      <c r="B1640">
        <v>0</v>
      </c>
    </row>
    <row r="1641" spans="1:2">
      <c r="A1641" t="s">
        <v>29</v>
      </c>
      <c r="B1641">
        <v>0</v>
      </c>
    </row>
    <row r="1642" spans="1:2">
      <c r="A1642" t="s">
        <v>19</v>
      </c>
      <c r="B1642">
        <v>0</v>
      </c>
    </row>
    <row r="1643" spans="1:2">
      <c r="A1643" t="s">
        <v>26</v>
      </c>
      <c r="B1643">
        <v>0</v>
      </c>
    </row>
    <row r="1644" spans="1:2">
      <c r="A1644">
        <v>0</v>
      </c>
      <c r="B1644">
        <v>0</v>
      </c>
    </row>
    <row r="1645" spans="1:2">
      <c r="A1645">
        <v>0</v>
      </c>
      <c r="B1645">
        <v>0</v>
      </c>
    </row>
    <row r="1646" spans="1:2">
      <c r="A1646">
        <v>0</v>
      </c>
      <c r="B1646">
        <v>0</v>
      </c>
    </row>
    <row r="1647" spans="1:2">
      <c r="A1647" t="s">
        <v>19</v>
      </c>
      <c r="B1647">
        <v>0</v>
      </c>
    </row>
    <row r="1648" spans="1:2">
      <c r="A1648">
        <v>0</v>
      </c>
      <c r="B1648">
        <v>0</v>
      </c>
    </row>
    <row r="1649" spans="1:2">
      <c r="A1649">
        <v>0</v>
      </c>
      <c r="B1649">
        <v>0</v>
      </c>
    </row>
    <row r="1650" spans="1:2">
      <c r="A1650" t="s">
        <v>28</v>
      </c>
      <c r="B1650">
        <v>0</v>
      </c>
    </row>
    <row r="1651" spans="1:2">
      <c r="A1651" t="s">
        <v>25</v>
      </c>
      <c r="B1651">
        <v>0</v>
      </c>
    </row>
    <row r="1652" spans="1:2">
      <c r="A1652" t="s">
        <v>29</v>
      </c>
      <c r="B1652">
        <v>0</v>
      </c>
    </row>
    <row r="1653" spans="1:2">
      <c r="A1653" t="s">
        <v>29</v>
      </c>
      <c r="B1653">
        <v>0</v>
      </c>
    </row>
    <row r="1654" spans="1:2">
      <c r="A1654">
        <v>0</v>
      </c>
      <c r="B1654">
        <v>529</v>
      </c>
    </row>
    <row r="1655" spans="1:2">
      <c r="A1655">
        <v>0</v>
      </c>
      <c r="B1655">
        <v>1412</v>
      </c>
    </row>
    <row r="1656" spans="1:2">
      <c r="A1656" t="s">
        <v>25</v>
      </c>
      <c r="B1656">
        <v>498.01</v>
      </c>
    </row>
    <row r="1657" spans="1:2">
      <c r="A1657" t="s">
        <v>29</v>
      </c>
      <c r="B1657">
        <v>107.48</v>
      </c>
    </row>
    <row r="1658" spans="1:2">
      <c r="A1658">
        <v>0</v>
      </c>
      <c r="B1658">
        <v>97.13</v>
      </c>
    </row>
    <row r="1659" spans="1:2">
      <c r="A1659" t="s">
        <v>31</v>
      </c>
      <c r="B1659">
        <v>60.2</v>
      </c>
    </row>
    <row r="1660" spans="1:2">
      <c r="A1660">
        <v>0</v>
      </c>
      <c r="B1660">
        <v>40.450000000000003</v>
      </c>
    </row>
    <row r="1661" spans="1:2">
      <c r="A1661" t="s">
        <v>25</v>
      </c>
      <c r="B1661">
        <v>34.31</v>
      </c>
    </row>
    <row r="1662" spans="1:2">
      <c r="A1662">
        <v>0</v>
      </c>
      <c r="B1662">
        <v>32.159999999999997</v>
      </c>
    </row>
    <row r="1663" spans="1:2">
      <c r="A1663">
        <v>0</v>
      </c>
      <c r="B1663">
        <v>30.67</v>
      </c>
    </row>
    <row r="1664" spans="1:2">
      <c r="A1664" t="s">
        <v>19</v>
      </c>
      <c r="B1664">
        <v>22.63</v>
      </c>
    </row>
    <row r="1665" spans="1:2">
      <c r="A1665" t="s">
        <v>31</v>
      </c>
      <c r="B1665">
        <v>13.35</v>
      </c>
    </row>
    <row r="1666" spans="1:2">
      <c r="A1666">
        <v>0</v>
      </c>
      <c r="B1666">
        <v>0</v>
      </c>
    </row>
    <row r="1667" spans="1:2">
      <c r="A1667" t="s">
        <v>28</v>
      </c>
      <c r="B1667">
        <v>0</v>
      </c>
    </row>
    <row r="1668" spans="1:2">
      <c r="A1668" t="s">
        <v>28</v>
      </c>
      <c r="B1668">
        <v>0</v>
      </c>
    </row>
    <row r="1669" spans="1:2">
      <c r="A1669" t="s">
        <v>26</v>
      </c>
      <c r="B1669">
        <v>0</v>
      </c>
    </row>
    <row r="1670" spans="1:2">
      <c r="A1670">
        <v>0</v>
      </c>
      <c r="B1670">
        <v>0</v>
      </c>
    </row>
    <row r="1671" spans="1:2">
      <c r="A1671">
        <v>0</v>
      </c>
      <c r="B1671">
        <v>0</v>
      </c>
    </row>
    <row r="1672" spans="1:2">
      <c r="A1672" t="s">
        <v>29</v>
      </c>
      <c r="B1672">
        <v>0</v>
      </c>
    </row>
    <row r="1673" spans="1:2">
      <c r="A1673">
        <v>0</v>
      </c>
      <c r="B1673">
        <v>0</v>
      </c>
    </row>
    <row r="1674" spans="1:2">
      <c r="A1674">
        <v>0</v>
      </c>
      <c r="B1674">
        <v>0</v>
      </c>
    </row>
    <row r="1675" spans="1:2">
      <c r="A1675">
        <v>0</v>
      </c>
      <c r="B1675">
        <v>0</v>
      </c>
    </row>
    <row r="1676" spans="1:2">
      <c r="A1676">
        <v>0</v>
      </c>
      <c r="B1676">
        <v>0</v>
      </c>
    </row>
    <row r="1677" spans="1:2">
      <c r="A1677">
        <v>0</v>
      </c>
      <c r="B1677">
        <v>0</v>
      </c>
    </row>
    <row r="1678" spans="1:2">
      <c r="A1678">
        <v>0</v>
      </c>
      <c r="B1678">
        <v>0</v>
      </c>
    </row>
    <row r="1679" spans="1:2">
      <c r="A1679" t="s">
        <v>31</v>
      </c>
      <c r="B1679">
        <v>0</v>
      </c>
    </row>
    <row r="1680" spans="1:2">
      <c r="A1680" t="s">
        <v>26</v>
      </c>
      <c r="B1680">
        <v>0</v>
      </c>
    </row>
    <row r="1681" spans="1:2">
      <c r="A1681" t="s">
        <v>28</v>
      </c>
      <c r="B1681">
        <v>0</v>
      </c>
    </row>
    <row r="1682" spans="1:2">
      <c r="A1682">
        <v>0</v>
      </c>
      <c r="B1682">
        <v>0</v>
      </c>
    </row>
    <row r="1683" spans="1:2">
      <c r="A1683">
        <v>0</v>
      </c>
      <c r="B1683">
        <v>0</v>
      </c>
    </row>
    <row r="1684" spans="1:2">
      <c r="A1684">
        <v>0</v>
      </c>
      <c r="B1684">
        <v>0</v>
      </c>
    </row>
    <row r="1685" spans="1:2">
      <c r="A1685">
        <v>0</v>
      </c>
      <c r="B1685">
        <v>0</v>
      </c>
    </row>
    <row r="1686" spans="1:2">
      <c r="A1686" t="s">
        <v>29</v>
      </c>
      <c r="B1686">
        <v>173.57</v>
      </c>
    </row>
    <row r="1687" spans="1:2">
      <c r="A1687">
        <v>0</v>
      </c>
      <c r="B1687">
        <v>93.76</v>
      </c>
    </row>
    <row r="1688" spans="1:2">
      <c r="A1688" t="s">
        <v>29</v>
      </c>
      <c r="B1688">
        <v>87.6</v>
      </c>
    </row>
    <row r="1689" spans="1:2">
      <c r="A1689">
        <v>0</v>
      </c>
      <c r="B1689">
        <v>79.599999999999994</v>
      </c>
    </row>
    <row r="1690" spans="1:2">
      <c r="A1690" t="s">
        <v>31</v>
      </c>
      <c r="B1690">
        <v>56.9</v>
      </c>
    </row>
    <row r="1691" spans="1:2">
      <c r="A1691">
        <v>0</v>
      </c>
      <c r="B1691">
        <v>35.82</v>
      </c>
    </row>
    <row r="1692" spans="1:2">
      <c r="A1692">
        <v>0</v>
      </c>
      <c r="B1692">
        <v>33.25</v>
      </c>
    </row>
    <row r="1693" spans="1:2">
      <c r="A1693" t="s">
        <v>25</v>
      </c>
      <c r="B1693">
        <v>30.67</v>
      </c>
    </row>
    <row r="1694" spans="1:2">
      <c r="A1694">
        <v>0</v>
      </c>
      <c r="B1694">
        <v>30.13</v>
      </c>
    </row>
    <row r="1695" spans="1:2">
      <c r="A1695">
        <v>0</v>
      </c>
      <c r="B1695">
        <v>29.18</v>
      </c>
    </row>
    <row r="1696" spans="1:2">
      <c r="A1696">
        <v>0</v>
      </c>
      <c r="B1696">
        <v>20.49</v>
      </c>
    </row>
    <row r="1697" spans="1:2">
      <c r="A1697">
        <v>0</v>
      </c>
      <c r="B1697">
        <v>0</v>
      </c>
    </row>
    <row r="1698" spans="1:2">
      <c r="A1698" t="s">
        <v>25</v>
      </c>
      <c r="B1698">
        <v>0</v>
      </c>
    </row>
    <row r="1699" spans="1:2">
      <c r="A1699" t="s">
        <v>26</v>
      </c>
      <c r="B1699">
        <v>0</v>
      </c>
    </row>
    <row r="1700" spans="1:2">
      <c r="A1700">
        <v>0</v>
      </c>
      <c r="B1700">
        <v>0</v>
      </c>
    </row>
    <row r="1701" spans="1:2">
      <c r="A1701" t="s">
        <v>28</v>
      </c>
      <c r="B1701">
        <v>0</v>
      </c>
    </row>
    <row r="1702" spans="1:2">
      <c r="A1702">
        <v>0</v>
      </c>
      <c r="B1702">
        <v>0</v>
      </c>
    </row>
    <row r="1703" spans="1:2">
      <c r="A1703">
        <v>0</v>
      </c>
      <c r="B1703">
        <v>0</v>
      </c>
    </row>
    <row r="1704" spans="1:2">
      <c r="A1704" t="s">
        <v>19</v>
      </c>
      <c r="B1704">
        <v>0</v>
      </c>
    </row>
    <row r="1705" spans="1:2">
      <c r="A1705">
        <v>0</v>
      </c>
      <c r="B1705">
        <v>0</v>
      </c>
    </row>
    <row r="1706" spans="1:2">
      <c r="A1706">
        <v>0</v>
      </c>
      <c r="B1706">
        <v>0</v>
      </c>
    </row>
    <row r="1707" spans="1:2">
      <c r="A1707">
        <v>0</v>
      </c>
      <c r="B1707">
        <v>0</v>
      </c>
    </row>
    <row r="1708" spans="1:2">
      <c r="A1708">
        <v>0</v>
      </c>
      <c r="B1708">
        <v>0</v>
      </c>
    </row>
    <row r="1709" spans="1:2">
      <c r="A1709" t="s">
        <v>19</v>
      </c>
      <c r="B1709">
        <v>0</v>
      </c>
    </row>
    <row r="1710" spans="1:2">
      <c r="A1710">
        <v>0</v>
      </c>
      <c r="B1710">
        <v>0</v>
      </c>
    </row>
    <row r="1711" spans="1:2">
      <c r="A1711">
        <v>0</v>
      </c>
      <c r="B1711">
        <v>0</v>
      </c>
    </row>
    <row r="1712" spans="1:2">
      <c r="A1712">
        <v>0</v>
      </c>
      <c r="B1712">
        <v>0</v>
      </c>
    </row>
    <row r="1713" spans="1:2">
      <c r="A1713">
        <v>0</v>
      </c>
      <c r="B1713">
        <v>0</v>
      </c>
    </row>
    <row r="1714" spans="1:2">
      <c r="A1714">
        <v>0</v>
      </c>
      <c r="B1714">
        <v>0</v>
      </c>
    </row>
    <row r="1715" spans="1:2">
      <c r="A1715" t="s">
        <v>31</v>
      </c>
      <c r="B1715">
        <v>0</v>
      </c>
    </row>
    <row r="1716" spans="1:2">
      <c r="A1716">
        <v>0</v>
      </c>
      <c r="B1716">
        <v>0</v>
      </c>
    </row>
    <row r="1717" spans="1:2">
      <c r="A1717" t="s">
        <v>30</v>
      </c>
      <c r="B1717">
        <v>346</v>
      </c>
    </row>
    <row r="1718" spans="1:2">
      <c r="A1718" t="s">
        <v>29</v>
      </c>
      <c r="B1718">
        <v>44</v>
      </c>
    </row>
    <row r="1719" spans="1:2">
      <c r="A1719">
        <v>0</v>
      </c>
      <c r="B1719">
        <v>107</v>
      </c>
    </row>
    <row r="1720" spans="1:2">
      <c r="A1720" t="s">
        <v>30</v>
      </c>
      <c r="B1720">
        <v>67.52</v>
      </c>
    </row>
    <row r="1721" spans="1:2">
      <c r="A1721" t="s">
        <v>26</v>
      </c>
      <c r="B1721">
        <v>59.3</v>
      </c>
    </row>
    <row r="1722" spans="1:2">
      <c r="A1722">
        <v>0</v>
      </c>
      <c r="B1722">
        <v>51.31</v>
      </c>
    </row>
    <row r="1723" spans="1:2">
      <c r="A1723">
        <v>0</v>
      </c>
      <c r="B1723">
        <v>23.53</v>
      </c>
    </row>
    <row r="1724" spans="1:2">
      <c r="A1724">
        <v>0</v>
      </c>
      <c r="B1724">
        <v>19.96</v>
      </c>
    </row>
    <row r="1725" spans="1:2">
      <c r="A1725">
        <v>0</v>
      </c>
      <c r="B1725">
        <v>18.36</v>
      </c>
    </row>
    <row r="1726" spans="1:2">
      <c r="A1726">
        <v>0</v>
      </c>
      <c r="B1726">
        <v>18.32</v>
      </c>
    </row>
    <row r="1727" spans="1:2">
      <c r="A1727">
        <v>0</v>
      </c>
      <c r="B1727">
        <v>16.649999999999999</v>
      </c>
    </row>
    <row r="1728" spans="1:2">
      <c r="A1728">
        <v>0</v>
      </c>
      <c r="B1728">
        <v>0</v>
      </c>
    </row>
    <row r="1729" spans="1:2">
      <c r="A1729">
        <v>0</v>
      </c>
      <c r="B1729">
        <v>0</v>
      </c>
    </row>
    <row r="1730" spans="1:2">
      <c r="A1730">
        <v>0</v>
      </c>
      <c r="B1730">
        <v>0</v>
      </c>
    </row>
    <row r="1731" spans="1:2">
      <c r="A1731">
        <v>0</v>
      </c>
      <c r="B1731">
        <v>0</v>
      </c>
    </row>
    <row r="1732" spans="1:2">
      <c r="A1732">
        <v>0</v>
      </c>
      <c r="B1732">
        <v>0</v>
      </c>
    </row>
    <row r="1733" spans="1:2">
      <c r="A1733">
        <v>0</v>
      </c>
      <c r="B1733">
        <v>0</v>
      </c>
    </row>
    <row r="1734" spans="1:2">
      <c r="A1734">
        <v>0</v>
      </c>
      <c r="B1734">
        <v>0</v>
      </c>
    </row>
    <row r="1735" spans="1:2">
      <c r="A1735">
        <v>0</v>
      </c>
      <c r="B1735">
        <v>0</v>
      </c>
    </row>
    <row r="1736" spans="1:2">
      <c r="A1736">
        <v>0</v>
      </c>
      <c r="B1736">
        <v>0</v>
      </c>
    </row>
    <row r="1737" spans="1:2">
      <c r="A1737">
        <v>0</v>
      </c>
      <c r="B1737">
        <v>0</v>
      </c>
    </row>
    <row r="1738" spans="1:2">
      <c r="A1738" t="s">
        <v>26</v>
      </c>
      <c r="B1738">
        <v>0</v>
      </c>
    </row>
    <row r="1739" spans="1:2">
      <c r="A1739" t="s">
        <v>19</v>
      </c>
      <c r="B1739">
        <v>0</v>
      </c>
    </row>
    <row r="1740" spans="1:2">
      <c r="A1740" t="s">
        <v>30</v>
      </c>
      <c r="B1740">
        <v>0</v>
      </c>
    </row>
    <row r="1741" spans="1:2">
      <c r="A1741" t="s">
        <v>26</v>
      </c>
      <c r="B1741">
        <v>0</v>
      </c>
    </row>
    <row r="1742" spans="1:2">
      <c r="A1742">
        <v>0</v>
      </c>
      <c r="B1742">
        <v>0</v>
      </c>
    </row>
    <row r="1743" spans="1:2">
      <c r="A1743">
        <v>0</v>
      </c>
      <c r="B1743">
        <v>0</v>
      </c>
    </row>
    <row r="1744" spans="1:2">
      <c r="A1744">
        <v>0</v>
      </c>
      <c r="B1744">
        <v>242</v>
      </c>
    </row>
    <row r="1745" spans="1:2">
      <c r="A1745">
        <v>0</v>
      </c>
      <c r="B1745">
        <v>255</v>
      </c>
    </row>
    <row r="1746" spans="1:2">
      <c r="A1746">
        <v>0</v>
      </c>
      <c r="B1746">
        <v>90.31</v>
      </c>
    </row>
    <row r="1747" spans="1:2">
      <c r="A1747">
        <v>0</v>
      </c>
      <c r="B1747">
        <v>52.75</v>
      </c>
    </row>
    <row r="1748" spans="1:2">
      <c r="A1748" t="s">
        <v>25</v>
      </c>
      <c r="B1748">
        <v>50.96</v>
      </c>
    </row>
    <row r="1749" spans="1:2">
      <c r="A1749" t="s">
        <v>25</v>
      </c>
      <c r="B1749">
        <v>37.630000000000003</v>
      </c>
    </row>
    <row r="1750" spans="1:2">
      <c r="A1750">
        <v>0</v>
      </c>
      <c r="B1750">
        <v>28.65</v>
      </c>
    </row>
    <row r="1751" spans="1:2">
      <c r="A1751">
        <v>0</v>
      </c>
      <c r="B1751">
        <v>0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0</v>
      </c>
      <c r="B1754">
        <v>0</v>
      </c>
    </row>
    <row r="1755" spans="1:2">
      <c r="A1755" t="s">
        <v>25</v>
      </c>
      <c r="B1755">
        <v>0</v>
      </c>
    </row>
    <row r="1756" spans="1:2">
      <c r="A1756" t="s">
        <v>25</v>
      </c>
      <c r="B1756">
        <v>0</v>
      </c>
    </row>
    <row r="1757" spans="1:2">
      <c r="A1757">
        <v>0</v>
      </c>
      <c r="B1757">
        <v>0</v>
      </c>
    </row>
    <row r="1758" spans="1:2">
      <c r="A1758">
        <v>0</v>
      </c>
      <c r="B1758">
        <v>0</v>
      </c>
    </row>
    <row r="1759" spans="1:2">
      <c r="A1759" t="s">
        <v>30</v>
      </c>
      <c r="B1759">
        <v>0</v>
      </c>
    </row>
    <row r="1760" spans="1:2">
      <c r="A1760">
        <v>0</v>
      </c>
      <c r="B1760">
        <v>0</v>
      </c>
    </row>
    <row r="1761" spans="1:2">
      <c r="A1761">
        <v>0</v>
      </c>
      <c r="B1761">
        <v>0</v>
      </c>
    </row>
    <row r="1762" spans="1:2">
      <c r="A1762">
        <v>0</v>
      </c>
      <c r="B1762">
        <v>0</v>
      </c>
    </row>
    <row r="1763" spans="1:2">
      <c r="A1763">
        <v>0</v>
      </c>
      <c r="B1763">
        <v>0</v>
      </c>
    </row>
    <row r="1764" spans="1:2">
      <c r="A1764">
        <v>0</v>
      </c>
      <c r="B1764">
        <v>0</v>
      </c>
    </row>
    <row r="1765" spans="1:2">
      <c r="A1765" t="s">
        <v>28</v>
      </c>
      <c r="B1765">
        <v>0</v>
      </c>
    </row>
    <row r="1766" spans="1:2">
      <c r="A1766">
        <v>0</v>
      </c>
      <c r="B1766">
        <v>0</v>
      </c>
    </row>
    <row r="1767" spans="1:2">
      <c r="A1767">
        <v>0</v>
      </c>
      <c r="B1767">
        <v>198</v>
      </c>
    </row>
    <row r="1768" spans="1:2">
      <c r="A1768" t="s">
        <v>31</v>
      </c>
      <c r="B1768">
        <v>1312</v>
      </c>
    </row>
    <row r="1769" spans="1:2">
      <c r="A1769">
        <v>0</v>
      </c>
      <c r="B1769">
        <v>134.05000000000001</v>
      </c>
    </row>
    <row r="1770" spans="1:2">
      <c r="A1770">
        <v>0</v>
      </c>
      <c r="B1770">
        <v>71.510000000000005</v>
      </c>
    </row>
    <row r="1771" spans="1:2">
      <c r="A1771">
        <v>0</v>
      </c>
      <c r="B1771">
        <v>45.25</v>
      </c>
    </row>
    <row r="1772" spans="1:2">
      <c r="A1772">
        <v>0</v>
      </c>
      <c r="B1772">
        <v>44.49</v>
      </c>
    </row>
    <row r="1773" spans="1:2">
      <c r="A1773">
        <v>0</v>
      </c>
      <c r="B1773">
        <v>32.67</v>
      </c>
    </row>
    <row r="1774" spans="1:2">
      <c r="A1774">
        <v>0</v>
      </c>
      <c r="B1774">
        <v>23.54</v>
      </c>
    </row>
    <row r="1775" spans="1:2">
      <c r="A1775">
        <v>0</v>
      </c>
      <c r="B1775">
        <v>16.350000000000001</v>
      </c>
    </row>
    <row r="1776" spans="1:2">
      <c r="A1776">
        <v>0</v>
      </c>
      <c r="B1776">
        <v>0</v>
      </c>
    </row>
    <row r="1777" spans="1:2">
      <c r="A1777">
        <v>0</v>
      </c>
      <c r="B1777">
        <v>0</v>
      </c>
    </row>
    <row r="1778" spans="1:2">
      <c r="A1778">
        <v>0</v>
      </c>
      <c r="B1778">
        <v>0</v>
      </c>
    </row>
    <row r="1779" spans="1:2">
      <c r="A1779">
        <v>0</v>
      </c>
      <c r="B1779">
        <v>0</v>
      </c>
    </row>
    <row r="1780" spans="1:2">
      <c r="A1780" t="s">
        <v>28</v>
      </c>
      <c r="B1780">
        <v>0</v>
      </c>
    </row>
    <row r="1781" spans="1:2">
      <c r="A1781">
        <v>0</v>
      </c>
      <c r="B1781">
        <v>0</v>
      </c>
    </row>
    <row r="1782" spans="1:2">
      <c r="A1782">
        <v>0</v>
      </c>
      <c r="B1782">
        <v>0</v>
      </c>
    </row>
    <row r="1783" spans="1:2">
      <c r="A1783">
        <v>0</v>
      </c>
      <c r="B1783">
        <v>0</v>
      </c>
    </row>
    <row r="1784" spans="1:2">
      <c r="A1784">
        <v>0</v>
      </c>
      <c r="B1784">
        <v>0</v>
      </c>
    </row>
    <row r="1785" spans="1:2">
      <c r="A1785">
        <v>0</v>
      </c>
      <c r="B1785">
        <v>0</v>
      </c>
    </row>
    <row r="1786" spans="1:2">
      <c r="A1786">
        <v>0</v>
      </c>
      <c r="B1786">
        <v>0</v>
      </c>
    </row>
    <row r="1787" spans="1:2">
      <c r="A1787">
        <v>0</v>
      </c>
      <c r="B1787">
        <v>0</v>
      </c>
    </row>
    <row r="1788" spans="1:2">
      <c r="A1788">
        <v>0</v>
      </c>
      <c r="B1788">
        <v>0</v>
      </c>
    </row>
    <row r="1789" spans="1:2">
      <c r="A1789">
        <v>0</v>
      </c>
      <c r="B1789">
        <v>0</v>
      </c>
    </row>
    <row r="1790" spans="1:2">
      <c r="A1790">
        <v>0</v>
      </c>
      <c r="B1790">
        <v>0</v>
      </c>
    </row>
    <row r="1791" spans="1:2">
      <c r="A1791">
        <v>0</v>
      </c>
      <c r="B1791">
        <v>0</v>
      </c>
    </row>
    <row r="1792" spans="1:2">
      <c r="A1792" t="s">
        <v>19</v>
      </c>
      <c r="B1792">
        <v>301.10000000000002</v>
      </c>
    </row>
    <row r="1793" spans="1:2">
      <c r="A1793">
        <v>0</v>
      </c>
      <c r="B1793">
        <v>258</v>
      </c>
    </row>
    <row r="1794" spans="1:2">
      <c r="A1794">
        <v>0</v>
      </c>
      <c r="B1794">
        <v>243</v>
      </c>
    </row>
    <row r="1795" spans="1:2">
      <c r="A1795">
        <v>0</v>
      </c>
      <c r="B1795">
        <v>128.80000000000001</v>
      </c>
    </row>
    <row r="1796" spans="1:2">
      <c r="A1796" t="s">
        <v>26</v>
      </c>
      <c r="B1796">
        <v>113.72</v>
      </c>
    </row>
    <row r="1797" spans="1:2">
      <c r="A1797">
        <v>0</v>
      </c>
      <c r="B1797">
        <v>90.5</v>
      </c>
    </row>
    <row r="1798" spans="1:2">
      <c r="A1798">
        <v>0</v>
      </c>
      <c r="B1798">
        <v>62.09</v>
      </c>
    </row>
    <row r="1799" spans="1:2">
      <c r="A1799">
        <v>0</v>
      </c>
      <c r="B1799">
        <v>53.31</v>
      </c>
    </row>
    <row r="1800" spans="1:2">
      <c r="A1800">
        <v>0</v>
      </c>
      <c r="B1800">
        <v>49.06</v>
      </c>
    </row>
    <row r="1801" spans="1:2">
      <c r="A1801">
        <v>0</v>
      </c>
      <c r="B1801">
        <v>47.7</v>
      </c>
    </row>
    <row r="1802" spans="1:2">
      <c r="A1802">
        <v>0</v>
      </c>
      <c r="B1802">
        <v>37.75</v>
      </c>
    </row>
    <row r="1803" spans="1:2">
      <c r="A1803">
        <v>0</v>
      </c>
      <c r="B1803">
        <v>0</v>
      </c>
    </row>
    <row r="1804" spans="1:2">
      <c r="A1804" t="s">
        <v>31</v>
      </c>
      <c r="B1804">
        <v>0</v>
      </c>
    </row>
    <row r="1805" spans="1:2">
      <c r="A1805">
        <v>0</v>
      </c>
      <c r="B1805">
        <v>0</v>
      </c>
    </row>
    <row r="1806" spans="1:2">
      <c r="A1806">
        <v>0</v>
      </c>
      <c r="B1806">
        <v>0</v>
      </c>
    </row>
    <row r="1807" spans="1:2">
      <c r="A1807">
        <v>0</v>
      </c>
      <c r="B1807">
        <v>0</v>
      </c>
    </row>
    <row r="1808" spans="1:2">
      <c r="A1808" t="s">
        <v>30</v>
      </c>
      <c r="B1808">
        <v>0</v>
      </c>
    </row>
    <row r="1809" spans="1:2">
      <c r="A1809">
        <v>0</v>
      </c>
      <c r="B1809">
        <v>0</v>
      </c>
    </row>
    <row r="1810" spans="1:2">
      <c r="A1810">
        <v>0</v>
      </c>
      <c r="B1810">
        <v>0</v>
      </c>
    </row>
    <row r="1811" spans="1:2">
      <c r="A1811">
        <v>0</v>
      </c>
      <c r="B1811">
        <v>0</v>
      </c>
    </row>
    <row r="1812" spans="1:2">
      <c r="A1812">
        <v>0</v>
      </c>
      <c r="B1812">
        <v>0</v>
      </c>
    </row>
    <row r="1813" spans="1:2">
      <c r="A1813">
        <v>0</v>
      </c>
      <c r="B1813">
        <v>0</v>
      </c>
    </row>
    <row r="1814" spans="1:2">
      <c r="A1814" t="s">
        <v>29</v>
      </c>
      <c r="B1814">
        <v>0</v>
      </c>
    </row>
    <row r="1815" spans="1:2">
      <c r="A1815">
        <v>0</v>
      </c>
      <c r="B1815">
        <v>0</v>
      </c>
    </row>
    <row r="1816" spans="1:2">
      <c r="A1816">
        <v>0</v>
      </c>
      <c r="B1816">
        <v>0</v>
      </c>
    </row>
    <row r="1817" spans="1:2">
      <c r="A1817">
        <v>0</v>
      </c>
      <c r="B1817">
        <v>0</v>
      </c>
    </row>
    <row r="1818" spans="1:2">
      <c r="A1818" t="s">
        <v>26</v>
      </c>
      <c r="B1818">
        <v>0</v>
      </c>
    </row>
    <row r="1819" spans="1:2">
      <c r="A1819">
        <v>0</v>
      </c>
      <c r="B1819">
        <v>0</v>
      </c>
    </row>
    <row r="1820" spans="1:2">
      <c r="A1820" t="s">
        <v>19</v>
      </c>
      <c r="B1820">
        <v>0</v>
      </c>
    </row>
    <row r="1821" spans="1:2">
      <c r="A1821">
        <v>0</v>
      </c>
      <c r="B1821">
        <v>0</v>
      </c>
    </row>
    <row r="1822" spans="1:2">
      <c r="A1822" t="s">
        <v>30</v>
      </c>
      <c r="B1822">
        <v>0</v>
      </c>
    </row>
    <row r="1823" spans="1:2">
      <c r="A1823">
        <v>0</v>
      </c>
      <c r="B1823">
        <v>0</v>
      </c>
    </row>
    <row r="1824" spans="1:2">
      <c r="A1824" t="s">
        <v>30</v>
      </c>
      <c r="B1824">
        <v>366</v>
      </c>
    </row>
    <row r="1825" spans="1:2">
      <c r="A1825" t="s">
        <v>25</v>
      </c>
      <c r="B1825">
        <v>519</v>
      </c>
    </row>
    <row r="1826" spans="1:2">
      <c r="A1826">
        <v>0</v>
      </c>
      <c r="B1826">
        <v>65.81</v>
      </c>
    </row>
    <row r="1827" spans="1:2">
      <c r="A1827">
        <v>0</v>
      </c>
      <c r="B1827">
        <v>64.930000000000007</v>
      </c>
    </row>
    <row r="1828" spans="1:2">
      <c r="A1828">
        <v>0</v>
      </c>
      <c r="B1828">
        <v>58.23</v>
      </c>
    </row>
    <row r="1829" spans="1:2">
      <c r="A1829">
        <v>0</v>
      </c>
      <c r="B1829">
        <v>52.39</v>
      </c>
    </row>
    <row r="1830" spans="1:2">
      <c r="A1830">
        <v>0</v>
      </c>
      <c r="B1830">
        <v>38.08</v>
      </c>
    </row>
    <row r="1831" spans="1:2">
      <c r="A1831" t="s">
        <v>29</v>
      </c>
      <c r="B1831">
        <v>32.83</v>
      </c>
    </row>
    <row r="1832" spans="1:2">
      <c r="A1832">
        <v>0</v>
      </c>
      <c r="B1832">
        <v>28.99</v>
      </c>
    </row>
    <row r="1833" spans="1:2">
      <c r="A1833">
        <v>0</v>
      </c>
      <c r="B1833">
        <v>26.91</v>
      </c>
    </row>
    <row r="1834" spans="1:2">
      <c r="A1834">
        <v>0</v>
      </c>
      <c r="B1834">
        <v>25.18</v>
      </c>
    </row>
    <row r="1835" spans="1:2">
      <c r="A1835">
        <v>0</v>
      </c>
      <c r="B1835">
        <v>15.39</v>
      </c>
    </row>
    <row r="1836" spans="1:2">
      <c r="A1836">
        <v>0</v>
      </c>
      <c r="B1836">
        <v>0</v>
      </c>
    </row>
    <row r="1837" spans="1:2">
      <c r="A1837">
        <v>0</v>
      </c>
      <c r="B1837">
        <v>0</v>
      </c>
    </row>
    <row r="1838" spans="1:2">
      <c r="A1838" t="s">
        <v>29</v>
      </c>
      <c r="B1838">
        <v>0</v>
      </c>
    </row>
    <row r="1839" spans="1:2">
      <c r="A1839" t="s">
        <v>25</v>
      </c>
      <c r="B1839">
        <v>0</v>
      </c>
    </row>
    <row r="1840" spans="1:2">
      <c r="A1840">
        <v>0</v>
      </c>
      <c r="B1840">
        <v>0</v>
      </c>
    </row>
    <row r="1841" spans="1:2">
      <c r="A1841">
        <v>0</v>
      </c>
      <c r="B1841">
        <v>0</v>
      </c>
    </row>
    <row r="1842" spans="1:2">
      <c r="A1842">
        <v>0</v>
      </c>
      <c r="B1842">
        <v>0</v>
      </c>
    </row>
    <row r="1843" spans="1:2">
      <c r="A1843" t="s">
        <v>28</v>
      </c>
      <c r="B1843">
        <v>0</v>
      </c>
    </row>
    <row r="1844" spans="1:2">
      <c r="A1844" t="s">
        <v>28</v>
      </c>
      <c r="B1844">
        <v>0</v>
      </c>
    </row>
    <row r="1845" spans="1:2">
      <c r="A1845">
        <v>0</v>
      </c>
      <c r="B1845">
        <v>0</v>
      </c>
    </row>
    <row r="1846" spans="1:2">
      <c r="A1846">
        <v>0</v>
      </c>
      <c r="B1846">
        <v>0</v>
      </c>
    </row>
    <row r="1847" spans="1:2">
      <c r="A1847" t="s">
        <v>25</v>
      </c>
      <c r="B1847">
        <v>0</v>
      </c>
    </row>
    <row r="1848" spans="1:2">
      <c r="A1848">
        <v>0</v>
      </c>
      <c r="B1848">
        <v>0</v>
      </c>
    </row>
    <row r="1849" spans="1:2">
      <c r="A1849" t="s">
        <v>25</v>
      </c>
      <c r="B1849">
        <v>0</v>
      </c>
    </row>
    <row r="1850" spans="1:2">
      <c r="A1850" t="s">
        <v>28</v>
      </c>
      <c r="B1850">
        <v>0</v>
      </c>
    </row>
    <row r="1851" spans="1:2">
      <c r="A1851">
        <v>0</v>
      </c>
      <c r="B1851">
        <v>0</v>
      </c>
    </row>
    <row r="1852" spans="1:2">
      <c r="A1852">
        <v>0</v>
      </c>
      <c r="B1852">
        <v>0</v>
      </c>
    </row>
    <row r="1853" spans="1:2">
      <c r="A1853">
        <v>0</v>
      </c>
      <c r="B1853">
        <v>0</v>
      </c>
    </row>
    <row r="1854" spans="1:2">
      <c r="A1854" t="s">
        <v>28</v>
      </c>
      <c r="B1854">
        <v>0</v>
      </c>
    </row>
    <row r="1855" spans="1:2">
      <c r="A1855" t="s">
        <v>28</v>
      </c>
      <c r="B1855">
        <v>0</v>
      </c>
    </row>
    <row r="1856" spans="1:2">
      <c r="A1856" t="s">
        <v>26</v>
      </c>
      <c r="B1856">
        <v>0</v>
      </c>
    </row>
    <row r="1857" spans="1:2">
      <c r="A1857">
        <v>0</v>
      </c>
      <c r="B1857">
        <v>0</v>
      </c>
    </row>
    <row r="1858" spans="1:2">
      <c r="A1858">
        <v>0</v>
      </c>
      <c r="B1858">
        <v>509</v>
      </c>
    </row>
    <row r="1859" spans="1:2">
      <c r="A1859">
        <v>0</v>
      </c>
      <c r="B1859">
        <v>221</v>
      </c>
    </row>
    <row r="1860" spans="1:2">
      <c r="A1860">
        <v>0</v>
      </c>
      <c r="B1860">
        <v>310</v>
      </c>
    </row>
    <row r="1861" spans="1:2">
      <c r="A1861">
        <v>0</v>
      </c>
      <c r="B1861">
        <v>40.880000000000003</v>
      </c>
    </row>
    <row r="1862" spans="1:2">
      <c r="A1862">
        <v>0</v>
      </c>
      <c r="B1862">
        <v>35.32</v>
      </c>
    </row>
    <row r="1863" spans="1:2">
      <c r="A1863" t="s">
        <v>25</v>
      </c>
      <c r="B1863">
        <v>26.95</v>
      </c>
    </row>
    <row r="1864" spans="1:2">
      <c r="A1864">
        <v>0</v>
      </c>
      <c r="B1864">
        <v>25.98</v>
      </c>
    </row>
    <row r="1865" spans="1:2">
      <c r="A1865">
        <v>0</v>
      </c>
      <c r="B1865">
        <v>0</v>
      </c>
    </row>
    <row r="1866" spans="1:2">
      <c r="A1866">
        <v>0</v>
      </c>
      <c r="B1866">
        <v>0</v>
      </c>
    </row>
    <row r="1867" spans="1:2">
      <c r="A1867">
        <v>0</v>
      </c>
      <c r="B1867">
        <v>0</v>
      </c>
    </row>
    <row r="1868" spans="1:2">
      <c r="A1868" t="s">
        <v>25</v>
      </c>
      <c r="B1868">
        <v>0</v>
      </c>
    </row>
    <row r="1869" spans="1:2">
      <c r="A1869">
        <v>0</v>
      </c>
      <c r="B1869">
        <v>0</v>
      </c>
    </row>
    <row r="1870" spans="1:2">
      <c r="A1870" t="s">
        <v>25</v>
      </c>
      <c r="B1870">
        <v>0</v>
      </c>
    </row>
    <row r="1871" spans="1:2">
      <c r="A1871" t="s">
        <v>28</v>
      </c>
      <c r="B1871">
        <v>0</v>
      </c>
    </row>
    <row r="1872" spans="1:2">
      <c r="A1872">
        <v>0</v>
      </c>
      <c r="B1872">
        <v>0</v>
      </c>
    </row>
    <row r="1873" spans="1:2">
      <c r="A1873" t="s">
        <v>28</v>
      </c>
      <c r="B1873">
        <v>0</v>
      </c>
    </row>
    <row r="1874" spans="1:2">
      <c r="A1874">
        <v>0</v>
      </c>
      <c r="B1874">
        <v>0</v>
      </c>
    </row>
    <row r="1875" spans="1:2">
      <c r="A1875" t="s">
        <v>31</v>
      </c>
      <c r="B1875">
        <v>0</v>
      </c>
    </row>
    <row r="1876" spans="1:2">
      <c r="A1876">
        <v>0</v>
      </c>
      <c r="B1876">
        <v>0</v>
      </c>
    </row>
    <row r="1877" spans="1:2">
      <c r="A1877">
        <v>0</v>
      </c>
      <c r="B1877">
        <v>0</v>
      </c>
    </row>
    <row r="1878" spans="1:2">
      <c r="A1878">
        <v>0</v>
      </c>
      <c r="B1878">
        <v>0</v>
      </c>
    </row>
    <row r="1879" spans="1:2">
      <c r="A1879" t="s">
        <v>30</v>
      </c>
      <c r="B1879">
        <v>0</v>
      </c>
    </row>
    <row r="1880" spans="1:2">
      <c r="A1880">
        <v>0</v>
      </c>
      <c r="B1880">
        <v>0</v>
      </c>
    </row>
    <row r="1881" spans="1:2">
      <c r="A1881">
        <v>0</v>
      </c>
      <c r="B1881">
        <v>0</v>
      </c>
    </row>
    <row r="1882" spans="1:2">
      <c r="A1882">
        <v>0</v>
      </c>
      <c r="B1882">
        <v>0</v>
      </c>
    </row>
    <row r="1883" spans="1:2">
      <c r="A1883" t="s">
        <v>31</v>
      </c>
      <c r="B1883">
        <v>0</v>
      </c>
    </row>
    <row r="1884" spans="1:2">
      <c r="A1884" t="s">
        <v>29</v>
      </c>
      <c r="B1884">
        <v>113.08</v>
      </c>
    </row>
    <row r="1885" spans="1:2">
      <c r="A1885">
        <v>0</v>
      </c>
      <c r="B1885">
        <v>55.38</v>
      </c>
    </row>
    <row r="1886" spans="1:2">
      <c r="A1886" t="s">
        <v>29</v>
      </c>
      <c r="B1886">
        <v>40.83</v>
      </c>
    </row>
    <row r="1887" spans="1:2">
      <c r="A1887" t="s">
        <v>25</v>
      </c>
      <c r="B1887">
        <v>29.93</v>
      </c>
    </row>
    <row r="1888" spans="1:2">
      <c r="A1888">
        <v>0</v>
      </c>
      <c r="B1888">
        <v>28.67</v>
      </c>
    </row>
    <row r="1889" spans="1:2">
      <c r="A1889" t="s">
        <v>25</v>
      </c>
      <c r="B1889">
        <v>27.51</v>
      </c>
    </row>
    <row r="1890" spans="1:2">
      <c r="A1890" t="s">
        <v>19</v>
      </c>
      <c r="B1890">
        <v>15.25</v>
      </c>
    </row>
    <row r="1891" spans="1:2">
      <c r="A1891">
        <v>0</v>
      </c>
      <c r="B1891">
        <v>0</v>
      </c>
    </row>
    <row r="1892" spans="1:2">
      <c r="A1892">
        <v>0</v>
      </c>
      <c r="B1892">
        <v>0</v>
      </c>
    </row>
    <row r="1893" spans="1:2">
      <c r="A1893" t="s">
        <v>25</v>
      </c>
      <c r="B1893">
        <v>0</v>
      </c>
    </row>
    <row r="1894" spans="1:2">
      <c r="A1894">
        <v>0</v>
      </c>
      <c r="B1894">
        <v>0</v>
      </c>
    </row>
    <row r="1895" spans="1:2">
      <c r="A1895">
        <v>0</v>
      </c>
      <c r="B1895">
        <v>0</v>
      </c>
    </row>
    <row r="1896" spans="1:2">
      <c r="A1896" t="s">
        <v>26</v>
      </c>
      <c r="B1896">
        <v>0</v>
      </c>
    </row>
    <row r="1897" spans="1:2">
      <c r="A1897" t="s">
        <v>19</v>
      </c>
      <c r="B1897">
        <v>0</v>
      </c>
    </row>
    <row r="1898" spans="1:2">
      <c r="A1898">
        <v>0</v>
      </c>
      <c r="B1898">
        <v>0</v>
      </c>
    </row>
    <row r="1899" spans="1:2">
      <c r="A1899">
        <v>0</v>
      </c>
      <c r="B1899">
        <v>0</v>
      </c>
    </row>
    <row r="1900" spans="1:2">
      <c r="A1900">
        <v>0</v>
      </c>
      <c r="B1900">
        <v>0</v>
      </c>
    </row>
    <row r="1901" spans="1:2">
      <c r="A1901">
        <v>0</v>
      </c>
      <c r="B1901">
        <v>0</v>
      </c>
    </row>
    <row r="1902" spans="1:2">
      <c r="A1902">
        <v>0</v>
      </c>
      <c r="B1902">
        <v>0</v>
      </c>
    </row>
    <row r="1903" spans="1:2">
      <c r="A1903">
        <v>0</v>
      </c>
      <c r="B1903">
        <v>0</v>
      </c>
    </row>
    <row r="1904" spans="1:2">
      <c r="A1904">
        <v>0</v>
      </c>
      <c r="B1904">
        <v>0</v>
      </c>
    </row>
    <row r="1905" spans="1:2">
      <c r="A1905">
        <v>0</v>
      </c>
      <c r="B1905">
        <v>0</v>
      </c>
    </row>
    <row r="1906" spans="1:2">
      <c r="A1906">
        <v>0</v>
      </c>
      <c r="B1906">
        <v>0</v>
      </c>
    </row>
    <row r="1907" spans="1:2">
      <c r="A1907">
        <v>0</v>
      </c>
      <c r="B1907">
        <v>0</v>
      </c>
    </row>
    <row r="1908" spans="1:2">
      <c r="A1908">
        <v>0</v>
      </c>
      <c r="B1908">
        <v>0</v>
      </c>
    </row>
    <row r="1909" spans="1:2">
      <c r="A1909">
        <v>0</v>
      </c>
      <c r="B1909">
        <v>0</v>
      </c>
    </row>
    <row r="1910" spans="1:2">
      <c r="A1910">
        <v>0</v>
      </c>
      <c r="B1910">
        <v>0</v>
      </c>
    </row>
    <row r="1911" spans="1:2">
      <c r="A1911">
        <v>0</v>
      </c>
      <c r="B1911">
        <v>0</v>
      </c>
    </row>
    <row r="1912" spans="1:2">
      <c r="A1912" t="s">
        <v>26</v>
      </c>
      <c r="B1912">
        <v>0</v>
      </c>
    </row>
    <row r="1913" spans="1:2">
      <c r="A1913">
        <v>0</v>
      </c>
      <c r="B1913">
        <v>158.46</v>
      </c>
    </row>
    <row r="1914" spans="1:2">
      <c r="A1914">
        <v>0</v>
      </c>
      <c r="B1914">
        <v>114.44</v>
      </c>
    </row>
    <row r="1915" spans="1:2">
      <c r="A1915">
        <v>0</v>
      </c>
      <c r="B1915">
        <v>108.43</v>
      </c>
    </row>
    <row r="1916" spans="1:2">
      <c r="A1916">
        <v>0</v>
      </c>
      <c r="B1916">
        <v>104.61</v>
      </c>
    </row>
    <row r="1917" spans="1:2">
      <c r="A1917">
        <v>0</v>
      </c>
      <c r="B1917">
        <v>30.74</v>
      </c>
    </row>
    <row r="1918" spans="1:2">
      <c r="A1918">
        <v>0</v>
      </c>
      <c r="B1918">
        <v>22.69</v>
      </c>
    </row>
    <row r="1919" spans="1:2">
      <c r="A1919">
        <v>0</v>
      </c>
      <c r="B1919">
        <v>21.37</v>
      </c>
    </row>
    <row r="1920" spans="1:2">
      <c r="A1920">
        <v>0</v>
      </c>
      <c r="B1920">
        <v>17.93</v>
      </c>
    </row>
    <row r="1921" spans="1:2">
      <c r="A1921">
        <v>0</v>
      </c>
      <c r="B1921">
        <v>13.18</v>
      </c>
    </row>
    <row r="1922" spans="1:2">
      <c r="A1922">
        <v>0</v>
      </c>
      <c r="B1922">
        <v>0</v>
      </c>
    </row>
    <row r="1923" spans="1:2">
      <c r="A1923" t="s">
        <v>30</v>
      </c>
      <c r="B1923">
        <v>0</v>
      </c>
    </row>
    <row r="1924" spans="1:2">
      <c r="A1924">
        <v>0</v>
      </c>
      <c r="B1924">
        <v>0</v>
      </c>
    </row>
    <row r="1925" spans="1:2">
      <c r="A1925">
        <v>0</v>
      </c>
      <c r="B1925">
        <v>0</v>
      </c>
    </row>
    <row r="1926" spans="1:2">
      <c r="A1926">
        <v>0</v>
      </c>
      <c r="B1926">
        <v>0</v>
      </c>
    </row>
    <row r="1927" spans="1:2">
      <c r="A1927">
        <v>0</v>
      </c>
      <c r="B1927">
        <v>0</v>
      </c>
    </row>
    <row r="1928" spans="1:2">
      <c r="A1928">
        <v>0</v>
      </c>
      <c r="B1928">
        <v>0</v>
      </c>
    </row>
    <row r="1929" spans="1:2">
      <c r="A1929" t="s">
        <v>26</v>
      </c>
      <c r="B1929">
        <v>0</v>
      </c>
    </row>
    <row r="1930" spans="1:2">
      <c r="A1930" t="s">
        <v>25</v>
      </c>
      <c r="B1930">
        <v>0</v>
      </c>
    </row>
    <row r="1931" spans="1:2">
      <c r="A1931">
        <v>0</v>
      </c>
      <c r="B1931">
        <v>0</v>
      </c>
    </row>
    <row r="1932" spans="1:2">
      <c r="A1932" t="s">
        <v>29</v>
      </c>
      <c r="B1932">
        <v>0</v>
      </c>
    </row>
    <row r="1933" spans="1:2">
      <c r="A1933" t="s">
        <v>19</v>
      </c>
      <c r="B1933">
        <v>0</v>
      </c>
    </row>
    <row r="1934" spans="1:2">
      <c r="A1934">
        <v>0</v>
      </c>
      <c r="B1934">
        <v>0</v>
      </c>
    </row>
    <row r="1935" spans="1:2">
      <c r="A1935">
        <v>0</v>
      </c>
      <c r="B1935">
        <v>0</v>
      </c>
    </row>
    <row r="1936" spans="1:2">
      <c r="A1936" t="s">
        <v>19</v>
      </c>
      <c r="B1936">
        <v>0</v>
      </c>
    </row>
    <row r="1937" spans="1:2">
      <c r="A1937" t="s">
        <v>31</v>
      </c>
      <c r="B1937">
        <v>0</v>
      </c>
    </row>
    <row r="1938" spans="1:2">
      <c r="A1938">
        <v>0</v>
      </c>
      <c r="B1938">
        <v>0</v>
      </c>
    </row>
    <row r="1939" spans="1:2">
      <c r="A1939">
        <v>0</v>
      </c>
      <c r="B1939">
        <v>228</v>
      </c>
    </row>
    <row r="1940" spans="1:2">
      <c r="A1940">
        <v>0</v>
      </c>
      <c r="B1940">
        <v>129.94999999999999</v>
      </c>
    </row>
    <row r="1941" spans="1:2">
      <c r="A1941">
        <v>0</v>
      </c>
      <c r="B1941">
        <v>76.03</v>
      </c>
    </row>
    <row r="1942" spans="1:2">
      <c r="A1942">
        <v>0</v>
      </c>
      <c r="B1942">
        <v>49.48</v>
      </c>
    </row>
    <row r="1943" spans="1:2">
      <c r="A1943">
        <v>0</v>
      </c>
      <c r="B1943">
        <v>46.33</v>
      </c>
    </row>
    <row r="1944" spans="1:2">
      <c r="A1944">
        <v>0</v>
      </c>
      <c r="B1944">
        <v>33.76</v>
      </c>
    </row>
    <row r="1945" spans="1:2">
      <c r="A1945">
        <v>0</v>
      </c>
      <c r="B1945">
        <v>32.03</v>
      </c>
    </row>
    <row r="1946" spans="1:2">
      <c r="A1946" t="s">
        <v>25</v>
      </c>
      <c r="B1946">
        <v>25.13</v>
      </c>
    </row>
    <row r="1947" spans="1:2">
      <c r="A1947" t="s">
        <v>25</v>
      </c>
      <c r="B1947">
        <v>20.57</v>
      </c>
    </row>
    <row r="1948" spans="1:2">
      <c r="A1948">
        <v>0</v>
      </c>
      <c r="B1948">
        <v>0</v>
      </c>
    </row>
    <row r="1949" spans="1:2">
      <c r="A1949" t="s">
        <v>28</v>
      </c>
      <c r="B1949">
        <v>0</v>
      </c>
    </row>
    <row r="1950" spans="1:2">
      <c r="A1950">
        <v>0</v>
      </c>
      <c r="B1950">
        <v>0</v>
      </c>
    </row>
    <row r="1951" spans="1:2">
      <c r="A1951" t="s">
        <v>25</v>
      </c>
      <c r="B1951">
        <v>0</v>
      </c>
    </row>
    <row r="1952" spans="1:2">
      <c r="A1952">
        <v>0</v>
      </c>
      <c r="B1952">
        <v>0</v>
      </c>
    </row>
    <row r="1953" spans="1:2">
      <c r="A1953">
        <v>0</v>
      </c>
      <c r="B1953">
        <v>0</v>
      </c>
    </row>
    <row r="1954" spans="1:2">
      <c r="A1954" t="s">
        <v>28</v>
      </c>
      <c r="B1954">
        <v>0</v>
      </c>
    </row>
    <row r="1955" spans="1:2">
      <c r="A1955" t="s">
        <v>31</v>
      </c>
      <c r="B1955">
        <v>0</v>
      </c>
    </row>
    <row r="1956" spans="1:2">
      <c r="A1956" t="s">
        <v>26</v>
      </c>
      <c r="B1956">
        <v>0</v>
      </c>
    </row>
    <row r="1957" spans="1:2">
      <c r="A1957">
        <v>0</v>
      </c>
      <c r="B1957">
        <v>0</v>
      </c>
    </row>
    <row r="1958" spans="1:2">
      <c r="A1958">
        <v>0</v>
      </c>
      <c r="B1958">
        <v>0</v>
      </c>
    </row>
    <row r="1959" spans="1:2">
      <c r="A1959">
        <v>0</v>
      </c>
      <c r="B1959">
        <v>0</v>
      </c>
    </row>
    <row r="1960" spans="1:2">
      <c r="A1960" t="s">
        <v>29</v>
      </c>
      <c r="B1960">
        <v>0</v>
      </c>
    </row>
    <row r="1961" spans="1:2">
      <c r="A1961">
        <v>0</v>
      </c>
      <c r="B1961">
        <v>0</v>
      </c>
    </row>
    <row r="1962" spans="1:2">
      <c r="A1962">
        <v>0</v>
      </c>
      <c r="B1962">
        <v>0</v>
      </c>
    </row>
    <row r="1963" spans="1:2">
      <c r="A1963">
        <v>0</v>
      </c>
      <c r="B1963">
        <v>0</v>
      </c>
    </row>
    <row r="1964" spans="1:2">
      <c r="A1964">
        <v>0</v>
      </c>
      <c r="B1964">
        <v>0</v>
      </c>
    </row>
    <row r="1965" spans="1:2">
      <c r="A1965">
        <v>0</v>
      </c>
      <c r="B1965">
        <v>0</v>
      </c>
    </row>
    <row r="1966" spans="1:2">
      <c r="A1966">
        <v>0</v>
      </c>
      <c r="B1966">
        <v>0</v>
      </c>
    </row>
    <row r="1967" spans="1:2">
      <c r="A1967">
        <v>0</v>
      </c>
      <c r="B1967">
        <v>0</v>
      </c>
    </row>
    <row r="1968" spans="1:2">
      <c r="A1968" t="s">
        <v>29</v>
      </c>
      <c r="B1968">
        <v>0</v>
      </c>
    </row>
    <row r="1969" spans="1:2">
      <c r="A1969">
        <v>0</v>
      </c>
      <c r="B1969">
        <v>0</v>
      </c>
    </row>
    <row r="1970" spans="1:2">
      <c r="A1970">
        <v>0</v>
      </c>
      <c r="B1970">
        <v>0</v>
      </c>
    </row>
    <row r="1971" spans="1:2">
      <c r="A1971">
        <v>0</v>
      </c>
      <c r="B1971">
        <v>0</v>
      </c>
    </row>
    <row r="1972" spans="1:2">
      <c r="A1972" t="s">
        <v>26</v>
      </c>
      <c r="B1972">
        <v>0</v>
      </c>
    </row>
    <row r="1973" spans="1:2">
      <c r="A1973">
        <v>0</v>
      </c>
      <c r="B1973">
        <v>0</v>
      </c>
    </row>
    <row r="1974" spans="1:2">
      <c r="A1974" t="s">
        <v>26</v>
      </c>
      <c r="B1974">
        <v>0</v>
      </c>
    </row>
    <row r="1975" spans="1:2">
      <c r="A1975">
        <v>0</v>
      </c>
      <c r="B1975">
        <v>0</v>
      </c>
    </row>
    <row r="1976" spans="1:2">
      <c r="A1976">
        <v>0</v>
      </c>
      <c r="B1976">
        <v>0</v>
      </c>
    </row>
    <row r="1977" spans="1:2">
      <c r="A1977">
        <v>0</v>
      </c>
      <c r="B1977">
        <v>552</v>
      </c>
    </row>
    <row r="1978" spans="1:2">
      <c r="A1978">
        <v>0</v>
      </c>
      <c r="B1978">
        <v>87.88</v>
      </c>
    </row>
    <row r="1979" spans="1:2">
      <c r="A1979">
        <v>0</v>
      </c>
      <c r="B1979">
        <v>87.17</v>
      </c>
    </row>
    <row r="1980" spans="1:2">
      <c r="A1980" t="s">
        <v>25</v>
      </c>
      <c r="B1980">
        <v>73</v>
      </c>
    </row>
    <row r="1981" spans="1:2">
      <c r="A1981">
        <v>0</v>
      </c>
      <c r="B1981">
        <v>47.65</v>
      </c>
    </row>
    <row r="1982" spans="1:2">
      <c r="A1982" t="s">
        <v>31</v>
      </c>
      <c r="B1982">
        <v>40.86</v>
      </c>
    </row>
    <row r="1983" spans="1:2">
      <c r="A1983" t="s">
        <v>25</v>
      </c>
      <c r="B1983">
        <v>32.14</v>
      </c>
    </row>
    <row r="1984" spans="1:2">
      <c r="A1984">
        <v>0</v>
      </c>
      <c r="B1984">
        <v>32.119999999999997</v>
      </c>
    </row>
    <row r="1985" spans="1:2">
      <c r="A1985">
        <v>0</v>
      </c>
      <c r="B1985">
        <v>16.48</v>
      </c>
    </row>
    <row r="1986" spans="1:2">
      <c r="A1986">
        <v>0</v>
      </c>
      <c r="B1986">
        <v>13.85</v>
      </c>
    </row>
    <row r="1987" spans="1:2">
      <c r="A1987">
        <v>0</v>
      </c>
      <c r="B1987">
        <v>13.77</v>
      </c>
    </row>
    <row r="1988" spans="1:2">
      <c r="A1988">
        <v>0</v>
      </c>
      <c r="B1988">
        <v>0</v>
      </c>
    </row>
    <row r="1989" spans="1:2">
      <c r="A1989">
        <v>0</v>
      </c>
      <c r="B1989">
        <v>0</v>
      </c>
    </row>
    <row r="1990" spans="1:2">
      <c r="A1990">
        <v>0</v>
      </c>
      <c r="B1990">
        <v>0</v>
      </c>
    </row>
    <row r="1991" spans="1:2">
      <c r="A1991" t="s">
        <v>19</v>
      </c>
      <c r="B1991">
        <v>0</v>
      </c>
    </row>
    <row r="1992" spans="1:2">
      <c r="A1992">
        <v>0</v>
      </c>
      <c r="B1992">
        <v>0</v>
      </c>
    </row>
    <row r="1993" spans="1:2">
      <c r="A1993">
        <v>0</v>
      </c>
      <c r="B1993">
        <v>0</v>
      </c>
    </row>
    <row r="1994" spans="1:2">
      <c r="A1994" t="s">
        <v>29</v>
      </c>
      <c r="B1994">
        <v>0</v>
      </c>
    </row>
    <row r="1995" spans="1:2">
      <c r="A1995">
        <v>0</v>
      </c>
      <c r="B1995">
        <v>0</v>
      </c>
    </row>
    <row r="1996" spans="1:2">
      <c r="A1996" t="s">
        <v>30</v>
      </c>
      <c r="B1996">
        <v>0</v>
      </c>
    </row>
    <row r="1997" spans="1:2">
      <c r="A1997">
        <v>0</v>
      </c>
      <c r="B1997">
        <v>0</v>
      </c>
    </row>
    <row r="1998" spans="1:2">
      <c r="A1998">
        <v>0</v>
      </c>
      <c r="B1998">
        <v>0</v>
      </c>
    </row>
    <row r="1999" spans="1:2">
      <c r="A1999">
        <v>0</v>
      </c>
      <c r="B1999">
        <v>354</v>
      </c>
    </row>
    <row r="2000" spans="1:2">
      <c r="A2000">
        <v>0</v>
      </c>
      <c r="B2000">
        <v>430</v>
      </c>
    </row>
    <row r="2001" spans="1:2">
      <c r="A2001" t="s">
        <v>28</v>
      </c>
      <c r="B2001">
        <v>367</v>
      </c>
    </row>
    <row r="2002" spans="1:2">
      <c r="A2002">
        <v>0</v>
      </c>
      <c r="B2002">
        <v>448</v>
      </c>
    </row>
    <row r="2003" spans="1:2">
      <c r="A2003">
        <v>0</v>
      </c>
      <c r="B2003">
        <v>265</v>
      </c>
    </row>
    <row r="2004" spans="1:2">
      <c r="A2004" t="s">
        <v>31</v>
      </c>
      <c r="B2004">
        <v>209.32</v>
      </c>
    </row>
    <row r="2005" spans="1:2">
      <c r="A2005" t="s">
        <v>26</v>
      </c>
      <c r="B2005">
        <v>135.63999999999999</v>
      </c>
    </row>
    <row r="2006" spans="1:2">
      <c r="A2006">
        <v>0</v>
      </c>
      <c r="B2006">
        <v>87.82</v>
      </c>
    </row>
    <row r="2007" spans="1:2">
      <c r="A2007">
        <v>0</v>
      </c>
      <c r="B2007">
        <v>71.739999999999995</v>
      </c>
    </row>
    <row r="2008" spans="1:2">
      <c r="A2008">
        <v>0</v>
      </c>
      <c r="B2008">
        <v>71.36</v>
      </c>
    </row>
    <row r="2009" spans="1:2">
      <c r="A2009">
        <v>0</v>
      </c>
      <c r="B2009">
        <v>60.32</v>
      </c>
    </row>
    <row r="2010" spans="1:2">
      <c r="A2010" t="s">
        <v>25</v>
      </c>
      <c r="B2010">
        <v>43.97</v>
      </c>
    </row>
    <row r="2011" spans="1:2">
      <c r="A2011" t="s">
        <v>28</v>
      </c>
      <c r="B2011">
        <v>38.14</v>
      </c>
    </row>
    <row r="2012" spans="1:2">
      <c r="A2012">
        <v>0</v>
      </c>
      <c r="B2012">
        <v>35.090000000000003</v>
      </c>
    </row>
    <row r="2013" spans="1:2">
      <c r="A2013" t="s">
        <v>19</v>
      </c>
      <c r="B2013">
        <v>32.65</v>
      </c>
    </row>
    <row r="2014" spans="1:2">
      <c r="A2014">
        <v>0</v>
      </c>
      <c r="B2014">
        <v>31.97</v>
      </c>
    </row>
    <row r="2015" spans="1:2">
      <c r="A2015">
        <v>0</v>
      </c>
      <c r="B2015">
        <v>21.35</v>
      </c>
    </row>
    <row r="2016" spans="1:2">
      <c r="A2016" t="s">
        <v>30</v>
      </c>
      <c r="B2016">
        <v>0</v>
      </c>
    </row>
    <row r="2017" spans="1:2">
      <c r="A2017">
        <v>0</v>
      </c>
      <c r="B2017">
        <v>0</v>
      </c>
    </row>
    <row r="2018" spans="1:2">
      <c r="A2018">
        <v>0</v>
      </c>
      <c r="B2018">
        <v>0</v>
      </c>
    </row>
    <row r="2019" spans="1:2">
      <c r="A2019">
        <v>0</v>
      </c>
      <c r="B2019">
        <v>0</v>
      </c>
    </row>
    <row r="2020" spans="1:2">
      <c r="A2020" t="s">
        <v>28</v>
      </c>
      <c r="B2020">
        <v>0</v>
      </c>
    </row>
    <row r="2021" spans="1:2">
      <c r="A2021">
        <v>0</v>
      </c>
      <c r="B2021">
        <v>0</v>
      </c>
    </row>
    <row r="2022" spans="1:2">
      <c r="A2022">
        <v>0</v>
      </c>
      <c r="B2022">
        <v>0</v>
      </c>
    </row>
    <row r="2023" spans="1:2">
      <c r="A2023" t="s">
        <v>25</v>
      </c>
      <c r="B2023">
        <v>0</v>
      </c>
    </row>
    <row r="2024" spans="1:2">
      <c r="A2024">
        <v>0</v>
      </c>
      <c r="B2024">
        <v>0</v>
      </c>
    </row>
    <row r="2025" spans="1:2">
      <c r="A2025">
        <v>0</v>
      </c>
      <c r="B2025">
        <v>0</v>
      </c>
    </row>
    <row r="2026" spans="1:2">
      <c r="A2026">
        <v>0</v>
      </c>
      <c r="B2026">
        <v>0</v>
      </c>
    </row>
    <row r="2027" spans="1:2">
      <c r="A2027">
        <v>0</v>
      </c>
      <c r="B2027">
        <v>0</v>
      </c>
    </row>
    <row r="2028" spans="1:2">
      <c r="A2028" t="s">
        <v>25</v>
      </c>
      <c r="B2028">
        <v>0</v>
      </c>
    </row>
    <row r="2029" spans="1:2">
      <c r="A2029">
        <v>0</v>
      </c>
      <c r="B2029">
        <v>0</v>
      </c>
    </row>
    <row r="2030" spans="1:2">
      <c r="A2030">
        <v>0</v>
      </c>
      <c r="B2030">
        <v>0</v>
      </c>
    </row>
    <row r="2031" spans="1:2">
      <c r="A2031" t="s">
        <v>19</v>
      </c>
      <c r="B2031">
        <v>0</v>
      </c>
    </row>
    <row r="2032" spans="1:2">
      <c r="A2032">
        <v>0</v>
      </c>
      <c r="B2032">
        <v>0</v>
      </c>
    </row>
    <row r="2033" spans="1:2">
      <c r="A2033">
        <v>0</v>
      </c>
      <c r="B2033">
        <v>0</v>
      </c>
    </row>
    <row r="2034" spans="1:2">
      <c r="A2034" t="s">
        <v>28</v>
      </c>
      <c r="B2034">
        <v>0</v>
      </c>
    </row>
    <row r="2035" spans="1:2">
      <c r="A2035" t="s">
        <v>26</v>
      </c>
      <c r="B2035">
        <v>0</v>
      </c>
    </row>
    <row r="2036" spans="1:2">
      <c r="A2036">
        <v>0</v>
      </c>
      <c r="B2036">
        <v>0</v>
      </c>
    </row>
    <row r="2037" spans="1:2">
      <c r="A2037">
        <v>0</v>
      </c>
      <c r="B2037">
        <v>0</v>
      </c>
    </row>
    <row r="2038" spans="1:2">
      <c r="A2038">
        <v>0</v>
      </c>
      <c r="B2038">
        <v>0</v>
      </c>
    </row>
    <row r="2039" spans="1:2">
      <c r="A2039" t="s">
        <v>29</v>
      </c>
      <c r="B2039">
        <v>0</v>
      </c>
    </row>
    <row r="2040" spans="1:2">
      <c r="A2040">
        <v>0</v>
      </c>
      <c r="B2040">
        <v>86</v>
      </c>
    </row>
    <row r="2041" spans="1:2">
      <c r="A2041">
        <v>0</v>
      </c>
      <c r="B2041">
        <v>348</v>
      </c>
    </row>
    <row r="2042" spans="1:2">
      <c r="A2042">
        <v>0</v>
      </c>
      <c r="B2042">
        <v>435</v>
      </c>
    </row>
    <row r="2043" spans="1:2">
      <c r="A2043" t="s">
        <v>30</v>
      </c>
      <c r="B2043">
        <v>112.28</v>
      </c>
    </row>
    <row r="2044" spans="1:2">
      <c r="A2044">
        <v>0</v>
      </c>
      <c r="B2044">
        <v>102.32</v>
      </c>
    </row>
    <row r="2045" spans="1:2">
      <c r="A2045">
        <v>0</v>
      </c>
      <c r="B2045">
        <v>94.07</v>
      </c>
    </row>
    <row r="2046" spans="1:2">
      <c r="A2046">
        <v>0</v>
      </c>
      <c r="B2046">
        <v>49.57</v>
      </c>
    </row>
    <row r="2047" spans="1:2">
      <c r="A2047" t="s">
        <v>31</v>
      </c>
      <c r="B2047">
        <v>40.51</v>
      </c>
    </row>
    <row r="2048" spans="1:2">
      <c r="A2048">
        <v>0</v>
      </c>
      <c r="B2048">
        <v>35.090000000000003</v>
      </c>
    </row>
    <row r="2049" spans="1:2">
      <c r="A2049">
        <v>0</v>
      </c>
      <c r="B2049">
        <v>23.79</v>
      </c>
    </row>
    <row r="2050" spans="1:2">
      <c r="A2050" t="s">
        <v>31</v>
      </c>
      <c r="B2050">
        <v>23.16</v>
      </c>
    </row>
    <row r="2051" spans="1:2">
      <c r="A2051" t="s">
        <v>28</v>
      </c>
      <c r="B2051">
        <v>0</v>
      </c>
    </row>
    <row r="2052" spans="1:2">
      <c r="A2052">
        <v>0</v>
      </c>
      <c r="B2052">
        <v>0</v>
      </c>
    </row>
    <row r="2053" spans="1:2">
      <c r="A2053" t="s">
        <v>31</v>
      </c>
      <c r="B2053">
        <v>0</v>
      </c>
    </row>
    <row r="2054" spans="1:2">
      <c r="A2054">
        <v>0</v>
      </c>
      <c r="B2054">
        <v>0</v>
      </c>
    </row>
    <row r="2055" spans="1:2">
      <c r="A2055">
        <v>0</v>
      </c>
      <c r="B2055">
        <v>0</v>
      </c>
    </row>
    <row r="2056" spans="1:2">
      <c r="A2056" t="s">
        <v>30</v>
      </c>
      <c r="B2056">
        <v>0</v>
      </c>
    </row>
    <row r="2057" spans="1:2">
      <c r="A2057">
        <v>0</v>
      </c>
      <c r="B2057">
        <v>0</v>
      </c>
    </row>
    <row r="2058" spans="1:2">
      <c r="A2058">
        <v>0</v>
      </c>
      <c r="B2058">
        <v>0</v>
      </c>
    </row>
    <row r="2059" spans="1:2">
      <c r="A2059">
        <v>0</v>
      </c>
      <c r="B2059">
        <v>0</v>
      </c>
    </row>
    <row r="2060" spans="1:2">
      <c r="A2060">
        <v>0</v>
      </c>
      <c r="B2060">
        <v>0</v>
      </c>
    </row>
    <row r="2061" spans="1:2">
      <c r="A2061">
        <v>0</v>
      </c>
      <c r="B2061">
        <v>0</v>
      </c>
    </row>
    <row r="2062" spans="1:2">
      <c r="A2062" t="s">
        <v>28</v>
      </c>
      <c r="B2062">
        <v>0</v>
      </c>
    </row>
    <row r="2063" spans="1:2">
      <c r="A2063" t="s">
        <v>25</v>
      </c>
      <c r="B2063">
        <v>0</v>
      </c>
    </row>
    <row r="2064" spans="1:2">
      <c r="A2064" t="s">
        <v>25</v>
      </c>
      <c r="B2064">
        <v>0</v>
      </c>
    </row>
    <row r="2065" spans="1:2">
      <c r="A2065" t="s">
        <v>26</v>
      </c>
      <c r="B2065">
        <v>0</v>
      </c>
    </row>
    <row r="2066" spans="1:2">
      <c r="A2066">
        <v>0</v>
      </c>
      <c r="B2066">
        <v>0</v>
      </c>
    </row>
    <row r="2067" spans="1:2">
      <c r="A2067">
        <v>0</v>
      </c>
      <c r="B2067">
        <v>0</v>
      </c>
    </row>
    <row r="2068" spans="1:2">
      <c r="A2068">
        <v>0</v>
      </c>
      <c r="B2068">
        <v>0</v>
      </c>
    </row>
    <row r="2069" spans="1:2">
      <c r="A2069">
        <v>0</v>
      </c>
      <c r="B2069">
        <v>0</v>
      </c>
    </row>
    <row r="2070" spans="1:2">
      <c r="A2070">
        <v>0</v>
      </c>
      <c r="B2070">
        <v>0</v>
      </c>
    </row>
    <row r="2071" spans="1:2">
      <c r="A2071">
        <v>0</v>
      </c>
      <c r="B2071">
        <v>0</v>
      </c>
    </row>
    <row r="2072" spans="1:2">
      <c r="A2072">
        <v>0</v>
      </c>
      <c r="B2072">
        <v>419</v>
      </c>
    </row>
    <row r="2073" spans="1:2">
      <c r="A2073">
        <v>0</v>
      </c>
      <c r="B2073">
        <v>120</v>
      </c>
    </row>
    <row r="2074" spans="1:2">
      <c r="A2074">
        <v>0</v>
      </c>
      <c r="B2074">
        <v>117.82</v>
      </c>
    </row>
    <row r="2075" spans="1:2">
      <c r="A2075">
        <v>0</v>
      </c>
      <c r="B2075">
        <v>111</v>
      </c>
    </row>
    <row r="2076" spans="1:2">
      <c r="A2076" t="s">
        <v>25</v>
      </c>
      <c r="B2076">
        <v>76.63</v>
      </c>
    </row>
    <row r="2077" spans="1:2">
      <c r="A2077">
        <v>0</v>
      </c>
      <c r="B2077">
        <v>61.32</v>
      </c>
    </row>
    <row r="2078" spans="1:2">
      <c r="A2078" t="s">
        <v>28</v>
      </c>
      <c r="B2078">
        <v>55.88</v>
      </c>
    </row>
    <row r="2079" spans="1:2">
      <c r="A2079">
        <v>0</v>
      </c>
      <c r="B2079">
        <v>54.16</v>
      </c>
    </row>
    <row r="2080" spans="1:2">
      <c r="A2080">
        <v>0</v>
      </c>
      <c r="B2080">
        <v>44.56</v>
      </c>
    </row>
    <row r="2081" spans="1:2">
      <c r="A2081" t="s">
        <v>26</v>
      </c>
      <c r="B2081">
        <v>42.08</v>
      </c>
    </row>
    <row r="2082" spans="1:2">
      <c r="A2082">
        <v>0</v>
      </c>
      <c r="B2082">
        <v>41.3</v>
      </c>
    </row>
    <row r="2083" spans="1:2">
      <c r="A2083">
        <v>0</v>
      </c>
      <c r="B2083">
        <v>35.130000000000003</v>
      </c>
    </row>
    <row r="2084" spans="1:2">
      <c r="A2084">
        <v>0</v>
      </c>
      <c r="B2084">
        <v>32.21</v>
      </c>
    </row>
    <row r="2085" spans="1:2">
      <c r="A2085">
        <v>0</v>
      </c>
      <c r="B2085">
        <v>22.39</v>
      </c>
    </row>
    <row r="2086" spans="1:2">
      <c r="A2086">
        <v>0</v>
      </c>
      <c r="B2086">
        <v>0</v>
      </c>
    </row>
    <row r="2087" spans="1:2">
      <c r="A2087">
        <v>0</v>
      </c>
      <c r="B2087">
        <v>0</v>
      </c>
    </row>
    <row r="2088" spans="1:2">
      <c r="A2088">
        <v>0</v>
      </c>
      <c r="B2088">
        <v>0</v>
      </c>
    </row>
    <row r="2089" spans="1:2">
      <c r="A2089">
        <v>0</v>
      </c>
      <c r="B2089">
        <v>0</v>
      </c>
    </row>
    <row r="2090" spans="1:2">
      <c r="A2090">
        <v>0</v>
      </c>
      <c r="B2090">
        <v>0</v>
      </c>
    </row>
    <row r="2091" spans="1:2">
      <c r="A2091">
        <v>0</v>
      </c>
      <c r="B2091">
        <v>0</v>
      </c>
    </row>
    <row r="2092" spans="1:2">
      <c r="A2092">
        <v>0</v>
      </c>
      <c r="B2092">
        <v>0</v>
      </c>
    </row>
    <row r="2093" spans="1:2">
      <c r="A2093">
        <v>0</v>
      </c>
      <c r="B2093">
        <v>0</v>
      </c>
    </row>
    <row r="2094" spans="1:2">
      <c r="A2094" t="s">
        <v>29</v>
      </c>
      <c r="B2094">
        <v>0</v>
      </c>
    </row>
    <row r="2095" spans="1:2">
      <c r="A2095" t="s">
        <v>29</v>
      </c>
      <c r="B2095">
        <v>0</v>
      </c>
    </row>
    <row r="2096" spans="1:2">
      <c r="A2096">
        <v>0</v>
      </c>
      <c r="B2096">
        <v>0</v>
      </c>
    </row>
    <row r="2097" spans="1:2">
      <c r="A2097">
        <v>0</v>
      </c>
      <c r="B2097">
        <v>0</v>
      </c>
    </row>
    <row r="2098" spans="1:2">
      <c r="A2098">
        <v>0</v>
      </c>
      <c r="B2098">
        <v>0</v>
      </c>
    </row>
    <row r="2099" spans="1:2">
      <c r="A2099">
        <v>0</v>
      </c>
      <c r="B2099">
        <v>0</v>
      </c>
    </row>
    <row r="2100" spans="1:2">
      <c r="A2100" t="s">
        <v>30</v>
      </c>
      <c r="B2100">
        <v>0</v>
      </c>
    </row>
    <row r="2101" spans="1:2">
      <c r="A2101">
        <v>0</v>
      </c>
      <c r="B2101">
        <v>0</v>
      </c>
    </row>
    <row r="2102" spans="1:2">
      <c r="A2102" t="s">
        <v>31</v>
      </c>
      <c r="B2102">
        <v>0</v>
      </c>
    </row>
    <row r="2103" spans="1:2">
      <c r="A2103">
        <v>0</v>
      </c>
      <c r="B2103">
        <v>0</v>
      </c>
    </row>
    <row r="2104" spans="1:2">
      <c r="A2104" t="s">
        <v>28</v>
      </c>
      <c r="B2104">
        <v>0</v>
      </c>
    </row>
    <row r="2105" spans="1:2">
      <c r="A2105">
        <v>0</v>
      </c>
      <c r="B2105">
        <v>0</v>
      </c>
    </row>
    <row r="2106" spans="1:2">
      <c r="A2106" t="s">
        <v>26</v>
      </c>
      <c r="B2106">
        <v>0</v>
      </c>
    </row>
    <row r="2107" spans="1:2">
      <c r="A2107">
        <v>0</v>
      </c>
      <c r="B2107">
        <v>0</v>
      </c>
    </row>
    <row r="2108" spans="1:2">
      <c r="A2108">
        <v>0</v>
      </c>
      <c r="B2108">
        <v>0</v>
      </c>
    </row>
    <row r="2109" spans="1:2">
      <c r="A2109">
        <v>0</v>
      </c>
      <c r="B2109">
        <v>0</v>
      </c>
    </row>
    <row r="2110" spans="1:2">
      <c r="A2110">
        <v>0</v>
      </c>
      <c r="B2110">
        <v>0</v>
      </c>
    </row>
    <row r="2111" spans="1:2">
      <c r="A2111">
        <v>0</v>
      </c>
      <c r="B2111">
        <v>509</v>
      </c>
    </row>
    <row r="2112" spans="1:2">
      <c r="A2112" t="s">
        <v>30</v>
      </c>
      <c r="B2112">
        <v>107.94</v>
      </c>
    </row>
    <row r="2113" spans="1:2">
      <c r="A2113">
        <v>0</v>
      </c>
      <c r="B2113">
        <v>72.78</v>
      </c>
    </row>
    <row r="2114" spans="1:2">
      <c r="A2114" t="s">
        <v>26</v>
      </c>
      <c r="B2114">
        <v>64.569999999999993</v>
      </c>
    </row>
    <row r="2115" spans="1:2">
      <c r="A2115">
        <v>0</v>
      </c>
      <c r="B2115">
        <v>42.68</v>
      </c>
    </row>
    <row r="2116" spans="1:2">
      <c r="A2116">
        <v>0</v>
      </c>
      <c r="B2116">
        <v>38.54</v>
      </c>
    </row>
    <row r="2117" spans="1:2">
      <c r="A2117">
        <v>0</v>
      </c>
      <c r="B2117">
        <v>35.57</v>
      </c>
    </row>
    <row r="2118" spans="1:2">
      <c r="A2118">
        <v>0</v>
      </c>
      <c r="B2118">
        <v>25.95</v>
      </c>
    </row>
    <row r="2119" spans="1:2">
      <c r="A2119">
        <v>0</v>
      </c>
      <c r="B2119">
        <v>24.44</v>
      </c>
    </row>
    <row r="2120" spans="1:2">
      <c r="A2120">
        <v>0</v>
      </c>
      <c r="B2120">
        <v>0</v>
      </c>
    </row>
    <row r="2121" spans="1:2">
      <c r="A2121" t="s">
        <v>30</v>
      </c>
      <c r="B2121">
        <v>0</v>
      </c>
    </row>
    <row r="2122" spans="1:2">
      <c r="A2122">
        <v>0</v>
      </c>
      <c r="B2122">
        <v>0</v>
      </c>
    </row>
    <row r="2123" spans="1:2">
      <c r="A2123">
        <v>0</v>
      </c>
      <c r="B2123">
        <v>0</v>
      </c>
    </row>
    <row r="2124" spans="1:2">
      <c r="A2124">
        <v>0</v>
      </c>
      <c r="B2124">
        <v>0</v>
      </c>
    </row>
    <row r="2125" spans="1:2">
      <c r="A2125">
        <v>0</v>
      </c>
      <c r="B2125">
        <v>0</v>
      </c>
    </row>
    <row r="2126" spans="1:2">
      <c r="A2126" t="s">
        <v>25</v>
      </c>
      <c r="B2126">
        <v>0</v>
      </c>
    </row>
    <row r="2127" spans="1:2">
      <c r="A2127">
        <v>0</v>
      </c>
      <c r="B2127">
        <v>0</v>
      </c>
    </row>
    <row r="2128" spans="1:2">
      <c r="A2128">
        <v>0</v>
      </c>
      <c r="B2128">
        <v>0</v>
      </c>
    </row>
    <row r="2129" spans="1:2">
      <c r="A2129">
        <v>0</v>
      </c>
      <c r="B2129">
        <v>0</v>
      </c>
    </row>
    <row r="2130" spans="1:2">
      <c r="A2130">
        <v>0</v>
      </c>
      <c r="B2130">
        <v>0</v>
      </c>
    </row>
    <row r="2131" spans="1:2">
      <c r="A2131">
        <v>0</v>
      </c>
      <c r="B2131">
        <v>0</v>
      </c>
    </row>
    <row r="2132" spans="1:2">
      <c r="A2132">
        <v>0</v>
      </c>
      <c r="B2132">
        <v>0</v>
      </c>
    </row>
    <row r="2133" spans="1:2">
      <c r="A2133">
        <v>0</v>
      </c>
      <c r="B2133">
        <v>0</v>
      </c>
    </row>
    <row r="2134" spans="1:2">
      <c r="A2134">
        <v>0</v>
      </c>
      <c r="B2134">
        <v>0</v>
      </c>
    </row>
    <row r="2135" spans="1:2">
      <c r="A2135">
        <v>0</v>
      </c>
      <c r="B2135">
        <v>0</v>
      </c>
    </row>
    <row r="2136" spans="1:2">
      <c r="A2136">
        <v>0</v>
      </c>
      <c r="B2136">
        <v>0</v>
      </c>
    </row>
    <row r="2137" spans="1:2">
      <c r="A2137">
        <v>0</v>
      </c>
      <c r="B2137">
        <v>238.61</v>
      </c>
    </row>
    <row r="2138" spans="1:2">
      <c r="A2138" t="s">
        <v>28</v>
      </c>
      <c r="B2138">
        <v>107.21</v>
      </c>
    </row>
    <row r="2139" spans="1:2">
      <c r="A2139">
        <v>0</v>
      </c>
      <c r="B2139">
        <v>89.56</v>
      </c>
    </row>
    <row r="2140" spans="1:2">
      <c r="A2140">
        <v>0</v>
      </c>
      <c r="B2140">
        <v>88.3</v>
      </c>
    </row>
    <row r="2141" spans="1:2">
      <c r="A2141">
        <v>0</v>
      </c>
      <c r="B2141">
        <v>64.069999999999993</v>
      </c>
    </row>
    <row r="2142" spans="1:2">
      <c r="A2142">
        <v>0</v>
      </c>
      <c r="B2142">
        <v>60.56</v>
      </c>
    </row>
    <row r="2143" spans="1:2">
      <c r="A2143">
        <v>0</v>
      </c>
      <c r="B2143">
        <v>54.44</v>
      </c>
    </row>
    <row r="2144" spans="1:2">
      <c r="A2144">
        <v>0</v>
      </c>
      <c r="B2144">
        <v>52.48</v>
      </c>
    </row>
    <row r="2145" spans="1:2">
      <c r="A2145">
        <v>0</v>
      </c>
      <c r="B2145">
        <v>42.29</v>
      </c>
    </row>
    <row r="2146" spans="1:2">
      <c r="A2146">
        <v>0</v>
      </c>
      <c r="B2146">
        <v>34.61</v>
      </c>
    </row>
    <row r="2147" spans="1:2">
      <c r="A2147">
        <v>0</v>
      </c>
      <c r="B2147">
        <v>33.35</v>
      </c>
    </row>
    <row r="2148" spans="1:2">
      <c r="A2148">
        <v>0</v>
      </c>
      <c r="B2148">
        <v>29.71</v>
      </c>
    </row>
    <row r="2149" spans="1:2">
      <c r="A2149">
        <v>0</v>
      </c>
      <c r="B2149">
        <v>28.48</v>
      </c>
    </row>
    <row r="2150" spans="1:2">
      <c r="A2150">
        <v>0</v>
      </c>
      <c r="B2150">
        <v>23</v>
      </c>
    </row>
    <row r="2151" spans="1:2">
      <c r="A2151" t="s">
        <v>25</v>
      </c>
      <c r="B2151">
        <v>21.78</v>
      </c>
    </row>
    <row r="2152" spans="1:2">
      <c r="A2152">
        <v>0</v>
      </c>
      <c r="B2152">
        <v>21.47</v>
      </c>
    </row>
    <row r="2153" spans="1:2">
      <c r="A2153">
        <v>0</v>
      </c>
      <c r="B2153">
        <v>0</v>
      </c>
    </row>
    <row r="2154" spans="1:2">
      <c r="A2154">
        <v>0</v>
      </c>
      <c r="B2154">
        <v>0</v>
      </c>
    </row>
    <row r="2155" spans="1:2">
      <c r="A2155" t="s">
        <v>25</v>
      </c>
      <c r="B2155">
        <v>0</v>
      </c>
    </row>
    <row r="2156" spans="1:2">
      <c r="A2156" t="s">
        <v>26</v>
      </c>
      <c r="B2156">
        <v>0</v>
      </c>
    </row>
    <row r="2157" spans="1:2">
      <c r="A2157">
        <v>0</v>
      </c>
      <c r="B2157">
        <v>0</v>
      </c>
    </row>
    <row r="2158" spans="1:2">
      <c r="A2158">
        <v>0</v>
      </c>
      <c r="B2158">
        <v>0</v>
      </c>
    </row>
    <row r="2159" spans="1:2">
      <c r="A2159">
        <v>0</v>
      </c>
      <c r="B2159">
        <v>0</v>
      </c>
    </row>
    <row r="2160" spans="1:2">
      <c r="A2160">
        <v>0</v>
      </c>
      <c r="B2160">
        <v>0</v>
      </c>
    </row>
    <row r="2161" spans="1:2">
      <c r="A2161">
        <v>0</v>
      </c>
      <c r="B2161">
        <v>0</v>
      </c>
    </row>
    <row r="2162" spans="1:2">
      <c r="A2162" t="s">
        <v>19</v>
      </c>
      <c r="B2162">
        <v>0</v>
      </c>
    </row>
    <row r="2163" spans="1:2">
      <c r="A2163">
        <v>0</v>
      </c>
      <c r="B2163">
        <v>0</v>
      </c>
    </row>
    <row r="2164" spans="1:2">
      <c r="A2164">
        <v>0</v>
      </c>
      <c r="B2164">
        <v>0</v>
      </c>
    </row>
    <row r="2165" spans="1:2">
      <c r="A2165" t="s">
        <v>19</v>
      </c>
      <c r="B2165">
        <v>0</v>
      </c>
    </row>
    <row r="2166" spans="1:2">
      <c r="A2166">
        <v>0</v>
      </c>
      <c r="B2166">
        <v>0</v>
      </c>
    </row>
    <row r="2167" spans="1:2">
      <c r="A2167">
        <v>0</v>
      </c>
      <c r="B2167">
        <v>267</v>
      </c>
    </row>
    <row r="2168" spans="1:2">
      <c r="A2168">
        <v>0</v>
      </c>
      <c r="B2168">
        <v>63</v>
      </c>
    </row>
    <row r="2169" spans="1:2">
      <c r="A2169">
        <v>0</v>
      </c>
      <c r="B2169">
        <v>90.7</v>
      </c>
    </row>
    <row r="2170" spans="1:2">
      <c r="A2170" t="s">
        <v>26</v>
      </c>
      <c r="B2170">
        <v>82.49</v>
      </c>
    </row>
    <row r="2171" spans="1:2">
      <c r="A2171">
        <v>0</v>
      </c>
      <c r="B2171">
        <v>74.209999999999994</v>
      </c>
    </row>
    <row r="2172" spans="1:2">
      <c r="A2172">
        <v>0</v>
      </c>
      <c r="B2172">
        <v>63.06</v>
      </c>
    </row>
    <row r="2173" spans="1:2">
      <c r="A2173">
        <v>0</v>
      </c>
      <c r="B2173">
        <v>57.95</v>
      </c>
    </row>
    <row r="2174" spans="1:2">
      <c r="A2174">
        <v>0</v>
      </c>
      <c r="B2174">
        <v>57.2</v>
      </c>
    </row>
    <row r="2175" spans="1:2">
      <c r="A2175" t="s">
        <v>25</v>
      </c>
      <c r="B2175">
        <v>48.94</v>
      </c>
    </row>
    <row r="2176" spans="1:2">
      <c r="A2176">
        <v>0</v>
      </c>
      <c r="B2176">
        <v>37.090000000000003</v>
      </c>
    </row>
    <row r="2177" spans="1:2">
      <c r="A2177">
        <v>0</v>
      </c>
      <c r="B2177">
        <v>21.43</v>
      </c>
    </row>
    <row r="2178" spans="1:2">
      <c r="A2178">
        <v>0</v>
      </c>
      <c r="B2178">
        <v>21.14</v>
      </c>
    </row>
    <row r="2179" spans="1:2">
      <c r="A2179">
        <v>0</v>
      </c>
      <c r="B2179">
        <v>17.170000000000002</v>
      </c>
    </row>
    <row r="2180" spans="1:2">
      <c r="A2180" t="s">
        <v>30</v>
      </c>
      <c r="B2180">
        <v>0</v>
      </c>
    </row>
    <row r="2181" spans="1:2">
      <c r="A2181" t="s">
        <v>30</v>
      </c>
      <c r="B2181">
        <v>0</v>
      </c>
    </row>
    <row r="2182" spans="1:2">
      <c r="A2182">
        <v>0</v>
      </c>
      <c r="B2182">
        <v>0</v>
      </c>
    </row>
    <row r="2183" spans="1:2">
      <c r="A2183" t="s">
        <v>31</v>
      </c>
      <c r="B2183">
        <v>0</v>
      </c>
    </row>
    <row r="2184" spans="1:2">
      <c r="A2184" t="s">
        <v>26</v>
      </c>
      <c r="B2184">
        <v>0</v>
      </c>
    </row>
    <row r="2185" spans="1:2">
      <c r="A2185">
        <v>0</v>
      </c>
      <c r="B2185">
        <v>0</v>
      </c>
    </row>
    <row r="2186" spans="1:2">
      <c r="A2186">
        <v>0</v>
      </c>
      <c r="B2186">
        <v>0</v>
      </c>
    </row>
    <row r="2187" spans="1:2">
      <c r="A2187" t="s">
        <v>29</v>
      </c>
      <c r="B2187">
        <v>0</v>
      </c>
    </row>
    <row r="2188" spans="1:2">
      <c r="A2188">
        <v>0</v>
      </c>
      <c r="B2188">
        <v>0</v>
      </c>
    </row>
    <row r="2189" spans="1:2">
      <c r="A2189">
        <v>0</v>
      </c>
      <c r="B2189">
        <v>0</v>
      </c>
    </row>
    <row r="2190" spans="1:2">
      <c r="A2190">
        <v>0</v>
      </c>
      <c r="B2190">
        <v>0</v>
      </c>
    </row>
    <row r="2191" spans="1:2">
      <c r="A2191" t="s">
        <v>19</v>
      </c>
      <c r="B2191">
        <v>0</v>
      </c>
    </row>
    <row r="2192" spans="1:2">
      <c r="A2192">
        <v>0</v>
      </c>
      <c r="B2192">
        <v>0</v>
      </c>
    </row>
    <row r="2193" spans="1:2">
      <c r="A2193" t="s">
        <v>29</v>
      </c>
      <c r="B2193">
        <v>0</v>
      </c>
    </row>
    <row r="2194" spans="1:2">
      <c r="A2194" t="s">
        <v>25</v>
      </c>
      <c r="B2194">
        <v>0</v>
      </c>
    </row>
    <row r="2195" spans="1:2">
      <c r="A2195">
        <v>0</v>
      </c>
      <c r="B2195">
        <v>0</v>
      </c>
    </row>
    <row r="2196" spans="1:2">
      <c r="A2196">
        <v>0</v>
      </c>
      <c r="B2196">
        <v>0</v>
      </c>
    </row>
    <row r="2197" spans="1:2">
      <c r="A2197" t="s">
        <v>28</v>
      </c>
      <c r="B2197">
        <v>0</v>
      </c>
    </row>
    <row r="2198" spans="1:2">
      <c r="A2198">
        <v>0</v>
      </c>
      <c r="B2198">
        <v>0</v>
      </c>
    </row>
    <row r="2199" spans="1:2">
      <c r="A2199" t="s">
        <v>19</v>
      </c>
      <c r="B2199">
        <v>0</v>
      </c>
    </row>
    <row r="2200" spans="1:2">
      <c r="A2200">
        <v>0</v>
      </c>
      <c r="B2200">
        <v>84.43</v>
      </c>
    </row>
    <row r="2201" spans="1:2">
      <c r="A2201">
        <v>0</v>
      </c>
      <c r="B2201">
        <v>73.91</v>
      </c>
    </row>
    <row r="2202" spans="1:2">
      <c r="A2202" t="s">
        <v>31</v>
      </c>
      <c r="B2202">
        <v>53.74</v>
      </c>
    </row>
    <row r="2203" spans="1:2">
      <c r="A2203">
        <v>0</v>
      </c>
      <c r="B2203">
        <v>52.66</v>
      </c>
    </row>
    <row r="2204" spans="1:2">
      <c r="A2204">
        <v>0</v>
      </c>
      <c r="B2204">
        <v>49.92</v>
      </c>
    </row>
    <row r="2205" spans="1:2">
      <c r="A2205">
        <v>0</v>
      </c>
      <c r="B2205">
        <v>41.23</v>
      </c>
    </row>
    <row r="2206" spans="1:2">
      <c r="A2206">
        <v>0</v>
      </c>
      <c r="B2206">
        <v>27.75</v>
      </c>
    </row>
    <row r="2207" spans="1:2">
      <c r="A2207" t="s">
        <v>25</v>
      </c>
      <c r="B2207">
        <v>20.350000000000001</v>
      </c>
    </row>
    <row r="2208" spans="1:2">
      <c r="A2208">
        <v>0</v>
      </c>
      <c r="B2208">
        <v>15.57</v>
      </c>
    </row>
    <row r="2209" spans="1:2">
      <c r="A2209">
        <v>0</v>
      </c>
      <c r="B2209">
        <v>0</v>
      </c>
    </row>
    <row r="2210" spans="1:2">
      <c r="A2210">
        <v>0</v>
      </c>
      <c r="B2210">
        <v>0</v>
      </c>
    </row>
    <row r="2211" spans="1:2">
      <c r="A2211">
        <v>0</v>
      </c>
      <c r="B2211">
        <v>0</v>
      </c>
    </row>
    <row r="2212" spans="1:2">
      <c r="A2212">
        <v>0</v>
      </c>
      <c r="B2212">
        <v>0</v>
      </c>
    </row>
    <row r="2213" spans="1:2">
      <c r="A2213" t="s">
        <v>26</v>
      </c>
      <c r="B2213">
        <v>0</v>
      </c>
    </row>
    <row r="2214" spans="1:2">
      <c r="A2214" t="s">
        <v>29</v>
      </c>
      <c r="B2214">
        <v>0</v>
      </c>
    </row>
    <row r="2215" spans="1:2">
      <c r="A2215" t="s">
        <v>19</v>
      </c>
      <c r="B2215">
        <v>0</v>
      </c>
    </row>
    <row r="2216" spans="1:2">
      <c r="A2216">
        <v>0</v>
      </c>
      <c r="B2216">
        <v>0</v>
      </c>
    </row>
    <row r="2217" spans="1:2">
      <c r="A2217" t="s">
        <v>28</v>
      </c>
      <c r="B2217">
        <v>0</v>
      </c>
    </row>
    <row r="2218" spans="1:2">
      <c r="A2218" t="s">
        <v>28</v>
      </c>
      <c r="B2218">
        <v>0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0</v>
      </c>
      <c r="B2221">
        <v>0</v>
      </c>
    </row>
    <row r="2222" spans="1:2">
      <c r="A2222" t="s">
        <v>31</v>
      </c>
      <c r="B2222">
        <v>0</v>
      </c>
    </row>
    <row r="2223" spans="1:2">
      <c r="A2223">
        <v>0</v>
      </c>
      <c r="B2223">
        <v>0</v>
      </c>
    </row>
    <row r="2224" spans="1:2">
      <c r="A2224">
        <v>0</v>
      </c>
      <c r="B2224">
        <v>0</v>
      </c>
    </row>
    <row r="2225" spans="1:2">
      <c r="A2225">
        <v>0</v>
      </c>
      <c r="B2225">
        <v>0</v>
      </c>
    </row>
    <row r="2226" spans="1:2">
      <c r="A2226">
        <v>0</v>
      </c>
      <c r="B2226">
        <v>0</v>
      </c>
    </row>
    <row r="2227" spans="1:2">
      <c r="A2227">
        <v>0</v>
      </c>
      <c r="B2227">
        <v>0</v>
      </c>
    </row>
    <row r="2228" spans="1:2">
      <c r="A2228">
        <v>0</v>
      </c>
      <c r="B2228">
        <v>0</v>
      </c>
    </row>
    <row r="2229" spans="1:2">
      <c r="A2229">
        <v>0</v>
      </c>
      <c r="B2229">
        <v>0</v>
      </c>
    </row>
    <row r="2230" spans="1:2">
      <c r="A2230" t="s">
        <v>28</v>
      </c>
      <c r="B2230">
        <v>0</v>
      </c>
    </row>
    <row r="2231" spans="1:2">
      <c r="A2231">
        <v>0</v>
      </c>
      <c r="B2231">
        <v>554</v>
      </c>
    </row>
    <row r="2232" spans="1:2">
      <c r="A2232">
        <v>0</v>
      </c>
      <c r="B2232">
        <v>51</v>
      </c>
    </row>
    <row r="2233" spans="1:2">
      <c r="A2233">
        <v>0</v>
      </c>
      <c r="B2233">
        <v>552</v>
      </c>
    </row>
    <row r="2234" spans="1:2">
      <c r="A2234">
        <v>0</v>
      </c>
      <c r="B2234">
        <v>91</v>
      </c>
    </row>
    <row r="2235" spans="1:2">
      <c r="A2235">
        <v>0</v>
      </c>
      <c r="B2235">
        <v>166.98</v>
      </c>
    </row>
    <row r="2236" spans="1:2">
      <c r="A2236">
        <v>0</v>
      </c>
      <c r="B2236">
        <v>125.45</v>
      </c>
    </row>
    <row r="2237" spans="1:2">
      <c r="A2237">
        <v>0</v>
      </c>
      <c r="B2237">
        <v>87.55</v>
      </c>
    </row>
    <row r="2238" spans="1:2">
      <c r="A2238">
        <v>0</v>
      </c>
      <c r="B2238">
        <v>73.19</v>
      </c>
    </row>
    <row r="2239" spans="1:2">
      <c r="A2239">
        <v>0</v>
      </c>
      <c r="B2239">
        <v>71.25</v>
      </c>
    </row>
    <row r="2240" spans="1:2">
      <c r="A2240">
        <v>0</v>
      </c>
      <c r="B2240">
        <v>52.25</v>
      </c>
    </row>
    <row r="2241" spans="1:2">
      <c r="A2241">
        <v>0</v>
      </c>
      <c r="B2241">
        <v>49.01</v>
      </c>
    </row>
    <row r="2242" spans="1:2">
      <c r="A2242" t="s">
        <v>29</v>
      </c>
      <c r="B2242">
        <v>37.54</v>
      </c>
    </row>
    <row r="2243" spans="1:2">
      <c r="A2243">
        <v>0</v>
      </c>
      <c r="B2243">
        <v>34.14</v>
      </c>
    </row>
    <row r="2244" spans="1:2">
      <c r="A2244">
        <v>0</v>
      </c>
      <c r="B2244">
        <v>31.13</v>
      </c>
    </row>
    <row r="2245" spans="1:2">
      <c r="A2245" t="s">
        <v>29</v>
      </c>
      <c r="B2245">
        <v>29.49</v>
      </c>
    </row>
    <row r="2246" spans="1:2">
      <c r="A2246">
        <v>0</v>
      </c>
      <c r="B2246">
        <v>28.25</v>
      </c>
    </row>
    <row r="2247" spans="1:2">
      <c r="A2247">
        <v>0</v>
      </c>
      <c r="B2247">
        <v>20.94</v>
      </c>
    </row>
    <row r="2248" spans="1:2">
      <c r="A2248" t="s">
        <v>30</v>
      </c>
      <c r="B2248">
        <v>18.420000000000002</v>
      </c>
    </row>
    <row r="2249" spans="1:2">
      <c r="A2249">
        <v>0</v>
      </c>
      <c r="B2249">
        <v>15.94</v>
      </c>
    </row>
    <row r="2250" spans="1:2">
      <c r="A2250" t="s">
        <v>25</v>
      </c>
      <c r="B2250">
        <v>0</v>
      </c>
    </row>
    <row r="2251" spans="1:2">
      <c r="A2251">
        <v>0</v>
      </c>
      <c r="B2251">
        <v>0</v>
      </c>
    </row>
    <row r="2252" spans="1:2">
      <c r="A2252">
        <v>0</v>
      </c>
      <c r="B2252">
        <v>0</v>
      </c>
    </row>
    <row r="2253" spans="1:2">
      <c r="A2253">
        <v>0</v>
      </c>
      <c r="B2253">
        <v>0</v>
      </c>
    </row>
    <row r="2254" spans="1:2">
      <c r="A2254">
        <v>0</v>
      </c>
      <c r="B2254">
        <v>0</v>
      </c>
    </row>
    <row r="2255" spans="1:2">
      <c r="A2255">
        <v>0</v>
      </c>
      <c r="B2255">
        <v>0</v>
      </c>
    </row>
    <row r="2256" spans="1:2">
      <c r="A2256">
        <v>0</v>
      </c>
      <c r="B2256">
        <v>0</v>
      </c>
    </row>
    <row r="2257" spans="1:2">
      <c r="A2257">
        <v>0</v>
      </c>
      <c r="B2257">
        <v>0</v>
      </c>
    </row>
    <row r="2258" spans="1:2">
      <c r="A2258" t="s">
        <v>19</v>
      </c>
      <c r="B2258">
        <v>0</v>
      </c>
    </row>
    <row r="2259" spans="1:2">
      <c r="A2259" t="s">
        <v>28</v>
      </c>
      <c r="B2259">
        <v>0</v>
      </c>
    </row>
    <row r="2260" spans="1:2">
      <c r="A2260">
        <v>0</v>
      </c>
      <c r="B2260">
        <v>0</v>
      </c>
    </row>
    <row r="2261" spans="1:2">
      <c r="A2261">
        <v>0</v>
      </c>
      <c r="B2261">
        <v>0</v>
      </c>
    </row>
    <row r="2262" spans="1:2">
      <c r="A2262">
        <v>0</v>
      </c>
      <c r="B2262">
        <v>0</v>
      </c>
    </row>
    <row r="2263" spans="1:2">
      <c r="A2263">
        <v>0</v>
      </c>
      <c r="B2263">
        <v>437</v>
      </c>
    </row>
    <row r="2264" spans="1:2">
      <c r="A2264">
        <v>0</v>
      </c>
      <c r="B2264">
        <v>123.9</v>
      </c>
    </row>
    <row r="2265" spans="1:2">
      <c r="A2265">
        <v>0</v>
      </c>
      <c r="B2265">
        <v>40.81</v>
      </c>
    </row>
    <row r="2266" spans="1:2">
      <c r="A2266">
        <v>0</v>
      </c>
      <c r="B2266">
        <v>40.1</v>
      </c>
    </row>
    <row r="2267" spans="1:2">
      <c r="A2267">
        <v>0</v>
      </c>
      <c r="B2267">
        <v>38.47</v>
      </c>
    </row>
    <row r="2268" spans="1:2">
      <c r="A2268">
        <v>0</v>
      </c>
      <c r="B2268">
        <v>16.77</v>
      </c>
    </row>
    <row r="2269" spans="1:2">
      <c r="A2269">
        <v>0</v>
      </c>
      <c r="B2269">
        <v>0</v>
      </c>
    </row>
    <row r="2270" spans="1:2">
      <c r="A2270" t="s">
        <v>28</v>
      </c>
      <c r="B2270">
        <v>0</v>
      </c>
    </row>
    <row r="2271" spans="1:2">
      <c r="A2271">
        <v>0</v>
      </c>
      <c r="B2271">
        <v>0</v>
      </c>
    </row>
    <row r="2272" spans="1:2">
      <c r="A2272">
        <v>0</v>
      </c>
      <c r="B2272">
        <v>0</v>
      </c>
    </row>
    <row r="2273" spans="1:2">
      <c r="A2273" t="s">
        <v>19</v>
      </c>
      <c r="B2273">
        <v>0</v>
      </c>
    </row>
    <row r="2274" spans="1:2">
      <c r="A2274">
        <v>0</v>
      </c>
      <c r="B2274">
        <v>0</v>
      </c>
    </row>
    <row r="2275" spans="1:2">
      <c r="A2275">
        <v>0</v>
      </c>
      <c r="B2275">
        <v>0</v>
      </c>
    </row>
    <row r="2276" spans="1:2">
      <c r="A2276">
        <v>0</v>
      </c>
      <c r="B2276">
        <v>0</v>
      </c>
    </row>
    <row r="2277" spans="1:2">
      <c r="A2277">
        <v>0</v>
      </c>
      <c r="B2277">
        <v>0</v>
      </c>
    </row>
    <row r="2278" spans="1:2">
      <c r="A2278">
        <v>0</v>
      </c>
      <c r="B2278">
        <v>0</v>
      </c>
    </row>
    <row r="2279" spans="1:2">
      <c r="A2279">
        <v>0</v>
      </c>
      <c r="B2279">
        <v>0</v>
      </c>
    </row>
    <row r="2280" spans="1:2">
      <c r="A2280">
        <v>0</v>
      </c>
      <c r="B2280">
        <v>0</v>
      </c>
    </row>
    <row r="2281" spans="1:2">
      <c r="A2281">
        <v>0</v>
      </c>
      <c r="B2281">
        <v>0</v>
      </c>
    </row>
    <row r="2282" spans="1:2">
      <c r="A2282">
        <v>0</v>
      </c>
      <c r="B2282">
        <v>0</v>
      </c>
    </row>
    <row r="2283" spans="1:2">
      <c r="A2283">
        <v>0</v>
      </c>
      <c r="B2283">
        <v>0</v>
      </c>
    </row>
    <row r="2284" spans="1:2">
      <c r="A2284">
        <v>0</v>
      </c>
      <c r="B2284">
        <v>0</v>
      </c>
    </row>
    <row r="2285" spans="1:2">
      <c r="A2285" t="s">
        <v>28</v>
      </c>
      <c r="B2285">
        <v>0</v>
      </c>
    </row>
    <row r="2286" spans="1:2">
      <c r="A2286">
        <v>0</v>
      </c>
      <c r="B2286">
        <v>0</v>
      </c>
    </row>
    <row r="2287" spans="1:2">
      <c r="A2287">
        <v>0</v>
      </c>
      <c r="B2287">
        <v>0</v>
      </c>
    </row>
    <row r="2288" spans="1:2">
      <c r="A2288">
        <v>0</v>
      </c>
      <c r="B2288">
        <v>0</v>
      </c>
    </row>
    <row r="2289" spans="1:2">
      <c r="A2289">
        <v>0</v>
      </c>
      <c r="B2289">
        <v>0</v>
      </c>
    </row>
    <row r="2290" spans="1:2">
      <c r="A2290">
        <v>0</v>
      </c>
      <c r="B2290">
        <v>0</v>
      </c>
    </row>
    <row r="2291" spans="1:2">
      <c r="A2291">
        <v>0</v>
      </c>
      <c r="B2291">
        <v>0</v>
      </c>
    </row>
    <row r="2292" spans="1:2">
      <c r="A2292" t="s">
        <v>30</v>
      </c>
      <c r="B2292">
        <v>411</v>
      </c>
    </row>
    <row r="2293" spans="1:2">
      <c r="A2293">
        <v>0</v>
      </c>
      <c r="B2293">
        <v>415</v>
      </c>
    </row>
    <row r="2294" spans="1:2">
      <c r="A2294">
        <v>0</v>
      </c>
      <c r="B2294">
        <v>151.07</v>
      </c>
    </row>
    <row r="2295" spans="1:2">
      <c r="A2295">
        <v>0</v>
      </c>
      <c r="B2295">
        <v>115.6</v>
      </c>
    </row>
    <row r="2296" spans="1:2">
      <c r="A2296">
        <v>0</v>
      </c>
      <c r="B2296">
        <v>57.98</v>
      </c>
    </row>
    <row r="2297" spans="1:2">
      <c r="A2297">
        <v>0</v>
      </c>
      <c r="B2297">
        <v>33.03</v>
      </c>
    </row>
    <row r="2298" spans="1:2">
      <c r="A2298">
        <v>0</v>
      </c>
      <c r="B2298">
        <v>32.909999999999997</v>
      </c>
    </row>
    <row r="2299" spans="1:2">
      <c r="A2299">
        <v>0</v>
      </c>
      <c r="B2299">
        <v>26.89</v>
      </c>
    </row>
    <row r="2300" spans="1:2">
      <c r="A2300" t="s">
        <v>26</v>
      </c>
      <c r="B2300">
        <v>25.17</v>
      </c>
    </row>
    <row r="2301" spans="1:2">
      <c r="A2301">
        <v>0</v>
      </c>
      <c r="B2301">
        <v>0</v>
      </c>
    </row>
    <row r="2302" spans="1:2">
      <c r="A2302">
        <v>0</v>
      </c>
      <c r="B2302">
        <v>0</v>
      </c>
    </row>
    <row r="2303" spans="1:2">
      <c r="A2303">
        <v>0</v>
      </c>
      <c r="B2303">
        <v>0</v>
      </c>
    </row>
    <row r="2304" spans="1:2">
      <c r="A2304">
        <v>0</v>
      </c>
      <c r="B2304">
        <v>0</v>
      </c>
    </row>
    <row r="2305" spans="1:2">
      <c r="A2305" t="s">
        <v>30</v>
      </c>
      <c r="B2305">
        <v>0</v>
      </c>
    </row>
    <row r="2306" spans="1:2">
      <c r="A2306">
        <v>0</v>
      </c>
      <c r="B2306">
        <v>0</v>
      </c>
    </row>
    <row r="2307" spans="1:2">
      <c r="A2307">
        <v>0</v>
      </c>
      <c r="B2307">
        <v>0</v>
      </c>
    </row>
    <row r="2308" spans="1:2">
      <c r="A2308" t="s">
        <v>25</v>
      </c>
      <c r="B2308">
        <v>0</v>
      </c>
    </row>
    <row r="2309" spans="1:2">
      <c r="A2309">
        <v>0</v>
      </c>
      <c r="B2309">
        <v>0</v>
      </c>
    </row>
    <row r="2310" spans="1:2">
      <c r="A2310">
        <v>0</v>
      </c>
      <c r="B2310">
        <v>0</v>
      </c>
    </row>
    <row r="2311" spans="1:2">
      <c r="A2311" t="s">
        <v>31</v>
      </c>
      <c r="B2311">
        <v>0</v>
      </c>
    </row>
    <row r="2312" spans="1:2">
      <c r="A2312">
        <v>0</v>
      </c>
      <c r="B2312">
        <v>0</v>
      </c>
    </row>
    <row r="2313" spans="1:2">
      <c r="A2313" t="s">
        <v>31</v>
      </c>
      <c r="B2313">
        <v>0</v>
      </c>
    </row>
    <row r="2314" spans="1:2">
      <c r="A2314">
        <v>0</v>
      </c>
      <c r="B2314">
        <v>0</v>
      </c>
    </row>
    <row r="2315" spans="1:2">
      <c r="A2315">
        <v>0</v>
      </c>
      <c r="B2315">
        <v>0</v>
      </c>
    </row>
    <row r="2316" spans="1:2">
      <c r="A2316">
        <v>0</v>
      </c>
      <c r="B2316">
        <v>0</v>
      </c>
    </row>
    <row r="2317" spans="1:2">
      <c r="A2317">
        <v>0</v>
      </c>
      <c r="B2317">
        <v>0</v>
      </c>
    </row>
    <row r="2318" spans="1:2">
      <c r="A2318" t="s">
        <v>26</v>
      </c>
      <c r="B2318">
        <v>106</v>
      </c>
    </row>
    <row r="2319" spans="1:2">
      <c r="A2319" t="s">
        <v>19</v>
      </c>
      <c r="B2319">
        <v>86.8</v>
      </c>
    </row>
    <row r="2320" spans="1:2">
      <c r="A2320">
        <v>0</v>
      </c>
      <c r="B2320">
        <v>56.5</v>
      </c>
    </row>
    <row r="2321" spans="1:2">
      <c r="A2321">
        <v>0</v>
      </c>
      <c r="B2321">
        <v>38.32</v>
      </c>
    </row>
    <row r="2322" spans="1:2">
      <c r="A2322">
        <v>0</v>
      </c>
      <c r="B2322">
        <v>33.53</v>
      </c>
    </row>
    <row r="2323" spans="1:2">
      <c r="A2323" t="s">
        <v>31</v>
      </c>
      <c r="B2323">
        <v>32.200000000000003</v>
      </c>
    </row>
    <row r="2324" spans="1:2">
      <c r="A2324" t="s">
        <v>30</v>
      </c>
      <c r="B2324">
        <v>29.72</v>
      </c>
    </row>
    <row r="2325" spans="1:2">
      <c r="A2325">
        <v>0</v>
      </c>
      <c r="B2325">
        <v>13.27</v>
      </c>
    </row>
    <row r="2326" spans="1:2">
      <c r="A2326">
        <v>0</v>
      </c>
      <c r="B2326">
        <v>0</v>
      </c>
    </row>
    <row r="2327" spans="1:2">
      <c r="A2327">
        <v>0</v>
      </c>
      <c r="B2327">
        <v>0</v>
      </c>
    </row>
    <row r="2328" spans="1:2">
      <c r="A2328">
        <v>0</v>
      </c>
      <c r="B2328">
        <v>0</v>
      </c>
    </row>
    <row r="2329" spans="1:2">
      <c r="A2329">
        <v>0</v>
      </c>
      <c r="B2329">
        <v>0</v>
      </c>
    </row>
    <row r="2330" spans="1:2">
      <c r="A2330">
        <v>0</v>
      </c>
      <c r="B2330">
        <v>0</v>
      </c>
    </row>
    <row r="2331" spans="1:2">
      <c r="A2331">
        <v>0</v>
      </c>
      <c r="B2331">
        <v>0</v>
      </c>
    </row>
    <row r="2332" spans="1:2">
      <c r="A2332">
        <v>0</v>
      </c>
      <c r="B2332">
        <v>0</v>
      </c>
    </row>
    <row r="2333" spans="1:2">
      <c r="A2333">
        <v>0</v>
      </c>
      <c r="B2333">
        <v>0</v>
      </c>
    </row>
    <row r="2334" spans="1:2">
      <c r="A2334">
        <v>0</v>
      </c>
      <c r="B2334">
        <v>0</v>
      </c>
    </row>
    <row r="2335" spans="1:2">
      <c r="A2335">
        <v>0</v>
      </c>
      <c r="B2335">
        <v>0</v>
      </c>
    </row>
    <row r="2336" spans="1:2">
      <c r="A2336" t="s">
        <v>28</v>
      </c>
      <c r="B2336">
        <v>0</v>
      </c>
    </row>
    <row r="2337" spans="1:2">
      <c r="A2337">
        <v>0</v>
      </c>
      <c r="B2337">
        <v>0</v>
      </c>
    </row>
    <row r="2338" spans="1:2">
      <c r="A2338">
        <v>0</v>
      </c>
      <c r="B2338">
        <v>0</v>
      </c>
    </row>
    <row r="2339" spans="1:2">
      <c r="A2339" t="s">
        <v>26</v>
      </c>
      <c r="B2339">
        <v>0</v>
      </c>
    </row>
    <row r="2340" spans="1:2">
      <c r="A2340">
        <v>0</v>
      </c>
      <c r="B2340">
        <v>150.36000000000001</v>
      </c>
    </row>
    <row r="2341" spans="1:2">
      <c r="A2341">
        <v>0</v>
      </c>
      <c r="B2341">
        <v>91.12</v>
      </c>
    </row>
    <row r="2342" spans="1:2">
      <c r="A2342">
        <v>0</v>
      </c>
      <c r="B2342">
        <v>53.19</v>
      </c>
    </row>
    <row r="2343" spans="1:2">
      <c r="A2343">
        <v>0</v>
      </c>
      <c r="B2343">
        <v>44.45</v>
      </c>
    </row>
    <row r="2344" spans="1:2">
      <c r="A2344">
        <v>0</v>
      </c>
      <c r="B2344">
        <v>33.94</v>
      </c>
    </row>
    <row r="2345" spans="1:2">
      <c r="A2345" t="s">
        <v>28</v>
      </c>
      <c r="B2345">
        <v>25.97</v>
      </c>
    </row>
    <row r="2346" spans="1:2">
      <c r="A2346">
        <v>0</v>
      </c>
      <c r="B2346">
        <v>0</v>
      </c>
    </row>
    <row r="2347" spans="1:2">
      <c r="A2347" t="s">
        <v>31</v>
      </c>
      <c r="B2347">
        <v>0</v>
      </c>
    </row>
    <row r="2348" spans="1:2">
      <c r="A2348">
        <v>0</v>
      </c>
      <c r="B2348">
        <v>0</v>
      </c>
    </row>
    <row r="2349" spans="1:2">
      <c r="A2349">
        <v>0</v>
      </c>
      <c r="B2349">
        <v>0</v>
      </c>
    </row>
    <row r="2350" spans="1:2">
      <c r="A2350" t="s">
        <v>25</v>
      </c>
      <c r="B2350">
        <v>0</v>
      </c>
    </row>
    <row r="2351" spans="1:2">
      <c r="A2351">
        <v>0</v>
      </c>
      <c r="B2351">
        <v>0</v>
      </c>
    </row>
    <row r="2352" spans="1:2">
      <c r="A2352">
        <v>0</v>
      </c>
      <c r="B2352">
        <v>0</v>
      </c>
    </row>
    <row r="2353" spans="1:2">
      <c r="A2353">
        <v>0</v>
      </c>
      <c r="B2353">
        <v>0</v>
      </c>
    </row>
    <row r="2354" spans="1:2">
      <c r="A2354" t="s">
        <v>19</v>
      </c>
      <c r="B2354">
        <v>0</v>
      </c>
    </row>
    <row r="2355" spans="1:2">
      <c r="A2355">
        <v>0</v>
      </c>
      <c r="B2355">
        <v>0</v>
      </c>
    </row>
    <row r="2356" spans="1:2">
      <c r="A2356" t="s">
        <v>25</v>
      </c>
      <c r="B2356">
        <v>0</v>
      </c>
    </row>
    <row r="2357" spans="1:2">
      <c r="A2357">
        <v>0</v>
      </c>
      <c r="B2357">
        <v>0</v>
      </c>
    </row>
    <row r="2358" spans="1:2">
      <c r="A2358" t="s">
        <v>31</v>
      </c>
      <c r="B2358">
        <v>270</v>
      </c>
    </row>
    <row r="2359" spans="1:2">
      <c r="A2359">
        <v>0</v>
      </c>
      <c r="B2359">
        <v>426</v>
      </c>
    </row>
    <row r="2360" spans="1:2">
      <c r="A2360" t="s">
        <v>28</v>
      </c>
      <c r="B2360">
        <v>436</v>
      </c>
    </row>
    <row r="2361" spans="1:2">
      <c r="A2361">
        <v>0</v>
      </c>
      <c r="B2361">
        <v>428</v>
      </c>
    </row>
    <row r="2362" spans="1:2">
      <c r="A2362" t="s">
        <v>25</v>
      </c>
      <c r="B2362">
        <v>182.51</v>
      </c>
    </row>
    <row r="2363" spans="1:2">
      <c r="A2363">
        <v>0</v>
      </c>
      <c r="B2363">
        <v>77.900000000000006</v>
      </c>
    </row>
    <row r="2364" spans="1:2">
      <c r="A2364">
        <v>0</v>
      </c>
      <c r="B2364">
        <v>67.349999999999994</v>
      </c>
    </row>
    <row r="2365" spans="1:2">
      <c r="A2365">
        <v>0</v>
      </c>
      <c r="B2365">
        <v>47.32</v>
      </c>
    </row>
    <row r="2366" spans="1:2">
      <c r="A2366" t="s">
        <v>19</v>
      </c>
      <c r="B2366">
        <v>43.2</v>
      </c>
    </row>
    <row r="2367" spans="1:2">
      <c r="A2367" t="s">
        <v>31</v>
      </c>
      <c r="B2367">
        <v>41.72</v>
      </c>
    </row>
    <row r="2368" spans="1:2">
      <c r="A2368" t="s">
        <v>30</v>
      </c>
      <c r="B2368">
        <v>31</v>
      </c>
    </row>
    <row r="2369" spans="1:2">
      <c r="A2369">
        <v>0</v>
      </c>
      <c r="B2369">
        <v>26.88</v>
      </c>
    </row>
    <row r="2370" spans="1:2">
      <c r="A2370" t="s">
        <v>29</v>
      </c>
      <c r="B2370">
        <v>0</v>
      </c>
    </row>
    <row r="2371" spans="1:2">
      <c r="A2371">
        <v>0</v>
      </c>
      <c r="B2371">
        <v>0</v>
      </c>
    </row>
    <row r="2372" spans="1:2">
      <c r="A2372">
        <v>0</v>
      </c>
      <c r="B2372">
        <v>0</v>
      </c>
    </row>
    <row r="2373" spans="1:2">
      <c r="A2373">
        <v>0</v>
      </c>
      <c r="B2373">
        <v>0</v>
      </c>
    </row>
    <row r="2374" spans="1:2">
      <c r="A2374">
        <v>0</v>
      </c>
      <c r="B2374">
        <v>0</v>
      </c>
    </row>
    <row r="2375" spans="1:2">
      <c r="A2375">
        <v>0</v>
      </c>
      <c r="B2375">
        <v>0</v>
      </c>
    </row>
    <row r="2376" spans="1:2">
      <c r="A2376">
        <v>0</v>
      </c>
      <c r="B2376">
        <v>0</v>
      </c>
    </row>
    <row r="2377" spans="1:2">
      <c r="A2377">
        <v>0</v>
      </c>
      <c r="B2377">
        <v>0</v>
      </c>
    </row>
    <row r="2378" spans="1:2">
      <c r="A2378">
        <v>0</v>
      </c>
      <c r="B2378">
        <v>0</v>
      </c>
    </row>
    <row r="2379" spans="1:2">
      <c r="A2379">
        <v>0</v>
      </c>
      <c r="B2379">
        <v>0</v>
      </c>
    </row>
    <row r="2380" spans="1:2">
      <c r="A2380" t="s">
        <v>19</v>
      </c>
      <c r="B2380">
        <v>0</v>
      </c>
    </row>
    <row r="2381" spans="1:2">
      <c r="A2381">
        <v>0</v>
      </c>
      <c r="B2381">
        <v>0</v>
      </c>
    </row>
    <row r="2382" spans="1:2">
      <c r="A2382">
        <v>0</v>
      </c>
      <c r="B2382">
        <v>0</v>
      </c>
    </row>
    <row r="2383" spans="1:2">
      <c r="A2383">
        <v>0</v>
      </c>
      <c r="B2383">
        <v>0</v>
      </c>
    </row>
    <row r="2384" spans="1:2">
      <c r="A2384">
        <v>0</v>
      </c>
      <c r="B2384">
        <v>0</v>
      </c>
    </row>
    <row r="2385" spans="1:2">
      <c r="A2385" t="s">
        <v>19</v>
      </c>
      <c r="B2385">
        <v>0</v>
      </c>
    </row>
    <row r="2386" spans="1:2">
      <c r="A2386">
        <v>0</v>
      </c>
      <c r="B2386">
        <v>0</v>
      </c>
    </row>
    <row r="2387" spans="1:2">
      <c r="A2387">
        <v>0</v>
      </c>
      <c r="B2387">
        <v>0</v>
      </c>
    </row>
    <row r="2388" spans="1:2">
      <c r="A2388" t="s">
        <v>29</v>
      </c>
      <c r="B2388">
        <v>0</v>
      </c>
    </row>
    <row r="2389" spans="1:2">
      <c r="A2389">
        <v>0</v>
      </c>
      <c r="B2389">
        <v>0</v>
      </c>
    </row>
    <row r="2390" spans="1:2">
      <c r="A2390">
        <v>0</v>
      </c>
      <c r="B2390">
        <v>351</v>
      </c>
    </row>
    <row r="2391" spans="1:2">
      <c r="A2391" t="s">
        <v>26</v>
      </c>
      <c r="B2391">
        <v>395</v>
      </c>
    </row>
    <row r="2392" spans="1:2">
      <c r="A2392">
        <v>0</v>
      </c>
      <c r="B2392">
        <v>89.51</v>
      </c>
    </row>
    <row r="2393" spans="1:2">
      <c r="A2393" t="s">
        <v>19</v>
      </c>
      <c r="B2393">
        <v>75.14</v>
      </c>
    </row>
    <row r="2394" spans="1:2">
      <c r="A2394" t="s">
        <v>19</v>
      </c>
      <c r="B2394">
        <v>62.19</v>
      </c>
    </row>
    <row r="2395" spans="1:2">
      <c r="A2395">
        <v>0</v>
      </c>
      <c r="B2395">
        <v>48.05</v>
      </c>
    </row>
    <row r="2396" spans="1:2">
      <c r="A2396">
        <v>0</v>
      </c>
      <c r="B2396">
        <v>36.53</v>
      </c>
    </row>
    <row r="2397" spans="1:2">
      <c r="A2397" t="s">
        <v>26</v>
      </c>
      <c r="B2397">
        <v>20.239999999999998</v>
      </c>
    </row>
    <row r="2398" spans="1:2">
      <c r="A2398">
        <v>0</v>
      </c>
      <c r="B2398">
        <v>0</v>
      </c>
    </row>
    <row r="2399" spans="1:2">
      <c r="A2399">
        <v>0</v>
      </c>
      <c r="B2399">
        <v>0</v>
      </c>
    </row>
    <row r="2400" spans="1:2">
      <c r="A2400" t="s">
        <v>26</v>
      </c>
      <c r="B2400">
        <v>0</v>
      </c>
    </row>
    <row r="2401" spans="1:2">
      <c r="A2401">
        <v>0</v>
      </c>
      <c r="B2401">
        <v>0</v>
      </c>
    </row>
    <row r="2402" spans="1:2">
      <c r="A2402" t="s">
        <v>28</v>
      </c>
      <c r="B2402">
        <v>0</v>
      </c>
    </row>
    <row r="2403" spans="1:2">
      <c r="A2403">
        <v>0</v>
      </c>
      <c r="B2403">
        <v>0</v>
      </c>
    </row>
    <row r="2404" spans="1:2">
      <c r="A2404">
        <v>0</v>
      </c>
      <c r="B2404">
        <v>0</v>
      </c>
    </row>
    <row r="2405" spans="1:2">
      <c r="A2405">
        <v>0</v>
      </c>
      <c r="B2405">
        <v>0</v>
      </c>
    </row>
    <row r="2406" spans="1:2">
      <c r="A2406" t="s">
        <v>30</v>
      </c>
      <c r="B2406">
        <v>0</v>
      </c>
    </row>
    <row r="2407" spans="1:2">
      <c r="A2407" t="s">
        <v>25</v>
      </c>
      <c r="B2407">
        <v>0</v>
      </c>
    </row>
    <row r="2408" spans="1:2">
      <c r="A2408">
        <v>0</v>
      </c>
      <c r="B2408">
        <v>0</v>
      </c>
    </row>
    <row r="2409" spans="1:2">
      <c r="A2409">
        <v>0</v>
      </c>
      <c r="B2409">
        <v>0</v>
      </c>
    </row>
    <row r="2410" spans="1:2">
      <c r="A2410">
        <v>0</v>
      </c>
      <c r="B2410">
        <v>0</v>
      </c>
    </row>
    <row r="2411" spans="1:2">
      <c r="A2411">
        <v>0</v>
      </c>
      <c r="B2411">
        <v>0</v>
      </c>
    </row>
    <row r="2412" spans="1:2">
      <c r="A2412">
        <v>0</v>
      </c>
      <c r="B2412">
        <v>0</v>
      </c>
    </row>
    <row r="2413" spans="1:2">
      <c r="A2413">
        <v>0</v>
      </c>
      <c r="B2413">
        <v>401</v>
      </c>
    </row>
    <row r="2414" spans="1:2">
      <c r="A2414">
        <v>0</v>
      </c>
      <c r="B2414">
        <v>399</v>
      </c>
    </row>
    <row r="2415" spans="1:2">
      <c r="A2415" t="s">
        <v>28</v>
      </c>
      <c r="B2415">
        <v>225</v>
      </c>
    </row>
    <row r="2416" spans="1:2">
      <c r="A2416">
        <v>0</v>
      </c>
      <c r="B2416">
        <v>175.24</v>
      </c>
    </row>
    <row r="2417" spans="1:2">
      <c r="A2417">
        <v>0</v>
      </c>
      <c r="B2417">
        <v>163.69999999999999</v>
      </c>
    </row>
    <row r="2418" spans="1:2">
      <c r="A2418">
        <v>0</v>
      </c>
      <c r="B2418">
        <v>80.739999999999995</v>
      </c>
    </row>
    <row r="2419" spans="1:2">
      <c r="A2419">
        <v>0</v>
      </c>
      <c r="B2419">
        <v>69.7</v>
      </c>
    </row>
    <row r="2420" spans="1:2">
      <c r="A2420">
        <v>0</v>
      </c>
      <c r="B2420">
        <v>41.08</v>
      </c>
    </row>
    <row r="2421" spans="1:2">
      <c r="A2421" t="s">
        <v>30</v>
      </c>
      <c r="B2421">
        <v>37.57</v>
      </c>
    </row>
    <row r="2422" spans="1:2">
      <c r="A2422">
        <v>0</v>
      </c>
      <c r="B2422">
        <v>37.130000000000003</v>
      </c>
    </row>
    <row r="2423" spans="1:2">
      <c r="A2423">
        <v>0</v>
      </c>
      <c r="B2423">
        <v>31.94</v>
      </c>
    </row>
    <row r="2424" spans="1:2">
      <c r="A2424" t="s">
        <v>19</v>
      </c>
      <c r="B2424">
        <v>26.22</v>
      </c>
    </row>
    <row r="2425" spans="1:2">
      <c r="A2425">
        <v>0</v>
      </c>
      <c r="B2425">
        <v>24.45</v>
      </c>
    </row>
    <row r="2426" spans="1:2">
      <c r="A2426">
        <v>0</v>
      </c>
      <c r="B2426">
        <v>16.54</v>
      </c>
    </row>
    <row r="2427" spans="1:2">
      <c r="A2427">
        <v>0</v>
      </c>
      <c r="B2427">
        <v>0</v>
      </c>
    </row>
    <row r="2428" spans="1:2">
      <c r="A2428">
        <v>0</v>
      </c>
      <c r="B2428">
        <v>0</v>
      </c>
    </row>
    <row r="2429" spans="1:2">
      <c r="A2429" t="s">
        <v>25</v>
      </c>
      <c r="B2429">
        <v>0</v>
      </c>
    </row>
    <row r="2430" spans="1:2">
      <c r="A2430">
        <v>0</v>
      </c>
      <c r="B2430">
        <v>0</v>
      </c>
    </row>
    <row r="2431" spans="1:2">
      <c r="A2431" t="s">
        <v>26</v>
      </c>
      <c r="B2431">
        <v>0</v>
      </c>
    </row>
    <row r="2432" spans="1:2">
      <c r="A2432">
        <v>0</v>
      </c>
      <c r="B2432">
        <v>0</v>
      </c>
    </row>
    <row r="2433" spans="1:2">
      <c r="A2433" t="s">
        <v>26</v>
      </c>
      <c r="B2433">
        <v>0</v>
      </c>
    </row>
    <row r="2434" spans="1:2">
      <c r="A2434" t="s">
        <v>31</v>
      </c>
      <c r="B2434">
        <v>0</v>
      </c>
    </row>
    <row r="2435" spans="1:2">
      <c r="A2435" t="s">
        <v>25</v>
      </c>
      <c r="B2435">
        <v>0</v>
      </c>
    </row>
    <row r="2436" spans="1:2">
      <c r="A2436">
        <v>0</v>
      </c>
      <c r="B2436">
        <v>0</v>
      </c>
    </row>
    <row r="2437" spans="1:2">
      <c r="A2437">
        <v>0</v>
      </c>
      <c r="B2437">
        <v>0</v>
      </c>
    </row>
    <row r="2438" spans="1:2">
      <c r="A2438" t="s">
        <v>26</v>
      </c>
      <c r="B2438">
        <v>0</v>
      </c>
    </row>
    <row r="2439" spans="1:2">
      <c r="A2439">
        <v>0</v>
      </c>
      <c r="B2439">
        <v>0</v>
      </c>
    </row>
    <row r="2440" spans="1:2">
      <c r="A2440" t="s">
        <v>25</v>
      </c>
      <c r="B2440">
        <v>0</v>
      </c>
    </row>
    <row r="2441" spans="1:2">
      <c r="A2441">
        <v>0</v>
      </c>
      <c r="B2441">
        <v>396</v>
      </c>
    </row>
    <row r="2442" spans="1:2">
      <c r="A2442" t="s">
        <v>30</v>
      </c>
      <c r="B2442">
        <v>355.23</v>
      </c>
    </row>
    <row r="2443" spans="1:2">
      <c r="A2443">
        <v>0</v>
      </c>
      <c r="B2443">
        <v>154.31</v>
      </c>
    </row>
    <row r="2444" spans="1:2">
      <c r="A2444">
        <v>0</v>
      </c>
      <c r="B2444">
        <v>78.44</v>
      </c>
    </row>
    <row r="2445" spans="1:2">
      <c r="A2445">
        <v>0</v>
      </c>
      <c r="B2445">
        <v>74.39</v>
      </c>
    </row>
    <row r="2446" spans="1:2">
      <c r="A2446">
        <v>0</v>
      </c>
      <c r="B2446">
        <v>73.02</v>
      </c>
    </row>
    <row r="2447" spans="1:2">
      <c r="A2447">
        <v>0</v>
      </c>
      <c r="B2447">
        <v>53.48</v>
      </c>
    </row>
    <row r="2448" spans="1:2">
      <c r="A2448">
        <v>0</v>
      </c>
      <c r="B2448">
        <v>47.73</v>
      </c>
    </row>
    <row r="2449" spans="1:2">
      <c r="A2449" t="s">
        <v>29</v>
      </c>
      <c r="B2449">
        <v>27.52</v>
      </c>
    </row>
    <row r="2450" spans="1:2">
      <c r="A2450">
        <v>0</v>
      </c>
      <c r="B2450">
        <v>25.82</v>
      </c>
    </row>
    <row r="2451" spans="1:2">
      <c r="A2451">
        <v>0</v>
      </c>
      <c r="B2451">
        <v>24.26</v>
      </c>
    </row>
    <row r="2452" spans="1:2">
      <c r="A2452">
        <v>0</v>
      </c>
      <c r="B2452">
        <v>20.89</v>
      </c>
    </row>
    <row r="2453" spans="1:2">
      <c r="A2453">
        <v>0</v>
      </c>
      <c r="B2453">
        <v>20.23</v>
      </c>
    </row>
    <row r="2454" spans="1:2">
      <c r="A2454">
        <v>0</v>
      </c>
      <c r="B2454">
        <v>16.440000000000001</v>
      </c>
    </row>
    <row r="2455" spans="1:2">
      <c r="A2455">
        <v>0</v>
      </c>
      <c r="B2455">
        <v>0</v>
      </c>
    </row>
    <row r="2456" spans="1:2">
      <c r="A2456">
        <v>0</v>
      </c>
      <c r="B2456">
        <v>0</v>
      </c>
    </row>
    <row r="2457" spans="1:2">
      <c r="A2457">
        <v>0</v>
      </c>
      <c r="B2457">
        <v>0</v>
      </c>
    </row>
    <row r="2458" spans="1:2">
      <c r="A2458" t="s">
        <v>31</v>
      </c>
      <c r="B2458">
        <v>0</v>
      </c>
    </row>
    <row r="2459" spans="1:2">
      <c r="A2459" t="s">
        <v>28</v>
      </c>
      <c r="B2459">
        <v>0</v>
      </c>
    </row>
    <row r="2460" spans="1:2">
      <c r="A2460">
        <v>0</v>
      </c>
      <c r="B2460">
        <v>0</v>
      </c>
    </row>
    <row r="2461" spans="1:2">
      <c r="A2461" t="s">
        <v>29</v>
      </c>
      <c r="B2461">
        <v>0</v>
      </c>
    </row>
    <row r="2462" spans="1:2">
      <c r="A2462">
        <v>0</v>
      </c>
      <c r="B2462">
        <v>0</v>
      </c>
    </row>
    <row r="2463" spans="1:2">
      <c r="A2463">
        <v>0</v>
      </c>
      <c r="B2463">
        <v>0</v>
      </c>
    </row>
    <row r="2464" spans="1:2">
      <c r="A2464">
        <v>0</v>
      </c>
      <c r="B2464">
        <v>0</v>
      </c>
    </row>
    <row r="2465" spans="1:2">
      <c r="A2465" t="s">
        <v>28</v>
      </c>
      <c r="B2465">
        <v>0</v>
      </c>
    </row>
    <row r="2466" spans="1:2">
      <c r="A2466" t="s">
        <v>26</v>
      </c>
      <c r="B2466">
        <v>0</v>
      </c>
    </row>
    <row r="2467" spans="1:2">
      <c r="A2467">
        <v>0</v>
      </c>
      <c r="B2467">
        <v>0</v>
      </c>
    </row>
    <row r="2468" spans="1:2">
      <c r="A2468" t="s">
        <v>19</v>
      </c>
      <c r="B2468">
        <v>0</v>
      </c>
    </row>
    <row r="2469" spans="1:2">
      <c r="A2469">
        <v>0</v>
      </c>
      <c r="B2469">
        <v>0</v>
      </c>
    </row>
    <row r="2470" spans="1:2">
      <c r="A2470" t="s">
        <v>19</v>
      </c>
      <c r="B2470">
        <v>0</v>
      </c>
    </row>
    <row r="2471" spans="1:2">
      <c r="A2471">
        <v>0</v>
      </c>
      <c r="B2471">
        <v>0</v>
      </c>
    </row>
    <row r="2472" spans="1:2">
      <c r="A2472">
        <v>0</v>
      </c>
      <c r="B2472">
        <v>0</v>
      </c>
    </row>
    <row r="2473" spans="1:2">
      <c r="A2473">
        <v>0</v>
      </c>
      <c r="B2473">
        <v>0</v>
      </c>
    </row>
    <row r="2474" spans="1:2">
      <c r="A2474" t="s">
        <v>25</v>
      </c>
      <c r="B2474">
        <v>158.12</v>
      </c>
    </row>
    <row r="2475" spans="1:2">
      <c r="A2475">
        <v>0</v>
      </c>
      <c r="B2475">
        <v>138.44</v>
      </c>
    </row>
    <row r="2476" spans="1:2">
      <c r="A2476">
        <v>0</v>
      </c>
      <c r="B2476">
        <v>70.42</v>
      </c>
    </row>
    <row r="2477" spans="1:2">
      <c r="A2477">
        <v>0</v>
      </c>
      <c r="B2477">
        <v>68.14</v>
      </c>
    </row>
    <row r="2478" spans="1:2">
      <c r="A2478">
        <v>0</v>
      </c>
      <c r="B2478">
        <v>54.13</v>
      </c>
    </row>
    <row r="2479" spans="1:2">
      <c r="A2479" t="s">
        <v>25</v>
      </c>
      <c r="B2479">
        <v>49.92</v>
      </c>
    </row>
    <row r="2480" spans="1:2">
      <c r="A2480" t="s">
        <v>25</v>
      </c>
      <c r="B2480">
        <v>37.78</v>
      </c>
    </row>
    <row r="2481" spans="1:2">
      <c r="A2481">
        <v>0</v>
      </c>
      <c r="B2481">
        <v>14.36</v>
      </c>
    </row>
    <row r="2482" spans="1:2">
      <c r="A2482">
        <v>0</v>
      </c>
      <c r="B2482">
        <v>0</v>
      </c>
    </row>
    <row r="2483" spans="1:2">
      <c r="A2483">
        <v>0</v>
      </c>
      <c r="B2483">
        <v>0</v>
      </c>
    </row>
    <row r="2484" spans="1:2">
      <c r="A2484">
        <v>0</v>
      </c>
      <c r="B2484">
        <v>0</v>
      </c>
    </row>
    <row r="2485" spans="1:2">
      <c r="A2485">
        <v>0</v>
      </c>
      <c r="B2485">
        <v>0</v>
      </c>
    </row>
    <row r="2486" spans="1:2">
      <c r="A2486" t="s">
        <v>30</v>
      </c>
      <c r="B2486">
        <v>0</v>
      </c>
    </row>
    <row r="2487" spans="1:2">
      <c r="A2487" t="s">
        <v>26</v>
      </c>
      <c r="B2487">
        <v>0</v>
      </c>
    </row>
    <row r="2488" spans="1:2">
      <c r="A2488" t="s">
        <v>30</v>
      </c>
      <c r="B2488">
        <v>0</v>
      </c>
    </row>
    <row r="2489" spans="1:2">
      <c r="A2489">
        <v>0</v>
      </c>
      <c r="B2489">
        <v>0</v>
      </c>
    </row>
    <row r="2490" spans="1:2">
      <c r="A2490">
        <v>0</v>
      </c>
      <c r="B2490">
        <v>0</v>
      </c>
    </row>
    <row r="2491" spans="1:2">
      <c r="A2491">
        <v>0</v>
      </c>
      <c r="B2491">
        <v>0</v>
      </c>
    </row>
    <row r="2492" spans="1:2">
      <c r="A2492" t="s">
        <v>30</v>
      </c>
      <c r="B2492">
        <v>0</v>
      </c>
    </row>
    <row r="2493" spans="1:2">
      <c r="A2493" t="s">
        <v>19</v>
      </c>
      <c r="B2493">
        <v>0</v>
      </c>
    </row>
    <row r="2494" spans="1:2">
      <c r="A2494">
        <v>0</v>
      </c>
      <c r="B2494">
        <v>0</v>
      </c>
    </row>
    <row r="2495" spans="1:2">
      <c r="A2495">
        <v>0</v>
      </c>
      <c r="B2495">
        <v>0</v>
      </c>
    </row>
    <row r="2496" spans="1:2">
      <c r="A2496">
        <v>0</v>
      </c>
      <c r="B2496">
        <v>0</v>
      </c>
    </row>
    <row r="2497" spans="1:2">
      <c r="A2497" t="s">
        <v>31</v>
      </c>
      <c r="B2497">
        <v>270</v>
      </c>
    </row>
    <row r="2498" spans="1:2">
      <c r="A2498">
        <v>0</v>
      </c>
      <c r="B2498">
        <v>394</v>
      </c>
    </row>
    <row r="2499" spans="1:2">
      <c r="A2499">
        <v>0</v>
      </c>
      <c r="B2499">
        <v>113.97</v>
      </c>
    </row>
    <row r="2500" spans="1:2">
      <c r="A2500" t="s">
        <v>26</v>
      </c>
      <c r="B2500">
        <v>75.510000000000005</v>
      </c>
    </row>
    <row r="2501" spans="1:2">
      <c r="A2501" t="s">
        <v>30</v>
      </c>
      <c r="B2501">
        <v>50.82</v>
      </c>
    </row>
    <row r="2502" spans="1:2">
      <c r="A2502">
        <v>0</v>
      </c>
      <c r="B2502">
        <v>49.06</v>
      </c>
    </row>
    <row r="2503" spans="1:2">
      <c r="A2503" t="s">
        <v>26</v>
      </c>
      <c r="B2503">
        <v>47.58</v>
      </c>
    </row>
    <row r="2504" spans="1:2">
      <c r="A2504" t="s">
        <v>31</v>
      </c>
      <c r="B2504">
        <v>36.979999999999997</v>
      </c>
    </row>
    <row r="2505" spans="1:2">
      <c r="A2505">
        <v>0</v>
      </c>
      <c r="B2505">
        <v>28.62</v>
      </c>
    </row>
    <row r="2506" spans="1:2">
      <c r="A2506">
        <v>0</v>
      </c>
      <c r="B2506">
        <v>13.19</v>
      </c>
    </row>
    <row r="2507" spans="1:2">
      <c r="A2507">
        <v>0</v>
      </c>
      <c r="B2507">
        <v>0</v>
      </c>
    </row>
    <row r="2508" spans="1:2">
      <c r="A2508" t="s">
        <v>29</v>
      </c>
      <c r="B2508">
        <v>0</v>
      </c>
    </row>
    <row r="2509" spans="1:2">
      <c r="A2509">
        <v>0</v>
      </c>
      <c r="B2509">
        <v>0</v>
      </c>
    </row>
    <row r="2510" spans="1:2">
      <c r="A2510" t="s">
        <v>30</v>
      </c>
      <c r="B2510">
        <v>0</v>
      </c>
    </row>
    <row r="2511" spans="1:2">
      <c r="A2511">
        <v>0</v>
      </c>
      <c r="B2511">
        <v>0</v>
      </c>
    </row>
    <row r="2512" spans="1:2">
      <c r="A2512" t="s">
        <v>19</v>
      </c>
      <c r="B2512">
        <v>0</v>
      </c>
    </row>
    <row r="2513" spans="1:2">
      <c r="A2513" t="s">
        <v>26</v>
      </c>
      <c r="B2513">
        <v>0</v>
      </c>
    </row>
    <row r="2514" spans="1:2">
      <c r="A2514">
        <v>0</v>
      </c>
      <c r="B2514">
        <v>0</v>
      </c>
    </row>
    <row r="2515" spans="1:2">
      <c r="A2515">
        <v>0</v>
      </c>
      <c r="B2515">
        <v>0</v>
      </c>
    </row>
    <row r="2516" spans="1:2">
      <c r="A2516">
        <v>0</v>
      </c>
      <c r="B2516">
        <v>0</v>
      </c>
    </row>
    <row r="2517" spans="1:2">
      <c r="A2517" t="s">
        <v>28</v>
      </c>
      <c r="B2517">
        <v>0</v>
      </c>
    </row>
    <row r="2518" spans="1:2">
      <c r="A2518">
        <v>0</v>
      </c>
      <c r="B2518">
        <v>0</v>
      </c>
    </row>
    <row r="2519" spans="1:2">
      <c r="A2519">
        <v>0</v>
      </c>
      <c r="B2519">
        <v>83.73</v>
      </c>
    </row>
    <row r="2520" spans="1:2">
      <c r="A2520">
        <v>0</v>
      </c>
      <c r="B2520">
        <v>59.95</v>
      </c>
    </row>
    <row r="2521" spans="1:2">
      <c r="A2521">
        <v>0</v>
      </c>
      <c r="B2521">
        <v>48.55</v>
      </c>
    </row>
    <row r="2522" spans="1:2">
      <c r="A2522" t="s">
        <v>26</v>
      </c>
      <c r="B2522">
        <v>42.23</v>
      </c>
    </row>
    <row r="2523" spans="1:2">
      <c r="A2523">
        <v>0</v>
      </c>
      <c r="B2523">
        <v>40.08</v>
      </c>
    </row>
    <row r="2524" spans="1:2">
      <c r="A2524">
        <v>0</v>
      </c>
      <c r="B2524">
        <v>32.4</v>
      </c>
    </row>
    <row r="2525" spans="1:2">
      <c r="A2525">
        <v>0</v>
      </c>
      <c r="B2525">
        <v>26.72</v>
      </c>
    </row>
    <row r="2526" spans="1:2">
      <c r="A2526">
        <v>0</v>
      </c>
      <c r="B2526">
        <v>24.28</v>
      </c>
    </row>
    <row r="2527" spans="1:2">
      <c r="A2527">
        <v>0</v>
      </c>
      <c r="B2527">
        <v>21.46</v>
      </c>
    </row>
    <row r="2528" spans="1:2">
      <c r="A2528">
        <v>0</v>
      </c>
      <c r="B2528">
        <v>19.93</v>
      </c>
    </row>
    <row r="2529" spans="1:2">
      <c r="A2529" t="s">
        <v>26</v>
      </c>
      <c r="B2529">
        <v>0</v>
      </c>
    </row>
    <row r="2530" spans="1:2">
      <c r="A2530">
        <v>0</v>
      </c>
      <c r="B2530">
        <v>0</v>
      </c>
    </row>
    <row r="2531" spans="1:2">
      <c r="A2531" t="s">
        <v>26</v>
      </c>
      <c r="B2531">
        <v>0</v>
      </c>
    </row>
    <row r="2532" spans="1:2">
      <c r="A2532" t="s">
        <v>28</v>
      </c>
      <c r="B2532">
        <v>0</v>
      </c>
    </row>
    <row r="2533" spans="1:2">
      <c r="A2533" t="s">
        <v>30</v>
      </c>
      <c r="B2533">
        <v>0</v>
      </c>
    </row>
    <row r="2534" spans="1:2">
      <c r="A2534" t="s">
        <v>26</v>
      </c>
      <c r="B2534">
        <v>0</v>
      </c>
    </row>
    <row r="2535" spans="1:2">
      <c r="A2535">
        <v>0</v>
      </c>
      <c r="B2535">
        <v>0</v>
      </c>
    </row>
    <row r="2536" spans="1:2">
      <c r="A2536">
        <v>0</v>
      </c>
      <c r="B2536">
        <v>0</v>
      </c>
    </row>
    <row r="2537" spans="1:2">
      <c r="A2537">
        <v>0</v>
      </c>
      <c r="B2537">
        <v>0</v>
      </c>
    </row>
    <row r="2538" spans="1:2">
      <c r="A2538">
        <v>0</v>
      </c>
      <c r="B2538">
        <v>0</v>
      </c>
    </row>
    <row r="2539" spans="1:2">
      <c r="A2539">
        <v>0</v>
      </c>
      <c r="B2539">
        <v>0</v>
      </c>
    </row>
    <row r="2540" spans="1:2">
      <c r="A2540">
        <v>0</v>
      </c>
      <c r="B2540">
        <v>0</v>
      </c>
    </row>
    <row r="2541" spans="1:2">
      <c r="A2541">
        <v>0</v>
      </c>
      <c r="B2541">
        <v>0</v>
      </c>
    </row>
    <row r="2542" spans="1:2">
      <c r="A2542" t="s">
        <v>31</v>
      </c>
      <c r="B2542">
        <v>0</v>
      </c>
    </row>
    <row r="2543" spans="1:2">
      <c r="A2543">
        <v>0</v>
      </c>
      <c r="B2543">
        <v>0</v>
      </c>
    </row>
    <row r="2544" spans="1:2">
      <c r="A2544" t="s">
        <v>26</v>
      </c>
      <c r="B2544">
        <v>0</v>
      </c>
    </row>
    <row r="2545" spans="1:2">
      <c r="A2545" t="s">
        <v>29</v>
      </c>
      <c r="B2545">
        <v>0</v>
      </c>
    </row>
    <row r="2546" spans="1:2">
      <c r="A2546" t="s">
        <v>29</v>
      </c>
      <c r="B2546">
        <v>0</v>
      </c>
    </row>
    <row r="2547" spans="1:2">
      <c r="A2547">
        <v>0</v>
      </c>
      <c r="B2547">
        <v>0</v>
      </c>
    </row>
    <row r="2548" spans="1:2">
      <c r="A2548">
        <v>0</v>
      </c>
      <c r="B2548">
        <v>0</v>
      </c>
    </row>
    <row r="2549" spans="1:2">
      <c r="A2549" t="s">
        <v>31</v>
      </c>
      <c r="B2549">
        <v>0</v>
      </c>
    </row>
    <row r="2550" spans="1:2">
      <c r="A2550" t="s">
        <v>25</v>
      </c>
      <c r="B2550">
        <v>0</v>
      </c>
    </row>
    <row r="2551" spans="1:2">
      <c r="A2551" t="s">
        <v>30</v>
      </c>
      <c r="B2551">
        <v>425</v>
      </c>
    </row>
    <row r="2552" spans="1:2">
      <c r="A2552">
        <v>0</v>
      </c>
      <c r="B2552">
        <v>166.92</v>
      </c>
    </row>
    <row r="2553" spans="1:2">
      <c r="A2553">
        <v>0</v>
      </c>
      <c r="B2553">
        <v>118.81</v>
      </c>
    </row>
    <row r="2554" spans="1:2">
      <c r="A2554">
        <v>0</v>
      </c>
      <c r="B2554">
        <v>103.34</v>
      </c>
    </row>
    <row r="2555" spans="1:2">
      <c r="A2555">
        <v>0</v>
      </c>
      <c r="B2555">
        <v>90.03</v>
      </c>
    </row>
    <row r="2556" spans="1:2">
      <c r="A2556">
        <v>0</v>
      </c>
      <c r="B2556">
        <v>80.69</v>
      </c>
    </row>
    <row r="2557" spans="1:2">
      <c r="A2557">
        <v>0</v>
      </c>
      <c r="B2557">
        <v>72.069999999999993</v>
      </c>
    </row>
    <row r="2558" spans="1:2">
      <c r="A2558">
        <v>0</v>
      </c>
      <c r="B2558">
        <v>70.55</v>
      </c>
    </row>
    <row r="2559" spans="1:2">
      <c r="A2559">
        <v>0</v>
      </c>
      <c r="B2559">
        <v>69.5</v>
      </c>
    </row>
    <row r="2560" spans="1:2">
      <c r="A2560">
        <v>0</v>
      </c>
      <c r="B2560">
        <v>68.16</v>
      </c>
    </row>
    <row r="2561" spans="1:2">
      <c r="A2561">
        <v>0</v>
      </c>
      <c r="B2561">
        <v>61.59</v>
      </c>
    </row>
    <row r="2562" spans="1:2">
      <c r="A2562" t="s">
        <v>31</v>
      </c>
      <c r="B2562">
        <v>59.24</v>
      </c>
    </row>
    <row r="2563" spans="1:2">
      <c r="A2563">
        <v>0</v>
      </c>
      <c r="B2563">
        <v>55.08</v>
      </c>
    </row>
    <row r="2564" spans="1:2">
      <c r="A2564" t="s">
        <v>28</v>
      </c>
      <c r="B2564">
        <v>48.73</v>
      </c>
    </row>
    <row r="2565" spans="1:2">
      <c r="A2565" t="s">
        <v>30</v>
      </c>
      <c r="B2565">
        <v>36.119999999999997</v>
      </c>
    </row>
    <row r="2566" spans="1:2">
      <c r="A2566">
        <v>0</v>
      </c>
      <c r="B2566">
        <v>22</v>
      </c>
    </row>
    <row r="2567" spans="1:2">
      <c r="A2567">
        <v>0</v>
      </c>
      <c r="B2567">
        <v>20.75</v>
      </c>
    </row>
    <row r="2568" spans="1:2">
      <c r="A2568" t="s">
        <v>25</v>
      </c>
      <c r="B2568">
        <v>20.61</v>
      </c>
    </row>
    <row r="2569" spans="1:2">
      <c r="A2569">
        <v>0</v>
      </c>
      <c r="B2569">
        <v>18.489999999999998</v>
      </c>
    </row>
    <row r="2570" spans="1:2">
      <c r="A2570" t="s">
        <v>26</v>
      </c>
      <c r="B2570">
        <v>15.92</v>
      </c>
    </row>
    <row r="2571" spans="1:2">
      <c r="A2571" t="s">
        <v>30</v>
      </c>
      <c r="B2571">
        <v>15.77</v>
      </c>
    </row>
    <row r="2572" spans="1:2">
      <c r="A2572">
        <v>0</v>
      </c>
      <c r="B2572">
        <v>0</v>
      </c>
    </row>
    <row r="2573" spans="1:2">
      <c r="A2573">
        <v>0</v>
      </c>
      <c r="B2573">
        <v>0</v>
      </c>
    </row>
    <row r="2574" spans="1:2">
      <c r="A2574">
        <v>0</v>
      </c>
      <c r="B2574">
        <v>0</v>
      </c>
    </row>
    <row r="2575" spans="1:2">
      <c r="A2575">
        <v>0</v>
      </c>
      <c r="B2575">
        <v>0</v>
      </c>
    </row>
    <row r="2576" spans="1:2">
      <c r="A2576" t="s">
        <v>31</v>
      </c>
      <c r="B2576">
        <v>0</v>
      </c>
    </row>
    <row r="2577" spans="1:2">
      <c r="A2577">
        <v>0</v>
      </c>
      <c r="B2577">
        <v>0</v>
      </c>
    </row>
    <row r="2578" spans="1:2">
      <c r="A2578" t="s">
        <v>28</v>
      </c>
      <c r="B2578">
        <v>0</v>
      </c>
    </row>
    <row r="2579" spans="1:2">
      <c r="A2579" t="s">
        <v>26</v>
      </c>
      <c r="B2579">
        <v>0</v>
      </c>
    </row>
    <row r="2580" spans="1:2">
      <c r="A2580">
        <v>0</v>
      </c>
      <c r="B2580">
        <v>0</v>
      </c>
    </row>
    <row r="2581" spans="1:2">
      <c r="A2581" t="s">
        <v>30</v>
      </c>
      <c r="B2581">
        <v>0</v>
      </c>
    </row>
    <row r="2582" spans="1:2">
      <c r="A2582" t="s">
        <v>26</v>
      </c>
      <c r="B2582">
        <v>0</v>
      </c>
    </row>
    <row r="2583" spans="1:2">
      <c r="A2583">
        <v>0</v>
      </c>
      <c r="B2583">
        <v>0</v>
      </c>
    </row>
    <row r="2584" spans="1:2">
      <c r="A2584" t="s">
        <v>31</v>
      </c>
      <c r="B2584">
        <v>543.29999999999995</v>
      </c>
    </row>
    <row r="2585" spans="1:2">
      <c r="A2585">
        <v>0</v>
      </c>
      <c r="B2585">
        <v>506.55</v>
      </c>
    </row>
    <row r="2586" spans="1:2">
      <c r="A2586">
        <v>0</v>
      </c>
      <c r="B2586">
        <v>72.930000000000007</v>
      </c>
    </row>
    <row r="2587" spans="1:2">
      <c r="A2587">
        <v>0</v>
      </c>
      <c r="B2587">
        <v>60.15</v>
      </c>
    </row>
    <row r="2588" spans="1:2">
      <c r="A2588" t="s">
        <v>30</v>
      </c>
      <c r="B2588">
        <v>46.17</v>
      </c>
    </row>
    <row r="2589" spans="1:2">
      <c r="A2589">
        <v>0</v>
      </c>
      <c r="B2589">
        <v>32.01</v>
      </c>
    </row>
    <row r="2590" spans="1:2">
      <c r="A2590" t="s">
        <v>28</v>
      </c>
      <c r="B2590">
        <v>23.08</v>
      </c>
    </row>
    <row r="2591" spans="1:2">
      <c r="A2591">
        <v>0</v>
      </c>
      <c r="B2591">
        <v>14.48</v>
      </c>
    </row>
    <row r="2592" spans="1:2">
      <c r="A2592">
        <v>0</v>
      </c>
      <c r="B2592">
        <v>13.34</v>
      </c>
    </row>
    <row r="2593" spans="1:2">
      <c r="A2593" t="s">
        <v>31</v>
      </c>
      <c r="B2593">
        <v>0</v>
      </c>
    </row>
    <row r="2594" spans="1:2">
      <c r="A2594">
        <v>0</v>
      </c>
      <c r="B2594">
        <v>0</v>
      </c>
    </row>
    <row r="2595" spans="1:2">
      <c r="A2595">
        <v>0</v>
      </c>
      <c r="B2595">
        <v>0</v>
      </c>
    </row>
    <row r="2596" spans="1:2">
      <c r="A2596">
        <v>0</v>
      </c>
      <c r="B2596">
        <v>0</v>
      </c>
    </row>
    <row r="2597" spans="1:2">
      <c r="A2597">
        <v>0</v>
      </c>
      <c r="B2597">
        <v>0</v>
      </c>
    </row>
    <row r="2598" spans="1:2">
      <c r="A2598">
        <v>0</v>
      </c>
      <c r="B2598">
        <v>0</v>
      </c>
    </row>
    <row r="2599" spans="1:2">
      <c r="A2599" t="s">
        <v>25</v>
      </c>
      <c r="B2599">
        <v>0</v>
      </c>
    </row>
    <row r="2600" spans="1:2">
      <c r="A2600" t="s">
        <v>31</v>
      </c>
      <c r="B2600">
        <v>0</v>
      </c>
    </row>
    <row r="2601" spans="1:2">
      <c r="A2601" t="s">
        <v>30</v>
      </c>
      <c r="B2601">
        <v>0</v>
      </c>
    </row>
    <row r="2602" spans="1:2">
      <c r="A2602" t="s">
        <v>29</v>
      </c>
      <c r="B2602">
        <v>0</v>
      </c>
    </row>
    <row r="2603" spans="1:2">
      <c r="A2603">
        <v>0</v>
      </c>
      <c r="B2603">
        <v>0</v>
      </c>
    </row>
    <row r="2604" spans="1:2">
      <c r="A2604">
        <v>0</v>
      </c>
      <c r="B2604">
        <v>0</v>
      </c>
    </row>
    <row r="2605" spans="1:2">
      <c r="A2605" t="s">
        <v>19</v>
      </c>
      <c r="B2605">
        <v>0</v>
      </c>
    </row>
    <row r="2606" spans="1:2">
      <c r="A2606">
        <v>0</v>
      </c>
      <c r="B2606">
        <v>0</v>
      </c>
    </row>
    <row r="2607" spans="1:2">
      <c r="A2607">
        <v>0</v>
      </c>
      <c r="B2607">
        <v>0</v>
      </c>
    </row>
    <row r="2608" spans="1:2">
      <c r="A2608">
        <v>0</v>
      </c>
      <c r="B2608">
        <v>0</v>
      </c>
    </row>
    <row r="2609" spans="1:2">
      <c r="A2609" t="s">
        <v>28</v>
      </c>
      <c r="B2609">
        <v>0</v>
      </c>
    </row>
    <row r="2610" spans="1:2">
      <c r="A2610" t="s">
        <v>19</v>
      </c>
      <c r="B2610">
        <v>432</v>
      </c>
    </row>
    <row r="2611" spans="1:2">
      <c r="A2611">
        <v>0</v>
      </c>
      <c r="B2611">
        <v>424</v>
      </c>
    </row>
    <row r="2612" spans="1:2">
      <c r="A2612">
        <v>0</v>
      </c>
      <c r="B2612">
        <v>283.20999999999998</v>
      </c>
    </row>
    <row r="2613" spans="1:2">
      <c r="A2613">
        <v>0</v>
      </c>
      <c r="B2613">
        <v>108</v>
      </c>
    </row>
    <row r="2614" spans="1:2">
      <c r="A2614" t="s">
        <v>26</v>
      </c>
      <c r="B2614">
        <v>93.05</v>
      </c>
    </row>
    <row r="2615" spans="1:2">
      <c r="A2615" t="s">
        <v>28</v>
      </c>
      <c r="B2615">
        <v>82.09</v>
      </c>
    </row>
    <row r="2616" spans="1:2">
      <c r="A2616">
        <v>0</v>
      </c>
      <c r="B2616">
        <v>59.23</v>
      </c>
    </row>
    <row r="2617" spans="1:2">
      <c r="A2617" t="s">
        <v>29</v>
      </c>
      <c r="B2617">
        <v>56.16</v>
      </c>
    </row>
    <row r="2618" spans="1:2">
      <c r="A2618">
        <v>0</v>
      </c>
      <c r="B2618">
        <v>47.72</v>
      </c>
    </row>
    <row r="2619" spans="1:2">
      <c r="A2619">
        <v>0</v>
      </c>
      <c r="B2619">
        <v>27.24</v>
      </c>
    </row>
    <row r="2620" spans="1:2">
      <c r="A2620" t="s">
        <v>30</v>
      </c>
      <c r="B2620">
        <v>0</v>
      </c>
    </row>
    <row r="2621" spans="1:2">
      <c r="A2621" t="s">
        <v>26</v>
      </c>
      <c r="B2621">
        <v>0</v>
      </c>
    </row>
    <row r="2622" spans="1:2">
      <c r="A2622">
        <v>0</v>
      </c>
      <c r="B2622">
        <v>0</v>
      </c>
    </row>
    <row r="2623" spans="1:2">
      <c r="A2623">
        <v>0</v>
      </c>
      <c r="B2623">
        <v>0</v>
      </c>
    </row>
    <row r="2624" spans="1:2">
      <c r="A2624" t="s">
        <v>31</v>
      </c>
      <c r="B2624">
        <v>0</v>
      </c>
    </row>
    <row r="2625" spans="1:2">
      <c r="A2625">
        <v>0</v>
      </c>
      <c r="B2625">
        <v>0</v>
      </c>
    </row>
    <row r="2626" spans="1:2">
      <c r="A2626">
        <v>0</v>
      </c>
      <c r="B2626">
        <v>0</v>
      </c>
    </row>
    <row r="2627" spans="1:2">
      <c r="A2627">
        <v>0</v>
      </c>
      <c r="B2627">
        <v>0</v>
      </c>
    </row>
    <row r="2628" spans="1:2">
      <c r="A2628" t="s">
        <v>30</v>
      </c>
      <c r="B2628">
        <v>0</v>
      </c>
    </row>
    <row r="2629" spans="1:2">
      <c r="A2629">
        <v>0</v>
      </c>
      <c r="B2629">
        <v>0</v>
      </c>
    </row>
    <row r="2630" spans="1:2">
      <c r="A2630">
        <v>0</v>
      </c>
      <c r="B2630">
        <v>0</v>
      </c>
    </row>
    <row r="2631" spans="1:2">
      <c r="A2631">
        <v>0</v>
      </c>
      <c r="B2631">
        <v>0</v>
      </c>
    </row>
    <row r="2632" spans="1:2">
      <c r="A2632" t="s">
        <v>30</v>
      </c>
      <c r="B2632">
        <v>0</v>
      </c>
    </row>
    <row r="2633" spans="1:2">
      <c r="A2633">
        <v>0</v>
      </c>
      <c r="B2633">
        <v>0</v>
      </c>
    </row>
    <row r="2634" spans="1:2">
      <c r="A2634">
        <v>0</v>
      </c>
      <c r="B2634">
        <v>0</v>
      </c>
    </row>
    <row r="2635" spans="1:2">
      <c r="A2635">
        <v>0</v>
      </c>
      <c r="B2635">
        <v>0</v>
      </c>
    </row>
    <row r="2636" spans="1:2">
      <c r="A2636" t="s">
        <v>26</v>
      </c>
      <c r="B2636">
        <v>330</v>
      </c>
    </row>
    <row r="2637" spans="1:2">
      <c r="A2637" t="s">
        <v>30</v>
      </c>
      <c r="B2637">
        <v>216.56</v>
      </c>
    </row>
    <row r="2638" spans="1:2">
      <c r="A2638" t="s">
        <v>26</v>
      </c>
      <c r="B2638">
        <v>212.46</v>
      </c>
    </row>
    <row r="2639" spans="1:2">
      <c r="A2639" t="s">
        <v>19</v>
      </c>
      <c r="B2639">
        <v>158.04</v>
      </c>
    </row>
    <row r="2640" spans="1:2">
      <c r="A2640">
        <v>0</v>
      </c>
      <c r="B2640">
        <v>102.07</v>
      </c>
    </row>
    <row r="2641" spans="1:2">
      <c r="A2641">
        <v>0</v>
      </c>
      <c r="B2641">
        <v>87.33</v>
      </c>
    </row>
    <row r="2642" spans="1:2">
      <c r="A2642">
        <v>0</v>
      </c>
      <c r="B2642">
        <v>34.15</v>
      </c>
    </row>
    <row r="2643" spans="1:2">
      <c r="A2643" t="s">
        <v>25</v>
      </c>
      <c r="B2643">
        <v>30.59</v>
      </c>
    </row>
    <row r="2644" spans="1:2">
      <c r="A2644">
        <v>0</v>
      </c>
      <c r="B2644">
        <v>29.99</v>
      </c>
    </row>
    <row r="2645" spans="1:2">
      <c r="A2645">
        <v>0</v>
      </c>
      <c r="B2645">
        <v>29.54</v>
      </c>
    </row>
    <row r="2646" spans="1:2">
      <c r="A2646">
        <v>0</v>
      </c>
      <c r="B2646">
        <v>15.98</v>
      </c>
    </row>
    <row r="2647" spans="1:2">
      <c r="A2647">
        <v>0</v>
      </c>
      <c r="B2647">
        <v>15.81</v>
      </c>
    </row>
    <row r="2648" spans="1:2">
      <c r="A2648">
        <v>0</v>
      </c>
      <c r="B2648">
        <v>0</v>
      </c>
    </row>
    <row r="2649" spans="1:2">
      <c r="A2649">
        <v>0</v>
      </c>
      <c r="B2649">
        <v>0</v>
      </c>
    </row>
    <row r="2650" spans="1:2">
      <c r="A2650">
        <v>0</v>
      </c>
      <c r="B2650">
        <v>0</v>
      </c>
    </row>
    <row r="2651" spans="1:2">
      <c r="A2651" t="s">
        <v>29</v>
      </c>
      <c r="B2651">
        <v>0</v>
      </c>
    </row>
    <row r="2652" spans="1:2">
      <c r="A2652" t="s">
        <v>28</v>
      </c>
      <c r="B2652">
        <v>0</v>
      </c>
    </row>
    <row r="2653" spans="1:2">
      <c r="A2653">
        <v>0</v>
      </c>
      <c r="B2653">
        <v>0</v>
      </c>
    </row>
    <row r="2654" spans="1:2">
      <c r="A2654">
        <v>0</v>
      </c>
      <c r="B2654">
        <v>0</v>
      </c>
    </row>
    <row r="2655" spans="1:2">
      <c r="A2655">
        <v>0</v>
      </c>
      <c r="B2655">
        <v>0</v>
      </c>
    </row>
    <row r="2656" spans="1:2">
      <c r="A2656">
        <v>0</v>
      </c>
      <c r="B2656">
        <v>0</v>
      </c>
    </row>
    <row r="2657" spans="1:2">
      <c r="A2657">
        <v>0</v>
      </c>
      <c r="B2657">
        <v>0</v>
      </c>
    </row>
    <row r="2658" spans="1:2">
      <c r="A2658" t="s">
        <v>19</v>
      </c>
      <c r="B2658">
        <v>0</v>
      </c>
    </row>
    <row r="2659" spans="1:2">
      <c r="A2659">
        <v>0</v>
      </c>
      <c r="B2659">
        <v>0</v>
      </c>
    </row>
    <row r="2660" spans="1:2">
      <c r="A2660">
        <v>0</v>
      </c>
      <c r="B2660">
        <v>0</v>
      </c>
    </row>
    <row r="2661" spans="1:2">
      <c r="A2661" t="s">
        <v>19</v>
      </c>
      <c r="B2661">
        <v>0</v>
      </c>
    </row>
    <row r="2662" spans="1:2">
      <c r="A2662">
        <v>0</v>
      </c>
      <c r="B2662">
        <v>0</v>
      </c>
    </row>
    <row r="2663" spans="1:2">
      <c r="A2663" t="s">
        <v>31</v>
      </c>
      <c r="B2663">
        <v>0</v>
      </c>
    </row>
    <row r="2664" spans="1:2">
      <c r="A2664">
        <v>0</v>
      </c>
      <c r="B2664">
        <v>0</v>
      </c>
    </row>
    <row r="2665" spans="1:2">
      <c r="A2665" t="s">
        <v>29</v>
      </c>
      <c r="B2665">
        <v>0</v>
      </c>
    </row>
    <row r="2666" spans="1:2">
      <c r="A2666">
        <v>0</v>
      </c>
      <c r="B2666">
        <v>24</v>
      </c>
    </row>
    <row r="2667" spans="1:2">
      <c r="A2667">
        <v>0</v>
      </c>
      <c r="B2667">
        <v>424</v>
      </c>
    </row>
    <row r="2668" spans="1:2">
      <c r="A2668">
        <v>0</v>
      </c>
      <c r="B2668">
        <v>272.43</v>
      </c>
    </row>
    <row r="2669" spans="1:2">
      <c r="A2669">
        <v>0</v>
      </c>
      <c r="B2669">
        <v>100.81</v>
      </c>
    </row>
    <row r="2670" spans="1:2">
      <c r="A2670">
        <v>0</v>
      </c>
      <c r="B2670">
        <v>24.28</v>
      </c>
    </row>
    <row r="2671" spans="1:2">
      <c r="A2671">
        <v>0</v>
      </c>
      <c r="B2671">
        <v>0</v>
      </c>
    </row>
    <row r="2672" spans="1:2">
      <c r="A2672">
        <v>0</v>
      </c>
      <c r="B2672">
        <v>0</v>
      </c>
    </row>
    <row r="2673" spans="1:2">
      <c r="A2673">
        <v>0</v>
      </c>
      <c r="B2673">
        <v>0</v>
      </c>
    </row>
    <row r="2674" spans="1:2">
      <c r="A2674">
        <v>0</v>
      </c>
      <c r="B2674">
        <v>0</v>
      </c>
    </row>
    <row r="2675" spans="1:2">
      <c r="A2675">
        <v>0</v>
      </c>
      <c r="B2675">
        <v>0</v>
      </c>
    </row>
    <row r="2676" spans="1:2">
      <c r="A2676" t="s">
        <v>25</v>
      </c>
      <c r="B2676">
        <v>0</v>
      </c>
    </row>
    <row r="2677" spans="1:2">
      <c r="A2677" t="s">
        <v>28</v>
      </c>
      <c r="B2677">
        <v>0</v>
      </c>
    </row>
    <row r="2678" spans="1:2">
      <c r="A2678">
        <v>0</v>
      </c>
      <c r="B2678">
        <v>0</v>
      </c>
    </row>
    <row r="2679" spans="1:2">
      <c r="A2679" t="s">
        <v>30</v>
      </c>
      <c r="B2679">
        <v>0</v>
      </c>
    </row>
    <row r="2680" spans="1:2">
      <c r="A2680">
        <v>0</v>
      </c>
      <c r="B2680">
        <v>0</v>
      </c>
    </row>
    <row r="2681" spans="1:2">
      <c r="A2681">
        <v>0</v>
      </c>
      <c r="B2681">
        <v>0</v>
      </c>
    </row>
    <row r="2682" spans="1:2">
      <c r="A2682">
        <v>0</v>
      </c>
      <c r="B2682">
        <v>0</v>
      </c>
    </row>
    <row r="2683" spans="1:2">
      <c r="A2683">
        <v>0</v>
      </c>
      <c r="B2683">
        <v>0</v>
      </c>
    </row>
    <row r="2684" spans="1:2">
      <c r="A2684">
        <v>0</v>
      </c>
      <c r="B2684">
        <v>555</v>
      </c>
    </row>
    <row r="2685" spans="1:2">
      <c r="A2685" t="s">
        <v>30</v>
      </c>
      <c r="B2685">
        <v>227.7</v>
      </c>
    </row>
    <row r="2686" spans="1:2">
      <c r="A2686" t="s">
        <v>25</v>
      </c>
      <c r="B2686">
        <v>161.83000000000001</v>
      </c>
    </row>
    <row r="2687" spans="1:2">
      <c r="A2687" t="s">
        <v>29</v>
      </c>
      <c r="B2687">
        <v>88.78</v>
      </c>
    </row>
    <row r="2688" spans="1:2">
      <c r="A2688">
        <v>0</v>
      </c>
      <c r="B2688">
        <v>61.24</v>
      </c>
    </row>
    <row r="2689" spans="1:2">
      <c r="A2689">
        <v>0</v>
      </c>
      <c r="B2689">
        <v>51.25</v>
      </c>
    </row>
    <row r="2690" spans="1:2">
      <c r="A2690">
        <v>0</v>
      </c>
      <c r="B2690">
        <v>25.74</v>
      </c>
    </row>
    <row r="2691" spans="1:2">
      <c r="A2691">
        <v>0</v>
      </c>
      <c r="B2691">
        <v>14.83</v>
      </c>
    </row>
    <row r="2692" spans="1:2">
      <c r="A2692" t="s">
        <v>31</v>
      </c>
      <c r="B2692">
        <v>0</v>
      </c>
    </row>
    <row r="2693" spans="1:2">
      <c r="A2693">
        <v>0</v>
      </c>
      <c r="B2693">
        <v>0</v>
      </c>
    </row>
    <row r="2694" spans="1:2">
      <c r="A2694" t="s">
        <v>19</v>
      </c>
      <c r="B2694">
        <v>0</v>
      </c>
    </row>
    <row r="2695" spans="1:2">
      <c r="A2695">
        <v>0</v>
      </c>
      <c r="B2695">
        <v>0</v>
      </c>
    </row>
    <row r="2696" spans="1:2">
      <c r="A2696">
        <v>0</v>
      </c>
      <c r="B2696">
        <v>0</v>
      </c>
    </row>
    <row r="2697" spans="1:2">
      <c r="A2697">
        <v>0</v>
      </c>
      <c r="B2697">
        <v>0</v>
      </c>
    </row>
    <row r="2698" spans="1:2">
      <c r="A2698">
        <v>0</v>
      </c>
      <c r="B2698">
        <v>0</v>
      </c>
    </row>
    <row r="2699" spans="1:2">
      <c r="A2699">
        <v>0</v>
      </c>
      <c r="B2699">
        <v>0</v>
      </c>
    </row>
    <row r="2700" spans="1:2">
      <c r="A2700">
        <v>0</v>
      </c>
      <c r="B2700">
        <v>0</v>
      </c>
    </row>
    <row r="2701" spans="1:2">
      <c r="A2701">
        <v>0</v>
      </c>
      <c r="B2701">
        <v>0</v>
      </c>
    </row>
    <row r="2702" spans="1:2">
      <c r="A2702">
        <v>0</v>
      </c>
      <c r="B2702">
        <v>0</v>
      </c>
    </row>
    <row r="2703" spans="1:2">
      <c r="A2703">
        <v>0</v>
      </c>
      <c r="B2703">
        <v>0</v>
      </c>
    </row>
    <row r="2704" spans="1:2">
      <c r="A2704" t="s">
        <v>31</v>
      </c>
      <c r="B2704">
        <v>0</v>
      </c>
    </row>
    <row r="2705" spans="1:2">
      <c r="A2705" t="s">
        <v>19</v>
      </c>
      <c r="B2705">
        <v>0</v>
      </c>
    </row>
    <row r="2706" spans="1:2">
      <c r="A2706">
        <v>0</v>
      </c>
      <c r="B2706">
        <v>0</v>
      </c>
    </row>
    <row r="2707" spans="1:2">
      <c r="A2707">
        <v>0</v>
      </c>
      <c r="B2707">
        <v>0</v>
      </c>
    </row>
    <row r="2708" spans="1:2">
      <c r="A2708" t="s">
        <v>30</v>
      </c>
      <c r="B2708">
        <v>61</v>
      </c>
    </row>
    <row r="2709" spans="1:2">
      <c r="A2709">
        <v>0</v>
      </c>
      <c r="B2709">
        <v>291</v>
      </c>
    </row>
    <row r="2710" spans="1:2">
      <c r="A2710">
        <v>0</v>
      </c>
      <c r="B2710">
        <v>349</v>
      </c>
    </row>
    <row r="2711" spans="1:2">
      <c r="A2711">
        <v>0</v>
      </c>
      <c r="B2711">
        <v>350</v>
      </c>
    </row>
    <row r="2712" spans="1:2">
      <c r="A2712">
        <v>0</v>
      </c>
      <c r="B2712">
        <v>211.72</v>
      </c>
    </row>
    <row r="2713" spans="1:2">
      <c r="A2713">
        <v>0</v>
      </c>
      <c r="B2713">
        <v>30.22</v>
      </c>
    </row>
    <row r="2714" spans="1:2">
      <c r="A2714">
        <v>0</v>
      </c>
      <c r="B2714">
        <v>14.52</v>
      </c>
    </row>
    <row r="2715" spans="1:2">
      <c r="A2715">
        <v>0</v>
      </c>
      <c r="B2715">
        <v>0</v>
      </c>
    </row>
    <row r="2716" spans="1:2">
      <c r="A2716">
        <v>0</v>
      </c>
      <c r="B2716">
        <v>0</v>
      </c>
    </row>
    <row r="2717" spans="1:2">
      <c r="A2717" t="s">
        <v>30</v>
      </c>
      <c r="B2717">
        <v>0</v>
      </c>
    </row>
    <row r="2718" spans="1:2">
      <c r="A2718" t="s">
        <v>30</v>
      </c>
      <c r="B2718">
        <v>0</v>
      </c>
    </row>
    <row r="2719" spans="1:2">
      <c r="A2719">
        <v>0</v>
      </c>
      <c r="B2719">
        <v>0</v>
      </c>
    </row>
    <row r="2720" spans="1:2">
      <c r="A2720">
        <v>0</v>
      </c>
      <c r="B2720">
        <v>0</v>
      </c>
    </row>
    <row r="2721" spans="1:2">
      <c r="A2721">
        <v>0</v>
      </c>
      <c r="B2721">
        <v>0</v>
      </c>
    </row>
    <row r="2722" spans="1:2">
      <c r="A2722" t="s">
        <v>29</v>
      </c>
      <c r="B2722">
        <v>0</v>
      </c>
    </row>
    <row r="2723" spans="1:2">
      <c r="A2723" t="s">
        <v>26</v>
      </c>
      <c r="B2723">
        <v>0</v>
      </c>
    </row>
    <row r="2724" spans="1:2">
      <c r="A2724">
        <v>0</v>
      </c>
      <c r="B2724">
        <v>395</v>
      </c>
    </row>
    <row r="2725" spans="1:2">
      <c r="A2725">
        <v>0</v>
      </c>
      <c r="B2725">
        <v>331.14</v>
      </c>
    </row>
    <row r="2726" spans="1:2">
      <c r="A2726">
        <v>0</v>
      </c>
      <c r="B2726">
        <v>203.68</v>
      </c>
    </row>
    <row r="2727" spans="1:2">
      <c r="A2727">
        <v>0</v>
      </c>
      <c r="B2727">
        <v>122.12</v>
      </c>
    </row>
    <row r="2728" spans="1:2">
      <c r="A2728" t="s">
        <v>30</v>
      </c>
      <c r="B2728">
        <v>120.34</v>
      </c>
    </row>
    <row r="2729" spans="1:2">
      <c r="A2729" t="s">
        <v>25</v>
      </c>
      <c r="B2729">
        <v>78.83</v>
      </c>
    </row>
    <row r="2730" spans="1:2">
      <c r="A2730" t="s">
        <v>25</v>
      </c>
      <c r="B2730">
        <v>49.65</v>
      </c>
    </row>
    <row r="2731" spans="1:2">
      <c r="A2731">
        <v>0</v>
      </c>
      <c r="B2731">
        <v>43.66</v>
      </c>
    </row>
    <row r="2732" spans="1:2">
      <c r="A2732">
        <v>0</v>
      </c>
      <c r="B2732">
        <v>34.97</v>
      </c>
    </row>
    <row r="2733" spans="1:2">
      <c r="A2733" t="s">
        <v>26</v>
      </c>
      <c r="B2733">
        <v>20.88</v>
      </c>
    </row>
    <row r="2734" spans="1:2">
      <c r="A2734">
        <v>0</v>
      </c>
      <c r="B2734">
        <v>17.940000000000001</v>
      </c>
    </row>
    <row r="2735" spans="1:2">
      <c r="A2735">
        <v>0</v>
      </c>
      <c r="B2735">
        <v>15.42</v>
      </c>
    </row>
    <row r="2736" spans="1:2">
      <c r="A2736" t="s">
        <v>29</v>
      </c>
      <c r="B2736">
        <v>0</v>
      </c>
    </row>
    <row r="2737" spans="1:2">
      <c r="A2737">
        <v>0</v>
      </c>
      <c r="B2737">
        <v>0</v>
      </c>
    </row>
    <row r="2738" spans="1:2">
      <c r="A2738">
        <v>0</v>
      </c>
      <c r="B2738">
        <v>0</v>
      </c>
    </row>
    <row r="2739" spans="1:2">
      <c r="A2739">
        <v>0</v>
      </c>
      <c r="B2739">
        <v>0</v>
      </c>
    </row>
    <row r="2740" spans="1:2">
      <c r="A2740" t="s">
        <v>31</v>
      </c>
      <c r="B2740">
        <v>0</v>
      </c>
    </row>
    <row r="2741" spans="1:2">
      <c r="A2741" t="s">
        <v>26</v>
      </c>
      <c r="B2741">
        <v>0</v>
      </c>
    </row>
    <row r="2742" spans="1:2">
      <c r="A2742">
        <v>0</v>
      </c>
      <c r="B2742">
        <v>0</v>
      </c>
    </row>
    <row r="2743" spans="1:2">
      <c r="A2743">
        <v>0</v>
      </c>
      <c r="B2743">
        <v>0</v>
      </c>
    </row>
    <row r="2744" spans="1:2">
      <c r="A2744">
        <v>0</v>
      </c>
      <c r="B2744">
        <v>0</v>
      </c>
    </row>
    <row r="2745" spans="1:2">
      <c r="A2745">
        <v>0</v>
      </c>
      <c r="B2745">
        <v>0</v>
      </c>
    </row>
    <row r="2746" spans="1:2">
      <c r="A2746" t="s">
        <v>26</v>
      </c>
      <c r="B2746">
        <v>0</v>
      </c>
    </row>
    <row r="2747" spans="1:2">
      <c r="A2747">
        <v>0</v>
      </c>
      <c r="B2747">
        <v>0</v>
      </c>
    </row>
    <row r="2748" spans="1:2">
      <c r="A2748">
        <v>0</v>
      </c>
      <c r="B2748">
        <v>0</v>
      </c>
    </row>
    <row r="2749" spans="1:2">
      <c r="A2749">
        <v>0</v>
      </c>
      <c r="B2749">
        <v>0</v>
      </c>
    </row>
    <row r="2750" spans="1:2">
      <c r="A2750" t="s">
        <v>19</v>
      </c>
      <c r="B2750">
        <v>0</v>
      </c>
    </row>
    <row r="2751" spans="1:2">
      <c r="A2751">
        <v>0</v>
      </c>
      <c r="B2751">
        <v>0</v>
      </c>
    </row>
    <row r="2752" spans="1:2">
      <c r="A2752">
        <v>0</v>
      </c>
      <c r="B2752">
        <v>0</v>
      </c>
    </row>
    <row r="2753" spans="1:2">
      <c r="A2753">
        <v>0</v>
      </c>
      <c r="B2753">
        <v>0</v>
      </c>
    </row>
    <row r="2754" spans="1:2">
      <c r="A2754">
        <v>0</v>
      </c>
      <c r="B2754">
        <v>0</v>
      </c>
    </row>
    <row r="2755" spans="1:2">
      <c r="A2755">
        <v>0</v>
      </c>
      <c r="B2755">
        <v>0</v>
      </c>
    </row>
    <row r="2756" spans="1:2">
      <c r="A2756">
        <v>0</v>
      </c>
      <c r="B2756">
        <v>0</v>
      </c>
    </row>
    <row r="2757" spans="1:2">
      <c r="A2757">
        <v>0</v>
      </c>
      <c r="B2757">
        <v>74</v>
      </c>
    </row>
    <row r="2758" spans="1:2">
      <c r="A2758">
        <v>0</v>
      </c>
      <c r="B2758">
        <v>194</v>
      </c>
    </row>
    <row r="2759" spans="1:2">
      <c r="A2759" t="s">
        <v>31</v>
      </c>
      <c r="B2759">
        <v>188.13</v>
      </c>
    </row>
    <row r="2760" spans="1:2">
      <c r="A2760">
        <v>0</v>
      </c>
      <c r="B2760">
        <v>73.55</v>
      </c>
    </row>
    <row r="2761" spans="1:2">
      <c r="A2761" t="s">
        <v>30</v>
      </c>
      <c r="B2761">
        <v>68.39</v>
      </c>
    </row>
    <row r="2762" spans="1:2">
      <c r="A2762">
        <v>0</v>
      </c>
      <c r="B2762">
        <v>59.43</v>
      </c>
    </row>
    <row r="2763" spans="1:2">
      <c r="A2763">
        <v>0</v>
      </c>
      <c r="B2763">
        <v>54.54</v>
      </c>
    </row>
    <row r="2764" spans="1:2">
      <c r="A2764">
        <v>0</v>
      </c>
      <c r="B2764">
        <v>40.299999999999997</v>
      </c>
    </row>
    <row r="2765" spans="1:2">
      <c r="A2765">
        <v>0</v>
      </c>
      <c r="B2765">
        <v>31.35</v>
      </c>
    </row>
    <row r="2766" spans="1:2">
      <c r="A2766">
        <v>0</v>
      </c>
      <c r="B2766">
        <v>28.22</v>
      </c>
    </row>
    <row r="2767" spans="1:2">
      <c r="A2767">
        <v>0</v>
      </c>
      <c r="B2767">
        <v>16.739999999999998</v>
      </c>
    </row>
    <row r="2768" spans="1:2">
      <c r="A2768" t="s">
        <v>29</v>
      </c>
      <c r="B2768">
        <v>15.78</v>
      </c>
    </row>
    <row r="2769" spans="1:2">
      <c r="A2769" t="s">
        <v>30</v>
      </c>
      <c r="B2769">
        <v>0</v>
      </c>
    </row>
    <row r="2770" spans="1:2">
      <c r="A2770">
        <v>0</v>
      </c>
      <c r="B2770">
        <v>0</v>
      </c>
    </row>
    <row r="2771" spans="1:2">
      <c r="A2771" t="s">
        <v>28</v>
      </c>
      <c r="B2771">
        <v>0</v>
      </c>
    </row>
    <row r="2772" spans="1:2">
      <c r="A2772">
        <v>0</v>
      </c>
      <c r="B2772">
        <v>0</v>
      </c>
    </row>
    <row r="2773" spans="1:2">
      <c r="A2773">
        <v>0</v>
      </c>
      <c r="B2773">
        <v>0</v>
      </c>
    </row>
    <row r="2774" spans="1:2">
      <c r="A2774" t="s">
        <v>25</v>
      </c>
      <c r="B2774">
        <v>0</v>
      </c>
    </row>
    <row r="2775" spans="1:2">
      <c r="A2775" t="s">
        <v>29</v>
      </c>
      <c r="B2775">
        <v>0</v>
      </c>
    </row>
    <row r="2776" spans="1:2">
      <c r="A2776">
        <v>0</v>
      </c>
      <c r="B2776">
        <v>0</v>
      </c>
    </row>
    <row r="2777" spans="1:2">
      <c r="A2777">
        <v>0</v>
      </c>
      <c r="B2777">
        <v>0</v>
      </c>
    </row>
    <row r="2778" spans="1:2">
      <c r="A2778" t="s">
        <v>29</v>
      </c>
      <c r="B2778">
        <v>0</v>
      </c>
    </row>
    <row r="2779" spans="1:2">
      <c r="A2779">
        <v>0</v>
      </c>
      <c r="B2779">
        <v>0</v>
      </c>
    </row>
    <row r="2780" spans="1:2">
      <c r="A2780">
        <v>0</v>
      </c>
      <c r="B2780">
        <v>0</v>
      </c>
    </row>
    <row r="2781" spans="1:2">
      <c r="A2781">
        <v>0</v>
      </c>
      <c r="B2781">
        <v>0</v>
      </c>
    </row>
    <row r="2782" spans="1:2">
      <c r="A2782">
        <v>0</v>
      </c>
      <c r="B2782">
        <v>0</v>
      </c>
    </row>
    <row r="2783" spans="1:2">
      <c r="A2783" t="s">
        <v>26</v>
      </c>
      <c r="B2783">
        <v>0</v>
      </c>
    </row>
    <row r="2784" spans="1:2">
      <c r="A2784" t="s">
        <v>25</v>
      </c>
      <c r="B2784">
        <v>459</v>
      </c>
    </row>
    <row r="2785" spans="1:2">
      <c r="A2785" t="s">
        <v>26</v>
      </c>
      <c r="B2785">
        <v>13</v>
      </c>
    </row>
    <row r="2786" spans="1:2">
      <c r="A2786">
        <v>0</v>
      </c>
      <c r="B2786">
        <v>200.27</v>
      </c>
    </row>
    <row r="2787" spans="1:2">
      <c r="A2787">
        <v>0</v>
      </c>
      <c r="B2787">
        <v>147.51</v>
      </c>
    </row>
    <row r="2788" spans="1:2">
      <c r="A2788">
        <v>0</v>
      </c>
      <c r="B2788">
        <v>111</v>
      </c>
    </row>
    <row r="2789" spans="1:2">
      <c r="A2789">
        <v>0</v>
      </c>
      <c r="B2789">
        <v>91.63</v>
      </c>
    </row>
    <row r="2790" spans="1:2">
      <c r="A2790">
        <v>0</v>
      </c>
      <c r="B2790">
        <v>88.71</v>
      </c>
    </row>
    <row r="2791" spans="1:2">
      <c r="A2791" t="s">
        <v>28</v>
      </c>
      <c r="B2791">
        <v>65.459999999999994</v>
      </c>
    </row>
    <row r="2792" spans="1:2">
      <c r="A2792">
        <v>0</v>
      </c>
      <c r="B2792">
        <v>58.71</v>
      </c>
    </row>
    <row r="2793" spans="1:2">
      <c r="A2793">
        <v>0</v>
      </c>
      <c r="B2793">
        <v>45.75</v>
      </c>
    </row>
    <row r="2794" spans="1:2">
      <c r="A2794">
        <v>0</v>
      </c>
      <c r="B2794">
        <v>40.909999999999997</v>
      </c>
    </row>
    <row r="2795" spans="1:2">
      <c r="A2795" t="s">
        <v>29</v>
      </c>
      <c r="B2795">
        <v>15.64</v>
      </c>
    </row>
    <row r="2796" spans="1:2">
      <c r="A2796">
        <v>0</v>
      </c>
      <c r="B2796">
        <v>0</v>
      </c>
    </row>
    <row r="2797" spans="1:2">
      <c r="A2797">
        <v>0</v>
      </c>
      <c r="B2797">
        <v>0</v>
      </c>
    </row>
    <row r="2798" spans="1:2">
      <c r="A2798" t="s">
        <v>31</v>
      </c>
      <c r="B2798">
        <v>0</v>
      </c>
    </row>
    <row r="2799" spans="1:2">
      <c r="A2799">
        <v>0</v>
      </c>
      <c r="B2799">
        <v>0</v>
      </c>
    </row>
    <row r="2800" spans="1:2">
      <c r="A2800" t="s">
        <v>31</v>
      </c>
      <c r="B2800">
        <v>0</v>
      </c>
    </row>
    <row r="2801" spans="1:2">
      <c r="A2801" t="s">
        <v>30</v>
      </c>
      <c r="B2801">
        <v>0</v>
      </c>
    </row>
    <row r="2802" spans="1:2">
      <c r="A2802">
        <v>0</v>
      </c>
      <c r="B2802">
        <v>0</v>
      </c>
    </row>
    <row r="2803" spans="1:2">
      <c r="A2803">
        <v>0</v>
      </c>
      <c r="B2803">
        <v>0</v>
      </c>
    </row>
    <row r="2804" spans="1:2">
      <c r="A2804" t="s">
        <v>31</v>
      </c>
      <c r="B2804">
        <v>0</v>
      </c>
    </row>
    <row r="2805" spans="1:2">
      <c r="A2805">
        <v>0</v>
      </c>
      <c r="B2805">
        <v>0</v>
      </c>
    </row>
    <row r="2806" spans="1:2">
      <c r="A2806">
        <v>0</v>
      </c>
      <c r="B2806">
        <v>0</v>
      </c>
    </row>
    <row r="2807" spans="1:2">
      <c r="A2807">
        <v>0</v>
      </c>
      <c r="B2807">
        <v>0</v>
      </c>
    </row>
    <row r="2808" spans="1:2">
      <c r="A2808" t="s">
        <v>31</v>
      </c>
      <c r="B2808">
        <v>0</v>
      </c>
    </row>
    <row r="2809" spans="1:2">
      <c r="A2809" t="s">
        <v>31</v>
      </c>
      <c r="B2809">
        <v>0</v>
      </c>
    </row>
    <row r="2810" spans="1:2">
      <c r="A2810">
        <v>0</v>
      </c>
      <c r="B2810">
        <v>0</v>
      </c>
    </row>
    <row r="2811" spans="1:2">
      <c r="A2811">
        <v>0</v>
      </c>
      <c r="B2811">
        <v>0</v>
      </c>
    </row>
    <row r="2812" spans="1:2">
      <c r="A2812">
        <v>0</v>
      </c>
      <c r="B2812">
        <v>0</v>
      </c>
    </row>
    <row r="2813" spans="1:2">
      <c r="A2813" t="s">
        <v>25</v>
      </c>
      <c r="B2813">
        <v>0</v>
      </c>
    </row>
    <row r="2814" spans="1:2">
      <c r="A2814">
        <v>0</v>
      </c>
      <c r="B2814">
        <v>491</v>
      </c>
    </row>
    <row r="2815" spans="1:2">
      <c r="A2815" t="s">
        <v>28</v>
      </c>
      <c r="B2815">
        <v>300</v>
      </c>
    </row>
    <row r="2816" spans="1:2">
      <c r="A2816" t="s">
        <v>19</v>
      </c>
      <c r="B2816">
        <v>143.09</v>
      </c>
    </row>
    <row r="2817" spans="1:2">
      <c r="A2817">
        <v>0</v>
      </c>
      <c r="B2817">
        <v>85.48</v>
      </c>
    </row>
    <row r="2818" spans="1:2">
      <c r="A2818">
        <v>0</v>
      </c>
      <c r="B2818">
        <v>30.71</v>
      </c>
    </row>
    <row r="2819" spans="1:2">
      <c r="A2819" t="s">
        <v>26</v>
      </c>
      <c r="B2819">
        <v>30.71</v>
      </c>
    </row>
    <row r="2820" spans="1:2">
      <c r="A2820">
        <v>0</v>
      </c>
      <c r="B2820">
        <v>28.85</v>
      </c>
    </row>
    <row r="2821" spans="1:2">
      <c r="A2821">
        <v>0</v>
      </c>
      <c r="B2821">
        <v>15.25</v>
      </c>
    </row>
    <row r="2822" spans="1:2">
      <c r="A2822">
        <v>0</v>
      </c>
      <c r="B2822">
        <v>0</v>
      </c>
    </row>
    <row r="2823" spans="1:2">
      <c r="A2823">
        <v>0</v>
      </c>
      <c r="B2823">
        <v>0</v>
      </c>
    </row>
    <row r="2824" spans="1:2">
      <c r="A2824">
        <v>0</v>
      </c>
      <c r="B2824">
        <v>0</v>
      </c>
    </row>
    <row r="2825" spans="1:2">
      <c r="A2825">
        <v>0</v>
      </c>
      <c r="B2825">
        <v>0</v>
      </c>
    </row>
    <row r="2826" spans="1:2">
      <c r="A2826">
        <v>0</v>
      </c>
      <c r="B2826">
        <v>0</v>
      </c>
    </row>
    <row r="2827" spans="1:2">
      <c r="A2827">
        <v>0</v>
      </c>
      <c r="B2827">
        <v>0</v>
      </c>
    </row>
    <row r="2828" spans="1:2">
      <c r="A2828">
        <v>0</v>
      </c>
      <c r="B2828">
        <v>0</v>
      </c>
    </row>
    <row r="2829" spans="1:2">
      <c r="A2829">
        <v>0</v>
      </c>
      <c r="B2829">
        <v>0</v>
      </c>
    </row>
    <row r="2830" spans="1:2">
      <c r="A2830" t="s">
        <v>25</v>
      </c>
      <c r="B2830">
        <v>0</v>
      </c>
    </row>
    <row r="2831" spans="1:2">
      <c r="A2831" t="s">
        <v>26</v>
      </c>
      <c r="B2831">
        <v>0</v>
      </c>
    </row>
    <row r="2832" spans="1:2">
      <c r="A2832">
        <v>0</v>
      </c>
      <c r="B2832">
        <v>0</v>
      </c>
    </row>
    <row r="2833" spans="1:2">
      <c r="A2833">
        <v>0</v>
      </c>
      <c r="B2833">
        <v>0</v>
      </c>
    </row>
    <row r="2834" spans="1:2">
      <c r="A2834">
        <v>0</v>
      </c>
      <c r="B2834">
        <v>0</v>
      </c>
    </row>
    <row r="2835" spans="1:2">
      <c r="A2835">
        <v>0</v>
      </c>
      <c r="B2835">
        <v>0</v>
      </c>
    </row>
    <row r="2836" spans="1:2">
      <c r="A2836">
        <v>0</v>
      </c>
      <c r="B2836">
        <v>0</v>
      </c>
    </row>
    <row r="2837" spans="1:2">
      <c r="A2837">
        <v>0</v>
      </c>
      <c r="B2837">
        <v>0</v>
      </c>
    </row>
    <row r="2838" spans="1:2">
      <c r="A2838">
        <v>0</v>
      </c>
      <c r="B2838">
        <v>0</v>
      </c>
    </row>
    <row r="2839" spans="1:2">
      <c r="A2839" t="s">
        <v>25</v>
      </c>
      <c r="B2839">
        <v>0</v>
      </c>
    </row>
    <row r="2840" spans="1:2">
      <c r="A2840">
        <v>0</v>
      </c>
      <c r="B2840">
        <v>0</v>
      </c>
    </row>
    <row r="2841" spans="1:2">
      <c r="A2841" t="s">
        <v>26</v>
      </c>
      <c r="B2841">
        <v>0</v>
      </c>
    </row>
    <row r="2842" spans="1:2">
      <c r="A2842">
        <v>0</v>
      </c>
      <c r="B2842">
        <v>327.44</v>
      </c>
    </row>
    <row r="2843" spans="1:2">
      <c r="A2843">
        <v>0</v>
      </c>
      <c r="B2843">
        <v>154.99</v>
      </c>
    </row>
    <row r="2844" spans="1:2">
      <c r="A2844">
        <v>0</v>
      </c>
      <c r="B2844">
        <v>139.44</v>
      </c>
    </row>
    <row r="2845" spans="1:2">
      <c r="A2845">
        <v>0</v>
      </c>
      <c r="B2845">
        <v>96.85</v>
      </c>
    </row>
    <row r="2846" spans="1:2">
      <c r="A2846" t="s">
        <v>28</v>
      </c>
      <c r="B2846">
        <v>90.37</v>
      </c>
    </row>
    <row r="2847" spans="1:2">
      <c r="A2847" t="s">
        <v>30</v>
      </c>
      <c r="B2847">
        <v>45.85</v>
      </c>
    </row>
    <row r="2848" spans="1:2">
      <c r="A2848">
        <v>0</v>
      </c>
      <c r="B2848">
        <v>28.78</v>
      </c>
    </row>
    <row r="2849" spans="1:2">
      <c r="A2849">
        <v>0</v>
      </c>
      <c r="B2849">
        <v>19.329999999999998</v>
      </c>
    </row>
    <row r="2850" spans="1:2">
      <c r="A2850">
        <v>0</v>
      </c>
      <c r="B2850">
        <v>0</v>
      </c>
    </row>
    <row r="2851" spans="1:2">
      <c r="A2851" t="s">
        <v>29</v>
      </c>
      <c r="B2851">
        <v>0</v>
      </c>
    </row>
    <row r="2852" spans="1:2">
      <c r="A2852">
        <v>0</v>
      </c>
      <c r="B2852">
        <v>0</v>
      </c>
    </row>
    <row r="2853" spans="1:2">
      <c r="A2853" t="s">
        <v>31</v>
      </c>
      <c r="B2853">
        <v>0</v>
      </c>
    </row>
    <row r="2854" spans="1:2">
      <c r="A2854">
        <v>0</v>
      </c>
      <c r="B2854">
        <v>0</v>
      </c>
    </row>
    <row r="2855" spans="1:2">
      <c r="A2855">
        <v>0</v>
      </c>
      <c r="B2855">
        <v>0</v>
      </c>
    </row>
    <row r="2856" spans="1:2">
      <c r="A2856" t="s">
        <v>28</v>
      </c>
      <c r="B2856">
        <v>0</v>
      </c>
    </row>
    <row r="2857" spans="1:2">
      <c r="A2857" t="s">
        <v>25</v>
      </c>
      <c r="B2857">
        <v>0</v>
      </c>
    </row>
    <row r="2858" spans="1:2">
      <c r="A2858">
        <v>0</v>
      </c>
      <c r="B2858">
        <v>0</v>
      </c>
    </row>
    <row r="2859" spans="1:2">
      <c r="A2859">
        <v>0</v>
      </c>
      <c r="B2859">
        <v>0</v>
      </c>
    </row>
    <row r="2860" spans="1:2">
      <c r="A2860" t="s">
        <v>25</v>
      </c>
      <c r="B2860">
        <v>0</v>
      </c>
    </row>
    <row r="2861" spans="1:2">
      <c r="A2861">
        <v>0</v>
      </c>
      <c r="B2861">
        <v>0</v>
      </c>
    </row>
    <row r="2862" spans="1:2">
      <c r="A2862">
        <v>0</v>
      </c>
      <c r="B2862">
        <v>275.45999999999998</v>
      </c>
    </row>
    <row r="2863" spans="1:2">
      <c r="A2863" t="s">
        <v>26</v>
      </c>
      <c r="B2863">
        <v>172.19</v>
      </c>
    </row>
    <row r="2864" spans="1:2">
      <c r="A2864" t="s">
        <v>30</v>
      </c>
      <c r="B2864">
        <v>143.28</v>
      </c>
    </row>
    <row r="2865" spans="1:2">
      <c r="A2865" t="s">
        <v>30</v>
      </c>
      <c r="B2865">
        <v>121.24</v>
      </c>
    </row>
    <row r="2866" spans="1:2">
      <c r="A2866" t="s">
        <v>26</v>
      </c>
      <c r="B2866">
        <v>74.510000000000005</v>
      </c>
    </row>
    <row r="2867" spans="1:2">
      <c r="A2867">
        <v>0</v>
      </c>
      <c r="B2867">
        <v>53.94</v>
      </c>
    </row>
    <row r="2868" spans="1:2">
      <c r="A2868">
        <v>0</v>
      </c>
      <c r="B2868">
        <v>41.86</v>
      </c>
    </row>
    <row r="2869" spans="1:2">
      <c r="A2869">
        <v>0</v>
      </c>
      <c r="B2869">
        <v>40.409999999999997</v>
      </c>
    </row>
    <row r="2870" spans="1:2">
      <c r="A2870">
        <v>0</v>
      </c>
      <c r="B2870">
        <v>34.25</v>
      </c>
    </row>
    <row r="2871" spans="1:2">
      <c r="A2871">
        <v>0</v>
      </c>
      <c r="B2871">
        <v>32.229999999999997</v>
      </c>
    </row>
    <row r="2872" spans="1:2">
      <c r="A2872">
        <v>0</v>
      </c>
      <c r="B2872">
        <v>28.63</v>
      </c>
    </row>
    <row r="2873" spans="1:2">
      <c r="A2873">
        <v>0</v>
      </c>
      <c r="B2873">
        <v>25.45</v>
      </c>
    </row>
    <row r="2874" spans="1:2">
      <c r="A2874">
        <v>0</v>
      </c>
      <c r="B2874">
        <v>17.38</v>
      </c>
    </row>
    <row r="2875" spans="1:2">
      <c r="A2875">
        <v>0</v>
      </c>
      <c r="B2875">
        <v>13.56</v>
      </c>
    </row>
    <row r="2876" spans="1:2">
      <c r="A2876" t="s">
        <v>28</v>
      </c>
      <c r="B2876">
        <v>13.49</v>
      </c>
    </row>
    <row r="2877" spans="1:2">
      <c r="A2877">
        <v>0</v>
      </c>
      <c r="B2877">
        <v>0</v>
      </c>
    </row>
    <row r="2878" spans="1:2">
      <c r="A2878">
        <v>0</v>
      </c>
      <c r="B2878">
        <v>0</v>
      </c>
    </row>
    <row r="2879" spans="1:2">
      <c r="A2879">
        <v>0</v>
      </c>
      <c r="B2879">
        <v>0</v>
      </c>
    </row>
    <row r="2880" spans="1:2">
      <c r="A2880">
        <v>0</v>
      </c>
      <c r="B2880">
        <v>0</v>
      </c>
    </row>
    <row r="2881" spans="1:2">
      <c r="A2881">
        <v>0</v>
      </c>
      <c r="B2881">
        <v>0</v>
      </c>
    </row>
    <row r="2882" spans="1:2">
      <c r="A2882">
        <v>0</v>
      </c>
      <c r="B2882">
        <v>0</v>
      </c>
    </row>
    <row r="2883" spans="1:2">
      <c r="A2883">
        <v>0</v>
      </c>
      <c r="B2883">
        <v>0</v>
      </c>
    </row>
    <row r="2884" spans="1:2">
      <c r="A2884">
        <v>0</v>
      </c>
      <c r="B2884">
        <v>0</v>
      </c>
    </row>
    <row r="2885" spans="1:2">
      <c r="A2885">
        <v>0</v>
      </c>
      <c r="B2885">
        <v>0</v>
      </c>
    </row>
    <row r="2886" spans="1:2">
      <c r="A2886">
        <v>0</v>
      </c>
      <c r="B2886">
        <v>0</v>
      </c>
    </row>
    <row r="2887" spans="1:2">
      <c r="A2887">
        <v>0</v>
      </c>
      <c r="B2887">
        <v>0</v>
      </c>
    </row>
    <row r="2888" spans="1:2">
      <c r="A2888">
        <v>0</v>
      </c>
      <c r="B2888">
        <v>0</v>
      </c>
    </row>
    <row r="2889" spans="1:2">
      <c r="A2889" t="s">
        <v>26</v>
      </c>
      <c r="B2889">
        <v>0</v>
      </c>
    </row>
    <row r="2890" spans="1:2">
      <c r="A2890">
        <v>0</v>
      </c>
      <c r="B2890">
        <v>0</v>
      </c>
    </row>
    <row r="2891" spans="1:2">
      <c r="A2891">
        <v>0</v>
      </c>
      <c r="B2891">
        <v>0</v>
      </c>
    </row>
    <row r="2892" spans="1:2">
      <c r="A2892">
        <v>0</v>
      </c>
      <c r="B2892">
        <v>0</v>
      </c>
    </row>
    <row r="2893" spans="1:2">
      <c r="A2893">
        <v>0</v>
      </c>
      <c r="B2893">
        <v>0</v>
      </c>
    </row>
    <row r="2894" spans="1:2">
      <c r="A2894" t="s">
        <v>29</v>
      </c>
      <c r="B2894">
        <v>0</v>
      </c>
    </row>
    <row r="2895" spans="1:2">
      <c r="A2895">
        <v>0</v>
      </c>
      <c r="B2895">
        <v>0</v>
      </c>
    </row>
    <row r="2896" spans="1:2">
      <c r="A2896">
        <v>0</v>
      </c>
      <c r="B2896">
        <v>91</v>
      </c>
    </row>
    <row r="2897" spans="1:2">
      <c r="A2897">
        <v>0</v>
      </c>
      <c r="B2897">
        <v>390</v>
      </c>
    </row>
    <row r="2898" spans="1:2">
      <c r="A2898" t="s">
        <v>29</v>
      </c>
      <c r="B2898">
        <v>92.15</v>
      </c>
    </row>
    <row r="2899" spans="1:2">
      <c r="A2899">
        <v>0</v>
      </c>
      <c r="B2899">
        <v>81.67</v>
      </c>
    </row>
    <row r="2900" spans="1:2">
      <c r="A2900">
        <v>0</v>
      </c>
      <c r="B2900">
        <v>48.96</v>
      </c>
    </row>
    <row r="2901" spans="1:2">
      <c r="A2901" t="s">
        <v>28</v>
      </c>
      <c r="B2901">
        <v>40.770000000000003</v>
      </c>
    </row>
    <row r="2902" spans="1:2">
      <c r="A2902">
        <v>0</v>
      </c>
      <c r="B2902">
        <v>36.47</v>
      </c>
    </row>
    <row r="2903" spans="1:2">
      <c r="A2903">
        <v>0</v>
      </c>
      <c r="B2903">
        <v>29.55</v>
      </c>
    </row>
    <row r="2904" spans="1:2">
      <c r="A2904" t="s">
        <v>31</v>
      </c>
      <c r="B2904">
        <v>19.829999999999998</v>
      </c>
    </row>
    <row r="2905" spans="1:2">
      <c r="A2905">
        <v>0</v>
      </c>
      <c r="B2905">
        <v>0</v>
      </c>
    </row>
    <row r="2906" spans="1:2">
      <c r="A2906" t="s">
        <v>30</v>
      </c>
      <c r="B2906">
        <v>0</v>
      </c>
    </row>
    <row r="2907" spans="1:2">
      <c r="A2907">
        <v>0</v>
      </c>
      <c r="B2907">
        <v>0</v>
      </c>
    </row>
    <row r="2908" spans="1:2">
      <c r="A2908" t="s">
        <v>29</v>
      </c>
      <c r="B2908">
        <v>0</v>
      </c>
    </row>
    <row r="2909" spans="1:2">
      <c r="A2909" t="s">
        <v>30</v>
      </c>
      <c r="B2909">
        <v>0</v>
      </c>
    </row>
    <row r="2910" spans="1:2">
      <c r="A2910">
        <v>0</v>
      </c>
      <c r="B2910">
        <v>0</v>
      </c>
    </row>
    <row r="2911" spans="1:2">
      <c r="A2911">
        <v>0</v>
      </c>
      <c r="B2911">
        <v>0</v>
      </c>
    </row>
    <row r="2912" spans="1:2">
      <c r="A2912" t="s">
        <v>28</v>
      </c>
      <c r="B2912">
        <v>0</v>
      </c>
    </row>
    <row r="2913" spans="1:2">
      <c r="A2913">
        <v>0</v>
      </c>
      <c r="B2913">
        <v>0</v>
      </c>
    </row>
    <row r="2914" spans="1:2">
      <c r="A2914">
        <v>0</v>
      </c>
      <c r="B2914">
        <v>0</v>
      </c>
    </row>
    <row r="2915" spans="1:2">
      <c r="A2915">
        <v>0</v>
      </c>
      <c r="B2915">
        <v>0</v>
      </c>
    </row>
    <row r="2916" spans="1:2">
      <c r="A2916">
        <v>0</v>
      </c>
      <c r="B2916">
        <v>0</v>
      </c>
    </row>
    <row r="2917" spans="1:2">
      <c r="A2917">
        <v>0</v>
      </c>
      <c r="B2917">
        <v>0</v>
      </c>
    </row>
    <row r="2918" spans="1:2">
      <c r="A2918">
        <v>0</v>
      </c>
      <c r="B2918">
        <v>0</v>
      </c>
    </row>
    <row r="2919" spans="1:2">
      <c r="A2919">
        <v>0</v>
      </c>
      <c r="B2919">
        <v>0</v>
      </c>
    </row>
    <row r="2920" spans="1:2">
      <c r="A2920">
        <v>0</v>
      </c>
      <c r="B2920">
        <v>0</v>
      </c>
    </row>
    <row r="2921" spans="1:2">
      <c r="A2921">
        <v>0</v>
      </c>
      <c r="B2921">
        <v>0</v>
      </c>
    </row>
    <row r="2922" spans="1:2">
      <c r="A2922">
        <v>0</v>
      </c>
      <c r="B2922">
        <v>166.04</v>
      </c>
    </row>
    <row r="2923" spans="1:2">
      <c r="A2923">
        <v>0</v>
      </c>
      <c r="B2923">
        <v>132.86000000000001</v>
      </c>
    </row>
    <row r="2924" spans="1:2">
      <c r="A2924">
        <v>0</v>
      </c>
      <c r="B2924">
        <v>130.4</v>
      </c>
    </row>
    <row r="2925" spans="1:2">
      <c r="A2925" t="s">
        <v>26</v>
      </c>
      <c r="B2925">
        <v>105.24</v>
      </c>
    </row>
    <row r="2926" spans="1:2">
      <c r="A2926">
        <v>0</v>
      </c>
      <c r="B2926">
        <v>104.38</v>
      </c>
    </row>
    <row r="2927" spans="1:2">
      <c r="A2927">
        <v>0</v>
      </c>
      <c r="B2927">
        <v>99.64</v>
      </c>
    </row>
    <row r="2928" spans="1:2">
      <c r="A2928" t="s">
        <v>26</v>
      </c>
      <c r="B2928">
        <v>73.33</v>
      </c>
    </row>
    <row r="2929" spans="1:2">
      <c r="A2929">
        <v>0</v>
      </c>
      <c r="B2929">
        <v>57.3</v>
      </c>
    </row>
    <row r="2930" spans="1:2">
      <c r="A2930">
        <v>0</v>
      </c>
      <c r="B2930">
        <v>55.7</v>
      </c>
    </row>
    <row r="2931" spans="1:2">
      <c r="A2931" t="s">
        <v>29</v>
      </c>
      <c r="B2931">
        <v>53.18</v>
      </c>
    </row>
    <row r="2932" spans="1:2">
      <c r="A2932" t="s">
        <v>31</v>
      </c>
      <c r="B2932">
        <v>42.34</v>
      </c>
    </row>
    <row r="2933" spans="1:2">
      <c r="A2933" t="s">
        <v>29</v>
      </c>
      <c r="B2933">
        <v>37.21</v>
      </c>
    </row>
    <row r="2934" spans="1:2">
      <c r="A2934" t="s">
        <v>25</v>
      </c>
      <c r="B2934">
        <v>33.43</v>
      </c>
    </row>
    <row r="2935" spans="1:2">
      <c r="A2935" t="s">
        <v>31</v>
      </c>
      <c r="B2935">
        <v>29.31</v>
      </c>
    </row>
    <row r="2936" spans="1:2">
      <c r="A2936">
        <v>0</v>
      </c>
      <c r="B2936">
        <v>19.36</v>
      </c>
    </row>
    <row r="2937" spans="1:2">
      <c r="A2937">
        <v>0</v>
      </c>
      <c r="B2937">
        <v>16.78</v>
      </c>
    </row>
    <row r="2938" spans="1:2">
      <c r="A2938">
        <v>0</v>
      </c>
      <c r="B2938">
        <v>0</v>
      </c>
    </row>
    <row r="2939" spans="1:2">
      <c r="A2939">
        <v>0</v>
      </c>
      <c r="B2939">
        <v>0</v>
      </c>
    </row>
    <row r="2940" spans="1:2">
      <c r="A2940" t="s">
        <v>31</v>
      </c>
      <c r="B2940">
        <v>0</v>
      </c>
    </row>
    <row r="2941" spans="1:2">
      <c r="A2941" t="s">
        <v>26</v>
      </c>
      <c r="B2941">
        <v>0</v>
      </c>
    </row>
    <row r="2942" spans="1:2">
      <c r="A2942">
        <v>0</v>
      </c>
      <c r="B2942">
        <v>0</v>
      </c>
    </row>
    <row r="2943" spans="1:2">
      <c r="A2943">
        <v>0</v>
      </c>
      <c r="B2943">
        <v>0</v>
      </c>
    </row>
    <row r="2944" spans="1:2">
      <c r="A2944" t="s">
        <v>31</v>
      </c>
      <c r="B2944">
        <v>0</v>
      </c>
    </row>
    <row r="2945" spans="1:2">
      <c r="A2945">
        <v>0</v>
      </c>
      <c r="B2945">
        <v>0</v>
      </c>
    </row>
    <row r="2946" spans="1:2">
      <c r="A2946">
        <v>0</v>
      </c>
      <c r="B2946">
        <v>0</v>
      </c>
    </row>
    <row r="2947" spans="1:2">
      <c r="A2947">
        <v>0</v>
      </c>
      <c r="B2947">
        <v>0</v>
      </c>
    </row>
    <row r="2948" spans="1:2">
      <c r="A2948">
        <v>0</v>
      </c>
      <c r="B2948">
        <v>0</v>
      </c>
    </row>
    <row r="2949" spans="1:2">
      <c r="A2949">
        <v>0</v>
      </c>
      <c r="B2949">
        <v>0</v>
      </c>
    </row>
    <row r="2950" spans="1:2">
      <c r="A2950">
        <v>0</v>
      </c>
      <c r="B2950">
        <v>0</v>
      </c>
    </row>
    <row r="2951" spans="1:2">
      <c r="A2951">
        <v>0</v>
      </c>
      <c r="B2951">
        <v>0</v>
      </c>
    </row>
    <row r="2952" spans="1:2">
      <c r="A2952">
        <v>0</v>
      </c>
      <c r="B2952">
        <v>0</v>
      </c>
    </row>
    <row r="2953" spans="1:2">
      <c r="A2953" t="s">
        <v>25</v>
      </c>
      <c r="B2953">
        <v>0</v>
      </c>
    </row>
    <row r="2954" spans="1:2">
      <c r="A2954" t="s">
        <v>31</v>
      </c>
      <c r="B2954">
        <v>0</v>
      </c>
    </row>
    <row r="2955" spans="1:2">
      <c r="A2955" t="s">
        <v>29</v>
      </c>
      <c r="B2955">
        <v>0</v>
      </c>
    </row>
    <row r="2956" spans="1:2">
      <c r="A2956" t="s">
        <v>30</v>
      </c>
      <c r="B2956">
        <v>0</v>
      </c>
    </row>
    <row r="2957" spans="1:2">
      <c r="A2957">
        <v>0</v>
      </c>
      <c r="B2957">
        <v>226</v>
      </c>
    </row>
    <row r="2958" spans="1:2">
      <c r="A2958" t="s">
        <v>29</v>
      </c>
      <c r="B2958">
        <v>105.16</v>
      </c>
    </row>
    <row r="2959" spans="1:2">
      <c r="A2959">
        <v>0</v>
      </c>
      <c r="B2959">
        <v>103.42</v>
      </c>
    </row>
    <row r="2960" spans="1:2">
      <c r="A2960">
        <v>0</v>
      </c>
      <c r="B2960">
        <v>88.71</v>
      </c>
    </row>
    <row r="2961" spans="1:2">
      <c r="A2961">
        <v>0</v>
      </c>
      <c r="B2961">
        <v>39.17</v>
      </c>
    </row>
    <row r="2962" spans="1:2">
      <c r="A2962">
        <v>0</v>
      </c>
      <c r="B2962">
        <v>36.78</v>
      </c>
    </row>
    <row r="2963" spans="1:2">
      <c r="A2963">
        <v>0</v>
      </c>
      <c r="B2963">
        <v>0</v>
      </c>
    </row>
    <row r="2964" spans="1:2">
      <c r="A2964">
        <v>0</v>
      </c>
      <c r="B2964">
        <v>0</v>
      </c>
    </row>
    <row r="2965" spans="1:2">
      <c r="A2965">
        <v>0</v>
      </c>
      <c r="B2965">
        <v>0</v>
      </c>
    </row>
    <row r="2966" spans="1:2">
      <c r="A2966" t="s">
        <v>28</v>
      </c>
      <c r="B2966">
        <v>0</v>
      </c>
    </row>
    <row r="2967" spans="1:2">
      <c r="A2967">
        <v>0</v>
      </c>
      <c r="B2967">
        <v>0</v>
      </c>
    </row>
    <row r="2968" spans="1:2">
      <c r="A2968">
        <v>0</v>
      </c>
      <c r="B2968">
        <v>0</v>
      </c>
    </row>
    <row r="2969" spans="1:2">
      <c r="A2969">
        <v>0</v>
      </c>
      <c r="B2969">
        <v>0</v>
      </c>
    </row>
    <row r="2970" spans="1:2">
      <c r="A2970" t="s">
        <v>30</v>
      </c>
      <c r="B2970">
        <v>0</v>
      </c>
    </row>
    <row r="2971" spans="1:2">
      <c r="A2971">
        <v>0</v>
      </c>
      <c r="B2971">
        <v>0</v>
      </c>
    </row>
    <row r="2972" spans="1:2">
      <c r="A2972" t="s">
        <v>26</v>
      </c>
      <c r="B2972">
        <v>0</v>
      </c>
    </row>
    <row r="2973" spans="1:2">
      <c r="A2973">
        <v>0</v>
      </c>
      <c r="B2973">
        <v>0</v>
      </c>
    </row>
    <row r="2974" spans="1:2">
      <c r="A2974">
        <v>0</v>
      </c>
      <c r="B2974">
        <v>0</v>
      </c>
    </row>
    <row r="2975" spans="1:2">
      <c r="A2975">
        <v>0</v>
      </c>
      <c r="B2975">
        <v>0</v>
      </c>
    </row>
    <row r="2976" spans="1:2">
      <c r="A2976">
        <v>0</v>
      </c>
      <c r="B2976">
        <v>0</v>
      </c>
    </row>
    <row r="2977" spans="1:2">
      <c r="A2977">
        <v>0</v>
      </c>
      <c r="B2977">
        <v>0</v>
      </c>
    </row>
    <row r="2978" spans="1:2">
      <c r="A2978">
        <v>0</v>
      </c>
      <c r="B2978">
        <v>0</v>
      </c>
    </row>
    <row r="2979" spans="1:2">
      <c r="A2979" t="s">
        <v>25</v>
      </c>
      <c r="B2979">
        <v>0</v>
      </c>
    </row>
    <row r="2980" spans="1:2">
      <c r="A2980">
        <v>0</v>
      </c>
      <c r="B2980">
        <v>0</v>
      </c>
    </row>
    <row r="2981" spans="1:2">
      <c r="A2981">
        <v>0</v>
      </c>
      <c r="B2981">
        <v>0</v>
      </c>
    </row>
    <row r="2982" spans="1:2">
      <c r="A2982" t="s">
        <v>28</v>
      </c>
      <c r="B2982">
        <v>0</v>
      </c>
    </row>
    <row r="2983" spans="1:2">
      <c r="A2983">
        <v>0</v>
      </c>
      <c r="B2983">
        <v>0</v>
      </c>
    </row>
    <row r="2984" spans="1:2">
      <c r="A2984" t="s">
        <v>28</v>
      </c>
      <c r="B2984">
        <v>0</v>
      </c>
    </row>
    <row r="2985" spans="1:2">
      <c r="A2985" t="s">
        <v>29</v>
      </c>
      <c r="B2985">
        <v>139</v>
      </c>
    </row>
    <row r="2986" spans="1:2">
      <c r="A2986" t="s">
        <v>29</v>
      </c>
      <c r="B2986">
        <v>166.15</v>
      </c>
    </row>
    <row r="2987" spans="1:2">
      <c r="A2987">
        <v>0</v>
      </c>
      <c r="B2987">
        <v>141.18</v>
      </c>
    </row>
    <row r="2988" spans="1:2">
      <c r="A2988">
        <v>0</v>
      </c>
      <c r="B2988">
        <v>77.16</v>
      </c>
    </row>
    <row r="2989" spans="1:2">
      <c r="A2989">
        <v>0</v>
      </c>
      <c r="B2989">
        <v>66.13</v>
      </c>
    </row>
    <row r="2990" spans="1:2">
      <c r="A2990" t="s">
        <v>25</v>
      </c>
      <c r="B2990">
        <v>54.6</v>
      </c>
    </row>
    <row r="2991" spans="1:2">
      <c r="A2991">
        <v>0</v>
      </c>
      <c r="B2991">
        <v>47.18</v>
      </c>
    </row>
    <row r="2992" spans="1:2">
      <c r="A2992">
        <v>0</v>
      </c>
      <c r="B2992">
        <v>40.46</v>
      </c>
    </row>
    <row r="2993" spans="1:2">
      <c r="A2993" t="s">
        <v>30</v>
      </c>
      <c r="B2993">
        <v>30.56</v>
      </c>
    </row>
    <row r="2994" spans="1:2">
      <c r="A2994">
        <v>0</v>
      </c>
      <c r="B2994">
        <v>16.47</v>
      </c>
    </row>
    <row r="2995" spans="1:2">
      <c r="A2995">
        <v>0</v>
      </c>
      <c r="B2995">
        <v>14.18</v>
      </c>
    </row>
    <row r="2996" spans="1:2">
      <c r="A2996">
        <v>0</v>
      </c>
      <c r="B2996">
        <v>0</v>
      </c>
    </row>
    <row r="2997" spans="1:2">
      <c r="A2997">
        <v>0</v>
      </c>
      <c r="B2997">
        <v>0</v>
      </c>
    </row>
    <row r="2998" spans="1:2">
      <c r="A2998" t="s">
        <v>29</v>
      </c>
      <c r="B2998">
        <v>0</v>
      </c>
    </row>
    <row r="2999" spans="1:2">
      <c r="A2999">
        <v>0</v>
      </c>
      <c r="B2999">
        <v>0</v>
      </c>
    </row>
    <row r="3000" spans="1:2">
      <c r="A3000">
        <v>0</v>
      </c>
      <c r="B3000">
        <v>0</v>
      </c>
    </row>
    <row r="3001" spans="1:2">
      <c r="A3001">
        <v>0</v>
      </c>
      <c r="B3001">
        <v>0</v>
      </c>
    </row>
    <row r="3002" spans="1:2">
      <c r="A3002" t="s">
        <v>31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 t="s">
        <v>19</v>
      </c>
      <c r="B3005">
        <v>0</v>
      </c>
    </row>
    <row r="3006" spans="1:2">
      <c r="A3006">
        <v>0</v>
      </c>
      <c r="B3006">
        <v>0</v>
      </c>
    </row>
    <row r="3007" spans="1:2">
      <c r="A3007" t="s">
        <v>26</v>
      </c>
      <c r="B3007">
        <v>0</v>
      </c>
    </row>
    <row r="3008" spans="1:2">
      <c r="A3008">
        <v>0</v>
      </c>
      <c r="B3008">
        <v>0</v>
      </c>
    </row>
    <row r="3009" spans="1:2">
      <c r="A3009">
        <v>0</v>
      </c>
      <c r="B3009">
        <v>0</v>
      </c>
    </row>
    <row r="3010" spans="1:2">
      <c r="A3010">
        <v>0</v>
      </c>
      <c r="B3010">
        <v>0</v>
      </c>
    </row>
    <row r="3011" spans="1:2">
      <c r="A3011">
        <v>0</v>
      </c>
      <c r="B3011">
        <v>0</v>
      </c>
    </row>
    <row r="3012" spans="1:2">
      <c r="A3012">
        <v>0</v>
      </c>
      <c r="B3012">
        <v>0</v>
      </c>
    </row>
    <row r="3013" spans="1:2">
      <c r="A3013" t="s">
        <v>25</v>
      </c>
      <c r="B3013">
        <v>151.33000000000001</v>
      </c>
    </row>
    <row r="3014" spans="1:2">
      <c r="A3014">
        <v>0</v>
      </c>
      <c r="B3014">
        <v>126.2</v>
      </c>
    </row>
    <row r="3015" spans="1:2">
      <c r="A3015">
        <v>0</v>
      </c>
      <c r="B3015">
        <v>61.89</v>
      </c>
    </row>
    <row r="3016" spans="1:2">
      <c r="A3016">
        <v>0</v>
      </c>
      <c r="B3016">
        <v>59.43</v>
      </c>
    </row>
    <row r="3017" spans="1:2">
      <c r="A3017" t="s">
        <v>30</v>
      </c>
      <c r="B3017">
        <v>44.5</v>
      </c>
    </row>
    <row r="3018" spans="1:2">
      <c r="A3018" t="s">
        <v>25</v>
      </c>
      <c r="B3018">
        <v>40.99</v>
      </c>
    </row>
    <row r="3019" spans="1:2">
      <c r="A3019">
        <v>0</v>
      </c>
      <c r="B3019">
        <v>36.35</v>
      </c>
    </row>
    <row r="3020" spans="1:2">
      <c r="A3020">
        <v>0</v>
      </c>
      <c r="B3020">
        <v>34.89</v>
      </c>
    </row>
    <row r="3021" spans="1:2">
      <c r="A3021">
        <v>0</v>
      </c>
      <c r="B3021">
        <v>28.78</v>
      </c>
    </row>
    <row r="3022" spans="1:2">
      <c r="A3022">
        <v>0</v>
      </c>
      <c r="B3022">
        <v>22.01</v>
      </c>
    </row>
    <row r="3023" spans="1:2">
      <c r="A3023">
        <v>0</v>
      </c>
      <c r="B3023">
        <v>15.27</v>
      </c>
    </row>
    <row r="3024" spans="1:2">
      <c r="A3024">
        <v>0</v>
      </c>
      <c r="B3024">
        <v>0</v>
      </c>
    </row>
    <row r="3025" spans="1:2">
      <c r="A3025">
        <v>0</v>
      </c>
      <c r="B3025">
        <v>0</v>
      </c>
    </row>
    <row r="3026" spans="1:2">
      <c r="A3026">
        <v>0</v>
      </c>
      <c r="B3026">
        <v>0</v>
      </c>
    </row>
    <row r="3027" spans="1:2">
      <c r="A3027">
        <v>0</v>
      </c>
      <c r="B3027">
        <v>0</v>
      </c>
    </row>
    <row r="3028" spans="1:2">
      <c r="A3028" t="s">
        <v>25</v>
      </c>
      <c r="B3028">
        <v>0</v>
      </c>
    </row>
    <row r="3029" spans="1:2">
      <c r="A3029">
        <v>0</v>
      </c>
      <c r="B3029">
        <v>0</v>
      </c>
    </row>
    <row r="3030" spans="1:2">
      <c r="A3030">
        <v>0</v>
      </c>
      <c r="B3030">
        <v>0</v>
      </c>
    </row>
    <row r="3031" spans="1:2">
      <c r="A3031">
        <v>0</v>
      </c>
      <c r="B3031">
        <v>0</v>
      </c>
    </row>
    <row r="3032" spans="1:2">
      <c r="A3032">
        <v>0</v>
      </c>
      <c r="B3032">
        <v>0</v>
      </c>
    </row>
    <row r="3033" spans="1:2">
      <c r="A3033" t="s">
        <v>26</v>
      </c>
      <c r="B3033">
        <v>0</v>
      </c>
    </row>
    <row r="3034" spans="1:2">
      <c r="A3034">
        <v>0</v>
      </c>
      <c r="B3034">
        <v>0</v>
      </c>
    </row>
    <row r="3035" spans="1:2">
      <c r="A3035">
        <v>0</v>
      </c>
      <c r="B3035">
        <v>0</v>
      </c>
    </row>
    <row r="3036" spans="1:2">
      <c r="A3036" t="s">
        <v>19</v>
      </c>
      <c r="B3036">
        <v>0</v>
      </c>
    </row>
    <row r="3037" spans="1:2">
      <c r="A3037" t="s">
        <v>31</v>
      </c>
      <c r="B3037">
        <v>0</v>
      </c>
    </row>
    <row r="3038" spans="1:2">
      <c r="A3038">
        <v>0</v>
      </c>
      <c r="B3038">
        <v>0</v>
      </c>
    </row>
    <row r="3039" spans="1:2">
      <c r="A3039">
        <v>0</v>
      </c>
      <c r="B3039">
        <v>0</v>
      </c>
    </row>
    <row r="3040" spans="1:2">
      <c r="A3040">
        <v>0</v>
      </c>
      <c r="B3040">
        <v>0</v>
      </c>
    </row>
    <row r="3041" spans="1:2">
      <c r="A3041">
        <v>0</v>
      </c>
      <c r="B3041">
        <v>0</v>
      </c>
    </row>
    <row r="3042" spans="1:2">
      <c r="A3042">
        <v>0</v>
      </c>
      <c r="B3042">
        <v>0</v>
      </c>
    </row>
    <row r="3043" spans="1:2">
      <c r="A3043">
        <v>0</v>
      </c>
      <c r="B3043">
        <v>0</v>
      </c>
    </row>
    <row r="3044" spans="1:2">
      <c r="A3044">
        <v>0</v>
      </c>
      <c r="B3044">
        <v>0</v>
      </c>
    </row>
    <row r="3045" spans="1:2">
      <c r="A3045" t="s">
        <v>29</v>
      </c>
      <c r="B3045">
        <v>158.58000000000001</v>
      </c>
    </row>
    <row r="3046" spans="1:2">
      <c r="A3046">
        <v>0</v>
      </c>
      <c r="B3046">
        <v>75.31</v>
      </c>
    </row>
    <row r="3047" spans="1:2">
      <c r="A3047">
        <v>0</v>
      </c>
      <c r="B3047">
        <v>73.459999999999994</v>
      </c>
    </row>
    <row r="3048" spans="1:2">
      <c r="A3048">
        <v>0</v>
      </c>
      <c r="B3048">
        <v>46.09</v>
      </c>
    </row>
    <row r="3049" spans="1:2">
      <c r="A3049">
        <v>0</v>
      </c>
      <c r="B3049">
        <v>33.46</v>
      </c>
    </row>
    <row r="3050" spans="1:2">
      <c r="A3050">
        <v>0</v>
      </c>
      <c r="B3050">
        <v>29</v>
      </c>
    </row>
    <row r="3051" spans="1:2">
      <c r="A3051">
        <v>0</v>
      </c>
      <c r="B3051">
        <v>24.87</v>
      </c>
    </row>
    <row r="3052" spans="1:2">
      <c r="A3052">
        <v>0</v>
      </c>
      <c r="B3052">
        <v>15.76</v>
      </c>
    </row>
    <row r="3053" spans="1:2">
      <c r="A3053" t="s">
        <v>31</v>
      </c>
      <c r="B3053">
        <v>0</v>
      </c>
    </row>
    <row r="3054" spans="1:2">
      <c r="A3054">
        <v>0</v>
      </c>
      <c r="B3054">
        <v>0</v>
      </c>
    </row>
    <row r="3055" spans="1:2">
      <c r="A3055" t="s">
        <v>26</v>
      </c>
      <c r="B3055">
        <v>0</v>
      </c>
    </row>
    <row r="3056" spans="1:2">
      <c r="A3056">
        <v>0</v>
      </c>
      <c r="B3056">
        <v>0</v>
      </c>
    </row>
    <row r="3057" spans="1:2">
      <c r="A3057">
        <v>0</v>
      </c>
      <c r="B3057">
        <v>0</v>
      </c>
    </row>
    <row r="3058" spans="1:2">
      <c r="A3058">
        <v>0</v>
      </c>
      <c r="B3058">
        <v>0</v>
      </c>
    </row>
    <row r="3059" spans="1:2">
      <c r="A3059">
        <v>0</v>
      </c>
      <c r="B3059">
        <v>0</v>
      </c>
    </row>
    <row r="3060" spans="1:2">
      <c r="A3060">
        <v>0</v>
      </c>
      <c r="B3060">
        <v>0</v>
      </c>
    </row>
    <row r="3061" spans="1:2">
      <c r="A3061">
        <v>0</v>
      </c>
      <c r="B3061">
        <v>0</v>
      </c>
    </row>
    <row r="3062" spans="1:2">
      <c r="A3062">
        <v>0</v>
      </c>
      <c r="B3062">
        <v>0</v>
      </c>
    </row>
    <row r="3063" spans="1:2">
      <c r="A3063">
        <v>0</v>
      </c>
      <c r="B3063">
        <v>0</v>
      </c>
    </row>
    <row r="3064" spans="1:2">
      <c r="A3064">
        <v>0</v>
      </c>
      <c r="B3064">
        <v>0</v>
      </c>
    </row>
    <row r="3065" spans="1:2">
      <c r="A3065" t="s">
        <v>28</v>
      </c>
      <c r="B3065">
        <v>0</v>
      </c>
    </row>
    <row r="3066" spans="1:2">
      <c r="A3066" t="s">
        <v>30</v>
      </c>
      <c r="B3066">
        <v>0</v>
      </c>
    </row>
    <row r="3067" spans="1:2">
      <c r="A3067">
        <v>0</v>
      </c>
      <c r="B3067">
        <v>0</v>
      </c>
    </row>
    <row r="3068" spans="1:2">
      <c r="A3068" t="s">
        <v>25</v>
      </c>
      <c r="B3068">
        <v>0</v>
      </c>
    </row>
    <row r="3069" spans="1:2">
      <c r="A3069">
        <v>0</v>
      </c>
      <c r="B3069">
        <v>0</v>
      </c>
    </row>
    <row r="3070" spans="1:2">
      <c r="A3070">
        <v>0</v>
      </c>
      <c r="B3070">
        <v>0</v>
      </c>
    </row>
    <row r="3071" spans="1:2">
      <c r="A3071">
        <v>0</v>
      </c>
      <c r="B3071">
        <v>0</v>
      </c>
    </row>
    <row r="3072" spans="1:2">
      <c r="A3072" t="s">
        <v>30</v>
      </c>
      <c r="B3072">
        <v>0</v>
      </c>
    </row>
    <row r="3073" spans="1:2">
      <c r="A3073" t="s">
        <v>26</v>
      </c>
      <c r="B3073">
        <v>0</v>
      </c>
    </row>
    <row r="3074" spans="1:2">
      <c r="A3074">
        <v>0</v>
      </c>
      <c r="B3074">
        <v>0</v>
      </c>
    </row>
    <row r="3075" spans="1:2">
      <c r="A3075" t="s">
        <v>31</v>
      </c>
      <c r="B3075">
        <v>72.64</v>
      </c>
    </row>
    <row r="3076" spans="1:2">
      <c r="A3076">
        <v>0</v>
      </c>
      <c r="B3076">
        <v>62.09</v>
      </c>
    </row>
    <row r="3077" spans="1:2">
      <c r="A3077" t="s">
        <v>28</v>
      </c>
      <c r="B3077">
        <v>52.34</v>
      </c>
    </row>
    <row r="3078" spans="1:2">
      <c r="A3078">
        <v>0</v>
      </c>
      <c r="B3078">
        <v>51.33</v>
      </c>
    </row>
    <row r="3079" spans="1:2">
      <c r="A3079">
        <v>0</v>
      </c>
      <c r="B3079">
        <v>49.65</v>
      </c>
    </row>
    <row r="3080" spans="1:2">
      <c r="A3080">
        <v>0</v>
      </c>
      <c r="B3080">
        <v>48.45</v>
      </c>
    </row>
    <row r="3081" spans="1:2">
      <c r="A3081" t="s">
        <v>25</v>
      </c>
      <c r="B3081">
        <v>39.93</v>
      </c>
    </row>
    <row r="3082" spans="1:2">
      <c r="A3082">
        <v>0</v>
      </c>
      <c r="B3082">
        <v>33.19</v>
      </c>
    </row>
    <row r="3083" spans="1:2">
      <c r="A3083">
        <v>0</v>
      </c>
      <c r="B3083">
        <v>28.89</v>
      </c>
    </row>
    <row r="3084" spans="1:2">
      <c r="A3084">
        <v>0</v>
      </c>
      <c r="B3084">
        <v>27.87</v>
      </c>
    </row>
    <row r="3085" spans="1:2">
      <c r="A3085" t="s">
        <v>28</v>
      </c>
      <c r="B3085">
        <v>13.26</v>
      </c>
    </row>
    <row r="3086" spans="1:2">
      <c r="A3086">
        <v>0</v>
      </c>
      <c r="B3086">
        <v>0</v>
      </c>
    </row>
    <row r="3087" spans="1:2">
      <c r="A3087" t="s">
        <v>29</v>
      </c>
      <c r="B3087">
        <v>0</v>
      </c>
    </row>
    <row r="3088" spans="1:2">
      <c r="A3088">
        <v>0</v>
      </c>
      <c r="B3088">
        <v>0</v>
      </c>
    </row>
    <row r="3089" spans="1:2">
      <c r="A3089" t="s">
        <v>25</v>
      </c>
      <c r="B3089">
        <v>0</v>
      </c>
    </row>
    <row r="3090" spans="1:2">
      <c r="A3090">
        <v>0</v>
      </c>
      <c r="B3090">
        <v>0</v>
      </c>
    </row>
    <row r="3091" spans="1:2">
      <c r="A3091">
        <v>0</v>
      </c>
      <c r="B3091">
        <v>0</v>
      </c>
    </row>
    <row r="3092" spans="1:2">
      <c r="A3092">
        <v>0</v>
      </c>
      <c r="B3092">
        <v>0</v>
      </c>
    </row>
    <row r="3093" spans="1:2">
      <c r="A3093">
        <v>0</v>
      </c>
      <c r="B3093">
        <v>0</v>
      </c>
    </row>
    <row r="3094" spans="1:2">
      <c r="A3094" t="s">
        <v>28</v>
      </c>
      <c r="B3094">
        <v>0</v>
      </c>
    </row>
    <row r="3095" spans="1:2">
      <c r="A3095">
        <v>0</v>
      </c>
      <c r="B3095">
        <v>0</v>
      </c>
    </row>
    <row r="3096" spans="1:2">
      <c r="A3096">
        <v>0</v>
      </c>
      <c r="B3096">
        <v>0</v>
      </c>
    </row>
    <row r="3097" spans="1:2">
      <c r="A3097">
        <v>0</v>
      </c>
      <c r="B3097">
        <v>0</v>
      </c>
    </row>
    <row r="3098" spans="1:2">
      <c r="A3098" t="s">
        <v>31</v>
      </c>
      <c r="B3098">
        <v>0</v>
      </c>
    </row>
    <row r="3099" spans="1:2">
      <c r="A3099">
        <v>0</v>
      </c>
      <c r="B3099">
        <v>0</v>
      </c>
    </row>
    <row r="3100" spans="1:2">
      <c r="A3100" t="s">
        <v>29</v>
      </c>
      <c r="B3100">
        <v>0</v>
      </c>
    </row>
    <row r="3101" spans="1:2">
      <c r="A3101" t="s">
        <v>26</v>
      </c>
      <c r="B3101">
        <v>0</v>
      </c>
    </row>
    <row r="3102" spans="1:2">
      <c r="A3102">
        <v>0</v>
      </c>
      <c r="B3102">
        <v>0</v>
      </c>
    </row>
    <row r="3103" spans="1:2">
      <c r="A3103">
        <v>0</v>
      </c>
      <c r="B3103">
        <v>0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0</v>
      </c>
      <c r="B3106">
        <v>169.59</v>
      </c>
    </row>
    <row r="3107" spans="1:2">
      <c r="A3107">
        <v>0</v>
      </c>
      <c r="B3107">
        <v>118</v>
      </c>
    </row>
    <row r="3108" spans="1:2">
      <c r="A3108">
        <v>0</v>
      </c>
      <c r="B3108">
        <v>44.93</v>
      </c>
    </row>
    <row r="3109" spans="1:2">
      <c r="A3109">
        <v>0</v>
      </c>
      <c r="B3109">
        <v>26.83</v>
      </c>
    </row>
    <row r="3110" spans="1:2">
      <c r="A3110">
        <v>0</v>
      </c>
      <c r="B3110">
        <v>16.41</v>
      </c>
    </row>
    <row r="3111" spans="1:2">
      <c r="A3111">
        <v>0</v>
      </c>
      <c r="B3111">
        <v>0</v>
      </c>
    </row>
    <row r="3112" spans="1:2">
      <c r="A3112" t="s">
        <v>30</v>
      </c>
      <c r="B3112">
        <v>0</v>
      </c>
    </row>
    <row r="3113" spans="1:2">
      <c r="A3113">
        <v>0</v>
      </c>
      <c r="B3113">
        <v>0</v>
      </c>
    </row>
    <row r="3114" spans="1:2">
      <c r="A3114">
        <v>0</v>
      </c>
      <c r="B3114">
        <v>0</v>
      </c>
    </row>
    <row r="3115" spans="1:2">
      <c r="A3115">
        <v>0</v>
      </c>
      <c r="B3115">
        <v>0</v>
      </c>
    </row>
    <row r="3116" spans="1:2">
      <c r="A3116" t="s">
        <v>19</v>
      </c>
      <c r="B3116">
        <v>0</v>
      </c>
    </row>
    <row r="3117" spans="1:2">
      <c r="A3117">
        <v>0</v>
      </c>
      <c r="B3117">
        <v>0</v>
      </c>
    </row>
    <row r="3118" spans="1:2">
      <c r="A3118">
        <v>0</v>
      </c>
      <c r="B3118">
        <v>0</v>
      </c>
    </row>
    <row r="3119" spans="1:2">
      <c r="A3119">
        <v>0</v>
      </c>
      <c r="B3119">
        <v>0</v>
      </c>
    </row>
    <row r="3120" spans="1:2">
      <c r="A3120" t="s">
        <v>31</v>
      </c>
      <c r="B3120">
        <v>0</v>
      </c>
    </row>
    <row r="3121" spans="1:2">
      <c r="A3121" t="s">
        <v>26</v>
      </c>
      <c r="B3121">
        <v>0</v>
      </c>
    </row>
    <row r="3122" spans="1:2">
      <c r="A3122">
        <v>0</v>
      </c>
      <c r="B3122">
        <v>0</v>
      </c>
    </row>
    <row r="3123" spans="1:2">
      <c r="A3123" t="s">
        <v>26</v>
      </c>
      <c r="B3123">
        <v>0</v>
      </c>
    </row>
    <row r="3124" spans="1:2">
      <c r="A3124" t="s">
        <v>29</v>
      </c>
      <c r="B3124">
        <v>0</v>
      </c>
    </row>
    <row r="3125" spans="1:2">
      <c r="A3125">
        <v>0</v>
      </c>
      <c r="B3125">
        <v>0</v>
      </c>
    </row>
    <row r="3126" spans="1:2">
      <c r="A3126">
        <v>0</v>
      </c>
      <c r="B3126">
        <v>0</v>
      </c>
    </row>
    <row r="3127" spans="1:2">
      <c r="A3127">
        <v>0</v>
      </c>
      <c r="B3127">
        <v>0</v>
      </c>
    </row>
    <row r="3128" spans="1:2">
      <c r="A3128" t="s">
        <v>19</v>
      </c>
      <c r="B3128">
        <v>0</v>
      </c>
    </row>
    <row r="3129" spans="1:2">
      <c r="A3129" t="s">
        <v>28</v>
      </c>
      <c r="B3129">
        <v>0</v>
      </c>
    </row>
    <row r="3130" spans="1:2">
      <c r="A3130">
        <v>0</v>
      </c>
      <c r="B3130">
        <v>0</v>
      </c>
    </row>
    <row r="3131" spans="1:2">
      <c r="A3131" t="s">
        <v>25</v>
      </c>
      <c r="B3131">
        <v>0</v>
      </c>
    </row>
    <row r="3132" spans="1:2">
      <c r="A3132">
        <v>0</v>
      </c>
      <c r="B3132">
        <v>0</v>
      </c>
    </row>
    <row r="3133" spans="1:2">
      <c r="A3133" t="s">
        <v>30</v>
      </c>
      <c r="B3133">
        <v>556</v>
      </c>
    </row>
    <row r="3134" spans="1:2">
      <c r="A3134" t="s">
        <v>30</v>
      </c>
      <c r="B3134">
        <v>180.06</v>
      </c>
    </row>
    <row r="3135" spans="1:2">
      <c r="A3135" t="s">
        <v>30</v>
      </c>
      <c r="B3135">
        <v>118.29</v>
      </c>
    </row>
    <row r="3136" spans="1:2">
      <c r="A3136">
        <v>0</v>
      </c>
      <c r="B3136">
        <v>63.47</v>
      </c>
    </row>
    <row r="3137" spans="1:2">
      <c r="A3137" t="s">
        <v>28</v>
      </c>
      <c r="B3137">
        <v>41.12</v>
      </c>
    </row>
    <row r="3138" spans="1:2">
      <c r="A3138">
        <v>0</v>
      </c>
      <c r="B3138">
        <v>35.1</v>
      </c>
    </row>
    <row r="3139" spans="1:2">
      <c r="A3139" t="s">
        <v>30</v>
      </c>
      <c r="B3139">
        <v>30.75</v>
      </c>
    </row>
    <row r="3140" spans="1:2">
      <c r="A3140" t="s">
        <v>30</v>
      </c>
      <c r="B3140">
        <v>28.96</v>
      </c>
    </row>
    <row r="3141" spans="1:2">
      <c r="A3141" t="s">
        <v>25</v>
      </c>
      <c r="B3141">
        <v>0</v>
      </c>
    </row>
    <row r="3142" spans="1:2">
      <c r="A3142">
        <v>0</v>
      </c>
      <c r="B3142">
        <v>0</v>
      </c>
    </row>
    <row r="3143" spans="1:2">
      <c r="A3143">
        <v>0</v>
      </c>
      <c r="B3143">
        <v>0</v>
      </c>
    </row>
    <row r="3144" spans="1:2">
      <c r="A3144">
        <v>0</v>
      </c>
      <c r="B3144">
        <v>0</v>
      </c>
    </row>
    <row r="3145" spans="1:2">
      <c r="A3145">
        <v>0</v>
      </c>
      <c r="B3145">
        <v>0</v>
      </c>
    </row>
    <row r="3146" spans="1:2">
      <c r="A3146" t="s">
        <v>29</v>
      </c>
      <c r="B3146">
        <v>0</v>
      </c>
    </row>
    <row r="3147" spans="1:2">
      <c r="A3147">
        <v>0</v>
      </c>
      <c r="B3147">
        <v>0</v>
      </c>
    </row>
    <row r="3148" spans="1:2">
      <c r="A3148">
        <v>0</v>
      </c>
      <c r="B3148">
        <v>0</v>
      </c>
    </row>
    <row r="3149" spans="1:2">
      <c r="A3149">
        <v>0</v>
      </c>
      <c r="B3149">
        <v>0</v>
      </c>
    </row>
    <row r="3150" spans="1:2">
      <c r="A3150">
        <v>0</v>
      </c>
      <c r="B3150">
        <v>0</v>
      </c>
    </row>
    <row r="3151" spans="1:2">
      <c r="A3151">
        <v>0</v>
      </c>
      <c r="B3151">
        <v>0</v>
      </c>
    </row>
    <row r="3152" spans="1:2">
      <c r="A3152">
        <v>0</v>
      </c>
      <c r="B3152">
        <v>0</v>
      </c>
    </row>
    <row r="3153" spans="1:2">
      <c r="A3153">
        <v>0</v>
      </c>
      <c r="B3153">
        <v>0</v>
      </c>
    </row>
    <row r="3154" spans="1:2">
      <c r="A3154" t="s">
        <v>31</v>
      </c>
      <c r="B3154">
        <v>0</v>
      </c>
    </row>
    <row r="3155" spans="1:2">
      <c r="A3155">
        <v>0</v>
      </c>
      <c r="B3155">
        <v>76.87</v>
      </c>
    </row>
    <row r="3156" spans="1:2">
      <c r="A3156">
        <v>0</v>
      </c>
      <c r="B3156">
        <v>70.88</v>
      </c>
    </row>
    <row r="3157" spans="1:2">
      <c r="A3157">
        <v>0</v>
      </c>
      <c r="B3157">
        <v>44.89</v>
      </c>
    </row>
    <row r="3158" spans="1:2">
      <c r="A3158" t="s">
        <v>31</v>
      </c>
      <c r="B3158">
        <v>40.92</v>
      </c>
    </row>
    <row r="3159" spans="1:2">
      <c r="A3159">
        <v>0</v>
      </c>
      <c r="B3159">
        <v>26.23</v>
      </c>
    </row>
    <row r="3160" spans="1:2">
      <c r="A3160" t="s">
        <v>28</v>
      </c>
      <c r="B3160">
        <v>17.47</v>
      </c>
    </row>
    <row r="3161" spans="1:2">
      <c r="A3161">
        <v>0</v>
      </c>
      <c r="B3161">
        <v>17.329999999999998</v>
      </c>
    </row>
    <row r="3162" spans="1:2">
      <c r="A3162" t="s">
        <v>28</v>
      </c>
      <c r="B3162">
        <v>0</v>
      </c>
    </row>
    <row r="3163" spans="1:2">
      <c r="A3163">
        <v>0</v>
      </c>
      <c r="B3163">
        <v>0</v>
      </c>
    </row>
    <row r="3164" spans="1:2">
      <c r="A3164">
        <v>0</v>
      </c>
      <c r="B3164">
        <v>0</v>
      </c>
    </row>
    <row r="3165" spans="1:2">
      <c r="A3165" t="s">
        <v>31</v>
      </c>
      <c r="B3165">
        <v>0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0</v>
      </c>
      <c r="B3169">
        <v>0</v>
      </c>
    </row>
    <row r="3170" spans="1:2">
      <c r="A3170" t="s">
        <v>31</v>
      </c>
      <c r="B3170">
        <v>0</v>
      </c>
    </row>
    <row r="3171" spans="1:2">
      <c r="A3171">
        <v>0</v>
      </c>
      <c r="B3171">
        <v>0</v>
      </c>
    </row>
    <row r="3172" spans="1:2">
      <c r="A3172">
        <v>0</v>
      </c>
      <c r="B3172">
        <v>0</v>
      </c>
    </row>
    <row r="3173" spans="1:2">
      <c r="A3173" t="s">
        <v>28</v>
      </c>
      <c r="B3173">
        <v>0</v>
      </c>
    </row>
    <row r="3174" spans="1:2">
      <c r="A3174" t="s">
        <v>31</v>
      </c>
      <c r="B3174">
        <v>0</v>
      </c>
    </row>
    <row r="3175" spans="1:2">
      <c r="A3175">
        <v>0</v>
      </c>
      <c r="B3175">
        <v>0</v>
      </c>
    </row>
    <row r="3176" spans="1:2">
      <c r="A3176" t="s">
        <v>25</v>
      </c>
      <c r="B3176">
        <v>0</v>
      </c>
    </row>
    <row r="3177" spans="1:2">
      <c r="A3177" t="s">
        <v>29</v>
      </c>
      <c r="B3177">
        <v>0</v>
      </c>
    </row>
    <row r="3178" spans="1:2">
      <c r="A3178">
        <v>0</v>
      </c>
      <c r="B3178">
        <v>0</v>
      </c>
    </row>
    <row r="3179" spans="1:2">
      <c r="A3179">
        <v>0</v>
      </c>
      <c r="B3179">
        <v>0</v>
      </c>
    </row>
    <row r="3180" spans="1:2">
      <c r="A3180">
        <v>0</v>
      </c>
      <c r="B3180">
        <v>0</v>
      </c>
    </row>
    <row r="3181" spans="1:2">
      <c r="A3181" t="s">
        <v>25</v>
      </c>
      <c r="B3181">
        <v>0</v>
      </c>
    </row>
    <row r="3182" spans="1:2">
      <c r="A3182">
        <v>0</v>
      </c>
      <c r="B3182">
        <v>249</v>
      </c>
    </row>
    <row r="3183" spans="1:2">
      <c r="A3183">
        <v>0</v>
      </c>
      <c r="B3183">
        <v>80.95</v>
      </c>
    </row>
    <row r="3184" spans="1:2">
      <c r="A3184" t="s">
        <v>29</v>
      </c>
      <c r="B3184">
        <v>47.89</v>
      </c>
    </row>
    <row r="3185" spans="1:2">
      <c r="A3185">
        <v>0</v>
      </c>
      <c r="B3185">
        <v>46.05</v>
      </c>
    </row>
    <row r="3186" spans="1:2">
      <c r="A3186">
        <v>0</v>
      </c>
      <c r="B3186">
        <v>40.58</v>
      </c>
    </row>
    <row r="3187" spans="1:2">
      <c r="A3187">
        <v>0</v>
      </c>
      <c r="B3187">
        <v>23.43</v>
      </c>
    </row>
    <row r="3188" spans="1:2">
      <c r="A3188" t="s">
        <v>26</v>
      </c>
      <c r="B3188">
        <v>16.579999999999998</v>
      </c>
    </row>
    <row r="3189" spans="1:2">
      <c r="A3189">
        <v>0</v>
      </c>
      <c r="B3189">
        <v>0</v>
      </c>
    </row>
    <row r="3190" spans="1:2">
      <c r="A3190" t="s">
        <v>28</v>
      </c>
      <c r="B3190">
        <v>0</v>
      </c>
    </row>
    <row r="3191" spans="1:2">
      <c r="A3191">
        <v>0</v>
      </c>
      <c r="B3191">
        <v>0</v>
      </c>
    </row>
    <row r="3192" spans="1:2">
      <c r="A3192" t="s">
        <v>29</v>
      </c>
      <c r="B3192">
        <v>0</v>
      </c>
    </row>
    <row r="3193" spans="1:2">
      <c r="A3193">
        <v>0</v>
      </c>
      <c r="B3193">
        <v>0</v>
      </c>
    </row>
    <row r="3194" spans="1:2">
      <c r="A3194">
        <v>0</v>
      </c>
      <c r="B3194">
        <v>0</v>
      </c>
    </row>
    <row r="3195" spans="1:2">
      <c r="A3195" t="s">
        <v>25</v>
      </c>
      <c r="B3195">
        <v>0</v>
      </c>
    </row>
    <row r="3196" spans="1:2">
      <c r="A3196">
        <v>0</v>
      </c>
      <c r="B3196">
        <v>0</v>
      </c>
    </row>
    <row r="3197" spans="1:2">
      <c r="A3197">
        <v>0</v>
      </c>
      <c r="B3197">
        <v>0</v>
      </c>
    </row>
    <row r="3198" spans="1:2">
      <c r="A3198">
        <v>0</v>
      </c>
      <c r="B3198">
        <v>0</v>
      </c>
    </row>
    <row r="3199" spans="1:2">
      <c r="A3199" t="s">
        <v>25</v>
      </c>
      <c r="B3199">
        <v>0</v>
      </c>
    </row>
    <row r="3200" spans="1:2">
      <c r="A3200">
        <v>0</v>
      </c>
      <c r="B3200">
        <v>0</v>
      </c>
    </row>
    <row r="3201" spans="1:2">
      <c r="A3201">
        <v>0</v>
      </c>
      <c r="B3201">
        <v>0</v>
      </c>
    </row>
    <row r="3202" spans="1:2">
      <c r="A3202" t="s">
        <v>19</v>
      </c>
      <c r="B3202">
        <v>0</v>
      </c>
    </row>
    <row r="3203" spans="1:2">
      <c r="A3203">
        <v>0</v>
      </c>
      <c r="B3203">
        <v>0</v>
      </c>
    </row>
    <row r="3204" spans="1:2">
      <c r="A3204">
        <v>0</v>
      </c>
      <c r="B3204">
        <v>0</v>
      </c>
    </row>
    <row r="3205" spans="1:2">
      <c r="A3205" t="s">
        <v>26</v>
      </c>
      <c r="B3205">
        <v>0</v>
      </c>
    </row>
    <row r="3206" spans="1:2">
      <c r="A3206">
        <v>0</v>
      </c>
      <c r="B3206">
        <v>0</v>
      </c>
    </row>
    <row r="3207" spans="1:2">
      <c r="A3207">
        <v>0</v>
      </c>
      <c r="B3207">
        <v>535</v>
      </c>
    </row>
    <row r="3208" spans="1:2">
      <c r="A3208">
        <v>0</v>
      </c>
      <c r="B3208">
        <v>551</v>
      </c>
    </row>
    <row r="3209" spans="1:2">
      <c r="A3209" t="s">
        <v>29</v>
      </c>
      <c r="B3209">
        <v>113.46</v>
      </c>
    </row>
    <row r="3210" spans="1:2">
      <c r="A3210">
        <v>0</v>
      </c>
      <c r="B3210">
        <v>82.36</v>
      </c>
    </row>
    <row r="3211" spans="1:2">
      <c r="A3211">
        <v>0</v>
      </c>
      <c r="B3211">
        <v>65.33</v>
      </c>
    </row>
    <row r="3212" spans="1:2">
      <c r="A3212">
        <v>0</v>
      </c>
      <c r="B3212">
        <v>58.18</v>
      </c>
    </row>
    <row r="3213" spans="1:2">
      <c r="A3213">
        <v>0</v>
      </c>
      <c r="B3213">
        <v>54.14</v>
      </c>
    </row>
    <row r="3214" spans="1:2">
      <c r="A3214">
        <v>0</v>
      </c>
      <c r="B3214">
        <v>48.62</v>
      </c>
    </row>
    <row r="3215" spans="1:2">
      <c r="A3215" t="s">
        <v>25</v>
      </c>
      <c r="B3215">
        <v>42.85</v>
      </c>
    </row>
    <row r="3216" spans="1:2">
      <c r="A3216">
        <v>0</v>
      </c>
      <c r="B3216">
        <v>40.299999999999997</v>
      </c>
    </row>
    <row r="3217" spans="1:2">
      <c r="A3217">
        <v>0</v>
      </c>
      <c r="B3217">
        <v>38.479999999999997</v>
      </c>
    </row>
    <row r="3218" spans="1:2">
      <c r="A3218">
        <v>0</v>
      </c>
      <c r="B3218">
        <v>38.1</v>
      </c>
    </row>
    <row r="3219" spans="1:2">
      <c r="A3219">
        <v>0</v>
      </c>
      <c r="B3219">
        <v>34.97</v>
      </c>
    </row>
    <row r="3220" spans="1:2">
      <c r="A3220">
        <v>0</v>
      </c>
      <c r="B3220">
        <v>20.32</v>
      </c>
    </row>
    <row r="3221" spans="1:2">
      <c r="A3221" t="s">
        <v>25</v>
      </c>
      <c r="B3221">
        <v>0</v>
      </c>
    </row>
    <row r="3222" spans="1:2">
      <c r="A3222">
        <v>0</v>
      </c>
      <c r="B3222">
        <v>0</v>
      </c>
    </row>
    <row r="3223" spans="1:2">
      <c r="A3223" t="s">
        <v>29</v>
      </c>
      <c r="B3223">
        <v>0</v>
      </c>
    </row>
    <row r="3224" spans="1:2">
      <c r="A3224">
        <v>0</v>
      </c>
      <c r="B3224">
        <v>0</v>
      </c>
    </row>
    <row r="3225" spans="1:2">
      <c r="A3225" t="s">
        <v>25</v>
      </c>
      <c r="B3225">
        <v>0</v>
      </c>
    </row>
    <row r="3226" spans="1:2">
      <c r="A3226">
        <v>0</v>
      </c>
      <c r="B3226">
        <v>0</v>
      </c>
    </row>
    <row r="3227" spans="1:2">
      <c r="A3227">
        <v>0</v>
      </c>
      <c r="B3227">
        <v>0</v>
      </c>
    </row>
    <row r="3228" spans="1:2">
      <c r="A3228" t="s">
        <v>31</v>
      </c>
      <c r="B3228">
        <v>0</v>
      </c>
    </row>
    <row r="3229" spans="1:2">
      <c r="A3229">
        <v>0</v>
      </c>
      <c r="B3229">
        <v>0</v>
      </c>
    </row>
    <row r="3230" spans="1:2">
      <c r="A3230">
        <v>0</v>
      </c>
      <c r="B3230">
        <v>0</v>
      </c>
    </row>
    <row r="3231" spans="1:2">
      <c r="A3231" t="s">
        <v>26</v>
      </c>
      <c r="B3231">
        <v>0</v>
      </c>
    </row>
    <row r="3232" spans="1:2">
      <c r="A3232">
        <v>0</v>
      </c>
      <c r="B3232">
        <v>0</v>
      </c>
    </row>
    <row r="3233" spans="1:2">
      <c r="A3233" t="s">
        <v>26</v>
      </c>
      <c r="B3233">
        <v>0</v>
      </c>
    </row>
    <row r="3234" spans="1:2">
      <c r="A3234" t="s">
        <v>26</v>
      </c>
      <c r="B3234">
        <v>188.62</v>
      </c>
    </row>
    <row r="3235" spans="1:2">
      <c r="A3235">
        <v>0</v>
      </c>
      <c r="B3235">
        <v>78.67</v>
      </c>
    </row>
    <row r="3236" spans="1:2">
      <c r="A3236">
        <v>0</v>
      </c>
      <c r="B3236">
        <v>58.33</v>
      </c>
    </row>
    <row r="3237" spans="1:2">
      <c r="A3237" t="s">
        <v>28</v>
      </c>
      <c r="B3237">
        <v>56.35</v>
      </c>
    </row>
    <row r="3238" spans="1:2">
      <c r="A3238">
        <v>0</v>
      </c>
      <c r="B3238">
        <v>55.66</v>
      </c>
    </row>
    <row r="3239" spans="1:2">
      <c r="A3239">
        <v>0</v>
      </c>
      <c r="B3239">
        <v>49.03</v>
      </c>
    </row>
    <row r="3240" spans="1:2">
      <c r="A3240">
        <v>0</v>
      </c>
      <c r="B3240">
        <v>47.99</v>
      </c>
    </row>
    <row r="3241" spans="1:2">
      <c r="A3241">
        <v>0</v>
      </c>
      <c r="B3241">
        <v>47.28</v>
      </c>
    </row>
    <row r="3242" spans="1:2">
      <c r="A3242">
        <v>0</v>
      </c>
      <c r="B3242">
        <v>41.02</v>
      </c>
    </row>
    <row r="3243" spans="1:2">
      <c r="A3243">
        <v>0</v>
      </c>
      <c r="B3243">
        <v>30.81</v>
      </c>
    </row>
    <row r="3244" spans="1:2">
      <c r="A3244">
        <v>0</v>
      </c>
      <c r="B3244">
        <v>24.81</v>
      </c>
    </row>
    <row r="3245" spans="1:2">
      <c r="A3245">
        <v>0</v>
      </c>
      <c r="B3245">
        <v>16.87</v>
      </c>
    </row>
    <row r="3246" spans="1:2">
      <c r="A3246">
        <v>0</v>
      </c>
      <c r="B3246">
        <v>0</v>
      </c>
    </row>
    <row r="3247" spans="1:2">
      <c r="A3247">
        <v>0</v>
      </c>
      <c r="B3247">
        <v>0</v>
      </c>
    </row>
    <row r="3248" spans="1:2">
      <c r="A3248">
        <v>0</v>
      </c>
      <c r="B3248">
        <v>0</v>
      </c>
    </row>
    <row r="3249" spans="1:2">
      <c r="A3249">
        <v>0</v>
      </c>
      <c r="B3249">
        <v>0</v>
      </c>
    </row>
    <row r="3250" spans="1:2">
      <c r="A3250">
        <v>0</v>
      </c>
      <c r="B3250">
        <v>0</v>
      </c>
    </row>
    <row r="3251" spans="1:2">
      <c r="A3251" t="s">
        <v>29</v>
      </c>
      <c r="B3251">
        <v>0</v>
      </c>
    </row>
    <row r="3252" spans="1:2">
      <c r="A3252" t="s">
        <v>29</v>
      </c>
      <c r="B3252">
        <v>0</v>
      </c>
    </row>
    <row r="3253" spans="1:2">
      <c r="A3253">
        <v>0</v>
      </c>
      <c r="B3253">
        <v>0</v>
      </c>
    </row>
    <row r="3254" spans="1:2">
      <c r="A3254">
        <v>0</v>
      </c>
      <c r="B3254">
        <v>0</v>
      </c>
    </row>
    <row r="3255" spans="1:2">
      <c r="A3255">
        <v>0</v>
      </c>
      <c r="B3255">
        <v>0</v>
      </c>
    </row>
    <row r="3256" spans="1:2">
      <c r="A3256" t="s">
        <v>29</v>
      </c>
      <c r="B3256">
        <v>130</v>
      </c>
    </row>
    <row r="3257" spans="1:2">
      <c r="A3257">
        <v>0</v>
      </c>
      <c r="B3257">
        <v>434</v>
      </c>
    </row>
    <row r="3258" spans="1:2">
      <c r="A3258" t="s">
        <v>30</v>
      </c>
      <c r="B3258">
        <v>528</v>
      </c>
    </row>
    <row r="3259" spans="1:2">
      <c r="A3259">
        <v>0</v>
      </c>
      <c r="B3259">
        <v>457</v>
      </c>
    </row>
    <row r="3260" spans="1:2">
      <c r="A3260" t="s">
        <v>31</v>
      </c>
      <c r="B3260">
        <v>534</v>
      </c>
    </row>
    <row r="3261" spans="1:2">
      <c r="A3261">
        <v>0</v>
      </c>
      <c r="B3261">
        <v>163</v>
      </c>
    </row>
    <row r="3262" spans="1:2">
      <c r="A3262">
        <v>0</v>
      </c>
      <c r="B3262">
        <v>108.23</v>
      </c>
    </row>
    <row r="3263" spans="1:2">
      <c r="A3263">
        <v>0</v>
      </c>
      <c r="B3263">
        <v>57.71</v>
      </c>
    </row>
    <row r="3264" spans="1:2">
      <c r="A3264">
        <v>0</v>
      </c>
      <c r="B3264">
        <v>35.78</v>
      </c>
    </row>
    <row r="3265" spans="1:2">
      <c r="A3265" t="s">
        <v>31</v>
      </c>
      <c r="B3265">
        <v>14.46</v>
      </c>
    </row>
    <row r="3266" spans="1:2">
      <c r="A3266">
        <v>0</v>
      </c>
      <c r="B3266">
        <v>0</v>
      </c>
    </row>
    <row r="3267" spans="1:2">
      <c r="A3267">
        <v>0</v>
      </c>
      <c r="B3267">
        <v>0</v>
      </c>
    </row>
    <row r="3268" spans="1:2">
      <c r="A3268">
        <v>0</v>
      </c>
      <c r="B3268">
        <v>0</v>
      </c>
    </row>
    <row r="3269" spans="1:2">
      <c r="A3269">
        <v>0</v>
      </c>
      <c r="B3269">
        <v>0</v>
      </c>
    </row>
    <row r="3270" spans="1:2">
      <c r="A3270" t="s">
        <v>31</v>
      </c>
      <c r="B3270">
        <v>0</v>
      </c>
    </row>
    <row r="3271" spans="1:2">
      <c r="A3271">
        <v>0</v>
      </c>
      <c r="B3271">
        <v>0</v>
      </c>
    </row>
    <row r="3272" spans="1:2">
      <c r="A3272" t="s">
        <v>26</v>
      </c>
      <c r="B3272">
        <v>0</v>
      </c>
    </row>
    <row r="3273" spans="1:2">
      <c r="A3273" t="s">
        <v>19</v>
      </c>
      <c r="B3273">
        <v>0</v>
      </c>
    </row>
    <row r="3274" spans="1:2">
      <c r="A3274" t="s">
        <v>31</v>
      </c>
      <c r="B3274">
        <v>0</v>
      </c>
    </row>
    <row r="3275" spans="1:2">
      <c r="A3275">
        <v>0</v>
      </c>
      <c r="B3275">
        <v>0</v>
      </c>
    </row>
    <row r="3276" spans="1:2">
      <c r="A3276" t="s">
        <v>19</v>
      </c>
      <c r="B3276">
        <v>0</v>
      </c>
    </row>
    <row r="3277" spans="1:2">
      <c r="A3277">
        <v>0</v>
      </c>
      <c r="B3277">
        <v>0</v>
      </c>
    </row>
    <row r="3278" spans="1:2">
      <c r="A3278">
        <v>0</v>
      </c>
      <c r="B3278">
        <v>0</v>
      </c>
    </row>
    <row r="3279" spans="1:2">
      <c r="A3279">
        <v>0</v>
      </c>
      <c r="B3279">
        <v>0</v>
      </c>
    </row>
    <row r="3280" spans="1:2">
      <c r="A3280">
        <v>0</v>
      </c>
      <c r="B3280">
        <v>0</v>
      </c>
    </row>
    <row r="3281" spans="1:2">
      <c r="A3281">
        <v>0</v>
      </c>
      <c r="B3281">
        <v>0</v>
      </c>
    </row>
    <row r="3282" spans="1:2">
      <c r="A3282">
        <v>0</v>
      </c>
      <c r="B3282">
        <v>0</v>
      </c>
    </row>
    <row r="3283" spans="1:2">
      <c r="A3283">
        <v>0</v>
      </c>
      <c r="B3283">
        <v>0</v>
      </c>
    </row>
    <row r="3284" spans="1:2">
      <c r="A3284">
        <v>0</v>
      </c>
      <c r="B3284">
        <v>0</v>
      </c>
    </row>
    <row r="3285" spans="1:2">
      <c r="A3285">
        <v>0</v>
      </c>
      <c r="B3285">
        <v>0</v>
      </c>
    </row>
    <row r="3286" spans="1:2">
      <c r="A3286" t="s">
        <v>30</v>
      </c>
      <c r="B3286">
        <v>0</v>
      </c>
    </row>
    <row r="3287" spans="1:2">
      <c r="A3287" t="s">
        <v>25</v>
      </c>
      <c r="B3287">
        <v>0</v>
      </c>
    </row>
    <row r="3288" spans="1:2">
      <c r="A3288">
        <v>0</v>
      </c>
      <c r="B3288">
        <v>102</v>
      </c>
    </row>
    <row r="3289" spans="1:2">
      <c r="A3289" t="s">
        <v>25</v>
      </c>
      <c r="B3289">
        <v>285</v>
      </c>
    </row>
    <row r="3290" spans="1:2">
      <c r="A3290">
        <v>0</v>
      </c>
      <c r="B3290">
        <v>706.35</v>
      </c>
    </row>
    <row r="3291" spans="1:2">
      <c r="A3291">
        <v>0</v>
      </c>
      <c r="B3291">
        <v>81.900000000000006</v>
      </c>
    </row>
    <row r="3292" spans="1:2">
      <c r="A3292">
        <v>0</v>
      </c>
      <c r="B3292">
        <v>73.7</v>
      </c>
    </row>
    <row r="3293" spans="1:2">
      <c r="A3293">
        <v>0</v>
      </c>
      <c r="B3293">
        <v>68.47</v>
      </c>
    </row>
    <row r="3294" spans="1:2">
      <c r="A3294">
        <v>0</v>
      </c>
      <c r="B3294">
        <v>41.88</v>
      </c>
    </row>
    <row r="3295" spans="1:2">
      <c r="A3295" t="s">
        <v>28</v>
      </c>
      <c r="B3295">
        <v>0</v>
      </c>
    </row>
    <row r="3296" spans="1:2">
      <c r="A3296">
        <v>0</v>
      </c>
      <c r="B3296">
        <v>0</v>
      </c>
    </row>
    <row r="3297" spans="1:2">
      <c r="A3297" t="s">
        <v>19</v>
      </c>
      <c r="B3297">
        <v>0</v>
      </c>
    </row>
    <row r="3298" spans="1:2">
      <c r="A3298">
        <v>0</v>
      </c>
      <c r="B3298">
        <v>0</v>
      </c>
    </row>
    <row r="3299" spans="1:2">
      <c r="A3299" t="s">
        <v>26</v>
      </c>
      <c r="B3299">
        <v>0</v>
      </c>
    </row>
    <row r="3300" spans="1:2">
      <c r="A3300">
        <v>0</v>
      </c>
      <c r="B3300">
        <v>0</v>
      </c>
    </row>
    <row r="3301" spans="1:2">
      <c r="A3301">
        <v>0</v>
      </c>
      <c r="B3301">
        <v>0</v>
      </c>
    </row>
    <row r="3302" spans="1:2">
      <c r="A3302">
        <v>0</v>
      </c>
      <c r="B3302">
        <v>0</v>
      </c>
    </row>
    <row r="3303" spans="1:2">
      <c r="A3303">
        <v>0</v>
      </c>
      <c r="B3303">
        <v>0</v>
      </c>
    </row>
    <row r="3304" spans="1:2">
      <c r="A3304" t="s">
        <v>31</v>
      </c>
      <c r="B3304">
        <v>0</v>
      </c>
    </row>
    <row r="3305" spans="1:2">
      <c r="A3305">
        <v>0</v>
      </c>
      <c r="B3305">
        <v>0</v>
      </c>
    </row>
    <row r="3306" spans="1:2">
      <c r="A3306">
        <v>0</v>
      </c>
      <c r="B3306">
        <v>0</v>
      </c>
    </row>
    <row r="3307" spans="1:2">
      <c r="A3307" t="s">
        <v>30</v>
      </c>
      <c r="B3307">
        <v>0</v>
      </c>
    </row>
    <row r="3308" spans="1:2">
      <c r="A3308">
        <v>0</v>
      </c>
      <c r="B3308">
        <v>0</v>
      </c>
    </row>
    <row r="3309" spans="1:2">
      <c r="A3309" t="s">
        <v>19</v>
      </c>
      <c r="B3309">
        <v>0</v>
      </c>
    </row>
    <row r="3310" spans="1:2">
      <c r="A3310">
        <v>0</v>
      </c>
      <c r="B3310">
        <v>0</v>
      </c>
    </row>
    <row r="3311" spans="1:2">
      <c r="A3311">
        <v>0</v>
      </c>
      <c r="B3311">
        <v>0</v>
      </c>
    </row>
    <row r="3312" spans="1:2">
      <c r="A3312">
        <v>0</v>
      </c>
      <c r="B3312">
        <v>332</v>
      </c>
    </row>
    <row r="3313" spans="1:2">
      <c r="A3313">
        <v>0</v>
      </c>
      <c r="B3313">
        <v>580.38</v>
      </c>
    </row>
    <row r="3314" spans="1:2">
      <c r="A3314">
        <v>0</v>
      </c>
      <c r="B3314">
        <v>327.41000000000003</v>
      </c>
    </row>
    <row r="3315" spans="1:2">
      <c r="A3315" t="s">
        <v>28</v>
      </c>
      <c r="B3315">
        <v>94.82</v>
      </c>
    </row>
    <row r="3316" spans="1:2">
      <c r="A3316">
        <v>0</v>
      </c>
      <c r="B3316">
        <v>67.03</v>
      </c>
    </row>
    <row r="3317" spans="1:2">
      <c r="A3317">
        <v>0</v>
      </c>
      <c r="B3317">
        <v>48.09</v>
      </c>
    </row>
    <row r="3318" spans="1:2">
      <c r="A3318">
        <v>0</v>
      </c>
      <c r="B3318">
        <v>40.369999999999997</v>
      </c>
    </row>
    <row r="3319" spans="1:2">
      <c r="A3319">
        <v>0</v>
      </c>
      <c r="B3319">
        <v>0</v>
      </c>
    </row>
    <row r="3320" spans="1:2">
      <c r="A3320" t="s">
        <v>25</v>
      </c>
      <c r="B3320">
        <v>0</v>
      </c>
    </row>
    <row r="3321" spans="1:2">
      <c r="A3321">
        <v>0</v>
      </c>
      <c r="B3321">
        <v>0</v>
      </c>
    </row>
    <row r="3322" spans="1:2">
      <c r="A3322" t="s">
        <v>30</v>
      </c>
      <c r="B3322">
        <v>0</v>
      </c>
    </row>
    <row r="3323" spans="1:2">
      <c r="A3323">
        <v>0</v>
      </c>
      <c r="B3323">
        <v>0</v>
      </c>
    </row>
    <row r="3324" spans="1:2">
      <c r="A3324">
        <v>0</v>
      </c>
      <c r="B3324">
        <v>0</v>
      </c>
    </row>
    <row r="3325" spans="1:2">
      <c r="A3325" t="s">
        <v>28</v>
      </c>
      <c r="B3325">
        <v>0</v>
      </c>
    </row>
    <row r="3326" spans="1:2">
      <c r="A3326">
        <v>0</v>
      </c>
      <c r="B3326">
        <v>0</v>
      </c>
    </row>
    <row r="3327" spans="1:2">
      <c r="A3327" t="s">
        <v>19</v>
      </c>
      <c r="B3327">
        <v>0</v>
      </c>
    </row>
    <row r="3328" spans="1:2">
      <c r="A3328">
        <v>0</v>
      </c>
      <c r="B3328">
        <v>0</v>
      </c>
    </row>
    <row r="3329" spans="1:2">
      <c r="A3329">
        <v>0</v>
      </c>
      <c r="B3329">
        <v>0</v>
      </c>
    </row>
    <row r="3330" spans="1:2">
      <c r="A3330">
        <v>0</v>
      </c>
      <c r="B3330">
        <v>0</v>
      </c>
    </row>
    <row r="3331" spans="1:2">
      <c r="A3331">
        <v>0</v>
      </c>
      <c r="B3331">
        <v>0</v>
      </c>
    </row>
    <row r="3332" spans="1:2">
      <c r="A3332" t="s">
        <v>30</v>
      </c>
      <c r="B3332">
        <v>0</v>
      </c>
    </row>
    <row r="3333" spans="1:2">
      <c r="A3333">
        <v>0</v>
      </c>
      <c r="B3333">
        <v>0</v>
      </c>
    </row>
    <row r="3334" spans="1:2">
      <c r="A3334">
        <v>0</v>
      </c>
      <c r="B3334">
        <v>0</v>
      </c>
    </row>
    <row r="3335" spans="1:2">
      <c r="A3335">
        <v>0</v>
      </c>
      <c r="B3335">
        <v>0</v>
      </c>
    </row>
    <row r="3336" spans="1:2">
      <c r="A3336">
        <v>0</v>
      </c>
      <c r="B3336">
        <v>0</v>
      </c>
    </row>
    <row r="3337" spans="1:2">
      <c r="A3337">
        <v>0</v>
      </c>
      <c r="B3337">
        <v>0</v>
      </c>
    </row>
    <row r="3338" spans="1:2">
      <c r="A3338" t="s">
        <v>26</v>
      </c>
      <c r="B3338">
        <v>0</v>
      </c>
    </row>
    <row r="3339" spans="1:2">
      <c r="A3339">
        <v>0</v>
      </c>
      <c r="B3339">
        <v>196.48</v>
      </c>
    </row>
    <row r="3340" spans="1:2">
      <c r="A3340" t="s">
        <v>29</v>
      </c>
      <c r="B3340">
        <v>40.64</v>
      </c>
    </row>
    <row r="3341" spans="1:2">
      <c r="A3341" t="s">
        <v>26</v>
      </c>
      <c r="B3341">
        <v>38.97</v>
      </c>
    </row>
    <row r="3342" spans="1:2">
      <c r="A3342">
        <v>0</v>
      </c>
      <c r="B3342">
        <v>35.51</v>
      </c>
    </row>
    <row r="3343" spans="1:2">
      <c r="A3343" t="s">
        <v>25</v>
      </c>
      <c r="B3343">
        <v>35.299999999999997</v>
      </c>
    </row>
    <row r="3344" spans="1:2">
      <c r="A3344" t="s">
        <v>28</v>
      </c>
      <c r="B3344">
        <v>30.41</v>
      </c>
    </row>
    <row r="3345" spans="1:2">
      <c r="A3345">
        <v>0</v>
      </c>
      <c r="B3345">
        <v>20.51</v>
      </c>
    </row>
    <row r="3346" spans="1:2">
      <c r="A3346">
        <v>0</v>
      </c>
      <c r="B3346">
        <v>13.88</v>
      </c>
    </row>
    <row r="3347" spans="1:2">
      <c r="A3347">
        <v>0</v>
      </c>
      <c r="B3347">
        <v>0</v>
      </c>
    </row>
    <row r="3348" spans="1:2">
      <c r="A3348">
        <v>0</v>
      </c>
      <c r="B3348">
        <v>0</v>
      </c>
    </row>
    <row r="3349" spans="1:2">
      <c r="A3349">
        <v>0</v>
      </c>
      <c r="B3349">
        <v>0</v>
      </c>
    </row>
    <row r="3350" spans="1:2">
      <c r="A3350">
        <v>0</v>
      </c>
      <c r="B3350">
        <v>0</v>
      </c>
    </row>
    <row r="3351" spans="1:2">
      <c r="A3351" t="s">
        <v>29</v>
      </c>
      <c r="B3351">
        <v>0</v>
      </c>
    </row>
    <row r="3352" spans="1:2">
      <c r="A3352">
        <v>0</v>
      </c>
      <c r="B3352">
        <v>0</v>
      </c>
    </row>
    <row r="3353" spans="1:2">
      <c r="A3353">
        <v>0</v>
      </c>
      <c r="B3353">
        <v>0</v>
      </c>
    </row>
    <row r="3354" spans="1:2">
      <c r="A3354" t="s">
        <v>25</v>
      </c>
      <c r="B3354">
        <v>0</v>
      </c>
    </row>
    <row r="3355" spans="1:2">
      <c r="A3355">
        <v>0</v>
      </c>
      <c r="B3355">
        <v>0</v>
      </c>
    </row>
    <row r="3356" spans="1:2">
      <c r="A3356">
        <v>0</v>
      </c>
      <c r="B3356">
        <v>0</v>
      </c>
    </row>
    <row r="3357" spans="1:2">
      <c r="A3357">
        <v>0</v>
      </c>
      <c r="B3357">
        <v>0</v>
      </c>
    </row>
    <row r="3358" spans="1:2">
      <c r="A3358" t="s">
        <v>28</v>
      </c>
      <c r="B3358">
        <v>0</v>
      </c>
    </row>
    <row r="3359" spans="1:2">
      <c r="A3359" t="s">
        <v>31</v>
      </c>
      <c r="B3359">
        <v>0</v>
      </c>
    </row>
    <row r="3360" spans="1:2">
      <c r="A3360">
        <v>0</v>
      </c>
      <c r="B3360">
        <v>0</v>
      </c>
    </row>
    <row r="3361" spans="1:2">
      <c r="A3361">
        <v>0</v>
      </c>
      <c r="B3361">
        <v>0</v>
      </c>
    </row>
    <row r="3362" spans="1:2">
      <c r="A3362">
        <v>0</v>
      </c>
      <c r="B3362">
        <v>0</v>
      </c>
    </row>
    <row r="3363" spans="1:2">
      <c r="A3363">
        <v>0</v>
      </c>
      <c r="B3363">
        <v>0</v>
      </c>
    </row>
    <row r="3364" spans="1:2">
      <c r="A3364" t="s">
        <v>28</v>
      </c>
      <c r="B3364">
        <v>227.97</v>
      </c>
    </row>
    <row r="3365" spans="1:2">
      <c r="A3365">
        <v>0</v>
      </c>
      <c r="B3365">
        <v>75.5</v>
      </c>
    </row>
    <row r="3366" spans="1:2">
      <c r="A3366">
        <v>0</v>
      </c>
      <c r="B3366">
        <v>72.7</v>
      </c>
    </row>
    <row r="3367" spans="1:2">
      <c r="A3367">
        <v>0</v>
      </c>
      <c r="B3367">
        <v>50.3</v>
      </c>
    </row>
    <row r="3368" spans="1:2">
      <c r="A3368">
        <v>0</v>
      </c>
      <c r="B3368">
        <v>46.45</v>
      </c>
    </row>
    <row r="3369" spans="1:2">
      <c r="A3369">
        <v>0</v>
      </c>
      <c r="B3369">
        <v>34.200000000000003</v>
      </c>
    </row>
    <row r="3370" spans="1:2">
      <c r="A3370">
        <v>0</v>
      </c>
      <c r="B3370">
        <v>33.93</v>
      </c>
    </row>
    <row r="3371" spans="1:2">
      <c r="A3371" t="s">
        <v>25</v>
      </c>
      <c r="B3371">
        <v>25.83</v>
      </c>
    </row>
    <row r="3372" spans="1:2">
      <c r="A3372" t="s">
        <v>25</v>
      </c>
      <c r="B3372">
        <v>23.51</v>
      </c>
    </row>
    <row r="3373" spans="1:2">
      <c r="A3373">
        <v>0</v>
      </c>
      <c r="B3373">
        <v>19.690000000000001</v>
      </c>
    </row>
    <row r="3374" spans="1:2">
      <c r="A3374">
        <v>0</v>
      </c>
      <c r="B3374">
        <v>16.98</v>
      </c>
    </row>
    <row r="3375" spans="1:2">
      <c r="A3375" t="s">
        <v>26</v>
      </c>
      <c r="B3375">
        <v>0</v>
      </c>
    </row>
    <row r="3376" spans="1:2">
      <c r="A3376">
        <v>0</v>
      </c>
      <c r="B3376">
        <v>0</v>
      </c>
    </row>
    <row r="3377" spans="1:2">
      <c r="A3377">
        <v>0</v>
      </c>
      <c r="B3377">
        <v>0</v>
      </c>
    </row>
    <row r="3378" spans="1:2">
      <c r="A3378" t="s">
        <v>19</v>
      </c>
      <c r="B3378">
        <v>0</v>
      </c>
    </row>
    <row r="3379" spans="1:2">
      <c r="A3379">
        <v>0</v>
      </c>
      <c r="B3379">
        <v>0</v>
      </c>
    </row>
    <row r="3380" spans="1:2">
      <c r="A3380">
        <v>0</v>
      </c>
      <c r="B3380">
        <v>0</v>
      </c>
    </row>
    <row r="3381" spans="1:2">
      <c r="A3381" t="s">
        <v>25</v>
      </c>
      <c r="B3381">
        <v>0</v>
      </c>
    </row>
    <row r="3382" spans="1:2">
      <c r="A3382" t="s">
        <v>30</v>
      </c>
      <c r="B3382">
        <v>0</v>
      </c>
    </row>
    <row r="3383" spans="1:2">
      <c r="A3383" t="s">
        <v>30</v>
      </c>
      <c r="B3383">
        <v>0</v>
      </c>
    </row>
    <row r="3384" spans="1:2">
      <c r="A3384">
        <v>0</v>
      </c>
      <c r="B3384">
        <v>0</v>
      </c>
    </row>
    <row r="3385" spans="1:2">
      <c r="A3385">
        <v>0</v>
      </c>
      <c r="B3385">
        <v>0</v>
      </c>
    </row>
    <row r="3386" spans="1:2">
      <c r="A3386" t="s">
        <v>29</v>
      </c>
      <c r="B3386">
        <v>0</v>
      </c>
    </row>
    <row r="3387" spans="1:2">
      <c r="A3387">
        <v>0</v>
      </c>
      <c r="B3387">
        <v>0</v>
      </c>
    </row>
    <row r="3388" spans="1:2">
      <c r="A3388">
        <v>0</v>
      </c>
      <c r="B3388">
        <v>0</v>
      </c>
    </row>
    <row r="3389" spans="1:2">
      <c r="A3389" t="s">
        <v>19</v>
      </c>
      <c r="B3389">
        <v>0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0</v>
      </c>
      <c r="B3392">
        <v>231</v>
      </c>
    </row>
    <row r="3393" spans="1:2">
      <c r="A3393" t="s">
        <v>31</v>
      </c>
      <c r="B3393">
        <v>195.43</v>
      </c>
    </row>
    <row r="3394" spans="1:2">
      <c r="A3394" t="s">
        <v>28</v>
      </c>
      <c r="B3394">
        <v>91.59</v>
      </c>
    </row>
    <row r="3395" spans="1:2">
      <c r="A3395">
        <v>0</v>
      </c>
      <c r="B3395">
        <v>57.4</v>
      </c>
    </row>
    <row r="3396" spans="1:2">
      <c r="A3396" t="s">
        <v>30</v>
      </c>
      <c r="B3396">
        <v>50.51</v>
      </c>
    </row>
    <row r="3397" spans="1:2">
      <c r="A3397">
        <v>0</v>
      </c>
      <c r="B3397">
        <v>47.81</v>
      </c>
    </row>
    <row r="3398" spans="1:2">
      <c r="A3398">
        <v>0</v>
      </c>
      <c r="B3398">
        <v>33.68</v>
      </c>
    </row>
    <row r="3399" spans="1:2">
      <c r="A3399" t="s">
        <v>31</v>
      </c>
      <c r="B3399">
        <v>32.99</v>
      </c>
    </row>
    <row r="3400" spans="1:2">
      <c r="A3400">
        <v>0</v>
      </c>
      <c r="B3400">
        <v>27.86</v>
      </c>
    </row>
    <row r="3401" spans="1:2">
      <c r="A3401" t="s">
        <v>19</v>
      </c>
      <c r="B3401">
        <v>16.809999999999999</v>
      </c>
    </row>
    <row r="3402" spans="1:2">
      <c r="A3402" t="s">
        <v>30</v>
      </c>
      <c r="B3402">
        <v>0</v>
      </c>
    </row>
    <row r="3403" spans="1:2">
      <c r="A3403" t="s">
        <v>28</v>
      </c>
      <c r="B3403">
        <v>0</v>
      </c>
    </row>
    <row r="3404" spans="1:2">
      <c r="A3404">
        <v>0</v>
      </c>
      <c r="B3404">
        <v>0</v>
      </c>
    </row>
    <row r="3405" spans="1:2">
      <c r="A3405">
        <v>0</v>
      </c>
      <c r="B3405">
        <v>0</v>
      </c>
    </row>
    <row r="3406" spans="1:2">
      <c r="A3406">
        <v>0</v>
      </c>
      <c r="B3406">
        <v>0</v>
      </c>
    </row>
    <row r="3407" spans="1:2">
      <c r="A3407" t="s">
        <v>19</v>
      </c>
      <c r="B3407">
        <v>0</v>
      </c>
    </row>
    <row r="3408" spans="1:2">
      <c r="A3408">
        <v>0</v>
      </c>
      <c r="B3408">
        <v>0</v>
      </c>
    </row>
    <row r="3409" spans="1:2">
      <c r="A3409" t="s">
        <v>26</v>
      </c>
      <c r="B3409">
        <v>0</v>
      </c>
    </row>
    <row r="3410" spans="1:2">
      <c r="A3410">
        <v>0</v>
      </c>
      <c r="B3410">
        <v>0</v>
      </c>
    </row>
    <row r="3411" spans="1:2">
      <c r="A3411" t="s">
        <v>25</v>
      </c>
      <c r="B3411">
        <v>0</v>
      </c>
    </row>
    <row r="3412" spans="1:2">
      <c r="A3412">
        <v>0</v>
      </c>
      <c r="B3412">
        <v>0</v>
      </c>
    </row>
    <row r="3413" spans="1:2">
      <c r="A3413" t="s">
        <v>26</v>
      </c>
      <c r="B3413">
        <v>0</v>
      </c>
    </row>
    <row r="3414" spans="1:2">
      <c r="A3414">
        <v>0</v>
      </c>
      <c r="B3414">
        <v>0</v>
      </c>
    </row>
    <row r="3415" spans="1:2">
      <c r="A3415">
        <v>0</v>
      </c>
      <c r="B3415">
        <v>0</v>
      </c>
    </row>
    <row r="3416" spans="1:2">
      <c r="A3416">
        <v>0</v>
      </c>
      <c r="B3416">
        <v>0</v>
      </c>
    </row>
    <row r="3417" spans="1:2">
      <c r="A3417">
        <v>0</v>
      </c>
      <c r="B3417">
        <v>0</v>
      </c>
    </row>
    <row r="3418" spans="1:2">
      <c r="A3418" t="s">
        <v>19</v>
      </c>
      <c r="B3418">
        <v>0</v>
      </c>
    </row>
    <row r="3419" spans="1:2">
      <c r="A3419">
        <v>0</v>
      </c>
      <c r="B3419">
        <v>0</v>
      </c>
    </row>
    <row r="3420" spans="1:2">
      <c r="A3420">
        <v>0</v>
      </c>
      <c r="B3420">
        <v>0</v>
      </c>
    </row>
    <row r="3421" spans="1:2">
      <c r="A3421" t="s">
        <v>31</v>
      </c>
      <c r="B3421">
        <v>117</v>
      </c>
    </row>
    <row r="3422" spans="1:2">
      <c r="A3422">
        <v>0</v>
      </c>
      <c r="B3422">
        <v>502</v>
      </c>
    </row>
    <row r="3423" spans="1:2">
      <c r="A3423">
        <v>0</v>
      </c>
      <c r="B3423">
        <v>426</v>
      </c>
    </row>
    <row r="3424" spans="1:2">
      <c r="A3424">
        <v>0</v>
      </c>
      <c r="B3424">
        <v>197.35</v>
      </c>
    </row>
    <row r="3425" spans="1:2">
      <c r="A3425" t="s">
        <v>25</v>
      </c>
      <c r="B3425">
        <v>104.57</v>
      </c>
    </row>
    <row r="3426" spans="1:2">
      <c r="A3426">
        <v>0</v>
      </c>
      <c r="B3426">
        <v>92.23</v>
      </c>
    </row>
    <row r="3427" spans="1:2">
      <c r="A3427" t="s">
        <v>30</v>
      </c>
      <c r="B3427">
        <v>77.680000000000007</v>
      </c>
    </row>
    <row r="3428" spans="1:2">
      <c r="A3428">
        <v>0</v>
      </c>
      <c r="B3428">
        <v>60.38</v>
      </c>
    </row>
    <row r="3429" spans="1:2">
      <c r="A3429">
        <v>0</v>
      </c>
      <c r="B3429">
        <v>57.1</v>
      </c>
    </row>
    <row r="3430" spans="1:2">
      <c r="A3430" t="s">
        <v>25</v>
      </c>
      <c r="B3430">
        <v>42.76</v>
      </c>
    </row>
    <row r="3431" spans="1:2">
      <c r="A3431">
        <v>0</v>
      </c>
      <c r="B3431">
        <v>30.37</v>
      </c>
    </row>
    <row r="3432" spans="1:2">
      <c r="A3432" t="s">
        <v>31</v>
      </c>
      <c r="B3432">
        <v>19.39</v>
      </c>
    </row>
    <row r="3433" spans="1:2">
      <c r="A3433">
        <v>0</v>
      </c>
      <c r="B3433">
        <v>18.55</v>
      </c>
    </row>
    <row r="3434" spans="1:2">
      <c r="A3434" t="s">
        <v>28</v>
      </c>
      <c r="B3434">
        <v>0</v>
      </c>
    </row>
    <row r="3435" spans="1:2">
      <c r="A3435">
        <v>0</v>
      </c>
      <c r="B3435">
        <v>0</v>
      </c>
    </row>
    <row r="3436" spans="1:2">
      <c r="A3436">
        <v>0</v>
      </c>
      <c r="B3436">
        <v>0</v>
      </c>
    </row>
    <row r="3437" spans="1:2">
      <c r="A3437" t="s">
        <v>29</v>
      </c>
      <c r="B3437">
        <v>0</v>
      </c>
    </row>
    <row r="3438" spans="1:2">
      <c r="A3438" t="s">
        <v>19</v>
      </c>
      <c r="B3438">
        <v>0</v>
      </c>
    </row>
    <row r="3439" spans="1:2">
      <c r="A3439" t="s">
        <v>31</v>
      </c>
      <c r="B3439">
        <v>0</v>
      </c>
    </row>
    <row r="3440" spans="1:2">
      <c r="A3440">
        <v>0</v>
      </c>
      <c r="B3440">
        <v>0</v>
      </c>
    </row>
    <row r="3441" spans="1:2">
      <c r="A3441">
        <v>0</v>
      </c>
      <c r="B3441">
        <v>0</v>
      </c>
    </row>
    <row r="3442" spans="1:2">
      <c r="A3442">
        <v>0</v>
      </c>
      <c r="B3442">
        <v>0</v>
      </c>
    </row>
    <row r="3443" spans="1:2">
      <c r="A3443">
        <v>0</v>
      </c>
      <c r="B3443">
        <v>0</v>
      </c>
    </row>
    <row r="3444" spans="1:2">
      <c r="A3444" t="s">
        <v>19</v>
      </c>
      <c r="B3444">
        <v>0</v>
      </c>
    </row>
    <row r="3445" spans="1:2">
      <c r="A3445" t="s">
        <v>31</v>
      </c>
      <c r="B3445">
        <v>0</v>
      </c>
    </row>
    <row r="3446" spans="1:2">
      <c r="A3446">
        <v>0</v>
      </c>
      <c r="B3446">
        <v>0</v>
      </c>
    </row>
    <row r="3447" spans="1:2">
      <c r="A3447" t="s">
        <v>31</v>
      </c>
      <c r="B3447">
        <v>405</v>
      </c>
    </row>
    <row r="3448" spans="1:2">
      <c r="A3448">
        <v>0</v>
      </c>
      <c r="B3448">
        <v>399</v>
      </c>
    </row>
    <row r="3449" spans="1:2">
      <c r="A3449">
        <v>0</v>
      </c>
      <c r="B3449">
        <v>126.78</v>
      </c>
    </row>
    <row r="3450" spans="1:2">
      <c r="A3450" t="s">
        <v>31</v>
      </c>
      <c r="B3450">
        <v>118.46</v>
      </c>
    </row>
    <row r="3451" spans="1:2">
      <c r="A3451">
        <v>0</v>
      </c>
      <c r="B3451">
        <v>25.86</v>
      </c>
    </row>
    <row r="3452" spans="1:2">
      <c r="A3452">
        <v>0</v>
      </c>
      <c r="B3452">
        <v>20.21</v>
      </c>
    </row>
    <row r="3453" spans="1:2">
      <c r="A3453">
        <v>0</v>
      </c>
      <c r="B3453">
        <v>0</v>
      </c>
    </row>
    <row r="3454" spans="1:2">
      <c r="A3454" t="s">
        <v>30</v>
      </c>
      <c r="B3454">
        <v>0</v>
      </c>
    </row>
    <row r="3455" spans="1:2">
      <c r="A3455" t="s">
        <v>31</v>
      </c>
      <c r="B3455">
        <v>0</v>
      </c>
    </row>
    <row r="3456" spans="1:2">
      <c r="A3456">
        <v>0</v>
      </c>
      <c r="B3456">
        <v>0</v>
      </c>
    </row>
    <row r="3457" spans="1:2">
      <c r="A3457" t="s">
        <v>26</v>
      </c>
      <c r="B3457">
        <v>0</v>
      </c>
    </row>
    <row r="3458" spans="1:2">
      <c r="A3458" t="s">
        <v>28</v>
      </c>
      <c r="B3458">
        <v>0</v>
      </c>
    </row>
    <row r="3459" spans="1:2">
      <c r="A3459" t="s">
        <v>31</v>
      </c>
      <c r="B3459">
        <v>0</v>
      </c>
    </row>
    <row r="3460" spans="1:2">
      <c r="A3460">
        <v>0</v>
      </c>
      <c r="B3460">
        <v>0</v>
      </c>
    </row>
    <row r="3461" spans="1:2">
      <c r="A3461">
        <v>0</v>
      </c>
      <c r="B3461">
        <v>0</v>
      </c>
    </row>
    <row r="3462" spans="1:2">
      <c r="A3462">
        <v>0</v>
      </c>
      <c r="B3462">
        <v>0</v>
      </c>
    </row>
    <row r="3463" spans="1:2">
      <c r="A3463" t="s">
        <v>30</v>
      </c>
      <c r="B3463">
        <v>0</v>
      </c>
    </row>
    <row r="3464" spans="1:2">
      <c r="A3464">
        <v>0</v>
      </c>
      <c r="B3464">
        <v>0</v>
      </c>
    </row>
    <row r="3465" spans="1:2">
      <c r="A3465">
        <v>0</v>
      </c>
      <c r="B3465">
        <v>0</v>
      </c>
    </row>
    <row r="3466" spans="1:2">
      <c r="A3466">
        <v>0</v>
      </c>
      <c r="B3466">
        <v>0</v>
      </c>
    </row>
    <row r="3467" spans="1:2">
      <c r="A3467" t="s">
        <v>29</v>
      </c>
      <c r="B3467">
        <v>0</v>
      </c>
    </row>
    <row r="3468" spans="1:2">
      <c r="A3468">
        <v>0</v>
      </c>
      <c r="B3468">
        <v>0</v>
      </c>
    </row>
    <row r="3469" spans="1:2">
      <c r="A3469" t="s">
        <v>31</v>
      </c>
      <c r="B3469">
        <v>0</v>
      </c>
    </row>
    <row r="3470" spans="1:2">
      <c r="A3470" t="s">
        <v>30</v>
      </c>
      <c r="B3470">
        <v>0</v>
      </c>
    </row>
    <row r="3471" spans="1:2">
      <c r="A3471">
        <v>0</v>
      </c>
      <c r="B3471">
        <v>0</v>
      </c>
    </row>
    <row r="3472" spans="1:2">
      <c r="A3472" t="s">
        <v>26</v>
      </c>
      <c r="B3472">
        <v>19</v>
      </c>
    </row>
    <row r="3473" spans="1:2">
      <c r="A3473" t="s">
        <v>28</v>
      </c>
      <c r="B3473">
        <v>527</v>
      </c>
    </row>
    <row r="3474" spans="1:2">
      <c r="A3474">
        <v>0</v>
      </c>
      <c r="B3474">
        <v>72.790000000000006</v>
      </c>
    </row>
    <row r="3475" spans="1:2">
      <c r="A3475">
        <v>0</v>
      </c>
      <c r="B3475">
        <v>64.72</v>
      </c>
    </row>
    <row r="3476" spans="1:2">
      <c r="A3476">
        <v>0</v>
      </c>
      <c r="B3476">
        <v>39.67</v>
      </c>
    </row>
    <row r="3477" spans="1:2">
      <c r="A3477" t="s">
        <v>29</v>
      </c>
      <c r="B3477">
        <v>25.24</v>
      </c>
    </row>
    <row r="3478" spans="1:2">
      <c r="A3478">
        <v>0</v>
      </c>
      <c r="B3478">
        <v>24.99</v>
      </c>
    </row>
    <row r="3479" spans="1:2">
      <c r="A3479">
        <v>0</v>
      </c>
      <c r="B3479">
        <v>16.63</v>
      </c>
    </row>
    <row r="3480" spans="1:2">
      <c r="A3480" t="s">
        <v>26</v>
      </c>
      <c r="B3480">
        <v>14.96</v>
      </c>
    </row>
    <row r="3481" spans="1:2">
      <c r="A3481">
        <v>0</v>
      </c>
      <c r="B3481">
        <v>0</v>
      </c>
    </row>
    <row r="3482" spans="1:2">
      <c r="A3482">
        <v>0</v>
      </c>
      <c r="B3482">
        <v>0</v>
      </c>
    </row>
    <row r="3483" spans="1:2">
      <c r="A3483">
        <v>0</v>
      </c>
      <c r="B3483">
        <v>0</v>
      </c>
    </row>
    <row r="3484" spans="1:2">
      <c r="A3484">
        <v>0</v>
      </c>
      <c r="B3484">
        <v>0</v>
      </c>
    </row>
    <row r="3485" spans="1:2">
      <c r="A3485" t="s">
        <v>25</v>
      </c>
      <c r="B3485">
        <v>0</v>
      </c>
    </row>
    <row r="3486" spans="1:2">
      <c r="A3486">
        <v>0</v>
      </c>
      <c r="B3486">
        <v>0</v>
      </c>
    </row>
    <row r="3487" spans="1:2">
      <c r="A3487">
        <v>0</v>
      </c>
      <c r="B3487">
        <v>0</v>
      </c>
    </row>
    <row r="3488" spans="1:2">
      <c r="A3488">
        <v>0</v>
      </c>
      <c r="B3488">
        <v>0</v>
      </c>
    </row>
    <row r="3489" spans="1:2">
      <c r="A3489" t="s">
        <v>19</v>
      </c>
      <c r="B3489">
        <v>0</v>
      </c>
    </row>
    <row r="3490" spans="1:2">
      <c r="A3490" t="s">
        <v>31</v>
      </c>
      <c r="B3490">
        <v>0</v>
      </c>
    </row>
    <row r="3491" spans="1:2">
      <c r="A3491" t="s">
        <v>30</v>
      </c>
      <c r="B3491">
        <v>0</v>
      </c>
    </row>
    <row r="3492" spans="1:2">
      <c r="A3492" t="s">
        <v>31</v>
      </c>
      <c r="B3492">
        <v>0</v>
      </c>
    </row>
    <row r="3493" spans="1:2">
      <c r="A3493">
        <v>0</v>
      </c>
      <c r="B3493">
        <v>0</v>
      </c>
    </row>
    <row r="3494" spans="1:2">
      <c r="A3494">
        <v>0</v>
      </c>
      <c r="B3494">
        <v>0</v>
      </c>
    </row>
    <row r="3495" spans="1:2">
      <c r="A3495" t="s">
        <v>26</v>
      </c>
      <c r="B3495">
        <v>0</v>
      </c>
    </row>
    <row r="3496" spans="1:2">
      <c r="A3496" t="s">
        <v>25</v>
      </c>
      <c r="B3496">
        <v>0</v>
      </c>
    </row>
    <row r="3497" spans="1:2">
      <c r="A3497" t="s">
        <v>29</v>
      </c>
      <c r="B3497">
        <v>0</v>
      </c>
    </row>
    <row r="3498" spans="1:2">
      <c r="A3498" t="s">
        <v>26</v>
      </c>
      <c r="B3498">
        <v>0</v>
      </c>
    </row>
    <row r="3499" spans="1:2">
      <c r="A3499">
        <v>0</v>
      </c>
      <c r="B3499">
        <v>0</v>
      </c>
    </row>
    <row r="3500" spans="1:2">
      <c r="A3500">
        <v>0</v>
      </c>
      <c r="B3500">
        <v>0</v>
      </c>
    </row>
    <row r="3501" spans="1:2">
      <c r="A3501">
        <v>0</v>
      </c>
      <c r="B3501">
        <v>0</v>
      </c>
    </row>
    <row r="3502" spans="1:2">
      <c r="A3502" t="s">
        <v>25</v>
      </c>
      <c r="B3502">
        <v>0</v>
      </c>
    </row>
    <row r="3503" spans="1:2">
      <c r="A3503">
        <v>0</v>
      </c>
      <c r="B3503">
        <v>0</v>
      </c>
    </row>
    <row r="3504" spans="1:2">
      <c r="A3504" t="s">
        <v>30</v>
      </c>
      <c r="B3504">
        <v>483</v>
      </c>
    </row>
    <row r="3505" spans="1:2">
      <c r="A3505">
        <v>0</v>
      </c>
      <c r="B3505">
        <v>334</v>
      </c>
    </row>
    <row r="3506" spans="1:2">
      <c r="A3506" t="s">
        <v>29</v>
      </c>
      <c r="B3506">
        <v>177</v>
      </c>
    </row>
    <row r="3507" spans="1:2">
      <c r="A3507">
        <v>0</v>
      </c>
      <c r="B3507">
        <v>114</v>
      </c>
    </row>
    <row r="3508" spans="1:2">
      <c r="A3508">
        <v>0</v>
      </c>
      <c r="B3508">
        <v>53</v>
      </c>
    </row>
    <row r="3509" spans="1:2">
      <c r="A3509">
        <v>0</v>
      </c>
      <c r="B3509">
        <v>158.38999999999999</v>
      </c>
    </row>
    <row r="3510" spans="1:2">
      <c r="A3510" t="s">
        <v>25</v>
      </c>
      <c r="B3510">
        <v>93.88</v>
      </c>
    </row>
    <row r="3511" spans="1:2">
      <c r="A3511">
        <v>0</v>
      </c>
      <c r="B3511">
        <v>51.46</v>
      </c>
    </row>
    <row r="3512" spans="1:2">
      <c r="A3512" t="s">
        <v>29</v>
      </c>
      <c r="B3512">
        <v>46.27</v>
      </c>
    </row>
    <row r="3513" spans="1:2">
      <c r="A3513">
        <v>0</v>
      </c>
      <c r="B3513">
        <v>41.81</v>
      </c>
    </row>
    <row r="3514" spans="1:2">
      <c r="A3514">
        <v>0</v>
      </c>
      <c r="B3514">
        <v>40.380000000000003</v>
      </c>
    </row>
    <row r="3515" spans="1:2">
      <c r="A3515">
        <v>0</v>
      </c>
      <c r="B3515">
        <v>33.119999999999997</v>
      </c>
    </row>
    <row r="3516" spans="1:2">
      <c r="A3516">
        <v>0</v>
      </c>
      <c r="B3516">
        <v>27.64</v>
      </c>
    </row>
    <row r="3517" spans="1:2">
      <c r="A3517">
        <v>0</v>
      </c>
      <c r="B3517">
        <v>20.95</v>
      </c>
    </row>
    <row r="3518" spans="1:2">
      <c r="A3518" t="s">
        <v>31</v>
      </c>
      <c r="B3518">
        <v>7.02</v>
      </c>
    </row>
    <row r="3519" spans="1:2">
      <c r="A3519" t="s">
        <v>30</v>
      </c>
      <c r="B3519">
        <v>0</v>
      </c>
    </row>
    <row r="3520" spans="1:2">
      <c r="A3520">
        <v>0</v>
      </c>
      <c r="B3520">
        <v>0</v>
      </c>
    </row>
    <row r="3521" spans="1:2">
      <c r="A3521">
        <v>0</v>
      </c>
      <c r="B3521">
        <v>0</v>
      </c>
    </row>
    <row r="3522" spans="1:2">
      <c r="A3522" t="s">
        <v>26</v>
      </c>
      <c r="B3522">
        <v>0</v>
      </c>
    </row>
    <row r="3523" spans="1:2">
      <c r="A3523" t="s">
        <v>30</v>
      </c>
      <c r="B3523">
        <v>0</v>
      </c>
    </row>
    <row r="3524" spans="1:2">
      <c r="A3524">
        <v>0</v>
      </c>
      <c r="B3524">
        <v>0</v>
      </c>
    </row>
    <row r="3525" spans="1:2">
      <c r="A3525" t="s">
        <v>25</v>
      </c>
      <c r="B3525">
        <v>0</v>
      </c>
    </row>
    <row r="3526" spans="1:2">
      <c r="A3526">
        <v>0</v>
      </c>
      <c r="B3526">
        <v>0</v>
      </c>
    </row>
    <row r="3527" spans="1:2">
      <c r="A3527">
        <v>0</v>
      </c>
      <c r="B3527">
        <v>0</v>
      </c>
    </row>
    <row r="3528" spans="1:2">
      <c r="A3528" t="s">
        <v>26</v>
      </c>
      <c r="B3528">
        <v>0</v>
      </c>
    </row>
    <row r="3529" spans="1:2">
      <c r="A3529">
        <v>0</v>
      </c>
      <c r="B3529">
        <v>0</v>
      </c>
    </row>
    <row r="3530" spans="1:2">
      <c r="A3530">
        <v>0</v>
      </c>
      <c r="B3530">
        <v>0</v>
      </c>
    </row>
    <row r="3531" spans="1:2">
      <c r="A3531" t="s">
        <v>26</v>
      </c>
      <c r="B3531">
        <v>0</v>
      </c>
    </row>
    <row r="3532" spans="1:2">
      <c r="A3532">
        <v>0</v>
      </c>
      <c r="B3532">
        <v>0</v>
      </c>
    </row>
    <row r="3533" spans="1:2">
      <c r="A3533">
        <v>0</v>
      </c>
      <c r="B3533">
        <v>0</v>
      </c>
    </row>
    <row r="3534" spans="1:2">
      <c r="A3534">
        <v>0</v>
      </c>
      <c r="B3534">
        <v>0</v>
      </c>
    </row>
    <row r="3535" spans="1:2">
      <c r="A3535" t="s">
        <v>31</v>
      </c>
      <c r="B3535">
        <v>0</v>
      </c>
    </row>
    <row r="3536" spans="1:2">
      <c r="A3536" t="s">
        <v>26</v>
      </c>
      <c r="B3536">
        <v>0</v>
      </c>
    </row>
    <row r="3537" spans="1:2">
      <c r="A3537">
        <v>0</v>
      </c>
      <c r="B3537">
        <v>0</v>
      </c>
    </row>
    <row r="3538" spans="1:2">
      <c r="A3538">
        <v>0</v>
      </c>
      <c r="B3538">
        <v>0</v>
      </c>
    </row>
    <row r="3539" spans="1:2">
      <c r="A3539">
        <v>0</v>
      </c>
      <c r="B3539">
        <v>0</v>
      </c>
    </row>
    <row r="3540" spans="1:2">
      <c r="A3540">
        <v>0</v>
      </c>
      <c r="B3540">
        <v>241</v>
      </c>
    </row>
    <row r="3541" spans="1:2">
      <c r="A3541">
        <v>0</v>
      </c>
      <c r="B3541">
        <v>548</v>
      </c>
    </row>
    <row r="3542" spans="1:2">
      <c r="A3542">
        <v>0</v>
      </c>
      <c r="B3542">
        <v>695.34</v>
      </c>
    </row>
    <row r="3543" spans="1:2">
      <c r="A3543">
        <v>0</v>
      </c>
      <c r="B3543">
        <v>86.7</v>
      </c>
    </row>
    <row r="3544" spans="1:2">
      <c r="A3544">
        <v>0</v>
      </c>
      <c r="B3544">
        <v>60.8</v>
      </c>
    </row>
    <row r="3545" spans="1:2">
      <c r="A3545">
        <v>0</v>
      </c>
      <c r="B3545">
        <v>57.13</v>
      </c>
    </row>
    <row r="3546" spans="1:2">
      <c r="A3546">
        <v>0</v>
      </c>
      <c r="B3546">
        <v>43.82</v>
      </c>
    </row>
    <row r="3547" spans="1:2">
      <c r="A3547">
        <v>0</v>
      </c>
      <c r="B3547">
        <v>32.549999999999997</v>
      </c>
    </row>
    <row r="3548" spans="1:2">
      <c r="A3548">
        <v>0</v>
      </c>
      <c r="B3548">
        <v>30.76</v>
      </c>
    </row>
    <row r="3549" spans="1:2">
      <c r="A3549" t="s">
        <v>29</v>
      </c>
      <c r="B3549">
        <v>25.94</v>
      </c>
    </row>
    <row r="3550" spans="1:2">
      <c r="A3550">
        <v>0</v>
      </c>
      <c r="B3550">
        <v>19.38</v>
      </c>
    </row>
    <row r="3551" spans="1:2">
      <c r="A3551">
        <v>0</v>
      </c>
      <c r="B3551">
        <v>0</v>
      </c>
    </row>
    <row r="3552" spans="1:2">
      <c r="A3552" t="s">
        <v>19</v>
      </c>
      <c r="B3552">
        <v>0</v>
      </c>
    </row>
    <row r="3553" spans="1:2">
      <c r="A3553" t="s">
        <v>28</v>
      </c>
      <c r="B3553">
        <v>0</v>
      </c>
    </row>
    <row r="3554" spans="1:2">
      <c r="A3554">
        <v>0</v>
      </c>
      <c r="B3554">
        <v>0</v>
      </c>
    </row>
    <row r="3555" spans="1:2">
      <c r="A3555">
        <v>0</v>
      </c>
      <c r="B3555">
        <v>0</v>
      </c>
    </row>
    <row r="3556" spans="1:2">
      <c r="A3556">
        <v>0</v>
      </c>
      <c r="B3556">
        <v>0</v>
      </c>
    </row>
    <row r="3557" spans="1:2">
      <c r="A3557">
        <v>0</v>
      </c>
      <c r="B3557">
        <v>0</v>
      </c>
    </row>
    <row r="3558" spans="1:2">
      <c r="A3558">
        <v>0</v>
      </c>
      <c r="B3558">
        <v>0</v>
      </c>
    </row>
    <row r="3559" spans="1:2">
      <c r="A3559" t="s">
        <v>26</v>
      </c>
      <c r="B3559">
        <v>0</v>
      </c>
    </row>
    <row r="3560" spans="1:2">
      <c r="A3560">
        <v>0</v>
      </c>
      <c r="B3560">
        <v>0</v>
      </c>
    </row>
    <row r="3561" spans="1:2">
      <c r="A3561">
        <v>0</v>
      </c>
      <c r="B3561">
        <v>0</v>
      </c>
    </row>
    <row r="3562" spans="1:2">
      <c r="A3562" t="s">
        <v>28</v>
      </c>
      <c r="B3562">
        <v>0</v>
      </c>
    </row>
    <row r="3563" spans="1:2">
      <c r="A3563" t="s">
        <v>28</v>
      </c>
      <c r="B3563">
        <v>444</v>
      </c>
    </row>
    <row r="3564" spans="1:2">
      <c r="A3564">
        <v>0</v>
      </c>
      <c r="B3564">
        <v>58.26</v>
      </c>
    </row>
    <row r="3565" spans="1:2">
      <c r="A3565">
        <v>0</v>
      </c>
      <c r="B3565">
        <v>53.57</v>
      </c>
    </row>
    <row r="3566" spans="1:2">
      <c r="A3566">
        <v>0</v>
      </c>
      <c r="B3566">
        <v>44.01</v>
      </c>
    </row>
    <row r="3567" spans="1:2">
      <c r="A3567">
        <v>0</v>
      </c>
      <c r="B3567">
        <v>43.67</v>
      </c>
    </row>
    <row r="3568" spans="1:2">
      <c r="A3568">
        <v>0</v>
      </c>
      <c r="B3568">
        <v>21.24</v>
      </c>
    </row>
    <row r="3569" spans="1:2">
      <c r="A3569" t="s">
        <v>28</v>
      </c>
      <c r="B3569">
        <v>17.45</v>
      </c>
    </row>
    <row r="3570" spans="1:2">
      <c r="A3570" t="s">
        <v>19</v>
      </c>
      <c r="B3570">
        <v>0</v>
      </c>
    </row>
    <row r="3571" spans="1:2">
      <c r="A3571">
        <v>0</v>
      </c>
      <c r="B3571">
        <v>0</v>
      </c>
    </row>
    <row r="3572" spans="1:2">
      <c r="A3572">
        <v>0</v>
      </c>
      <c r="B3572">
        <v>0</v>
      </c>
    </row>
    <row r="3573" spans="1:2">
      <c r="A3573">
        <v>0</v>
      </c>
      <c r="B3573">
        <v>0</v>
      </c>
    </row>
    <row r="3574" spans="1:2">
      <c r="A3574">
        <v>0</v>
      </c>
      <c r="B3574">
        <v>0</v>
      </c>
    </row>
    <row r="3575" spans="1:2">
      <c r="A3575">
        <v>0</v>
      </c>
      <c r="B3575">
        <v>0</v>
      </c>
    </row>
    <row r="3576" spans="1:2">
      <c r="A3576">
        <v>0</v>
      </c>
      <c r="B3576">
        <v>0</v>
      </c>
    </row>
    <row r="3577" spans="1:2">
      <c r="A3577">
        <v>0</v>
      </c>
      <c r="B3577">
        <v>0</v>
      </c>
    </row>
    <row r="3578" spans="1:2">
      <c r="A3578">
        <v>0</v>
      </c>
      <c r="B3578">
        <v>0</v>
      </c>
    </row>
    <row r="3579" spans="1:2">
      <c r="A3579">
        <v>0</v>
      </c>
      <c r="B3579">
        <v>0</v>
      </c>
    </row>
    <row r="3580" spans="1:2">
      <c r="A3580">
        <v>0</v>
      </c>
      <c r="B3580">
        <v>0</v>
      </c>
    </row>
    <row r="3581" spans="1:2">
      <c r="A3581" t="s">
        <v>19</v>
      </c>
      <c r="B3581">
        <v>0</v>
      </c>
    </row>
    <row r="3582" spans="1:2">
      <c r="A3582" t="s">
        <v>25</v>
      </c>
      <c r="B3582">
        <v>0</v>
      </c>
    </row>
    <row r="3583" spans="1:2">
      <c r="A3583">
        <v>0</v>
      </c>
      <c r="B3583">
        <v>132</v>
      </c>
    </row>
    <row r="3584" spans="1:2">
      <c r="A3584" t="s">
        <v>26</v>
      </c>
      <c r="B3584">
        <v>185</v>
      </c>
    </row>
    <row r="3585" spans="1:2">
      <c r="A3585">
        <v>0</v>
      </c>
      <c r="B3585">
        <v>221</v>
      </c>
    </row>
    <row r="3586" spans="1:2">
      <c r="A3586">
        <v>0</v>
      </c>
      <c r="B3586">
        <v>117.6</v>
      </c>
    </row>
    <row r="3587" spans="1:2">
      <c r="A3587" t="s">
        <v>30</v>
      </c>
      <c r="B3587">
        <v>32.47</v>
      </c>
    </row>
    <row r="3588" spans="1:2">
      <c r="A3588">
        <v>0</v>
      </c>
      <c r="B3588">
        <v>18.63</v>
      </c>
    </row>
    <row r="3589" spans="1:2">
      <c r="A3589">
        <v>0</v>
      </c>
      <c r="B3589">
        <v>18.149999999999999</v>
      </c>
    </row>
    <row r="3590" spans="1:2">
      <c r="A3590" t="s">
        <v>28</v>
      </c>
      <c r="B3590">
        <v>0</v>
      </c>
    </row>
    <row r="3591" spans="1:2">
      <c r="A3591">
        <v>0</v>
      </c>
      <c r="B3591">
        <v>0</v>
      </c>
    </row>
    <row r="3592" spans="1:2">
      <c r="A3592">
        <v>0</v>
      </c>
      <c r="B3592">
        <v>0</v>
      </c>
    </row>
    <row r="3593" spans="1:2">
      <c r="A3593">
        <v>0</v>
      </c>
      <c r="B3593">
        <v>0</v>
      </c>
    </row>
    <row r="3594" spans="1:2">
      <c r="A3594" t="s">
        <v>31</v>
      </c>
      <c r="B3594">
        <v>0</v>
      </c>
    </row>
    <row r="3595" spans="1:2">
      <c r="A3595">
        <v>0</v>
      </c>
      <c r="B3595">
        <v>0</v>
      </c>
    </row>
    <row r="3596" spans="1:2">
      <c r="A3596">
        <v>0</v>
      </c>
      <c r="B3596">
        <v>0</v>
      </c>
    </row>
    <row r="3597" spans="1:2">
      <c r="A3597" t="s">
        <v>31</v>
      </c>
      <c r="B3597">
        <v>0</v>
      </c>
    </row>
    <row r="3598" spans="1:2">
      <c r="A3598">
        <v>0</v>
      </c>
      <c r="B3598">
        <v>0</v>
      </c>
    </row>
    <row r="3599" spans="1:2">
      <c r="A3599" t="s">
        <v>25</v>
      </c>
      <c r="B3599">
        <v>0</v>
      </c>
    </row>
    <row r="3600" spans="1:2">
      <c r="A3600">
        <v>0</v>
      </c>
      <c r="B3600">
        <v>0</v>
      </c>
    </row>
    <row r="3601" spans="1:2">
      <c r="A3601">
        <v>0</v>
      </c>
      <c r="B3601">
        <v>0</v>
      </c>
    </row>
    <row r="3602" spans="1:2">
      <c r="A3602" t="s">
        <v>31</v>
      </c>
      <c r="B3602">
        <v>0</v>
      </c>
    </row>
    <row r="3603" spans="1:2">
      <c r="A3603">
        <v>0</v>
      </c>
      <c r="B3603">
        <v>0</v>
      </c>
    </row>
    <row r="3604" spans="1:2">
      <c r="A3604">
        <v>0</v>
      </c>
      <c r="B3604">
        <v>0</v>
      </c>
    </row>
    <row r="3605" spans="1:2">
      <c r="A3605" t="s">
        <v>30</v>
      </c>
      <c r="B3605">
        <v>0</v>
      </c>
    </row>
    <row r="3606" spans="1:2">
      <c r="A3606">
        <v>0</v>
      </c>
      <c r="B3606">
        <v>0</v>
      </c>
    </row>
    <row r="3607" spans="1:2">
      <c r="A3607" t="s">
        <v>31</v>
      </c>
      <c r="B3607">
        <v>0</v>
      </c>
    </row>
    <row r="3608" spans="1:2">
      <c r="A3608">
        <v>0</v>
      </c>
      <c r="B3608">
        <v>0</v>
      </c>
    </row>
    <row r="3609" spans="1:2">
      <c r="A3609" t="s">
        <v>28</v>
      </c>
      <c r="B3609">
        <v>0</v>
      </c>
    </row>
    <row r="3610" spans="1:2">
      <c r="A3610">
        <v>0</v>
      </c>
      <c r="B3610">
        <v>326</v>
      </c>
    </row>
    <row r="3611" spans="1:2">
      <c r="A3611">
        <v>0</v>
      </c>
      <c r="B3611">
        <v>215.19</v>
      </c>
    </row>
    <row r="3612" spans="1:2">
      <c r="A3612">
        <v>0</v>
      </c>
      <c r="B3612">
        <v>180.23</v>
      </c>
    </row>
    <row r="3613" spans="1:2">
      <c r="A3613">
        <v>0</v>
      </c>
      <c r="B3613">
        <v>91.81</v>
      </c>
    </row>
    <row r="3614" spans="1:2">
      <c r="A3614">
        <v>0</v>
      </c>
      <c r="B3614">
        <v>76.87</v>
      </c>
    </row>
    <row r="3615" spans="1:2">
      <c r="A3615" t="s">
        <v>25</v>
      </c>
      <c r="B3615">
        <v>69.099999999999994</v>
      </c>
    </row>
    <row r="3616" spans="1:2">
      <c r="A3616">
        <v>0</v>
      </c>
      <c r="B3616">
        <v>68.03</v>
      </c>
    </row>
    <row r="3617" spans="1:2">
      <c r="A3617">
        <v>0</v>
      </c>
      <c r="B3617">
        <v>44.21</v>
      </c>
    </row>
    <row r="3618" spans="1:2">
      <c r="A3618">
        <v>0</v>
      </c>
      <c r="B3618">
        <v>42.76</v>
      </c>
    </row>
    <row r="3619" spans="1:2">
      <c r="A3619">
        <v>0</v>
      </c>
      <c r="B3619">
        <v>13.5</v>
      </c>
    </row>
    <row r="3620" spans="1:2">
      <c r="A3620" t="s">
        <v>19</v>
      </c>
      <c r="B3620">
        <v>0</v>
      </c>
    </row>
    <row r="3621" spans="1:2">
      <c r="A3621" t="s">
        <v>26</v>
      </c>
      <c r="B3621">
        <v>0</v>
      </c>
    </row>
    <row r="3622" spans="1:2">
      <c r="A3622">
        <v>0</v>
      </c>
      <c r="B3622">
        <v>0</v>
      </c>
    </row>
    <row r="3623" spans="1:2">
      <c r="A3623" t="s">
        <v>31</v>
      </c>
      <c r="B3623">
        <v>0</v>
      </c>
    </row>
    <row r="3624" spans="1:2">
      <c r="A3624">
        <v>0</v>
      </c>
      <c r="B3624">
        <v>0</v>
      </c>
    </row>
    <row r="3625" spans="1:2">
      <c r="A3625" t="s">
        <v>25</v>
      </c>
      <c r="B3625">
        <v>0</v>
      </c>
    </row>
    <row r="3626" spans="1:2">
      <c r="A3626">
        <v>0</v>
      </c>
      <c r="B3626">
        <v>0</v>
      </c>
    </row>
    <row r="3627" spans="1:2">
      <c r="A3627">
        <v>0</v>
      </c>
      <c r="B3627">
        <v>0</v>
      </c>
    </row>
    <row r="3628" spans="1:2">
      <c r="A3628">
        <v>0</v>
      </c>
      <c r="B3628">
        <v>0</v>
      </c>
    </row>
    <row r="3629" spans="1:2">
      <c r="A3629">
        <v>0</v>
      </c>
      <c r="B3629">
        <v>0</v>
      </c>
    </row>
    <row r="3630" spans="1:2">
      <c r="A3630">
        <v>0</v>
      </c>
      <c r="B3630">
        <v>0</v>
      </c>
    </row>
    <row r="3631" spans="1:2">
      <c r="A3631">
        <v>0</v>
      </c>
      <c r="B3631">
        <v>0</v>
      </c>
    </row>
    <row r="3632" spans="1:2">
      <c r="A3632" t="s">
        <v>19</v>
      </c>
      <c r="B3632">
        <v>0</v>
      </c>
    </row>
    <row r="3633" spans="1:2">
      <c r="A3633" t="s">
        <v>31</v>
      </c>
      <c r="B3633">
        <v>127.3</v>
      </c>
    </row>
    <row r="3634" spans="1:2">
      <c r="A3634" t="s">
        <v>30</v>
      </c>
      <c r="B3634">
        <v>55.22</v>
      </c>
    </row>
    <row r="3635" spans="1:2">
      <c r="A3635" t="s">
        <v>31</v>
      </c>
      <c r="B3635">
        <v>0</v>
      </c>
    </row>
    <row r="3636" spans="1:2">
      <c r="A3636">
        <v>0</v>
      </c>
      <c r="B3636">
        <v>0</v>
      </c>
    </row>
    <row r="3637" spans="1:2">
      <c r="A3637">
        <v>0</v>
      </c>
      <c r="B3637">
        <v>0</v>
      </c>
    </row>
    <row r="3638" spans="1:2">
      <c r="A3638">
        <v>0</v>
      </c>
      <c r="B3638">
        <v>0</v>
      </c>
    </row>
    <row r="3639" spans="1:2">
      <c r="A3639">
        <v>0</v>
      </c>
      <c r="B3639">
        <v>0</v>
      </c>
    </row>
    <row r="3640" spans="1:2">
      <c r="A3640">
        <v>0</v>
      </c>
      <c r="B3640">
        <v>0</v>
      </c>
    </row>
    <row r="3641" spans="1:2">
      <c r="A3641" t="s">
        <v>31</v>
      </c>
      <c r="B3641">
        <v>0</v>
      </c>
    </row>
    <row r="3642" spans="1:2">
      <c r="A3642">
        <v>0</v>
      </c>
      <c r="B3642">
        <v>0</v>
      </c>
    </row>
    <row r="3643" spans="1:2">
      <c r="A3643" t="s">
        <v>26</v>
      </c>
      <c r="B3643">
        <v>0</v>
      </c>
    </row>
    <row r="3644" spans="1:2">
      <c r="A3644">
        <v>0</v>
      </c>
      <c r="B3644">
        <v>0</v>
      </c>
    </row>
    <row r="3645" spans="1:2">
      <c r="A3645">
        <v>0</v>
      </c>
      <c r="B3645">
        <v>0</v>
      </c>
    </row>
    <row r="3646" spans="1:2">
      <c r="A3646">
        <v>0</v>
      </c>
      <c r="B3646">
        <v>0</v>
      </c>
    </row>
    <row r="3647" spans="1:2">
      <c r="A3647">
        <v>0</v>
      </c>
      <c r="B3647">
        <v>0</v>
      </c>
    </row>
    <row r="3648" spans="1:2">
      <c r="A3648">
        <v>0</v>
      </c>
      <c r="B3648">
        <v>0</v>
      </c>
    </row>
    <row r="3649" spans="1:2">
      <c r="A3649">
        <v>0</v>
      </c>
      <c r="B3649">
        <v>0</v>
      </c>
    </row>
    <row r="3650" spans="1:2">
      <c r="A3650" t="s">
        <v>31</v>
      </c>
      <c r="B3650">
        <v>0</v>
      </c>
    </row>
    <row r="3651" spans="1:2">
      <c r="A3651" t="s">
        <v>25</v>
      </c>
      <c r="B3651">
        <v>0</v>
      </c>
    </row>
    <row r="3652" spans="1:2">
      <c r="A3652" t="s">
        <v>28</v>
      </c>
      <c r="B3652">
        <v>0</v>
      </c>
    </row>
    <row r="3653" spans="1:2">
      <c r="A3653">
        <v>0</v>
      </c>
      <c r="B3653">
        <v>0</v>
      </c>
    </row>
    <row r="3654" spans="1:2">
      <c r="A3654" t="s">
        <v>28</v>
      </c>
      <c r="B3654">
        <v>0</v>
      </c>
    </row>
    <row r="3655" spans="1:2">
      <c r="A3655">
        <v>0</v>
      </c>
      <c r="B3655">
        <v>0</v>
      </c>
    </row>
    <row r="3656" spans="1:2">
      <c r="A3656">
        <v>0</v>
      </c>
      <c r="B3656">
        <v>0</v>
      </c>
    </row>
    <row r="3657" spans="1:2">
      <c r="A3657" t="s">
        <v>25</v>
      </c>
      <c r="B3657">
        <v>0</v>
      </c>
    </row>
    <row r="3658" spans="1:2">
      <c r="A3658">
        <v>0</v>
      </c>
      <c r="B3658">
        <v>0</v>
      </c>
    </row>
    <row r="3659" spans="1:2">
      <c r="A3659" t="s">
        <v>28</v>
      </c>
      <c r="B3659">
        <v>347</v>
      </c>
    </row>
    <row r="3660" spans="1:2">
      <c r="A3660" t="s">
        <v>30</v>
      </c>
      <c r="B3660">
        <v>88</v>
      </c>
    </row>
    <row r="3661" spans="1:2">
      <c r="A3661">
        <v>0</v>
      </c>
      <c r="B3661">
        <v>60.14</v>
      </c>
    </row>
    <row r="3662" spans="1:2">
      <c r="A3662">
        <v>0</v>
      </c>
      <c r="B3662">
        <v>53.06</v>
      </c>
    </row>
    <row r="3663" spans="1:2">
      <c r="A3663" t="s">
        <v>31</v>
      </c>
      <c r="B3663">
        <v>49.1</v>
      </c>
    </row>
    <row r="3664" spans="1:2">
      <c r="A3664">
        <v>0</v>
      </c>
      <c r="B3664">
        <v>44.63</v>
      </c>
    </row>
    <row r="3665" spans="1:2">
      <c r="A3665">
        <v>0</v>
      </c>
      <c r="B3665">
        <v>33.65</v>
      </c>
    </row>
    <row r="3666" spans="1:2">
      <c r="A3666">
        <v>0</v>
      </c>
      <c r="B3666">
        <v>24.34</v>
      </c>
    </row>
    <row r="3667" spans="1:2">
      <c r="A3667" t="s">
        <v>28</v>
      </c>
      <c r="B3667">
        <v>22.35</v>
      </c>
    </row>
    <row r="3668" spans="1:2">
      <c r="A3668">
        <v>0</v>
      </c>
      <c r="B3668">
        <v>0</v>
      </c>
    </row>
    <row r="3669" spans="1:2">
      <c r="A3669">
        <v>0</v>
      </c>
      <c r="B3669">
        <v>0</v>
      </c>
    </row>
    <row r="3670" spans="1:2">
      <c r="A3670">
        <v>0</v>
      </c>
      <c r="B3670">
        <v>0</v>
      </c>
    </row>
    <row r="3671" spans="1:2">
      <c r="A3671" t="s">
        <v>31</v>
      </c>
      <c r="B3671">
        <v>0</v>
      </c>
    </row>
    <row r="3672" spans="1:2">
      <c r="A3672">
        <v>0</v>
      </c>
      <c r="B3672">
        <v>0</v>
      </c>
    </row>
    <row r="3673" spans="1:2">
      <c r="A3673">
        <v>0</v>
      </c>
      <c r="B3673">
        <v>0</v>
      </c>
    </row>
    <row r="3674" spans="1:2">
      <c r="A3674">
        <v>0</v>
      </c>
      <c r="B3674">
        <v>0</v>
      </c>
    </row>
    <row r="3675" spans="1:2">
      <c r="A3675" t="s">
        <v>30</v>
      </c>
      <c r="B3675">
        <v>0</v>
      </c>
    </row>
    <row r="3676" spans="1:2">
      <c r="A3676">
        <v>0</v>
      </c>
      <c r="B3676">
        <v>0</v>
      </c>
    </row>
    <row r="3677" spans="1:2">
      <c r="A3677" t="s">
        <v>29</v>
      </c>
      <c r="B3677">
        <v>0</v>
      </c>
    </row>
    <row r="3678" spans="1:2">
      <c r="A3678">
        <v>0</v>
      </c>
      <c r="B3678">
        <v>0</v>
      </c>
    </row>
    <row r="3679" spans="1:2">
      <c r="A3679">
        <v>0</v>
      </c>
      <c r="B3679">
        <v>0</v>
      </c>
    </row>
    <row r="3680" spans="1:2">
      <c r="A3680">
        <v>0</v>
      </c>
      <c r="B3680">
        <v>0</v>
      </c>
    </row>
    <row r="3681" spans="1:2">
      <c r="A3681">
        <v>0</v>
      </c>
      <c r="B3681">
        <v>0</v>
      </c>
    </row>
    <row r="3682" spans="1:2">
      <c r="A3682" t="s">
        <v>29</v>
      </c>
      <c r="B3682">
        <v>0</v>
      </c>
    </row>
    <row r="3683" spans="1:2">
      <c r="A3683">
        <v>0</v>
      </c>
      <c r="B3683">
        <v>0</v>
      </c>
    </row>
    <row r="3684" spans="1:2">
      <c r="A3684">
        <v>0</v>
      </c>
      <c r="B3684">
        <v>336</v>
      </c>
    </row>
    <row r="3685" spans="1:2">
      <c r="A3685" t="s">
        <v>29</v>
      </c>
      <c r="B3685">
        <v>156.96</v>
      </c>
    </row>
    <row r="3686" spans="1:2">
      <c r="A3686" t="s">
        <v>26</v>
      </c>
      <c r="B3686">
        <v>108.78</v>
      </c>
    </row>
    <row r="3687" spans="1:2">
      <c r="A3687">
        <v>0</v>
      </c>
      <c r="B3687">
        <v>78.459999999999994</v>
      </c>
    </row>
    <row r="3688" spans="1:2">
      <c r="A3688" t="s">
        <v>29</v>
      </c>
      <c r="B3688">
        <v>73.08</v>
      </c>
    </row>
    <row r="3689" spans="1:2">
      <c r="A3689">
        <v>0</v>
      </c>
      <c r="B3689">
        <v>52.43</v>
      </c>
    </row>
    <row r="3690" spans="1:2">
      <c r="A3690">
        <v>0</v>
      </c>
      <c r="B3690">
        <v>45.6</v>
      </c>
    </row>
    <row r="3691" spans="1:2">
      <c r="A3691">
        <v>0</v>
      </c>
      <c r="B3691">
        <v>45.09</v>
      </c>
    </row>
    <row r="3692" spans="1:2">
      <c r="A3692">
        <v>0</v>
      </c>
      <c r="B3692">
        <v>32.33</v>
      </c>
    </row>
    <row r="3693" spans="1:2">
      <c r="A3693" t="s">
        <v>19</v>
      </c>
      <c r="B3693">
        <v>0</v>
      </c>
    </row>
    <row r="3694" spans="1:2">
      <c r="A3694">
        <v>0</v>
      </c>
      <c r="B3694">
        <v>0</v>
      </c>
    </row>
    <row r="3695" spans="1:2">
      <c r="A3695">
        <v>0</v>
      </c>
      <c r="B3695">
        <v>0</v>
      </c>
    </row>
    <row r="3696" spans="1:2">
      <c r="A3696">
        <v>0</v>
      </c>
      <c r="B3696">
        <v>0</v>
      </c>
    </row>
    <row r="3697" spans="1:2">
      <c r="A3697">
        <v>0</v>
      </c>
      <c r="B3697">
        <v>0</v>
      </c>
    </row>
    <row r="3698" spans="1:2">
      <c r="A3698">
        <v>0</v>
      </c>
      <c r="B3698">
        <v>0</v>
      </c>
    </row>
    <row r="3699" spans="1:2">
      <c r="A3699" t="s">
        <v>19</v>
      </c>
      <c r="B3699">
        <v>0</v>
      </c>
    </row>
    <row r="3700" spans="1:2">
      <c r="A3700" t="s">
        <v>28</v>
      </c>
      <c r="B3700">
        <v>0</v>
      </c>
    </row>
    <row r="3701" spans="1:2">
      <c r="A3701">
        <v>0</v>
      </c>
      <c r="B3701">
        <v>0</v>
      </c>
    </row>
    <row r="3702" spans="1:2">
      <c r="A3702">
        <v>0</v>
      </c>
      <c r="B3702">
        <v>0</v>
      </c>
    </row>
    <row r="3703" spans="1:2">
      <c r="A3703">
        <v>0</v>
      </c>
      <c r="B3703">
        <v>0</v>
      </c>
    </row>
    <row r="3704" spans="1:2">
      <c r="A3704">
        <v>0</v>
      </c>
      <c r="B3704">
        <v>0</v>
      </c>
    </row>
    <row r="3705" spans="1:2">
      <c r="A3705" t="s">
        <v>29</v>
      </c>
      <c r="B3705">
        <v>0</v>
      </c>
    </row>
    <row r="3706" spans="1:2">
      <c r="A3706">
        <v>0</v>
      </c>
      <c r="B3706">
        <v>0</v>
      </c>
    </row>
    <row r="3707" spans="1:2">
      <c r="A3707">
        <v>0</v>
      </c>
      <c r="B3707">
        <v>0</v>
      </c>
    </row>
    <row r="3708" spans="1:2">
      <c r="A3708" t="s">
        <v>28</v>
      </c>
      <c r="B3708">
        <v>0</v>
      </c>
    </row>
    <row r="3709" spans="1:2">
      <c r="A3709">
        <v>0</v>
      </c>
      <c r="B3709">
        <v>0</v>
      </c>
    </row>
    <row r="3710" spans="1:2">
      <c r="A3710">
        <v>0</v>
      </c>
      <c r="B3710">
        <v>0</v>
      </c>
    </row>
    <row r="3711" spans="1:2">
      <c r="A3711" t="s">
        <v>30</v>
      </c>
      <c r="B3711">
        <v>0</v>
      </c>
    </row>
    <row r="3712" spans="1:2">
      <c r="A3712">
        <v>0</v>
      </c>
      <c r="B3712">
        <v>0</v>
      </c>
    </row>
    <row r="3713" spans="1:2">
      <c r="A3713" t="s">
        <v>30</v>
      </c>
      <c r="B3713">
        <v>0</v>
      </c>
    </row>
    <row r="3714" spans="1:2">
      <c r="A3714">
        <v>0</v>
      </c>
      <c r="B3714">
        <v>0</v>
      </c>
    </row>
    <row r="3715" spans="1:2">
      <c r="A3715">
        <v>0</v>
      </c>
      <c r="B3715">
        <v>0</v>
      </c>
    </row>
    <row r="3716" spans="1:2">
      <c r="A3716" t="s">
        <v>26</v>
      </c>
      <c r="B3716">
        <v>0</v>
      </c>
    </row>
    <row r="3717" spans="1:2">
      <c r="A3717">
        <v>0</v>
      </c>
      <c r="B3717">
        <v>0</v>
      </c>
    </row>
    <row r="3718" spans="1:2">
      <c r="A3718" t="s">
        <v>28</v>
      </c>
      <c r="B3718">
        <v>408</v>
      </c>
    </row>
    <row r="3719" spans="1:2">
      <c r="A3719">
        <v>0</v>
      </c>
      <c r="B3719">
        <v>68.209999999999994</v>
      </c>
    </row>
    <row r="3720" spans="1:2">
      <c r="A3720" t="s">
        <v>19</v>
      </c>
      <c r="B3720">
        <v>64.33</v>
      </c>
    </row>
    <row r="3721" spans="1:2">
      <c r="A3721" t="s">
        <v>25</v>
      </c>
      <c r="B3721">
        <v>51.5</v>
      </c>
    </row>
    <row r="3722" spans="1:2">
      <c r="A3722" t="s">
        <v>25</v>
      </c>
      <c r="B3722">
        <v>48.74</v>
      </c>
    </row>
    <row r="3723" spans="1:2">
      <c r="A3723" t="s">
        <v>19</v>
      </c>
      <c r="B3723">
        <v>46.02</v>
      </c>
    </row>
    <row r="3724" spans="1:2">
      <c r="A3724">
        <v>0</v>
      </c>
      <c r="B3724">
        <v>18.57</v>
      </c>
    </row>
    <row r="3725" spans="1:2">
      <c r="A3725" t="s">
        <v>26</v>
      </c>
      <c r="B3725">
        <v>18.440000000000001</v>
      </c>
    </row>
    <row r="3726" spans="1:2">
      <c r="A3726" t="s">
        <v>31</v>
      </c>
      <c r="B3726">
        <v>16.16</v>
      </c>
    </row>
    <row r="3727" spans="1:2">
      <c r="A3727" t="s">
        <v>25</v>
      </c>
      <c r="B3727">
        <v>0</v>
      </c>
    </row>
    <row r="3728" spans="1:2">
      <c r="A3728">
        <v>0</v>
      </c>
      <c r="B3728">
        <v>0</v>
      </c>
    </row>
    <row r="3729" spans="1:2">
      <c r="A3729" t="s">
        <v>28</v>
      </c>
      <c r="B3729">
        <v>0</v>
      </c>
    </row>
    <row r="3730" spans="1:2">
      <c r="A3730" t="s">
        <v>28</v>
      </c>
      <c r="B3730">
        <v>0</v>
      </c>
    </row>
    <row r="3731" spans="1:2">
      <c r="A3731">
        <v>0</v>
      </c>
      <c r="B3731">
        <v>0</v>
      </c>
    </row>
    <row r="3732" spans="1:2">
      <c r="A3732">
        <v>0</v>
      </c>
      <c r="B3732">
        <v>0</v>
      </c>
    </row>
    <row r="3733" spans="1:2">
      <c r="A3733" t="s">
        <v>31</v>
      </c>
      <c r="B3733">
        <v>0</v>
      </c>
    </row>
    <row r="3734" spans="1:2">
      <c r="A3734">
        <v>0</v>
      </c>
      <c r="B3734">
        <v>0</v>
      </c>
    </row>
    <row r="3735" spans="1:2">
      <c r="A3735" t="s">
        <v>19</v>
      </c>
      <c r="B3735">
        <v>0</v>
      </c>
    </row>
    <row r="3736" spans="1:2">
      <c r="A3736">
        <v>0</v>
      </c>
      <c r="B3736">
        <v>0</v>
      </c>
    </row>
    <row r="3737" spans="1:2">
      <c r="A3737">
        <v>0</v>
      </c>
      <c r="B3737">
        <v>0</v>
      </c>
    </row>
    <row r="3738" spans="1:2">
      <c r="A3738">
        <v>0</v>
      </c>
      <c r="B3738">
        <v>0</v>
      </c>
    </row>
    <row r="3739" spans="1:2">
      <c r="A3739" t="s">
        <v>30</v>
      </c>
      <c r="B3739">
        <v>0</v>
      </c>
    </row>
    <row r="3740" spans="1:2">
      <c r="A3740">
        <v>0</v>
      </c>
      <c r="B3740">
        <v>0</v>
      </c>
    </row>
    <row r="3741" spans="1:2">
      <c r="A3741" t="s">
        <v>31</v>
      </c>
      <c r="B3741">
        <v>0</v>
      </c>
    </row>
    <row r="3742" spans="1:2">
      <c r="A3742">
        <v>0</v>
      </c>
      <c r="B3742">
        <v>0</v>
      </c>
    </row>
    <row r="3743" spans="1:2">
      <c r="A3743">
        <v>0</v>
      </c>
      <c r="B3743">
        <v>0</v>
      </c>
    </row>
    <row r="3744" spans="1:2">
      <c r="A3744" t="s">
        <v>31</v>
      </c>
      <c r="B3744">
        <v>0</v>
      </c>
    </row>
    <row r="3745" spans="1:2">
      <c r="A3745">
        <v>0</v>
      </c>
      <c r="B3745">
        <v>0</v>
      </c>
    </row>
    <row r="3746" spans="1:2">
      <c r="A3746" t="s">
        <v>19</v>
      </c>
      <c r="B3746">
        <v>167</v>
      </c>
    </row>
    <row r="3747" spans="1:2">
      <c r="A3747">
        <v>0</v>
      </c>
      <c r="B3747">
        <v>317.7</v>
      </c>
    </row>
    <row r="3748" spans="1:2">
      <c r="A3748">
        <v>0</v>
      </c>
      <c r="B3748">
        <v>231.2</v>
      </c>
    </row>
    <row r="3749" spans="1:2">
      <c r="A3749">
        <v>0</v>
      </c>
      <c r="B3749">
        <v>68.78</v>
      </c>
    </row>
    <row r="3750" spans="1:2">
      <c r="A3750" t="s">
        <v>25</v>
      </c>
      <c r="B3750">
        <v>65.62</v>
      </c>
    </row>
    <row r="3751" spans="1:2">
      <c r="A3751">
        <v>0</v>
      </c>
      <c r="B3751">
        <v>46.7</v>
      </c>
    </row>
    <row r="3752" spans="1:2">
      <c r="A3752">
        <v>0</v>
      </c>
      <c r="B3752">
        <v>38.770000000000003</v>
      </c>
    </row>
    <row r="3753" spans="1:2">
      <c r="A3753">
        <v>0</v>
      </c>
      <c r="B3753">
        <v>33.99</v>
      </c>
    </row>
    <row r="3754" spans="1:2">
      <c r="A3754">
        <v>0</v>
      </c>
      <c r="B3754">
        <v>26.06</v>
      </c>
    </row>
    <row r="3755" spans="1:2">
      <c r="A3755">
        <v>0</v>
      </c>
      <c r="B3755">
        <v>20</v>
      </c>
    </row>
    <row r="3756" spans="1:2">
      <c r="A3756">
        <v>0</v>
      </c>
      <c r="B3756">
        <v>15.26</v>
      </c>
    </row>
    <row r="3757" spans="1:2">
      <c r="A3757" t="s">
        <v>26</v>
      </c>
      <c r="B3757">
        <v>0</v>
      </c>
    </row>
    <row r="3758" spans="1:2">
      <c r="A3758">
        <v>0</v>
      </c>
      <c r="B3758">
        <v>0</v>
      </c>
    </row>
    <row r="3759" spans="1:2">
      <c r="A3759">
        <v>0</v>
      </c>
      <c r="B3759">
        <v>0</v>
      </c>
    </row>
    <row r="3760" spans="1:2">
      <c r="A3760" t="s">
        <v>31</v>
      </c>
      <c r="B3760">
        <v>0</v>
      </c>
    </row>
    <row r="3761" spans="1:2">
      <c r="A3761">
        <v>0</v>
      </c>
      <c r="B3761">
        <v>0</v>
      </c>
    </row>
    <row r="3762" spans="1:2">
      <c r="A3762" t="s">
        <v>19</v>
      </c>
      <c r="B3762">
        <v>0</v>
      </c>
    </row>
    <row r="3763" spans="1:2">
      <c r="A3763" t="s">
        <v>30</v>
      </c>
      <c r="B3763">
        <v>0</v>
      </c>
    </row>
    <row r="3764" spans="1:2">
      <c r="A3764">
        <v>0</v>
      </c>
      <c r="B3764">
        <v>0</v>
      </c>
    </row>
    <row r="3765" spans="1:2">
      <c r="A3765" t="s">
        <v>30</v>
      </c>
      <c r="B3765">
        <v>0</v>
      </c>
    </row>
    <row r="3766" spans="1:2">
      <c r="A3766" t="s">
        <v>29</v>
      </c>
      <c r="B3766">
        <v>0</v>
      </c>
    </row>
    <row r="3767" spans="1:2">
      <c r="A3767">
        <v>0</v>
      </c>
      <c r="B3767">
        <v>0</v>
      </c>
    </row>
    <row r="3768" spans="1:2">
      <c r="A3768">
        <v>0</v>
      </c>
      <c r="B3768">
        <v>0</v>
      </c>
    </row>
    <row r="3769" spans="1:2">
      <c r="A3769">
        <v>0</v>
      </c>
      <c r="B3769">
        <v>0</v>
      </c>
    </row>
    <row r="3770" spans="1:2">
      <c r="A3770">
        <v>0</v>
      </c>
      <c r="B3770">
        <v>0</v>
      </c>
    </row>
    <row r="3771" spans="1:2">
      <c r="A3771" t="s">
        <v>26</v>
      </c>
      <c r="B3771">
        <v>0</v>
      </c>
    </row>
    <row r="3772" spans="1:2">
      <c r="A3772">
        <v>0</v>
      </c>
      <c r="B3772">
        <v>0</v>
      </c>
    </row>
    <row r="3773" spans="1:2">
      <c r="A3773" t="s">
        <v>29</v>
      </c>
      <c r="B3773">
        <v>0</v>
      </c>
    </row>
    <row r="3774" spans="1:2">
      <c r="A3774">
        <v>0</v>
      </c>
      <c r="B3774">
        <v>0</v>
      </c>
    </row>
    <row r="3775" spans="1:2">
      <c r="A3775">
        <v>0</v>
      </c>
      <c r="B3775">
        <v>0</v>
      </c>
    </row>
    <row r="3776" spans="1:2">
      <c r="A3776">
        <v>0</v>
      </c>
      <c r="B3776">
        <v>0</v>
      </c>
    </row>
    <row r="3777" spans="1:2">
      <c r="A3777" t="s">
        <v>25</v>
      </c>
      <c r="B3777">
        <v>0</v>
      </c>
    </row>
    <row r="3778" spans="1:2">
      <c r="A3778">
        <v>0</v>
      </c>
      <c r="B3778">
        <v>0</v>
      </c>
    </row>
    <row r="3779" spans="1:2">
      <c r="A3779">
        <v>0</v>
      </c>
      <c r="B3779">
        <v>0</v>
      </c>
    </row>
    <row r="3780" spans="1:2">
      <c r="A3780">
        <v>0</v>
      </c>
      <c r="B3780">
        <v>0</v>
      </c>
    </row>
    <row r="3781" spans="1:2">
      <c r="A3781">
        <v>0</v>
      </c>
      <c r="B3781">
        <v>0</v>
      </c>
    </row>
    <row r="3782" spans="1:2">
      <c r="A3782">
        <v>0</v>
      </c>
      <c r="B3782">
        <v>149.09</v>
      </c>
    </row>
    <row r="3783" spans="1:2">
      <c r="A3783">
        <v>0</v>
      </c>
      <c r="B3783">
        <v>139.22</v>
      </c>
    </row>
    <row r="3784" spans="1:2">
      <c r="A3784">
        <v>0</v>
      </c>
      <c r="B3784">
        <v>118.13</v>
      </c>
    </row>
    <row r="3785" spans="1:2">
      <c r="A3785" t="s">
        <v>31</v>
      </c>
      <c r="B3785">
        <v>112.9</v>
      </c>
    </row>
    <row r="3786" spans="1:2">
      <c r="A3786">
        <v>0</v>
      </c>
      <c r="B3786">
        <v>49.16</v>
      </c>
    </row>
    <row r="3787" spans="1:2">
      <c r="A3787">
        <v>0</v>
      </c>
      <c r="B3787">
        <v>45.95</v>
      </c>
    </row>
    <row r="3788" spans="1:2">
      <c r="A3788">
        <v>0</v>
      </c>
      <c r="B3788">
        <v>43.3</v>
      </c>
    </row>
    <row r="3789" spans="1:2">
      <c r="A3789">
        <v>0</v>
      </c>
      <c r="B3789">
        <v>39.83</v>
      </c>
    </row>
    <row r="3790" spans="1:2">
      <c r="A3790">
        <v>0</v>
      </c>
      <c r="B3790">
        <v>39.700000000000003</v>
      </c>
    </row>
    <row r="3791" spans="1:2">
      <c r="A3791">
        <v>0</v>
      </c>
      <c r="B3791">
        <v>23.96</v>
      </c>
    </row>
    <row r="3792" spans="1:2">
      <c r="A3792">
        <v>0</v>
      </c>
      <c r="B3792">
        <v>0</v>
      </c>
    </row>
    <row r="3793" spans="1:2">
      <c r="A3793" t="s">
        <v>26</v>
      </c>
      <c r="B3793">
        <v>0</v>
      </c>
    </row>
    <row r="3794" spans="1:2">
      <c r="A3794">
        <v>0</v>
      </c>
      <c r="B3794">
        <v>0</v>
      </c>
    </row>
    <row r="3795" spans="1:2">
      <c r="A3795">
        <v>0</v>
      </c>
      <c r="B3795">
        <v>0</v>
      </c>
    </row>
    <row r="3796" spans="1:2">
      <c r="A3796" t="s">
        <v>26</v>
      </c>
      <c r="B3796">
        <v>0</v>
      </c>
    </row>
    <row r="3797" spans="1:2">
      <c r="A3797">
        <v>0</v>
      </c>
      <c r="B3797">
        <v>0</v>
      </c>
    </row>
    <row r="3798" spans="1:2">
      <c r="A3798">
        <v>0</v>
      </c>
      <c r="B3798">
        <v>0</v>
      </c>
    </row>
    <row r="3799" spans="1:2">
      <c r="A3799" t="s">
        <v>26</v>
      </c>
      <c r="B3799">
        <v>0</v>
      </c>
    </row>
    <row r="3800" spans="1:2">
      <c r="A3800">
        <v>0</v>
      </c>
      <c r="B3800">
        <v>0</v>
      </c>
    </row>
    <row r="3801" spans="1:2">
      <c r="A3801" t="s">
        <v>31</v>
      </c>
      <c r="B3801">
        <v>0</v>
      </c>
    </row>
    <row r="3802" spans="1:2">
      <c r="A3802">
        <v>0</v>
      </c>
      <c r="B3802">
        <v>0</v>
      </c>
    </row>
    <row r="3803" spans="1:2">
      <c r="A3803" t="s">
        <v>19</v>
      </c>
      <c r="B3803">
        <v>0</v>
      </c>
    </row>
    <row r="3804" spans="1:2">
      <c r="A3804">
        <v>0</v>
      </c>
      <c r="B3804">
        <v>0</v>
      </c>
    </row>
    <row r="3805" spans="1:2">
      <c r="A3805">
        <v>0</v>
      </c>
      <c r="B3805">
        <v>194.3</v>
      </c>
    </row>
    <row r="3806" spans="1:2">
      <c r="A3806">
        <v>0</v>
      </c>
      <c r="B3806">
        <v>148.25</v>
      </c>
    </row>
    <row r="3807" spans="1:2">
      <c r="A3807">
        <v>0</v>
      </c>
      <c r="B3807">
        <v>133.52000000000001</v>
      </c>
    </row>
    <row r="3808" spans="1:2">
      <c r="A3808" t="s">
        <v>31</v>
      </c>
      <c r="B3808">
        <v>74.34</v>
      </c>
    </row>
    <row r="3809" spans="1:2">
      <c r="A3809" t="s">
        <v>25</v>
      </c>
      <c r="B3809">
        <v>55.18</v>
      </c>
    </row>
    <row r="3810" spans="1:2">
      <c r="A3810" t="s">
        <v>29</v>
      </c>
      <c r="B3810">
        <v>50.5</v>
      </c>
    </row>
    <row r="3811" spans="1:2">
      <c r="A3811">
        <v>0</v>
      </c>
      <c r="B3811">
        <v>44.92</v>
      </c>
    </row>
    <row r="3812" spans="1:2">
      <c r="A3812" t="s">
        <v>31</v>
      </c>
      <c r="B3812">
        <v>43.16</v>
      </c>
    </row>
    <row r="3813" spans="1:2">
      <c r="A3813" t="s">
        <v>25</v>
      </c>
      <c r="B3813">
        <v>33.46</v>
      </c>
    </row>
    <row r="3814" spans="1:2">
      <c r="A3814">
        <v>0</v>
      </c>
      <c r="B3814">
        <v>19.87</v>
      </c>
    </row>
    <row r="3815" spans="1:2">
      <c r="A3815">
        <v>0</v>
      </c>
      <c r="B3815">
        <v>0</v>
      </c>
    </row>
    <row r="3816" spans="1:2">
      <c r="A3816">
        <v>0</v>
      </c>
      <c r="B3816">
        <v>0</v>
      </c>
    </row>
    <row r="3817" spans="1:2">
      <c r="A3817" t="s">
        <v>31</v>
      </c>
      <c r="B3817">
        <v>0</v>
      </c>
    </row>
    <row r="3818" spans="1:2">
      <c r="A3818">
        <v>0</v>
      </c>
      <c r="B3818">
        <v>0</v>
      </c>
    </row>
    <row r="3819" spans="1:2">
      <c r="A3819" t="s">
        <v>29</v>
      </c>
      <c r="B3819">
        <v>0</v>
      </c>
    </row>
    <row r="3820" spans="1:2">
      <c r="A3820" t="s">
        <v>25</v>
      </c>
      <c r="B3820">
        <v>0</v>
      </c>
    </row>
    <row r="3821" spans="1:2">
      <c r="A3821">
        <v>0</v>
      </c>
      <c r="B3821">
        <v>0</v>
      </c>
    </row>
    <row r="3822" spans="1:2">
      <c r="A3822">
        <v>0</v>
      </c>
      <c r="B3822">
        <v>0</v>
      </c>
    </row>
    <row r="3823" spans="1:2">
      <c r="A3823">
        <v>0</v>
      </c>
      <c r="B3823">
        <v>0</v>
      </c>
    </row>
    <row r="3824" spans="1:2">
      <c r="A3824">
        <v>0</v>
      </c>
      <c r="B3824">
        <v>0</v>
      </c>
    </row>
    <row r="3825" spans="1:2">
      <c r="A3825" t="s">
        <v>31</v>
      </c>
      <c r="B3825">
        <v>0</v>
      </c>
    </row>
    <row r="3826" spans="1:2">
      <c r="A3826">
        <v>0</v>
      </c>
      <c r="B3826">
        <v>0</v>
      </c>
    </row>
    <row r="3827" spans="1:2">
      <c r="A3827" t="s">
        <v>25</v>
      </c>
      <c r="B3827">
        <v>0</v>
      </c>
    </row>
    <row r="3828" spans="1:2">
      <c r="A3828">
        <v>0</v>
      </c>
      <c r="B3828">
        <v>0</v>
      </c>
    </row>
    <row r="3829" spans="1:2">
      <c r="A3829">
        <v>0</v>
      </c>
      <c r="B3829">
        <v>0</v>
      </c>
    </row>
    <row r="3830" spans="1:2">
      <c r="A3830">
        <v>0</v>
      </c>
      <c r="B3830">
        <v>0</v>
      </c>
    </row>
    <row r="3831" spans="1:2">
      <c r="A3831">
        <v>0</v>
      </c>
      <c r="B3831">
        <v>0</v>
      </c>
    </row>
    <row r="3832" spans="1:2">
      <c r="A3832">
        <v>0</v>
      </c>
      <c r="B3832">
        <v>0</v>
      </c>
    </row>
    <row r="3833" spans="1:2">
      <c r="A3833">
        <v>0</v>
      </c>
      <c r="B3833">
        <v>0</v>
      </c>
    </row>
    <row r="3834" spans="1:2">
      <c r="A3834">
        <v>0</v>
      </c>
      <c r="B3834">
        <v>0</v>
      </c>
    </row>
    <row r="3835" spans="1:2">
      <c r="A3835">
        <v>0</v>
      </c>
      <c r="B3835">
        <v>0</v>
      </c>
    </row>
    <row r="3836" spans="1:2">
      <c r="A3836" t="s">
        <v>26</v>
      </c>
      <c r="B3836">
        <v>0</v>
      </c>
    </row>
    <row r="3837" spans="1:2">
      <c r="A3837">
        <v>0</v>
      </c>
      <c r="B3837">
        <v>0</v>
      </c>
    </row>
    <row r="3838" spans="1:2">
      <c r="A3838">
        <v>0</v>
      </c>
      <c r="B3838">
        <v>0</v>
      </c>
    </row>
    <row r="3839" spans="1:2">
      <c r="A3839">
        <v>0</v>
      </c>
      <c r="B3839">
        <v>0</v>
      </c>
    </row>
    <row r="3840" spans="1:2">
      <c r="A3840">
        <v>0</v>
      </c>
      <c r="B3840">
        <v>215.7</v>
      </c>
    </row>
    <row r="3841" spans="1:2">
      <c r="A3841" t="s">
        <v>29</v>
      </c>
      <c r="B3841">
        <v>69.86</v>
      </c>
    </row>
    <row r="3842" spans="1:2">
      <c r="A3842">
        <v>0</v>
      </c>
      <c r="B3842">
        <v>54.82</v>
      </c>
    </row>
    <row r="3843" spans="1:2">
      <c r="A3843">
        <v>0</v>
      </c>
      <c r="B3843">
        <v>52.03</v>
      </c>
    </row>
    <row r="3844" spans="1:2">
      <c r="A3844" t="s">
        <v>30</v>
      </c>
      <c r="B3844">
        <v>37.340000000000003</v>
      </c>
    </row>
    <row r="3845" spans="1:2">
      <c r="A3845">
        <v>0</v>
      </c>
      <c r="B3845">
        <v>36.630000000000003</v>
      </c>
    </row>
    <row r="3846" spans="1:2">
      <c r="A3846">
        <v>0</v>
      </c>
      <c r="B3846">
        <v>36.08</v>
      </c>
    </row>
    <row r="3847" spans="1:2">
      <c r="A3847">
        <v>0</v>
      </c>
      <c r="B3847">
        <v>34.200000000000003</v>
      </c>
    </row>
    <row r="3848" spans="1:2">
      <c r="A3848">
        <v>0</v>
      </c>
      <c r="B3848">
        <v>28.79</v>
      </c>
    </row>
    <row r="3849" spans="1:2">
      <c r="A3849" t="s">
        <v>28</v>
      </c>
      <c r="B3849">
        <v>27.94</v>
      </c>
    </row>
    <row r="3850" spans="1:2">
      <c r="A3850">
        <v>0</v>
      </c>
      <c r="B3850">
        <v>27.26</v>
      </c>
    </row>
    <row r="3851" spans="1:2">
      <c r="A3851">
        <v>0</v>
      </c>
      <c r="B3851">
        <v>18.59</v>
      </c>
    </row>
    <row r="3852" spans="1:2">
      <c r="A3852" t="s">
        <v>28</v>
      </c>
      <c r="B3852">
        <v>0</v>
      </c>
    </row>
    <row r="3853" spans="1:2">
      <c r="A3853">
        <v>0</v>
      </c>
      <c r="B3853">
        <v>0</v>
      </c>
    </row>
    <row r="3854" spans="1:2">
      <c r="A3854" t="s">
        <v>26</v>
      </c>
      <c r="B3854">
        <v>0</v>
      </c>
    </row>
    <row r="3855" spans="1:2">
      <c r="A3855" t="s">
        <v>26</v>
      </c>
      <c r="B3855">
        <v>0</v>
      </c>
    </row>
    <row r="3856" spans="1:2">
      <c r="A3856">
        <v>0</v>
      </c>
      <c r="B3856">
        <v>0</v>
      </c>
    </row>
    <row r="3857" spans="1:2">
      <c r="A3857">
        <v>0</v>
      </c>
      <c r="B3857">
        <v>0</v>
      </c>
    </row>
    <row r="3858" spans="1:2">
      <c r="A3858">
        <v>0</v>
      </c>
      <c r="B3858">
        <v>0</v>
      </c>
    </row>
    <row r="3859" spans="1:2">
      <c r="A3859">
        <v>0</v>
      </c>
      <c r="B3859">
        <v>0</v>
      </c>
    </row>
    <row r="3860" spans="1:2">
      <c r="A3860" t="s">
        <v>31</v>
      </c>
      <c r="B3860">
        <v>0</v>
      </c>
    </row>
    <row r="3861" spans="1:2">
      <c r="A3861">
        <v>0</v>
      </c>
      <c r="B3861">
        <v>0</v>
      </c>
    </row>
    <row r="3862" spans="1:2">
      <c r="A3862">
        <v>0</v>
      </c>
      <c r="B3862">
        <v>0</v>
      </c>
    </row>
    <row r="3863" spans="1:2">
      <c r="A3863">
        <v>0</v>
      </c>
      <c r="B3863">
        <v>0</v>
      </c>
    </row>
    <row r="3864" spans="1:2">
      <c r="A3864">
        <v>0</v>
      </c>
      <c r="B3864">
        <v>0</v>
      </c>
    </row>
    <row r="3865" spans="1:2">
      <c r="A3865" t="s">
        <v>19</v>
      </c>
      <c r="B3865">
        <v>0</v>
      </c>
    </row>
    <row r="3866" spans="1:2">
      <c r="A3866" t="s">
        <v>30</v>
      </c>
      <c r="B3866">
        <v>0</v>
      </c>
    </row>
    <row r="3867" spans="1:2">
      <c r="A3867">
        <v>0</v>
      </c>
      <c r="B3867">
        <v>0</v>
      </c>
    </row>
    <row r="3868" spans="1:2">
      <c r="A3868" t="s">
        <v>19</v>
      </c>
      <c r="B3868">
        <v>0</v>
      </c>
    </row>
    <row r="3869" spans="1:2">
      <c r="A3869">
        <v>0</v>
      </c>
      <c r="B3869">
        <v>0</v>
      </c>
    </row>
    <row r="3870" spans="1:2">
      <c r="A3870" t="s">
        <v>25</v>
      </c>
      <c r="B3870">
        <v>440</v>
      </c>
    </row>
    <row r="3871" spans="1:2">
      <c r="A3871" t="s">
        <v>26</v>
      </c>
      <c r="B3871">
        <v>88.83</v>
      </c>
    </row>
    <row r="3872" spans="1:2">
      <c r="A3872" t="s">
        <v>28</v>
      </c>
      <c r="B3872">
        <v>72.989999999999995</v>
      </c>
    </row>
    <row r="3873" spans="1:2">
      <c r="A3873">
        <v>0</v>
      </c>
      <c r="B3873">
        <v>54.98</v>
      </c>
    </row>
    <row r="3874" spans="1:2">
      <c r="A3874">
        <v>0</v>
      </c>
      <c r="B3874">
        <v>40.630000000000003</v>
      </c>
    </row>
    <row r="3875" spans="1:2">
      <c r="A3875">
        <v>0</v>
      </c>
      <c r="B3875">
        <v>33.04</v>
      </c>
    </row>
    <row r="3876" spans="1:2">
      <c r="A3876">
        <v>0</v>
      </c>
      <c r="B3876">
        <v>15.79</v>
      </c>
    </row>
    <row r="3877" spans="1:2">
      <c r="A3877">
        <v>0</v>
      </c>
      <c r="B3877">
        <v>0</v>
      </c>
    </row>
    <row r="3878" spans="1:2">
      <c r="A3878">
        <v>0</v>
      </c>
      <c r="B3878">
        <v>0</v>
      </c>
    </row>
    <row r="3879" spans="1:2">
      <c r="A3879">
        <v>0</v>
      </c>
      <c r="B3879">
        <v>0</v>
      </c>
    </row>
    <row r="3880" spans="1:2">
      <c r="A3880">
        <v>0</v>
      </c>
      <c r="B3880">
        <v>0</v>
      </c>
    </row>
    <row r="3881" spans="1:2">
      <c r="A3881">
        <v>0</v>
      </c>
      <c r="B3881">
        <v>0</v>
      </c>
    </row>
    <row r="3882" spans="1:2">
      <c r="A3882" t="s">
        <v>28</v>
      </c>
      <c r="B3882">
        <v>0</v>
      </c>
    </row>
    <row r="3883" spans="1:2">
      <c r="A3883">
        <v>0</v>
      </c>
      <c r="B3883">
        <v>0</v>
      </c>
    </row>
    <row r="3884" spans="1:2">
      <c r="A3884">
        <v>0</v>
      </c>
      <c r="B3884">
        <v>0</v>
      </c>
    </row>
    <row r="3885" spans="1:2">
      <c r="A3885">
        <v>0</v>
      </c>
      <c r="B3885">
        <v>0</v>
      </c>
    </row>
    <row r="3886" spans="1:2">
      <c r="A3886">
        <v>0</v>
      </c>
      <c r="B3886">
        <v>0</v>
      </c>
    </row>
    <row r="3887" spans="1:2">
      <c r="A3887" t="s">
        <v>28</v>
      </c>
      <c r="B3887">
        <v>0</v>
      </c>
    </row>
    <row r="3888" spans="1:2">
      <c r="A3888">
        <v>0</v>
      </c>
      <c r="B3888">
        <v>0</v>
      </c>
    </row>
    <row r="3889" spans="1:2">
      <c r="A3889" t="s">
        <v>31</v>
      </c>
      <c r="B3889">
        <v>0</v>
      </c>
    </row>
    <row r="3890" spans="1:2">
      <c r="A3890" t="s">
        <v>26</v>
      </c>
      <c r="B3890">
        <v>0</v>
      </c>
    </row>
    <row r="3891" spans="1:2">
      <c r="A3891">
        <v>0</v>
      </c>
      <c r="B3891">
        <v>0</v>
      </c>
    </row>
    <row r="3892" spans="1:2">
      <c r="A3892">
        <v>0</v>
      </c>
      <c r="B3892">
        <v>0</v>
      </c>
    </row>
    <row r="3893" spans="1:2">
      <c r="A3893">
        <v>0</v>
      </c>
      <c r="B3893">
        <v>218.28</v>
      </c>
    </row>
    <row r="3894" spans="1:2">
      <c r="A3894">
        <v>0</v>
      </c>
      <c r="B3894">
        <v>162.08000000000001</v>
      </c>
    </row>
    <row r="3895" spans="1:2">
      <c r="A3895" t="s">
        <v>28</v>
      </c>
      <c r="B3895">
        <v>73.209999999999994</v>
      </c>
    </row>
    <row r="3896" spans="1:2">
      <c r="A3896" t="s">
        <v>31</v>
      </c>
      <c r="B3896">
        <v>71.709999999999994</v>
      </c>
    </row>
    <row r="3897" spans="1:2">
      <c r="A3897">
        <v>0</v>
      </c>
      <c r="B3897">
        <v>65.81</v>
      </c>
    </row>
    <row r="3898" spans="1:2">
      <c r="A3898">
        <v>0</v>
      </c>
      <c r="B3898">
        <v>38.369999999999997</v>
      </c>
    </row>
    <row r="3899" spans="1:2">
      <c r="A3899" t="s">
        <v>31</v>
      </c>
      <c r="B3899">
        <v>26.88</v>
      </c>
    </row>
    <row r="3900" spans="1:2">
      <c r="A3900">
        <v>0</v>
      </c>
      <c r="B3900">
        <v>26.59</v>
      </c>
    </row>
    <row r="3901" spans="1:2">
      <c r="A3901">
        <v>0</v>
      </c>
      <c r="B3901">
        <v>23.33</v>
      </c>
    </row>
    <row r="3902" spans="1:2">
      <c r="A3902">
        <v>0</v>
      </c>
      <c r="B3902">
        <v>23.31</v>
      </c>
    </row>
    <row r="3903" spans="1:2">
      <c r="A3903">
        <v>0</v>
      </c>
      <c r="B3903">
        <v>0</v>
      </c>
    </row>
    <row r="3904" spans="1:2">
      <c r="A3904" t="s">
        <v>31</v>
      </c>
      <c r="B3904">
        <v>0</v>
      </c>
    </row>
    <row r="3905" spans="1:2">
      <c r="A3905" t="s">
        <v>25</v>
      </c>
      <c r="B3905">
        <v>0</v>
      </c>
    </row>
    <row r="3906" spans="1:2">
      <c r="A3906">
        <v>0</v>
      </c>
      <c r="B3906">
        <v>0</v>
      </c>
    </row>
    <row r="3907" spans="1:2">
      <c r="A3907" t="s">
        <v>30</v>
      </c>
      <c r="B3907">
        <v>0</v>
      </c>
    </row>
    <row r="3908" spans="1:2">
      <c r="A3908">
        <v>0</v>
      </c>
      <c r="B3908">
        <v>0</v>
      </c>
    </row>
    <row r="3909" spans="1:2">
      <c r="A3909">
        <v>0</v>
      </c>
      <c r="B3909">
        <v>0</v>
      </c>
    </row>
    <row r="3910" spans="1:2">
      <c r="A3910">
        <v>0</v>
      </c>
      <c r="B3910">
        <v>0</v>
      </c>
    </row>
    <row r="3911" spans="1:2">
      <c r="A3911">
        <v>0</v>
      </c>
      <c r="B3911">
        <v>0</v>
      </c>
    </row>
    <row r="3912" spans="1:2">
      <c r="A3912">
        <v>0</v>
      </c>
      <c r="B3912">
        <v>0</v>
      </c>
    </row>
    <row r="3913" spans="1:2">
      <c r="A3913" t="s">
        <v>26</v>
      </c>
      <c r="B3913">
        <v>0</v>
      </c>
    </row>
    <row r="3914" spans="1:2">
      <c r="A3914" t="s">
        <v>30</v>
      </c>
      <c r="B3914">
        <v>0</v>
      </c>
    </row>
    <row r="3915" spans="1:2">
      <c r="A3915">
        <v>0</v>
      </c>
      <c r="B3915">
        <v>0</v>
      </c>
    </row>
    <row r="3916" spans="1:2">
      <c r="A3916">
        <v>0</v>
      </c>
      <c r="B3916">
        <v>0</v>
      </c>
    </row>
    <row r="3917" spans="1:2">
      <c r="A3917">
        <v>0</v>
      </c>
      <c r="B3917">
        <v>0</v>
      </c>
    </row>
    <row r="3918" spans="1:2">
      <c r="A3918">
        <v>0</v>
      </c>
      <c r="B3918">
        <v>0</v>
      </c>
    </row>
    <row r="3919" spans="1:2">
      <c r="A3919">
        <v>0</v>
      </c>
      <c r="B3919">
        <v>0</v>
      </c>
    </row>
    <row r="3920" spans="1:2">
      <c r="A3920">
        <v>0</v>
      </c>
      <c r="B3920">
        <v>0</v>
      </c>
    </row>
    <row r="3921" spans="1:2">
      <c r="A3921">
        <v>0</v>
      </c>
      <c r="B3921">
        <v>147.06</v>
      </c>
    </row>
    <row r="3922" spans="1:2">
      <c r="A3922">
        <v>0</v>
      </c>
      <c r="B3922">
        <v>114.2</v>
      </c>
    </row>
    <row r="3923" spans="1:2">
      <c r="A3923">
        <v>0</v>
      </c>
      <c r="B3923">
        <v>112.66</v>
      </c>
    </row>
    <row r="3924" spans="1:2">
      <c r="A3924" t="s">
        <v>29</v>
      </c>
      <c r="B3924">
        <v>105</v>
      </c>
    </row>
    <row r="3925" spans="1:2">
      <c r="A3925">
        <v>0</v>
      </c>
      <c r="B3925">
        <v>71.489999999999995</v>
      </c>
    </row>
    <row r="3926" spans="1:2">
      <c r="A3926">
        <v>0</v>
      </c>
      <c r="B3926">
        <v>42.16</v>
      </c>
    </row>
    <row r="3927" spans="1:2">
      <c r="A3927">
        <v>0</v>
      </c>
      <c r="B3927">
        <v>41.75</v>
      </c>
    </row>
    <row r="3928" spans="1:2">
      <c r="A3928" t="s">
        <v>31</v>
      </c>
      <c r="B3928">
        <v>40.65</v>
      </c>
    </row>
    <row r="3929" spans="1:2">
      <c r="A3929">
        <v>0</v>
      </c>
      <c r="B3929">
        <v>38.82</v>
      </c>
    </row>
    <row r="3930" spans="1:2">
      <c r="A3930">
        <v>0</v>
      </c>
      <c r="B3930">
        <v>33.56</v>
      </c>
    </row>
    <row r="3931" spans="1:2">
      <c r="A3931">
        <v>0</v>
      </c>
      <c r="B3931">
        <v>0</v>
      </c>
    </row>
    <row r="3932" spans="1:2">
      <c r="A3932" t="s">
        <v>25</v>
      </c>
      <c r="B3932">
        <v>0</v>
      </c>
    </row>
    <row r="3933" spans="1:2">
      <c r="A3933" t="s">
        <v>28</v>
      </c>
      <c r="B3933">
        <v>0</v>
      </c>
    </row>
    <row r="3934" spans="1:2">
      <c r="A3934">
        <v>0</v>
      </c>
      <c r="B3934">
        <v>0</v>
      </c>
    </row>
    <row r="3935" spans="1:2">
      <c r="A3935">
        <v>0</v>
      </c>
      <c r="B3935">
        <v>0</v>
      </c>
    </row>
    <row r="3936" spans="1:2">
      <c r="A3936" t="s">
        <v>28</v>
      </c>
      <c r="B3936">
        <v>0</v>
      </c>
    </row>
    <row r="3937" spans="1:2">
      <c r="A3937">
        <v>0</v>
      </c>
      <c r="B3937">
        <v>0</v>
      </c>
    </row>
    <row r="3938" spans="1:2">
      <c r="A3938" t="s">
        <v>29</v>
      </c>
      <c r="B3938">
        <v>0</v>
      </c>
    </row>
    <row r="3939" spans="1:2">
      <c r="A3939">
        <v>0</v>
      </c>
      <c r="B3939">
        <v>0</v>
      </c>
    </row>
    <row r="3940" spans="1:2">
      <c r="A3940">
        <v>0</v>
      </c>
      <c r="B3940">
        <v>0</v>
      </c>
    </row>
    <row r="3941" spans="1:2">
      <c r="A3941">
        <v>0</v>
      </c>
      <c r="B3941">
        <v>0</v>
      </c>
    </row>
    <row r="3942" spans="1:2">
      <c r="A3942">
        <v>0</v>
      </c>
      <c r="B3942">
        <v>0</v>
      </c>
    </row>
    <row r="3943" spans="1:2">
      <c r="A3943">
        <v>0</v>
      </c>
      <c r="B3943">
        <v>0</v>
      </c>
    </row>
    <row r="3944" spans="1:2">
      <c r="A3944">
        <v>0</v>
      </c>
      <c r="B3944">
        <v>0</v>
      </c>
    </row>
    <row r="3945" spans="1:2">
      <c r="A3945">
        <v>0</v>
      </c>
      <c r="B3945">
        <v>0</v>
      </c>
    </row>
    <row r="3946" spans="1:2">
      <c r="A3946">
        <v>0</v>
      </c>
      <c r="B3946">
        <v>0</v>
      </c>
    </row>
    <row r="3947" spans="1:2">
      <c r="A3947">
        <v>0</v>
      </c>
      <c r="B3947">
        <v>0</v>
      </c>
    </row>
    <row r="3948" spans="1:2">
      <c r="A3948" t="s">
        <v>26</v>
      </c>
      <c r="B3948">
        <v>212</v>
      </c>
    </row>
    <row r="3949" spans="1:2">
      <c r="A3949">
        <v>0</v>
      </c>
      <c r="B3949">
        <v>205.56</v>
      </c>
    </row>
    <row r="3950" spans="1:2">
      <c r="A3950">
        <v>0</v>
      </c>
      <c r="B3950">
        <v>195.03</v>
      </c>
    </row>
    <row r="3951" spans="1:2">
      <c r="A3951" t="s">
        <v>26</v>
      </c>
      <c r="B3951">
        <v>87.59</v>
      </c>
    </row>
    <row r="3952" spans="1:2">
      <c r="A3952">
        <v>0</v>
      </c>
      <c r="B3952">
        <v>80.709999999999994</v>
      </c>
    </row>
    <row r="3953" spans="1:2">
      <c r="A3953">
        <v>0</v>
      </c>
      <c r="B3953">
        <v>65.900000000000006</v>
      </c>
    </row>
    <row r="3954" spans="1:2">
      <c r="A3954">
        <v>0</v>
      </c>
      <c r="B3954">
        <v>44.53</v>
      </c>
    </row>
    <row r="3955" spans="1:2">
      <c r="A3955">
        <v>0</v>
      </c>
      <c r="B3955">
        <v>44.01</v>
      </c>
    </row>
    <row r="3956" spans="1:2">
      <c r="A3956" t="s">
        <v>26</v>
      </c>
      <c r="B3956">
        <v>37.15</v>
      </c>
    </row>
    <row r="3957" spans="1:2">
      <c r="A3957">
        <v>0</v>
      </c>
      <c r="B3957">
        <v>37.01</v>
      </c>
    </row>
    <row r="3958" spans="1:2">
      <c r="A3958">
        <v>0</v>
      </c>
      <c r="B3958">
        <v>26.51</v>
      </c>
    </row>
    <row r="3959" spans="1:2">
      <c r="A3959" t="s">
        <v>26</v>
      </c>
      <c r="B3959">
        <v>0</v>
      </c>
    </row>
    <row r="3960" spans="1:2">
      <c r="A3960">
        <v>0</v>
      </c>
      <c r="B3960">
        <v>0</v>
      </c>
    </row>
    <row r="3961" spans="1:2">
      <c r="A3961" t="s">
        <v>25</v>
      </c>
      <c r="B3961">
        <v>0</v>
      </c>
    </row>
    <row r="3962" spans="1:2">
      <c r="A3962">
        <v>0</v>
      </c>
      <c r="B3962">
        <v>0</v>
      </c>
    </row>
    <row r="3963" spans="1:2">
      <c r="A3963">
        <v>0</v>
      </c>
      <c r="B3963">
        <v>0</v>
      </c>
    </row>
    <row r="3964" spans="1:2">
      <c r="A3964" t="s">
        <v>31</v>
      </c>
      <c r="B3964">
        <v>0</v>
      </c>
    </row>
    <row r="3965" spans="1:2">
      <c r="A3965" t="s">
        <v>25</v>
      </c>
      <c r="B3965">
        <v>0</v>
      </c>
    </row>
    <row r="3966" spans="1:2">
      <c r="A3966">
        <v>0</v>
      </c>
      <c r="B3966">
        <v>0</v>
      </c>
    </row>
    <row r="3967" spans="1:2">
      <c r="A3967">
        <v>0</v>
      </c>
      <c r="B3967">
        <v>0</v>
      </c>
    </row>
    <row r="3968" spans="1:2">
      <c r="A3968" t="s">
        <v>31</v>
      </c>
      <c r="B3968">
        <v>0</v>
      </c>
    </row>
    <row r="3969" spans="1:2">
      <c r="A3969">
        <v>0</v>
      </c>
      <c r="B3969">
        <v>0</v>
      </c>
    </row>
    <row r="3970" spans="1:2">
      <c r="A3970">
        <v>0</v>
      </c>
      <c r="B3970">
        <v>0</v>
      </c>
    </row>
    <row r="3971" spans="1:2">
      <c r="A3971">
        <v>0</v>
      </c>
      <c r="B3971">
        <v>0</v>
      </c>
    </row>
    <row r="3972" spans="1:2">
      <c r="A3972">
        <v>0</v>
      </c>
      <c r="B3972">
        <v>0</v>
      </c>
    </row>
    <row r="3973" spans="1:2">
      <c r="A3973" t="s">
        <v>29</v>
      </c>
      <c r="B3973">
        <v>0</v>
      </c>
    </row>
    <row r="3974" spans="1:2">
      <c r="A3974">
        <v>0</v>
      </c>
      <c r="B3974">
        <v>0</v>
      </c>
    </row>
    <row r="3975" spans="1:2">
      <c r="A3975">
        <v>0</v>
      </c>
      <c r="B3975">
        <v>0</v>
      </c>
    </row>
    <row r="3976" spans="1:2">
      <c r="A3976">
        <v>0</v>
      </c>
      <c r="B3976">
        <v>0</v>
      </c>
    </row>
    <row r="3977" spans="1:2">
      <c r="A3977">
        <v>0</v>
      </c>
      <c r="B3977">
        <v>0</v>
      </c>
    </row>
    <row r="3978" spans="1:2">
      <c r="A3978">
        <v>0</v>
      </c>
      <c r="B3978">
        <v>0</v>
      </c>
    </row>
    <row r="3979" spans="1:2">
      <c r="A3979" t="s">
        <v>19</v>
      </c>
      <c r="B3979">
        <v>0</v>
      </c>
    </row>
    <row r="3980" spans="1:2">
      <c r="A3980">
        <v>0</v>
      </c>
      <c r="B3980">
        <v>0</v>
      </c>
    </row>
    <row r="3981" spans="1:2">
      <c r="A3981">
        <v>0</v>
      </c>
      <c r="B3981">
        <v>443</v>
      </c>
    </row>
    <row r="3982" spans="1:2">
      <c r="A3982" t="s">
        <v>31</v>
      </c>
      <c r="B3982">
        <v>436</v>
      </c>
    </row>
    <row r="3983" spans="1:2">
      <c r="A3983" t="s">
        <v>19</v>
      </c>
      <c r="B3983">
        <v>271.83</v>
      </c>
    </row>
    <row r="3984" spans="1:2">
      <c r="A3984">
        <v>0</v>
      </c>
      <c r="B3984">
        <v>179.8</v>
      </c>
    </row>
    <row r="3985" spans="1:2">
      <c r="A3985">
        <v>0</v>
      </c>
      <c r="B3985">
        <v>156.63999999999999</v>
      </c>
    </row>
    <row r="3986" spans="1:2">
      <c r="A3986" t="s">
        <v>25</v>
      </c>
      <c r="B3986">
        <v>95.28</v>
      </c>
    </row>
    <row r="3987" spans="1:2">
      <c r="A3987" t="s">
        <v>28</v>
      </c>
      <c r="B3987">
        <v>77.72</v>
      </c>
    </row>
    <row r="3988" spans="1:2">
      <c r="A3988">
        <v>0</v>
      </c>
      <c r="B3988">
        <v>72.180000000000007</v>
      </c>
    </row>
    <row r="3989" spans="1:2">
      <c r="A3989">
        <v>0</v>
      </c>
      <c r="B3989">
        <v>71.36</v>
      </c>
    </row>
    <row r="3990" spans="1:2">
      <c r="A3990">
        <v>0</v>
      </c>
      <c r="B3990">
        <v>64.319999999999993</v>
      </c>
    </row>
    <row r="3991" spans="1:2">
      <c r="A3991" t="s">
        <v>26</v>
      </c>
      <c r="B3991">
        <v>39.5</v>
      </c>
    </row>
    <row r="3992" spans="1:2">
      <c r="A3992">
        <v>0</v>
      </c>
      <c r="B3992">
        <v>35.979999999999997</v>
      </c>
    </row>
    <row r="3993" spans="1:2">
      <c r="A3993">
        <v>0</v>
      </c>
      <c r="B3993">
        <v>26.46</v>
      </c>
    </row>
    <row r="3994" spans="1:2">
      <c r="A3994">
        <v>0</v>
      </c>
      <c r="B3994">
        <v>22.13</v>
      </c>
    </row>
    <row r="3995" spans="1:2">
      <c r="A3995">
        <v>0</v>
      </c>
      <c r="B3995">
        <v>13.85</v>
      </c>
    </row>
    <row r="3996" spans="1:2">
      <c r="A3996">
        <v>0</v>
      </c>
      <c r="B3996">
        <v>0</v>
      </c>
    </row>
    <row r="3997" spans="1:2">
      <c r="A3997">
        <v>0</v>
      </c>
      <c r="B3997">
        <v>0</v>
      </c>
    </row>
    <row r="3998" spans="1:2">
      <c r="A3998">
        <v>0</v>
      </c>
      <c r="B3998">
        <v>0</v>
      </c>
    </row>
    <row r="3999" spans="1:2">
      <c r="A3999">
        <v>0</v>
      </c>
      <c r="B3999">
        <v>0</v>
      </c>
    </row>
    <row r="4000" spans="1:2">
      <c r="A4000">
        <v>0</v>
      </c>
      <c r="B4000">
        <v>0</v>
      </c>
    </row>
    <row r="4001" spans="1:2">
      <c r="A4001">
        <v>0</v>
      </c>
      <c r="B4001">
        <v>0</v>
      </c>
    </row>
    <row r="4002" spans="1:2">
      <c r="A4002">
        <v>0</v>
      </c>
      <c r="B4002">
        <v>0</v>
      </c>
    </row>
    <row r="4003" spans="1:2">
      <c r="A4003" t="s">
        <v>25</v>
      </c>
      <c r="B4003">
        <v>0</v>
      </c>
    </row>
    <row r="4004" spans="1:2">
      <c r="A4004" t="s">
        <v>29</v>
      </c>
      <c r="B4004">
        <v>0</v>
      </c>
    </row>
    <row r="4005" spans="1:2">
      <c r="A4005">
        <v>0</v>
      </c>
      <c r="B4005">
        <v>0</v>
      </c>
    </row>
    <row r="4006" spans="1:2">
      <c r="A4006">
        <v>0</v>
      </c>
      <c r="B4006">
        <v>0</v>
      </c>
    </row>
    <row r="4007" spans="1:2">
      <c r="A4007">
        <v>0</v>
      </c>
      <c r="B4007">
        <v>0</v>
      </c>
    </row>
    <row r="4008" spans="1:2">
      <c r="A4008" t="s">
        <v>19</v>
      </c>
      <c r="B4008">
        <v>0</v>
      </c>
    </row>
    <row r="4009" spans="1:2">
      <c r="A4009">
        <v>0</v>
      </c>
      <c r="B4009">
        <v>0</v>
      </c>
    </row>
    <row r="4010" spans="1:2">
      <c r="A4010">
        <v>0</v>
      </c>
      <c r="B4010">
        <v>0</v>
      </c>
    </row>
    <row r="4011" spans="1:2">
      <c r="A4011">
        <v>0</v>
      </c>
      <c r="B4011">
        <v>0</v>
      </c>
    </row>
    <row r="4012" spans="1:2">
      <c r="A4012">
        <v>0</v>
      </c>
      <c r="B4012">
        <v>0</v>
      </c>
    </row>
    <row r="4013" spans="1:2">
      <c r="A4013">
        <v>0</v>
      </c>
      <c r="B4013">
        <v>0</v>
      </c>
    </row>
    <row r="4014" spans="1:2">
      <c r="A4014">
        <v>0</v>
      </c>
      <c r="B4014">
        <v>0</v>
      </c>
    </row>
    <row r="4015" spans="1:2">
      <c r="A4015">
        <v>0</v>
      </c>
      <c r="B4015">
        <v>371</v>
      </c>
    </row>
    <row r="4016" spans="1:2">
      <c r="A4016">
        <v>0</v>
      </c>
      <c r="B4016">
        <v>441</v>
      </c>
    </row>
    <row r="4017" spans="1:2">
      <c r="A4017">
        <v>0</v>
      </c>
      <c r="B4017">
        <v>80.2</v>
      </c>
    </row>
    <row r="4018" spans="1:2">
      <c r="A4018">
        <v>0</v>
      </c>
      <c r="B4018">
        <v>55.21</v>
      </c>
    </row>
    <row r="4019" spans="1:2">
      <c r="A4019">
        <v>0</v>
      </c>
      <c r="B4019">
        <v>53.84</v>
      </c>
    </row>
    <row r="4020" spans="1:2">
      <c r="A4020">
        <v>0</v>
      </c>
      <c r="B4020">
        <v>42.29</v>
      </c>
    </row>
    <row r="4021" spans="1:2">
      <c r="A4021">
        <v>0</v>
      </c>
      <c r="B4021">
        <v>32.82</v>
      </c>
    </row>
    <row r="4022" spans="1:2">
      <c r="A4022">
        <v>0</v>
      </c>
      <c r="B4022">
        <v>24.75</v>
      </c>
    </row>
    <row r="4023" spans="1:2">
      <c r="A4023">
        <v>0</v>
      </c>
      <c r="B4023">
        <v>17.43</v>
      </c>
    </row>
    <row r="4024" spans="1:2">
      <c r="A4024">
        <v>0</v>
      </c>
      <c r="B4024">
        <v>13.17</v>
      </c>
    </row>
    <row r="4025" spans="1:2">
      <c r="A4025">
        <v>0</v>
      </c>
      <c r="B4025">
        <v>0</v>
      </c>
    </row>
    <row r="4026" spans="1:2">
      <c r="A4026">
        <v>0</v>
      </c>
      <c r="B4026">
        <v>0</v>
      </c>
    </row>
    <row r="4027" spans="1:2">
      <c r="A4027">
        <v>0</v>
      </c>
      <c r="B4027">
        <v>0</v>
      </c>
    </row>
    <row r="4028" spans="1:2">
      <c r="A4028">
        <v>0</v>
      </c>
      <c r="B4028">
        <v>0</v>
      </c>
    </row>
    <row r="4029" spans="1:2">
      <c r="A4029">
        <v>0</v>
      </c>
      <c r="B4029">
        <v>0</v>
      </c>
    </row>
    <row r="4030" spans="1:2">
      <c r="A4030">
        <v>0</v>
      </c>
      <c r="B4030">
        <v>0</v>
      </c>
    </row>
    <row r="4031" spans="1:2">
      <c r="A4031">
        <v>0</v>
      </c>
      <c r="B4031">
        <v>0</v>
      </c>
    </row>
    <row r="4032" spans="1:2">
      <c r="A4032">
        <v>0</v>
      </c>
      <c r="B4032">
        <v>0</v>
      </c>
    </row>
    <row r="4033" spans="1:2">
      <c r="A4033" t="s">
        <v>28</v>
      </c>
      <c r="B4033">
        <v>0</v>
      </c>
    </row>
    <row r="4034" spans="1:2">
      <c r="A4034">
        <v>0</v>
      </c>
      <c r="B4034">
        <v>0</v>
      </c>
    </row>
    <row r="4035" spans="1:2">
      <c r="A4035" t="s">
        <v>25</v>
      </c>
      <c r="B4035">
        <v>0</v>
      </c>
    </row>
    <row r="4036" spans="1:2">
      <c r="A4036">
        <v>0</v>
      </c>
      <c r="B4036">
        <v>0</v>
      </c>
    </row>
    <row r="4037" spans="1:2">
      <c r="A4037">
        <v>0</v>
      </c>
      <c r="B4037">
        <v>0</v>
      </c>
    </row>
    <row r="4038" spans="1:2">
      <c r="A4038" t="s">
        <v>29</v>
      </c>
      <c r="B4038">
        <v>105</v>
      </c>
    </row>
    <row r="4039" spans="1:2">
      <c r="A4039" t="s">
        <v>19</v>
      </c>
      <c r="B4039">
        <v>49.93</v>
      </c>
    </row>
    <row r="4040" spans="1:2">
      <c r="A4040">
        <v>0</v>
      </c>
      <c r="B4040">
        <v>47.66</v>
      </c>
    </row>
    <row r="4041" spans="1:2">
      <c r="A4041">
        <v>0</v>
      </c>
      <c r="B4041">
        <v>42.65</v>
      </c>
    </row>
    <row r="4042" spans="1:2">
      <c r="A4042" t="s">
        <v>26</v>
      </c>
      <c r="B4042">
        <v>34.29</v>
      </c>
    </row>
    <row r="4043" spans="1:2">
      <c r="A4043">
        <v>0</v>
      </c>
      <c r="B4043">
        <v>33.770000000000003</v>
      </c>
    </row>
    <row r="4044" spans="1:2">
      <c r="A4044">
        <v>0</v>
      </c>
      <c r="B4044">
        <v>22.53</v>
      </c>
    </row>
    <row r="4045" spans="1:2">
      <c r="A4045">
        <v>0</v>
      </c>
      <c r="B4045">
        <v>7</v>
      </c>
    </row>
    <row r="4046" spans="1:2">
      <c r="A4046">
        <v>0</v>
      </c>
      <c r="B4046">
        <v>0</v>
      </c>
    </row>
    <row r="4047" spans="1:2">
      <c r="A4047" t="s">
        <v>30</v>
      </c>
      <c r="B4047">
        <v>0</v>
      </c>
    </row>
    <row r="4048" spans="1:2">
      <c r="A4048" t="s">
        <v>19</v>
      </c>
      <c r="B4048">
        <v>0</v>
      </c>
    </row>
    <row r="4049" spans="1:2">
      <c r="A4049">
        <v>0</v>
      </c>
      <c r="B4049">
        <v>0</v>
      </c>
    </row>
    <row r="4050" spans="1:2">
      <c r="A4050">
        <v>0</v>
      </c>
      <c r="B4050">
        <v>0</v>
      </c>
    </row>
    <row r="4051" spans="1:2">
      <c r="A4051">
        <v>0</v>
      </c>
      <c r="B4051">
        <v>0</v>
      </c>
    </row>
    <row r="4052" spans="1:2">
      <c r="A4052">
        <v>0</v>
      </c>
      <c r="B4052">
        <v>0</v>
      </c>
    </row>
    <row r="4053" spans="1:2">
      <c r="A4053">
        <v>0</v>
      </c>
      <c r="B4053">
        <v>0</v>
      </c>
    </row>
    <row r="4054" spans="1:2">
      <c r="A4054" t="s">
        <v>19</v>
      </c>
      <c r="B4054">
        <v>0</v>
      </c>
    </row>
    <row r="4055" spans="1:2">
      <c r="A4055" t="s">
        <v>31</v>
      </c>
      <c r="B4055">
        <v>0</v>
      </c>
    </row>
    <row r="4056" spans="1:2">
      <c r="A4056">
        <v>0</v>
      </c>
      <c r="B4056">
        <v>0</v>
      </c>
    </row>
    <row r="4057" spans="1:2">
      <c r="A4057" t="s">
        <v>30</v>
      </c>
      <c r="B4057">
        <v>0</v>
      </c>
    </row>
    <row r="4058" spans="1:2">
      <c r="A4058" t="s">
        <v>30</v>
      </c>
      <c r="B4058">
        <v>0</v>
      </c>
    </row>
    <row r="4059" spans="1:2">
      <c r="A4059">
        <v>0</v>
      </c>
      <c r="B4059">
        <v>0</v>
      </c>
    </row>
    <row r="4060" spans="1:2">
      <c r="A4060" t="s">
        <v>19</v>
      </c>
      <c r="B4060">
        <v>0</v>
      </c>
    </row>
    <row r="4061" spans="1:2">
      <c r="A4061" t="s">
        <v>19</v>
      </c>
      <c r="B4061">
        <v>231</v>
      </c>
    </row>
    <row r="4062" spans="1:2">
      <c r="A4062">
        <v>0</v>
      </c>
      <c r="B4062">
        <v>436</v>
      </c>
    </row>
    <row r="4063" spans="1:2">
      <c r="A4063">
        <v>0</v>
      </c>
      <c r="B4063">
        <v>74.239999999999995</v>
      </c>
    </row>
    <row r="4064" spans="1:2">
      <c r="A4064">
        <v>0</v>
      </c>
      <c r="B4064">
        <v>69.83</v>
      </c>
    </row>
    <row r="4065" spans="1:2">
      <c r="A4065" t="s">
        <v>30</v>
      </c>
      <c r="B4065">
        <v>27.78</v>
      </c>
    </row>
    <row r="4066" spans="1:2">
      <c r="A4066" t="s">
        <v>31</v>
      </c>
      <c r="B4066">
        <v>18.670000000000002</v>
      </c>
    </row>
    <row r="4067" spans="1:2">
      <c r="A4067">
        <v>0</v>
      </c>
      <c r="B4067">
        <v>0</v>
      </c>
    </row>
    <row r="4068" spans="1:2">
      <c r="A4068" t="s">
        <v>25</v>
      </c>
      <c r="B4068">
        <v>0</v>
      </c>
    </row>
    <row r="4069" spans="1:2">
      <c r="A4069">
        <v>0</v>
      </c>
      <c r="B4069">
        <v>0</v>
      </c>
    </row>
    <row r="4070" spans="1:2">
      <c r="A4070">
        <v>0</v>
      </c>
      <c r="B4070">
        <v>0</v>
      </c>
    </row>
    <row r="4071" spans="1:2">
      <c r="A4071">
        <v>0</v>
      </c>
      <c r="B4071">
        <v>0</v>
      </c>
    </row>
    <row r="4072" spans="1:2">
      <c r="A4072">
        <v>0</v>
      </c>
      <c r="B4072">
        <v>0</v>
      </c>
    </row>
    <row r="4073" spans="1:2">
      <c r="A4073">
        <v>0</v>
      </c>
      <c r="B4073">
        <v>0</v>
      </c>
    </row>
    <row r="4074" spans="1:2">
      <c r="A4074" t="s">
        <v>25</v>
      </c>
      <c r="B4074">
        <v>0</v>
      </c>
    </row>
    <row r="4075" spans="1:2">
      <c r="A4075">
        <v>0</v>
      </c>
      <c r="B4075">
        <v>0</v>
      </c>
    </row>
    <row r="4076" spans="1:2">
      <c r="A4076">
        <v>0</v>
      </c>
      <c r="B4076">
        <v>0</v>
      </c>
    </row>
    <row r="4077" spans="1:2">
      <c r="A4077">
        <v>0</v>
      </c>
      <c r="B4077">
        <v>0</v>
      </c>
    </row>
    <row r="4078" spans="1:2">
      <c r="A4078" t="s">
        <v>19</v>
      </c>
      <c r="B4078">
        <v>0</v>
      </c>
    </row>
    <row r="4079" spans="1:2">
      <c r="A4079">
        <v>0</v>
      </c>
      <c r="B4079">
        <v>0</v>
      </c>
    </row>
    <row r="4080" spans="1:2">
      <c r="A4080" t="s">
        <v>26</v>
      </c>
      <c r="B4080">
        <v>0</v>
      </c>
    </row>
    <row r="4081" spans="1:2">
      <c r="A4081">
        <v>0</v>
      </c>
      <c r="B4081">
        <v>0</v>
      </c>
    </row>
    <row r="4082" spans="1:2">
      <c r="A4082" t="s">
        <v>31</v>
      </c>
      <c r="B4082">
        <v>0</v>
      </c>
    </row>
    <row r="4083" spans="1:2">
      <c r="A4083">
        <v>0</v>
      </c>
      <c r="B4083">
        <v>0</v>
      </c>
    </row>
    <row r="4084" spans="1:2">
      <c r="A4084" t="s">
        <v>28</v>
      </c>
      <c r="B4084">
        <v>0</v>
      </c>
    </row>
    <row r="4085" spans="1:2">
      <c r="A4085">
        <v>0</v>
      </c>
      <c r="B4085">
        <v>451</v>
      </c>
    </row>
    <row r="4086" spans="1:2">
      <c r="A4086">
        <v>0</v>
      </c>
      <c r="B4086">
        <v>493.9</v>
      </c>
    </row>
    <row r="4087" spans="1:2">
      <c r="A4087">
        <v>0</v>
      </c>
      <c r="B4087">
        <v>86.43</v>
      </c>
    </row>
    <row r="4088" spans="1:2">
      <c r="A4088" t="s">
        <v>19</v>
      </c>
      <c r="B4088">
        <v>64.09</v>
      </c>
    </row>
    <row r="4089" spans="1:2">
      <c r="A4089">
        <v>0</v>
      </c>
      <c r="B4089">
        <v>38.03</v>
      </c>
    </row>
    <row r="4090" spans="1:2">
      <c r="A4090">
        <v>0</v>
      </c>
      <c r="B4090">
        <v>36.729999999999997</v>
      </c>
    </row>
    <row r="4091" spans="1:2">
      <c r="A4091">
        <v>0</v>
      </c>
      <c r="B4091">
        <v>27.78</v>
      </c>
    </row>
    <row r="4092" spans="1:2">
      <c r="A4092">
        <v>0</v>
      </c>
      <c r="B4092">
        <v>25.55</v>
      </c>
    </row>
    <row r="4093" spans="1:2">
      <c r="A4093" t="s">
        <v>26</v>
      </c>
      <c r="B4093">
        <v>23.77</v>
      </c>
    </row>
    <row r="4094" spans="1:2">
      <c r="A4094" t="s">
        <v>28</v>
      </c>
      <c r="B4094">
        <v>15.55</v>
      </c>
    </row>
    <row r="4095" spans="1:2">
      <c r="A4095">
        <v>0</v>
      </c>
      <c r="B4095">
        <v>14.57</v>
      </c>
    </row>
    <row r="4096" spans="1:2">
      <c r="A4096" t="s">
        <v>30</v>
      </c>
      <c r="B4096">
        <v>0</v>
      </c>
    </row>
    <row r="4097" spans="1:2">
      <c r="A4097">
        <v>0</v>
      </c>
      <c r="B4097">
        <v>0</v>
      </c>
    </row>
    <row r="4098" spans="1:2">
      <c r="A4098" t="s">
        <v>31</v>
      </c>
      <c r="B4098">
        <v>0</v>
      </c>
    </row>
    <row r="4099" spans="1:2">
      <c r="A4099">
        <v>0</v>
      </c>
      <c r="B4099">
        <v>0</v>
      </c>
    </row>
    <row r="4100" spans="1:2">
      <c r="A4100" t="s">
        <v>30</v>
      </c>
      <c r="B4100">
        <v>0</v>
      </c>
    </row>
    <row r="4101" spans="1:2">
      <c r="A4101">
        <v>0</v>
      </c>
      <c r="B4101">
        <v>0</v>
      </c>
    </row>
    <row r="4102" spans="1:2">
      <c r="A4102" t="s">
        <v>28</v>
      </c>
      <c r="B4102">
        <v>0</v>
      </c>
    </row>
    <row r="4103" spans="1:2">
      <c r="A4103">
        <v>0</v>
      </c>
      <c r="B4103">
        <v>0</v>
      </c>
    </row>
    <row r="4104" spans="1:2">
      <c r="A4104">
        <v>0</v>
      </c>
      <c r="B4104">
        <v>0</v>
      </c>
    </row>
    <row r="4105" spans="1:2">
      <c r="A4105">
        <v>0</v>
      </c>
      <c r="B4105">
        <v>0</v>
      </c>
    </row>
    <row r="4106" spans="1:2">
      <c r="A4106" t="s">
        <v>31</v>
      </c>
      <c r="B4106">
        <v>0</v>
      </c>
    </row>
    <row r="4107" spans="1:2">
      <c r="A4107">
        <v>0</v>
      </c>
      <c r="B4107">
        <v>0</v>
      </c>
    </row>
    <row r="4108" spans="1:2">
      <c r="A4108">
        <v>0</v>
      </c>
      <c r="B4108">
        <v>0</v>
      </c>
    </row>
    <row r="4109" spans="1:2">
      <c r="A4109" t="s">
        <v>29</v>
      </c>
      <c r="B4109">
        <v>0</v>
      </c>
    </row>
    <row r="4110" spans="1:2">
      <c r="A4110">
        <v>0</v>
      </c>
      <c r="B4110">
        <v>0</v>
      </c>
    </row>
    <row r="4111" spans="1:2">
      <c r="A4111" t="s">
        <v>29</v>
      </c>
      <c r="B4111">
        <v>0</v>
      </c>
    </row>
    <row r="4112" spans="1:2">
      <c r="A4112">
        <v>0</v>
      </c>
      <c r="B4112">
        <v>0</v>
      </c>
    </row>
    <row r="4113" spans="1:2">
      <c r="A4113" t="s">
        <v>31</v>
      </c>
      <c r="B4113">
        <v>0</v>
      </c>
    </row>
    <row r="4114" spans="1:2">
      <c r="A4114">
        <v>0</v>
      </c>
      <c r="B4114">
        <v>0</v>
      </c>
    </row>
    <row r="4115" spans="1:2">
      <c r="A4115">
        <v>0</v>
      </c>
      <c r="B4115">
        <v>0</v>
      </c>
    </row>
    <row r="4116" spans="1:2">
      <c r="A4116">
        <v>0</v>
      </c>
      <c r="B4116">
        <v>0</v>
      </c>
    </row>
    <row r="4117" spans="1:2">
      <c r="A4117">
        <v>0</v>
      </c>
      <c r="B4117">
        <v>0</v>
      </c>
    </row>
    <row r="4118" spans="1:2">
      <c r="A4118">
        <v>0</v>
      </c>
      <c r="B4118">
        <v>496.62</v>
      </c>
    </row>
    <row r="4119" spans="1:2">
      <c r="A4119">
        <v>0</v>
      </c>
      <c r="B4119">
        <v>130.68</v>
      </c>
    </row>
    <row r="4120" spans="1:2">
      <c r="A4120" t="s">
        <v>31</v>
      </c>
      <c r="B4120">
        <v>76.319999999999993</v>
      </c>
    </row>
    <row r="4121" spans="1:2">
      <c r="A4121">
        <v>0</v>
      </c>
      <c r="B4121">
        <v>72.61</v>
      </c>
    </row>
    <row r="4122" spans="1:2">
      <c r="A4122">
        <v>0</v>
      </c>
      <c r="B4122">
        <v>54.29</v>
      </c>
    </row>
    <row r="4123" spans="1:2">
      <c r="A4123">
        <v>0</v>
      </c>
      <c r="B4123">
        <v>40.85</v>
      </c>
    </row>
    <row r="4124" spans="1:2">
      <c r="A4124">
        <v>0</v>
      </c>
      <c r="B4124">
        <v>35.35</v>
      </c>
    </row>
    <row r="4125" spans="1:2">
      <c r="A4125">
        <v>0</v>
      </c>
      <c r="B4125">
        <v>23.81</v>
      </c>
    </row>
    <row r="4126" spans="1:2">
      <c r="A4126" t="s">
        <v>29</v>
      </c>
      <c r="B4126">
        <v>22.64</v>
      </c>
    </row>
    <row r="4127" spans="1:2">
      <c r="A4127">
        <v>0</v>
      </c>
      <c r="B4127">
        <v>18.62</v>
      </c>
    </row>
    <row r="4128" spans="1:2">
      <c r="A4128">
        <v>0</v>
      </c>
      <c r="B4128">
        <v>15.45</v>
      </c>
    </row>
    <row r="4129" spans="1:2">
      <c r="A4129">
        <v>0</v>
      </c>
      <c r="B4129">
        <v>0</v>
      </c>
    </row>
    <row r="4130" spans="1:2">
      <c r="A4130" t="s">
        <v>26</v>
      </c>
      <c r="B4130">
        <v>0</v>
      </c>
    </row>
    <row r="4131" spans="1:2">
      <c r="A4131">
        <v>0</v>
      </c>
      <c r="B4131">
        <v>0</v>
      </c>
    </row>
    <row r="4132" spans="1:2">
      <c r="A4132" t="s">
        <v>30</v>
      </c>
      <c r="B4132">
        <v>0</v>
      </c>
    </row>
    <row r="4133" spans="1:2">
      <c r="A4133" t="s">
        <v>28</v>
      </c>
      <c r="B4133">
        <v>0</v>
      </c>
    </row>
    <row r="4134" spans="1:2">
      <c r="A4134" t="s">
        <v>26</v>
      </c>
      <c r="B4134">
        <v>0</v>
      </c>
    </row>
    <row r="4135" spans="1:2">
      <c r="A4135">
        <v>0</v>
      </c>
      <c r="B4135">
        <v>0</v>
      </c>
    </row>
    <row r="4136" spans="1:2">
      <c r="A4136">
        <v>0</v>
      </c>
      <c r="B4136">
        <v>0</v>
      </c>
    </row>
    <row r="4137" spans="1:2">
      <c r="A4137">
        <v>0</v>
      </c>
      <c r="B4137">
        <v>0</v>
      </c>
    </row>
    <row r="4138" spans="1:2">
      <c r="A4138">
        <v>0</v>
      </c>
      <c r="B4138">
        <v>0</v>
      </c>
    </row>
    <row r="4139" spans="1:2">
      <c r="A4139">
        <v>0</v>
      </c>
      <c r="B4139">
        <v>0</v>
      </c>
    </row>
    <row r="4140" spans="1:2">
      <c r="A4140">
        <v>0</v>
      </c>
      <c r="B4140">
        <v>0</v>
      </c>
    </row>
    <row r="4141" spans="1:2">
      <c r="A4141">
        <v>0</v>
      </c>
      <c r="B4141">
        <v>0</v>
      </c>
    </row>
    <row r="4142" spans="1:2">
      <c r="A4142">
        <v>0</v>
      </c>
      <c r="B4142">
        <v>0</v>
      </c>
    </row>
    <row r="4143" spans="1:2">
      <c r="A4143">
        <v>0</v>
      </c>
      <c r="B4143">
        <v>0</v>
      </c>
    </row>
    <row r="4144" spans="1:2">
      <c r="A4144" t="s">
        <v>30</v>
      </c>
      <c r="B4144">
        <v>0</v>
      </c>
    </row>
    <row r="4145" spans="1:2">
      <c r="A4145">
        <v>0</v>
      </c>
      <c r="B4145">
        <v>0</v>
      </c>
    </row>
    <row r="4146" spans="1:2">
      <c r="A4146">
        <v>0</v>
      </c>
      <c r="B4146">
        <v>0</v>
      </c>
    </row>
    <row r="4147" spans="1:2">
      <c r="A4147">
        <v>0</v>
      </c>
      <c r="B4147">
        <v>0</v>
      </c>
    </row>
    <row r="4148" spans="1:2">
      <c r="A4148">
        <v>0</v>
      </c>
      <c r="B4148">
        <v>0</v>
      </c>
    </row>
    <row r="4149" spans="1:2">
      <c r="A4149">
        <v>0</v>
      </c>
      <c r="B4149">
        <v>0</v>
      </c>
    </row>
    <row r="4150" spans="1:2">
      <c r="A4150">
        <v>0</v>
      </c>
      <c r="B4150">
        <v>0</v>
      </c>
    </row>
    <row r="4151" spans="1:2">
      <c r="A4151">
        <v>0</v>
      </c>
      <c r="B4151">
        <v>0</v>
      </c>
    </row>
    <row r="4152" spans="1:2">
      <c r="A4152">
        <v>0</v>
      </c>
      <c r="B4152">
        <v>0</v>
      </c>
    </row>
    <row r="4153" spans="1:2">
      <c r="A4153">
        <v>0</v>
      </c>
      <c r="B4153">
        <v>0</v>
      </c>
    </row>
    <row r="4154" spans="1:2">
      <c r="A4154">
        <v>0</v>
      </c>
      <c r="B4154">
        <v>0</v>
      </c>
    </row>
    <row r="4155" spans="1:2">
      <c r="A4155">
        <v>0</v>
      </c>
      <c r="B4155">
        <v>0</v>
      </c>
    </row>
    <row r="4156" spans="1:2">
      <c r="A4156">
        <v>0</v>
      </c>
      <c r="B4156">
        <v>21</v>
      </c>
    </row>
    <row r="4157" spans="1:2">
      <c r="A4157" t="s">
        <v>30</v>
      </c>
      <c r="B4157">
        <v>371</v>
      </c>
    </row>
    <row r="4158" spans="1:2">
      <c r="A4158">
        <v>0</v>
      </c>
      <c r="B4158">
        <v>238.97</v>
      </c>
    </row>
    <row r="4159" spans="1:2">
      <c r="A4159">
        <v>0</v>
      </c>
      <c r="B4159">
        <v>62.74</v>
      </c>
    </row>
    <row r="4160" spans="1:2">
      <c r="A4160" t="s">
        <v>31</v>
      </c>
      <c r="B4160">
        <v>44.71</v>
      </c>
    </row>
    <row r="4161" spans="1:2">
      <c r="A4161" t="s">
        <v>19</v>
      </c>
      <c r="B4161">
        <v>39.1</v>
      </c>
    </row>
    <row r="4162" spans="1:2">
      <c r="A4162">
        <v>0</v>
      </c>
      <c r="B4162">
        <v>36.69</v>
      </c>
    </row>
    <row r="4163" spans="1:2">
      <c r="A4163">
        <v>0</v>
      </c>
      <c r="B4163">
        <v>28.99</v>
      </c>
    </row>
    <row r="4164" spans="1:2">
      <c r="A4164">
        <v>0</v>
      </c>
      <c r="B4164">
        <v>21.36</v>
      </c>
    </row>
    <row r="4165" spans="1:2">
      <c r="A4165">
        <v>0</v>
      </c>
      <c r="B4165">
        <v>0</v>
      </c>
    </row>
    <row r="4166" spans="1:2">
      <c r="A4166">
        <v>0</v>
      </c>
      <c r="B4166">
        <v>0</v>
      </c>
    </row>
    <row r="4167" spans="1:2">
      <c r="A4167" t="s">
        <v>28</v>
      </c>
      <c r="B4167">
        <v>0</v>
      </c>
    </row>
    <row r="4168" spans="1:2">
      <c r="A4168">
        <v>0</v>
      </c>
      <c r="B4168">
        <v>0</v>
      </c>
    </row>
    <row r="4169" spans="1:2">
      <c r="A4169">
        <v>0</v>
      </c>
      <c r="B4169">
        <v>0</v>
      </c>
    </row>
    <row r="4170" spans="1:2">
      <c r="A4170" t="s">
        <v>25</v>
      </c>
      <c r="B4170">
        <v>0</v>
      </c>
    </row>
    <row r="4171" spans="1:2">
      <c r="A4171">
        <v>0</v>
      </c>
      <c r="B4171">
        <v>0</v>
      </c>
    </row>
    <row r="4172" spans="1:2">
      <c r="A4172">
        <v>0</v>
      </c>
      <c r="B4172">
        <v>0</v>
      </c>
    </row>
    <row r="4173" spans="1:2">
      <c r="A4173">
        <v>0</v>
      </c>
      <c r="B4173">
        <v>0</v>
      </c>
    </row>
    <row r="4174" spans="1:2">
      <c r="A4174">
        <v>0</v>
      </c>
      <c r="B4174">
        <v>0</v>
      </c>
    </row>
    <row r="4175" spans="1:2">
      <c r="A4175" t="s">
        <v>19</v>
      </c>
      <c r="B4175">
        <v>0</v>
      </c>
    </row>
    <row r="4176" spans="1:2">
      <c r="A4176" t="s">
        <v>26</v>
      </c>
      <c r="B4176">
        <v>0</v>
      </c>
    </row>
    <row r="4177" spans="1:2">
      <c r="A4177">
        <v>0</v>
      </c>
      <c r="B4177">
        <v>0</v>
      </c>
    </row>
    <row r="4178" spans="1:2">
      <c r="A4178">
        <v>0</v>
      </c>
      <c r="B4178">
        <v>0</v>
      </c>
    </row>
    <row r="4179" spans="1:2">
      <c r="A4179">
        <v>0</v>
      </c>
      <c r="B4179">
        <v>0</v>
      </c>
    </row>
    <row r="4180" spans="1:2">
      <c r="A4180">
        <v>0</v>
      </c>
      <c r="B4180">
        <v>0</v>
      </c>
    </row>
    <row r="4181" spans="1:2">
      <c r="A4181">
        <v>0</v>
      </c>
      <c r="B4181">
        <v>115</v>
      </c>
    </row>
    <row r="4182" spans="1:2">
      <c r="A4182">
        <v>0</v>
      </c>
      <c r="B4182">
        <v>575.04</v>
      </c>
    </row>
    <row r="4183" spans="1:2">
      <c r="A4183">
        <v>0</v>
      </c>
      <c r="B4183">
        <v>178.27</v>
      </c>
    </row>
    <row r="4184" spans="1:2">
      <c r="A4184">
        <v>0</v>
      </c>
      <c r="B4184">
        <v>156.16999999999999</v>
      </c>
    </row>
    <row r="4185" spans="1:2">
      <c r="A4185">
        <v>0</v>
      </c>
      <c r="B4185">
        <v>151.63</v>
      </c>
    </row>
    <row r="4186" spans="1:2">
      <c r="A4186">
        <v>0</v>
      </c>
      <c r="B4186">
        <v>78.5</v>
      </c>
    </row>
    <row r="4187" spans="1:2">
      <c r="A4187">
        <v>0</v>
      </c>
      <c r="B4187">
        <v>72.400000000000006</v>
      </c>
    </row>
    <row r="4188" spans="1:2">
      <c r="A4188">
        <v>0</v>
      </c>
      <c r="B4188">
        <v>62.77</v>
      </c>
    </row>
    <row r="4189" spans="1:2">
      <c r="A4189" t="s">
        <v>26</v>
      </c>
      <c r="B4189">
        <v>47.81</v>
      </c>
    </row>
    <row r="4190" spans="1:2">
      <c r="A4190">
        <v>0</v>
      </c>
      <c r="B4190">
        <v>41.13</v>
      </c>
    </row>
    <row r="4191" spans="1:2">
      <c r="A4191">
        <v>0</v>
      </c>
      <c r="B4191">
        <v>39.979999999999997</v>
      </c>
    </row>
    <row r="4192" spans="1:2">
      <c r="A4192">
        <v>0</v>
      </c>
      <c r="B4192">
        <v>36.92</v>
      </c>
    </row>
    <row r="4193" spans="1:2">
      <c r="A4193">
        <v>0</v>
      </c>
      <c r="B4193">
        <v>34.06</v>
      </c>
    </row>
    <row r="4194" spans="1:2">
      <c r="A4194" t="s">
        <v>28</v>
      </c>
      <c r="B4194">
        <v>32.53</v>
      </c>
    </row>
    <row r="4195" spans="1:2">
      <c r="A4195">
        <v>0</v>
      </c>
      <c r="B4195">
        <v>31.62</v>
      </c>
    </row>
    <row r="4196" spans="1:2">
      <c r="A4196">
        <v>0</v>
      </c>
      <c r="B4196">
        <v>16.850000000000001</v>
      </c>
    </row>
    <row r="4197" spans="1:2">
      <c r="A4197">
        <v>0</v>
      </c>
      <c r="B4197">
        <v>0</v>
      </c>
    </row>
    <row r="4198" spans="1:2">
      <c r="A4198">
        <v>0</v>
      </c>
      <c r="B4198">
        <v>0</v>
      </c>
    </row>
    <row r="4199" spans="1:2">
      <c r="A4199">
        <v>0</v>
      </c>
      <c r="B4199">
        <v>0</v>
      </c>
    </row>
    <row r="4200" spans="1:2">
      <c r="A4200">
        <v>0</v>
      </c>
      <c r="B4200">
        <v>0</v>
      </c>
    </row>
    <row r="4201" spans="1:2">
      <c r="A4201">
        <v>0</v>
      </c>
      <c r="B4201">
        <v>0</v>
      </c>
    </row>
    <row r="4202" spans="1:2">
      <c r="A4202" t="s">
        <v>29</v>
      </c>
      <c r="B4202">
        <v>0</v>
      </c>
    </row>
    <row r="4203" spans="1:2">
      <c r="A4203" t="s">
        <v>19</v>
      </c>
      <c r="B4203">
        <v>0</v>
      </c>
    </row>
    <row r="4204" spans="1:2">
      <c r="A4204" t="s">
        <v>26</v>
      </c>
      <c r="B4204">
        <v>0</v>
      </c>
    </row>
    <row r="4205" spans="1:2">
      <c r="A4205" t="s">
        <v>19</v>
      </c>
      <c r="B4205">
        <v>0</v>
      </c>
    </row>
    <row r="4206" spans="1:2">
      <c r="A4206">
        <v>0</v>
      </c>
      <c r="B4206">
        <v>0</v>
      </c>
    </row>
    <row r="4207" spans="1:2">
      <c r="A4207" t="s">
        <v>28</v>
      </c>
      <c r="B4207">
        <v>0</v>
      </c>
    </row>
    <row r="4208" spans="1:2">
      <c r="A4208">
        <v>0</v>
      </c>
      <c r="B4208">
        <v>0</v>
      </c>
    </row>
    <row r="4209" spans="1:2">
      <c r="A4209" t="s">
        <v>30</v>
      </c>
      <c r="B4209">
        <v>0</v>
      </c>
    </row>
    <row r="4210" spans="1:2">
      <c r="A4210">
        <v>0</v>
      </c>
      <c r="B4210">
        <v>0</v>
      </c>
    </row>
    <row r="4211" spans="1:2">
      <c r="A4211" t="s">
        <v>31</v>
      </c>
      <c r="B4211">
        <v>0</v>
      </c>
    </row>
    <row r="4212" spans="1:2">
      <c r="A4212">
        <v>0</v>
      </c>
      <c r="B4212">
        <v>0</v>
      </c>
    </row>
    <row r="4213" spans="1:2">
      <c r="A4213">
        <v>0</v>
      </c>
      <c r="B4213">
        <v>0</v>
      </c>
    </row>
    <row r="4214" spans="1:2">
      <c r="A4214">
        <v>0</v>
      </c>
      <c r="B4214">
        <v>0</v>
      </c>
    </row>
    <row r="4215" spans="1:2">
      <c r="A4215">
        <v>0</v>
      </c>
      <c r="B4215">
        <v>398.2</v>
      </c>
    </row>
    <row r="4216" spans="1:2">
      <c r="A4216">
        <v>0</v>
      </c>
      <c r="B4216">
        <v>113.01</v>
      </c>
    </row>
    <row r="4217" spans="1:2">
      <c r="A4217">
        <v>0</v>
      </c>
      <c r="B4217">
        <v>72.22</v>
      </c>
    </row>
    <row r="4218" spans="1:2">
      <c r="A4218" t="s">
        <v>31</v>
      </c>
      <c r="B4218">
        <v>55.48</v>
      </c>
    </row>
    <row r="4219" spans="1:2">
      <c r="A4219" t="s">
        <v>29</v>
      </c>
      <c r="B4219">
        <v>39.409999999999997</v>
      </c>
    </row>
    <row r="4220" spans="1:2">
      <c r="A4220" t="s">
        <v>25</v>
      </c>
      <c r="B4220">
        <v>14.27</v>
      </c>
    </row>
    <row r="4221" spans="1:2">
      <c r="A4221">
        <v>0</v>
      </c>
      <c r="B4221">
        <v>1.1100000000000001</v>
      </c>
    </row>
    <row r="4222" spans="1:2">
      <c r="A4222">
        <v>0</v>
      </c>
      <c r="B4222">
        <v>0</v>
      </c>
    </row>
    <row r="4223" spans="1:2">
      <c r="A4223">
        <v>0</v>
      </c>
      <c r="B4223">
        <v>0</v>
      </c>
    </row>
    <row r="4224" spans="1:2">
      <c r="A4224">
        <v>0</v>
      </c>
      <c r="B4224">
        <v>0</v>
      </c>
    </row>
    <row r="4225" spans="1:2">
      <c r="A4225" t="s">
        <v>29</v>
      </c>
      <c r="B4225">
        <v>0</v>
      </c>
    </row>
    <row r="4226" spans="1:2">
      <c r="A4226">
        <v>0</v>
      </c>
      <c r="B4226">
        <v>0</v>
      </c>
    </row>
    <row r="4227" spans="1:2">
      <c r="A4227">
        <v>0</v>
      </c>
      <c r="B4227">
        <v>0</v>
      </c>
    </row>
    <row r="4228" spans="1:2">
      <c r="A4228">
        <v>0</v>
      </c>
      <c r="B4228">
        <v>0</v>
      </c>
    </row>
    <row r="4229" spans="1:2">
      <c r="A4229">
        <v>0</v>
      </c>
      <c r="B4229">
        <v>0</v>
      </c>
    </row>
    <row r="4230" spans="1:2">
      <c r="A4230">
        <v>0</v>
      </c>
      <c r="B4230">
        <v>0</v>
      </c>
    </row>
    <row r="4231" spans="1:2">
      <c r="A4231">
        <v>0</v>
      </c>
      <c r="B4231">
        <v>0</v>
      </c>
    </row>
    <row r="4232" spans="1:2">
      <c r="A4232">
        <v>0</v>
      </c>
      <c r="B4232">
        <v>0</v>
      </c>
    </row>
    <row r="4233" spans="1:2">
      <c r="A4233">
        <v>0</v>
      </c>
      <c r="B4233">
        <v>0</v>
      </c>
    </row>
    <row r="4234" spans="1:2">
      <c r="A4234">
        <v>0</v>
      </c>
      <c r="B4234">
        <v>0</v>
      </c>
    </row>
    <row r="4235" spans="1:2">
      <c r="A4235" t="s">
        <v>30</v>
      </c>
      <c r="B4235">
        <v>0</v>
      </c>
    </row>
    <row r="4236" spans="1:2">
      <c r="A4236">
        <v>0</v>
      </c>
      <c r="B4236">
        <v>0</v>
      </c>
    </row>
    <row r="4237" spans="1:2">
      <c r="A4237">
        <v>0</v>
      </c>
      <c r="B4237">
        <v>0</v>
      </c>
    </row>
    <row r="4238" spans="1:2">
      <c r="A4238" t="s">
        <v>26</v>
      </c>
      <c r="B4238">
        <v>0</v>
      </c>
    </row>
    <row r="4239" spans="1:2">
      <c r="A4239">
        <v>0</v>
      </c>
      <c r="B4239">
        <v>0</v>
      </c>
    </row>
    <row r="4240" spans="1:2">
      <c r="A4240" t="s">
        <v>29</v>
      </c>
      <c r="B4240">
        <v>0</v>
      </c>
    </row>
    <row r="4241" spans="1:2">
      <c r="A4241">
        <v>0</v>
      </c>
      <c r="B4241">
        <v>0</v>
      </c>
    </row>
    <row r="4242" spans="1:2">
      <c r="A4242">
        <v>0</v>
      </c>
      <c r="B4242">
        <v>0</v>
      </c>
    </row>
    <row r="4243" spans="1:2">
      <c r="A4243" t="s">
        <v>29</v>
      </c>
      <c r="B4243">
        <v>0</v>
      </c>
    </row>
    <row r="4244" spans="1:2">
      <c r="A4244">
        <v>0</v>
      </c>
      <c r="B4244">
        <v>0</v>
      </c>
    </row>
    <row r="4245" spans="1:2">
      <c r="A4245">
        <v>0</v>
      </c>
      <c r="B4245">
        <v>0</v>
      </c>
    </row>
    <row r="4246" spans="1:2">
      <c r="A4246" t="s">
        <v>26</v>
      </c>
      <c r="B4246">
        <v>318</v>
      </c>
    </row>
    <row r="4247" spans="1:2">
      <c r="A4247" t="s">
        <v>28</v>
      </c>
      <c r="B4247">
        <v>75.489999999999995</v>
      </c>
    </row>
    <row r="4248" spans="1:2">
      <c r="A4248">
        <v>0</v>
      </c>
      <c r="B4248">
        <v>56.55</v>
      </c>
    </row>
    <row r="4249" spans="1:2">
      <c r="A4249" t="s">
        <v>29</v>
      </c>
      <c r="B4249">
        <v>22.43</v>
      </c>
    </row>
    <row r="4250" spans="1:2">
      <c r="A4250">
        <v>0</v>
      </c>
      <c r="B4250">
        <v>0</v>
      </c>
    </row>
    <row r="4251" spans="1:2">
      <c r="A4251">
        <v>0</v>
      </c>
      <c r="B4251">
        <v>0</v>
      </c>
    </row>
    <row r="4252" spans="1:2">
      <c r="A4252">
        <v>0</v>
      </c>
      <c r="B4252">
        <v>0</v>
      </c>
    </row>
    <row r="4253" spans="1:2">
      <c r="A4253">
        <v>0</v>
      </c>
      <c r="B4253">
        <v>0</v>
      </c>
    </row>
    <row r="4254" spans="1:2">
      <c r="A4254" t="s">
        <v>31</v>
      </c>
      <c r="B4254">
        <v>0</v>
      </c>
    </row>
    <row r="4255" spans="1:2">
      <c r="A4255">
        <v>0</v>
      </c>
      <c r="B4255">
        <v>0</v>
      </c>
    </row>
    <row r="4256" spans="1:2">
      <c r="A4256" t="s">
        <v>31</v>
      </c>
      <c r="B4256">
        <v>0</v>
      </c>
    </row>
    <row r="4257" spans="1:2">
      <c r="A4257" t="s">
        <v>26</v>
      </c>
      <c r="B4257">
        <v>0</v>
      </c>
    </row>
    <row r="4258" spans="1:2">
      <c r="A4258">
        <v>0</v>
      </c>
      <c r="B4258">
        <v>0</v>
      </c>
    </row>
    <row r="4259" spans="1:2">
      <c r="A4259" t="s">
        <v>26</v>
      </c>
      <c r="B4259">
        <v>0</v>
      </c>
    </row>
    <row r="4260" spans="1:2">
      <c r="A4260">
        <v>0</v>
      </c>
      <c r="B4260">
        <v>0</v>
      </c>
    </row>
    <row r="4261" spans="1:2">
      <c r="A4261">
        <v>0</v>
      </c>
      <c r="B4261">
        <v>0</v>
      </c>
    </row>
    <row r="4262" spans="1:2">
      <c r="A4262">
        <v>0</v>
      </c>
      <c r="B4262">
        <v>0</v>
      </c>
    </row>
    <row r="4263" spans="1:2">
      <c r="A4263">
        <v>0</v>
      </c>
      <c r="B4263">
        <v>0</v>
      </c>
    </row>
    <row r="4264" spans="1:2">
      <c r="A4264">
        <v>0</v>
      </c>
      <c r="B4264">
        <v>340.62</v>
      </c>
    </row>
    <row r="4265" spans="1:2">
      <c r="A4265">
        <v>0</v>
      </c>
      <c r="B4265">
        <v>250.31</v>
      </c>
    </row>
    <row r="4266" spans="1:2">
      <c r="A4266">
        <v>0</v>
      </c>
      <c r="B4266">
        <v>137.05000000000001</v>
      </c>
    </row>
    <row r="4267" spans="1:2">
      <c r="A4267" t="s">
        <v>30</v>
      </c>
      <c r="B4267">
        <v>60.44</v>
      </c>
    </row>
    <row r="4268" spans="1:2">
      <c r="A4268" t="s">
        <v>30</v>
      </c>
      <c r="B4268">
        <v>55.6</v>
      </c>
    </row>
    <row r="4269" spans="1:2">
      <c r="A4269" t="s">
        <v>19</v>
      </c>
      <c r="B4269">
        <v>26.52</v>
      </c>
    </row>
    <row r="4270" spans="1:2">
      <c r="A4270" t="s">
        <v>29</v>
      </c>
      <c r="B4270">
        <v>23.84</v>
      </c>
    </row>
    <row r="4271" spans="1:2">
      <c r="A4271">
        <v>0</v>
      </c>
      <c r="B4271">
        <v>19.149999999999999</v>
      </c>
    </row>
    <row r="4272" spans="1:2">
      <c r="A4272">
        <v>0</v>
      </c>
      <c r="B4272">
        <v>14.44</v>
      </c>
    </row>
    <row r="4273" spans="1:2">
      <c r="A4273" t="s">
        <v>26</v>
      </c>
      <c r="B4273">
        <v>0</v>
      </c>
    </row>
    <row r="4274" spans="1:2">
      <c r="A4274" t="s">
        <v>26</v>
      </c>
      <c r="B4274">
        <v>0</v>
      </c>
    </row>
    <row r="4275" spans="1:2">
      <c r="A4275" t="s">
        <v>31</v>
      </c>
      <c r="B4275">
        <v>0</v>
      </c>
    </row>
    <row r="4276" spans="1:2">
      <c r="A4276">
        <v>0</v>
      </c>
      <c r="B4276">
        <v>0</v>
      </c>
    </row>
    <row r="4277" spans="1:2">
      <c r="A4277" t="s">
        <v>31</v>
      </c>
      <c r="B4277">
        <v>0</v>
      </c>
    </row>
    <row r="4278" spans="1:2">
      <c r="A4278" t="s">
        <v>26</v>
      </c>
      <c r="B4278">
        <v>0</v>
      </c>
    </row>
    <row r="4279" spans="1:2">
      <c r="A4279" t="s">
        <v>28</v>
      </c>
      <c r="B4279">
        <v>0</v>
      </c>
    </row>
    <row r="4280" spans="1:2">
      <c r="A4280">
        <v>0</v>
      </c>
      <c r="B4280">
        <v>0</v>
      </c>
    </row>
    <row r="4281" spans="1:2">
      <c r="A4281">
        <v>0</v>
      </c>
      <c r="B4281">
        <v>0</v>
      </c>
    </row>
    <row r="4282" spans="1:2">
      <c r="A4282">
        <v>0</v>
      </c>
      <c r="B4282">
        <v>0</v>
      </c>
    </row>
    <row r="4283" spans="1:2">
      <c r="A4283">
        <v>0</v>
      </c>
      <c r="B4283">
        <v>0</v>
      </c>
    </row>
    <row r="4284" spans="1:2">
      <c r="A4284">
        <v>0</v>
      </c>
      <c r="B4284">
        <v>0</v>
      </c>
    </row>
    <row r="4285" spans="1:2">
      <c r="A4285">
        <v>0</v>
      </c>
      <c r="B4285">
        <v>0</v>
      </c>
    </row>
    <row r="4286" spans="1:2">
      <c r="A4286" t="s">
        <v>30</v>
      </c>
      <c r="B4286">
        <v>0</v>
      </c>
    </row>
    <row r="4287" spans="1:2">
      <c r="A4287">
        <v>0</v>
      </c>
      <c r="B4287">
        <v>0</v>
      </c>
    </row>
    <row r="4288" spans="1:2">
      <c r="A4288" t="s">
        <v>19</v>
      </c>
      <c r="B4288">
        <v>474</v>
      </c>
    </row>
    <row r="4289" spans="1:2">
      <c r="A4289" t="s">
        <v>26</v>
      </c>
      <c r="B4289">
        <v>171.8</v>
      </c>
    </row>
    <row r="4290" spans="1:2">
      <c r="A4290">
        <v>0</v>
      </c>
      <c r="B4290">
        <v>63.23</v>
      </c>
    </row>
    <row r="4291" spans="1:2">
      <c r="A4291" t="s">
        <v>31</v>
      </c>
      <c r="B4291">
        <v>55.82</v>
      </c>
    </row>
    <row r="4292" spans="1:2">
      <c r="A4292">
        <v>0</v>
      </c>
      <c r="B4292">
        <v>50.27</v>
      </c>
    </row>
    <row r="4293" spans="1:2">
      <c r="A4293">
        <v>0</v>
      </c>
      <c r="B4293">
        <v>48.46</v>
      </c>
    </row>
    <row r="4294" spans="1:2">
      <c r="A4294" t="s">
        <v>26</v>
      </c>
      <c r="B4294">
        <v>43.97</v>
      </c>
    </row>
    <row r="4295" spans="1:2">
      <c r="A4295">
        <v>0</v>
      </c>
      <c r="B4295">
        <v>42.81</v>
      </c>
    </row>
    <row r="4296" spans="1:2">
      <c r="A4296" t="s">
        <v>26</v>
      </c>
      <c r="B4296">
        <v>25.35</v>
      </c>
    </row>
    <row r="4297" spans="1:2">
      <c r="A4297">
        <v>0</v>
      </c>
      <c r="B4297">
        <v>22.71</v>
      </c>
    </row>
    <row r="4298" spans="1:2">
      <c r="A4298">
        <v>0</v>
      </c>
      <c r="B4298">
        <v>21.42</v>
      </c>
    </row>
    <row r="4299" spans="1:2">
      <c r="A4299">
        <v>0</v>
      </c>
      <c r="B4299">
        <v>15</v>
      </c>
    </row>
    <row r="4300" spans="1:2">
      <c r="A4300">
        <v>0</v>
      </c>
      <c r="B4300">
        <v>0</v>
      </c>
    </row>
    <row r="4301" spans="1:2">
      <c r="A4301" t="s">
        <v>26</v>
      </c>
      <c r="B4301">
        <v>0</v>
      </c>
    </row>
    <row r="4302" spans="1:2">
      <c r="A4302" t="s">
        <v>28</v>
      </c>
      <c r="B4302">
        <v>0</v>
      </c>
    </row>
    <row r="4303" spans="1:2">
      <c r="A4303">
        <v>0</v>
      </c>
      <c r="B4303">
        <v>0</v>
      </c>
    </row>
    <row r="4304" spans="1:2">
      <c r="A4304">
        <v>0</v>
      </c>
      <c r="B4304">
        <v>0</v>
      </c>
    </row>
    <row r="4305" spans="1:2">
      <c r="A4305">
        <v>0</v>
      </c>
      <c r="B4305">
        <v>0</v>
      </c>
    </row>
    <row r="4306" spans="1:2">
      <c r="A4306">
        <v>0</v>
      </c>
      <c r="B4306">
        <v>0</v>
      </c>
    </row>
    <row r="4307" spans="1:2">
      <c r="A4307">
        <v>0</v>
      </c>
      <c r="B4307">
        <v>0</v>
      </c>
    </row>
    <row r="4308" spans="1:2">
      <c r="A4308" t="s">
        <v>19</v>
      </c>
      <c r="B4308">
        <v>0</v>
      </c>
    </row>
    <row r="4309" spans="1:2">
      <c r="A4309">
        <v>0</v>
      </c>
      <c r="B4309">
        <v>0</v>
      </c>
    </row>
    <row r="4310" spans="1:2">
      <c r="A4310">
        <v>0</v>
      </c>
      <c r="B4310">
        <v>0</v>
      </c>
    </row>
    <row r="4311" spans="1:2">
      <c r="A4311">
        <v>0</v>
      </c>
      <c r="B4311">
        <v>0</v>
      </c>
    </row>
    <row r="4312" spans="1:2">
      <c r="A4312" t="s">
        <v>26</v>
      </c>
      <c r="B4312">
        <v>0</v>
      </c>
    </row>
    <row r="4313" spans="1:2">
      <c r="A4313">
        <v>0</v>
      </c>
      <c r="B4313">
        <v>0</v>
      </c>
    </row>
    <row r="4314" spans="1:2">
      <c r="A4314">
        <v>0</v>
      </c>
      <c r="B4314">
        <v>0</v>
      </c>
    </row>
    <row r="4315" spans="1:2">
      <c r="A4315">
        <v>0</v>
      </c>
      <c r="B4315">
        <v>0</v>
      </c>
    </row>
    <row r="4316" spans="1:2">
      <c r="A4316">
        <v>0</v>
      </c>
      <c r="B4316">
        <v>0</v>
      </c>
    </row>
    <row r="4317" spans="1:2">
      <c r="A4317" t="s">
        <v>28</v>
      </c>
      <c r="B4317">
        <v>0</v>
      </c>
    </row>
    <row r="4318" spans="1:2">
      <c r="A4318">
        <v>0</v>
      </c>
      <c r="B4318">
        <v>0</v>
      </c>
    </row>
    <row r="4319" spans="1:2">
      <c r="A4319" t="s">
        <v>30</v>
      </c>
      <c r="B4319">
        <v>0</v>
      </c>
    </row>
    <row r="4320" spans="1:2">
      <c r="A4320">
        <v>0</v>
      </c>
      <c r="B4320">
        <v>179</v>
      </c>
    </row>
    <row r="4321" spans="1:2">
      <c r="A4321" t="s">
        <v>26</v>
      </c>
      <c r="B4321">
        <v>53.35</v>
      </c>
    </row>
    <row r="4322" spans="1:2">
      <c r="A4322" t="s">
        <v>30</v>
      </c>
      <c r="B4322">
        <v>51.57</v>
      </c>
    </row>
    <row r="4323" spans="1:2">
      <c r="A4323">
        <v>0</v>
      </c>
      <c r="B4323">
        <v>36.01</v>
      </c>
    </row>
    <row r="4324" spans="1:2">
      <c r="A4324">
        <v>0</v>
      </c>
      <c r="B4324">
        <v>34.46</v>
      </c>
    </row>
    <row r="4325" spans="1:2">
      <c r="A4325" t="s">
        <v>26</v>
      </c>
      <c r="B4325">
        <v>23.99</v>
      </c>
    </row>
    <row r="4326" spans="1:2">
      <c r="A4326">
        <v>0</v>
      </c>
      <c r="B4326">
        <v>17.38</v>
      </c>
    </row>
    <row r="4327" spans="1:2">
      <c r="A4327">
        <v>0</v>
      </c>
      <c r="B4327">
        <v>0</v>
      </c>
    </row>
    <row r="4328" spans="1:2">
      <c r="A4328">
        <v>0</v>
      </c>
      <c r="B4328">
        <v>0</v>
      </c>
    </row>
    <row r="4329" spans="1:2">
      <c r="A4329">
        <v>0</v>
      </c>
      <c r="B4329">
        <v>0</v>
      </c>
    </row>
    <row r="4330" spans="1:2">
      <c r="A4330" t="s">
        <v>25</v>
      </c>
      <c r="B4330">
        <v>0</v>
      </c>
    </row>
    <row r="4331" spans="1:2">
      <c r="A4331">
        <v>0</v>
      </c>
      <c r="B4331">
        <v>0</v>
      </c>
    </row>
    <row r="4332" spans="1:2">
      <c r="A4332" t="s">
        <v>29</v>
      </c>
      <c r="B4332">
        <v>0</v>
      </c>
    </row>
    <row r="4333" spans="1:2">
      <c r="A4333" t="s">
        <v>28</v>
      </c>
      <c r="B4333">
        <v>0</v>
      </c>
    </row>
    <row r="4334" spans="1:2">
      <c r="A4334">
        <v>0</v>
      </c>
      <c r="B4334">
        <v>0</v>
      </c>
    </row>
    <row r="4335" spans="1:2">
      <c r="A4335">
        <v>0</v>
      </c>
      <c r="B4335">
        <v>0</v>
      </c>
    </row>
    <row r="4336" spans="1:2">
      <c r="A4336" t="s">
        <v>19</v>
      </c>
      <c r="B4336">
        <v>0</v>
      </c>
    </row>
    <row r="4337" spans="1:2">
      <c r="A4337" t="s">
        <v>25</v>
      </c>
      <c r="B4337">
        <v>0</v>
      </c>
    </row>
    <row r="4338" spans="1:2">
      <c r="A4338">
        <v>0</v>
      </c>
      <c r="B4338">
        <v>0</v>
      </c>
    </row>
    <row r="4339" spans="1:2">
      <c r="A4339" t="s">
        <v>28</v>
      </c>
      <c r="B4339">
        <v>0</v>
      </c>
    </row>
    <row r="4340" spans="1:2">
      <c r="A4340" t="s">
        <v>28</v>
      </c>
      <c r="B4340">
        <v>0</v>
      </c>
    </row>
    <row r="4341" spans="1:2">
      <c r="A4341">
        <v>0</v>
      </c>
      <c r="B4341">
        <v>0</v>
      </c>
    </row>
    <row r="4342" spans="1:2">
      <c r="A4342">
        <v>0</v>
      </c>
      <c r="B4342">
        <v>224</v>
      </c>
    </row>
    <row r="4343" spans="1:2">
      <c r="A4343">
        <v>0</v>
      </c>
      <c r="B4343">
        <v>122.55</v>
      </c>
    </row>
    <row r="4344" spans="1:2">
      <c r="A4344">
        <v>0</v>
      </c>
      <c r="B4344">
        <v>42.49</v>
      </c>
    </row>
    <row r="4345" spans="1:2">
      <c r="A4345" t="s">
        <v>30</v>
      </c>
      <c r="B4345">
        <v>34.590000000000003</v>
      </c>
    </row>
    <row r="4346" spans="1:2">
      <c r="A4346">
        <v>0</v>
      </c>
      <c r="B4346">
        <v>28.49</v>
      </c>
    </row>
    <row r="4347" spans="1:2">
      <c r="A4347">
        <v>0</v>
      </c>
      <c r="B4347">
        <v>15.91</v>
      </c>
    </row>
    <row r="4348" spans="1:2">
      <c r="A4348" t="s">
        <v>31</v>
      </c>
      <c r="B4348">
        <v>13.41</v>
      </c>
    </row>
    <row r="4349" spans="1:2">
      <c r="A4349">
        <v>0</v>
      </c>
      <c r="B4349">
        <v>0</v>
      </c>
    </row>
    <row r="4350" spans="1:2">
      <c r="A4350" t="s">
        <v>19</v>
      </c>
      <c r="B4350">
        <v>0</v>
      </c>
    </row>
    <row r="4351" spans="1:2">
      <c r="A4351" t="s">
        <v>29</v>
      </c>
      <c r="B4351">
        <v>0</v>
      </c>
    </row>
    <row r="4352" spans="1:2">
      <c r="A4352" t="s">
        <v>29</v>
      </c>
      <c r="B4352">
        <v>0</v>
      </c>
    </row>
    <row r="4353" spans="1:2">
      <c r="A4353">
        <v>0</v>
      </c>
      <c r="B4353">
        <v>0</v>
      </c>
    </row>
    <row r="4354" spans="1:2">
      <c r="A4354" t="s">
        <v>28</v>
      </c>
      <c r="B4354">
        <v>0</v>
      </c>
    </row>
    <row r="4355" spans="1:2">
      <c r="A4355" t="s">
        <v>28</v>
      </c>
      <c r="B4355">
        <v>0</v>
      </c>
    </row>
    <row r="4356" spans="1:2">
      <c r="A4356">
        <v>0</v>
      </c>
      <c r="B4356">
        <v>0</v>
      </c>
    </row>
    <row r="4357" spans="1:2">
      <c r="A4357">
        <v>0</v>
      </c>
      <c r="B4357">
        <v>0</v>
      </c>
    </row>
    <row r="4358" spans="1:2">
      <c r="A4358">
        <v>0</v>
      </c>
      <c r="B4358">
        <v>0</v>
      </c>
    </row>
    <row r="4359" spans="1:2">
      <c r="A4359" t="s">
        <v>29</v>
      </c>
      <c r="B4359">
        <v>0</v>
      </c>
    </row>
    <row r="4360" spans="1:2">
      <c r="A4360">
        <v>0</v>
      </c>
      <c r="B4360">
        <v>0</v>
      </c>
    </row>
    <row r="4361" spans="1:2">
      <c r="A4361" t="s">
        <v>26</v>
      </c>
      <c r="B4361">
        <v>0</v>
      </c>
    </row>
    <row r="4362" spans="1:2">
      <c r="A4362">
        <v>0</v>
      </c>
      <c r="B4362">
        <v>367</v>
      </c>
    </row>
    <row r="4363" spans="1:2">
      <c r="A4363" t="s">
        <v>28</v>
      </c>
      <c r="B4363">
        <v>61.78</v>
      </c>
    </row>
    <row r="4364" spans="1:2">
      <c r="A4364">
        <v>0</v>
      </c>
      <c r="B4364">
        <v>58.54</v>
      </c>
    </row>
    <row r="4365" spans="1:2">
      <c r="A4365">
        <v>0</v>
      </c>
      <c r="B4365">
        <v>39.08</v>
      </c>
    </row>
    <row r="4366" spans="1:2">
      <c r="A4366" t="s">
        <v>26</v>
      </c>
      <c r="B4366">
        <v>21.53</v>
      </c>
    </row>
    <row r="4367" spans="1:2">
      <c r="A4367">
        <v>0</v>
      </c>
      <c r="B4367">
        <v>0</v>
      </c>
    </row>
    <row r="4368" spans="1:2">
      <c r="A4368">
        <v>0</v>
      </c>
      <c r="B4368">
        <v>0</v>
      </c>
    </row>
    <row r="4369" spans="1:2">
      <c r="A4369" t="s">
        <v>28</v>
      </c>
      <c r="B4369">
        <v>0</v>
      </c>
    </row>
    <row r="4370" spans="1:2">
      <c r="A4370">
        <v>0</v>
      </c>
      <c r="B4370">
        <v>0</v>
      </c>
    </row>
    <row r="4371" spans="1:2">
      <c r="A4371" t="s">
        <v>19</v>
      </c>
      <c r="B4371">
        <v>0</v>
      </c>
    </row>
    <row r="4372" spans="1:2">
      <c r="A4372" t="s">
        <v>26</v>
      </c>
      <c r="B4372">
        <v>0</v>
      </c>
    </row>
    <row r="4373" spans="1:2">
      <c r="A4373">
        <v>0</v>
      </c>
      <c r="B4373">
        <v>0</v>
      </c>
    </row>
    <row r="4374" spans="1:2">
      <c r="A4374">
        <v>0</v>
      </c>
      <c r="B4374">
        <v>0</v>
      </c>
    </row>
    <row r="4375" spans="1:2">
      <c r="A4375" t="s">
        <v>30</v>
      </c>
      <c r="B4375">
        <v>0</v>
      </c>
    </row>
    <row r="4376" spans="1:2">
      <c r="A4376">
        <v>0</v>
      </c>
      <c r="B4376">
        <v>0</v>
      </c>
    </row>
    <row r="4377" spans="1:2">
      <c r="A4377" t="s">
        <v>29</v>
      </c>
      <c r="B4377">
        <v>0</v>
      </c>
    </row>
    <row r="4378" spans="1:2">
      <c r="A4378" t="s">
        <v>19</v>
      </c>
      <c r="B4378">
        <v>0</v>
      </c>
    </row>
    <row r="4379" spans="1:2">
      <c r="A4379" t="s">
        <v>25</v>
      </c>
      <c r="B4379">
        <v>0</v>
      </c>
    </row>
    <row r="4380" spans="1:2">
      <c r="A4380" t="s">
        <v>28</v>
      </c>
      <c r="B4380">
        <v>0</v>
      </c>
    </row>
    <row r="4381" spans="1:2">
      <c r="A4381">
        <v>0</v>
      </c>
      <c r="B4381">
        <v>0</v>
      </c>
    </row>
    <row r="4382" spans="1:2">
      <c r="A4382" t="s">
        <v>26</v>
      </c>
      <c r="B4382">
        <v>432</v>
      </c>
    </row>
    <row r="4383" spans="1:2">
      <c r="A4383">
        <v>0</v>
      </c>
      <c r="B4383">
        <v>370</v>
      </c>
    </row>
    <row r="4384" spans="1:2">
      <c r="A4384" t="s">
        <v>26</v>
      </c>
      <c r="B4384">
        <v>181</v>
      </c>
    </row>
    <row r="4385" spans="1:2">
      <c r="A4385">
        <v>0</v>
      </c>
      <c r="B4385">
        <v>65.94</v>
      </c>
    </row>
    <row r="4386" spans="1:2">
      <c r="A4386">
        <v>0</v>
      </c>
      <c r="B4386">
        <v>63.26</v>
      </c>
    </row>
    <row r="4387" spans="1:2">
      <c r="A4387">
        <v>0</v>
      </c>
      <c r="B4387">
        <v>61.78</v>
      </c>
    </row>
    <row r="4388" spans="1:2">
      <c r="A4388" t="s">
        <v>28</v>
      </c>
      <c r="B4388">
        <v>51.77</v>
      </c>
    </row>
    <row r="4389" spans="1:2">
      <c r="A4389">
        <v>0</v>
      </c>
      <c r="B4389">
        <v>33.93</v>
      </c>
    </row>
    <row r="4390" spans="1:2">
      <c r="A4390" t="s">
        <v>26</v>
      </c>
      <c r="B4390">
        <v>0</v>
      </c>
    </row>
    <row r="4391" spans="1:2">
      <c r="A4391">
        <v>0</v>
      </c>
      <c r="B4391">
        <v>0</v>
      </c>
    </row>
    <row r="4392" spans="1:2">
      <c r="A4392">
        <v>0</v>
      </c>
      <c r="B4392">
        <v>0</v>
      </c>
    </row>
    <row r="4393" spans="1:2">
      <c r="A4393" t="s">
        <v>30</v>
      </c>
      <c r="B4393">
        <v>0</v>
      </c>
    </row>
    <row r="4394" spans="1:2">
      <c r="A4394">
        <v>0</v>
      </c>
      <c r="B4394">
        <v>0</v>
      </c>
    </row>
    <row r="4395" spans="1:2">
      <c r="A4395" t="s">
        <v>26</v>
      </c>
      <c r="B4395">
        <v>0</v>
      </c>
    </row>
    <row r="4396" spans="1:2">
      <c r="A4396">
        <v>0</v>
      </c>
      <c r="B4396">
        <v>0</v>
      </c>
    </row>
    <row r="4397" spans="1:2">
      <c r="A4397">
        <v>0</v>
      </c>
      <c r="B4397">
        <v>0</v>
      </c>
    </row>
    <row r="4398" spans="1:2">
      <c r="A4398">
        <v>0</v>
      </c>
      <c r="B4398">
        <v>0</v>
      </c>
    </row>
    <row r="4399" spans="1:2">
      <c r="A4399">
        <v>0</v>
      </c>
      <c r="B4399">
        <v>0</v>
      </c>
    </row>
    <row r="4400" spans="1:2">
      <c r="A4400">
        <v>0</v>
      </c>
      <c r="B4400">
        <v>0</v>
      </c>
    </row>
    <row r="4401" spans="1:2">
      <c r="A4401" t="s">
        <v>31</v>
      </c>
      <c r="B4401">
        <v>0</v>
      </c>
    </row>
    <row r="4402" spans="1:2">
      <c r="A4402" t="s">
        <v>19</v>
      </c>
      <c r="B4402">
        <v>0</v>
      </c>
    </row>
    <row r="4403" spans="1:2">
      <c r="A4403" t="s">
        <v>31</v>
      </c>
      <c r="B4403">
        <v>0</v>
      </c>
    </row>
    <row r="4404" spans="1:2">
      <c r="A4404">
        <v>0</v>
      </c>
      <c r="B4404">
        <v>0</v>
      </c>
    </row>
    <row r="4405" spans="1:2">
      <c r="A4405" t="s">
        <v>30</v>
      </c>
      <c r="B4405">
        <v>0</v>
      </c>
    </row>
    <row r="4406" spans="1:2">
      <c r="A4406">
        <v>0</v>
      </c>
      <c r="B4406">
        <v>0</v>
      </c>
    </row>
    <row r="4407" spans="1:2">
      <c r="A4407">
        <v>0</v>
      </c>
      <c r="B4407">
        <v>153.36000000000001</v>
      </c>
    </row>
    <row r="4408" spans="1:2">
      <c r="A4408" t="s">
        <v>30</v>
      </c>
      <c r="B4408">
        <v>63.71</v>
      </c>
    </row>
    <row r="4409" spans="1:2">
      <c r="A4409" t="s">
        <v>25</v>
      </c>
      <c r="B4409">
        <v>39.71</v>
      </c>
    </row>
    <row r="4410" spans="1:2">
      <c r="A4410" t="s">
        <v>30</v>
      </c>
      <c r="B4410">
        <v>35.15</v>
      </c>
    </row>
    <row r="4411" spans="1:2">
      <c r="A4411">
        <v>0</v>
      </c>
      <c r="B4411">
        <v>31.02</v>
      </c>
    </row>
    <row r="4412" spans="1:2">
      <c r="A4412">
        <v>0</v>
      </c>
      <c r="B4412">
        <v>27.67</v>
      </c>
    </row>
    <row r="4413" spans="1:2">
      <c r="A4413">
        <v>0</v>
      </c>
      <c r="B4413">
        <v>21.29</v>
      </c>
    </row>
    <row r="4414" spans="1:2">
      <c r="A4414" t="s">
        <v>31</v>
      </c>
      <c r="B4414">
        <v>0</v>
      </c>
    </row>
    <row r="4415" spans="1:2">
      <c r="A4415">
        <v>0</v>
      </c>
      <c r="B4415">
        <v>0</v>
      </c>
    </row>
    <row r="4416" spans="1:2">
      <c r="A4416">
        <v>0</v>
      </c>
      <c r="B4416">
        <v>0</v>
      </c>
    </row>
    <row r="4417" spans="1:2">
      <c r="A4417">
        <v>0</v>
      </c>
      <c r="B4417">
        <v>0</v>
      </c>
    </row>
    <row r="4418" spans="1:2">
      <c r="A4418">
        <v>0</v>
      </c>
      <c r="B4418">
        <v>0</v>
      </c>
    </row>
    <row r="4419" spans="1:2">
      <c r="A4419" t="s">
        <v>26</v>
      </c>
      <c r="B4419">
        <v>0</v>
      </c>
    </row>
    <row r="4420" spans="1:2">
      <c r="A4420" t="s">
        <v>31</v>
      </c>
      <c r="B4420">
        <v>0</v>
      </c>
    </row>
    <row r="4421" spans="1:2">
      <c r="A4421">
        <v>0</v>
      </c>
      <c r="B4421">
        <v>0</v>
      </c>
    </row>
    <row r="4422" spans="1:2">
      <c r="A4422" t="s">
        <v>29</v>
      </c>
      <c r="B4422">
        <v>0</v>
      </c>
    </row>
    <row r="4423" spans="1:2">
      <c r="A4423">
        <v>0</v>
      </c>
      <c r="B4423">
        <v>0</v>
      </c>
    </row>
    <row r="4424" spans="1:2">
      <c r="A4424">
        <v>0</v>
      </c>
      <c r="B4424">
        <v>0</v>
      </c>
    </row>
    <row r="4425" spans="1:2">
      <c r="A4425">
        <v>0</v>
      </c>
      <c r="B4425">
        <v>0</v>
      </c>
    </row>
    <row r="4426" spans="1:2">
      <c r="A4426" t="s">
        <v>31</v>
      </c>
      <c r="B4426">
        <v>0</v>
      </c>
    </row>
    <row r="4427" spans="1:2">
      <c r="A4427" t="s">
        <v>19</v>
      </c>
      <c r="B4427">
        <v>0</v>
      </c>
    </row>
    <row r="4428" spans="1:2">
      <c r="A4428">
        <v>0</v>
      </c>
      <c r="B4428">
        <v>0</v>
      </c>
    </row>
    <row r="4429" spans="1:2">
      <c r="A4429">
        <v>0</v>
      </c>
      <c r="B4429">
        <v>0</v>
      </c>
    </row>
    <row r="4430" spans="1:2">
      <c r="A4430" t="s">
        <v>31</v>
      </c>
      <c r="B4430">
        <v>0</v>
      </c>
    </row>
    <row r="4431" spans="1:2">
      <c r="A4431">
        <v>0</v>
      </c>
      <c r="B4431">
        <v>0</v>
      </c>
    </row>
    <row r="4432" spans="1:2">
      <c r="A4432" t="s">
        <v>28</v>
      </c>
      <c r="B4432">
        <v>0</v>
      </c>
    </row>
    <row r="4433" spans="1:2">
      <c r="A4433">
        <v>0</v>
      </c>
      <c r="B4433">
        <v>0</v>
      </c>
    </row>
    <row r="4434" spans="1:2">
      <c r="A4434" t="s">
        <v>19</v>
      </c>
      <c r="B4434">
        <v>0</v>
      </c>
    </row>
    <row r="4435" spans="1:2">
      <c r="A4435">
        <v>0</v>
      </c>
      <c r="B4435">
        <v>0</v>
      </c>
    </row>
    <row r="4436" spans="1:2">
      <c r="A4436" t="s">
        <v>26</v>
      </c>
      <c r="B4436">
        <v>0</v>
      </c>
    </row>
    <row r="4437" spans="1:2">
      <c r="A4437">
        <v>0</v>
      </c>
      <c r="B4437">
        <v>357</v>
      </c>
    </row>
    <row r="4438" spans="1:2">
      <c r="A4438">
        <v>0</v>
      </c>
      <c r="B4438">
        <v>216</v>
      </c>
    </row>
    <row r="4439" spans="1:2">
      <c r="A4439">
        <v>0</v>
      </c>
      <c r="B4439">
        <v>240.6</v>
      </c>
    </row>
    <row r="4440" spans="1:2">
      <c r="A4440">
        <v>0</v>
      </c>
      <c r="B4440">
        <v>167.88</v>
      </c>
    </row>
    <row r="4441" spans="1:2">
      <c r="A4441">
        <v>0</v>
      </c>
      <c r="B4441">
        <v>83.75</v>
      </c>
    </row>
    <row r="4442" spans="1:2">
      <c r="A4442">
        <v>0</v>
      </c>
      <c r="B4442">
        <v>77.8</v>
      </c>
    </row>
    <row r="4443" spans="1:2">
      <c r="A4443">
        <v>0</v>
      </c>
      <c r="B4443">
        <v>39.51</v>
      </c>
    </row>
    <row r="4444" spans="1:2">
      <c r="A4444">
        <v>0</v>
      </c>
      <c r="B4444">
        <v>36.21</v>
      </c>
    </row>
    <row r="4445" spans="1:2">
      <c r="A4445" t="s">
        <v>25</v>
      </c>
      <c r="B4445">
        <v>31.91</v>
      </c>
    </row>
    <row r="4446" spans="1:2">
      <c r="A4446">
        <v>0</v>
      </c>
      <c r="B4446">
        <v>21.17</v>
      </c>
    </row>
    <row r="4447" spans="1:2">
      <c r="A4447">
        <v>0</v>
      </c>
      <c r="B4447">
        <v>19.46</v>
      </c>
    </row>
    <row r="4448" spans="1:2">
      <c r="A4448" t="s">
        <v>19</v>
      </c>
      <c r="B4448">
        <v>0</v>
      </c>
    </row>
    <row r="4449" spans="1:2">
      <c r="A4449">
        <v>0</v>
      </c>
      <c r="B4449">
        <v>0</v>
      </c>
    </row>
    <row r="4450" spans="1:2">
      <c r="A4450">
        <v>0</v>
      </c>
      <c r="B4450">
        <v>0</v>
      </c>
    </row>
    <row r="4451" spans="1:2">
      <c r="A4451">
        <v>0</v>
      </c>
      <c r="B4451">
        <v>0</v>
      </c>
    </row>
    <row r="4452" spans="1:2">
      <c r="A4452">
        <v>0</v>
      </c>
      <c r="B4452">
        <v>0</v>
      </c>
    </row>
    <row r="4453" spans="1:2">
      <c r="A4453" t="s">
        <v>28</v>
      </c>
      <c r="B4453">
        <v>0</v>
      </c>
    </row>
    <row r="4454" spans="1:2">
      <c r="A4454" t="s">
        <v>29</v>
      </c>
      <c r="B4454">
        <v>0</v>
      </c>
    </row>
    <row r="4455" spans="1:2">
      <c r="A4455" t="s">
        <v>26</v>
      </c>
      <c r="B4455">
        <v>0</v>
      </c>
    </row>
    <row r="4456" spans="1:2">
      <c r="A4456">
        <v>0</v>
      </c>
      <c r="B4456">
        <v>0</v>
      </c>
    </row>
    <row r="4457" spans="1:2">
      <c r="A4457" t="s">
        <v>31</v>
      </c>
      <c r="B4457">
        <v>0</v>
      </c>
    </row>
    <row r="4458" spans="1:2">
      <c r="A4458">
        <v>0</v>
      </c>
      <c r="B4458">
        <v>0</v>
      </c>
    </row>
    <row r="4459" spans="1:2">
      <c r="A4459">
        <v>0</v>
      </c>
      <c r="B4459">
        <v>0</v>
      </c>
    </row>
    <row r="4460" spans="1:2">
      <c r="A4460">
        <v>0</v>
      </c>
      <c r="B4460">
        <v>0</v>
      </c>
    </row>
    <row r="4461" spans="1:2">
      <c r="A4461">
        <v>0</v>
      </c>
      <c r="B4461">
        <v>0</v>
      </c>
    </row>
    <row r="4462" spans="1:2">
      <c r="A4462">
        <v>0</v>
      </c>
      <c r="B4462">
        <v>324</v>
      </c>
    </row>
    <row r="4463" spans="1:2">
      <c r="A4463">
        <v>0</v>
      </c>
      <c r="B4463">
        <v>140.75</v>
      </c>
    </row>
    <row r="4464" spans="1:2">
      <c r="A4464">
        <v>0</v>
      </c>
      <c r="B4464">
        <v>125.86</v>
      </c>
    </row>
    <row r="4465" spans="1:2">
      <c r="A4465">
        <v>0</v>
      </c>
      <c r="B4465">
        <v>104.78</v>
      </c>
    </row>
    <row r="4466" spans="1:2">
      <c r="A4466">
        <v>0</v>
      </c>
      <c r="B4466">
        <v>95.65</v>
      </c>
    </row>
    <row r="4467" spans="1:2">
      <c r="A4467">
        <v>0</v>
      </c>
      <c r="B4467">
        <v>85.99</v>
      </c>
    </row>
    <row r="4468" spans="1:2">
      <c r="A4468">
        <v>0</v>
      </c>
      <c r="B4468">
        <v>60.74</v>
      </c>
    </row>
    <row r="4469" spans="1:2">
      <c r="A4469">
        <v>0</v>
      </c>
      <c r="B4469">
        <v>48.58</v>
      </c>
    </row>
    <row r="4470" spans="1:2">
      <c r="A4470">
        <v>0</v>
      </c>
      <c r="B4470">
        <v>45.73</v>
      </c>
    </row>
    <row r="4471" spans="1:2">
      <c r="A4471">
        <v>0</v>
      </c>
      <c r="B4471">
        <v>40.58</v>
      </c>
    </row>
    <row r="4472" spans="1:2">
      <c r="A4472" t="s">
        <v>30</v>
      </c>
      <c r="B4472">
        <v>35.29</v>
      </c>
    </row>
    <row r="4473" spans="1:2">
      <c r="A4473" t="s">
        <v>28</v>
      </c>
      <c r="B4473">
        <v>34.67</v>
      </c>
    </row>
    <row r="4474" spans="1:2">
      <c r="A4474">
        <v>0</v>
      </c>
      <c r="B4474">
        <v>18.149999999999999</v>
      </c>
    </row>
    <row r="4475" spans="1:2">
      <c r="A4475">
        <v>0</v>
      </c>
      <c r="B4475">
        <v>16.239999999999998</v>
      </c>
    </row>
    <row r="4476" spans="1:2">
      <c r="A4476" t="s">
        <v>26</v>
      </c>
      <c r="B4476">
        <v>0</v>
      </c>
    </row>
    <row r="4477" spans="1:2">
      <c r="A4477" t="s">
        <v>26</v>
      </c>
      <c r="B4477">
        <v>0</v>
      </c>
    </row>
    <row r="4478" spans="1:2">
      <c r="A4478">
        <v>0</v>
      </c>
      <c r="B4478">
        <v>0</v>
      </c>
    </row>
    <row r="4479" spans="1:2">
      <c r="A4479">
        <v>0</v>
      </c>
      <c r="B4479">
        <v>0</v>
      </c>
    </row>
    <row r="4480" spans="1:2">
      <c r="A4480">
        <v>0</v>
      </c>
      <c r="B4480">
        <v>0</v>
      </c>
    </row>
    <row r="4481" spans="1:2">
      <c r="A4481">
        <v>0</v>
      </c>
      <c r="B4481">
        <v>0</v>
      </c>
    </row>
    <row r="4482" spans="1:2">
      <c r="A4482" t="s">
        <v>28</v>
      </c>
      <c r="B4482">
        <v>0</v>
      </c>
    </row>
    <row r="4483" spans="1:2">
      <c r="A4483">
        <v>0</v>
      </c>
      <c r="B4483">
        <v>0</v>
      </c>
    </row>
    <row r="4484" spans="1:2">
      <c r="A4484">
        <v>0</v>
      </c>
      <c r="B4484">
        <v>0</v>
      </c>
    </row>
    <row r="4485" spans="1:2">
      <c r="A4485">
        <v>0</v>
      </c>
      <c r="B4485">
        <v>0</v>
      </c>
    </row>
    <row r="4486" spans="1:2">
      <c r="A4486">
        <v>0</v>
      </c>
      <c r="B4486">
        <v>0</v>
      </c>
    </row>
    <row r="4487" spans="1:2">
      <c r="A4487" t="s">
        <v>25</v>
      </c>
      <c r="B4487">
        <v>0</v>
      </c>
    </row>
    <row r="4488" spans="1:2">
      <c r="A4488" t="s">
        <v>26</v>
      </c>
      <c r="B4488">
        <v>0</v>
      </c>
    </row>
    <row r="4489" spans="1:2">
      <c r="A4489">
        <v>0</v>
      </c>
      <c r="B4489">
        <v>0</v>
      </c>
    </row>
    <row r="4490" spans="1:2">
      <c r="A4490">
        <v>0</v>
      </c>
      <c r="B4490">
        <v>0</v>
      </c>
    </row>
    <row r="4491" spans="1:2">
      <c r="A4491">
        <v>0</v>
      </c>
      <c r="B4491">
        <v>0</v>
      </c>
    </row>
    <row r="4492" spans="1:2">
      <c r="A4492">
        <v>0</v>
      </c>
      <c r="B4492">
        <v>214</v>
      </c>
    </row>
    <row r="4493" spans="1:2">
      <c r="A4493">
        <v>0</v>
      </c>
      <c r="B4493">
        <v>171.71</v>
      </c>
    </row>
    <row r="4494" spans="1:2">
      <c r="A4494">
        <v>0</v>
      </c>
      <c r="B4494">
        <v>144.57</v>
      </c>
    </row>
    <row r="4495" spans="1:2">
      <c r="A4495" t="s">
        <v>30</v>
      </c>
      <c r="B4495">
        <v>70.260000000000005</v>
      </c>
    </row>
    <row r="4496" spans="1:2">
      <c r="A4496">
        <v>0</v>
      </c>
      <c r="B4496">
        <v>65.89</v>
      </c>
    </row>
    <row r="4497" spans="1:2">
      <c r="A4497">
        <v>0</v>
      </c>
      <c r="B4497">
        <v>60.94</v>
      </c>
    </row>
    <row r="4498" spans="1:2">
      <c r="A4498">
        <v>0</v>
      </c>
      <c r="B4498">
        <v>43.8</v>
      </c>
    </row>
    <row r="4499" spans="1:2">
      <c r="A4499">
        <v>0</v>
      </c>
      <c r="B4499">
        <v>32.93</v>
      </c>
    </row>
    <row r="4500" spans="1:2">
      <c r="A4500" t="s">
        <v>25</v>
      </c>
      <c r="B4500">
        <v>21.25</v>
      </c>
    </row>
    <row r="4501" spans="1:2">
      <c r="A4501" t="s">
        <v>30</v>
      </c>
      <c r="B4501">
        <v>14.34</v>
      </c>
    </row>
    <row r="4502" spans="1:2">
      <c r="A4502">
        <v>0</v>
      </c>
      <c r="B4502">
        <v>0</v>
      </c>
    </row>
    <row r="4503" spans="1:2">
      <c r="A4503" t="s">
        <v>25</v>
      </c>
      <c r="B4503">
        <v>0</v>
      </c>
    </row>
    <row r="4504" spans="1:2">
      <c r="A4504">
        <v>0</v>
      </c>
      <c r="B4504">
        <v>0</v>
      </c>
    </row>
    <row r="4505" spans="1:2">
      <c r="A4505">
        <v>0</v>
      </c>
      <c r="B4505">
        <v>0</v>
      </c>
    </row>
    <row r="4506" spans="1:2">
      <c r="A4506">
        <v>0</v>
      </c>
      <c r="B4506">
        <v>0</v>
      </c>
    </row>
    <row r="4507" spans="1:2">
      <c r="A4507">
        <v>0</v>
      </c>
      <c r="B4507">
        <v>0</v>
      </c>
    </row>
    <row r="4508" spans="1:2">
      <c r="A4508">
        <v>0</v>
      </c>
      <c r="B4508">
        <v>0</v>
      </c>
    </row>
    <row r="4509" spans="1:2">
      <c r="A4509">
        <v>0</v>
      </c>
      <c r="B4509">
        <v>0</v>
      </c>
    </row>
    <row r="4510" spans="1:2">
      <c r="A4510" t="s">
        <v>29</v>
      </c>
      <c r="B4510">
        <v>0</v>
      </c>
    </row>
    <row r="4511" spans="1:2">
      <c r="A4511">
        <v>0</v>
      </c>
      <c r="B4511">
        <v>0</v>
      </c>
    </row>
    <row r="4512" spans="1:2">
      <c r="A4512">
        <v>0</v>
      </c>
      <c r="B4512">
        <v>0</v>
      </c>
    </row>
    <row r="4513" spans="1:2">
      <c r="A4513">
        <v>0</v>
      </c>
      <c r="B4513">
        <v>0</v>
      </c>
    </row>
    <row r="4514" spans="1:2">
      <c r="A4514">
        <v>0</v>
      </c>
      <c r="B4514">
        <v>0</v>
      </c>
    </row>
    <row r="4515" spans="1:2">
      <c r="A4515">
        <v>0</v>
      </c>
      <c r="B4515">
        <v>0</v>
      </c>
    </row>
    <row r="4516" spans="1:2">
      <c r="A4516">
        <v>0</v>
      </c>
      <c r="B4516">
        <v>0</v>
      </c>
    </row>
    <row r="4517" spans="1:2">
      <c r="A4517" t="s">
        <v>28</v>
      </c>
      <c r="B4517">
        <v>0</v>
      </c>
    </row>
    <row r="4518" spans="1:2">
      <c r="A4518" t="s">
        <v>26</v>
      </c>
      <c r="B4518">
        <v>0</v>
      </c>
    </row>
    <row r="4519" spans="1:2">
      <c r="A4519">
        <v>0</v>
      </c>
      <c r="B4519">
        <v>0</v>
      </c>
    </row>
    <row r="4520" spans="1:2">
      <c r="A4520" t="s">
        <v>28</v>
      </c>
      <c r="B4520">
        <v>0</v>
      </c>
    </row>
    <row r="4521" spans="1:2">
      <c r="A4521">
        <v>0</v>
      </c>
      <c r="B4521">
        <v>0</v>
      </c>
    </row>
    <row r="4522" spans="1:2">
      <c r="A4522" t="s">
        <v>30</v>
      </c>
      <c r="B4522">
        <v>141</v>
      </c>
    </row>
    <row r="4523" spans="1:2">
      <c r="A4523">
        <v>0</v>
      </c>
      <c r="B4523">
        <v>104</v>
      </c>
    </row>
    <row r="4524" spans="1:2">
      <c r="A4524" t="s">
        <v>26</v>
      </c>
      <c r="B4524">
        <v>73.3</v>
      </c>
    </row>
    <row r="4525" spans="1:2">
      <c r="A4525">
        <v>0</v>
      </c>
      <c r="B4525">
        <v>64.680000000000007</v>
      </c>
    </row>
    <row r="4526" spans="1:2">
      <c r="A4526" t="s">
        <v>29</v>
      </c>
      <c r="B4526">
        <v>64.12</v>
      </c>
    </row>
    <row r="4527" spans="1:2">
      <c r="A4527" t="s">
        <v>25</v>
      </c>
      <c r="B4527">
        <v>59.73</v>
      </c>
    </row>
    <row r="4528" spans="1:2">
      <c r="A4528">
        <v>0</v>
      </c>
      <c r="B4528">
        <v>50.13</v>
      </c>
    </row>
    <row r="4529" spans="1:2">
      <c r="A4529">
        <v>0</v>
      </c>
      <c r="B4529">
        <v>39.76</v>
      </c>
    </row>
    <row r="4530" spans="1:2">
      <c r="A4530">
        <v>0</v>
      </c>
      <c r="B4530">
        <v>32.89</v>
      </c>
    </row>
    <row r="4531" spans="1:2">
      <c r="A4531">
        <v>0</v>
      </c>
      <c r="B4531">
        <v>28.18</v>
      </c>
    </row>
    <row r="4532" spans="1:2">
      <c r="A4532">
        <v>0</v>
      </c>
      <c r="B4532">
        <v>15.18</v>
      </c>
    </row>
    <row r="4533" spans="1:2">
      <c r="A4533">
        <v>0</v>
      </c>
      <c r="B4533">
        <v>0</v>
      </c>
    </row>
    <row r="4534" spans="1:2">
      <c r="A4534">
        <v>0</v>
      </c>
      <c r="B4534">
        <v>0</v>
      </c>
    </row>
    <row r="4535" spans="1:2">
      <c r="A4535">
        <v>0</v>
      </c>
      <c r="B4535">
        <v>0</v>
      </c>
    </row>
    <row r="4536" spans="1:2">
      <c r="A4536">
        <v>0</v>
      </c>
      <c r="B4536">
        <v>0</v>
      </c>
    </row>
    <row r="4537" spans="1:2">
      <c r="A4537">
        <v>0</v>
      </c>
      <c r="B4537">
        <v>0</v>
      </c>
    </row>
    <row r="4538" spans="1:2">
      <c r="A4538">
        <v>0</v>
      </c>
      <c r="B4538">
        <v>0</v>
      </c>
    </row>
    <row r="4539" spans="1:2">
      <c r="A4539" t="s">
        <v>19</v>
      </c>
      <c r="B4539">
        <v>0</v>
      </c>
    </row>
    <row r="4540" spans="1:2">
      <c r="A4540">
        <v>0</v>
      </c>
      <c r="B4540">
        <v>0</v>
      </c>
    </row>
    <row r="4541" spans="1:2">
      <c r="A4541" t="s">
        <v>19</v>
      </c>
      <c r="B4541">
        <v>0</v>
      </c>
    </row>
    <row r="4542" spans="1:2">
      <c r="A4542">
        <v>0</v>
      </c>
      <c r="B4542">
        <v>0</v>
      </c>
    </row>
    <row r="4543" spans="1:2">
      <c r="A4543" t="s">
        <v>30</v>
      </c>
      <c r="B4543">
        <v>0</v>
      </c>
    </row>
    <row r="4544" spans="1:2">
      <c r="A4544">
        <v>0</v>
      </c>
      <c r="B4544">
        <v>0</v>
      </c>
    </row>
    <row r="4545" spans="1:2">
      <c r="A4545">
        <v>0</v>
      </c>
      <c r="B4545">
        <v>0</v>
      </c>
    </row>
    <row r="4546" spans="1:2">
      <c r="A4546">
        <v>0</v>
      </c>
      <c r="B4546">
        <v>0</v>
      </c>
    </row>
    <row r="4547" spans="1:2">
      <c r="A4547" t="s">
        <v>30</v>
      </c>
      <c r="B4547">
        <v>0</v>
      </c>
    </row>
    <row r="4548" spans="1:2">
      <c r="A4548" t="s">
        <v>26</v>
      </c>
      <c r="B4548">
        <v>0</v>
      </c>
    </row>
    <row r="4549" spans="1:2">
      <c r="A4549">
        <v>0</v>
      </c>
      <c r="B4549">
        <v>0</v>
      </c>
    </row>
    <row r="4550" spans="1:2">
      <c r="A4550">
        <v>0</v>
      </c>
      <c r="B4550">
        <v>0</v>
      </c>
    </row>
    <row r="4551" spans="1:2">
      <c r="A4551">
        <v>0</v>
      </c>
      <c r="B4551">
        <v>0</v>
      </c>
    </row>
    <row r="4552" spans="1:2">
      <c r="A4552">
        <v>0</v>
      </c>
      <c r="B4552">
        <v>318</v>
      </c>
    </row>
    <row r="4553" spans="1:2">
      <c r="A4553">
        <v>0</v>
      </c>
      <c r="B4553">
        <v>486</v>
      </c>
    </row>
    <row r="4554" spans="1:2">
      <c r="A4554" t="s">
        <v>29</v>
      </c>
      <c r="B4554">
        <v>246</v>
      </c>
    </row>
    <row r="4555" spans="1:2">
      <c r="A4555">
        <v>0</v>
      </c>
      <c r="B4555">
        <v>328</v>
      </c>
    </row>
    <row r="4556" spans="1:2">
      <c r="A4556">
        <v>0</v>
      </c>
      <c r="B4556">
        <v>140.69999999999999</v>
      </c>
    </row>
    <row r="4557" spans="1:2">
      <c r="A4557">
        <v>0</v>
      </c>
      <c r="B4557">
        <v>64.13</v>
      </c>
    </row>
    <row r="4558" spans="1:2">
      <c r="A4558">
        <v>0</v>
      </c>
      <c r="B4558">
        <v>40.86</v>
      </c>
    </row>
    <row r="4559" spans="1:2">
      <c r="A4559">
        <v>0</v>
      </c>
      <c r="B4559">
        <v>38.700000000000003</v>
      </c>
    </row>
    <row r="4560" spans="1:2">
      <c r="A4560" t="s">
        <v>26</v>
      </c>
      <c r="B4560">
        <v>18.649999999999999</v>
      </c>
    </row>
    <row r="4561" spans="1:2">
      <c r="A4561">
        <v>0</v>
      </c>
      <c r="B4561">
        <v>1.07</v>
      </c>
    </row>
    <row r="4562" spans="1:2">
      <c r="A4562">
        <v>0</v>
      </c>
      <c r="B4562">
        <v>0</v>
      </c>
    </row>
    <row r="4563" spans="1:2">
      <c r="A4563" t="s">
        <v>31</v>
      </c>
      <c r="B4563">
        <v>0</v>
      </c>
    </row>
    <row r="4564" spans="1:2">
      <c r="A4564">
        <v>0</v>
      </c>
      <c r="B4564">
        <v>0</v>
      </c>
    </row>
    <row r="4565" spans="1:2">
      <c r="A4565">
        <v>0</v>
      </c>
      <c r="B4565">
        <v>0</v>
      </c>
    </row>
    <row r="4566" spans="1:2">
      <c r="A4566" t="s">
        <v>25</v>
      </c>
      <c r="B4566">
        <v>0</v>
      </c>
    </row>
    <row r="4567" spans="1:2">
      <c r="A4567" t="s">
        <v>31</v>
      </c>
      <c r="B4567">
        <v>0</v>
      </c>
    </row>
    <row r="4568" spans="1:2">
      <c r="A4568">
        <v>0</v>
      </c>
      <c r="B4568">
        <v>0</v>
      </c>
    </row>
    <row r="4569" spans="1:2">
      <c r="A4569" t="s">
        <v>26</v>
      </c>
      <c r="B4569">
        <v>0</v>
      </c>
    </row>
    <row r="4570" spans="1:2">
      <c r="A4570" t="s">
        <v>26</v>
      </c>
      <c r="B4570">
        <v>0</v>
      </c>
    </row>
    <row r="4571" spans="1:2">
      <c r="A4571">
        <v>0</v>
      </c>
      <c r="B4571">
        <v>0</v>
      </c>
    </row>
    <row r="4572" spans="1:2">
      <c r="A4572">
        <v>0</v>
      </c>
      <c r="B4572">
        <v>0</v>
      </c>
    </row>
    <row r="4573" spans="1:2">
      <c r="A4573">
        <v>0</v>
      </c>
      <c r="B4573">
        <v>121</v>
      </c>
    </row>
    <row r="4574" spans="1:2">
      <c r="A4574">
        <v>0</v>
      </c>
      <c r="B4574">
        <v>523</v>
      </c>
    </row>
    <row r="4575" spans="1:2">
      <c r="A4575" t="s">
        <v>29</v>
      </c>
      <c r="B4575">
        <v>310</v>
      </c>
    </row>
    <row r="4576" spans="1:2">
      <c r="A4576">
        <v>0</v>
      </c>
      <c r="B4576">
        <v>192.4</v>
      </c>
    </row>
    <row r="4577" spans="1:2">
      <c r="A4577">
        <v>0</v>
      </c>
      <c r="B4577">
        <v>170.32</v>
      </c>
    </row>
    <row r="4578" spans="1:2">
      <c r="A4578" t="s">
        <v>28</v>
      </c>
      <c r="B4578">
        <v>119.76</v>
      </c>
    </row>
    <row r="4579" spans="1:2">
      <c r="A4579">
        <v>0</v>
      </c>
      <c r="B4579">
        <v>51.8</v>
      </c>
    </row>
    <row r="4580" spans="1:2">
      <c r="A4580">
        <v>0</v>
      </c>
      <c r="B4580">
        <v>45.37</v>
      </c>
    </row>
    <row r="4581" spans="1:2">
      <c r="A4581">
        <v>0</v>
      </c>
      <c r="B4581">
        <v>39.26</v>
      </c>
    </row>
    <row r="4582" spans="1:2">
      <c r="A4582" t="s">
        <v>30</v>
      </c>
      <c r="B4582">
        <v>31.44</v>
      </c>
    </row>
    <row r="4583" spans="1:2">
      <c r="A4583">
        <v>0</v>
      </c>
      <c r="B4583">
        <v>19.93</v>
      </c>
    </row>
    <row r="4584" spans="1:2">
      <c r="A4584" t="s">
        <v>31</v>
      </c>
      <c r="B4584">
        <v>0</v>
      </c>
    </row>
    <row r="4585" spans="1:2">
      <c r="A4585">
        <v>0</v>
      </c>
      <c r="B4585">
        <v>0</v>
      </c>
    </row>
    <row r="4586" spans="1:2">
      <c r="A4586" t="s">
        <v>31</v>
      </c>
      <c r="B4586">
        <v>0</v>
      </c>
    </row>
    <row r="4587" spans="1:2">
      <c r="A4587">
        <v>0</v>
      </c>
      <c r="B4587">
        <v>0</v>
      </c>
    </row>
    <row r="4588" spans="1:2">
      <c r="A4588">
        <v>0</v>
      </c>
      <c r="B4588">
        <v>0</v>
      </c>
    </row>
    <row r="4589" spans="1:2">
      <c r="A4589" t="s">
        <v>30</v>
      </c>
      <c r="B4589">
        <v>0</v>
      </c>
    </row>
    <row r="4590" spans="1:2">
      <c r="A4590" t="s">
        <v>28</v>
      </c>
      <c r="B4590">
        <v>0</v>
      </c>
    </row>
    <row r="4591" spans="1:2">
      <c r="A4591" t="s">
        <v>31</v>
      </c>
      <c r="B4591">
        <v>0</v>
      </c>
    </row>
    <row r="4592" spans="1:2">
      <c r="A4592">
        <v>0</v>
      </c>
      <c r="B4592">
        <v>0</v>
      </c>
    </row>
    <row r="4593" spans="1:2">
      <c r="A4593">
        <v>0</v>
      </c>
      <c r="B4593">
        <v>0</v>
      </c>
    </row>
    <row r="4594" spans="1:2">
      <c r="A4594">
        <v>0</v>
      </c>
      <c r="B4594">
        <v>0</v>
      </c>
    </row>
    <row r="4595" spans="1:2">
      <c r="A4595" t="s">
        <v>30</v>
      </c>
      <c r="B4595">
        <v>459</v>
      </c>
    </row>
    <row r="4596" spans="1:2">
      <c r="A4596" t="s">
        <v>29</v>
      </c>
      <c r="B4596">
        <v>585.57000000000005</v>
      </c>
    </row>
    <row r="4597" spans="1:2">
      <c r="A4597">
        <v>0</v>
      </c>
      <c r="B4597">
        <v>281</v>
      </c>
    </row>
    <row r="4598" spans="1:2">
      <c r="A4598" t="s">
        <v>31</v>
      </c>
      <c r="B4598">
        <v>156.52000000000001</v>
      </c>
    </row>
    <row r="4599" spans="1:2">
      <c r="A4599" t="s">
        <v>30</v>
      </c>
      <c r="B4599">
        <v>98.36</v>
      </c>
    </row>
    <row r="4600" spans="1:2">
      <c r="A4600">
        <v>0</v>
      </c>
      <c r="B4600">
        <v>96.64</v>
      </c>
    </row>
    <row r="4601" spans="1:2">
      <c r="A4601">
        <v>0</v>
      </c>
      <c r="B4601">
        <v>66.13</v>
      </c>
    </row>
    <row r="4602" spans="1:2">
      <c r="A4602">
        <v>0</v>
      </c>
      <c r="B4602">
        <v>63.79</v>
      </c>
    </row>
    <row r="4603" spans="1:2">
      <c r="A4603">
        <v>0</v>
      </c>
      <c r="B4603">
        <v>59.29</v>
      </c>
    </row>
    <row r="4604" spans="1:2">
      <c r="A4604" t="s">
        <v>30</v>
      </c>
      <c r="B4604">
        <v>33.130000000000003</v>
      </c>
    </row>
    <row r="4605" spans="1:2">
      <c r="A4605" t="s">
        <v>30</v>
      </c>
      <c r="B4605">
        <v>33.07</v>
      </c>
    </row>
    <row r="4606" spans="1:2">
      <c r="A4606">
        <v>0</v>
      </c>
      <c r="B4606">
        <v>32.630000000000003</v>
      </c>
    </row>
    <row r="4607" spans="1:2">
      <c r="A4607" t="s">
        <v>26</v>
      </c>
      <c r="B4607">
        <v>16.21</v>
      </c>
    </row>
    <row r="4608" spans="1:2">
      <c r="A4608">
        <v>0</v>
      </c>
      <c r="B4608">
        <v>14.38</v>
      </c>
    </row>
    <row r="4609" spans="1:2">
      <c r="A4609" t="s">
        <v>28</v>
      </c>
      <c r="B4609">
        <v>0</v>
      </c>
    </row>
    <row r="4610" spans="1:2">
      <c r="A4610">
        <v>0</v>
      </c>
      <c r="B4610">
        <v>0</v>
      </c>
    </row>
    <row r="4611" spans="1:2">
      <c r="A4611" t="s">
        <v>25</v>
      </c>
      <c r="B4611">
        <v>0</v>
      </c>
    </row>
    <row r="4612" spans="1:2">
      <c r="A4612" t="s">
        <v>26</v>
      </c>
      <c r="B4612">
        <v>0</v>
      </c>
    </row>
    <row r="4613" spans="1:2">
      <c r="A4613">
        <v>0</v>
      </c>
      <c r="B4613">
        <v>0</v>
      </c>
    </row>
    <row r="4614" spans="1:2">
      <c r="A4614">
        <v>0</v>
      </c>
      <c r="B4614">
        <v>0</v>
      </c>
    </row>
    <row r="4615" spans="1:2">
      <c r="A4615" t="s">
        <v>26</v>
      </c>
      <c r="B4615">
        <v>0</v>
      </c>
    </row>
    <row r="4616" spans="1:2">
      <c r="A4616" t="s">
        <v>25</v>
      </c>
      <c r="B4616">
        <v>0</v>
      </c>
    </row>
    <row r="4617" spans="1:2">
      <c r="A4617" t="s">
        <v>26</v>
      </c>
      <c r="B4617">
        <v>0</v>
      </c>
    </row>
    <row r="4618" spans="1:2">
      <c r="A4618">
        <v>0</v>
      </c>
      <c r="B4618">
        <v>0</v>
      </c>
    </row>
    <row r="4619" spans="1:2">
      <c r="A4619" t="s">
        <v>28</v>
      </c>
      <c r="B4619">
        <v>0</v>
      </c>
    </row>
    <row r="4620" spans="1:2">
      <c r="A4620" t="s">
        <v>29</v>
      </c>
      <c r="B4620">
        <v>0</v>
      </c>
    </row>
    <row r="4621" spans="1:2">
      <c r="A4621">
        <v>0</v>
      </c>
      <c r="B4621">
        <v>0</v>
      </c>
    </row>
    <row r="4622" spans="1:2">
      <c r="A4622" t="s">
        <v>26</v>
      </c>
      <c r="B4622">
        <v>0</v>
      </c>
    </row>
    <row r="4623" spans="1:2">
      <c r="A4623">
        <v>0</v>
      </c>
      <c r="B4623">
        <v>0</v>
      </c>
    </row>
    <row r="4624" spans="1:2">
      <c r="A4624">
        <v>0</v>
      </c>
      <c r="B4624">
        <v>0</v>
      </c>
    </row>
    <row r="4625" spans="1:2">
      <c r="A4625">
        <v>0</v>
      </c>
      <c r="B4625">
        <v>0</v>
      </c>
    </row>
    <row r="4626" spans="1:2">
      <c r="A4626" t="s">
        <v>31</v>
      </c>
      <c r="B4626">
        <v>0</v>
      </c>
    </row>
    <row r="4627" spans="1:2">
      <c r="A4627">
        <v>0</v>
      </c>
      <c r="B4627">
        <v>0</v>
      </c>
    </row>
    <row r="4628" spans="1:2">
      <c r="A4628" t="s">
        <v>19</v>
      </c>
      <c r="B4628">
        <v>0</v>
      </c>
    </row>
    <row r="4629" spans="1:2">
      <c r="A4629">
        <v>0</v>
      </c>
      <c r="B4629">
        <v>0</v>
      </c>
    </row>
    <row r="4630" spans="1:2">
      <c r="A4630">
        <v>0</v>
      </c>
      <c r="B4630">
        <v>309</v>
      </c>
    </row>
    <row r="4631" spans="1:2">
      <c r="A4631" t="s">
        <v>19</v>
      </c>
      <c r="B4631">
        <v>144.66999999999999</v>
      </c>
    </row>
    <row r="4632" spans="1:2">
      <c r="A4632" t="s">
        <v>29</v>
      </c>
      <c r="B4632">
        <v>118.84</v>
      </c>
    </row>
    <row r="4633" spans="1:2">
      <c r="A4633">
        <v>0</v>
      </c>
      <c r="B4633">
        <v>91.69</v>
      </c>
    </row>
    <row r="4634" spans="1:2">
      <c r="A4634">
        <v>0</v>
      </c>
      <c r="B4634">
        <v>82.72</v>
      </c>
    </row>
    <row r="4635" spans="1:2">
      <c r="A4635">
        <v>0</v>
      </c>
      <c r="B4635">
        <v>55.13</v>
      </c>
    </row>
    <row r="4636" spans="1:2">
      <c r="A4636">
        <v>0</v>
      </c>
      <c r="B4636">
        <v>47.25</v>
      </c>
    </row>
    <row r="4637" spans="1:2">
      <c r="A4637" t="s">
        <v>28</v>
      </c>
      <c r="B4637">
        <v>30.71</v>
      </c>
    </row>
    <row r="4638" spans="1:2">
      <c r="A4638">
        <v>0</v>
      </c>
      <c r="B4638">
        <v>20.68</v>
      </c>
    </row>
    <row r="4639" spans="1:2">
      <c r="A4639">
        <v>0</v>
      </c>
      <c r="B4639">
        <v>0</v>
      </c>
    </row>
    <row r="4640" spans="1:2">
      <c r="A4640">
        <v>0</v>
      </c>
      <c r="B4640">
        <v>0</v>
      </c>
    </row>
    <row r="4641" spans="1:2">
      <c r="A4641">
        <v>0</v>
      </c>
      <c r="B4641">
        <v>0</v>
      </c>
    </row>
    <row r="4642" spans="1:2">
      <c r="A4642">
        <v>0</v>
      </c>
      <c r="B4642">
        <v>0</v>
      </c>
    </row>
    <row r="4643" spans="1:2">
      <c r="A4643">
        <v>0</v>
      </c>
      <c r="B4643">
        <v>0</v>
      </c>
    </row>
    <row r="4644" spans="1:2">
      <c r="A4644">
        <v>0</v>
      </c>
      <c r="B4644">
        <v>0</v>
      </c>
    </row>
    <row r="4645" spans="1:2">
      <c r="A4645">
        <v>0</v>
      </c>
      <c r="B4645">
        <v>0</v>
      </c>
    </row>
    <row r="4646" spans="1:2">
      <c r="A4646">
        <v>0</v>
      </c>
      <c r="B4646">
        <v>0</v>
      </c>
    </row>
    <row r="4647" spans="1:2">
      <c r="A4647">
        <v>0</v>
      </c>
      <c r="B4647">
        <v>0</v>
      </c>
    </row>
    <row r="4648" spans="1:2">
      <c r="A4648">
        <v>0</v>
      </c>
      <c r="B4648">
        <v>0</v>
      </c>
    </row>
    <row r="4649" spans="1:2">
      <c r="A4649">
        <v>0</v>
      </c>
      <c r="B4649">
        <v>0</v>
      </c>
    </row>
    <row r="4650" spans="1:2">
      <c r="A4650">
        <v>0</v>
      </c>
      <c r="B4650">
        <v>0</v>
      </c>
    </row>
    <row r="4651" spans="1:2">
      <c r="A4651" t="s">
        <v>19</v>
      </c>
      <c r="B4651">
        <v>0</v>
      </c>
    </row>
    <row r="4652" spans="1:2">
      <c r="A4652">
        <v>0</v>
      </c>
      <c r="B4652">
        <v>0</v>
      </c>
    </row>
    <row r="4653" spans="1:2">
      <c r="A4653">
        <v>0</v>
      </c>
      <c r="B4653">
        <v>0</v>
      </c>
    </row>
    <row r="4654" spans="1:2">
      <c r="A4654">
        <v>0</v>
      </c>
      <c r="B4654">
        <v>0</v>
      </c>
    </row>
    <row r="4655" spans="1:2">
      <c r="A4655">
        <v>0</v>
      </c>
      <c r="B4655">
        <v>167</v>
      </c>
    </row>
    <row r="4656" spans="1:2">
      <c r="A4656">
        <v>0</v>
      </c>
      <c r="B4656">
        <v>215</v>
      </c>
    </row>
    <row r="4657" spans="1:2">
      <c r="A4657" t="s">
        <v>30</v>
      </c>
      <c r="B4657">
        <v>501</v>
      </c>
    </row>
    <row r="4658" spans="1:2">
      <c r="A4658" t="s">
        <v>28</v>
      </c>
      <c r="B4658">
        <v>241.52</v>
      </c>
    </row>
    <row r="4659" spans="1:2">
      <c r="A4659">
        <v>0</v>
      </c>
      <c r="B4659">
        <v>111.48</v>
      </c>
    </row>
    <row r="4660" spans="1:2">
      <c r="A4660">
        <v>0</v>
      </c>
      <c r="B4660">
        <v>90.4</v>
      </c>
    </row>
    <row r="4661" spans="1:2">
      <c r="A4661">
        <v>0</v>
      </c>
      <c r="B4661">
        <v>72.930000000000007</v>
      </c>
    </row>
    <row r="4662" spans="1:2">
      <c r="A4662">
        <v>0</v>
      </c>
      <c r="B4662">
        <v>61.28</v>
      </c>
    </row>
    <row r="4663" spans="1:2">
      <c r="A4663">
        <v>0</v>
      </c>
      <c r="B4663">
        <v>24.17</v>
      </c>
    </row>
    <row r="4664" spans="1:2">
      <c r="A4664" t="s">
        <v>19</v>
      </c>
      <c r="B4664">
        <v>13.47</v>
      </c>
    </row>
    <row r="4665" spans="1:2">
      <c r="A4665">
        <v>0</v>
      </c>
      <c r="B4665">
        <v>0</v>
      </c>
    </row>
    <row r="4666" spans="1:2">
      <c r="A4666">
        <v>0</v>
      </c>
      <c r="B4666">
        <v>0</v>
      </c>
    </row>
    <row r="4667" spans="1:2">
      <c r="A4667">
        <v>0</v>
      </c>
      <c r="B4667">
        <v>0</v>
      </c>
    </row>
    <row r="4668" spans="1:2">
      <c r="A4668">
        <v>0</v>
      </c>
      <c r="B4668">
        <v>0</v>
      </c>
    </row>
    <row r="4669" spans="1:2">
      <c r="A4669" t="s">
        <v>28</v>
      </c>
      <c r="B4669">
        <v>0</v>
      </c>
    </row>
    <row r="4670" spans="1:2">
      <c r="A4670" t="s">
        <v>28</v>
      </c>
      <c r="B4670">
        <v>0</v>
      </c>
    </row>
    <row r="4671" spans="1:2">
      <c r="A4671">
        <v>0</v>
      </c>
      <c r="B4671">
        <v>0</v>
      </c>
    </row>
    <row r="4672" spans="1:2">
      <c r="A4672">
        <v>0</v>
      </c>
      <c r="B4672">
        <v>0</v>
      </c>
    </row>
    <row r="4673" spans="1:2">
      <c r="A4673">
        <v>0</v>
      </c>
      <c r="B4673">
        <v>0</v>
      </c>
    </row>
    <row r="4674" spans="1:2">
      <c r="A4674">
        <v>0</v>
      </c>
      <c r="B4674">
        <v>0</v>
      </c>
    </row>
    <row r="4675" spans="1:2">
      <c r="A4675">
        <v>0</v>
      </c>
      <c r="B4675">
        <v>0</v>
      </c>
    </row>
    <row r="4676" spans="1:2">
      <c r="A4676">
        <v>0</v>
      </c>
      <c r="B4676">
        <v>0</v>
      </c>
    </row>
    <row r="4677" spans="1:2">
      <c r="A4677">
        <v>0</v>
      </c>
      <c r="B4677">
        <v>0</v>
      </c>
    </row>
    <row r="4678" spans="1:2">
      <c r="A4678">
        <v>0</v>
      </c>
      <c r="B4678">
        <v>0</v>
      </c>
    </row>
    <row r="4679" spans="1:2">
      <c r="A4679">
        <v>0</v>
      </c>
      <c r="B4679">
        <v>0</v>
      </c>
    </row>
    <row r="4680" spans="1:2">
      <c r="A4680">
        <v>0</v>
      </c>
      <c r="B4680">
        <v>0</v>
      </c>
    </row>
    <row r="4681" spans="1:2">
      <c r="A4681">
        <v>0</v>
      </c>
      <c r="B4681">
        <v>0</v>
      </c>
    </row>
    <row r="4682" spans="1:2">
      <c r="A4682" t="s">
        <v>19</v>
      </c>
      <c r="B4682">
        <v>195.89</v>
      </c>
    </row>
    <row r="4683" spans="1:2">
      <c r="A4683">
        <v>0</v>
      </c>
      <c r="B4683">
        <v>150.05000000000001</v>
      </c>
    </row>
    <row r="4684" spans="1:2">
      <c r="A4684">
        <v>0</v>
      </c>
      <c r="B4684">
        <v>144.62</v>
      </c>
    </row>
    <row r="4685" spans="1:2">
      <c r="A4685">
        <v>0</v>
      </c>
      <c r="B4685">
        <v>74.44</v>
      </c>
    </row>
    <row r="4686" spans="1:2">
      <c r="A4686" t="s">
        <v>31</v>
      </c>
      <c r="B4686">
        <v>62.43</v>
      </c>
    </row>
    <row r="4687" spans="1:2">
      <c r="A4687">
        <v>0</v>
      </c>
      <c r="B4687">
        <v>38.9</v>
      </c>
    </row>
    <row r="4688" spans="1:2">
      <c r="A4688">
        <v>0</v>
      </c>
      <c r="B4688">
        <v>17.68</v>
      </c>
    </row>
    <row r="4689" spans="1:2">
      <c r="A4689">
        <v>0</v>
      </c>
      <c r="B4689">
        <v>16.920000000000002</v>
      </c>
    </row>
    <row r="4690" spans="1:2">
      <c r="A4690" t="s">
        <v>25</v>
      </c>
      <c r="B4690">
        <v>16.13</v>
      </c>
    </row>
    <row r="4691" spans="1:2">
      <c r="A4691">
        <v>0</v>
      </c>
      <c r="B4691">
        <v>15.24</v>
      </c>
    </row>
    <row r="4692" spans="1:2">
      <c r="A4692">
        <v>0</v>
      </c>
      <c r="B4692">
        <v>0</v>
      </c>
    </row>
    <row r="4693" spans="1:2">
      <c r="A4693" t="s">
        <v>26</v>
      </c>
      <c r="B4693">
        <v>0</v>
      </c>
    </row>
    <row r="4694" spans="1:2">
      <c r="A4694" t="s">
        <v>31</v>
      </c>
      <c r="B4694">
        <v>0</v>
      </c>
    </row>
    <row r="4695" spans="1:2">
      <c r="A4695" t="s">
        <v>30</v>
      </c>
      <c r="B4695">
        <v>0</v>
      </c>
    </row>
    <row r="4696" spans="1:2">
      <c r="A4696">
        <v>0</v>
      </c>
      <c r="B4696">
        <v>0</v>
      </c>
    </row>
    <row r="4697" spans="1:2">
      <c r="A4697">
        <v>0</v>
      </c>
      <c r="B4697">
        <v>0</v>
      </c>
    </row>
    <row r="4698" spans="1:2">
      <c r="A4698">
        <v>0</v>
      </c>
      <c r="B4698">
        <v>0</v>
      </c>
    </row>
    <row r="4699" spans="1:2">
      <c r="A4699">
        <v>0</v>
      </c>
      <c r="B4699">
        <v>0</v>
      </c>
    </row>
    <row r="4700" spans="1:2">
      <c r="A4700">
        <v>0</v>
      </c>
      <c r="B4700">
        <v>0</v>
      </c>
    </row>
    <row r="4701" spans="1:2">
      <c r="A4701">
        <v>0</v>
      </c>
      <c r="B4701">
        <v>0</v>
      </c>
    </row>
    <row r="4702" spans="1:2">
      <c r="A4702">
        <v>0</v>
      </c>
      <c r="B4702">
        <v>0</v>
      </c>
    </row>
    <row r="4703" spans="1:2">
      <c r="A4703">
        <v>0</v>
      </c>
      <c r="B4703">
        <v>0</v>
      </c>
    </row>
    <row r="4704" spans="1:2">
      <c r="A4704" t="s">
        <v>29</v>
      </c>
      <c r="B4704">
        <v>0</v>
      </c>
    </row>
    <row r="4705" spans="1:2">
      <c r="A4705">
        <v>0</v>
      </c>
      <c r="B4705">
        <v>0</v>
      </c>
    </row>
    <row r="4706" spans="1:2">
      <c r="A4706" t="s">
        <v>29</v>
      </c>
      <c r="B4706">
        <v>0</v>
      </c>
    </row>
    <row r="4707" spans="1:2">
      <c r="A4707">
        <v>0</v>
      </c>
      <c r="B4707">
        <v>0</v>
      </c>
    </row>
    <row r="4708" spans="1:2">
      <c r="A4708">
        <v>0</v>
      </c>
      <c r="B4708">
        <v>0</v>
      </c>
    </row>
    <row r="4709" spans="1:2">
      <c r="A4709">
        <v>0</v>
      </c>
      <c r="B4709">
        <v>0</v>
      </c>
    </row>
    <row r="4710" spans="1:2">
      <c r="A4710" t="s">
        <v>30</v>
      </c>
      <c r="B4710">
        <v>0</v>
      </c>
    </row>
    <row r="4711" spans="1:2">
      <c r="A4711" t="s">
        <v>31</v>
      </c>
      <c r="B4711">
        <v>0</v>
      </c>
    </row>
    <row r="4712" spans="1:2">
      <c r="A4712" t="s">
        <v>25</v>
      </c>
      <c r="B4712">
        <v>177.73</v>
      </c>
    </row>
    <row r="4713" spans="1:2">
      <c r="A4713">
        <v>0</v>
      </c>
      <c r="B4713">
        <v>112.5</v>
      </c>
    </row>
    <row r="4714" spans="1:2">
      <c r="A4714">
        <v>0</v>
      </c>
      <c r="B4714">
        <v>89.48</v>
      </c>
    </row>
    <row r="4715" spans="1:2">
      <c r="A4715" t="s">
        <v>25</v>
      </c>
      <c r="B4715">
        <v>53.42</v>
      </c>
    </row>
    <row r="4716" spans="1:2">
      <c r="A4716" t="s">
        <v>19</v>
      </c>
      <c r="B4716">
        <v>53.37</v>
      </c>
    </row>
    <row r="4717" spans="1:2">
      <c r="A4717" t="s">
        <v>26</v>
      </c>
      <c r="B4717">
        <v>51.11</v>
      </c>
    </row>
    <row r="4718" spans="1:2">
      <c r="A4718">
        <v>0</v>
      </c>
      <c r="B4718">
        <v>48.26</v>
      </c>
    </row>
    <row r="4719" spans="1:2">
      <c r="A4719">
        <v>0</v>
      </c>
      <c r="B4719">
        <v>48.11</v>
      </c>
    </row>
    <row r="4720" spans="1:2">
      <c r="A4720" t="s">
        <v>19</v>
      </c>
      <c r="B4720">
        <v>47.99</v>
      </c>
    </row>
    <row r="4721" spans="1:2">
      <c r="A4721" t="s">
        <v>29</v>
      </c>
      <c r="B4721">
        <v>42.03</v>
      </c>
    </row>
    <row r="4722" spans="1:2">
      <c r="A4722" t="s">
        <v>19</v>
      </c>
      <c r="B4722">
        <v>41.13</v>
      </c>
    </row>
    <row r="4723" spans="1:2">
      <c r="A4723">
        <v>0</v>
      </c>
      <c r="B4723">
        <v>39.270000000000003</v>
      </c>
    </row>
    <row r="4724" spans="1:2">
      <c r="A4724">
        <v>0</v>
      </c>
      <c r="B4724">
        <v>35.090000000000003</v>
      </c>
    </row>
    <row r="4725" spans="1:2">
      <c r="A4725">
        <v>0</v>
      </c>
      <c r="B4725">
        <v>33.68</v>
      </c>
    </row>
    <row r="4726" spans="1:2">
      <c r="A4726" t="s">
        <v>26</v>
      </c>
      <c r="B4726">
        <v>19.440000000000001</v>
      </c>
    </row>
    <row r="4727" spans="1:2">
      <c r="A4727" t="s">
        <v>19</v>
      </c>
      <c r="B4727">
        <v>15.43</v>
      </c>
    </row>
    <row r="4728" spans="1:2">
      <c r="A4728">
        <v>0</v>
      </c>
      <c r="B4728">
        <v>0</v>
      </c>
    </row>
    <row r="4729" spans="1:2">
      <c r="A4729">
        <v>0</v>
      </c>
      <c r="B4729">
        <v>0</v>
      </c>
    </row>
    <row r="4730" spans="1:2">
      <c r="A4730" t="s">
        <v>19</v>
      </c>
      <c r="B4730">
        <v>0</v>
      </c>
    </row>
    <row r="4731" spans="1:2">
      <c r="A4731">
        <v>0</v>
      </c>
      <c r="B4731">
        <v>0</v>
      </c>
    </row>
    <row r="4732" spans="1:2">
      <c r="A4732" t="s">
        <v>19</v>
      </c>
      <c r="B4732">
        <v>0</v>
      </c>
    </row>
    <row r="4733" spans="1:2">
      <c r="A4733">
        <v>0</v>
      </c>
      <c r="B4733">
        <v>0</v>
      </c>
    </row>
    <row r="4734" spans="1:2">
      <c r="A4734">
        <v>0</v>
      </c>
      <c r="B4734">
        <v>0</v>
      </c>
    </row>
    <row r="4735" spans="1:2">
      <c r="A4735">
        <v>0</v>
      </c>
      <c r="B4735">
        <v>0</v>
      </c>
    </row>
    <row r="4736" spans="1:2">
      <c r="A4736">
        <v>0</v>
      </c>
      <c r="B4736">
        <v>0</v>
      </c>
    </row>
    <row r="4737" spans="1:2">
      <c r="A4737">
        <v>0</v>
      </c>
      <c r="B4737">
        <v>0</v>
      </c>
    </row>
    <row r="4738" spans="1:2">
      <c r="A4738">
        <v>0</v>
      </c>
      <c r="B4738">
        <v>0</v>
      </c>
    </row>
    <row r="4739" spans="1:2">
      <c r="A4739">
        <v>0</v>
      </c>
      <c r="B4739">
        <v>0</v>
      </c>
    </row>
    <row r="4740" spans="1:2">
      <c r="A4740">
        <v>0</v>
      </c>
      <c r="B4740">
        <v>0</v>
      </c>
    </row>
    <row r="4741" spans="1:2">
      <c r="A4741">
        <v>0</v>
      </c>
      <c r="B4741">
        <v>0</v>
      </c>
    </row>
    <row r="4742" spans="1:2">
      <c r="A4742">
        <v>0</v>
      </c>
      <c r="B4742">
        <v>0</v>
      </c>
    </row>
    <row r="4743" spans="1:2">
      <c r="A4743" t="s">
        <v>30</v>
      </c>
      <c r="B4743">
        <v>0</v>
      </c>
    </row>
    <row r="4744" spans="1:2">
      <c r="A4744">
        <v>0</v>
      </c>
      <c r="B4744">
        <v>0</v>
      </c>
    </row>
    <row r="4745" spans="1:2">
      <c r="A4745">
        <v>0</v>
      </c>
      <c r="B4745">
        <v>0</v>
      </c>
    </row>
    <row r="4746" spans="1:2">
      <c r="A4746">
        <v>0</v>
      </c>
      <c r="B4746">
        <v>221</v>
      </c>
    </row>
    <row r="4747" spans="1:2">
      <c r="A4747">
        <v>0</v>
      </c>
      <c r="B4747">
        <v>129</v>
      </c>
    </row>
    <row r="4748" spans="1:2">
      <c r="A4748">
        <v>0</v>
      </c>
      <c r="B4748">
        <v>94.45</v>
      </c>
    </row>
    <row r="4749" spans="1:2">
      <c r="A4749">
        <v>0</v>
      </c>
      <c r="B4749">
        <v>74.22</v>
      </c>
    </row>
    <row r="4750" spans="1:2">
      <c r="A4750">
        <v>0</v>
      </c>
      <c r="B4750">
        <v>70.510000000000005</v>
      </c>
    </row>
    <row r="4751" spans="1:2">
      <c r="A4751">
        <v>0</v>
      </c>
      <c r="B4751">
        <v>56.8</v>
      </c>
    </row>
    <row r="4752" spans="1:2">
      <c r="A4752">
        <v>0</v>
      </c>
      <c r="B4752">
        <v>43.01</v>
      </c>
    </row>
    <row r="4753" spans="1:2">
      <c r="A4753" t="s">
        <v>19</v>
      </c>
      <c r="B4753">
        <v>42.29</v>
      </c>
    </row>
    <row r="4754" spans="1:2">
      <c r="A4754" t="s">
        <v>26</v>
      </c>
      <c r="B4754">
        <v>27.38</v>
      </c>
    </row>
    <row r="4755" spans="1:2">
      <c r="A4755">
        <v>0</v>
      </c>
      <c r="B4755">
        <v>24.43</v>
      </c>
    </row>
    <row r="4756" spans="1:2">
      <c r="A4756">
        <v>0</v>
      </c>
      <c r="B4756">
        <v>23.65</v>
      </c>
    </row>
    <row r="4757" spans="1:2">
      <c r="A4757" t="s">
        <v>25</v>
      </c>
      <c r="B4757">
        <v>22.49</v>
      </c>
    </row>
    <row r="4758" spans="1:2">
      <c r="A4758" t="s">
        <v>31</v>
      </c>
      <c r="B4758">
        <v>15.55</v>
      </c>
    </row>
    <row r="4759" spans="1:2">
      <c r="A4759">
        <v>0</v>
      </c>
      <c r="B4759">
        <v>14.38</v>
      </c>
    </row>
    <row r="4760" spans="1:2">
      <c r="A4760">
        <v>0</v>
      </c>
      <c r="B4760">
        <v>0</v>
      </c>
    </row>
    <row r="4761" spans="1:2">
      <c r="A4761" t="s">
        <v>19</v>
      </c>
      <c r="B4761">
        <v>0</v>
      </c>
    </row>
    <row r="4762" spans="1:2">
      <c r="A4762">
        <v>0</v>
      </c>
      <c r="B4762">
        <v>0</v>
      </c>
    </row>
    <row r="4763" spans="1:2">
      <c r="A4763" t="s">
        <v>29</v>
      </c>
      <c r="B4763">
        <v>0</v>
      </c>
    </row>
    <row r="4764" spans="1:2">
      <c r="A4764">
        <v>0</v>
      </c>
      <c r="B4764">
        <v>0</v>
      </c>
    </row>
    <row r="4765" spans="1:2">
      <c r="A4765">
        <v>0</v>
      </c>
      <c r="B4765">
        <v>0</v>
      </c>
    </row>
    <row r="4766" spans="1:2">
      <c r="A4766" t="s">
        <v>29</v>
      </c>
      <c r="B4766">
        <v>0</v>
      </c>
    </row>
    <row r="4767" spans="1:2">
      <c r="A4767">
        <v>0</v>
      </c>
      <c r="B4767">
        <v>0</v>
      </c>
    </row>
    <row r="4768" spans="1:2">
      <c r="A4768">
        <v>0</v>
      </c>
      <c r="B4768">
        <v>0</v>
      </c>
    </row>
    <row r="4769" spans="1:2">
      <c r="A4769" t="s">
        <v>30</v>
      </c>
      <c r="B4769">
        <v>0</v>
      </c>
    </row>
    <row r="4770" spans="1:2">
      <c r="A4770">
        <v>0</v>
      </c>
      <c r="B4770">
        <v>0</v>
      </c>
    </row>
    <row r="4771" spans="1:2">
      <c r="A4771">
        <v>0</v>
      </c>
      <c r="B4771">
        <v>0</v>
      </c>
    </row>
    <row r="4772" spans="1:2">
      <c r="A4772" t="s">
        <v>19</v>
      </c>
      <c r="B4772">
        <v>0</v>
      </c>
    </row>
    <row r="4773" spans="1:2">
      <c r="A4773" t="s">
        <v>28</v>
      </c>
      <c r="B4773">
        <v>0</v>
      </c>
    </row>
    <row r="4774" spans="1:2">
      <c r="A4774">
        <v>0</v>
      </c>
      <c r="B4774">
        <v>0</v>
      </c>
    </row>
    <row r="4775" spans="1:2">
      <c r="A4775" t="s">
        <v>25</v>
      </c>
      <c r="B4775">
        <v>0</v>
      </c>
    </row>
    <row r="4776" spans="1:2">
      <c r="A4776" t="s">
        <v>19</v>
      </c>
      <c r="B4776">
        <v>0</v>
      </c>
    </row>
    <row r="4777" spans="1:2">
      <c r="A4777">
        <v>0</v>
      </c>
      <c r="B4777">
        <v>0</v>
      </c>
    </row>
    <row r="4778" spans="1:2">
      <c r="A4778">
        <v>0</v>
      </c>
      <c r="B4778">
        <v>0</v>
      </c>
    </row>
    <row r="4779" spans="1:2">
      <c r="A4779">
        <v>0</v>
      </c>
      <c r="B4779">
        <v>0</v>
      </c>
    </row>
    <row r="4780" spans="1:2">
      <c r="A4780">
        <v>0</v>
      </c>
      <c r="B4780">
        <v>0</v>
      </c>
    </row>
    <row r="4781" spans="1:2">
      <c r="A4781">
        <v>0</v>
      </c>
      <c r="B4781">
        <v>0</v>
      </c>
    </row>
    <row r="4782" spans="1:2">
      <c r="A4782">
        <v>0</v>
      </c>
      <c r="B4782">
        <v>511</v>
      </c>
    </row>
    <row r="4783" spans="1:2">
      <c r="A4783" t="s">
        <v>28</v>
      </c>
      <c r="B4783">
        <v>393.28</v>
      </c>
    </row>
    <row r="4784" spans="1:2">
      <c r="A4784" t="s">
        <v>31</v>
      </c>
      <c r="B4784">
        <v>101.19</v>
      </c>
    </row>
    <row r="4785" spans="1:2">
      <c r="A4785">
        <v>0</v>
      </c>
      <c r="B4785">
        <v>76.150000000000006</v>
      </c>
    </row>
    <row r="4786" spans="1:2">
      <c r="A4786">
        <v>0</v>
      </c>
      <c r="B4786">
        <v>73.510000000000005</v>
      </c>
    </row>
    <row r="4787" spans="1:2">
      <c r="A4787">
        <v>0</v>
      </c>
      <c r="B4787">
        <v>63.99</v>
      </c>
    </row>
    <row r="4788" spans="1:2">
      <c r="A4788">
        <v>0</v>
      </c>
      <c r="B4788">
        <v>45.97</v>
      </c>
    </row>
    <row r="4789" spans="1:2">
      <c r="A4789">
        <v>0</v>
      </c>
      <c r="B4789">
        <v>40.74</v>
      </c>
    </row>
    <row r="4790" spans="1:2">
      <c r="A4790">
        <v>0</v>
      </c>
      <c r="B4790">
        <v>28.02</v>
      </c>
    </row>
    <row r="4791" spans="1:2">
      <c r="A4791">
        <v>0</v>
      </c>
      <c r="B4791">
        <v>22.51</v>
      </c>
    </row>
    <row r="4792" spans="1:2">
      <c r="A4792">
        <v>0</v>
      </c>
      <c r="B4792">
        <v>15.15</v>
      </c>
    </row>
    <row r="4793" spans="1:2">
      <c r="A4793" t="s">
        <v>26</v>
      </c>
      <c r="B4793">
        <v>14.48</v>
      </c>
    </row>
    <row r="4794" spans="1:2">
      <c r="A4794" t="s">
        <v>25</v>
      </c>
      <c r="B4794">
        <v>0</v>
      </c>
    </row>
    <row r="4795" spans="1:2">
      <c r="A4795" t="s">
        <v>19</v>
      </c>
      <c r="B4795">
        <v>0</v>
      </c>
    </row>
    <row r="4796" spans="1:2">
      <c r="A4796" t="s">
        <v>31</v>
      </c>
      <c r="B4796">
        <v>0</v>
      </c>
    </row>
    <row r="4797" spans="1:2">
      <c r="A4797" t="s">
        <v>26</v>
      </c>
      <c r="B4797">
        <v>0</v>
      </c>
    </row>
    <row r="4798" spans="1:2">
      <c r="A4798">
        <v>0</v>
      </c>
      <c r="B4798">
        <v>0</v>
      </c>
    </row>
    <row r="4799" spans="1:2">
      <c r="A4799">
        <v>0</v>
      </c>
      <c r="B4799">
        <v>0</v>
      </c>
    </row>
    <row r="4800" spans="1:2">
      <c r="A4800">
        <v>0</v>
      </c>
      <c r="B4800">
        <v>0</v>
      </c>
    </row>
    <row r="4801" spans="1:2">
      <c r="A4801">
        <v>0</v>
      </c>
      <c r="B4801">
        <v>0</v>
      </c>
    </row>
    <row r="4802" spans="1:2">
      <c r="A4802">
        <v>0</v>
      </c>
      <c r="B4802">
        <v>0</v>
      </c>
    </row>
    <row r="4803" spans="1:2">
      <c r="A4803" t="s">
        <v>25</v>
      </c>
      <c r="B4803">
        <v>0</v>
      </c>
    </row>
    <row r="4804" spans="1:2">
      <c r="A4804" t="s">
        <v>26</v>
      </c>
      <c r="B4804">
        <v>0</v>
      </c>
    </row>
    <row r="4805" spans="1:2">
      <c r="A4805">
        <v>0</v>
      </c>
      <c r="B4805">
        <v>0</v>
      </c>
    </row>
    <row r="4806" spans="1:2">
      <c r="A4806">
        <v>0</v>
      </c>
      <c r="B4806">
        <v>0</v>
      </c>
    </row>
    <row r="4807" spans="1:2">
      <c r="A4807">
        <v>0</v>
      </c>
      <c r="B4807">
        <v>0</v>
      </c>
    </row>
    <row r="4808" spans="1:2">
      <c r="A4808" t="s">
        <v>31</v>
      </c>
      <c r="B4808">
        <v>0</v>
      </c>
    </row>
    <row r="4809" spans="1:2">
      <c r="A4809">
        <v>0</v>
      </c>
      <c r="B4809">
        <v>186</v>
      </c>
    </row>
    <row r="4810" spans="1:2">
      <c r="A4810">
        <v>0</v>
      </c>
      <c r="B4810">
        <v>176</v>
      </c>
    </row>
    <row r="4811" spans="1:2">
      <c r="A4811" t="s">
        <v>28</v>
      </c>
      <c r="B4811">
        <v>340</v>
      </c>
    </row>
    <row r="4812" spans="1:2">
      <c r="A4812">
        <v>0</v>
      </c>
      <c r="B4812">
        <v>52</v>
      </c>
    </row>
    <row r="4813" spans="1:2">
      <c r="A4813">
        <v>0</v>
      </c>
      <c r="B4813">
        <v>187.61</v>
      </c>
    </row>
    <row r="4814" spans="1:2">
      <c r="A4814" t="s">
        <v>29</v>
      </c>
      <c r="B4814">
        <v>106.98</v>
      </c>
    </row>
    <row r="4815" spans="1:2">
      <c r="A4815">
        <v>0</v>
      </c>
      <c r="B4815">
        <v>98.2</v>
      </c>
    </row>
    <row r="4816" spans="1:2">
      <c r="A4816" t="s">
        <v>19</v>
      </c>
      <c r="B4816">
        <v>83.53</v>
      </c>
    </row>
    <row r="4817" spans="1:2">
      <c r="A4817" t="s">
        <v>31</v>
      </c>
      <c r="B4817">
        <v>62.02</v>
      </c>
    </row>
    <row r="4818" spans="1:2">
      <c r="A4818">
        <v>0</v>
      </c>
      <c r="B4818">
        <v>44.42</v>
      </c>
    </row>
    <row r="4819" spans="1:2">
      <c r="A4819" t="s">
        <v>26</v>
      </c>
      <c r="B4819">
        <v>33.909999999999997</v>
      </c>
    </row>
    <row r="4820" spans="1:2">
      <c r="A4820" t="s">
        <v>31</v>
      </c>
      <c r="B4820">
        <v>20.67</v>
      </c>
    </row>
    <row r="4821" spans="1:2">
      <c r="A4821">
        <v>0</v>
      </c>
      <c r="B4821">
        <v>19.21</v>
      </c>
    </row>
    <row r="4822" spans="1:2">
      <c r="A4822">
        <v>0</v>
      </c>
      <c r="B4822">
        <v>13.51</v>
      </c>
    </row>
    <row r="4823" spans="1:2">
      <c r="A4823" t="s">
        <v>30</v>
      </c>
      <c r="B4823">
        <v>0</v>
      </c>
    </row>
    <row r="4824" spans="1:2">
      <c r="A4824" t="s">
        <v>25</v>
      </c>
      <c r="B4824">
        <v>0</v>
      </c>
    </row>
    <row r="4825" spans="1:2">
      <c r="A4825">
        <v>0</v>
      </c>
      <c r="B4825">
        <v>0</v>
      </c>
    </row>
    <row r="4826" spans="1:2">
      <c r="A4826" t="s">
        <v>26</v>
      </c>
      <c r="B4826">
        <v>0</v>
      </c>
    </row>
    <row r="4827" spans="1:2">
      <c r="A4827">
        <v>0</v>
      </c>
      <c r="B4827">
        <v>0</v>
      </c>
    </row>
    <row r="4828" spans="1:2">
      <c r="A4828">
        <v>0</v>
      </c>
      <c r="B4828">
        <v>0</v>
      </c>
    </row>
    <row r="4829" spans="1:2">
      <c r="A4829">
        <v>0</v>
      </c>
      <c r="B4829">
        <v>0</v>
      </c>
    </row>
    <row r="4830" spans="1:2">
      <c r="A4830">
        <v>0</v>
      </c>
      <c r="B4830">
        <v>0</v>
      </c>
    </row>
    <row r="4831" spans="1:2">
      <c r="A4831" t="s">
        <v>28</v>
      </c>
      <c r="B4831">
        <v>0</v>
      </c>
    </row>
    <row r="4832" spans="1:2">
      <c r="A4832" t="s">
        <v>28</v>
      </c>
      <c r="B4832">
        <v>0</v>
      </c>
    </row>
    <row r="4833" spans="1:2">
      <c r="A4833" t="s">
        <v>25</v>
      </c>
      <c r="B4833">
        <v>0</v>
      </c>
    </row>
    <row r="4834" spans="1:2">
      <c r="A4834" t="s">
        <v>26</v>
      </c>
      <c r="B4834">
        <v>0</v>
      </c>
    </row>
    <row r="4835" spans="1:2">
      <c r="A4835">
        <v>0</v>
      </c>
      <c r="B4835">
        <v>0</v>
      </c>
    </row>
    <row r="4836" spans="1:2">
      <c r="A4836">
        <v>0</v>
      </c>
      <c r="B4836">
        <v>0</v>
      </c>
    </row>
    <row r="4837" spans="1:2">
      <c r="A4837" t="s">
        <v>26</v>
      </c>
      <c r="B4837">
        <v>0</v>
      </c>
    </row>
    <row r="4838" spans="1:2">
      <c r="A4838">
        <v>0</v>
      </c>
      <c r="B4838">
        <v>0</v>
      </c>
    </row>
    <row r="4839" spans="1:2">
      <c r="A4839">
        <v>0</v>
      </c>
      <c r="B4839">
        <v>0</v>
      </c>
    </row>
    <row r="4840" spans="1:2">
      <c r="A4840" t="s">
        <v>29</v>
      </c>
      <c r="B4840">
        <v>0</v>
      </c>
    </row>
    <row r="4841" spans="1:2">
      <c r="A4841">
        <v>0</v>
      </c>
      <c r="B4841">
        <v>0</v>
      </c>
    </row>
    <row r="4842" spans="1:2">
      <c r="A4842">
        <v>0</v>
      </c>
      <c r="B4842">
        <v>813.21</v>
      </c>
    </row>
    <row r="4843" spans="1:2">
      <c r="A4843" t="s">
        <v>19</v>
      </c>
      <c r="B4843">
        <v>308.47000000000003</v>
      </c>
    </row>
    <row r="4844" spans="1:2">
      <c r="A4844" t="s">
        <v>31</v>
      </c>
      <c r="B4844">
        <v>173.02</v>
      </c>
    </row>
    <row r="4845" spans="1:2">
      <c r="A4845">
        <v>0</v>
      </c>
      <c r="B4845">
        <v>105.14</v>
      </c>
    </row>
    <row r="4846" spans="1:2">
      <c r="A4846" t="s">
        <v>28</v>
      </c>
      <c r="B4846">
        <v>74.760000000000005</v>
      </c>
    </row>
    <row r="4847" spans="1:2">
      <c r="A4847">
        <v>0</v>
      </c>
      <c r="B4847">
        <v>63.23</v>
      </c>
    </row>
    <row r="4848" spans="1:2">
      <c r="A4848">
        <v>0</v>
      </c>
      <c r="B4848">
        <v>53.66</v>
      </c>
    </row>
    <row r="4849" spans="1:2">
      <c r="A4849">
        <v>0</v>
      </c>
      <c r="B4849">
        <v>47.65</v>
      </c>
    </row>
    <row r="4850" spans="1:2">
      <c r="A4850">
        <v>0</v>
      </c>
      <c r="B4850">
        <v>47.45</v>
      </c>
    </row>
    <row r="4851" spans="1:2">
      <c r="A4851" t="s">
        <v>30</v>
      </c>
      <c r="B4851">
        <v>40.97</v>
      </c>
    </row>
    <row r="4852" spans="1:2">
      <c r="A4852">
        <v>0</v>
      </c>
      <c r="B4852">
        <v>18.54</v>
      </c>
    </row>
    <row r="4853" spans="1:2">
      <c r="A4853">
        <v>0</v>
      </c>
      <c r="B4853">
        <v>13.86</v>
      </c>
    </row>
    <row r="4854" spans="1:2">
      <c r="A4854">
        <v>0</v>
      </c>
      <c r="B4854">
        <v>13.49</v>
      </c>
    </row>
    <row r="4855" spans="1:2">
      <c r="A4855">
        <v>0</v>
      </c>
      <c r="B4855">
        <v>0</v>
      </c>
    </row>
    <row r="4856" spans="1:2">
      <c r="A4856" t="s">
        <v>28</v>
      </c>
      <c r="B4856">
        <v>0</v>
      </c>
    </row>
    <row r="4857" spans="1:2">
      <c r="A4857">
        <v>0</v>
      </c>
      <c r="B4857">
        <v>0</v>
      </c>
    </row>
    <row r="4858" spans="1:2">
      <c r="A4858">
        <v>0</v>
      </c>
      <c r="B4858">
        <v>0</v>
      </c>
    </row>
    <row r="4859" spans="1:2">
      <c r="A4859">
        <v>0</v>
      </c>
      <c r="B4859">
        <v>0</v>
      </c>
    </row>
    <row r="4860" spans="1:2">
      <c r="A4860" t="s">
        <v>25</v>
      </c>
      <c r="B4860">
        <v>0</v>
      </c>
    </row>
    <row r="4861" spans="1:2">
      <c r="A4861" t="s">
        <v>30</v>
      </c>
      <c r="B4861">
        <v>0</v>
      </c>
    </row>
    <row r="4862" spans="1:2">
      <c r="A4862">
        <v>0</v>
      </c>
      <c r="B4862">
        <v>0</v>
      </c>
    </row>
    <row r="4863" spans="1:2">
      <c r="A4863" t="s">
        <v>29</v>
      </c>
      <c r="B4863">
        <v>0</v>
      </c>
    </row>
    <row r="4864" spans="1:2">
      <c r="A4864">
        <v>0</v>
      </c>
      <c r="B4864">
        <v>0</v>
      </c>
    </row>
    <row r="4865" spans="1:2">
      <c r="A4865" t="s">
        <v>28</v>
      </c>
      <c r="B4865">
        <v>0</v>
      </c>
    </row>
    <row r="4866" spans="1:2">
      <c r="A4866">
        <v>0</v>
      </c>
      <c r="B4866">
        <v>0</v>
      </c>
    </row>
    <row r="4867" spans="1:2">
      <c r="A4867" t="s">
        <v>26</v>
      </c>
      <c r="B4867">
        <v>0</v>
      </c>
    </row>
    <row r="4868" spans="1:2">
      <c r="A4868" t="s">
        <v>25</v>
      </c>
      <c r="B4868">
        <v>149</v>
      </c>
    </row>
    <row r="4869" spans="1:2">
      <c r="A4869">
        <v>0</v>
      </c>
      <c r="B4869">
        <v>501</v>
      </c>
    </row>
    <row r="4870" spans="1:2">
      <c r="A4870">
        <v>0</v>
      </c>
      <c r="B4870">
        <v>59</v>
      </c>
    </row>
    <row r="4871" spans="1:2">
      <c r="A4871">
        <v>0</v>
      </c>
      <c r="B4871">
        <v>133</v>
      </c>
    </row>
    <row r="4872" spans="1:2">
      <c r="A4872">
        <v>0</v>
      </c>
      <c r="B4872">
        <v>120.62</v>
      </c>
    </row>
    <row r="4873" spans="1:2">
      <c r="A4873">
        <v>0</v>
      </c>
      <c r="B4873">
        <v>78.55</v>
      </c>
    </row>
    <row r="4874" spans="1:2">
      <c r="A4874" t="s">
        <v>19</v>
      </c>
      <c r="B4874">
        <v>35.369999999999997</v>
      </c>
    </row>
    <row r="4875" spans="1:2">
      <c r="A4875">
        <v>0</v>
      </c>
      <c r="B4875">
        <v>35.06</v>
      </c>
    </row>
    <row r="4876" spans="1:2">
      <c r="A4876">
        <v>0</v>
      </c>
      <c r="B4876">
        <v>32.65</v>
      </c>
    </row>
    <row r="4877" spans="1:2">
      <c r="A4877" t="s">
        <v>19</v>
      </c>
      <c r="B4877">
        <v>24.65</v>
      </c>
    </row>
    <row r="4878" spans="1:2">
      <c r="A4878">
        <v>0</v>
      </c>
      <c r="B4878">
        <v>17.79</v>
      </c>
    </row>
    <row r="4879" spans="1:2">
      <c r="A4879" t="s">
        <v>31</v>
      </c>
      <c r="B4879">
        <v>16.82</v>
      </c>
    </row>
    <row r="4880" spans="1:2">
      <c r="A4880">
        <v>0</v>
      </c>
      <c r="B4880">
        <v>15</v>
      </c>
    </row>
    <row r="4881" spans="1:2">
      <c r="A4881" t="s">
        <v>25</v>
      </c>
      <c r="B4881">
        <v>14.43</v>
      </c>
    </row>
    <row r="4882" spans="1:2">
      <c r="A4882" t="s">
        <v>31</v>
      </c>
      <c r="B4882">
        <v>0</v>
      </c>
    </row>
    <row r="4883" spans="1:2">
      <c r="A4883">
        <v>0</v>
      </c>
      <c r="B4883">
        <v>0</v>
      </c>
    </row>
    <row r="4884" spans="1:2">
      <c r="A4884">
        <v>0</v>
      </c>
      <c r="B4884">
        <v>0</v>
      </c>
    </row>
    <row r="4885" spans="1:2">
      <c r="A4885" t="s">
        <v>26</v>
      </c>
      <c r="B4885">
        <v>0</v>
      </c>
    </row>
    <row r="4886" spans="1:2">
      <c r="A4886">
        <v>0</v>
      </c>
      <c r="B4886">
        <v>0</v>
      </c>
    </row>
    <row r="4887" spans="1:2">
      <c r="A4887" t="s">
        <v>31</v>
      </c>
      <c r="B4887">
        <v>0</v>
      </c>
    </row>
    <row r="4888" spans="1:2">
      <c r="A4888">
        <v>0</v>
      </c>
      <c r="B4888">
        <v>0</v>
      </c>
    </row>
    <row r="4889" spans="1:2">
      <c r="A4889">
        <v>0</v>
      </c>
      <c r="B4889">
        <v>0</v>
      </c>
    </row>
    <row r="4890" spans="1:2">
      <c r="A4890" t="s">
        <v>25</v>
      </c>
      <c r="B4890">
        <v>0</v>
      </c>
    </row>
    <row r="4891" spans="1:2">
      <c r="A4891" t="s">
        <v>25</v>
      </c>
      <c r="B4891">
        <v>0</v>
      </c>
    </row>
    <row r="4892" spans="1:2">
      <c r="A4892">
        <v>0</v>
      </c>
      <c r="B4892">
        <v>0</v>
      </c>
    </row>
    <row r="4893" spans="1:2">
      <c r="A4893">
        <v>0</v>
      </c>
      <c r="B4893">
        <v>0</v>
      </c>
    </row>
    <row r="4894" spans="1:2">
      <c r="A4894" t="s">
        <v>29</v>
      </c>
      <c r="B4894">
        <v>0</v>
      </c>
    </row>
    <row r="4895" spans="1:2">
      <c r="A4895" t="s">
        <v>19</v>
      </c>
      <c r="B4895">
        <v>0</v>
      </c>
    </row>
    <row r="4896" spans="1:2">
      <c r="A4896">
        <v>0</v>
      </c>
      <c r="B4896">
        <v>0</v>
      </c>
    </row>
    <row r="4897" spans="1:2">
      <c r="A4897">
        <v>0</v>
      </c>
      <c r="B4897">
        <v>0</v>
      </c>
    </row>
    <row r="4898" spans="1:2">
      <c r="A4898" t="s">
        <v>19</v>
      </c>
      <c r="B4898">
        <v>0</v>
      </c>
    </row>
    <row r="4899" spans="1:2">
      <c r="A4899" t="s">
        <v>26</v>
      </c>
      <c r="B4899">
        <v>0</v>
      </c>
    </row>
    <row r="4900" spans="1:2">
      <c r="A4900">
        <v>0</v>
      </c>
      <c r="B4900">
        <v>0</v>
      </c>
    </row>
    <row r="4901" spans="1:2">
      <c r="A4901">
        <v>0</v>
      </c>
      <c r="B4901">
        <v>133</v>
      </c>
    </row>
    <row r="4902" spans="1:2">
      <c r="A4902">
        <v>0</v>
      </c>
      <c r="B4902">
        <v>577.95000000000005</v>
      </c>
    </row>
    <row r="4903" spans="1:2">
      <c r="A4903" t="s">
        <v>30</v>
      </c>
      <c r="B4903">
        <v>158.52000000000001</v>
      </c>
    </row>
    <row r="4904" spans="1:2">
      <c r="A4904">
        <v>0</v>
      </c>
      <c r="B4904">
        <v>152.41999999999999</v>
      </c>
    </row>
    <row r="4905" spans="1:2">
      <c r="A4905">
        <v>0</v>
      </c>
      <c r="B4905">
        <v>112</v>
      </c>
    </row>
    <row r="4906" spans="1:2">
      <c r="A4906">
        <v>0</v>
      </c>
      <c r="B4906">
        <v>79.63</v>
      </c>
    </row>
    <row r="4907" spans="1:2">
      <c r="A4907">
        <v>0</v>
      </c>
      <c r="B4907">
        <v>55.7</v>
      </c>
    </row>
    <row r="4908" spans="1:2">
      <c r="A4908">
        <v>0</v>
      </c>
      <c r="B4908">
        <v>38.799999999999997</v>
      </c>
    </row>
    <row r="4909" spans="1:2">
      <c r="A4909" t="s">
        <v>19</v>
      </c>
      <c r="B4909">
        <v>26.58</v>
      </c>
    </row>
    <row r="4910" spans="1:2">
      <c r="A4910">
        <v>0</v>
      </c>
      <c r="B4910">
        <v>21.74</v>
      </c>
    </row>
    <row r="4911" spans="1:2">
      <c r="A4911">
        <v>0</v>
      </c>
      <c r="B4911">
        <v>0</v>
      </c>
    </row>
    <row r="4912" spans="1:2">
      <c r="A4912">
        <v>0</v>
      </c>
      <c r="B4912">
        <v>0</v>
      </c>
    </row>
    <row r="4913" spans="1:2">
      <c r="A4913">
        <v>0</v>
      </c>
      <c r="B4913">
        <v>0</v>
      </c>
    </row>
    <row r="4914" spans="1:2">
      <c r="A4914">
        <v>0</v>
      </c>
      <c r="B4914">
        <v>0</v>
      </c>
    </row>
    <row r="4915" spans="1:2">
      <c r="A4915">
        <v>0</v>
      </c>
      <c r="B4915">
        <v>0</v>
      </c>
    </row>
    <row r="4916" spans="1:2">
      <c r="A4916" t="s">
        <v>19</v>
      </c>
      <c r="B4916">
        <v>0</v>
      </c>
    </row>
    <row r="4917" spans="1:2">
      <c r="A4917">
        <v>0</v>
      </c>
      <c r="B4917">
        <v>0</v>
      </c>
    </row>
    <row r="4918" spans="1:2">
      <c r="A4918">
        <v>0</v>
      </c>
      <c r="B4918">
        <v>0</v>
      </c>
    </row>
    <row r="4919" spans="1:2">
      <c r="A4919">
        <v>0</v>
      </c>
      <c r="B4919">
        <v>0</v>
      </c>
    </row>
    <row r="4920" spans="1:2">
      <c r="A4920" t="s">
        <v>25</v>
      </c>
      <c r="B4920">
        <v>0</v>
      </c>
    </row>
    <row r="4921" spans="1:2">
      <c r="A4921" t="s">
        <v>26</v>
      </c>
      <c r="B4921">
        <v>0</v>
      </c>
    </row>
    <row r="4922" spans="1:2">
      <c r="A4922" t="s">
        <v>25</v>
      </c>
      <c r="B4922">
        <v>0</v>
      </c>
    </row>
    <row r="4923" spans="1:2">
      <c r="A4923">
        <v>0</v>
      </c>
      <c r="B4923">
        <v>0</v>
      </c>
    </row>
    <row r="4924" spans="1:2">
      <c r="A4924">
        <v>0</v>
      </c>
      <c r="B4924">
        <v>0</v>
      </c>
    </row>
    <row r="4925" spans="1:2">
      <c r="A4925">
        <v>0</v>
      </c>
      <c r="B4925">
        <v>0</v>
      </c>
    </row>
    <row r="4926" spans="1:2">
      <c r="A4926">
        <v>0</v>
      </c>
      <c r="B4926">
        <v>0</v>
      </c>
    </row>
    <row r="4927" spans="1:2">
      <c r="A4927">
        <v>0</v>
      </c>
      <c r="B4927">
        <v>425</v>
      </c>
    </row>
    <row r="4928" spans="1:2">
      <c r="A4928">
        <v>0</v>
      </c>
      <c r="B4928">
        <v>499</v>
      </c>
    </row>
    <row r="4929" spans="1:2">
      <c r="A4929" t="s">
        <v>19</v>
      </c>
      <c r="B4929">
        <v>117.79</v>
      </c>
    </row>
    <row r="4930" spans="1:2">
      <c r="A4930">
        <v>0</v>
      </c>
      <c r="B4930">
        <v>79.78</v>
      </c>
    </row>
    <row r="4931" spans="1:2">
      <c r="A4931" t="s">
        <v>30</v>
      </c>
      <c r="B4931">
        <v>58.77</v>
      </c>
    </row>
    <row r="4932" spans="1:2">
      <c r="A4932">
        <v>0</v>
      </c>
      <c r="B4932">
        <v>49.55</v>
      </c>
    </row>
    <row r="4933" spans="1:2">
      <c r="A4933" t="s">
        <v>28</v>
      </c>
      <c r="B4933">
        <v>29.82</v>
      </c>
    </row>
    <row r="4934" spans="1:2">
      <c r="A4934">
        <v>0</v>
      </c>
      <c r="B4934">
        <v>28.88</v>
      </c>
    </row>
    <row r="4935" spans="1:2">
      <c r="A4935">
        <v>0</v>
      </c>
      <c r="B4935">
        <v>22.68</v>
      </c>
    </row>
    <row r="4936" spans="1:2">
      <c r="A4936">
        <v>0</v>
      </c>
      <c r="B4936">
        <v>21.82</v>
      </c>
    </row>
    <row r="4937" spans="1:2">
      <c r="A4937">
        <v>0</v>
      </c>
      <c r="B4937">
        <v>17.75</v>
      </c>
    </row>
    <row r="4938" spans="1:2">
      <c r="A4938" t="s">
        <v>19</v>
      </c>
      <c r="B4938">
        <v>0</v>
      </c>
    </row>
    <row r="4939" spans="1:2">
      <c r="A4939">
        <v>0</v>
      </c>
      <c r="B4939">
        <v>0</v>
      </c>
    </row>
    <row r="4940" spans="1:2">
      <c r="A4940" t="s">
        <v>29</v>
      </c>
      <c r="B4940">
        <v>0</v>
      </c>
    </row>
    <row r="4941" spans="1:2">
      <c r="A4941">
        <v>0</v>
      </c>
      <c r="B4941">
        <v>0</v>
      </c>
    </row>
    <row r="4942" spans="1:2">
      <c r="A4942" t="s">
        <v>30</v>
      </c>
      <c r="B4942">
        <v>0</v>
      </c>
    </row>
    <row r="4943" spans="1:2">
      <c r="A4943">
        <v>0</v>
      </c>
      <c r="B4943">
        <v>0</v>
      </c>
    </row>
    <row r="4944" spans="1:2">
      <c r="A4944">
        <v>0</v>
      </c>
      <c r="B4944">
        <v>0</v>
      </c>
    </row>
    <row r="4945" spans="1:2">
      <c r="A4945" t="s">
        <v>30</v>
      </c>
      <c r="B4945">
        <v>0</v>
      </c>
    </row>
    <row r="4946" spans="1:2">
      <c r="A4946">
        <v>0</v>
      </c>
      <c r="B4946">
        <v>0</v>
      </c>
    </row>
    <row r="4947" spans="1:2">
      <c r="A4947" t="s">
        <v>31</v>
      </c>
      <c r="B4947">
        <v>0</v>
      </c>
    </row>
    <row r="4948" spans="1:2">
      <c r="A4948">
        <v>0</v>
      </c>
      <c r="B4948">
        <v>0</v>
      </c>
    </row>
    <row r="4949" spans="1:2">
      <c r="A4949" t="s">
        <v>26</v>
      </c>
      <c r="B4949">
        <v>0</v>
      </c>
    </row>
    <row r="4950" spans="1:2">
      <c r="A4950" t="s">
        <v>30</v>
      </c>
      <c r="B4950">
        <v>0</v>
      </c>
    </row>
    <row r="4951" spans="1:2">
      <c r="A4951" t="s">
        <v>29</v>
      </c>
      <c r="B4951">
        <v>0</v>
      </c>
    </row>
    <row r="4952" spans="1:2">
      <c r="A4952" t="s">
        <v>28</v>
      </c>
      <c r="B4952">
        <v>0</v>
      </c>
    </row>
    <row r="4953" spans="1:2">
      <c r="A4953">
        <v>0</v>
      </c>
      <c r="B4953">
        <v>0</v>
      </c>
    </row>
    <row r="4954" spans="1:2">
      <c r="A4954">
        <v>0</v>
      </c>
      <c r="B4954">
        <v>0</v>
      </c>
    </row>
    <row r="4955" spans="1:2">
      <c r="A4955">
        <v>0</v>
      </c>
      <c r="B4955">
        <v>0</v>
      </c>
    </row>
    <row r="4956" spans="1:2">
      <c r="A4956">
        <v>0</v>
      </c>
      <c r="B4956">
        <v>38</v>
      </c>
    </row>
    <row r="4957" spans="1:2">
      <c r="A4957">
        <v>0</v>
      </c>
      <c r="B4957">
        <v>123</v>
      </c>
    </row>
    <row r="4958" spans="1:2">
      <c r="A4958">
        <v>0</v>
      </c>
      <c r="B4958">
        <v>145.69999999999999</v>
      </c>
    </row>
    <row r="4959" spans="1:2">
      <c r="A4959" t="s">
        <v>29</v>
      </c>
      <c r="B4959">
        <v>54.23</v>
      </c>
    </row>
    <row r="4960" spans="1:2">
      <c r="A4960">
        <v>0</v>
      </c>
      <c r="B4960">
        <v>46.74</v>
      </c>
    </row>
    <row r="4961" spans="1:2">
      <c r="A4961">
        <v>0</v>
      </c>
      <c r="B4961">
        <v>40.549999999999997</v>
      </c>
    </row>
    <row r="4962" spans="1:2">
      <c r="A4962">
        <v>0</v>
      </c>
      <c r="B4962">
        <v>30.15</v>
      </c>
    </row>
    <row r="4963" spans="1:2">
      <c r="A4963" t="s">
        <v>31</v>
      </c>
      <c r="B4963">
        <v>0</v>
      </c>
    </row>
    <row r="4964" spans="1:2">
      <c r="A4964">
        <v>0</v>
      </c>
      <c r="B4964">
        <v>0</v>
      </c>
    </row>
    <row r="4965" spans="1:2">
      <c r="A4965">
        <v>0</v>
      </c>
      <c r="B4965">
        <v>0</v>
      </c>
    </row>
    <row r="4966" spans="1:2">
      <c r="A4966">
        <v>0</v>
      </c>
      <c r="B4966">
        <v>0</v>
      </c>
    </row>
    <row r="4967" spans="1:2">
      <c r="A4967" t="s">
        <v>25</v>
      </c>
      <c r="B4967">
        <v>0</v>
      </c>
    </row>
    <row r="4968" spans="1:2">
      <c r="A4968">
        <v>0</v>
      </c>
      <c r="B4968">
        <v>0</v>
      </c>
    </row>
    <row r="4969" spans="1:2">
      <c r="A4969" t="s">
        <v>29</v>
      </c>
      <c r="B4969">
        <v>0</v>
      </c>
    </row>
    <row r="4970" spans="1:2">
      <c r="A4970">
        <v>0</v>
      </c>
      <c r="B4970">
        <v>0</v>
      </c>
    </row>
    <row r="4971" spans="1:2">
      <c r="A4971">
        <v>0</v>
      </c>
      <c r="B4971">
        <v>0</v>
      </c>
    </row>
    <row r="4972" spans="1:2">
      <c r="A4972">
        <v>0</v>
      </c>
      <c r="B4972">
        <v>0</v>
      </c>
    </row>
    <row r="4973" spans="1:2">
      <c r="A4973" t="s">
        <v>31</v>
      </c>
      <c r="B4973">
        <v>0</v>
      </c>
    </row>
    <row r="4974" spans="1:2">
      <c r="A4974">
        <v>0</v>
      </c>
      <c r="B4974">
        <v>0</v>
      </c>
    </row>
    <row r="4975" spans="1:2">
      <c r="A4975">
        <v>0</v>
      </c>
      <c r="B4975">
        <v>0</v>
      </c>
    </row>
    <row r="4976" spans="1:2">
      <c r="A4976">
        <v>0</v>
      </c>
      <c r="B4976">
        <v>0</v>
      </c>
    </row>
    <row r="4977" spans="1:2">
      <c r="A4977">
        <v>0</v>
      </c>
      <c r="B4977">
        <v>0</v>
      </c>
    </row>
    <row r="4978" spans="1:2">
      <c r="A4978" t="s">
        <v>26</v>
      </c>
      <c r="B4978">
        <v>0</v>
      </c>
    </row>
    <row r="4979" spans="1:2">
      <c r="A4979">
        <v>0</v>
      </c>
      <c r="B4979">
        <v>306</v>
      </c>
    </row>
    <row r="4980" spans="1:2">
      <c r="A4980" t="s">
        <v>28</v>
      </c>
      <c r="B4980">
        <v>63</v>
      </c>
    </row>
    <row r="4981" spans="1:2">
      <c r="A4981" t="s">
        <v>19</v>
      </c>
      <c r="B4981">
        <v>261.17</v>
      </c>
    </row>
    <row r="4982" spans="1:2">
      <c r="A4982">
        <v>0</v>
      </c>
      <c r="B4982">
        <v>79.06</v>
      </c>
    </row>
    <row r="4983" spans="1:2">
      <c r="A4983">
        <v>0</v>
      </c>
      <c r="B4983">
        <v>58.44</v>
      </c>
    </row>
    <row r="4984" spans="1:2">
      <c r="A4984">
        <v>0</v>
      </c>
      <c r="B4984">
        <v>51.86</v>
      </c>
    </row>
    <row r="4985" spans="1:2">
      <c r="A4985">
        <v>0</v>
      </c>
      <c r="B4985">
        <v>39.950000000000003</v>
      </c>
    </row>
    <row r="4986" spans="1:2">
      <c r="A4986" t="s">
        <v>29</v>
      </c>
      <c r="B4986">
        <v>16.239999999999998</v>
      </c>
    </row>
    <row r="4987" spans="1:2">
      <c r="A4987">
        <v>0</v>
      </c>
      <c r="B4987">
        <v>0</v>
      </c>
    </row>
    <row r="4988" spans="1:2">
      <c r="A4988" t="s">
        <v>30</v>
      </c>
      <c r="B4988">
        <v>0</v>
      </c>
    </row>
    <row r="4989" spans="1:2">
      <c r="A4989" t="s">
        <v>30</v>
      </c>
      <c r="B4989">
        <v>0</v>
      </c>
    </row>
    <row r="4990" spans="1:2">
      <c r="A4990">
        <v>0</v>
      </c>
      <c r="B4990">
        <v>0</v>
      </c>
    </row>
    <row r="4991" spans="1:2">
      <c r="A4991">
        <v>0</v>
      </c>
      <c r="B4991">
        <v>0</v>
      </c>
    </row>
    <row r="4992" spans="1:2">
      <c r="A4992" t="s">
        <v>26</v>
      </c>
      <c r="B4992">
        <v>0</v>
      </c>
    </row>
    <row r="4993" spans="1:2">
      <c r="A4993">
        <v>0</v>
      </c>
      <c r="B4993">
        <v>0</v>
      </c>
    </row>
    <row r="4994" spans="1:2">
      <c r="A4994">
        <v>0</v>
      </c>
      <c r="B4994">
        <v>0</v>
      </c>
    </row>
    <row r="4995" spans="1:2">
      <c r="A4995">
        <v>0</v>
      </c>
      <c r="B4995">
        <v>0</v>
      </c>
    </row>
    <row r="4996" spans="1:2">
      <c r="A4996">
        <v>0</v>
      </c>
      <c r="B4996">
        <v>0</v>
      </c>
    </row>
    <row r="4997" spans="1:2">
      <c r="A4997">
        <v>0</v>
      </c>
      <c r="B4997">
        <v>0</v>
      </c>
    </row>
    <row r="4998" spans="1:2">
      <c r="A4998">
        <v>0</v>
      </c>
      <c r="B4998">
        <v>0</v>
      </c>
    </row>
    <row r="4999" spans="1:2">
      <c r="A4999">
        <v>0</v>
      </c>
      <c r="B4999">
        <v>0</v>
      </c>
    </row>
    <row r="5000" spans="1:2">
      <c r="A5000" t="s">
        <v>29</v>
      </c>
      <c r="B5000">
        <v>0</v>
      </c>
    </row>
    <row r="5001" spans="1:2">
      <c r="A5001">
        <v>0</v>
      </c>
      <c r="B5001">
        <v>0</v>
      </c>
    </row>
  </sheetData>
  <conditionalFormatting sqref="K2:K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Лист2</vt:lpstr>
      <vt:lpstr>Лист5</vt:lpstr>
      <vt:lpstr>datasetExcel</vt:lpstr>
      <vt:lpstr>Сводная таблица для А</vt:lpstr>
      <vt:lpstr>Таблицы и визуализация для А</vt:lpstr>
      <vt:lpstr>Бизнес анализ</vt:lpstr>
      <vt:lpstr>CAMP</vt:lpstr>
      <vt:lpstr>Трафик</vt:lpstr>
      <vt:lpstr>Гендер</vt:lpstr>
      <vt:lpstr>Лист7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2026-01-17T10:38:58Z</dcterms:created>
  <dcterms:modified xsi:type="dcterms:W3CDTF">2026-01-26T11:07:43Z</dcterms:modified>
</cp:coreProperties>
</file>